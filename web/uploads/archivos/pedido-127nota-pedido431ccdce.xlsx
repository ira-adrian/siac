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983E7CF-7FB1-4F29-9CDD-A2DDC868A0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NotaPedido!$A$1:$K$206</definedName>
  </definedNames>
  <calcPr calcId="181029"/>
</workbook>
</file>

<file path=xl/calcChain.xml><?xml version="1.0" encoding="utf-8"?>
<calcChain xmlns="http://schemas.openxmlformats.org/spreadsheetml/2006/main">
  <c r="K136" i="2" l="1"/>
  <c r="J136" i="2"/>
  <c r="I136" i="2"/>
  <c r="C136" i="2"/>
  <c r="I134" i="1"/>
  <c r="Q15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K23" i="2"/>
  <c r="J23" i="2"/>
  <c r="I23" i="2"/>
  <c r="C23" i="2"/>
  <c r="C24" i="2"/>
  <c r="C25" i="2"/>
  <c r="C26" i="2"/>
  <c r="C27" i="2"/>
  <c r="B23" i="2"/>
  <c r="B24" i="2"/>
  <c r="B25" i="2"/>
  <c r="B26" i="2"/>
  <c r="B27" i="2"/>
  <c r="K13" i="2"/>
  <c r="K14" i="2"/>
  <c r="K15" i="2"/>
  <c r="K16" i="2"/>
  <c r="K17" i="2"/>
  <c r="K18" i="2"/>
  <c r="K19" i="2"/>
  <c r="K20" i="2"/>
  <c r="K21" i="2"/>
  <c r="K22" i="2"/>
  <c r="J13" i="2"/>
  <c r="J14" i="2"/>
  <c r="J15" i="2"/>
  <c r="J16" i="2"/>
  <c r="J17" i="2"/>
  <c r="J18" i="2"/>
  <c r="J19" i="2"/>
  <c r="J20" i="2"/>
  <c r="J21" i="2"/>
  <c r="J22" i="2"/>
  <c r="I13" i="2"/>
  <c r="I14" i="2"/>
  <c r="I15" i="2"/>
  <c r="I16" i="2"/>
  <c r="I17" i="2"/>
  <c r="I18" i="2"/>
  <c r="I19" i="2"/>
  <c r="I20" i="2"/>
  <c r="I21" i="2"/>
  <c r="I22" i="2"/>
  <c r="C13" i="2"/>
  <c r="C14" i="2"/>
  <c r="C15" i="2"/>
  <c r="C16" i="2"/>
  <c r="C17" i="2"/>
  <c r="C18" i="2"/>
  <c r="C19" i="2"/>
  <c r="C20" i="2"/>
  <c r="C21" i="2"/>
  <c r="C22" i="2"/>
  <c r="B13" i="2"/>
  <c r="B14" i="2"/>
  <c r="B15" i="2"/>
  <c r="B16" i="2"/>
  <c r="B17" i="2"/>
  <c r="B18" i="2"/>
  <c r="B19" i="2"/>
  <c r="B20" i="2"/>
  <c r="B21" i="2"/>
  <c r="B22" i="2"/>
  <c r="K12" i="2"/>
  <c r="J12" i="2"/>
  <c r="I12" i="2"/>
  <c r="C12" i="2"/>
  <c r="B12" i="2"/>
  <c r="I33" i="1" l="1"/>
  <c r="I203" i="1"/>
  <c r="I84" i="1"/>
  <c r="I91" i="1"/>
  <c r="I124" i="1"/>
  <c r="I88" i="1"/>
  <c r="I21" i="1"/>
  <c r="A26" i="3" l="1"/>
  <c r="A10" i="3"/>
  <c r="I103" i="1"/>
  <c r="I102" i="1"/>
  <c r="I94" i="1"/>
  <c r="I79" i="1"/>
  <c r="I99" i="1"/>
  <c r="I93" i="1"/>
  <c r="I96" i="1"/>
  <c r="I104" i="1"/>
  <c r="I100" i="1"/>
  <c r="I95" i="1"/>
  <c r="I25" i="1"/>
  <c r="I24" i="1"/>
  <c r="I15" i="1"/>
  <c r="I18" i="1"/>
  <c r="I17" i="1"/>
  <c r="I20" i="1"/>
  <c r="I23" i="1"/>
  <c r="I194" i="1"/>
  <c r="I145" i="1"/>
  <c r="I14" i="1"/>
  <c r="I16" i="1"/>
  <c r="I19" i="1"/>
  <c r="I22" i="1"/>
  <c r="I150" i="1"/>
  <c r="I149" i="1"/>
  <c r="I148" i="1"/>
  <c r="I144" i="1"/>
  <c r="I143" i="1"/>
  <c r="I142" i="1"/>
  <c r="I141" i="1"/>
  <c r="I140" i="1"/>
  <c r="I139" i="1"/>
  <c r="I138" i="1"/>
  <c r="I137" i="1"/>
  <c r="I135" i="1"/>
  <c r="I136" i="1"/>
  <c r="I133" i="1"/>
  <c r="I132" i="1"/>
  <c r="I130" i="1"/>
  <c r="I128" i="1"/>
  <c r="I127" i="1"/>
  <c r="I126" i="1"/>
  <c r="I125" i="1"/>
  <c r="I123" i="1"/>
  <c r="I122" i="1"/>
  <c r="I121" i="1"/>
  <c r="I119" i="1"/>
  <c r="I118" i="1"/>
  <c r="I116" i="1"/>
  <c r="I115" i="1"/>
  <c r="I114" i="1"/>
  <c r="I113" i="1"/>
  <c r="I112" i="1"/>
  <c r="I111" i="1"/>
  <c r="I110" i="1"/>
  <c r="I109" i="1"/>
  <c r="I108" i="1"/>
  <c r="I107" i="1"/>
  <c r="I106" i="1"/>
  <c r="I77" i="1"/>
  <c r="I76" i="1"/>
  <c r="I75" i="1"/>
  <c r="I74" i="1"/>
  <c r="I71" i="1"/>
  <c r="I70" i="1"/>
  <c r="I69" i="1"/>
  <c r="I67" i="1"/>
  <c r="I66" i="1"/>
  <c r="I65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64" i="1"/>
  <c r="I37" i="1"/>
  <c r="I36" i="1"/>
  <c r="I31" i="1"/>
  <c r="I30" i="1"/>
  <c r="I27" i="1"/>
  <c r="I26" i="1"/>
  <c r="I32" i="1"/>
  <c r="I13" i="1"/>
  <c r="I12" i="1"/>
  <c r="I10" i="1"/>
  <c r="J206" i="2" l="1"/>
  <c r="I152" i="1" l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85" i="1"/>
  <c r="I186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7" i="1"/>
  <c r="I188" i="1"/>
  <c r="I189" i="1"/>
  <c r="I190" i="1"/>
  <c r="I191" i="1"/>
  <c r="I192" i="1"/>
  <c r="I195" i="1"/>
  <c r="I196" i="1"/>
  <c r="I197" i="1"/>
  <c r="I198" i="1"/>
  <c r="I202" i="1"/>
  <c r="I68" i="1"/>
  <c r="I199" i="1"/>
  <c r="I200" i="1"/>
  <c r="I201" i="1"/>
  <c r="I129" i="1"/>
  <c r="I28" i="1"/>
  <c r="I11" i="1"/>
  <c r="I73" i="1"/>
  <c r="I29" i="1"/>
  <c r="I147" i="1"/>
  <c r="I131" i="1"/>
  <c r="I117" i="1"/>
  <c r="I105" i="1"/>
  <c r="I120" i="1"/>
  <c r="I35" i="1"/>
  <c r="I34" i="1"/>
  <c r="I193" i="1"/>
  <c r="I146" i="1"/>
  <c r="I72" i="1"/>
  <c r="I85" i="1"/>
  <c r="I92" i="1"/>
  <c r="I81" i="1"/>
  <c r="I97" i="1"/>
  <c r="I101" i="1"/>
  <c r="I98" i="1"/>
  <c r="I86" i="1"/>
  <c r="I90" i="1"/>
  <c r="I80" i="1"/>
  <c r="I78" i="1"/>
  <c r="I83" i="1"/>
  <c r="I82" i="1"/>
  <c r="I89" i="1"/>
  <c r="I87" i="1"/>
  <c r="I151" i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<sst xmlns="http://schemas.openxmlformats.org/spreadsheetml/2006/main" count="1051" uniqueCount="286">
  <si>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</si>
  <si>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</si>
  <si>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</si>
  <si>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</si>
  <si>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</si>
  <si>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</si>
  <si>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</si>
  <si>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</si>
  <si>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</si>
  <si>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</si>
  <si>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</si>
  <si>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</si>
  <si>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</si>
  <si>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</si>
  <si>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</si>
  <si>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</si>
  <si>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</si>
  <si>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</si>
  <si>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</si>
  <si>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</si>
  <si>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</si>
  <si>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</si>
  <si>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</si>
  <si>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</si>
  <si>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</si>
  <si>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</si>
  <si>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</si>
  <si>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</si>
  <si>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</si>
  <si>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</si>
  <si>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</si>
  <si>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</si>
  <si>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</si>
  <si>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</si>
  <si>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</si>
  <si>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</si>
  <si>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</si>
  <si>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</si>
  <si>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</si>
  <si>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</si>
  <si>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</si>
  <si>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</si>
  <si>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</si>
  <si>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</si>
  <si>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</si>
  <si>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</si>
  <si>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</si>
  <si>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</si>
  <si>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</si>
  <si>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</si>
  <si>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</si>
  <si>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</si>
  <si>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</si>
  <si>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</si>
  <si>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</si>
  <si>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</si>
  <si>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</si>
  <si>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</si>
  <si>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</si>
  <si>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</si>
  <si>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</si>
  <si>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</si>
  <si>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</si>
  <si>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3.1</t>
  </si>
  <si>
    <t>1.1</t>
  </si>
  <si>
    <t>CAJA</t>
  </si>
  <si>
    <t>ACEITE DE INMERSIÓN : X 100 ML</t>
  </si>
  <si>
    <t>FRASCO</t>
  </si>
  <si>
    <t>ACID WASH SOLUTION 2 X 1800 MLP/COBAS C311</t>
  </si>
  <si>
    <t>ACIDO URICO COBAS C-311 ROCHE  X 400 DET</t>
  </si>
  <si>
    <t>CASSETTE</t>
  </si>
  <si>
    <t>ASLO COBAS C-311 ROCHE  X 100 DET</t>
  </si>
  <si>
    <t>ALBUMINA COBAS C-311 ROCHE  X 300 DET</t>
  </si>
  <si>
    <t>ALBUMINA P/MICROALBUMINURIA  COBAS C-311 ROCHE X 100 DET</t>
  </si>
  <si>
    <t>AMILASA TOTAL COBAS C-311 ROCHE  X 300 DET</t>
  </si>
  <si>
    <t>BILIRRUBINA DIRECTA COBAS C-311 ROCHE  X 350  DET</t>
  </si>
  <si>
    <t>BILIRRUBINA TOTAL GEN 3 COBAS C-311 ROCHE  X 250 DET</t>
  </si>
  <si>
    <t>CFAS PUC COBAS C-311 ROCHE  5 X 1 ML</t>
  </si>
  <si>
    <t>UNIDAD</t>
  </si>
  <si>
    <t>CALCIO COBAS C-311 ROCHE  X 300 DET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</si>
  <si>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</si>
  <si>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</si>
  <si>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</si>
  <si>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</si>
  <si>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</si>
  <si>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</si>
  <si>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</si>
  <si>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T3 TOTAL X 10 CAL  COBAS E-411 ROCHE</t>
  </si>
  <si>
    <t>CALIBRADOR TSH  X 10 CAL COBAS E-411  ROCHE</t>
  </si>
  <si>
    <t>CELL PACK DCL X 20 LTS- TIPO SYSMEX XNL</t>
  </si>
  <si>
    <t>BIDON</t>
  </si>
  <si>
    <t>CELL WASH SOLUTION NAOH-D  2  X 1,8 LITROS</t>
  </si>
  <si>
    <t>CELLCLEAN AUTO X 20 VIALES -TIPO SYSMEX XNL</t>
  </si>
  <si>
    <t>COLESTEROL TOTAL COBAS C-311 ROCHE  X 400 DET</t>
  </si>
  <si>
    <t>COLORANTE AZUL  BRILLANTE DE CRECILO X 50 ML)</t>
  </si>
  <si>
    <t xml:space="preserve">CREATIN QUINASA COBAS C-311 ROCHE  X 200 DET </t>
  </si>
  <si>
    <t>CREATININA JAFFE COBAS C-311 ROCHE  X 700 DET</t>
  </si>
  <si>
    <t>DEXTROSA/ POLVO TIPO CICARELLI X 1000GRS.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</si>
  <si>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</si>
  <si>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</si>
  <si>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</si>
  <si>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ECOTERGENT  X 60 ML COBAS C-311 ROCHE</t>
  </si>
  <si>
    <t>ELECSYS SYSWASH COBAS E-411 ROCHE  X  500 ML</t>
  </si>
  <si>
    <t>ELECTRODO DE CALCIO P/COBAS B221</t>
  </si>
  <si>
    <t>ELECTRODO DE CLORO P/COBAS B221</t>
  </si>
  <si>
    <t>ELECTRODO DE PCO2 P/COBAS B221</t>
  </si>
  <si>
    <t>ELECTRODO DE PH P/COBAS B221</t>
  </si>
  <si>
    <t>ELECTRODO DE PO2 P/COBAS B221</t>
  </si>
  <si>
    <t>ELECTRODO DE POTASIO P/COBAS B221</t>
  </si>
  <si>
    <t>ELECTRODO DE REFERENCIA P/COBAS B221</t>
  </si>
  <si>
    <t>ELECTRODO DE SODIO P/COBAS B221</t>
  </si>
  <si>
    <t>ELETRODO DE REFERENCIA P COBAS C 311</t>
  </si>
  <si>
    <t>FLUOROCELL 2 X 42 MML P/SYSMEX XN</t>
  </si>
  <si>
    <t>FOSFATASA ALCALINA ALP2 (IFCC) COBAS C-311 ROCHE  X 400 DET</t>
  </si>
  <si>
    <t>FOSFORO COBAS C-311 ROCHE  X 250 DET</t>
  </si>
  <si>
    <t>GGT COBAS C-311 ROCHE X 400 DET</t>
  </si>
  <si>
    <t>GLUCOSA HK GEN COBAS C-311 ROCHE X 800 DET</t>
  </si>
  <si>
    <t>GOT/AST  (IFCC) COBAS C-311 ROCHE  X 500 DET</t>
  </si>
  <si>
    <t>GPT/ALT (IFCC) COBAS C-311 ROCHE  X 500 DET</t>
  </si>
  <si>
    <t>HDL COLESTEROL P/COBAS C311</t>
  </si>
  <si>
    <t>HIERRO COBAS C-311 ROCHE  X 200 DET</t>
  </si>
  <si>
    <t>ISE INTERNAL STANDART GEN2 5 X 600 ML P/COBAS C311</t>
  </si>
  <si>
    <t>ISE DILUENT GEN2 BIDON  X 300 ML P/COBAS C311</t>
  </si>
  <si>
    <t>ISE SOLUTION DE REFERENCIA 5 X 300 ML P/COBAS C311</t>
  </si>
  <si>
    <t xml:space="preserve">LAMPARA HALOGENA COBAS C-311 ROCHE </t>
  </si>
  <si>
    <t>LDH OPTIMIZADA COBAS C-311 ROCHE X 300 DET</t>
  </si>
  <si>
    <t>LIPASA COBAS C-311 ROCHE  X 200 DET</t>
  </si>
  <si>
    <t>LYSERCELL WDF X 5 LTS - TIPO SYSMEX XNL</t>
  </si>
  <si>
    <t>MAGNESIO COBAS C-311 ROCHE  X 175 DET</t>
  </si>
  <si>
    <t>MAY GRUNWALD X 1 LTS.</t>
  </si>
  <si>
    <t>BOTELLA</t>
  </si>
  <si>
    <t>PRECICONTROL  HBC1 NORM P/COBAS C311</t>
  </si>
  <si>
    <t>PRECICONTROL  HBC1 PATH P/COBAS C311</t>
  </si>
  <si>
    <t>PRECICONTROL ANTI CCP P/COBAS E411</t>
  </si>
  <si>
    <t>PRECICONTROL CHAGAS P COBAS E411</t>
  </si>
  <si>
    <t>PRECICONTROL MULTIMARKER QCS P COBAS E 411</t>
  </si>
  <si>
    <t>PRECICONTROL THYRO P COBAS E 411</t>
  </si>
  <si>
    <t>PRECICONTROL TROPONINA T P COBAS E 411</t>
  </si>
  <si>
    <t>PRECICONTROL TUMOR MARKER P COBAS E 411</t>
  </si>
  <si>
    <t>PRECICONTROL UNIVERSAL P COBAS E 411</t>
  </si>
  <si>
    <t>PRECICONTROL VARIA P COBAS E 411</t>
  </si>
  <si>
    <t>PRECINORM PUC COBAS C-311 ROCHE  4 X 3 ML</t>
  </si>
  <si>
    <t>PRECIPATH PUC COBAS C-311 ROCHE  4 X 3 ML</t>
  </si>
  <si>
    <t>PRECISET RF  P COBAS C311  5 VIAL X 1 ML</t>
  </si>
  <si>
    <t>PRO CELL COBAS E-411N ROCHE X 2 L</t>
  </si>
  <si>
    <t xml:space="preserve">PROTEINA C REACTIVA  CRP COBAS C-311 ROCHE  X 250 DET </t>
  </si>
  <si>
    <t>PROTEINAS TOTALES COBAS C-311 ROCHE  X 300 DET</t>
  </si>
  <si>
    <t>PRUEBA DE EMBARAZO HCG CAJA X 50 TIRAS</t>
  </si>
  <si>
    <t>REACTIVO TROPONINA THS P COBAS E411 X 100 DETER.</t>
  </si>
  <si>
    <t>REACTIVO ANTI TPO COBAS E-411 ROCHE X 100 DET</t>
  </si>
  <si>
    <t>REACTIVO ANTIGENO DE SUPERFICIE HBSAG P/ COBAS E411 x 100 DET</t>
  </si>
  <si>
    <t>REACTIVO CORTISOL P COBAS E 411  X 100 DET</t>
  </si>
  <si>
    <t>REACTIVO INSULINA COBAS E-411 ROCHE  X 100 DET</t>
  </si>
  <si>
    <t>REACTIVO LH COBAS E-411 ROCHE  X 100 DET</t>
  </si>
  <si>
    <t>REACTIVO PROGESTERONA COBAS E-411 ROCHE  X 100 DET</t>
  </si>
  <si>
    <t>REACTIVO S-HBG COBAS E-411 ROCHE  X 100 DET</t>
  </si>
  <si>
    <t>REACTIVO T3  TOTAL COBAS E-411 ROCHE  X 100 DET</t>
  </si>
  <si>
    <t>REACTIVO T4 LIBRE  (FT4)   COBAS E-411 ROCHE X 200 DET</t>
  </si>
  <si>
    <t>S1 RINSE SOLUTION X 2 BIDONES P/COBAS B221</t>
  </si>
  <si>
    <t>S2 FLUID PACK P/COBAS 221</t>
  </si>
  <si>
    <t>S3 FLUID PACK P/COBAS 221</t>
  </si>
  <si>
    <t>SENSOR GLU/LAC</t>
  </si>
  <si>
    <t>SULFOLYSER X 5 LTS - TIPO SYSMEX XNL</t>
  </si>
  <si>
    <t>TOXO HAI X 96 DET. TIPO POLYCHACO</t>
  </si>
  <si>
    <t xml:space="preserve">TRIGLICERIDOS COBAS C-311 ROCHE  X 250 DET </t>
  </si>
  <si>
    <t>TSH P/COBAS E411 X  200 DET</t>
  </si>
  <si>
    <t>UREA  COBAS C-311 ROCHE X 500 DET</t>
  </si>
  <si>
    <t>COLORANTE GIEMMSA X 1 LT</t>
  </si>
  <si>
    <t>BOLSA</t>
  </si>
  <si>
    <t>UND</t>
  </si>
  <si>
    <t>TUBOS CON CITRATO AL VACIO 3,2% X 2,7 ML, TIPO BD , TAPA CELESTE UND</t>
  </si>
  <si>
    <t xml:space="preserve">TUBOS CON EDTA AL VACIO X 2 MLTIPO BD  TAPA LILA </t>
  </si>
  <si>
    <t>TUBOS CON GEL AL VACIO 3,5 ML, TIPO BD , TAPA AMARILLA UND</t>
  </si>
  <si>
    <t>HBsAg G2 reactico para Cobas E411 x 100 DET</t>
  </si>
  <si>
    <t>ACETATO DE BUTILO X L</t>
  </si>
  <si>
    <t>DESHIDRATANTE X 10L</t>
  </si>
  <si>
    <t>ALCOHOL ABSOLUTO 100º X L</t>
  </si>
  <si>
    <t>PARAFINA EN FILAMENTOS/LENTEJAS CICARELLI X 1KG</t>
  </si>
  <si>
    <t>HEMATOXILINA ACTIVADA BIOPUR X 500 ML</t>
  </si>
  <si>
    <t>EOSINA PARA BIOPSIAS LISTA BIOPUR X 500 ML</t>
  </si>
  <si>
    <t>E.A 36 BIOPUR X 500ML</t>
  </si>
  <si>
    <t>FIJADOR CELULAR X 200 ML</t>
  </si>
  <si>
    <t>BALSAMO DE CANADA SINTETICO BIOPUR X 100 ML</t>
  </si>
  <si>
    <t>BALSAMO DE CANADA NATURAL, SECADO RAPIDO BIOPUR X 100 ML</t>
  </si>
  <si>
    <t xml:space="preserve">TARJETA GEL LISS COOMBS X 400 UNIDADES </t>
  </si>
  <si>
    <t>Caja</t>
  </si>
  <si>
    <t xml:space="preserve">PANELES ANTICUERPOS ID-DiaCell I-II (R1wR1,R2R2) 2 FRASCOS x 10ml CADA CAJA </t>
  </si>
  <si>
    <t>AGAR MANITOL SALADO, ESTADO: SOLIDO, PRESENTACION: ENVASE X 100 GR</t>
  </si>
  <si>
    <t>Fco.</t>
  </si>
  <si>
    <t>Fco</t>
  </si>
  <si>
    <t xml:space="preserve">Fco. </t>
  </si>
  <si>
    <t>AGAR MULLER HILTON, ESTADO: SOLIDO, PRESENTACION: ENVASE X 500 GR</t>
  </si>
  <si>
    <t>AGAR LEVINE: X 500 GR</t>
  </si>
  <si>
    <t>AGAR C.L.D.E:  X 500 GR</t>
  </si>
  <si>
    <t>AGAR BASE SANGRE :  X 500 GR</t>
  </si>
  <si>
    <t>MIO AGAR, ESTADO: SÓLIDO, PRESENTACIÓN: ENVASE POR 100G</t>
  </si>
  <si>
    <t xml:space="preserve">Tioglicolato Medio  con indicador, estado solido  x 500 gr. </t>
  </si>
  <si>
    <t>AGAR SABOURAUD GLUCOSA, ESTADO: SOLIDO, PRESENTACION: ENVASE X 100 GR</t>
  </si>
  <si>
    <t>AGAR LISINA HIERRO, ESTADO: SOLIDO, PRESENTACION: ENVASE X 100 GR</t>
  </si>
  <si>
    <t>AGAR CITRATO DE SIMMONS, ESTADO: SOLIDO, PRESENTACION: ENVASE X 100 GR</t>
  </si>
  <si>
    <t>AGAR HIERRO TRIPLE AZUCAR, ESTADO: SOLIDO, PRESENTACION: ENVASE X 100 GR</t>
  </si>
  <si>
    <t>AGAR BILIS ESCULINA, ESTADO: SOLIDO, PRESENTACION: ENVASE X 100 GR</t>
  </si>
  <si>
    <t>AGAR SALMONELLA- SHIGELLA, ESTADO: SOLIDO, PRESENTACION: ENVASE X 100 GR</t>
  </si>
  <si>
    <t>AGAR SIM, ESTADO: SOLIDO, PRESENTACION: ENVASE X 100 GR</t>
  </si>
  <si>
    <t>Discos de Aztreonam/Avibactam x 50 T/ Britania, Liofilchem o BBL</t>
  </si>
  <si>
    <t>DISCOS DE GENTAMICINA X 10 UG. X 50 T/BRITANIA</t>
  </si>
  <si>
    <t>DISCOS PIPERACILINA/TAZOBACTAM 100/10 T/LIOFILCHEM Y/O BRITANIA</t>
  </si>
  <si>
    <t>DECOLORANTE PARA GRAM, ESTADO: LÍQUIDO, PRESENTACIÓN: ENVASE POR 100 ML</t>
  </si>
  <si>
    <t>DISCO CEFTAZIDIMA 30 µGR, ESTADO: DISCO, CALIDAD: PRO ANALISIS, PRESENTACION: ENVASE X 50 UN</t>
  </si>
  <si>
    <t>DISCO OXACILINA 1 µGR, ESTADO: DISCO, CALIDAD: PRO ANALISIS, PRESENTACION: ENVASE X 50 UN</t>
  </si>
  <si>
    <t>DISCO CEFAZOLINA, ESTADO: DISCO, CALIDAD: PRO ANALISIS, PRESENTACION: 50 X ENVASE X 30 µGR</t>
  </si>
  <si>
    <t>Discos de Ceftobiprole 5 ug x 50 T/ Britania, Liofilchem o BBL</t>
  </si>
  <si>
    <t>Discos de Imipenem/Relevactam 10/25 ug x 50 T/ Britania, Liofilchem o BBL</t>
  </si>
  <si>
    <t>DISCOS DE EDTA/SMA X 50  BRITANIA</t>
  </si>
  <si>
    <t>DISCO CEFTAZIDIMA AC.CLAVULAN.30/10 µGR DISCO X 50 UN</t>
  </si>
  <si>
    <t>DISCO MEROPENEM 10 µGR, ESTADO: DISCO, CALIDAD: PRO ANALISIS, PRESENTACION: ENVASE X 50 UN</t>
  </si>
  <si>
    <t>DISCO AMPICILINA 10 µGR, ESTADO:  CALIDAD: PRO ANALISIS, PRESENTACION: ENVASE X 50 UN</t>
  </si>
  <si>
    <t>DISCOS DE CEFOXITINA 30 UG. X 50 T/LIOFILCHEM Y/O BRITANIA</t>
  </si>
  <si>
    <t>DISCO TIGECICLINA 50 µGR, ESTADO: DISCO, CALIDAD: PRO ANALISIS, PRESENTACION: ENVASE X 50 UN</t>
  </si>
  <si>
    <t>DISCOS DE ERTAPENEM 10 UG X 50 T/BRITANIA Y/O LIOFILCHEM</t>
  </si>
  <si>
    <t>DISCO AMOXICILINA+CLAVULANICO, ESTADO:  CALIDAD: PRO ANALISIS, PRESENTACION: ENVASE X 50 UN</t>
  </si>
  <si>
    <t>DISCOS CEFOTAXIMA/CLAVULÀNICO 30/10X 50T/BRITANIA Y/OLIOFILCHEM</t>
  </si>
  <si>
    <t>Discos de Tetraciclina x 30 ug. X 50 T/Britania</t>
  </si>
  <si>
    <t>Discos de Vancomicina x 30 ug. X 50 T/Britania</t>
  </si>
  <si>
    <t>DISCO AMICACINA 30 µGR, ESTADO:  CALIDAD: PRO ANALISIS, PRESENTACION: ENVASE X 50 UN</t>
  </si>
  <si>
    <t>DISCO CEFOTAXIMA 30 µGR DISCO X 50 UN</t>
  </si>
  <si>
    <t>DISCO CEFEPIME 30 µGR, ESTADO: DISCO, CALIDAD: PRO ANALISIS, PRESENTACION: ENVASE X 50 UN</t>
  </si>
  <si>
    <t>DISCO ESTREPTOMICINA 300 µGR, ESTADO: DISCO, CALIDAD: PRO ANALISIS, PRESENTACION: ENVASE X 50 UN</t>
  </si>
  <si>
    <t>FUCSINA BASICA, ESTADO: SOLIDO, CALIDAD: PRO ANALISIS, PRESENTACION: ENVASE X 250 GR</t>
  </si>
  <si>
    <t>DISCO NITROFURANTOINA 300 µGR, ESTADO: DISCO, CALIDAD: PRO ANALISIS, PRESENTACION: ENVASE X 50 UN</t>
  </si>
  <si>
    <t>DISCO CEFTAROLINA, ESTADO: DISCOS, CALIDAD: PROANALISIS, PRESENTACION: ENVASE X 50</t>
  </si>
  <si>
    <t>AZUL DE METILENO, ESTADO: SOLIDO, CALIDAD: PRO ANALISIS, PRESENTACION: ENVASE X 100 GR</t>
  </si>
  <si>
    <t>VIOLETA DE GENCIANA, ESTADO: SOLIDO, CALIDAD: PRO ANALISIS, PRESENTACION: ENVASE X 25 GR</t>
  </si>
  <si>
    <t>DISCO IMIPENEM 10 µGR, ESTADO: DISCO, CALIDAD: PRO ANALISIS, PRESENTACION: ENVASE X 50 UN</t>
  </si>
  <si>
    <t>DISCO COLISTINA 10 µGR, ESTADO: DISCO, CALIDAD: PRO ANALISIS, PRESENTACION: ENVASE X 50 UN</t>
  </si>
  <si>
    <t>Adquisición de Reactivos para Laboratorios</t>
  </si>
  <si>
    <t>2.5.1</t>
  </si>
  <si>
    <t>2.9.6</t>
  </si>
  <si>
    <t>Repuestos y Accesorios</t>
  </si>
  <si>
    <t>Servicio de Laboratorio Central</t>
  </si>
  <si>
    <t>061/2021</t>
  </si>
  <si>
    <t>ALCOHOL 96º X 1 L</t>
  </si>
  <si>
    <t>ID. DILUYENTE X 500 DiaMed</t>
  </si>
  <si>
    <t>Frasco</t>
  </si>
  <si>
    <t>Costo total estimado:  PESOS TRECE MILLONES VEINTISEIS MIL QUINIENTOS DIECIOCHO CON 20/100</t>
  </si>
  <si>
    <t>TOTAL DE PESOS: TRECE MILLONES VEINTISEIS MIL QUINIENTOS DIECIOCHO CON 20/100</t>
  </si>
  <si>
    <t>10 dias - Servicio de Laboratorio Central del HISJB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</si>
  <si>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</si>
  <si>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LUGAR Y PLAZO DE ENTREGA:  Servicio de Laboratorio Central del HISJB - Avda. Illia y Mariano Moreno - 10 días</t>
  </si>
  <si>
    <t xml:space="preserve">PLAZO DE MANTENIMIENTO: 45 DIAS HABILES </t>
  </si>
  <si>
    <t xml:space="preserve">Compuestos Quimicos </t>
  </si>
  <si>
    <t xml:space="preserve">Repuestos y Accesorios </t>
  </si>
  <si>
    <t>ANTICUERPOS ANTITRANSGLUTAMINASA TIPO ORGESTRIOL -ANTI TRANSGLUTAMINASA EN IGA X 96 DETERMINACIONES</t>
  </si>
  <si>
    <t>CALIBRADOR (CALSET) ANTI TIROGLOBULINA P COBAS E411 X 10 CALIBRACIONES</t>
  </si>
  <si>
    <t>CALIBRADOR B-CROSS LAP P SUERO P COBAS E 411 X 10 CALIBRACIONES</t>
  </si>
  <si>
    <t>CALIBRADOR CA 125 P COBAS E 411 X 10 CALIBRACIONES</t>
  </si>
  <si>
    <t>CALIBRADOR CA 15-3 P COBAS E 411 X 10 CALIBRACIONES</t>
  </si>
  <si>
    <t>CALIBRADOR PARA PROGESTERONA COBAS E-411 ROCHE X 10 CALIBRACIONES</t>
  </si>
  <si>
    <t>CALIBRADOR PSA P COBAS E 411 X 10 CALIBRACIONES</t>
  </si>
  <si>
    <t>CALIBRADOR PTH P COBAS E411 X 10 CALIBRACIONES</t>
  </si>
  <si>
    <t>CALIBRADOR TIROGLOBULINA P COBAS E 411 X 10 CALIBRACIONES</t>
  </si>
  <si>
    <t>CALIBRADOR TESTOSTERONA P COBAS E411 X 10 CALIBRACIONES</t>
  </si>
  <si>
    <t>CALIBRADOR T4 TOTAL P COBAS E 411 X 10 CALIBRACIONES</t>
  </si>
  <si>
    <t>CALIBRADOR TROPONINA T-HS P COBAS E 411 X 10 CALIBRACIONES</t>
  </si>
  <si>
    <t>CALIBRADOR VITAMINA D TOTAL P COBAS E411 X 10 CALIBRACIONES</t>
  </si>
  <si>
    <t>CFAS PROTEINAS  P/ COBAS C311 X 5 CALIBRACIONES</t>
  </si>
  <si>
    <t>CLEAN CELL COBAS E411 - BIDON DE 300 ML X 6</t>
  </si>
  <si>
    <t>COMPLEMENTO C4 P COBAS C 311 X 100 DETERMINACIONES</t>
  </si>
  <si>
    <t>FACTOR REUMATOIDEO P COBAS C 311 X 100 DETERMINACIONES</t>
  </si>
  <si>
    <t>FERRITINA P COBAS C 311 X 250 DETERMINACIONES</t>
  </si>
  <si>
    <t>HEMOGLOBINA GLICOSILADA P/ COBAS C311 X 150 DETERMINACIONES</t>
  </si>
  <si>
    <t>LDL COLESTEROL P/COBAS C311 X 150 DETERMINACIONES</t>
  </si>
  <si>
    <t>PROTEINA URINARIA P/COBAS C311 X 100 DETERMINACIONES</t>
  </si>
  <si>
    <t>REACTIVO AFP P COBAS E 411 X 100 DETERMINACIONES</t>
  </si>
  <si>
    <t>REACTIVO ANTI CCP P/COBAS E411 X 100 DETERMINACIONES</t>
  </si>
  <si>
    <t>REACTIVO ANTI TIROGLOBULINA P COBAS E411 X 100 DETERMINACIONES</t>
  </si>
  <si>
    <t>REACTIVO B-CROSS LAP P SUERO P COBAS E 411 X 100 DETERMINACIONES</t>
  </si>
  <si>
    <t>REACTIVO CA 125 P COBAS E 411 X 100 DETERMINACIONES</t>
  </si>
  <si>
    <t>REACTIVO CA 15-3 P COBAS E 411 X 100 DETERMINACIONES</t>
  </si>
  <si>
    <t>REACTIVO CHAGAS P COBAS E 411 X 100 DETERMINACIONES</t>
  </si>
  <si>
    <t>REACTIVO PTH P COBAS E411 X 100 DETERMINACIONES</t>
  </si>
  <si>
    <t>REACTIVO T4 TOTAL P COBAS E 411 X 100 DETERMINACIONES</t>
  </si>
  <si>
    <t>REACTIVO TESTOSTERONA P COBAS E411 X 100 DETERMINACIONES</t>
  </si>
  <si>
    <t>REACTIVO TIROGLOBULINA P COBAS E411 X 100 DETERMINACIONES</t>
  </si>
  <si>
    <t>REACTIVO VITAMINA D TOTAL P COBAS E411 X 100 DETERMINACIONES</t>
  </si>
  <si>
    <t>TRANSFERRINA P/ COBAS C311 X 100 DETERMINACIONES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</si>
</sst>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vertical="center"/>
    </xf>
    <xf numFmtId="166" fontId="15" fillId="0" borderId="0" xfId="0" applyNumberFormat="1" applyFont="1"/>
    <xf numFmtId="0" fontId="0" fillId="5" borderId="14" xfId="0" applyFill="1" applyBorder="1" applyAlignment="1">
      <alignment vertical="center" wrapText="1"/>
    </xf>
    <xf numFmtId="0" fontId="25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9" fontId="0" fillId="5" borderId="14" xfId="1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21" xfId="0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2"/>
  <sheetViews>
    <sheetView tabSelected="1" zoomScale="85" zoomScaleNormal="85" workbookViewId="0">
      <selection activeCell="E199" sqref="E199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4" t="s">
        <v>0</v>
      </c>
      <c r="C2" s="84"/>
      <c r="D2" s="84"/>
      <c r="E2" s="84"/>
      <c r="F2" s="84"/>
      <c r="G2" s="84"/>
      <c r="H2" s="84"/>
    </row>
    <row r="4" spans="1:9" ht="18" customHeight="1" x14ac:dyDescent="0.25">
      <c r="A4" s="85" t="s">
        <v>1</v>
      </c>
      <c r="B4" s="85"/>
      <c r="C4" s="86" t="s">
        <v>58</v>
      </c>
      <c r="D4" s="86"/>
      <c r="E4" s="86"/>
      <c r="F4" s="40"/>
      <c r="G4" s="41"/>
      <c r="H4" s="40"/>
    </row>
    <row r="5" spans="1:9" ht="18" customHeight="1" x14ac:dyDescent="0.25">
      <c r="A5" s="85" t="s">
        <v>2</v>
      </c>
      <c r="B5" s="85"/>
      <c r="C5" s="86" t="s">
        <v>59</v>
      </c>
      <c r="D5" s="86"/>
      <c r="E5" s="86"/>
      <c r="F5" s="40"/>
      <c r="G5" s="41"/>
      <c r="H5" s="40"/>
    </row>
    <row r="6" spans="1:9" ht="16.5" customHeight="1" x14ac:dyDescent="0.25">
      <c r="A6" s="85" t="s">
        <v>3</v>
      </c>
      <c r="B6" s="85"/>
      <c r="C6" s="58">
        <v>2021</v>
      </c>
      <c r="D6" s="59"/>
      <c r="E6" s="59"/>
      <c r="F6" s="40"/>
      <c r="G6" s="41"/>
      <c r="H6" s="40"/>
    </row>
    <row r="7" spans="1:9" ht="16.5" customHeight="1" x14ac:dyDescent="0.25">
      <c r="A7" s="85" t="s">
        <v>4</v>
      </c>
      <c r="B7" s="85"/>
      <c r="C7" s="58">
        <v>3</v>
      </c>
      <c r="D7" s="59"/>
      <c r="E7" s="59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7" customFormat="1" ht="31.9" customHeight="1" thickBot="1" x14ac:dyDescent="0.25">
      <c r="A10" s="74">
        <v>1</v>
      </c>
      <c r="B10" s="56"/>
      <c r="C10" s="75" t="s">
        <v>250</v>
      </c>
      <c r="D10" s="76" t="s">
        <v>236</v>
      </c>
      <c r="E10" s="79" t="s">
        <v>66</v>
      </c>
      <c r="F10" s="80" t="s">
        <v>67</v>
      </c>
      <c r="G10" s="81">
        <v>3</v>
      </c>
      <c r="H10" s="82">
        <v>1505</v>
      </c>
      <c r="I10" s="57">
        <f t="shared" ref="I10:I41" si="0">G10*H10</f>
        <v>4515</v>
      </c>
    </row>
    <row r="11" spans="1:9" s="77" customFormat="1" ht="31.9" customHeight="1" thickBot="1" x14ac:dyDescent="0.25">
      <c r="A11" s="74">
        <v>2</v>
      </c>
      <c r="B11" s="56"/>
      <c r="C11" s="75" t="s">
        <v>250</v>
      </c>
      <c r="D11" s="76" t="s">
        <v>236</v>
      </c>
      <c r="E11" s="79" t="s">
        <v>174</v>
      </c>
      <c r="F11" s="80" t="s">
        <v>130</v>
      </c>
      <c r="G11" s="81">
        <v>24</v>
      </c>
      <c r="H11" s="82">
        <v>1144</v>
      </c>
      <c r="I11" s="57">
        <f t="shared" si="0"/>
        <v>27456</v>
      </c>
    </row>
    <row r="12" spans="1:9" s="77" customFormat="1" ht="31.9" customHeight="1" thickBot="1" x14ac:dyDescent="0.25">
      <c r="A12" s="74">
        <v>3</v>
      </c>
      <c r="B12" s="56"/>
      <c r="C12" s="75" t="s">
        <v>250</v>
      </c>
      <c r="D12" s="76" t="s">
        <v>236</v>
      </c>
      <c r="E12" s="79" t="s">
        <v>68</v>
      </c>
      <c r="F12" s="80" t="s">
        <v>65</v>
      </c>
      <c r="G12" s="81">
        <v>3</v>
      </c>
      <c r="H12" s="82">
        <v>28854</v>
      </c>
      <c r="I12" s="57">
        <f t="shared" si="0"/>
        <v>86562</v>
      </c>
    </row>
    <row r="13" spans="1:9" s="77" customFormat="1" ht="31.9" customHeight="1" thickBot="1" x14ac:dyDescent="0.25">
      <c r="A13" s="74">
        <v>4</v>
      </c>
      <c r="B13" s="56"/>
      <c r="C13" s="75" t="s">
        <v>250</v>
      </c>
      <c r="D13" s="76" t="s">
        <v>236</v>
      </c>
      <c r="E13" s="79" t="s">
        <v>69</v>
      </c>
      <c r="F13" s="80" t="s">
        <v>70</v>
      </c>
      <c r="G13" s="81">
        <v>2</v>
      </c>
      <c r="H13" s="82">
        <v>4661</v>
      </c>
      <c r="I13" s="57">
        <f t="shared" si="0"/>
        <v>9322</v>
      </c>
    </row>
    <row r="14" spans="1:9" s="77" customFormat="1" ht="31.9" customHeight="1" thickBot="1" x14ac:dyDescent="0.25">
      <c r="A14" s="74">
        <v>5</v>
      </c>
      <c r="B14" s="56"/>
      <c r="C14" s="75" t="s">
        <v>250</v>
      </c>
      <c r="D14" s="76" t="s">
        <v>236</v>
      </c>
      <c r="E14" s="79" t="s">
        <v>194</v>
      </c>
      <c r="F14" s="80" t="s">
        <v>189</v>
      </c>
      <c r="G14" s="81">
        <v>2</v>
      </c>
      <c r="H14" s="82">
        <v>9590</v>
      </c>
      <c r="I14" s="57">
        <f t="shared" si="0"/>
        <v>19180</v>
      </c>
    </row>
    <row r="15" spans="1:9" s="77" customFormat="1" ht="31.9" customHeight="1" thickBot="1" x14ac:dyDescent="0.25">
      <c r="A15" s="74">
        <v>6</v>
      </c>
      <c r="B15" s="56"/>
      <c r="C15" s="75" t="s">
        <v>250</v>
      </c>
      <c r="D15" s="76" t="s">
        <v>236</v>
      </c>
      <c r="E15" s="79" t="s">
        <v>201</v>
      </c>
      <c r="F15" s="80" t="s">
        <v>190</v>
      </c>
      <c r="G15" s="81">
        <v>2</v>
      </c>
      <c r="H15" s="82">
        <v>11485</v>
      </c>
      <c r="I15" s="57">
        <f t="shared" si="0"/>
        <v>22970</v>
      </c>
    </row>
    <row r="16" spans="1:9" s="77" customFormat="1" ht="31.9" customHeight="1" thickBot="1" x14ac:dyDescent="0.25">
      <c r="A16" s="74">
        <v>7</v>
      </c>
      <c r="B16" s="56"/>
      <c r="C16" s="75" t="s">
        <v>250</v>
      </c>
      <c r="D16" s="76" t="s">
        <v>236</v>
      </c>
      <c r="E16" s="79" t="s">
        <v>193</v>
      </c>
      <c r="F16" s="80" t="s">
        <v>188</v>
      </c>
      <c r="G16" s="81">
        <v>2</v>
      </c>
      <c r="H16" s="82">
        <v>8176</v>
      </c>
      <c r="I16" s="57">
        <f t="shared" si="0"/>
        <v>16352</v>
      </c>
    </row>
    <row r="17" spans="1:9" s="77" customFormat="1" ht="31.9" customHeight="1" thickBot="1" x14ac:dyDescent="0.25">
      <c r="A17" s="74">
        <v>8</v>
      </c>
      <c r="B17" s="56"/>
      <c r="C17" s="75" t="s">
        <v>250</v>
      </c>
      <c r="D17" s="76" t="s">
        <v>236</v>
      </c>
      <c r="E17" s="79" t="s">
        <v>199</v>
      </c>
      <c r="F17" s="80" t="s">
        <v>188</v>
      </c>
      <c r="G17" s="81">
        <v>2</v>
      </c>
      <c r="H17" s="82">
        <v>3352</v>
      </c>
      <c r="I17" s="57">
        <f t="shared" si="0"/>
        <v>6704</v>
      </c>
    </row>
    <row r="18" spans="1:9" s="77" customFormat="1" ht="31.9" customHeight="1" thickBot="1" x14ac:dyDescent="0.25">
      <c r="A18" s="74">
        <v>9</v>
      </c>
      <c r="B18" s="56"/>
      <c r="C18" s="75" t="s">
        <v>250</v>
      </c>
      <c r="D18" s="76" t="s">
        <v>236</v>
      </c>
      <c r="E18" s="79" t="s">
        <v>200</v>
      </c>
      <c r="F18" s="80" t="s">
        <v>188</v>
      </c>
      <c r="G18" s="81">
        <v>2</v>
      </c>
      <c r="H18" s="82">
        <v>2521</v>
      </c>
      <c r="I18" s="57">
        <f t="shared" si="0"/>
        <v>5042</v>
      </c>
    </row>
    <row r="19" spans="1:9" s="77" customFormat="1" ht="31.9" customHeight="1" thickBot="1" x14ac:dyDescent="0.25">
      <c r="A19" s="74">
        <v>10</v>
      </c>
      <c r="B19" s="56"/>
      <c r="C19" s="75" t="s">
        <v>250</v>
      </c>
      <c r="D19" s="76" t="s">
        <v>236</v>
      </c>
      <c r="E19" s="79" t="s">
        <v>192</v>
      </c>
      <c r="F19" s="80" t="s">
        <v>188</v>
      </c>
      <c r="G19" s="81">
        <v>2</v>
      </c>
      <c r="H19" s="82">
        <v>8254</v>
      </c>
      <c r="I19" s="57">
        <f t="shared" si="0"/>
        <v>16508</v>
      </c>
    </row>
    <row r="20" spans="1:9" s="77" customFormat="1" ht="31.9" customHeight="1" thickBot="1" x14ac:dyDescent="0.25">
      <c r="A20" s="74">
        <v>11</v>
      </c>
      <c r="B20" s="56"/>
      <c r="C20" s="75" t="s">
        <v>250</v>
      </c>
      <c r="D20" s="76" t="s">
        <v>236</v>
      </c>
      <c r="E20" s="79" t="s">
        <v>198</v>
      </c>
      <c r="F20" s="80" t="s">
        <v>188</v>
      </c>
      <c r="G20" s="81">
        <v>2</v>
      </c>
      <c r="H20" s="82">
        <v>4722</v>
      </c>
      <c r="I20" s="57">
        <f t="shared" si="0"/>
        <v>9444</v>
      </c>
    </row>
    <row r="21" spans="1:9" s="77" customFormat="1" ht="31.9" customHeight="1" thickBot="1" x14ac:dyDescent="0.25">
      <c r="A21" s="74">
        <v>12</v>
      </c>
      <c r="B21" s="56"/>
      <c r="C21" s="75" t="s">
        <v>250</v>
      </c>
      <c r="D21" s="76" t="s">
        <v>236</v>
      </c>
      <c r="E21" s="79" t="s">
        <v>187</v>
      </c>
      <c r="F21" s="80" t="s">
        <v>188</v>
      </c>
      <c r="G21" s="81">
        <v>2</v>
      </c>
      <c r="H21" s="82">
        <v>1645</v>
      </c>
      <c r="I21" s="57">
        <f t="shared" si="0"/>
        <v>3290</v>
      </c>
    </row>
    <row r="22" spans="1:9" s="77" customFormat="1" ht="31.9" customHeight="1" thickBot="1" x14ac:dyDescent="0.25">
      <c r="A22" s="74">
        <v>13</v>
      </c>
      <c r="B22" s="56"/>
      <c r="C22" s="75" t="s">
        <v>250</v>
      </c>
      <c r="D22" s="76" t="s">
        <v>236</v>
      </c>
      <c r="E22" s="79" t="s">
        <v>191</v>
      </c>
      <c r="F22" s="80" t="s">
        <v>188</v>
      </c>
      <c r="G22" s="81">
        <v>2</v>
      </c>
      <c r="H22" s="82">
        <v>10885</v>
      </c>
      <c r="I22" s="57">
        <f t="shared" si="0"/>
        <v>21770</v>
      </c>
    </row>
    <row r="23" spans="1:9" s="77" customFormat="1" ht="31.9" customHeight="1" thickBot="1" x14ac:dyDescent="0.25">
      <c r="A23" s="74">
        <v>14</v>
      </c>
      <c r="B23" s="56"/>
      <c r="C23" s="75" t="s">
        <v>250</v>
      </c>
      <c r="D23" s="76" t="s">
        <v>236</v>
      </c>
      <c r="E23" s="79" t="s">
        <v>197</v>
      </c>
      <c r="F23" s="80" t="s">
        <v>188</v>
      </c>
      <c r="G23" s="81">
        <v>3</v>
      </c>
      <c r="H23" s="82">
        <v>1995</v>
      </c>
      <c r="I23" s="57">
        <f t="shared" si="0"/>
        <v>5985</v>
      </c>
    </row>
    <row r="24" spans="1:9" s="77" customFormat="1" ht="31.9" customHeight="1" thickBot="1" x14ac:dyDescent="0.25">
      <c r="A24" s="74">
        <v>15</v>
      </c>
      <c r="B24" s="56"/>
      <c r="C24" s="75" t="s">
        <v>250</v>
      </c>
      <c r="D24" s="76" t="s">
        <v>236</v>
      </c>
      <c r="E24" s="79" t="s">
        <v>202</v>
      </c>
      <c r="F24" s="80" t="s">
        <v>188</v>
      </c>
      <c r="G24" s="81">
        <v>2</v>
      </c>
      <c r="H24" s="82">
        <v>3164</v>
      </c>
      <c r="I24" s="57">
        <f t="shared" si="0"/>
        <v>6328</v>
      </c>
    </row>
    <row r="25" spans="1:9" s="77" customFormat="1" ht="31.9" customHeight="1" thickBot="1" x14ac:dyDescent="0.25">
      <c r="A25" s="74">
        <v>16</v>
      </c>
      <c r="B25" s="56"/>
      <c r="C25" s="75" t="s">
        <v>250</v>
      </c>
      <c r="D25" s="76" t="s">
        <v>236</v>
      </c>
      <c r="E25" s="79" t="s">
        <v>203</v>
      </c>
      <c r="F25" s="80" t="s">
        <v>189</v>
      </c>
      <c r="G25" s="81">
        <v>2</v>
      </c>
      <c r="H25" s="82">
        <v>5068</v>
      </c>
      <c r="I25" s="57">
        <f t="shared" si="0"/>
        <v>10136</v>
      </c>
    </row>
    <row r="26" spans="1:9" s="77" customFormat="1" ht="31.9" customHeight="1" thickBot="1" x14ac:dyDescent="0.25">
      <c r="A26" s="74">
        <v>17</v>
      </c>
      <c r="B26" s="56"/>
      <c r="C26" s="75" t="s">
        <v>250</v>
      </c>
      <c r="D26" s="76" t="s">
        <v>236</v>
      </c>
      <c r="E26" s="79" t="s">
        <v>72</v>
      </c>
      <c r="F26" s="80" t="s">
        <v>70</v>
      </c>
      <c r="G26" s="81">
        <v>12</v>
      </c>
      <c r="H26" s="82">
        <v>1706</v>
      </c>
      <c r="I26" s="57">
        <f t="shared" si="0"/>
        <v>20472</v>
      </c>
    </row>
    <row r="27" spans="1:9" s="77" customFormat="1" ht="31.9" customHeight="1" thickBot="1" x14ac:dyDescent="0.25">
      <c r="A27" s="74">
        <v>18</v>
      </c>
      <c r="B27" s="56"/>
      <c r="C27" s="75" t="s">
        <v>250</v>
      </c>
      <c r="D27" s="76" t="s">
        <v>236</v>
      </c>
      <c r="E27" s="79" t="s">
        <v>73</v>
      </c>
      <c r="F27" s="80" t="s">
        <v>70</v>
      </c>
      <c r="G27" s="81">
        <v>2</v>
      </c>
      <c r="H27" s="82">
        <v>10322</v>
      </c>
      <c r="I27" s="57">
        <f t="shared" si="0"/>
        <v>20644</v>
      </c>
    </row>
    <row r="28" spans="1:9" s="77" customFormat="1" ht="31.9" customHeight="1" thickBot="1" x14ac:dyDescent="0.25">
      <c r="A28" s="74">
        <v>19</v>
      </c>
      <c r="B28" s="56"/>
      <c r="C28" s="75" t="s">
        <v>250</v>
      </c>
      <c r="D28" s="76" t="s">
        <v>236</v>
      </c>
      <c r="E28" s="79" t="s">
        <v>241</v>
      </c>
      <c r="F28" s="80" t="s">
        <v>130</v>
      </c>
      <c r="G28" s="81">
        <v>130</v>
      </c>
      <c r="H28" s="82">
        <v>296</v>
      </c>
      <c r="I28" s="57">
        <f t="shared" si="0"/>
        <v>38480</v>
      </c>
    </row>
    <row r="29" spans="1:9" s="77" customFormat="1" ht="31.9" customHeight="1" thickBot="1" x14ac:dyDescent="0.25">
      <c r="A29" s="74">
        <v>20</v>
      </c>
      <c r="B29" s="56"/>
      <c r="C29" s="75" t="s">
        <v>250</v>
      </c>
      <c r="D29" s="76" t="s">
        <v>236</v>
      </c>
      <c r="E29" s="79" t="s">
        <v>176</v>
      </c>
      <c r="F29" s="80" t="s">
        <v>130</v>
      </c>
      <c r="G29" s="81">
        <v>30</v>
      </c>
      <c r="H29" s="82">
        <v>840</v>
      </c>
      <c r="I29" s="57">
        <f t="shared" si="0"/>
        <v>25200</v>
      </c>
    </row>
    <row r="30" spans="1:9" s="77" customFormat="1" ht="31.9" customHeight="1" thickBot="1" x14ac:dyDescent="0.25">
      <c r="A30" s="74">
        <v>21</v>
      </c>
      <c r="B30" s="56"/>
      <c r="C30" s="75" t="s">
        <v>250</v>
      </c>
      <c r="D30" s="76" t="s">
        <v>236</v>
      </c>
      <c r="E30" s="79" t="s">
        <v>74</v>
      </c>
      <c r="F30" s="80" t="s">
        <v>70</v>
      </c>
      <c r="G30" s="81">
        <v>3</v>
      </c>
      <c r="H30" s="82">
        <v>8817</v>
      </c>
      <c r="I30" s="57">
        <f t="shared" si="0"/>
        <v>26451</v>
      </c>
    </row>
    <row r="31" spans="1:9" s="77" customFormat="1" ht="31.9" customHeight="1" thickBot="1" x14ac:dyDescent="0.25">
      <c r="A31" s="74">
        <v>22</v>
      </c>
      <c r="B31" s="56"/>
      <c r="C31" s="75" t="s">
        <v>250</v>
      </c>
      <c r="D31" s="76" t="s">
        <v>236</v>
      </c>
      <c r="E31" s="83" t="s">
        <v>252</v>
      </c>
      <c r="F31" s="80" t="s">
        <v>65</v>
      </c>
      <c r="G31" s="81">
        <v>2</v>
      </c>
      <c r="H31" s="82">
        <v>35754</v>
      </c>
      <c r="I31" s="57">
        <f t="shared" si="0"/>
        <v>71508</v>
      </c>
    </row>
    <row r="32" spans="1:9" s="77" customFormat="1" ht="31.9" customHeight="1" thickBot="1" x14ac:dyDescent="0.25">
      <c r="A32" s="74">
        <v>23</v>
      </c>
      <c r="B32" s="56"/>
      <c r="C32" s="75" t="s">
        <v>250</v>
      </c>
      <c r="D32" s="76" t="s">
        <v>236</v>
      </c>
      <c r="E32" s="79" t="s">
        <v>71</v>
      </c>
      <c r="F32" s="80" t="s">
        <v>70</v>
      </c>
      <c r="G32" s="81">
        <v>1</v>
      </c>
      <c r="H32" s="82">
        <v>23532</v>
      </c>
      <c r="I32" s="57">
        <f t="shared" si="0"/>
        <v>23532</v>
      </c>
    </row>
    <row r="33" spans="1:9" s="77" customFormat="1" ht="31.9" customHeight="1" thickBot="1" x14ac:dyDescent="0.25">
      <c r="A33" s="74">
        <v>24</v>
      </c>
      <c r="B33" s="56"/>
      <c r="C33" s="75" t="s">
        <v>250</v>
      </c>
      <c r="D33" s="76" t="s">
        <v>236</v>
      </c>
      <c r="E33" s="79" t="s">
        <v>231</v>
      </c>
      <c r="F33" s="80" t="s">
        <v>189</v>
      </c>
      <c r="G33" s="81">
        <v>2</v>
      </c>
      <c r="H33" s="82">
        <v>6041</v>
      </c>
      <c r="I33" s="57">
        <f t="shared" si="0"/>
        <v>12082</v>
      </c>
    </row>
    <row r="34" spans="1:9" s="77" customFormat="1" ht="31.9" customHeight="1" thickBot="1" x14ac:dyDescent="0.25">
      <c r="A34" s="74">
        <v>25</v>
      </c>
      <c r="B34" s="56"/>
      <c r="C34" s="75" t="s">
        <v>250</v>
      </c>
      <c r="D34" s="76" t="s">
        <v>236</v>
      </c>
      <c r="E34" s="79" t="s">
        <v>183</v>
      </c>
      <c r="F34" s="80" t="s">
        <v>130</v>
      </c>
      <c r="G34" s="81">
        <v>3</v>
      </c>
      <c r="H34" s="82">
        <v>1511</v>
      </c>
      <c r="I34" s="57">
        <f t="shared" si="0"/>
        <v>4533</v>
      </c>
    </row>
    <row r="35" spans="1:9" s="77" customFormat="1" ht="31.9" customHeight="1" thickBot="1" x14ac:dyDescent="0.25">
      <c r="A35" s="74">
        <v>26</v>
      </c>
      <c r="B35" s="56"/>
      <c r="C35" s="75" t="s">
        <v>250</v>
      </c>
      <c r="D35" s="76" t="s">
        <v>236</v>
      </c>
      <c r="E35" s="79" t="s">
        <v>182</v>
      </c>
      <c r="F35" s="80" t="s">
        <v>130</v>
      </c>
      <c r="G35" s="81">
        <v>3</v>
      </c>
      <c r="H35" s="82">
        <v>1330</v>
      </c>
      <c r="I35" s="57">
        <f t="shared" si="0"/>
        <v>3990</v>
      </c>
    </row>
    <row r="36" spans="1:9" s="77" customFormat="1" ht="31.9" customHeight="1" thickBot="1" x14ac:dyDescent="0.25">
      <c r="A36" s="74">
        <v>27</v>
      </c>
      <c r="B36" s="56"/>
      <c r="C36" s="75" t="s">
        <v>250</v>
      </c>
      <c r="D36" s="76" t="s">
        <v>236</v>
      </c>
      <c r="E36" s="79" t="s">
        <v>75</v>
      </c>
      <c r="F36" s="80" t="s">
        <v>70</v>
      </c>
      <c r="G36" s="81">
        <v>10</v>
      </c>
      <c r="H36" s="82">
        <v>3423</v>
      </c>
      <c r="I36" s="57">
        <f t="shared" si="0"/>
        <v>34230</v>
      </c>
    </row>
    <row r="37" spans="1:9" s="77" customFormat="1" ht="31.9" customHeight="1" thickBot="1" x14ac:dyDescent="0.25">
      <c r="A37" s="74">
        <v>28</v>
      </c>
      <c r="B37" s="56"/>
      <c r="C37" s="75" t="s">
        <v>250</v>
      </c>
      <c r="D37" s="76" t="s">
        <v>236</v>
      </c>
      <c r="E37" s="79" t="s">
        <v>76</v>
      </c>
      <c r="F37" s="80" t="s">
        <v>70</v>
      </c>
      <c r="G37" s="81">
        <v>14</v>
      </c>
      <c r="H37" s="82">
        <v>3514</v>
      </c>
      <c r="I37" s="57">
        <f t="shared" si="0"/>
        <v>49196</v>
      </c>
    </row>
    <row r="38" spans="1:9" s="77" customFormat="1" ht="31.9" customHeight="1" thickBot="1" x14ac:dyDescent="0.25">
      <c r="A38" s="74">
        <v>29</v>
      </c>
      <c r="B38" s="56"/>
      <c r="C38" s="75" t="s">
        <v>250</v>
      </c>
      <c r="D38" s="76" t="s">
        <v>236</v>
      </c>
      <c r="E38" s="79" t="s">
        <v>79</v>
      </c>
      <c r="F38" s="80" t="s">
        <v>70</v>
      </c>
      <c r="G38" s="81">
        <v>3</v>
      </c>
      <c r="H38" s="82">
        <v>3514</v>
      </c>
      <c r="I38" s="57">
        <f t="shared" si="0"/>
        <v>10542</v>
      </c>
    </row>
    <row r="39" spans="1:9" s="77" customFormat="1" ht="31.9" customHeight="1" thickBot="1" x14ac:dyDescent="0.25">
      <c r="A39" s="74">
        <v>30</v>
      </c>
      <c r="B39" s="56"/>
      <c r="C39" s="75" t="s">
        <v>250</v>
      </c>
      <c r="D39" s="76" t="s">
        <v>236</v>
      </c>
      <c r="E39" s="79" t="s">
        <v>80</v>
      </c>
      <c r="F39" s="80" t="s">
        <v>65</v>
      </c>
      <c r="G39" s="81">
        <v>1</v>
      </c>
      <c r="H39" s="82">
        <v>10863</v>
      </c>
      <c r="I39" s="57">
        <f t="shared" si="0"/>
        <v>10863</v>
      </c>
    </row>
    <row r="40" spans="1:9" s="77" customFormat="1" ht="31.9" customHeight="1" thickBot="1" x14ac:dyDescent="0.25">
      <c r="A40" s="74">
        <v>31</v>
      </c>
      <c r="B40" s="56"/>
      <c r="C40" s="75" t="s">
        <v>250</v>
      </c>
      <c r="D40" s="76" t="s">
        <v>236</v>
      </c>
      <c r="E40" s="79" t="s">
        <v>81</v>
      </c>
      <c r="F40" s="80" t="s">
        <v>65</v>
      </c>
      <c r="G40" s="81">
        <v>1</v>
      </c>
      <c r="H40" s="82">
        <v>13299</v>
      </c>
      <c r="I40" s="57">
        <f t="shared" si="0"/>
        <v>13299</v>
      </c>
    </row>
    <row r="41" spans="1:9" s="77" customFormat="1" ht="31.9" customHeight="1" thickBot="1" x14ac:dyDescent="0.25">
      <c r="A41" s="74">
        <v>32</v>
      </c>
      <c r="B41" s="56"/>
      <c r="C41" s="75" t="s">
        <v>250</v>
      </c>
      <c r="D41" s="76" t="s">
        <v>236</v>
      </c>
      <c r="E41" s="79" t="s">
        <v>82</v>
      </c>
      <c r="F41" s="80" t="s">
        <v>65</v>
      </c>
      <c r="G41" s="81">
        <v>2</v>
      </c>
      <c r="H41" s="82">
        <v>14114</v>
      </c>
      <c r="I41" s="57">
        <f t="shared" si="0"/>
        <v>28228</v>
      </c>
    </row>
    <row r="42" spans="1:9" s="77" customFormat="1" ht="31.9" customHeight="1" thickBot="1" x14ac:dyDescent="0.25">
      <c r="A42" s="74">
        <v>33</v>
      </c>
      <c r="B42" s="56"/>
      <c r="C42" s="75" t="s">
        <v>250</v>
      </c>
      <c r="D42" s="76" t="s">
        <v>236</v>
      </c>
      <c r="E42" s="79" t="s">
        <v>83</v>
      </c>
      <c r="F42" s="80" t="s">
        <v>65</v>
      </c>
      <c r="G42" s="81">
        <v>1</v>
      </c>
      <c r="H42" s="82">
        <v>12963</v>
      </c>
      <c r="I42" s="57">
        <f t="shared" ref="I42:I73" si="1">G42*H42</f>
        <v>12963</v>
      </c>
    </row>
    <row r="43" spans="1:9" s="77" customFormat="1" ht="31.9" customHeight="1" thickBot="1" x14ac:dyDescent="0.25">
      <c r="A43" s="74">
        <v>34</v>
      </c>
      <c r="B43" s="56"/>
      <c r="C43" s="75" t="s">
        <v>250</v>
      </c>
      <c r="D43" s="76" t="s">
        <v>236</v>
      </c>
      <c r="E43" s="83" t="s">
        <v>253</v>
      </c>
      <c r="F43" s="80" t="s">
        <v>65</v>
      </c>
      <c r="G43" s="81">
        <v>1</v>
      </c>
      <c r="H43" s="82">
        <v>14114</v>
      </c>
      <c r="I43" s="57">
        <f t="shared" si="1"/>
        <v>14114</v>
      </c>
    </row>
    <row r="44" spans="1:9" s="77" customFormat="1" ht="31.9" customHeight="1" thickBot="1" x14ac:dyDescent="0.25">
      <c r="A44" s="74">
        <v>35</v>
      </c>
      <c r="B44" s="56"/>
      <c r="C44" s="75" t="s">
        <v>250</v>
      </c>
      <c r="D44" s="76" t="s">
        <v>236</v>
      </c>
      <c r="E44" s="83" t="s">
        <v>254</v>
      </c>
      <c r="F44" s="80" t="s">
        <v>65</v>
      </c>
      <c r="G44" s="81">
        <v>1</v>
      </c>
      <c r="H44" s="82">
        <v>14114</v>
      </c>
      <c r="I44" s="57">
        <f t="shared" si="1"/>
        <v>14114</v>
      </c>
    </row>
    <row r="45" spans="1:9" s="77" customFormat="1" ht="31.9" customHeight="1" thickBot="1" x14ac:dyDescent="0.25">
      <c r="A45" s="74">
        <v>36</v>
      </c>
      <c r="B45" s="56"/>
      <c r="C45" s="75" t="s">
        <v>250</v>
      </c>
      <c r="D45" s="76" t="s">
        <v>236</v>
      </c>
      <c r="E45" s="83" t="s">
        <v>255</v>
      </c>
      <c r="F45" s="80" t="s">
        <v>65</v>
      </c>
      <c r="G45" s="81">
        <v>1</v>
      </c>
      <c r="H45" s="82">
        <v>12963</v>
      </c>
      <c r="I45" s="57">
        <f t="shared" si="1"/>
        <v>12963</v>
      </c>
    </row>
    <row r="46" spans="1:9" s="77" customFormat="1" ht="31.9" customHeight="1" thickBot="1" x14ac:dyDescent="0.25">
      <c r="A46" s="74">
        <v>37</v>
      </c>
      <c r="B46" s="56"/>
      <c r="C46" s="75" t="s">
        <v>250</v>
      </c>
      <c r="D46" s="76" t="s">
        <v>236</v>
      </c>
      <c r="E46" s="83" t="s">
        <v>256</v>
      </c>
      <c r="F46" s="80" t="s">
        <v>65</v>
      </c>
      <c r="G46" s="81">
        <v>1</v>
      </c>
      <c r="H46" s="82">
        <v>16890</v>
      </c>
      <c r="I46" s="57">
        <f t="shared" si="1"/>
        <v>16890</v>
      </c>
    </row>
    <row r="47" spans="1:9" s="77" customFormat="1" ht="31.9" customHeight="1" thickBot="1" x14ac:dyDescent="0.25">
      <c r="A47" s="74">
        <v>38</v>
      </c>
      <c r="B47" s="56"/>
      <c r="C47" s="75" t="s">
        <v>250</v>
      </c>
      <c r="D47" s="76" t="s">
        <v>236</v>
      </c>
      <c r="E47" s="79" t="s">
        <v>84</v>
      </c>
      <c r="F47" s="80" t="s">
        <v>65</v>
      </c>
      <c r="G47" s="81">
        <v>2</v>
      </c>
      <c r="H47" s="82">
        <v>10435</v>
      </c>
      <c r="I47" s="57">
        <f t="shared" si="1"/>
        <v>20870</v>
      </c>
    </row>
    <row r="48" spans="1:9" s="77" customFormat="1" ht="31.9" customHeight="1" thickBot="1" x14ac:dyDescent="0.25">
      <c r="A48" s="74">
        <v>39</v>
      </c>
      <c r="B48" s="56"/>
      <c r="C48" s="75" t="s">
        <v>250</v>
      </c>
      <c r="D48" s="76" t="s">
        <v>236</v>
      </c>
      <c r="E48" s="79" t="s">
        <v>85</v>
      </c>
      <c r="F48" s="80" t="s">
        <v>65</v>
      </c>
      <c r="G48" s="81">
        <v>1</v>
      </c>
      <c r="H48" s="82">
        <v>9986</v>
      </c>
      <c r="I48" s="57">
        <f t="shared" si="1"/>
        <v>9986</v>
      </c>
    </row>
    <row r="49" spans="1:9" s="77" customFormat="1" ht="31.9" customHeight="1" thickBot="1" x14ac:dyDescent="0.25">
      <c r="A49" s="74">
        <v>40</v>
      </c>
      <c r="B49" s="56"/>
      <c r="C49" s="75" t="s">
        <v>250</v>
      </c>
      <c r="D49" s="76" t="s">
        <v>236</v>
      </c>
      <c r="E49" s="79" t="s">
        <v>86</v>
      </c>
      <c r="F49" s="80" t="s">
        <v>65</v>
      </c>
      <c r="G49" s="81">
        <v>1</v>
      </c>
      <c r="H49" s="82">
        <v>10863</v>
      </c>
      <c r="I49" s="57">
        <f t="shared" si="1"/>
        <v>10863</v>
      </c>
    </row>
    <row r="50" spans="1:9" s="77" customFormat="1" ht="31.9" customHeight="1" thickBot="1" x14ac:dyDescent="0.25">
      <c r="A50" s="74">
        <v>41</v>
      </c>
      <c r="B50" s="56"/>
      <c r="C50" s="75" t="s">
        <v>250</v>
      </c>
      <c r="D50" s="76" t="s">
        <v>236</v>
      </c>
      <c r="E50" s="83" t="s">
        <v>257</v>
      </c>
      <c r="F50" s="80" t="s">
        <v>65</v>
      </c>
      <c r="G50" s="81">
        <v>1</v>
      </c>
      <c r="H50" s="82">
        <v>10863</v>
      </c>
      <c r="I50" s="57">
        <f t="shared" si="1"/>
        <v>10863</v>
      </c>
    </row>
    <row r="51" spans="1:9" s="77" customFormat="1" ht="31.9" customHeight="1" thickBot="1" x14ac:dyDescent="0.25">
      <c r="A51" s="74">
        <v>42</v>
      </c>
      <c r="B51" s="56"/>
      <c r="C51" s="75" t="s">
        <v>250</v>
      </c>
      <c r="D51" s="76" t="s">
        <v>236</v>
      </c>
      <c r="E51" s="83" t="s">
        <v>258</v>
      </c>
      <c r="F51" s="80" t="s">
        <v>65</v>
      </c>
      <c r="G51" s="81">
        <v>1</v>
      </c>
      <c r="H51" s="82">
        <v>10863</v>
      </c>
      <c r="I51" s="57">
        <f t="shared" si="1"/>
        <v>10863</v>
      </c>
    </row>
    <row r="52" spans="1:9" s="77" customFormat="1" ht="31.9" customHeight="1" thickBot="1" x14ac:dyDescent="0.25">
      <c r="A52" s="74">
        <v>43</v>
      </c>
      <c r="B52" s="56"/>
      <c r="C52" s="75" t="s">
        <v>250</v>
      </c>
      <c r="D52" s="76" t="s">
        <v>236</v>
      </c>
      <c r="E52" s="83" t="s">
        <v>259</v>
      </c>
      <c r="F52" s="80" t="s">
        <v>65</v>
      </c>
      <c r="G52" s="81">
        <v>1</v>
      </c>
      <c r="H52" s="82">
        <v>25575</v>
      </c>
      <c r="I52" s="57">
        <f t="shared" si="1"/>
        <v>25575</v>
      </c>
    </row>
    <row r="53" spans="1:9" s="77" customFormat="1" ht="31.9" customHeight="1" thickBot="1" x14ac:dyDescent="0.25">
      <c r="A53" s="74">
        <v>44</v>
      </c>
      <c r="B53" s="56"/>
      <c r="C53" s="75" t="s">
        <v>250</v>
      </c>
      <c r="D53" s="76" t="s">
        <v>236</v>
      </c>
      <c r="E53" s="79" t="s">
        <v>87</v>
      </c>
      <c r="F53" s="80" t="s">
        <v>65</v>
      </c>
      <c r="G53" s="81">
        <v>1</v>
      </c>
      <c r="H53" s="82">
        <v>10435</v>
      </c>
      <c r="I53" s="57">
        <f t="shared" si="1"/>
        <v>10435</v>
      </c>
    </row>
    <row r="54" spans="1:9" s="77" customFormat="1" ht="31.9" customHeight="1" thickBot="1" x14ac:dyDescent="0.25">
      <c r="A54" s="74">
        <v>45</v>
      </c>
      <c r="B54" s="56"/>
      <c r="C54" s="75" t="s">
        <v>250</v>
      </c>
      <c r="D54" s="76" t="s">
        <v>236</v>
      </c>
      <c r="E54" s="83" t="s">
        <v>262</v>
      </c>
      <c r="F54" s="80" t="s">
        <v>65</v>
      </c>
      <c r="G54" s="81">
        <v>1</v>
      </c>
      <c r="H54" s="82">
        <v>10435</v>
      </c>
      <c r="I54" s="57">
        <f t="shared" si="1"/>
        <v>10435</v>
      </c>
    </row>
    <row r="55" spans="1:9" s="77" customFormat="1" ht="31.9" customHeight="1" thickBot="1" x14ac:dyDescent="0.25">
      <c r="A55" s="74">
        <v>46</v>
      </c>
      <c r="B55" s="56"/>
      <c r="C55" s="75" t="s">
        <v>250</v>
      </c>
      <c r="D55" s="76" t="s">
        <v>236</v>
      </c>
      <c r="E55" s="83" t="s">
        <v>261</v>
      </c>
      <c r="F55" s="80" t="s">
        <v>65</v>
      </c>
      <c r="G55" s="81">
        <v>1</v>
      </c>
      <c r="H55" s="82">
        <v>10863</v>
      </c>
      <c r="I55" s="57">
        <f t="shared" si="1"/>
        <v>10863</v>
      </c>
    </row>
    <row r="56" spans="1:9" s="77" customFormat="1" ht="31.9" customHeight="1" thickBot="1" x14ac:dyDescent="0.25">
      <c r="A56" s="74">
        <v>47</v>
      </c>
      <c r="B56" s="56"/>
      <c r="C56" s="75" t="s">
        <v>250</v>
      </c>
      <c r="D56" s="76" t="s">
        <v>236</v>
      </c>
      <c r="E56" s="83" t="s">
        <v>260</v>
      </c>
      <c r="F56" s="80" t="s">
        <v>65</v>
      </c>
      <c r="G56" s="81">
        <v>1</v>
      </c>
      <c r="H56" s="82">
        <v>14114</v>
      </c>
      <c r="I56" s="57">
        <f t="shared" si="1"/>
        <v>14114</v>
      </c>
    </row>
    <row r="57" spans="1:9" s="77" customFormat="1" ht="31.9" customHeight="1" thickBot="1" x14ac:dyDescent="0.25">
      <c r="A57" s="74">
        <v>48</v>
      </c>
      <c r="B57" s="56"/>
      <c r="C57" s="75" t="s">
        <v>250</v>
      </c>
      <c r="D57" s="76" t="s">
        <v>236</v>
      </c>
      <c r="E57" s="83" t="s">
        <v>263</v>
      </c>
      <c r="F57" s="80" t="s">
        <v>65</v>
      </c>
      <c r="G57" s="81">
        <v>2</v>
      </c>
      <c r="H57" s="82">
        <v>11353</v>
      </c>
      <c r="I57" s="57">
        <f t="shared" si="1"/>
        <v>22706</v>
      </c>
    </row>
    <row r="58" spans="1:9" s="77" customFormat="1" ht="31.9" customHeight="1" thickBot="1" x14ac:dyDescent="0.25">
      <c r="A58" s="74">
        <v>49</v>
      </c>
      <c r="B58" s="56"/>
      <c r="C58" s="75" t="s">
        <v>250</v>
      </c>
      <c r="D58" s="76" t="s">
        <v>236</v>
      </c>
      <c r="E58" s="79" t="s">
        <v>88</v>
      </c>
      <c r="F58" s="80" t="s">
        <v>65</v>
      </c>
      <c r="G58" s="81">
        <v>2</v>
      </c>
      <c r="H58" s="82">
        <v>9929</v>
      </c>
      <c r="I58" s="57">
        <f t="shared" si="1"/>
        <v>19858</v>
      </c>
    </row>
    <row r="59" spans="1:9" s="77" customFormat="1" ht="31.9" customHeight="1" thickBot="1" x14ac:dyDescent="0.25">
      <c r="A59" s="74">
        <v>50</v>
      </c>
      <c r="B59" s="56"/>
      <c r="C59" s="75" t="s">
        <v>250</v>
      </c>
      <c r="D59" s="76" t="s">
        <v>236</v>
      </c>
      <c r="E59" s="83" t="s">
        <v>264</v>
      </c>
      <c r="F59" s="80" t="s">
        <v>65</v>
      </c>
      <c r="G59" s="81">
        <v>1</v>
      </c>
      <c r="H59" s="82">
        <v>15703</v>
      </c>
      <c r="I59" s="57">
        <f t="shared" si="1"/>
        <v>15703</v>
      </c>
    </row>
    <row r="60" spans="1:9" s="77" customFormat="1" ht="31.9" customHeight="1" thickBot="1" x14ac:dyDescent="0.25">
      <c r="A60" s="74">
        <v>51</v>
      </c>
      <c r="B60" s="56"/>
      <c r="C60" s="75" t="s">
        <v>250</v>
      </c>
      <c r="D60" s="76" t="s">
        <v>236</v>
      </c>
      <c r="E60" s="79" t="s">
        <v>89</v>
      </c>
      <c r="F60" s="80" t="s">
        <v>90</v>
      </c>
      <c r="G60" s="81">
        <v>15</v>
      </c>
      <c r="H60" s="82">
        <v>7296</v>
      </c>
      <c r="I60" s="57">
        <f t="shared" si="1"/>
        <v>109440</v>
      </c>
    </row>
    <row r="61" spans="1:9" s="77" customFormat="1" ht="31.9" customHeight="1" thickBot="1" x14ac:dyDescent="0.25">
      <c r="A61" s="74">
        <v>52</v>
      </c>
      <c r="B61" s="56"/>
      <c r="C61" s="75" t="s">
        <v>250</v>
      </c>
      <c r="D61" s="76" t="s">
        <v>236</v>
      </c>
      <c r="E61" s="79" t="s">
        <v>91</v>
      </c>
      <c r="F61" s="80" t="s">
        <v>65</v>
      </c>
      <c r="G61" s="81">
        <v>8</v>
      </c>
      <c r="H61" s="82">
        <v>4976</v>
      </c>
      <c r="I61" s="57">
        <f t="shared" si="1"/>
        <v>39808</v>
      </c>
    </row>
    <row r="62" spans="1:9" s="77" customFormat="1" ht="31.9" customHeight="1" thickBot="1" x14ac:dyDescent="0.25">
      <c r="A62" s="74">
        <v>53</v>
      </c>
      <c r="B62" s="56"/>
      <c r="C62" s="75" t="s">
        <v>250</v>
      </c>
      <c r="D62" s="76" t="s">
        <v>236</v>
      </c>
      <c r="E62" s="79" t="s">
        <v>92</v>
      </c>
      <c r="F62" s="80" t="s">
        <v>65</v>
      </c>
      <c r="G62" s="81">
        <v>15</v>
      </c>
      <c r="H62" s="82">
        <v>8253</v>
      </c>
      <c r="I62" s="57">
        <f t="shared" si="1"/>
        <v>123795</v>
      </c>
    </row>
    <row r="63" spans="1:9" s="77" customFormat="1" ht="31.9" customHeight="1" thickBot="1" x14ac:dyDescent="0.25">
      <c r="A63" s="74">
        <v>54</v>
      </c>
      <c r="B63" s="56"/>
      <c r="C63" s="75" t="s">
        <v>250</v>
      </c>
      <c r="D63" s="76" t="s">
        <v>236</v>
      </c>
      <c r="E63" s="83" t="s">
        <v>265</v>
      </c>
      <c r="F63" s="80" t="s">
        <v>65</v>
      </c>
      <c r="G63" s="81">
        <v>1</v>
      </c>
      <c r="H63" s="82">
        <v>20031</v>
      </c>
      <c r="I63" s="57">
        <f t="shared" si="1"/>
        <v>20031</v>
      </c>
    </row>
    <row r="64" spans="1:9" s="77" customFormat="1" ht="31.9" customHeight="1" thickBot="1" x14ac:dyDescent="0.25">
      <c r="A64" s="74">
        <v>55</v>
      </c>
      <c r="B64" s="56"/>
      <c r="C64" s="75" t="s">
        <v>250</v>
      </c>
      <c r="D64" s="76" t="s">
        <v>236</v>
      </c>
      <c r="E64" s="79" t="s">
        <v>77</v>
      </c>
      <c r="F64" s="80" t="s">
        <v>65</v>
      </c>
      <c r="G64" s="81">
        <v>2</v>
      </c>
      <c r="H64" s="82">
        <v>21560</v>
      </c>
      <c r="I64" s="57">
        <f t="shared" si="1"/>
        <v>43120</v>
      </c>
    </row>
    <row r="65" spans="1:9" s="77" customFormat="1" ht="31.9" customHeight="1" thickBot="1" x14ac:dyDescent="0.25">
      <c r="A65" s="74">
        <v>56</v>
      </c>
      <c r="B65" s="56"/>
      <c r="C65" s="75" t="s">
        <v>250</v>
      </c>
      <c r="D65" s="76" t="s">
        <v>236</v>
      </c>
      <c r="E65" s="83" t="s">
        <v>266</v>
      </c>
      <c r="F65" s="80" t="s">
        <v>65</v>
      </c>
      <c r="G65" s="81">
        <v>3</v>
      </c>
      <c r="H65" s="82">
        <v>8694</v>
      </c>
      <c r="I65" s="57">
        <f t="shared" si="1"/>
        <v>26082</v>
      </c>
    </row>
    <row r="66" spans="1:9" s="77" customFormat="1" ht="31.9" customHeight="1" thickBot="1" x14ac:dyDescent="0.25">
      <c r="A66" s="74">
        <v>57</v>
      </c>
      <c r="B66" s="56"/>
      <c r="C66" s="75" t="s">
        <v>250</v>
      </c>
      <c r="D66" s="76" t="s">
        <v>236</v>
      </c>
      <c r="E66" s="79" t="s">
        <v>93</v>
      </c>
      <c r="F66" s="80" t="s">
        <v>70</v>
      </c>
      <c r="G66" s="81">
        <v>15</v>
      </c>
      <c r="H66" s="82">
        <v>3514</v>
      </c>
      <c r="I66" s="57">
        <f t="shared" si="1"/>
        <v>52710</v>
      </c>
    </row>
    <row r="67" spans="1:9" s="77" customFormat="1" ht="31.9" customHeight="1" thickBot="1" x14ac:dyDescent="0.25">
      <c r="A67" s="74">
        <v>58</v>
      </c>
      <c r="B67" s="56"/>
      <c r="C67" s="75" t="s">
        <v>250</v>
      </c>
      <c r="D67" s="76" t="s">
        <v>236</v>
      </c>
      <c r="E67" s="79" t="s">
        <v>94</v>
      </c>
      <c r="F67" s="80" t="s">
        <v>65</v>
      </c>
      <c r="G67" s="81">
        <v>1</v>
      </c>
      <c r="H67" s="82">
        <v>2225</v>
      </c>
      <c r="I67" s="57">
        <f t="shared" si="1"/>
        <v>2225</v>
      </c>
    </row>
    <row r="68" spans="1:9" s="77" customFormat="1" ht="31.9" customHeight="1" thickBot="1" x14ac:dyDescent="0.25">
      <c r="A68" s="74">
        <v>59</v>
      </c>
      <c r="B68" s="56"/>
      <c r="C68" s="75" t="s">
        <v>250</v>
      </c>
      <c r="D68" s="76" t="s">
        <v>236</v>
      </c>
      <c r="E68" s="79" t="s">
        <v>167</v>
      </c>
      <c r="F68" s="80" t="s">
        <v>67</v>
      </c>
      <c r="G68" s="81">
        <v>2</v>
      </c>
      <c r="H68" s="82">
        <v>3017</v>
      </c>
      <c r="I68" s="57">
        <f t="shared" si="1"/>
        <v>6034</v>
      </c>
    </row>
    <row r="69" spans="1:9" s="77" customFormat="1" ht="31.9" customHeight="1" thickBot="1" x14ac:dyDescent="0.25">
      <c r="A69" s="74">
        <v>60</v>
      </c>
      <c r="B69" s="56"/>
      <c r="C69" s="75" t="s">
        <v>250</v>
      </c>
      <c r="D69" s="76" t="s">
        <v>236</v>
      </c>
      <c r="E69" s="83" t="s">
        <v>267</v>
      </c>
      <c r="F69" s="80" t="s">
        <v>70</v>
      </c>
      <c r="G69" s="81">
        <v>2</v>
      </c>
      <c r="H69" s="82">
        <v>10322</v>
      </c>
      <c r="I69" s="57">
        <f t="shared" si="1"/>
        <v>20644</v>
      </c>
    </row>
    <row r="70" spans="1:9" s="77" customFormat="1" ht="31.9" customHeight="1" thickBot="1" x14ac:dyDescent="0.25">
      <c r="A70" s="74">
        <v>61</v>
      </c>
      <c r="B70" s="56"/>
      <c r="C70" s="75" t="s">
        <v>250</v>
      </c>
      <c r="D70" s="76" t="s">
        <v>236</v>
      </c>
      <c r="E70" s="79" t="s">
        <v>95</v>
      </c>
      <c r="F70" s="80" t="s">
        <v>70</v>
      </c>
      <c r="G70" s="81">
        <v>1</v>
      </c>
      <c r="H70" s="82">
        <v>2925</v>
      </c>
      <c r="I70" s="57">
        <f t="shared" si="1"/>
        <v>2925</v>
      </c>
    </row>
    <row r="71" spans="1:9" s="77" customFormat="1" ht="31.9" customHeight="1" thickBot="1" x14ac:dyDescent="0.25">
      <c r="A71" s="74">
        <v>62</v>
      </c>
      <c r="B71" s="56"/>
      <c r="C71" s="75" t="s">
        <v>250</v>
      </c>
      <c r="D71" s="76" t="s">
        <v>236</v>
      </c>
      <c r="E71" s="79" t="s">
        <v>96</v>
      </c>
      <c r="F71" s="80" t="s">
        <v>70</v>
      </c>
      <c r="G71" s="81">
        <v>9</v>
      </c>
      <c r="H71" s="82">
        <v>3854</v>
      </c>
      <c r="I71" s="57">
        <f t="shared" si="1"/>
        <v>34686</v>
      </c>
    </row>
    <row r="72" spans="1:9" s="77" customFormat="1" ht="31.9" customHeight="1" thickBot="1" x14ac:dyDescent="0.25">
      <c r="A72" s="74">
        <v>63</v>
      </c>
      <c r="B72" s="56"/>
      <c r="C72" s="75" t="s">
        <v>250</v>
      </c>
      <c r="D72" s="76" t="s">
        <v>236</v>
      </c>
      <c r="E72" s="79" t="s">
        <v>207</v>
      </c>
      <c r="F72" s="80" t="s">
        <v>188</v>
      </c>
      <c r="G72" s="81">
        <v>4</v>
      </c>
      <c r="H72" s="82">
        <v>2566</v>
      </c>
      <c r="I72" s="57">
        <f t="shared" si="1"/>
        <v>10264</v>
      </c>
    </row>
    <row r="73" spans="1:9" s="77" customFormat="1" ht="31.9" customHeight="1" thickBot="1" x14ac:dyDescent="0.25">
      <c r="A73" s="74">
        <v>64</v>
      </c>
      <c r="B73" s="56"/>
      <c r="C73" s="75" t="s">
        <v>250</v>
      </c>
      <c r="D73" s="76" t="s">
        <v>236</v>
      </c>
      <c r="E73" s="79" t="s">
        <v>175</v>
      </c>
      <c r="F73" s="80" t="s">
        <v>90</v>
      </c>
      <c r="G73" s="81">
        <v>1</v>
      </c>
      <c r="H73" s="82">
        <v>7750</v>
      </c>
      <c r="I73" s="57">
        <f t="shared" si="1"/>
        <v>7750</v>
      </c>
    </row>
    <row r="74" spans="1:9" s="77" customFormat="1" ht="31.9" customHeight="1" thickBot="1" x14ac:dyDescent="0.25">
      <c r="A74" s="74">
        <v>65</v>
      </c>
      <c r="B74" s="56"/>
      <c r="C74" s="75" t="s">
        <v>250</v>
      </c>
      <c r="D74" s="76" t="s">
        <v>236</v>
      </c>
      <c r="E74" s="79" t="s">
        <v>97</v>
      </c>
      <c r="F74" s="80" t="s">
        <v>67</v>
      </c>
      <c r="G74" s="81">
        <v>10</v>
      </c>
      <c r="H74" s="82">
        <v>825</v>
      </c>
      <c r="I74" s="57">
        <f t="shared" ref="I74:I105" si="2">G74*H74</f>
        <v>8250</v>
      </c>
    </row>
    <row r="75" spans="1:9" s="77" customFormat="1" ht="31.9" customHeight="1" thickBot="1" x14ac:dyDescent="0.25">
      <c r="A75" s="74">
        <v>66</v>
      </c>
      <c r="B75" s="56"/>
      <c r="C75" s="75" t="s">
        <v>250</v>
      </c>
      <c r="D75" s="76" t="s">
        <v>236</v>
      </c>
      <c r="E75" s="79" t="s">
        <v>98</v>
      </c>
      <c r="F75" s="80" t="s">
        <v>70</v>
      </c>
      <c r="G75" s="81">
        <v>7</v>
      </c>
      <c r="H75" s="82">
        <v>63867</v>
      </c>
      <c r="I75" s="57">
        <f t="shared" si="2"/>
        <v>447069</v>
      </c>
    </row>
    <row r="76" spans="1:9" s="77" customFormat="1" ht="31.9" customHeight="1" thickBot="1" x14ac:dyDescent="0.25">
      <c r="A76" s="74">
        <v>67</v>
      </c>
      <c r="B76" s="56"/>
      <c r="C76" s="75" t="s">
        <v>250</v>
      </c>
      <c r="D76" s="76" t="s">
        <v>236</v>
      </c>
      <c r="E76" s="79" t="s">
        <v>99</v>
      </c>
      <c r="F76" s="80" t="s">
        <v>65</v>
      </c>
      <c r="G76" s="81">
        <v>3</v>
      </c>
      <c r="H76" s="82">
        <v>15214</v>
      </c>
      <c r="I76" s="57">
        <f t="shared" si="2"/>
        <v>45642</v>
      </c>
    </row>
    <row r="77" spans="1:9" s="77" customFormat="1" ht="31.9" customHeight="1" thickBot="1" x14ac:dyDescent="0.25">
      <c r="A77" s="74">
        <v>68</v>
      </c>
      <c r="B77" s="56"/>
      <c r="C77" s="75" t="s">
        <v>250</v>
      </c>
      <c r="D77" s="76" t="s">
        <v>236</v>
      </c>
      <c r="E77" s="79" t="s">
        <v>100</v>
      </c>
      <c r="F77" s="80" t="s">
        <v>78</v>
      </c>
      <c r="G77" s="81">
        <v>3</v>
      </c>
      <c r="H77" s="82">
        <v>20266</v>
      </c>
      <c r="I77" s="57">
        <f t="shared" si="2"/>
        <v>60798</v>
      </c>
    </row>
    <row r="78" spans="1:9" s="77" customFormat="1" ht="31.9" customHeight="1" thickBot="1" x14ac:dyDescent="0.25">
      <c r="A78" s="74">
        <v>69</v>
      </c>
      <c r="B78" s="56"/>
      <c r="C78" s="75" t="s">
        <v>250</v>
      </c>
      <c r="D78" s="76" t="s">
        <v>236</v>
      </c>
      <c r="E78" s="79" t="s">
        <v>224</v>
      </c>
      <c r="F78" s="80" t="s">
        <v>190</v>
      </c>
      <c r="G78" s="81">
        <v>5</v>
      </c>
      <c r="H78" s="82">
        <v>516</v>
      </c>
      <c r="I78" s="57">
        <f t="shared" si="2"/>
        <v>2580</v>
      </c>
    </row>
    <row r="79" spans="1:9" s="77" customFormat="1" ht="31.9" customHeight="1" thickBot="1" x14ac:dyDescent="0.25">
      <c r="A79" s="74">
        <v>70</v>
      </c>
      <c r="B79" s="56"/>
      <c r="C79" s="75" t="s">
        <v>250</v>
      </c>
      <c r="D79" s="76" t="s">
        <v>236</v>
      </c>
      <c r="E79" s="79" t="s">
        <v>220</v>
      </c>
      <c r="F79" s="80" t="s">
        <v>188</v>
      </c>
      <c r="G79" s="81">
        <v>5</v>
      </c>
      <c r="H79" s="82">
        <v>790</v>
      </c>
      <c r="I79" s="57">
        <f t="shared" si="2"/>
        <v>3950</v>
      </c>
    </row>
    <row r="80" spans="1:9" s="77" customFormat="1" ht="31.9" customHeight="1" thickBot="1" x14ac:dyDescent="0.25">
      <c r="A80" s="74">
        <v>71</v>
      </c>
      <c r="B80" s="56"/>
      <c r="C80" s="75" t="s">
        <v>250</v>
      </c>
      <c r="D80" s="76" t="s">
        <v>236</v>
      </c>
      <c r="E80" s="79" t="s">
        <v>216</v>
      </c>
      <c r="F80" s="80" t="s">
        <v>188</v>
      </c>
      <c r="G80" s="81">
        <v>10</v>
      </c>
      <c r="H80" s="82">
        <v>516</v>
      </c>
      <c r="I80" s="57">
        <f t="shared" si="2"/>
        <v>5160</v>
      </c>
    </row>
    <row r="81" spans="1:9" s="77" customFormat="1" ht="31.9" customHeight="1" thickBot="1" x14ac:dyDescent="0.25">
      <c r="A81" s="74">
        <v>72</v>
      </c>
      <c r="B81" s="56"/>
      <c r="C81" s="75" t="s">
        <v>250</v>
      </c>
      <c r="D81" s="76" t="s">
        <v>236</v>
      </c>
      <c r="E81" s="79" t="s">
        <v>210</v>
      </c>
      <c r="F81" s="80" t="s">
        <v>188</v>
      </c>
      <c r="G81" s="81">
        <v>10</v>
      </c>
      <c r="H81" s="82">
        <v>790</v>
      </c>
      <c r="I81" s="57">
        <f t="shared" si="2"/>
        <v>7900</v>
      </c>
    </row>
    <row r="82" spans="1:9" s="77" customFormat="1" ht="31.9" customHeight="1" thickBot="1" x14ac:dyDescent="0.25">
      <c r="A82" s="74">
        <v>73</v>
      </c>
      <c r="B82" s="56"/>
      <c r="C82" s="75" t="s">
        <v>250</v>
      </c>
      <c r="D82" s="76" t="s">
        <v>236</v>
      </c>
      <c r="E82" s="79" t="s">
        <v>226</v>
      </c>
      <c r="F82" s="80" t="s">
        <v>188</v>
      </c>
      <c r="G82" s="81">
        <v>3</v>
      </c>
      <c r="H82" s="82">
        <v>516</v>
      </c>
      <c r="I82" s="57">
        <f t="shared" si="2"/>
        <v>1548</v>
      </c>
    </row>
    <row r="83" spans="1:9" s="77" customFormat="1" ht="31.9" customHeight="1" thickBot="1" x14ac:dyDescent="0.25">
      <c r="A83" s="74">
        <v>74</v>
      </c>
      <c r="B83" s="56"/>
      <c r="C83" s="75" t="s">
        <v>250</v>
      </c>
      <c r="D83" s="76" t="s">
        <v>236</v>
      </c>
      <c r="E83" s="79" t="s">
        <v>225</v>
      </c>
      <c r="F83" s="80" t="s">
        <v>188</v>
      </c>
      <c r="G83" s="81">
        <v>8</v>
      </c>
      <c r="H83" s="82">
        <v>516</v>
      </c>
      <c r="I83" s="57">
        <f t="shared" si="2"/>
        <v>4128</v>
      </c>
    </row>
    <row r="84" spans="1:9" s="77" customFormat="1" ht="31.9" customHeight="1" thickBot="1" x14ac:dyDescent="0.25">
      <c r="A84" s="74">
        <v>75</v>
      </c>
      <c r="B84" s="56"/>
      <c r="C84" s="75" t="s">
        <v>250</v>
      </c>
      <c r="D84" s="76" t="s">
        <v>236</v>
      </c>
      <c r="E84" s="79" t="s">
        <v>230</v>
      </c>
      <c r="F84" s="80" t="s">
        <v>188</v>
      </c>
      <c r="G84" s="81">
        <v>1</v>
      </c>
      <c r="H84" s="82">
        <v>680</v>
      </c>
      <c r="I84" s="57">
        <f t="shared" si="2"/>
        <v>680</v>
      </c>
    </row>
    <row r="85" spans="1:9" s="77" customFormat="1" ht="31.9" customHeight="1" thickBot="1" x14ac:dyDescent="0.25">
      <c r="A85" s="74">
        <v>76</v>
      </c>
      <c r="B85" s="56"/>
      <c r="C85" s="75" t="s">
        <v>250</v>
      </c>
      <c r="D85" s="76" t="s">
        <v>236</v>
      </c>
      <c r="E85" s="79" t="s">
        <v>208</v>
      </c>
      <c r="F85" s="80" t="s">
        <v>188</v>
      </c>
      <c r="G85" s="81">
        <v>8</v>
      </c>
      <c r="H85" s="82">
        <v>790</v>
      </c>
      <c r="I85" s="57">
        <f t="shared" si="2"/>
        <v>6320</v>
      </c>
    </row>
    <row r="86" spans="1:9" s="77" customFormat="1" ht="31.9" customHeight="1" thickBot="1" x14ac:dyDescent="0.25">
      <c r="A86" s="74">
        <v>77</v>
      </c>
      <c r="B86" s="56"/>
      <c r="C86" s="75" t="s">
        <v>250</v>
      </c>
      <c r="D86" s="76" t="s">
        <v>236</v>
      </c>
      <c r="E86" s="79" t="s">
        <v>214</v>
      </c>
      <c r="F86" s="80" t="s">
        <v>188</v>
      </c>
      <c r="G86" s="81">
        <v>5</v>
      </c>
      <c r="H86" s="82">
        <v>516</v>
      </c>
      <c r="I86" s="57">
        <f t="shared" si="2"/>
        <v>2580</v>
      </c>
    </row>
    <row r="87" spans="1:9" s="77" customFormat="1" ht="31.9" customHeight="1" thickBot="1" x14ac:dyDescent="0.25">
      <c r="A87" s="74">
        <v>78</v>
      </c>
      <c r="B87" s="56"/>
      <c r="C87" s="75" t="s">
        <v>250</v>
      </c>
      <c r="D87" s="76" t="s">
        <v>236</v>
      </c>
      <c r="E87" s="79" t="s">
        <v>234</v>
      </c>
      <c r="F87" s="80" t="s">
        <v>189</v>
      </c>
      <c r="G87" s="81">
        <v>5</v>
      </c>
      <c r="H87" s="82">
        <v>516</v>
      </c>
      <c r="I87" s="57">
        <f t="shared" si="2"/>
        <v>2580</v>
      </c>
    </row>
    <row r="88" spans="1:9" s="77" customFormat="1" ht="31.9" customHeight="1" thickBot="1" x14ac:dyDescent="0.25">
      <c r="A88" s="74">
        <v>79</v>
      </c>
      <c r="B88" s="56"/>
      <c r="C88" s="75" t="s">
        <v>250</v>
      </c>
      <c r="D88" s="76" t="s">
        <v>236</v>
      </c>
      <c r="E88" s="79" t="s">
        <v>227</v>
      </c>
      <c r="F88" s="80" t="s">
        <v>189</v>
      </c>
      <c r="G88" s="81">
        <v>1</v>
      </c>
      <c r="H88" s="82">
        <v>516</v>
      </c>
      <c r="I88" s="57">
        <f t="shared" si="2"/>
        <v>516</v>
      </c>
    </row>
    <row r="89" spans="1:9" s="77" customFormat="1" ht="31.9" customHeight="1" thickBot="1" x14ac:dyDescent="0.25">
      <c r="A89" s="74">
        <v>80</v>
      </c>
      <c r="B89" s="56"/>
      <c r="C89" s="75" t="s">
        <v>250</v>
      </c>
      <c r="D89" s="76" t="s">
        <v>236</v>
      </c>
      <c r="E89" s="79" t="s">
        <v>233</v>
      </c>
      <c r="F89" s="80" t="s">
        <v>189</v>
      </c>
      <c r="G89" s="81">
        <v>5</v>
      </c>
      <c r="H89" s="82">
        <v>516</v>
      </c>
      <c r="I89" s="57">
        <f t="shared" si="2"/>
        <v>2580</v>
      </c>
    </row>
    <row r="90" spans="1:9" s="77" customFormat="1" ht="31.9" customHeight="1" thickBot="1" x14ac:dyDescent="0.25">
      <c r="A90" s="74">
        <v>81</v>
      </c>
      <c r="B90" s="56"/>
      <c r="C90" s="75" t="s">
        <v>250</v>
      </c>
      <c r="D90" s="76" t="s">
        <v>236</v>
      </c>
      <c r="E90" s="79" t="s">
        <v>215</v>
      </c>
      <c r="F90" s="80" t="s">
        <v>189</v>
      </c>
      <c r="G90" s="81">
        <v>5</v>
      </c>
      <c r="H90" s="82">
        <v>516</v>
      </c>
      <c r="I90" s="57">
        <f t="shared" si="2"/>
        <v>2580</v>
      </c>
    </row>
    <row r="91" spans="1:9" s="77" customFormat="1" ht="31.9" customHeight="1" thickBot="1" x14ac:dyDescent="0.25">
      <c r="A91" s="74">
        <v>82</v>
      </c>
      <c r="B91" s="56"/>
      <c r="C91" s="75" t="s">
        <v>250</v>
      </c>
      <c r="D91" s="76" t="s">
        <v>236</v>
      </c>
      <c r="E91" s="79" t="s">
        <v>229</v>
      </c>
      <c r="F91" s="80" t="s">
        <v>189</v>
      </c>
      <c r="G91" s="81">
        <v>5</v>
      </c>
      <c r="H91" s="82">
        <v>516</v>
      </c>
      <c r="I91" s="57">
        <f t="shared" si="2"/>
        <v>2580</v>
      </c>
    </row>
    <row r="92" spans="1:9" s="77" customFormat="1" ht="31.9" customHeight="1" thickBot="1" x14ac:dyDescent="0.25">
      <c r="A92" s="74">
        <v>83</v>
      </c>
      <c r="B92" s="56"/>
      <c r="C92" s="75" t="s">
        <v>250</v>
      </c>
      <c r="D92" s="76" t="s">
        <v>236</v>
      </c>
      <c r="E92" s="79" t="s">
        <v>209</v>
      </c>
      <c r="F92" s="80" t="s">
        <v>189</v>
      </c>
      <c r="G92" s="81">
        <v>5</v>
      </c>
      <c r="H92" s="82">
        <v>790</v>
      </c>
      <c r="I92" s="57">
        <f t="shared" si="2"/>
        <v>3950</v>
      </c>
    </row>
    <row r="93" spans="1:9" s="77" customFormat="1" ht="31.9" customHeight="1" thickBot="1" x14ac:dyDescent="0.25">
      <c r="A93" s="74">
        <v>84</v>
      </c>
      <c r="B93" s="56"/>
      <c r="C93" s="75" t="s">
        <v>250</v>
      </c>
      <c r="D93" s="76" t="s">
        <v>236</v>
      </c>
      <c r="E93" s="79" t="s">
        <v>218</v>
      </c>
      <c r="F93" s="80" t="s">
        <v>188</v>
      </c>
      <c r="G93" s="81">
        <v>5</v>
      </c>
      <c r="H93" s="82">
        <v>774</v>
      </c>
      <c r="I93" s="57">
        <f t="shared" si="2"/>
        <v>3870</v>
      </c>
    </row>
    <row r="94" spans="1:9" s="77" customFormat="1" ht="31.9" customHeight="1" thickBot="1" x14ac:dyDescent="0.25">
      <c r="A94" s="74">
        <v>85</v>
      </c>
      <c r="B94" s="56"/>
      <c r="C94" s="75" t="s">
        <v>250</v>
      </c>
      <c r="D94" s="76" t="s">
        <v>236</v>
      </c>
      <c r="E94" s="79" t="s">
        <v>221</v>
      </c>
      <c r="F94" s="80" t="s">
        <v>188</v>
      </c>
      <c r="G94" s="81">
        <v>3</v>
      </c>
      <c r="H94" s="82">
        <v>516</v>
      </c>
      <c r="I94" s="57">
        <f t="shared" si="2"/>
        <v>1548</v>
      </c>
    </row>
    <row r="95" spans="1:9" s="77" customFormat="1" ht="31.9" customHeight="1" thickBot="1" x14ac:dyDescent="0.25">
      <c r="A95" s="74">
        <v>86</v>
      </c>
      <c r="B95" s="56"/>
      <c r="C95" s="75" t="s">
        <v>250</v>
      </c>
      <c r="D95" s="76" t="s">
        <v>236</v>
      </c>
      <c r="E95" s="79" t="s">
        <v>204</v>
      </c>
      <c r="F95" s="80" t="s">
        <v>189</v>
      </c>
      <c r="G95" s="81">
        <v>3</v>
      </c>
      <c r="H95" s="82">
        <v>790</v>
      </c>
      <c r="I95" s="57">
        <f t="shared" si="2"/>
        <v>2370</v>
      </c>
    </row>
    <row r="96" spans="1:9" s="77" customFormat="1" ht="31.9" customHeight="1" thickBot="1" x14ac:dyDescent="0.25">
      <c r="A96" s="74">
        <v>87</v>
      </c>
      <c r="B96" s="56"/>
      <c r="C96" s="75" t="s">
        <v>250</v>
      </c>
      <c r="D96" s="76" t="s">
        <v>236</v>
      </c>
      <c r="E96" s="79" t="s">
        <v>217</v>
      </c>
      <c r="F96" s="80" t="s">
        <v>188</v>
      </c>
      <c r="G96" s="81">
        <v>4</v>
      </c>
      <c r="H96" s="82">
        <v>790</v>
      </c>
      <c r="I96" s="57">
        <f t="shared" si="2"/>
        <v>3160</v>
      </c>
    </row>
    <row r="97" spans="1:9" s="77" customFormat="1" ht="31.9" customHeight="1" thickBot="1" x14ac:dyDescent="0.25">
      <c r="A97" s="74">
        <v>88</v>
      </c>
      <c r="B97" s="56"/>
      <c r="C97" s="75" t="s">
        <v>250</v>
      </c>
      <c r="D97" s="76" t="s">
        <v>236</v>
      </c>
      <c r="E97" s="79" t="s">
        <v>211</v>
      </c>
      <c r="F97" s="80" t="s">
        <v>189</v>
      </c>
      <c r="G97" s="81">
        <v>5</v>
      </c>
      <c r="H97" s="82">
        <v>800</v>
      </c>
      <c r="I97" s="57">
        <f t="shared" si="2"/>
        <v>4000</v>
      </c>
    </row>
    <row r="98" spans="1:9" s="77" customFormat="1" ht="31.9" customHeight="1" thickBot="1" x14ac:dyDescent="0.25">
      <c r="A98" s="74">
        <v>89</v>
      </c>
      <c r="B98" s="56"/>
      <c r="C98" s="75" t="s">
        <v>250</v>
      </c>
      <c r="D98" s="76" t="s">
        <v>236</v>
      </c>
      <c r="E98" s="79" t="s">
        <v>213</v>
      </c>
      <c r="F98" s="80" t="s">
        <v>188</v>
      </c>
      <c r="G98" s="81">
        <v>4</v>
      </c>
      <c r="H98" s="82">
        <v>1950</v>
      </c>
      <c r="I98" s="57">
        <f t="shared" si="2"/>
        <v>7800</v>
      </c>
    </row>
    <row r="99" spans="1:9" s="77" customFormat="1" ht="31.9" customHeight="1" thickBot="1" x14ac:dyDescent="0.25">
      <c r="A99" s="74">
        <v>90</v>
      </c>
      <c r="B99" s="56"/>
      <c r="C99" s="75" t="s">
        <v>250</v>
      </c>
      <c r="D99" s="76" t="s">
        <v>236</v>
      </c>
      <c r="E99" s="79" t="s">
        <v>219</v>
      </c>
      <c r="F99" s="80" t="s">
        <v>188</v>
      </c>
      <c r="G99" s="81">
        <v>1</v>
      </c>
      <c r="H99" s="82">
        <v>774</v>
      </c>
      <c r="I99" s="57">
        <f t="shared" si="2"/>
        <v>774</v>
      </c>
    </row>
    <row r="100" spans="1:9" s="77" customFormat="1" ht="31.9" customHeight="1" thickBot="1" x14ac:dyDescent="0.25">
      <c r="A100" s="74">
        <v>91</v>
      </c>
      <c r="B100" s="56"/>
      <c r="C100" s="75" t="s">
        <v>250</v>
      </c>
      <c r="D100" s="76" t="s">
        <v>236</v>
      </c>
      <c r="E100" s="79" t="s">
        <v>205</v>
      </c>
      <c r="F100" s="80" t="s">
        <v>188</v>
      </c>
      <c r="G100" s="81">
        <v>3</v>
      </c>
      <c r="H100" s="82">
        <v>790</v>
      </c>
      <c r="I100" s="57">
        <f t="shared" si="2"/>
        <v>2370</v>
      </c>
    </row>
    <row r="101" spans="1:9" s="77" customFormat="1" ht="31.9" customHeight="1" thickBot="1" x14ac:dyDescent="0.25">
      <c r="A101" s="74">
        <v>92</v>
      </c>
      <c r="B101" s="56"/>
      <c r="C101" s="75" t="s">
        <v>250</v>
      </c>
      <c r="D101" s="76" t="s">
        <v>236</v>
      </c>
      <c r="E101" s="79" t="s">
        <v>212</v>
      </c>
      <c r="F101" s="80" t="s">
        <v>189</v>
      </c>
      <c r="G101" s="81">
        <v>3</v>
      </c>
      <c r="H101" s="82">
        <v>600</v>
      </c>
      <c r="I101" s="57">
        <f t="shared" si="2"/>
        <v>1800</v>
      </c>
    </row>
    <row r="102" spans="1:9" s="77" customFormat="1" ht="31.9" customHeight="1" thickBot="1" x14ac:dyDescent="0.25">
      <c r="A102" s="74">
        <v>93</v>
      </c>
      <c r="B102" s="56"/>
      <c r="C102" s="75" t="s">
        <v>250</v>
      </c>
      <c r="D102" s="76" t="s">
        <v>236</v>
      </c>
      <c r="E102" s="79" t="s">
        <v>222</v>
      </c>
      <c r="F102" s="80" t="s">
        <v>190</v>
      </c>
      <c r="G102" s="81">
        <v>1</v>
      </c>
      <c r="H102" s="82">
        <v>516</v>
      </c>
      <c r="I102" s="57">
        <f t="shared" si="2"/>
        <v>516</v>
      </c>
    </row>
    <row r="103" spans="1:9" s="77" customFormat="1" ht="31.9" customHeight="1" thickBot="1" x14ac:dyDescent="0.25">
      <c r="A103" s="74">
        <v>94</v>
      </c>
      <c r="B103" s="56"/>
      <c r="C103" s="75" t="s">
        <v>250</v>
      </c>
      <c r="D103" s="76" t="s">
        <v>236</v>
      </c>
      <c r="E103" s="79" t="s">
        <v>223</v>
      </c>
      <c r="F103" s="80" t="s">
        <v>188</v>
      </c>
      <c r="G103" s="81">
        <v>3</v>
      </c>
      <c r="H103" s="82">
        <v>516</v>
      </c>
      <c r="I103" s="57">
        <f t="shared" si="2"/>
        <v>1548</v>
      </c>
    </row>
    <row r="104" spans="1:9" s="77" customFormat="1" ht="31.9" customHeight="1" thickBot="1" x14ac:dyDescent="0.25">
      <c r="A104" s="74">
        <v>95</v>
      </c>
      <c r="B104" s="56"/>
      <c r="C104" s="75" t="s">
        <v>250</v>
      </c>
      <c r="D104" s="76" t="s">
        <v>236</v>
      </c>
      <c r="E104" s="79" t="s">
        <v>206</v>
      </c>
      <c r="F104" s="80" t="s">
        <v>188</v>
      </c>
      <c r="G104" s="81">
        <v>5</v>
      </c>
      <c r="H104" s="82">
        <v>516</v>
      </c>
      <c r="I104" s="57">
        <f t="shared" si="2"/>
        <v>2580</v>
      </c>
    </row>
    <row r="105" spans="1:9" s="77" customFormat="1" ht="31.9" customHeight="1" thickBot="1" x14ac:dyDescent="0.25">
      <c r="A105" s="74">
        <v>96</v>
      </c>
      <c r="B105" s="56"/>
      <c r="C105" s="75" t="s">
        <v>250</v>
      </c>
      <c r="D105" s="76" t="s">
        <v>236</v>
      </c>
      <c r="E105" s="79" t="s">
        <v>180</v>
      </c>
      <c r="F105" s="80" t="s">
        <v>130</v>
      </c>
      <c r="G105" s="81">
        <v>6</v>
      </c>
      <c r="H105" s="82">
        <v>2928</v>
      </c>
      <c r="I105" s="57">
        <f t="shared" si="2"/>
        <v>17568</v>
      </c>
    </row>
    <row r="106" spans="1:9" s="77" customFormat="1" ht="31.9" customHeight="1" thickBot="1" x14ac:dyDescent="0.25">
      <c r="A106" s="74">
        <v>97</v>
      </c>
      <c r="B106" s="56"/>
      <c r="C106" s="75" t="s">
        <v>250</v>
      </c>
      <c r="D106" s="76" t="s">
        <v>236</v>
      </c>
      <c r="E106" s="79" t="s">
        <v>101</v>
      </c>
      <c r="F106" s="80" t="s">
        <v>70</v>
      </c>
      <c r="G106" s="81">
        <v>24</v>
      </c>
      <c r="H106" s="82">
        <v>4909</v>
      </c>
      <c r="I106" s="57">
        <f t="shared" ref="I106:I138" si="3">G106*H106</f>
        <v>117816</v>
      </c>
    </row>
    <row r="107" spans="1:9" s="77" customFormat="1" ht="31.9" customHeight="1" thickBot="1" x14ac:dyDescent="0.25">
      <c r="A107" s="74">
        <v>98</v>
      </c>
      <c r="B107" s="56"/>
      <c r="C107" s="75" t="s">
        <v>250</v>
      </c>
      <c r="D107" s="76" t="s">
        <v>236</v>
      </c>
      <c r="E107" s="79" t="s">
        <v>102</v>
      </c>
      <c r="F107" s="80" t="s">
        <v>90</v>
      </c>
      <c r="G107" s="81">
        <v>1</v>
      </c>
      <c r="H107" s="82">
        <v>5640</v>
      </c>
      <c r="I107" s="57">
        <f t="shared" si="3"/>
        <v>5640</v>
      </c>
    </row>
    <row r="108" spans="1:9" s="77" customFormat="1" ht="31.9" customHeight="1" thickBot="1" x14ac:dyDescent="0.25">
      <c r="A108" s="74">
        <v>99</v>
      </c>
      <c r="B108" s="56"/>
      <c r="C108" s="75" t="s">
        <v>250</v>
      </c>
      <c r="D108" s="76" t="s">
        <v>236</v>
      </c>
      <c r="E108" s="79" t="s">
        <v>103</v>
      </c>
      <c r="F108" s="80" t="s">
        <v>78</v>
      </c>
      <c r="G108" s="81">
        <v>1</v>
      </c>
      <c r="H108" s="82">
        <v>9780</v>
      </c>
      <c r="I108" s="57">
        <f t="shared" si="3"/>
        <v>9780</v>
      </c>
    </row>
    <row r="109" spans="1:9" s="77" customFormat="1" ht="31.9" customHeight="1" thickBot="1" x14ac:dyDescent="0.25">
      <c r="A109" s="74">
        <v>100</v>
      </c>
      <c r="B109" s="56"/>
      <c r="C109" s="75" t="s">
        <v>250</v>
      </c>
      <c r="D109" s="76" t="s">
        <v>236</v>
      </c>
      <c r="E109" s="79" t="s">
        <v>104</v>
      </c>
      <c r="F109" s="80" t="s">
        <v>78</v>
      </c>
      <c r="G109" s="81">
        <v>1</v>
      </c>
      <c r="H109" s="82">
        <v>9780</v>
      </c>
      <c r="I109" s="57">
        <f t="shared" si="3"/>
        <v>9780</v>
      </c>
    </row>
    <row r="110" spans="1:9" s="77" customFormat="1" ht="31.9" customHeight="1" thickBot="1" x14ac:dyDescent="0.25">
      <c r="A110" s="74">
        <v>101</v>
      </c>
      <c r="B110" s="56"/>
      <c r="C110" s="75" t="s">
        <v>250</v>
      </c>
      <c r="D110" s="76" t="s">
        <v>236</v>
      </c>
      <c r="E110" s="79" t="s">
        <v>105</v>
      </c>
      <c r="F110" s="80" t="s">
        <v>78</v>
      </c>
      <c r="G110" s="81">
        <v>1</v>
      </c>
      <c r="H110" s="82">
        <v>39089</v>
      </c>
      <c r="I110" s="57">
        <f t="shared" si="3"/>
        <v>39089</v>
      </c>
    </row>
    <row r="111" spans="1:9" s="77" customFormat="1" ht="31.9" customHeight="1" thickBot="1" x14ac:dyDescent="0.25">
      <c r="A111" s="74">
        <v>102</v>
      </c>
      <c r="B111" s="56"/>
      <c r="C111" s="75" t="s">
        <v>250</v>
      </c>
      <c r="D111" s="76" t="s">
        <v>236</v>
      </c>
      <c r="E111" s="79" t="s">
        <v>106</v>
      </c>
      <c r="F111" s="80" t="s">
        <v>78</v>
      </c>
      <c r="G111" s="81">
        <v>1</v>
      </c>
      <c r="H111" s="82">
        <v>16317</v>
      </c>
      <c r="I111" s="57">
        <f t="shared" si="3"/>
        <v>16317</v>
      </c>
    </row>
    <row r="112" spans="1:9" s="77" customFormat="1" ht="31.9" customHeight="1" thickBot="1" x14ac:dyDescent="0.25">
      <c r="A112" s="74">
        <v>103</v>
      </c>
      <c r="B112" s="56"/>
      <c r="C112" s="75" t="s">
        <v>250</v>
      </c>
      <c r="D112" s="76" t="s">
        <v>236</v>
      </c>
      <c r="E112" s="79" t="s">
        <v>107</v>
      </c>
      <c r="F112" s="80" t="s">
        <v>78</v>
      </c>
      <c r="G112" s="81">
        <v>1</v>
      </c>
      <c r="H112" s="82">
        <v>37140</v>
      </c>
      <c r="I112" s="57">
        <f t="shared" si="3"/>
        <v>37140</v>
      </c>
    </row>
    <row r="113" spans="1:9" s="77" customFormat="1" ht="31.9" customHeight="1" thickBot="1" x14ac:dyDescent="0.25">
      <c r="A113" s="74">
        <v>104</v>
      </c>
      <c r="B113" s="56"/>
      <c r="C113" s="75" t="s">
        <v>250</v>
      </c>
      <c r="D113" s="76" t="s">
        <v>236</v>
      </c>
      <c r="E113" s="79" t="s">
        <v>108</v>
      </c>
      <c r="F113" s="80" t="s">
        <v>78</v>
      </c>
      <c r="G113" s="81">
        <v>1</v>
      </c>
      <c r="H113" s="82">
        <v>9780</v>
      </c>
      <c r="I113" s="57">
        <f t="shared" si="3"/>
        <v>9780</v>
      </c>
    </row>
    <row r="114" spans="1:9" s="77" customFormat="1" ht="31.9" customHeight="1" thickBot="1" x14ac:dyDescent="0.25">
      <c r="A114" s="74">
        <v>105</v>
      </c>
      <c r="B114" s="56"/>
      <c r="C114" s="75" t="s">
        <v>250</v>
      </c>
      <c r="D114" s="76" t="s">
        <v>236</v>
      </c>
      <c r="E114" s="79" t="s">
        <v>109</v>
      </c>
      <c r="F114" s="80" t="s">
        <v>78</v>
      </c>
      <c r="G114" s="81">
        <v>2</v>
      </c>
      <c r="H114" s="82">
        <v>18242</v>
      </c>
      <c r="I114" s="57">
        <f t="shared" si="3"/>
        <v>36484</v>
      </c>
    </row>
    <row r="115" spans="1:9" s="77" customFormat="1" ht="31.9" customHeight="1" thickBot="1" x14ac:dyDescent="0.25">
      <c r="A115" s="74">
        <v>106</v>
      </c>
      <c r="B115" s="56"/>
      <c r="C115" s="75" t="s">
        <v>250</v>
      </c>
      <c r="D115" s="76" t="s">
        <v>236</v>
      </c>
      <c r="E115" s="79" t="s">
        <v>110</v>
      </c>
      <c r="F115" s="80" t="s">
        <v>78</v>
      </c>
      <c r="G115" s="81">
        <v>1</v>
      </c>
      <c r="H115" s="82">
        <v>9780</v>
      </c>
      <c r="I115" s="57">
        <f t="shared" si="3"/>
        <v>9780</v>
      </c>
    </row>
    <row r="116" spans="1:9" s="77" customFormat="1" ht="31.9" customHeight="1" thickBot="1" x14ac:dyDescent="0.25">
      <c r="A116" s="74">
        <v>107</v>
      </c>
      <c r="B116" s="56"/>
      <c r="C116" s="75" t="s">
        <v>250</v>
      </c>
      <c r="D116" s="76" t="s">
        <v>236</v>
      </c>
      <c r="E116" s="79" t="s">
        <v>111</v>
      </c>
      <c r="F116" s="80" t="s">
        <v>78</v>
      </c>
      <c r="G116" s="81">
        <v>2</v>
      </c>
      <c r="H116" s="82">
        <v>33812</v>
      </c>
      <c r="I116" s="57">
        <f t="shared" si="3"/>
        <v>67624</v>
      </c>
    </row>
    <row r="117" spans="1:9" s="77" customFormat="1" ht="31.9" customHeight="1" thickBot="1" x14ac:dyDescent="0.25">
      <c r="A117" s="74">
        <v>108</v>
      </c>
      <c r="B117" s="56"/>
      <c r="C117" s="75" t="s">
        <v>250</v>
      </c>
      <c r="D117" s="76" t="s">
        <v>236</v>
      </c>
      <c r="E117" s="79" t="s">
        <v>179</v>
      </c>
      <c r="F117" s="80" t="s">
        <v>130</v>
      </c>
      <c r="G117" s="81">
        <v>6</v>
      </c>
      <c r="H117" s="82">
        <v>2024</v>
      </c>
      <c r="I117" s="57">
        <f t="shared" si="3"/>
        <v>12144</v>
      </c>
    </row>
    <row r="118" spans="1:9" s="77" customFormat="1" ht="31.9" customHeight="1" thickBot="1" x14ac:dyDescent="0.25">
      <c r="A118" s="74">
        <v>109</v>
      </c>
      <c r="B118" s="56"/>
      <c r="C118" s="75" t="s">
        <v>250</v>
      </c>
      <c r="D118" s="76" t="s">
        <v>236</v>
      </c>
      <c r="E118" s="83" t="s">
        <v>268</v>
      </c>
      <c r="F118" s="80" t="s">
        <v>70</v>
      </c>
      <c r="G118" s="81">
        <v>3</v>
      </c>
      <c r="H118" s="82">
        <v>8817</v>
      </c>
      <c r="I118" s="57">
        <f t="shared" si="3"/>
        <v>26451</v>
      </c>
    </row>
    <row r="119" spans="1:9" s="77" customFormat="1" ht="31.9" customHeight="1" thickBot="1" x14ac:dyDescent="0.25">
      <c r="A119" s="74">
        <v>110</v>
      </c>
      <c r="B119" s="56"/>
      <c r="C119" s="75" t="s">
        <v>250</v>
      </c>
      <c r="D119" s="76" t="s">
        <v>236</v>
      </c>
      <c r="E119" s="83" t="s">
        <v>269</v>
      </c>
      <c r="F119" s="80" t="s">
        <v>70</v>
      </c>
      <c r="G119" s="81">
        <v>5</v>
      </c>
      <c r="H119" s="82">
        <v>45377</v>
      </c>
      <c r="I119" s="57">
        <f t="shared" si="3"/>
        <v>226885</v>
      </c>
    </row>
    <row r="120" spans="1:9" s="77" customFormat="1" ht="31.9" customHeight="1" thickBot="1" x14ac:dyDescent="0.25">
      <c r="A120" s="74">
        <v>111</v>
      </c>
      <c r="B120" s="56"/>
      <c r="C120" s="75" t="s">
        <v>250</v>
      </c>
      <c r="D120" s="76" t="s">
        <v>236</v>
      </c>
      <c r="E120" s="79" t="s">
        <v>181</v>
      </c>
      <c r="F120" s="80" t="s">
        <v>130</v>
      </c>
      <c r="G120" s="81">
        <v>2</v>
      </c>
      <c r="H120" s="82">
        <v>1063</v>
      </c>
      <c r="I120" s="57">
        <f t="shared" si="3"/>
        <v>2126</v>
      </c>
    </row>
    <row r="121" spans="1:9" s="77" customFormat="1" ht="31.9" customHeight="1" thickBot="1" x14ac:dyDescent="0.25">
      <c r="A121" s="74">
        <v>112</v>
      </c>
      <c r="B121" s="56"/>
      <c r="C121" s="75" t="s">
        <v>250</v>
      </c>
      <c r="D121" s="76" t="s">
        <v>236</v>
      </c>
      <c r="E121" s="79" t="s">
        <v>112</v>
      </c>
      <c r="F121" s="80" t="s">
        <v>90</v>
      </c>
      <c r="G121" s="81">
        <v>3</v>
      </c>
      <c r="H121" s="82">
        <v>61960</v>
      </c>
      <c r="I121" s="57">
        <f t="shared" si="3"/>
        <v>185880</v>
      </c>
    </row>
    <row r="122" spans="1:9" s="77" customFormat="1" ht="31.9" customHeight="1" thickBot="1" x14ac:dyDescent="0.25">
      <c r="A122" s="74">
        <v>113</v>
      </c>
      <c r="B122" s="56"/>
      <c r="C122" s="75" t="s">
        <v>250</v>
      </c>
      <c r="D122" s="76" t="s">
        <v>236</v>
      </c>
      <c r="E122" s="79" t="s">
        <v>113</v>
      </c>
      <c r="F122" s="80" t="s">
        <v>70</v>
      </c>
      <c r="G122" s="81">
        <v>9</v>
      </c>
      <c r="H122" s="82">
        <v>7391</v>
      </c>
      <c r="I122" s="57">
        <f t="shared" si="3"/>
        <v>66519</v>
      </c>
    </row>
    <row r="123" spans="1:9" s="77" customFormat="1" ht="31.9" customHeight="1" thickBot="1" x14ac:dyDescent="0.25">
      <c r="A123" s="74">
        <v>114</v>
      </c>
      <c r="B123" s="56"/>
      <c r="C123" s="75" t="s">
        <v>250</v>
      </c>
      <c r="D123" s="76" t="s">
        <v>236</v>
      </c>
      <c r="E123" s="79" t="s">
        <v>114</v>
      </c>
      <c r="F123" s="80" t="s">
        <v>70</v>
      </c>
      <c r="G123" s="81">
        <v>2</v>
      </c>
      <c r="H123" s="82">
        <v>3259</v>
      </c>
      <c r="I123" s="57">
        <f t="shared" si="3"/>
        <v>6518</v>
      </c>
    </row>
    <row r="124" spans="1:9" s="77" customFormat="1" ht="31.9" customHeight="1" thickBot="1" x14ac:dyDescent="0.25">
      <c r="A124" s="74">
        <v>115</v>
      </c>
      <c r="B124" s="56"/>
      <c r="C124" s="75" t="s">
        <v>250</v>
      </c>
      <c r="D124" s="76" t="s">
        <v>236</v>
      </c>
      <c r="E124" s="79" t="s">
        <v>228</v>
      </c>
      <c r="F124" s="80" t="s">
        <v>189</v>
      </c>
      <c r="G124" s="81">
        <v>1</v>
      </c>
      <c r="H124" s="82">
        <v>3600</v>
      </c>
      <c r="I124" s="57">
        <f t="shared" si="3"/>
        <v>3600</v>
      </c>
    </row>
    <row r="125" spans="1:9" s="77" customFormat="1" ht="31.9" customHeight="1" thickBot="1" x14ac:dyDescent="0.25">
      <c r="A125" s="74">
        <v>116</v>
      </c>
      <c r="B125" s="56"/>
      <c r="C125" s="75" t="s">
        <v>250</v>
      </c>
      <c r="D125" s="76" t="s">
        <v>236</v>
      </c>
      <c r="E125" s="79" t="s">
        <v>115</v>
      </c>
      <c r="F125" s="80" t="s">
        <v>70</v>
      </c>
      <c r="G125" s="81">
        <v>9</v>
      </c>
      <c r="H125" s="82">
        <v>7737</v>
      </c>
      <c r="I125" s="57">
        <f t="shared" si="3"/>
        <v>69633</v>
      </c>
    </row>
    <row r="126" spans="1:9" s="77" customFormat="1" ht="31.9" customHeight="1" thickBot="1" x14ac:dyDescent="0.25">
      <c r="A126" s="74">
        <v>117</v>
      </c>
      <c r="B126" s="56"/>
      <c r="C126" s="75" t="s">
        <v>250</v>
      </c>
      <c r="D126" s="76" t="s">
        <v>236</v>
      </c>
      <c r="E126" s="79" t="s">
        <v>116</v>
      </c>
      <c r="F126" s="80" t="s">
        <v>70</v>
      </c>
      <c r="G126" s="81">
        <v>10</v>
      </c>
      <c r="H126" s="82">
        <v>7701</v>
      </c>
      <c r="I126" s="57">
        <f t="shared" si="3"/>
        <v>77010</v>
      </c>
    </row>
    <row r="127" spans="1:9" s="77" customFormat="1" ht="31.9" customHeight="1" thickBot="1" x14ac:dyDescent="0.25">
      <c r="A127" s="74">
        <v>118</v>
      </c>
      <c r="B127" s="56"/>
      <c r="C127" s="75" t="s">
        <v>250</v>
      </c>
      <c r="D127" s="76" t="s">
        <v>236</v>
      </c>
      <c r="E127" s="79" t="s">
        <v>117</v>
      </c>
      <c r="F127" s="80" t="s">
        <v>70</v>
      </c>
      <c r="G127" s="81">
        <v>7</v>
      </c>
      <c r="H127" s="82">
        <v>7391</v>
      </c>
      <c r="I127" s="57">
        <f t="shared" si="3"/>
        <v>51737</v>
      </c>
    </row>
    <row r="128" spans="1:9" s="77" customFormat="1" ht="31.9" customHeight="1" thickBot="1" x14ac:dyDescent="0.25">
      <c r="A128" s="74">
        <v>119</v>
      </c>
      <c r="B128" s="56"/>
      <c r="C128" s="75" t="s">
        <v>250</v>
      </c>
      <c r="D128" s="76" t="s">
        <v>236</v>
      </c>
      <c r="E128" s="79" t="s">
        <v>118</v>
      </c>
      <c r="F128" s="80" t="s">
        <v>70</v>
      </c>
      <c r="G128" s="81">
        <v>7</v>
      </c>
      <c r="H128" s="82">
        <v>7391</v>
      </c>
      <c r="I128" s="57">
        <f t="shared" si="3"/>
        <v>51737</v>
      </c>
    </row>
    <row r="129" spans="1:9" s="77" customFormat="1" ht="31.9" customHeight="1" thickBot="1" x14ac:dyDescent="0.25">
      <c r="A129" s="74">
        <v>120</v>
      </c>
      <c r="B129" s="56"/>
      <c r="C129" s="75" t="s">
        <v>250</v>
      </c>
      <c r="D129" s="76" t="s">
        <v>236</v>
      </c>
      <c r="E129" s="79" t="s">
        <v>173</v>
      </c>
      <c r="F129" s="80" t="s">
        <v>65</v>
      </c>
      <c r="G129" s="81">
        <v>1</v>
      </c>
      <c r="H129" s="82">
        <v>16669</v>
      </c>
      <c r="I129" s="57">
        <f t="shared" si="3"/>
        <v>16669</v>
      </c>
    </row>
    <row r="130" spans="1:9" s="77" customFormat="1" ht="31.9" customHeight="1" thickBot="1" x14ac:dyDescent="0.25">
      <c r="A130" s="74">
        <v>121</v>
      </c>
      <c r="B130" s="56"/>
      <c r="C130" s="75" t="s">
        <v>250</v>
      </c>
      <c r="D130" s="76" t="s">
        <v>236</v>
      </c>
      <c r="E130" s="79" t="s">
        <v>119</v>
      </c>
      <c r="F130" s="80" t="s">
        <v>70</v>
      </c>
      <c r="G130" s="81">
        <v>2</v>
      </c>
      <c r="H130" s="82">
        <v>15413</v>
      </c>
      <c r="I130" s="57">
        <f t="shared" si="3"/>
        <v>30826</v>
      </c>
    </row>
    <row r="131" spans="1:9" s="77" customFormat="1" ht="31.9" customHeight="1" thickBot="1" x14ac:dyDescent="0.25">
      <c r="A131" s="74">
        <v>122</v>
      </c>
      <c r="B131" s="56"/>
      <c r="C131" s="75" t="s">
        <v>250</v>
      </c>
      <c r="D131" s="76" t="s">
        <v>236</v>
      </c>
      <c r="E131" s="79" t="s">
        <v>178</v>
      </c>
      <c r="F131" s="80" t="s">
        <v>130</v>
      </c>
      <c r="G131" s="81">
        <v>6</v>
      </c>
      <c r="H131" s="82">
        <v>5234</v>
      </c>
      <c r="I131" s="57">
        <f t="shared" si="3"/>
        <v>31404</v>
      </c>
    </row>
    <row r="132" spans="1:9" s="77" customFormat="1" ht="31.9" customHeight="1" thickBot="1" x14ac:dyDescent="0.25">
      <c r="A132" s="74">
        <v>123</v>
      </c>
      <c r="B132" s="56"/>
      <c r="C132" s="75" t="s">
        <v>250</v>
      </c>
      <c r="D132" s="76" t="s">
        <v>236</v>
      </c>
      <c r="E132" s="83" t="s">
        <v>270</v>
      </c>
      <c r="F132" s="80" t="s">
        <v>70</v>
      </c>
      <c r="G132" s="81">
        <v>2</v>
      </c>
      <c r="H132" s="82">
        <v>19776</v>
      </c>
      <c r="I132" s="57">
        <f t="shared" si="3"/>
        <v>39552</v>
      </c>
    </row>
    <row r="133" spans="1:9" s="77" customFormat="1" ht="31.9" customHeight="1" thickBot="1" x14ac:dyDescent="0.25">
      <c r="A133" s="74">
        <v>124</v>
      </c>
      <c r="B133" s="56"/>
      <c r="C133" s="75" t="s">
        <v>250</v>
      </c>
      <c r="D133" s="76" t="s">
        <v>236</v>
      </c>
      <c r="E133" s="79" t="s">
        <v>120</v>
      </c>
      <c r="F133" s="80" t="s">
        <v>70</v>
      </c>
      <c r="G133" s="81">
        <v>2</v>
      </c>
      <c r="H133" s="82">
        <v>1742</v>
      </c>
      <c r="I133" s="57">
        <f t="shared" si="3"/>
        <v>3484</v>
      </c>
    </row>
    <row r="134" spans="1:9" s="77" customFormat="1" ht="31.9" customHeight="1" thickBot="1" x14ac:dyDescent="0.25">
      <c r="A134" s="74">
        <v>125</v>
      </c>
      <c r="B134" s="56"/>
      <c r="C134" s="75" t="s">
        <v>250</v>
      </c>
      <c r="D134" s="76" t="s">
        <v>236</v>
      </c>
      <c r="E134" s="79" t="s">
        <v>242</v>
      </c>
      <c r="F134" s="80" t="s">
        <v>243</v>
      </c>
      <c r="G134" s="81">
        <v>2</v>
      </c>
      <c r="H134" s="82">
        <v>3840</v>
      </c>
      <c r="I134" s="57">
        <f t="shared" si="3"/>
        <v>7680</v>
      </c>
    </row>
    <row r="135" spans="1:9" s="77" customFormat="1" ht="31.9" customHeight="1" thickBot="1" x14ac:dyDescent="0.25">
      <c r="A135" s="74">
        <v>126</v>
      </c>
      <c r="B135" s="56"/>
      <c r="C135" s="75" t="s">
        <v>250</v>
      </c>
      <c r="D135" s="76" t="s">
        <v>236</v>
      </c>
      <c r="E135" s="79" t="s">
        <v>122</v>
      </c>
      <c r="F135" s="80" t="s">
        <v>65</v>
      </c>
      <c r="G135" s="81">
        <v>1</v>
      </c>
      <c r="H135" s="82">
        <v>13745</v>
      </c>
      <c r="I135" s="57">
        <f t="shared" si="3"/>
        <v>13745</v>
      </c>
    </row>
    <row r="136" spans="1:9" s="77" customFormat="1" ht="31.9" customHeight="1" thickBot="1" x14ac:dyDescent="0.25">
      <c r="A136" s="74">
        <v>127</v>
      </c>
      <c r="B136" s="56"/>
      <c r="C136" s="75" t="s">
        <v>250</v>
      </c>
      <c r="D136" s="76" t="s">
        <v>236</v>
      </c>
      <c r="E136" s="79" t="s">
        <v>121</v>
      </c>
      <c r="F136" s="80" t="s">
        <v>65</v>
      </c>
      <c r="G136" s="81">
        <v>3</v>
      </c>
      <c r="H136" s="82">
        <v>16870</v>
      </c>
      <c r="I136" s="57">
        <f t="shared" si="3"/>
        <v>50610</v>
      </c>
    </row>
    <row r="137" spans="1:9" s="77" customFormat="1" ht="31.9" customHeight="1" thickBot="1" x14ac:dyDescent="0.25">
      <c r="A137" s="74">
        <v>128</v>
      </c>
      <c r="B137" s="56"/>
      <c r="C137" s="75" t="s">
        <v>250</v>
      </c>
      <c r="D137" s="76" t="s">
        <v>236</v>
      </c>
      <c r="E137" s="79" t="s">
        <v>123</v>
      </c>
      <c r="F137" s="80" t="s">
        <v>65</v>
      </c>
      <c r="G137" s="81">
        <v>3</v>
      </c>
      <c r="H137" s="82">
        <v>6354</v>
      </c>
      <c r="I137" s="57">
        <f t="shared" si="3"/>
        <v>19062</v>
      </c>
    </row>
    <row r="138" spans="1:9" s="77" customFormat="1" ht="31.9" customHeight="1" thickBot="1" x14ac:dyDescent="0.25">
      <c r="A138" s="74">
        <v>129</v>
      </c>
      <c r="B138" s="56"/>
      <c r="C138" s="75" t="s">
        <v>251</v>
      </c>
      <c r="D138" s="76" t="s">
        <v>237</v>
      </c>
      <c r="E138" s="79" t="s">
        <v>124</v>
      </c>
      <c r="F138" s="80" t="s">
        <v>78</v>
      </c>
      <c r="G138" s="81">
        <v>5</v>
      </c>
      <c r="H138" s="82">
        <v>54607</v>
      </c>
      <c r="I138" s="57">
        <f t="shared" si="3"/>
        <v>273035</v>
      </c>
    </row>
    <row r="139" spans="1:9" s="77" customFormat="1" ht="31.9" customHeight="1" thickBot="1" x14ac:dyDescent="0.25">
      <c r="A139" s="74">
        <v>130</v>
      </c>
      <c r="B139" s="56"/>
      <c r="C139" s="75" t="s">
        <v>250</v>
      </c>
      <c r="D139" s="76" t="s">
        <v>236</v>
      </c>
      <c r="E139" s="79" t="s">
        <v>125</v>
      </c>
      <c r="F139" s="80" t="s">
        <v>70</v>
      </c>
      <c r="G139" s="81">
        <v>7</v>
      </c>
      <c r="H139" s="82">
        <v>2925</v>
      </c>
      <c r="I139" s="57">
        <f t="shared" ref="I139:I170" si="4">G139*H139</f>
        <v>20475</v>
      </c>
    </row>
    <row r="140" spans="1:9" s="77" customFormat="1" ht="31.9" customHeight="1" thickBot="1" x14ac:dyDescent="0.25">
      <c r="A140" s="74">
        <v>131</v>
      </c>
      <c r="B140" s="56"/>
      <c r="C140" s="75" t="s">
        <v>250</v>
      </c>
      <c r="D140" s="76" t="s">
        <v>236</v>
      </c>
      <c r="E140" s="83" t="s">
        <v>271</v>
      </c>
      <c r="F140" s="80" t="s">
        <v>70</v>
      </c>
      <c r="G140" s="81">
        <v>3</v>
      </c>
      <c r="H140" s="82">
        <v>13872</v>
      </c>
      <c r="I140" s="57">
        <f t="shared" si="4"/>
        <v>41616</v>
      </c>
    </row>
    <row r="141" spans="1:9" s="77" customFormat="1" ht="31.9" customHeight="1" thickBot="1" x14ac:dyDescent="0.25">
      <c r="A141" s="74">
        <v>132</v>
      </c>
      <c r="B141" s="56"/>
      <c r="C141" s="75" t="s">
        <v>250</v>
      </c>
      <c r="D141" s="76" t="s">
        <v>236</v>
      </c>
      <c r="E141" s="79" t="s">
        <v>126</v>
      </c>
      <c r="F141" s="80" t="s">
        <v>70</v>
      </c>
      <c r="G141" s="81">
        <v>3</v>
      </c>
      <c r="H141" s="82">
        <v>8817</v>
      </c>
      <c r="I141" s="57">
        <f t="shared" si="4"/>
        <v>26451</v>
      </c>
    </row>
    <row r="142" spans="1:9" s="77" customFormat="1" ht="31.9" customHeight="1" thickBot="1" x14ac:dyDescent="0.25">
      <c r="A142" s="74">
        <v>133</v>
      </c>
      <c r="B142" s="56"/>
      <c r="C142" s="75" t="s">
        <v>250</v>
      </c>
      <c r="D142" s="76" t="s">
        <v>236</v>
      </c>
      <c r="E142" s="79" t="s">
        <v>127</v>
      </c>
      <c r="F142" s="80" t="s">
        <v>90</v>
      </c>
      <c r="G142" s="81">
        <v>1</v>
      </c>
      <c r="H142" s="82">
        <v>15938</v>
      </c>
      <c r="I142" s="57">
        <f t="shared" si="4"/>
        <v>15938</v>
      </c>
    </row>
    <row r="143" spans="1:9" s="77" customFormat="1" ht="31.9" customHeight="1" thickBot="1" x14ac:dyDescent="0.25">
      <c r="A143" s="74">
        <v>134</v>
      </c>
      <c r="B143" s="56"/>
      <c r="C143" s="75" t="s">
        <v>250</v>
      </c>
      <c r="D143" s="76" t="s">
        <v>236</v>
      </c>
      <c r="E143" s="79" t="s">
        <v>128</v>
      </c>
      <c r="F143" s="80" t="s">
        <v>70</v>
      </c>
      <c r="G143" s="81">
        <v>1</v>
      </c>
      <c r="H143" s="82">
        <v>3854</v>
      </c>
      <c r="I143" s="57">
        <f t="shared" si="4"/>
        <v>3854</v>
      </c>
    </row>
    <row r="144" spans="1:9" s="77" customFormat="1" ht="31.9" customHeight="1" thickBot="1" x14ac:dyDescent="0.25">
      <c r="A144" s="74">
        <v>135</v>
      </c>
      <c r="B144" s="56"/>
      <c r="C144" s="75" t="s">
        <v>250</v>
      </c>
      <c r="D144" s="76" t="s">
        <v>236</v>
      </c>
      <c r="E144" s="79" t="s">
        <v>129</v>
      </c>
      <c r="F144" s="80" t="s">
        <v>130</v>
      </c>
      <c r="G144" s="81">
        <v>1</v>
      </c>
      <c r="H144" s="82">
        <v>3391</v>
      </c>
      <c r="I144" s="57">
        <f t="shared" si="4"/>
        <v>3391</v>
      </c>
    </row>
    <row r="145" spans="1:9" s="77" customFormat="1" ht="31.9" customHeight="1" thickBot="1" x14ac:dyDescent="0.25">
      <c r="A145" s="74">
        <v>136</v>
      </c>
      <c r="B145" s="56"/>
      <c r="C145" s="75" t="s">
        <v>250</v>
      </c>
      <c r="D145" s="76" t="s">
        <v>236</v>
      </c>
      <c r="E145" s="79" t="s">
        <v>195</v>
      </c>
      <c r="F145" s="80" t="s">
        <v>188</v>
      </c>
      <c r="G145" s="81">
        <v>2</v>
      </c>
      <c r="H145" s="82">
        <v>7510</v>
      </c>
      <c r="I145" s="57">
        <f t="shared" si="4"/>
        <v>15020</v>
      </c>
    </row>
    <row r="146" spans="1:9" s="77" customFormat="1" ht="31.9" customHeight="1" thickBot="1" x14ac:dyDescent="0.25">
      <c r="A146" s="74">
        <v>137</v>
      </c>
      <c r="B146" s="56"/>
      <c r="C146" s="75" t="s">
        <v>250</v>
      </c>
      <c r="D146" s="76" t="s">
        <v>236</v>
      </c>
      <c r="E146" s="79" t="s">
        <v>186</v>
      </c>
      <c r="F146" s="80" t="s">
        <v>185</v>
      </c>
      <c r="G146" s="81">
        <v>1</v>
      </c>
      <c r="H146" s="82">
        <v>4597.2</v>
      </c>
      <c r="I146" s="57">
        <f t="shared" si="4"/>
        <v>4597.2</v>
      </c>
    </row>
    <row r="147" spans="1:9" s="77" customFormat="1" ht="31.9" customHeight="1" thickBot="1" x14ac:dyDescent="0.25">
      <c r="A147" s="74">
        <v>138</v>
      </c>
      <c r="B147" s="56"/>
      <c r="C147" s="75" t="s">
        <v>250</v>
      </c>
      <c r="D147" s="76" t="s">
        <v>236</v>
      </c>
      <c r="E147" s="79" t="s">
        <v>177</v>
      </c>
      <c r="F147" s="80" t="s">
        <v>168</v>
      </c>
      <c r="G147" s="81">
        <v>15</v>
      </c>
      <c r="H147" s="82">
        <v>1224</v>
      </c>
      <c r="I147" s="57">
        <f t="shared" si="4"/>
        <v>18360</v>
      </c>
    </row>
    <row r="148" spans="1:9" s="77" customFormat="1" ht="31.9" customHeight="1" thickBot="1" x14ac:dyDescent="0.25">
      <c r="A148" s="74">
        <v>139</v>
      </c>
      <c r="B148" s="56"/>
      <c r="C148" s="75" t="s">
        <v>250</v>
      </c>
      <c r="D148" s="76" t="s">
        <v>236</v>
      </c>
      <c r="E148" s="79" t="s">
        <v>131</v>
      </c>
      <c r="F148" s="80" t="s">
        <v>65</v>
      </c>
      <c r="G148" s="81">
        <v>1</v>
      </c>
      <c r="H148" s="82">
        <v>10516</v>
      </c>
      <c r="I148" s="57">
        <f t="shared" si="4"/>
        <v>10516</v>
      </c>
    </row>
    <row r="149" spans="1:9" s="77" customFormat="1" ht="31.9" customHeight="1" thickBot="1" x14ac:dyDescent="0.25">
      <c r="A149" s="74">
        <v>140</v>
      </c>
      <c r="B149" s="56"/>
      <c r="C149" s="75" t="s">
        <v>250</v>
      </c>
      <c r="D149" s="76" t="s">
        <v>236</v>
      </c>
      <c r="E149" s="79" t="s">
        <v>132</v>
      </c>
      <c r="F149" s="80" t="s">
        <v>65</v>
      </c>
      <c r="G149" s="81">
        <v>1</v>
      </c>
      <c r="H149" s="82">
        <v>12871</v>
      </c>
      <c r="I149" s="57">
        <f t="shared" si="4"/>
        <v>12871</v>
      </c>
    </row>
    <row r="150" spans="1:9" s="77" customFormat="1" ht="31.9" customHeight="1" thickBot="1" x14ac:dyDescent="0.25">
      <c r="A150" s="74">
        <v>141</v>
      </c>
      <c r="B150" s="56"/>
      <c r="C150" s="75" t="s">
        <v>250</v>
      </c>
      <c r="D150" s="76" t="s">
        <v>236</v>
      </c>
      <c r="E150" s="79" t="s">
        <v>133</v>
      </c>
      <c r="F150" s="80" t="s">
        <v>65</v>
      </c>
      <c r="G150" s="81">
        <v>1</v>
      </c>
      <c r="H150" s="82">
        <v>22468</v>
      </c>
      <c r="I150" s="57">
        <f t="shared" si="4"/>
        <v>22468</v>
      </c>
    </row>
    <row r="151" spans="1:9" s="77" customFormat="1" ht="31.9" customHeight="1" thickBot="1" x14ac:dyDescent="0.25">
      <c r="A151" s="74">
        <v>142</v>
      </c>
      <c r="B151" s="56"/>
      <c r="C151" s="75" t="s">
        <v>250</v>
      </c>
      <c r="D151" s="76" t="s">
        <v>236</v>
      </c>
      <c r="E151" s="79" t="s">
        <v>134</v>
      </c>
      <c r="F151" s="80" t="s">
        <v>65</v>
      </c>
      <c r="G151" s="81">
        <v>1</v>
      </c>
      <c r="H151" s="82">
        <v>23944</v>
      </c>
      <c r="I151" s="57">
        <f t="shared" si="4"/>
        <v>23944</v>
      </c>
    </row>
    <row r="152" spans="1:9" s="77" customFormat="1" ht="31.9" customHeight="1" thickBot="1" x14ac:dyDescent="0.25">
      <c r="A152" s="74">
        <v>143</v>
      </c>
      <c r="B152" s="56"/>
      <c r="C152" s="75" t="s">
        <v>250</v>
      </c>
      <c r="D152" s="76" t="s">
        <v>236</v>
      </c>
      <c r="E152" s="79" t="s">
        <v>135</v>
      </c>
      <c r="F152" s="80" t="s">
        <v>65</v>
      </c>
      <c r="G152" s="81">
        <v>1</v>
      </c>
      <c r="H152" s="82">
        <v>22324</v>
      </c>
      <c r="I152" s="57">
        <f t="shared" si="4"/>
        <v>22324</v>
      </c>
    </row>
    <row r="153" spans="1:9" s="77" customFormat="1" ht="31.9" customHeight="1" thickBot="1" x14ac:dyDescent="0.25">
      <c r="A153" s="74">
        <v>144</v>
      </c>
      <c r="B153" s="56"/>
      <c r="C153" s="75" t="s">
        <v>250</v>
      </c>
      <c r="D153" s="76" t="s">
        <v>236</v>
      </c>
      <c r="E153" s="79" t="s">
        <v>136</v>
      </c>
      <c r="F153" s="80" t="s">
        <v>65</v>
      </c>
      <c r="G153" s="81">
        <v>3</v>
      </c>
      <c r="H153" s="82">
        <v>38212</v>
      </c>
      <c r="I153" s="57">
        <f t="shared" si="4"/>
        <v>114636</v>
      </c>
    </row>
    <row r="154" spans="1:9" s="77" customFormat="1" ht="31.9" customHeight="1" thickBot="1" x14ac:dyDescent="0.25">
      <c r="A154" s="74">
        <v>145</v>
      </c>
      <c r="B154" s="56"/>
      <c r="C154" s="75" t="s">
        <v>250</v>
      </c>
      <c r="D154" s="76" t="s">
        <v>236</v>
      </c>
      <c r="E154" s="79" t="s">
        <v>137</v>
      </c>
      <c r="F154" s="80" t="s">
        <v>65</v>
      </c>
      <c r="G154" s="81">
        <v>3</v>
      </c>
      <c r="H154" s="82">
        <v>6528</v>
      </c>
      <c r="I154" s="57">
        <f t="shared" si="4"/>
        <v>19584</v>
      </c>
    </row>
    <row r="155" spans="1:9" s="77" customFormat="1" ht="31.9" customHeight="1" thickBot="1" x14ac:dyDescent="0.25">
      <c r="A155" s="74">
        <v>146</v>
      </c>
      <c r="B155" s="56"/>
      <c r="C155" s="75" t="s">
        <v>250</v>
      </c>
      <c r="D155" s="76" t="s">
        <v>236</v>
      </c>
      <c r="E155" s="79" t="s">
        <v>138</v>
      </c>
      <c r="F155" s="80" t="s">
        <v>65</v>
      </c>
      <c r="G155" s="81">
        <v>2</v>
      </c>
      <c r="H155" s="82">
        <v>24166</v>
      </c>
      <c r="I155" s="57">
        <f t="shared" si="4"/>
        <v>48332</v>
      </c>
    </row>
    <row r="156" spans="1:9" s="77" customFormat="1" ht="31.9" customHeight="1" thickBot="1" x14ac:dyDescent="0.25">
      <c r="A156" s="74">
        <v>147</v>
      </c>
      <c r="B156" s="56"/>
      <c r="C156" s="75" t="s">
        <v>250</v>
      </c>
      <c r="D156" s="76" t="s">
        <v>236</v>
      </c>
      <c r="E156" s="79" t="s">
        <v>139</v>
      </c>
      <c r="F156" s="80" t="s">
        <v>65</v>
      </c>
      <c r="G156" s="81">
        <v>4</v>
      </c>
      <c r="H156" s="82">
        <v>9769</v>
      </c>
      <c r="I156" s="57">
        <f t="shared" si="4"/>
        <v>39076</v>
      </c>
    </row>
    <row r="157" spans="1:9" s="77" customFormat="1" ht="31.9" customHeight="1" thickBot="1" x14ac:dyDescent="0.25">
      <c r="A157" s="74">
        <v>148</v>
      </c>
      <c r="B157" s="56"/>
      <c r="C157" s="75" t="s">
        <v>250</v>
      </c>
      <c r="D157" s="76" t="s">
        <v>236</v>
      </c>
      <c r="E157" s="79" t="s">
        <v>140</v>
      </c>
      <c r="F157" s="80" t="s">
        <v>65</v>
      </c>
      <c r="G157" s="81">
        <v>2</v>
      </c>
      <c r="H157" s="82">
        <v>24749</v>
      </c>
      <c r="I157" s="57">
        <f t="shared" si="4"/>
        <v>49498</v>
      </c>
    </row>
    <row r="158" spans="1:9" s="77" customFormat="1" ht="31.9" customHeight="1" thickBot="1" x14ac:dyDescent="0.25">
      <c r="A158" s="74">
        <v>149</v>
      </c>
      <c r="B158" s="56"/>
      <c r="C158" s="75" t="s">
        <v>250</v>
      </c>
      <c r="D158" s="76" t="s">
        <v>236</v>
      </c>
      <c r="E158" s="79" t="s">
        <v>141</v>
      </c>
      <c r="F158" s="80" t="s">
        <v>65</v>
      </c>
      <c r="G158" s="81">
        <v>2</v>
      </c>
      <c r="H158" s="82">
        <v>31433</v>
      </c>
      <c r="I158" s="57">
        <f t="shared" si="4"/>
        <v>62866</v>
      </c>
    </row>
    <row r="159" spans="1:9" s="77" customFormat="1" ht="31.9" customHeight="1" thickBot="1" x14ac:dyDescent="0.25">
      <c r="A159" s="74">
        <v>150</v>
      </c>
      <c r="B159" s="56"/>
      <c r="C159" s="75" t="s">
        <v>250</v>
      </c>
      <c r="D159" s="76" t="s">
        <v>236</v>
      </c>
      <c r="E159" s="79" t="s">
        <v>142</v>
      </c>
      <c r="F159" s="80" t="s">
        <v>65</v>
      </c>
      <c r="G159" s="81">
        <v>2</v>
      </c>
      <c r="H159" s="82">
        <v>31443</v>
      </c>
      <c r="I159" s="57">
        <f t="shared" si="4"/>
        <v>62886</v>
      </c>
    </row>
    <row r="160" spans="1:9" s="77" customFormat="1" ht="31.9" customHeight="1" thickBot="1" x14ac:dyDescent="0.25">
      <c r="A160" s="74">
        <v>151</v>
      </c>
      <c r="B160" s="56"/>
      <c r="C160" s="75" t="s">
        <v>250</v>
      </c>
      <c r="D160" s="76" t="s">
        <v>236</v>
      </c>
      <c r="E160" s="79" t="s">
        <v>143</v>
      </c>
      <c r="F160" s="80" t="s">
        <v>65</v>
      </c>
      <c r="G160" s="81">
        <v>2</v>
      </c>
      <c r="H160" s="82">
        <v>10917</v>
      </c>
      <c r="I160" s="57">
        <f t="shared" si="4"/>
        <v>21834</v>
      </c>
    </row>
    <row r="161" spans="1:9" s="77" customFormat="1" ht="31.9" customHeight="1" thickBot="1" x14ac:dyDescent="0.25">
      <c r="A161" s="74">
        <v>152</v>
      </c>
      <c r="B161" s="56"/>
      <c r="C161" s="75" t="s">
        <v>250</v>
      </c>
      <c r="D161" s="76" t="s">
        <v>236</v>
      </c>
      <c r="E161" s="79" t="s">
        <v>144</v>
      </c>
      <c r="F161" s="80" t="s">
        <v>65</v>
      </c>
      <c r="G161" s="81">
        <v>3</v>
      </c>
      <c r="H161" s="82">
        <v>9723</v>
      </c>
      <c r="I161" s="57">
        <f t="shared" si="4"/>
        <v>29169</v>
      </c>
    </row>
    <row r="162" spans="1:9" s="77" customFormat="1" ht="31.9" customHeight="1" thickBot="1" x14ac:dyDescent="0.25">
      <c r="A162" s="74">
        <v>153</v>
      </c>
      <c r="B162" s="56"/>
      <c r="C162" s="75" t="s">
        <v>250</v>
      </c>
      <c r="D162" s="76" t="s">
        <v>236</v>
      </c>
      <c r="E162" s="79" t="s">
        <v>145</v>
      </c>
      <c r="F162" s="80" t="s">
        <v>70</v>
      </c>
      <c r="G162" s="81">
        <v>8</v>
      </c>
      <c r="H162" s="82">
        <v>31767</v>
      </c>
      <c r="I162" s="57">
        <f t="shared" si="4"/>
        <v>254136</v>
      </c>
    </row>
    <row r="163" spans="1:9" s="77" customFormat="1" ht="31.9" customHeight="1" thickBot="1" x14ac:dyDescent="0.25">
      <c r="A163" s="74">
        <v>154</v>
      </c>
      <c r="B163" s="56"/>
      <c r="C163" s="75" t="s">
        <v>250</v>
      </c>
      <c r="D163" s="76" t="s">
        <v>236</v>
      </c>
      <c r="E163" s="83" t="s">
        <v>272</v>
      </c>
      <c r="F163" s="80" t="s">
        <v>70</v>
      </c>
      <c r="G163" s="81">
        <v>1</v>
      </c>
      <c r="H163" s="82">
        <v>5025</v>
      </c>
      <c r="I163" s="57">
        <f t="shared" si="4"/>
        <v>5025</v>
      </c>
    </row>
    <row r="164" spans="1:9" s="77" customFormat="1" ht="31.9" customHeight="1" thickBot="1" x14ac:dyDescent="0.25">
      <c r="A164" s="74">
        <v>155</v>
      </c>
      <c r="B164" s="56"/>
      <c r="C164" s="75" t="s">
        <v>250</v>
      </c>
      <c r="D164" s="76" t="s">
        <v>236</v>
      </c>
      <c r="E164" s="79" t="s">
        <v>146</v>
      </c>
      <c r="F164" s="80" t="s">
        <v>70</v>
      </c>
      <c r="G164" s="81">
        <v>12</v>
      </c>
      <c r="H164" s="82">
        <v>1475</v>
      </c>
      <c r="I164" s="57">
        <f t="shared" si="4"/>
        <v>17700</v>
      </c>
    </row>
    <row r="165" spans="1:9" s="77" customFormat="1" ht="31.9" customHeight="1" thickBot="1" x14ac:dyDescent="0.25">
      <c r="A165" s="74">
        <v>156</v>
      </c>
      <c r="B165" s="56"/>
      <c r="C165" s="75" t="s">
        <v>250</v>
      </c>
      <c r="D165" s="76" t="s">
        <v>236</v>
      </c>
      <c r="E165" s="79" t="s">
        <v>147</v>
      </c>
      <c r="F165" s="80" t="s">
        <v>65</v>
      </c>
      <c r="G165" s="81">
        <v>5</v>
      </c>
      <c r="H165" s="82">
        <v>1611</v>
      </c>
      <c r="I165" s="57">
        <f t="shared" si="4"/>
        <v>8055</v>
      </c>
    </row>
    <row r="166" spans="1:9" s="77" customFormat="1" ht="31.9" customHeight="1" thickBot="1" x14ac:dyDescent="0.25">
      <c r="A166" s="74">
        <v>157</v>
      </c>
      <c r="B166" s="56"/>
      <c r="C166" s="75" t="s">
        <v>250</v>
      </c>
      <c r="D166" s="76" t="s">
        <v>236</v>
      </c>
      <c r="E166" s="83" t="s">
        <v>273</v>
      </c>
      <c r="F166" s="80" t="s">
        <v>65</v>
      </c>
      <c r="G166" s="81">
        <v>1</v>
      </c>
      <c r="H166" s="82">
        <v>18803</v>
      </c>
      <c r="I166" s="57">
        <f t="shared" si="4"/>
        <v>18803</v>
      </c>
    </row>
    <row r="167" spans="1:9" s="77" customFormat="1" ht="31.9" customHeight="1" thickBot="1" x14ac:dyDescent="0.25">
      <c r="A167" s="74">
        <v>158</v>
      </c>
      <c r="B167" s="56"/>
      <c r="C167" s="75" t="s">
        <v>250</v>
      </c>
      <c r="D167" s="76" t="s">
        <v>236</v>
      </c>
      <c r="E167" s="83" t="s">
        <v>274</v>
      </c>
      <c r="F167" s="80" t="s">
        <v>65</v>
      </c>
      <c r="G167" s="81">
        <v>1</v>
      </c>
      <c r="H167" s="82">
        <v>82056</v>
      </c>
      <c r="I167" s="57">
        <f t="shared" si="4"/>
        <v>82056</v>
      </c>
    </row>
    <row r="168" spans="1:9" s="77" customFormat="1" ht="31.9" customHeight="1" thickBot="1" x14ac:dyDescent="0.25">
      <c r="A168" s="74">
        <v>159</v>
      </c>
      <c r="B168" s="56"/>
      <c r="C168" s="75" t="s">
        <v>250</v>
      </c>
      <c r="D168" s="76" t="s">
        <v>236</v>
      </c>
      <c r="E168" s="83" t="s">
        <v>275</v>
      </c>
      <c r="F168" s="80" t="s">
        <v>65</v>
      </c>
      <c r="G168" s="81">
        <v>1</v>
      </c>
      <c r="H168" s="82">
        <v>19396</v>
      </c>
      <c r="I168" s="57">
        <f t="shared" si="4"/>
        <v>19396</v>
      </c>
    </row>
    <row r="169" spans="1:9" s="77" customFormat="1" ht="31.9" customHeight="1" thickBot="1" x14ac:dyDescent="0.25">
      <c r="A169" s="74">
        <v>160</v>
      </c>
      <c r="B169" s="56"/>
      <c r="C169" s="75" t="s">
        <v>250</v>
      </c>
      <c r="D169" s="76" t="s">
        <v>236</v>
      </c>
      <c r="E169" s="79" t="s">
        <v>149</v>
      </c>
      <c r="F169" s="80" t="s">
        <v>65</v>
      </c>
      <c r="G169" s="81">
        <v>3</v>
      </c>
      <c r="H169" s="82">
        <v>19396</v>
      </c>
      <c r="I169" s="57">
        <f t="shared" si="4"/>
        <v>58188</v>
      </c>
    </row>
    <row r="170" spans="1:9" s="77" customFormat="1" ht="31.9" customHeight="1" thickBot="1" x14ac:dyDescent="0.25">
      <c r="A170" s="74">
        <v>161</v>
      </c>
      <c r="B170" s="56"/>
      <c r="C170" s="75" t="s">
        <v>250</v>
      </c>
      <c r="D170" s="76" t="s">
        <v>236</v>
      </c>
      <c r="E170" s="79" t="s">
        <v>150</v>
      </c>
      <c r="F170" s="80" t="s">
        <v>70</v>
      </c>
      <c r="G170" s="81">
        <v>1</v>
      </c>
      <c r="H170" s="82">
        <v>16669</v>
      </c>
      <c r="I170" s="57">
        <f t="shared" si="4"/>
        <v>16669</v>
      </c>
    </row>
    <row r="171" spans="1:9" s="77" customFormat="1" ht="31.9" customHeight="1" thickBot="1" x14ac:dyDescent="0.25">
      <c r="A171" s="74">
        <v>162</v>
      </c>
      <c r="B171" s="56"/>
      <c r="C171" s="75" t="s">
        <v>250</v>
      </c>
      <c r="D171" s="76" t="s">
        <v>236</v>
      </c>
      <c r="E171" s="83" t="s">
        <v>276</v>
      </c>
      <c r="F171" s="80" t="s">
        <v>65</v>
      </c>
      <c r="G171" s="81">
        <v>1</v>
      </c>
      <c r="H171" s="82">
        <v>67723</v>
      </c>
      <c r="I171" s="57">
        <f t="shared" ref="I171:I202" si="5">G171*H171</f>
        <v>67723</v>
      </c>
    </row>
    <row r="172" spans="1:9" s="77" customFormat="1" ht="31.9" customHeight="1" thickBot="1" x14ac:dyDescent="0.25">
      <c r="A172" s="74">
        <v>163</v>
      </c>
      <c r="B172" s="56"/>
      <c r="C172" s="75" t="s">
        <v>250</v>
      </c>
      <c r="D172" s="76" t="s">
        <v>236</v>
      </c>
      <c r="E172" s="83" t="s">
        <v>277</v>
      </c>
      <c r="F172" s="80" t="s">
        <v>65</v>
      </c>
      <c r="G172" s="81">
        <v>1</v>
      </c>
      <c r="H172" s="82">
        <v>29390</v>
      </c>
      <c r="I172" s="57">
        <f t="shared" si="5"/>
        <v>29390</v>
      </c>
    </row>
    <row r="173" spans="1:9" s="77" customFormat="1" ht="31.9" customHeight="1" thickBot="1" x14ac:dyDescent="0.25">
      <c r="A173" s="74">
        <v>164</v>
      </c>
      <c r="B173" s="56"/>
      <c r="C173" s="75" t="s">
        <v>250</v>
      </c>
      <c r="D173" s="76" t="s">
        <v>236</v>
      </c>
      <c r="E173" s="83" t="s">
        <v>278</v>
      </c>
      <c r="F173" s="80" t="s">
        <v>65</v>
      </c>
      <c r="G173" s="81">
        <v>1</v>
      </c>
      <c r="H173" s="82">
        <v>36449</v>
      </c>
      <c r="I173" s="57">
        <f t="shared" si="5"/>
        <v>36449</v>
      </c>
    </row>
    <row r="174" spans="1:9" s="77" customFormat="1" ht="31.9" customHeight="1" thickBot="1" x14ac:dyDescent="0.25">
      <c r="A174" s="74">
        <v>165</v>
      </c>
      <c r="B174" s="56"/>
      <c r="C174" s="75" t="s">
        <v>250</v>
      </c>
      <c r="D174" s="76" t="s">
        <v>236</v>
      </c>
      <c r="E174" s="83" t="s">
        <v>279</v>
      </c>
      <c r="F174" s="80" t="s">
        <v>65</v>
      </c>
      <c r="G174" s="81">
        <v>1</v>
      </c>
      <c r="H174" s="82">
        <v>31107</v>
      </c>
      <c r="I174" s="57">
        <f t="shared" si="5"/>
        <v>31107</v>
      </c>
    </row>
    <row r="175" spans="1:9" s="77" customFormat="1" ht="31.9" customHeight="1" thickBot="1" x14ac:dyDescent="0.25">
      <c r="A175" s="74">
        <v>166</v>
      </c>
      <c r="B175" s="56"/>
      <c r="C175" s="75" t="s">
        <v>250</v>
      </c>
      <c r="D175" s="76" t="s">
        <v>236</v>
      </c>
      <c r="E175" s="79" t="s">
        <v>151</v>
      </c>
      <c r="F175" s="80" t="s">
        <v>65</v>
      </c>
      <c r="G175" s="81">
        <v>1</v>
      </c>
      <c r="H175" s="82">
        <v>14901</v>
      </c>
      <c r="I175" s="57">
        <f t="shared" si="5"/>
        <v>14901</v>
      </c>
    </row>
    <row r="176" spans="1:9" s="77" customFormat="1" ht="31.9" customHeight="1" thickBot="1" x14ac:dyDescent="0.25">
      <c r="A176" s="74">
        <v>167</v>
      </c>
      <c r="B176" s="56"/>
      <c r="C176" s="75" t="s">
        <v>250</v>
      </c>
      <c r="D176" s="76" t="s">
        <v>236</v>
      </c>
      <c r="E176" s="79" t="s">
        <v>152</v>
      </c>
      <c r="F176" s="80" t="s">
        <v>70</v>
      </c>
      <c r="G176" s="81">
        <v>1</v>
      </c>
      <c r="H176" s="82">
        <v>19918</v>
      </c>
      <c r="I176" s="57">
        <f t="shared" si="5"/>
        <v>19918</v>
      </c>
    </row>
    <row r="177" spans="1:9" s="77" customFormat="1" ht="31.9" customHeight="1" thickBot="1" x14ac:dyDescent="0.25">
      <c r="A177" s="74">
        <v>168</v>
      </c>
      <c r="B177" s="56"/>
      <c r="C177" s="75" t="s">
        <v>250</v>
      </c>
      <c r="D177" s="76" t="s">
        <v>236</v>
      </c>
      <c r="E177" s="79" t="s">
        <v>153</v>
      </c>
      <c r="F177" s="80" t="s">
        <v>70</v>
      </c>
      <c r="G177" s="81">
        <v>1</v>
      </c>
      <c r="H177" s="82">
        <v>15456</v>
      </c>
      <c r="I177" s="57">
        <f t="shared" si="5"/>
        <v>15456</v>
      </c>
    </row>
    <row r="178" spans="1:9" s="77" customFormat="1" ht="31.9" customHeight="1" thickBot="1" x14ac:dyDescent="0.25">
      <c r="A178" s="74">
        <v>169</v>
      </c>
      <c r="B178" s="56"/>
      <c r="C178" s="75" t="s">
        <v>250</v>
      </c>
      <c r="D178" s="76" t="s">
        <v>236</v>
      </c>
      <c r="E178" s="79" t="s">
        <v>154</v>
      </c>
      <c r="F178" s="80" t="s">
        <v>70</v>
      </c>
      <c r="G178" s="81">
        <v>1</v>
      </c>
      <c r="H178" s="82">
        <v>17152</v>
      </c>
      <c r="I178" s="57">
        <f t="shared" si="5"/>
        <v>17152</v>
      </c>
    </row>
    <row r="179" spans="1:9" s="77" customFormat="1" ht="31.9" customHeight="1" thickBot="1" x14ac:dyDescent="0.25">
      <c r="A179" s="74">
        <v>170</v>
      </c>
      <c r="B179" s="56"/>
      <c r="C179" s="75" t="s">
        <v>250</v>
      </c>
      <c r="D179" s="76" t="s">
        <v>236</v>
      </c>
      <c r="E179" s="83" t="s">
        <v>280</v>
      </c>
      <c r="F179" s="80" t="s">
        <v>70</v>
      </c>
      <c r="G179" s="81">
        <v>1</v>
      </c>
      <c r="H179" s="82">
        <v>21425</v>
      </c>
      <c r="I179" s="57">
        <f t="shared" si="5"/>
        <v>21425</v>
      </c>
    </row>
    <row r="180" spans="1:9" s="77" customFormat="1" ht="31.9" customHeight="1" thickBot="1" x14ac:dyDescent="0.25">
      <c r="A180" s="74">
        <v>171</v>
      </c>
      <c r="B180" s="56"/>
      <c r="C180" s="75" t="s">
        <v>250</v>
      </c>
      <c r="D180" s="76" t="s">
        <v>236</v>
      </c>
      <c r="E180" s="79" t="s">
        <v>155</v>
      </c>
      <c r="F180" s="80" t="s">
        <v>70</v>
      </c>
      <c r="G180" s="81">
        <v>1</v>
      </c>
      <c r="H180" s="82">
        <v>26477</v>
      </c>
      <c r="I180" s="57">
        <f t="shared" si="5"/>
        <v>26477</v>
      </c>
    </row>
    <row r="181" spans="1:9" s="77" customFormat="1" ht="31.9" customHeight="1" thickBot="1" x14ac:dyDescent="0.25">
      <c r="A181" s="74">
        <v>172</v>
      </c>
      <c r="B181" s="56"/>
      <c r="C181" s="75" t="s">
        <v>250</v>
      </c>
      <c r="D181" s="76" t="s">
        <v>236</v>
      </c>
      <c r="E181" s="79" t="s">
        <v>156</v>
      </c>
      <c r="F181" s="80" t="s">
        <v>70</v>
      </c>
      <c r="G181" s="81">
        <v>2</v>
      </c>
      <c r="H181" s="82">
        <v>21731</v>
      </c>
      <c r="I181" s="57">
        <f t="shared" si="5"/>
        <v>43462</v>
      </c>
    </row>
    <row r="182" spans="1:9" s="77" customFormat="1" ht="31.9" customHeight="1" thickBot="1" x14ac:dyDescent="0.25">
      <c r="A182" s="74">
        <v>173</v>
      </c>
      <c r="B182" s="56"/>
      <c r="C182" s="75" t="s">
        <v>250</v>
      </c>
      <c r="D182" s="76" t="s">
        <v>236</v>
      </c>
      <c r="E182" s="79" t="s">
        <v>157</v>
      </c>
      <c r="F182" s="80" t="s">
        <v>70</v>
      </c>
      <c r="G182" s="81">
        <v>4</v>
      </c>
      <c r="H182" s="82">
        <v>21731</v>
      </c>
      <c r="I182" s="57">
        <f t="shared" si="5"/>
        <v>86924</v>
      </c>
    </row>
    <row r="183" spans="1:9" s="77" customFormat="1" ht="31.9" customHeight="1" thickBot="1" x14ac:dyDescent="0.25">
      <c r="A183" s="74">
        <v>174</v>
      </c>
      <c r="B183" s="56"/>
      <c r="C183" s="75" t="s">
        <v>250</v>
      </c>
      <c r="D183" s="76" t="s">
        <v>236</v>
      </c>
      <c r="E183" s="83" t="s">
        <v>281</v>
      </c>
      <c r="F183" s="80" t="s">
        <v>70</v>
      </c>
      <c r="G183" s="81">
        <v>2</v>
      </c>
      <c r="H183" s="82">
        <v>21731</v>
      </c>
      <c r="I183" s="57">
        <f t="shared" si="5"/>
        <v>43462</v>
      </c>
    </row>
    <row r="184" spans="1:9" s="77" customFormat="1" ht="31.9" customHeight="1" thickBot="1" x14ac:dyDescent="0.25">
      <c r="A184" s="74">
        <v>175</v>
      </c>
      <c r="B184" s="56"/>
      <c r="C184" s="75" t="s">
        <v>250</v>
      </c>
      <c r="D184" s="76" t="s">
        <v>236</v>
      </c>
      <c r="E184" s="83" t="s">
        <v>282</v>
      </c>
      <c r="F184" s="80" t="s">
        <v>70</v>
      </c>
      <c r="G184" s="81">
        <v>1</v>
      </c>
      <c r="H184" s="82">
        <v>17152</v>
      </c>
      <c r="I184" s="57">
        <f t="shared" si="5"/>
        <v>17152</v>
      </c>
    </row>
    <row r="185" spans="1:9" s="77" customFormat="1" ht="31.9" customHeight="1" thickBot="1" x14ac:dyDescent="0.25">
      <c r="A185" s="74">
        <v>176</v>
      </c>
      <c r="B185" s="56"/>
      <c r="C185" s="75" t="s">
        <v>250</v>
      </c>
      <c r="D185" s="76" t="s">
        <v>236</v>
      </c>
      <c r="E185" s="83" t="s">
        <v>283</v>
      </c>
      <c r="F185" s="80" t="s">
        <v>65</v>
      </c>
      <c r="G185" s="81">
        <v>1</v>
      </c>
      <c r="H185" s="82">
        <v>18803</v>
      </c>
      <c r="I185" s="57">
        <f t="shared" si="5"/>
        <v>18803</v>
      </c>
    </row>
    <row r="186" spans="1:9" s="77" customFormat="1" ht="31.9" customHeight="1" thickBot="1" x14ac:dyDescent="0.25">
      <c r="A186" s="74">
        <v>177</v>
      </c>
      <c r="B186" s="56"/>
      <c r="C186" s="75" t="s">
        <v>250</v>
      </c>
      <c r="D186" s="76" t="s">
        <v>236</v>
      </c>
      <c r="E186" s="79" t="s">
        <v>148</v>
      </c>
      <c r="F186" s="80" t="s">
        <v>65</v>
      </c>
      <c r="G186" s="81">
        <v>3</v>
      </c>
      <c r="H186" s="82">
        <v>31813</v>
      </c>
      <c r="I186" s="57">
        <f t="shared" si="5"/>
        <v>95439</v>
      </c>
    </row>
    <row r="187" spans="1:9" s="77" customFormat="1" ht="31.9" customHeight="1" thickBot="1" x14ac:dyDescent="0.25">
      <c r="A187" s="74">
        <v>178</v>
      </c>
      <c r="B187" s="56"/>
      <c r="C187" s="75" t="s">
        <v>250</v>
      </c>
      <c r="D187" s="76" t="s">
        <v>236</v>
      </c>
      <c r="E187" s="83" t="s">
        <v>284</v>
      </c>
      <c r="F187" s="80" t="s">
        <v>65</v>
      </c>
      <c r="G187" s="81">
        <v>1</v>
      </c>
      <c r="H187" s="82">
        <v>77446</v>
      </c>
      <c r="I187" s="57">
        <f t="shared" si="5"/>
        <v>77446</v>
      </c>
    </row>
    <row r="188" spans="1:9" s="77" customFormat="1" ht="31.9" customHeight="1" thickBot="1" x14ac:dyDescent="0.25">
      <c r="A188" s="74">
        <v>179</v>
      </c>
      <c r="B188" s="56"/>
      <c r="C188" s="75" t="s">
        <v>250</v>
      </c>
      <c r="D188" s="76" t="s">
        <v>236</v>
      </c>
      <c r="E188" s="79" t="s">
        <v>158</v>
      </c>
      <c r="F188" s="80" t="s">
        <v>65</v>
      </c>
      <c r="G188" s="81">
        <v>6</v>
      </c>
      <c r="H188" s="82">
        <v>23535</v>
      </c>
      <c r="I188" s="57">
        <f t="shared" si="5"/>
        <v>141210</v>
      </c>
    </row>
    <row r="189" spans="1:9" s="77" customFormat="1" ht="31.9" customHeight="1" thickBot="1" x14ac:dyDescent="0.25">
      <c r="A189" s="74">
        <v>180</v>
      </c>
      <c r="B189" s="56"/>
      <c r="C189" s="75" t="s">
        <v>250</v>
      </c>
      <c r="D189" s="76" t="s">
        <v>236</v>
      </c>
      <c r="E189" s="79" t="s">
        <v>159</v>
      </c>
      <c r="F189" s="80" t="s">
        <v>65</v>
      </c>
      <c r="G189" s="81">
        <v>9</v>
      </c>
      <c r="H189" s="82">
        <v>38587</v>
      </c>
      <c r="I189" s="57">
        <f t="shared" si="5"/>
        <v>347283</v>
      </c>
    </row>
    <row r="190" spans="1:9" s="77" customFormat="1" ht="31.9" customHeight="1" thickBot="1" x14ac:dyDescent="0.25">
      <c r="A190" s="74">
        <v>181</v>
      </c>
      <c r="B190" s="56"/>
      <c r="C190" s="75" t="s">
        <v>250</v>
      </c>
      <c r="D190" s="76" t="s">
        <v>236</v>
      </c>
      <c r="E190" s="79" t="s">
        <v>160</v>
      </c>
      <c r="F190" s="80" t="s">
        <v>65</v>
      </c>
      <c r="G190" s="81">
        <v>9</v>
      </c>
      <c r="H190" s="82">
        <v>51200</v>
      </c>
      <c r="I190" s="57">
        <f t="shared" si="5"/>
        <v>460800</v>
      </c>
    </row>
    <row r="191" spans="1:9" s="77" customFormat="1" ht="31.9" customHeight="1" thickBot="1" x14ac:dyDescent="0.25">
      <c r="A191" s="74">
        <v>182</v>
      </c>
      <c r="B191" s="56"/>
      <c r="C191" s="75" t="s">
        <v>250</v>
      </c>
      <c r="D191" s="76" t="s">
        <v>236</v>
      </c>
      <c r="E191" s="79" t="s">
        <v>161</v>
      </c>
      <c r="F191" s="80" t="s">
        <v>65</v>
      </c>
      <c r="G191" s="81">
        <v>3</v>
      </c>
      <c r="H191" s="82">
        <v>10541</v>
      </c>
      <c r="I191" s="57">
        <f t="shared" si="5"/>
        <v>31623</v>
      </c>
    </row>
    <row r="192" spans="1:9" s="77" customFormat="1" ht="31.9" customHeight="1" thickBot="1" x14ac:dyDescent="0.25">
      <c r="A192" s="74">
        <v>183</v>
      </c>
      <c r="B192" s="56"/>
      <c r="C192" s="75" t="s">
        <v>250</v>
      </c>
      <c r="D192" s="76" t="s">
        <v>236</v>
      </c>
      <c r="E192" s="79" t="s">
        <v>162</v>
      </c>
      <c r="F192" s="80" t="s">
        <v>90</v>
      </c>
      <c r="G192" s="81">
        <v>2</v>
      </c>
      <c r="H192" s="82">
        <v>52148</v>
      </c>
      <c r="I192" s="57">
        <f t="shared" si="5"/>
        <v>104296</v>
      </c>
    </row>
    <row r="193" spans="1:9" s="77" customFormat="1" ht="31.9" customHeight="1" thickBot="1" x14ac:dyDescent="0.25">
      <c r="A193" s="74">
        <v>184</v>
      </c>
      <c r="B193" s="56"/>
      <c r="C193" s="75" t="s">
        <v>250</v>
      </c>
      <c r="D193" s="76" t="s">
        <v>236</v>
      </c>
      <c r="E193" s="79" t="s">
        <v>184</v>
      </c>
      <c r="F193" s="80" t="s">
        <v>185</v>
      </c>
      <c r="G193" s="81">
        <v>3</v>
      </c>
      <c r="H193" s="82">
        <v>13680</v>
      </c>
      <c r="I193" s="57">
        <f t="shared" si="5"/>
        <v>41040</v>
      </c>
    </row>
    <row r="194" spans="1:9" s="77" customFormat="1" ht="31.9" customHeight="1" thickBot="1" x14ac:dyDescent="0.25">
      <c r="A194" s="74">
        <v>185</v>
      </c>
      <c r="B194" s="56"/>
      <c r="C194" s="75" t="s">
        <v>250</v>
      </c>
      <c r="D194" s="76" t="s">
        <v>236</v>
      </c>
      <c r="E194" s="79" t="s">
        <v>196</v>
      </c>
      <c r="F194" s="80" t="s">
        <v>188</v>
      </c>
      <c r="G194" s="81">
        <v>2</v>
      </c>
      <c r="H194" s="82">
        <v>2475</v>
      </c>
      <c r="I194" s="57">
        <f t="shared" si="5"/>
        <v>4950</v>
      </c>
    </row>
    <row r="195" spans="1:9" s="77" customFormat="1" ht="31.9" customHeight="1" thickBot="1" x14ac:dyDescent="0.25">
      <c r="A195" s="74">
        <v>186</v>
      </c>
      <c r="B195" s="56"/>
      <c r="C195" s="75" t="s">
        <v>250</v>
      </c>
      <c r="D195" s="76" t="s">
        <v>236</v>
      </c>
      <c r="E195" s="79" t="s">
        <v>163</v>
      </c>
      <c r="F195" s="80" t="s">
        <v>65</v>
      </c>
      <c r="G195" s="81">
        <v>1</v>
      </c>
      <c r="H195" s="82">
        <v>16645</v>
      </c>
      <c r="I195" s="57">
        <f t="shared" si="5"/>
        <v>16645</v>
      </c>
    </row>
    <row r="196" spans="1:9" s="77" customFormat="1" ht="31.9" customHeight="1" thickBot="1" x14ac:dyDescent="0.25">
      <c r="A196" s="74">
        <v>187</v>
      </c>
      <c r="B196" s="56"/>
      <c r="C196" s="75" t="s">
        <v>250</v>
      </c>
      <c r="D196" s="76" t="s">
        <v>236</v>
      </c>
      <c r="E196" s="83" t="s">
        <v>285</v>
      </c>
      <c r="F196" s="80" t="s">
        <v>70</v>
      </c>
      <c r="G196" s="81">
        <v>3</v>
      </c>
      <c r="H196" s="82">
        <v>8229</v>
      </c>
      <c r="I196" s="57">
        <f t="shared" si="5"/>
        <v>24687</v>
      </c>
    </row>
    <row r="197" spans="1:9" s="77" customFormat="1" ht="31.9" customHeight="1" thickBot="1" x14ac:dyDescent="0.25">
      <c r="A197" s="74">
        <v>188</v>
      </c>
      <c r="B197" s="56"/>
      <c r="C197" s="75" t="s">
        <v>250</v>
      </c>
      <c r="D197" s="76" t="s">
        <v>236</v>
      </c>
      <c r="E197" s="79" t="s">
        <v>164</v>
      </c>
      <c r="F197" s="80" t="s">
        <v>70</v>
      </c>
      <c r="G197" s="81">
        <v>6</v>
      </c>
      <c r="H197" s="82">
        <v>3095</v>
      </c>
      <c r="I197" s="57">
        <f t="shared" si="5"/>
        <v>18570</v>
      </c>
    </row>
    <row r="198" spans="1:9" s="77" customFormat="1" ht="31.9" customHeight="1" thickBot="1" x14ac:dyDescent="0.25">
      <c r="A198" s="74">
        <v>189</v>
      </c>
      <c r="B198" s="56"/>
      <c r="C198" s="75" t="s">
        <v>250</v>
      </c>
      <c r="D198" s="76" t="s">
        <v>236</v>
      </c>
      <c r="E198" s="79" t="s">
        <v>165</v>
      </c>
      <c r="F198" s="80" t="s">
        <v>65</v>
      </c>
      <c r="G198" s="81">
        <v>4</v>
      </c>
      <c r="H198" s="82">
        <v>20717</v>
      </c>
      <c r="I198" s="57">
        <f t="shared" si="5"/>
        <v>82868</v>
      </c>
    </row>
    <row r="199" spans="1:9" s="77" customFormat="1" ht="31.9" customHeight="1" thickBot="1" x14ac:dyDescent="0.25">
      <c r="A199" s="74">
        <v>190</v>
      </c>
      <c r="B199" s="56"/>
      <c r="C199" s="75" t="s">
        <v>250</v>
      </c>
      <c r="D199" s="76" t="s">
        <v>236</v>
      </c>
      <c r="E199" s="79" t="s">
        <v>170</v>
      </c>
      <c r="F199" s="80" t="s">
        <v>169</v>
      </c>
      <c r="G199" s="81">
        <v>5000</v>
      </c>
      <c r="H199" s="82">
        <v>1140</v>
      </c>
      <c r="I199" s="57">
        <f t="shared" si="5"/>
        <v>5700000</v>
      </c>
    </row>
    <row r="200" spans="1:9" s="77" customFormat="1" ht="31.9" customHeight="1" thickBot="1" x14ac:dyDescent="0.25">
      <c r="A200" s="74">
        <v>191</v>
      </c>
      <c r="B200" s="56"/>
      <c r="C200" s="75" t="s">
        <v>250</v>
      </c>
      <c r="D200" s="76" t="s">
        <v>236</v>
      </c>
      <c r="E200" s="79" t="s">
        <v>171</v>
      </c>
      <c r="F200" s="80" t="s">
        <v>169</v>
      </c>
      <c r="G200" s="81">
        <v>10000</v>
      </c>
      <c r="H200" s="82">
        <v>14.9</v>
      </c>
      <c r="I200" s="57">
        <f t="shared" si="5"/>
        <v>149000</v>
      </c>
    </row>
    <row r="201" spans="1:9" s="77" customFormat="1" ht="31.9" customHeight="1" thickBot="1" x14ac:dyDescent="0.25">
      <c r="A201" s="74">
        <v>192</v>
      </c>
      <c r="B201" s="56"/>
      <c r="C201" s="75" t="s">
        <v>250</v>
      </c>
      <c r="D201" s="76" t="s">
        <v>236</v>
      </c>
      <c r="E201" s="79" t="s">
        <v>172</v>
      </c>
      <c r="F201" s="80" t="s">
        <v>169</v>
      </c>
      <c r="G201" s="81">
        <v>12000</v>
      </c>
      <c r="H201" s="82">
        <v>23.9</v>
      </c>
      <c r="I201" s="57">
        <f t="shared" si="5"/>
        <v>286800</v>
      </c>
    </row>
    <row r="202" spans="1:9" s="77" customFormat="1" ht="31.9" customHeight="1" thickBot="1" x14ac:dyDescent="0.25">
      <c r="A202" s="74">
        <v>193</v>
      </c>
      <c r="B202" s="56"/>
      <c r="C202" s="75" t="s">
        <v>250</v>
      </c>
      <c r="D202" s="76" t="s">
        <v>236</v>
      </c>
      <c r="E202" s="79" t="s">
        <v>166</v>
      </c>
      <c r="F202" s="80" t="s">
        <v>70</v>
      </c>
      <c r="G202" s="81">
        <v>12</v>
      </c>
      <c r="H202" s="82">
        <v>5249</v>
      </c>
      <c r="I202" s="57">
        <f t="shared" si="5"/>
        <v>62988</v>
      </c>
    </row>
    <row r="203" spans="1:9" s="77" customFormat="1" ht="31.9" customHeight="1" thickBot="1" x14ac:dyDescent="0.25">
      <c r="A203" s="74">
        <v>194</v>
      </c>
      <c r="B203" s="56"/>
      <c r="C203" s="75" t="s">
        <v>250</v>
      </c>
      <c r="D203" s="76" t="s">
        <v>236</v>
      </c>
      <c r="E203" s="79" t="s">
        <v>232</v>
      </c>
      <c r="F203" s="80" t="s">
        <v>188</v>
      </c>
      <c r="G203" s="81">
        <v>2</v>
      </c>
      <c r="H203" s="82">
        <v>3000</v>
      </c>
      <c r="I203" s="57">
        <f t="shared" ref="I203" si="6">G203*H203</f>
        <v>6000</v>
      </c>
    </row>
    <row r="204" spans="1:9" ht="13.5" thickBot="1" x14ac:dyDescent="0.25">
      <c r="I204" s="78"/>
    </row>
    <row r="205" spans="1:9" ht="90" customHeight="1" thickBot="1" x14ac:dyDescent="0.25">
      <c r="C205" s="92" t="s">
        <v>247</v>
      </c>
      <c r="D205" s="93"/>
      <c r="E205" s="93"/>
      <c r="I205" s="78"/>
    </row>
    <row r="206" spans="1:9" ht="29.25" customHeight="1" thickBot="1" x14ac:dyDescent="0.25">
      <c r="C206" s="94" t="s">
        <v>248</v>
      </c>
      <c r="D206" s="95"/>
      <c r="E206" s="93"/>
      <c r="I206" s="78"/>
    </row>
    <row r="207" spans="1:9" ht="21" customHeight="1" thickBot="1" x14ac:dyDescent="0.25">
      <c r="C207" s="94" t="s">
        <v>249</v>
      </c>
      <c r="D207" s="95"/>
      <c r="E207" s="93"/>
      <c r="I207" s="78"/>
    </row>
    <row r="208" spans="1:9" ht="13.5" thickBot="1" x14ac:dyDescent="0.25"/>
    <row r="209" spans="2:5" x14ac:dyDescent="0.2">
      <c r="B209" s="42" t="s">
        <v>14</v>
      </c>
      <c r="C209" s="43"/>
      <c r="D209" s="43"/>
      <c r="E209" s="44"/>
    </row>
    <row r="210" spans="2:5" ht="5.25" customHeight="1" x14ac:dyDescent="0.2">
      <c r="B210" s="45"/>
      <c r="C210" s="46"/>
      <c r="D210" s="46"/>
      <c r="E210" s="47"/>
    </row>
    <row r="211" spans="2:5" x14ac:dyDescent="0.2">
      <c r="B211" s="48" t="s">
        <v>15</v>
      </c>
      <c r="C211" s="46"/>
      <c r="D211" s="46"/>
      <c r="E211" s="47"/>
    </row>
    <row r="212" spans="2:5" ht="41.25" customHeight="1" x14ac:dyDescent="0.2">
      <c r="B212" s="48"/>
      <c r="C212" s="87"/>
      <c r="D212" s="87"/>
      <c r="E212" s="87"/>
    </row>
    <row r="213" spans="2:5" x14ac:dyDescent="0.2">
      <c r="B213" s="48" t="s">
        <v>16</v>
      </c>
      <c r="C213" s="46"/>
      <c r="D213" s="46"/>
      <c r="E213" s="47"/>
    </row>
    <row r="214" spans="2:5" x14ac:dyDescent="0.2">
      <c r="B214" s="49"/>
      <c r="C214" s="90" t="s">
        <v>246</v>
      </c>
      <c r="D214" s="90"/>
      <c r="E214" s="90"/>
    </row>
    <row r="215" spans="2:5" x14ac:dyDescent="0.2">
      <c r="B215" s="49"/>
      <c r="C215" s="91"/>
      <c r="D215" s="91"/>
      <c r="E215" s="91"/>
    </row>
    <row r="216" spans="2:5" x14ac:dyDescent="0.2">
      <c r="B216" s="48" t="s">
        <v>17</v>
      </c>
      <c r="C216" s="46"/>
      <c r="D216" s="46"/>
      <c r="E216" s="47"/>
    </row>
    <row r="217" spans="2:5" ht="26.25" customHeight="1" x14ac:dyDescent="0.2">
      <c r="B217" s="49"/>
      <c r="C217" s="87"/>
      <c r="D217" s="87"/>
      <c r="E217" s="87"/>
    </row>
    <row r="218" spans="2:5" x14ac:dyDescent="0.2">
      <c r="B218" s="48" t="s">
        <v>18</v>
      </c>
      <c r="C218" s="50"/>
      <c r="D218" s="50"/>
      <c r="E218" s="51"/>
    </row>
    <row r="219" spans="2:5" ht="26.25" customHeight="1" x14ac:dyDescent="0.2">
      <c r="B219" s="49"/>
      <c r="C219" s="88" t="s">
        <v>62</v>
      </c>
      <c r="D219" s="88"/>
      <c r="E219" s="88"/>
    </row>
    <row r="220" spans="2:5" x14ac:dyDescent="0.2">
      <c r="B220" s="48" t="s">
        <v>19</v>
      </c>
      <c r="C220" s="46"/>
      <c r="D220" s="46"/>
      <c r="E220" s="47"/>
    </row>
    <row r="221" spans="2:5" ht="23.25" customHeight="1" x14ac:dyDescent="0.2">
      <c r="B221" s="48"/>
      <c r="C221" s="89"/>
      <c r="D221" s="89"/>
      <c r="E221" s="89"/>
    </row>
    <row r="222" spans="2:5" x14ac:dyDescent="0.2">
      <c r="B222" s="52"/>
      <c r="C222" s="53"/>
      <c r="D222" s="53"/>
      <c r="E222" s="54"/>
    </row>
  </sheetData>
  <sortState xmlns:xlrd2="http://schemas.microsoft.com/office/spreadsheetml/2017/richdata2" ref="B10:I213">
    <sortCondition ref="E10:E213"/>
  </sortState>
  <mergeCells count="16">
    <mergeCell ref="C217:E217"/>
    <mergeCell ref="C219:E219"/>
    <mergeCell ref="C221:E221"/>
    <mergeCell ref="A6:B6"/>
    <mergeCell ref="A7:B7"/>
    <mergeCell ref="C212:E212"/>
    <mergeCell ref="C214:E214"/>
    <mergeCell ref="C215:E215"/>
    <mergeCell ref="C205:E205"/>
    <mergeCell ref="C206:E206"/>
    <mergeCell ref="C207:E20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6"/>
  <sheetViews>
    <sheetView zoomScale="70" zoomScaleNormal="70" workbookViewId="0">
      <selection activeCell="C19" sqref="C19:G1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6" t="s">
        <v>20</v>
      </c>
      <c r="B1" s="96"/>
      <c r="C1" s="96"/>
      <c r="D1" s="96"/>
      <c r="E1" s="96"/>
      <c r="F1" s="96"/>
      <c r="G1" s="96"/>
      <c r="H1" s="96"/>
      <c r="I1" s="96"/>
      <c r="J1" s="3" t="s">
        <v>21</v>
      </c>
      <c r="K1" s="60" t="s">
        <v>240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7" t="s">
        <v>54</v>
      </c>
      <c r="B3" s="97"/>
      <c r="C3" s="97"/>
      <c r="D3" s="98" t="str">
        <f>'Necesidades Trimestrales'!C4</f>
        <v>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25">
      <c r="A4" s="99" t="s">
        <v>55</v>
      </c>
      <c r="B4" s="99"/>
      <c r="C4" s="99"/>
      <c r="D4" s="98" t="str">
        <f>'Necesidades Trimestrales'!C5</f>
        <v>23 - Hospital Interzonal San Juan Bautista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25">
      <c r="A5" s="99" t="s">
        <v>33</v>
      </c>
      <c r="B5" s="99"/>
      <c r="C5" s="99"/>
      <c r="D5" s="98" t="s">
        <v>60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25">
      <c r="A6" s="97" t="s">
        <v>56</v>
      </c>
      <c r="B6" s="97"/>
      <c r="C6" s="97"/>
      <c r="D6" s="98" t="s">
        <v>239</v>
      </c>
      <c r="E6" s="98"/>
      <c r="F6" s="98"/>
      <c r="G6" s="98"/>
      <c r="H6" s="98"/>
      <c r="I6" s="98"/>
      <c r="J6" s="98"/>
      <c r="K6" s="98"/>
    </row>
    <row r="7" spans="1:11" ht="16.5" customHeight="1" x14ac:dyDescent="0.2">
      <c r="A7" s="99" t="s">
        <v>22</v>
      </c>
      <c r="B7" s="99"/>
      <c r="C7" s="99"/>
      <c r="D7" s="98" t="str">
        <f>'Necesidades Trimestrales'!C7 &amp; "° Trimestre - Año " &amp; 'Necesidades Trimestrales'!C6</f>
        <v>3° Trimestre - Año 2021</v>
      </c>
      <c r="E7" s="98"/>
      <c r="F7" s="98"/>
      <c r="G7" s="98"/>
      <c r="H7" s="98"/>
      <c r="I7" s="98"/>
      <c r="J7" s="98"/>
      <c r="K7" s="98"/>
    </row>
    <row r="8" spans="1:11" ht="16.5" customHeight="1" x14ac:dyDescent="0.2">
      <c r="A8" s="100" t="s">
        <v>23</v>
      </c>
      <c r="B8" s="100"/>
      <c r="C8" s="100"/>
      <c r="D8" s="101" t="s">
        <v>235</v>
      </c>
      <c r="E8" s="101"/>
      <c r="F8" s="101"/>
      <c r="G8" s="101"/>
      <c r="H8" s="101"/>
      <c r="I8" s="101"/>
      <c r="J8" s="101"/>
      <c r="K8" s="10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2" t="s">
        <v>24</v>
      </c>
      <c r="B10" s="103" t="s">
        <v>25</v>
      </c>
      <c r="C10" s="103" t="s">
        <v>26</v>
      </c>
      <c r="D10" s="103"/>
      <c r="E10" s="103"/>
      <c r="F10" s="103"/>
      <c r="G10" s="103"/>
      <c r="H10" s="103" t="s">
        <v>27</v>
      </c>
      <c r="I10" s="103" t="s">
        <v>28</v>
      </c>
      <c r="J10" s="103" t="s">
        <v>29</v>
      </c>
      <c r="K10" s="104" t="s">
        <v>30</v>
      </c>
    </row>
    <row r="11" spans="1:11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1" ht="20.25" customHeight="1" thickBot="1" x14ac:dyDescent="0.25">
      <c r="A12" s="8">
        <v>1</v>
      </c>
      <c r="B12" s="61">
        <f>'Necesidades Trimestrales'!B10</f>
        <v>0</v>
      </c>
      <c r="C12" s="107" t="str">
        <f>'Necesidades Trimestrales'!E10</f>
        <v>ACEITE DE INMERSIÓN : X 100 ML</v>
      </c>
      <c r="D12" s="107"/>
      <c r="E12" s="107"/>
      <c r="F12" s="107"/>
      <c r="G12" s="107"/>
      <c r="H12" s="62" t="s">
        <v>57</v>
      </c>
      <c r="I12" s="63" t="str">
        <f>'Necesidades Trimestrales'!F10</f>
        <v>FRASCO</v>
      </c>
      <c r="J12" s="64">
        <f>'Necesidades Trimestrales'!H10</f>
        <v>1505</v>
      </c>
      <c r="K12" s="65">
        <f>'Necesidades Trimestrales'!G10</f>
        <v>3</v>
      </c>
    </row>
    <row r="13" spans="1:11" ht="20.25" customHeight="1" thickBot="1" x14ac:dyDescent="0.25">
      <c r="A13" s="8">
        <v>2</v>
      </c>
      <c r="B13" s="61">
        <f>'Necesidades Trimestrales'!B11</f>
        <v>0</v>
      </c>
      <c r="C13" s="107" t="str">
        <f>'Necesidades Trimestrales'!E11</f>
        <v>ACETATO DE BUTILO X L</v>
      </c>
      <c r="D13" s="107"/>
      <c r="E13" s="107"/>
      <c r="F13" s="107"/>
      <c r="G13" s="107"/>
      <c r="H13" s="62" t="s">
        <v>57</v>
      </c>
      <c r="I13" s="63" t="str">
        <f>'Necesidades Trimestrales'!F11</f>
        <v>BOTELLA</v>
      </c>
      <c r="J13" s="64">
        <f>'Necesidades Trimestrales'!H11</f>
        <v>1144</v>
      </c>
      <c r="K13" s="65">
        <f>'Necesidades Trimestrales'!G11</f>
        <v>24</v>
      </c>
    </row>
    <row r="14" spans="1:11" ht="20.25" customHeight="1" thickBot="1" x14ac:dyDescent="0.25">
      <c r="A14" s="8">
        <v>3</v>
      </c>
      <c r="B14" s="61">
        <f>'Necesidades Trimestrales'!B12</f>
        <v>0</v>
      </c>
      <c r="C14" s="107" t="str">
        <f>'Necesidades Trimestrales'!E12</f>
        <v>ACID WASH SOLUTION 2 X 1800 MLP/COBAS C311</v>
      </c>
      <c r="D14" s="107"/>
      <c r="E14" s="107"/>
      <c r="F14" s="107"/>
      <c r="G14" s="107"/>
      <c r="H14" s="62" t="s">
        <v>57</v>
      </c>
      <c r="I14" s="63" t="str">
        <f>'Necesidades Trimestrales'!F12</f>
        <v>CAJA</v>
      </c>
      <c r="J14" s="64">
        <f>'Necesidades Trimestrales'!H12</f>
        <v>28854</v>
      </c>
      <c r="K14" s="65">
        <f>'Necesidades Trimestrales'!G12</f>
        <v>3</v>
      </c>
    </row>
    <row r="15" spans="1:11" ht="20.25" customHeight="1" thickBot="1" x14ac:dyDescent="0.25">
      <c r="A15" s="8">
        <v>4</v>
      </c>
      <c r="B15" s="61">
        <f>'Necesidades Trimestrales'!B13</f>
        <v>0</v>
      </c>
      <c r="C15" s="107" t="str">
        <f>'Necesidades Trimestrales'!E13</f>
        <v>ACIDO URICO COBAS C-311 ROCHE  X 400 DET</v>
      </c>
      <c r="D15" s="107"/>
      <c r="E15" s="107"/>
      <c r="F15" s="107"/>
      <c r="G15" s="107"/>
      <c r="H15" s="62" t="s">
        <v>57</v>
      </c>
      <c r="I15" s="63" t="str">
        <f>'Necesidades Trimestrales'!F13</f>
        <v>CASSETTE</v>
      </c>
      <c r="J15" s="64">
        <f>'Necesidades Trimestrales'!H13</f>
        <v>4661</v>
      </c>
      <c r="K15" s="65">
        <f>'Necesidades Trimestrales'!G13</f>
        <v>2</v>
      </c>
    </row>
    <row r="16" spans="1:11" ht="20.25" customHeight="1" thickBot="1" x14ac:dyDescent="0.25">
      <c r="A16" s="8">
        <v>5</v>
      </c>
      <c r="B16" s="61">
        <f>'Necesidades Trimestrales'!B14</f>
        <v>0</v>
      </c>
      <c r="C16" s="107" t="str">
        <f>'Necesidades Trimestrales'!E14</f>
        <v>AGAR BASE SANGRE :  X 500 GR</v>
      </c>
      <c r="D16" s="107"/>
      <c r="E16" s="107"/>
      <c r="F16" s="107"/>
      <c r="G16" s="107"/>
      <c r="H16" s="62" t="s">
        <v>57</v>
      </c>
      <c r="I16" s="63" t="str">
        <f>'Necesidades Trimestrales'!F14</f>
        <v>Fco</v>
      </c>
      <c r="J16" s="64">
        <f>'Necesidades Trimestrales'!H14</f>
        <v>9590</v>
      </c>
      <c r="K16" s="65">
        <f>'Necesidades Trimestrales'!G14</f>
        <v>2</v>
      </c>
    </row>
    <row r="17" spans="1:11" ht="20.25" customHeight="1" thickBot="1" x14ac:dyDescent="0.25">
      <c r="A17" s="8">
        <v>6</v>
      </c>
      <c r="B17" s="61">
        <f>'Necesidades Trimestrales'!B15</f>
        <v>0</v>
      </c>
      <c r="C17" s="107" t="str">
        <f>'Necesidades Trimestrales'!E15</f>
        <v>AGAR BILIS ESCULINA, ESTADO: SOLIDO, PRESENTACION: ENVASE X 100 GR</v>
      </c>
      <c r="D17" s="107"/>
      <c r="E17" s="107"/>
      <c r="F17" s="107"/>
      <c r="G17" s="107"/>
      <c r="H17" s="62" t="s">
        <v>57</v>
      </c>
      <c r="I17" s="63" t="str">
        <f>'Necesidades Trimestrales'!F15</f>
        <v xml:space="preserve">Fco. </v>
      </c>
      <c r="J17" s="64">
        <f>'Necesidades Trimestrales'!H15</f>
        <v>11485</v>
      </c>
      <c r="K17" s="65">
        <f>'Necesidades Trimestrales'!G15</f>
        <v>2</v>
      </c>
    </row>
    <row r="18" spans="1:11" ht="20.25" customHeight="1" thickBot="1" x14ac:dyDescent="0.25">
      <c r="A18" s="8">
        <v>7</v>
      </c>
      <c r="B18" s="61">
        <f>'Necesidades Trimestrales'!B16</f>
        <v>0</v>
      </c>
      <c r="C18" s="107" t="str">
        <f>'Necesidades Trimestrales'!E16</f>
        <v>AGAR C.L.D.E:  X 500 GR</v>
      </c>
      <c r="D18" s="107"/>
      <c r="E18" s="107"/>
      <c r="F18" s="107"/>
      <c r="G18" s="107"/>
      <c r="H18" s="62" t="s">
        <v>57</v>
      </c>
      <c r="I18" s="63" t="str">
        <f>'Necesidades Trimestrales'!F16</f>
        <v>Fco.</v>
      </c>
      <c r="J18" s="64">
        <f>'Necesidades Trimestrales'!H16</f>
        <v>8176</v>
      </c>
      <c r="K18" s="65">
        <f>'Necesidades Trimestrales'!G16</f>
        <v>2</v>
      </c>
    </row>
    <row r="19" spans="1:11" ht="20.25" customHeight="1" thickBot="1" x14ac:dyDescent="0.25">
      <c r="A19" s="8">
        <v>8</v>
      </c>
      <c r="B19" s="61">
        <f>'Necesidades Trimestrales'!B17</f>
        <v>0</v>
      </c>
      <c r="C19" s="107" t="str">
        <f>'Necesidades Trimestrales'!E17</f>
        <v>AGAR CITRATO DE SIMMONS, ESTADO: SOLIDO, PRESENTACION: ENVASE X 100 GR</v>
      </c>
      <c r="D19" s="107"/>
      <c r="E19" s="107"/>
      <c r="F19" s="107"/>
      <c r="G19" s="107"/>
      <c r="H19" s="62" t="s">
        <v>57</v>
      </c>
      <c r="I19" s="63" t="str">
        <f>'Necesidades Trimestrales'!F17</f>
        <v>Fco.</v>
      </c>
      <c r="J19" s="64">
        <f>'Necesidades Trimestrales'!H17</f>
        <v>3352</v>
      </c>
      <c r="K19" s="65">
        <f>'Necesidades Trimestrales'!G17</f>
        <v>2</v>
      </c>
    </row>
    <row r="20" spans="1:11" ht="20.25" customHeight="1" thickBot="1" x14ac:dyDescent="0.25">
      <c r="A20" s="8">
        <v>9</v>
      </c>
      <c r="B20" s="61">
        <f>'Necesidades Trimestrales'!B18</f>
        <v>0</v>
      </c>
      <c r="C20" s="107" t="str">
        <f>'Necesidades Trimestrales'!E18</f>
        <v>AGAR HIERRO TRIPLE AZUCAR, ESTADO: SOLIDO, PRESENTACION: ENVASE X 100 GR</v>
      </c>
      <c r="D20" s="107"/>
      <c r="E20" s="107"/>
      <c r="F20" s="107"/>
      <c r="G20" s="107"/>
      <c r="H20" s="62" t="s">
        <v>57</v>
      </c>
      <c r="I20" s="63" t="str">
        <f>'Necesidades Trimestrales'!F18</f>
        <v>Fco.</v>
      </c>
      <c r="J20" s="64">
        <f>'Necesidades Trimestrales'!H18</f>
        <v>2521</v>
      </c>
      <c r="K20" s="65">
        <f>'Necesidades Trimestrales'!G18</f>
        <v>2</v>
      </c>
    </row>
    <row r="21" spans="1:11" ht="20.25" customHeight="1" thickBot="1" x14ac:dyDescent="0.25">
      <c r="A21" s="8">
        <v>10</v>
      </c>
      <c r="B21" s="61">
        <f>'Necesidades Trimestrales'!B19</f>
        <v>0</v>
      </c>
      <c r="C21" s="107" t="str">
        <f>'Necesidades Trimestrales'!E19</f>
        <v>AGAR LEVINE: X 500 GR</v>
      </c>
      <c r="D21" s="107"/>
      <c r="E21" s="107"/>
      <c r="F21" s="107"/>
      <c r="G21" s="107"/>
      <c r="H21" s="62" t="s">
        <v>57</v>
      </c>
      <c r="I21" s="63" t="str">
        <f>'Necesidades Trimestrales'!F19</f>
        <v>Fco.</v>
      </c>
      <c r="J21" s="64">
        <f>'Necesidades Trimestrales'!H19</f>
        <v>8254</v>
      </c>
      <c r="K21" s="65">
        <f>'Necesidades Trimestrales'!G19</f>
        <v>2</v>
      </c>
    </row>
    <row r="22" spans="1:11" ht="20.25" customHeight="1" thickBot="1" x14ac:dyDescent="0.25">
      <c r="A22" s="8">
        <v>11</v>
      </c>
      <c r="B22" s="61">
        <f>'Necesidades Trimestrales'!B20</f>
        <v>0</v>
      </c>
      <c r="C22" s="107" t="str">
        <f>'Necesidades Trimestrales'!E20</f>
        <v>AGAR LISINA HIERRO, ESTADO: SOLIDO, PRESENTACION: ENVASE X 100 GR</v>
      </c>
      <c r="D22" s="107"/>
      <c r="E22" s="107"/>
      <c r="F22" s="107"/>
      <c r="G22" s="107"/>
      <c r="H22" s="62" t="s">
        <v>57</v>
      </c>
      <c r="I22" s="63" t="str">
        <f>'Necesidades Trimestrales'!F20</f>
        <v>Fco.</v>
      </c>
      <c r="J22" s="64">
        <f>'Necesidades Trimestrales'!H20</f>
        <v>4722</v>
      </c>
      <c r="K22" s="65">
        <f>'Necesidades Trimestrales'!G20</f>
        <v>2</v>
      </c>
    </row>
    <row r="23" spans="1:11" ht="20.25" customHeight="1" thickBot="1" x14ac:dyDescent="0.25">
      <c r="A23" s="8">
        <v>12</v>
      </c>
      <c r="B23" s="61">
        <f>'Necesidades Trimestrales'!B21</f>
        <v>0</v>
      </c>
      <c r="C23" s="107" t="str">
        <f>'Necesidades Trimestrales'!E21</f>
        <v>AGAR MANITOL SALADO, ESTADO: SOLIDO, PRESENTACION: ENVASE X 100 GR</v>
      </c>
      <c r="D23" s="107"/>
      <c r="E23" s="107"/>
      <c r="F23" s="107"/>
      <c r="G23" s="107"/>
      <c r="H23" s="62" t="s">
        <v>57</v>
      </c>
      <c r="I23" s="63" t="str">
        <f>'Necesidades Trimestrales'!F21</f>
        <v>Fco.</v>
      </c>
      <c r="J23" s="64">
        <f>'Necesidades Trimestrales'!H21</f>
        <v>1645</v>
      </c>
      <c r="K23" s="65">
        <f>'Necesidades Trimestrales'!G21</f>
        <v>2</v>
      </c>
    </row>
    <row r="24" spans="1:11" ht="20.25" customHeight="1" thickBot="1" x14ac:dyDescent="0.25">
      <c r="A24" s="8">
        <v>13</v>
      </c>
      <c r="B24" s="61">
        <f>'Necesidades Trimestrales'!B22</f>
        <v>0</v>
      </c>
      <c r="C24" s="107" t="str">
        <f>'Necesidades Trimestrales'!E22</f>
        <v>AGAR MULLER HILTON, ESTADO: SOLIDO, PRESENTACION: ENVASE X 500 GR</v>
      </c>
      <c r="D24" s="107"/>
      <c r="E24" s="107"/>
      <c r="F24" s="107"/>
      <c r="G24" s="107"/>
      <c r="H24" s="62" t="s">
        <v>57</v>
      </c>
      <c r="I24" s="63" t="str">
        <f>'Necesidades Trimestrales'!F22</f>
        <v>Fco.</v>
      </c>
      <c r="J24" s="64">
        <f>'Necesidades Trimestrales'!H22</f>
        <v>10885</v>
      </c>
      <c r="K24" s="65">
        <f>'Necesidades Trimestrales'!G22</f>
        <v>2</v>
      </c>
    </row>
    <row r="25" spans="1:11" ht="20.25" customHeight="1" thickBot="1" x14ac:dyDescent="0.25">
      <c r="A25" s="8">
        <v>14</v>
      </c>
      <c r="B25" s="61">
        <f>'Necesidades Trimestrales'!B23</f>
        <v>0</v>
      </c>
      <c r="C25" s="107" t="str">
        <f>'Necesidades Trimestrales'!E23</f>
        <v>AGAR SABOURAUD GLUCOSA, ESTADO: SOLIDO, PRESENTACION: ENVASE X 100 GR</v>
      </c>
      <c r="D25" s="107"/>
      <c r="E25" s="107"/>
      <c r="F25" s="107"/>
      <c r="G25" s="107"/>
      <c r="H25" s="62" t="s">
        <v>57</v>
      </c>
      <c r="I25" s="63" t="str">
        <f>'Necesidades Trimestrales'!F23</f>
        <v>Fco.</v>
      </c>
      <c r="J25" s="64">
        <f>'Necesidades Trimestrales'!H23</f>
        <v>1995</v>
      </c>
      <c r="K25" s="65">
        <f>'Necesidades Trimestrales'!G23</f>
        <v>3</v>
      </c>
    </row>
    <row r="26" spans="1:11" ht="20.25" customHeight="1" thickBot="1" x14ac:dyDescent="0.25">
      <c r="A26" s="8">
        <v>15</v>
      </c>
      <c r="B26" s="61">
        <f>'Necesidades Trimestrales'!B24</f>
        <v>0</v>
      </c>
      <c r="C26" s="107" t="str">
        <f>'Necesidades Trimestrales'!E24</f>
        <v>AGAR SALMONELLA- SHIGELLA, ESTADO: SOLIDO, PRESENTACION: ENVASE X 100 GR</v>
      </c>
      <c r="D26" s="107"/>
      <c r="E26" s="107"/>
      <c r="F26" s="107"/>
      <c r="G26" s="107"/>
      <c r="H26" s="62" t="s">
        <v>57</v>
      </c>
      <c r="I26" s="63" t="str">
        <f>'Necesidades Trimestrales'!F24</f>
        <v>Fco.</v>
      </c>
      <c r="J26" s="64">
        <f>'Necesidades Trimestrales'!H24</f>
        <v>3164</v>
      </c>
      <c r="K26" s="65">
        <f>'Necesidades Trimestrales'!G24</f>
        <v>2</v>
      </c>
    </row>
    <row r="27" spans="1:11" ht="20.25" customHeight="1" thickBot="1" x14ac:dyDescent="0.25">
      <c r="A27" s="8">
        <v>16</v>
      </c>
      <c r="B27" s="61">
        <f>'Necesidades Trimestrales'!B25</f>
        <v>0</v>
      </c>
      <c r="C27" s="107" t="str">
        <f>'Necesidades Trimestrales'!E25</f>
        <v>AGAR SIM, ESTADO: SOLIDO, PRESENTACION: ENVASE X 100 GR</v>
      </c>
      <c r="D27" s="107"/>
      <c r="E27" s="107"/>
      <c r="F27" s="107"/>
      <c r="G27" s="107"/>
      <c r="H27" s="62" t="s">
        <v>57</v>
      </c>
      <c r="I27" s="63" t="str">
        <f>'Necesidades Trimestrales'!F25</f>
        <v>Fco</v>
      </c>
      <c r="J27" s="64">
        <f>'Necesidades Trimestrales'!H25</f>
        <v>5068</v>
      </c>
      <c r="K27" s="65">
        <f>'Necesidades Trimestrales'!G25</f>
        <v>2</v>
      </c>
    </row>
    <row r="28" spans="1:11" ht="20.25" customHeight="1" thickBot="1" x14ac:dyDescent="0.25">
      <c r="A28" s="8">
        <v>17</v>
      </c>
      <c r="B28" s="61">
        <f>'Necesidades Trimestrales'!B26</f>
        <v>0</v>
      </c>
      <c r="C28" s="107" t="str">
        <f>'Necesidades Trimestrales'!E26</f>
        <v>ALBUMINA COBAS C-311 ROCHE  X 300 DET</v>
      </c>
      <c r="D28" s="107"/>
      <c r="E28" s="107"/>
      <c r="F28" s="107"/>
      <c r="G28" s="107"/>
      <c r="H28" s="62" t="s">
        <v>57</v>
      </c>
      <c r="I28" s="63" t="str">
        <f>'Necesidades Trimestrales'!F26</f>
        <v>CASSETTE</v>
      </c>
      <c r="J28" s="64">
        <f>'Necesidades Trimestrales'!H26</f>
        <v>1706</v>
      </c>
      <c r="K28" s="65">
        <f>'Necesidades Trimestrales'!G26</f>
        <v>12</v>
      </c>
    </row>
    <row r="29" spans="1:11" ht="20.25" customHeight="1" thickBot="1" x14ac:dyDescent="0.25">
      <c r="A29" s="8">
        <v>18</v>
      </c>
      <c r="B29" s="61">
        <f>'Necesidades Trimestrales'!B27</f>
        <v>0</v>
      </c>
      <c r="C29" s="107" t="str">
        <f>'Necesidades Trimestrales'!E27</f>
        <v>ALBUMINA P/MICROALBUMINURIA  COBAS C-311 ROCHE X 100 DET</v>
      </c>
      <c r="D29" s="107"/>
      <c r="E29" s="107"/>
      <c r="F29" s="107"/>
      <c r="G29" s="107"/>
      <c r="H29" s="62" t="s">
        <v>57</v>
      </c>
      <c r="I29" s="63" t="str">
        <f>'Necesidades Trimestrales'!F27</f>
        <v>CASSETTE</v>
      </c>
      <c r="J29" s="64">
        <f>'Necesidades Trimestrales'!H27</f>
        <v>10322</v>
      </c>
      <c r="K29" s="65">
        <f>'Necesidades Trimestrales'!G27</f>
        <v>2</v>
      </c>
    </row>
    <row r="30" spans="1:11" ht="20.25" customHeight="1" thickBot="1" x14ac:dyDescent="0.25">
      <c r="A30" s="8">
        <v>19</v>
      </c>
      <c r="B30" s="61">
        <f>'Necesidades Trimestrales'!B28</f>
        <v>0</v>
      </c>
      <c r="C30" s="107" t="str">
        <f>'Necesidades Trimestrales'!E28</f>
        <v>ALCOHOL 96º X 1 L</v>
      </c>
      <c r="D30" s="107"/>
      <c r="E30" s="107"/>
      <c r="F30" s="107"/>
      <c r="G30" s="107"/>
      <c r="H30" s="62" t="s">
        <v>57</v>
      </c>
      <c r="I30" s="63" t="str">
        <f>'Necesidades Trimestrales'!F28</f>
        <v>BOTELLA</v>
      </c>
      <c r="J30" s="64">
        <f>'Necesidades Trimestrales'!H28</f>
        <v>296</v>
      </c>
      <c r="K30" s="65">
        <f>'Necesidades Trimestrales'!G28</f>
        <v>130</v>
      </c>
    </row>
    <row r="31" spans="1:11" ht="20.25" customHeight="1" thickBot="1" x14ac:dyDescent="0.25">
      <c r="A31" s="8">
        <v>20</v>
      </c>
      <c r="B31" s="61">
        <f>'Necesidades Trimestrales'!B29</f>
        <v>0</v>
      </c>
      <c r="C31" s="107" t="str">
        <f>'Necesidades Trimestrales'!E29</f>
        <v>ALCOHOL ABSOLUTO 100º X L</v>
      </c>
      <c r="D31" s="107"/>
      <c r="E31" s="107"/>
      <c r="F31" s="107"/>
      <c r="G31" s="107"/>
      <c r="H31" s="62" t="s">
        <v>57</v>
      </c>
      <c r="I31" s="63" t="str">
        <f>'Necesidades Trimestrales'!F29</f>
        <v>BOTELLA</v>
      </c>
      <c r="J31" s="64">
        <f>'Necesidades Trimestrales'!H29</f>
        <v>840</v>
      </c>
      <c r="K31" s="65">
        <f>'Necesidades Trimestrales'!G29</f>
        <v>30</v>
      </c>
    </row>
    <row r="32" spans="1:11" ht="20.25" customHeight="1" thickBot="1" x14ac:dyDescent="0.25">
      <c r="A32" s="8">
        <v>21</v>
      </c>
      <c r="B32" s="61">
        <f>'Necesidades Trimestrales'!B30</f>
        <v>0</v>
      </c>
      <c r="C32" s="107" t="str">
        <f>'Necesidades Trimestrales'!E30</f>
        <v>AMILASA TOTAL COBAS C-311 ROCHE  X 300 DET</v>
      </c>
      <c r="D32" s="107"/>
      <c r="E32" s="107"/>
      <c r="F32" s="107"/>
      <c r="G32" s="107"/>
      <c r="H32" s="62" t="s">
        <v>57</v>
      </c>
      <c r="I32" s="63" t="str">
        <f>'Necesidades Trimestrales'!F30</f>
        <v>CASSETTE</v>
      </c>
      <c r="J32" s="64">
        <f>'Necesidades Trimestrales'!H30</f>
        <v>8817</v>
      </c>
      <c r="K32" s="65">
        <f>'Necesidades Trimestrales'!G30</f>
        <v>3</v>
      </c>
    </row>
    <row r="33" spans="1:11" ht="20.25" customHeight="1" thickBot="1" x14ac:dyDescent="0.25">
      <c r="A33" s="8">
        <v>22</v>
      </c>
      <c r="B33" s="61">
        <f>'Necesidades Trimestrales'!B31</f>
        <v>0</v>
      </c>
      <c r="C33" s="107" t="str">
        <f>'Necesidades Trimestrales'!E31</f>
        <v>ANTICUERPOS ANTITRANSGLUTAMINASA TIPO ORGESTRIOL -ANTI TRANSGLUTAMINASA EN IGA X 96 DETERMINACIONES</v>
      </c>
      <c r="D33" s="107"/>
      <c r="E33" s="107"/>
      <c r="F33" s="107"/>
      <c r="G33" s="107"/>
      <c r="H33" s="62" t="s">
        <v>57</v>
      </c>
      <c r="I33" s="63" t="str">
        <f>'Necesidades Trimestrales'!F31</f>
        <v>CAJA</v>
      </c>
      <c r="J33" s="64">
        <f>'Necesidades Trimestrales'!H31</f>
        <v>35754</v>
      </c>
      <c r="K33" s="65">
        <f>'Necesidades Trimestrales'!G31</f>
        <v>2</v>
      </c>
    </row>
    <row r="34" spans="1:11" ht="20.25" customHeight="1" thickBot="1" x14ac:dyDescent="0.25">
      <c r="A34" s="8">
        <v>23</v>
      </c>
      <c r="B34" s="61">
        <f>'Necesidades Trimestrales'!B32</f>
        <v>0</v>
      </c>
      <c r="C34" s="107" t="str">
        <f>'Necesidades Trimestrales'!E32</f>
        <v>ASLO COBAS C-311 ROCHE  X 100 DET</v>
      </c>
      <c r="D34" s="107"/>
      <c r="E34" s="107"/>
      <c r="F34" s="107"/>
      <c r="G34" s="107"/>
      <c r="H34" s="62" t="s">
        <v>57</v>
      </c>
      <c r="I34" s="63" t="str">
        <f>'Necesidades Trimestrales'!F32</f>
        <v>CASSETTE</v>
      </c>
      <c r="J34" s="64">
        <f>'Necesidades Trimestrales'!H32</f>
        <v>23532</v>
      </c>
      <c r="K34" s="65">
        <f>'Necesidades Trimestrales'!G32</f>
        <v>1</v>
      </c>
    </row>
    <row r="35" spans="1:11" ht="22.15" customHeight="1" thickBot="1" x14ac:dyDescent="0.25">
      <c r="A35" s="8">
        <v>24</v>
      </c>
      <c r="B35" s="61">
        <f>'Necesidades Trimestrales'!B33</f>
        <v>0</v>
      </c>
      <c r="C35" s="107" t="str">
        <f>'Necesidades Trimestrales'!E33</f>
        <v>AZUL DE METILENO, ESTADO: SOLIDO, CALIDAD: PRO ANALISIS, PRESENTACION: ENVASE X 100 GR</v>
      </c>
      <c r="D35" s="107"/>
      <c r="E35" s="107"/>
      <c r="F35" s="107"/>
      <c r="G35" s="107"/>
      <c r="H35" s="62" t="s">
        <v>57</v>
      </c>
      <c r="I35" s="63" t="str">
        <f>'Necesidades Trimestrales'!F33</f>
        <v>Fco</v>
      </c>
      <c r="J35" s="64">
        <f>'Necesidades Trimestrales'!H33</f>
        <v>6041</v>
      </c>
      <c r="K35" s="65">
        <f>'Necesidades Trimestrales'!G33</f>
        <v>2</v>
      </c>
    </row>
    <row r="36" spans="1:11" ht="20.25" customHeight="1" thickBot="1" x14ac:dyDescent="0.25">
      <c r="A36" s="8">
        <v>25</v>
      </c>
      <c r="B36" s="61">
        <f>'Necesidades Trimestrales'!B34</f>
        <v>0</v>
      </c>
      <c r="C36" s="107" t="str">
        <f>'Necesidades Trimestrales'!E34</f>
        <v>BALSAMO DE CANADA NATURAL, SECADO RAPIDO BIOPUR X 100 ML</v>
      </c>
      <c r="D36" s="107"/>
      <c r="E36" s="107"/>
      <c r="F36" s="107"/>
      <c r="G36" s="107"/>
      <c r="H36" s="62" t="s">
        <v>57</v>
      </c>
      <c r="I36" s="63" t="str">
        <f>'Necesidades Trimestrales'!F34</f>
        <v>BOTELLA</v>
      </c>
      <c r="J36" s="64">
        <f>'Necesidades Trimestrales'!H34</f>
        <v>1511</v>
      </c>
      <c r="K36" s="65">
        <f>'Necesidades Trimestrales'!G34</f>
        <v>3</v>
      </c>
    </row>
    <row r="37" spans="1:11" ht="22.15" customHeight="1" thickBot="1" x14ac:dyDescent="0.25">
      <c r="A37" s="8">
        <v>26</v>
      </c>
      <c r="B37" s="61">
        <f>'Necesidades Trimestrales'!B35</f>
        <v>0</v>
      </c>
      <c r="C37" s="107" t="str">
        <f>'Necesidades Trimestrales'!E35</f>
        <v>BALSAMO DE CANADA SINTETICO BIOPUR X 100 ML</v>
      </c>
      <c r="D37" s="107"/>
      <c r="E37" s="107"/>
      <c r="F37" s="107"/>
      <c r="G37" s="107"/>
      <c r="H37" s="62" t="s">
        <v>57</v>
      </c>
      <c r="I37" s="63" t="str">
        <f>'Necesidades Trimestrales'!F35</f>
        <v>BOTELLA</v>
      </c>
      <c r="J37" s="64">
        <f>'Necesidades Trimestrales'!H35</f>
        <v>1330</v>
      </c>
      <c r="K37" s="65">
        <f>'Necesidades Trimestrales'!G35</f>
        <v>3</v>
      </c>
    </row>
    <row r="38" spans="1:11" ht="20.25" customHeight="1" thickBot="1" x14ac:dyDescent="0.25">
      <c r="A38" s="8">
        <v>27</v>
      </c>
      <c r="B38" s="61">
        <f>'Necesidades Trimestrales'!B36</f>
        <v>0</v>
      </c>
      <c r="C38" s="107" t="str">
        <f>'Necesidades Trimestrales'!E36</f>
        <v>BILIRRUBINA DIRECTA COBAS C-311 ROCHE  X 350  DET</v>
      </c>
      <c r="D38" s="107"/>
      <c r="E38" s="107"/>
      <c r="F38" s="107"/>
      <c r="G38" s="107"/>
      <c r="H38" s="62" t="s">
        <v>57</v>
      </c>
      <c r="I38" s="63" t="str">
        <f>'Necesidades Trimestrales'!F36</f>
        <v>CASSETTE</v>
      </c>
      <c r="J38" s="64">
        <f>'Necesidades Trimestrales'!H36</f>
        <v>3423</v>
      </c>
      <c r="K38" s="65">
        <f>'Necesidades Trimestrales'!G36</f>
        <v>10</v>
      </c>
    </row>
    <row r="39" spans="1:11" ht="20.25" customHeight="1" thickBot="1" x14ac:dyDescent="0.25">
      <c r="A39" s="8">
        <v>28</v>
      </c>
      <c r="B39" s="61">
        <f>'Necesidades Trimestrales'!B37</f>
        <v>0</v>
      </c>
      <c r="C39" s="107" t="str">
        <f>'Necesidades Trimestrales'!E37</f>
        <v>BILIRRUBINA TOTAL GEN 3 COBAS C-311 ROCHE  X 250 DET</v>
      </c>
      <c r="D39" s="107"/>
      <c r="E39" s="107"/>
      <c r="F39" s="107"/>
      <c r="G39" s="107"/>
      <c r="H39" s="62" t="s">
        <v>57</v>
      </c>
      <c r="I39" s="63" t="str">
        <f>'Necesidades Trimestrales'!F37</f>
        <v>CASSETTE</v>
      </c>
      <c r="J39" s="64">
        <f>'Necesidades Trimestrales'!H37</f>
        <v>3514</v>
      </c>
      <c r="K39" s="65">
        <f>'Necesidades Trimestrales'!G37</f>
        <v>14</v>
      </c>
    </row>
    <row r="40" spans="1:11" ht="20.25" customHeight="1" thickBot="1" x14ac:dyDescent="0.25">
      <c r="A40" s="8">
        <v>29</v>
      </c>
      <c r="B40" s="61">
        <f>'Necesidades Trimestrales'!B38</f>
        <v>0</v>
      </c>
      <c r="C40" s="107" t="str">
        <f>'Necesidades Trimestrales'!E38</f>
        <v>CALCIO COBAS C-311 ROCHE  X 300 DET</v>
      </c>
      <c r="D40" s="107"/>
      <c r="E40" s="107"/>
      <c r="F40" s="107"/>
      <c r="G40" s="107"/>
      <c r="H40" s="62" t="s">
        <v>57</v>
      </c>
      <c r="I40" s="63" t="str">
        <f>'Necesidades Trimestrales'!F38</f>
        <v>CASSETTE</v>
      </c>
      <c r="J40" s="64">
        <f>'Necesidades Trimestrales'!H38</f>
        <v>3514</v>
      </c>
      <c r="K40" s="65">
        <f>'Necesidades Trimestrales'!G38</f>
        <v>3</v>
      </c>
    </row>
    <row r="41" spans="1:11" ht="20.25" customHeight="1" thickBot="1" x14ac:dyDescent="0.25">
      <c r="A41" s="8">
        <v>30</v>
      </c>
      <c r="B41" s="61">
        <f>'Necesidades Trimestrales'!B39</f>
        <v>0</v>
      </c>
      <c r="C41" s="107" t="str">
        <f>'Necesidades Trimestrales'!E39</f>
        <v xml:space="preserve">CALIBRADOR  PROLACTINA X  10 CAL  COBAS E-411 ROCHE </v>
      </c>
      <c r="D41" s="107"/>
      <c r="E41" s="107"/>
      <c r="F41" s="107"/>
      <c r="G41" s="107"/>
      <c r="H41" s="62" t="s">
        <v>57</v>
      </c>
      <c r="I41" s="63" t="str">
        <f>'Necesidades Trimestrales'!F39</f>
        <v>CAJA</v>
      </c>
      <c r="J41" s="64">
        <f>'Necesidades Trimestrales'!H39</f>
        <v>10863</v>
      </c>
      <c r="K41" s="65">
        <f>'Necesidades Trimestrales'!G39</f>
        <v>1</v>
      </c>
    </row>
    <row r="42" spans="1:11" ht="20.25" customHeight="1" thickBot="1" x14ac:dyDescent="0.25">
      <c r="A42" s="8">
        <v>31</v>
      </c>
      <c r="B42" s="61">
        <f>'Necesidades Trimestrales'!B40</f>
        <v>0</v>
      </c>
      <c r="C42" s="107" t="str">
        <f>'Necesidades Trimestrales'!E40</f>
        <v xml:space="preserve">CALIBRADOR  S-HBG  X  10 CAL  COBAS E-411 ROCHE </v>
      </c>
      <c r="D42" s="107"/>
      <c r="E42" s="107"/>
      <c r="F42" s="107"/>
      <c r="G42" s="107"/>
      <c r="H42" s="62" t="s">
        <v>57</v>
      </c>
      <c r="I42" s="63" t="str">
        <f>'Necesidades Trimestrales'!F40</f>
        <v>CAJA</v>
      </c>
      <c r="J42" s="64">
        <f>'Necesidades Trimestrales'!H40</f>
        <v>13299</v>
      </c>
      <c r="K42" s="65">
        <f>'Necesidades Trimestrales'!G40</f>
        <v>1</v>
      </c>
    </row>
    <row r="43" spans="1:11" ht="20.25" customHeight="1" thickBot="1" x14ac:dyDescent="0.25">
      <c r="A43" s="8">
        <v>32</v>
      </c>
      <c r="B43" s="61">
        <f>'Necesidades Trimestrales'!B41</f>
        <v>0</v>
      </c>
      <c r="C43" s="107" t="str">
        <f>'Necesidades Trimestrales'!E41</f>
        <v>CALIBRADOR ( CALSET) ANTI TPO X 10 CAL COBAS E-411 ROCHE</v>
      </c>
      <c r="D43" s="107"/>
      <c r="E43" s="107"/>
      <c r="F43" s="107"/>
      <c r="G43" s="107"/>
      <c r="H43" s="62" t="s">
        <v>57</v>
      </c>
      <c r="I43" s="63" t="str">
        <f>'Necesidades Trimestrales'!F41</f>
        <v>CAJA</v>
      </c>
      <c r="J43" s="64">
        <f>'Necesidades Trimestrales'!H41</f>
        <v>14114</v>
      </c>
      <c r="K43" s="65">
        <f>'Necesidades Trimestrales'!G41</f>
        <v>2</v>
      </c>
    </row>
    <row r="44" spans="1:11" ht="20.25" customHeight="1" thickBot="1" x14ac:dyDescent="0.25">
      <c r="A44" s="8">
        <v>33</v>
      </c>
      <c r="B44" s="61">
        <f>'Necesidades Trimestrales'!B42</f>
        <v>0</v>
      </c>
      <c r="C44" s="107" t="str">
        <f>'Necesidades Trimestrales'!E42</f>
        <v>CALIBRADOR ( CALSET) CORTISOL X 10 CAL COBAS E-411 ROCHE</v>
      </c>
      <c r="D44" s="107"/>
      <c r="E44" s="107"/>
      <c r="F44" s="107"/>
      <c r="G44" s="107"/>
      <c r="H44" s="62" t="s">
        <v>57</v>
      </c>
      <c r="I44" s="63" t="str">
        <f>'Necesidades Trimestrales'!F42</f>
        <v>CAJA</v>
      </c>
      <c r="J44" s="64">
        <f>'Necesidades Trimestrales'!H42</f>
        <v>12963</v>
      </c>
      <c r="K44" s="65">
        <f>'Necesidades Trimestrales'!G42</f>
        <v>1</v>
      </c>
    </row>
    <row r="45" spans="1:11" ht="20.25" customHeight="1" thickBot="1" x14ac:dyDescent="0.25">
      <c r="A45" s="8">
        <v>34</v>
      </c>
      <c r="B45" s="61">
        <f>'Necesidades Trimestrales'!B43</f>
        <v>0</v>
      </c>
      <c r="C45" s="107" t="str">
        <f>'Necesidades Trimestrales'!E43</f>
        <v>CALIBRADOR (CALSET) ANTI TIROGLOBULINA P COBAS E411 X 10 CALIBRACIONES</v>
      </c>
      <c r="D45" s="107"/>
      <c r="E45" s="107"/>
      <c r="F45" s="107"/>
      <c r="G45" s="107"/>
      <c r="H45" s="62" t="s">
        <v>57</v>
      </c>
      <c r="I45" s="63" t="str">
        <f>'Necesidades Trimestrales'!F43</f>
        <v>CAJA</v>
      </c>
      <c r="J45" s="64">
        <f>'Necesidades Trimestrales'!H43</f>
        <v>14114</v>
      </c>
      <c r="K45" s="65">
        <f>'Necesidades Trimestrales'!G43</f>
        <v>1</v>
      </c>
    </row>
    <row r="46" spans="1:11" ht="20.25" customHeight="1" thickBot="1" x14ac:dyDescent="0.25">
      <c r="A46" s="8">
        <v>35</v>
      </c>
      <c r="B46" s="61">
        <f>'Necesidades Trimestrales'!B44</f>
        <v>0</v>
      </c>
      <c r="C46" s="107" t="str">
        <f>'Necesidades Trimestrales'!E44</f>
        <v>CALIBRADOR B-CROSS LAP P SUERO P COBAS E 411 X 10 CALIBRACIONES</v>
      </c>
      <c r="D46" s="107"/>
      <c r="E46" s="107"/>
      <c r="F46" s="107"/>
      <c r="G46" s="107"/>
      <c r="H46" s="62" t="s">
        <v>57</v>
      </c>
      <c r="I46" s="63" t="str">
        <f>'Necesidades Trimestrales'!F44</f>
        <v>CAJA</v>
      </c>
      <c r="J46" s="64">
        <f>'Necesidades Trimestrales'!H44</f>
        <v>14114</v>
      </c>
      <c r="K46" s="65">
        <f>'Necesidades Trimestrales'!G44</f>
        <v>1</v>
      </c>
    </row>
    <row r="47" spans="1:11" ht="20.25" customHeight="1" thickBot="1" x14ac:dyDescent="0.25">
      <c r="A47" s="8">
        <v>36</v>
      </c>
      <c r="B47" s="61">
        <f>'Necesidades Trimestrales'!B45</f>
        <v>0</v>
      </c>
      <c r="C47" s="107" t="str">
        <f>'Necesidades Trimestrales'!E45</f>
        <v>CALIBRADOR CA 125 P COBAS E 411 X 10 CALIBRACIONES</v>
      </c>
      <c r="D47" s="107"/>
      <c r="E47" s="107"/>
      <c r="F47" s="107"/>
      <c r="G47" s="107"/>
      <c r="H47" s="62" t="s">
        <v>57</v>
      </c>
      <c r="I47" s="63" t="str">
        <f>'Necesidades Trimestrales'!F45</f>
        <v>CAJA</v>
      </c>
      <c r="J47" s="64">
        <f>'Necesidades Trimestrales'!H45</f>
        <v>12963</v>
      </c>
      <c r="K47" s="65">
        <f>'Necesidades Trimestrales'!G45</f>
        <v>1</v>
      </c>
    </row>
    <row r="48" spans="1:11" ht="20.25" customHeight="1" thickBot="1" x14ac:dyDescent="0.25">
      <c r="A48" s="8">
        <v>37</v>
      </c>
      <c r="B48" s="61">
        <f>'Necesidades Trimestrales'!B46</f>
        <v>0</v>
      </c>
      <c r="C48" s="107" t="str">
        <f>'Necesidades Trimestrales'!E46</f>
        <v>CALIBRADOR CA 15-3 P COBAS E 411 X 10 CALIBRACIONES</v>
      </c>
      <c r="D48" s="107"/>
      <c r="E48" s="107"/>
      <c r="F48" s="107"/>
      <c r="G48" s="107"/>
      <c r="H48" s="62" t="s">
        <v>57</v>
      </c>
      <c r="I48" s="63" t="str">
        <f>'Necesidades Trimestrales'!F46</f>
        <v>CAJA</v>
      </c>
      <c r="J48" s="64">
        <f>'Necesidades Trimestrales'!H46</f>
        <v>16890</v>
      </c>
      <c r="K48" s="65">
        <f>'Necesidades Trimestrales'!G46</f>
        <v>1</v>
      </c>
    </row>
    <row r="49" spans="1:11" ht="20.25" customHeight="1" thickBot="1" x14ac:dyDescent="0.25">
      <c r="A49" s="8">
        <v>38</v>
      </c>
      <c r="B49" s="61">
        <f>'Necesidades Trimestrales'!B47</f>
        <v>0</v>
      </c>
      <c r="C49" s="107" t="str">
        <f>'Necesidades Trimestrales'!E47</f>
        <v xml:space="preserve">CALIBRADOR FT4 X 10 CAL COBAS E-411 ROCHE </v>
      </c>
      <c r="D49" s="107"/>
      <c r="E49" s="107"/>
      <c r="F49" s="107"/>
      <c r="G49" s="107"/>
      <c r="H49" s="62" t="s">
        <v>57</v>
      </c>
      <c r="I49" s="63" t="str">
        <f>'Necesidades Trimestrales'!F47</f>
        <v>CAJA</v>
      </c>
      <c r="J49" s="64">
        <f>'Necesidades Trimestrales'!H47</f>
        <v>10435</v>
      </c>
      <c r="K49" s="65">
        <f>'Necesidades Trimestrales'!G47</f>
        <v>2</v>
      </c>
    </row>
    <row r="50" spans="1:11" ht="20.25" customHeight="1" thickBot="1" x14ac:dyDescent="0.25">
      <c r="A50" s="8">
        <v>39</v>
      </c>
      <c r="B50" s="61">
        <f>'Necesidades Trimestrales'!B48</f>
        <v>0</v>
      </c>
      <c r="C50" s="107" t="str">
        <f>'Necesidades Trimestrales'!E48</f>
        <v>CALIBRADOR PARA INSULINA X 10 CAL COBAS E-411 ROCHE</v>
      </c>
      <c r="D50" s="107"/>
      <c r="E50" s="107"/>
      <c r="F50" s="107"/>
      <c r="G50" s="107"/>
      <c r="H50" s="62" t="s">
        <v>57</v>
      </c>
      <c r="I50" s="63" t="str">
        <f>'Necesidades Trimestrales'!F48</f>
        <v>CAJA</v>
      </c>
      <c r="J50" s="64">
        <f>'Necesidades Trimestrales'!H48</f>
        <v>9986</v>
      </c>
      <c r="K50" s="65">
        <f>'Necesidades Trimestrales'!G48</f>
        <v>1</v>
      </c>
    </row>
    <row r="51" spans="1:11" ht="20.25" customHeight="1" thickBot="1" x14ac:dyDescent="0.25">
      <c r="A51" s="8">
        <v>40</v>
      </c>
      <c r="B51" s="61">
        <f>'Necesidades Trimestrales'!B49</f>
        <v>0</v>
      </c>
      <c r="C51" s="107" t="str">
        <f>'Necesidades Trimestrales'!E49</f>
        <v>CALIBRADOR PARA LH  X 10  CAL COBAS E-411 ROCHE</v>
      </c>
      <c r="D51" s="107"/>
      <c r="E51" s="107"/>
      <c r="F51" s="107"/>
      <c r="G51" s="107"/>
      <c r="H51" s="62" t="s">
        <v>57</v>
      </c>
      <c r="I51" s="63" t="str">
        <f>'Necesidades Trimestrales'!F49</f>
        <v>CAJA</v>
      </c>
      <c r="J51" s="64">
        <f>'Necesidades Trimestrales'!H49</f>
        <v>10863</v>
      </c>
      <c r="K51" s="65">
        <f>'Necesidades Trimestrales'!G49</f>
        <v>1</v>
      </c>
    </row>
    <row r="52" spans="1:11" ht="20.25" customHeight="1" thickBot="1" x14ac:dyDescent="0.25">
      <c r="A52" s="8">
        <v>41</v>
      </c>
      <c r="B52" s="61">
        <f>'Necesidades Trimestrales'!B50</f>
        <v>0</v>
      </c>
      <c r="C52" s="107" t="str">
        <f>'Necesidades Trimestrales'!E50</f>
        <v>CALIBRADOR PARA PROGESTERONA COBAS E-411 ROCHE X 10 CALIBRACIONES</v>
      </c>
      <c r="D52" s="107"/>
      <c r="E52" s="107"/>
      <c r="F52" s="107"/>
      <c r="G52" s="107"/>
      <c r="H52" s="62" t="s">
        <v>57</v>
      </c>
      <c r="I52" s="63" t="str">
        <f>'Necesidades Trimestrales'!F50</f>
        <v>CAJA</v>
      </c>
      <c r="J52" s="64">
        <f>'Necesidades Trimestrales'!H50</f>
        <v>10863</v>
      </c>
      <c r="K52" s="65">
        <f>'Necesidades Trimestrales'!G50</f>
        <v>1</v>
      </c>
    </row>
    <row r="53" spans="1:11" ht="20.25" customHeight="1" thickBot="1" x14ac:dyDescent="0.25">
      <c r="A53" s="8">
        <v>42</v>
      </c>
      <c r="B53" s="61">
        <f>'Necesidades Trimestrales'!B51</f>
        <v>0</v>
      </c>
      <c r="C53" s="107" t="str">
        <f>'Necesidades Trimestrales'!E51</f>
        <v>CALIBRADOR PSA P COBAS E 411 X 10 CALIBRACIONES</v>
      </c>
      <c r="D53" s="107"/>
      <c r="E53" s="107"/>
      <c r="F53" s="107"/>
      <c r="G53" s="107"/>
      <c r="H53" s="62" t="s">
        <v>57</v>
      </c>
      <c r="I53" s="63" t="str">
        <f>'Necesidades Trimestrales'!F51</f>
        <v>CAJA</v>
      </c>
      <c r="J53" s="64">
        <f>'Necesidades Trimestrales'!H51</f>
        <v>10863</v>
      </c>
      <c r="K53" s="65">
        <f>'Necesidades Trimestrales'!G51</f>
        <v>1</v>
      </c>
    </row>
    <row r="54" spans="1:11" ht="20.25" customHeight="1" thickBot="1" x14ac:dyDescent="0.25">
      <c r="A54" s="8">
        <v>43</v>
      </c>
      <c r="B54" s="61">
        <f>'Necesidades Trimestrales'!B52</f>
        <v>0</v>
      </c>
      <c r="C54" s="107" t="str">
        <f>'Necesidades Trimestrales'!E52</f>
        <v>CALIBRADOR PTH P COBAS E411 X 10 CALIBRACIONES</v>
      </c>
      <c r="D54" s="107"/>
      <c r="E54" s="107"/>
      <c r="F54" s="107"/>
      <c r="G54" s="107"/>
      <c r="H54" s="62" t="s">
        <v>57</v>
      </c>
      <c r="I54" s="63" t="str">
        <f>'Necesidades Trimestrales'!F52</f>
        <v>CAJA</v>
      </c>
      <c r="J54" s="64">
        <f>'Necesidades Trimestrales'!H52</f>
        <v>25575</v>
      </c>
      <c r="K54" s="65">
        <f>'Necesidades Trimestrales'!G52</f>
        <v>1</v>
      </c>
    </row>
    <row r="55" spans="1:11" ht="20.25" customHeight="1" thickBot="1" x14ac:dyDescent="0.25">
      <c r="A55" s="8">
        <v>44</v>
      </c>
      <c r="B55" s="61">
        <f>'Necesidades Trimestrales'!B53</f>
        <v>0</v>
      </c>
      <c r="C55" s="107" t="str">
        <f>'Necesidades Trimestrales'!E53</f>
        <v>CALIBRADOR T3 TOTAL X 10 CAL  COBAS E-411 ROCHE</v>
      </c>
      <c r="D55" s="107"/>
      <c r="E55" s="107"/>
      <c r="F55" s="107"/>
      <c r="G55" s="107"/>
      <c r="H55" s="62" t="s">
        <v>57</v>
      </c>
      <c r="I55" s="63" t="str">
        <f>'Necesidades Trimestrales'!F53</f>
        <v>CAJA</v>
      </c>
      <c r="J55" s="64">
        <f>'Necesidades Trimestrales'!H53</f>
        <v>10435</v>
      </c>
      <c r="K55" s="65">
        <f>'Necesidades Trimestrales'!G53</f>
        <v>1</v>
      </c>
    </row>
    <row r="56" spans="1:11" ht="20.25" customHeight="1" thickBot="1" x14ac:dyDescent="0.25">
      <c r="A56" s="8">
        <v>45</v>
      </c>
      <c r="B56" s="61">
        <f>'Necesidades Trimestrales'!B54</f>
        <v>0</v>
      </c>
      <c r="C56" s="107" t="str">
        <f>'Necesidades Trimestrales'!E54</f>
        <v>CALIBRADOR T4 TOTAL P COBAS E 411 X 10 CALIBRACIONES</v>
      </c>
      <c r="D56" s="107"/>
      <c r="E56" s="107"/>
      <c r="F56" s="107"/>
      <c r="G56" s="107"/>
      <c r="H56" s="62" t="s">
        <v>57</v>
      </c>
      <c r="I56" s="63" t="str">
        <f>'Necesidades Trimestrales'!F54</f>
        <v>CAJA</v>
      </c>
      <c r="J56" s="64">
        <f>'Necesidades Trimestrales'!H54</f>
        <v>10435</v>
      </c>
      <c r="K56" s="65">
        <f>'Necesidades Trimestrales'!G54</f>
        <v>1</v>
      </c>
    </row>
    <row r="57" spans="1:11" ht="20.25" customHeight="1" thickBot="1" x14ac:dyDescent="0.25">
      <c r="A57" s="8">
        <v>46</v>
      </c>
      <c r="B57" s="61">
        <f>'Necesidades Trimestrales'!B55</f>
        <v>0</v>
      </c>
      <c r="C57" s="107" t="str">
        <f>'Necesidades Trimestrales'!E55</f>
        <v>CALIBRADOR TESTOSTERONA P COBAS E411 X 10 CALIBRACIONES</v>
      </c>
      <c r="D57" s="107"/>
      <c r="E57" s="107"/>
      <c r="F57" s="107"/>
      <c r="G57" s="107"/>
      <c r="H57" s="62" t="s">
        <v>57</v>
      </c>
      <c r="I57" s="63" t="str">
        <f>'Necesidades Trimestrales'!F55</f>
        <v>CAJA</v>
      </c>
      <c r="J57" s="64">
        <f>'Necesidades Trimestrales'!H55</f>
        <v>10863</v>
      </c>
      <c r="K57" s="65">
        <f>'Necesidades Trimestrales'!G55</f>
        <v>1</v>
      </c>
    </row>
    <row r="58" spans="1:11" ht="20.25" customHeight="1" thickBot="1" x14ac:dyDescent="0.25">
      <c r="A58" s="8">
        <v>47</v>
      </c>
      <c r="B58" s="61">
        <f>'Necesidades Trimestrales'!B56</f>
        <v>0</v>
      </c>
      <c r="C58" s="107" t="str">
        <f>'Necesidades Trimestrales'!E56</f>
        <v>CALIBRADOR TIROGLOBULINA P COBAS E 411 X 10 CALIBRACIONES</v>
      </c>
      <c r="D58" s="107"/>
      <c r="E58" s="107"/>
      <c r="F58" s="107"/>
      <c r="G58" s="107"/>
      <c r="H58" s="62" t="s">
        <v>57</v>
      </c>
      <c r="I58" s="63" t="str">
        <f>'Necesidades Trimestrales'!F56</f>
        <v>CAJA</v>
      </c>
      <c r="J58" s="64">
        <f>'Necesidades Trimestrales'!H56</f>
        <v>14114</v>
      </c>
      <c r="K58" s="65">
        <f>'Necesidades Trimestrales'!G56</f>
        <v>1</v>
      </c>
    </row>
    <row r="59" spans="1:11" ht="20.25" customHeight="1" thickBot="1" x14ac:dyDescent="0.25">
      <c r="A59" s="8">
        <v>48</v>
      </c>
      <c r="B59" s="61">
        <f>'Necesidades Trimestrales'!B57</f>
        <v>0</v>
      </c>
      <c r="C59" s="107" t="str">
        <f>'Necesidades Trimestrales'!E57</f>
        <v>CALIBRADOR TROPONINA T-HS P COBAS E 411 X 10 CALIBRACIONES</v>
      </c>
      <c r="D59" s="107"/>
      <c r="E59" s="107"/>
      <c r="F59" s="107"/>
      <c r="G59" s="107"/>
      <c r="H59" s="62" t="s">
        <v>57</v>
      </c>
      <c r="I59" s="63" t="str">
        <f>'Necesidades Trimestrales'!F57</f>
        <v>CAJA</v>
      </c>
      <c r="J59" s="64">
        <f>'Necesidades Trimestrales'!H57</f>
        <v>11353</v>
      </c>
      <c r="K59" s="65">
        <f>'Necesidades Trimestrales'!G57</f>
        <v>2</v>
      </c>
    </row>
    <row r="60" spans="1:11" ht="20.25" customHeight="1" thickBot="1" x14ac:dyDescent="0.25">
      <c r="A60" s="8">
        <v>49</v>
      </c>
      <c r="B60" s="61">
        <f>'Necesidades Trimestrales'!B58</f>
        <v>0</v>
      </c>
      <c r="C60" s="107" t="str">
        <f>'Necesidades Trimestrales'!E58</f>
        <v>CALIBRADOR TSH  X 10 CAL COBAS E-411  ROCHE</v>
      </c>
      <c r="D60" s="107"/>
      <c r="E60" s="107"/>
      <c r="F60" s="107"/>
      <c r="G60" s="107"/>
      <c r="H60" s="62" t="s">
        <v>57</v>
      </c>
      <c r="I60" s="63" t="str">
        <f>'Necesidades Trimestrales'!F58</f>
        <v>CAJA</v>
      </c>
      <c r="J60" s="64">
        <f>'Necesidades Trimestrales'!H58</f>
        <v>9929</v>
      </c>
      <c r="K60" s="65">
        <f>'Necesidades Trimestrales'!G58</f>
        <v>2</v>
      </c>
    </row>
    <row r="61" spans="1:11" ht="20.25" customHeight="1" thickBot="1" x14ac:dyDescent="0.25">
      <c r="A61" s="8">
        <v>50</v>
      </c>
      <c r="B61" s="61">
        <f>'Necesidades Trimestrales'!B59</f>
        <v>0</v>
      </c>
      <c r="C61" s="107" t="str">
        <f>'Necesidades Trimestrales'!E59</f>
        <v>CALIBRADOR VITAMINA D TOTAL P COBAS E411 X 10 CALIBRACIONES</v>
      </c>
      <c r="D61" s="107"/>
      <c r="E61" s="107"/>
      <c r="F61" s="107"/>
      <c r="G61" s="107"/>
      <c r="H61" s="62" t="s">
        <v>57</v>
      </c>
      <c r="I61" s="63" t="str">
        <f>'Necesidades Trimestrales'!F59</f>
        <v>CAJA</v>
      </c>
      <c r="J61" s="64">
        <f>'Necesidades Trimestrales'!H59</f>
        <v>15703</v>
      </c>
      <c r="K61" s="65">
        <f>'Necesidades Trimestrales'!G59</f>
        <v>1</v>
      </c>
    </row>
    <row r="62" spans="1:11" ht="20.25" customHeight="1" thickBot="1" x14ac:dyDescent="0.25">
      <c r="A62" s="8">
        <v>51</v>
      </c>
      <c r="B62" s="61">
        <f>'Necesidades Trimestrales'!B60</f>
        <v>0</v>
      </c>
      <c r="C62" s="107" t="str">
        <f>'Necesidades Trimestrales'!E60</f>
        <v>CELL PACK DCL X 20 LTS- TIPO SYSMEX XNL</v>
      </c>
      <c r="D62" s="107"/>
      <c r="E62" s="107"/>
      <c r="F62" s="107"/>
      <c r="G62" s="107"/>
      <c r="H62" s="62" t="s">
        <v>57</v>
      </c>
      <c r="I62" s="63" t="str">
        <f>'Necesidades Trimestrales'!F60</f>
        <v>BIDON</v>
      </c>
      <c r="J62" s="64">
        <f>'Necesidades Trimestrales'!H60</f>
        <v>7296</v>
      </c>
      <c r="K62" s="65">
        <f>'Necesidades Trimestrales'!G60</f>
        <v>15</v>
      </c>
    </row>
    <row r="63" spans="1:11" ht="20.25" customHeight="1" thickBot="1" x14ac:dyDescent="0.25">
      <c r="A63" s="8">
        <v>52</v>
      </c>
      <c r="B63" s="61">
        <f>'Necesidades Trimestrales'!B61</f>
        <v>0</v>
      </c>
      <c r="C63" s="107" t="str">
        <f>'Necesidades Trimestrales'!E61</f>
        <v>CELL WASH SOLUTION NAOH-D  2  X 1,8 LITROS</v>
      </c>
      <c r="D63" s="107"/>
      <c r="E63" s="107"/>
      <c r="F63" s="107"/>
      <c r="G63" s="107"/>
      <c r="H63" s="62" t="s">
        <v>57</v>
      </c>
      <c r="I63" s="63" t="str">
        <f>'Necesidades Trimestrales'!F61</f>
        <v>CAJA</v>
      </c>
      <c r="J63" s="64">
        <f>'Necesidades Trimestrales'!H61</f>
        <v>4976</v>
      </c>
      <c r="K63" s="65">
        <f>'Necesidades Trimestrales'!G61</f>
        <v>8</v>
      </c>
    </row>
    <row r="64" spans="1:11" ht="20.25" customHeight="1" thickBot="1" x14ac:dyDescent="0.25">
      <c r="A64" s="8">
        <v>53</v>
      </c>
      <c r="B64" s="61">
        <f>'Necesidades Trimestrales'!B62</f>
        <v>0</v>
      </c>
      <c r="C64" s="107" t="str">
        <f>'Necesidades Trimestrales'!E62</f>
        <v>CELLCLEAN AUTO X 20 VIALES -TIPO SYSMEX XNL</v>
      </c>
      <c r="D64" s="107"/>
      <c r="E64" s="107"/>
      <c r="F64" s="107"/>
      <c r="G64" s="107"/>
      <c r="H64" s="62" t="s">
        <v>57</v>
      </c>
      <c r="I64" s="63" t="str">
        <f>'Necesidades Trimestrales'!F62</f>
        <v>CAJA</v>
      </c>
      <c r="J64" s="64">
        <f>'Necesidades Trimestrales'!H62</f>
        <v>8253</v>
      </c>
      <c r="K64" s="65">
        <f>'Necesidades Trimestrales'!G62</f>
        <v>15</v>
      </c>
    </row>
    <row r="65" spans="1:11" ht="20.25" customHeight="1" thickBot="1" x14ac:dyDescent="0.25">
      <c r="A65" s="8">
        <v>54</v>
      </c>
      <c r="B65" s="61">
        <f>'Necesidades Trimestrales'!B63</f>
        <v>0</v>
      </c>
      <c r="C65" s="107" t="str">
        <f>'Necesidades Trimestrales'!E63</f>
        <v>CFAS PROTEINAS  P/ COBAS C311 X 5 CALIBRACIONES</v>
      </c>
      <c r="D65" s="107"/>
      <c r="E65" s="107"/>
      <c r="F65" s="107"/>
      <c r="G65" s="107"/>
      <c r="H65" s="62" t="s">
        <v>57</v>
      </c>
      <c r="I65" s="63" t="str">
        <f>'Necesidades Trimestrales'!F63</f>
        <v>CAJA</v>
      </c>
      <c r="J65" s="64">
        <f>'Necesidades Trimestrales'!H63</f>
        <v>20031</v>
      </c>
      <c r="K65" s="65">
        <f>'Necesidades Trimestrales'!G63</f>
        <v>1</v>
      </c>
    </row>
    <row r="66" spans="1:11" ht="20.25" customHeight="1" thickBot="1" x14ac:dyDescent="0.25">
      <c r="A66" s="8">
        <v>55</v>
      </c>
      <c r="B66" s="61">
        <f>'Necesidades Trimestrales'!B64</f>
        <v>0</v>
      </c>
      <c r="C66" s="107" t="str">
        <f>'Necesidades Trimestrales'!E64</f>
        <v>CFAS PUC COBAS C-311 ROCHE  5 X 1 ML</v>
      </c>
      <c r="D66" s="107"/>
      <c r="E66" s="107"/>
      <c r="F66" s="107"/>
      <c r="G66" s="107"/>
      <c r="H66" s="62" t="s">
        <v>57</v>
      </c>
      <c r="I66" s="63" t="str">
        <f>'Necesidades Trimestrales'!F64</f>
        <v>CAJA</v>
      </c>
      <c r="J66" s="64">
        <f>'Necesidades Trimestrales'!H64</f>
        <v>21560</v>
      </c>
      <c r="K66" s="65">
        <f>'Necesidades Trimestrales'!G64</f>
        <v>2</v>
      </c>
    </row>
    <row r="67" spans="1:11" ht="20.25" customHeight="1" thickBot="1" x14ac:dyDescent="0.25">
      <c r="A67" s="8">
        <v>56</v>
      </c>
      <c r="B67" s="61">
        <f>'Necesidades Trimestrales'!B65</f>
        <v>0</v>
      </c>
      <c r="C67" s="107" t="str">
        <f>'Necesidades Trimestrales'!E65</f>
        <v>CLEAN CELL COBAS E411 - BIDON DE 300 ML X 6</v>
      </c>
      <c r="D67" s="107"/>
      <c r="E67" s="107"/>
      <c r="F67" s="107"/>
      <c r="G67" s="107"/>
      <c r="H67" s="62" t="s">
        <v>57</v>
      </c>
      <c r="I67" s="63" t="str">
        <f>'Necesidades Trimestrales'!F65</f>
        <v>CAJA</v>
      </c>
      <c r="J67" s="64">
        <f>'Necesidades Trimestrales'!H65</f>
        <v>8694</v>
      </c>
      <c r="K67" s="65">
        <f>'Necesidades Trimestrales'!G65</f>
        <v>3</v>
      </c>
    </row>
    <row r="68" spans="1:11" ht="20.25" customHeight="1" thickBot="1" x14ac:dyDescent="0.25">
      <c r="A68" s="8">
        <v>57</v>
      </c>
      <c r="B68" s="61">
        <f>'Necesidades Trimestrales'!B66</f>
        <v>0</v>
      </c>
      <c r="C68" s="107" t="str">
        <f>'Necesidades Trimestrales'!E66</f>
        <v>COLESTEROL TOTAL COBAS C-311 ROCHE  X 400 DET</v>
      </c>
      <c r="D68" s="107"/>
      <c r="E68" s="107"/>
      <c r="F68" s="107"/>
      <c r="G68" s="107"/>
      <c r="H68" s="62" t="s">
        <v>57</v>
      </c>
      <c r="I68" s="63" t="str">
        <f>'Necesidades Trimestrales'!F66</f>
        <v>CASSETTE</v>
      </c>
      <c r="J68" s="64">
        <f>'Necesidades Trimestrales'!H66</f>
        <v>3514</v>
      </c>
      <c r="K68" s="65">
        <f>'Necesidades Trimestrales'!G66</f>
        <v>15</v>
      </c>
    </row>
    <row r="69" spans="1:11" ht="20.25" customHeight="1" thickBot="1" x14ac:dyDescent="0.25">
      <c r="A69" s="8">
        <v>58</v>
      </c>
      <c r="B69" s="61">
        <f>'Necesidades Trimestrales'!B67</f>
        <v>0</v>
      </c>
      <c r="C69" s="107" t="str">
        <f>'Necesidades Trimestrales'!E67</f>
        <v>COLORANTE AZUL  BRILLANTE DE CRECILO X 50 ML)</v>
      </c>
      <c r="D69" s="107"/>
      <c r="E69" s="107"/>
      <c r="F69" s="107"/>
      <c r="G69" s="107"/>
      <c r="H69" s="62" t="s">
        <v>57</v>
      </c>
      <c r="I69" s="63" t="str">
        <f>'Necesidades Trimestrales'!F67</f>
        <v>CAJA</v>
      </c>
      <c r="J69" s="64">
        <f>'Necesidades Trimestrales'!H67</f>
        <v>2225</v>
      </c>
      <c r="K69" s="65">
        <f>'Necesidades Trimestrales'!G67</f>
        <v>1</v>
      </c>
    </row>
    <row r="70" spans="1:11" ht="20.25" customHeight="1" thickBot="1" x14ac:dyDescent="0.25">
      <c r="A70" s="8">
        <v>59</v>
      </c>
      <c r="B70" s="61">
        <f>'Necesidades Trimestrales'!B68</f>
        <v>0</v>
      </c>
      <c r="C70" s="107" t="str">
        <f>'Necesidades Trimestrales'!E68</f>
        <v>COLORANTE GIEMMSA X 1 LT</v>
      </c>
      <c r="D70" s="107"/>
      <c r="E70" s="107"/>
      <c r="F70" s="107"/>
      <c r="G70" s="107"/>
      <c r="H70" s="62" t="s">
        <v>57</v>
      </c>
      <c r="I70" s="63" t="str">
        <f>'Necesidades Trimestrales'!F68</f>
        <v>FRASCO</v>
      </c>
      <c r="J70" s="64">
        <f>'Necesidades Trimestrales'!H68</f>
        <v>3017</v>
      </c>
      <c r="K70" s="65">
        <f>'Necesidades Trimestrales'!G68</f>
        <v>2</v>
      </c>
    </row>
    <row r="71" spans="1:11" ht="20.25" customHeight="1" thickBot="1" x14ac:dyDescent="0.25">
      <c r="A71" s="8">
        <v>60</v>
      </c>
      <c r="B71" s="61">
        <f>'Necesidades Trimestrales'!B69</f>
        <v>0</v>
      </c>
      <c r="C71" s="107" t="str">
        <f>'Necesidades Trimestrales'!E69</f>
        <v>COMPLEMENTO C4 P COBAS C 311 X 100 DETERMINACIONES</v>
      </c>
      <c r="D71" s="107"/>
      <c r="E71" s="107"/>
      <c r="F71" s="107"/>
      <c r="G71" s="107"/>
      <c r="H71" s="62" t="s">
        <v>57</v>
      </c>
      <c r="I71" s="63" t="str">
        <f>'Necesidades Trimestrales'!F69</f>
        <v>CASSETTE</v>
      </c>
      <c r="J71" s="64">
        <f>'Necesidades Trimestrales'!H69</f>
        <v>10322</v>
      </c>
      <c r="K71" s="65">
        <f>'Necesidades Trimestrales'!G69</f>
        <v>2</v>
      </c>
    </row>
    <row r="72" spans="1:11" ht="20.25" customHeight="1" thickBot="1" x14ac:dyDescent="0.25">
      <c r="A72" s="8">
        <v>61</v>
      </c>
      <c r="B72" s="61">
        <f>'Necesidades Trimestrales'!B70</f>
        <v>0</v>
      </c>
      <c r="C72" s="107" t="str">
        <f>'Necesidades Trimestrales'!E70</f>
        <v xml:space="preserve">CREATIN QUINASA COBAS C-311 ROCHE  X 200 DET </v>
      </c>
      <c r="D72" s="107"/>
      <c r="E72" s="107"/>
      <c r="F72" s="107"/>
      <c r="G72" s="107"/>
      <c r="H72" s="62" t="s">
        <v>57</v>
      </c>
      <c r="I72" s="63" t="str">
        <f>'Necesidades Trimestrales'!F70</f>
        <v>CASSETTE</v>
      </c>
      <c r="J72" s="64">
        <f>'Necesidades Trimestrales'!H70</f>
        <v>2925</v>
      </c>
      <c r="K72" s="65">
        <f>'Necesidades Trimestrales'!G70</f>
        <v>1</v>
      </c>
    </row>
    <row r="73" spans="1:11" ht="20.25" customHeight="1" thickBot="1" x14ac:dyDescent="0.25">
      <c r="A73" s="8">
        <v>62</v>
      </c>
      <c r="B73" s="61">
        <f>'Necesidades Trimestrales'!B71</f>
        <v>0</v>
      </c>
      <c r="C73" s="107" t="str">
        <f>'Necesidades Trimestrales'!E71</f>
        <v>CREATININA JAFFE COBAS C-311 ROCHE  X 700 DET</v>
      </c>
      <c r="D73" s="107"/>
      <c r="E73" s="107"/>
      <c r="F73" s="107"/>
      <c r="G73" s="107"/>
      <c r="H73" s="62" t="s">
        <v>57</v>
      </c>
      <c r="I73" s="63" t="str">
        <f>'Necesidades Trimestrales'!F71</f>
        <v>CASSETTE</v>
      </c>
      <c r="J73" s="64">
        <f>'Necesidades Trimestrales'!H71</f>
        <v>3854</v>
      </c>
      <c r="K73" s="65">
        <f>'Necesidades Trimestrales'!G71</f>
        <v>9</v>
      </c>
    </row>
    <row r="74" spans="1:11" ht="20.25" customHeight="1" thickBot="1" x14ac:dyDescent="0.25">
      <c r="A74" s="8">
        <v>63</v>
      </c>
      <c r="B74" s="61">
        <f>'Necesidades Trimestrales'!B72</f>
        <v>0</v>
      </c>
      <c r="C74" s="107" t="str">
        <f>'Necesidades Trimestrales'!E72</f>
        <v>DECOLORANTE PARA GRAM, ESTADO: LÍQUIDO, PRESENTACIÓN: ENVASE POR 100 ML</v>
      </c>
      <c r="D74" s="107"/>
      <c r="E74" s="107"/>
      <c r="F74" s="107"/>
      <c r="G74" s="107"/>
      <c r="H74" s="62" t="s">
        <v>57</v>
      </c>
      <c r="I74" s="63" t="str">
        <f>'Necesidades Trimestrales'!F72</f>
        <v>Fco.</v>
      </c>
      <c r="J74" s="64">
        <f>'Necesidades Trimestrales'!H72</f>
        <v>2566</v>
      </c>
      <c r="K74" s="65">
        <f>'Necesidades Trimestrales'!G72</f>
        <v>4</v>
      </c>
    </row>
    <row r="75" spans="1:11" ht="20.25" customHeight="1" thickBot="1" x14ac:dyDescent="0.25">
      <c r="A75" s="8">
        <v>64</v>
      </c>
      <c r="B75" s="61">
        <f>'Necesidades Trimestrales'!B73</f>
        <v>0</v>
      </c>
      <c r="C75" s="107" t="str">
        <f>'Necesidades Trimestrales'!E73</f>
        <v>DESHIDRATANTE X 10L</v>
      </c>
      <c r="D75" s="107"/>
      <c r="E75" s="107"/>
      <c r="F75" s="107"/>
      <c r="G75" s="107"/>
      <c r="H75" s="62" t="s">
        <v>57</v>
      </c>
      <c r="I75" s="63" t="str">
        <f>'Necesidades Trimestrales'!F73</f>
        <v>BIDON</v>
      </c>
      <c r="J75" s="64">
        <f>'Necesidades Trimestrales'!H73</f>
        <v>7750</v>
      </c>
      <c r="K75" s="65">
        <f>'Necesidades Trimestrales'!G73</f>
        <v>1</v>
      </c>
    </row>
    <row r="76" spans="1:11" ht="20.25" customHeight="1" thickBot="1" x14ac:dyDescent="0.25">
      <c r="A76" s="8">
        <v>65</v>
      </c>
      <c r="B76" s="61">
        <f>'Necesidades Trimestrales'!B74</f>
        <v>0</v>
      </c>
      <c r="C76" s="107" t="str">
        <f>'Necesidades Trimestrales'!E74</f>
        <v>DEXTROSA/ POLVO TIPO CICARELLI X 1000GRS.</v>
      </c>
      <c r="D76" s="107"/>
      <c r="E76" s="107"/>
      <c r="F76" s="107"/>
      <c r="G76" s="107"/>
      <c r="H76" s="62" t="s">
        <v>57</v>
      </c>
      <c r="I76" s="63" t="str">
        <f>'Necesidades Trimestrales'!F74</f>
        <v>FRASCO</v>
      </c>
      <c r="J76" s="64">
        <f>'Necesidades Trimestrales'!H74</f>
        <v>825</v>
      </c>
      <c r="K76" s="65">
        <f>'Necesidades Trimestrales'!G74</f>
        <v>10</v>
      </c>
    </row>
    <row r="77" spans="1:11" ht="20.25" customHeight="1" thickBot="1" x14ac:dyDescent="0.25">
      <c r="A77" s="8">
        <v>66</v>
      </c>
      <c r="B77" s="61">
        <f>'Necesidades Trimestrales'!B75</f>
        <v>0</v>
      </c>
      <c r="C77" s="107" t="str">
        <f>'Necesidades Trimestrales'!E75</f>
        <v xml:space="preserve">DIMERO D  COBAS C-311 ROCHE  X 100 DET </v>
      </c>
      <c r="D77" s="107"/>
      <c r="E77" s="107"/>
      <c r="F77" s="107"/>
      <c r="G77" s="107"/>
      <c r="H77" s="62" t="s">
        <v>57</v>
      </c>
      <c r="I77" s="63" t="str">
        <f>'Necesidades Trimestrales'!F75</f>
        <v>CASSETTE</v>
      </c>
      <c r="J77" s="64">
        <f>'Necesidades Trimestrales'!H75</f>
        <v>63867</v>
      </c>
      <c r="K77" s="65">
        <f>'Necesidades Trimestrales'!G75</f>
        <v>7</v>
      </c>
    </row>
    <row r="78" spans="1:11" ht="20.25" customHeight="1" thickBot="1" x14ac:dyDescent="0.25">
      <c r="A78" s="8">
        <v>67</v>
      </c>
      <c r="B78" s="61">
        <f>'Necesidades Trimestrales'!B76</f>
        <v>0</v>
      </c>
      <c r="C78" s="107" t="str">
        <f>'Necesidades Trimestrales'!E76</f>
        <v>DIMERO D  GEN 2 CALIBRADOR SET 6X0,5 ML  COBAS C-311 ROCHE</v>
      </c>
      <c r="D78" s="107"/>
      <c r="E78" s="107"/>
      <c r="F78" s="107"/>
      <c r="G78" s="107"/>
      <c r="H78" s="62" t="s">
        <v>57</v>
      </c>
      <c r="I78" s="63" t="str">
        <f>'Necesidades Trimestrales'!F76</f>
        <v>CAJA</v>
      </c>
      <c r="J78" s="64">
        <f>'Necesidades Trimestrales'!H76</f>
        <v>15214</v>
      </c>
      <c r="K78" s="65">
        <f>'Necesidades Trimestrales'!G76</f>
        <v>3</v>
      </c>
    </row>
    <row r="79" spans="1:11" ht="20.25" customHeight="1" thickBot="1" x14ac:dyDescent="0.25">
      <c r="A79" s="8">
        <v>68</v>
      </c>
      <c r="B79" s="61">
        <f>'Necesidades Trimestrales'!B77</f>
        <v>0</v>
      </c>
      <c r="C79" s="107" t="str">
        <f>'Necesidades Trimestrales'!E77</f>
        <v>DIMERO D GEN 2 CONTROL I  / II  NIVEL 1 : 2 X 1 ML  NIVEL 2 : 2 X 1 ML  COBAS C-311 ROCHE</v>
      </c>
      <c r="D79" s="107"/>
      <c r="E79" s="107"/>
      <c r="F79" s="107"/>
      <c r="G79" s="107"/>
      <c r="H79" s="62" t="s">
        <v>57</v>
      </c>
      <c r="I79" s="63" t="str">
        <f>'Necesidades Trimestrales'!F77</f>
        <v>UNIDAD</v>
      </c>
      <c r="J79" s="64">
        <f>'Necesidades Trimestrales'!H77</f>
        <v>20266</v>
      </c>
      <c r="K79" s="65">
        <f>'Necesidades Trimestrales'!G77</f>
        <v>3</v>
      </c>
    </row>
    <row r="80" spans="1:11" ht="20.25" customHeight="1" thickBot="1" x14ac:dyDescent="0.25">
      <c r="A80" s="8">
        <v>69</v>
      </c>
      <c r="B80" s="61">
        <f>'Necesidades Trimestrales'!B78</f>
        <v>0</v>
      </c>
      <c r="C80" s="107" t="str">
        <f>'Necesidades Trimestrales'!E78</f>
        <v>DISCO AMICACINA 30 µGR, ESTADO:  CALIDAD: PRO ANALISIS, PRESENTACION: ENVASE X 50 UN</v>
      </c>
      <c r="D80" s="107"/>
      <c r="E80" s="107"/>
      <c r="F80" s="107"/>
      <c r="G80" s="107"/>
      <c r="H80" s="62" t="s">
        <v>57</v>
      </c>
      <c r="I80" s="63" t="str">
        <f>'Necesidades Trimestrales'!F78</f>
        <v xml:space="preserve">Fco. </v>
      </c>
      <c r="J80" s="64">
        <f>'Necesidades Trimestrales'!H78</f>
        <v>516</v>
      </c>
      <c r="K80" s="65">
        <f>'Necesidades Trimestrales'!G78</f>
        <v>5</v>
      </c>
    </row>
    <row r="81" spans="1:11" ht="27.6" customHeight="1" thickBot="1" x14ac:dyDescent="0.25">
      <c r="A81" s="8">
        <v>70</v>
      </c>
      <c r="B81" s="61">
        <f>'Necesidades Trimestrales'!B79</f>
        <v>0</v>
      </c>
      <c r="C81" s="107" t="str">
        <f>'Necesidades Trimestrales'!E79</f>
        <v>DISCO AMOXICILINA+CLAVULANICO, ESTADO:  CALIDAD: PRO ANALISIS, PRESENTACION: ENVASE X 50 UN</v>
      </c>
      <c r="D81" s="107"/>
      <c r="E81" s="107"/>
      <c r="F81" s="107"/>
      <c r="G81" s="107"/>
      <c r="H81" s="62" t="s">
        <v>57</v>
      </c>
      <c r="I81" s="63" t="str">
        <f>'Necesidades Trimestrales'!F79</f>
        <v>Fco.</v>
      </c>
      <c r="J81" s="64">
        <f>'Necesidades Trimestrales'!H79</f>
        <v>790</v>
      </c>
      <c r="K81" s="65">
        <f>'Necesidades Trimestrales'!G79</f>
        <v>5</v>
      </c>
    </row>
    <row r="82" spans="1:11" ht="20.25" customHeight="1" thickBot="1" x14ac:dyDescent="0.25">
      <c r="A82" s="8">
        <v>71</v>
      </c>
      <c r="B82" s="61">
        <f>'Necesidades Trimestrales'!B80</f>
        <v>0</v>
      </c>
      <c r="C82" s="107" t="str">
        <f>'Necesidades Trimestrales'!E80</f>
        <v>DISCO AMPICILINA 10 µGR, ESTADO:  CALIDAD: PRO ANALISIS, PRESENTACION: ENVASE X 50 UN</v>
      </c>
      <c r="D82" s="107"/>
      <c r="E82" s="107"/>
      <c r="F82" s="107"/>
      <c r="G82" s="107"/>
      <c r="H82" s="62" t="s">
        <v>57</v>
      </c>
      <c r="I82" s="63" t="str">
        <f>'Necesidades Trimestrales'!F80</f>
        <v>Fco.</v>
      </c>
      <c r="J82" s="64">
        <f>'Necesidades Trimestrales'!H80</f>
        <v>516</v>
      </c>
      <c r="K82" s="65">
        <f>'Necesidades Trimestrales'!G80</f>
        <v>10</v>
      </c>
    </row>
    <row r="83" spans="1:11" ht="20.25" customHeight="1" thickBot="1" x14ac:dyDescent="0.25">
      <c r="A83" s="8">
        <v>72</v>
      </c>
      <c r="B83" s="61">
        <f>'Necesidades Trimestrales'!B81</f>
        <v>0</v>
      </c>
      <c r="C83" s="107" t="str">
        <f>'Necesidades Trimestrales'!E81</f>
        <v>DISCO CEFAZOLINA, ESTADO: DISCO, CALIDAD: PRO ANALISIS, PRESENTACION: 50 X ENVASE X 30 µGR</v>
      </c>
      <c r="D83" s="107"/>
      <c r="E83" s="107"/>
      <c r="F83" s="107"/>
      <c r="G83" s="107"/>
      <c r="H83" s="62" t="s">
        <v>57</v>
      </c>
      <c r="I83" s="63" t="str">
        <f>'Necesidades Trimestrales'!F81</f>
        <v>Fco.</v>
      </c>
      <c r="J83" s="64">
        <f>'Necesidades Trimestrales'!H81</f>
        <v>790</v>
      </c>
      <c r="K83" s="65">
        <f>'Necesidades Trimestrales'!G81</f>
        <v>10</v>
      </c>
    </row>
    <row r="84" spans="1:11" ht="20.25" customHeight="1" thickBot="1" x14ac:dyDescent="0.25">
      <c r="A84" s="8">
        <v>73</v>
      </c>
      <c r="B84" s="61">
        <f>'Necesidades Trimestrales'!B82</f>
        <v>0</v>
      </c>
      <c r="C84" s="107" t="str">
        <f>'Necesidades Trimestrales'!E82</f>
        <v>DISCO CEFEPIME 30 µGR, ESTADO: DISCO, CALIDAD: PRO ANALISIS, PRESENTACION: ENVASE X 50 UN</v>
      </c>
      <c r="D84" s="107"/>
      <c r="E84" s="107"/>
      <c r="F84" s="107"/>
      <c r="G84" s="107"/>
      <c r="H84" s="62" t="s">
        <v>57</v>
      </c>
      <c r="I84" s="63" t="str">
        <f>'Necesidades Trimestrales'!F82</f>
        <v>Fco.</v>
      </c>
      <c r="J84" s="64">
        <f>'Necesidades Trimestrales'!H82</f>
        <v>516</v>
      </c>
      <c r="K84" s="65">
        <f>'Necesidades Trimestrales'!G82</f>
        <v>3</v>
      </c>
    </row>
    <row r="85" spans="1:11" ht="20.25" customHeight="1" thickBot="1" x14ac:dyDescent="0.25">
      <c r="A85" s="8">
        <v>74</v>
      </c>
      <c r="B85" s="61">
        <f>'Necesidades Trimestrales'!B83</f>
        <v>0</v>
      </c>
      <c r="C85" s="107" t="str">
        <f>'Necesidades Trimestrales'!E83</f>
        <v>DISCO CEFOTAXIMA 30 µGR DISCO X 50 UN</v>
      </c>
      <c r="D85" s="107"/>
      <c r="E85" s="107"/>
      <c r="F85" s="107"/>
      <c r="G85" s="107"/>
      <c r="H85" s="62" t="s">
        <v>57</v>
      </c>
      <c r="I85" s="63" t="str">
        <f>'Necesidades Trimestrales'!F83</f>
        <v>Fco.</v>
      </c>
      <c r="J85" s="64">
        <f>'Necesidades Trimestrales'!H83</f>
        <v>516</v>
      </c>
      <c r="K85" s="65">
        <f>'Necesidades Trimestrales'!G83</f>
        <v>8</v>
      </c>
    </row>
    <row r="86" spans="1:11" ht="20.45" customHeight="1" thickBot="1" x14ac:dyDescent="0.25">
      <c r="A86" s="8">
        <v>75</v>
      </c>
      <c r="B86" s="61">
        <f>'Necesidades Trimestrales'!B84</f>
        <v>0</v>
      </c>
      <c r="C86" s="107" t="str">
        <f>'Necesidades Trimestrales'!E84</f>
        <v>DISCO CEFTAROLINA, ESTADO: DISCOS, CALIDAD: PROANALISIS, PRESENTACION: ENVASE X 50</v>
      </c>
      <c r="D86" s="107"/>
      <c r="E86" s="107"/>
      <c r="F86" s="107"/>
      <c r="G86" s="107"/>
      <c r="H86" s="62" t="s">
        <v>57</v>
      </c>
      <c r="I86" s="63" t="str">
        <f>'Necesidades Trimestrales'!F84</f>
        <v>Fco.</v>
      </c>
      <c r="J86" s="64">
        <f>'Necesidades Trimestrales'!H84</f>
        <v>680</v>
      </c>
      <c r="K86" s="65">
        <f>'Necesidades Trimestrales'!G84</f>
        <v>1</v>
      </c>
    </row>
    <row r="87" spans="1:11" ht="22.9" customHeight="1" thickBot="1" x14ac:dyDescent="0.25">
      <c r="A87" s="8">
        <v>76</v>
      </c>
      <c r="B87" s="61">
        <f>'Necesidades Trimestrales'!B85</f>
        <v>0</v>
      </c>
      <c r="C87" s="107" t="str">
        <f>'Necesidades Trimestrales'!E85</f>
        <v>DISCO CEFTAZIDIMA 30 µGR, ESTADO: DISCO, CALIDAD: PRO ANALISIS, PRESENTACION: ENVASE X 50 UN</v>
      </c>
      <c r="D87" s="107"/>
      <c r="E87" s="107"/>
      <c r="F87" s="107"/>
      <c r="G87" s="107"/>
      <c r="H87" s="62" t="s">
        <v>57</v>
      </c>
      <c r="I87" s="63" t="str">
        <f>'Necesidades Trimestrales'!F85</f>
        <v>Fco.</v>
      </c>
      <c r="J87" s="64">
        <f>'Necesidades Trimestrales'!H85</f>
        <v>790</v>
      </c>
      <c r="K87" s="65">
        <f>'Necesidades Trimestrales'!G85</f>
        <v>8</v>
      </c>
    </row>
    <row r="88" spans="1:11" ht="20.25" customHeight="1" thickBot="1" x14ac:dyDescent="0.25">
      <c r="A88" s="8">
        <v>77</v>
      </c>
      <c r="B88" s="61">
        <f>'Necesidades Trimestrales'!B86</f>
        <v>0</v>
      </c>
      <c r="C88" s="107" t="str">
        <f>'Necesidades Trimestrales'!E86</f>
        <v>DISCO CEFTAZIDIMA AC.CLAVULAN.30/10 µGR DISCO X 50 UN</v>
      </c>
      <c r="D88" s="107"/>
      <c r="E88" s="107"/>
      <c r="F88" s="107"/>
      <c r="G88" s="107"/>
      <c r="H88" s="62" t="s">
        <v>57</v>
      </c>
      <c r="I88" s="63" t="str">
        <f>'Necesidades Trimestrales'!F86</f>
        <v>Fco.</v>
      </c>
      <c r="J88" s="64">
        <f>'Necesidades Trimestrales'!H86</f>
        <v>516</v>
      </c>
      <c r="K88" s="65">
        <f>'Necesidades Trimestrales'!G86</f>
        <v>5</v>
      </c>
    </row>
    <row r="89" spans="1:11" ht="20.25" customHeight="1" thickBot="1" x14ac:dyDescent="0.25">
      <c r="A89" s="8">
        <v>78</v>
      </c>
      <c r="B89" s="61">
        <f>'Necesidades Trimestrales'!B87</f>
        <v>0</v>
      </c>
      <c r="C89" s="107" t="str">
        <f>'Necesidades Trimestrales'!E87</f>
        <v>DISCO COLISTINA 10 µGR, ESTADO: DISCO, CALIDAD: PRO ANALISIS, PRESENTACION: ENVASE X 50 UN</v>
      </c>
      <c r="D89" s="107"/>
      <c r="E89" s="107"/>
      <c r="F89" s="107"/>
      <c r="G89" s="107"/>
      <c r="H89" s="62" t="s">
        <v>57</v>
      </c>
      <c r="I89" s="63" t="str">
        <f>'Necesidades Trimestrales'!F87</f>
        <v>Fco</v>
      </c>
      <c r="J89" s="64">
        <f>'Necesidades Trimestrales'!H87</f>
        <v>516</v>
      </c>
      <c r="K89" s="65">
        <f>'Necesidades Trimestrales'!G87</f>
        <v>5</v>
      </c>
    </row>
    <row r="90" spans="1:11" ht="30" customHeight="1" thickBot="1" x14ac:dyDescent="0.25">
      <c r="A90" s="8">
        <v>79</v>
      </c>
      <c r="B90" s="61">
        <f>'Necesidades Trimestrales'!B88</f>
        <v>0</v>
      </c>
      <c r="C90" s="107" t="str">
        <f>'Necesidades Trimestrales'!E88</f>
        <v>DISCO ESTREPTOMICINA 300 µGR, ESTADO: DISCO, CALIDAD: PRO ANALISIS, PRESENTACION: ENVASE X 50 UN</v>
      </c>
      <c r="D90" s="107"/>
      <c r="E90" s="107"/>
      <c r="F90" s="107"/>
      <c r="G90" s="107"/>
      <c r="H90" s="62" t="s">
        <v>57</v>
      </c>
      <c r="I90" s="63" t="str">
        <f>'Necesidades Trimestrales'!F88</f>
        <v>Fco</v>
      </c>
      <c r="J90" s="64">
        <f>'Necesidades Trimestrales'!H88</f>
        <v>516</v>
      </c>
      <c r="K90" s="65">
        <f>'Necesidades Trimestrales'!G88</f>
        <v>1</v>
      </c>
    </row>
    <row r="91" spans="1:11" ht="20.25" customHeight="1" thickBot="1" x14ac:dyDescent="0.25">
      <c r="A91" s="8">
        <v>80</v>
      </c>
      <c r="B91" s="61">
        <f>'Necesidades Trimestrales'!B89</f>
        <v>0</v>
      </c>
      <c r="C91" s="107" t="str">
        <f>'Necesidades Trimestrales'!E89</f>
        <v>DISCO IMIPENEM 10 µGR, ESTADO: DISCO, CALIDAD: PRO ANALISIS, PRESENTACION: ENVASE X 50 UN</v>
      </c>
      <c r="D91" s="107"/>
      <c r="E91" s="107"/>
      <c r="F91" s="107"/>
      <c r="G91" s="107"/>
      <c r="H91" s="62" t="s">
        <v>57</v>
      </c>
      <c r="I91" s="63" t="str">
        <f>'Necesidades Trimestrales'!F89</f>
        <v>Fco</v>
      </c>
      <c r="J91" s="64">
        <f>'Necesidades Trimestrales'!H89</f>
        <v>516</v>
      </c>
      <c r="K91" s="65">
        <f>'Necesidades Trimestrales'!G89</f>
        <v>5</v>
      </c>
    </row>
    <row r="92" spans="1:11" ht="20.25" customHeight="1" thickBot="1" x14ac:dyDescent="0.25">
      <c r="A92" s="8">
        <v>81</v>
      </c>
      <c r="B92" s="61">
        <f>'Necesidades Trimestrales'!B90</f>
        <v>0</v>
      </c>
      <c r="C92" s="107" t="str">
        <f>'Necesidades Trimestrales'!E90</f>
        <v>DISCO MEROPENEM 10 µGR, ESTADO: DISCO, CALIDAD: PRO ANALISIS, PRESENTACION: ENVASE X 50 UN</v>
      </c>
      <c r="D92" s="107"/>
      <c r="E92" s="107"/>
      <c r="F92" s="107"/>
      <c r="G92" s="107"/>
      <c r="H92" s="62" t="s">
        <v>57</v>
      </c>
      <c r="I92" s="63" t="str">
        <f>'Necesidades Trimestrales'!F90</f>
        <v>Fco</v>
      </c>
      <c r="J92" s="64">
        <f>'Necesidades Trimestrales'!H90</f>
        <v>516</v>
      </c>
      <c r="K92" s="65">
        <f>'Necesidades Trimestrales'!G90</f>
        <v>5</v>
      </c>
    </row>
    <row r="93" spans="1:11" ht="27.6" customHeight="1" thickBot="1" x14ac:dyDescent="0.25">
      <c r="A93" s="8">
        <v>82</v>
      </c>
      <c r="B93" s="61">
        <f>'Necesidades Trimestrales'!B91</f>
        <v>0</v>
      </c>
      <c r="C93" s="107" t="str">
        <f>'Necesidades Trimestrales'!E91</f>
        <v>DISCO NITROFURANTOINA 300 µGR, ESTADO: DISCO, CALIDAD: PRO ANALISIS, PRESENTACION: ENVASE X 50 UN</v>
      </c>
      <c r="D93" s="107"/>
      <c r="E93" s="107"/>
      <c r="F93" s="107"/>
      <c r="G93" s="107"/>
      <c r="H93" s="62" t="s">
        <v>57</v>
      </c>
      <c r="I93" s="63" t="str">
        <f>'Necesidades Trimestrales'!F91</f>
        <v>Fco</v>
      </c>
      <c r="J93" s="64">
        <f>'Necesidades Trimestrales'!H91</f>
        <v>516</v>
      </c>
      <c r="K93" s="65">
        <f>'Necesidades Trimestrales'!G91</f>
        <v>5</v>
      </c>
    </row>
    <row r="94" spans="1:11" ht="20.25" customHeight="1" thickBot="1" x14ac:dyDescent="0.25">
      <c r="A94" s="8">
        <v>83</v>
      </c>
      <c r="B94" s="61">
        <f>'Necesidades Trimestrales'!B92</f>
        <v>0</v>
      </c>
      <c r="C94" s="107" t="str">
        <f>'Necesidades Trimestrales'!E92</f>
        <v>DISCO OXACILINA 1 µGR, ESTADO: DISCO, CALIDAD: PRO ANALISIS, PRESENTACION: ENVASE X 50 UN</v>
      </c>
      <c r="D94" s="107"/>
      <c r="E94" s="107"/>
      <c r="F94" s="107"/>
      <c r="G94" s="107"/>
      <c r="H94" s="62" t="s">
        <v>57</v>
      </c>
      <c r="I94" s="63" t="str">
        <f>'Necesidades Trimestrales'!F92</f>
        <v>Fco</v>
      </c>
      <c r="J94" s="64">
        <f>'Necesidades Trimestrales'!H92</f>
        <v>790</v>
      </c>
      <c r="K94" s="65">
        <f>'Necesidades Trimestrales'!G92</f>
        <v>5</v>
      </c>
    </row>
    <row r="95" spans="1:11" ht="20.25" customHeight="1" thickBot="1" x14ac:dyDescent="0.25">
      <c r="A95" s="8">
        <v>84</v>
      </c>
      <c r="B95" s="61">
        <f>'Necesidades Trimestrales'!B93</f>
        <v>0</v>
      </c>
      <c r="C95" s="107" t="str">
        <f>'Necesidades Trimestrales'!E93</f>
        <v>DISCO TIGECICLINA 50 µGR, ESTADO: DISCO, CALIDAD: PRO ANALISIS, PRESENTACION: ENVASE X 50 UN</v>
      </c>
      <c r="D95" s="107"/>
      <c r="E95" s="107"/>
      <c r="F95" s="107"/>
      <c r="G95" s="107"/>
      <c r="H95" s="62" t="s">
        <v>57</v>
      </c>
      <c r="I95" s="63" t="str">
        <f>'Necesidades Trimestrales'!F93</f>
        <v>Fco.</v>
      </c>
      <c r="J95" s="64">
        <f>'Necesidades Trimestrales'!H93</f>
        <v>774</v>
      </c>
      <c r="K95" s="65">
        <f>'Necesidades Trimestrales'!G93</f>
        <v>5</v>
      </c>
    </row>
    <row r="96" spans="1:11" ht="23.45" customHeight="1" thickBot="1" x14ac:dyDescent="0.25">
      <c r="A96" s="8">
        <v>85</v>
      </c>
      <c r="B96" s="61">
        <f>'Necesidades Trimestrales'!B94</f>
        <v>0</v>
      </c>
      <c r="C96" s="107" t="str">
        <f>'Necesidades Trimestrales'!E94</f>
        <v>DISCOS CEFOTAXIMA/CLAVULÀNICO 30/10X 50T/BRITANIA Y/OLIOFILCHEM</v>
      </c>
      <c r="D96" s="107"/>
      <c r="E96" s="107"/>
      <c r="F96" s="107"/>
      <c r="G96" s="107"/>
      <c r="H96" s="62" t="s">
        <v>57</v>
      </c>
      <c r="I96" s="63" t="str">
        <f>'Necesidades Trimestrales'!F94</f>
        <v>Fco.</v>
      </c>
      <c r="J96" s="64">
        <f>'Necesidades Trimestrales'!H94</f>
        <v>516</v>
      </c>
      <c r="K96" s="65">
        <f>'Necesidades Trimestrales'!G94</f>
        <v>3</v>
      </c>
    </row>
    <row r="97" spans="1:11" ht="20.25" customHeight="1" thickBot="1" x14ac:dyDescent="0.25">
      <c r="A97" s="8">
        <v>86</v>
      </c>
      <c r="B97" s="61">
        <f>'Necesidades Trimestrales'!B95</f>
        <v>0</v>
      </c>
      <c r="C97" s="107" t="str">
        <f>'Necesidades Trimestrales'!E95</f>
        <v>Discos de Aztreonam/Avibactam x 50 T/ Britania, Liofilchem o BBL</v>
      </c>
      <c r="D97" s="107"/>
      <c r="E97" s="107"/>
      <c r="F97" s="107"/>
      <c r="G97" s="107"/>
      <c r="H97" s="62" t="s">
        <v>57</v>
      </c>
      <c r="I97" s="63" t="str">
        <f>'Necesidades Trimestrales'!F95</f>
        <v>Fco</v>
      </c>
      <c r="J97" s="64">
        <f>'Necesidades Trimestrales'!H95</f>
        <v>790</v>
      </c>
      <c r="K97" s="65">
        <f>'Necesidades Trimestrales'!G95</f>
        <v>3</v>
      </c>
    </row>
    <row r="98" spans="1:11" ht="20.25" customHeight="1" thickBot="1" x14ac:dyDescent="0.25">
      <c r="A98" s="8">
        <v>87</v>
      </c>
      <c r="B98" s="61">
        <f>'Necesidades Trimestrales'!B96</f>
        <v>0</v>
      </c>
      <c r="C98" s="107" t="str">
        <f>'Necesidades Trimestrales'!E96</f>
        <v>DISCOS DE CEFOXITINA 30 UG. X 50 T/LIOFILCHEM Y/O BRITANIA</v>
      </c>
      <c r="D98" s="107"/>
      <c r="E98" s="107"/>
      <c r="F98" s="107"/>
      <c r="G98" s="107"/>
      <c r="H98" s="62" t="s">
        <v>57</v>
      </c>
      <c r="I98" s="63" t="str">
        <f>'Necesidades Trimestrales'!F96</f>
        <v>Fco.</v>
      </c>
      <c r="J98" s="64">
        <f>'Necesidades Trimestrales'!H96</f>
        <v>790</v>
      </c>
      <c r="K98" s="65">
        <f>'Necesidades Trimestrales'!G96</f>
        <v>4</v>
      </c>
    </row>
    <row r="99" spans="1:11" ht="28.15" customHeight="1" thickBot="1" x14ac:dyDescent="0.25">
      <c r="A99" s="8">
        <v>88</v>
      </c>
      <c r="B99" s="61">
        <f>'Necesidades Trimestrales'!B97</f>
        <v>0</v>
      </c>
      <c r="C99" s="107" t="str">
        <f>'Necesidades Trimestrales'!E97</f>
        <v>Discos de Ceftobiprole 5 ug x 50 T/ Britania, Liofilchem o BBL</v>
      </c>
      <c r="D99" s="107"/>
      <c r="E99" s="107"/>
      <c r="F99" s="107"/>
      <c r="G99" s="107"/>
      <c r="H99" s="62" t="s">
        <v>57</v>
      </c>
      <c r="I99" s="63" t="str">
        <f>'Necesidades Trimestrales'!F97</f>
        <v>Fco</v>
      </c>
      <c r="J99" s="64">
        <f>'Necesidades Trimestrales'!H97</f>
        <v>800</v>
      </c>
      <c r="K99" s="65">
        <f>'Necesidades Trimestrales'!G97</f>
        <v>5</v>
      </c>
    </row>
    <row r="100" spans="1:11" ht="20.25" customHeight="1" thickBot="1" x14ac:dyDescent="0.25">
      <c r="A100" s="8">
        <v>89</v>
      </c>
      <c r="B100" s="61">
        <f>'Necesidades Trimestrales'!B98</f>
        <v>0</v>
      </c>
      <c r="C100" s="107" t="str">
        <f>'Necesidades Trimestrales'!E98</f>
        <v>DISCOS DE EDTA/SMA X 50  BRITANIA</v>
      </c>
      <c r="D100" s="107"/>
      <c r="E100" s="107"/>
      <c r="F100" s="107"/>
      <c r="G100" s="107"/>
      <c r="H100" s="62" t="s">
        <v>57</v>
      </c>
      <c r="I100" s="63" t="str">
        <f>'Necesidades Trimestrales'!F98</f>
        <v>Fco.</v>
      </c>
      <c r="J100" s="64">
        <f>'Necesidades Trimestrales'!H98</f>
        <v>1950</v>
      </c>
      <c r="K100" s="65">
        <f>'Necesidades Trimestrales'!G98</f>
        <v>4</v>
      </c>
    </row>
    <row r="101" spans="1:11" ht="20.25" customHeight="1" thickBot="1" x14ac:dyDescent="0.25">
      <c r="A101" s="8">
        <v>90</v>
      </c>
      <c r="B101" s="61">
        <f>'Necesidades Trimestrales'!B99</f>
        <v>0</v>
      </c>
      <c r="C101" s="107" t="str">
        <f>'Necesidades Trimestrales'!E99</f>
        <v>DISCOS DE ERTAPENEM 10 UG X 50 T/BRITANIA Y/O LIOFILCHEM</v>
      </c>
      <c r="D101" s="107"/>
      <c r="E101" s="107"/>
      <c r="F101" s="107"/>
      <c r="G101" s="107"/>
      <c r="H101" s="62" t="s">
        <v>57</v>
      </c>
      <c r="I101" s="63" t="str">
        <f>'Necesidades Trimestrales'!F99</f>
        <v>Fco.</v>
      </c>
      <c r="J101" s="64">
        <f>'Necesidades Trimestrales'!H99</f>
        <v>774</v>
      </c>
      <c r="K101" s="65">
        <f>'Necesidades Trimestrales'!G99</f>
        <v>1</v>
      </c>
    </row>
    <row r="102" spans="1:11" ht="20.25" customHeight="1" thickBot="1" x14ac:dyDescent="0.25">
      <c r="A102" s="8">
        <v>91</v>
      </c>
      <c r="B102" s="61">
        <f>'Necesidades Trimestrales'!B100</f>
        <v>0</v>
      </c>
      <c r="C102" s="107" t="str">
        <f>'Necesidades Trimestrales'!E100</f>
        <v>DISCOS DE GENTAMICINA X 10 UG. X 50 T/BRITANIA</v>
      </c>
      <c r="D102" s="107"/>
      <c r="E102" s="107"/>
      <c r="F102" s="107"/>
      <c r="G102" s="107"/>
      <c r="H102" s="62" t="s">
        <v>57</v>
      </c>
      <c r="I102" s="63" t="str">
        <f>'Necesidades Trimestrales'!F100</f>
        <v>Fco.</v>
      </c>
      <c r="J102" s="64">
        <f>'Necesidades Trimestrales'!H100</f>
        <v>790</v>
      </c>
      <c r="K102" s="65">
        <f>'Necesidades Trimestrales'!G100</f>
        <v>3</v>
      </c>
    </row>
    <row r="103" spans="1:11" ht="20.25" customHeight="1" thickBot="1" x14ac:dyDescent="0.25">
      <c r="A103" s="8">
        <v>92</v>
      </c>
      <c r="B103" s="61">
        <f>'Necesidades Trimestrales'!B101</f>
        <v>0</v>
      </c>
      <c r="C103" s="107" t="str">
        <f>'Necesidades Trimestrales'!E101</f>
        <v>Discos de Imipenem/Relevactam 10/25 ug x 50 T/ Britania, Liofilchem o BBL</v>
      </c>
      <c r="D103" s="107"/>
      <c r="E103" s="107"/>
      <c r="F103" s="107"/>
      <c r="G103" s="107"/>
      <c r="H103" s="62" t="s">
        <v>57</v>
      </c>
      <c r="I103" s="63" t="str">
        <f>'Necesidades Trimestrales'!F101</f>
        <v>Fco</v>
      </c>
      <c r="J103" s="64">
        <f>'Necesidades Trimestrales'!H101</f>
        <v>600</v>
      </c>
      <c r="K103" s="65">
        <f>'Necesidades Trimestrales'!G101</f>
        <v>3</v>
      </c>
    </row>
    <row r="104" spans="1:11" ht="20.25" customHeight="1" thickBot="1" x14ac:dyDescent="0.25">
      <c r="A104" s="8">
        <v>93</v>
      </c>
      <c r="B104" s="61">
        <f>'Necesidades Trimestrales'!B102</f>
        <v>0</v>
      </c>
      <c r="C104" s="107" t="str">
        <f>'Necesidades Trimestrales'!E102</f>
        <v>Discos de Tetraciclina x 30 ug. X 50 T/Britania</v>
      </c>
      <c r="D104" s="107"/>
      <c r="E104" s="107"/>
      <c r="F104" s="107"/>
      <c r="G104" s="107"/>
      <c r="H104" s="62" t="s">
        <v>57</v>
      </c>
      <c r="I104" s="63" t="str">
        <f>'Necesidades Trimestrales'!F102</f>
        <v xml:space="preserve">Fco. </v>
      </c>
      <c r="J104" s="64">
        <f>'Necesidades Trimestrales'!H102</f>
        <v>516</v>
      </c>
      <c r="K104" s="65">
        <f>'Necesidades Trimestrales'!G102</f>
        <v>1</v>
      </c>
    </row>
    <row r="105" spans="1:11" ht="20.25" customHeight="1" thickBot="1" x14ac:dyDescent="0.25">
      <c r="A105" s="8">
        <v>94</v>
      </c>
      <c r="B105" s="61">
        <f>'Necesidades Trimestrales'!B103</f>
        <v>0</v>
      </c>
      <c r="C105" s="107" t="str">
        <f>'Necesidades Trimestrales'!E103</f>
        <v>Discos de Vancomicina x 30 ug. X 50 T/Britania</v>
      </c>
      <c r="D105" s="107"/>
      <c r="E105" s="107"/>
      <c r="F105" s="107"/>
      <c r="G105" s="107"/>
      <c r="H105" s="62" t="s">
        <v>57</v>
      </c>
      <c r="I105" s="63" t="str">
        <f>'Necesidades Trimestrales'!F103</f>
        <v>Fco.</v>
      </c>
      <c r="J105" s="64">
        <f>'Necesidades Trimestrales'!H103</f>
        <v>516</v>
      </c>
      <c r="K105" s="65">
        <f>'Necesidades Trimestrales'!G103</f>
        <v>3</v>
      </c>
    </row>
    <row r="106" spans="1:11" ht="20.25" customHeight="1" thickBot="1" x14ac:dyDescent="0.25">
      <c r="A106" s="8">
        <v>95</v>
      </c>
      <c r="B106" s="61">
        <f>'Necesidades Trimestrales'!B104</f>
        <v>0</v>
      </c>
      <c r="C106" s="107" t="str">
        <f>'Necesidades Trimestrales'!E104</f>
        <v>DISCOS PIPERACILINA/TAZOBACTAM 100/10 T/LIOFILCHEM Y/O BRITANIA</v>
      </c>
      <c r="D106" s="107"/>
      <c r="E106" s="107"/>
      <c r="F106" s="107"/>
      <c r="G106" s="107"/>
      <c r="H106" s="62" t="s">
        <v>57</v>
      </c>
      <c r="I106" s="63" t="str">
        <f>'Necesidades Trimestrales'!F104</f>
        <v>Fco.</v>
      </c>
      <c r="J106" s="64">
        <f>'Necesidades Trimestrales'!H104</f>
        <v>516</v>
      </c>
      <c r="K106" s="65">
        <f>'Necesidades Trimestrales'!G104</f>
        <v>5</v>
      </c>
    </row>
    <row r="107" spans="1:11" ht="20.25" customHeight="1" thickBot="1" x14ac:dyDescent="0.25">
      <c r="A107" s="8">
        <v>96</v>
      </c>
      <c r="B107" s="61">
        <f>'Necesidades Trimestrales'!B105</f>
        <v>0</v>
      </c>
      <c r="C107" s="107" t="str">
        <f>'Necesidades Trimestrales'!E105</f>
        <v>E.A 36 BIOPUR X 500ML</v>
      </c>
      <c r="D107" s="107"/>
      <c r="E107" s="107"/>
      <c r="F107" s="107"/>
      <c r="G107" s="107"/>
      <c r="H107" s="62" t="s">
        <v>57</v>
      </c>
      <c r="I107" s="63" t="str">
        <f>'Necesidades Trimestrales'!F105</f>
        <v>BOTELLA</v>
      </c>
      <c r="J107" s="64">
        <f>'Necesidades Trimestrales'!H105</f>
        <v>2928</v>
      </c>
      <c r="K107" s="65">
        <f>'Necesidades Trimestrales'!G105</f>
        <v>6</v>
      </c>
    </row>
    <row r="108" spans="1:11" ht="20.25" customHeight="1" thickBot="1" x14ac:dyDescent="0.25">
      <c r="A108" s="8">
        <v>97</v>
      </c>
      <c r="B108" s="61">
        <f>'Necesidades Trimestrales'!B106</f>
        <v>0</v>
      </c>
      <c r="C108" s="107" t="str">
        <f>'Necesidades Trimestrales'!E106</f>
        <v>ECOTERGENT  X 60 ML COBAS C-311 ROCHE</v>
      </c>
      <c r="D108" s="107"/>
      <c r="E108" s="107"/>
      <c r="F108" s="107"/>
      <c r="G108" s="107"/>
      <c r="H108" s="62" t="s">
        <v>57</v>
      </c>
      <c r="I108" s="63" t="str">
        <f>'Necesidades Trimestrales'!F106</f>
        <v>CASSETTE</v>
      </c>
      <c r="J108" s="64">
        <f>'Necesidades Trimestrales'!H106</f>
        <v>4909</v>
      </c>
      <c r="K108" s="65">
        <f>'Necesidades Trimestrales'!G106</f>
        <v>24</v>
      </c>
    </row>
    <row r="109" spans="1:11" ht="20.25" customHeight="1" thickBot="1" x14ac:dyDescent="0.25">
      <c r="A109" s="8">
        <v>98</v>
      </c>
      <c r="B109" s="61">
        <f>'Necesidades Trimestrales'!B107</f>
        <v>0</v>
      </c>
      <c r="C109" s="107" t="str">
        <f>'Necesidades Trimestrales'!E107</f>
        <v>ELECSYS SYSWASH COBAS E-411 ROCHE  X  500 ML</v>
      </c>
      <c r="D109" s="107"/>
      <c r="E109" s="107"/>
      <c r="F109" s="107"/>
      <c r="G109" s="107"/>
      <c r="H109" s="62" t="s">
        <v>57</v>
      </c>
      <c r="I109" s="63" t="str">
        <f>'Necesidades Trimestrales'!F107</f>
        <v>BIDON</v>
      </c>
      <c r="J109" s="64">
        <f>'Necesidades Trimestrales'!H107</f>
        <v>5640</v>
      </c>
      <c r="K109" s="65">
        <f>'Necesidades Trimestrales'!G107</f>
        <v>1</v>
      </c>
    </row>
    <row r="110" spans="1:11" ht="20.25" customHeight="1" thickBot="1" x14ac:dyDescent="0.25">
      <c r="A110" s="8">
        <v>99</v>
      </c>
      <c r="B110" s="61">
        <f>'Necesidades Trimestrales'!B108</f>
        <v>0</v>
      </c>
      <c r="C110" s="107" t="str">
        <f>'Necesidades Trimestrales'!E108</f>
        <v>ELECTRODO DE CALCIO P/COBAS B221</v>
      </c>
      <c r="D110" s="107"/>
      <c r="E110" s="107"/>
      <c r="F110" s="107"/>
      <c r="G110" s="107"/>
      <c r="H110" s="62" t="s">
        <v>57</v>
      </c>
      <c r="I110" s="63" t="str">
        <f>'Necesidades Trimestrales'!F108</f>
        <v>UNIDAD</v>
      </c>
      <c r="J110" s="64">
        <f>'Necesidades Trimestrales'!H108</f>
        <v>9780</v>
      </c>
      <c r="K110" s="65">
        <f>'Necesidades Trimestrales'!G108</f>
        <v>1</v>
      </c>
    </row>
    <row r="111" spans="1:11" ht="20.25" customHeight="1" thickBot="1" x14ac:dyDescent="0.25">
      <c r="A111" s="8">
        <v>100</v>
      </c>
      <c r="B111" s="61">
        <f>'Necesidades Trimestrales'!B109</f>
        <v>0</v>
      </c>
      <c r="C111" s="107" t="str">
        <f>'Necesidades Trimestrales'!E109</f>
        <v>ELECTRODO DE CLORO P/COBAS B221</v>
      </c>
      <c r="D111" s="107"/>
      <c r="E111" s="107"/>
      <c r="F111" s="107"/>
      <c r="G111" s="107"/>
      <c r="H111" s="62" t="s">
        <v>57</v>
      </c>
      <c r="I111" s="63" t="str">
        <f>'Necesidades Trimestrales'!F109</f>
        <v>UNIDAD</v>
      </c>
      <c r="J111" s="64">
        <f>'Necesidades Trimestrales'!H109</f>
        <v>9780</v>
      </c>
      <c r="K111" s="65">
        <f>'Necesidades Trimestrales'!G109</f>
        <v>1</v>
      </c>
    </row>
    <row r="112" spans="1:11" ht="20.25" customHeight="1" thickBot="1" x14ac:dyDescent="0.25">
      <c r="A112" s="8">
        <v>101</v>
      </c>
      <c r="B112" s="61">
        <f>'Necesidades Trimestrales'!B110</f>
        <v>0</v>
      </c>
      <c r="C112" s="107" t="str">
        <f>'Necesidades Trimestrales'!E110</f>
        <v>ELECTRODO DE PCO2 P/COBAS B221</v>
      </c>
      <c r="D112" s="107"/>
      <c r="E112" s="107"/>
      <c r="F112" s="107"/>
      <c r="G112" s="107"/>
      <c r="H112" s="62" t="s">
        <v>57</v>
      </c>
      <c r="I112" s="63" t="str">
        <f>'Necesidades Trimestrales'!F110</f>
        <v>UNIDAD</v>
      </c>
      <c r="J112" s="64">
        <f>'Necesidades Trimestrales'!H110</f>
        <v>39089</v>
      </c>
      <c r="K112" s="65">
        <f>'Necesidades Trimestrales'!G110</f>
        <v>1</v>
      </c>
    </row>
    <row r="113" spans="1:11" ht="20.25" customHeight="1" thickBot="1" x14ac:dyDescent="0.25">
      <c r="A113" s="8">
        <v>102</v>
      </c>
      <c r="B113" s="61">
        <f>'Necesidades Trimestrales'!B111</f>
        <v>0</v>
      </c>
      <c r="C113" s="107" t="str">
        <f>'Necesidades Trimestrales'!E111</f>
        <v>ELECTRODO DE PH P/COBAS B221</v>
      </c>
      <c r="D113" s="107"/>
      <c r="E113" s="107"/>
      <c r="F113" s="107"/>
      <c r="G113" s="107"/>
      <c r="H113" s="62" t="s">
        <v>57</v>
      </c>
      <c r="I113" s="63" t="str">
        <f>'Necesidades Trimestrales'!F111</f>
        <v>UNIDAD</v>
      </c>
      <c r="J113" s="64">
        <f>'Necesidades Trimestrales'!H111</f>
        <v>16317</v>
      </c>
      <c r="K113" s="65">
        <f>'Necesidades Trimestrales'!G111</f>
        <v>1</v>
      </c>
    </row>
    <row r="114" spans="1:11" ht="20.25" customHeight="1" thickBot="1" x14ac:dyDescent="0.25">
      <c r="A114" s="8">
        <v>103</v>
      </c>
      <c r="B114" s="61">
        <f>'Necesidades Trimestrales'!B112</f>
        <v>0</v>
      </c>
      <c r="C114" s="107" t="str">
        <f>'Necesidades Trimestrales'!E112</f>
        <v>ELECTRODO DE PO2 P/COBAS B221</v>
      </c>
      <c r="D114" s="107"/>
      <c r="E114" s="107"/>
      <c r="F114" s="107"/>
      <c r="G114" s="107"/>
      <c r="H114" s="62" t="s">
        <v>57</v>
      </c>
      <c r="I114" s="63" t="str">
        <f>'Necesidades Trimestrales'!F112</f>
        <v>UNIDAD</v>
      </c>
      <c r="J114" s="64">
        <f>'Necesidades Trimestrales'!H112</f>
        <v>37140</v>
      </c>
      <c r="K114" s="65">
        <f>'Necesidades Trimestrales'!G112</f>
        <v>1</v>
      </c>
    </row>
    <row r="115" spans="1:11" ht="20.25" customHeight="1" thickBot="1" x14ac:dyDescent="0.25">
      <c r="A115" s="8">
        <v>104</v>
      </c>
      <c r="B115" s="61">
        <f>'Necesidades Trimestrales'!B113</f>
        <v>0</v>
      </c>
      <c r="C115" s="107" t="str">
        <f>'Necesidades Trimestrales'!E113</f>
        <v>ELECTRODO DE POTASIO P/COBAS B221</v>
      </c>
      <c r="D115" s="107"/>
      <c r="E115" s="107"/>
      <c r="F115" s="107"/>
      <c r="G115" s="107"/>
      <c r="H115" s="62" t="s">
        <v>57</v>
      </c>
      <c r="I115" s="63" t="str">
        <f>'Necesidades Trimestrales'!F113</f>
        <v>UNIDAD</v>
      </c>
      <c r="J115" s="64">
        <f>'Necesidades Trimestrales'!H113</f>
        <v>9780</v>
      </c>
      <c r="K115" s="65">
        <f>'Necesidades Trimestrales'!G113</f>
        <v>1</v>
      </c>
    </row>
    <row r="116" spans="1:11" ht="20.25" customHeight="1" thickBot="1" x14ac:dyDescent="0.25">
      <c r="A116" s="8">
        <v>105</v>
      </c>
      <c r="B116" s="61">
        <f>'Necesidades Trimestrales'!B114</f>
        <v>0</v>
      </c>
      <c r="C116" s="107" t="str">
        <f>'Necesidades Trimestrales'!E114</f>
        <v>ELECTRODO DE REFERENCIA P/COBAS B221</v>
      </c>
      <c r="D116" s="107"/>
      <c r="E116" s="107"/>
      <c r="F116" s="107"/>
      <c r="G116" s="107"/>
      <c r="H116" s="62" t="s">
        <v>57</v>
      </c>
      <c r="I116" s="63" t="str">
        <f>'Necesidades Trimestrales'!F114</f>
        <v>UNIDAD</v>
      </c>
      <c r="J116" s="64">
        <f>'Necesidades Trimestrales'!H114</f>
        <v>18242</v>
      </c>
      <c r="K116" s="65">
        <f>'Necesidades Trimestrales'!G114</f>
        <v>2</v>
      </c>
    </row>
    <row r="117" spans="1:11" ht="20.25" customHeight="1" thickBot="1" x14ac:dyDescent="0.25">
      <c r="A117" s="8">
        <v>106</v>
      </c>
      <c r="B117" s="61">
        <f>'Necesidades Trimestrales'!B115</f>
        <v>0</v>
      </c>
      <c r="C117" s="107" t="str">
        <f>'Necesidades Trimestrales'!E115</f>
        <v>ELECTRODO DE SODIO P/COBAS B221</v>
      </c>
      <c r="D117" s="107"/>
      <c r="E117" s="107"/>
      <c r="F117" s="107"/>
      <c r="G117" s="107"/>
      <c r="H117" s="62" t="s">
        <v>57</v>
      </c>
      <c r="I117" s="63" t="str">
        <f>'Necesidades Trimestrales'!F115</f>
        <v>UNIDAD</v>
      </c>
      <c r="J117" s="64">
        <f>'Necesidades Trimestrales'!H115</f>
        <v>9780</v>
      </c>
      <c r="K117" s="65">
        <f>'Necesidades Trimestrales'!G115</f>
        <v>1</v>
      </c>
    </row>
    <row r="118" spans="1:11" ht="20.25" customHeight="1" thickBot="1" x14ac:dyDescent="0.25">
      <c r="A118" s="8">
        <v>107</v>
      </c>
      <c r="B118" s="61">
        <f>'Necesidades Trimestrales'!B116</f>
        <v>0</v>
      </c>
      <c r="C118" s="107" t="str">
        <f>'Necesidades Trimestrales'!E116</f>
        <v>ELETRODO DE REFERENCIA P COBAS C 311</v>
      </c>
      <c r="D118" s="107"/>
      <c r="E118" s="107"/>
      <c r="F118" s="107"/>
      <c r="G118" s="107"/>
      <c r="H118" s="62" t="s">
        <v>57</v>
      </c>
      <c r="I118" s="63" t="str">
        <f>'Necesidades Trimestrales'!F116</f>
        <v>UNIDAD</v>
      </c>
      <c r="J118" s="64">
        <f>'Necesidades Trimestrales'!H116</f>
        <v>33812</v>
      </c>
      <c r="K118" s="65">
        <f>'Necesidades Trimestrales'!G116</f>
        <v>2</v>
      </c>
    </row>
    <row r="119" spans="1:11" ht="20.25" customHeight="1" thickBot="1" x14ac:dyDescent="0.25">
      <c r="A119" s="8">
        <v>108</v>
      </c>
      <c r="B119" s="61">
        <f>'Necesidades Trimestrales'!B117</f>
        <v>0</v>
      </c>
      <c r="C119" s="107" t="str">
        <f>'Necesidades Trimestrales'!E117</f>
        <v>EOSINA PARA BIOPSIAS LISTA BIOPUR X 500 ML</v>
      </c>
      <c r="D119" s="107"/>
      <c r="E119" s="107"/>
      <c r="F119" s="107"/>
      <c r="G119" s="107"/>
      <c r="H119" s="62" t="s">
        <v>57</v>
      </c>
      <c r="I119" s="63" t="str">
        <f>'Necesidades Trimestrales'!F117</f>
        <v>BOTELLA</v>
      </c>
      <c r="J119" s="64">
        <f>'Necesidades Trimestrales'!H117</f>
        <v>2024</v>
      </c>
      <c r="K119" s="65">
        <f>'Necesidades Trimestrales'!G117</f>
        <v>6</v>
      </c>
    </row>
    <row r="120" spans="1:11" ht="20.25" customHeight="1" thickBot="1" x14ac:dyDescent="0.25">
      <c r="A120" s="8">
        <v>109</v>
      </c>
      <c r="B120" s="61">
        <f>'Necesidades Trimestrales'!B118</f>
        <v>0</v>
      </c>
      <c r="C120" s="107" t="str">
        <f>'Necesidades Trimestrales'!E118</f>
        <v>FACTOR REUMATOIDEO P COBAS C 311 X 100 DETERMINACIONES</v>
      </c>
      <c r="D120" s="107"/>
      <c r="E120" s="107"/>
      <c r="F120" s="107"/>
      <c r="G120" s="107"/>
      <c r="H120" s="62" t="s">
        <v>57</v>
      </c>
      <c r="I120" s="63" t="str">
        <f>'Necesidades Trimestrales'!F118</f>
        <v>CASSETTE</v>
      </c>
      <c r="J120" s="64">
        <f>'Necesidades Trimestrales'!H118</f>
        <v>8817</v>
      </c>
      <c r="K120" s="65">
        <f>'Necesidades Trimestrales'!G118</f>
        <v>3</v>
      </c>
    </row>
    <row r="121" spans="1:11" ht="20.25" customHeight="1" thickBot="1" x14ac:dyDescent="0.25">
      <c r="A121" s="8">
        <v>110</v>
      </c>
      <c r="B121" s="61">
        <f>'Necesidades Trimestrales'!B119</f>
        <v>0</v>
      </c>
      <c r="C121" s="107" t="str">
        <f>'Necesidades Trimestrales'!E119</f>
        <v>FERRITINA P COBAS C 311 X 250 DETERMINACIONES</v>
      </c>
      <c r="D121" s="107"/>
      <c r="E121" s="107"/>
      <c r="F121" s="107"/>
      <c r="G121" s="107"/>
      <c r="H121" s="62" t="s">
        <v>57</v>
      </c>
      <c r="I121" s="63" t="str">
        <f>'Necesidades Trimestrales'!F119</f>
        <v>CASSETTE</v>
      </c>
      <c r="J121" s="64">
        <f>'Necesidades Trimestrales'!H119</f>
        <v>45377</v>
      </c>
      <c r="K121" s="65">
        <f>'Necesidades Trimestrales'!G119</f>
        <v>5</v>
      </c>
    </row>
    <row r="122" spans="1:11" ht="20.25" customHeight="1" thickBot="1" x14ac:dyDescent="0.25">
      <c r="A122" s="8">
        <v>111</v>
      </c>
      <c r="B122" s="61">
        <f>'Necesidades Trimestrales'!B120</f>
        <v>0</v>
      </c>
      <c r="C122" s="107" t="str">
        <f>'Necesidades Trimestrales'!E120</f>
        <v>FIJADOR CELULAR X 200 ML</v>
      </c>
      <c r="D122" s="107"/>
      <c r="E122" s="107"/>
      <c r="F122" s="107"/>
      <c r="G122" s="107"/>
      <c r="H122" s="62" t="s">
        <v>57</v>
      </c>
      <c r="I122" s="63" t="str">
        <f>'Necesidades Trimestrales'!F120</f>
        <v>BOTELLA</v>
      </c>
      <c r="J122" s="64">
        <f>'Necesidades Trimestrales'!H120</f>
        <v>1063</v>
      </c>
      <c r="K122" s="65">
        <f>'Necesidades Trimestrales'!G120</f>
        <v>2</v>
      </c>
    </row>
    <row r="123" spans="1:11" ht="20.25" customHeight="1" thickBot="1" x14ac:dyDescent="0.25">
      <c r="A123" s="8">
        <v>112</v>
      </c>
      <c r="B123" s="61">
        <f>'Necesidades Trimestrales'!B121</f>
        <v>0</v>
      </c>
      <c r="C123" s="107" t="str">
        <f>'Necesidades Trimestrales'!E121</f>
        <v>FLUOROCELL 2 X 42 MML P/SYSMEX XN</v>
      </c>
      <c r="D123" s="107"/>
      <c r="E123" s="107"/>
      <c r="F123" s="107"/>
      <c r="G123" s="107"/>
      <c r="H123" s="62" t="s">
        <v>57</v>
      </c>
      <c r="I123" s="63" t="str">
        <f>'Necesidades Trimestrales'!F121</f>
        <v>BIDON</v>
      </c>
      <c r="J123" s="64">
        <f>'Necesidades Trimestrales'!H121</f>
        <v>61960</v>
      </c>
      <c r="K123" s="65">
        <f>'Necesidades Trimestrales'!G121</f>
        <v>3</v>
      </c>
    </row>
    <row r="124" spans="1:11" ht="20.25" customHeight="1" thickBot="1" x14ac:dyDescent="0.25">
      <c r="A124" s="8">
        <v>113</v>
      </c>
      <c r="B124" s="61">
        <f>'Necesidades Trimestrales'!B122</f>
        <v>0</v>
      </c>
      <c r="C124" s="107" t="str">
        <f>'Necesidades Trimestrales'!E122</f>
        <v>FOSFATASA ALCALINA ALP2 (IFCC) COBAS C-311 ROCHE  X 400 DET</v>
      </c>
      <c r="D124" s="107"/>
      <c r="E124" s="107"/>
      <c r="F124" s="107"/>
      <c r="G124" s="107"/>
      <c r="H124" s="62" t="s">
        <v>57</v>
      </c>
      <c r="I124" s="63" t="str">
        <f>'Necesidades Trimestrales'!F122</f>
        <v>CASSETTE</v>
      </c>
      <c r="J124" s="64">
        <f>'Necesidades Trimestrales'!H122</f>
        <v>7391</v>
      </c>
      <c r="K124" s="65">
        <f>'Necesidades Trimestrales'!G122</f>
        <v>9</v>
      </c>
    </row>
    <row r="125" spans="1:11" ht="20.25" customHeight="1" thickBot="1" x14ac:dyDescent="0.25">
      <c r="A125" s="8">
        <v>114</v>
      </c>
      <c r="B125" s="61">
        <f>'Necesidades Trimestrales'!B123</f>
        <v>0</v>
      </c>
      <c r="C125" s="107" t="str">
        <f>'Necesidades Trimestrales'!E123</f>
        <v>FOSFORO COBAS C-311 ROCHE  X 250 DET</v>
      </c>
      <c r="D125" s="107"/>
      <c r="E125" s="107"/>
      <c r="F125" s="107"/>
      <c r="G125" s="107"/>
      <c r="H125" s="62" t="s">
        <v>57</v>
      </c>
      <c r="I125" s="63" t="str">
        <f>'Necesidades Trimestrales'!F123</f>
        <v>CASSETTE</v>
      </c>
      <c r="J125" s="64">
        <f>'Necesidades Trimestrales'!H123</f>
        <v>3259</v>
      </c>
      <c r="K125" s="65">
        <f>'Necesidades Trimestrales'!G123</f>
        <v>2</v>
      </c>
    </row>
    <row r="126" spans="1:11" ht="20.25" customHeight="1" thickBot="1" x14ac:dyDescent="0.25">
      <c r="A126" s="8">
        <v>115</v>
      </c>
      <c r="B126" s="61">
        <f>'Necesidades Trimestrales'!B124</f>
        <v>0</v>
      </c>
      <c r="C126" s="107" t="str">
        <f>'Necesidades Trimestrales'!E124</f>
        <v>FUCSINA BASICA, ESTADO: SOLIDO, CALIDAD: PRO ANALISIS, PRESENTACION: ENVASE X 250 GR</v>
      </c>
      <c r="D126" s="107"/>
      <c r="E126" s="107"/>
      <c r="F126" s="107"/>
      <c r="G126" s="107"/>
      <c r="H126" s="62" t="s">
        <v>57</v>
      </c>
      <c r="I126" s="63" t="str">
        <f>'Necesidades Trimestrales'!F124</f>
        <v>Fco</v>
      </c>
      <c r="J126" s="64">
        <f>'Necesidades Trimestrales'!H124</f>
        <v>3600</v>
      </c>
      <c r="K126" s="65">
        <f>'Necesidades Trimestrales'!G124</f>
        <v>1</v>
      </c>
    </row>
    <row r="127" spans="1:11" ht="20.25" customHeight="1" thickBot="1" x14ac:dyDescent="0.25">
      <c r="A127" s="8">
        <v>116</v>
      </c>
      <c r="B127" s="61">
        <f>'Necesidades Trimestrales'!B125</f>
        <v>0</v>
      </c>
      <c r="C127" s="107" t="str">
        <f>'Necesidades Trimestrales'!E125</f>
        <v>GGT COBAS C-311 ROCHE X 400 DET</v>
      </c>
      <c r="D127" s="107"/>
      <c r="E127" s="107"/>
      <c r="F127" s="107"/>
      <c r="G127" s="107"/>
      <c r="H127" s="62" t="s">
        <v>57</v>
      </c>
      <c r="I127" s="63" t="str">
        <f>'Necesidades Trimestrales'!F125</f>
        <v>CASSETTE</v>
      </c>
      <c r="J127" s="64">
        <f>'Necesidades Trimestrales'!H125</f>
        <v>7737</v>
      </c>
      <c r="K127" s="65">
        <f>'Necesidades Trimestrales'!G125</f>
        <v>9</v>
      </c>
    </row>
    <row r="128" spans="1:11" ht="20.25" customHeight="1" thickBot="1" x14ac:dyDescent="0.25">
      <c r="A128" s="8">
        <v>117</v>
      </c>
      <c r="B128" s="61">
        <f>'Necesidades Trimestrales'!B126</f>
        <v>0</v>
      </c>
      <c r="C128" s="107" t="str">
        <f>'Necesidades Trimestrales'!E126</f>
        <v>GLUCOSA HK GEN COBAS C-311 ROCHE X 800 DET</v>
      </c>
      <c r="D128" s="107"/>
      <c r="E128" s="107"/>
      <c r="F128" s="107"/>
      <c r="G128" s="107"/>
      <c r="H128" s="62" t="s">
        <v>57</v>
      </c>
      <c r="I128" s="63" t="str">
        <f>'Necesidades Trimestrales'!F126</f>
        <v>CASSETTE</v>
      </c>
      <c r="J128" s="64">
        <f>'Necesidades Trimestrales'!H126</f>
        <v>7701</v>
      </c>
      <c r="K128" s="65">
        <f>'Necesidades Trimestrales'!G126</f>
        <v>10</v>
      </c>
    </row>
    <row r="129" spans="1:11" ht="20.25" customHeight="1" thickBot="1" x14ac:dyDescent="0.25">
      <c r="A129" s="8">
        <v>118</v>
      </c>
      <c r="B129" s="61">
        <f>'Necesidades Trimestrales'!B127</f>
        <v>0</v>
      </c>
      <c r="C129" s="107" t="str">
        <f>'Necesidades Trimestrales'!E127</f>
        <v>GOT/AST  (IFCC) COBAS C-311 ROCHE  X 500 DET</v>
      </c>
      <c r="D129" s="107"/>
      <c r="E129" s="107"/>
      <c r="F129" s="107"/>
      <c r="G129" s="107"/>
      <c r="H129" s="62" t="s">
        <v>57</v>
      </c>
      <c r="I129" s="63" t="str">
        <f>'Necesidades Trimestrales'!F127</f>
        <v>CASSETTE</v>
      </c>
      <c r="J129" s="64">
        <f>'Necesidades Trimestrales'!H127</f>
        <v>7391</v>
      </c>
      <c r="K129" s="65">
        <f>'Necesidades Trimestrales'!G127</f>
        <v>7</v>
      </c>
    </row>
    <row r="130" spans="1:11" ht="20.25" customHeight="1" thickBot="1" x14ac:dyDescent="0.25">
      <c r="A130" s="8">
        <v>119</v>
      </c>
      <c r="B130" s="61">
        <f>'Necesidades Trimestrales'!B128</f>
        <v>0</v>
      </c>
      <c r="C130" s="107" t="str">
        <f>'Necesidades Trimestrales'!E128</f>
        <v>GPT/ALT (IFCC) COBAS C-311 ROCHE  X 500 DET</v>
      </c>
      <c r="D130" s="107"/>
      <c r="E130" s="107"/>
      <c r="F130" s="107"/>
      <c r="G130" s="107"/>
      <c r="H130" s="62" t="s">
        <v>57</v>
      </c>
      <c r="I130" s="63" t="str">
        <f>'Necesidades Trimestrales'!F128</f>
        <v>CASSETTE</v>
      </c>
      <c r="J130" s="64">
        <f>'Necesidades Trimestrales'!H128</f>
        <v>7391</v>
      </c>
      <c r="K130" s="65">
        <f>'Necesidades Trimestrales'!G128</f>
        <v>7</v>
      </c>
    </row>
    <row r="131" spans="1:11" ht="20.25" customHeight="1" thickBot="1" x14ac:dyDescent="0.25">
      <c r="A131" s="8">
        <v>120</v>
      </c>
      <c r="B131" s="61">
        <f>'Necesidades Trimestrales'!B129</f>
        <v>0</v>
      </c>
      <c r="C131" s="107" t="str">
        <f>'Necesidades Trimestrales'!E129</f>
        <v>HBsAg G2 reactico para Cobas E411 x 100 DET</v>
      </c>
      <c r="D131" s="107"/>
      <c r="E131" s="107"/>
      <c r="F131" s="107"/>
      <c r="G131" s="107"/>
      <c r="H131" s="62" t="s">
        <v>57</v>
      </c>
      <c r="I131" s="63" t="str">
        <f>'Necesidades Trimestrales'!F129</f>
        <v>CAJA</v>
      </c>
      <c r="J131" s="64">
        <f>'Necesidades Trimestrales'!H129</f>
        <v>16669</v>
      </c>
      <c r="K131" s="65">
        <f>'Necesidades Trimestrales'!G129</f>
        <v>1</v>
      </c>
    </row>
    <row r="132" spans="1:11" ht="20.25" customHeight="1" thickBot="1" x14ac:dyDescent="0.25">
      <c r="A132" s="8">
        <v>121</v>
      </c>
      <c r="B132" s="61">
        <f>'Necesidades Trimestrales'!B130</f>
        <v>0</v>
      </c>
      <c r="C132" s="107" t="str">
        <f>'Necesidades Trimestrales'!E130</f>
        <v>HDL COLESTEROL P/COBAS C311</v>
      </c>
      <c r="D132" s="107"/>
      <c r="E132" s="107"/>
      <c r="F132" s="107"/>
      <c r="G132" s="107"/>
      <c r="H132" s="62" t="s">
        <v>57</v>
      </c>
      <c r="I132" s="63" t="str">
        <f>'Necesidades Trimestrales'!F130</f>
        <v>CASSETTE</v>
      </c>
      <c r="J132" s="64">
        <f>'Necesidades Trimestrales'!H130</f>
        <v>15413</v>
      </c>
      <c r="K132" s="65">
        <f>'Necesidades Trimestrales'!G130</f>
        <v>2</v>
      </c>
    </row>
    <row r="133" spans="1:11" ht="20.25" customHeight="1" thickBot="1" x14ac:dyDescent="0.25">
      <c r="A133" s="8">
        <v>122</v>
      </c>
      <c r="B133" s="61">
        <f>'Necesidades Trimestrales'!B131</f>
        <v>0</v>
      </c>
      <c r="C133" s="107" t="str">
        <f>'Necesidades Trimestrales'!E131</f>
        <v>HEMATOXILINA ACTIVADA BIOPUR X 500 ML</v>
      </c>
      <c r="D133" s="107"/>
      <c r="E133" s="107"/>
      <c r="F133" s="107"/>
      <c r="G133" s="107"/>
      <c r="H133" s="62" t="s">
        <v>57</v>
      </c>
      <c r="I133" s="63" t="str">
        <f>'Necesidades Trimestrales'!F131</f>
        <v>BOTELLA</v>
      </c>
      <c r="J133" s="64">
        <f>'Necesidades Trimestrales'!H131</f>
        <v>5234</v>
      </c>
      <c r="K133" s="65">
        <f>'Necesidades Trimestrales'!G131</f>
        <v>6</v>
      </c>
    </row>
    <row r="134" spans="1:11" ht="20.25" customHeight="1" thickBot="1" x14ac:dyDescent="0.25">
      <c r="A134" s="8">
        <v>123</v>
      </c>
      <c r="B134" s="61">
        <f>'Necesidades Trimestrales'!B132</f>
        <v>0</v>
      </c>
      <c r="C134" s="107" t="str">
        <f>'Necesidades Trimestrales'!E132</f>
        <v>HEMOGLOBINA GLICOSILADA P/ COBAS C311 X 150 DETERMINACIONES</v>
      </c>
      <c r="D134" s="107"/>
      <c r="E134" s="107"/>
      <c r="F134" s="107"/>
      <c r="G134" s="107"/>
      <c r="H134" s="62" t="s">
        <v>57</v>
      </c>
      <c r="I134" s="63" t="str">
        <f>'Necesidades Trimestrales'!F132</f>
        <v>CASSETTE</v>
      </c>
      <c r="J134" s="64">
        <f>'Necesidades Trimestrales'!H132</f>
        <v>19776</v>
      </c>
      <c r="K134" s="65">
        <f>'Necesidades Trimestrales'!G132</f>
        <v>2</v>
      </c>
    </row>
    <row r="135" spans="1:11" ht="20.25" customHeight="1" thickBot="1" x14ac:dyDescent="0.25">
      <c r="A135" s="8">
        <v>124</v>
      </c>
      <c r="B135" s="61">
        <f>'Necesidades Trimestrales'!B133</f>
        <v>0</v>
      </c>
      <c r="C135" s="107" t="str">
        <f>'Necesidades Trimestrales'!E133</f>
        <v>HIERRO COBAS C-311 ROCHE  X 200 DET</v>
      </c>
      <c r="D135" s="107"/>
      <c r="E135" s="107"/>
      <c r="F135" s="107"/>
      <c r="G135" s="107"/>
      <c r="H135" s="62" t="s">
        <v>57</v>
      </c>
      <c r="I135" s="63" t="str">
        <f>'Necesidades Trimestrales'!F133</f>
        <v>CASSETTE</v>
      </c>
      <c r="J135" s="64">
        <f>'Necesidades Trimestrales'!H133</f>
        <v>1742</v>
      </c>
      <c r="K135" s="65">
        <f>'Necesidades Trimestrales'!G133</f>
        <v>2</v>
      </c>
    </row>
    <row r="136" spans="1:11" ht="20.25" customHeight="1" thickBot="1" x14ac:dyDescent="0.25">
      <c r="A136" s="8">
        <v>125</v>
      </c>
      <c r="B136" s="61"/>
      <c r="C136" s="107" t="str">
        <f>'Necesidades Trimestrales'!E134</f>
        <v>ID. DILUYENTE X 500 DiaMed</v>
      </c>
      <c r="D136" s="107"/>
      <c r="E136" s="107"/>
      <c r="F136" s="107"/>
      <c r="G136" s="107"/>
      <c r="H136" s="62" t="s">
        <v>57</v>
      </c>
      <c r="I136" s="63" t="str">
        <f>'Necesidades Trimestrales'!F134</f>
        <v>Frasco</v>
      </c>
      <c r="J136" s="64">
        <f>'Necesidades Trimestrales'!H134</f>
        <v>3840</v>
      </c>
      <c r="K136" s="65">
        <f>'Necesidades Trimestrales'!G134</f>
        <v>2</v>
      </c>
    </row>
    <row r="137" spans="1:11" ht="20.25" customHeight="1" thickBot="1" x14ac:dyDescent="0.25">
      <c r="A137" s="8">
        <v>126</v>
      </c>
      <c r="B137" s="61">
        <f>'Necesidades Trimestrales'!B135</f>
        <v>0</v>
      </c>
      <c r="C137" s="107" t="str">
        <f>'Necesidades Trimestrales'!E135</f>
        <v>ISE DILUENT GEN2 BIDON  X 300 ML P/COBAS C311</v>
      </c>
      <c r="D137" s="107"/>
      <c r="E137" s="107"/>
      <c r="F137" s="107"/>
      <c r="G137" s="107"/>
      <c r="H137" s="62" t="s">
        <v>57</v>
      </c>
      <c r="I137" s="63" t="str">
        <f>'Necesidades Trimestrales'!F135</f>
        <v>CAJA</v>
      </c>
      <c r="J137" s="64">
        <f>'Necesidades Trimestrales'!H135</f>
        <v>13745</v>
      </c>
      <c r="K137" s="65">
        <f>'Necesidades Trimestrales'!G135</f>
        <v>1</v>
      </c>
    </row>
    <row r="138" spans="1:11" ht="20.25" customHeight="1" thickBot="1" x14ac:dyDescent="0.25">
      <c r="A138" s="8">
        <v>127</v>
      </c>
      <c r="B138" s="61">
        <f>'Necesidades Trimestrales'!B136</f>
        <v>0</v>
      </c>
      <c r="C138" s="107" t="str">
        <f>'Necesidades Trimestrales'!E136</f>
        <v>ISE INTERNAL STANDART GEN2 5 X 600 ML P/COBAS C311</v>
      </c>
      <c r="D138" s="107"/>
      <c r="E138" s="107"/>
      <c r="F138" s="107"/>
      <c r="G138" s="107"/>
      <c r="H138" s="62" t="s">
        <v>57</v>
      </c>
      <c r="I138" s="63" t="str">
        <f>'Necesidades Trimestrales'!F136</f>
        <v>CAJA</v>
      </c>
      <c r="J138" s="64">
        <f>'Necesidades Trimestrales'!H136</f>
        <v>16870</v>
      </c>
      <c r="K138" s="65">
        <f>'Necesidades Trimestrales'!G136</f>
        <v>3</v>
      </c>
    </row>
    <row r="139" spans="1:11" ht="20.25" customHeight="1" thickBot="1" x14ac:dyDescent="0.25">
      <c r="A139" s="8">
        <v>128</v>
      </c>
      <c r="B139" s="61">
        <f>'Necesidades Trimestrales'!B137</f>
        <v>0</v>
      </c>
      <c r="C139" s="107" t="str">
        <f>'Necesidades Trimestrales'!E137</f>
        <v>ISE SOLUTION DE REFERENCIA 5 X 300 ML P/COBAS C311</v>
      </c>
      <c r="D139" s="107"/>
      <c r="E139" s="107"/>
      <c r="F139" s="107"/>
      <c r="G139" s="107"/>
      <c r="H139" s="62" t="s">
        <v>57</v>
      </c>
      <c r="I139" s="63" t="str">
        <f>'Necesidades Trimestrales'!F137</f>
        <v>CAJA</v>
      </c>
      <c r="J139" s="64">
        <f>'Necesidades Trimestrales'!H137</f>
        <v>6354</v>
      </c>
      <c r="K139" s="65">
        <f>'Necesidades Trimestrales'!G137</f>
        <v>3</v>
      </c>
    </row>
    <row r="140" spans="1:11" ht="20.25" customHeight="1" thickBot="1" x14ac:dyDescent="0.25">
      <c r="A140" s="8">
        <v>129</v>
      </c>
      <c r="B140" s="61">
        <f>'Necesidades Trimestrales'!B138</f>
        <v>0</v>
      </c>
      <c r="C140" s="107" t="str">
        <f>'Necesidades Trimestrales'!E138</f>
        <v xml:space="preserve">LAMPARA HALOGENA COBAS C-311 ROCHE </v>
      </c>
      <c r="D140" s="107"/>
      <c r="E140" s="107"/>
      <c r="F140" s="107"/>
      <c r="G140" s="107"/>
      <c r="H140" s="62" t="s">
        <v>57</v>
      </c>
      <c r="I140" s="63" t="str">
        <f>'Necesidades Trimestrales'!F138</f>
        <v>UNIDAD</v>
      </c>
      <c r="J140" s="64">
        <f>'Necesidades Trimestrales'!H138</f>
        <v>54607</v>
      </c>
      <c r="K140" s="65">
        <f>'Necesidades Trimestrales'!G138</f>
        <v>5</v>
      </c>
    </row>
    <row r="141" spans="1:11" ht="20.25" customHeight="1" thickBot="1" x14ac:dyDescent="0.25">
      <c r="A141" s="8">
        <v>130</v>
      </c>
      <c r="B141" s="61">
        <f>'Necesidades Trimestrales'!B139</f>
        <v>0</v>
      </c>
      <c r="C141" s="107" t="str">
        <f>'Necesidades Trimestrales'!E139</f>
        <v>LDH OPTIMIZADA COBAS C-311 ROCHE X 300 DET</v>
      </c>
      <c r="D141" s="107"/>
      <c r="E141" s="107"/>
      <c r="F141" s="107"/>
      <c r="G141" s="107"/>
      <c r="H141" s="62" t="s">
        <v>57</v>
      </c>
      <c r="I141" s="63" t="str">
        <f>'Necesidades Trimestrales'!F139</f>
        <v>CASSETTE</v>
      </c>
      <c r="J141" s="64">
        <f>'Necesidades Trimestrales'!H139</f>
        <v>2925</v>
      </c>
      <c r="K141" s="65">
        <f>'Necesidades Trimestrales'!G139</f>
        <v>7</v>
      </c>
    </row>
    <row r="142" spans="1:11" ht="20.25" customHeight="1" thickBot="1" x14ac:dyDescent="0.25">
      <c r="A142" s="8">
        <v>131</v>
      </c>
      <c r="B142" s="61">
        <f>'Necesidades Trimestrales'!B140</f>
        <v>0</v>
      </c>
      <c r="C142" s="107" t="str">
        <f>'Necesidades Trimestrales'!E140</f>
        <v>LDL COLESTEROL P/COBAS C311 X 150 DETERMINACIONES</v>
      </c>
      <c r="D142" s="107"/>
      <c r="E142" s="107"/>
      <c r="F142" s="107"/>
      <c r="G142" s="107"/>
      <c r="H142" s="62" t="s">
        <v>57</v>
      </c>
      <c r="I142" s="63" t="str">
        <f>'Necesidades Trimestrales'!F140</f>
        <v>CASSETTE</v>
      </c>
      <c r="J142" s="64">
        <f>'Necesidades Trimestrales'!H140</f>
        <v>13872</v>
      </c>
      <c r="K142" s="65">
        <f>'Necesidades Trimestrales'!G140</f>
        <v>3</v>
      </c>
    </row>
    <row r="143" spans="1:11" ht="20.25" customHeight="1" thickBot="1" x14ac:dyDescent="0.25">
      <c r="A143" s="8">
        <v>132</v>
      </c>
      <c r="B143" s="61">
        <f>'Necesidades Trimestrales'!B141</f>
        <v>0</v>
      </c>
      <c r="C143" s="107" t="str">
        <f>'Necesidades Trimestrales'!E141</f>
        <v>LIPASA COBAS C-311 ROCHE  X 200 DET</v>
      </c>
      <c r="D143" s="107"/>
      <c r="E143" s="107"/>
      <c r="F143" s="107"/>
      <c r="G143" s="107"/>
      <c r="H143" s="62" t="s">
        <v>57</v>
      </c>
      <c r="I143" s="63" t="str">
        <f>'Necesidades Trimestrales'!F141</f>
        <v>CASSETTE</v>
      </c>
      <c r="J143" s="64">
        <f>'Necesidades Trimestrales'!H141</f>
        <v>8817</v>
      </c>
      <c r="K143" s="65">
        <f>'Necesidades Trimestrales'!G141</f>
        <v>3</v>
      </c>
    </row>
    <row r="144" spans="1:11" ht="20.25" customHeight="1" thickBot="1" x14ac:dyDescent="0.25">
      <c r="A144" s="8">
        <v>133</v>
      </c>
      <c r="B144" s="61">
        <f>'Necesidades Trimestrales'!B142</f>
        <v>0</v>
      </c>
      <c r="C144" s="107" t="str">
        <f>'Necesidades Trimestrales'!E142</f>
        <v>LYSERCELL WDF X 5 LTS - TIPO SYSMEX XNL</v>
      </c>
      <c r="D144" s="107"/>
      <c r="E144" s="107"/>
      <c r="F144" s="107"/>
      <c r="G144" s="107"/>
      <c r="H144" s="62" t="s">
        <v>57</v>
      </c>
      <c r="I144" s="63" t="str">
        <f>'Necesidades Trimestrales'!F142</f>
        <v>BIDON</v>
      </c>
      <c r="J144" s="64">
        <f>'Necesidades Trimestrales'!H142</f>
        <v>15938</v>
      </c>
      <c r="K144" s="65">
        <f>'Necesidades Trimestrales'!G142</f>
        <v>1</v>
      </c>
    </row>
    <row r="145" spans="1:11" ht="20.25" customHeight="1" thickBot="1" x14ac:dyDescent="0.25">
      <c r="A145" s="8">
        <v>134</v>
      </c>
      <c r="B145" s="61">
        <f>'Necesidades Trimestrales'!B143</f>
        <v>0</v>
      </c>
      <c r="C145" s="107" t="str">
        <f>'Necesidades Trimestrales'!E143</f>
        <v>MAGNESIO COBAS C-311 ROCHE  X 175 DET</v>
      </c>
      <c r="D145" s="107"/>
      <c r="E145" s="107"/>
      <c r="F145" s="107"/>
      <c r="G145" s="107"/>
      <c r="H145" s="62" t="s">
        <v>57</v>
      </c>
      <c r="I145" s="63" t="str">
        <f>'Necesidades Trimestrales'!F143</f>
        <v>CASSETTE</v>
      </c>
      <c r="J145" s="64">
        <f>'Necesidades Trimestrales'!H143</f>
        <v>3854</v>
      </c>
      <c r="K145" s="65">
        <f>'Necesidades Trimestrales'!G143</f>
        <v>1</v>
      </c>
    </row>
    <row r="146" spans="1:11" ht="20.25" customHeight="1" thickBot="1" x14ac:dyDescent="0.25">
      <c r="A146" s="8">
        <v>135</v>
      </c>
      <c r="B146" s="61">
        <f>'Necesidades Trimestrales'!B144</f>
        <v>0</v>
      </c>
      <c r="C146" s="107" t="str">
        <f>'Necesidades Trimestrales'!E144</f>
        <v>MAY GRUNWALD X 1 LTS.</v>
      </c>
      <c r="D146" s="107"/>
      <c r="E146" s="107"/>
      <c r="F146" s="107"/>
      <c r="G146" s="107"/>
      <c r="H146" s="62" t="s">
        <v>57</v>
      </c>
      <c r="I146" s="63" t="str">
        <f>'Necesidades Trimestrales'!F144</f>
        <v>BOTELLA</v>
      </c>
      <c r="J146" s="64">
        <f>'Necesidades Trimestrales'!H144</f>
        <v>3391</v>
      </c>
      <c r="K146" s="65">
        <f>'Necesidades Trimestrales'!G144</f>
        <v>1</v>
      </c>
    </row>
    <row r="147" spans="1:11" ht="20.25" customHeight="1" thickBot="1" x14ac:dyDescent="0.25">
      <c r="A147" s="8">
        <v>136</v>
      </c>
      <c r="B147" s="61">
        <f>'Necesidades Trimestrales'!B145</f>
        <v>0</v>
      </c>
      <c r="C147" s="107" t="str">
        <f>'Necesidades Trimestrales'!E145</f>
        <v>MIO AGAR, ESTADO: SÓLIDO, PRESENTACIÓN: ENVASE POR 100G</v>
      </c>
      <c r="D147" s="107"/>
      <c r="E147" s="107"/>
      <c r="F147" s="107"/>
      <c r="G147" s="107"/>
      <c r="H147" s="62" t="s">
        <v>57</v>
      </c>
      <c r="I147" s="63" t="str">
        <f>'Necesidades Trimestrales'!F145</f>
        <v>Fco.</v>
      </c>
      <c r="J147" s="64">
        <f>'Necesidades Trimestrales'!H145</f>
        <v>7510</v>
      </c>
      <c r="K147" s="65">
        <f>'Necesidades Trimestrales'!G145</f>
        <v>2</v>
      </c>
    </row>
    <row r="148" spans="1:11" ht="20.25" customHeight="1" thickBot="1" x14ac:dyDescent="0.25">
      <c r="A148" s="8">
        <v>137</v>
      </c>
      <c r="B148" s="61">
        <f>'Necesidades Trimestrales'!B146</f>
        <v>0</v>
      </c>
      <c r="C148" s="107" t="str">
        <f>'Necesidades Trimestrales'!E146</f>
        <v xml:space="preserve">PANELES ANTICUERPOS ID-DiaCell I-II (R1wR1,R2R2) 2 FRASCOS x 10ml CADA CAJA </v>
      </c>
      <c r="D148" s="107"/>
      <c r="E148" s="107"/>
      <c r="F148" s="107"/>
      <c r="G148" s="107"/>
      <c r="H148" s="62" t="s">
        <v>57</v>
      </c>
      <c r="I148" s="63" t="str">
        <f>'Necesidades Trimestrales'!F146</f>
        <v>Caja</v>
      </c>
      <c r="J148" s="64">
        <f>'Necesidades Trimestrales'!H146</f>
        <v>4597.2</v>
      </c>
      <c r="K148" s="65">
        <f>'Necesidades Trimestrales'!G146</f>
        <v>1</v>
      </c>
    </row>
    <row r="149" spans="1:11" ht="20.25" customHeight="1" thickBot="1" x14ac:dyDescent="0.25">
      <c r="A149" s="8">
        <v>138</v>
      </c>
      <c r="B149" s="61">
        <f>'Necesidades Trimestrales'!B147</f>
        <v>0</v>
      </c>
      <c r="C149" s="107" t="str">
        <f>'Necesidades Trimestrales'!E147</f>
        <v>PARAFINA EN FILAMENTOS/LENTEJAS CICARELLI X 1KG</v>
      </c>
      <c r="D149" s="107"/>
      <c r="E149" s="107"/>
      <c r="F149" s="107"/>
      <c r="G149" s="107"/>
      <c r="H149" s="62" t="s">
        <v>57</v>
      </c>
      <c r="I149" s="63" t="str">
        <f>'Necesidades Trimestrales'!F147</f>
        <v>BOLSA</v>
      </c>
      <c r="J149" s="64">
        <f>'Necesidades Trimestrales'!H147</f>
        <v>1224</v>
      </c>
      <c r="K149" s="65">
        <f>'Necesidades Trimestrales'!G147</f>
        <v>15</v>
      </c>
    </row>
    <row r="150" spans="1:11" ht="20.25" customHeight="1" thickBot="1" x14ac:dyDescent="0.25">
      <c r="A150" s="8">
        <v>139</v>
      </c>
      <c r="B150" s="61">
        <f>'Necesidades Trimestrales'!B148</f>
        <v>0</v>
      </c>
      <c r="C150" s="107" t="str">
        <f>'Necesidades Trimestrales'!E148</f>
        <v>PRECICONTROL  HBC1 NORM P/COBAS C311</v>
      </c>
      <c r="D150" s="107"/>
      <c r="E150" s="107"/>
      <c r="F150" s="107"/>
      <c r="G150" s="107"/>
      <c r="H150" s="62" t="s">
        <v>57</v>
      </c>
      <c r="I150" s="63" t="str">
        <f>'Necesidades Trimestrales'!F148</f>
        <v>CAJA</v>
      </c>
      <c r="J150" s="64">
        <f>'Necesidades Trimestrales'!H148</f>
        <v>10516</v>
      </c>
      <c r="K150" s="65">
        <f>'Necesidades Trimestrales'!G148</f>
        <v>1</v>
      </c>
    </row>
    <row r="151" spans="1:11" ht="20.25" customHeight="1" thickBot="1" x14ac:dyDescent="0.25">
      <c r="A151" s="8">
        <v>140</v>
      </c>
      <c r="B151" s="61">
        <f>'Necesidades Trimestrales'!B149</f>
        <v>0</v>
      </c>
      <c r="C151" s="107" t="str">
        <f>'Necesidades Trimestrales'!E149</f>
        <v>PRECICONTROL  HBC1 PATH P/COBAS C311</v>
      </c>
      <c r="D151" s="107"/>
      <c r="E151" s="107"/>
      <c r="F151" s="107"/>
      <c r="G151" s="107"/>
      <c r="H151" s="62" t="s">
        <v>57</v>
      </c>
      <c r="I151" s="63" t="str">
        <f>'Necesidades Trimestrales'!F149</f>
        <v>CAJA</v>
      </c>
      <c r="J151" s="64">
        <f>'Necesidades Trimestrales'!H149</f>
        <v>12871</v>
      </c>
      <c r="K151" s="65">
        <f>'Necesidades Trimestrales'!G149</f>
        <v>1</v>
      </c>
    </row>
    <row r="152" spans="1:11" ht="20.25" customHeight="1" thickBot="1" x14ac:dyDescent="0.25">
      <c r="A152" s="8">
        <v>141</v>
      </c>
      <c r="B152" s="61">
        <f>'Necesidades Trimestrales'!B150</f>
        <v>0</v>
      </c>
      <c r="C152" s="107" t="str">
        <f>'Necesidades Trimestrales'!E150</f>
        <v>PRECICONTROL ANTI CCP P/COBAS E411</v>
      </c>
      <c r="D152" s="107"/>
      <c r="E152" s="107"/>
      <c r="F152" s="107"/>
      <c r="G152" s="107"/>
      <c r="H152" s="62" t="s">
        <v>57</v>
      </c>
      <c r="I152" s="63" t="str">
        <f>'Necesidades Trimestrales'!F150</f>
        <v>CAJA</v>
      </c>
      <c r="J152" s="64">
        <f>'Necesidades Trimestrales'!H150</f>
        <v>22468</v>
      </c>
      <c r="K152" s="65">
        <f>'Necesidades Trimestrales'!G150</f>
        <v>1</v>
      </c>
    </row>
    <row r="153" spans="1:11" ht="20.25" customHeight="1" thickBot="1" x14ac:dyDescent="0.25">
      <c r="A153" s="8">
        <v>142</v>
      </c>
      <c r="B153" s="61">
        <f>'Necesidades Trimestrales'!B151</f>
        <v>0</v>
      </c>
      <c r="C153" s="107" t="str">
        <f>'Necesidades Trimestrales'!E151</f>
        <v>PRECICONTROL CHAGAS P COBAS E411</v>
      </c>
      <c r="D153" s="107"/>
      <c r="E153" s="107"/>
      <c r="F153" s="107"/>
      <c r="G153" s="107"/>
      <c r="H153" s="62" t="s">
        <v>57</v>
      </c>
      <c r="I153" s="63" t="str">
        <f>'Necesidades Trimestrales'!F151</f>
        <v>CAJA</v>
      </c>
      <c r="J153" s="64">
        <f>'Necesidades Trimestrales'!H151</f>
        <v>23944</v>
      </c>
      <c r="K153" s="65">
        <f>'Necesidades Trimestrales'!G151</f>
        <v>1</v>
      </c>
    </row>
    <row r="154" spans="1:11" ht="28.15" customHeight="1" thickBot="1" x14ac:dyDescent="0.25">
      <c r="A154" s="8">
        <v>143</v>
      </c>
      <c r="B154" s="61">
        <f>'Necesidades Trimestrales'!B152</f>
        <v>0</v>
      </c>
      <c r="C154" s="107" t="str">
        <f>'Necesidades Trimestrales'!E152</f>
        <v>PRECICONTROL MULTIMARKER QCS P COBAS E 411</v>
      </c>
      <c r="D154" s="107"/>
      <c r="E154" s="107"/>
      <c r="F154" s="107"/>
      <c r="G154" s="107"/>
      <c r="H154" s="62" t="s">
        <v>57</v>
      </c>
      <c r="I154" s="63" t="str">
        <f>'Necesidades Trimestrales'!F152</f>
        <v>CAJA</v>
      </c>
      <c r="J154" s="64">
        <f>'Necesidades Trimestrales'!H152</f>
        <v>22324</v>
      </c>
      <c r="K154" s="65">
        <f>'Necesidades Trimestrales'!G152</f>
        <v>1</v>
      </c>
    </row>
    <row r="155" spans="1:11" ht="20.25" customHeight="1" thickBot="1" x14ac:dyDescent="0.25">
      <c r="A155" s="8">
        <v>144</v>
      </c>
      <c r="B155" s="61">
        <f>'Necesidades Trimestrales'!B153</f>
        <v>0</v>
      </c>
      <c r="C155" s="107" t="str">
        <f>'Necesidades Trimestrales'!E153</f>
        <v>PRECICONTROL THYRO P COBAS E 411</v>
      </c>
      <c r="D155" s="107"/>
      <c r="E155" s="107"/>
      <c r="F155" s="107"/>
      <c r="G155" s="107"/>
      <c r="H155" s="62" t="s">
        <v>57</v>
      </c>
      <c r="I155" s="63" t="str">
        <f>'Necesidades Trimestrales'!F153</f>
        <v>CAJA</v>
      </c>
      <c r="J155" s="64">
        <f>'Necesidades Trimestrales'!H153</f>
        <v>38212</v>
      </c>
      <c r="K155" s="65">
        <f>'Necesidades Trimestrales'!G153</f>
        <v>3</v>
      </c>
    </row>
    <row r="156" spans="1:11" ht="20.25" customHeight="1" thickBot="1" x14ac:dyDescent="0.25">
      <c r="A156" s="8">
        <v>145</v>
      </c>
      <c r="B156" s="61">
        <f>'Necesidades Trimestrales'!B154</f>
        <v>0</v>
      </c>
      <c r="C156" s="107" t="str">
        <f>'Necesidades Trimestrales'!E154</f>
        <v>PRECICONTROL TROPONINA T P COBAS E 411</v>
      </c>
      <c r="D156" s="107"/>
      <c r="E156" s="107"/>
      <c r="F156" s="107"/>
      <c r="G156" s="107"/>
      <c r="H156" s="62" t="s">
        <v>57</v>
      </c>
      <c r="I156" s="63" t="str">
        <f>'Necesidades Trimestrales'!F154</f>
        <v>CAJA</v>
      </c>
      <c r="J156" s="64">
        <f>'Necesidades Trimestrales'!H154</f>
        <v>6528</v>
      </c>
      <c r="K156" s="65">
        <f>'Necesidades Trimestrales'!G154</f>
        <v>3</v>
      </c>
    </row>
    <row r="157" spans="1:11" ht="20.25" customHeight="1" thickBot="1" x14ac:dyDescent="0.25">
      <c r="A157" s="8">
        <v>146</v>
      </c>
      <c r="B157" s="61">
        <f>'Necesidades Trimestrales'!B155</f>
        <v>0</v>
      </c>
      <c r="C157" s="107" t="str">
        <f>'Necesidades Trimestrales'!E155</f>
        <v>PRECICONTROL TUMOR MARKER P COBAS E 411</v>
      </c>
      <c r="D157" s="107"/>
      <c r="E157" s="107"/>
      <c r="F157" s="107"/>
      <c r="G157" s="107"/>
      <c r="H157" s="62" t="s">
        <v>57</v>
      </c>
      <c r="I157" s="63" t="str">
        <f>'Necesidades Trimestrales'!F155</f>
        <v>CAJA</v>
      </c>
      <c r="J157" s="64">
        <f>'Necesidades Trimestrales'!H155</f>
        <v>24166</v>
      </c>
      <c r="K157" s="65">
        <f>'Necesidades Trimestrales'!G155</f>
        <v>2</v>
      </c>
    </row>
    <row r="158" spans="1:11" ht="20.25" customHeight="1" thickBot="1" x14ac:dyDescent="0.25">
      <c r="A158" s="8">
        <v>147</v>
      </c>
      <c r="B158" s="61">
        <f>'Necesidades Trimestrales'!B156</f>
        <v>0</v>
      </c>
      <c r="C158" s="107" t="str">
        <f>'Necesidades Trimestrales'!E156</f>
        <v>PRECICONTROL UNIVERSAL P COBAS E 411</v>
      </c>
      <c r="D158" s="107"/>
      <c r="E158" s="107"/>
      <c r="F158" s="107"/>
      <c r="G158" s="107"/>
      <c r="H158" s="62" t="s">
        <v>57</v>
      </c>
      <c r="I158" s="63" t="str">
        <f>'Necesidades Trimestrales'!F156</f>
        <v>CAJA</v>
      </c>
      <c r="J158" s="64">
        <f>'Necesidades Trimestrales'!H156</f>
        <v>9769</v>
      </c>
      <c r="K158" s="65">
        <f>'Necesidades Trimestrales'!G156</f>
        <v>4</v>
      </c>
    </row>
    <row r="159" spans="1:11" ht="20.25" customHeight="1" thickBot="1" x14ac:dyDescent="0.25">
      <c r="A159" s="8">
        <v>148</v>
      </c>
      <c r="B159" s="61">
        <f>'Necesidades Trimestrales'!B157</f>
        <v>0</v>
      </c>
      <c r="C159" s="107" t="str">
        <f>'Necesidades Trimestrales'!E157</f>
        <v>PRECICONTROL VARIA P COBAS E 411</v>
      </c>
      <c r="D159" s="107"/>
      <c r="E159" s="107"/>
      <c r="F159" s="107"/>
      <c r="G159" s="107"/>
      <c r="H159" s="62" t="s">
        <v>57</v>
      </c>
      <c r="I159" s="63" t="str">
        <f>'Necesidades Trimestrales'!F157</f>
        <v>CAJA</v>
      </c>
      <c r="J159" s="64">
        <f>'Necesidades Trimestrales'!H157</f>
        <v>24749</v>
      </c>
      <c r="K159" s="65">
        <f>'Necesidades Trimestrales'!G157</f>
        <v>2</v>
      </c>
    </row>
    <row r="160" spans="1:11" ht="20.25" customHeight="1" thickBot="1" x14ac:dyDescent="0.25">
      <c r="A160" s="8">
        <v>149</v>
      </c>
      <c r="B160" s="61">
        <f>'Necesidades Trimestrales'!B158</f>
        <v>0</v>
      </c>
      <c r="C160" s="107" t="str">
        <f>'Necesidades Trimestrales'!E158</f>
        <v>PRECINORM PUC COBAS C-311 ROCHE  4 X 3 ML</v>
      </c>
      <c r="D160" s="107"/>
      <c r="E160" s="107"/>
      <c r="F160" s="107"/>
      <c r="G160" s="107"/>
      <c r="H160" s="62" t="s">
        <v>57</v>
      </c>
      <c r="I160" s="63" t="str">
        <f>'Necesidades Trimestrales'!F158</f>
        <v>CAJA</v>
      </c>
      <c r="J160" s="64">
        <f>'Necesidades Trimestrales'!H158</f>
        <v>31433</v>
      </c>
      <c r="K160" s="65">
        <f>'Necesidades Trimestrales'!G158</f>
        <v>2</v>
      </c>
    </row>
    <row r="161" spans="1:11" ht="20.25" customHeight="1" thickBot="1" x14ac:dyDescent="0.25">
      <c r="A161" s="8">
        <v>150</v>
      </c>
      <c r="B161" s="61">
        <f>'Necesidades Trimestrales'!B159</f>
        <v>0</v>
      </c>
      <c r="C161" s="107" t="str">
        <f>'Necesidades Trimestrales'!E159</f>
        <v>PRECIPATH PUC COBAS C-311 ROCHE  4 X 3 ML</v>
      </c>
      <c r="D161" s="107"/>
      <c r="E161" s="107"/>
      <c r="F161" s="107"/>
      <c r="G161" s="107"/>
      <c r="H161" s="62" t="s">
        <v>57</v>
      </c>
      <c r="I161" s="63" t="str">
        <f>'Necesidades Trimestrales'!F159</f>
        <v>CAJA</v>
      </c>
      <c r="J161" s="64">
        <f>'Necesidades Trimestrales'!H159</f>
        <v>31443</v>
      </c>
      <c r="K161" s="65">
        <f>'Necesidades Trimestrales'!G159</f>
        <v>2</v>
      </c>
    </row>
    <row r="162" spans="1:11" ht="20.25" customHeight="1" thickBot="1" x14ac:dyDescent="0.25">
      <c r="A162" s="8">
        <v>151</v>
      </c>
      <c r="B162" s="61">
        <f>'Necesidades Trimestrales'!B160</f>
        <v>0</v>
      </c>
      <c r="C162" s="107" t="str">
        <f>'Necesidades Trimestrales'!E160</f>
        <v>PRECISET RF  P COBAS C311  5 VIAL X 1 ML</v>
      </c>
      <c r="D162" s="107"/>
      <c r="E162" s="107"/>
      <c r="F162" s="107"/>
      <c r="G162" s="107"/>
      <c r="H162" s="62" t="s">
        <v>57</v>
      </c>
      <c r="I162" s="63" t="str">
        <f>'Necesidades Trimestrales'!F160</f>
        <v>CAJA</v>
      </c>
      <c r="J162" s="64">
        <f>'Necesidades Trimestrales'!H160</f>
        <v>10917</v>
      </c>
      <c r="K162" s="65">
        <f>'Necesidades Trimestrales'!G160</f>
        <v>2</v>
      </c>
    </row>
    <row r="163" spans="1:11" ht="20.25" customHeight="1" thickBot="1" x14ac:dyDescent="0.25">
      <c r="A163" s="8">
        <v>152</v>
      </c>
      <c r="B163" s="61">
        <f>'Necesidades Trimestrales'!B161</f>
        <v>0</v>
      </c>
      <c r="C163" s="107" t="str">
        <f>'Necesidades Trimestrales'!E161</f>
        <v>PRO CELL COBAS E-411N ROCHE X 2 L</v>
      </c>
      <c r="D163" s="107"/>
      <c r="E163" s="107"/>
      <c r="F163" s="107"/>
      <c r="G163" s="107"/>
      <c r="H163" s="62" t="s">
        <v>57</v>
      </c>
      <c r="I163" s="63" t="str">
        <f>'Necesidades Trimestrales'!F161</f>
        <v>CAJA</v>
      </c>
      <c r="J163" s="64">
        <f>'Necesidades Trimestrales'!H161</f>
        <v>9723</v>
      </c>
      <c r="K163" s="65">
        <f>'Necesidades Trimestrales'!G161</f>
        <v>3</v>
      </c>
    </row>
    <row r="164" spans="1:11" ht="20.25" customHeight="1" thickBot="1" x14ac:dyDescent="0.25">
      <c r="A164" s="8">
        <v>153</v>
      </c>
      <c r="B164" s="61">
        <f>'Necesidades Trimestrales'!B162</f>
        <v>0</v>
      </c>
      <c r="C164" s="107" t="str">
        <f>'Necesidades Trimestrales'!E162</f>
        <v xml:space="preserve">PROTEINA C REACTIVA  CRP COBAS C-311 ROCHE  X 250 DET </v>
      </c>
      <c r="D164" s="107"/>
      <c r="E164" s="107"/>
      <c r="F164" s="107"/>
      <c r="G164" s="107"/>
      <c r="H164" s="62" t="s">
        <v>57</v>
      </c>
      <c r="I164" s="63" t="str">
        <f>'Necesidades Trimestrales'!F162</f>
        <v>CASSETTE</v>
      </c>
      <c r="J164" s="64">
        <f>'Necesidades Trimestrales'!H162</f>
        <v>31767</v>
      </c>
      <c r="K164" s="65">
        <f>'Necesidades Trimestrales'!G162</f>
        <v>8</v>
      </c>
    </row>
    <row r="165" spans="1:11" ht="20.25" customHeight="1" thickBot="1" x14ac:dyDescent="0.25">
      <c r="A165" s="8">
        <v>154</v>
      </c>
      <c r="B165" s="61">
        <f>'Necesidades Trimestrales'!B163</f>
        <v>0</v>
      </c>
      <c r="C165" s="107" t="str">
        <f>'Necesidades Trimestrales'!E163</f>
        <v>PROTEINA URINARIA P/COBAS C311 X 100 DETERMINACIONES</v>
      </c>
      <c r="D165" s="107"/>
      <c r="E165" s="107"/>
      <c r="F165" s="107"/>
      <c r="G165" s="107"/>
      <c r="H165" s="62" t="s">
        <v>57</v>
      </c>
      <c r="I165" s="63" t="str">
        <f>'Necesidades Trimestrales'!F163</f>
        <v>CASSETTE</v>
      </c>
      <c r="J165" s="64">
        <f>'Necesidades Trimestrales'!H163</f>
        <v>5025</v>
      </c>
      <c r="K165" s="65">
        <f>'Necesidades Trimestrales'!G163</f>
        <v>1</v>
      </c>
    </row>
    <row r="166" spans="1:11" ht="20.25" customHeight="1" thickBot="1" x14ac:dyDescent="0.25">
      <c r="A166" s="8">
        <v>155</v>
      </c>
      <c r="B166" s="61">
        <f>'Necesidades Trimestrales'!B164</f>
        <v>0</v>
      </c>
      <c r="C166" s="107" t="str">
        <f>'Necesidades Trimestrales'!E164</f>
        <v>PROTEINAS TOTALES COBAS C-311 ROCHE  X 300 DET</v>
      </c>
      <c r="D166" s="107"/>
      <c r="E166" s="107"/>
      <c r="F166" s="107"/>
      <c r="G166" s="107"/>
      <c r="H166" s="62" t="s">
        <v>57</v>
      </c>
      <c r="I166" s="63" t="str">
        <f>'Necesidades Trimestrales'!F164</f>
        <v>CASSETTE</v>
      </c>
      <c r="J166" s="64">
        <f>'Necesidades Trimestrales'!H164</f>
        <v>1475</v>
      </c>
      <c r="K166" s="65">
        <f>'Necesidades Trimestrales'!G164</f>
        <v>12</v>
      </c>
    </row>
    <row r="167" spans="1:11" ht="20.25" customHeight="1" thickBot="1" x14ac:dyDescent="0.25">
      <c r="A167" s="8">
        <v>156</v>
      </c>
      <c r="B167" s="61">
        <f>'Necesidades Trimestrales'!B165</f>
        <v>0</v>
      </c>
      <c r="C167" s="107" t="str">
        <f>'Necesidades Trimestrales'!E165</f>
        <v>PRUEBA DE EMBARAZO HCG CAJA X 50 TIRAS</v>
      </c>
      <c r="D167" s="107"/>
      <c r="E167" s="107"/>
      <c r="F167" s="107"/>
      <c r="G167" s="107"/>
      <c r="H167" s="62" t="s">
        <v>57</v>
      </c>
      <c r="I167" s="63" t="str">
        <f>'Necesidades Trimestrales'!F165</f>
        <v>CAJA</v>
      </c>
      <c r="J167" s="64">
        <f>'Necesidades Trimestrales'!H165</f>
        <v>1611</v>
      </c>
      <c r="K167" s="65">
        <f>'Necesidades Trimestrales'!G165</f>
        <v>5</v>
      </c>
    </row>
    <row r="168" spans="1:11" ht="20.25" customHeight="1" thickBot="1" x14ac:dyDescent="0.25">
      <c r="A168" s="8">
        <v>157</v>
      </c>
      <c r="B168" s="61">
        <f>'Necesidades Trimestrales'!B166</f>
        <v>0</v>
      </c>
      <c r="C168" s="107" t="str">
        <f>'Necesidades Trimestrales'!E166</f>
        <v>REACTIVO AFP P COBAS E 411 X 100 DETERMINACIONES</v>
      </c>
      <c r="D168" s="107"/>
      <c r="E168" s="107"/>
      <c r="F168" s="107"/>
      <c r="G168" s="107"/>
      <c r="H168" s="62" t="s">
        <v>57</v>
      </c>
      <c r="I168" s="63" t="str">
        <f>'Necesidades Trimestrales'!F166</f>
        <v>CAJA</v>
      </c>
      <c r="J168" s="64">
        <f>'Necesidades Trimestrales'!H166</f>
        <v>18803</v>
      </c>
      <c r="K168" s="65">
        <f>'Necesidades Trimestrales'!G166</f>
        <v>1</v>
      </c>
    </row>
    <row r="169" spans="1:11" ht="20.25" customHeight="1" thickBot="1" x14ac:dyDescent="0.25">
      <c r="A169" s="8">
        <v>158</v>
      </c>
      <c r="B169" s="61">
        <f>'Necesidades Trimestrales'!B167</f>
        <v>0</v>
      </c>
      <c r="C169" s="107" t="str">
        <f>'Necesidades Trimestrales'!E167</f>
        <v>REACTIVO ANTI CCP P/COBAS E411 X 100 DETERMINACIONES</v>
      </c>
      <c r="D169" s="107"/>
      <c r="E169" s="107"/>
      <c r="F169" s="107"/>
      <c r="G169" s="107"/>
      <c r="H169" s="62" t="s">
        <v>57</v>
      </c>
      <c r="I169" s="63" t="str">
        <f>'Necesidades Trimestrales'!F167</f>
        <v>CAJA</v>
      </c>
      <c r="J169" s="64">
        <f>'Necesidades Trimestrales'!H167</f>
        <v>82056</v>
      </c>
      <c r="K169" s="65">
        <f>'Necesidades Trimestrales'!G167</f>
        <v>1</v>
      </c>
    </row>
    <row r="170" spans="1:11" ht="20.25" customHeight="1" thickBot="1" x14ac:dyDescent="0.25">
      <c r="A170" s="8">
        <v>159</v>
      </c>
      <c r="B170" s="61">
        <f>'Necesidades Trimestrales'!B168</f>
        <v>0</v>
      </c>
      <c r="C170" s="107" t="str">
        <f>'Necesidades Trimestrales'!E168</f>
        <v>REACTIVO ANTI TIROGLOBULINA P COBAS E411 X 100 DETERMINACIONES</v>
      </c>
      <c r="D170" s="107"/>
      <c r="E170" s="107"/>
      <c r="F170" s="107"/>
      <c r="G170" s="107"/>
      <c r="H170" s="62" t="s">
        <v>57</v>
      </c>
      <c r="I170" s="63" t="str">
        <f>'Necesidades Trimestrales'!F168</f>
        <v>CAJA</v>
      </c>
      <c r="J170" s="64">
        <f>'Necesidades Trimestrales'!H168</f>
        <v>19396</v>
      </c>
      <c r="K170" s="65">
        <f>'Necesidades Trimestrales'!G168</f>
        <v>1</v>
      </c>
    </row>
    <row r="171" spans="1:11" ht="20.25" customHeight="1" thickBot="1" x14ac:dyDescent="0.25">
      <c r="A171" s="8">
        <v>160</v>
      </c>
      <c r="B171" s="61">
        <f>'Necesidades Trimestrales'!B169</f>
        <v>0</v>
      </c>
      <c r="C171" s="107" t="str">
        <f>'Necesidades Trimestrales'!E169</f>
        <v>REACTIVO ANTI TPO COBAS E-411 ROCHE X 100 DET</v>
      </c>
      <c r="D171" s="107"/>
      <c r="E171" s="107"/>
      <c r="F171" s="107"/>
      <c r="G171" s="107"/>
      <c r="H171" s="62" t="s">
        <v>57</v>
      </c>
      <c r="I171" s="63" t="str">
        <f>'Necesidades Trimestrales'!F169</f>
        <v>CAJA</v>
      </c>
      <c r="J171" s="64">
        <f>'Necesidades Trimestrales'!H169</f>
        <v>19396</v>
      </c>
      <c r="K171" s="65">
        <f>'Necesidades Trimestrales'!G169</f>
        <v>3</v>
      </c>
    </row>
    <row r="172" spans="1:11" ht="20.25" customHeight="1" thickBot="1" x14ac:dyDescent="0.25">
      <c r="A172" s="8">
        <v>161</v>
      </c>
      <c r="B172" s="61">
        <f>'Necesidades Trimestrales'!B170</f>
        <v>0</v>
      </c>
      <c r="C172" s="107" t="str">
        <f>'Necesidades Trimestrales'!E170</f>
        <v>REACTIVO ANTIGENO DE SUPERFICIE HBSAG P/ COBAS E411 x 100 DET</v>
      </c>
      <c r="D172" s="107"/>
      <c r="E172" s="107"/>
      <c r="F172" s="107"/>
      <c r="G172" s="107"/>
      <c r="H172" s="62" t="s">
        <v>57</v>
      </c>
      <c r="I172" s="63" t="str">
        <f>'Necesidades Trimestrales'!F170</f>
        <v>CASSETTE</v>
      </c>
      <c r="J172" s="64">
        <f>'Necesidades Trimestrales'!H170</f>
        <v>16669</v>
      </c>
      <c r="K172" s="65">
        <f>'Necesidades Trimestrales'!G170</f>
        <v>1</v>
      </c>
    </row>
    <row r="173" spans="1:11" ht="20.25" customHeight="1" thickBot="1" x14ac:dyDescent="0.25">
      <c r="A173" s="8">
        <v>162</v>
      </c>
      <c r="B173" s="61">
        <f>'Necesidades Trimestrales'!B171</f>
        <v>0</v>
      </c>
      <c r="C173" s="107" t="str">
        <f>'Necesidades Trimestrales'!E171</f>
        <v>REACTIVO B-CROSS LAP P SUERO P COBAS E 411 X 100 DETERMINACIONES</v>
      </c>
      <c r="D173" s="107"/>
      <c r="E173" s="107"/>
      <c r="F173" s="107"/>
      <c r="G173" s="107"/>
      <c r="H173" s="62" t="s">
        <v>57</v>
      </c>
      <c r="I173" s="63" t="str">
        <f>'Necesidades Trimestrales'!F171</f>
        <v>CAJA</v>
      </c>
      <c r="J173" s="64">
        <f>'Necesidades Trimestrales'!H171</f>
        <v>67723</v>
      </c>
      <c r="K173" s="65">
        <f>'Necesidades Trimestrales'!G171</f>
        <v>1</v>
      </c>
    </row>
    <row r="174" spans="1:11" ht="20.25" customHeight="1" thickBot="1" x14ac:dyDescent="0.25">
      <c r="A174" s="8">
        <v>163</v>
      </c>
      <c r="B174" s="61">
        <f>'Necesidades Trimestrales'!B172</f>
        <v>0</v>
      </c>
      <c r="C174" s="107" t="str">
        <f>'Necesidades Trimestrales'!E172</f>
        <v>REACTIVO CA 125 P COBAS E 411 X 100 DETERMINACIONES</v>
      </c>
      <c r="D174" s="107"/>
      <c r="E174" s="107"/>
      <c r="F174" s="107"/>
      <c r="G174" s="107"/>
      <c r="H174" s="62" t="s">
        <v>57</v>
      </c>
      <c r="I174" s="63" t="str">
        <f>'Necesidades Trimestrales'!F172</f>
        <v>CAJA</v>
      </c>
      <c r="J174" s="64">
        <f>'Necesidades Trimestrales'!H172</f>
        <v>29390</v>
      </c>
      <c r="K174" s="65">
        <f>'Necesidades Trimestrales'!G172</f>
        <v>1</v>
      </c>
    </row>
    <row r="175" spans="1:11" ht="20.25" customHeight="1" thickBot="1" x14ac:dyDescent="0.25">
      <c r="A175" s="8">
        <v>164</v>
      </c>
      <c r="B175" s="61">
        <f>'Necesidades Trimestrales'!B173</f>
        <v>0</v>
      </c>
      <c r="C175" s="107" t="str">
        <f>'Necesidades Trimestrales'!E173</f>
        <v>REACTIVO CA 15-3 P COBAS E 411 X 100 DETERMINACIONES</v>
      </c>
      <c r="D175" s="107"/>
      <c r="E175" s="107"/>
      <c r="F175" s="107"/>
      <c r="G175" s="107"/>
      <c r="H175" s="62" t="s">
        <v>57</v>
      </c>
      <c r="I175" s="63" t="str">
        <f>'Necesidades Trimestrales'!F173</f>
        <v>CAJA</v>
      </c>
      <c r="J175" s="64">
        <f>'Necesidades Trimestrales'!H173</f>
        <v>36449</v>
      </c>
      <c r="K175" s="65">
        <f>'Necesidades Trimestrales'!G173</f>
        <v>1</v>
      </c>
    </row>
    <row r="176" spans="1:11" ht="20.25" customHeight="1" thickBot="1" x14ac:dyDescent="0.25">
      <c r="A176" s="8">
        <v>165</v>
      </c>
      <c r="B176" s="61">
        <f>'Necesidades Trimestrales'!B174</f>
        <v>0</v>
      </c>
      <c r="C176" s="107" t="str">
        <f>'Necesidades Trimestrales'!E174</f>
        <v>REACTIVO CHAGAS P COBAS E 411 X 100 DETERMINACIONES</v>
      </c>
      <c r="D176" s="107"/>
      <c r="E176" s="107"/>
      <c r="F176" s="107"/>
      <c r="G176" s="107"/>
      <c r="H176" s="62" t="s">
        <v>57</v>
      </c>
      <c r="I176" s="63" t="str">
        <f>'Necesidades Trimestrales'!F174</f>
        <v>CAJA</v>
      </c>
      <c r="J176" s="64">
        <f>'Necesidades Trimestrales'!H174</f>
        <v>31107</v>
      </c>
      <c r="K176" s="65">
        <f>'Necesidades Trimestrales'!G174</f>
        <v>1</v>
      </c>
    </row>
    <row r="177" spans="1:11" ht="20.25" customHeight="1" thickBot="1" x14ac:dyDescent="0.25">
      <c r="A177" s="8">
        <v>166</v>
      </c>
      <c r="B177" s="61">
        <f>'Necesidades Trimestrales'!B175</f>
        <v>0</v>
      </c>
      <c r="C177" s="107" t="str">
        <f>'Necesidades Trimestrales'!E175</f>
        <v>REACTIVO CORTISOL P COBAS E 411  X 100 DET</v>
      </c>
      <c r="D177" s="107"/>
      <c r="E177" s="107"/>
      <c r="F177" s="107"/>
      <c r="G177" s="107"/>
      <c r="H177" s="62" t="s">
        <v>57</v>
      </c>
      <c r="I177" s="63" t="str">
        <f>'Necesidades Trimestrales'!F175</f>
        <v>CAJA</v>
      </c>
      <c r="J177" s="64">
        <f>'Necesidades Trimestrales'!H175</f>
        <v>14901</v>
      </c>
      <c r="K177" s="65">
        <f>'Necesidades Trimestrales'!G175</f>
        <v>1</v>
      </c>
    </row>
    <row r="178" spans="1:11" ht="20.25" customHeight="1" thickBot="1" x14ac:dyDescent="0.25">
      <c r="A178" s="8">
        <v>167</v>
      </c>
      <c r="B178" s="61">
        <f>'Necesidades Trimestrales'!B176</f>
        <v>0</v>
      </c>
      <c r="C178" s="107" t="str">
        <f>'Necesidades Trimestrales'!E176</f>
        <v>REACTIVO INSULINA COBAS E-411 ROCHE  X 100 DET</v>
      </c>
      <c r="D178" s="107"/>
      <c r="E178" s="107"/>
      <c r="F178" s="107"/>
      <c r="G178" s="107"/>
      <c r="H178" s="62" t="s">
        <v>57</v>
      </c>
      <c r="I178" s="63" t="str">
        <f>'Necesidades Trimestrales'!F176</f>
        <v>CASSETTE</v>
      </c>
      <c r="J178" s="64">
        <f>'Necesidades Trimestrales'!H176</f>
        <v>19918</v>
      </c>
      <c r="K178" s="65">
        <f>'Necesidades Trimestrales'!G176</f>
        <v>1</v>
      </c>
    </row>
    <row r="179" spans="1:11" ht="20.25" customHeight="1" thickBot="1" x14ac:dyDescent="0.25">
      <c r="A179" s="8">
        <v>168</v>
      </c>
      <c r="B179" s="61">
        <f>'Necesidades Trimestrales'!B177</f>
        <v>0</v>
      </c>
      <c r="C179" s="107" t="str">
        <f>'Necesidades Trimestrales'!E177</f>
        <v>REACTIVO LH COBAS E-411 ROCHE  X 100 DET</v>
      </c>
      <c r="D179" s="107"/>
      <c r="E179" s="107"/>
      <c r="F179" s="107"/>
      <c r="G179" s="107"/>
      <c r="H179" s="62" t="s">
        <v>57</v>
      </c>
      <c r="I179" s="63" t="str">
        <f>'Necesidades Trimestrales'!F177</f>
        <v>CASSETTE</v>
      </c>
      <c r="J179" s="64">
        <f>'Necesidades Trimestrales'!H177</f>
        <v>15456</v>
      </c>
      <c r="K179" s="65">
        <f>'Necesidades Trimestrales'!G177</f>
        <v>1</v>
      </c>
    </row>
    <row r="180" spans="1:11" ht="20.25" customHeight="1" thickBot="1" x14ac:dyDescent="0.25">
      <c r="A180" s="8">
        <v>169</v>
      </c>
      <c r="B180" s="61">
        <f>'Necesidades Trimestrales'!B178</f>
        <v>0</v>
      </c>
      <c r="C180" s="107" t="str">
        <f>'Necesidades Trimestrales'!E178</f>
        <v>REACTIVO PROGESTERONA COBAS E-411 ROCHE  X 100 DET</v>
      </c>
      <c r="D180" s="107"/>
      <c r="E180" s="107"/>
      <c r="F180" s="107"/>
      <c r="G180" s="107"/>
      <c r="H180" s="62" t="s">
        <v>57</v>
      </c>
      <c r="I180" s="63" t="str">
        <f>'Necesidades Trimestrales'!F178</f>
        <v>CASSETTE</v>
      </c>
      <c r="J180" s="64">
        <f>'Necesidades Trimestrales'!H178</f>
        <v>17152</v>
      </c>
      <c r="K180" s="65">
        <f>'Necesidades Trimestrales'!G178</f>
        <v>1</v>
      </c>
    </row>
    <row r="181" spans="1:11" ht="20.25" customHeight="1" thickBot="1" x14ac:dyDescent="0.25">
      <c r="A181" s="8">
        <v>170</v>
      </c>
      <c r="B181" s="61">
        <f>'Necesidades Trimestrales'!B179</f>
        <v>0</v>
      </c>
      <c r="C181" s="107" t="str">
        <f>'Necesidades Trimestrales'!E179</f>
        <v>REACTIVO PTH P COBAS E411 X 100 DETERMINACIONES</v>
      </c>
      <c r="D181" s="107"/>
      <c r="E181" s="107"/>
      <c r="F181" s="107"/>
      <c r="G181" s="107"/>
      <c r="H181" s="62" t="s">
        <v>57</v>
      </c>
      <c r="I181" s="63" t="str">
        <f>'Necesidades Trimestrales'!F179</f>
        <v>CASSETTE</v>
      </c>
      <c r="J181" s="64">
        <f>'Necesidades Trimestrales'!H179</f>
        <v>21425</v>
      </c>
      <c r="K181" s="65">
        <f>'Necesidades Trimestrales'!G179</f>
        <v>1</v>
      </c>
    </row>
    <row r="182" spans="1:11" ht="20.25" customHeight="1" thickBot="1" x14ac:dyDescent="0.25">
      <c r="A182" s="8">
        <v>171</v>
      </c>
      <c r="B182" s="61">
        <f>'Necesidades Trimestrales'!B180</f>
        <v>0</v>
      </c>
      <c r="C182" s="107" t="str">
        <f>'Necesidades Trimestrales'!E180</f>
        <v>REACTIVO S-HBG COBAS E-411 ROCHE  X 100 DET</v>
      </c>
      <c r="D182" s="107"/>
      <c r="E182" s="107"/>
      <c r="F182" s="107"/>
      <c r="G182" s="107"/>
      <c r="H182" s="62" t="s">
        <v>57</v>
      </c>
      <c r="I182" s="63" t="str">
        <f>'Necesidades Trimestrales'!F180</f>
        <v>CASSETTE</v>
      </c>
      <c r="J182" s="64">
        <f>'Necesidades Trimestrales'!H180</f>
        <v>26477</v>
      </c>
      <c r="K182" s="65">
        <f>'Necesidades Trimestrales'!G180</f>
        <v>1</v>
      </c>
    </row>
    <row r="183" spans="1:11" ht="20.25" customHeight="1" thickBot="1" x14ac:dyDescent="0.25">
      <c r="A183" s="8">
        <v>172</v>
      </c>
      <c r="B183" s="61">
        <f>'Necesidades Trimestrales'!B181</f>
        <v>0</v>
      </c>
      <c r="C183" s="107" t="str">
        <f>'Necesidades Trimestrales'!E181</f>
        <v>REACTIVO T3  TOTAL COBAS E-411 ROCHE  X 100 DET</v>
      </c>
      <c r="D183" s="107"/>
      <c r="E183" s="107"/>
      <c r="F183" s="107"/>
      <c r="G183" s="107"/>
      <c r="H183" s="62" t="s">
        <v>57</v>
      </c>
      <c r="I183" s="63" t="str">
        <f>'Necesidades Trimestrales'!F181</f>
        <v>CASSETTE</v>
      </c>
      <c r="J183" s="64">
        <f>'Necesidades Trimestrales'!H181</f>
        <v>21731</v>
      </c>
      <c r="K183" s="65">
        <f>'Necesidades Trimestrales'!G181</f>
        <v>2</v>
      </c>
    </row>
    <row r="184" spans="1:11" ht="20.25" customHeight="1" thickBot="1" x14ac:dyDescent="0.25">
      <c r="A184" s="8">
        <v>173</v>
      </c>
      <c r="B184" s="61">
        <f>'Necesidades Trimestrales'!B182</f>
        <v>0</v>
      </c>
      <c r="C184" s="107" t="str">
        <f>'Necesidades Trimestrales'!E182</f>
        <v>REACTIVO T4 LIBRE  (FT4)   COBAS E-411 ROCHE X 200 DET</v>
      </c>
      <c r="D184" s="107"/>
      <c r="E184" s="107"/>
      <c r="F184" s="107"/>
      <c r="G184" s="107"/>
      <c r="H184" s="62" t="s">
        <v>57</v>
      </c>
      <c r="I184" s="63" t="str">
        <f>'Necesidades Trimestrales'!F182</f>
        <v>CASSETTE</v>
      </c>
      <c r="J184" s="64">
        <f>'Necesidades Trimestrales'!H182</f>
        <v>21731</v>
      </c>
      <c r="K184" s="65">
        <f>'Necesidades Trimestrales'!G182</f>
        <v>4</v>
      </c>
    </row>
    <row r="185" spans="1:11" ht="20.25" customHeight="1" thickBot="1" x14ac:dyDescent="0.25">
      <c r="A185" s="8">
        <v>174</v>
      </c>
      <c r="B185" s="61">
        <f>'Necesidades Trimestrales'!B183</f>
        <v>0</v>
      </c>
      <c r="C185" s="107" t="str">
        <f>'Necesidades Trimestrales'!E183</f>
        <v>REACTIVO T4 TOTAL P COBAS E 411 X 100 DETERMINACIONES</v>
      </c>
      <c r="D185" s="107"/>
      <c r="E185" s="107"/>
      <c r="F185" s="107"/>
      <c r="G185" s="107"/>
      <c r="H185" s="62" t="s">
        <v>57</v>
      </c>
      <c r="I185" s="63" t="str">
        <f>'Necesidades Trimestrales'!F183</f>
        <v>CASSETTE</v>
      </c>
      <c r="J185" s="64">
        <f>'Necesidades Trimestrales'!H183</f>
        <v>21731</v>
      </c>
      <c r="K185" s="65">
        <f>'Necesidades Trimestrales'!G183</f>
        <v>2</v>
      </c>
    </row>
    <row r="186" spans="1:11" ht="20.25" customHeight="1" thickBot="1" x14ac:dyDescent="0.25">
      <c r="A186" s="8">
        <v>175</v>
      </c>
      <c r="B186" s="61">
        <f>'Necesidades Trimestrales'!B184</f>
        <v>0</v>
      </c>
      <c r="C186" s="107" t="str">
        <f>'Necesidades Trimestrales'!E184</f>
        <v>REACTIVO TESTOSTERONA P COBAS E411 X 100 DETERMINACIONES</v>
      </c>
      <c r="D186" s="107"/>
      <c r="E186" s="107"/>
      <c r="F186" s="107"/>
      <c r="G186" s="107"/>
      <c r="H186" s="62" t="s">
        <v>57</v>
      </c>
      <c r="I186" s="63" t="str">
        <f>'Necesidades Trimestrales'!F184</f>
        <v>CASSETTE</v>
      </c>
      <c r="J186" s="64">
        <f>'Necesidades Trimestrales'!H184</f>
        <v>17152</v>
      </c>
      <c r="K186" s="65">
        <f>'Necesidades Trimestrales'!G184</f>
        <v>1</v>
      </c>
    </row>
    <row r="187" spans="1:11" ht="20.25" customHeight="1" thickBot="1" x14ac:dyDescent="0.25">
      <c r="A187" s="8">
        <v>176</v>
      </c>
      <c r="B187" s="61">
        <f>'Necesidades Trimestrales'!B185</f>
        <v>0</v>
      </c>
      <c r="C187" s="107" t="str">
        <f>'Necesidades Trimestrales'!E185</f>
        <v>REACTIVO TIROGLOBULINA P COBAS E411 X 100 DETERMINACIONES</v>
      </c>
      <c r="D187" s="107"/>
      <c r="E187" s="107"/>
      <c r="F187" s="107"/>
      <c r="G187" s="107"/>
      <c r="H187" s="62" t="s">
        <v>57</v>
      </c>
      <c r="I187" s="63" t="str">
        <f>'Necesidades Trimestrales'!F185</f>
        <v>CAJA</v>
      </c>
      <c r="J187" s="64">
        <f>'Necesidades Trimestrales'!H185</f>
        <v>18803</v>
      </c>
      <c r="K187" s="65">
        <f>'Necesidades Trimestrales'!G185</f>
        <v>1</v>
      </c>
    </row>
    <row r="188" spans="1:11" ht="20.25" customHeight="1" thickBot="1" x14ac:dyDescent="0.25">
      <c r="A188" s="8">
        <v>177</v>
      </c>
      <c r="B188" s="61">
        <f>'Necesidades Trimestrales'!B186</f>
        <v>0</v>
      </c>
      <c r="C188" s="107" t="str">
        <f>'Necesidades Trimestrales'!E186</f>
        <v>REACTIVO TROPONINA THS P COBAS E411 X 100 DETER.</v>
      </c>
      <c r="D188" s="107"/>
      <c r="E188" s="107"/>
      <c r="F188" s="107"/>
      <c r="G188" s="107"/>
      <c r="H188" s="62" t="s">
        <v>57</v>
      </c>
      <c r="I188" s="63" t="str">
        <f>'Necesidades Trimestrales'!F186</f>
        <v>CAJA</v>
      </c>
      <c r="J188" s="64">
        <f>'Necesidades Trimestrales'!H186</f>
        <v>31813</v>
      </c>
      <c r="K188" s="65">
        <f>'Necesidades Trimestrales'!G186</f>
        <v>3</v>
      </c>
    </row>
    <row r="189" spans="1:11" ht="20.25" customHeight="1" thickBot="1" x14ac:dyDescent="0.25">
      <c r="A189" s="8">
        <v>178</v>
      </c>
      <c r="B189" s="61">
        <f>'Necesidades Trimestrales'!B187</f>
        <v>0</v>
      </c>
      <c r="C189" s="107" t="str">
        <f>'Necesidades Trimestrales'!E187</f>
        <v>REACTIVO VITAMINA D TOTAL P COBAS E411 X 100 DETERMINACIONES</v>
      </c>
      <c r="D189" s="107"/>
      <c r="E189" s="107"/>
      <c r="F189" s="107"/>
      <c r="G189" s="107"/>
      <c r="H189" s="62" t="s">
        <v>57</v>
      </c>
      <c r="I189" s="63" t="str">
        <f>'Necesidades Trimestrales'!F187</f>
        <v>CAJA</v>
      </c>
      <c r="J189" s="64">
        <f>'Necesidades Trimestrales'!H187</f>
        <v>77446</v>
      </c>
      <c r="K189" s="65">
        <f>'Necesidades Trimestrales'!G187</f>
        <v>1</v>
      </c>
    </row>
    <row r="190" spans="1:11" ht="20.25" customHeight="1" thickBot="1" x14ac:dyDescent="0.25">
      <c r="A190" s="8">
        <v>179</v>
      </c>
      <c r="B190" s="61">
        <f>'Necesidades Trimestrales'!B188</f>
        <v>0</v>
      </c>
      <c r="C190" s="107" t="str">
        <f>'Necesidades Trimestrales'!E188</f>
        <v>S1 RINSE SOLUTION X 2 BIDONES P/COBAS B221</v>
      </c>
      <c r="D190" s="107"/>
      <c r="E190" s="107"/>
      <c r="F190" s="107"/>
      <c r="G190" s="107"/>
      <c r="H190" s="62" t="s">
        <v>57</v>
      </c>
      <c r="I190" s="63" t="str">
        <f>'Necesidades Trimestrales'!F188</f>
        <v>CAJA</v>
      </c>
      <c r="J190" s="64">
        <f>'Necesidades Trimestrales'!H188</f>
        <v>23535</v>
      </c>
      <c r="K190" s="65">
        <f>'Necesidades Trimestrales'!G188</f>
        <v>6</v>
      </c>
    </row>
    <row r="191" spans="1:11" ht="20.25" customHeight="1" thickBot="1" x14ac:dyDescent="0.25">
      <c r="A191" s="8">
        <v>180</v>
      </c>
      <c r="B191" s="61">
        <f>'Necesidades Trimestrales'!B189</f>
        <v>0</v>
      </c>
      <c r="C191" s="107" t="str">
        <f>'Necesidades Trimestrales'!E189</f>
        <v>S2 FLUID PACK P/COBAS 221</v>
      </c>
      <c r="D191" s="107"/>
      <c r="E191" s="107"/>
      <c r="F191" s="107"/>
      <c r="G191" s="107"/>
      <c r="H191" s="62" t="s">
        <v>57</v>
      </c>
      <c r="I191" s="63" t="str">
        <f>'Necesidades Trimestrales'!F189</f>
        <v>CAJA</v>
      </c>
      <c r="J191" s="64">
        <f>'Necesidades Trimestrales'!H189</f>
        <v>38587</v>
      </c>
      <c r="K191" s="65">
        <f>'Necesidades Trimestrales'!G189</f>
        <v>9</v>
      </c>
    </row>
    <row r="192" spans="1:11" ht="20.25" customHeight="1" thickBot="1" x14ac:dyDescent="0.25">
      <c r="A192" s="8">
        <v>181</v>
      </c>
      <c r="B192" s="61">
        <f>'Necesidades Trimestrales'!B190</f>
        <v>0</v>
      </c>
      <c r="C192" s="107" t="str">
        <f>'Necesidades Trimestrales'!E190</f>
        <v>S3 FLUID PACK P/COBAS 221</v>
      </c>
      <c r="D192" s="107"/>
      <c r="E192" s="107"/>
      <c r="F192" s="107"/>
      <c r="G192" s="107"/>
      <c r="H192" s="62" t="s">
        <v>57</v>
      </c>
      <c r="I192" s="63" t="str">
        <f>'Necesidades Trimestrales'!F190</f>
        <v>CAJA</v>
      </c>
      <c r="J192" s="64">
        <f>'Necesidades Trimestrales'!H190</f>
        <v>51200</v>
      </c>
      <c r="K192" s="65">
        <f>'Necesidades Trimestrales'!G190</f>
        <v>9</v>
      </c>
    </row>
    <row r="193" spans="1:1024" ht="20.25" customHeight="1" thickBot="1" x14ac:dyDescent="0.25">
      <c r="A193" s="8">
        <v>182</v>
      </c>
      <c r="B193" s="61">
        <f>'Necesidades Trimestrales'!B191</f>
        <v>0</v>
      </c>
      <c r="C193" s="107" t="str">
        <f>'Necesidades Trimestrales'!E191</f>
        <v>SENSOR GLU/LAC</v>
      </c>
      <c r="D193" s="107"/>
      <c r="E193" s="107"/>
      <c r="F193" s="107"/>
      <c r="G193" s="107"/>
      <c r="H193" s="62" t="s">
        <v>57</v>
      </c>
      <c r="I193" s="63" t="str">
        <f>'Necesidades Trimestrales'!F191</f>
        <v>CAJA</v>
      </c>
      <c r="J193" s="64">
        <f>'Necesidades Trimestrales'!H191</f>
        <v>10541</v>
      </c>
      <c r="K193" s="65">
        <f>'Necesidades Trimestrales'!G191</f>
        <v>3</v>
      </c>
    </row>
    <row r="194" spans="1:1024" ht="20.25" customHeight="1" thickBot="1" x14ac:dyDescent="0.25">
      <c r="A194" s="8">
        <v>183</v>
      </c>
      <c r="B194" s="61">
        <f>'Necesidades Trimestrales'!B192</f>
        <v>0</v>
      </c>
      <c r="C194" s="107" t="str">
        <f>'Necesidades Trimestrales'!E192</f>
        <v>SULFOLYSER X 5 LTS - TIPO SYSMEX XNL</v>
      </c>
      <c r="D194" s="107"/>
      <c r="E194" s="107"/>
      <c r="F194" s="107"/>
      <c r="G194" s="107"/>
      <c r="H194" s="62" t="s">
        <v>57</v>
      </c>
      <c r="I194" s="63" t="str">
        <f>'Necesidades Trimestrales'!F192</f>
        <v>BIDON</v>
      </c>
      <c r="J194" s="64">
        <f>'Necesidades Trimestrales'!H192</f>
        <v>52148</v>
      </c>
      <c r="K194" s="65">
        <f>'Necesidades Trimestrales'!G192</f>
        <v>2</v>
      </c>
    </row>
    <row r="195" spans="1:1024" ht="20.25" customHeight="1" thickBot="1" x14ac:dyDescent="0.25">
      <c r="A195" s="8">
        <v>184</v>
      </c>
      <c r="B195" s="61">
        <f>'Necesidades Trimestrales'!B193</f>
        <v>0</v>
      </c>
      <c r="C195" s="107" t="str">
        <f>'Necesidades Trimestrales'!E193</f>
        <v xml:space="preserve">TARJETA GEL LISS COOMBS X 400 UNIDADES </v>
      </c>
      <c r="D195" s="107"/>
      <c r="E195" s="107"/>
      <c r="F195" s="107"/>
      <c r="G195" s="107"/>
      <c r="H195" s="62" t="s">
        <v>57</v>
      </c>
      <c r="I195" s="63" t="str">
        <f>'Necesidades Trimestrales'!F193</f>
        <v>Caja</v>
      </c>
      <c r="J195" s="64">
        <f>'Necesidades Trimestrales'!H193</f>
        <v>13680</v>
      </c>
      <c r="K195" s="65">
        <f>'Necesidades Trimestrales'!G193</f>
        <v>3</v>
      </c>
    </row>
    <row r="196" spans="1:1024" ht="20.25" customHeight="1" thickBot="1" x14ac:dyDescent="0.25">
      <c r="A196" s="8">
        <v>185</v>
      </c>
      <c r="B196" s="61">
        <f>'Necesidades Trimestrales'!B194</f>
        <v>0</v>
      </c>
      <c r="C196" s="107" t="str">
        <f>'Necesidades Trimestrales'!E194</f>
        <v xml:space="preserve">Tioglicolato Medio  con indicador, estado solido  x 500 gr. </v>
      </c>
      <c r="D196" s="107"/>
      <c r="E196" s="107"/>
      <c r="F196" s="107"/>
      <c r="G196" s="107"/>
      <c r="H196" s="62" t="s">
        <v>57</v>
      </c>
      <c r="I196" s="63" t="str">
        <f>'Necesidades Trimestrales'!F194</f>
        <v>Fco.</v>
      </c>
      <c r="J196" s="64">
        <f>'Necesidades Trimestrales'!H194</f>
        <v>2475</v>
      </c>
      <c r="K196" s="65">
        <f>'Necesidades Trimestrales'!G194</f>
        <v>2</v>
      </c>
    </row>
    <row r="197" spans="1:1024" ht="20.25" customHeight="1" thickBot="1" x14ac:dyDescent="0.25">
      <c r="A197" s="8">
        <v>186</v>
      </c>
      <c r="B197" s="61">
        <f>'Necesidades Trimestrales'!B195</f>
        <v>0</v>
      </c>
      <c r="C197" s="107" t="str">
        <f>'Necesidades Trimestrales'!E195</f>
        <v>TOXO HAI X 96 DET. TIPO POLYCHACO</v>
      </c>
      <c r="D197" s="107"/>
      <c r="E197" s="107"/>
      <c r="F197" s="107"/>
      <c r="G197" s="107"/>
      <c r="H197" s="62" t="s">
        <v>57</v>
      </c>
      <c r="I197" s="63" t="str">
        <f>'Necesidades Trimestrales'!F195</f>
        <v>CAJA</v>
      </c>
      <c r="J197" s="64">
        <f>'Necesidades Trimestrales'!H195</f>
        <v>16645</v>
      </c>
      <c r="K197" s="65">
        <f>'Necesidades Trimestrales'!G195</f>
        <v>1</v>
      </c>
    </row>
    <row r="198" spans="1:1024" ht="20.25" customHeight="1" thickBot="1" x14ac:dyDescent="0.25">
      <c r="A198" s="8">
        <v>187</v>
      </c>
      <c r="B198" s="61">
        <f>'Necesidades Trimestrales'!B196</f>
        <v>0</v>
      </c>
      <c r="C198" s="107" t="str">
        <f>'Necesidades Trimestrales'!E196</f>
        <v>TRANSFERRINA P/ COBAS C311 X 100 DETERMINACIONES</v>
      </c>
      <c r="D198" s="107"/>
      <c r="E198" s="107"/>
      <c r="F198" s="107"/>
      <c r="G198" s="107"/>
      <c r="H198" s="62" t="s">
        <v>57</v>
      </c>
      <c r="I198" s="63" t="str">
        <f>'Necesidades Trimestrales'!F196</f>
        <v>CASSETTE</v>
      </c>
      <c r="J198" s="64">
        <f>'Necesidades Trimestrales'!H196</f>
        <v>8229</v>
      </c>
      <c r="K198" s="65">
        <f>'Necesidades Trimestrales'!G196</f>
        <v>3</v>
      </c>
    </row>
    <row r="199" spans="1:1024" ht="20.25" customHeight="1" thickBot="1" x14ac:dyDescent="0.25">
      <c r="A199" s="8">
        <v>188</v>
      </c>
      <c r="B199" s="61">
        <f>'Necesidades Trimestrales'!B197</f>
        <v>0</v>
      </c>
      <c r="C199" s="107" t="str">
        <f>'Necesidades Trimestrales'!E197</f>
        <v xml:space="preserve">TRIGLICERIDOS COBAS C-311 ROCHE  X 250 DET </v>
      </c>
      <c r="D199" s="107"/>
      <c r="E199" s="107"/>
      <c r="F199" s="107"/>
      <c r="G199" s="107"/>
      <c r="H199" s="62" t="s">
        <v>57</v>
      </c>
      <c r="I199" s="63" t="str">
        <f>'Necesidades Trimestrales'!F197</f>
        <v>CASSETTE</v>
      </c>
      <c r="J199" s="64">
        <f>'Necesidades Trimestrales'!H197</f>
        <v>3095</v>
      </c>
      <c r="K199" s="65">
        <f>'Necesidades Trimestrales'!G197</f>
        <v>6</v>
      </c>
    </row>
    <row r="200" spans="1:1024" ht="20.25" customHeight="1" thickBot="1" x14ac:dyDescent="0.25">
      <c r="A200" s="8">
        <v>189</v>
      </c>
      <c r="B200" s="61">
        <f>'Necesidades Trimestrales'!B198</f>
        <v>0</v>
      </c>
      <c r="C200" s="107" t="str">
        <f>'Necesidades Trimestrales'!E198</f>
        <v>TSH P/COBAS E411 X  200 DET</v>
      </c>
      <c r="D200" s="107"/>
      <c r="E200" s="107"/>
      <c r="F200" s="107"/>
      <c r="G200" s="107"/>
      <c r="H200" s="62" t="s">
        <v>57</v>
      </c>
      <c r="I200" s="63" t="str">
        <f>'Necesidades Trimestrales'!F198</f>
        <v>CAJA</v>
      </c>
      <c r="J200" s="64">
        <f>'Necesidades Trimestrales'!H198</f>
        <v>20717</v>
      </c>
      <c r="K200" s="65">
        <f>'Necesidades Trimestrales'!G198</f>
        <v>4</v>
      </c>
    </row>
    <row r="201" spans="1:1024" ht="20.25" customHeight="1" thickBot="1" x14ac:dyDescent="0.25">
      <c r="A201" s="8">
        <v>190</v>
      </c>
      <c r="B201" s="61">
        <f>'Necesidades Trimestrales'!B199</f>
        <v>0</v>
      </c>
      <c r="C201" s="107" t="str">
        <f>'Necesidades Trimestrales'!E199</f>
        <v>TUBOS CON CITRATO AL VACIO 3,2% X 2,7 ML, TIPO BD , TAPA CELESTE UND</v>
      </c>
      <c r="D201" s="107"/>
      <c r="E201" s="107"/>
      <c r="F201" s="107"/>
      <c r="G201" s="107"/>
      <c r="H201" s="62" t="s">
        <v>57</v>
      </c>
      <c r="I201" s="63" t="str">
        <f>'Necesidades Trimestrales'!F199</f>
        <v>UND</v>
      </c>
      <c r="J201" s="64">
        <f>'Necesidades Trimestrales'!H199</f>
        <v>1140</v>
      </c>
      <c r="K201" s="65">
        <f>'Necesidades Trimestrales'!G199</f>
        <v>5000</v>
      </c>
    </row>
    <row r="202" spans="1:1024" ht="20.25" customHeight="1" thickBot="1" x14ac:dyDescent="0.25">
      <c r="A202" s="8">
        <v>191</v>
      </c>
      <c r="B202" s="61">
        <f>'Necesidades Trimestrales'!B200</f>
        <v>0</v>
      </c>
      <c r="C202" s="107" t="str">
        <f>'Necesidades Trimestrales'!E200</f>
        <v xml:space="preserve">TUBOS CON EDTA AL VACIO X 2 MLTIPO BD  TAPA LILA </v>
      </c>
      <c r="D202" s="107"/>
      <c r="E202" s="107"/>
      <c r="F202" s="107"/>
      <c r="G202" s="107"/>
      <c r="H202" s="62" t="s">
        <v>57</v>
      </c>
      <c r="I202" s="63" t="str">
        <f>'Necesidades Trimestrales'!F200</f>
        <v>UND</v>
      </c>
      <c r="J202" s="64">
        <f>'Necesidades Trimestrales'!H200</f>
        <v>14.9</v>
      </c>
      <c r="K202" s="65">
        <f>'Necesidades Trimestrales'!G200</f>
        <v>10000</v>
      </c>
    </row>
    <row r="203" spans="1:1024" ht="20.25" customHeight="1" thickBot="1" x14ac:dyDescent="0.25">
      <c r="A203" s="8">
        <v>192</v>
      </c>
      <c r="B203" s="61">
        <f>'Necesidades Trimestrales'!B201</f>
        <v>0</v>
      </c>
      <c r="C203" s="107" t="str">
        <f>'Necesidades Trimestrales'!E201</f>
        <v>TUBOS CON GEL AL VACIO 3,5 ML, TIPO BD , TAPA AMARILLA UND</v>
      </c>
      <c r="D203" s="107"/>
      <c r="E203" s="107"/>
      <c r="F203" s="107"/>
      <c r="G203" s="107"/>
      <c r="H203" s="62" t="s">
        <v>57</v>
      </c>
      <c r="I203" s="63" t="str">
        <f>'Necesidades Trimestrales'!F201</f>
        <v>UND</v>
      </c>
      <c r="J203" s="64">
        <f>'Necesidades Trimestrales'!H201</f>
        <v>23.9</v>
      </c>
      <c r="K203" s="65">
        <f>'Necesidades Trimestrales'!G201</f>
        <v>12000</v>
      </c>
    </row>
    <row r="204" spans="1:1024" ht="20.25" customHeight="1" thickBot="1" x14ac:dyDescent="0.25">
      <c r="A204" s="8">
        <v>193</v>
      </c>
      <c r="B204" s="61">
        <f>'Necesidades Trimestrales'!B202</f>
        <v>0</v>
      </c>
      <c r="C204" s="107" t="str">
        <f>'Necesidades Trimestrales'!E202</f>
        <v>UREA  COBAS C-311 ROCHE X 500 DET</v>
      </c>
      <c r="D204" s="107"/>
      <c r="E204" s="107"/>
      <c r="F204" s="107"/>
      <c r="G204" s="107"/>
      <c r="H204" s="62" t="s">
        <v>57</v>
      </c>
      <c r="I204" s="63" t="str">
        <f>'Necesidades Trimestrales'!F202</f>
        <v>CASSETTE</v>
      </c>
      <c r="J204" s="64">
        <f>'Necesidades Trimestrales'!H202</f>
        <v>5249</v>
      </c>
      <c r="K204" s="65">
        <f>'Necesidades Trimestrales'!G202</f>
        <v>12</v>
      </c>
    </row>
    <row r="205" spans="1:1024" ht="20.25" customHeight="1" thickBot="1" x14ac:dyDescent="0.25">
      <c r="A205" s="8">
        <v>194</v>
      </c>
      <c r="B205" s="61">
        <f>'Necesidades Trimestrales'!B203</f>
        <v>0</v>
      </c>
      <c r="C205" s="107" t="str">
        <f>'Necesidades Trimestrales'!E203</f>
        <v>VIOLETA DE GENCIANA, ESTADO: SOLIDO, CALIDAD: PRO ANALISIS, PRESENTACION: ENVASE X 25 GR</v>
      </c>
      <c r="D205" s="107"/>
      <c r="E205" s="107"/>
      <c r="F205" s="107"/>
      <c r="G205" s="107"/>
      <c r="H205" s="62" t="s">
        <v>57</v>
      </c>
      <c r="I205" s="63" t="str">
        <f>'Necesidades Trimestrales'!F203</f>
        <v>Fco.</v>
      </c>
      <c r="J205" s="64">
        <f>'Necesidades Trimestrales'!H203</f>
        <v>3000</v>
      </c>
      <c r="K205" s="65">
        <f>'Necesidades Trimestrales'!G203</f>
        <v>2</v>
      </c>
    </row>
    <row r="206" spans="1:1024" ht="20.25" customHeight="1" thickBot="1" x14ac:dyDescent="0.25">
      <c r="A206" s="105" t="s">
        <v>244</v>
      </c>
      <c r="B206" s="105"/>
      <c r="C206" s="105"/>
      <c r="D206" s="105"/>
      <c r="E206" s="105"/>
      <c r="F206" s="105"/>
      <c r="G206" s="105"/>
      <c r="H206" s="105"/>
      <c r="I206" s="105"/>
      <c r="J206" s="106">
        <f>SUMPRODUCT(J12:J205,K12:K205)</f>
        <v>13026518.199999999</v>
      </c>
      <c r="K206" s="1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  <c r="AMH206"/>
      <c r="AMI206"/>
      <c r="AMJ206"/>
    </row>
  </sheetData>
  <mergeCells count="216">
    <mergeCell ref="C120:G120"/>
    <mergeCell ref="C121:G121"/>
    <mergeCell ref="C122:G122"/>
    <mergeCell ref="C123:G123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195:G195"/>
    <mergeCell ref="C196:G196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G151"/>
    <mergeCell ref="C152:G152"/>
    <mergeCell ref="C153:G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4:G134"/>
    <mergeCell ref="C135:G135"/>
    <mergeCell ref="C137:G137"/>
    <mergeCell ref="C138:G138"/>
    <mergeCell ref="C139:G139"/>
    <mergeCell ref="C136:G136"/>
    <mergeCell ref="C129:G129"/>
    <mergeCell ref="C130:G130"/>
    <mergeCell ref="C131:G131"/>
    <mergeCell ref="C132:G132"/>
    <mergeCell ref="C133:G133"/>
    <mergeCell ref="C124:G124"/>
    <mergeCell ref="C125:G125"/>
    <mergeCell ref="C126:G126"/>
    <mergeCell ref="C127:G127"/>
    <mergeCell ref="C128:G128"/>
    <mergeCell ref="A206:I206"/>
    <mergeCell ref="J206:K20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8" t="s">
        <v>3</v>
      </c>
      <c r="B1" s="108"/>
      <c r="C1" s="108"/>
      <c r="D1" s="109">
        <f>'Necesidades Trimestrales'!C6</f>
        <v>2021</v>
      </c>
      <c r="E1" s="109"/>
      <c r="F1" s="10"/>
      <c r="G1" s="10"/>
      <c r="H1" s="11"/>
      <c r="I1" s="11"/>
      <c r="J1" s="11"/>
      <c r="K1" s="11"/>
      <c r="L1" s="11"/>
      <c r="M1" s="11"/>
      <c r="N1" s="11"/>
      <c r="P1" s="110" t="s">
        <v>31</v>
      </c>
      <c r="Q1" s="11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0"/>
      <c r="Q2" s="110"/>
    </row>
    <row r="4" spans="1:17" s="12" customFormat="1" ht="18" customHeight="1" thickBot="1" x14ac:dyDescent="0.25">
      <c r="A4" s="111" t="s">
        <v>32</v>
      </c>
      <c r="B4" s="111"/>
      <c r="C4" s="111"/>
      <c r="D4" s="111"/>
      <c r="E4" s="111"/>
      <c r="F4" s="111"/>
      <c r="G4" s="112" t="str">
        <f>NotaPedido!D3</f>
        <v>40 - Ministerio de Salud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12" customFormat="1" ht="18" customHeight="1" thickBot="1" x14ac:dyDescent="0.25">
      <c r="A5" s="113" t="s">
        <v>55</v>
      </c>
      <c r="B5" s="114"/>
      <c r="C5" s="114"/>
      <c r="D5" s="114"/>
      <c r="E5" s="114"/>
      <c r="F5" s="115"/>
      <c r="G5" s="112" t="str">
        <f>NotaPedido!D4</f>
        <v>23 - Hospital Interzonal San Juan Bautista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12" customFormat="1" ht="18" customHeight="1" thickBot="1" x14ac:dyDescent="0.25">
      <c r="A6" s="113" t="s">
        <v>33</v>
      </c>
      <c r="B6" s="114"/>
      <c r="C6" s="114"/>
      <c r="D6" s="114"/>
      <c r="E6" s="114"/>
      <c r="F6" s="115"/>
      <c r="G6" s="112" t="str">
        <f>NotaPedido!D5</f>
        <v>168 - Direccion Asistencial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12" customFormat="1" ht="18" customHeight="1" thickBot="1" x14ac:dyDescent="0.25">
      <c r="A7" s="113" t="s">
        <v>56</v>
      </c>
      <c r="B7" s="114"/>
      <c r="C7" s="114"/>
      <c r="D7" s="114"/>
      <c r="E7" s="114"/>
      <c r="F7" s="115"/>
      <c r="G7" s="112" t="str">
        <f>NotaPedido!D6</f>
        <v>Servicio de Laboratorio Central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8" customHeight="1" thickBot="1" x14ac:dyDescent="0.25">
      <c r="A8" s="116" t="s">
        <v>34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8" customHeight="1" x14ac:dyDescent="0.2">
      <c r="A9" s="117" t="s">
        <v>35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061/2021,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9" t="s">
        <v>36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37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38</v>
      </c>
      <c r="P13" s="121"/>
      <c r="Q13" s="122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1"/>
      <c r="P14" s="121"/>
      <c r="Q14" s="122"/>
    </row>
    <row r="15" spans="1:17" ht="17.25" customHeight="1" x14ac:dyDescent="0.2">
      <c r="A15" s="68">
        <v>33</v>
      </c>
      <c r="B15" s="69"/>
      <c r="C15" s="69"/>
      <c r="D15" s="69">
        <v>2</v>
      </c>
      <c r="E15" s="69"/>
      <c r="F15" s="69">
        <v>4901</v>
      </c>
      <c r="G15" s="69">
        <v>3</v>
      </c>
      <c r="H15" s="70" t="s">
        <v>63</v>
      </c>
      <c r="I15" s="71">
        <v>2</v>
      </c>
      <c r="J15" s="71">
        <v>5</v>
      </c>
      <c r="K15" s="71">
        <v>1</v>
      </c>
      <c r="L15" s="69"/>
      <c r="M15" s="72">
        <v>1</v>
      </c>
      <c r="N15" s="70" t="s">
        <v>64</v>
      </c>
      <c r="O15" s="123" t="s">
        <v>61</v>
      </c>
      <c r="P15" s="123"/>
      <c r="Q15" s="23">
        <f>Q23-Q16</f>
        <v>12753483.199999999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6" t="s">
        <v>63</v>
      </c>
      <c r="I16" s="25">
        <v>2</v>
      </c>
      <c r="J16" s="25">
        <v>9</v>
      </c>
      <c r="K16" s="25">
        <v>6</v>
      </c>
      <c r="L16" s="25"/>
      <c r="M16" s="26">
        <v>1</v>
      </c>
      <c r="N16" s="67" t="s">
        <v>64</v>
      </c>
      <c r="O16" s="124" t="s">
        <v>238</v>
      </c>
      <c r="P16" s="124"/>
      <c r="Q16" s="28">
        <v>273035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6"/>
      <c r="I17" s="25"/>
      <c r="J17" s="25"/>
      <c r="K17" s="25"/>
      <c r="L17" s="25"/>
      <c r="M17" s="26"/>
      <c r="N17" s="67"/>
      <c r="O17" s="124"/>
      <c r="P17" s="124"/>
      <c r="Q17" s="28"/>
      <c r="S17" s="73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6"/>
      <c r="I18" s="25"/>
      <c r="J18" s="25"/>
      <c r="K18" s="25"/>
      <c r="L18" s="25"/>
      <c r="M18" s="26"/>
      <c r="N18" s="67"/>
      <c r="O18" s="125"/>
      <c r="P18" s="12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6"/>
      <c r="P19" s="12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6"/>
      <c r="P20" s="12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2"/>
      <c r="P21" s="132"/>
      <c r="Q21" s="28"/>
      <c r="R21" s="1"/>
    </row>
    <row r="22" spans="1:19" ht="17.25" customHeight="1" thickBo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3"/>
      <c r="P22" s="133"/>
      <c r="Q22" s="37"/>
    </row>
    <row r="23" spans="1:19" ht="26.45" customHeight="1" thickBot="1" x14ac:dyDescent="0.25">
      <c r="A23" s="134" t="s">
        <v>245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8">
        <v>13026518.199999999</v>
      </c>
    </row>
    <row r="24" spans="1:19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9" ht="17.25" customHeight="1" thickBot="1" x14ac:dyDescent="0.25">
      <c r="A25" s="127" t="s">
        <v>53</v>
      </c>
      <c r="B25" s="128"/>
      <c r="C25" s="128"/>
      <c r="D25" s="128"/>
      <c r="E25" s="128"/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spans="1:19" ht="18" customHeight="1" thickBot="1" x14ac:dyDescent="0.25">
      <c r="A26" s="131" t="str">
        <f>"Para la "&amp; NotaPedido!D8 &amp;" para ser destinados al " &amp; NotaPedido!D6 &amp;"  del HISJB del Ministerio de Salud."</f>
        <v>Para la Adquisición de Reactivos para Laboratorios para ser destinados al Servicio de Laboratorio Central  del HISJB del Ministerio de Salud.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1:19" ht="1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6" right="0.19" top="0.73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2021-06-10T15:01:04Z</cp:lastPrinted>
  <dcterms:created xsi:type="dcterms:W3CDTF">2020-07-17T23:44:49Z</dcterms:created>
  <dcterms:modified xsi:type="dcterms:W3CDTF">2021-08-12T11:45:43Z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