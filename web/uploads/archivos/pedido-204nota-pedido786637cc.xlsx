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0" i="1"/>
  <c r="B15" i="2"/>
  <c r="A26" i="3"/>
  <c r="A10" i="3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3" i="1"/>
  <c r="I12" i="1"/>
  <c r="I11" i="1"/>
  <c r="I10" i="1"/>
  <c r="J16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<sst xmlns="http://schemas.openxmlformats.org/spreadsheetml/2006/main" count="123" uniqueCount="88">
  <si>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</si>
  <si>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</si>
  <si>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</si>
  <si>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</si>
  <si>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</si>
  <si>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</si>
  <si>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</si>
  <si>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</si>
  <si>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</si>
  <si>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</si>
  <si>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</si>
  <si>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</si>
  <si>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</si>
  <si>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</si>
  <si>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</si>
  <si>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</si>
  <si>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</si>
  <si>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</si>
  <si>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</si>
  <si>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</si>
  <si>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</si>
  <si>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</si>
  <si>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</si>
  <si>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</si>
  <si>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</si>
  <si>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</si>
  <si>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</si>
  <si>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</si>
  <si>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</si>
  <si>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</si>
  <si>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</si>
  <si>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</si>
  <si>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</si>
  <si>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</si>
  <si>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</si>
  <si>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</si>
  <si>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</si>
  <si>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</si>
  <si>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</si>
  <si>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</si>
  <si>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</si>
  <si>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</si>
  <si>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</si>
  <si>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</si>
  <si>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</si>
  <si>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</si>
  <si>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</si>
  <si>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</si>
  <si>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</si>
  <si>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</si>
  <si>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</si>
  <si>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</si>
  <si>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</si>
  <si>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</si>
  <si>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</si>
  <si>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</si>
  <si>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</si>
  <si>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</si>
  <si>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</si>
  <si>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</si>
  <si>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 xml:space="preserve">45 dias habiles </t>
  </si>
  <si>
    <t>3.1</t>
  </si>
  <si>
    <t>1.1</t>
  </si>
  <si>
    <t>2.9.6-7788.10</t>
  </si>
  <si>
    <t>REPUESTOS</t>
  </si>
  <si>
    <t>REP. Y ACC. P/TOMOGRAFOS; REPUESTO: DISCO RIGIDO IDD, MARCA EQUIPO: TOSHIBA, MODELO EQUIPO: AQUILION 64</t>
  </si>
  <si>
    <t>UNIDAD</t>
  </si>
  <si>
    <t>2.9.6-7788.11</t>
  </si>
  <si>
    <t>REP. Y ACC. P/TOMOGRAFOS; REPUESTO: DISCO RIGIDO RDD, MARCA EQUIPO: TOSHIBA, MODELO EQUIPO: AQUILION 64</t>
  </si>
  <si>
    <t>2.9.6-7788.12</t>
  </si>
  <si>
    <t>REP. Y ACC. P/TOMOGRAFOS; REPUESTO: INTERCAMBIADOR DE CALOR, MARCA EQUIPO: TOSHIBA, MODELO EQUIPO: AQUILION 64</t>
  </si>
  <si>
    <t>REP. Y ACC. P/TOMOGRAFOS; REPUESTO: TUBO DE RAYOS X, MARCA EQUIPO: TOSHIBA, MODELO EQUIPO: AQUILION 64</t>
  </si>
  <si>
    <t>2.9.6-7788.7</t>
  </si>
  <si>
    <t>Especificidades Item N° 3:</t>
  </si>
  <si>
    <t>Especificidades Item N° 4:</t>
  </si>
  <si>
    <t>15 dias habiles - Depto. Electromedicina del HISJB</t>
  </si>
  <si>
    <t>SI</t>
  </si>
  <si>
    <t>Adquisición de Repuestos para Tomografo</t>
  </si>
  <si>
    <t>Departamento Electromedicina</t>
  </si>
  <si>
    <t>237 - Direccion de Mantenimiento</t>
  </si>
  <si>
    <t>036/2022</t>
  </si>
  <si>
    <t>TOTAL DE PESOS: DIECINUEVE MILLONES CIENTO SIETE MIL CON 00/100</t>
  </si>
  <si>
    <t>Repuestos y Accesorios</t>
  </si>
  <si>
    <t xml:space="preserve">TUBO DE RAYOS X DE 7,5 MHU PARA TOMOGRAFO TOSHIBA AQUILION 64 - CON UNA GARANTIA MINIMA DE 01 AÑO </t>
  </si>
  <si>
    <t xml:space="preserve">DISCO PARA MODULO IDD (REC BOX) PARA TOMOGRAFO TOSHIBA AQUILION 64 - GARANTIA MINIMA DE 03 MESES </t>
  </si>
  <si>
    <t>Costo total estimado:  PESOS DIECINUEVE MILLONES CIENTO SIETE MIL CON 00/100.----</t>
  </si>
  <si>
    <t>INTERCAMBIADOR DE CALOR PARA TOMOGRAFO TOSHIBA AQUILION 64 - GARANTIA MINIMA DE 03 MESES</t>
  </si>
  <si>
    <t>DISCO DE RDD PARA UNIDAD DE RECONSTRUCCION PARA TOMOGRAFO TOSHIBA AQUILION 64 - GARANTIA MINIMA DE 03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</si>
</sst>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4" borderId="0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4"/>
  <sheetViews>
    <sheetView topLeftCell="A58" zoomScale="85" zoomScaleNormal="85" workbookViewId="0">
      <selection activeCell="I29" sqref="I29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79" t="s">
        <v>0</v>
      </c>
      <c r="C2" s="79"/>
      <c r="D2" s="79"/>
      <c r="E2" s="79"/>
      <c r="F2" s="79"/>
      <c r="G2" s="79"/>
      <c r="H2" s="79"/>
    </row>
    <row r="4" spans="1:9" ht="18" customHeight="1" x14ac:dyDescent="0.25">
      <c r="A4" s="80" t="s">
        <v>1</v>
      </c>
      <c r="B4" s="80"/>
      <c r="C4" s="81" t="s">
        <v>58</v>
      </c>
      <c r="D4" s="81"/>
      <c r="E4" s="81"/>
      <c r="F4" s="40"/>
      <c r="G4" s="41"/>
      <c r="H4" s="40"/>
    </row>
    <row r="5" spans="1:9" ht="18" customHeight="1" x14ac:dyDescent="0.25">
      <c r="A5" s="80" t="s">
        <v>2</v>
      </c>
      <c r="B5" s="80"/>
      <c r="C5" s="81" t="s">
        <v>59</v>
      </c>
      <c r="D5" s="81"/>
      <c r="E5" s="81"/>
      <c r="F5" s="40"/>
      <c r="G5" s="41"/>
      <c r="H5" s="40"/>
    </row>
    <row r="6" spans="1:9" ht="16.5" customHeight="1" x14ac:dyDescent="0.25">
      <c r="A6" s="80" t="s">
        <v>3</v>
      </c>
      <c r="B6" s="80"/>
      <c r="C6" s="63">
        <v>2022</v>
      </c>
      <c r="D6" s="64"/>
      <c r="E6" s="64"/>
      <c r="F6" s="40"/>
      <c r="G6" s="41"/>
      <c r="H6" s="40"/>
    </row>
    <row r="7" spans="1:9" ht="16.5" customHeight="1" x14ac:dyDescent="0.25">
      <c r="A7" s="80" t="s">
        <v>4</v>
      </c>
      <c r="B7" s="80"/>
      <c r="C7" s="63">
        <v>2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9" customHeight="1" thickBot="1" x14ac:dyDescent="0.25">
      <c r="A10" s="56">
        <v>1</v>
      </c>
      <c r="B10" s="60" t="s">
        <v>63</v>
      </c>
      <c r="C10" s="57" t="s">
        <v>64</v>
      </c>
      <c r="D10" s="58" t="str">
        <f>LEFT(B10,5)</f>
        <v>2.9.6</v>
      </c>
      <c r="E10" s="59" t="s">
        <v>65</v>
      </c>
      <c r="F10" s="60" t="s">
        <v>66</v>
      </c>
      <c r="G10" s="60">
        <v>1</v>
      </c>
      <c r="H10" s="61">
        <v>905000</v>
      </c>
      <c r="I10" s="62">
        <f t="shared" ref="I10:I13" si="0">G10*H10</f>
        <v>905000</v>
      </c>
    </row>
    <row r="11" spans="1:9" ht="39" customHeight="1" thickBot="1" x14ac:dyDescent="0.25">
      <c r="A11" s="56">
        <v>2</v>
      </c>
      <c r="B11" s="60" t="s">
        <v>67</v>
      </c>
      <c r="C11" s="57" t="s">
        <v>64</v>
      </c>
      <c r="D11" s="58" t="str">
        <f t="shared" ref="D11:D13" si="1">LEFT(B11,5)</f>
        <v>2.9.6</v>
      </c>
      <c r="E11" s="59" t="s">
        <v>68</v>
      </c>
      <c r="F11" s="60" t="s">
        <v>66</v>
      </c>
      <c r="G11" s="60">
        <v>1</v>
      </c>
      <c r="H11" s="61">
        <v>382000</v>
      </c>
      <c r="I11" s="62">
        <f t="shared" si="0"/>
        <v>382000</v>
      </c>
    </row>
    <row r="12" spans="1:9" ht="39" customHeight="1" thickBot="1" x14ac:dyDescent="0.25">
      <c r="A12" s="56">
        <v>3</v>
      </c>
      <c r="B12" s="60" t="s">
        <v>69</v>
      </c>
      <c r="C12" s="57" t="s">
        <v>64</v>
      </c>
      <c r="D12" s="58" t="str">
        <f t="shared" si="1"/>
        <v>2.9.6</v>
      </c>
      <c r="E12" s="59" t="s">
        <v>70</v>
      </c>
      <c r="F12" s="60" t="s">
        <v>66</v>
      </c>
      <c r="G12" s="60">
        <v>1</v>
      </c>
      <c r="H12" s="61">
        <v>2820000</v>
      </c>
      <c r="I12" s="62">
        <f t="shared" si="0"/>
        <v>2820000</v>
      </c>
    </row>
    <row r="13" spans="1:9" ht="39" customHeight="1" thickBot="1" x14ac:dyDescent="0.25">
      <c r="A13" s="56">
        <v>4</v>
      </c>
      <c r="B13" s="60" t="s">
        <v>72</v>
      </c>
      <c r="C13" s="57" t="s">
        <v>64</v>
      </c>
      <c r="D13" s="58" t="str">
        <f t="shared" si="1"/>
        <v>2.9.6</v>
      </c>
      <c r="E13" s="59" t="s">
        <v>71</v>
      </c>
      <c r="F13" s="60" t="s">
        <v>66</v>
      </c>
      <c r="G13" s="60">
        <v>1</v>
      </c>
      <c r="H13" s="61">
        <v>15000000</v>
      </c>
      <c r="I13" s="62">
        <f t="shared" si="0"/>
        <v>15000000</v>
      </c>
    </row>
    <row r="16" spans="1:9" x14ac:dyDescent="0.2">
      <c r="B16" s="42" t="s">
        <v>14</v>
      </c>
      <c r="C16" s="43"/>
      <c r="D16" s="43"/>
      <c r="E16" s="44"/>
    </row>
    <row r="17" spans="2:5" ht="5.25" customHeight="1" x14ac:dyDescent="0.2">
      <c r="B17" s="45"/>
      <c r="C17" s="46"/>
      <c r="D17" s="46"/>
      <c r="E17" s="47"/>
    </row>
    <row r="18" spans="2:5" x14ac:dyDescent="0.2">
      <c r="B18" s="48" t="s">
        <v>15</v>
      </c>
      <c r="C18" s="46"/>
      <c r="D18" s="46"/>
      <c r="E18" s="47"/>
    </row>
    <row r="19" spans="2:5" ht="41.25" customHeight="1" x14ac:dyDescent="0.2">
      <c r="B19" s="48"/>
      <c r="C19" s="82" t="s">
        <v>84</v>
      </c>
      <c r="D19" s="82"/>
      <c r="E19" s="83"/>
    </row>
    <row r="20" spans="2:5" x14ac:dyDescent="0.2">
      <c r="B20" s="48" t="s">
        <v>16</v>
      </c>
      <c r="C20" s="46"/>
      <c r="D20" s="46"/>
      <c r="E20" s="47"/>
    </row>
    <row r="21" spans="2:5" x14ac:dyDescent="0.2">
      <c r="B21" s="49"/>
      <c r="C21" s="84" t="s">
        <v>75</v>
      </c>
      <c r="D21" s="84"/>
      <c r="E21" s="84"/>
    </row>
    <row r="22" spans="2:5" x14ac:dyDescent="0.2">
      <c r="B22" s="49"/>
      <c r="C22" s="85"/>
      <c r="D22" s="85"/>
      <c r="E22" s="85"/>
    </row>
    <row r="23" spans="2:5" x14ac:dyDescent="0.2">
      <c r="B23" s="48" t="s">
        <v>17</v>
      </c>
      <c r="C23" s="46"/>
      <c r="D23" s="46"/>
      <c r="E23" s="47"/>
    </row>
    <row r="24" spans="2:5" ht="26.25" customHeight="1" x14ac:dyDescent="0.2">
      <c r="B24" s="49"/>
      <c r="C24" s="87"/>
      <c r="D24" s="87"/>
      <c r="E24" s="87"/>
    </row>
    <row r="25" spans="2:5" x14ac:dyDescent="0.2">
      <c r="B25" s="48" t="s">
        <v>18</v>
      </c>
      <c r="C25" s="50"/>
      <c r="D25" s="50"/>
      <c r="E25" s="51"/>
    </row>
    <row r="26" spans="2:5" ht="26.25" customHeight="1" x14ac:dyDescent="0.2">
      <c r="B26" s="49"/>
      <c r="C26" s="88" t="s">
        <v>60</v>
      </c>
      <c r="D26" s="88"/>
      <c r="E26" s="88"/>
    </row>
    <row r="27" spans="2:5" x14ac:dyDescent="0.2">
      <c r="B27" s="48" t="s">
        <v>19</v>
      </c>
      <c r="C27" s="46"/>
      <c r="D27" s="46"/>
      <c r="E27" s="47"/>
    </row>
    <row r="28" spans="2:5" ht="23.25" customHeight="1" x14ac:dyDescent="0.2">
      <c r="B28" s="48"/>
      <c r="C28" s="89"/>
      <c r="D28" s="89"/>
      <c r="E28" s="89"/>
    </row>
    <row r="29" spans="2:5" x14ac:dyDescent="0.2">
      <c r="B29" s="52"/>
      <c r="C29" s="53"/>
      <c r="D29" s="53"/>
      <c r="E29" s="54"/>
    </row>
    <row r="31" spans="2:5" x14ac:dyDescent="0.2">
      <c r="B31" s="42" t="s">
        <v>20</v>
      </c>
      <c r="C31" s="43"/>
      <c r="D31" s="43"/>
      <c r="E31" s="44"/>
    </row>
    <row r="32" spans="2:5" ht="7.5" customHeight="1" x14ac:dyDescent="0.2">
      <c r="B32" s="45"/>
      <c r="C32" s="46"/>
      <c r="D32" s="46"/>
      <c r="E32" s="47"/>
    </row>
    <row r="33" spans="2:5" x14ac:dyDescent="0.2">
      <c r="B33" s="48" t="s">
        <v>15</v>
      </c>
      <c r="C33" s="46"/>
      <c r="D33" s="46"/>
      <c r="E33" s="47"/>
    </row>
    <row r="34" spans="2:5" ht="39" customHeight="1" x14ac:dyDescent="0.2">
      <c r="B34" s="48"/>
      <c r="C34" s="82" t="s">
        <v>87</v>
      </c>
      <c r="D34" s="82"/>
      <c r="E34" s="83"/>
    </row>
    <row r="35" spans="2:5" x14ac:dyDescent="0.2">
      <c r="B35" s="48" t="s">
        <v>16</v>
      </c>
      <c r="C35" s="46"/>
      <c r="D35" s="46"/>
      <c r="E35" s="47"/>
    </row>
    <row r="36" spans="2:5" x14ac:dyDescent="0.2">
      <c r="B36" s="49"/>
      <c r="C36" s="84" t="s">
        <v>75</v>
      </c>
      <c r="D36" s="84"/>
      <c r="E36" s="84"/>
    </row>
    <row r="37" spans="2:5" x14ac:dyDescent="0.2">
      <c r="B37" s="49"/>
      <c r="C37" s="86"/>
      <c r="D37" s="86"/>
      <c r="E37" s="85"/>
    </row>
    <row r="38" spans="2:5" x14ac:dyDescent="0.2">
      <c r="B38" s="48" t="s">
        <v>17</v>
      </c>
      <c r="C38" s="46"/>
      <c r="D38" s="46"/>
      <c r="E38" s="47"/>
    </row>
    <row r="39" spans="2:5" x14ac:dyDescent="0.2">
      <c r="B39" s="49"/>
      <c r="C39" s="87"/>
      <c r="D39" s="87"/>
      <c r="E39" s="87"/>
    </row>
    <row r="40" spans="2:5" x14ac:dyDescent="0.2">
      <c r="B40" s="48" t="s">
        <v>18</v>
      </c>
      <c r="C40" s="50"/>
      <c r="D40" s="50"/>
      <c r="E40" s="51"/>
    </row>
    <row r="41" spans="2:5" x14ac:dyDescent="0.2">
      <c r="B41" s="49"/>
      <c r="C41" s="88" t="s">
        <v>60</v>
      </c>
      <c r="D41" s="88"/>
      <c r="E41" s="88"/>
    </row>
    <row r="42" spans="2:5" x14ac:dyDescent="0.2">
      <c r="B42" s="48" t="s">
        <v>19</v>
      </c>
      <c r="C42" s="46"/>
      <c r="D42" s="46"/>
      <c r="E42" s="47"/>
    </row>
    <row r="43" spans="2:5" x14ac:dyDescent="0.2">
      <c r="B43" s="48"/>
      <c r="C43" s="89"/>
      <c r="D43" s="89"/>
      <c r="E43" s="89"/>
    </row>
    <row r="44" spans="2:5" x14ac:dyDescent="0.2">
      <c r="B44" s="52"/>
      <c r="C44" s="53"/>
      <c r="D44" s="53"/>
      <c r="E44" s="54"/>
    </row>
    <row r="45" spans="2:5" ht="13.5" thickBot="1" x14ac:dyDescent="0.25"/>
    <row r="46" spans="2:5" x14ac:dyDescent="0.2">
      <c r="B46" s="42" t="s">
        <v>73</v>
      </c>
      <c r="C46" s="43"/>
      <c r="D46" s="43"/>
      <c r="E46" s="44"/>
    </row>
    <row r="47" spans="2:5" ht="5.25" customHeight="1" x14ac:dyDescent="0.2">
      <c r="B47" s="45"/>
      <c r="C47" s="46"/>
      <c r="D47" s="46"/>
      <c r="E47" s="47"/>
    </row>
    <row r="48" spans="2:5" x14ac:dyDescent="0.2">
      <c r="B48" s="48" t="s">
        <v>15</v>
      </c>
      <c r="C48" s="46"/>
      <c r="D48" s="46"/>
      <c r="E48" s="47"/>
    </row>
    <row r="49" spans="2:5" ht="41.25" customHeight="1" x14ac:dyDescent="0.2">
      <c r="B49" s="48"/>
      <c r="C49" s="82" t="s">
        <v>86</v>
      </c>
      <c r="D49" s="82"/>
      <c r="E49" s="83"/>
    </row>
    <row r="50" spans="2:5" x14ac:dyDescent="0.2">
      <c r="B50" s="48" t="s">
        <v>16</v>
      </c>
      <c r="C50" s="46"/>
      <c r="D50" s="46"/>
      <c r="E50" s="47"/>
    </row>
    <row r="51" spans="2:5" x14ac:dyDescent="0.2">
      <c r="B51" s="49"/>
      <c r="C51" s="84" t="s">
        <v>75</v>
      </c>
      <c r="D51" s="84"/>
      <c r="E51" s="84"/>
    </row>
    <row r="52" spans="2:5" x14ac:dyDescent="0.2">
      <c r="B52" s="49"/>
      <c r="C52" s="85"/>
      <c r="D52" s="85"/>
      <c r="E52" s="85"/>
    </row>
    <row r="53" spans="2:5" x14ac:dyDescent="0.2">
      <c r="B53" s="48" t="s">
        <v>17</v>
      </c>
      <c r="C53" s="46"/>
      <c r="D53" s="46"/>
      <c r="E53" s="47"/>
    </row>
    <row r="54" spans="2:5" ht="26.25" customHeight="1" x14ac:dyDescent="0.2">
      <c r="B54" s="49"/>
      <c r="C54" s="87"/>
      <c r="D54" s="87"/>
      <c r="E54" s="87"/>
    </row>
    <row r="55" spans="2:5" x14ac:dyDescent="0.2">
      <c r="B55" s="48" t="s">
        <v>18</v>
      </c>
      <c r="C55" s="50"/>
      <c r="D55" s="50"/>
      <c r="E55" s="51"/>
    </row>
    <row r="56" spans="2:5" ht="26.25" customHeight="1" x14ac:dyDescent="0.2">
      <c r="B56" s="49"/>
      <c r="C56" s="88" t="s">
        <v>60</v>
      </c>
      <c r="D56" s="88"/>
      <c r="E56" s="88"/>
    </row>
    <row r="57" spans="2:5" x14ac:dyDescent="0.2">
      <c r="B57" s="48" t="s">
        <v>19</v>
      </c>
      <c r="C57" s="46"/>
      <c r="D57" s="46"/>
      <c r="E57" s="47"/>
    </row>
    <row r="58" spans="2:5" ht="23.25" customHeight="1" x14ac:dyDescent="0.2">
      <c r="B58" s="48"/>
      <c r="C58" s="89"/>
      <c r="D58" s="89"/>
      <c r="E58" s="89"/>
    </row>
    <row r="59" spans="2:5" ht="13.5" thickBot="1" x14ac:dyDescent="0.25">
      <c r="B59" s="52"/>
      <c r="C59" s="53"/>
      <c r="D59" s="53"/>
      <c r="E59" s="54"/>
    </row>
    <row r="60" spans="2:5" ht="13.5" thickBot="1" x14ac:dyDescent="0.25"/>
    <row r="61" spans="2:5" x14ac:dyDescent="0.2">
      <c r="B61" s="42" t="s">
        <v>74</v>
      </c>
      <c r="C61" s="43"/>
      <c r="D61" s="43"/>
      <c r="E61" s="44"/>
    </row>
    <row r="62" spans="2:5" ht="7.5" customHeight="1" x14ac:dyDescent="0.2">
      <c r="B62" s="45"/>
      <c r="C62" s="46"/>
      <c r="D62" s="46"/>
      <c r="E62" s="47"/>
    </row>
    <row r="63" spans="2:5" x14ac:dyDescent="0.2">
      <c r="B63" s="48" t="s">
        <v>15</v>
      </c>
      <c r="C63" s="46"/>
      <c r="D63" s="46"/>
      <c r="E63" s="47"/>
    </row>
    <row r="64" spans="2:5" ht="39" customHeight="1" x14ac:dyDescent="0.2">
      <c r="B64" s="48"/>
      <c r="C64" s="82" t="s">
        <v>83</v>
      </c>
      <c r="D64" s="82"/>
      <c r="E64" s="83"/>
    </row>
    <row r="65" spans="2:5" x14ac:dyDescent="0.2">
      <c r="B65" s="48" t="s">
        <v>16</v>
      </c>
      <c r="C65" s="46"/>
      <c r="D65" s="46"/>
      <c r="E65" s="47"/>
    </row>
    <row r="66" spans="2:5" x14ac:dyDescent="0.2">
      <c r="B66" s="49"/>
      <c r="C66" s="84" t="s">
        <v>75</v>
      </c>
      <c r="D66" s="84"/>
      <c r="E66" s="84"/>
    </row>
    <row r="67" spans="2:5" x14ac:dyDescent="0.2">
      <c r="B67" s="49"/>
      <c r="C67" s="85"/>
      <c r="D67" s="85"/>
      <c r="E67" s="85"/>
    </row>
    <row r="68" spans="2:5" x14ac:dyDescent="0.2">
      <c r="B68" s="48" t="s">
        <v>17</v>
      </c>
      <c r="C68" s="46"/>
      <c r="D68" s="46"/>
      <c r="E68" s="47"/>
    </row>
    <row r="69" spans="2:5" x14ac:dyDescent="0.2">
      <c r="B69" s="49"/>
      <c r="C69" s="87"/>
      <c r="D69" s="87"/>
      <c r="E69" s="87"/>
    </row>
    <row r="70" spans="2:5" x14ac:dyDescent="0.2">
      <c r="B70" s="48" t="s">
        <v>18</v>
      </c>
      <c r="C70" s="50"/>
      <c r="D70" s="50"/>
      <c r="E70" s="51"/>
    </row>
    <row r="71" spans="2:5" x14ac:dyDescent="0.2">
      <c r="B71" s="49"/>
      <c r="C71" s="88" t="s">
        <v>60</v>
      </c>
      <c r="D71" s="88"/>
      <c r="E71" s="88"/>
    </row>
    <row r="72" spans="2:5" x14ac:dyDescent="0.2">
      <c r="B72" s="48" t="s">
        <v>19</v>
      </c>
      <c r="C72" s="46"/>
      <c r="D72" s="46"/>
      <c r="E72" s="47"/>
    </row>
    <row r="73" spans="2:5" x14ac:dyDescent="0.2">
      <c r="B73" s="48"/>
      <c r="C73" s="89"/>
      <c r="D73" s="89"/>
      <c r="E73" s="89"/>
    </row>
    <row r="74" spans="2:5" ht="13.5" thickBot="1" x14ac:dyDescent="0.25">
      <c r="B74" s="52"/>
      <c r="C74" s="53"/>
      <c r="D74" s="53"/>
      <c r="E74" s="54"/>
    </row>
  </sheetData>
  <mergeCells count="31">
    <mergeCell ref="C71:E71"/>
    <mergeCell ref="C73:E73"/>
    <mergeCell ref="C58:E58"/>
    <mergeCell ref="C64:E64"/>
    <mergeCell ref="C66:E66"/>
    <mergeCell ref="C67:E67"/>
    <mergeCell ref="C69:E69"/>
    <mergeCell ref="C49:E49"/>
    <mergeCell ref="C51:E51"/>
    <mergeCell ref="C52:E52"/>
    <mergeCell ref="C54:E54"/>
    <mergeCell ref="C56:E56"/>
    <mergeCell ref="C37:E37"/>
    <mergeCell ref="C39:E39"/>
    <mergeCell ref="C41:E41"/>
    <mergeCell ref="C43:E43"/>
    <mergeCell ref="C24:E24"/>
    <mergeCell ref="C26:E26"/>
    <mergeCell ref="C28:E28"/>
    <mergeCell ref="C34:E34"/>
    <mergeCell ref="C36:E36"/>
    <mergeCell ref="A6:B6"/>
    <mergeCell ref="A7:B7"/>
    <mergeCell ref="C19:E19"/>
    <mergeCell ref="C21:E21"/>
    <mergeCell ref="C22:E22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tabSelected="1" zoomScale="70" zoomScaleNormal="70" workbookViewId="0">
      <selection activeCell="P14" sqref="P1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90" t="s">
        <v>21</v>
      </c>
      <c r="B1" s="90"/>
      <c r="C1" s="90"/>
      <c r="D1" s="90"/>
      <c r="E1" s="90"/>
      <c r="F1" s="90"/>
      <c r="G1" s="90"/>
      <c r="H1" s="90"/>
      <c r="I1" s="90"/>
      <c r="J1" s="3" t="s">
        <v>22</v>
      </c>
      <c r="K1" s="65" t="s">
        <v>80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91" t="s">
        <v>55</v>
      </c>
      <c r="B3" s="91"/>
      <c r="C3" s="91"/>
      <c r="D3" s="92" t="str">
        <f>'Necesidades Trimestrales'!C4</f>
        <v>40 - Ministerio de Salud</v>
      </c>
      <c r="E3" s="92"/>
      <c r="F3" s="92"/>
      <c r="G3" s="92"/>
      <c r="H3" s="92"/>
      <c r="I3" s="92"/>
      <c r="J3" s="92"/>
      <c r="K3" s="92"/>
    </row>
    <row r="4" spans="1:1024" ht="18.75" customHeight="1" thickBot="1" x14ac:dyDescent="0.25">
      <c r="A4" s="93" t="s">
        <v>56</v>
      </c>
      <c r="B4" s="93"/>
      <c r="C4" s="93"/>
      <c r="D4" s="92" t="str">
        <f>'Necesidades Trimestrales'!C5</f>
        <v>23 - Hospital Interzonal San Juan Bautista</v>
      </c>
      <c r="E4" s="92"/>
      <c r="F4" s="92"/>
      <c r="G4" s="92"/>
      <c r="H4" s="92"/>
      <c r="I4" s="92"/>
      <c r="J4" s="92"/>
      <c r="K4" s="92"/>
    </row>
    <row r="5" spans="1:1024" ht="18.75" customHeight="1" thickBot="1" x14ac:dyDescent="0.25">
      <c r="A5" s="93" t="s">
        <v>34</v>
      </c>
      <c r="B5" s="93"/>
      <c r="C5" s="93"/>
      <c r="D5" s="92" t="s">
        <v>79</v>
      </c>
      <c r="E5" s="92"/>
      <c r="F5" s="92"/>
      <c r="G5" s="92"/>
      <c r="H5" s="92"/>
      <c r="I5" s="92"/>
      <c r="J5" s="92"/>
      <c r="K5" s="92"/>
    </row>
    <row r="6" spans="1:1024" ht="16.5" customHeight="1" thickBot="1" x14ac:dyDescent="0.25">
      <c r="A6" s="91" t="s">
        <v>57</v>
      </c>
      <c r="B6" s="91"/>
      <c r="C6" s="91"/>
      <c r="D6" s="92" t="s">
        <v>78</v>
      </c>
      <c r="E6" s="92"/>
      <c r="F6" s="92"/>
      <c r="G6" s="92"/>
      <c r="H6" s="92"/>
      <c r="I6" s="92"/>
      <c r="J6" s="92"/>
      <c r="K6" s="92"/>
    </row>
    <row r="7" spans="1:1024" ht="16.5" customHeight="1" x14ac:dyDescent="0.2">
      <c r="A7" s="93" t="s">
        <v>23</v>
      </c>
      <c r="B7" s="93"/>
      <c r="C7" s="93"/>
      <c r="D7" s="92" t="str">
        <f>'Necesidades Trimestrales'!C7 &amp; "° Trimestre - Año " &amp; 'Necesidades Trimestrales'!C6</f>
        <v>2° Trimestre - Año 2022</v>
      </c>
      <c r="E7" s="92"/>
      <c r="F7" s="92"/>
      <c r="G7" s="92"/>
      <c r="H7" s="92"/>
      <c r="I7" s="92"/>
      <c r="J7" s="92"/>
      <c r="K7" s="92"/>
    </row>
    <row r="8" spans="1:1024" ht="16.5" customHeight="1" x14ac:dyDescent="0.2">
      <c r="A8" s="95" t="s">
        <v>24</v>
      </c>
      <c r="B8" s="95"/>
      <c r="C8" s="95"/>
      <c r="D8" s="96" t="s">
        <v>77</v>
      </c>
      <c r="E8" s="96"/>
      <c r="F8" s="96"/>
      <c r="G8" s="96"/>
      <c r="H8" s="96"/>
      <c r="I8" s="96"/>
      <c r="J8" s="96"/>
      <c r="K8" s="96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97" t="s">
        <v>25</v>
      </c>
      <c r="B10" s="98" t="s">
        <v>26</v>
      </c>
      <c r="C10" s="98" t="s">
        <v>27</v>
      </c>
      <c r="D10" s="98"/>
      <c r="E10" s="98"/>
      <c r="F10" s="98"/>
      <c r="G10" s="98"/>
      <c r="H10" s="98" t="s">
        <v>28</v>
      </c>
      <c r="I10" s="98" t="s">
        <v>29</v>
      </c>
      <c r="J10" s="98" t="s">
        <v>30</v>
      </c>
      <c r="K10" s="99" t="s">
        <v>31</v>
      </c>
    </row>
    <row r="11" spans="1:1024" ht="24" customHeight="1" thickBot="1" x14ac:dyDescent="0.25">
      <c r="A11" s="97"/>
      <c r="B11" s="98"/>
      <c r="C11" s="98"/>
      <c r="D11" s="98"/>
      <c r="E11" s="98"/>
      <c r="F11" s="98"/>
      <c r="G11" s="98"/>
      <c r="H11" s="98"/>
      <c r="I11" s="98"/>
      <c r="J11" s="98"/>
      <c r="K11" s="99"/>
    </row>
    <row r="12" spans="1:1024" ht="45.6" customHeight="1" thickBot="1" x14ac:dyDescent="0.25">
      <c r="A12" s="8">
        <v>1</v>
      </c>
      <c r="B12" s="66" t="str">
        <f>'Necesidades Trimestrales'!B10</f>
        <v>2.9.6-7788.10</v>
      </c>
      <c r="C12" s="100" t="str">
        <f>'Necesidades Trimestrales'!E10</f>
        <v>REP. Y ACC. P/TOMOGRAFOS; REPUESTO: DISCO RIGIDO IDD, MARCA EQUIPO: TOSHIBA, MODELO EQUIPO: AQUILION 64</v>
      </c>
      <c r="D12" s="100"/>
      <c r="E12" s="100"/>
      <c r="F12" s="100"/>
      <c r="G12" s="100"/>
      <c r="H12" s="67" t="s">
        <v>76</v>
      </c>
      <c r="I12" s="68" t="str">
        <f>'Necesidades Trimestrales'!F10</f>
        <v>UNIDAD</v>
      </c>
      <c r="J12" s="69">
        <f>'Necesidades Trimestrales'!H10</f>
        <v>905000</v>
      </c>
      <c r="K12" s="70">
        <f>'Necesidades Trimestrales'!G10</f>
        <v>1</v>
      </c>
    </row>
    <row r="13" spans="1:1024" ht="45.6" customHeight="1" thickBot="1" x14ac:dyDescent="0.25">
      <c r="A13" s="8">
        <v>2</v>
      </c>
      <c r="B13" s="66" t="str">
        <f>'Necesidades Trimestrales'!B11</f>
        <v>2.9.6-7788.11</v>
      </c>
      <c r="C13" s="100" t="str">
        <f>'Necesidades Trimestrales'!E11</f>
        <v>REP. Y ACC. P/TOMOGRAFOS; REPUESTO: DISCO RIGIDO RDD, MARCA EQUIPO: TOSHIBA, MODELO EQUIPO: AQUILION 64</v>
      </c>
      <c r="D13" s="100"/>
      <c r="E13" s="100"/>
      <c r="F13" s="100"/>
      <c r="G13" s="100"/>
      <c r="H13" s="67" t="s">
        <v>76</v>
      </c>
      <c r="I13" s="68" t="str">
        <f>'Necesidades Trimestrales'!F11</f>
        <v>UNIDAD</v>
      </c>
      <c r="J13" s="69">
        <f>'Necesidades Trimestrales'!H11</f>
        <v>382000</v>
      </c>
      <c r="K13" s="70">
        <f>'Necesidades Trimestrales'!G11</f>
        <v>1</v>
      </c>
    </row>
    <row r="14" spans="1:1024" ht="45.6" customHeight="1" thickBot="1" x14ac:dyDescent="0.25">
      <c r="A14" s="8">
        <v>3</v>
      </c>
      <c r="B14" s="66" t="str">
        <f>'Necesidades Trimestrales'!B12</f>
        <v>2.9.6-7788.12</v>
      </c>
      <c r="C14" s="100" t="str">
        <f>'Necesidades Trimestrales'!E12</f>
        <v>REP. Y ACC. P/TOMOGRAFOS; REPUESTO: INTERCAMBIADOR DE CALOR, MARCA EQUIPO: TOSHIBA, MODELO EQUIPO: AQUILION 64</v>
      </c>
      <c r="D14" s="100"/>
      <c r="E14" s="100"/>
      <c r="F14" s="100"/>
      <c r="G14" s="100"/>
      <c r="H14" s="67" t="s">
        <v>76</v>
      </c>
      <c r="I14" s="68" t="str">
        <f>'Necesidades Trimestrales'!F12</f>
        <v>UNIDAD</v>
      </c>
      <c r="J14" s="69">
        <f>'Necesidades Trimestrales'!H12</f>
        <v>2820000</v>
      </c>
      <c r="K14" s="70">
        <f>'Necesidades Trimestrales'!G12</f>
        <v>1</v>
      </c>
    </row>
    <row r="15" spans="1:1024" ht="45.6" customHeight="1" thickBot="1" x14ac:dyDescent="0.25">
      <c r="A15" s="8">
        <v>4</v>
      </c>
      <c r="B15" s="66" t="str">
        <f>'Necesidades Trimestrales'!B13</f>
        <v>2.9.6-7788.7</v>
      </c>
      <c r="C15" s="100" t="str">
        <f>'Necesidades Trimestrales'!E13</f>
        <v>REP. Y ACC. P/TOMOGRAFOS; REPUESTO: TUBO DE RAYOS X, MARCA EQUIPO: TOSHIBA, MODELO EQUIPO: AQUILION 64</v>
      </c>
      <c r="D15" s="100"/>
      <c r="E15" s="100"/>
      <c r="F15" s="100"/>
      <c r="G15" s="100"/>
      <c r="H15" s="67" t="s">
        <v>76</v>
      </c>
      <c r="I15" s="68" t="str">
        <f>'Necesidades Trimestrales'!F13</f>
        <v>UNIDAD</v>
      </c>
      <c r="J15" s="69">
        <f>'Necesidades Trimestrales'!H13</f>
        <v>15000000</v>
      </c>
      <c r="K15" s="70">
        <f>'Necesidades Trimestrales'!G13</f>
        <v>1</v>
      </c>
    </row>
    <row r="16" spans="1:1024" ht="20.25" customHeight="1" thickBot="1" x14ac:dyDescent="0.25">
      <c r="A16" s="101" t="s">
        <v>85</v>
      </c>
      <c r="B16" s="101"/>
      <c r="C16" s="101"/>
      <c r="D16" s="101"/>
      <c r="E16" s="101"/>
      <c r="F16" s="101"/>
      <c r="G16" s="101"/>
      <c r="H16" s="101"/>
      <c r="I16" s="101"/>
      <c r="J16" s="94">
        <f>SUMPRODUCT(J12:J15,K12:K15)</f>
        <v>19107000</v>
      </c>
      <c r="K16" s="94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</sheetData>
  <mergeCells count="26">
    <mergeCell ref="J16:K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A16:I1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130" zoomScaleNormal="130" workbookViewId="0">
      <selection activeCell="Q16" sqref="Q16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2" t="s">
        <v>3</v>
      </c>
      <c r="B1" s="102"/>
      <c r="C1" s="102"/>
      <c r="D1" s="103">
        <f>'Necesidades Trimestrales'!C6</f>
        <v>2022</v>
      </c>
      <c r="E1" s="103"/>
      <c r="F1" s="10"/>
      <c r="G1" s="10"/>
      <c r="H1" s="11"/>
      <c r="I1" s="11"/>
      <c r="J1" s="11"/>
      <c r="K1" s="11"/>
      <c r="L1" s="11"/>
      <c r="M1" s="11"/>
      <c r="N1" s="11"/>
      <c r="P1" s="104" t="s">
        <v>32</v>
      </c>
      <c r="Q1" s="104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4"/>
      <c r="Q2" s="104"/>
    </row>
    <row r="4" spans="1:17" s="12" customFormat="1" ht="18" customHeight="1" thickBot="1" x14ac:dyDescent="0.25">
      <c r="A4" s="105" t="s">
        <v>33</v>
      </c>
      <c r="B4" s="105"/>
      <c r="C4" s="105"/>
      <c r="D4" s="105"/>
      <c r="E4" s="105"/>
      <c r="F4" s="105"/>
      <c r="G4" s="106" t="str">
        <f>NotaPedido!D3</f>
        <v>40 - Ministerio de Salud</v>
      </c>
      <c r="H4" s="106"/>
      <c r="I4" s="106"/>
      <c r="J4" s="106"/>
      <c r="K4" s="106"/>
      <c r="L4" s="106"/>
      <c r="M4" s="106"/>
      <c r="N4" s="106"/>
      <c r="O4" s="106"/>
      <c r="P4" s="106"/>
      <c r="Q4" s="106"/>
    </row>
    <row r="5" spans="1:17" s="12" customFormat="1" ht="18" customHeight="1" thickBot="1" x14ac:dyDescent="0.25">
      <c r="A5" s="107" t="s">
        <v>56</v>
      </c>
      <c r="B5" s="108"/>
      <c r="C5" s="108"/>
      <c r="D5" s="108"/>
      <c r="E5" s="108"/>
      <c r="F5" s="109"/>
      <c r="G5" s="106" t="str">
        <f>NotaPedido!D4</f>
        <v>23 - Hospital Interzonal San Juan Bautista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</row>
    <row r="6" spans="1:17" s="12" customFormat="1" ht="18" customHeight="1" thickBot="1" x14ac:dyDescent="0.25">
      <c r="A6" s="107" t="s">
        <v>34</v>
      </c>
      <c r="B6" s="108"/>
      <c r="C6" s="108"/>
      <c r="D6" s="108"/>
      <c r="E6" s="108"/>
      <c r="F6" s="109"/>
      <c r="G6" s="106" t="str">
        <f>NotaPedido!D5</f>
        <v>237 - Direccion de Mantenimiento</v>
      </c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7" spans="1:17" s="12" customFormat="1" ht="18" customHeight="1" thickBot="1" x14ac:dyDescent="0.25">
      <c r="A7" s="107" t="s">
        <v>57</v>
      </c>
      <c r="B7" s="108"/>
      <c r="C7" s="108"/>
      <c r="D7" s="108"/>
      <c r="E7" s="108"/>
      <c r="F7" s="109"/>
      <c r="G7" s="106" t="str">
        <f>NotaPedido!D6</f>
        <v>Departamento Electromedicina</v>
      </c>
      <c r="H7" s="106"/>
      <c r="I7" s="106"/>
      <c r="J7" s="106"/>
      <c r="K7" s="106"/>
      <c r="L7" s="106"/>
      <c r="M7" s="106"/>
      <c r="N7" s="106"/>
      <c r="O7" s="106"/>
      <c r="P7" s="106"/>
      <c r="Q7" s="106"/>
    </row>
    <row r="8" spans="1:17" ht="18" customHeight="1" thickBot="1" x14ac:dyDescent="0.25">
      <c r="A8" s="110" t="s">
        <v>35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</row>
    <row r="9" spans="1:17" ht="18" customHeight="1" x14ac:dyDescent="0.2">
      <c r="A9" s="111" t="s">
        <v>36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"/>
      <c r="P9" s="1"/>
      <c r="Q9" s="13"/>
    </row>
    <row r="10" spans="1:17" ht="54.75" customHeight="1" x14ac:dyDescent="0.2">
      <c r="A10" s="11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036/2022,  afectando la erogación resultante a los créditos presupuestarios aprobados a favor de esta Unidad Ejecutora, conforme al siguiente detalle: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3" t="s">
        <v>37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</row>
    <row r="13" spans="1:17" ht="15.75" customHeight="1" x14ac:dyDescent="0.2">
      <c r="A13" s="114" t="s">
        <v>38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5" t="s">
        <v>39</v>
      </c>
      <c r="P13" s="115"/>
      <c r="Q13" s="116" t="s">
        <v>40</v>
      </c>
    </row>
    <row r="14" spans="1:17" ht="15.75" customHeight="1" x14ac:dyDescent="0.2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15"/>
      <c r="P14" s="115"/>
      <c r="Q14" s="116"/>
    </row>
    <row r="15" spans="1:17" ht="17.25" customHeight="1" x14ac:dyDescent="0.2">
      <c r="A15" s="73">
        <v>33</v>
      </c>
      <c r="B15" s="74"/>
      <c r="C15" s="74"/>
      <c r="D15" s="74">
        <v>4</v>
      </c>
      <c r="E15" s="74"/>
      <c r="F15" s="74">
        <v>4901</v>
      </c>
      <c r="G15" s="74">
        <v>3</v>
      </c>
      <c r="H15" s="75" t="s">
        <v>61</v>
      </c>
      <c r="I15" s="76">
        <v>2</v>
      </c>
      <c r="J15" s="76">
        <v>9</v>
      </c>
      <c r="K15" s="76">
        <v>6</v>
      </c>
      <c r="L15" s="74"/>
      <c r="M15" s="77">
        <v>1</v>
      </c>
      <c r="N15" s="75" t="s">
        <v>62</v>
      </c>
      <c r="O15" s="117" t="s">
        <v>82</v>
      </c>
      <c r="P15" s="117"/>
      <c r="Q15" s="23">
        <v>19107000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18"/>
      <c r="P16" s="118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18"/>
      <c r="P17" s="118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19"/>
      <c r="P18" s="120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0"/>
      <c r="P19" s="120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0"/>
      <c r="P20" s="120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6"/>
      <c r="P21" s="126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7"/>
      <c r="P22" s="127"/>
      <c r="Q22" s="37"/>
    </row>
    <row r="23" spans="1:19" ht="20.25" customHeight="1" x14ac:dyDescent="0.2">
      <c r="A23" s="128" t="s">
        <v>81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38">
        <f>SUM(Q15:Q22)</f>
        <v>19107000</v>
      </c>
    </row>
    <row r="24" spans="1:19" ht="18" customHeight="1" thickBot="1" x14ac:dyDescent="0.25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</row>
    <row r="25" spans="1:19" ht="17.25" customHeight="1" thickBot="1" x14ac:dyDescent="0.25">
      <c r="A25" s="121" t="s">
        <v>54</v>
      </c>
      <c r="B25" s="122"/>
      <c r="C25" s="122"/>
      <c r="D25" s="122"/>
      <c r="E25" s="122"/>
      <c r="F25" s="123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</row>
    <row r="26" spans="1:19" ht="18" customHeight="1" thickBot="1" x14ac:dyDescent="0.25">
      <c r="A26" s="125" t="str">
        <f>"Para la "&amp; NotaPedido!D8 &amp;" para ser destinados al " &amp; NotaPedido!D6 &amp;"  del HISJB del Ministerio de Salud."</f>
        <v>Para la Adquisición de Repuestos para Tomografo para ser destinados al Departamento Electromedicina  del HISJB del Ministerio de Salud.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</row>
    <row r="27" spans="1:19" ht="15" customHeight="1" x14ac:dyDescent="0.2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4" right="0.23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2022-03-11T14:50:03Z</cp:lastPrinted>
  <dcterms:created xsi:type="dcterms:W3CDTF">2020-07-17T23:44:49Z</dcterms:created>
  <dcterms:modified xsi:type="dcterms:W3CDTF">2022-04-27T10:42:16Z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