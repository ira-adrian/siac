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/>
  <bookViews>
    <workbookView xWindow="390" yWindow="510" windowWidth="19815" windowHeight="8895" activeTab="2"/>
  </bookViews>
  <sheets>
    <sheet name="Necesidades Trimestrales" sheetId="1" r:id="rId1"/>
    <sheet name="Nota Pedido HNEP" sheetId="2" r:id="rId2"/>
    <sheet name="APG HNEP" sheetId="3" r:id="rId3"/>
  </sheets>
  <definedNames>
    <definedName name="_xlnm._FilterDatabase" localSheetId="0" hidden="1">'Necesidades Trimestrales'!$A$9:$I$24</definedName>
    <definedName name="_xlnm.Print_Area" localSheetId="2">'APG HNEP'!$A$1:$Q$26</definedName>
    <definedName name="_xlnm.Print_Area" localSheetId="1">'Nota Pedido HNEP'!$A$1:$G$36</definedName>
  </definedNames>
  <calcPr calcId="145621"/>
</workbook>
</file>

<file path=xl/calcChain.xml><?xml version="1.0" encoding="utf-8"?>
<calcChain xmlns="http://schemas.openxmlformats.org/spreadsheetml/2006/main">
  <c r="Q20" i="3" l="1"/>
  <c r="F29" i="2"/>
  <c r="I24" i="1"/>
</calcChain>
</file>

<file path=xl/sharedStrings.xml><?xml version="1.0" encoding="utf-8"?>
<sst xmlns="http://schemas.openxmlformats.org/spreadsheetml/2006/main" count="218" uniqueCount="115">
  <si>
    <t>Pedido de Necesidades Trimestrales</t>
  </si>
  <si>
    <t>JURISDICCION:</t>
  </si>
  <si>
    <t>40 - MINISTERIO DE SALUD</t>
  </si>
  <si>
    <t xml:space="preserve">SAF N°: </t>
  </si>
  <si>
    <t>24 - Direccion de Administracion del Hospital Interzonal De Niños de Eva Peron</t>
  </si>
  <si>
    <t>EJERCICIO:</t>
  </si>
  <si>
    <t>TRIMESTRE:</t>
  </si>
  <si>
    <t>4° TRIMESTRE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</si>
  <si>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</si>
  <si>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</si>
  <si>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</si>
  <si>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</si>
  <si>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</si>
  <si>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</si>
  <si>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</si>
  <si>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</si>
  <si>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</si>
  <si>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PROD. MEDICO/FARMACEUTICOS/LAB</t>
  </si>
  <si>
    <t>2.5.2</t>
  </si>
  <si>
    <t>AMPOLLA</t>
  </si>
  <si>
    <t>2.5.2-4817.30</t>
  </si>
  <si>
    <t>ANTIHIPERTENSIVOS; TIPO: MONODROGA, DROGA GENERICA: CLONIDINA, FORMA FARMACEUTICA: AMPOLLA, PRESENTACION: 0,15 MGR</t>
  </si>
  <si>
    <t>2.9.5-2204.25</t>
  </si>
  <si>
    <t>2.9.5</t>
  </si>
  <si>
    <t>GUIAS DE SUERO; USO: ADMINISTRACION DE SOLUCIONES; AGUJA: CON; MODELO: V13; TIPO: FOTOSENSIBLE; MACROGOTERO CON CONEXION ROLLER LUER SLIP</t>
  </si>
  <si>
    <t>UNIDAD</t>
  </si>
  <si>
    <t>2.9.5-2204.51</t>
  </si>
  <si>
    <t>GUIAS DE SUERO; USO: ADMINISTRACION DE SOLUCIONES; AGUJA: CON; MODELO: V17; TIPO: FOTOSENSIBLE; MICROGOTERO CON CONEXION ROLLER LUER SLIP</t>
  </si>
  <si>
    <t>2.5.2-1865.2</t>
  </si>
  <si>
    <t>ANTIEPILEPTICOS; TIPO: MONODROGA, FORMA FARMACEUTICA: AMPOLLA, PRESENTACION: 200 MGR, DROGA GENERICA: FENOBARBITAL</t>
  </si>
  <si>
    <t>2.5.2-1872.27</t>
  </si>
  <si>
    <t>ANTIANEMICOS; TIPO: MONODROGA, DROGA GENERICA: ERITROPOYETINA HUMANA, FORMA FARMACEUTICA: FRASCO AMPOLLA 4000UI, PRESENTACION: UNIDAD</t>
  </si>
  <si>
    <t>2.9.5-6379.1</t>
  </si>
  <si>
    <t>CLAVIJAS DE CIRUGIA; TIPO: KIRSCHNER, MATERIAL: ACERO INOXIDABLE, DIAMETRO: 0,5 MM, PRESENTACION: UNIDAD</t>
  </si>
  <si>
    <t>2.9.5-6379.2</t>
  </si>
  <si>
    <t>CLAVIJAS DE CIRUGIA; TIPO: KIRSCHNER, MATERIAL: ACERO INOXIDABLE, DIAMETRO: 1 MM, PRESENTACION: UNIDAD</t>
  </si>
  <si>
    <t>2.9.5-6379.3</t>
  </si>
  <si>
    <t>CLAVIJAS DE CIRUGIA; TIPO: KIRSCHNER, MATERIAL: ACERO INOXIDABLE, DIAMETRO: 1,5 MM, PRESENTACION: UNIDAD</t>
  </si>
  <si>
    <t>2.9.5-441.475</t>
  </si>
  <si>
    <t>AGUJAS QUIRURGICAS; TIPO: PUNCION Y ASP. DE MEDULA OSEA, ESPECIFICACION: 18G, PRESENTACION: POR UNIDAD</t>
  </si>
  <si>
    <t>2.9.5-441.476</t>
  </si>
  <si>
    <t>AGUJAS QUIRURGICAS; TIPO: PUNCION Y ASP. DE MEDULA OSEA, ESPECIFICACION: 16G, PRESENTACION: POR UNIDAD</t>
  </si>
  <si>
    <t>2.5.2-8078.68</t>
  </si>
  <si>
    <t>QUIMICOS</t>
  </si>
  <si>
    <t>EXCIPIENTES; TIPO: MONODROGA, PRESENTACION: ENVASE X 1 KG, COMPUESTO: CARBON ACTIVADO, CONCENTRACION/PUREZA: 100 %</t>
  </si>
  <si>
    <t>2.5.2-7267.5</t>
  </si>
  <si>
    <t>PASTAS P/ELECTROENCEFALOGRAMA; PRESENTACION: 226 GR</t>
  </si>
  <si>
    <t>2.5.1-5771.13</t>
  </si>
  <si>
    <t>2.5.1</t>
  </si>
  <si>
    <t>ANTISEPTICOS P/ MATERIALES ; COMPUESTO QUIMICO: AC. CITRICO, ESTADO: SOLIDO, CALIDAD: BIOLOGIA MOLECULAR, CONCENTRACION/PUREZA: 99,99 %, PRESENTACION: ENVASE X 1 KG</t>
  </si>
  <si>
    <t>2.5.2-7267.6</t>
  </si>
  <si>
    <t>PASTAS P/ELECTROENCEFALOGRAMA; PRESENTACION: 400 GR</t>
  </si>
  <si>
    <t>Total</t>
  </si>
  <si>
    <t>Plazos y lugares de entrega:</t>
  </si>
  <si>
    <t>Calidad Minima esperada:</t>
  </si>
  <si>
    <t>Que cumpla con lo solicitado y condiciones de calidad, productos de muy buena calidad.-</t>
  </si>
  <si>
    <t>Mantenimiento:</t>
  </si>
  <si>
    <t>30 (treinta)  días habiles</t>
  </si>
  <si>
    <t>Forma de Pago:</t>
  </si>
  <si>
    <t>Dentro de los 30 días de efectuada la recepcion definitiva de los bienes solicitados.-</t>
  </si>
  <si>
    <t>NOTA DE PEDIDO</t>
  </si>
  <si>
    <t>N°</t>
  </si>
  <si>
    <t xml:space="preserve">JURISDICCIÓN: </t>
  </si>
  <si>
    <t>SAF:</t>
  </si>
  <si>
    <t>UNIDAD EJECUTORA:</t>
  </si>
  <si>
    <t>SAF 24 - HOSPITAL INTERZONAL DE NIÑOS EVA PERON</t>
  </si>
  <si>
    <t xml:space="preserve">DEPENDENCIA SOLICITANTE: </t>
  </si>
  <si>
    <t>PERIODO UTILIZACIÓN:</t>
  </si>
  <si>
    <t>4° TRIMESTRE - 2022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</si>
  <si>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</si>
  <si>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</si>
  <si>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</si>
  <si>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</si>
  <si>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</si>
  <si>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</si>
  <si>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</si>
  <si>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</si>
  <si>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NO</t>
  </si>
  <si>
    <t xml:space="preserve">Costo total estimado: </t>
  </si>
  <si>
    <t>DETALLE TECNICO</t>
  </si>
  <si>
    <t>AUTORIZACION PARA GASTAR</t>
  </si>
  <si>
    <t>JURISDICCIÓN:</t>
  </si>
  <si>
    <r>
      <rPr>
        <b/>
        <u/>
        <sz val="10"/>
        <color rgb="FF000000"/>
        <rFont val="Arial"/>
        <family val="2"/>
      </rPr>
      <t>AUTORIZACIÓN</t>
    </r>
    <r>
      <rPr>
        <b/>
        <sz val="10"/>
        <color rgb="FF000000"/>
        <rFont val="Arial"/>
        <family val="2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</si>
  <si>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</si>
  <si>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</si>
  <si>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</si>
  <si>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</si>
  <si>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</si>
  <si>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</si>
  <si>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</si>
  <si>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</si>
  <si>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</si>
  <si>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</si>
  <si>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</si>
  <si>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</si>
  <si>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</si>
  <si>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</si>
  <si>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</si>
  <si>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</si>
  <si>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</si>
  <si>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</si>
  <si>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COMPUESTOS QUÍMICOS</t>
  </si>
  <si>
    <t>PRODUCTOS FARMACÉUTICOS Y MEDICINALES</t>
  </si>
  <si>
    <t>ÚTILES MENORES MÉDICO, QUIRÚRGICO Y DE LABORATORIO</t>
  </si>
  <si>
    <t xml:space="preserve">TOTAL DE PESOS: </t>
  </si>
  <si>
    <t>JUSTIFICACIÓN:</t>
  </si>
  <si>
    <t>OBSERVACIONES:</t>
  </si>
  <si>
    <t>DESIERTOS Y FRACASADOS 3ER TRIM</t>
  </si>
  <si>
    <t>SERVICIO DE FARMACIA</t>
  </si>
  <si>
    <t>92 / 2022</t>
  </si>
  <si>
    <t xml:space="preserve"> Autorizo la realización de los  trámites correspondientes, a fin de proveer a  este Organismo los bienes y/o servicios que se detallan en Nota  de Pedido N° 92 / 2022,  afectando la erogación resultante a los créditos presupuestarios aprobados a favor de esta Unidad Ejecutora, conforme al siguiente detalle:</t>
  </si>
  <si>
    <t>SETECIENTOS OCHENTA Y NUEVE MIL DOSCIENTOS SETENTA Y CINCO CON 00/100</t>
  </si>
  <si>
    <r>
      <t xml:space="preserve">a) LUGAR DE ENTREGA:   --SERVICIO DE FARMACIA -HOSPITAL INT. DE NIÑOS EVA PERON – AV. VIRGEN DEL VALLE N° 1050-CATAMARCA DE 8:00 A 12:00H De 08 a 12 horas. 
</t>
    </r>
    <r>
      <rPr>
        <b/>
        <sz val="10"/>
        <color rgb="FF000000"/>
        <rFont val="Calibri"/>
        <family val="2"/>
      </rPr>
      <t>b)</t>
    </r>
    <r>
      <rPr>
        <sz val="10"/>
        <color rgb="FF000000"/>
        <rFont val="Calibri"/>
        <family val="2"/>
      </rPr>
      <t xml:space="preserve"> FORMA DE LA ENTREGA: Libre de flete, acarreo y embalaje, como así también, de todo riesgo de pérdida o destrucción total o parcial, por causas ajenas a la Institución. 
</t>
    </r>
    <r>
      <rPr>
        <b/>
        <sz val="10"/>
        <color rgb="FF000000"/>
        <rFont val="Calibri"/>
        <family val="2"/>
      </rPr>
      <t>c)</t>
    </r>
    <r>
      <rPr>
        <sz val="10"/>
        <color rgb="FF000000"/>
        <rFont val="Calibri"/>
        <family val="2"/>
      </rPr>
      <t xml:space="preserve">  PLAZO DE ENTREGA: El Oferente deberá establecer plazo de entrega de los elementos cotizados, debiendo ser expresado en días hábiles; que no podrá ser superior a cinco (5) días hábiles, contados a partir de la recepción de la comunicación prevista en el Artículo 80 del Anexo I - Reglamento Parcial N° 2 de la ley 4938.                                                                                                      </t>
    </r>
  </si>
  <si>
    <t>SETECIENTOS SETENTA Y SIETE QUINIENTOS VEINTICINCO CON 00/100 PESOS</t>
  </si>
  <si>
    <t xml:space="preserve">SETECIENTOS SETENTA Y SIETE QUINIENTOS VEINTICINCO CON 00/100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</si>
</sst>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-[$$-2C0A]\ * #,##0.00_-;\-[$$-2C0A]\ * #,##0.00_-;_-[$$-2C0A]\ * &quot;-&quot;??_-;_-@_-"/>
    <numFmt numFmtId="165" formatCode="&quot;$&quot;\ #,##0.00"/>
    <numFmt numFmtId="166" formatCode="[$$-2C0A]\ #,##0.00;[$$-2C0A]&quot; -&quot;#,##0.00"/>
    <numFmt numFmtId="167" formatCode="dd\-mm\-yy;@"/>
    <numFmt numFmtId="168" formatCode="[$$-2C0A]\ #,##0.00"/>
  </numFmts>
  <fonts count="25" x14ac:knownFonts="1">
    <font>
      <sz val="10"/>
      <color rgb="FF000000"/>
      <name val="Arial"/>
    </font>
    <font>
      <sz val="10"/>
      <color rgb="FF000000"/>
      <name val="Times New Roman"/>
      <family val="1"/>
    </font>
    <font>
      <sz val="10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rgb="FFC0C0C0"/>
      <name val="Times New Roman"/>
      <family val="1"/>
    </font>
    <font>
      <b/>
      <sz val="10"/>
      <color rgb="FF000000"/>
      <name val="Calibri"/>
      <family val="2"/>
    </font>
    <font>
      <b/>
      <sz val="10"/>
      <color rgb="FF000000"/>
      <name val="Times New Roman"/>
      <family val="1"/>
    </font>
    <font>
      <b/>
      <u/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1"/>
      <color rgb="FF000000"/>
      <name val="Arial"/>
      <family val="2"/>
    </font>
    <font>
      <b/>
      <u/>
      <sz val="11"/>
      <color rgb="FF000000"/>
      <name val="Calibri"/>
      <family val="2"/>
    </font>
    <font>
      <b/>
      <sz val="10"/>
      <color rgb="FF000000"/>
      <name val="Arial"/>
      <family val="2"/>
    </font>
    <font>
      <sz val="11"/>
      <color rgb="FF000000"/>
      <name val="Arial"/>
      <family val="2"/>
    </font>
    <font>
      <sz val="9"/>
      <color rgb="FF000000"/>
      <name val="Arial"/>
      <family val="2"/>
    </font>
    <font>
      <b/>
      <sz val="22"/>
      <color rgb="FF000000"/>
      <name val="Times New Roman"/>
      <family val="1"/>
    </font>
    <font>
      <b/>
      <sz val="12"/>
      <color rgb="FF000000"/>
      <name val="Calibri"/>
      <family val="2"/>
    </font>
    <font>
      <b/>
      <u/>
      <sz val="14"/>
      <color rgb="FF000000"/>
      <name val="Times New Roman"/>
      <family val="1"/>
    </font>
    <font>
      <b/>
      <u/>
      <sz val="10"/>
      <color rgb="FF000000"/>
      <name val="Arial"/>
      <family val="2"/>
    </font>
    <font>
      <b/>
      <sz val="8"/>
      <color rgb="FF000000"/>
      <name val="Arial"/>
      <family val="2"/>
    </font>
    <font>
      <b/>
      <sz val="12"/>
      <color rgb="FF000000"/>
      <name val="Arial"/>
      <family val="2"/>
    </font>
    <font>
      <sz val="9"/>
      <color rgb="FF000000"/>
      <name val="Calibri"/>
      <family val="2"/>
    </font>
    <font>
      <b/>
      <u/>
      <sz val="10"/>
      <color rgb="FF000000"/>
      <name val="Calibri"/>
      <family val="2"/>
    </font>
    <font>
      <sz val="10"/>
      <color rgb="FF000000"/>
      <name val="Calibri"/>
      <family val="2"/>
    </font>
    <font>
      <b/>
      <u/>
      <sz val="10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85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/>
      <top style="medium">
        <color rgb="FF000000"/>
      </top>
      <bottom style="medium">
        <color rgb="FF000000"/>
      </bottom>
      <diagonal/>
    </border>
    <border>
      <left style="medium">
        <color rgb="FF3D3D3D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000000"/>
      </left>
      <right style="medium">
        <color rgb="FF3D3D3D"/>
      </right>
      <top style="medium">
        <color rgb="FF000000"/>
      </top>
      <bottom/>
      <diagonal/>
    </border>
    <border>
      <left style="medium">
        <color rgb="FF3D3D3D"/>
      </left>
      <right/>
      <top style="medium">
        <color rgb="FF000000"/>
      </top>
      <bottom/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rgb="FF000000"/>
      </left>
      <right style="medium">
        <color rgb="FF000000"/>
      </right>
      <top style="medium">
        <color rgb="FF3D3D3D"/>
      </top>
      <bottom style="medium">
        <color rgb="FF000000"/>
      </bottom>
      <diagonal/>
    </border>
    <border>
      <left style="medium">
        <color rgb="FF3D3D3D"/>
      </left>
      <right/>
      <top style="thin">
        <color rgb="FF000000"/>
      </top>
      <bottom style="medium">
        <color rgb="FF3D3D3D"/>
      </bottom>
      <diagonal/>
    </border>
    <border>
      <left/>
      <right style="medium">
        <color rgb="FF3D3D3D"/>
      </right>
      <top style="thin">
        <color rgb="FF000000"/>
      </top>
      <bottom style="medium">
        <color rgb="FF3D3D3D"/>
      </bottom>
      <diagonal/>
    </border>
    <border>
      <left/>
      <right/>
      <top style="thin">
        <color rgb="FF000000"/>
      </top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80">
    <xf numFmtId="0" fontId="0" fillId="0" borderId="0" xfId="0" applyProtection="1"/>
    <xf numFmtId="0" fontId="1" fillId="0" borderId="0" xfId="0" applyFont="1" applyProtection="1"/>
    <xf numFmtId="0" fontId="1" fillId="0" borderId="0" xfId="0" applyFont="1" applyProtection="1"/>
    <xf numFmtId="0" fontId="3" fillId="0" borderId="1" xfId="0" applyFont="1" applyBorder="1" applyAlignment="1" applyProtection="1">
      <alignment horizontal="left" vertical="center" wrapText="1"/>
    </xf>
    <xf numFmtId="0" fontId="4" fillId="0" borderId="1" xfId="0" applyFont="1" applyBorder="1" applyAlignment="1" applyProtection="1">
      <alignment vertical="center" wrapText="1"/>
    </xf>
    <xf numFmtId="0" fontId="3" fillId="0" borderId="2" xfId="0" applyFont="1" applyBorder="1" applyAlignment="1" applyProtection="1">
      <alignment horizontal="left" vertical="center" wrapText="1"/>
    </xf>
    <xf numFmtId="0" fontId="1" fillId="0" borderId="0" xfId="0" applyFont="1" applyProtection="1"/>
    <xf numFmtId="164" fontId="5" fillId="0" borderId="0" xfId="0" applyNumberFormat="1" applyFont="1" applyProtection="1"/>
    <xf numFmtId="0" fontId="4" fillId="0" borderId="3" xfId="0" applyFont="1" applyBorder="1" applyAlignment="1" applyProtection="1">
      <alignment horizontal="left"/>
    </xf>
    <xf numFmtId="0" fontId="4" fillId="0" borderId="4" xfId="0" applyFont="1" applyBorder="1" applyProtection="1"/>
    <xf numFmtId="0" fontId="4" fillId="0" borderId="5" xfId="0" applyFont="1" applyBorder="1" applyProtection="1"/>
    <xf numFmtId="0" fontId="7" fillId="0" borderId="0" xfId="0" applyFont="1" applyProtection="1"/>
    <xf numFmtId="164" fontId="7" fillId="0" borderId="8" xfId="0" applyNumberFormat="1" applyFont="1" applyBorder="1" applyProtection="1"/>
    <xf numFmtId="0" fontId="4" fillId="0" borderId="9" xfId="0" applyFont="1" applyBorder="1" applyAlignment="1" applyProtection="1">
      <alignment horizontal="center" vertical="center"/>
    </xf>
    <xf numFmtId="166" fontId="4" fillId="0" borderId="9" xfId="0" applyNumberFormat="1" applyFont="1" applyBorder="1" applyAlignment="1" applyProtection="1">
      <alignment horizontal="center" vertical="center" wrapText="1"/>
    </xf>
    <xf numFmtId="0" fontId="4" fillId="0" borderId="10" xfId="0" applyFont="1" applyBorder="1" applyAlignment="1" applyProtection="1">
      <alignment horizontal="center" vertical="center"/>
    </xf>
    <xf numFmtId="0" fontId="4" fillId="0" borderId="11" xfId="0" applyFont="1" applyBorder="1" applyAlignment="1" applyProtection="1">
      <alignment horizontal="center" vertical="center"/>
    </xf>
    <xf numFmtId="166" fontId="4" fillId="0" borderId="11" xfId="0" applyNumberFormat="1" applyFont="1" applyBorder="1" applyAlignment="1" applyProtection="1">
      <alignment horizontal="center" vertical="center" wrapText="1"/>
    </xf>
    <xf numFmtId="0" fontId="4" fillId="0" borderId="12" xfId="0" applyFont="1" applyBorder="1" applyAlignment="1" applyProtection="1">
      <alignment horizontal="center" vertical="center"/>
    </xf>
    <xf numFmtId="0" fontId="4" fillId="0" borderId="11" xfId="0" applyFont="1" applyBorder="1" applyAlignment="1" applyProtection="1">
      <alignment horizontal="left" vertical="center"/>
    </xf>
    <xf numFmtId="0" fontId="4" fillId="0" borderId="11" xfId="0" applyFont="1" applyBorder="1" applyAlignment="1" applyProtection="1">
      <alignment horizontal="left" vertical="center" wrapText="1"/>
    </xf>
    <xf numFmtId="0" fontId="4" fillId="0" borderId="9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center" wrapText="1"/>
    </xf>
    <xf numFmtId="0" fontId="0" fillId="0" borderId="0" xfId="0" applyAlignment="1" applyProtection="1">
      <alignment vertical="center"/>
    </xf>
    <xf numFmtId="0" fontId="8" fillId="0" borderId="0" xfId="0" applyFont="1" applyAlignment="1" applyProtection="1">
      <alignment vertical="center"/>
    </xf>
    <xf numFmtId="0" fontId="9" fillId="0" borderId="13" xfId="0" applyFont="1" applyBorder="1" applyAlignment="1" applyProtection="1">
      <alignment horizontal="right" vertical="center"/>
    </xf>
    <xf numFmtId="0" fontId="10" fillId="0" borderId="14" xfId="0" applyFont="1" applyBorder="1" applyAlignment="1" applyProtection="1">
      <alignment vertical="center"/>
    </xf>
    <xf numFmtId="0" fontId="11" fillId="0" borderId="13" xfId="0" applyFont="1" applyBorder="1" applyAlignment="1" applyProtection="1">
      <alignment vertical="center" wrapText="1"/>
    </xf>
    <xf numFmtId="0" fontId="11" fillId="0" borderId="15" xfId="0" applyFont="1" applyBorder="1" applyAlignment="1" applyProtection="1">
      <alignment vertical="center" wrapText="1"/>
    </xf>
    <xf numFmtId="0" fontId="4" fillId="0" borderId="16" xfId="0" applyFont="1" applyBorder="1" applyAlignment="1" applyProtection="1">
      <alignment horizontal="center" vertical="center"/>
    </xf>
    <xf numFmtId="0" fontId="4" fillId="0" borderId="17" xfId="0" applyFont="1" applyBorder="1" applyAlignment="1" applyProtection="1">
      <alignment horizontal="center" vertical="center"/>
    </xf>
    <xf numFmtId="0" fontId="12" fillId="0" borderId="3" xfId="0" applyFont="1" applyBorder="1" applyAlignment="1" applyProtection="1">
      <alignment vertical="center"/>
    </xf>
    <xf numFmtId="0" fontId="12" fillId="0" borderId="18" xfId="0" applyFont="1" applyBorder="1" applyAlignment="1" applyProtection="1">
      <alignment vertical="center"/>
    </xf>
    <xf numFmtId="0" fontId="0" fillId="0" borderId="19" xfId="0" applyBorder="1" applyAlignment="1" applyProtection="1">
      <alignment horizontal="left" vertical="center"/>
    </xf>
    <xf numFmtId="0" fontId="0" fillId="0" borderId="20" xfId="0" applyBorder="1" applyAlignment="1" applyProtection="1">
      <alignment horizontal="left" vertical="center"/>
    </xf>
    <xf numFmtId="0" fontId="0" fillId="0" borderId="21" xfId="0" applyBorder="1" applyAlignment="1" applyProtection="1">
      <alignment vertical="center" wrapText="1"/>
    </xf>
    <xf numFmtId="0" fontId="12" fillId="0" borderId="17" xfId="0" applyFont="1" applyBorder="1" applyAlignment="1" applyProtection="1">
      <alignment vertical="center"/>
    </xf>
    <xf numFmtId="0" fontId="0" fillId="0" borderId="22" xfId="0" applyBorder="1" applyAlignment="1" applyProtection="1">
      <alignment horizontal="left" vertical="center"/>
    </xf>
    <xf numFmtId="0" fontId="0" fillId="0" borderId="23" xfId="0" applyBorder="1" applyAlignment="1" applyProtection="1">
      <alignment horizontal="left" vertical="center"/>
    </xf>
    <xf numFmtId="0" fontId="0" fillId="0" borderId="24" xfId="0" applyBorder="1" applyAlignment="1" applyProtection="1">
      <alignment vertical="center" wrapText="1"/>
    </xf>
    <xf numFmtId="3" fontId="10" fillId="0" borderId="0" xfId="0" applyNumberFormat="1" applyFont="1" applyProtection="1"/>
    <xf numFmtId="167" fontId="0" fillId="0" borderId="0" xfId="0" applyNumberFormat="1" applyAlignment="1" applyProtection="1">
      <alignment horizontal="left"/>
    </xf>
    <xf numFmtId="0" fontId="0" fillId="0" borderId="0" xfId="0" applyProtection="1"/>
    <xf numFmtId="0" fontId="0" fillId="0" borderId="0" xfId="0" applyAlignment="1" applyProtection="1">
      <alignment horizontal="left"/>
    </xf>
    <xf numFmtId="0" fontId="0" fillId="0" borderId="0" xfId="0" applyProtection="1"/>
    <xf numFmtId="0" fontId="12" fillId="0" borderId="0" xfId="0" applyFont="1" applyProtection="1"/>
    <xf numFmtId="0" fontId="12" fillId="0" borderId="25" xfId="0" applyFont="1" applyBorder="1" applyProtection="1"/>
    <xf numFmtId="0" fontId="12" fillId="0" borderId="26" xfId="0" applyFont="1" applyBorder="1" applyProtection="1"/>
    <xf numFmtId="0" fontId="12" fillId="0" borderId="27" xfId="0" applyFont="1" applyBorder="1" applyProtection="1"/>
    <xf numFmtId="0" fontId="12" fillId="0" borderId="27" xfId="0" applyFont="1" applyBorder="1" applyAlignment="1" applyProtection="1">
      <alignment horizontal="left"/>
    </xf>
    <xf numFmtId="0" fontId="12" fillId="0" borderId="28" xfId="0" applyFont="1" applyBorder="1" applyProtection="1"/>
    <xf numFmtId="0" fontId="12" fillId="0" borderId="7" xfId="0" applyFont="1" applyBorder="1" applyAlignment="1" applyProtection="1">
      <alignment horizontal="center" vertical="center"/>
    </xf>
    <xf numFmtId="0" fontId="12" fillId="0" borderId="7" xfId="0" applyFont="1" applyBorder="1" applyAlignment="1" applyProtection="1">
      <alignment horizontal="left" vertical="center"/>
    </xf>
    <xf numFmtId="0" fontId="0" fillId="0" borderId="16" xfId="0" applyBorder="1" applyAlignment="1" applyProtection="1">
      <alignment horizontal="center" vertical="center"/>
    </xf>
    <xf numFmtId="0" fontId="0" fillId="0" borderId="11" xfId="0" applyBorder="1" applyAlignment="1" applyProtection="1">
      <alignment horizontal="center" vertical="center"/>
    </xf>
    <xf numFmtId="0" fontId="0" fillId="0" borderId="29" xfId="0" applyBorder="1" applyAlignment="1" applyProtection="1">
      <alignment horizontal="center" vertical="center"/>
    </xf>
    <xf numFmtId="165" fontId="0" fillId="0" borderId="30" xfId="0" applyNumberFormat="1" applyBorder="1" applyAlignment="1" applyProtection="1">
      <alignment vertical="center"/>
    </xf>
    <xf numFmtId="0" fontId="0" fillId="0" borderId="0" xfId="0" applyAlignment="1" applyProtection="1">
      <alignment vertical="center"/>
    </xf>
    <xf numFmtId="166" fontId="12" fillId="0" borderId="31" xfId="0" applyNumberFormat="1" applyFont="1" applyBorder="1" applyAlignment="1" applyProtection="1">
      <alignment horizontal="center" vertical="center"/>
    </xf>
    <xf numFmtId="0" fontId="13" fillId="0" borderId="32" xfId="0" applyFont="1" applyBorder="1" applyAlignment="1" applyProtection="1">
      <alignment vertical="center" wrapText="1"/>
    </xf>
    <xf numFmtId="0" fontId="13" fillId="0" borderId="1" xfId="0" applyFont="1" applyBorder="1" applyAlignment="1" applyProtection="1">
      <alignment vertical="center" wrapText="1"/>
    </xf>
    <xf numFmtId="0" fontId="13" fillId="0" borderId="2" xfId="0" applyFont="1" applyBorder="1" applyAlignment="1" applyProtection="1">
      <alignment vertical="center" wrapText="1"/>
    </xf>
    <xf numFmtId="0" fontId="14" fillId="0" borderId="33" xfId="0" applyFont="1" applyBorder="1" applyAlignment="1" applyProtection="1">
      <alignment horizontal="left" vertical="center" wrapText="1"/>
    </xf>
    <xf numFmtId="0" fontId="14" fillId="0" borderId="34" xfId="0" applyFont="1" applyBorder="1" applyAlignment="1" applyProtection="1">
      <alignment horizontal="left" vertical="center"/>
    </xf>
    <xf numFmtId="0" fontId="4" fillId="0" borderId="7" xfId="0" applyFont="1" applyBorder="1" applyAlignment="1" applyProtection="1">
      <alignment horizontal="center" vertical="center"/>
    </xf>
    <xf numFmtId="0" fontId="4" fillId="0" borderId="7" xfId="0" applyFont="1" applyBorder="1" applyAlignment="1" applyProtection="1">
      <alignment horizontal="left" vertical="center"/>
    </xf>
    <xf numFmtId="0" fontId="2" fillId="0" borderId="7" xfId="0" applyFont="1" applyBorder="1" applyAlignment="1" applyProtection="1">
      <alignment horizontal="center" vertical="center"/>
    </xf>
    <xf numFmtId="165" fontId="2" fillId="0" borderId="7" xfId="0" applyNumberFormat="1" applyFont="1" applyBorder="1" applyAlignment="1" applyProtection="1">
      <alignment horizontal="center" vertical="center"/>
    </xf>
    <xf numFmtId="49" fontId="0" fillId="0" borderId="29" xfId="0" applyNumberFormat="1" applyBorder="1" applyAlignment="1" applyProtection="1">
      <alignment horizontal="center" vertical="center"/>
    </xf>
    <xf numFmtId="0" fontId="21" fillId="0" borderId="7" xfId="0" applyFont="1" applyBorder="1" applyAlignment="1" applyProtection="1">
      <alignment horizontal="left" vertical="center" wrapText="1"/>
    </xf>
    <xf numFmtId="0" fontId="3" fillId="0" borderId="67" xfId="0" applyFont="1" applyBorder="1" applyAlignment="1" applyProtection="1">
      <alignment horizontal="center" vertical="center" wrapText="1"/>
    </xf>
    <xf numFmtId="0" fontId="3" fillId="0" borderId="68" xfId="0" applyFont="1" applyBorder="1" applyAlignment="1" applyProtection="1">
      <alignment horizontal="center" vertical="center" wrapText="1"/>
    </xf>
    <xf numFmtId="0" fontId="3" fillId="0" borderId="69" xfId="0" applyFont="1" applyBorder="1" applyAlignment="1" applyProtection="1">
      <alignment horizontal="center" vertical="center" wrapText="1"/>
    </xf>
    <xf numFmtId="0" fontId="3" fillId="0" borderId="70" xfId="0" applyFont="1" applyBorder="1" applyAlignment="1" applyProtection="1">
      <alignment horizontal="center" vertical="center" wrapText="1"/>
    </xf>
    <xf numFmtId="0" fontId="6" fillId="0" borderId="0" xfId="0" applyFont="1" applyBorder="1" applyAlignment="1" applyProtection="1">
      <alignment horizontal="center" vertical="center" wrapText="1"/>
    </xf>
    <xf numFmtId="0" fontId="6" fillId="0" borderId="71" xfId="0" applyFont="1" applyBorder="1" applyAlignment="1" applyProtection="1">
      <alignment horizontal="center" vertical="center" wrapText="1"/>
    </xf>
    <xf numFmtId="0" fontId="6" fillId="0" borderId="72" xfId="0" applyFont="1" applyBorder="1" applyAlignment="1" applyProtection="1">
      <alignment horizontal="center" vertical="center" wrapText="1"/>
    </xf>
    <xf numFmtId="0" fontId="6" fillId="0" borderId="67" xfId="0" applyFont="1" applyBorder="1" applyAlignment="1" applyProtection="1">
      <alignment horizontal="center" vertical="center" wrapText="1"/>
    </xf>
    <xf numFmtId="0" fontId="1" fillId="0" borderId="76" xfId="0" applyFont="1" applyBorder="1" applyProtection="1"/>
    <xf numFmtId="0" fontId="1" fillId="0" borderId="0" xfId="0" applyFont="1" applyBorder="1" applyProtection="1"/>
    <xf numFmtId="0" fontId="1" fillId="0" borderId="77" xfId="0" applyFont="1" applyBorder="1" applyProtection="1"/>
    <xf numFmtId="0" fontId="2" fillId="0" borderId="82" xfId="0" applyFont="1" applyBorder="1" applyProtection="1"/>
    <xf numFmtId="0" fontId="2" fillId="0" borderId="83" xfId="0" applyFont="1" applyBorder="1" applyAlignment="1" applyProtection="1">
      <alignment horizontal="left" wrapText="1"/>
    </xf>
    <xf numFmtId="0" fontId="2" fillId="0" borderId="83" xfId="0" applyFont="1" applyBorder="1" applyAlignment="1" applyProtection="1">
      <alignment horizontal="center" wrapText="1"/>
    </xf>
    <xf numFmtId="0" fontId="2" fillId="0" borderId="84" xfId="0" applyFont="1" applyBorder="1" applyProtection="1"/>
    <xf numFmtId="0" fontId="23" fillId="0" borderId="32" xfId="0" applyFont="1" applyBorder="1" applyAlignment="1" applyProtection="1">
      <alignment horizontal="left"/>
    </xf>
    <xf numFmtId="0" fontId="24" fillId="0" borderId="1" xfId="0" applyFont="1" applyBorder="1" applyAlignment="1" applyProtection="1">
      <alignment horizontal="left"/>
    </xf>
    <xf numFmtId="0" fontId="24" fillId="0" borderId="2" xfId="0" applyFont="1" applyBorder="1" applyAlignment="1" applyProtection="1">
      <alignment horizontal="left"/>
    </xf>
    <xf numFmtId="0" fontId="22" fillId="0" borderId="35" xfId="0" applyFont="1" applyBorder="1" applyAlignment="1" applyProtection="1">
      <alignment horizontal="left"/>
    </xf>
    <xf numFmtId="0" fontId="22" fillId="0" borderId="0" xfId="0" applyFont="1" applyAlignment="1" applyProtection="1">
      <alignment horizontal="left"/>
    </xf>
    <xf numFmtId="0" fontId="22" fillId="0" borderId="36" xfId="0" applyFont="1" applyBorder="1" applyAlignment="1" applyProtection="1">
      <alignment horizontal="left"/>
    </xf>
    <xf numFmtId="0" fontId="23" fillId="0" borderId="35" xfId="0" applyFont="1" applyBorder="1" applyAlignment="1" applyProtection="1">
      <alignment horizontal="left"/>
    </xf>
    <xf numFmtId="0" fontId="23" fillId="0" borderId="0" xfId="0" applyFont="1" applyAlignment="1" applyProtection="1">
      <alignment horizontal="left"/>
    </xf>
    <xf numFmtId="0" fontId="23" fillId="0" borderId="36" xfId="0" applyFont="1" applyBorder="1" applyAlignment="1" applyProtection="1">
      <alignment horizontal="left"/>
    </xf>
    <xf numFmtId="0" fontId="23" fillId="0" borderId="35" xfId="0" applyFont="1" applyBorder="1" applyAlignment="1" applyProtection="1">
      <alignment horizontal="left" vertical="center" wrapText="1"/>
    </xf>
    <xf numFmtId="0" fontId="23" fillId="0" borderId="0" xfId="0" applyFont="1" applyAlignment="1" applyProtection="1">
      <alignment horizontal="left" vertical="center" wrapText="1"/>
    </xf>
    <xf numFmtId="0" fontId="23" fillId="0" borderId="36" xfId="0" applyFont="1" applyBorder="1" applyAlignment="1" applyProtection="1">
      <alignment horizontal="left" vertical="center" wrapText="1"/>
    </xf>
    <xf numFmtId="0" fontId="11" fillId="0" borderId="78" xfId="0" applyFont="1" applyBorder="1" applyAlignment="1" applyProtection="1">
      <alignment horizontal="left" vertical="center" wrapText="1"/>
    </xf>
    <xf numFmtId="0" fontId="11" fillId="0" borderId="37" xfId="0" applyFont="1" applyBorder="1" applyAlignment="1" applyProtection="1">
      <alignment horizontal="left" vertical="center" wrapText="1"/>
    </xf>
    <xf numFmtId="0" fontId="11" fillId="0" borderId="80" xfId="0" applyFont="1" applyBorder="1" applyAlignment="1" applyProtection="1">
      <alignment horizontal="left" vertical="center" wrapText="1"/>
    </xf>
    <xf numFmtId="0" fontId="11" fillId="0" borderId="39" xfId="0" applyFont="1" applyBorder="1" applyAlignment="1" applyProtection="1">
      <alignment horizontal="left" vertical="center" wrapText="1"/>
    </xf>
    <xf numFmtId="0" fontId="11" fillId="0" borderId="81" xfId="0" applyFont="1" applyBorder="1" applyAlignment="1" applyProtection="1">
      <alignment horizontal="left" vertical="center" wrapText="1"/>
    </xf>
    <xf numFmtId="0" fontId="11" fillId="0" borderId="10" xfId="0" applyFont="1" applyBorder="1" applyAlignment="1" applyProtection="1">
      <alignment horizontal="left" vertical="center" wrapText="1"/>
    </xf>
    <xf numFmtId="0" fontId="15" fillId="0" borderId="73" xfId="0" applyFont="1" applyBorder="1" applyAlignment="1" applyProtection="1">
      <alignment horizontal="center"/>
    </xf>
    <xf numFmtId="0" fontId="15" fillId="0" borderId="74" xfId="0" applyFont="1" applyBorder="1" applyAlignment="1" applyProtection="1">
      <alignment horizontal="center"/>
    </xf>
    <xf numFmtId="0" fontId="15" fillId="0" borderId="75" xfId="0" applyFont="1" applyBorder="1" applyAlignment="1" applyProtection="1">
      <alignment horizontal="center"/>
    </xf>
    <xf numFmtId="0" fontId="16" fillId="0" borderId="13" xfId="0" applyFont="1" applyBorder="1" applyAlignment="1" applyProtection="1">
      <alignment horizontal="left" vertical="center"/>
    </xf>
    <xf numFmtId="0" fontId="16" fillId="0" borderId="15" xfId="0" applyFont="1" applyBorder="1" applyAlignment="1" applyProtection="1">
      <alignment horizontal="left" vertical="center"/>
    </xf>
    <xf numFmtId="0" fontId="16" fillId="0" borderId="79" xfId="0" applyFont="1" applyBorder="1" applyAlignment="1" applyProtection="1">
      <alignment horizontal="left" vertical="center"/>
    </xf>
    <xf numFmtId="0" fontId="12" fillId="0" borderId="15" xfId="0" applyFont="1" applyBorder="1" applyAlignment="1" applyProtection="1">
      <alignment horizontal="center" vertical="center"/>
    </xf>
    <xf numFmtId="0" fontId="12" fillId="0" borderId="14" xfId="0" applyFont="1" applyBorder="1" applyAlignment="1" applyProtection="1">
      <alignment horizontal="center" vertical="center"/>
    </xf>
    <xf numFmtId="0" fontId="4" fillId="0" borderId="38" xfId="0" applyFont="1" applyBorder="1" applyAlignment="1" applyProtection="1">
      <alignment horizontal="left" vertical="center" wrapText="1"/>
    </xf>
    <xf numFmtId="0" fontId="4" fillId="0" borderId="7" xfId="0" applyFont="1" applyBorder="1" applyAlignment="1" applyProtection="1">
      <alignment horizontal="left" vertical="center" wrapText="1"/>
    </xf>
    <xf numFmtId="0" fontId="4" fillId="0" borderId="39" xfId="0" applyFont="1" applyBorder="1" applyAlignment="1" applyProtection="1">
      <alignment horizontal="left" vertical="center" wrapText="1"/>
    </xf>
    <xf numFmtId="0" fontId="11" fillId="0" borderId="41" xfId="0" applyFont="1" applyBorder="1" applyAlignment="1" applyProtection="1">
      <alignment horizontal="left" vertical="center"/>
    </xf>
    <xf numFmtId="0" fontId="11" fillId="0" borderId="42" xfId="0" applyFont="1" applyBorder="1" applyAlignment="1" applyProtection="1">
      <alignment horizontal="left" vertical="center"/>
    </xf>
    <xf numFmtId="0" fontId="3" fillId="0" borderId="21" xfId="0" applyFont="1" applyBorder="1" applyAlignment="1" applyProtection="1">
      <alignment horizontal="center" vertical="center" wrapText="1"/>
    </xf>
    <xf numFmtId="0" fontId="3" fillId="0" borderId="24" xfId="0" applyFont="1" applyBorder="1" applyAlignment="1" applyProtection="1">
      <alignment horizontal="center" vertical="center" wrapText="1"/>
    </xf>
    <xf numFmtId="168" fontId="9" fillId="0" borderId="43" xfId="0" applyNumberFormat="1" applyFont="1" applyBorder="1" applyAlignment="1" applyProtection="1">
      <alignment horizontal="center" vertical="center"/>
    </xf>
    <xf numFmtId="0" fontId="9" fillId="0" borderId="32" xfId="0" applyFont="1" applyBorder="1" applyAlignment="1" applyProtection="1">
      <alignment horizontal="center" vertical="center"/>
    </xf>
    <xf numFmtId="0" fontId="9" fillId="0" borderId="1" xfId="0" applyFont="1" applyBorder="1" applyAlignment="1" applyProtection="1">
      <alignment horizontal="center" vertical="center"/>
    </xf>
    <xf numFmtId="0" fontId="4" fillId="0" borderId="17" xfId="0" applyFont="1" applyBorder="1" applyAlignment="1" applyProtection="1">
      <alignment horizontal="left" vertical="center" wrapText="1"/>
    </xf>
    <xf numFmtId="0" fontId="4" fillId="0" borderId="9" xfId="0" applyFont="1" applyBorder="1" applyAlignment="1" applyProtection="1">
      <alignment horizontal="left" vertical="center" wrapText="1"/>
    </xf>
    <xf numFmtId="0" fontId="4" fillId="0" borderId="10" xfId="0" applyFont="1" applyBorder="1" applyAlignment="1" applyProtection="1">
      <alignment horizontal="left" vertical="center" wrapText="1"/>
    </xf>
    <xf numFmtId="0" fontId="11" fillId="0" borderId="38" xfId="0" applyFont="1" applyBorder="1" applyAlignment="1" applyProtection="1">
      <alignment horizontal="left" vertical="center" wrapText="1"/>
    </xf>
    <xf numFmtId="0" fontId="11" fillId="0" borderId="29" xfId="0" applyFont="1" applyBorder="1" applyAlignment="1" applyProtection="1">
      <alignment horizontal="left" vertical="center" wrapText="1"/>
    </xf>
    <xf numFmtId="0" fontId="3" fillId="0" borderId="44" xfId="0" applyFont="1" applyBorder="1" applyAlignment="1" applyProtection="1">
      <alignment horizontal="center" vertical="center"/>
    </xf>
    <xf numFmtId="0" fontId="3" fillId="0" borderId="45" xfId="0" applyFont="1" applyBorder="1" applyAlignment="1" applyProtection="1">
      <alignment horizontal="center" vertical="center"/>
    </xf>
    <xf numFmtId="0" fontId="3" fillId="0" borderId="46" xfId="0" applyFont="1" applyBorder="1" applyAlignment="1" applyProtection="1">
      <alignment horizontal="center" vertical="center" wrapText="1"/>
    </xf>
    <xf numFmtId="0" fontId="3" fillId="0" borderId="47" xfId="0" applyFont="1" applyBorder="1" applyAlignment="1" applyProtection="1">
      <alignment horizontal="center" vertical="center" wrapText="1"/>
    </xf>
    <xf numFmtId="0" fontId="9" fillId="0" borderId="1" xfId="0" applyFont="1" applyBorder="1" applyAlignment="1" applyProtection="1">
      <alignment horizontal="left" vertical="center"/>
    </xf>
    <xf numFmtId="0" fontId="9" fillId="0" borderId="2" xfId="0" applyFont="1" applyBorder="1" applyAlignment="1" applyProtection="1">
      <alignment horizontal="left" vertical="center"/>
    </xf>
    <xf numFmtId="0" fontId="6" fillId="0" borderId="21" xfId="0" applyFont="1" applyBorder="1" applyAlignment="1" applyProtection="1">
      <alignment horizontal="center" vertical="center" wrapText="1"/>
    </xf>
    <xf numFmtId="0" fontId="6" fillId="0" borderId="24" xfId="0" applyFont="1" applyBorder="1" applyAlignment="1" applyProtection="1">
      <alignment horizontal="center" vertical="center" wrapText="1"/>
    </xf>
    <xf numFmtId="0" fontId="17" fillId="0" borderId="0" xfId="0" applyFont="1" applyAlignment="1" applyProtection="1">
      <alignment horizontal="center" vertical="center"/>
    </xf>
    <xf numFmtId="0" fontId="4" fillId="0" borderId="18" xfId="0" applyFont="1" applyBorder="1" applyAlignment="1" applyProtection="1">
      <alignment horizontal="left" vertical="center" wrapText="1"/>
    </xf>
    <xf numFmtId="0" fontId="4" fillId="0" borderId="40" xfId="0" applyFont="1" applyBorder="1" applyAlignment="1" applyProtection="1">
      <alignment horizontal="left" vertical="center" wrapText="1"/>
    </xf>
    <xf numFmtId="0" fontId="4" fillId="0" borderId="37" xfId="0" applyFont="1" applyBorder="1" applyAlignment="1" applyProtection="1">
      <alignment horizontal="left" vertical="center" wrapText="1"/>
    </xf>
    <xf numFmtId="0" fontId="11" fillId="0" borderId="18" xfId="0" applyFont="1" applyBorder="1" applyAlignment="1" applyProtection="1">
      <alignment horizontal="left" vertical="center" wrapText="1"/>
    </xf>
    <xf numFmtId="0" fontId="11" fillId="0" borderId="19" xfId="0" applyFont="1" applyBorder="1" applyAlignment="1" applyProtection="1">
      <alignment horizontal="left" vertical="center" wrapText="1"/>
    </xf>
    <xf numFmtId="0" fontId="1" fillId="0" borderId="60" xfId="0" applyFont="1" applyBorder="1" applyAlignment="1" applyProtection="1">
      <alignment horizontal="left" vertical="center" wrapText="1"/>
    </xf>
    <xf numFmtId="0" fontId="1" fillId="0" borderId="61" xfId="0" applyFont="1" applyBorder="1" applyAlignment="1" applyProtection="1">
      <alignment horizontal="left" vertical="center" wrapText="1"/>
    </xf>
    <xf numFmtId="0" fontId="1" fillId="0" borderId="62" xfId="0" applyFont="1" applyBorder="1" applyAlignment="1" applyProtection="1">
      <alignment horizontal="left" vertical="center" wrapText="1"/>
    </xf>
    <xf numFmtId="0" fontId="13" fillId="0" borderId="48" xfId="0" applyFont="1" applyBorder="1" applyAlignment="1" applyProtection="1">
      <alignment horizontal="left" vertical="center" wrapText="1"/>
    </xf>
    <xf numFmtId="0" fontId="18" fillId="0" borderId="48" xfId="0" applyFont="1" applyBorder="1" applyAlignment="1" applyProtection="1">
      <alignment horizontal="left"/>
    </xf>
    <xf numFmtId="0" fontId="10" fillId="0" borderId="13" xfId="0" applyFont="1" applyBorder="1" applyAlignment="1" applyProtection="1">
      <alignment vertical="center" wrapText="1"/>
    </xf>
    <xf numFmtId="0" fontId="10" fillId="0" borderId="49" xfId="0" applyFont="1" applyBorder="1" applyAlignment="1" applyProtection="1">
      <alignment vertical="center" wrapText="1"/>
    </xf>
    <xf numFmtId="0" fontId="10" fillId="0" borderId="50" xfId="0" applyFont="1" applyBorder="1" applyAlignment="1" applyProtection="1">
      <alignment vertical="center" wrapText="1"/>
    </xf>
    <xf numFmtId="0" fontId="13" fillId="0" borderId="51" xfId="0" applyFont="1" applyBorder="1" applyAlignment="1" applyProtection="1">
      <alignment vertical="center" wrapText="1"/>
    </xf>
    <xf numFmtId="0" fontId="10" fillId="0" borderId="52" xfId="0" applyFont="1" applyBorder="1" applyProtection="1"/>
    <xf numFmtId="0" fontId="10" fillId="0" borderId="52" xfId="0" applyFont="1" applyBorder="1" applyAlignment="1" applyProtection="1">
      <alignment horizontal="left" vertical="center" wrapText="1" indent="1"/>
    </xf>
    <xf numFmtId="0" fontId="10" fillId="0" borderId="0" xfId="0" applyFont="1" applyAlignment="1" applyProtection="1">
      <alignment horizontal="left" vertical="center" wrapText="1" indent="1"/>
    </xf>
    <xf numFmtId="0" fontId="10" fillId="0" borderId="25" xfId="0" applyFont="1" applyBorder="1" applyAlignment="1" applyProtection="1">
      <alignment horizontal="left" vertical="center" wrapText="1" indent="1"/>
    </xf>
    <xf numFmtId="0" fontId="12" fillId="0" borderId="53" xfId="0" applyFont="1" applyBorder="1" applyAlignment="1" applyProtection="1">
      <alignment horizontal="center" vertical="center" wrapText="1"/>
    </xf>
    <xf numFmtId="0" fontId="12" fillId="0" borderId="54" xfId="0" applyFont="1" applyBorder="1" applyAlignment="1" applyProtection="1">
      <alignment horizontal="center" vertical="center" wrapText="1"/>
    </xf>
    <xf numFmtId="0" fontId="12" fillId="0" borderId="51" xfId="0" applyFont="1" applyBorder="1" applyAlignment="1" applyProtection="1">
      <alignment horizontal="center" vertical="center" wrapText="1"/>
    </xf>
    <xf numFmtId="0" fontId="12" fillId="0" borderId="55" xfId="0" applyFont="1" applyBorder="1" applyAlignment="1" applyProtection="1">
      <alignment horizontal="center" vertical="center" wrapText="1"/>
    </xf>
    <xf numFmtId="0" fontId="12" fillId="0" borderId="6" xfId="0" applyFont="1" applyBorder="1" applyAlignment="1" applyProtection="1">
      <alignment horizontal="center" vertical="center"/>
    </xf>
    <xf numFmtId="0" fontId="12" fillId="0" borderId="56" xfId="0" applyFont="1" applyBorder="1" applyAlignment="1" applyProtection="1">
      <alignment horizontal="center" vertical="center"/>
    </xf>
    <xf numFmtId="0" fontId="19" fillId="0" borderId="57" xfId="0" applyFont="1" applyBorder="1" applyAlignment="1" applyProtection="1">
      <alignment horizontal="center" vertical="center" wrapText="1"/>
    </xf>
    <xf numFmtId="0" fontId="19" fillId="0" borderId="58" xfId="0" applyFont="1" applyBorder="1" applyAlignment="1" applyProtection="1">
      <alignment horizontal="center" vertical="center" wrapText="1"/>
    </xf>
    <xf numFmtId="0" fontId="10" fillId="0" borderId="57" xfId="0" applyFont="1" applyBorder="1" applyAlignment="1" applyProtection="1">
      <alignment horizontal="left" vertical="center" wrapText="1"/>
    </xf>
    <xf numFmtId="0" fontId="10" fillId="0" borderId="59" xfId="0" applyFont="1" applyBorder="1" applyAlignment="1" applyProtection="1">
      <alignment horizontal="left" vertical="center" wrapText="1"/>
    </xf>
    <xf numFmtId="0" fontId="10" fillId="0" borderId="58" xfId="0" applyFont="1" applyBorder="1" applyAlignment="1" applyProtection="1">
      <alignment horizontal="left" vertical="center" wrapText="1"/>
    </xf>
    <xf numFmtId="0" fontId="0" fillId="0" borderId="13" xfId="0" applyBorder="1" applyAlignment="1" applyProtection="1">
      <alignment horizontal="center"/>
    </xf>
    <xf numFmtId="1" fontId="10" fillId="0" borderId="14" xfId="0" applyNumberFormat="1" applyFont="1" applyBorder="1" applyAlignment="1" applyProtection="1">
      <alignment horizontal="center"/>
    </xf>
    <xf numFmtId="0" fontId="20" fillId="0" borderId="48" xfId="0" applyFont="1" applyBorder="1" applyAlignment="1" applyProtection="1">
      <alignment horizontal="center" vertical="center" wrapText="1"/>
    </xf>
    <xf numFmtId="0" fontId="0" fillId="0" borderId="48" xfId="0" applyBorder="1" applyAlignment="1" applyProtection="1">
      <alignment horizontal="left" vertical="center"/>
    </xf>
    <xf numFmtId="0" fontId="13" fillId="0" borderId="48" xfId="0" applyFont="1" applyBorder="1" applyAlignment="1" applyProtection="1">
      <alignment horizontal="left" vertical="center"/>
    </xf>
    <xf numFmtId="0" fontId="13" fillId="0" borderId="63" xfId="0" applyFont="1" applyBorder="1" applyAlignment="1" applyProtection="1">
      <alignment vertical="center" wrapText="1"/>
    </xf>
    <xf numFmtId="0" fontId="13" fillId="0" borderId="5" xfId="0" applyFont="1" applyBorder="1" applyAlignment="1" applyProtection="1">
      <alignment vertical="center" wrapText="1"/>
    </xf>
    <xf numFmtId="0" fontId="4" fillId="0" borderId="64" xfId="0" applyFont="1" applyBorder="1" applyAlignment="1" applyProtection="1">
      <alignment horizontal="left" vertical="center" wrapText="1"/>
    </xf>
    <xf numFmtId="0" fontId="4" fillId="0" borderId="61" xfId="0" applyFont="1" applyBorder="1" applyAlignment="1" applyProtection="1">
      <alignment horizontal="left" vertical="center" wrapText="1"/>
    </xf>
    <xf numFmtId="0" fontId="4" fillId="0" borderId="62" xfId="0" applyFont="1" applyBorder="1" applyAlignment="1" applyProtection="1">
      <alignment horizontal="left" vertical="center" wrapText="1"/>
    </xf>
    <xf numFmtId="0" fontId="13" fillId="0" borderId="31" xfId="0" applyFont="1" applyBorder="1" applyAlignment="1" applyProtection="1">
      <alignment horizontal="left" vertical="center" wrapText="1" indent="1"/>
    </xf>
    <xf numFmtId="0" fontId="13" fillId="0" borderId="65" xfId="0" applyFont="1" applyBorder="1" applyAlignment="1" applyProtection="1">
      <alignment horizontal="left" vertical="center" wrapText="1" indent="1"/>
    </xf>
    <xf numFmtId="0" fontId="0" fillId="0" borderId="66" xfId="0" applyBorder="1" applyProtection="1"/>
    <xf numFmtId="0" fontId="12" fillId="0" borderId="66" xfId="0" applyFont="1" applyBorder="1" applyAlignment="1" applyProtection="1">
      <alignment horizontal="center" vertical="center"/>
    </xf>
    <xf numFmtId="0" fontId="12" fillId="0" borderId="55" xfId="0" applyFont="1" applyBorder="1" applyAlignment="1" applyProtection="1">
      <alignment horizontal="center" vertical="center"/>
    </xf>
    <xf numFmtId="166" fontId="0" fillId="0" borderId="0" xfId="0" applyNumberFormat="1" applyProtection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topLeftCell="A10" workbookViewId="0">
      <selection activeCell="C24" sqref="C24"/>
    </sheetView>
  </sheetViews>
  <sheetFormatPr baseColWidth="10" defaultColWidth="11" defaultRowHeight="12.75" customHeight="1" x14ac:dyDescent="0.2"/>
  <cols>
    <col min="1" max="1" width="4.5703125" style="1" customWidth="1"/>
    <col min="2" max="2" width="12.7109375" style="1" customWidth="1"/>
    <col min="3" max="3" width="29" style="1" customWidth="1"/>
    <col min="4" max="4" width="8" style="1" customWidth="1"/>
    <col min="5" max="5" width="69" style="1" customWidth="1"/>
    <col min="6" max="6" width="10.28515625" style="1" customWidth="1"/>
    <col min="7" max="7" width="9.140625" style="1" customWidth="1"/>
    <col min="8" max="8" width="11.140625" style="1" customWidth="1"/>
    <col min="9" max="9" width="12.85546875" style="1" customWidth="1"/>
  </cols>
  <sheetData>
    <row r="1" spans="1:9" ht="13.5" customHeight="1" thickBot="1" x14ac:dyDescent="0.25"/>
    <row r="2" spans="1:9" ht="24" customHeight="1" thickBot="1" x14ac:dyDescent="0.4">
      <c r="A2" s="103" t="s">
        <v>0</v>
      </c>
      <c r="B2" s="104"/>
      <c r="C2" s="104"/>
      <c r="D2" s="104"/>
      <c r="E2" s="104"/>
      <c r="F2" s="104"/>
      <c r="G2" s="104"/>
      <c r="H2" s="104"/>
      <c r="I2" s="105"/>
    </row>
    <row r="3" spans="1:9" ht="12.75" customHeight="1" thickBot="1" x14ac:dyDescent="0.25">
      <c r="A3" s="78"/>
      <c r="B3" s="79"/>
      <c r="C3" s="79"/>
      <c r="D3" s="79"/>
      <c r="E3" s="79"/>
      <c r="F3" s="79"/>
      <c r="G3" s="79"/>
      <c r="H3" s="79"/>
      <c r="I3" s="80"/>
    </row>
    <row r="4" spans="1:9" ht="18" customHeight="1" thickBot="1" x14ac:dyDescent="0.25">
      <c r="A4" s="97" t="s">
        <v>1</v>
      </c>
      <c r="B4" s="98"/>
      <c r="C4" s="106" t="s">
        <v>2</v>
      </c>
      <c r="D4" s="107"/>
      <c r="E4" s="107"/>
      <c r="F4" s="107"/>
      <c r="G4" s="107"/>
      <c r="H4" s="107"/>
      <c r="I4" s="108"/>
    </row>
    <row r="5" spans="1:9" ht="18" customHeight="1" thickBot="1" x14ac:dyDescent="0.25">
      <c r="A5" s="99" t="s">
        <v>3</v>
      </c>
      <c r="B5" s="100"/>
      <c r="C5" s="106" t="s">
        <v>4</v>
      </c>
      <c r="D5" s="107"/>
      <c r="E5" s="107"/>
      <c r="F5" s="107"/>
      <c r="G5" s="107"/>
      <c r="H5" s="107"/>
      <c r="I5" s="108"/>
    </row>
    <row r="6" spans="1:9" ht="16.5" customHeight="1" thickBot="1" x14ac:dyDescent="0.25">
      <c r="A6" s="99" t="s">
        <v>5</v>
      </c>
      <c r="B6" s="100"/>
      <c r="C6" s="106">
        <v>2022</v>
      </c>
      <c r="D6" s="107"/>
      <c r="E6" s="107"/>
      <c r="F6" s="107"/>
      <c r="G6" s="107"/>
      <c r="H6" s="107"/>
      <c r="I6" s="108"/>
    </row>
    <row r="7" spans="1:9" ht="16.5" customHeight="1" thickBot="1" x14ac:dyDescent="0.25">
      <c r="A7" s="101" t="s">
        <v>6</v>
      </c>
      <c r="B7" s="102"/>
      <c r="C7" s="106" t="s">
        <v>7</v>
      </c>
      <c r="D7" s="107"/>
      <c r="E7" s="107"/>
      <c r="F7" s="107"/>
      <c r="G7" s="107"/>
      <c r="H7" s="107"/>
      <c r="I7" s="108"/>
    </row>
    <row r="8" spans="1:9" ht="13.5" customHeight="1" thickBot="1" x14ac:dyDescent="0.25">
      <c r="A8" s="81"/>
      <c r="B8" s="82"/>
      <c r="C8" s="83"/>
      <c r="D8" s="82"/>
      <c r="E8" s="82"/>
      <c r="F8" s="82"/>
      <c r="G8" s="83"/>
      <c r="H8" s="82"/>
      <c r="I8" s="84"/>
    </row>
    <row r="9" spans="1:9" ht="38.25" customHeight="1" x14ac:dyDescent="0.2">
      <c r="A9" s="70" t="s">
        <v>8</v>
      </c>
      <c r="B9" s="71" t="s">
        <v>9</v>
      </c>
      <c r="C9" s="72" t="s">
        <v>10</v>
      </c>
      <c r="D9" s="73" t="s">
        <v>11</v>
      </c>
      <c r="E9" s="70" t="s">
        <v>12</v>
      </c>
      <c r="F9" s="74" t="s">
        <v>13</v>
      </c>
      <c r="G9" s="75" t="s">
        <v>14</v>
      </c>
      <c r="H9" s="76" t="s">
        <v>15</v>
      </c>
      <c r="I9" s="77" t="s">
        <v>16</v>
      </c>
    </row>
    <row r="10" spans="1:9" ht="24" x14ac:dyDescent="0.2">
      <c r="A10" s="64">
        <v>1</v>
      </c>
      <c r="B10" s="65" t="s">
        <v>20</v>
      </c>
      <c r="C10" s="69" t="s">
        <v>17</v>
      </c>
      <c r="D10" s="64" t="s">
        <v>18</v>
      </c>
      <c r="E10" s="69" t="s">
        <v>21</v>
      </c>
      <c r="F10" s="66" t="s">
        <v>19</v>
      </c>
      <c r="G10" s="66">
        <v>200</v>
      </c>
      <c r="H10" s="67">
        <v>75</v>
      </c>
      <c r="I10" s="67">
        <v>15000</v>
      </c>
    </row>
    <row r="11" spans="1:9" ht="24" x14ac:dyDescent="0.2">
      <c r="A11" s="64">
        <v>2</v>
      </c>
      <c r="B11" s="65" t="s">
        <v>22</v>
      </c>
      <c r="C11" s="69" t="s">
        <v>17</v>
      </c>
      <c r="D11" s="64" t="s">
        <v>23</v>
      </c>
      <c r="E11" s="69" t="s">
        <v>24</v>
      </c>
      <c r="F11" s="66" t="s">
        <v>25</v>
      </c>
      <c r="G11" s="66">
        <v>1000</v>
      </c>
      <c r="H11" s="67">
        <v>150</v>
      </c>
      <c r="I11" s="67">
        <v>150000</v>
      </c>
    </row>
    <row r="12" spans="1:9" ht="24" x14ac:dyDescent="0.2">
      <c r="A12" s="64">
        <v>3</v>
      </c>
      <c r="B12" s="65" t="s">
        <v>26</v>
      </c>
      <c r="C12" s="69" t="s">
        <v>17</v>
      </c>
      <c r="D12" s="64" t="s">
        <v>23</v>
      </c>
      <c r="E12" s="69" t="s">
        <v>27</v>
      </c>
      <c r="F12" s="66" t="s">
        <v>25</v>
      </c>
      <c r="G12" s="66">
        <v>1000</v>
      </c>
      <c r="H12" s="67">
        <v>180</v>
      </c>
      <c r="I12" s="67">
        <v>180000</v>
      </c>
    </row>
    <row r="13" spans="1:9" ht="24" x14ac:dyDescent="0.2">
      <c r="A13" s="64">
        <v>4</v>
      </c>
      <c r="B13" s="65" t="s">
        <v>28</v>
      </c>
      <c r="C13" s="69" t="s">
        <v>17</v>
      </c>
      <c r="D13" s="64" t="s">
        <v>18</v>
      </c>
      <c r="E13" s="69" t="s">
        <v>29</v>
      </c>
      <c r="F13" s="66" t="s">
        <v>19</v>
      </c>
      <c r="G13" s="66">
        <v>400</v>
      </c>
      <c r="H13" s="67">
        <v>480</v>
      </c>
      <c r="I13" s="67">
        <v>192000</v>
      </c>
    </row>
    <row r="14" spans="1:9" ht="24" x14ac:dyDescent="0.2">
      <c r="A14" s="64">
        <v>5</v>
      </c>
      <c r="B14" s="65" t="s">
        <v>30</v>
      </c>
      <c r="C14" s="69" t="s">
        <v>17</v>
      </c>
      <c r="D14" s="64" t="s">
        <v>18</v>
      </c>
      <c r="E14" s="69" t="s">
        <v>31</v>
      </c>
      <c r="F14" s="66" t="s">
        <v>25</v>
      </c>
      <c r="G14" s="66">
        <v>5</v>
      </c>
      <c r="H14" s="67">
        <v>525</v>
      </c>
      <c r="I14" s="67">
        <v>2625</v>
      </c>
    </row>
    <row r="15" spans="1:9" ht="24" x14ac:dyDescent="0.2">
      <c r="A15" s="64">
        <v>6</v>
      </c>
      <c r="B15" s="65" t="s">
        <v>32</v>
      </c>
      <c r="C15" s="69" t="s">
        <v>17</v>
      </c>
      <c r="D15" s="64" t="s">
        <v>23</v>
      </c>
      <c r="E15" s="69" t="s">
        <v>33</v>
      </c>
      <c r="F15" s="66" t="s">
        <v>25</v>
      </c>
      <c r="G15" s="66">
        <v>20</v>
      </c>
      <c r="H15" s="67">
        <v>690</v>
      </c>
      <c r="I15" s="67">
        <v>13800</v>
      </c>
    </row>
    <row r="16" spans="1:9" ht="24" x14ac:dyDescent="0.2">
      <c r="A16" s="64">
        <v>7</v>
      </c>
      <c r="B16" s="65" t="s">
        <v>34</v>
      </c>
      <c r="C16" s="69" t="s">
        <v>17</v>
      </c>
      <c r="D16" s="64" t="s">
        <v>23</v>
      </c>
      <c r="E16" s="69" t="s">
        <v>35</v>
      </c>
      <c r="F16" s="66" t="s">
        <v>25</v>
      </c>
      <c r="G16" s="66">
        <v>20</v>
      </c>
      <c r="H16" s="67">
        <v>690</v>
      </c>
      <c r="I16" s="67">
        <v>13800</v>
      </c>
    </row>
    <row r="17" spans="1:9" ht="24" x14ac:dyDescent="0.2">
      <c r="A17" s="64">
        <v>8</v>
      </c>
      <c r="B17" s="65" t="s">
        <v>36</v>
      </c>
      <c r="C17" s="69" t="s">
        <v>17</v>
      </c>
      <c r="D17" s="64" t="s">
        <v>23</v>
      </c>
      <c r="E17" s="69" t="s">
        <v>37</v>
      </c>
      <c r="F17" s="66" t="s">
        <v>25</v>
      </c>
      <c r="G17" s="66">
        <v>20</v>
      </c>
      <c r="H17" s="67">
        <v>690</v>
      </c>
      <c r="I17" s="67">
        <v>13800</v>
      </c>
    </row>
    <row r="18" spans="1:9" ht="24" x14ac:dyDescent="0.2">
      <c r="A18" s="64">
        <v>9</v>
      </c>
      <c r="B18" s="65" t="s">
        <v>38</v>
      </c>
      <c r="C18" s="69" t="s">
        <v>17</v>
      </c>
      <c r="D18" s="64" t="s">
        <v>23</v>
      </c>
      <c r="E18" s="69" t="s">
        <v>39</v>
      </c>
      <c r="F18" s="66" t="s">
        <v>25</v>
      </c>
      <c r="G18" s="66">
        <v>5</v>
      </c>
      <c r="H18" s="67">
        <v>4500</v>
      </c>
      <c r="I18" s="67">
        <v>22500</v>
      </c>
    </row>
    <row r="19" spans="1:9" ht="24" x14ac:dyDescent="0.2">
      <c r="A19" s="64">
        <v>10</v>
      </c>
      <c r="B19" s="65" t="s">
        <v>40</v>
      </c>
      <c r="C19" s="69" t="s">
        <v>17</v>
      </c>
      <c r="D19" s="64" t="s">
        <v>23</v>
      </c>
      <c r="E19" s="69" t="s">
        <v>41</v>
      </c>
      <c r="F19" s="66" t="s">
        <v>25</v>
      </c>
      <c r="G19" s="66">
        <v>5</v>
      </c>
      <c r="H19" s="67">
        <v>4500</v>
      </c>
      <c r="I19" s="67">
        <v>22500</v>
      </c>
    </row>
    <row r="20" spans="1:9" ht="24" x14ac:dyDescent="0.2">
      <c r="A20" s="64">
        <v>11</v>
      </c>
      <c r="B20" s="65" t="s">
        <v>42</v>
      </c>
      <c r="C20" s="69" t="s">
        <v>43</v>
      </c>
      <c r="D20" s="64" t="s">
        <v>18</v>
      </c>
      <c r="E20" s="69" t="s">
        <v>44</v>
      </c>
      <c r="F20" s="66" t="s">
        <v>25</v>
      </c>
      <c r="G20" s="66">
        <v>3</v>
      </c>
      <c r="H20" s="67">
        <v>6500</v>
      </c>
      <c r="I20" s="67">
        <v>19500</v>
      </c>
    </row>
    <row r="21" spans="1:9" ht="15" x14ac:dyDescent="0.2">
      <c r="A21" s="64">
        <v>12</v>
      </c>
      <c r="B21" s="65" t="s">
        <v>45</v>
      </c>
      <c r="C21" s="69" t="s">
        <v>17</v>
      </c>
      <c r="D21" s="64" t="s">
        <v>18</v>
      </c>
      <c r="E21" s="69" t="s">
        <v>46</v>
      </c>
      <c r="F21" s="66" t="s">
        <v>25</v>
      </c>
      <c r="G21" s="66">
        <v>10</v>
      </c>
      <c r="H21" s="67">
        <v>6520</v>
      </c>
      <c r="I21" s="67">
        <v>65200</v>
      </c>
    </row>
    <row r="22" spans="1:9" ht="36" x14ac:dyDescent="0.2">
      <c r="A22" s="64">
        <v>13</v>
      </c>
      <c r="B22" s="65" t="s">
        <v>47</v>
      </c>
      <c r="C22" s="69" t="s">
        <v>17</v>
      </c>
      <c r="D22" s="64" t="s">
        <v>48</v>
      </c>
      <c r="E22" s="69" t="s">
        <v>49</v>
      </c>
      <c r="F22" s="66" t="s">
        <v>25</v>
      </c>
      <c r="G22" s="66">
        <v>1</v>
      </c>
      <c r="H22" s="67">
        <v>6800</v>
      </c>
      <c r="I22" s="67">
        <v>6800</v>
      </c>
    </row>
    <row r="23" spans="1:9" ht="15.75" thickBot="1" x14ac:dyDescent="0.25">
      <c r="A23" s="64">
        <v>14</v>
      </c>
      <c r="B23" s="65" t="s">
        <v>50</v>
      </c>
      <c r="C23" s="69" t="s">
        <v>17</v>
      </c>
      <c r="D23" s="64" t="s">
        <v>18</v>
      </c>
      <c r="E23" s="69" t="s">
        <v>51</v>
      </c>
      <c r="F23" s="66" t="s">
        <v>25</v>
      </c>
      <c r="G23" s="66">
        <v>5</v>
      </c>
      <c r="H23" s="67">
        <v>12000</v>
      </c>
      <c r="I23" s="67">
        <v>60000</v>
      </c>
    </row>
    <row r="24" spans="1:9" ht="13.5" customHeight="1" thickBot="1" x14ac:dyDescent="0.25">
      <c r="C24" s="7" t="s">
        <v>113</v>
      </c>
      <c r="H24" s="11" t="s">
        <v>52</v>
      </c>
      <c r="I24" s="12">
        <f>SUM(I10:I23)</f>
        <v>777525</v>
      </c>
    </row>
    <row r="25" spans="1:9" ht="6.75" customHeight="1" x14ac:dyDescent="0.25">
      <c r="B25" s="8"/>
      <c r="C25" s="9"/>
      <c r="D25" s="9"/>
      <c r="E25" s="10"/>
      <c r="F25" s="6"/>
    </row>
    <row r="26" spans="1:9" ht="15" customHeight="1" x14ac:dyDescent="0.2">
      <c r="B26" s="88" t="s">
        <v>53</v>
      </c>
      <c r="C26" s="89"/>
      <c r="D26" s="89"/>
      <c r="E26" s="90"/>
    </row>
    <row r="27" spans="1:9" ht="97.5" customHeight="1" x14ac:dyDescent="0.2">
      <c r="B27" s="94" t="s">
        <v>112</v>
      </c>
      <c r="C27" s="95"/>
      <c r="D27" s="95"/>
      <c r="E27" s="96"/>
    </row>
    <row r="28" spans="1:9" ht="16.5" customHeight="1" x14ac:dyDescent="0.2">
      <c r="B28" s="88" t="s">
        <v>54</v>
      </c>
      <c r="C28" s="89"/>
      <c r="D28" s="89"/>
      <c r="E28" s="90"/>
    </row>
    <row r="29" spans="1:9" ht="15" customHeight="1" x14ac:dyDescent="0.2">
      <c r="B29" s="91" t="s">
        <v>55</v>
      </c>
      <c r="C29" s="92"/>
      <c r="D29" s="92"/>
      <c r="E29" s="93"/>
    </row>
    <row r="30" spans="1:9" ht="15" customHeight="1" x14ac:dyDescent="0.2">
      <c r="B30" s="88" t="s">
        <v>56</v>
      </c>
      <c r="C30" s="89"/>
      <c r="D30" s="89"/>
      <c r="E30" s="90"/>
    </row>
    <row r="31" spans="1:9" ht="15" customHeight="1" x14ac:dyDescent="0.2">
      <c r="B31" s="91" t="s">
        <v>57</v>
      </c>
      <c r="C31" s="92"/>
      <c r="D31" s="92"/>
      <c r="E31" s="93"/>
    </row>
    <row r="32" spans="1:9" ht="15" customHeight="1" x14ac:dyDescent="0.2">
      <c r="B32" s="88" t="s">
        <v>58</v>
      </c>
      <c r="C32" s="89"/>
      <c r="D32" s="89"/>
      <c r="E32" s="90"/>
    </row>
    <row r="33" spans="2:5" ht="31.5" customHeight="1" thickBot="1" x14ac:dyDescent="0.25">
      <c r="B33" s="85" t="s">
        <v>59</v>
      </c>
      <c r="C33" s="86"/>
      <c r="D33" s="86"/>
      <c r="E33" s="87"/>
    </row>
    <row r="34" spans="2:5" ht="12.75" customHeight="1" x14ac:dyDescent="0.2">
      <c r="C34" s="2"/>
      <c r="D34" s="2"/>
      <c r="E34" s="2"/>
    </row>
  </sheetData>
  <autoFilter ref="A9:I24"/>
  <mergeCells count="17">
    <mergeCell ref="A4:B4"/>
    <mergeCell ref="A5:B5"/>
    <mergeCell ref="A6:B6"/>
    <mergeCell ref="A7:B7"/>
    <mergeCell ref="A2:I2"/>
    <mergeCell ref="C4:I4"/>
    <mergeCell ref="C5:I5"/>
    <mergeCell ref="C6:I6"/>
    <mergeCell ref="C7:I7"/>
    <mergeCell ref="B33:E33"/>
    <mergeCell ref="B26:E26"/>
    <mergeCell ref="B28:E28"/>
    <mergeCell ref="B30:E30"/>
    <mergeCell ref="B32:E32"/>
    <mergeCell ref="B29:E29"/>
    <mergeCell ref="B27:E27"/>
    <mergeCell ref="B31:E31"/>
  </mergeCells>
  <pageMargins left="0.70866141732283472" right="0.70866141732283472" top="0.74803149606299213" bottom="0.74803149606299213" header="0.51181102362204722" footer="0.51181102362204722"/>
  <pageSetup paperSize="9" scale="6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Views>
    <sheetView topLeftCell="A10" workbookViewId="0">
      <selection activeCell="C28" sqref="C28"/>
    </sheetView>
  </sheetViews>
  <sheetFormatPr baseColWidth="10" defaultColWidth="9.140625" defaultRowHeight="12.75" customHeight="1" x14ac:dyDescent="0.2"/>
  <cols>
    <col min="1" max="1" width="7.28515625" style="23" customWidth="1"/>
    <col min="2" max="2" width="20.140625" style="23" customWidth="1"/>
    <col min="3" max="3" width="85.85546875" style="23" customWidth="1"/>
    <col min="4" max="4" width="9.140625" style="23"/>
    <col min="5" max="5" width="11" style="23" customWidth="1"/>
    <col min="6" max="6" width="16" style="23" customWidth="1"/>
    <col min="7" max="7" width="10.5703125" style="23" customWidth="1"/>
  </cols>
  <sheetData>
    <row r="1" spans="1:7" ht="18" customHeight="1" x14ac:dyDescent="0.2">
      <c r="A1" s="134" t="s">
        <v>60</v>
      </c>
      <c r="B1" s="134"/>
      <c r="C1" s="134"/>
      <c r="D1" s="134"/>
      <c r="E1" s="134"/>
      <c r="F1" s="134"/>
      <c r="G1" s="134"/>
    </row>
    <row r="2" spans="1:7" ht="18.75" customHeight="1" x14ac:dyDescent="0.2">
      <c r="A2" s="24"/>
      <c r="B2" s="24"/>
      <c r="C2" s="24"/>
      <c r="D2" s="24"/>
      <c r="E2" s="24"/>
      <c r="F2" s="25" t="s">
        <v>61</v>
      </c>
      <c r="G2" s="26" t="s">
        <v>109</v>
      </c>
    </row>
    <row r="3" spans="1:7" ht="7.5" customHeight="1" x14ac:dyDescent="0.2">
      <c r="A3" s="24"/>
      <c r="B3" s="24"/>
      <c r="C3" s="24"/>
      <c r="D3" s="24"/>
      <c r="E3" s="24"/>
      <c r="F3" s="24"/>
      <c r="G3" s="24"/>
    </row>
    <row r="4" spans="1:7" ht="18.75" customHeight="1" x14ac:dyDescent="0.2">
      <c r="A4" s="138" t="s">
        <v>62</v>
      </c>
      <c r="B4" s="139"/>
      <c r="C4" s="135" t="s">
        <v>2</v>
      </c>
      <c r="D4" s="136"/>
      <c r="E4" s="136"/>
      <c r="F4" s="136"/>
      <c r="G4" s="137"/>
    </row>
    <row r="5" spans="1:7" ht="18.75" customHeight="1" x14ac:dyDescent="0.2">
      <c r="A5" s="124" t="s">
        <v>63</v>
      </c>
      <c r="B5" s="125"/>
      <c r="C5" s="111" t="s">
        <v>4</v>
      </c>
      <c r="D5" s="112"/>
      <c r="E5" s="112"/>
      <c r="F5" s="112"/>
      <c r="G5" s="113"/>
    </row>
    <row r="6" spans="1:7" ht="18.75" customHeight="1" x14ac:dyDescent="0.2">
      <c r="A6" s="124" t="s">
        <v>64</v>
      </c>
      <c r="B6" s="125"/>
      <c r="C6" s="111" t="s">
        <v>65</v>
      </c>
      <c r="D6" s="112"/>
      <c r="E6" s="112"/>
      <c r="F6" s="112"/>
      <c r="G6" s="113"/>
    </row>
    <row r="7" spans="1:7" ht="32.25" customHeight="1" x14ac:dyDescent="0.2">
      <c r="A7" s="124" t="s">
        <v>66</v>
      </c>
      <c r="B7" s="125"/>
      <c r="C7" s="111" t="s">
        <v>108</v>
      </c>
      <c r="D7" s="112"/>
      <c r="E7" s="112"/>
      <c r="F7" s="112"/>
      <c r="G7" s="113"/>
    </row>
    <row r="8" spans="1:7" ht="16.5" customHeight="1" x14ac:dyDescent="0.2">
      <c r="A8" s="124" t="s">
        <v>67</v>
      </c>
      <c r="B8" s="125"/>
      <c r="C8" s="111" t="s">
        <v>68</v>
      </c>
      <c r="D8" s="112"/>
      <c r="E8" s="112"/>
      <c r="F8" s="112"/>
      <c r="G8" s="113"/>
    </row>
    <row r="9" spans="1:7" ht="27.75" customHeight="1" x14ac:dyDescent="0.2">
      <c r="A9" s="114" t="s">
        <v>69</v>
      </c>
      <c r="B9" s="115"/>
      <c r="C9" s="121" t="s">
        <v>107</v>
      </c>
      <c r="D9" s="122"/>
      <c r="E9" s="122"/>
      <c r="F9" s="122"/>
      <c r="G9" s="123"/>
    </row>
    <row r="10" spans="1:7" ht="16.5" customHeight="1" x14ac:dyDescent="0.2">
      <c r="A10" s="27"/>
      <c r="B10" s="28"/>
      <c r="C10" s="4"/>
      <c r="D10" s="4"/>
      <c r="E10" s="3"/>
      <c r="F10" s="3"/>
      <c r="G10" s="5"/>
    </row>
    <row r="11" spans="1:7" ht="18.75" customHeight="1" x14ac:dyDescent="0.2">
      <c r="A11" s="126" t="s">
        <v>70</v>
      </c>
      <c r="B11" s="128" t="s">
        <v>71</v>
      </c>
      <c r="C11" s="116" t="s">
        <v>72</v>
      </c>
      <c r="D11" s="132" t="s">
        <v>73</v>
      </c>
      <c r="E11" s="132" t="s">
        <v>74</v>
      </c>
      <c r="F11" s="132" t="s">
        <v>75</v>
      </c>
      <c r="G11" s="132" t="s">
        <v>76</v>
      </c>
    </row>
    <row r="12" spans="1:7" ht="24" customHeight="1" x14ac:dyDescent="0.2">
      <c r="A12" s="127"/>
      <c r="B12" s="129"/>
      <c r="C12" s="117"/>
      <c r="D12" s="133"/>
      <c r="E12" s="133"/>
      <c r="F12" s="133"/>
      <c r="G12" s="133"/>
    </row>
    <row r="13" spans="1:7" ht="15" customHeight="1" x14ac:dyDescent="0.2">
      <c r="A13" s="29">
        <v>1</v>
      </c>
      <c r="B13" s="19" t="s">
        <v>47</v>
      </c>
      <c r="C13" s="20" t="s">
        <v>49</v>
      </c>
      <c r="D13" s="16" t="s">
        <v>77</v>
      </c>
      <c r="E13" s="16" t="s">
        <v>25</v>
      </c>
      <c r="F13" s="17">
        <v>6800</v>
      </c>
      <c r="G13" s="18">
        <v>1</v>
      </c>
    </row>
    <row r="14" spans="1:7" ht="15" customHeight="1" x14ac:dyDescent="0.2">
      <c r="A14" s="29">
        <v>2</v>
      </c>
      <c r="B14" s="19" t="s">
        <v>42</v>
      </c>
      <c r="C14" s="20" t="s">
        <v>44</v>
      </c>
      <c r="D14" s="16" t="s">
        <v>77</v>
      </c>
      <c r="E14" s="16" t="s">
        <v>25</v>
      </c>
      <c r="F14" s="17">
        <v>6500</v>
      </c>
      <c r="G14" s="18">
        <v>3</v>
      </c>
    </row>
    <row r="15" spans="1:7" ht="15" customHeight="1" x14ac:dyDescent="0.2">
      <c r="A15" s="29">
        <v>3</v>
      </c>
      <c r="B15" s="19" t="s">
        <v>22</v>
      </c>
      <c r="C15" s="20" t="s">
        <v>24</v>
      </c>
      <c r="D15" s="16" t="s">
        <v>77</v>
      </c>
      <c r="E15" s="16" t="s">
        <v>25</v>
      </c>
      <c r="F15" s="17">
        <v>150</v>
      </c>
      <c r="G15" s="18">
        <v>1000</v>
      </c>
    </row>
    <row r="16" spans="1:7" ht="15" customHeight="1" x14ac:dyDescent="0.2">
      <c r="A16" s="29">
        <v>4</v>
      </c>
      <c r="B16" s="19" t="s">
        <v>26</v>
      </c>
      <c r="C16" s="20" t="s">
        <v>27</v>
      </c>
      <c r="D16" s="16" t="s">
        <v>77</v>
      </c>
      <c r="E16" s="16" t="s">
        <v>25</v>
      </c>
      <c r="F16" s="17">
        <v>180</v>
      </c>
      <c r="G16" s="18">
        <v>1000</v>
      </c>
    </row>
    <row r="17" spans="1:7" ht="15" customHeight="1" x14ac:dyDescent="0.2">
      <c r="A17" s="29">
        <v>5</v>
      </c>
      <c r="B17" s="19" t="s">
        <v>32</v>
      </c>
      <c r="C17" s="20" t="s">
        <v>33</v>
      </c>
      <c r="D17" s="16" t="s">
        <v>77</v>
      </c>
      <c r="E17" s="16" t="s">
        <v>25</v>
      </c>
      <c r="F17" s="17">
        <v>690</v>
      </c>
      <c r="G17" s="18">
        <v>20</v>
      </c>
    </row>
    <row r="18" spans="1:7" ht="15" customHeight="1" x14ac:dyDescent="0.2">
      <c r="A18" s="29">
        <v>6</v>
      </c>
      <c r="B18" s="19" t="s">
        <v>34</v>
      </c>
      <c r="C18" s="20" t="s">
        <v>35</v>
      </c>
      <c r="D18" s="16" t="s">
        <v>77</v>
      </c>
      <c r="E18" s="16" t="s">
        <v>25</v>
      </c>
      <c r="F18" s="17">
        <v>690</v>
      </c>
      <c r="G18" s="18">
        <v>20</v>
      </c>
    </row>
    <row r="19" spans="1:7" ht="15" customHeight="1" x14ac:dyDescent="0.2">
      <c r="A19" s="29">
        <v>7</v>
      </c>
      <c r="B19" s="19" t="s">
        <v>36</v>
      </c>
      <c r="C19" s="20" t="s">
        <v>37</v>
      </c>
      <c r="D19" s="16" t="s">
        <v>77</v>
      </c>
      <c r="E19" s="16" t="s">
        <v>25</v>
      </c>
      <c r="F19" s="17">
        <v>690</v>
      </c>
      <c r="G19" s="18">
        <v>20</v>
      </c>
    </row>
    <row r="20" spans="1:7" ht="15" customHeight="1" x14ac:dyDescent="0.2">
      <c r="A20" s="29">
        <v>8</v>
      </c>
      <c r="B20" s="19" t="s">
        <v>38</v>
      </c>
      <c r="C20" s="20" t="s">
        <v>39</v>
      </c>
      <c r="D20" s="16" t="s">
        <v>77</v>
      </c>
      <c r="E20" s="16" t="s">
        <v>25</v>
      </c>
      <c r="F20" s="17">
        <v>4500</v>
      </c>
      <c r="G20" s="18">
        <v>5</v>
      </c>
    </row>
    <row r="21" spans="1:7" ht="15" customHeight="1" x14ac:dyDescent="0.2">
      <c r="A21" s="29">
        <v>9</v>
      </c>
      <c r="B21" s="19" t="s">
        <v>40</v>
      </c>
      <c r="C21" s="20" t="s">
        <v>41</v>
      </c>
      <c r="D21" s="16" t="s">
        <v>77</v>
      </c>
      <c r="E21" s="16" t="s">
        <v>25</v>
      </c>
      <c r="F21" s="17">
        <v>4500</v>
      </c>
      <c r="G21" s="18">
        <v>5</v>
      </c>
    </row>
    <row r="22" spans="1:7" ht="15" customHeight="1" x14ac:dyDescent="0.2">
      <c r="A22" s="29">
        <v>10</v>
      </c>
      <c r="B22" s="19" t="s">
        <v>20</v>
      </c>
      <c r="C22" s="20" t="s">
        <v>21</v>
      </c>
      <c r="D22" s="16" t="s">
        <v>77</v>
      </c>
      <c r="E22" s="16" t="s">
        <v>19</v>
      </c>
      <c r="F22" s="17">
        <v>75</v>
      </c>
      <c r="G22" s="18">
        <v>200</v>
      </c>
    </row>
    <row r="23" spans="1:7" ht="15" customHeight="1" x14ac:dyDescent="0.2">
      <c r="A23" s="29">
        <v>11</v>
      </c>
      <c r="B23" s="19" t="s">
        <v>30</v>
      </c>
      <c r="C23" s="20" t="s">
        <v>31</v>
      </c>
      <c r="D23" s="16" t="s">
        <v>77</v>
      </c>
      <c r="E23" s="16" t="s">
        <v>25</v>
      </c>
      <c r="F23" s="17">
        <v>525</v>
      </c>
      <c r="G23" s="18">
        <v>5</v>
      </c>
    </row>
    <row r="24" spans="1:7" ht="15" customHeight="1" x14ac:dyDescent="0.2">
      <c r="A24" s="29">
        <v>12</v>
      </c>
      <c r="B24" s="19" t="s">
        <v>45</v>
      </c>
      <c r="C24" s="20" t="s">
        <v>46</v>
      </c>
      <c r="D24" s="16" t="s">
        <v>77</v>
      </c>
      <c r="E24" s="16" t="s">
        <v>25</v>
      </c>
      <c r="F24" s="17">
        <v>6520</v>
      </c>
      <c r="G24" s="18">
        <v>10</v>
      </c>
    </row>
    <row r="25" spans="1:7" ht="15" customHeight="1" x14ac:dyDescent="0.2">
      <c r="A25" s="29">
        <v>13</v>
      </c>
      <c r="B25" s="19" t="s">
        <v>50</v>
      </c>
      <c r="C25" s="20" t="s">
        <v>51</v>
      </c>
      <c r="D25" s="16" t="s">
        <v>77</v>
      </c>
      <c r="E25" s="16" t="s">
        <v>25</v>
      </c>
      <c r="F25" s="17">
        <v>12000</v>
      </c>
      <c r="G25" s="18">
        <v>5</v>
      </c>
    </row>
    <row r="26" spans="1:7" ht="15" customHeight="1" x14ac:dyDescent="0.2">
      <c r="A26" s="29">
        <v>14</v>
      </c>
      <c r="B26" s="19" t="s">
        <v>28</v>
      </c>
      <c r="C26" s="20" t="s">
        <v>29</v>
      </c>
      <c r="D26" s="16" t="s">
        <v>77</v>
      </c>
      <c r="E26" s="16" t="s">
        <v>19</v>
      </c>
      <c r="F26" s="17">
        <v>480</v>
      </c>
      <c r="G26" s="18">
        <v>400</v>
      </c>
    </row>
    <row r="27" spans="1:7" ht="15" customHeight="1" x14ac:dyDescent="0.2">
      <c r="A27" s="29"/>
      <c r="B27" s="19"/>
      <c r="C27" s="20"/>
      <c r="D27" s="16"/>
      <c r="E27" s="16"/>
      <c r="F27" s="17"/>
      <c r="G27" s="18"/>
    </row>
    <row r="28" spans="1:7" ht="15.75" customHeight="1" x14ac:dyDescent="0.2">
      <c r="A28" s="30"/>
      <c r="B28" s="21"/>
      <c r="C28" s="22"/>
      <c r="D28" s="13"/>
      <c r="E28" s="13"/>
      <c r="F28" s="14"/>
      <c r="G28" s="15"/>
    </row>
    <row r="29" spans="1:7" ht="20.25" customHeight="1" x14ac:dyDescent="0.2">
      <c r="A29" s="119" t="s">
        <v>78</v>
      </c>
      <c r="B29" s="120"/>
      <c r="C29" s="130" t="s">
        <v>114</v>
      </c>
      <c r="D29" s="130"/>
      <c r="E29" s="131"/>
      <c r="F29" s="118">
        <f>SUMPRODUCT(F13:F28,G13:G28)</f>
        <v>777525</v>
      </c>
      <c r="G29" s="118"/>
    </row>
    <row r="33" spans="1:4" ht="13.5" customHeight="1" x14ac:dyDescent="0.2"/>
    <row r="34" spans="1:4" ht="15.75" customHeight="1" x14ac:dyDescent="0.2">
      <c r="A34" s="31"/>
      <c r="B34" s="109" t="s">
        <v>79</v>
      </c>
      <c r="C34" s="109"/>
      <c r="D34" s="110"/>
    </row>
    <row r="35" spans="1:4" ht="18.75" customHeight="1" x14ac:dyDescent="0.2">
      <c r="A35" s="32"/>
      <c r="B35" s="33"/>
      <c r="C35" s="34"/>
      <c r="D35" s="35"/>
    </row>
    <row r="36" spans="1:4" ht="18.75" customHeight="1" x14ac:dyDescent="0.2">
      <c r="A36" s="36"/>
      <c r="B36" s="37"/>
      <c r="C36" s="38"/>
      <c r="D36" s="39"/>
    </row>
  </sheetData>
  <mergeCells count="24">
    <mergeCell ref="A1:G1"/>
    <mergeCell ref="C4:G4"/>
    <mergeCell ref="C5:G5"/>
    <mergeCell ref="C6:G6"/>
    <mergeCell ref="C7:G7"/>
    <mergeCell ref="A4:B4"/>
    <mergeCell ref="A5:B5"/>
    <mergeCell ref="A6:B6"/>
    <mergeCell ref="A7:B7"/>
    <mergeCell ref="B34:D34"/>
    <mergeCell ref="C8:G8"/>
    <mergeCell ref="A9:B9"/>
    <mergeCell ref="C11:C12"/>
    <mergeCell ref="F29:G29"/>
    <mergeCell ref="A29:B29"/>
    <mergeCell ref="C9:G9"/>
    <mergeCell ref="A8:B8"/>
    <mergeCell ref="A11:A12"/>
    <mergeCell ref="B11:B12"/>
    <mergeCell ref="C29:E29"/>
    <mergeCell ref="F11:F12"/>
    <mergeCell ref="G11:G12"/>
    <mergeCell ref="E11:E12"/>
    <mergeCell ref="D11:D12"/>
  </mergeCells>
  <printOptions horizontalCentered="1"/>
  <pageMargins left="0.19652777777777999" right="0.19652777777777999" top="0.98402777777778005" bottom="0.98402777777778005" header="0.51180555555554996" footer="0.51180555555554996"/>
  <pageSetup paperSize="9" scale="9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6"/>
  <sheetViews>
    <sheetView tabSelected="1" topLeftCell="A8" workbookViewId="0">
      <selection activeCell="T20" sqref="T20"/>
    </sheetView>
  </sheetViews>
  <sheetFormatPr baseColWidth="10" defaultColWidth="11" defaultRowHeight="12.75" customHeight="1" x14ac:dyDescent="0.2"/>
  <cols>
    <col min="1" max="4" width="4.42578125" style="42" customWidth="1"/>
    <col min="5" max="5" width="7.5703125" style="42" customWidth="1"/>
    <col min="6" max="6" width="5.85546875" style="42" customWidth="1"/>
    <col min="7" max="7" width="4.42578125" style="43" customWidth="1"/>
    <col min="8" max="11" width="4.42578125" style="42" customWidth="1"/>
    <col min="12" max="12" width="5" style="42" customWidth="1"/>
    <col min="13" max="14" width="4.42578125" style="42" customWidth="1"/>
    <col min="15" max="15" width="24.7109375" style="42" customWidth="1"/>
    <col min="16" max="16" width="14.85546875" style="42" customWidth="1"/>
    <col min="17" max="17" width="14.7109375" style="42" customWidth="1"/>
  </cols>
  <sheetData>
    <row r="1" spans="1:17" ht="15.75" customHeight="1" x14ac:dyDescent="0.25">
      <c r="A1" s="164" t="s">
        <v>5</v>
      </c>
      <c r="B1" s="164"/>
      <c r="C1" s="164"/>
      <c r="D1" s="165">
        <v>2022</v>
      </c>
      <c r="E1" s="165"/>
      <c r="F1" s="40"/>
      <c r="G1" s="40"/>
      <c r="H1" s="41"/>
      <c r="I1" s="41"/>
      <c r="J1" s="41"/>
      <c r="K1" s="41"/>
      <c r="L1" s="41"/>
      <c r="M1" s="41"/>
      <c r="N1" s="41"/>
      <c r="P1" s="166" t="s">
        <v>80</v>
      </c>
      <c r="Q1" s="166"/>
    </row>
    <row r="2" spans="1:17" ht="15.75" customHeight="1" x14ac:dyDescent="0.2">
      <c r="H2" s="41"/>
      <c r="I2" s="41"/>
      <c r="J2" s="41"/>
      <c r="K2" s="41"/>
      <c r="L2" s="41"/>
      <c r="M2" s="41"/>
      <c r="N2" s="41"/>
      <c r="P2" s="166"/>
      <c r="Q2" s="166"/>
    </row>
    <row r="4" spans="1:17" s="44" customFormat="1" ht="18" customHeight="1" x14ac:dyDescent="0.2">
      <c r="A4" s="167" t="s">
        <v>81</v>
      </c>
      <c r="B4" s="167"/>
      <c r="C4" s="167"/>
      <c r="D4" s="167"/>
      <c r="E4" s="167"/>
      <c r="F4" s="167"/>
      <c r="G4" s="168" t="s">
        <v>2</v>
      </c>
      <c r="H4" s="168"/>
      <c r="I4" s="168"/>
      <c r="J4" s="168"/>
      <c r="K4" s="168"/>
      <c r="L4" s="168"/>
      <c r="M4" s="168"/>
      <c r="N4" s="168"/>
      <c r="O4" s="168"/>
      <c r="P4" s="168"/>
      <c r="Q4" s="168"/>
    </row>
    <row r="5" spans="1:17" s="44" customFormat="1" ht="32.25" customHeight="1" x14ac:dyDescent="0.2">
      <c r="A5" s="140" t="s">
        <v>63</v>
      </c>
      <c r="B5" s="141"/>
      <c r="C5" s="141"/>
      <c r="D5" s="141"/>
      <c r="E5" s="141"/>
      <c r="F5" s="142"/>
      <c r="G5" s="143" t="s">
        <v>4</v>
      </c>
      <c r="H5" s="143"/>
      <c r="I5" s="143"/>
      <c r="J5" s="143"/>
      <c r="K5" s="143"/>
      <c r="L5" s="143"/>
      <c r="M5" s="143"/>
      <c r="N5" s="143"/>
      <c r="O5" s="143"/>
      <c r="P5" s="143"/>
      <c r="Q5" s="143"/>
    </row>
    <row r="6" spans="1:17" s="44" customFormat="1" ht="18" customHeight="1" x14ac:dyDescent="0.2">
      <c r="A6" s="140" t="s">
        <v>64</v>
      </c>
      <c r="B6" s="141"/>
      <c r="C6" s="141"/>
      <c r="D6" s="141"/>
      <c r="E6" s="141"/>
      <c r="F6" s="142"/>
      <c r="G6" s="168" t="s">
        <v>65</v>
      </c>
      <c r="H6" s="168"/>
      <c r="I6" s="168"/>
      <c r="J6" s="168"/>
      <c r="K6" s="168"/>
      <c r="L6" s="168"/>
      <c r="M6" s="168"/>
      <c r="N6" s="168"/>
      <c r="O6" s="168"/>
      <c r="P6" s="168"/>
      <c r="Q6" s="168"/>
    </row>
    <row r="7" spans="1:17" s="44" customFormat="1" ht="44.25" customHeight="1" x14ac:dyDescent="0.2">
      <c r="A7" s="140" t="s">
        <v>66</v>
      </c>
      <c r="B7" s="141"/>
      <c r="C7" s="141"/>
      <c r="D7" s="141"/>
      <c r="E7" s="141"/>
      <c r="F7" s="142"/>
      <c r="G7" s="171" t="s">
        <v>65</v>
      </c>
      <c r="H7" s="172"/>
      <c r="I7" s="172"/>
      <c r="J7" s="172"/>
      <c r="K7" s="172"/>
      <c r="L7" s="172"/>
      <c r="M7" s="172"/>
      <c r="N7" s="172"/>
      <c r="O7" s="172"/>
      <c r="P7" s="172"/>
      <c r="Q7" s="173"/>
    </row>
    <row r="8" spans="1:17" ht="18" customHeight="1" x14ac:dyDescent="0.2">
      <c r="A8" s="144" t="s">
        <v>82</v>
      </c>
      <c r="B8" s="144"/>
      <c r="C8" s="144" t="s">
        <v>68</v>
      </c>
      <c r="D8" s="144"/>
      <c r="E8" s="144"/>
      <c r="F8" s="144"/>
      <c r="G8" s="144"/>
      <c r="H8" s="144"/>
      <c r="I8" s="144"/>
      <c r="J8" s="144"/>
      <c r="K8" s="144"/>
      <c r="L8" s="144"/>
      <c r="M8" s="144"/>
      <c r="N8" s="144"/>
      <c r="O8" s="144"/>
      <c r="P8" s="144"/>
      <c r="Q8" s="144"/>
    </row>
    <row r="9" spans="1:17" ht="18" customHeight="1" x14ac:dyDescent="0.25">
      <c r="A9" s="149" t="s">
        <v>83</v>
      </c>
      <c r="B9" s="149"/>
      <c r="C9" s="149"/>
      <c r="D9" s="149"/>
      <c r="E9" s="149"/>
      <c r="F9" s="149"/>
      <c r="G9" s="149"/>
      <c r="H9" s="149"/>
      <c r="I9" s="149"/>
      <c r="J9" s="149"/>
      <c r="K9" s="149"/>
      <c r="L9" s="149"/>
      <c r="M9" s="149"/>
      <c r="N9" s="149"/>
      <c r="O9" s="45"/>
      <c r="P9" s="45"/>
      <c r="Q9" s="46"/>
    </row>
    <row r="10" spans="1:17" ht="54.75" customHeight="1" x14ac:dyDescent="0.2">
      <c r="A10" s="150" t="s">
        <v>110</v>
      </c>
      <c r="B10" s="151"/>
      <c r="C10" s="151"/>
      <c r="D10" s="151"/>
      <c r="E10" s="151"/>
      <c r="F10" s="151"/>
      <c r="G10" s="151"/>
      <c r="H10" s="151"/>
      <c r="I10" s="151"/>
      <c r="J10" s="151"/>
      <c r="K10" s="151"/>
      <c r="L10" s="151"/>
      <c r="M10" s="151"/>
      <c r="N10" s="151"/>
      <c r="O10" s="151"/>
      <c r="P10" s="151"/>
      <c r="Q10" s="152"/>
    </row>
    <row r="11" spans="1:17" ht="9" customHeight="1" x14ac:dyDescent="0.2">
      <c r="A11" s="47"/>
      <c r="B11" s="48"/>
      <c r="C11" s="48"/>
      <c r="D11" s="48"/>
      <c r="E11" s="48"/>
      <c r="F11" s="48"/>
      <c r="G11" s="49"/>
      <c r="H11" s="48"/>
      <c r="I11" s="48"/>
      <c r="J11" s="48"/>
      <c r="K11" s="48"/>
      <c r="L11" s="48"/>
      <c r="M11" s="48"/>
      <c r="N11" s="48"/>
      <c r="O11" s="48"/>
      <c r="P11" s="48"/>
      <c r="Q11" s="50"/>
    </row>
    <row r="12" spans="1:17" ht="15.75" customHeight="1" x14ac:dyDescent="0.2">
      <c r="A12" s="177" t="s">
        <v>84</v>
      </c>
      <c r="B12" s="177"/>
      <c r="C12" s="177"/>
      <c r="D12" s="177"/>
      <c r="E12" s="177"/>
      <c r="F12" s="177"/>
      <c r="G12" s="177"/>
      <c r="H12" s="177"/>
      <c r="I12" s="177"/>
      <c r="J12" s="177"/>
      <c r="K12" s="177"/>
      <c r="L12" s="177"/>
      <c r="M12" s="177"/>
      <c r="N12" s="177"/>
      <c r="O12" s="177"/>
      <c r="P12" s="177"/>
      <c r="Q12" s="177"/>
    </row>
    <row r="13" spans="1:17" ht="15.75" customHeight="1" x14ac:dyDescent="0.2">
      <c r="A13" s="177" t="s">
        <v>85</v>
      </c>
      <c r="B13" s="177"/>
      <c r="C13" s="177"/>
      <c r="D13" s="177"/>
      <c r="E13" s="177"/>
      <c r="F13" s="177"/>
      <c r="G13" s="177"/>
      <c r="H13" s="177"/>
      <c r="I13" s="177"/>
      <c r="J13" s="177"/>
      <c r="K13" s="177"/>
      <c r="L13" s="177"/>
      <c r="M13" s="177"/>
      <c r="N13" s="178"/>
      <c r="O13" s="153" t="s">
        <v>86</v>
      </c>
      <c r="P13" s="154"/>
      <c r="Q13" s="157" t="s">
        <v>87</v>
      </c>
    </row>
    <row r="14" spans="1:17" ht="15.75" customHeight="1" x14ac:dyDescent="0.2">
      <c r="A14" s="51" t="s">
        <v>88</v>
      </c>
      <c r="B14" s="51" t="s">
        <v>89</v>
      </c>
      <c r="C14" s="51" t="s">
        <v>90</v>
      </c>
      <c r="D14" s="51" t="s">
        <v>91</v>
      </c>
      <c r="E14" s="51" t="s">
        <v>92</v>
      </c>
      <c r="F14" s="51" t="s">
        <v>93</v>
      </c>
      <c r="G14" s="52" t="s">
        <v>94</v>
      </c>
      <c r="H14" s="51" t="s">
        <v>95</v>
      </c>
      <c r="I14" s="51" t="s">
        <v>96</v>
      </c>
      <c r="J14" s="51" t="s">
        <v>97</v>
      </c>
      <c r="K14" s="51" t="s">
        <v>97</v>
      </c>
      <c r="L14" s="51" t="s">
        <v>98</v>
      </c>
      <c r="M14" s="51" t="s">
        <v>99</v>
      </c>
      <c r="N14" s="51" t="s">
        <v>100</v>
      </c>
      <c r="O14" s="155"/>
      <c r="P14" s="156"/>
      <c r="Q14" s="158"/>
    </row>
    <row r="15" spans="1:17" s="57" customFormat="1" ht="24.75" customHeight="1" x14ac:dyDescent="0.2">
      <c r="A15" s="53">
        <v>36</v>
      </c>
      <c r="B15" s="54">
        <v>0</v>
      </c>
      <c r="C15" s="54">
        <v>0</v>
      </c>
      <c r="D15" s="54">
        <v>1</v>
      </c>
      <c r="E15" s="54"/>
      <c r="F15" s="54">
        <v>4901</v>
      </c>
      <c r="G15" s="54">
        <v>3</v>
      </c>
      <c r="H15" s="54">
        <v>310</v>
      </c>
      <c r="I15" s="54">
        <v>2</v>
      </c>
      <c r="J15" s="54">
        <v>5</v>
      </c>
      <c r="K15" s="54">
        <v>1</v>
      </c>
      <c r="L15" s="54">
        <v>0</v>
      </c>
      <c r="M15" s="55">
        <v>1</v>
      </c>
      <c r="N15" s="68">
        <v>11</v>
      </c>
      <c r="O15" s="63" t="s">
        <v>101</v>
      </c>
      <c r="P15" s="62"/>
      <c r="Q15" s="56">
        <v>6800</v>
      </c>
    </row>
    <row r="16" spans="1:17" ht="24.75" customHeight="1" x14ac:dyDescent="0.2">
      <c r="A16" s="53">
        <v>36</v>
      </c>
      <c r="B16" s="54">
        <v>0</v>
      </c>
      <c r="C16" s="54">
        <v>0</v>
      </c>
      <c r="D16" s="54">
        <v>1</v>
      </c>
      <c r="E16" s="54"/>
      <c r="F16" s="54">
        <v>4901</v>
      </c>
      <c r="G16" s="54">
        <v>3</v>
      </c>
      <c r="H16" s="54">
        <v>310</v>
      </c>
      <c r="I16" s="54">
        <v>2</v>
      </c>
      <c r="J16" s="54">
        <v>5</v>
      </c>
      <c r="K16" s="54">
        <v>2</v>
      </c>
      <c r="L16" s="54">
        <v>0</v>
      </c>
      <c r="M16" s="55">
        <v>1</v>
      </c>
      <c r="N16" s="68">
        <v>11</v>
      </c>
      <c r="O16" s="63" t="s">
        <v>102</v>
      </c>
      <c r="P16" s="62"/>
      <c r="Q16" s="56">
        <v>354325</v>
      </c>
    </row>
    <row r="17" spans="1:19" ht="24.75" customHeight="1" x14ac:dyDescent="0.2">
      <c r="A17" s="53">
        <v>36</v>
      </c>
      <c r="B17" s="54">
        <v>0</v>
      </c>
      <c r="C17" s="54">
        <v>0</v>
      </c>
      <c r="D17" s="54">
        <v>1</v>
      </c>
      <c r="E17" s="54"/>
      <c r="F17" s="54">
        <v>4901</v>
      </c>
      <c r="G17" s="54">
        <v>3</v>
      </c>
      <c r="H17" s="54">
        <v>310</v>
      </c>
      <c r="I17" s="54">
        <v>2</v>
      </c>
      <c r="J17" s="54">
        <v>9</v>
      </c>
      <c r="K17" s="54">
        <v>5</v>
      </c>
      <c r="L17" s="54">
        <v>0</v>
      </c>
      <c r="M17" s="55">
        <v>1</v>
      </c>
      <c r="N17" s="68">
        <v>11</v>
      </c>
      <c r="O17" s="63" t="s">
        <v>103</v>
      </c>
      <c r="P17" s="62"/>
      <c r="Q17" s="56">
        <v>416400</v>
      </c>
    </row>
    <row r="18" spans="1:19" ht="24.75" customHeight="1" x14ac:dyDescent="0.2">
      <c r="A18" s="53"/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5"/>
      <c r="N18" s="68"/>
      <c r="O18" s="63"/>
      <c r="P18" s="62"/>
      <c r="Q18" s="56"/>
    </row>
    <row r="19" spans="1:19" s="57" customFormat="1" ht="24.75" customHeight="1" x14ac:dyDescent="0.2">
      <c r="A19" s="53"/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5"/>
      <c r="N19" s="68"/>
      <c r="O19" s="63"/>
      <c r="P19" s="62"/>
      <c r="Q19" s="56"/>
    </row>
    <row r="20" spans="1:19" ht="33.75" customHeight="1" x14ac:dyDescent="0.2">
      <c r="A20" s="159" t="s">
        <v>104</v>
      </c>
      <c r="B20" s="160"/>
      <c r="C20" s="161" t="s">
        <v>111</v>
      </c>
      <c r="D20" s="162"/>
      <c r="E20" s="162"/>
      <c r="F20" s="162"/>
      <c r="G20" s="162"/>
      <c r="H20" s="162"/>
      <c r="I20" s="162"/>
      <c r="J20" s="162"/>
      <c r="K20" s="162"/>
      <c r="L20" s="162"/>
      <c r="M20" s="162"/>
      <c r="N20" s="162"/>
      <c r="O20" s="162"/>
      <c r="P20" s="163"/>
      <c r="Q20" s="58">
        <f>SUM(Q15:Q19)</f>
        <v>777525</v>
      </c>
      <c r="S20" s="179"/>
    </row>
    <row r="21" spans="1:19" ht="18" customHeight="1" x14ac:dyDescent="0.2">
      <c r="A21" s="176"/>
      <c r="B21" s="176"/>
      <c r="C21" s="176"/>
      <c r="D21" s="176"/>
      <c r="E21" s="176"/>
      <c r="F21" s="176"/>
      <c r="G21" s="176"/>
      <c r="H21" s="176"/>
      <c r="I21" s="176"/>
      <c r="J21" s="176"/>
      <c r="K21" s="176"/>
      <c r="L21" s="176"/>
      <c r="M21" s="176"/>
      <c r="N21" s="176"/>
      <c r="O21" s="176"/>
      <c r="P21" s="176"/>
      <c r="Q21" s="176"/>
    </row>
    <row r="22" spans="1:19" ht="17.25" customHeight="1" x14ac:dyDescent="0.2">
      <c r="A22" s="145" t="s">
        <v>105</v>
      </c>
      <c r="B22" s="146"/>
      <c r="C22" s="146"/>
      <c r="D22" s="146"/>
      <c r="E22" s="146"/>
      <c r="F22" s="147"/>
      <c r="G22" s="148"/>
      <c r="H22" s="148"/>
      <c r="I22" s="148"/>
      <c r="J22" s="148"/>
      <c r="K22" s="148"/>
      <c r="L22" s="148"/>
      <c r="M22" s="148"/>
      <c r="N22" s="148"/>
      <c r="O22" s="148"/>
      <c r="P22" s="148"/>
      <c r="Q22" s="148"/>
    </row>
    <row r="23" spans="1:19" ht="18" customHeight="1" x14ac:dyDescent="0.2">
      <c r="A23" s="174" t="s">
        <v>107</v>
      </c>
      <c r="B23" s="174"/>
      <c r="C23" s="174"/>
      <c r="D23" s="174"/>
      <c r="E23" s="174"/>
      <c r="F23" s="174"/>
      <c r="G23" s="174"/>
      <c r="H23" s="174"/>
      <c r="I23" s="174"/>
      <c r="J23" s="174"/>
      <c r="K23" s="174"/>
      <c r="L23" s="174"/>
      <c r="M23" s="174"/>
      <c r="N23" s="174"/>
      <c r="O23" s="174"/>
      <c r="P23" s="174"/>
      <c r="Q23" s="174"/>
    </row>
    <row r="24" spans="1:19" ht="28.5" customHeight="1" x14ac:dyDescent="0.2">
      <c r="A24" s="175"/>
      <c r="B24" s="175"/>
      <c r="C24" s="175"/>
      <c r="D24" s="175"/>
      <c r="E24" s="175"/>
      <c r="F24" s="175"/>
      <c r="G24" s="175"/>
      <c r="H24" s="175"/>
      <c r="I24" s="175"/>
      <c r="J24" s="175"/>
      <c r="K24" s="175"/>
      <c r="L24" s="175"/>
      <c r="M24" s="175"/>
      <c r="N24" s="175"/>
      <c r="O24" s="175"/>
      <c r="P24" s="175"/>
      <c r="Q24" s="175"/>
    </row>
    <row r="25" spans="1:19" ht="15.75" customHeight="1" x14ac:dyDescent="0.2">
      <c r="A25" s="145" t="s">
        <v>106</v>
      </c>
      <c r="B25" s="146"/>
      <c r="C25" s="146"/>
      <c r="D25" s="146"/>
      <c r="E25" s="146"/>
      <c r="F25" s="147"/>
      <c r="G25" s="169"/>
      <c r="H25" s="169"/>
      <c r="I25" s="169"/>
      <c r="J25" s="169"/>
      <c r="K25" s="169"/>
      <c r="L25" s="169"/>
      <c r="M25" s="169"/>
      <c r="N25" s="169"/>
      <c r="O25" s="169"/>
      <c r="P25" s="169"/>
      <c r="Q25" s="170"/>
    </row>
    <row r="26" spans="1:19" ht="13.5" customHeight="1" x14ac:dyDescent="0.2">
      <c r="A26" s="59"/>
      <c r="B26" s="60"/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1"/>
    </row>
  </sheetData>
  <mergeCells count="26">
    <mergeCell ref="A25:F25"/>
    <mergeCell ref="G25:Q25"/>
    <mergeCell ref="A6:F6"/>
    <mergeCell ref="G6:Q6"/>
    <mergeCell ref="A7:F7"/>
    <mergeCell ref="G7:Q7"/>
    <mergeCell ref="A23:Q24"/>
    <mergeCell ref="A21:Q21"/>
    <mergeCell ref="A12:Q12"/>
    <mergeCell ref="A13:N13"/>
    <mergeCell ref="A1:C1"/>
    <mergeCell ref="D1:E1"/>
    <mergeCell ref="P1:Q2"/>
    <mergeCell ref="A4:F4"/>
    <mergeCell ref="G4:Q4"/>
    <mergeCell ref="A5:F5"/>
    <mergeCell ref="G5:Q5"/>
    <mergeCell ref="A8:Q8"/>
    <mergeCell ref="A22:F22"/>
    <mergeCell ref="G22:Q22"/>
    <mergeCell ref="A9:N9"/>
    <mergeCell ref="A10:Q10"/>
    <mergeCell ref="O13:P14"/>
    <mergeCell ref="Q13:Q14"/>
    <mergeCell ref="A20:B20"/>
    <mergeCell ref="C20:P20"/>
  </mergeCells>
  <printOptions horizontalCentered="1"/>
  <pageMargins left="0.39374999999999999" right="0.39374999999999999" top="0.98402777777778005" bottom="0.98402777777778005" header="0.51180555555554996" footer="0.51180555555554996"/>
  <pageSetup paperSize="9" scale="8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Nota Pedido HNEP</vt:lpstr>
      <vt:lpstr>APG HNEP</vt:lpstr>
      <vt:lpstr>'APG HNEP'!Área_de_impresión</vt:lpstr>
      <vt:lpstr>'Nota Pedido HNEP'!Área_de_impresión</vt:lpstr>
    </vt:vector>
  </TitlesOfParts>
  <Company>Microsoft Corporation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Lorena</dc:creator>
  <cp:lastModifiedBy>Lorena</cp:lastModifiedBy>
  <cp:lastPrinted>2022-11-24T11:59:17Z</cp:lastPrinted>
  <dcterms:created xsi:type="dcterms:W3CDTF">2022-07-06T14:43:28Z</dcterms:created>
  <dcterms:modified xsi:type="dcterms:W3CDTF">2022-11-29T12:49:32Z</dcterms:modified>
</cp:coreProperties>
</file>