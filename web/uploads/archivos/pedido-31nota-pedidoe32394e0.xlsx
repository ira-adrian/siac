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cartables 1er Trim.2022\Insumo Complejo consolidado\"/>
    </mc:Choice>
  </mc:AlternateContent>
  <xr:revisionPtr revIDLastSave="0" documentId="13_ncr:1_{0E06603A-CF08-406D-AFB7-66D806C127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0" i="3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M29" i="2" l="1"/>
  <c r="J29" i="2" s="1"/>
  <c r="G6" i="3"/>
  <c r="G7" i="3"/>
  <c r="D4" i="2"/>
  <c r="G5" i="3" s="1"/>
  <c r="D3" i="2"/>
  <c r="G4" i="3" s="1"/>
  <c r="I25" i="1" l="1"/>
  <c r="L25" i="1" s="1"/>
  <c r="I24" i="1"/>
  <c r="L24" i="1" s="1"/>
  <c r="I23" i="1"/>
  <c r="M23" i="1" s="1"/>
  <c r="I22" i="1"/>
  <c r="M22" i="1" s="1"/>
  <c r="I21" i="1"/>
  <c r="M21" i="1" s="1"/>
  <c r="I20" i="1"/>
  <c r="L20" i="1" s="1"/>
  <c r="I19" i="1"/>
  <c r="L19" i="1" s="1"/>
  <c r="I18" i="1"/>
  <c r="M18" i="1" s="1"/>
  <c r="I17" i="1"/>
  <c r="M17" i="1" s="1"/>
  <c r="I16" i="1"/>
  <c r="M16" i="1" s="1"/>
  <c r="I15" i="1"/>
  <c r="M15" i="1" s="1"/>
  <c r="I14" i="1"/>
  <c r="L14" i="1" s="1"/>
  <c r="I13" i="1"/>
  <c r="L13" i="1" s="1"/>
  <c r="I12" i="1"/>
  <c r="L12" i="1" s="1"/>
  <c r="I11" i="1"/>
  <c r="L11" i="1" s="1"/>
  <c r="I10" i="1"/>
  <c r="L10" i="1" s="1"/>
  <c r="L26" i="1" l="1"/>
  <c r="Q16" i="3" s="1"/>
  <c r="M26" i="1"/>
  <c r="Q15" i="3" s="1"/>
  <c r="I26" i="1"/>
  <c r="N26" i="1" l="1"/>
  <c r="Q37" i="3"/>
</calcChain>
</file>

<file path=xl/sharedStrings.xml><?xml version="1.0" encoding="utf-8"?>
<sst xmlns="http://schemas.openxmlformats.org/spreadsheetml/2006/main" count="146" uniqueCount="96">
  <si>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</si>
  <si>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</si>
  <si>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</si>
  <si>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</si>
  <si>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</si>
  <si>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</si>
  <si>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</si>
  <si>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</si>
  <si>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</si>
  <si>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</si>
  <si>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</si>
  <si>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</si>
  <si>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</si>
  <si>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</si>
  <si>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</si>
  <si>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</si>
  <si>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</si>
  <si>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</si>
  <si>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</si>
  <si>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</si>
  <si>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 xml:space="preserve">UNIDAD </t>
  </si>
  <si>
    <t>PRODUCTOS MEDICOS/FARMACEUTICOS/LAB.</t>
  </si>
  <si>
    <t>AGUJA ESPINAL 18 G X 3-1/2</t>
  </si>
  <si>
    <t xml:space="preserve">AGUJA ESPINAL 27G 3 1/2 PUNTA LAPIZ </t>
  </si>
  <si>
    <t>Aguja espinal para obesos  27 G  punta lapiz</t>
  </si>
  <si>
    <t xml:space="preserve">EQUIPO PARA DETERMINACION DE GLUCOSA </t>
  </si>
  <si>
    <t>ESTETOSCOPIO ADULTO TIPO 3 M LITTMANN CLASIC</t>
  </si>
  <si>
    <t>LIQUIDO FIJADOR PARA PROCESO AUTOMATICO 2 x 20 litros</t>
  </si>
  <si>
    <t>LIQUIDO FIJADOR PARA PROCESO MANUAL 2 x 25 litros</t>
  </si>
  <si>
    <t>LIQUIDO REVELADOR PARA PROCESO AUTOMATICO 2 x 20 litros</t>
  </si>
  <si>
    <t>LIQUIDO REVELADOR PARA PROCESO MANUAL 2 x 25 litros</t>
  </si>
  <si>
    <t>MAMELUCO LAMINADO TALLE XXL</t>
  </si>
  <si>
    <t>MANGO P/HOJA DE BISTURI N°3 H10-15</t>
  </si>
  <si>
    <t>PLACAS RADIOGRAFICAS 18 X 24 SENSIBLE AL VERDE X 100 UNIDADES</t>
  </si>
  <si>
    <t>PLACAS RADIOGRAFICAS 24 X 30 SENSIBLE AL VERDE X 100 UNIDADES</t>
  </si>
  <si>
    <t>PLACAS RADIOGRAFICAS 35 X 43 SENSIBLE AL VERDE X 100 UNIDADES</t>
  </si>
  <si>
    <t>TENSIOMETRO ANAEROIDE +ESTETOSCOPIO ADULTO X 1</t>
  </si>
  <si>
    <t>TIRAS REACTIVAS PARA DETERMINACION GLUCOSA X 50 UNIDADES</t>
  </si>
  <si>
    <t>TOTAL RUBRO INSUMO COMPLEJO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</si>
  <si>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</si>
  <si>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</si>
  <si>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</si>
  <si>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</si>
  <si>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</si>
  <si>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</si>
  <si>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</si>
  <si>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</si>
  <si>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</si>
  <si>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</si>
  <si>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</si>
  <si>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</si>
  <si>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</si>
  <si>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</si>
  <si>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</si>
  <si>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</si>
  <si>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</si>
  <si>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</si>
  <si>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</si>
  <si>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</si>
  <si>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</si>
  <si>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</si>
  <si>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</si>
  <si>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</si>
  <si>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</si>
  <si>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</si>
  <si>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</si>
  <si>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</si>
  <si>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</si>
  <si>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</si>
  <si>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</si>
  <si>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</si>
  <si>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</si>
  <si>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</si>
  <si>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</si>
  <si>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</si>
  <si>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</si>
  <si>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</si>
  <si>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</si>
  <si>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</si>
  <si>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</si>
  <si>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</si>
  <si>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</si>
  <si>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</si>
  <si>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</si>
  <si>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</si>
  <si>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1° TRIMESTRE 2022</t>
  </si>
  <si>
    <t>1.1</t>
  </si>
  <si>
    <t>ADQUISICION DEL RUBRO INSUMO COMPLEJO</t>
  </si>
  <si>
    <t xml:space="preserve"> 08/2022</t>
  </si>
  <si>
    <t>SI</t>
  </si>
  <si>
    <t>Costo total estimado: CATORCE MILLONES CIENTO CUARENTA MIL NOVECIENTOS SESENTA CON 00/100.-</t>
  </si>
  <si>
    <t>Autorizo la realización de los  trámites correspondientes, a fin de proveer a  este Organismo los bienes que se detallan en Nota  de Pedido N° 08/2022 afectando la erogación resultante a los créditos presupuestarios aprobados a favor de esta Unidad Ejecutora, conforme al siguiente detalle:</t>
  </si>
  <si>
    <t>UTILES MENORES MEDICOS, QUIRURGICOS Y DE LABORATORIO</t>
  </si>
  <si>
    <t>TOTAL DE PESOS: CATORCE MILLONES CIENTO CUARENTA MIL NOVECIENTOS SESENTA CON 00/100.-</t>
  </si>
  <si>
    <t>OTROS N.E.P.</t>
  </si>
  <si>
    <t>veinte (20)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</si>
</sst>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1" fillId="0" borderId="0" applyBorder="0" applyProtection="0"/>
    <xf numFmtId="0" fontId="25" fillId="0" borderId="51" applyProtection="0"/>
    <xf numFmtId="0" fontId="25" fillId="0" borderId="5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6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79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3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8" fillId="0" borderId="0" xfId="0" applyFont="1"/>
    <xf numFmtId="165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3" fontId="10" fillId="0" borderId="7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left" vertical="center" wrapText="1" indent="1"/>
    </xf>
    <xf numFmtId="3" fontId="19" fillId="0" borderId="32" xfId="0" applyNumberFormat="1" applyFont="1" applyBorder="1" applyAlignment="1"/>
    <xf numFmtId="168" fontId="0" fillId="0" borderId="32" xfId="0" applyNumberFormat="1" applyBorder="1" applyAlignment="1">
      <alignment horizontal="left"/>
    </xf>
    <xf numFmtId="0" fontId="0" fillId="0" borderId="32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70" fontId="0" fillId="0" borderId="44" xfId="7" applyNumberFormat="1" applyFont="1" applyBorder="1" applyAlignment="1" applyProtection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0" fontId="0" fillId="0" borderId="48" xfId="7" applyNumberFormat="1" applyFont="1" applyBorder="1" applyAlignment="1" applyProtection="1">
      <alignment horizontal="center" vertical="center"/>
    </xf>
    <xf numFmtId="170" fontId="24" fillId="0" borderId="50" xfId="0" applyNumberFormat="1" applyFont="1" applyBorder="1" applyAlignment="1">
      <alignment horizontal="center" vertical="center"/>
    </xf>
    <xf numFmtId="0" fontId="27" fillId="0" borderId="10" xfId="5" applyFont="1" applyFill="1" applyBorder="1" applyAlignment="1">
      <alignment horizontal="center" vertical="center" wrapText="1"/>
    </xf>
    <xf numFmtId="0" fontId="27" fillId="0" borderId="21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7" fillId="0" borderId="21" xfId="5" applyFont="1" applyFill="1" applyBorder="1" applyAlignment="1">
      <alignment horizontal="center" wrapText="1"/>
    </xf>
    <xf numFmtId="0" fontId="27" fillId="0" borderId="21" xfId="5" applyFont="1" applyBorder="1" applyAlignment="1">
      <alignment horizontal="center" wrapText="1"/>
    </xf>
    <xf numFmtId="0" fontId="27" fillId="0" borderId="52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59" xfId="0" applyNumberFormat="1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17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Font="1"/>
    <xf numFmtId="0" fontId="29" fillId="0" borderId="25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/>
    </xf>
    <xf numFmtId="0" fontId="29" fillId="0" borderId="27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165" fontId="29" fillId="0" borderId="9" xfId="0" applyNumberFormat="1" applyFont="1" applyBorder="1" applyAlignment="1">
      <alignment horizontal="center" vertical="center" wrapText="1"/>
    </xf>
    <xf numFmtId="3" fontId="29" fillId="0" borderId="26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5" fontId="29" fillId="0" borderId="1" xfId="0" applyNumberFormat="1" applyFont="1" applyBorder="1" applyAlignment="1">
      <alignment horizontal="center" vertical="center" wrapText="1"/>
    </xf>
    <xf numFmtId="3" fontId="29" fillId="0" borderId="28" xfId="0" applyNumberFormat="1" applyFont="1" applyBorder="1" applyAlignment="1">
      <alignment horizontal="center" vertical="center"/>
    </xf>
    <xf numFmtId="165" fontId="28" fillId="0" borderId="0" xfId="0" applyNumberFormat="1" applyFont="1"/>
    <xf numFmtId="0" fontId="28" fillId="0" borderId="0" xfId="0" applyFont="1"/>
    <xf numFmtId="165" fontId="30" fillId="0" borderId="0" xfId="0" applyNumberFormat="1" applyFont="1"/>
    <xf numFmtId="165" fontId="31" fillId="0" borderId="0" xfId="0" applyNumberFormat="1" applyFont="1"/>
    <xf numFmtId="0" fontId="33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2" fillId="0" borderId="0" xfId="0" applyFont="1"/>
    <xf numFmtId="165" fontId="32" fillId="0" borderId="0" xfId="0" applyNumberFormat="1" applyFont="1"/>
    <xf numFmtId="170" fontId="0" fillId="0" borderId="62" xfId="7" applyNumberFormat="1" applyFont="1" applyBorder="1" applyAlignment="1" applyProtection="1">
      <alignment horizontal="center" vertical="center"/>
    </xf>
    <xf numFmtId="0" fontId="24" fillId="0" borderId="64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5" xfId="5" applyFont="1" applyFill="1" applyBorder="1" applyAlignment="1">
      <alignment horizontal="left" vertical="center" wrapText="1"/>
    </xf>
    <xf numFmtId="0" fontId="3" fillId="0" borderId="53" xfId="5" applyFont="1" applyBorder="1" applyAlignment="1">
      <alignment horizontal="left" vertical="center" wrapText="1"/>
    </xf>
    <xf numFmtId="0" fontId="3" fillId="0" borderId="55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" fillId="0" borderId="32" xfId="5" applyFont="1" applyFill="1" applyBorder="1" applyAlignment="1">
      <alignment horizontal="left" vertical="center" wrapText="1"/>
    </xf>
    <xf numFmtId="0" fontId="3" fillId="0" borderId="54" xfId="5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 indent="1"/>
    </xf>
    <xf numFmtId="166" fontId="13" fillId="0" borderId="17" xfId="0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22" fillId="0" borderId="29" xfId="0" applyFont="1" applyBorder="1" applyAlignment="1">
      <alignment horizontal="left" vertical="center" wrapText="1" indent="1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9" fillId="0" borderId="49" xfId="0" applyFont="1" applyBorder="1" applyAlignment="1">
      <alignment horizontal="left" vertical="center" wrapText="1"/>
    </xf>
    <xf numFmtId="0" fontId="0" fillId="0" borderId="36" xfId="0" applyBorder="1"/>
    <xf numFmtId="0" fontId="0" fillId="0" borderId="43" xfId="0" applyFont="1" applyBorder="1" applyAlignment="1">
      <alignment horizontal="center" vertical="center"/>
    </xf>
    <xf numFmtId="49" fontId="22" fillId="0" borderId="37" xfId="0" applyNumberFormat="1" applyFont="1" applyBorder="1" applyAlignment="1">
      <alignment horizontal="justify" vertical="center" wrapText="1"/>
    </xf>
    <xf numFmtId="0" fontId="24" fillId="0" borderId="6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0" fillId="0" borderId="41" xfId="0" applyFont="1" applyBorder="1" applyAlignment="1">
      <alignment horizontal="left" vertical="center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22" fillId="0" borderId="36" xfId="0" applyFont="1" applyBorder="1" applyAlignment="1">
      <alignment horizontal="left"/>
    </xf>
    <xf numFmtId="0" fontId="0" fillId="0" borderId="30" xfId="0" applyFont="1" applyBorder="1" applyAlignment="1">
      <alignment horizontal="center"/>
    </xf>
    <xf numFmtId="3" fontId="19" fillId="0" borderId="31" xfId="0" applyNumberFormat="1" applyFont="1" applyBorder="1" applyAlignment="1">
      <alignment horizontal="center"/>
    </xf>
    <xf numFmtId="0" fontId="20" fillId="0" borderId="12" xfId="0" applyFont="1" applyBorder="1" applyAlignment="1">
      <alignment horizontal="center" vertical="center" wrapText="1"/>
    </xf>
    <xf numFmtId="0" fontId="21" fillId="0" borderId="33" xfId="0" applyFont="1" applyBorder="1"/>
    <xf numFmtId="0" fontId="22" fillId="0" borderId="34" xfId="0" applyFont="1" applyBorder="1" applyAlignment="1">
      <alignment horizontal="left" indent="1"/>
    </xf>
    <xf numFmtId="0" fontId="17" fillId="0" borderId="33" xfId="0" applyFont="1" applyBorder="1" applyAlignment="1">
      <alignment horizontal="left" vertical="center" wrapText="1"/>
    </xf>
    <xf numFmtId="0" fontId="23" fillId="0" borderId="35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"/>
  <sheetViews>
    <sheetView tabSelected="1" topLeftCell="C1" zoomScaleNormal="100" workbookViewId="0">
      <selection activeCell="E13" sqref="E13"/>
    </sheetView>
  </sheetViews>
  <sheetFormatPr baseColWidth="10" defaultRowHeight="15" x14ac:dyDescent="0.25"/>
  <cols>
    <col min="1" max="1" width="4.85546875" style="41" bestFit="1" customWidth="1"/>
    <col min="2" max="2" width="13" style="41" bestFit="1" customWidth="1"/>
    <col min="3" max="3" width="36.42578125" style="41" bestFit="1" customWidth="1"/>
    <col min="4" max="4" width="5.5703125" style="41" bestFit="1" customWidth="1"/>
    <col min="5" max="5" width="75.5703125" style="42" bestFit="1" customWidth="1"/>
    <col min="6" max="6" width="12" style="41" bestFit="1" customWidth="1"/>
    <col min="7" max="7" width="10.42578125" style="43" bestFit="1" customWidth="1"/>
    <col min="8" max="8" width="11.42578125" style="44" bestFit="1" customWidth="1"/>
    <col min="9" max="9" width="16.28515625" style="44" bestFit="1" customWidth="1"/>
    <col min="10" max="10" width="23.7109375" hidden="1" customWidth="1"/>
    <col min="12" max="12" width="13.85546875" style="112" bestFit="1" customWidth="1"/>
    <col min="13" max="14" width="14.85546875" style="112" bestFit="1" customWidth="1"/>
  </cols>
  <sheetData>
    <row r="1" spans="1:14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4" s="117" customFormat="1" ht="18.75" x14ac:dyDescent="0.3">
      <c r="A2" s="115"/>
      <c r="B2" s="132" t="s">
        <v>0</v>
      </c>
      <c r="C2" s="132"/>
      <c r="D2" s="132"/>
      <c r="E2" s="132"/>
      <c r="F2" s="132"/>
      <c r="G2" s="132"/>
      <c r="H2" s="132"/>
      <c r="I2" s="116"/>
      <c r="L2" s="118"/>
      <c r="M2" s="118"/>
      <c r="N2" s="118"/>
    </row>
    <row r="3" spans="1:14" x14ac:dyDescent="0.25">
      <c r="A3" s="3"/>
      <c r="B3" s="2"/>
      <c r="C3" s="3"/>
      <c r="D3" s="3"/>
      <c r="E3" s="4"/>
      <c r="F3" s="3"/>
      <c r="G3" s="5"/>
      <c r="H3" s="7"/>
      <c r="I3" s="6"/>
    </row>
    <row r="4" spans="1:14" x14ac:dyDescent="0.25">
      <c r="A4" s="131" t="s">
        <v>1</v>
      </c>
      <c r="B4" s="131"/>
      <c r="C4" s="85" t="s">
        <v>2</v>
      </c>
      <c r="D4" s="85"/>
      <c r="E4" s="85"/>
      <c r="F4" s="8"/>
      <c r="G4" s="9"/>
      <c r="H4" s="7"/>
      <c r="I4" s="6"/>
    </row>
    <row r="5" spans="1:14" ht="15" customHeight="1" x14ac:dyDescent="0.25">
      <c r="A5" s="131" t="s">
        <v>3</v>
      </c>
      <c r="B5" s="131"/>
      <c r="C5" s="85" t="s">
        <v>4</v>
      </c>
      <c r="D5" s="85"/>
      <c r="E5" s="85"/>
      <c r="F5" s="8"/>
      <c r="G5" s="9"/>
      <c r="H5" s="7"/>
      <c r="I5" s="6"/>
    </row>
    <row r="6" spans="1:14" x14ac:dyDescent="0.25">
      <c r="A6" s="131" t="s">
        <v>5</v>
      </c>
      <c r="B6" s="131"/>
      <c r="C6" s="86">
        <v>2022</v>
      </c>
      <c r="D6" s="87"/>
      <c r="E6" s="86"/>
      <c r="F6" s="8"/>
      <c r="G6" s="9"/>
      <c r="H6" s="7"/>
      <c r="I6" s="6"/>
    </row>
    <row r="7" spans="1:14" x14ac:dyDescent="0.25">
      <c r="A7" s="131" t="s">
        <v>6</v>
      </c>
      <c r="B7" s="131"/>
      <c r="C7" s="86" t="s">
        <v>7</v>
      </c>
      <c r="D7" s="87"/>
      <c r="E7" s="86"/>
      <c r="F7" s="8"/>
      <c r="G7" s="9"/>
      <c r="H7" s="7"/>
      <c r="I7" s="6"/>
    </row>
    <row r="8" spans="1:14" x14ac:dyDescent="0.25">
      <c r="A8" s="3"/>
      <c r="B8" s="8"/>
      <c r="C8" s="8"/>
      <c r="D8" s="8"/>
      <c r="E8" s="10"/>
      <c r="F8" s="8"/>
      <c r="G8" s="9"/>
      <c r="H8" s="7"/>
      <c r="I8" s="6"/>
    </row>
    <row r="9" spans="1:14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  <c r="L9" s="112">
        <v>295</v>
      </c>
      <c r="M9" s="112">
        <v>259</v>
      </c>
    </row>
    <row r="10" spans="1:14" s="24" customFormat="1" ht="12.75" x14ac:dyDescent="0.2">
      <c r="A10" s="29">
        <v>1</v>
      </c>
      <c r="B10" s="29"/>
      <c r="C10" s="29" t="s">
        <v>21</v>
      </c>
      <c r="D10" s="29">
        <v>295</v>
      </c>
      <c r="E10" s="38" t="s">
        <v>22</v>
      </c>
      <c r="F10" s="29" t="s">
        <v>18</v>
      </c>
      <c r="G10" s="21">
        <v>50</v>
      </c>
      <c r="H10" s="30">
        <v>102</v>
      </c>
      <c r="I10" s="30">
        <f t="shared" ref="I10:I13" si="0">+G10*H10</f>
        <v>5100</v>
      </c>
      <c r="J10" s="20"/>
      <c r="L10" s="113">
        <f>+I10</f>
        <v>5100</v>
      </c>
      <c r="M10" s="113"/>
      <c r="N10" s="113"/>
    </row>
    <row r="11" spans="1:14" s="24" customFormat="1" ht="12.75" x14ac:dyDescent="0.2">
      <c r="A11" s="18">
        <v>2</v>
      </c>
      <c r="B11" s="18"/>
      <c r="C11" s="18" t="s">
        <v>21</v>
      </c>
      <c r="D11" s="18">
        <v>295</v>
      </c>
      <c r="E11" s="32" t="s">
        <v>23</v>
      </c>
      <c r="F11" s="18" t="s">
        <v>18</v>
      </c>
      <c r="G11" s="19">
        <v>50</v>
      </c>
      <c r="H11" s="33">
        <v>189</v>
      </c>
      <c r="I11" s="30">
        <f t="shared" si="0"/>
        <v>9450</v>
      </c>
      <c r="J11" s="20"/>
      <c r="L11" s="113">
        <f t="shared" ref="L11:L24" si="1">+I11</f>
        <v>9450</v>
      </c>
      <c r="M11" s="113"/>
      <c r="N11" s="113"/>
    </row>
    <row r="12" spans="1:14" s="24" customFormat="1" ht="12.75" x14ac:dyDescent="0.2">
      <c r="A12" s="18">
        <v>3</v>
      </c>
      <c r="B12" s="18"/>
      <c r="C12" s="18" t="s">
        <v>21</v>
      </c>
      <c r="D12" s="18">
        <v>295</v>
      </c>
      <c r="E12" s="32" t="s">
        <v>24</v>
      </c>
      <c r="F12" s="18" t="s">
        <v>18</v>
      </c>
      <c r="G12" s="19">
        <v>50</v>
      </c>
      <c r="H12" s="33">
        <v>1250</v>
      </c>
      <c r="I12" s="30">
        <f t="shared" si="0"/>
        <v>62500</v>
      </c>
      <c r="J12" s="20"/>
      <c r="L12" s="113">
        <f t="shared" si="1"/>
        <v>62500</v>
      </c>
      <c r="M12" s="113"/>
      <c r="N12" s="113"/>
    </row>
    <row r="13" spans="1:14" s="24" customFormat="1" ht="12.75" x14ac:dyDescent="0.2">
      <c r="A13" s="29">
        <v>4</v>
      </c>
      <c r="B13" s="18"/>
      <c r="C13" s="18" t="s">
        <v>21</v>
      </c>
      <c r="D13" s="18">
        <v>295</v>
      </c>
      <c r="E13" s="32" t="s">
        <v>25</v>
      </c>
      <c r="F13" s="18" t="s">
        <v>18</v>
      </c>
      <c r="G13" s="19">
        <v>250</v>
      </c>
      <c r="H13" s="33">
        <v>3580</v>
      </c>
      <c r="I13" s="30">
        <f t="shared" si="0"/>
        <v>895000</v>
      </c>
      <c r="J13" s="20"/>
      <c r="L13" s="113">
        <f t="shared" si="1"/>
        <v>895000</v>
      </c>
      <c r="M13" s="113"/>
      <c r="N13" s="113"/>
    </row>
    <row r="14" spans="1:14" s="24" customFormat="1" ht="12.75" x14ac:dyDescent="0.2">
      <c r="A14" s="18">
        <v>5</v>
      </c>
      <c r="B14" s="18"/>
      <c r="C14" s="18" t="s">
        <v>21</v>
      </c>
      <c r="D14" s="18">
        <v>295</v>
      </c>
      <c r="E14" s="32" t="s">
        <v>26</v>
      </c>
      <c r="F14" s="18" t="s">
        <v>18</v>
      </c>
      <c r="G14" s="19">
        <v>25</v>
      </c>
      <c r="H14" s="33">
        <v>15000</v>
      </c>
      <c r="I14" s="30">
        <f t="shared" ref="I14:I25" si="2">+G14*H14</f>
        <v>375000</v>
      </c>
      <c r="J14" s="20"/>
      <c r="L14" s="113">
        <f t="shared" si="1"/>
        <v>375000</v>
      </c>
      <c r="M14" s="113"/>
      <c r="N14" s="113"/>
    </row>
    <row r="15" spans="1:14" s="24" customFormat="1" ht="12.75" x14ac:dyDescent="0.2">
      <c r="A15" s="18">
        <v>6</v>
      </c>
      <c r="B15" s="18"/>
      <c r="C15" s="18" t="s">
        <v>21</v>
      </c>
      <c r="D15" s="18">
        <v>259</v>
      </c>
      <c r="E15" s="32" t="s">
        <v>27</v>
      </c>
      <c r="F15" s="18" t="s">
        <v>19</v>
      </c>
      <c r="G15" s="19">
        <v>100</v>
      </c>
      <c r="H15" s="33">
        <v>6460</v>
      </c>
      <c r="I15" s="30">
        <f t="shared" si="2"/>
        <v>646000</v>
      </c>
      <c r="J15" s="20"/>
      <c r="L15" s="113"/>
      <c r="M15" s="113">
        <f t="shared" ref="M15:M23" si="3">+I15</f>
        <v>646000</v>
      </c>
      <c r="N15" s="113"/>
    </row>
    <row r="16" spans="1:14" s="24" customFormat="1" ht="12.75" x14ac:dyDescent="0.2">
      <c r="A16" s="29">
        <v>7</v>
      </c>
      <c r="B16" s="18"/>
      <c r="C16" s="18" t="s">
        <v>21</v>
      </c>
      <c r="D16" s="18">
        <v>259</v>
      </c>
      <c r="E16" s="32" t="s">
        <v>28</v>
      </c>
      <c r="F16" s="18" t="s">
        <v>19</v>
      </c>
      <c r="G16" s="19">
        <v>60</v>
      </c>
      <c r="H16" s="33">
        <v>6671</v>
      </c>
      <c r="I16" s="30">
        <f t="shared" si="2"/>
        <v>400260</v>
      </c>
      <c r="J16" s="20"/>
      <c r="L16" s="113"/>
      <c r="M16" s="113">
        <f t="shared" si="3"/>
        <v>400260</v>
      </c>
      <c r="N16" s="113"/>
    </row>
    <row r="17" spans="1:14" s="24" customFormat="1" ht="12.75" x14ac:dyDescent="0.2">
      <c r="A17" s="18">
        <v>8</v>
      </c>
      <c r="B17" s="18"/>
      <c r="C17" s="18" t="s">
        <v>21</v>
      </c>
      <c r="D17" s="18">
        <v>259</v>
      </c>
      <c r="E17" s="32" t="s">
        <v>29</v>
      </c>
      <c r="F17" s="18" t="s">
        <v>19</v>
      </c>
      <c r="G17" s="19">
        <v>40</v>
      </c>
      <c r="H17" s="33">
        <v>9185</v>
      </c>
      <c r="I17" s="30">
        <f t="shared" si="2"/>
        <v>367400</v>
      </c>
      <c r="J17" s="20"/>
      <c r="L17" s="113"/>
      <c r="M17" s="113">
        <f t="shared" si="3"/>
        <v>367400</v>
      </c>
      <c r="N17" s="113"/>
    </row>
    <row r="18" spans="1:14" s="24" customFormat="1" ht="12.75" x14ac:dyDescent="0.2">
      <c r="A18" s="18">
        <v>9</v>
      </c>
      <c r="B18" s="18"/>
      <c r="C18" s="18" t="s">
        <v>21</v>
      </c>
      <c r="D18" s="18">
        <v>259</v>
      </c>
      <c r="E18" s="32" t="s">
        <v>30</v>
      </c>
      <c r="F18" s="18" t="s">
        <v>19</v>
      </c>
      <c r="G18" s="19">
        <v>20</v>
      </c>
      <c r="H18" s="33">
        <v>8895</v>
      </c>
      <c r="I18" s="30">
        <f t="shared" si="2"/>
        <v>177900</v>
      </c>
      <c r="J18" s="20"/>
      <c r="L18" s="113"/>
      <c r="M18" s="113">
        <f t="shared" si="3"/>
        <v>177900</v>
      </c>
      <c r="N18" s="113"/>
    </row>
    <row r="19" spans="1:14" s="24" customFormat="1" ht="12.75" x14ac:dyDescent="0.2">
      <c r="A19" s="29">
        <v>10</v>
      </c>
      <c r="B19" s="18"/>
      <c r="C19" s="18" t="s">
        <v>21</v>
      </c>
      <c r="D19" s="18">
        <v>295</v>
      </c>
      <c r="E19" s="32" t="s">
        <v>31</v>
      </c>
      <c r="F19" s="18" t="s">
        <v>20</v>
      </c>
      <c r="G19" s="19">
        <v>50</v>
      </c>
      <c r="H19" s="33">
        <v>1580</v>
      </c>
      <c r="I19" s="30">
        <f t="shared" si="2"/>
        <v>79000</v>
      </c>
      <c r="J19" s="20"/>
      <c r="L19" s="113">
        <f>+I19</f>
        <v>79000</v>
      </c>
      <c r="M19" s="113"/>
      <c r="N19" s="113"/>
    </row>
    <row r="20" spans="1:14" s="24" customFormat="1" ht="12.75" x14ac:dyDescent="0.2">
      <c r="A20" s="18">
        <v>11</v>
      </c>
      <c r="B20" s="18"/>
      <c r="C20" s="18" t="s">
        <v>21</v>
      </c>
      <c r="D20" s="18">
        <v>295</v>
      </c>
      <c r="E20" s="32" t="s">
        <v>32</v>
      </c>
      <c r="F20" s="18" t="s">
        <v>18</v>
      </c>
      <c r="G20" s="19">
        <v>50</v>
      </c>
      <c r="H20" s="33">
        <v>375</v>
      </c>
      <c r="I20" s="30">
        <f t="shared" si="2"/>
        <v>18750</v>
      </c>
      <c r="J20" s="20"/>
      <c r="L20" s="113">
        <f>+I20</f>
        <v>18750</v>
      </c>
      <c r="M20" s="113"/>
      <c r="N20" s="113"/>
    </row>
    <row r="21" spans="1:14" s="24" customFormat="1" ht="12.75" x14ac:dyDescent="0.2">
      <c r="A21" s="18">
        <v>12</v>
      </c>
      <c r="B21" s="18"/>
      <c r="C21" s="18" t="s">
        <v>21</v>
      </c>
      <c r="D21" s="18">
        <v>259</v>
      </c>
      <c r="E21" s="32" t="s">
        <v>33</v>
      </c>
      <c r="F21" s="18" t="s">
        <v>19</v>
      </c>
      <c r="G21" s="19">
        <v>100</v>
      </c>
      <c r="H21" s="33">
        <v>4800</v>
      </c>
      <c r="I21" s="30">
        <f t="shared" si="2"/>
        <v>480000</v>
      </c>
      <c r="J21" s="20"/>
      <c r="L21" s="113"/>
      <c r="M21" s="113">
        <f t="shared" si="3"/>
        <v>480000</v>
      </c>
      <c r="N21" s="113"/>
    </row>
    <row r="22" spans="1:14" s="24" customFormat="1" ht="12.75" x14ac:dyDescent="0.2">
      <c r="A22" s="29">
        <v>13</v>
      </c>
      <c r="B22" s="18"/>
      <c r="C22" s="18" t="s">
        <v>21</v>
      </c>
      <c r="D22" s="18">
        <v>259</v>
      </c>
      <c r="E22" s="32" t="s">
        <v>34</v>
      </c>
      <c r="F22" s="18" t="s">
        <v>19</v>
      </c>
      <c r="G22" s="19">
        <v>80</v>
      </c>
      <c r="H22" s="33">
        <v>7945</v>
      </c>
      <c r="I22" s="30">
        <f t="shared" si="2"/>
        <v>635600</v>
      </c>
      <c r="J22" s="20"/>
      <c r="L22" s="113"/>
      <c r="M22" s="113">
        <f t="shared" si="3"/>
        <v>635600</v>
      </c>
      <c r="N22" s="113"/>
    </row>
    <row r="23" spans="1:14" s="24" customFormat="1" ht="12.75" x14ac:dyDescent="0.2">
      <c r="A23" s="18">
        <v>14</v>
      </c>
      <c r="B23" s="18"/>
      <c r="C23" s="18" t="s">
        <v>21</v>
      </c>
      <c r="D23" s="18">
        <v>259</v>
      </c>
      <c r="E23" s="32" t="s">
        <v>35</v>
      </c>
      <c r="F23" s="18" t="s">
        <v>19</v>
      </c>
      <c r="G23" s="19">
        <v>250</v>
      </c>
      <c r="H23" s="33">
        <v>16900</v>
      </c>
      <c r="I23" s="30">
        <f t="shared" si="2"/>
        <v>4225000</v>
      </c>
      <c r="J23" s="20"/>
      <c r="L23" s="113"/>
      <c r="M23" s="113">
        <f t="shared" si="3"/>
        <v>4225000</v>
      </c>
      <c r="N23" s="113"/>
    </row>
    <row r="24" spans="1:14" s="24" customFormat="1" ht="12.75" x14ac:dyDescent="0.2">
      <c r="A24" s="18">
        <v>15</v>
      </c>
      <c r="B24" s="18"/>
      <c r="C24" s="18" t="s">
        <v>21</v>
      </c>
      <c r="D24" s="18">
        <v>295</v>
      </c>
      <c r="E24" s="32" t="s">
        <v>36</v>
      </c>
      <c r="F24" s="18" t="s">
        <v>18</v>
      </c>
      <c r="G24" s="19">
        <v>50</v>
      </c>
      <c r="H24" s="33">
        <v>1540</v>
      </c>
      <c r="I24" s="30">
        <f t="shared" si="2"/>
        <v>77000</v>
      </c>
      <c r="J24" s="20"/>
      <c r="L24" s="113">
        <f t="shared" si="1"/>
        <v>77000</v>
      </c>
      <c r="M24" s="113"/>
      <c r="N24" s="113"/>
    </row>
    <row r="25" spans="1:14" s="24" customFormat="1" ht="13.5" thickBot="1" x14ac:dyDescent="0.25">
      <c r="A25" s="29">
        <v>16</v>
      </c>
      <c r="B25" s="34"/>
      <c r="C25" s="34" t="s">
        <v>21</v>
      </c>
      <c r="D25" s="34">
        <v>295</v>
      </c>
      <c r="E25" s="35" t="s">
        <v>37</v>
      </c>
      <c r="F25" s="34" t="s">
        <v>19</v>
      </c>
      <c r="G25" s="39">
        <v>2000</v>
      </c>
      <c r="H25" s="36">
        <v>2843.5</v>
      </c>
      <c r="I25" s="31">
        <f t="shared" si="2"/>
        <v>5687000</v>
      </c>
      <c r="J25" s="20"/>
      <c r="L25" s="113">
        <f>+I25</f>
        <v>5687000</v>
      </c>
      <c r="M25" s="113"/>
      <c r="N25" s="113"/>
    </row>
    <row r="26" spans="1:14" s="28" customFormat="1" ht="13.5" thickBot="1" x14ac:dyDescent="0.25">
      <c r="A26" s="26"/>
      <c r="B26" s="23"/>
      <c r="C26" s="23"/>
      <c r="D26" s="23"/>
      <c r="E26" s="22" t="s">
        <v>38</v>
      </c>
      <c r="F26" s="23"/>
      <c r="G26" s="40"/>
      <c r="H26" s="25"/>
      <c r="I26" s="37">
        <f>SUM(I10:I25)</f>
        <v>14140960</v>
      </c>
      <c r="J26" s="27"/>
      <c r="L26" s="114">
        <f>SUM(L10:L25)</f>
        <v>7208800</v>
      </c>
      <c r="M26" s="114">
        <f>SUM(M10:M25)</f>
        <v>6932160</v>
      </c>
      <c r="N26" s="114">
        <f>SUM(L26:M26)</f>
        <v>14140960</v>
      </c>
    </row>
    <row r="27" spans="1:14" ht="15.75" thickBot="1" x14ac:dyDescent="0.3"/>
    <row r="28" spans="1:14" ht="150.75" customHeight="1" x14ac:dyDescent="0.25">
      <c r="C28" s="77" t="s">
        <v>76</v>
      </c>
      <c r="D28" s="133" t="s">
        <v>77</v>
      </c>
      <c r="E28" s="134"/>
    </row>
    <row r="29" spans="1:14" x14ac:dyDescent="0.25">
      <c r="C29" s="78"/>
      <c r="D29" s="79"/>
      <c r="E29" s="83"/>
    </row>
    <row r="30" spans="1:14" x14ac:dyDescent="0.25">
      <c r="C30" s="80" t="s">
        <v>78</v>
      </c>
      <c r="D30" s="127" t="s">
        <v>95</v>
      </c>
      <c r="E30" s="128"/>
    </row>
    <row r="31" spans="1:14" x14ac:dyDescent="0.25">
      <c r="C31" s="80"/>
      <c r="D31" s="79"/>
      <c r="E31" s="83"/>
    </row>
    <row r="32" spans="1:14" ht="27" customHeight="1" x14ac:dyDescent="0.25">
      <c r="C32" s="80" t="s">
        <v>79</v>
      </c>
      <c r="D32" s="127" t="s">
        <v>80</v>
      </c>
      <c r="E32" s="128"/>
    </row>
    <row r="33" spans="3:5" x14ac:dyDescent="0.25">
      <c r="C33" s="80"/>
      <c r="D33" s="79"/>
      <c r="E33" s="83"/>
    </row>
    <row r="34" spans="3:5" x14ac:dyDescent="0.25">
      <c r="C34" s="81" t="s">
        <v>81</v>
      </c>
      <c r="D34" s="84"/>
      <c r="E34" s="83"/>
    </row>
    <row r="35" spans="3:5" x14ac:dyDescent="0.25">
      <c r="C35" s="81"/>
      <c r="D35" s="84"/>
      <c r="E35" s="83"/>
    </row>
    <row r="36" spans="3:5" ht="15.75" thickBot="1" x14ac:dyDescent="0.3">
      <c r="C36" s="82" t="s">
        <v>82</v>
      </c>
      <c r="D36" s="129" t="s">
        <v>83</v>
      </c>
      <c r="E36" s="130"/>
    </row>
  </sheetData>
  <mergeCells count="9">
    <mergeCell ref="D32:E32"/>
    <mergeCell ref="D36:E36"/>
    <mergeCell ref="A7:B7"/>
    <mergeCell ref="A6:B6"/>
    <mergeCell ref="B2:H2"/>
    <mergeCell ref="A4:B4"/>
    <mergeCell ref="A5:B5"/>
    <mergeCell ref="D28:E28"/>
    <mergeCell ref="D30:E30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A33" sqref="A3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97" customWidth="1"/>
    <col min="11" max="11" width="15.5703125" customWidth="1"/>
    <col min="13" max="13" width="15.5703125" style="111" bestFit="1" customWidth="1"/>
  </cols>
  <sheetData>
    <row r="1" spans="1:13" ht="30.75" thickBot="1" x14ac:dyDescent="0.3">
      <c r="A1" s="151" t="s">
        <v>39</v>
      </c>
      <c r="B1" s="151"/>
      <c r="C1" s="151"/>
      <c r="D1" s="151"/>
      <c r="E1" s="151"/>
      <c r="F1" s="151"/>
      <c r="G1" s="151"/>
      <c r="H1" s="151"/>
      <c r="I1" s="151"/>
      <c r="J1" s="93" t="s">
        <v>40</v>
      </c>
      <c r="K1" s="45" t="s">
        <v>88</v>
      </c>
    </row>
    <row r="2" spans="1:13" ht="16.5" thickBot="1" x14ac:dyDescent="0.3">
      <c r="A2" s="46"/>
      <c r="B2" s="47"/>
      <c r="C2" s="47"/>
      <c r="D2" s="48"/>
      <c r="E2" s="48"/>
      <c r="F2" s="48"/>
      <c r="G2" s="48"/>
      <c r="H2" s="48"/>
      <c r="I2" s="48"/>
      <c r="J2" s="94"/>
      <c r="K2" s="49"/>
    </row>
    <row r="3" spans="1:13" ht="16.5" thickBot="1" x14ac:dyDescent="0.3">
      <c r="A3" s="146" t="s">
        <v>41</v>
      </c>
      <c r="B3" s="146"/>
      <c r="C3" s="146"/>
      <c r="D3" s="147" t="str">
        <f>'SAF 011'!C4</f>
        <v>040 - MINISTERIO DE SALUD</v>
      </c>
      <c r="E3" s="147"/>
      <c r="F3" s="147"/>
      <c r="G3" s="147"/>
      <c r="H3" s="147"/>
      <c r="I3" s="147"/>
      <c r="J3" s="147"/>
      <c r="K3" s="147"/>
    </row>
    <row r="4" spans="1:13" ht="16.5" thickBot="1" x14ac:dyDescent="0.3">
      <c r="A4" s="148" t="s">
        <v>42</v>
      </c>
      <c r="B4" s="148"/>
      <c r="C4" s="148"/>
      <c r="D4" s="147" t="str">
        <f>'SAF 011'!C5</f>
        <v>011 - DIRECCION PROVINCIAL DE ADMINISTRACION - MINISTERIO DE SALUD</v>
      </c>
      <c r="E4" s="147"/>
      <c r="F4" s="147"/>
      <c r="G4" s="147"/>
      <c r="H4" s="147"/>
      <c r="I4" s="147"/>
      <c r="J4" s="147"/>
      <c r="K4" s="147"/>
    </row>
    <row r="5" spans="1:13" ht="16.5" thickBot="1" x14ac:dyDescent="0.3">
      <c r="A5" s="148" t="s">
        <v>43</v>
      </c>
      <c r="B5" s="148"/>
      <c r="C5" s="148"/>
      <c r="D5" s="147" t="s">
        <v>84</v>
      </c>
      <c r="E5" s="147"/>
      <c r="F5" s="147"/>
      <c r="G5" s="147"/>
      <c r="H5" s="147"/>
      <c r="I5" s="147"/>
      <c r="J5" s="147"/>
      <c r="K5" s="147"/>
    </row>
    <row r="6" spans="1:13" ht="16.5" thickBot="1" x14ac:dyDescent="0.3">
      <c r="A6" s="146" t="s">
        <v>44</v>
      </c>
      <c r="B6" s="146"/>
      <c r="C6" s="146"/>
      <c r="D6" s="147" t="s">
        <v>84</v>
      </c>
      <c r="E6" s="147"/>
      <c r="F6" s="147"/>
      <c r="G6" s="147"/>
      <c r="H6" s="147"/>
      <c r="I6" s="147"/>
      <c r="J6" s="147"/>
      <c r="K6" s="147"/>
    </row>
    <row r="7" spans="1:13" ht="16.5" thickBot="1" x14ac:dyDescent="0.3">
      <c r="A7" s="148" t="s">
        <v>45</v>
      </c>
      <c r="B7" s="148"/>
      <c r="C7" s="148"/>
      <c r="D7" s="147" t="s">
        <v>85</v>
      </c>
      <c r="E7" s="147"/>
      <c r="F7" s="147"/>
      <c r="G7" s="147"/>
      <c r="H7" s="147"/>
      <c r="I7" s="147"/>
      <c r="J7" s="147"/>
      <c r="K7" s="147"/>
    </row>
    <row r="8" spans="1:13" ht="16.5" thickBot="1" x14ac:dyDescent="0.3">
      <c r="A8" s="149" t="s">
        <v>46</v>
      </c>
      <c r="B8" s="149"/>
      <c r="C8" s="149"/>
      <c r="D8" s="150" t="s">
        <v>87</v>
      </c>
      <c r="E8" s="150"/>
      <c r="F8" s="150"/>
      <c r="G8" s="150"/>
      <c r="H8" s="150"/>
      <c r="I8" s="150"/>
      <c r="J8" s="150"/>
      <c r="K8" s="150"/>
    </row>
    <row r="9" spans="1:13" ht="16.5" thickBot="1" x14ac:dyDescent="0.3">
      <c r="A9" s="50"/>
      <c r="B9" s="51"/>
      <c r="C9" s="51"/>
      <c r="D9" s="52"/>
      <c r="E9" s="52"/>
      <c r="F9" s="52"/>
      <c r="G9" s="52"/>
      <c r="H9" s="52"/>
      <c r="I9" s="52"/>
      <c r="J9" s="95"/>
      <c r="K9" s="53"/>
    </row>
    <row r="10" spans="1:13" ht="15.75" thickBot="1" x14ac:dyDescent="0.3">
      <c r="A10" s="145" t="s">
        <v>47</v>
      </c>
      <c r="B10" s="143" t="s">
        <v>48</v>
      </c>
      <c r="C10" s="143" t="s">
        <v>49</v>
      </c>
      <c r="D10" s="143"/>
      <c r="E10" s="143"/>
      <c r="F10" s="143"/>
      <c r="G10" s="143"/>
      <c r="H10" s="143" t="s">
        <v>50</v>
      </c>
      <c r="I10" s="143" t="s">
        <v>51</v>
      </c>
      <c r="J10" s="144" t="s">
        <v>52</v>
      </c>
      <c r="K10" s="141" t="s">
        <v>53</v>
      </c>
    </row>
    <row r="11" spans="1:13" ht="25.5" customHeight="1" thickBot="1" x14ac:dyDescent="0.3">
      <c r="A11" s="145"/>
      <c r="B11" s="143"/>
      <c r="C11" s="143"/>
      <c r="D11" s="143"/>
      <c r="E11" s="143"/>
      <c r="F11" s="143"/>
      <c r="G11" s="143"/>
      <c r="H11" s="143"/>
      <c r="I11" s="143"/>
      <c r="J11" s="144"/>
      <c r="K11" s="141"/>
    </row>
    <row r="12" spans="1:13" s="98" customFormat="1" x14ac:dyDescent="0.25">
      <c r="A12" s="99">
        <v>1</v>
      </c>
      <c r="B12" s="100"/>
      <c r="C12" s="142" t="str">
        <f>'SAF 011'!E10</f>
        <v>AGUJA ESPINAL 18 G X 3-1/2</v>
      </c>
      <c r="D12" s="142"/>
      <c r="E12" s="142"/>
      <c r="F12" s="142"/>
      <c r="G12" s="142"/>
      <c r="H12" s="103" t="s">
        <v>89</v>
      </c>
      <c r="I12" s="104" t="str">
        <f>'SAF 011'!F10</f>
        <v>UNIDAD</v>
      </c>
      <c r="J12" s="105">
        <f>'SAF 011'!H10</f>
        <v>102</v>
      </c>
      <c r="K12" s="106" t="e">
        <f>'SAF 011'!#REF!</f>
        <v>#REF!</v>
      </c>
      <c r="M12" s="111" t="e">
        <f>+J12*K12</f>
        <v>#REF!</v>
      </c>
    </row>
    <row r="13" spans="1:13" s="98" customFormat="1" ht="16.5" customHeight="1" x14ac:dyDescent="0.25">
      <c r="A13" s="101">
        <v>2</v>
      </c>
      <c r="B13" s="102"/>
      <c r="C13" s="137" t="str">
        <f>'SAF 011'!E11</f>
        <v xml:space="preserve">AGUJA ESPINAL 27G 3 1/2 PUNTA LAPIZ </v>
      </c>
      <c r="D13" s="138"/>
      <c r="E13" s="138"/>
      <c r="F13" s="138"/>
      <c r="G13" s="139"/>
      <c r="H13" s="107" t="s">
        <v>89</v>
      </c>
      <c r="I13" s="108" t="str">
        <f>'SAF 011'!F11</f>
        <v>UNIDAD</v>
      </c>
      <c r="J13" s="109">
        <f>'SAF 011'!H11</f>
        <v>189</v>
      </c>
      <c r="K13" s="110" t="e">
        <f>'SAF 011'!#REF!</f>
        <v>#REF!</v>
      </c>
      <c r="M13" s="111" t="e">
        <f t="shared" ref="M13:M27" si="0">+J13*K13</f>
        <v>#REF!</v>
      </c>
    </row>
    <row r="14" spans="1:13" s="98" customFormat="1" ht="16.5" customHeight="1" x14ac:dyDescent="0.25">
      <c r="A14" s="101">
        <v>3</v>
      </c>
      <c r="B14" s="102"/>
      <c r="C14" s="137" t="str">
        <f>'SAF 011'!E12</f>
        <v>Aguja espinal para obesos  27 G  punta lapiz</v>
      </c>
      <c r="D14" s="138"/>
      <c r="E14" s="138"/>
      <c r="F14" s="138"/>
      <c r="G14" s="139"/>
      <c r="H14" s="107" t="s">
        <v>89</v>
      </c>
      <c r="I14" s="108" t="str">
        <f>'SAF 011'!F12</f>
        <v>UNIDAD</v>
      </c>
      <c r="J14" s="109">
        <f>'SAF 011'!H12</f>
        <v>1250</v>
      </c>
      <c r="K14" s="110" t="e">
        <f>'SAF 011'!#REF!</f>
        <v>#REF!</v>
      </c>
      <c r="M14" s="111" t="e">
        <f t="shared" si="0"/>
        <v>#REF!</v>
      </c>
    </row>
    <row r="15" spans="1:13" s="98" customFormat="1" ht="16.5" customHeight="1" x14ac:dyDescent="0.25">
      <c r="A15" s="101">
        <v>4</v>
      </c>
      <c r="B15" s="102"/>
      <c r="C15" s="137" t="str">
        <f>'SAF 011'!E13</f>
        <v xml:space="preserve">EQUIPO PARA DETERMINACION DE GLUCOSA </v>
      </c>
      <c r="D15" s="138"/>
      <c r="E15" s="138"/>
      <c r="F15" s="138"/>
      <c r="G15" s="139"/>
      <c r="H15" s="107" t="s">
        <v>89</v>
      </c>
      <c r="I15" s="108" t="str">
        <f>'SAF 011'!F13</f>
        <v>UNIDAD</v>
      </c>
      <c r="J15" s="109">
        <f>'SAF 011'!H13</f>
        <v>3580</v>
      </c>
      <c r="K15" s="110" t="e">
        <f>'SAF 011'!#REF!</f>
        <v>#REF!</v>
      </c>
      <c r="M15" s="111" t="e">
        <f t="shared" si="0"/>
        <v>#REF!</v>
      </c>
    </row>
    <row r="16" spans="1:13" s="98" customFormat="1" ht="16.5" customHeight="1" x14ac:dyDescent="0.25">
      <c r="A16" s="101">
        <v>5</v>
      </c>
      <c r="B16" s="102"/>
      <c r="C16" s="137" t="str">
        <f>'SAF 011'!E14</f>
        <v>ESTETOSCOPIO ADULTO TIPO 3 M LITTMANN CLASIC</v>
      </c>
      <c r="D16" s="138"/>
      <c r="E16" s="138"/>
      <c r="F16" s="138"/>
      <c r="G16" s="139"/>
      <c r="H16" s="107" t="s">
        <v>89</v>
      </c>
      <c r="I16" s="108" t="str">
        <f>'SAF 011'!F14</f>
        <v>UNIDAD</v>
      </c>
      <c r="J16" s="109">
        <f>'SAF 011'!H14</f>
        <v>15000</v>
      </c>
      <c r="K16" s="110" t="e">
        <f>'SAF 011'!#REF!</f>
        <v>#REF!</v>
      </c>
      <c r="M16" s="111" t="e">
        <f t="shared" si="0"/>
        <v>#REF!</v>
      </c>
    </row>
    <row r="17" spans="1:13" s="98" customFormat="1" ht="16.5" customHeight="1" x14ac:dyDescent="0.25">
      <c r="A17" s="101">
        <v>6</v>
      </c>
      <c r="B17" s="102"/>
      <c r="C17" s="137" t="str">
        <f>'SAF 011'!E15</f>
        <v>LIQUIDO FIJADOR PARA PROCESO AUTOMATICO 2 x 20 litros</v>
      </c>
      <c r="D17" s="138"/>
      <c r="E17" s="138"/>
      <c r="F17" s="138"/>
      <c r="G17" s="139"/>
      <c r="H17" s="107" t="s">
        <v>89</v>
      </c>
      <c r="I17" s="108" t="str">
        <f>'SAF 011'!F15</f>
        <v>CAJA</v>
      </c>
      <c r="J17" s="109">
        <f>'SAF 011'!H15</f>
        <v>6460</v>
      </c>
      <c r="K17" s="110" t="e">
        <f>'SAF 011'!#REF!</f>
        <v>#REF!</v>
      </c>
      <c r="M17" s="111" t="e">
        <f t="shared" si="0"/>
        <v>#REF!</v>
      </c>
    </row>
    <row r="18" spans="1:13" s="98" customFormat="1" ht="16.5" customHeight="1" x14ac:dyDescent="0.25">
      <c r="A18" s="101">
        <v>7</v>
      </c>
      <c r="B18" s="102"/>
      <c r="C18" s="137" t="str">
        <f>'SAF 011'!E16</f>
        <v>LIQUIDO FIJADOR PARA PROCESO MANUAL 2 x 25 litros</v>
      </c>
      <c r="D18" s="138"/>
      <c r="E18" s="138"/>
      <c r="F18" s="138"/>
      <c r="G18" s="139"/>
      <c r="H18" s="107" t="s">
        <v>89</v>
      </c>
      <c r="I18" s="108" t="str">
        <f>'SAF 011'!F16</f>
        <v>CAJA</v>
      </c>
      <c r="J18" s="109">
        <f>'SAF 011'!H16</f>
        <v>6671</v>
      </c>
      <c r="K18" s="110" t="e">
        <f>'SAF 011'!#REF!</f>
        <v>#REF!</v>
      </c>
      <c r="M18" s="111" t="e">
        <f t="shared" si="0"/>
        <v>#REF!</v>
      </c>
    </row>
    <row r="19" spans="1:13" s="98" customFormat="1" ht="16.5" customHeight="1" x14ac:dyDescent="0.25">
      <c r="A19" s="101">
        <v>8</v>
      </c>
      <c r="B19" s="102"/>
      <c r="C19" s="137" t="str">
        <f>'SAF 011'!E17</f>
        <v>LIQUIDO REVELADOR PARA PROCESO AUTOMATICO 2 x 20 litros</v>
      </c>
      <c r="D19" s="138"/>
      <c r="E19" s="138"/>
      <c r="F19" s="138"/>
      <c r="G19" s="139"/>
      <c r="H19" s="107" t="s">
        <v>89</v>
      </c>
      <c r="I19" s="108" t="str">
        <f>'SAF 011'!F17</f>
        <v>CAJA</v>
      </c>
      <c r="J19" s="109">
        <f>'SAF 011'!H17</f>
        <v>9185</v>
      </c>
      <c r="K19" s="110" t="e">
        <f>'SAF 011'!#REF!</f>
        <v>#REF!</v>
      </c>
      <c r="M19" s="111" t="e">
        <f t="shared" si="0"/>
        <v>#REF!</v>
      </c>
    </row>
    <row r="20" spans="1:13" s="98" customFormat="1" ht="16.5" customHeight="1" x14ac:dyDescent="0.25">
      <c r="A20" s="101">
        <v>9</v>
      </c>
      <c r="B20" s="102"/>
      <c r="C20" s="137" t="str">
        <f>'SAF 011'!E18</f>
        <v>LIQUIDO REVELADOR PARA PROCESO MANUAL 2 x 25 litros</v>
      </c>
      <c r="D20" s="138"/>
      <c r="E20" s="138"/>
      <c r="F20" s="138"/>
      <c r="G20" s="139"/>
      <c r="H20" s="107" t="s">
        <v>89</v>
      </c>
      <c r="I20" s="108" t="str">
        <f>'SAF 011'!F18</f>
        <v>CAJA</v>
      </c>
      <c r="J20" s="109">
        <f>'SAF 011'!H18</f>
        <v>8895</v>
      </c>
      <c r="K20" s="110" t="e">
        <f>'SAF 011'!#REF!</f>
        <v>#REF!</v>
      </c>
      <c r="M20" s="111" t="e">
        <f t="shared" si="0"/>
        <v>#REF!</v>
      </c>
    </row>
    <row r="21" spans="1:13" s="98" customFormat="1" ht="16.5" customHeight="1" x14ac:dyDescent="0.25">
      <c r="A21" s="101">
        <v>10</v>
      </c>
      <c r="B21" s="102"/>
      <c r="C21" s="137" t="str">
        <f>'SAF 011'!E19</f>
        <v>MAMELUCO LAMINADO TALLE XXL</v>
      </c>
      <c r="D21" s="138"/>
      <c r="E21" s="138"/>
      <c r="F21" s="138"/>
      <c r="G21" s="139"/>
      <c r="H21" s="107" t="s">
        <v>89</v>
      </c>
      <c r="I21" s="108" t="str">
        <f>'SAF 011'!F19</f>
        <v xml:space="preserve">UNIDAD </v>
      </c>
      <c r="J21" s="109">
        <f>'SAF 011'!H19</f>
        <v>1580</v>
      </c>
      <c r="K21" s="110" t="e">
        <f>'SAF 011'!#REF!</f>
        <v>#REF!</v>
      </c>
      <c r="M21" s="111" t="e">
        <f t="shared" si="0"/>
        <v>#REF!</v>
      </c>
    </row>
    <row r="22" spans="1:13" s="98" customFormat="1" ht="16.5" customHeight="1" x14ac:dyDescent="0.25">
      <c r="A22" s="101">
        <v>11</v>
      </c>
      <c r="B22" s="102"/>
      <c r="C22" s="137" t="str">
        <f>'SAF 011'!E20</f>
        <v>MANGO P/HOJA DE BISTURI N°3 H10-15</v>
      </c>
      <c r="D22" s="138"/>
      <c r="E22" s="138"/>
      <c r="F22" s="138"/>
      <c r="G22" s="139"/>
      <c r="H22" s="107" t="s">
        <v>89</v>
      </c>
      <c r="I22" s="108" t="str">
        <f>'SAF 011'!F20</f>
        <v>UNIDAD</v>
      </c>
      <c r="J22" s="109">
        <f>'SAF 011'!H20</f>
        <v>375</v>
      </c>
      <c r="K22" s="110" t="e">
        <f>'SAF 011'!#REF!</f>
        <v>#REF!</v>
      </c>
      <c r="M22" s="111" t="e">
        <f t="shared" si="0"/>
        <v>#REF!</v>
      </c>
    </row>
    <row r="23" spans="1:13" s="98" customFormat="1" ht="16.5" customHeight="1" x14ac:dyDescent="0.25">
      <c r="A23" s="101">
        <v>12</v>
      </c>
      <c r="B23" s="102"/>
      <c r="C23" s="137" t="str">
        <f>'SAF 011'!E21</f>
        <v>PLACAS RADIOGRAFICAS 18 X 24 SENSIBLE AL VERDE X 100 UNIDADES</v>
      </c>
      <c r="D23" s="138"/>
      <c r="E23" s="138"/>
      <c r="F23" s="138"/>
      <c r="G23" s="139"/>
      <c r="H23" s="107" t="s">
        <v>89</v>
      </c>
      <c r="I23" s="108" t="str">
        <f>'SAF 011'!F21</f>
        <v>CAJA</v>
      </c>
      <c r="J23" s="109">
        <f>'SAF 011'!H21</f>
        <v>4800</v>
      </c>
      <c r="K23" s="110" t="e">
        <f>'SAF 011'!#REF!</f>
        <v>#REF!</v>
      </c>
      <c r="M23" s="111" t="e">
        <f t="shared" si="0"/>
        <v>#REF!</v>
      </c>
    </row>
    <row r="24" spans="1:13" s="98" customFormat="1" ht="16.5" customHeight="1" x14ac:dyDescent="0.25">
      <c r="A24" s="101">
        <v>13</v>
      </c>
      <c r="B24" s="102"/>
      <c r="C24" s="137" t="str">
        <f>'SAF 011'!E22</f>
        <v>PLACAS RADIOGRAFICAS 24 X 30 SENSIBLE AL VERDE X 100 UNIDADES</v>
      </c>
      <c r="D24" s="138"/>
      <c r="E24" s="138"/>
      <c r="F24" s="138"/>
      <c r="G24" s="139"/>
      <c r="H24" s="107" t="s">
        <v>89</v>
      </c>
      <c r="I24" s="108" t="str">
        <f>'SAF 011'!F22</f>
        <v>CAJA</v>
      </c>
      <c r="J24" s="109">
        <f>'SAF 011'!H22</f>
        <v>7945</v>
      </c>
      <c r="K24" s="110" t="e">
        <f>'SAF 011'!#REF!</f>
        <v>#REF!</v>
      </c>
      <c r="M24" s="111" t="e">
        <f t="shared" si="0"/>
        <v>#REF!</v>
      </c>
    </row>
    <row r="25" spans="1:13" s="98" customFormat="1" ht="16.5" customHeight="1" x14ac:dyDescent="0.25">
      <c r="A25" s="101">
        <v>14</v>
      </c>
      <c r="B25" s="102"/>
      <c r="C25" s="137" t="str">
        <f>'SAF 011'!E23</f>
        <v>PLACAS RADIOGRAFICAS 35 X 43 SENSIBLE AL VERDE X 100 UNIDADES</v>
      </c>
      <c r="D25" s="138"/>
      <c r="E25" s="138"/>
      <c r="F25" s="138"/>
      <c r="G25" s="139"/>
      <c r="H25" s="107" t="s">
        <v>89</v>
      </c>
      <c r="I25" s="108" t="str">
        <f>'SAF 011'!F23</f>
        <v>CAJA</v>
      </c>
      <c r="J25" s="109">
        <f>'SAF 011'!H23</f>
        <v>16900</v>
      </c>
      <c r="K25" s="110" t="e">
        <f>'SAF 011'!#REF!</f>
        <v>#REF!</v>
      </c>
      <c r="M25" s="111" t="e">
        <f t="shared" si="0"/>
        <v>#REF!</v>
      </c>
    </row>
    <row r="26" spans="1:13" s="98" customFormat="1" ht="16.5" customHeight="1" x14ac:dyDescent="0.25">
      <c r="A26" s="101">
        <v>15</v>
      </c>
      <c r="B26" s="102"/>
      <c r="C26" s="137" t="str">
        <f>'SAF 011'!E24</f>
        <v>TENSIOMETRO ANAEROIDE +ESTETOSCOPIO ADULTO X 1</v>
      </c>
      <c r="D26" s="138"/>
      <c r="E26" s="138"/>
      <c r="F26" s="138"/>
      <c r="G26" s="139"/>
      <c r="H26" s="107" t="s">
        <v>89</v>
      </c>
      <c r="I26" s="108" t="str">
        <f>'SAF 011'!F24</f>
        <v>UNIDAD</v>
      </c>
      <c r="J26" s="109">
        <f>'SAF 011'!H24</f>
        <v>1540</v>
      </c>
      <c r="K26" s="110" t="e">
        <f>'SAF 011'!#REF!</f>
        <v>#REF!</v>
      </c>
      <c r="M26" s="111" t="e">
        <f t="shared" si="0"/>
        <v>#REF!</v>
      </c>
    </row>
    <row r="27" spans="1:13" s="98" customFormat="1" ht="15.75" customHeight="1" x14ac:dyDescent="0.25">
      <c r="A27" s="101">
        <v>16</v>
      </c>
      <c r="B27" s="102"/>
      <c r="C27" s="137" t="str">
        <f>'SAF 011'!E25</f>
        <v>TIRAS REACTIVAS PARA DETERMINACION GLUCOSA X 50 UNIDADES</v>
      </c>
      <c r="D27" s="138"/>
      <c r="E27" s="138"/>
      <c r="F27" s="138"/>
      <c r="G27" s="139"/>
      <c r="H27" s="107" t="s">
        <v>89</v>
      </c>
      <c r="I27" s="108" t="str">
        <f>'SAF 011'!F25</f>
        <v>CAJA</v>
      </c>
      <c r="J27" s="109">
        <f>'SAF 011'!H25</f>
        <v>2843.5</v>
      </c>
      <c r="K27" s="110" t="e">
        <f>'SAF 011'!#REF!</f>
        <v>#REF!</v>
      </c>
      <c r="M27" s="111" t="e">
        <f t="shared" si="0"/>
        <v>#REF!</v>
      </c>
    </row>
    <row r="28" spans="1:13" ht="16.5" thickBot="1" x14ac:dyDescent="0.3">
      <c r="A28" s="88"/>
      <c r="B28" s="89"/>
      <c r="C28" s="140"/>
      <c r="D28" s="140"/>
      <c r="E28" s="140"/>
      <c r="F28" s="140"/>
      <c r="G28" s="140"/>
      <c r="H28" s="90"/>
      <c r="I28" s="91"/>
      <c r="J28" s="96"/>
      <c r="K28" s="92"/>
    </row>
    <row r="29" spans="1:13" s="119" customFormat="1" ht="40.5" customHeight="1" thickBot="1" x14ac:dyDescent="0.3">
      <c r="A29" s="135" t="s">
        <v>90</v>
      </c>
      <c r="B29" s="135"/>
      <c r="C29" s="135"/>
      <c r="D29" s="135"/>
      <c r="E29" s="135"/>
      <c r="F29" s="135"/>
      <c r="G29" s="135"/>
      <c r="H29" s="135"/>
      <c r="I29" s="135"/>
      <c r="J29" s="136" t="e">
        <f>+M29</f>
        <v>#REF!</v>
      </c>
      <c r="K29" s="136"/>
      <c r="M29" s="120" t="e">
        <f>SUM(M12:M28)</f>
        <v>#REF!</v>
      </c>
    </row>
  </sheetData>
  <mergeCells count="3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22:G22"/>
    <mergeCell ref="A10:A11"/>
    <mergeCell ref="B10:B11"/>
    <mergeCell ref="C10:G11"/>
    <mergeCell ref="H10:H11"/>
    <mergeCell ref="C16:G16"/>
    <mergeCell ref="C17:G17"/>
    <mergeCell ref="C18:G18"/>
    <mergeCell ref="C19:G19"/>
    <mergeCell ref="C20:G20"/>
    <mergeCell ref="C21:G21"/>
    <mergeCell ref="K10:K11"/>
    <mergeCell ref="C12:G12"/>
    <mergeCell ref="C13:G13"/>
    <mergeCell ref="C14:G14"/>
    <mergeCell ref="C15:G15"/>
    <mergeCell ref="I10:I11"/>
    <mergeCell ref="J10:J11"/>
    <mergeCell ref="A29:I29"/>
    <mergeCell ref="J29:K29"/>
    <mergeCell ref="C23:G23"/>
    <mergeCell ref="C24:G24"/>
    <mergeCell ref="C25:G25"/>
    <mergeCell ref="C26:G26"/>
    <mergeCell ref="C27:G27"/>
    <mergeCell ref="C28:G2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topLeftCell="A10" workbookViewId="0">
      <selection activeCell="N22" sqref="N22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5" width="14.85546875" customWidth="1"/>
    <col min="16" max="16" width="17.28515625" customWidth="1"/>
    <col min="17" max="17" width="14.7109375" customWidth="1"/>
  </cols>
  <sheetData>
    <row r="1" spans="1:17" ht="15.75" thickBot="1" x14ac:dyDescent="0.3">
      <c r="A1" s="172" t="s">
        <v>5</v>
      </c>
      <c r="B1" s="172"/>
      <c r="C1" s="172"/>
      <c r="D1" s="173">
        <v>2022</v>
      </c>
      <c r="E1" s="173"/>
      <c r="F1" s="54"/>
      <c r="G1" s="54"/>
      <c r="H1" s="55"/>
      <c r="I1" s="55"/>
      <c r="J1" s="55"/>
      <c r="K1" s="55"/>
      <c r="L1" s="55"/>
      <c r="M1" s="55"/>
      <c r="N1" s="55"/>
      <c r="O1" s="56"/>
      <c r="P1" s="174" t="s">
        <v>54</v>
      </c>
      <c r="Q1" s="174"/>
    </row>
    <row r="2" spans="1:17" ht="15.75" thickBot="1" x14ac:dyDescent="0.3">
      <c r="A2" s="57"/>
      <c r="B2" s="58"/>
      <c r="C2" s="58"/>
      <c r="D2" s="58"/>
      <c r="E2" s="58"/>
      <c r="F2" s="58"/>
      <c r="G2" s="59"/>
      <c r="H2" s="60"/>
      <c r="I2" s="60"/>
      <c r="J2" s="60"/>
      <c r="K2" s="60"/>
      <c r="L2" s="60"/>
      <c r="M2" s="60"/>
      <c r="N2" s="60"/>
      <c r="O2" s="58"/>
      <c r="P2" s="174"/>
      <c r="Q2" s="174"/>
    </row>
    <row r="3" spans="1:17" ht="15.75" thickBot="1" x14ac:dyDescent="0.3">
      <c r="A3" s="57"/>
      <c r="B3" s="58"/>
      <c r="C3" s="58"/>
      <c r="D3" s="58"/>
      <c r="E3" s="58"/>
      <c r="F3" s="58"/>
      <c r="G3" s="59"/>
      <c r="H3" s="58"/>
      <c r="I3" s="58"/>
      <c r="J3" s="58"/>
      <c r="K3" s="58"/>
      <c r="L3" s="58"/>
      <c r="M3" s="58"/>
      <c r="N3" s="58"/>
      <c r="O3" s="58"/>
      <c r="P3" s="58"/>
      <c r="Q3" s="61"/>
    </row>
    <row r="4" spans="1:17" ht="15.75" thickBot="1" x14ac:dyDescent="0.3">
      <c r="A4" s="175" t="s">
        <v>55</v>
      </c>
      <c r="B4" s="175"/>
      <c r="C4" s="175"/>
      <c r="D4" s="175"/>
      <c r="E4" s="175"/>
      <c r="F4" s="175"/>
      <c r="G4" s="176" t="str">
        <f>NP!D3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ht="15.75" thickBot="1" x14ac:dyDescent="0.3">
      <c r="A5" s="177" t="s">
        <v>42</v>
      </c>
      <c r="B5" s="177"/>
      <c r="C5" s="177"/>
      <c r="D5" s="177"/>
      <c r="E5" s="177"/>
      <c r="F5" s="177"/>
      <c r="G5" s="176" t="str">
        <f>NP!D4</f>
        <v>011 - DIRECCION PROVINCIAL DE ADMINISTRACION - MINISTERIO DE SALUD</v>
      </c>
      <c r="H5" s="176"/>
      <c r="I5" s="176"/>
      <c r="J5" s="176"/>
      <c r="K5" s="176"/>
      <c r="L5" s="176"/>
      <c r="M5" s="176"/>
      <c r="N5" s="176"/>
      <c r="O5" s="176"/>
      <c r="P5" s="176"/>
      <c r="Q5" s="176"/>
    </row>
    <row r="6" spans="1:17" ht="15.75" thickBot="1" x14ac:dyDescent="0.3">
      <c r="A6" s="177" t="s">
        <v>43</v>
      </c>
      <c r="B6" s="177"/>
      <c r="C6" s="177"/>
      <c r="D6" s="177"/>
      <c r="E6" s="177"/>
      <c r="F6" s="177"/>
      <c r="G6" s="176" t="str">
        <f>NP!D5</f>
        <v>DIRECCION PROVINCIAL DE FARMACIA E INSUMOS</v>
      </c>
      <c r="H6" s="176"/>
      <c r="I6" s="176"/>
      <c r="J6" s="176"/>
      <c r="K6" s="176"/>
      <c r="L6" s="176"/>
      <c r="M6" s="176"/>
      <c r="N6" s="176"/>
      <c r="O6" s="176"/>
      <c r="P6" s="176"/>
      <c r="Q6" s="176"/>
    </row>
    <row r="7" spans="1:17" ht="15.75" thickBot="1" x14ac:dyDescent="0.3">
      <c r="A7" s="177" t="s">
        <v>44</v>
      </c>
      <c r="B7" s="177"/>
      <c r="C7" s="177"/>
      <c r="D7" s="177"/>
      <c r="E7" s="177"/>
      <c r="F7" s="177"/>
      <c r="G7" s="176" t="str">
        <f>NP!D6</f>
        <v>DIRECCION PROVINCIAL DE FARMACIA E INSUMOS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</row>
    <row r="8" spans="1:17" ht="15.75" thickBot="1" x14ac:dyDescent="0.3">
      <c r="A8" s="178" t="s">
        <v>56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</row>
    <row r="9" spans="1:17" ht="20.25" customHeight="1" x14ac:dyDescent="0.25">
      <c r="A9" s="171" t="s">
        <v>57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</row>
    <row r="10" spans="1:17" ht="69" customHeight="1" x14ac:dyDescent="0.25">
      <c r="A10" s="161" t="s">
        <v>91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 ht="15.75" thickBot="1" x14ac:dyDescent="0.3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1"/>
    </row>
    <row r="12" spans="1:17" ht="15.75" thickBot="1" x14ac:dyDescent="0.3">
      <c r="A12" s="162" t="s">
        <v>58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</row>
    <row r="13" spans="1:17" ht="15.75" thickBot="1" x14ac:dyDescent="0.3">
      <c r="A13" s="163" t="s">
        <v>59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4" t="s">
        <v>60</v>
      </c>
      <c r="P13" s="164"/>
      <c r="Q13" s="166" t="s">
        <v>61</v>
      </c>
    </row>
    <row r="14" spans="1:17" ht="15.75" thickBot="1" x14ac:dyDescent="0.3">
      <c r="A14" s="122" t="s">
        <v>62</v>
      </c>
      <c r="B14" s="123" t="s">
        <v>63</v>
      </c>
      <c r="C14" s="123" t="s">
        <v>64</v>
      </c>
      <c r="D14" s="123" t="s">
        <v>65</v>
      </c>
      <c r="E14" s="123" t="s">
        <v>66</v>
      </c>
      <c r="F14" s="123" t="s">
        <v>67</v>
      </c>
      <c r="G14" s="124" t="s">
        <v>68</v>
      </c>
      <c r="H14" s="123" t="s">
        <v>69</v>
      </c>
      <c r="I14" s="123" t="s">
        <v>70</v>
      </c>
      <c r="J14" s="123" t="s">
        <v>71</v>
      </c>
      <c r="K14" s="123" t="s">
        <v>71</v>
      </c>
      <c r="L14" s="123" t="s">
        <v>72</v>
      </c>
      <c r="M14" s="125" t="s">
        <v>73</v>
      </c>
      <c r="N14" s="126" t="s">
        <v>74</v>
      </c>
      <c r="O14" s="165"/>
      <c r="P14" s="165"/>
      <c r="Q14" s="167"/>
    </row>
    <row r="15" spans="1:17" ht="20.25" customHeight="1" x14ac:dyDescent="0.25">
      <c r="A15" s="62">
        <v>30</v>
      </c>
      <c r="B15" s="63"/>
      <c r="C15" s="63"/>
      <c r="D15" s="63">
        <v>1</v>
      </c>
      <c r="E15" s="63"/>
      <c r="F15" s="63">
        <v>4901</v>
      </c>
      <c r="G15" s="63">
        <v>3</v>
      </c>
      <c r="H15" s="63">
        <v>1</v>
      </c>
      <c r="I15" s="63">
        <v>2</v>
      </c>
      <c r="J15" s="63">
        <v>5</v>
      </c>
      <c r="K15" s="63">
        <v>9</v>
      </c>
      <c r="L15" s="63"/>
      <c r="M15" s="64">
        <v>1</v>
      </c>
      <c r="N15" s="63" t="s">
        <v>86</v>
      </c>
      <c r="O15" s="168" t="s">
        <v>94</v>
      </c>
      <c r="P15" s="168"/>
      <c r="Q15" s="121">
        <f>'SAF 011'!M26</f>
        <v>6932160</v>
      </c>
    </row>
    <row r="16" spans="1:17" ht="32.25" customHeight="1" x14ac:dyDescent="0.25">
      <c r="A16" s="62">
        <v>30</v>
      </c>
      <c r="B16" s="63"/>
      <c r="C16" s="63"/>
      <c r="D16" s="63">
        <v>1</v>
      </c>
      <c r="E16" s="63"/>
      <c r="F16" s="63">
        <v>4901</v>
      </c>
      <c r="G16" s="63">
        <v>3</v>
      </c>
      <c r="H16" s="63">
        <v>1</v>
      </c>
      <c r="I16" s="63">
        <v>2</v>
      </c>
      <c r="J16" s="63">
        <v>9</v>
      </c>
      <c r="K16" s="63">
        <v>5</v>
      </c>
      <c r="L16" s="63"/>
      <c r="M16" s="64">
        <v>1</v>
      </c>
      <c r="N16" s="65" t="s">
        <v>86</v>
      </c>
      <c r="O16" s="169" t="s">
        <v>92</v>
      </c>
      <c r="P16" s="170"/>
      <c r="Q16" s="66">
        <f>'SAF 011'!L26</f>
        <v>7208800</v>
      </c>
    </row>
    <row r="17" spans="1:17" x14ac:dyDescent="0.25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4"/>
      <c r="N17" s="65"/>
      <c r="O17" s="160"/>
      <c r="P17" s="160"/>
      <c r="Q17" s="66"/>
    </row>
    <row r="18" spans="1:17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4"/>
      <c r="N18" s="65"/>
      <c r="O18" s="160"/>
      <c r="P18" s="160"/>
      <c r="Q18" s="66"/>
    </row>
    <row r="19" spans="1:17" x14ac:dyDescent="0.25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65"/>
      <c r="O19" s="160"/>
      <c r="P19" s="160"/>
      <c r="Q19" s="66"/>
    </row>
    <row r="20" spans="1:17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4"/>
      <c r="N20" s="65"/>
      <c r="O20" s="160"/>
      <c r="P20" s="160"/>
      <c r="Q20" s="66"/>
    </row>
    <row r="21" spans="1:17" x14ac:dyDescent="0.25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4"/>
      <c r="N21" s="65"/>
      <c r="O21" s="160"/>
      <c r="P21" s="160"/>
      <c r="Q21" s="66"/>
    </row>
    <row r="22" spans="1:17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4"/>
      <c r="N22" s="65"/>
      <c r="O22" s="160"/>
      <c r="P22" s="160"/>
      <c r="Q22" s="66"/>
    </row>
    <row r="23" spans="1:17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4"/>
      <c r="N23" s="65"/>
      <c r="O23" s="160"/>
      <c r="P23" s="160"/>
      <c r="Q23" s="66"/>
    </row>
    <row r="24" spans="1:17" x14ac:dyDescent="0.25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65"/>
      <c r="O24" s="160"/>
      <c r="P24" s="160"/>
      <c r="Q24" s="66"/>
    </row>
    <row r="25" spans="1:17" x14ac:dyDescent="0.25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4"/>
      <c r="N25" s="65"/>
      <c r="O25" s="160"/>
      <c r="P25" s="160"/>
      <c r="Q25" s="66"/>
    </row>
    <row r="26" spans="1:17" x14ac:dyDescent="0.25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4"/>
      <c r="N26" s="65"/>
      <c r="O26" s="160"/>
      <c r="P26" s="160"/>
      <c r="Q26" s="66"/>
    </row>
    <row r="27" spans="1:17" x14ac:dyDescent="0.25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4"/>
      <c r="N27" s="65"/>
      <c r="O27" s="160"/>
      <c r="P27" s="160"/>
      <c r="Q27" s="66"/>
    </row>
    <row r="28" spans="1:17" x14ac:dyDescent="0.25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4"/>
      <c r="N28" s="65"/>
      <c r="O28" s="160"/>
      <c r="P28" s="160"/>
      <c r="Q28" s="66"/>
    </row>
    <row r="29" spans="1:17" x14ac:dyDescent="0.25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4"/>
      <c r="N29" s="65"/>
      <c r="O29" s="160"/>
      <c r="P29" s="160"/>
      <c r="Q29" s="66"/>
    </row>
    <row r="30" spans="1:17" x14ac:dyDescent="0.25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/>
      <c r="N30" s="65"/>
      <c r="O30" s="160"/>
      <c r="P30" s="160"/>
      <c r="Q30" s="66"/>
    </row>
    <row r="31" spans="1:17" x14ac:dyDescent="0.25">
      <c r="A31" s="62"/>
      <c r="B31" s="63"/>
      <c r="C31" s="63"/>
      <c r="D31" s="63"/>
      <c r="E31" s="63"/>
      <c r="F31" s="65"/>
      <c r="G31" s="63"/>
      <c r="H31" s="63"/>
      <c r="I31" s="63"/>
      <c r="J31" s="63"/>
      <c r="K31" s="63"/>
      <c r="L31" s="63"/>
      <c r="M31" s="64"/>
      <c r="N31" s="65"/>
      <c r="O31" s="155"/>
      <c r="P31" s="155"/>
      <c r="Q31" s="66"/>
    </row>
    <row r="32" spans="1:17" x14ac:dyDescent="0.25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4"/>
      <c r="N32" s="65"/>
      <c r="O32" s="155"/>
      <c r="P32" s="155"/>
      <c r="Q32" s="66"/>
    </row>
    <row r="33" spans="1:17" x14ac:dyDescent="0.25">
      <c r="A33" s="62"/>
      <c r="B33" s="63"/>
      <c r="C33" s="63"/>
      <c r="D33" s="63"/>
      <c r="E33" s="63"/>
      <c r="F33" s="65"/>
      <c r="G33" s="63"/>
      <c r="H33" s="63"/>
      <c r="I33" s="63"/>
      <c r="J33" s="63"/>
      <c r="K33" s="63"/>
      <c r="L33" s="63"/>
      <c r="M33" s="64"/>
      <c r="N33" s="65"/>
      <c r="O33" s="155"/>
      <c r="P33" s="155"/>
      <c r="Q33" s="66"/>
    </row>
    <row r="34" spans="1:17" x14ac:dyDescent="0.25">
      <c r="A34" s="62"/>
      <c r="B34" s="63"/>
      <c r="C34" s="63"/>
      <c r="D34" s="63"/>
      <c r="E34" s="63"/>
      <c r="F34" s="65"/>
      <c r="G34" s="63"/>
      <c r="H34" s="63"/>
      <c r="I34" s="63"/>
      <c r="J34" s="63"/>
      <c r="K34" s="63"/>
      <c r="L34" s="63"/>
      <c r="M34" s="64"/>
      <c r="N34" s="65"/>
      <c r="O34" s="155"/>
      <c r="P34" s="155"/>
      <c r="Q34" s="66"/>
    </row>
    <row r="35" spans="1:17" x14ac:dyDescent="0.25">
      <c r="A35" s="67"/>
      <c r="B35" s="68"/>
      <c r="C35" s="68"/>
      <c r="D35" s="68"/>
      <c r="E35" s="68"/>
      <c r="F35" s="69"/>
      <c r="G35" s="68"/>
      <c r="H35" s="68"/>
      <c r="I35" s="68"/>
      <c r="J35" s="68"/>
      <c r="K35" s="68"/>
      <c r="L35" s="68"/>
      <c r="M35" s="70"/>
      <c r="N35" s="71"/>
      <c r="O35" s="156"/>
      <c r="P35" s="156"/>
      <c r="Q35" s="66"/>
    </row>
    <row r="36" spans="1:17" ht="15.75" thickBot="1" x14ac:dyDescent="0.3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4"/>
      <c r="N36" s="73"/>
      <c r="O36" s="157"/>
      <c r="P36" s="157"/>
      <c r="Q36" s="75"/>
    </row>
    <row r="37" spans="1:17" ht="36.75" customHeight="1" thickBot="1" x14ac:dyDescent="0.3">
      <c r="A37" s="158" t="s">
        <v>93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76">
        <f>SUM(Q15:Q36)</f>
        <v>14140960</v>
      </c>
    </row>
    <row r="38" spans="1:17" ht="15.75" thickBot="1" x14ac:dyDescent="0.3">
      <c r="A38" s="159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</row>
    <row r="39" spans="1:17" ht="15.75" thickBot="1" x14ac:dyDescent="0.3">
      <c r="A39" s="152" t="s">
        <v>75</v>
      </c>
      <c r="B39" s="152"/>
      <c r="C39" s="152"/>
      <c r="D39" s="152"/>
      <c r="E39" s="152"/>
      <c r="F39" s="152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</row>
    <row r="40" spans="1:17" ht="15.75" thickBot="1" x14ac:dyDescent="0.3">
      <c r="A40" s="154" t="str">
        <f>NP!D8</f>
        <v>ADQUISICION DEL RUBRO INSUMO COMPLEJO</v>
      </c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</row>
    <row r="41" spans="1:17" ht="15.75" thickBot="1" x14ac:dyDescent="0.3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F39"/>
    <mergeCell ref="G39:Q39"/>
    <mergeCell ref="A40:Q41"/>
    <mergeCell ref="O33:P33"/>
    <mergeCell ref="O34:P34"/>
    <mergeCell ref="O35:P35"/>
    <mergeCell ref="O36:P36"/>
    <mergeCell ref="A37:P37"/>
    <mergeCell ref="A38:Q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2022-02-03T13:51:00Z</dcterms:modified>
</cp:coreProperties>
</file>