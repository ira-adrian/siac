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VIRGINIA GRIMA\Documents\"/>
    </mc:Choice>
  </mc:AlternateContent>
  <xr:revisionPtr revIDLastSave="0" documentId="13_ncr:1_{154A3483-DFB8-4756-8A11-AE0501F8CB9C}" xr6:coauthVersionLast="46" xr6:coauthVersionMax="46" xr10:uidLastSave="{00000000-0000-0000-0000-000000000000}"/>
  <bookViews>
    <workbookView xWindow="-120" yWindow="-120" windowWidth="20730" windowHeight="11160" xr2:uid="{143C1D17-A906-4DD5-AD22-27EE55DA5CFF}"/>
  </bookViews>
  <sheets>
    <sheet name="Hoja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8" i="1" l="1"/>
  <c r="L10" i="1" l="1"/>
  <c r="L11" i="1"/>
  <c r="L12" i="1"/>
  <c r="L13" i="1"/>
  <c r="L14" i="1"/>
  <c r="L15" i="1"/>
  <c r="L16" i="1"/>
  <c r="L17" i="1"/>
  <c r="L18" i="1"/>
  <c r="L19" i="1"/>
  <c r="L20" i="1"/>
  <c r="L21" i="1"/>
  <c r="L22" i="1"/>
  <c r="L23" i="1"/>
  <c r="L24" i="1"/>
  <c r="L25" i="1"/>
  <c r="L26" i="1"/>
  <c r="L27" i="1"/>
  <c r="L28" i="1"/>
  <c r="L9" i="1"/>
  <c r="K10" i="1"/>
  <c r="K11" i="1"/>
  <c r="K12" i="1"/>
  <c r="K13" i="1"/>
  <c r="K14" i="1"/>
  <c r="K15" i="1"/>
  <c r="K16" i="1"/>
  <c r="K17" i="1"/>
  <c r="K18" i="1"/>
  <c r="K19" i="1"/>
  <c r="K20" i="1"/>
  <c r="K21" i="1"/>
  <c r="K22" i="1"/>
  <c r="K23" i="1"/>
  <c r="K24" i="1"/>
  <c r="K25" i="1"/>
  <c r="K26" i="1"/>
  <c r="K27" i="1"/>
  <c r="K28" i="1"/>
  <c r="K9" i="1"/>
  <c r="F38" i="1"/>
  <c r="G38" i="1" s="1"/>
  <c r="H38" i="1" s="1"/>
  <c r="G29" i="1"/>
  <c r="H39" i="1" s="1"/>
  <c r="I28" i="1"/>
  <c r="I27" i="1"/>
  <c r="I26" i="1"/>
  <c r="I25" i="1"/>
  <c r="I24" i="1"/>
  <c r="I23" i="1"/>
  <c r="I22" i="1"/>
  <c r="I21" i="1"/>
  <c r="I20" i="1"/>
  <c r="I19" i="1"/>
  <c r="I17" i="1"/>
  <c r="I16" i="1"/>
  <c r="I15" i="1"/>
  <c r="I14" i="1"/>
  <c r="I13" i="1"/>
  <c r="I12" i="1"/>
  <c r="I11" i="1"/>
  <c r="I10" i="1"/>
  <c r="I9" i="1"/>
  <c r="I29" i="1" s="1"/>
</calcChain>
</file>

<file path=xl/sharedStrings.xml><?xml version="1.0" encoding="utf-8"?>
<sst xmlns="http://schemas.openxmlformats.org/spreadsheetml/2006/main" count="154" uniqueCount="98">
  <si>
    <t>Pedido de Necesidades Trimestrales</t>
  </si>
  <si>
    <t>JURISDICCION:</t>
  </si>
  <si>
    <t>45- Ministerio de Desarrollo Social.-</t>
  </si>
  <si>
    <t xml:space="preserve">SAF N°: </t>
  </si>
  <si>
    <t>25- Direccion Provincial de Gestion Administracion y RRHH</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</si>
  <si>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</si>
  <si>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</si>
  <si>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</si>
  <si>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</si>
  <si>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</si>
  <si>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</si>
  <si>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</si>
  <si>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</si>
  <si>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</si>
  <si>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</si>
  <si>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</si>
  <si>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ESPECIFICACIONES</t>
  </si>
  <si>
    <t>2.1.1-6547.23</t>
  </si>
  <si>
    <t>ALIMENTOS</t>
  </si>
  <si>
    <t>2.1.1</t>
  </si>
  <si>
    <t>PAQUETE</t>
  </si>
  <si>
    <t>2.1.1-482.69</t>
  </si>
  <si>
    <t>2.1.1-6547.84</t>
  </si>
  <si>
    <t>LEGUMBRES; VARIEDAD: ARVEJAS, ESTADO: CONSERVA, PRESENTACION: LATA, PESO: 350 GR, MATERIAL ENVASE: METAL, ELEM. TRANSPORTE: SIN, MATERIAL ELEM. TRANSPORTE: SIN, LIBRE DE GLUTEN: NO</t>
  </si>
  <si>
    <t>LATA</t>
  </si>
  <si>
    <t>Deberá ser arvejas secas de color y tamaño razonablemente
uniforme; sin olores ni sabores extraños; remojados en un medio
liquido apropiado, sin presencia de cuerpos extraños.
Presentación en lata, conteniendo 350 g ajustado al C.A.A. Cap
XI, Artículo 928- (Dec. 444, 6.2.74). En ningún caso los envases
deberán mostrar signos de rotura, abolladura, hinchazón, ni
rastros de insectos o roedores.</t>
  </si>
  <si>
    <t>2.1.1-509.14</t>
  </si>
  <si>
    <t>PURE; TIPO: TOMATE PERITA, ENVASE: CAJA DE CARTON, PESO: 520 GR, LIBRE DE GLUTEN: NO</t>
  </si>
  <si>
    <t>CAJA</t>
  </si>
  <si>
    <t>Deberá ser puré de tomate, obteniendo de la trituración
mecánica de tomates sanos, limpios, enteros, con o sin agregado
de sal, sin presencia de cuerpos extraños. Deberá presentarse en
envase tetra pack bromatológicamente apto, herméticamente
cerrado, esterilizado industrialmente, conteniendo 520 g,
ajustado al C.A.A. Cap. XI Artículo 946- (Resol. Conj. SPRyRS y
SAGPyA N9 66/2007 y N9 187/2007).</t>
  </si>
  <si>
    <t>2.1.1-439.67</t>
  </si>
  <si>
    <t>ACEITES COMESTIBLES; TIPO: GIRASOL, PRESENTACION: ENVASE X 900 CM3, MATERIAL ENVASE: PLASTICO 1 (PET), ELEM. TRANSPORTE: SIN, MATERIAL ELEM. TRANSPORTE : SIN, LIBRE DE GLUTEN: NO</t>
  </si>
  <si>
    <t>BOTELLA</t>
  </si>
  <si>
    <t>Deberá ser aceite comestible de una sola semilla,
específicamente girasol, presentación en envase PET, con tapa
interna y precinto externo de seguridad, conteniendo 900 cc.
Ajustado al C.A.A. Cap. Vil Art. 520, 521.1, 523, 524, 525 y 528</t>
  </si>
  <si>
    <t>2.1.1-435.60</t>
  </si>
  <si>
    <t>ARROZ; TIPO GRANO: LARGO-FINO, TIPO: BLANCO, PROCESO: SIN CASCARA, PRESENTACION: BOLSA X 1 Kg, MATERIAL ENVASE: PLASTICO, CERTIFICADO FORESTAL (GFS): SIN, ELEM. TRANSPORTE: SIN, MATERIAL ELEM. TRANSPORTE: SIN, LIBRE DE GLUTEN: SI</t>
  </si>
  <si>
    <t>BOLSA</t>
  </si>
  <si>
    <t>El producto deberá presentarse en envase externo de material aislante, impermeable a la humedad, bien sellado y sin roturas ni manchas
conteniendo1kg. Ajustado a criterios establecidos por el C.A.A. Cap. IX, Artículos 650- (Res 1547, 12.09.90) Libre de GLUTEN.</t>
  </si>
  <si>
    <t>2.1.1-2868.59</t>
  </si>
  <si>
    <t>FIDEOS SECOS; VARIEDAD: MOSTACHOLES, RELLENO: SIN, PRESENTACION: ENVASE X 500 GR, MATERIAL ENVASE: PVC, ELEM. TRANSPORTE: CAJA, MATERIAL ELEM. TRANSPORTE: CARTON, CERTIFICADO FORESTAL (GFS): SIN, LIBRE DE GLUTEN: NO</t>
  </si>
  <si>
    <t>Deberá ser fideo seco tipo guisero, presentación en paquetes
transparentes de polietileno, perfectamente sellado,
conteniendo 500 gr, ajustándose al C.A.A. Cap. IX, artículos 706,
707, 711,713 y 718.</t>
  </si>
  <si>
    <t>2.1.1-2868.57</t>
  </si>
  <si>
    <t>FIDEOS SECOS; VARIEDAD: SPAGHETTI, RELLENO: SIN, PRESENTACION: ENVASE X 500 GR, MATERIAL ENVASE: PVC, ELEM. TRANSPORTE: CAJA, MATERIAL ELEM. TRANSPORTE: CARTON, CERTIFICADO FORESTAL (GFS): SIN, LIBRE DE GLUTEN: NO</t>
  </si>
  <si>
    <t>Deberá ser fideo seco tipo spaghetti, presentación en paquetes
transparentes de polietileno, perfectamente sellado,
conteniendo 500 gr, ajustándose al C.A.A. Cap. IX, artículos 706,
707, 711,713 y 718.</t>
  </si>
  <si>
    <t>2.1.1-2868.53</t>
  </si>
  <si>
    <t>FIDEOS SECOS; VARIEDAD: TIRABUZON, RELLENO: SIN, PRESENTACION: ENVASE X 500 GR, MATERIAL ENVASE: PLASTICO 1 (PET), ELEM. TRANSPORTE: SIN, MATERIAL ELEM. TRANSPORTE: SIN, CERTIFICADO FORESTAL (GFS): SIN, LIBRE DE GLUTEN: NO</t>
  </si>
  <si>
    <t>2.1.1-482.70</t>
  </si>
  <si>
    <t>HARINAS; TIPO: 000, PRESENTACION: ENVASE X 1 Kg, MATERIAL ENVASE: PAPEL, CERTICADO FORESTAL (GFS): SI, ELEM. TRANSPORTE: SIN, MATERIAL ELEM. TRANSPORTE: SIN, LIBRE DE GLUTEN: NO</t>
  </si>
  <si>
    <t>Deberá ser harina de trigo tipo 000 fortificada con vitaminas y
minerales presentación en envase de papel bien cerrado y sin
perforaciones conteniendo 1kg. Ajustada al C.A.A. Cap. IX art.
661 y 661 bis. No contendrá impurezas ni cuerpos extraños.</t>
  </si>
  <si>
    <t>2.1.1-454.28</t>
  </si>
  <si>
    <t>YERBAS; PALO: SIN, PESO: 1 Kg, MATERIAL ENVASE : PAPEL, CERTIFICADO FORESTAL (GFS): CON, ELEM. TRANSPORTE: SIN, MATERIAL ELEM. TRANSPORTE: SIN, LIBRE DE GLUTEN: SI</t>
  </si>
  <si>
    <t>Deberá ser yerba mate elaborada con palo, presentación en
paquete de papel plastificado x 1kg. Ajustado al C.A.A. Cap. XV
art. 1193, 1194, 1195 y 1198 bis. El envase debe ser de primer
uso, perfectamente cerrado, sin presentar perforaciones.
Leyenda libre de Gluten.</t>
  </si>
  <si>
    <t>2.1.1-481.38</t>
  </si>
  <si>
    <t>AZUCARES; TIPO: "A" COMUN, ESTADO: MOLIDA, PESO: 1 Kg, MATERIAL ENVASE: PLASTICO, CERTIFICADO FORESTAL (GFS): SIN, ELEM. TRANSPORTE: SIN, MATERIAL ELEM. TRANSPORTE: SIN</t>
  </si>
  <si>
    <t>Deberá ser azúcar común tipo A, presentación en bolsas de
polietileno de 1kg perfectamente sellado y sin presentar
perforaciones. No deberá estar bien visible el nombre del ingenio
fabricante y provincia de origen. Ajustado al C.A.A. Cap. X
artículo 767, 768 bis, 769.</t>
  </si>
  <si>
    <t>2.1.1-705.93</t>
  </si>
  <si>
    <t>LECHE; ESTADO: POLVO, TIPO: ENTERA, PROCESO: PASTEURIZADA, AGREGADO: VITAMINAS A Y D, PRESENTACION: ENVASE X 800 GR, MATERIAL ENVASE: CARTON, ELEM. TRANSPORTE: SIN, MATERIAL ELEM. TRANSPORTE: SIN, CERTIFICADO FORESTAL (GFS): SIN, LIBRE DE GLUTEN: SI</t>
  </si>
  <si>
    <t>Leche entera en polvo elaborada en base a leche de vaca, deberá
ser entera, organolépticamente apta para el consumo,
deshidratada fortificada con vitaminas A y D. deberá presentarse
en envase externo de cartón bien sellado y envase interno
polilaminado impermeable a la luz visible y la luz ultravioleta y al
vapor de agua, conteniendo 800 g. ajustada al C.A.A. Cap. VIII
articulo 567 y 569 bis.
Deberá ser un polvo uniforme, sin grumos de color blanco
amarillento, olor agradable no rancio, el contenido de nutrientes
y demás características físicas - químicas correspondiendo a
todas las exigencias del C.A.A.; en ningún caso las cajas de cartón
deberán mostrar signos de rotura, manchas, contaminación con
hongos, ni rastros de insectos o roedores. Leyenda libre de
Gluten.</t>
  </si>
  <si>
    <t>2.1.1-6546.100</t>
  </si>
  <si>
    <t>VERDURAS Y HORTALIZAS; ESTADO: NATURAL, PRESENTACION: GRANEL, VARIEDAD: PAPA BLANCA, PESO: SIN VALOR</t>
  </si>
  <si>
    <t>KG</t>
  </si>
  <si>
    <t xml:space="preserve">• Las frutas y verduras que ingresen al establecimiento deben ser de 1ra calidad, frescas, limpias, enteras, en especial la papa debe venir sin exceso de tierra lo más limpia posible y conservando sus caracteres organolépticos característicos.
• Uniformidad: tamaño, forma, color y madurez característicos.
• No debe tener ningún tipo de contaminación física, química o biológica.
• Sanas, se excluyen en todos los casos los productos afectados por podredumbre o por alteraciones, que le hagan impropio para el consumo.
• Exentas de olor y/o sabor extraño.
• La lechuga y cualquier otra hortaliza de hojas debe estar verde, compacta, fresca (sin indicios de marchitez), limpia y sin tejido oxidado ni hojas dañadas por insectos u otros daños.
</t>
  </si>
  <si>
    <t>2.1.1-6546.46</t>
  </si>
  <si>
    <t>VERDURAS Y HORTALIZAS; VARIEDAD: CEBOLLA, ESTADO: NATURAL, PRESENTACION: GRANEL, PESO: SIN VALOR</t>
  </si>
  <si>
    <t>2.1.1-6546.403</t>
  </si>
  <si>
    <t>VERDURAS Y HORTALIZAS; VARIEDAD: ZANAHORIA, ESTADO: NATURAL, PRESENTACION: BOLSA, PESO: NO CORRESPONDE, ELEM. TRANSPORTE: SIN, MATERIAL ELEM. TRANSPORTE: SIN, LIBRE DE GLUTEN: SI, ORGANICO: NO</t>
  </si>
  <si>
    <t xml:space="preserve">2.1.1-541.49 </t>
  </si>
  <si>
    <t>CARNES; ESPECIE: VACUNA, CORTE: NALGA, TIPO: VACUNA</t>
  </si>
  <si>
    <t xml:space="preserve">• La carne no deberá presentar ninguna modificación esencial en sus características principales y presenta color, olor y consistencia característicos.
• La carne fresca que ingrese al establecimiento debe mantenerse a una temperatura no mayor de 5º C.
• Las carnes estarán limpias, exentas de piel y vísceras.
• La carne tiene que ser de color rojo brillante, de color oscuro no se aceptará ya que se deterioran más rápido
</t>
  </si>
  <si>
    <t>2.1.1-621.3</t>
  </si>
  <si>
    <t>AVES; PRESENTACION: TROZADO SIN PIEL, ESPECIE: POLLO, EVISCERADO: SIN VALOR, TIPO: POLLO</t>
  </si>
  <si>
    <t xml:space="preserve">• La temperatura de la carne de pollo en el momento de la recepción deberá estar entre -2º C y 2ºC para las aves enfriadas y no deberá ser mayor de -15º C para las aves congeladas. Sus caracteres organolépticos (color, olor, aspecto y consistencia), deben ser característicos.
• El envase del POLLO trozado deberá ofrecer garantías de seguridad en su cierre y cada unidad de venta será identificada adecuadamente.
• Todos los productos encuadrados en esta clasificación deben ajustarse a la definición y requisitos, de rotulado y embalaje, establecidos en los artículos 256 y 257 – Capítulo VI (“alimentos carnes y afines”) del CODIGO ALIMENTARIO ARGENTINO (C.A.A).
</t>
  </si>
  <si>
    <t xml:space="preserve">2.1.1-6546.4 </t>
  </si>
  <si>
    <t>VERDURAS Y HORTALIZAS; VARIEDAD: TOMATE PERITA, ESTADO: TRITURADO, PRESENTACION: BOTELLA, PESO: 950 GR</t>
  </si>
  <si>
    <t>debera ser tomate triturado en conserva, obtenido de la trituracion mecanica de tomates sanos, limpios, enteros, con o sin agregado de sal, sin presencia de cuerpos extraños. Debera presentarse en botella de vidrio, bromatologicamente apta, esterilizado industrialmente, conteniendo 950 c c , ajustado al C.A.A.  cap XXI  articulo 948-(Res N° 197, 6,06,95)</t>
  </si>
  <si>
    <t>Especificidades Item N° 1 al 20:</t>
  </si>
  <si>
    <t>Descripción técnica</t>
  </si>
  <si>
    <t>Plazos y lugares de entrega</t>
  </si>
  <si>
    <t>5 dias habies despues de la Orden de Compra</t>
  </si>
  <si>
    <t>QUINCENAL</t>
  </si>
  <si>
    <t>DOMICILIO DE ENTREGA</t>
  </si>
  <si>
    <t>MINISTERIO DE DESARROLLO SOCIAL</t>
  </si>
  <si>
    <t xml:space="preserve">PABELLON Nº 19 - AVENIDA VENEZUELA S/N - CAPE </t>
  </si>
  <si>
    <t xml:space="preserve">esta tendrá entregas quincenales de acuerdo al Formulario de Necesidades Trimestrales, los
pagos se realizaran a los treinta (30) dias de notofocada la orden de compra y el segudo pago a los
quince (15) dias. </t>
  </si>
  <si>
    <t>*SE REALIZA LA ENTREGA SERAN DISTRIBUIDOS EN LOS DISTINTOS COMEDORES Y MERENDEROS</t>
  </si>
  <si>
    <t>Calidad Minima esperada</t>
  </si>
  <si>
    <t>ALTA</t>
  </si>
  <si>
    <t>Mantenimiento</t>
  </si>
  <si>
    <t>30 DIAS</t>
  </si>
  <si>
    <t>Garantia</t>
  </si>
  <si>
    <t>S/E</t>
  </si>
  <si>
    <t>2.1.1-2615.15</t>
  </si>
  <si>
    <t>CACAO; TIPO: INSTANTANEO, PRESENTACION: ENVASE X 800 GR, FORMA DE PRESENTACION: POLVO, MATERIAL ENVASE: CARTON, CERTICADO FORESTAL (GFS): CON, LIBRE DE GLUTEN: SI</t>
  </si>
  <si>
    <t>Deberá ser legumbre lentejas, secas o deshidratadas en envase
transparentes de polietileno,perfectamente sellado,
conteniendo 500 gr. Ajustándose al C.A.A. Art 877.</t>
  </si>
  <si>
    <t>Deberá ser harina o sémola de maíz para preparar polenta, en
envase de film multicapa, resistente, impermeable a la luz y
humedad, sin roturas ni manchas, conteniendo1kg. No deberá
contener impurezas ningún cuerpo extraño. Ajustando a criterios
establecidos por el C.A.A. Cap. IX Art. 694 bis.</t>
  </si>
  <si>
    <t>Deberá ser la mezcla homogénea de cacao solubilizado,
instantáneo y azucares hasta el 68% (sacarosa, azúcar invertido,
dextrosa o sus mezclas), con o sin el agregado de los adjetivos.
Contenido en envase de plástico resistente, impermeable a la luz
y humedad o bien en caja de cartón con envase interno
resistente, impermeable a la humedad; se deberá presentar en
perfectas condiciones de sellado sin perforaciones, conteniendo
en cualquiera de los casos 800 g. C.A.A. Cap. XV- Árt. 1145 y
1146- (R. Conj 31/2003 y 286/2003). Leyenda Libre de Gluten</t>
  </si>
  <si>
    <r>
      <t xml:space="preserve">LEGUMBRES; VARIEDAD: LENTEJA, ESTADO: </t>
    </r>
    <r>
      <rPr>
        <sz val="9"/>
        <color rgb="FFFF0000"/>
        <rFont val="Times New Roman"/>
        <family val="1"/>
      </rPr>
      <t>NATURAL</t>
    </r>
    <r>
      <rPr>
        <sz val="9"/>
        <color rgb="FF000000"/>
        <rFont val="Times New Roman"/>
        <family val="1"/>
      </rPr>
      <t>, PRESENTACION: PAQUETE, PESO: 500 GR</t>
    </r>
  </si>
  <si>
    <r>
      <t xml:space="preserve">HARINAS; TIPO: MAIZ, PRESENTACION: ENVASE X 1 Kg, MATERIAL ENVASE: </t>
    </r>
    <r>
      <rPr>
        <sz val="9"/>
        <color rgb="FFFF0000"/>
        <rFont val="Times New Roman"/>
        <family val="1"/>
      </rPr>
      <t>PAPEL</t>
    </r>
    <r>
      <rPr>
        <sz val="9"/>
        <color rgb="FF000000"/>
        <rFont val="Times New Roman"/>
        <family val="1"/>
      </rPr>
      <t>, CERTICADO FORESTAL (GFS): SIN, ELEM. TRANSPORTE: SIN, MATERIAL ELEM. TRANSPORTE: SIN, LIBRE DE GLUTEN: 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</si>
</sst>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2C0A]\ #,##0.00;[$$-2C0A]&quot; -&quot;#,##0.00"/>
  </numFmts>
  <fonts count="20" x14ac:knownFonts="1">
    <font>
      <sz val="11"/>
      <color theme="1"/>
      <name val="Calibri"/>
      <family val="2"/>
      <scheme val="minor"/>
    </font>
    <font>
      <sz val="11"/>
      <color theme="1"/>
      <name val="Calibri"/>
      <family val="2"/>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b/>
      <sz val="10"/>
      <name val="Times New Roman"/>
      <family val="1"/>
    </font>
    <font>
      <sz val="12"/>
      <name val="Times New Roman"/>
      <family val="1"/>
    </font>
    <font>
      <b/>
      <sz val="12"/>
      <name val="Times New Roman"/>
      <family val="1"/>
    </font>
    <font>
      <u/>
      <sz val="10"/>
      <name val="Times New Roman"/>
      <family val="1"/>
    </font>
    <font>
      <sz val="10"/>
      <color theme="0"/>
      <name val="Times New Roman"/>
      <family val="1"/>
    </font>
    <font>
      <sz val="11"/>
      <name val="Calibri"/>
      <family val="2"/>
      <scheme val="minor"/>
    </font>
    <font>
      <b/>
      <sz val="9"/>
      <color rgb="FF000000"/>
      <name val="Times New Roman"/>
      <family val="1"/>
    </font>
    <font>
      <b/>
      <sz val="9"/>
      <name val="Times New Roman"/>
      <family val="1"/>
    </font>
    <font>
      <sz val="9"/>
      <color rgb="FF000000"/>
      <name val="Times New Roman"/>
      <family val="1"/>
    </font>
    <font>
      <sz val="9"/>
      <color rgb="FFFF0000"/>
      <name val="Times New Roman"/>
      <family val="1"/>
    </font>
    <font>
      <sz val="9"/>
      <name val="Times New Roman"/>
      <family val="1"/>
    </font>
    <font>
      <sz val="9"/>
      <name val="Arial"/>
      <family val="2"/>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2">
    <xf numFmtId="0" fontId="0" fillId="0" borderId="0"/>
    <xf numFmtId="44" fontId="1" fillId="0" borderId="0" applyFont="0" applyFill="0" applyBorder="0" applyAlignment="0" applyProtection="0"/>
  </cellStyleXfs>
  <cellXfs count="67">
    <xf numFmtId="0" fontId="0" fillId="0" borderId="0" xfId="0"/>
    <xf numFmtId="0" fontId="2" fillId="0" borderId="0" xfId="0" applyFont="1"/>
    <xf numFmtId="0" fontId="2" fillId="0" borderId="0" xfId="0" applyFont="1" applyAlignment="1">
      <alignment horizontal="center"/>
    </xf>
    <xf numFmtId="0" fontId="6" fillId="0" borderId="0" xfId="0" applyFont="1" applyAlignment="1">
      <alignment horizontal="left" wrapText="1"/>
    </xf>
    <xf numFmtId="0" fontId="6" fillId="0" borderId="0" xfId="0" applyFont="1" applyAlignment="1">
      <alignment horizont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5" fillId="0" borderId="1" xfId="0" applyFont="1" applyBorder="1" applyAlignment="1">
      <alignment horizontal="center" vertical="center" wrapText="1"/>
    </xf>
    <xf numFmtId="0" fontId="2" fillId="3" borderId="0" xfId="0" applyFont="1" applyFill="1"/>
    <xf numFmtId="0" fontId="9" fillId="0" borderId="0" xfId="0" applyFont="1"/>
    <xf numFmtId="0" fontId="9" fillId="0" borderId="0" xfId="0" applyFont="1" applyAlignment="1">
      <alignment horizontal="center"/>
    </xf>
    <xf numFmtId="3" fontId="9" fillId="0" borderId="0" xfId="0" applyNumberFormat="1" applyFont="1"/>
    <xf numFmtId="164" fontId="10" fillId="0" borderId="0" xfId="0" applyNumberFormat="1" applyFont="1"/>
    <xf numFmtId="0" fontId="11" fillId="0" borderId="2" xfId="0" applyFont="1" applyBorder="1"/>
    <xf numFmtId="0" fontId="2" fillId="0" borderId="3" xfId="0" applyFont="1" applyBorder="1"/>
    <xf numFmtId="0" fontId="2" fillId="0" borderId="3" xfId="0" applyFont="1" applyBorder="1" applyAlignment="1">
      <alignment horizontal="center"/>
    </xf>
    <xf numFmtId="0" fontId="2" fillId="0" borderId="4" xfId="0" applyFont="1" applyBorder="1"/>
    <xf numFmtId="0" fontId="2" fillId="0" borderId="5" xfId="0" applyFont="1" applyBorder="1"/>
    <xf numFmtId="0" fontId="2" fillId="0" borderId="6" xfId="0" applyFont="1" applyBorder="1"/>
    <xf numFmtId="0" fontId="11" fillId="0" borderId="5" xfId="0" applyFont="1" applyBorder="1" applyAlignment="1">
      <alignment horizontal="left" indent="3"/>
    </xf>
    <xf numFmtId="0" fontId="2" fillId="0" borderId="10" xfId="0" applyFont="1" applyBorder="1" applyAlignment="1">
      <alignment horizontal="center"/>
    </xf>
    <xf numFmtId="0" fontId="12" fillId="0" borderId="0" xfId="0" applyFont="1"/>
    <xf numFmtId="3" fontId="2" fillId="2" borderId="11" xfId="0" applyNumberFormat="1" applyFont="1" applyFill="1" applyBorder="1" applyAlignment="1">
      <alignment horizontal="center"/>
    </xf>
    <xf numFmtId="0" fontId="2" fillId="0" borderId="11" xfId="0" applyFont="1" applyBorder="1"/>
    <xf numFmtId="0" fontId="2" fillId="0" borderId="5" xfId="0" applyFont="1" applyBorder="1" applyAlignment="1">
      <alignment horizontal="left" indent="3"/>
    </xf>
    <xf numFmtId="0" fontId="2" fillId="0" borderId="0" xfId="0" applyFont="1" applyAlignment="1">
      <alignment horizontal="center" wrapText="1"/>
    </xf>
    <xf numFmtId="0" fontId="2" fillId="0" borderId="6" xfId="0" applyFont="1" applyBorder="1" applyAlignment="1">
      <alignment horizontal="center" wrapText="1"/>
    </xf>
    <xf numFmtId="0" fontId="2" fillId="0" borderId="12" xfId="0" applyFont="1" applyBorder="1" applyAlignment="1">
      <alignment horizontal="left" indent="3"/>
    </xf>
    <xf numFmtId="0" fontId="2" fillId="0" borderId="13" xfId="0" applyFont="1" applyBorder="1"/>
    <xf numFmtId="0" fontId="2" fillId="0" borderId="13" xfId="0" applyFont="1" applyBorder="1" applyAlignment="1">
      <alignment horizontal="center"/>
    </xf>
    <xf numFmtId="0" fontId="2" fillId="0" borderId="14"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2" fillId="0" borderId="1" xfId="0" applyFont="1" applyBorder="1" applyAlignment="1">
      <alignment vertical="center"/>
    </xf>
    <xf numFmtId="0" fontId="4" fillId="0" borderId="0" xfId="0" applyFont="1" applyAlignment="1">
      <alignment horizontal="left" vertical="center" wrapText="1"/>
    </xf>
    <xf numFmtId="0" fontId="3" fillId="0" borderId="0" xfId="0" applyFont="1" applyAlignment="1">
      <alignment horizontal="center"/>
    </xf>
    <xf numFmtId="0" fontId="5" fillId="0" borderId="0" xfId="0" applyFont="1" applyAlignment="1">
      <alignment horizontal="left" vertical="center" wrapText="1"/>
    </xf>
    <xf numFmtId="0" fontId="2" fillId="0" borderId="6" xfId="0" applyFont="1" applyBorder="1" applyAlignment="1">
      <alignment horizontal="center" wrapText="1"/>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1" xfId="0" applyFont="1" applyBorder="1" applyAlignment="1">
      <alignment horizontal="center"/>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6" fillId="4" borderId="1" xfId="0" applyFont="1" applyFill="1" applyBorder="1" applyAlignment="1">
      <alignment horizontal="center" vertical="center" wrapText="1"/>
    </xf>
    <xf numFmtId="0" fontId="2" fillId="4" borderId="1" xfId="0" applyFont="1" applyFill="1" applyBorder="1" applyAlignment="1">
      <alignment vertical="center"/>
    </xf>
    <xf numFmtId="0" fontId="2" fillId="4" borderId="0" xfId="0" applyFont="1" applyFill="1"/>
    <xf numFmtId="0" fontId="2" fillId="4" borderId="0" xfId="0" applyFont="1" applyFill="1" applyAlignment="1">
      <alignment wrapText="1"/>
    </xf>
    <xf numFmtId="0" fontId="13" fillId="4" borderId="0" xfId="0" applyFont="1" applyFill="1"/>
    <xf numFmtId="0" fontId="14" fillId="0" borderId="1" xfId="0" applyFont="1" applyBorder="1" applyAlignment="1">
      <alignment horizontal="center" vertical="center" wrapText="1"/>
    </xf>
    <xf numFmtId="0" fontId="15" fillId="4" borderId="1" xfId="0" applyFont="1" applyFill="1" applyBorder="1"/>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164" fontId="18" fillId="0" borderId="1" xfId="1" applyNumberFormat="1" applyFont="1" applyFill="1" applyBorder="1" applyAlignment="1" applyProtection="1">
      <alignment horizontal="right" vertical="center" wrapText="1"/>
    </xf>
    <xf numFmtId="0" fontId="18" fillId="4" borderId="1" xfId="0" applyFont="1" applyFill="1" applyBorder="1" applyAlignment="1">
      <alignment horizontal="left" wrapText="1"/>
    </xf>
    <xf numFmtId="0" fontId="18" fillId="0" borderId="1" xfId="0" applyFont="1" applyBorder="1" applyAlignment="1">
      <alignment vertical="center" wrapText="1"/>
    </xf>
    <xf numFmtId="0" fontId="18" fillId="0" borderId="1" xfId="0" applyFont="1" applyBorder="1" applyAlignment="1">
      <alignment horizontal="center" vertical="center"/>
    </xf>
    <xf numFmtId="3" fontId="18" fillId="0" borderId="1" xfId="0" applyNumberFormat="1" applyFont="1" applyBorder="1" applyAlignment="1">
      <alignment horizontal="center" vertical="center"/>
    </xf>
    <xf numFmtId="0" fontId="19" fillId="4" borderId="1" xfId="0" applyFont="1" applyFill="1" applyBorder="1" applyAlignment="1">
      <alignment horizontal="left" vertical="top" wrapText="1"/>
    </xf>
    <xf numFmtId="0" fontId="19" fillId="4" borderId="1" xfId="0" applyFont="1" applyFill="1" applyBorder="1" applyAlignment="1">
      <alignment horizontal="left" wrapText="1"/>
    </xf>
    <xf numFmtId="0" fontId="18" fillId="4" borderId="1" xfId="0" applyFont="1" applyFill="1" applyBorder="1" applyAlignment="1">
      <alignment horizontal="center" vertical="center" wrapText="1"/>
    </xf>
    <xf numFmtId="0" fontId="18" fillId="4" borderId="1" xfId="0" applyFont="1" applyFill="1" applyBorder="1" applyAlignment="1">
      <alignment vertical="center" wrapText="1"/>
    </xf>
    <xf numFmtId="0" fontId="18" fillId="4" borderId="1" xfId="0" applyFont="1" applyFill="1" applyBorder="1" applyAlignment="1">
      <alignment horizontal="center" vertical="center"/>
    </xf>
    <xf numFmtId="0" fontId="18" fillId="4" borderId="1" xfId="1" applyNumberFormat="1" applyFont="1" applyFill="1" applyBorder="1" applyAlignment="1" applyProtection="1">
      <alignment horizontal="right" vertical="center" wrapText="1"/>
    </xf>
    <xf numFmtId="0" fontId="18" fillId="0" borderId="1" xfId="0" applyFont="1" applyBorder="1" applyAlignment="1">
      <alignment horizontal="center"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6FB2F-5315-4976-A5AE-5EA1DC6E32DB}">
  <dimension ref="A1:N107"/>
  <sheetViews>
    <sheetView tabSelected="1" topLeftCell="D1" workbookViewId="0">
      <selection activeCell="D24" sqref="A24:XFD24"/>
    </sheetView>
  </sheetViews>
  <sheetFormatPr baseColWidth="10" defaultRowHeight="15" x14ac:dyDescent="0.25"/>
  <cols>
    <col min="1" max="1" width="17.140625" customWidth="1"/>
    <col min="2" max="2" width="27.85546875" customWidth="1"/>
    <col min="3" max="3" width="24.7109375" customWidth="1"/>
    <col min="4" max="4" width="19.42578125" customWidth="1"/>
    <col min="5" max="5" width="54.28515625" customWidth="1"/>
    <col min="6" max="6" width="17.28515625" customWidth="1"/>
    <col min="7" max="7" width="16.28515625" customWidth="1"/>
    <col min="8" max="8" width="18.28515625" customWidth="1"/>
    <col min="9" max="9" width="18.85546875" customWidth="1"/>
    <col min="10" max="10" width="34" style="50" customWidth="1"/>
    <col min="11" max="16" width="35.7109375" customWidth="1"/>
  </cols>
  <sheetData>
    <row r="1" spans="1:14" ht="27" x14ac:dyDescent="0.35">
      <c r="A1" s="1"/>
      <c r="B1" s="35" t="s">
        <v>0</v>
      </c>
      <c r="C1" s="35"/>
      <c r="D1" s="35"/>
      <c r="E1" s="35"/>
      <c r="F1" s="35"/>
      <c r="G1" s="35"/>
      <c r="H1" s="35"/>
      <c r="I1" s="1"/>
      <c r="J1" s="48"/>
      <c r="K1" s="1"/>
      <c r="L1" s="1"/>
      <c r="M1" s="1"/>
      <c r="N1" s="1"/>
    </row>
    <row r="2" spans="1:14" x14ac:dyDescent="0.25">
      <c r="A2" s="1"/>
      <c r="B2" s="1"/>
      <c r="C2" s="1"/>
      <c r="D2" s="2"/>
      <c r="E2" s="1"/>
      <c r="F2" s="1"/>
      <c r="G2" s="1"/>
      <c r="H2" s="1"/>
      <c r="I2" s="1"/>
      <c r="J2" s="48"/>
      <c r="K2" s="1"/>
      <c r="L2" s="1"/>
      <c r="M2" s="1"/>
      <c r="N2" s="1"/>
    </row>
    <row r="3" spans="1:14" ht="15.75" x14ac:dyDescent="0.25">
      <c r="A3" s="34" t="s">
        <v>1</v>
      </c>
      <c r="B3" s="34"/>
      <c r="C3" s="36" t="s">
        <v>2</v>
      </c>
      <c r="D3" s="36"/>
      <c r="E3" s="36"/>
      <c r="F3" s="3"/>
      <c r="G3" s="4"/>
      <c r="H3" s="3"/>
      <c r="I3" s="1"/>
      <c r="J3" s="48"/>
      <c r="K3" s="1"/>
      <c r="L3" s="1"/>
      <c r="M3" s="1"/>
      <c r="N3" s="1"/>
    </row>
    <row r="4" spans="1:14" ht="15.75" x14ac:dyDescent="0.25">
      <c r="A4" s="34" t="s">
        <v>3</v>
      </c>
      <c r="B4" s="34"/>
      <c r="C4" s="36" t="s">
        <v>4</v>
      </c>
      <c r="D4" s="36"/>
      <c r="E4" s="36"/>
      <c r="F4" s="3"/>
      <c r="G4" s="4"/>
      <c r="H4" s="3"/>
      <c r="I4" s="1"/>
      <c r="J4" s="48"/>
      <c r="K4" s="1"/>
      <c r="L4" s="1"/>
      <c r="M4" s="1"/>
      <c r="N4" s="1"/>
    </row>
    <row r="5" spans="1:14" ht="15.75" x14ac:dyDescent="0.25">
      <c r="A5" s="34" t="s">
        <v>5</v>
      </c>
      <c r="B5" s="34"/>
      <c r="C5" s="5">
        <v>2022</v>
      </c>
      <c r="D5" s="6"/>
      <c r="E5" s="6"/>
      <c r="F5" s="3"/>
      <c r="G5" s="4"/>
      <c r="H5" s="3"/>
      <c r="I5" s="1"/>
      <c r="J5" s="48"/>
      <c r="K5" s="1"/>
      <c r="L5" s="1"/>
      <c r="M5" s="1"/>
      <c r="N5" s="1"/>
    </row>
    <row r="6" spans="1:14" ht="15.75" x14ac:dyDescent="0.25">
      <c r="A6" s="34" t="s">
        <v>6</v>
      </c>
      <c r="B6" s="34"/>
      <c r="C6" s="5">
        <v>4</v>
      </c>
      <c r="D6" s="6"/>
      <c r="E6" s="6"/>
      <c r="F6" s="3"/>
      <c r="G6" s="4"/>
      <c r="H6" s="3"/>
      <c r="I6" s="1"/>
      <c r="J6" s="48"/>
      <c r="K6" s="1"/>
      <c r="L6" s="1"/>
      <c r="M6" s="1"/>
      <c r="N6" s="1"/>
    </row>
    <row r="7" spans="1:14" x14ac:dyDescent="0.25">
      <c r="A7" s="1"/>
      <c r="B7" s="3"/>
      <c r="C7" s="4"/>
      <c r="D7" s="4"/>
      <c r="E7" s="3"/>
      <c r="F7" s="3"/>
      <c r="G7" s="4"/>
      <c r="H7" s="3"/>
      <c r="I7" s="1"/>
      <c r="J7" s="48"/>
      <c r="K7" s="1"/>
      <c r="L7" s="1"/>
      <c r="M7" s="1"/>
      <c r="N7" s="1"/>
    </row>
    <row r="8" spans="1:14" ht="35.1" customHeight="1" x14ac:dyDescent="0.25">
      <c r="A8" s="7" t="s">
        <v>7</v>
      </c>
      <c r="B8" s="7" t="s">
        <v>8</v>
      </c>
      <c r="C8" s="7" t="s">
        <v>9</v>
      </c>
      <c r="D8" s="51" t="s">
        <v>10</v>
      </c>
      <c r="E8" s="51" t="s">
        <v>11</v>
      </c>
      <c r="F8" s="51" t="s">
        <v>12</v>
      </c>
      <c r="G8" s="51" t="s">
        <v>13</v>
      </c>
      <c r="H8" s="51" t="s">
        <v>14</v>
      </c>
      <c r="I8" s="51" t="s">
        <v>15</v>
      </c>
      <c r="J8" s="52" t="s">
        <v>16</v>
      </c>
      <c r="K8" s="1"/>
      <c r="L8" s="1"/>
      <c r="M8" s="1"/>
      <c r="N8" s="1"/>
    </row>
    <row r="9" spans="1:14" ht="71.25" customHeight="1" x14ac:dyDescent="0.25">
      <c r="A9" s="31">
        <v>1</v>
      </c>
      <c r="B9" s="32" t="s">
        <v>17</v>
      </c>
      <c r="C9" s="33" t="s">
        <v>18</v>
      </c>
      <c r="D9" s="53" t="s">
        <v>19</v>
      </c>
      <c r="E9" s="54" t="s">
        <v>96</v>
      </c>
      <c r="F9" s="53" t="s">
        <v>20</v>
      </c>
      <c r="G9" s="53">
        <v>4500</v>
      </c>
      <c r="H9" s="55">
        <v>225</v>
      </c>
      <c r="I9" s="55">
        <f t="shared" ref="I9" si="0">+G9*H9</f>
        <v>1012500</v>
      </c>
      <c r="J9" s="56" t="s">
        <v>93</v>
      </c>
      <c r="K9" s="1">
        <f>G9/3</f>
        <v>1500</v>
      </c>
      <c r="L9" s="1">
        <f>+K9/90</f>
        <v>16.666666666666668</v>
      </c>
      <c r="M9" s="1"/>
      <c r="N9" s="1"/>
    </row>
    <row r="10" spans="1:14" ht="110.25" customHeight="1" x14ac:dyDescent="0.25">
      <c r="A10" s="31">
        <v>2</v>
      </c>
      <c r="B10" s="32" t="s">
        <v>21</v>
      </c>
      <c r="C10" s="33" t="s">
        <v>18</v>
      </c>
      <c r="D10" s="53" t="s">
        <v>19</v>
      </c>
      <c r="E10" s="54" t="s">
        <v>97</v>
      </c>
      <c r="F10" s="53" t="s">
        <v>20</v>
      </c>
      <c r="G10" s="53">
        <v>2700</v>
      </c>
      <c r="H10" s="55">
        <v>200</v>
      </c>
      <c r="I10" s="55">
        <f>+G10*H10</f>
        <v>540000</v>
      </c>
      <c r="J10" s="56" t="s">
        <v>94</v>
      </c>
      <c r="K10" s="1">
        <f t="shared" ref="K10:K28" si="1">G10/3</f>
        <v>900</v>
      </c>
      <c r="L10" s="1">
        <f t="shared" ref="L10:L28" si="2">+K10/90</f>
        <v>10</v>
      </c>
      <c r="M10" s="1"/>
      <c r="N10" s="1"/>
    </row>
    <row r="11" spans="1:14" ht="95.25" customHeight="1" x14ac:dyDescent="0.25">
      <c r="A11" s="31">
        <v>3</v>
      </c>
      <c r="B11" s="33" t="s">
        <v>22</v>
      </c>
      <c r="C11" s="33" t="s">
        <v>18</v>
      </c>
      <c r="D11" s="53" t="s">
        <v>19</v>
      </c>
      <c r="E11" s="57" t="s">
        <v>23</v>
      </c>
      <c r="F11" s="58" t="s">
        <v>24</v>
      </c>
      <c r="G11" s="59">
        <v>5400</v>
      </c>
      <c r="H11" s="55">
        <v>150</v>
      </c>
      <c r="I11" s="55">
        <f>+G11*H11</f>
        <v>810000</v>
      </c>
      <c r="J11" s="56" t="s">
        <v>25</v>
      </c>
      <c r="K11" s="1">
        <f t="shared" si="1"/>
        <v>1800</v>
      </c>
      <c r="L11" s="1">
        <f t="shared" si="2"/>
        <v>20</v>
      </c>
      <c r="M11" s="1"/>
      <c r="N11" s="1"/>
    </row>
    <row r="12" spans="1:14" ht="93.75" customHeight="1" x14ac:dyDescent="0.25">
      <c r="A12" s="31">
        <v>4</v>
      </c>
      <c r="B12" s="33" t="s">
        <v>26</v>
      </c>
      <c r="C12" s="33" t="s">
        <v>18</v>
      </c>
      <c r="D12" s="53" t="s">
        <v>19</v>
      </c>
      <c r="E12" s="57" t="s">
        <v>27</v>
      </c>
      <c r="F12" s="58" t="s">
        <v>28</v>
      </c>
      <c r="G12" s="59">
        <v>5400</v>
      </c>
      <c r="H12" s="55">
        <v>135</v>
      </c>
      <c r="I12" s="55">
        <f t="shared" ref="I12:I21" si="3">+G12*H12</f>
        <v>729000</v>
      </c>
      <c r="J12" s="56" t="s">
        <v>29</v>
      </c>
      <c r="K12" s="1">
        <f t="shared" si="1"/>
        <v>1800</v>
      </c>
      <c r="L12" s="1">
        <f t="shared" si="2"/>
        <v>20</v>
      </c>
      <c r="M12" s="1"/>
      <c r="N12" s="1"/>
    </row>
    <row r="13" spans="1:14" ht="35.1" customHeight="1" x14ac:dyDescent="0.25">
      <c r="A13" s="31">
        <v>5</v>
      </c>
      <c r="B13" s="33" t="s">
        <v>30</v>
      </c>
      <c r="C13" s="33" t="s">
        <v>18</v>
      </c>
      <c r="D13" s="53" t="s">
        <v>19</v>
      </c>
      <c r="E13" s="57" t="s">
        <v>31</v>
      </c>
      <c r="F13" s="58" t="s">
        <v>32</v>
      </c>
      <c r="G13" s="59">
        <v>4500</v>
      </c>
      <c r="H13" s="55">
        <v>450</v>
      </c>
      <c r="I13" s="55">
        <f>+G13*H13</f>
        <v>2025000</v>
      </c>
      <c r="J13" s="56" t="s">
        <v>33</v>
      </c>
      <c r="K13" s="1">
        <f t="shared" si="1"/>
        <v>1500</v>
      </c>
      <c r="L13" s="1">
        <f t="shared" si="2"/>
        <v>16.666666666666668</v>
      </c>
      <c r="M13" s="1"/>
      <c r="N13" s="1"/>
    </row>
    <row r="14" spans="1:14" ht="60" customHeight="1" x14ac:dyDescent="0.25">
      <c r="A14" s="31">
        <v>6</v>
      </c>
      <c r="B14" s="33" t="s">
        <v>34</v>
      </c>
      <c r="C14" s="33" t="s">
        <v>18</v>
      </c>
      <c r="D14" s="53" t="s">
        <v>19</v>
      </c>
      <c r="E14" s="57" t="s">
        <v>35</v>
      </c>
      <c r="F14" s="58" t="s">
        <v>36</v>
      </c>
      <c r="G14" s="59">
        <v>7320</v>
      </c>
      <c r="H14" s="55">
        <v>175</v>
      </c>
      <c r="I14" s="55">
        <f t="shared" si="3"/>
        <v>1281000</v>
      </c>
      <c r="J14" s="56" t="s">
        <v>37</v>
      </c>
      <c r="K14" s="1">
        <f t="shared" si="1"/>
        <v>2440</v>
      </c>
      <c r="L14" s="1">
        <f t="shared" si="2"/>
        <v>27.111111111111111</v>
      </c>
      <c r="M14" s="1"/>
      <c r="N14" s="1"/>
    </row>
    <row r="15" spans="1:14" ht="84" customHeight="1" x14ac:dyDescent="0.25">
      <c r="A15" s="31">
        <v>7</v>
      </c>
      <c r="B15" s="33" t="s">
        <v>38</v>
      </c>
      <c r="C15" s="33" t="s">
        <v>18</v>
      </c>
      <c r="D15" s="53" t="s">
        <v>19</v>
      </c>
      <c r="E15" s="57" t="s">
        <v>39</v>
      </c>
      <c r="F15" s="58" t="s">
        <v>20</v>
      </c>
      <c r="G15" s="59">
        <v>3375</v>
      </c>
      <c r="H15" s="55">
        <v>140</v>
      </c>
      <c r="I15" s="55">
        <f t="shared" si="3"/>
        <v>472500</v>
      </c>
      <c r="J15" s="56" t="s">
        <v>40</v>
      </c>
      <c r="K15" s="1">
        <f t="shared" si="1"/>
        <v>1125</v>
      </c>
      <c r="L15" s="1">
        <f t="shared" si="2"/>
        <v>12.5</v>
      </c>
      <c r="M15" s="1"/>
      <c r="N15" s="1"/>
    </row>
    <row r="16" spans="1:14" ht="71.25" customHeight="1" x14ac:dyDescent="0.25">
      <c r="A16" s="31">
        <v>8</v>
      </c>
      <c r="B16" s="33" t="s">
        <v>41</v>
      </c>
      <c r="C16" s="33" t="s">
        <v>18</v>
      </c>
      <c r="D16" s="53" t="s">
        <v>19</v>
      </c>
      <c r="E16" s="57" t="s">
        <v>42</v>
      </c>
      <c r="F16" s="58" t="s">
        <v>20</v>
      </c>
      <c r="G16" s="59">
        <v>5400</v>
      </c>
      <c r="H16" s="55">
        <v>140</v>
      </c>
      <c r="I16" s="55">
        <f t="shared" si="3"/>
        <v>756000</v>
      </c>
      <c r="J16" s="60" t="s">
        <v>43</v>
      </c>
      <c r="K16" s="1">
        <f t="shared" si="1"/>
        <v>1800</v>
      </c>
      <c r="L16" s="1">
        <f t="shared" si="2"/>
        <v>20</v>
      </c>
      <c r="M16" s="1"/>
      <c r="N16" s="1"/>
    </row>
    <row r="17" spans="1:14" ht="50.25" customHeight="1" x14ac:dyDescent="0.25">
      <c r="A17" s="31">
        <v>9</v>
      </c>
      <c r="B17" s="33" t="s">
        <v>44</v>
      </c>
      <c r="C17" s="33" t="s">
        <v>18</v>
      </c>
      <c r="D17" s="53" t="s">
        <v>19</v>
      </c>
      <c r="E17" s="57" t="s">
        <v>45</v>
      </c>
      <c r="F17" s="58" t="s">
        <v>20</v>
      </c>
      <c r="G17" s="59">
        <v>3375</v>
      </c>
      <c r="H17" s="55">
        <v>140</v>
      </c>
      <c r="I17" s="55">
        <f t="shared" si="3"/>
        <v>472500</v>
      </c>
      <c r="J17" s="61" t="s">
        <v>40</v>
      </c>
      <c r="K17" s="1">
        <f t="shared" si="1"/>
        <v>1125</v>
      </c>
      <c r="L17" s="1">
        <f t="shared" si="2"/>
        <v>12.5</v>
      </c>
      <c r="M17" s="1"/>
      <c r="N17" s="1"/>
    </row>
    <row r="18" spans="1:14" ht="48.75" customHeight="1" x14ac:dyDescent="0.25">
      <c r="A18" s="46">
        <v>10</v>
      </c>
      <c r="B18" s="47" t="s">
        <v>91</v>
      </c>
      <c r="C18" s="47" t="s">
        <v>18</v>
      </c>
      <c r="D18" s="62" t="s">
        <v>19</v>
      </c>
      <c r="E18" s="63" t="s">
        <v>92</v>
      </c>
      <c r="F18" s="64" t="s">
        <v>20</v>
      </c>
      <c r="G18" s="64">
        <v>1410</v>
      </c>
      <c r="H18" s="65">
        <v>900</v>
      </c>
      <c r="I18" s="65">
        <f t="shared" si="3"/>
        <v>1269000</v>
      </c>
      <c r="J18" s="61" t="s">
        <v>95</v>
      </c>
      <c r="K18" s="1">
        <f t="shared" si="1"/>
        <v>470</v>
      </c>
      <c r="L18" s="1">
        <f t="shared" si="2"/>
        <v>5.2222222222222223</v>
      </c>
      <c r="M18" s="8"/>
      <c r="N18" s="8"/>
    </row>
    <row r="19" spans="1:14" ht="69.75" customHeight="1" x14ac:dyDescent="0.25">
      <c r="A19" s="31">
        <v>11</v>
      </c>
      <c r="B19" s="33" t="s">
        <v>46</v>
      </c>
      <c r="C19" s="33" t="s">
        <v>18</v>
      </c>
      <c r="D19" s="66" t="s">
        <v>19</v>
      </c>
      <c r="E19" s="57" t="s">
        <v>47</v>
      </c>
      <c r="F19" s="58" t="s">
        <v>20</v>
      </c>
      <c r="G19" s="59">
        <v>2820</v>
      </c>
      <c r="H19" s="55">
        <v>165</v>
      </c>
      <c r="I19" s="55">
        <f t="shared" si="3"/>
        <v>465300</v>
      </c>
      <c r="J19" s="61" t="s">
        <v>48</v>
      </c>
      <c r="K19" s="1">
        <f t="shared" si="1"/>
        <v>940</v>
      </c>
      <c r="L19" s="1">
        <f t="shared" si="2"/>
        <v>10.444444444444445</v>
      </c>
      <c r="M19" s="1"/>
      <c r="N19" s="1"/>
    </row>
    <row r="20" spans="1:14" ht="81.75" customHeight="1" x14ac:dyDescent="0.25">
      <c r="A20" s="31">
        <v>12</v>
      </c>
      <c r="B20" s="33" t="s">
        <v>49</v>
      </c>
      <c r="C20" s="33" t="s">
        <v>18</v>
      </c>
      <c r="D20" s="66" t="s">
        <v>19</v>
      </c>
      <c r="E20" s="57" t="s">
        <v>50</v>
      </c>
      <c r="F20" s="58" t="s">
        <v>20</v>
      </c>
      <c r="G20" s="59">
        <v>2820</v>
      </c>
      <c r="H20" s="55">
        <v>600</v>
      </c>
      <c r="I20" s="55">
        <f t="shared" si="3"/>
        <v>1692000</v>
      </c>
      <c r="J20" s="56" t="s">
        <v>51</v>
      </c>
      <c r="K20" s="1">
        <f t="shared" si="1"/>
        <v>940</v>
      </c>
      <c r="L20" s="1">
        <f t="shared" si="2"/>
        <v>10.444444444444445</v>
      </c>
      <c r="M20" s="1"/>
      <c r="N20" s="1"/>
    </row>
    <row r="21" spans="1:14" ht="60" customHeight="1" x14ac:dyDescent="0.25">
      <c r="A21" s="31">
        <v>13</v>
      </c>
      <c r="B21" s="33" t="s">
        <v>52</v>
      </c>
      <c r="C21" s="33" t="s">
        <v>18</v>
      </c>
      <c r="D21" s="66" t="s">
        <v>19</v>
      </c>
      <c r="E21" s="57" t="s">
        <v>53</v>
      </c>
      <c r="F21" s="58" t="s">
        <v>36</v>
      </c>
      <c r="G21" s="59">
        <v>5640</v>
      </c>
      <c r="H21" s="55">
        <v>250</v>
      </c>
      <c r="I21" s="55">
        <f t="shared" si="3"/>
        <v>1410000</v>
      </c>
      <c r="J21" s="56" t="s">
        <v>54</v>
      </c>
      <c r="K21" s="1">
        <f t="shared" si="1"/>
        <v>1880</v>
      </c>
      <c r="L21" s="1">
        <f t="shared" si="2"/>
        <v>20.888888888888889</v>
      </c>
      <c r="M21" s="1"/>
      <c r="N21" s="1"/>
    </row>
    <row r="22" spans="1:14" ht="35.1" customHeight="1" x14ac:dyDescent="0.25">
      <c r="A22" s="31">
        <v>14</v>
      </c>
      <c r="B22" s="33" t="s">
        <v>55</v>
      </c>
      <c r="C22" s="33" t="s">
        <v>18</v>
      </c>
      <c r="D22" s="66" t="s">
        <v>19</v>
      </c>
      <c r="E22" s="57" t="s">
        <v>56</v>
      </c>
      <c r="F22" s="58" t="s">
        <v>28</v>
      </c>
      <c r="G22" s="59">
        <v>3384</v>
      </c>
      <c r="H22" s="55">
        <v>1100</v>
      </c>
      <c r="I22" s="55">
        <f>+G22*H22</f>
        <v>3722400</v>
      </c>
      <c r="J22" s="56" t="s">
        <v>57</v>
      </c>
      <c r="K22" s="1">
        <f t="shared" si="1"/>
        <v>1128</v>
      </c>
      <c r="L22" s="1">
        <f t="shared" si="2"/>
        <v>12.533333333333333</v>
      </c>
      <c r="M22" s="1"/>
      <c r="N22" s="1"/>
    </row>
    <row r="23" spans="1:14" ht="241.5" customHeight="1" x14ac:dyDescent="0.25">
      <c r="A23" s="31">
        <v>15</v>
      </c>
      <c r="B23" s="33" t="s">
        <v>58</v>
      </c>
      <c r="C23" s="33" t="s">
        <v>18</v>
      </c>
      <c r="D23" s="53" t="s">
        <v>19</v>
      </c>
      <c r="E23" s="57" t="s">
        <v>59</v>
      </c>
      <c r="F23" s="58" t="s">
        <v>60</v>
      </c>
      <c r="G23" s="59">
        <v>210</v>
      </c>
      <c r="H23" s="55">
        <v>2130.4</v>
      </c>
      <c r="I23" s="55">
        <f>+G23*H23</f>
        <v>447384</v>
      </c>
      <c r="J23" s="56" t="s">
        <v>61</v>
      </c>
      <c r="K23" s="1">
        <f t="shared" si="1"/>
        <v>70</v>
      </c>
      <c r="L23" s="1">
        <f t="shared" si="2"/>
        <v>0.77777777777777779</v>
      </c>
      <c r="M23" s="1"/>
      <c r="N23" s="1"/>
    </row>
    <row r="24" spans="1:14" ht="118.5" customHeight="1" x14ac:dyDescent="0.25">
      <c r="A24" s="31">
        <v>16</v>
      </c>
      <c r="B24" s="33" t="s">
        <v>62</v>
      </c>
      <c r="C24" s="33" t="s">
        <v>18</v>
      </c>
      <c r="D24" s="53" t="s">
        <v>19</v>
      </c>
      <c r="E24" s="57" t="s">
        <v>63</v>
      </c>
      <c r="F24" s="58" t="s">
        <v>60</v>
      </c>
      <c r="G24" s="59">
        <v>210</v>
      </c>
      <c r="H24" s="55">
        <v>3732.4</v>
      </c>
      <c r="I24" s="55">
        <f t="shared" ref="I24:I28" si="4">+G24*H24</f>
        <v>783804</v>
      </c>
      <c r="J24" s="56" t="s">
        <v>61</v>
      </c>
      <c r="K24" s="1">
        <f t="shared" si="1"/>
        <v>70</v>
      </c>
      <c r="L24" s="1">
        <f t="shared" si="2"/>
        <v>0.77777777777777779</v>
      </c>
      <c r="M24" s="1"/>
      <c r="N24" s="1"/>
    </row>
    <row r="25" spans="1:14" ht="221.25" customHeight="1" x14ac:dyDescent="0.25">
      <c r="A25" s="31">
        <v>17</v>
      </c>
      <c r="B25" s="33" t="s">
        <v>64</v>
      </c>
      <c r="C25" s="33" t="s">
        <v>18</v>
      </c>
      <c r="D25" s="53" t="s">
        <v>19</v>
      </c>
      <c r="E25" s="57" t="s">
        <v>65</v>
      </c>
      <c r="F25" s="58" t="s">
        <v>60</v>
      </c>
      <c r="G25" s="59">
        <v>210</v>
      </c>
      <c r="H25" s="55">
        <v>650</v>
      </c>
      <c r="I25" s="55">
        <f t="shared" si="4"/>
        <v>136500</v>
      </c>
      <c r="J25" s="56" t="s">
        <v>61</v>
      </c>
      <c r="K25" s="1">
        <f t="shared" si="1"/>
        <v>70</v>
      </c>
      <c r="L25" s="1">
        <f t="shared" si="2"/>
        <v>0.77777777777777779</v>
      </c>
      <c r="M25" s="1"/>
      <c r="N25" s="1"/>
    </row>
    <row r="26" spans="1:14" ht="83.25" customHeight="1" x14ac:dyDescent="0.25">
      <c r="A26" s="31">
        <v>18</v>
      </c>
      <c r="B26" s="33" t="s">
        <v>66</v>
      </c>
      <c r="C26" s="33" t="s">
        <v>18</v>
      </c>
      <c r="D26" s="53" t="s">
        <v>19</v>
      </c>
      <c r="E26" s="57" t="s">
        <v>67</v>
      </c>
      <c r="F26" s="58" t="s">
        <v>60</v>
      </c>
      <c r="G26" s="59">
        <v>2100</v>
      </c>
      <c r="H26" s="55">
        <v>1476</v>
      </c>
      <c r="I26" s="55">
        <f t="shared" si="4"/>
        <v>3099600</v>
      </c>
      <c r="J26" s="56" t="s">
        <v>68</v>
      </c>
      <c r="K26" s="1">
        <f t="shared" si="1"/>
        <v>700</v>
      </c>
      <c r="L26" s="1">
        <f t="shared" si="2"/>
        <v>7.7777777777777777</v>
      </c>
      <c r="M26" s="1"/>
      <c r="N26" s="1"/>
    </row>
    <row r="27" spans="1:14" ht="83.25" customHeight="1" x14ac:dyDescent="0.25">
      <c r="A27" s="31">
        <v>19</v>
      </c>
      <c r="B27" s="33" t="s">
        <v>69</v>
      </c>
      <c r="C27" s="33" t="s">
        <v>18</v>
      </c>
      <c r="D27" s="53" t="s">
        <v>19</v>
      </c>
      <c r="E27" s="57" t="s">
        <v>70</v>
      </c>
      <c r="F27" s="58" t="s">
        <v>60</v>
      </c>
      <c r="G27" s="59">
        <v>210</v>
      </c>
      <c r="H27" s="55">
        <v>3500</v>
      </c>
      <c r="I27" s="55">
        <f t="shared" si="4"/>
        <v>735000</v>
      </c>
      <c r="J27" s="56" t="s">
        <v>71</v>
      </c>
      <c r="K27" s="1">
        <f t="shared" si="1"/>
        <v>70</v>
      </c>
      <c r="L27" s="1">
        <f t="shared" si="2"/>
        <v>0.77777777777777779</v>
      </c>
      <c r="M27" s="1"/>
      <c r="N27" s="1"/>
    </row>
    <row r="28" spans="1:14" ht="117.75" customHeight="1" x14ac:dyDescent="0.25">
      <c r="A28" s="31">
        <v>20</v>
      </c>
      <c r="B28" s="33" t="s">
        <v>72</v>
      </c>
      <c r="C28" s="33" t="s">
        <v>18</v>
      </c>
      <c r="D28" s="53" t="s">
        <v>19</v>
      </c>
      <c r="E28" s="57" t="s">
        <v>73</v>
      </c>
      <c r="F28" s="58" t="s">
        <v>32</v>
      </c>
      <c r="G28" s="59">
        <v>1680</v>
      </c>
      <c r="H28" s="55">
        <v>297</v>
      </c>
      <c r="I28" s="55">
        <f t="shared" si="4"/>
        <v>498960</v>
      </c>
      <c r="J28" s="56" t="s">
        <v>74</v>
      </c>
      <c r="K28" s="1">
        <f t="shared" si="1"/>
        <v>560</v>
      </c>
      <c r="L28" s="1">
        <f t="shared" si="2"/>
        <v>6.2222222222222223</v>
      </c>
      <c r="M28" s="1"/>
      <c r="N28" s="1"/>
    </row>
    <row r="29" spans="1:14" ht="35.1" customHeight="1" x14ac:dyDescent="0.25">
      <c r="A29" s="9"/>
      <c r="B29" s="9"/>
      <c r="C29" s="9"/>
      <c r="D29" s="10"/>
      <c r="E29" s="9"/>
      <c r="F29" s="9"/>
      <c r="G29" s="11">
        <f>SUM(G9:G28)</f>
        <v>62664</v>
      </c>
      <c r="H29" s="9"/>
      <c r="I29" s="12">
        <f>SUM(I9:I28)</f>
        <v>22358448</v>
      </c>
      <c r="J29" s="48"/>
      <c r="K29" s="1"/>
      <c r="L29" s="1"/>
      <c r="M29" s="1"/>
      <c r="N29" s="1"/>
    </row>
    <row r="30" spans="1:14" ht="35.1" customHeight="1" thickBot="1" x14ac:dyDescent="0.3">
      <c r="A30" s="1"/>
      <c r="B30" s="1"/>
      <c r="C30" s="1"/>
      <c r="D30" s="2"/>
      <c r="E30" s="1"/>
      <c r="F30" s="1"/>
      <c r="G30" s="1"/>
      <c r="H30" s="1"/>
      <c r="I30" s="1"/>
      <c r="J30" s="48"/>
      <c r="K30" s="1"/>
      <c r="L30" s="1"/>
      <c r="M30" s="1"/>
      <c r="N30" s="1"/>
    </row>
    <row r="31" spans="1:14" ht="35.1" customHeight="1" x14ac:dyDescent="0.25">
      <c r="A31" s="1"/>
      <c r="B31" s="13" t="s">
        <v>75</v>
      </c>
      <c r="C31" s="14"/>
      <c r="D31" s="15"/>
      <c r="E31" s="16"/>
      <c r="F31" s="1"/>
      <c r="G31" s="1"/>
      <c r="H31" s="1"/>
      <c r="I31" s="1"/>
      <c r="J31" s="48"/>
      <c r="K31" s="1"/>
      <c r="L31" s="1"/>
      <c r="M31" s="1"/>
      <c r="N31" s="1"/>
    </row>
    <row r="32" spans="1:14" ht="35.1" customHeight="1" x14ac:dyDescent="0.25">
      <c r="A32" s="1"/>
      <c r="B32" s="17"/>
      <c r="C32" s="1"/>
      <c r="D32" s="2"/>
      <c r="E32" s="18"/>
      <c r="F32" s="1"/>
      <c r="G32" s="1"/>
      <c r="H32" s="1"/>
      <c r="I32" s="1"/>
      <c r="J32" s="48"/>
      <c r="K32" s="1"/>
      <c r="L32" s="1"/>
      <c r="M32" s="1"/>
      <c r="N32" s="1"/>
    </row>
    <row r="33" spans="1:14" ht="35.1" customHeight="1" x14ac:dyDescent="0.25">
      <c r="A33" s="1"/>
      <c r="B33" s="19" t="s">
        <v>76</v>
      </c>
      <c r="C33" s="1"/>
      <c r="D33" s="2"/>
      <c r="E33" s="18"/>
      <c r="F33" s="1"/>
      <c r="G33" s="1"/>
      <c r="H33" s="1"/>
      <c r="I33" s="1"/>
      <c r="J33" s="48"/>
      <c r="K33" s="1"/>
      <c r="L33" s="1"/>
      <c r="M33" s="1"/>
      <c r="N33" s="1"/>
    </row>
    <row r="34" spans="1:14" ht="35.1" customHeight="1" x14ac:dyDescent="0.25">
      <c r="A34" s="1"/>
      <c r="B34" s="19"/>
      <c r="C34" s="37"/>
      <c r="D34" s="37"/>
      <c r="E34" s="37"/>
      <c r="F34" s="1"/>
      <c r="G34" s="1"/>
      <c r="H34" s="1"/>
      <c r="I34" s="1"/>
      <c r="J34" s="48"/>
      <c r="K34" s="1"/>
      <c r="L34" s="1"/>
      <c r="M34" s="1"/>
      <c r="N34" s="1"/>
    </row>
    <row r="35" spans="1:14" ht="35.1" customHeight="1" thickBot="1" x14ac:dyDescent="0.3">
      <c r="A35" s="1"/>
      <c r="B35" s="19" t="s">
        <v>77</v>
      </c>
      <c r="C35" s="1"/>
      <c r="D35" s="2"/>
      <c r="E35" s="18" t="s">
        <v>78</v>
      </c>
      <c r="F35" s="1"/>
      <c r="G35" s="1"/>
      <c r="H35" s="1"/>
      <c r="I35" s="1"/>
      <c r="J35" s="48"/>
      <c r="K35" s="1"/>
      <c r="L35" s="1"/>
      <c r="M35" s="1"/>
      <c r="N35" s="1"/>
    </row>
    <row r="36" spans="1:14" ht="35.1" customHeight="1" thickBot="1" x14ac:dyDescent="0.3">
      <c r="A36" s="1"/>
      <c r="B36" s="39" t="s">
        <v>79</v>
      </c>
      <c r="C36" s="40"/>
      <c r="D36" s="40"/>
      <c r="E36" s="41"/>
      <c r="F36" s="1"/>
      <c r="G36" s="1"/>
      <c r="H36" s="1"/>
      <c r="I36" s="1"/>
      <c r="J36" s="48"/>
      <c r="K36" s="1"/>
      <c r="L36" s="1"/>
      <c r="M36" s="1"/>
      <c r="N36" s="1"/>
    </row>
    <row r="37" spans="1:14" ht="35.1" customHeight="1" thickBot="1" x14ac:dyDescent="0.3">
      <c r="A37" s="1"/>
      <c r="B37" s="39"/>
      <c r="C37" s="41"/>
      <c r="D37" s="20" t="s">
        <v>13</v>
      </c>
      <c r="E37" s="20" t="s">
        <v>80</v>
      </c>
      <c r="F37" s="21"/>
      <c r="G37" s="21">
        <v>4</v>
      </c>
      <c r="H37" s="21">
        <v>3</v>
      </c>
      <c r="I37" s="21"/>
      <c r="J37" s="48"/>
      <c r="K37" s="1"/>
      <c r="L37" s="1"/>
      <c r="M37" s="1"/>
      <c r="N37" s="1"/>
    </row>
    <row r="38" spans="1:14" ht="35.1" customHeight="1" thickBot="1" x14ac:dyDescent="0.3">
      <c r="A38" s="1"/>
      <c r="B38" s="42" t="s">
        <v>81</v>
      </c>
      <c r="C38" s="42"/>
      <c r="D38" s="22">
        <v>20888</v>
      </c>
      <c r="E38" s="1" t="s">
        <v>82</v>
      </c>
      <c r="F38" s="21">
        <f>SUM(D38:D38)</f>
        <v>20888</v>
      </c>
      <c r="G38" s="21">
        <f>F38*$G$37</f>
        <v>83552</v>
      </c>
      <c r="H38" s="21">
        <f>G38*$H$37</f>
        <v>250656</v>
      </c>
      <c r="I38" s="21"/>
      <c r="J38" s="49" t="s">
        <v>83</v>
      </c>
      <c r="K38" s="1"/>
      <c r="L38" s="1"/>
      <c r="M38" s="1"/>
      <c r="N38" s="1"/>
    </row>
    <row r="39" spans="1:14" ht="35.1" customHeight="1" thickBot="1" x14ac:dyDescent="0.3">
      <c r="A39" s="1"/>
      <c r="B39" s="43" t="s">
        <v>84</v>
      </c>
      <c r="C39" s="44"/>
      <c r="D39" s="44"/>
      <c r="E39" s="45"/>
      <c r="F39" s="21"/>
      <c r="G39" s="21"/>
      <c r="H39" s="21">
        <f>+G29/3</f>
        <v>20888</v>
      </c>
      <c r="I39" s="21"/>
      <c r="J39" s="48"/>
      <c r="K39" s="1"/>
      <c r="L39" s="1"/>
      <c r="M39" s="1"/>
      <c r="N39" s="1"/>
    </row>
    <row r="40" spans="1:14" ht="35.1" customHeight="1" x14ac:dyDescent="0.25">
      <c r="A40" s="1"/>
      <c r="B40" s="19" t="s">
        <v>85</v>
      </c>
      <c r="C40" s="1"/>
      <c r="D40" s="23"/>
      <c r="E40" s="18"/>
      <c r="F40" s="21"/>
      <c r="G40" s="21"/>
      <c r="H40" s="21"/>
      <c r="I40" s="21"/>
      <c r="J40" s="48"/>
      <c r="K40" s="1"/>
      <c r="L40" s="1"/>
      <c r="M40" s="1"/>
      <c r="N40" s="1"/>
    </row>
    <row r="41" spans="1:14" ht="35.1" customHeight="1" x14ac:dyDescent="0.25">
      <c r="A41" s="1"/>
      <c r="B41" s="24"/>
      <c r="C41" s="37" t="s">
        <v>86</v>
      </c>
      <c r="D41" s="37"/>
      <c r="E41" s="37"/>
      <c r="F41" s="21"/>
      <c r="G41" s="21"/>
      <c r="H41" s="21"/>
      <c r="I41" s="21"/>
      <c r="J41" s="48"/>
      <c r="K41" s="1"/>
      <c r="L41" s="1"/>
      <c r="M41" s="1"/>
      <c r="N41" s="1"/>
    </row>
    <row r="42" spans="1:14" ht="35.1" customHeight="1" x14ac:dyDescent="0.25">
      <c r="A42" s="1"/>
      <c r="B42" s="19" t="s">
        <v>87</v>
      </c>
      <c r="C42" s="25"/>
      <c r="D42" s="25"/>
      <c r="E42" s="26"/>
      <c r="F42" s="21"/>
      <c r="G42" s="21"/>
      <c r="H42" s="21"/>
      <c r="I42" s="21"/>
      <c r="J42" s="48"/>
      <c r="K42" s="1"/>
      <c r="L42" s="1"/>
      <c r="M42" s="1"/>
      <c r="N42" s="1"/>
    </row>
    <row r="43" spans="1:14" ht="35.1" customHeight="1" x14ac:dyDescent="0.25">
      <c r="A43" s="1"/>
      <c r="B43" s="24"/>
      <c r="C43" s="37" t="s">
        <v>88</v>
      </c>
      <c r="D43" s="37"/>
      <c r="E43" s="37"/>
      <c r="F43" s="21"/>
      <c r="G43" s="21"/>
      <c r="H43" s="21"/>
      <c r="I43" s="21"/>
      <c r="J43" s="48"/>
      <c r="K43" s="1"/>
      <c r="L43" s="1"/>
      <c r="M43" s="1"/>
      <c r="N43" s="1"/>
    </row>
    <row r="44" spans="1:14" ht="35.1" customHeight="1" x14ac:dyDescent="0.25">
      <c r="A44" s="1"/>
      <c r="B44" s="19" t="s">
        <v>89</v>
      </c>
      <c r="C44" s="1"/>
      <c r="D44" s="2"/>
      <c r="E44" s="18"/>
      <c r="F44" s="21"/>
      <c r="G44" s="21"/>
      <c r="H44" s="21"/>
      <c r="I44" s="21"/>
      <c r="J44" s="48"/>
      <c r="K44" s="1"/>
      <c r="L44" s="1"/>
      <c r="M44" s="1"/>
      <c r="N44" s="1"/>
    </row>
    <row r="45" spans="1:14" ht="35.1" customHeight="1" x14ac:dyDescent="0.25">
      <c r="A45" s="1"/>
      <c r="B45" s="19"/>
      <c r="C45" s="38" t="s">
        <v>90</v>
      </c>
      <c r="D45" s="38"/>
      <c r="E45" s="38"/>
      <c r="F45" s="21"/>
      <c r="G45" s="21"/>
      <c r="H45" s="21"/>
      <c r="I45" s="21"/>
      <c r="J45" s="48"/>
      <c r="K45" s="1"/>
      <c r="L45" s="1"/>
      <c r="M45" s="1"/>
      <c r="N45" s="1"/>
    </row>
    <row r="46" spans="1:14" ht="35.1" customHeight="1" thickBot="1" x14ac:dyDescent="0.3">
      <c r="A46" s="1"/>
      <c r="B46" s="27"/>
      <c r="C46" s="28"/>
      <c r="D46" s="29"/>
      <c r="E46" s="30"/>
      <c r="F46" s="21"/>
      <c r="G46" s="21"/>
      <c r="H46" s="21"/>
      <c r="I46" s="21"/>
      <c r="J46" s="48"/>
      <c r="K46" s="1"/>
      <c r="L46" s="1"/>
      <c r="M46" s="1"/>
      <c r="N46" s="1"/>
    </row>
    <row r="47" spans="1:14" ht="35.1" customHeight="1" x14ac:dyDescent="0.25">
      <c r="A47" s="1"/>
      <c r="B47" s="1"/>
      <c r="C47" s="1"/>
      <c r="D47" s="2"/>
      <c r="E47" s="1"/>
      <c r="F47" s="21"/>
      <c r="G47" s="21"/>
      <c r="H47" s="21"/>
      <c r="I47" s="21"/>
      <c r="J47" s="48"/>
      <c r="K47" s="1"/>
      <c r="L47" s="1"/>
      <c r="M47" s="1"/>
      <c r="N47" s="1"/>
    </row>
    <row r="48" spans="1:14" ht="35.1" customHeight="1" x14ac:dyDescent="0.25">
      <c r="A48" s="1"/>
      <c r="B48" s="1"/>
      <c r="C48" s="1"/>
      <c r="D48" s="2"/>
      <c r="E48" s="1"/>
      <c r="F48" s="21"/>
      <c r="G48" s="21"/>
      <c r="H48" s="21"/>
      <c r="I48" s="21"/>
      <c r="J48" s="48"/>
      <c r="K48" s="1"/>
      <c r="L48" s="1"/>
      <c r="M48" s="1"/>
      <c r="N48" s="1"/>
    </row>
    <row r="49" spans="1:14" x14ac:dyDescent="0.25">
      <c r="A49" s="1"/>
      <c r="B49" s="1"/>
      <c r="C49" s="1"/>
      <c r="D49" s="2"/>
      <c r="E49" s="1"/>
      <c r="F49" s="21"/>
      <c r="G49" s="21"/>
      <c r="H49" s="21"/>
      <c r="I49" s="21"/>
      <c r="J49" s="48"/>
      <c r="K49" s="1"/>
      <c r="L49" s="1"/>
      <c r="M49" s="1"/>
      <c r="N49" s="1"/>
    </row>
    <row r="50" spans="1:14" x14ac:dyDescent="0.25">
      <c r="A50" s="1"/>
      <c r="B50" s="1"/>
      <c r="C50" s="1"/>
      <c r="D50" s="2"/>
      <c r="E50" s="1"/>
      <c r="F50" s="1"/>
      <c r="G50" s="1"/>
      <c r="H50" s="1"/>
      <c r="I50" s="1"/>
      <c r="J50" s="48"/>
      <c r="K50" s="1"/>
      <c r="L50" s="1"/>
      <c r="M50" s="1"/>
      <c r="N50" s="1"/>
    </row>
    <row r="51" spans="1:14" x14ac:dyDescent="0.25">
      <c r="A51" s="1"/>
      <c r="B51" s="1"/>
      <c r="C51" s="1"/>
      <c r="D51" s="2"/>
      <c r="E51" s="1"/>
      <c r="F51" s="1"/>
      <c r="G51" s="1"/>
      <c r="H51" s="1"/>
      <c r="I51" s="1"/>
      <c r="J51" s="48"/>
      <c r="K51" s="1"/>
      <c r="L51" s="1"/>
      <c r="M51" s="1"/>
      <c r="N51" s="1"/>
    </row>
    <row r="52" spans="1:14" x14ac:dyDescent="0.25">
      <c r="A52" s="1"/>
      <c r="B52" s="1"/>
      <c r="C52" s="1"/>
      <c r="D52" s="2"/>
      <c r="E52" s="1"/>
      <c r="F52" s="1"/>
      <c r="G52" s="1"/>
      <c r="H52" s="1"/>
      <c r="I52" s="1"/>
      <c r="J52" s="48"/>
      <c r="K52" s="1"/>
      <c r="L52" s="1"/>
      <c r="M52" s="1"/>
      <c r="N52" s="1"/>
    </row>
    <row r="53" spans="1:14" x14ac:dyDescent="0.25">
      <c r="A53" s="1"/>
      <c r="B53" s="1"/>
      <c r="C53" s="1"/>
      <c r="D53" s="2"/>
      <c r="E53" s="1"/>
      <c r="F53" s="1"/>
      <c r="G53" s="1"/>
      <c r="H53" s="1"/>
      <c r="I53" s="1"/>
      <c r="J53" s="48"/>
      <c r="K53" s="1"/>
      <c r="L53" s="1"/>
      <c r="M53" s="1"/>
      <c r="N53" s="1"/>
    </row>
    <row r="54" spans="1:14" x14ac:dyDescent="0.25">
      <c r="A54" s="1"/>
      <c r="B54" s="1"/>
      <c r="C54" s="1"/>
      <c r="D54" s="2"/>
      <c r="E54" s="1"/>
      <c r="F54" s="1"/>
      <c r="G54" s="1"/>
      <c r="H54" s="1"/>
      <c r="I54" s="1"/>
      <c r="J54" s="48"/>
      <c r="K54" s="1"/>
      <c r="L54" s="1"/>
      <c r="M54" s="1"/>
      <c r="N54" s="1"/>
    </row>
    <row r="55" spans="1:14" x14ac:dyDescent="0.25">
      <c r="A55" s="1"/>
      <c r="B55" s="1"/>
      <c r="C55" s="1"/>
      <c r="D55" s="2"/>
      <c r="E55" s="1"/>
      <c r="F55" s="1"/>
      <c r="G55" s="1"/>
      <c r="H55" s="1"/>
      <c r="I55" s="1"/>
      <c r="J55" s="48"/>
      <c r="K55" s="1"/>
      <c r="L55" s="1"/>
      <c r="M55" s="1"/>
      <c r="N55" s="1"/>
    </row>
    <row r="56" spans="1:14" x14ac:dyDescent="0.25">
      <c r="A56" s="1"/>
      <c r="B56" s="1"/>
      <c r="C56" s="1"/>
      <c r="D56" s="2"/>
      <c r="E56" s="1"/>
      <c r="F56" s="1"/>
      <c r="G56" s="1"/>
      <c r="H56" s="1"/>
      <c r="I56" s="1"/>
      <c r="J56" s="48"/>
      <c r="K56" s="1"/>
      <c r="L56" s="1"/>
      <c r="M56" s="1"/>
      <c r="N56" s="1"/>
    </row>
    <row r="57" spans="1:14" x14ac:dyDescent="0.25">
      <c r="A57" s="1"/>
      <c r="B57" s="1"/>
      <c r="C57" s="1"/>
      <c r="D57" s="2"/>
      <c r="E57" s="1"/>
      <c r="F57" s="1"/>
      <c r="G57" s="1"/>
      <c r="H57" s="1"/>
      <c r="I57" s="1"/>
      <c r="J57" s="48"/>
      <c r="K57" s="1"/>
      <c r="L57" s="1"/>
      <c r="M57" s="1"/>
      <c r="N57" s="1"/>
    </row>
    <row r="58" spans="1:14" x14ac:dyDescent="0.25">
      <c r="A58" s="1"/>
      <c r="B58" s="1"/>
      <c r="C58" s="1"/>
      <c r="D58" s="2"/>
      <c r="E58" s="1"/>
      <c r="F58" s="1"/>
      <c r="G58" s="1"/>
      <c r="H58" s="1"/>
      <c r="I58" s="1"/>
      <c r="J58" s="48"/>
      <c r="K58" s="1"/>
      <c r="L58" s="1"/>
      <c r="M58" s="1"/>
      <c r="N58" s="1"/>
    </row>
    <row r="59" spans="1:14" x14ac:dyDescent="0.25">
      <c r="A59" s="1"/>
      <c r="B59" s="1"/>
      <c r="C59" s="1"/>
      <c r="D59" s="2"/>
      <c r="E59" s="1"/>
      <c r="F59" s="1"/>
      <c r="G59" s="1"/>
      <c r="H59" s="1"/>
      <c r="I59" s="1"/>
      <c r="J59" s="48"/>
      <c r="K59" s="1"/>
      <c r="L59" s="1"/>
      <c r="M59" s="1"/>
      <c r="N59" s="1"/>
    </row>
    <row r="60" spans="1:14" x14ac:dyDescent="0.25">
      <c r="A60" s="1"/>
      <c r="B60" s="1"/>
      <c r="C60" s="1"/>
      <c r="D60" s="2"/>
      <c r="E60" s="1"/>
      <c r="F60" s="1"/>
      <c r="G60" s="1"/>
      <c r="H60" s="1"/>
      <c r="I60" s="1"/>
      <c r="J60" s="48"/>
      <c r="K60" s="1"/>
      <c r="L60" s="1"/>
      <c r="M60" s="1"/>
      <c r="N60" s="1"/>
    </row>
    <row r="61" spans="1:14" x14ac:dyDescent="0.25">
      <c r="A61" s="1"/>
      <c r="B61" s="1"/>
      <c r="C61" s="1"/>
      <c r="D61" s="2"/>
      <c r="E61" s="1"/>
      <c r="F61" s="1"/>
      <c r="G61" s="1"/>
      <c r="H61" s="1"/>
      <c r="I61" s="1"/>
      <c r="J61" s="48"/>
      <c r="K61" s="1"/>
      <c r="L61" s="1"/>
      <c r="M61" s="1"/>
      <c r="N61" s="1"/>
    </row>
    <row r="62" spans="1:14" x14ac:dyDescent="0.25">
      <c r="A62" s="1"/>
      <c r="B62" s="1"/>
      <c r="C62" s="1"/>
      <c r="D62" s="2"/>
      <c r="E62" s="1"/>
      <c r="F62" s="1"/>
      <c r="G62" s="1"/>
      <c r="H62" s="1"/>
      <c r="I62" s="1"/>
      <c r="J62" s="48"/>
      <c r="K62" s="1"/>
      <c r="L62" s="1"/>
      <c r="M62" s="1"/>
      <c r="N62" s="1"/>
    </row>
    <row r="63" spans="1:14" x14ac:dyDescent="0.25">
      <c r="A63" s="1"/>
      <c r="B63" s="1"/>
      <c r="C63" s="1"/>
      <c r="D63" s="2"/>
      <c r="E63" s="1"/>
      <c r="F63" s="1"/>
      <c r="G63" s="1"/>
      <c r="H63" s="1"/>
      <c r="I63" s="1"/>
      <c r="J63" s="48"/>
      <c r="K63" s="1"/>
      <c r="L63" s="1"/>
      <c r="M63" s="1"/>
      <c r="N63" s="1"/>
    </row>
    <row r="64" spans="1:14" x14ac:dyDescent="0.25">
      <c r="A64" s="1"/>
      <c r="B64" s="1"/>
      <c r="C64" s="1"/>
      <c r="D64" s="2"/>
      <c r="E64" s="1"/>
      <c r="F64" s="1"/>
      <c r="G64" s="1"/>
      <c r="H64" s="1"/>
      <c r="I64" s="1"/>
      <c r="J64" s="48"/>
      <c r="K64" s="1"/>
      <c r="L64" s="1"/>
      <c r="M64" s="1"/>
      <c r="N64" s="1"/>
    </row>
    <row r="65" spans="1:14" x14ac:dyDescent="0.25">
      <c r="A65" s="1"/>
      <c r="B65" s="1"/>
      <c r="C65" s="1"/>
      <c r="D65" s="2"/>
      <c r="E65" s="1"/>
      <c r="F65" s="1"/>
      <c r="G65" s="1"/>
      <c r="H65" s="1"/>
      <c r="I65" s="1"/>
      <c r="J65" s="48"/>
      <c r="K65" s="1"/>
      <c r="L65" s="1"/>
      <c r="M65" s="1"/>
      <c r="N65" s="1"/>
    </row>
    <row r="66" spans="1:14" x14ac:dyDescent="0.25">
      <c r="A66" s="1"/>
      <c r="B66" s="1"/>
      <c r="C66" s="1"/>
      <c r="D66" s="2"/>
      <c r="E66" s="1"/>
      <c r="F66" s="1"/>
      <c r="G66" s="1"/>
      <c r="H66" s="1"/>
      <c r="I66" s="1"/>
      <c r="J66" s="48"/>
      <c r="K66" s="1"/>
      <c r="L66" s="1"/>
      <c r="M66" s="1"/>
      <c r="N66" s="1"/>
    </row>
    <row r="67" spans="1:14" x14ac:dyDescent="0.25">
      <c r="A67" s="1"/>
      <c r="B67" s="1"/>
      <c r="C67" s="1"/>
      <c r="D67" s="2"/>
      <c r="E67" s="1"/>
      <c r="F67" s="1"/>
      <c r="G67" s="1"/>
      <c r="H67" s="1"/>
      <c r="I67" s="1"/>
      <c r="J67" s="48"/>
      <c r="K67" s="1"/>
      <c r="L67" s="1"/>
      <c r="M67" s="1"/>
      <c r="N67" s="1"/>
    </row>
    <row r="68" spans="1:14" x14ac:dyDescent="0.25">
      <c r="A68" s="1"/>
      <c r="B68" s="1"/>
      <c r="C68" s="1"/>
      <c r="D68" s="2"/>
      <c r="E68" s="1"/>
      <c r="F68" s="1"/>
      <c r="G68" s="1"/>
      <c r="H68" s="1"/>
      <c r="I68" s="1"/>
      <c r="J68" s="48"/>
      <c r="K68" s="1"/>
      <c r="L68" s="1"/>
      <c r="M68" s="1"/>
      <c r="N68" s="1"/>
    </row>
    <row r="69" spans="1:14" x14ac:dyDescent="0.25">
      <c r="A69" s="1"/>
      <c r="B69" s="1"/>
      <c r="C69" s="1"/>
      <c r="D69" s="2"/>
      <c r="E69" s="1"/>
      <c r="F69" s="1"/>
      <c r="G69" s="1"/>
      <c r="H69" s="1"/>
      <c r="I69" s="1"/>
      <c r="J69" s="48"/>
      <c r="K69" s="1"/>
      <c r="L69" s="1"/>
      <c r="M69" s="1"/>
      <c r="N69" s="1"/>
    </row>
    <row r="70" spans="1:14" x14ac:dyDescent="0.25">
      <c r="A70" s="1"/>
      <c r="B70" s="1"/>
      <c r="C70" s="1"/>
      <c r="D70" s="2"/>
      <c r="E70" s="1"/>
      <c r="F70" s="1"/>
      <c r="G70" s="1"/>
      <c r="H70" s="1"/>
      <c r="I70" s="1"/>
      <c r="J70" s="48"/>
      <c r="K70" s="1"/>
      <c r="L70" s="1"/>
      <c r="M70" s="1"/>
      <c r="N70" s="1"/>
    </row>
    <row r="71" spans="1:14" x14ac:dyDescent="0.25">
      <c r="A71" s="1"/>
      <c r="B71" s="1"/>
      <c r="C71" s="1"/>
      <c r="D71" s="2"/>
      <c r="E71" s="1"/>
      <c r="F71" s="1"/>
      <c r="G71" s="1"/>
      <c r="H71" s="1"/>
      <c r="I71" s="1"/>
      <c r="J71" s="48"/>
      <c r="K71" s="1"/>
      <c r="L71" s="1"/>
      <c r="M71" s="1"/>
      <c r="N71" s="1"/>
    </row>
    <row r="72" spans="1:14" x14ac:dyDescent="0.25">
      <c r="A72" s="1"/>
      <c r="B72" s="1"/>
      <c r="C72" s="1"/>
      <c r="D72" s="2"/>
      <c r="E72" s="1"/>
      <c r="F72" s="1"/>
      <c r="G72" s="1"/>
      <c r="H72" s="1"/>
      <c r="I72" s="1"/>
      <c r="J72" s="48"/>
      <c r="K72" s="1"/>
      <c r="L72" s="1"/>
      <c r="M72" s="1"/>
      <c r="N72" s="1"/>
    </row>
    <row r="73" spans="1:14" x14ac:dyDescent="0.25">
      <c r="A73" s="1"/>
      <c r="B73" s="1"/>
      <c r="C73" s="1"/>
      <c r="D73" s="2"/>
      <c r="E73" s="1"/>
      <c r="F73" s="1"/>
      <c r="G73" s="1"/>
      <c r="H73" s="1"/>
      <c r="I73" s="1"/>
      <c r="J73" s="48"/>
      <c r="K73" s="1"/>
      <c r="L73" s="1"/>
      <c r="M73" s="1"/>
      <c r="N73" s="1"/>
    </row>
    <row r="74" spans="1:14" x14ac:dyDescent="0.25">
      <c r="A74" s="1"/>
      <c r="B74" s="1"/>
      <c r="C74" s="1"/>
      <c r="D74" s="2"/>
      <c r="E74" s="1"/>
      <c r="F74" s="1"/>
      <c r="G74" s="1"/>
      <c r="H74" s="1"/>
      <c r="I74" s="1"/>
      <c r="J74" s="48"/>
      <c r="K74" s="1"/>
      <c r="L74" s="1"/>
      <c r="M74" s="1"/>
      <c r="N74" s="1"/>
    </row>
    <row r="75" spans="1:14" x14ac:dyDescent="0.25">
      <c r="A75" s="1"/>
      <c r="B75" s="1"/>
      <c r="C75" s="1"/>
      <c r="D75" s="2"/>
      <c r="E75" s="1"/>
      <c r="F75" s="1"/>
      <c r="G75" s="1"/>
      <c r="H75" s="1"/>
      <c r="I75" s="1"/>
      <c r="J75" s="48"/>
      <c r="K75" s="1"/>
      <c r="L75" s="1"/>
      <c r="M75" s="1"/>
      <c r="N75" s="1"/>
    </row>
    <row r="76" spans="1:14" x14ac:dyDescent="0.25">
      <c r="A76" s="1"/>
      <c r="B76" s="1"/>
      <c r="C76" s="1"/>
      <c r="D76" s="2"/>
      <c r="E76" s="1"/>
      <c r="F76" s="1"/>
      <c r="G76" s="1"/>
      <c r="H76" s="1"/>
      <c r="I76" s="1"/>
      <c r="J76" s="48"/>
      <c r="K76" s="1"/>
      <c r="L76" s="1"/>
      <c r="M76" s="1"/>
      <c r="N76" s="1"/>
    </row>
    <row r="77" spans="1:14" x14ac:dyDescent="0.25">
      <c r="A77" s="1"/>
      <c r="B77" s="1"/>
      <c r="C77" s="1"/>
      <c r="D77" s="2"/>
      <c r="E77" s="1"/>
      <c r="F77" s="1"/>
      <c r="G77" s="1"/>
      <c r="H77" s="1"/>
      <c r="I77" s="1"/>
      <c r="J77" s="48"/>
      <c r="K77" s="1"/>
      <c r="L77" s="1"/>
      <c r="M77" s="1"/>
      <c r="N77" s="1"/>
    </row>
    <row r="78" spans="1:14" x14ac:dyDescent="0.25">
      <c r="A78" s="1"/>
      <c r="B78" s="1"/>
      <c r="C78" s="1"/>
      <c r="D78" s="2"/>
      <c r="E78" s="1"/>
      <c r="F78" s="1"/>
      <c r="G78" s="1"/>
      <c r="H78" s="1"/>
      <c r="I78" s="1"/>
      <c r="J78" s="48"/>
      <c r="K78" s="1"/>
      <c r="L78" s="1"/>
      <c r="M78" s="1"/>
      <c r="N78" s="1"/>
    </row>
    <row r="79" spans="1:14" x14ac:dyDescent="0.25">
      <c r="A79" s="1"/>
      <c r="B79" s="1"/>
      <c r="C79" s="1"/>
      <c r="D79" s="2"/>
      <c r="E79" s="1"/>
      <c r="F79" s="1"/>
      <c r="G79" s="1"/>
      <c r="H79" s="1"/>
      <c r="I79" s="1"/>
      <c r="J79" s="48"/>
      <c r="K79" s="1"/>
      <c r="L79" s="1"/>
      <c r="M79" s="1"/>
      <c r="N79" s="1"/>
    </row>
    <row r="80" spans="1:14" x14ac:dyDescent="0.25">
      <c r="A80" s="1"/>
      <c r="B80" s="1"/>
      <c r="C80" s="1"/>
      <c r="D80" s="2"/>
      <c r="E80" s="1"/>
      <c r="F80" s="1"/>
      <c r="G80" s="1"/>
      <c r="H80" s="1"/>
      <c r="I80" s="1"/>
      <c r="J80" s="48"/>
      <c r="K80" s="1"/>
      <c r="L80" s="1"/>
      <c r="M80" s="1"/>
      <c r="N80" s="1"/>
    </row>
    <row r="81" spans="1:14" x14ac:dyDescent="0.25">
      <c r="A81" s="1"/>
      <c r="B81" s="1"/>
      <c r="C81" s="1"/>
      <c r="D81" s="2"/>
      <c r="E81" s="1"/>
      <c r="F81" s="1"/>
      <c r="G81" s="1"/>
      <c r="H81" s="1"/>
      <c r="I81" s="1"/>
      <c r="J81" s="48"/>
      <c r="K81" s="1"/>
      <c r="L81" s="1"/>
      <c r="M81" s="1"/>
      <c r="N81" s="1"/>
    </row>
    <row r="82" spans="1:14" x14ac:dyDescent="0.25">
      <c r="A82" s="1"/>
      <c r="B82" s="1"/>
      <c r="C82" s="1"/>
      <c r="D82" s="2"/>
      <c r="E82" s="1"/>
      <c r="F82" s="1"/>
      <c r="G82" s="1"/>
      <c r="H82" s="1"/>
      <c r="I82" s="1"/>
      <c r="J82" s="48"/>
      <c r="K82" s="1"/>
      <c r="L82" s="1"/>
      <c r="M82" s="1"/>
      <c r="N82" s="1"/>
    </row>
    <row r="83" spans="1:14" x14ac:dyDescent="0.25">
      <c r="A83" s="1"/>
      <c r="B83" s="1"/>
      <c r="C83" s="1"/>
      <c r="D83" s="2"/>
      <c r="E83" s="1"/>
      <c r="F83" s="1"/>
      <c r="G83" s="1"/>
      <c r="H83" s="1"/>
      <c r="I83" s="1"/>
      <c r="J83" s="48"/>
      <c r="K83" s="1"/>
      <c r="L83" s="1"/>
      <c r="M83" s="1"/>
      <c r="N83" s="1"/>
    </row>
    <row r="84" spans="1:14" x14ac:dyDescent="0.25">
      <c r="A84" s="1"/>
      <c r="B84" s="1"/>
      <c r="C84" s="1"/>
      <c r="D84" s="2"/>
      <c r="E84" s="1"/>
      <c r="F84" s="1"/>
      <c r="G84" s="1"/>
      <c r="H84" s="1"/>
      <c r="I84" s="1"/>
      <c r="J84" s="48"/>
      <c r="K84" s="1"/>
      <c r="L84" s="1"/>
      <c r="M84" s="1"/>
      <c r="N84" s="1"/>
    </row>
    <row r="85" spans="1:14" x14ac:dyDescent="0.25">
      <c r="A85" s="1"/>
      <c r="B85" s="1"/>
      <c r="C85" s="1"/>
      <c r="D85" s="2"/>
      <c r="E85" s="1"/>
      <c r="F85" s="1"/>
      <c r="G85" s="1"/>
      <c r="H85" s="1"/>
      <c r="I85" s="1"/>
      <c r="J85" s="48"/>
      <c r="K85" s="1"/>
      <c r="L85" s="1"/>
      <c r="M85" s="1"/>
      <c r="N85" s="1"/>
    </row>
    <row r="86" spans="1:14" x14ac:dyDescent="0.25">
      <c r="A86" s="1"/>
      <c r="B86" s="1"/>
      <c r="C86" s="1"/>
      <c r="D86" s="2"/>
      <c r="E86" s="1"/>
      <c r="F86" s="1"/>
      <c r="G86" s="1"/>
      <c r="H86" s="1"/>
      <c r="I86" s="1"/>
      <c r="J86" s="48"/>
      <c r="K86" s="1"/>
      <c r="L86" s="1"/>
      <c r="M86" s="1"/>
      <c r="N86" s="1"/>
    </row>
    <row r="87" spans="1:14" x14ac:dyDescent="0.25">
      <c r="A87" s="1"/>
      <c r="B87" s="1"/>
      <c r="C87" s="1"/>
      <c r="D87" s="2"/>
      <c r="E87" s="1"/>
      <c r="F87" s="1"/>
      <c r="G87" s="1"/>
      <c r="H87" s="1"/>
      <c r="I87" s="1"/>
      <c r="J87" s="48"/>
      <c r="K87" s="1"/>
      <c r="L87" s="1"/>
      <c r="M87" s="1"/>
      <c r="N87" s="1"/>
    </row>
    <row r="88" spans="1:14" x14ac:dyDescent="0.25">
      <c r="A88" s="1"/>
      <c r="B88" s="1"/>
      <c r="C88" s="1"/>
      <c r="D88" s="2"/>
      <c r="E88" s="1"/>
      <c r="F88" s="1"/>
      <c r="G88" s="1"/>
      <c r="H88" s="1"/>
      <c r="I88" s="1"/>
      <c r="J88" s="48"/>
      <c r="K88" s="1"/>
      <c r="L88" s="1"/>
      <c r="M88" s="1"/>
      <c r="N88" s="1"/>
    </row>
    <row r="89" spans="1:14" x14ac:dyDescent="0.25">
      <c r="A89" s="1"/>
      <c r="B89" s="1"/>
      <c r="C89" s="1"/>
      <c r="D89" s="2"/>
      <c r="E89" s="1"/>
      <c r="F89" s="1"/>
      <c r="G89" s="1"/>
      <c r="H89" s="1"/>
      <c r="I89" s="1"/>
      <c r="J89" s="48"/>
      <c r="K89" s="1"/>
      <c r="L89" s="1"/>
      <c r="M89" s="1"/>
      <c r="N89" s="1"/>
    </row>
    <row r="90" spans="1:14" x14ac:dyDescent="0.25">
      <c r="A90" s="1"/>
      <c r="B90" s="1"/>
      <c r="C90" s="1"/>
      <c r="D90" s="2"/>
      <c r="E90" s="1"/>
      <c r="F90" s="1"/>
      <c r="G90" s="1"/>
      <c r="H90" s="1"/>
      <c r="I90" s="1"/>
      <c r="J90" s="48"/>
      <c r="K90" s="1"/>
      <c r="L90" s="1"/>
      <c r="M90" s="1"/>
      <c r="N90" s="1"/>
    </row>
    <row r="91" spans="1:14" x14ac:dyDescent="0.25">
      <c r="A91" s="1"/>
      <c r="B91" s="1"/>
      <c r="C91" s="1"/>
      <c r="D91" s="2"/>
      <c r="E91" s="1"/>
      <c r="F91" s="1"/>
      <c r="G91" s="1"/>
      <c r="H91" s="1"/>
      <c r="I91" s="1"/>
      <c r="J91" s="48"/>
      <c r="K91" s="1"/>
      <c r="L91" s="1"/>
      <c r="M91" s="1"/>
      <c r="N91" s="1"/>
    </row>
    <row r="92" spans="1:14" x14ac:dyDescent="0.25">
      <c r="A92" s="1"/>
      <c r="B92" s="1"/>
      <c r="C92" s="1"/>
      <c r="D92" s="2"/>
      <c r="E92" s="1"/>
      <c r="F92" s="1"/>
      <c r="G92" s="1"/>
      <c r="H92" s="1"/>
      <c r="I92" s="1"/>
      <c r="J92" s="48"/>
      <c r="K92" s="1"/>
      <c r="L92" s="1"/>
      <c r="M92" s="1"/>
      <c r="N92" s="1"/>
    </row>
    <row r="93" spans="1:14" x14ac:dyDescent="0.25">
      <c r="A93" s="1"/>
      <c r="B93" s="1"/>
      <c r="C93" s="1"/>
      <c r="D93" s="2"/>
      <c r="E93" s="1"/>
      <c r="F93" s="1"/>
      <c r="G93" s="1"/>
      <c r="H93" s="1"/>
      <c r="I93" s="1"/>
      <c r="J93" s="48"/>
      <c r="K93" s="1"/>
      <c r="L93" s="1"/>
      <c r="M93" s="1"/>
      <c r="N93" s="1"/>
    </row>
    <row r="94" spans="1:14" x14ac:dyDescent="0.25">
      <c r="A94" s="1"/>
      <c r="B94" s="1"/>
      <c r="C94" s="1"/>
      <c r="D94" s="2"/>
      <c r="E94" s="1"/>
      <c r="F94" s="1"/>
      <c r="G94" s="1"/>
      <c r="H94" s="1"/>
      <c r="I94" s="1"/>
      <c r="J94" s="48"/>
      <c r="K94" s="1"/>
      <c r="L94" s="1"/>
      <c r="M94" s="1"/>
      <c r="N94" s="1"/>
    </row>
    <row r="95" spans="1:14" x14ac:dyDescent="0.25">
      <c r="A95" s="1"/>
      <c r="B95" s="1"/>
      <c r="C95" s="1"/>
      <c r="D95" s="2"/>
      <c r="E95" s="1"/>
      <c r="F95" s="1"/>
      <c r="G95" s="1"/>
      <c r="H95" s="1"/>
      <c r="I95" s="1"/>
      <c r="J95" s="48"/>
      <c r="K95" s="1"/>
      <c r="L95" s="1"/>
      <c r="M95" s="1"/>
      <c r="N95" s="1"/>
    </row>
    <row r="96" spans="1:14" x14ac:dyDescent="0.25">
      <c r="A96" s="1"/>
      <c r="B96" s="1"/>
      <c r="C96" s="1"/>
      <c r="D96" s="2"/>
      <c r="E96" s="1"/>
      <c r="F96" s="1"/>
      <c r="G96" s="1"/>
      <c r="H96" s="1"/>
      <c r="I96" s="1"/>
      <c r="J96" s="48"/>
      <c r="K96" s="1"/>
      <c r="L96" s="1"/>
      <c r="M96" s="1"/>
      <c r="N96" s="1"/>
    </row>
    <row r="97" spans="1:14" x14ac:dyDescent="0.25">
      <c r="A97" s="1"/>
      <c r="B97" s="1"/>
      <c r="C97" s="1"/>
      <c r="D97" s="2"/>
      <c r="E97" s="1"/>
      <c r="F97" s="1"/>
      <c r="G97" s="1"/>
      <c r="H97" s="1"/>
      <c r="I97" s="1"/>
      <c r="J97" s="48"/>
      <c r="K97" s="1"/>
      <c r="L97" s="1"/>
      <c r="M97" s="1"/>
      <c r="N97" s="1"/>
    </row>
    <row r="98" spans="1:14" x14ac:dyDescent="0.25">
      <c r="A98" s="1"/>
      <c r="B98" s="1"/>
      <c r="C98" s="1"/>
      <c r="D98" s="2"/>
      <c r="E98" s="1"/>
      <c r="F98" s="1"/>
      <c r="G98" s="1"/>
      <c r="H98" s="1"/>
      <c r="I98" s="1"/>
      <c r="J98" s="48"/>
      <c r="K98" s="1"/>
      <c r="L98" s="1"/>
      <c r="M98" s="1"/>
      <c r="N98" s="1"/>
    </row>
    <row r="99" spans="1:14" x14ac:dyDescent="0.25">
      <c r="A99" s="1"/>
      <c r="B99" s="1"/>
      <c r="C99" s="1"/>
      <c r="D99" s="2"/>
      <c r="E99" s="1"/>
      <c r="F99" s="1"/>
      <c r="G99" s="1"/>
      <c r="H99" s="1"/>
      <c r="I99" s="1"/>
      <c r="J99" s="48"/>
      <c r="K99" s="1"/>
      <c r="L99" s="1"/>
      <c r="M99" s="1"/>
      <c r="N99" s="1"/>
    </row>
    <row r="100" spans="1:14" x14ac:dyDescent="0.25">
      <c r="A100" s="1"/>
      <c r="B100" s="1"/>
      <c r="C100" s="1"/>
      <c r="D100" s="2"/>
      <c r="E100" s="1"/>
      <c r="F100" s="1"/>
      <c r="G100" s="1"/>
      <c r="H100" s="1"/>
      <c r="I100" s="1"/>
      <c r="J100" s="48"/>
      <c r="K100" s="1"/>
      <c r="L100" s="1"/>
      <c r="M100" s="1"/>
      <c r="N100" s="1"/>
    </row>
    <row r="101" spans="1:14" x14ac:dyDescent="0.25">
      <c r="A101" s="1"/>
      <c r="B101" s="1"/>
      <c r="C101" s="1"/>
      <c r="D101" s="2"/>
      <c r="E101" s="1"/>
      <c r="F101" s="1"/>
      <c r="G101" s="1"/>
      <c r="H101" s="1"/>
      <c r="I101" s="1"/>
      <c r="J101" s="48"/>
      <c r="K101" s="1"/>
      <c r="L101" s="1"/>
      <c r="M101" s="1"/>
      <c r="N101" s="1"/>
    </row>
    <row r="102" spans="1:14" x14ac:dyDescent="0.25">
      <c r="A102" s="1"/>
      <c r="B102" s="1"/>
      <c r="C102" s="1"/>
      <c r="D102" s="2"/>
      <c r="E102" s="1"/>
      <c r="F102" s="1"/>
      <c r="G102" s="1"/>
      <c r="H102" s="1"/>
      <c r="I102" s="1"/>
      <c r="J102" s="48"/>
      <c r="K102" s="1"/>
      <c r="L102" s="1"/>
      <c r="M102" s="1"/>
      <c r="N102" s="1"/>
    </row>
    <row r="103" spans="1:14" x14ac:dyDescent="0.25">
      <c r="A103" s="1"/>
      <c r="B103" s="1"/>
      <c r="C103" s="1"/>
      <c r="D103" s="2"/>
      <c r="E103" s="1"/>
      <c r="F103" s="1"/>
      <c r="G103" s="1"/>
      <c r="H103" s="1"/>
      <c r="I103" s="1"/>
      <c r="J103" s="48"/>
      <c r="K103" s="1"/>
      <c r="L103" s="1"/>
      <c r="M103" s="1"/>
      <c r="N103" s="1"/>
    </row>
    <row r="104" spans="1:14" x14ac:dyDescent="0.25">
      <c r="A104" s="1"/>
      <c r="B104" s="1"/>
      <c r="C104" s="1"/>
      <c r="D104" s="2"/>
      <c r="E104" s="1"/>
      <c r="F104" s="1"/>
      <c r="G104" s="1"/>
      <c r="H104" s="1"/>
      <c r="I104" s="1"/>
      <c r="J104" s="48"/>
      <c r="K104" s="1"/>
      <c r="L104" s="1"/>
      <c r="M104" s="1"/>
      <c r="N104" s="1"/>
    </row>
    <row r="105" spans="1:14" x14ac:dyDescent="0.25">
      <c r="A105" s="1"/>
      <c r="B105" s="1"/>
      <c r="C105" s="1"/>
      <c r="D105" s="2"/>
      <c r="E105" s="1"/>
      <c r="F105" s="1"/>
      <c r="G105" s="1"/>
      <c r="H105" s="1"/>
      <c r="I105" s="1"/>
      <c r="J105" s="48"/>
      <c r="K105" s="1"/>
      <c r="L105" s="1"/>
      <c r="M105" s="1"/>
      <c r="N105" s="1"/>
    </row>
    <row r="106" spans="1:14" x14ac:dyDescent="0.25">
      <c r="A106" s="1"/>
      <c r="B106" s="1"/>
      <c r="C106" s="1"/>
      <c r="D106" s="2"/>
      <c r="E106" s="1"/>
      <c r="F106" s="1"/>
      <c r="G106" s="1"/>
      <c r="H106" s="1"/>
      <c r="I106" s="1"/>
      <c r="J106" s="48"/>
      <c r="K106" s="1"/>
      <c r="L106" s="1"/>
      <c r="M106" s="1"/>
      <c r="N106" s="1"/>
    </row>
    <row r="107" spans="1:14" x14ac:dyDescent="0.25">
      <c r="A107" s="1"/>
      <c r="B107" s="1"/>
      <c r="C107" s="1"/>
      <c r="D107" s="2"/>
      <c r="E107" s="1"/>
      <c r="F107" s="1"/>
      <c r="G107" s="1"/>
      <c r="H107" s="1"/>
      <c r="I107" s="1"/>
      <c r="J107" s="48"/>
      <c r="K107" s="1"/>
      <c r="L107" s="1"/>
      <c r="M107" s="1"/>
      <c r="N107" s="1"/>
    </row>
  </sheetData>
  <mergeCells count="15">
    <mergeCell ref="C41:E41"/>
    <mergeCell ref="C43:E43"/>
    <mergeCell ref="C45:E45"/>
    <mergeCell ref="A6:B6"/>
    <mergeCell ref="C34:E34"/>
    <mergeCell ref="B36:E36"/>
    <mergeCell ref="B37:C37"/>
    <mergeCell ref="B38:C38"/>
    <mergeCell ref="B39:E39"/>
    <mergeCell ref="A5:B5"/>
    <mergeCell ref="B1:H1"/>
    <mergeCell ref="A3:B3"/>
    <mergeCell ref="C3:E3"/>
    <mergeCell ref="A4:B4"/>
    <mergeCell ref="C4:E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VIRGINIA GRIMA</dc:creator>
  <cp:lastModifiedBy>VIRGINIA GRIMA</cp:lastModifiedBy>
  <dcterms:created xsi:type="dcterms:W3CDTF">2022-12-06T12:32:00Z</dcterms:created>
  <dcterms:modified xsi:type="dcterms:W3CDTF">2022-12-07T13:37:16Z</dcterms:modified>
</cp:coreProperties>
</file>