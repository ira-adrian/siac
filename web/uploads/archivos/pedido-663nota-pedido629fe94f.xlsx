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Nair\PEDIDOS 2022\4 TRIMESTRE 2022\MINIST TRABAJO\combustible-libreria-limpieza\"/>
    </mc:Choice>
  </mc:AlternateContent>
  <xr:revisionPtr revIDLastSave="0" documentId="8_{622BA43C-2CA2-4775-A81A-913FCFAF897F}" xr6:coauthVersionLast="47" xr6:coauthVersionMax="47" xr10:uidLastSave="{00000000-0000-0000-0000-000000000000}"/>
  <bookViews>
    <workbookView xWindow="-120" yWindow="-120" windowWidth="29040" windowHeight="15840" tabRatio="500" activeTab="3" xr2:uid="{00000000-000D-0000-FFFF-FFFF00000000}"/>
  </bookViews>
  <sheets>
    <sheet name="COMBUSTIBLE" sheetId="4" r:id="rId1"/>
    <sheet name="Hoja1" sheetId="2" state="hidden" r:id="rId2"/>
    <sheet name="ELEM. LIMPIEZA" sheetId="18" r:id="rId3"/>
    <sheet name="Utiles de Escritorio" sheetId="17" r:id="rId4"/>
    <sheet name="PARQUE AUTOMOTOR" sheetId="12" r:id="rId5"/>
  </sheets>
  <externalReferences>
    <externalReference r:id="rId6"/>
    <externalReference r:id="rId7"/>
  </externalReferences>
  <definedNames>
    <definedName name="_xlnm._FilterDatabase" localSheetId="2" hidden="1">'ELEM. LIMPIEZA'!$A$9:$I$42</definedName>
    <definedName name="_xlnm._FilterDatabase" localSheetId="3" hidden="1">'Utiles de Escritorio'!$A$9:$I$62</definedName>
    <definedName name="_xlcn.WorksheetConnection_RelevamientodeHardMinisteriodeTrabajoyRRHH20base.xlsxTabla11" localSheetId="2" hidden="1">[1]!Tabla1[#Data]</definedName>
    <definedName name="_xlcn.WorksheetConnection_RelevamientodeHardMinisteriodeTrabajoyRRHH20base.xlsxTabla11" localSheetId="3" hidden="1">[1]!Tabla1[#Data]</definedName>
    <definedName name="_xlcn.WorksheetConnection_RelevamientodeHardMinisteriodeTrabajoyRRHH20base.xlsxTabla11" hidden="1">[2]!Tabla1[#Data]</definedName>
    <definedName name="ORGANIGRAMA" localSheetId="2">#REF!</definedName>
    <definedName name="ORGANIGRAMA" localSheetId="3">#REF!</definedName>
    <definedName name="ORGANIGRAMA">#REF!</definedName>
    <definedName name="toners" localSheetId="2">#REF!</definedName>
    <definedName name="toners" localSheetId="3">#REF!</definedName>
    <definedName name="toners">#REF!</definedName>
  </definedNames>
  <calcPr calcId="181029"/>
</workbook>
</file>

<file path=xl/calcChain.xml><?xml version="1.0" encoding="utf-8"?>
<calcChain xmlns="http://schemas.openxmlformats.org/spreadsheetml/2006/main">
  <c r="I10" i="17" l="1"/>
  <c r="I15" i="18" l="1"/>
  <c r="H50" i="17" l="1"/>
  <c r="H22" i="17"/>
  <c r="H39" i="18"/>
  <c r="I41" i="18" l="1"/>
  <c r="I40" i="18"/>
  <c r="D40" i="18"/>
  <c r="I39" i="18"/>
  <c r="D39" i="18"/>
  <c r="I38" i="18"/>
  <c r="D38" i="18"/>
  <c r="I37" i="18"/>
  <c r="D37" i="18"/>
  <c r="I36" i="18"/>
  <c r="D36" i="18"/>
  <c r="I35" i="18"/>
  <c r="D35" i="18"/>
  <c r="I34" i="18"/>
  <c r="D34" i="18"/>
  <c r="I33" i="18"/>
  <c r="D33" i="18"/>
  <c r="I32" i="18"/>
  <c r="D32" i="18"/>
  <c r="I31" i="18"/>
  <c r="D31" i="18"/>
  <c r="I30" i="18"/>
  <c r="D30" i="18"/>
  <c r="I29" i="18"/>
  <c r="D29" i="18"/>
  <c r="I28" i="18"/>
  <c r="D28" i="18"/>
  <c r="I27" i="18"/>
  <c r="D27" i="18"/>
  <c r="I26" i="18"/>
  <c r="D26" i="18"/>
  <c r="I25" i="18"/>
  <c r="D25" i="18"/>
  <c r="I24" i="18"/>
  <c r="D24" i="18"/>
  <c r="I23" i="18"/>
  <c r="D23" i="18"/>
  <c r="I22" i="18"/>
  <c r="D22" i="18"/>
  <c r="I21" i="18"/>
  <c r="D21" i="18"/>
  <c r="I20" i="18"/>
  <c r="D20" i="18"/>
  <c r="I19" i="18"/>
  <c r="D19" i="18"/>
  <c r="I18" i="18"/>
  <c r="D18" i="18"/>
  <c r="I17" i="18"/>
  <c r="D17" i="18"/>
  <c r="I16" i="18"/>
  <c r="D16" i="18"/>
  <c r="D15" i="18"/>
  <c r="I14" i="18"/>
  <c r="D14" i="18"/>
  <c r="I13" i="18"/>
  <c r="D13" i="18"/>
  <c r="I12" i="18"/>
  <c r="D12" i="18"/>
  <c r="I11" i="18"/>
  <c r="D11" i="18"/>
  <c r="I10" i="18"/>
  <c r="N14" i="18" l="1"/>
  <c r="I42" i="18"/>
  <c r="N16" i="18"/>
  <c r="N17" i="18"/>
  <c r="N18" i="18"/>
  <c r="N15" i="18"/>
  <c r="I61" i="17"/>
  <c r="I60" i="17"/>
  <c r="I59" i="17"/>
  <c r="I58" i="17"/>
  <c r="D58" i="17"/>
  <c r="I57" i="17"/>
  <c r="D57" i="17"/>
  <c r="I56" i="17"/>
  <c r="D56" i="17"/>
  <c r="I55" i="17"/>
  <c r="D55" i="17"/>
  <c r="I54" i="17"/>
  <c r="D54" i="17"/>
  <c r="I53" i="17"/>
  <c r="D53" i="17"/>
  <c r="I52" i="17"/>
  <c r="D52" i="17"/>
  <c r="I51" i="17"/>
  <c r="D51" i="17"/>
  <c r="I50" i="17"/>
  <c r="D50" i="17"/>
  <c r="I49" i="17"/>
  <c r="D49" i="17"/>
  <c r="I48" i="17"/>
  <c r="D48" i="17"/>
  <c r="I47" i="17"/>
  <c r="D47" i="17"/>
  <c r="I46" i="17"/>
  <c r="D46" i="17"/>
  <c r="I45" i="17"/>
  <c r="D45" i="17"/>
  <c r="I44" i="17"/>
  <c r="D44" i="17"/>
  <c r="I43" i="17"/>
  <c r="D43" i="17"/>
  <c r="I42" i="17"/>
  <c r="D42" i="17"/>
  <c r="I41" i="17"/>
  <c r="D41" i="17"/>
  <c r="I40" i="17"/>
  <c r="D40" i="17"/>
  <c r="I39" i="17"/>
  <c r="D39" i="17"/>
  <c r="I38" i="17"/>
  <c r="D38" i="17"/>
  <c r="I37" i="17"/>
  <c r="D37" i="17"/>
  <c r="D36" i="17"/>
  <c r="I35" i="17"/>
  <c r="D35" i="17"/>
  <c r="I34" i="17"/>
  <c r="D34" i="17"/>
  <c r="I33" i="17"/>
  <c r="D33" i="17"/>
  <c r="I32" i="17"/>
  <c r="D32" i="17"/>
  <c r="I31" i="17"/>
  <c r="D31" i="17"/>
  <c r="I30" i="17"/>
  <c r="D30" i="17"/>
  <c r="I29" i="17"/>
  <c r="D29" i="17"/>
  <c r="I28" i="17"/>
  <c r="D28" i="17"/>
  <c r="I27" i="17"/>
  <c r="D27" i="17"/>
  <c r="I26" i="17"/>
  <c r="D26" i="17"/>
  <c r="I25" i="17"/>
  <c r="D25" i="17"/>
  <c r="I24" i="17"/>
  <c r="D24" i="17"/>
  <c r="I23" i="17"/>
  <c r="D23" i="17"/>
  <c r="I22" i="17"/>
  <c r="D22" i="17"/>
  <c r="I21" i="17"/>
  <c r="D21" i="17"/>
  <c r="I20" i="17"/>
  <c r="D20" i="17"/>
  <c r="I19" i="17"/>
  <c r="D19" i="17"/>
  <c r="I18" i="17"/>
  <c r="D18" i="17"/>
  <c r="I17" i="17"/>
  <c r="D17" i="17"/>
  <c r="I16" i="17"/>
  <c r="D16" i="17"/>
  <c r="I15" i="17"/>
  <c r="D15" i="17"/>
  <c r="I14" i="17"/>
  <c r="D14" i="17"/>
  <c r="I13" i="17"/>
  <c r="D13" i="17"/>
  <c r="I12" i="17"/>
  <c r="D12" i="17"/>
  <c r="I11" i="17"/>
  <c r="D11" i="17"/>
  <c r="D10" i="17"/>
  <c r="N19" i="18" l="1"/>
  <c r="I62" i="17"/>
  <c r="I11" i="4"/>
  <c r="I10" i="4"/>
  <c r="I12" i="4" l="1"/>
</calcChain>
</file>

<file path=xl/sharedStrings.xml><?xml version="1.0" encoding="utf-8"?>
<sst xmlns="http://schemas.openxmlformats.org/spreadsheetml/2006/main" count="576" uniqueCount="323">
  <si>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</si>
  <si>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</si>
  <si>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</si>
  <si>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</si>
  <si>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</si>
  <si>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</si>
  <si>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</si>
  <si>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</si>
  <si>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</si>
  <si>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</si>
  <si>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</si>
  <si>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</si>
  <si>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</si>
  <si>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</si>
  <si>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</si>
  <si>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</si>
  <si>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</si>
  <si>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</si>
  <si>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</si>
  <si>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</si>
  <si>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</si>
  <si>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COMBUSTIBLES Y LUBRICANTES</t>
  </si>
  <si>
    <t>LIBRERIA,PAP. Y UTILES OFICINA</t>
  </si>
  <si>
    <t>2.9.2-1358.34</t>
  </si>
  <si>
    <r>
      <t xml:space="preserve">Que Cumpla con lo Solicitado de Forma Integra. </t>
    </r>
    <r>
      <rPr>
        <b/>
        <u/>
        <sz val="10"/>
        <rFont val="Times New Roman"/>
        <family val="1"/>
      </rPr>
      <t/>
    </r>
  </si>
  <si>
    <t>30 (treinta) días</t>
  </si>
  <si>
    <t>Que cumpla íntegramente con lo solicitado</t>
  </si>
  <si>
    <t>INDUMENT TEXTIL Y CONFECCIONES</t>
  </si>
  <si>
    <t>2.3.1-6563.1009</t>
  </si>
  <si>
    <t>2.3.1-6563.968</t>
  </si>
  <si>
    <t>2.3.1-6587.333</t>
  </si>
  <si>
    <t>2.3.1-6587.346</t>
  </si>
  <si>
    <t>2.3.1-6590.555</t>
  </si>
  <si>
    <t>2.3.1-6590.556</t>
  </si>
  <si>
    <t>2.9.2-1153.35</t>
  </si>
  <si>
    <t>2.9.2-1153.47</t>
  </si>
  <si>
    <t>2.9.2-1153.90</t>
  </si>
  <si>
    <t>2.9.2-1354.15</t>
  </si>
  <si>
    <t>2.9.2-1354.17</t>
  </si>
  <si>
    <t>2.9.2-1354.28</t>
  </si>
  <si>
    <t>2.9.2-1354.29</t>
  </si>
  <si>
    <t>2.9.2-1358.35</t>
  </si>
  <si>
    <t>2.9.2-1450.30</t>
  </si>
  <si>
    <t xml:space="preserve">UNIDAD </t>
  </si>
  <si>
    <t>2.9.2-1450.4</t>
  </si>
  <si>
    <t>2.9.2-1616.128</t>
  </si>
  <si>
    <t>2.9.2-1616.134</t>
  </si>
  <si>
    <t>2.9.2-1616.79</t>
  </si>
  <si>
    <t>2.9.2-261.14</t>
  </si>
  <si>
    <t>2.9.2-262.4</t>
  </si>
  <si>
    <t>2.9.2-262.45</t>
  </si>
  <si>
    <t>2.9.2-274.49</t>
  </si>
  <si>
    <t>2.9.2-274.73</t>
  </si>
  <si>
    <t>2.9.2-317.1</t>
  </si>
  <si>
    <t>2.9.2-317.17</t>
  </si>
  <si>
    <t>2.9.2-660.10</t>
  </si>
  <si>
    <t>2.9.2-700.59</t>
  </si>
  <si>
    <t>2.9.2-758.8</t>
  </si>
  <si>
    <t>2.9.2-790.10</t>
  </si>
  <si>
    <t>2.9.2-791.9</t>
  </si>
  <si>
    <t>2.9.2-848.20</t>
  </si>
  <si>
    <t>2.9.2-848.22</t>
  </si>
  <si>
    <t>2.9.2-853.30</t>
  </si>
  <si>
    <t>2.9.2-853.31</t>
  </si>
  <si>
    <t>2.9.2-317.21</t>
  </si>
  <si>
    <t>2.9.2-674.9</t>
  </si>
  <si>
    <t>2.9.2-661.11</t>
  </si>
  <si>
    <t>30 (treinta)  días habiles</t>
  </si>
  <si>
    <t>2.3.1-928.8</t>
  </si>
  <si>
    <t>ELEMENTOS DE LIMPIEZA</t>
  </si>
  <si>
    <t>2.2.2-1629.172</t>
  </si>
  <si>
    <t>BAZAR Y MENAJE</t>
  </si>
  <si>
    <t>2.3.4-783.43</t>
  </si>
  <si>
    <t>2.3.4-783.66</t>
  </si>
  <si>
    <t>2.3.4-786.80</t>
  </si>
  <si>
    <t>2.5.4-506.192</t>
  </si>
  <si>
    <t>2.5.4-506.194</t>
  </si>
  <si>
    <t>2.5.4-506.209</t>
  </si>
  <si>
    <t>2.9.1-1156.1</t>
  </si>
  <si>
    <t>2.9.1-1164.18</t>
  </si>
  <si>
    <t>2.9.1-1164.35</t>
  </si>
  <si>
    <t>2.9.1-4784.37</t>
  </si>
  <si>
    <t>2.9.1-544.82</t>
  </si>
  <si>
    <t>2.9.1-678.1</t>
  </si>
  <si>
    <t>2.9.1-683.6</t>
  </si>
  <si>
    <t>2.9.1-6950.30</t>
  </si>
  <si>
    <t>2.9.1-6951.12</t>
  </si>
  <si>
    <t>2.9.1-6951.30</t>
  </si>
  <si>
    <t>2.9.1-6951.41</t>
  </si>
  <si>
    <t>2.9.1-6952.87</t>
  </si>
  <si>
    <t>2.9.1-6956.73</t>
  </si>
  <si>
    <t>2.9.1-6961.9</t>
  </si>
  <si>
    <t>2.9.1-761.2</t>
  </si>
  <si>
    <t>2.5.6-797.39</t>
  </si>
  <si>
    <t>2.5.6</t>
  </si>
  <si>
    <t>NAFTA SUPER; TIPO: SUPER, OCTANO: 95, PRESENTACION: POR LITRO, DESTINO: DPTO. S.F.V. DE CATAMARCA</t>
  </si>
  <si>
    <t>2.5.6-793.31</t>
  </si>
  <si>
    <t>GAS OIL; PRESENTACION: POR LITRO, USO: MOTORES DIESEL, COMERCIALIZACION: GRADO 3,  DESTINO: DPTO. S.F.V. DE CATAMARCA</t>
  </si>
  <si>
    <t xml:space="preserve">LITROS </t>
  </si>
  <si>
    <r>
      <t xml:space="preserve">PAPELES ENCUADERNADOS; CANT. DE </t>
    </r>
    <r>
      <rPr>
        <b/>
        <sz val="10"/>
        <rFont val="Times New Roman"/>
        <family val="1"/>
      </rPr>
      <t>HOJAS: 100, TAMAÑO: A4, TIPO: CUADERNO ESPIRALADO TAPA DURA, C</t>
    </r>
    <r>
      <rPr>
        <sz val="10"/>
        <rFont val="Times New Roman"/>
        <family val="1"/>
      </rPr>
      <t>ERTIFICADO FORESTAL (GFS): SIN, PORC. FIBRAS RECICLADAS: 0 %, CERT. FIBRA ALTERNATIVA (FCA): SIN</t>
    </r>
  </si>
  <si>
    <r>
      <rPr>
        <b/>
        <sz val="10"/>
        <rFont val="Times New Roman"/>
        <family val="1"/>
      </rPr>
      <t>SOBRES DE PAPEL</t>
    </r>
    <r>
      <rPr>
        <sz val="10"/>
        <rFont val="Times New Roman"/>
        <family val="1"/>
      </rPr>
      <t>; TIPO: MANILA, TAMAÑO: OFICIO, GRAMAJE: 80 GR, PRESENTACION: UNIDAD, CERTIFICADO FORESTAL (GFS): SIN, PORC. FIBRAS RECICLADAS: 0 %, CERT. FIBRA ALTERNATIVA (FCA): SIN</t>
    </r>
  </si>
  <si>
    <r>
      <rPr>
        <b/>
        <sz val="10"/>
        <rFont val="Times New Roman"/>
        <family val="1"/>
      </rPr>
      <t>SOBRES DE PAPEL;</t>
    </r>
    <r>
      <rPr>
        <sz val="10"/>
        <rFont val="Times New Roman"/>
        <family val="1"/>
      </rPr>
      <t xml:space="preserve"> TIPO: MANILA, TAMAÑO: A4, GRAMAJE: 80 GR, PRESENTACION: UNIDAD, CERTIFICADO FORESTAL (GFS): SIN, PORC. FIBRAS RECICLADAS: 0 %, CERT. FIBRA ALTERNATIVA (FCA): SIN</t>
    </r>
  </si>
  <si>
    <r>
      <rPr>
        <b/>
        <sz val="10"/>
        <rFont val="Times New Roman"/>
        <family val="1"/>
      </rPr>
      <t>CINTAS ADHESIVAS; TIPO: EMBALAR, COLOR MARRON</t>
    </r>
    <r>
      <rPr>
        <sz val="10"/>
        <rFont val="Times New Roman"/>
        <family val="1"/>
      </rPr>
      <t>, ANCHO: 5 Cm, LARGO ROLLO: 50 M, MATERIAL: CELOFAN, ACCESORIO: SIN, LARGO: 50 M</t>
    </r>
  </si>
  <si>
    <r>
      <rPr>
        <b/>
        <sz val="10"/>
        <rFont val="Times New Roman"/>
        <family val="1"/>
      </rPr>
      <t xml:space="preserve">CINTAS ADHESIVAS; TIPO: ADHESIVA, ANCHO: 12 Cm, </t>
    </r>
    <r>
      <rPr>
        <sz val="10"/>
        <rFont val="Times New Roman"/>
        <family val="1"/>
      </rPr>
      <t>LARGO ROLLO: 50 M, MATERIAL: PLASTICO, ACCESORIO: SIN, LARGO: 50 M</t>
    </r>
  </si>
  <si>
    <r>
      <rPr>
        <b/>
        <sz val="10"/>
        <rFont val="Times New Roman"/>
        <family val="1"/>
      </rPr>
      <t>CINTAS ADHESIVAS; TIPO: EMBALAR, ANCHO: 48 mm</t>
    </r>
    <r>
      <rPr>
        <sz val="10"/>
        <rFont val="Times New Roman"/>
        <family val="1"/>
      </rPr>
      <t>, LARGO ROLLO: 50 M, MATERIAL: PLASTICO, ACCESORIO: SIN, LARGO: 50 M</t>
    </r>
  </si>
  <si>
    <r>
      <rPr>
        <b/>
        <sz val="10"/>
        <rFont val="Times New Roman"/>
        <family val="1"/>
      </rPr>
      <t>TINTAS P/SELLOS</t>
    </r>
    <r>
      <rPr>
        <sz val="10"/>
        <rFont val="Times New Roman"/>
        <family val="1"/>
      </rPr>
      <t>; TIPO DE SELLO: DE GOMA, ENVASE: 60 CM3, COLOR: AZUL, PRESENTACION: ENVASE X 60 CM3</t>
    </r>
  </si>
  <si>
    <r>
      <rPr>
        <b/>
        <sz val="10"/>
        <rFont val="Times New Roman"/>
        <family val="1"/>
      </rPr>
      <t xml:space="preserve">MARCADORES; </t>
    </r>
    <r>
      <rPr>
        <sz val="10"/>
        <rFont val="Times New Roman"/>
        <family val="1"/>
      </rPr>
      <t>TIPO PARA PIZARRA - TRAZO GRUESO - PUNTA REDONDA - RECARGABLE NO</t>
    </r>
  </si>
  <si>
    <r>
      <rPr>
        <b/>
        <sz val="10"/>
        <rFont val="Times New Roman"/>
        <family val="1"/>
      </rPr>
      <t xml:space="preserve">ADHESIVOS P/PAPEL; </t>
    </r>
    <r>
      <rPr>
        <sz val="10"/>
        <rFont val="Times New Roman"/>
        <family val="1"/>
      </rPr>
      <t>PRESENTACION: 30 CM3, TIPO: TRANSPARENTE</t>
    </r>
  </si>
  <si>
    <r>
      <rPr>
        <b/>
        <sz val="10"/>
        <rFont val="Times New Roman"/>
        <family val="1"/>
      </rPr>
      <t>BIBLIORATOS</t>
    </r>
    <r>
      <rPr>
        <sz val="10"/>
        <rFont val="Times New Roman"/>
        <family val="1"/>
      </rPr>
      <t xml:space="preserve">; ANCHO: 80 mm, ANILLO: 2 Y PALANCA, TAMAÑO: </t>
    </r>
    <r>
      <rPr>
        <b/>
        <sz val="10"/>
        <rFont val="Times New Roman"/>
        <family val="1"/>
      </rPr>
      <t>A4</t>
    </r>
    <r>
      <rPr>
        <sz val="10"/>
        <rFont val="Times New Roman"/>
        <family val="1"/>
      </rPr>
      <t>, MATERIAL: CARTON FORRADO EN PVC</t>
    </r>
  </si>
  <si>
    <r>
      <rPr>
        <b/>
        <sz val="10"/>
        <rFont val="Times New Roman"/>
        <family val="1"/>
      </rPr>
      <t>BOLIGRAFOS</t>
    </r>
    <r>
      <rPr>
        <sz val="10"/>
        <rFont val="Times New Roman"/>
        <family val="1"/>
      </rPr>
      <t>; COLOR TINTA: AZUL, TRAZO: 0,7 mm</t>
    </r>
  </si>
  <si>
    <r>
      <rPr>
        <b/>
        <sz val="10"/>
        <rFont val="Times New Roman"/>
        <family val="1"/>
      </rPr>
      <t>BOLIGRAFOS;</t>
    </r>
    <r>
      <rPr>
        <sz val="10"/>
        <rFont val="Times New Roman"/>
        <family val="1"/>
      </rPr>
      <t xml:space="preserve"> TRAZO: 0,1 mm, COLOR TINTA: AZUL</t>
    </r>
  </si>
  <si>
    <r>
      <rPr>
        <b/>
        <sz val="10"/>
        <rFont val="Times New Roman"/>
        <family val="1"/>
      </rPr>
      <t>BOLIGRAFOS</t>
    </r>
    <r>
      <rPr>
        <sz val="10"/>
        <rFont val="Times New Roman"/>
        <family val="1"/>
      </rPr>
      <t>; TRAZO: GRUESO, COLOR TINTA: NEGRO</t>
    </r>
  </si>
  <si>
    <r>
      <rPr>
        <b/>
        <sz val="10"/>
        <rFont val="Times New Roman"/>
        <family val="1"/>
      </rPr>
      <t>REGLAS GRADUADAS</t>
    </r>
    <r>
      <rPr>
        <sz val="10"/>
        <rFont val="Times New Roman"/>
        <family val="1"/>
      </rPr>
      <t>; TIPO: PLANA, MATERIAL: PLASTICO, LONG.DE CUERPO: 30 Cm</t>
    </r>
  </si>
  <si>
    <r>
      <rPr>
        <b/>
        <sz val="10"/>
        <rFont val="Times New Roman"/>
        <family val="1"/>
      </rPr>
      <t>BROCHES P/ABROCHADORA</t>
    </r>
    <r>
      <rPr>
        <sz val="10"/>
        <rFont val="Times New Roman"/>
        <family val="1"/>
      </rPr>
      <t>; NUMERO: 23, PRESENTACION: CAJA X 1000</t>
    </r>
  </si>
  <si>
    <r>
      <rPr>
        <b/>
        <sz val="10"/>
        <rFont val="Times New Roman"/>
        <family val="1"/>
      </rPr>
      <t xml:space="preserve">TIJERAS </t>
    </r>
    <r>
      <rPr>
        <sz val="10"/>
        <rFont val="Times New Roman"/>
        <family val="1"/>
      </rPr>
      <t>P/CORTAR PAPELES; CUCHILLA: PUNTIAGUDAS, MATERIAL: ACERO BRUÑIDO, MANGO: PLASTICO, LONG.DE CUERPO: 17 Cm</t>
    </r>
  </si>
  <si>
    <r>
      <rPr>
        <b/>
        <sz val="10"/>
        <rFont val="Times New Roman"/>
        <family val="1"/>
      </rPr>
      <t xml:space="preserve">CUTER; </t>
    </r>
    <r>
      <rPr>
        <sz val="10"/>
        <rFont val="Times New Roman"/>
        <family val="1"/>
      </rPr>
      <t>ANCHO HOJA: 12 mm, MATERIAL MANGO: METAL, TIPO HOJA: MOVIL SECCIONABLE, TIPO DE HOJA: MOVIL SECCIONABLE, ANCHO DE HOJA: 12 mm</t>
    </r>
  </si>
  <si>
    <r>
      <rPr>
        <b/>
        <sz val="10"/>
        <rFont val="Times New Roman"/>
        <family val="1"/>
      </rPr>
      <t xml:space="preserve">TALONARIOS NOTAS </t>
    </r>
    <r>
      <rPr>
        <sz val="10"/>
        <rFont val="Times New Roman"/>
        <family val="1"/>
      </rPr>
      <t>AUTOADHESIVAS; MEDIDA 76 X 76mm</t>
    </r>
  </si>
  <si>
    <r>
      <rPr>
        <b/>
        <sz val="10"/>
        <rFont val="Times New Roman"/>
        <family val="1"/>
      </rPr>
      <t>LAPIZ</t>
    </r>
    <r>
      <rPr>
        <sz val="10"/>
        <rFont val="Times New Roman"/>
        <family val="1"/>
      </rPr>
      <t>; TIPO: 2HB, COLOR: NEGRO</t>
    </r>
  </si>
  <si>
    <r>
      <rPr>
        <b/>
        <sz val="10"/>
        <rFont val="Times New Roman"/>
        <family val="1"/>
      </rPr>
      <t>LAPIZ;</t>
    </r>
    <r>
      <rPr>
        <sz val="10"/>
        <rFont val="Times New Roman"/>
        <family val="1"/>
      </rPr>
      <t xml:space="preserve"> TIPO: CON GOMA, COLOR: NEGRO</t>
    </r>
  </si>
  <si>
    <r>
      <rPr>
        <b/>
        <sz val="10"/>
        <rFont val="Times New Roman"/>
        <family val="1"/>
      </rPr>
      <t>GOMAS DE BORRAR</t>
    </r>
    <r>
      <rPr>
        <sz val="10"/>
        <rFont val="Times New Roman"/>
        <family val="1"/>
      </rPr>
      <t>; USO: LAPIZ Y TINTA, CANT. X CAJA: 36, DIMENSION: 4 X 1 X 1 Cm, MATERIAL: PLASTICO, PRESENTACION: CAJA X 36</t>
    </r>
  </si>
  <si>
    <r>
      <rPr>
        <b/>
        <sz val="10"/>
        <rFont val="Times New Roman"/>
        <family val="1"/>
      </rPr>
      <t>BROCHES P/EXPEDIENTE</t>
    </r>
    <r>
      <rPr>
        <sz val="10"/>
        <rFont val="Times New Roman"/>
        <family val="1"/>
      </rPr>
      <t xml:space="preserve">; TIPO: </t>
    </r>
    <r>
      <rPr>
        <b/>
        <sz val="10"/>
        <rFont val="Times New Roman"/>
        <family val="1"/>
      </rPr>
      <t>MARIPOSA</t>
    </r>
    <r>
      <rPr>
        <sz val="10"/>
        <rFont val="Times New Roman"/>
        <family val="1"/>
      </rPr>
      <t>, LONG.DE CUERPO: 25 mm</t>
    </r>
  </si>
  <si>
    <r>
      <rPr>
        <b/>
        <sz val="10"/>
        <rFont val="Times New Roman"/>
        <family val="1"/>
      </rPr>
      <t>ARANDELAS DE CARTON;</t>
    </r>
    <r>
      <rPr>
        <sz val="10"/>
        <rFont val="Times New Roman"/>
        <family val="1"/>
      </rPr>
      <t xml:space="preserve"> DIAMETRO: 1 pulg, PRESENTACION: CAJA X 500 UNIDADES</t>
    </r>
  </si>
  <si>
    <r>
      <t xml:space="preserve">PAPELES EN HOJA; TIPO DE PAPEL: BLANCO, DIMENSION: </t>
    </r>
    <r>
      <rPr>
        <b/>
        <sz val="10"/>
        <rFont val="Times New Roman"/>
        <family val="1"/>
      </rPr>
      <t>OFICIO</t>
    </r>
    <r>
      <rPr>
        <sz val="10"/>
        <rFont val="Times New Roman"/>
        <family val="1"/>
      </rPr>
      <t xml:space="preserve">, GRAMAJE: 80 GR, PRESENTACION: </t>
    </r>
    <r>
      <rPr>
        <b/>
        <sz val="10"/>
        <rFont val="Times New Roman"/>
        <family val="1"/>
      </rPr>
      <t>ENVASE X 500 HOJAS</t>
    </r>
    <r>
      <rPr>
        <sz val="10"/>
        <rFont val="Times New Roman"/>
        <family val="1"/>
      </rPr>
      <t>, CERTIFICADO FORESTAL (GFS): SIN, PORC. FIBRAS RECICLADAS: 0 %, CERT. FIBRA ALTERNATIVA (FCA): SIN</t>
    </r>
  </si>
  <si>
    <r>
      <t>PAPELES EN HOJA; TIPO DE PAPEL: EXTRA BLANCO, DIMENSION:</t>
    </r>
    <r>
      <rPr>
        <b/>
        <sz val="10"/>
        <rFont val="Times New Roman"/>
        <family val="1"/>
      </rPr>
      <t xml:space="preserve"> A4</t>
    </r>
    <r>
      <rPr>
        <sz val="10"/>
        <rFont val="Times New Roman"/>
        <family val="1"/>
      </rPr>
      <t>, GRAMAJE: 80 GR, PRESENTACION:</t>
    </r>
    <r>
      <rPr>
        <b/>
        <sz val="10"/>
        <rFont val="Times New Roman"/>
        <family val="1"/>
      </rPr>
      <t xml:space="preserve"> RESMA X 500 HOJAS</t>
    </r>
    <r>
      <rPr>
        <sz val="10"/>
        <rFont val="Times New Roman"/>
        <family val="1"/>
      </rPr>
      <t>, CERTIFICADO FORESTAL (GFS): SIN, PORC. FIBRAS RECICLADAS: 0 %, CERT. FIBRA ALTERNATIVA (FCA): CON</t>
    </r>
  </si>
  <si>
    <t>2.3.4-5442.13</t>
  </si>
  <si>
    <r>
      <rPr>
        <b/>
        <sz val="11"/>
        <rFont val="Times New Roman"/>
        <family val="1"/>
      </rPr>
      <t>ROLLOS P/COCINA</t>
    </r>
    <r>
      <rPr>
        <sz val="11"/>
        <rFont val="Times New Roman"/>
        <family val="1"/>
      </rPr>
      <t>; DIMENSION: 21 X 20 Cm, PRESENTACION: ENVASE X 3 UN</t>
    </r>
  </si>
  <si>
    <r>
      <rPr>
        <b/>
        <sz val="11"/>
        <rFont val="Times New Roman"/>
        <family val="1"/>
      </rPr>
      <t>TOALLAS DE PAPEL</t>
    </r>
    <r>
      <rPr>
        <sz val="11"/>
        <rFont val="Times New Roman"/>
        <family val="1"/>
      </rPr>
      <t xml:space="preserve">; MATERIAL: PAPEL GOFRADO, GRAMAJE: SIN VALOR, DIMENSION: ANCHO 20 Cm, PRESENTACION: </t>
    </r>
    <r>
      <rPr>
        <b/>
        <sz val="11"/>
        <rFont val="Times New Roman"/>
        <family val="1"/>
      </rPr>
      <t>ROLLO X 304 M</t>
    </r>
  </si>
  <si>
    <r>
      <rPr>
        <b/>
        <sz val="11"/>
        <rFont val="Times New Roman"/>
        <family val="1"/>
      </rPr>
      <t>PAPEL HIGIENICO</t>
    </r>
    <r>
      <rPr>
        <sz val="11"/>
        <rFont val="Times New Roman"/>
        <family val="1"/>
      </rPr>
      <t>; PRESENTACION: PAQUETE X 4, TIPO: ROLLO, ANCHO: 10 Cm, LARGO: 90 M, TIPO DE HOJA: DOBLE</t>
    </r>
  </si>
  <si>
    <t>2.5.4-505.73</t>
  </si>
  <si>
    <r>
      <t xml:space="preserve">DESINFECTANTES; PRINCIPIO ACTIVO: 2-FENILFENOL, CONTROL: </t>
    </r>
    <r>
      <rPr>
        <b/>
        <sz val="11"/>
        <rFont val="Times New Roman"/>
        <family val="1"/>
      </rPr>
      <t>BACTERIAS, HONGOS Y VIRUS</t>
    </r>
    <r>
      <rPr>
        <sz val="11"/>
        <rFont val="Times New Roman"/>
        <family val="1"/>
      </rPr>
      <t>, PRESENTACION: ENVASE X 360 CM3</t>
    </r>
  </si>
  <si>
    <r>
      <t xml:space="preserve">INSECTICIDAS; PRINCIPIO ACTIVO: TETRAMETRINA, </t>
    </r>
    <r>
      <rPr>
        <b/>
        <sz val="11"/>
        <rFont val="Times New Roman"/>
        <family val="1"/>
      </rPr>
      <t>CONTROL: HORMIGAS</t>
    </r>
    <r>
      <rPr>
        <sz val="11"/>
        <rFont val="Times New Roman"/>
        <family val="1"/>
      </rPr>
      <t>, ACCION: VOLTEO Y RESIDUAL, PRESENTACION: ENVASE X 360 CM3</t>
    </r>
  </si>
  <si>
    <t>2.5.4-506.200</t>
  </si>
  <si>
    <r>
      <t xml:space="preserve">INSECTICIDAS; PRINCIPIO ACTIVO: D-FENOTRINA, D-TETRA, PRAL, CONTROL: </t>
    </r>
    <r>
      <rPr>
        <b/>
        <sz val="11"/>
        <rFont val="Times New Roman"/>
        <family val="1"/>
      </rPr>
      <t>MOSCAS Y MOSQUITOS</t>
    </r>
    <r>
      <rPr>
        <sz val="11"/>
        <rFont val="Times New Roman"/>
        <family val="1"/>
      </rPr>
      <t>, ACCION: INSECTICIDA, PRESENTACION: ENVASE X 360 CM3</t>
    </r>
  </si>
  <si>
    <t>2.9.1-646.6</t>
  </si>
  <si>
    <t>2.9.1-6951.137</t>
  </si>
  <si>
    <t>2.9.1-6951.116</t>
  </si>
  <si>
    <t>2.9.1-713.19</t>
  </si>
  <si>
    <t>2.9.1-714.2</t>
  </si>
  <si>
    <r>
      <rPr>
        <b/>
        <sz val="11"/>
        <rFont val="Times New Roman"/>
        <family val="1"/>
      </rPr>
      <t>PLUMEROS</t>
    </r>
    <r>
      <rPr>
        <sz val="11"/>
        <rFont val="Times New Roman"/>
        <family val="1"/>
      </rPr>
      <t>; PLUMA: SINTETICA, CLASE: SUAVE, MATERIAL MANGO: MADERA, LARGO MANGO: 60 Cm, Nº VUELTAS PENACHO: 6, TIPO: SUAVE</t>
    </r>
  </si>
  <si>
    <r>
      <rPr>
        <b/>
        <sz val="11"/>
        <rFont val="Times New Roman"/>
        <family val="1"/>
      </rPr>
      <t>ESPONJAS; MATERIAL: METAL</t>
    </r>
    <r>
      <rPr>
        <sz val="11"/>
        <rFont val="Times New Roman"/>
        <family val="1"/>
      </rPr>
      <t>, USO: PARA COCINA, ADITAMENTO: SIN VALOR, FORMA: REDONDA, LARGO X ANCHO X ESP: ROLLO X 30 GR, COLOR: DORADO</t>
    </r>
  </si>
  <si>
    <r>
      <rPr>
        <b/>
        <sz val="11"/>
        <rFont val="Times New Roman"/>
        <family val="1"/>
      </rPr>
      <t>ESPONJAS; MATERIAL: FIBRA</t>
    </r>
    <r>
      <rPr>
        <sz val="11"/>
        <rFont val="Times New Roman"/>
        <family val="1"/>
      </rPr>
      <t>, USO: DOMESTICO, ADITAMENTO: FIBRA, FORMA: RECTANGULAR, LARGO X ANCHO X ESP: 10 X 6 X 4 Cm</t>
    </r>
  </si>
  <si>
    <r>
      <rPr>
        <b/>
        <sz val="11"/>
        <rFont val="Times New Roman"/>
        <family val="1"/>
      </rPr>
      <t>BOLSAS DE RESIDUOS; DIMENSION: 45 X 60</t>
    </r>
    <r>
      <rPr>
        <sz val="11"/>
        <rFont val="Times New Roman"/>
        <family val="1"/>
      </rPr>
      <t xml:space="preserve"> Cm, PRESENTACION: BOLSA X 10, COLOR: SIN VALOR, ESPESOR: SIN VALOR</t>
    </r>
  </si>
  <si>
    <r>
      <rPr>
        <b/>
        <sz val="11"/>
        <rFont val="Times New Roman"/>
        <family val="1"/>
      </rPr>
      <t>TRAPOS REJILLA</t>
    </r>
    <r>
      <rPr>
        <sz val="11"/>
        <rFont val="Times New Roman"/>
        <family val="1"/>
      </rPr>
      <t>; DIMENSION: 38 X 42 Cm, MATERIAL: PURO ALGODON, COLOR: BLANCO</t>
    </r>
  </si>
  <si>
    <r>
      <rPr>
        <b/>
        <sz val="11"/>
        <rFont val="Times New Roman"/>
        <family val="1"/>
      </rPr>
      <t>SECADORES DE GOMA</t>
    </r>
    <r>
      <rPr>
        <sz val="11"/>
        <rFont val="Times New Roman"/>
        <family val="1"/>
      </rPr>
      <t>; COLOR: NEGRO, LARGO: 50 Cm</t>
    </r>
  </si>
  <si>
    <r>
      <rPr>
        <b/>
        <sz val="11"/>
        <rFont val="Times New Roman"/>
        <family val="1"/>
      </rPr>
      <t>LUSTRADORES</t>
    </r>
    <r>
      <rPr>
        <sz val="11"/>
        <rFont val="Times New Roman"/>
        <family val="1"/>
      </rPr>
      <t>; TIPO: LUSTRAMUEBLES, PRESENTACION: AEROSOL X 360 CM3</t>
    </r>
  </si>
  <si>
    <r>
      <t xml:space="preserve">LIMPIADORES; PRESENTACION: ENVASE X 5 L, TIPO: </t>
    </r>
    <r>
      <rPr>
        <b/>
        <sz val="11"/>
        <rFont val="Times New Roman"/>
        <family val="1"/>
      </rPr>
      <t>DETERGENTE</t>
    </r>
  </si>
  <si>
    <r>
      <t xml:space="preserve">LIMPIADORES; TIPO: </t>
    </r>
    <r>
      <rPr>
        <b/>
        <sz val="11"/>
        <rFont val="Times New Roman"/>
        <family val="1"/>
      </rPr>
      <t>LIMPIAVIDRIOS</t>
    </r>
    <r>
      <rPr>
        <sz val="11"/>
        <rFont val="Times New Roman"/>
        <family val="1"/>
      </rPr>
      <t>, PRESENTACION: ENVASE X 5 L</t>
    </r>
  </si>
  <si>
    <r>
      <t>LIMPIADORES; TIPO:</t>
    </r>
    <r>
      <rPr>
        <b/>
        <sz val="11"/>
        <rFont val="Times New Roman"/>
        <family val="1"/>
      </rPr>
      <t xml:space="preserve"> LAVANDINA</t>
    </r>
    <r>
      <rPr>
        <sz val="11"/>
        <rFont val="Times New Roman"/>
        <family val="1"/>
      </rPr>
      <t>, PRESENTACION: ENVASE X 5 L</t>
    </r>
  </si>
  <si>
    <r>
      <t xml:space="preserve">LIMPIADORES; TIPO: </t>
    </r>
    <r>
      <rPr>
        <b/>
        <sz val="11"/>
        <rFont val="Times New Roman"/>
        <family val="1"/>
      </rPr>
      <t>DESINFECTANTE P/PISO,</t>
    </r>
    <r>
      <rPr>
        <sz val="11"/>
        <rFont val="Times New Roman"/>
        <family val="1"/>
      </rPr>
      <t xml:space="preserve"> PRESENTACION: ENVASE X 5 L</t>
    </r>
  </si>
  <si>
    <r>
      <t>CEPILLOS; TIPO:</t>
    </r>
    <r>
      <rPr>
        <b/>
        <sz val="11"/>
        <rFont val="Times New Roman"/>
        <family val="1"/>
      </rPr>
      <t xml:space="preserve"> ESCOBA</t>
    </r>
    <r>
      <rPr>
        <sz val="11"/>
        <rFont val="Times New Roman"/>
        <family val="1"/>
      </rPr>
      <t>, MATERIAL: PLASTICO</t>
    </r>
  </si>
  <si>
    <r>
      <t xml:space="preserve">ELEM. P/LIMPIEZA SANITARIOS; TIPO: </t>
    </r>
    <r>
      <rPr>
        <b/>
        <sz val="11"/>
        <rFont val="Times New Roman"/>
        <family val="1"/>
      </rPr>
      <t xml:space="preserve">PASTILLA DESODORANTE, </t>
    </r>
    <r>
      <rPr>
        <sz val="11"/>
        <rFont val="Times New Roman"/>
        <family val="1"/>
      </rPr>
      <t>PRESENTACION: CAJA X 24 UN</t>
    </r>
  </si>
  <si>
    <r>
      <rPr>
        <b/>
        <sz val="11"/>
        <rFont val="Times New Roman"/>
        <family val="1"/>
      </rPr>
      <t>TRAPOS DE PISO</t>
    </r>
    <r>
      <rPr>
        <sz val="11"/>
        <rFont val="Times New Roman"/>
        <family val="1"/>
      </rPr>
      <t>; DIMENSION: 40 X 60 Cm, RECICLADO: SIN VALOR</t>
    </r>
  </si>
  <si>
    <r>
      <rPr>
        <b/>
        <sz val="11"/>
        <rFont val="Times New Roman"/>
        <family val="1"/>
      </rPr>
      <t>FRANELAS</t>
    </r>
    <r>
      <rPr>
        <sz val="11"/>
        <rFont val="Times New Roman"/>
        <family val="1"/>
      </rPr>
      <t>; DIMENSION: 50 X 50 Cm</t>
    </r>
  </si>
  <si>
    <r>
      <rPr>
        <b/>
        <sz val="11"/>
        <rFont val="Times New Roman"/>
        <family val="1"/>
      </rPr>
      <t>GUANTES</t>
    </r>
    <r>
      <rPr>
        <sz val="11"/>
        <rFont val="Times New Roman"/>
        <family val="1"/>
      </rPr>
      <t xml:space="preserve"> P/LIMPIEZA; MATERIAL: LATEX, TAMAÑO: MEDIANO</t>
    </r>
  </si>
  <si>
    <r>
      <rPr>
        <b/>
        <sz val="10"/>
        <rFont val="Times New Roman"/>
        <family val="1"/>
      </rPr>
      <t>BROCHES P/EXPEDIENTE</t>
    </r>
    <r>
      <rPr>
        <sz val="10"/>
        <rFont val="Times New Roman"/>
        <family val="1"/>
      </rPr>
      <t>; TIPO: MARIPOSA, LONG.DE CUERPO: 75 mm</t>
    </r>
  </si>
  <si>
    <t>2.9.2-853.17</t>
  </si>
  <si>
    <r>
      <rPr>
        <b/>
        <sz val="10"/>
        <rFont val="Times New Roman"/>
        <family val="1"/>
      </rPr>
      <t>BROCHES</t>
    </r>
    <r>
      <rPr>
        <sz val="10"/>
        <rFont val="Times New Roman"/>
        <family val="1"/>
      </rPr>
      <t xml:space="preserve"> P/EXPEDIENTE; TIPO:</t>
    </r>
    <r>
      <rPr>
        <b/>
        <sz val="10"/>
        <rFont val="Times New Roman"/>
        <family val="1"/>
      </rPr>
      <t xml:space="preserve"> MARIPOSA,</t>
    </r>
    <r>
      <rPr>
        <sz val="10"/>
        <rFont val="Times New Roman"/>
        <family val="1"/>
      </rPr>
      <t xml:space="preserve"> LONG.DE CUERPO: 65 mm</t>
    </r>
  </si>
  <si>
    <t>2.9.2-1062.5</t>
  </si>
  <si>
    <r>
      <rPr>
        <b/>
        <sz val="10"/>
        <rFont val="Times New Roman"/>
        <family val="1"/>
      </rPr>
      <t>PAPELES ANOTADOR AUTOADHESIVOS;</t>
    </r>
    <r>
      <rPr>
        <sz val="10"/>
        <rFont val="Times New Roman"/>
        <family val="1"/>
      </rPr>
      <t xml:space="preserve"> PRESENTACION: 400 HOJAS, LARGO X ANCHO: 9 X 9 Cm, DIMENSION: SIN VALOR, MATERIAL: SIN VALOR</t>
    </r>
  </si>
  <si>
    <t>2.9.2-323.4</t>
  </si>
  <si>
    <t>2.9.2-753.11</t>
  </si>
  <si>
    <r>
      <t xml:space="preserve">LIMPIADORES; TIPO: </t>
    </r>
    <r>
      <rPr>
        <b/>
        <sz val="11"/>
        <rFont val="Times New Roman"/>
        <family val="1"/>
      </rPr>
      <t>QUITASARRO</t>
    </r>
    <r>
      <rPr>
        <sz val="11"/>
        <rFont val="Times New Roman"/>
        <family val="1"/>
      </rPr>
      <t>, PRESENTACION: ENVASE X 5 L</t>
    </r>
  </si>
  <si>
    <t>2.5.4-505.13</t>
  </si>
  <si>
    <r>
      <rPr>
        <b/>
        <sz val="11"/>
        <rFont val="Times New Roman"/>
        <family val="1"/>
      </rPr>
      <t>DESINFECTANTES</t>
    </r>
    <r>
      <rPr>
        <sz val="11"/>
        <rFont val="Times New Roman"/>
        <family val="1"/>
      </rPr>
      <t xml:space="preserve">; CAPACIDAD: 5 L, USO P/CONTROL: BACTERIAS, PRINCIPIO ACTIVO: SAL </t>
    </r>
    <r>
      <rPr>
        <b/>
        <sz val="11"/>
        <rFont val="Times New Roman"/>
        <family val="1"/>
      </rPr>
      <t>AMONIO CUATERNARIO,</t>
    </r>
    <r>
      <rPr>
        <sz val="11"/>
        <rFont val="Times New Roman"/>
        <family val="1"/>
      </rPr>
      <t xml:space="preserve"> PRESENTACION: ENVASE X 5 L, CONTROL: BACTERIAS</t>
    </r>
  </si>
  <si>
    <r>
      <rPr>
        <b/>
        <sz val="11"/>
        <rFont val="Times New Roman"/>
        <family val="1"/>
      </rPr>
      <t>GUANTES</t>
    </r>
    <r>
      <rPr>
        <sz val="11"/>
        <rFont val="Times New Roman"/>
        <family val="1"/>
      </rPr>
      <t>; PROTECCION: SIN VALOR, MATERIAL: LATEX, TIPO:</t>
    </r>
    <r>
      <rPr>
        <b/>
        <sz val="11"/>
        <rFont val="Times New Roman"/>
        <family val="1"/>
      </rPr>
      <t xml:space="preserve"> EXAMINACION</t>
    </r>
    <r>
      <rPr>
        <sz val="11"/>
        <rFont val="Times New Roman"/>
        <family val="1"/>
      </rPr>
      <t>, INTERIOR: LATEX, LARGO: HASTA MUÑECA, CIERRE: ELASTICO, MATERIAL INTERNO: LATEX</t>
    </r>
  </si>
  <si>
    <r>
      <rPr>
        <b/>
        <sz val="11"/>
        <rFont val="Times New Roman"/>
        <family val="1"/>
      </rPr>
      <t>TOALLAS DE PAPEL</t>
    </r>
    <r>
      <rPr>
        <sz val="11"/>
        <rFont val="Times New Roman"/>
        <family val="1"/>
      </rPr>
      <t>; MATERIAL: FIBRA CELULOSICA, GRAMAJE: 55/60 GR/M2, DIMENSION: 24 X 20,5 Cm, COLOR: BLANCO, PRESENTACION: CAJA X 2500 UN</t>
    </r>
  </si>
  <si>
    <r>
      <t>INSECTICIDAS; PRINCIPIO ACTIVO: TETRAMETRINA,</t>
    </r>
    <r>
      <rPr>
        <b/>
        <sz val="11"/>
        <rFont val="Times New Roman"/>
        <family val="1"/>
      </rPr>
      <t xml:space="preserve"> CONTROL: CUCARACHA, </t>
    </r>
    <r>
      <rPr>
        <sz val="11"/>
        <rFont val="Times New Roman"/>
        <family val="1"/>
      </rPr>
      <t>ACCION: CONTROL, PRESENTACION: AEROSOL X 360 CM3</t>
    </r>
  </si>
  <si>
    <t>CAJA</t>
  </si>
  <si>
    <t>PAQUETE</t>
  </si>
  <si>
    <t>ROLLO</t>
  </si>
  <si>
    <r>
      <t xml:space="preserve">GUANTES; PROTECCION: SIN VALOR, MATERIAL: LATEX, TIPO: EXAMINACION, INTERIOR: LATEX, LARGO: HASTA MUÑECA, CIERRE: ELASTICO, MATERIAL INTERNO: LATEX </t>
    </r>
    <r>
      <rPr>
        <b/>
        <sz val="14"/>
        <rFont val="Times New Roman"/>
        <family val="1"/>
      </rPr>
      <t xml:space="preserve">: </t>
    </r>
    <r>
      <rPr>
        <b/>
        <sz val="12"/>
        <rFont val="Times New Roman"/>
        <family val="1"/>
      </rPr>
      <t>PRESENTACION POR 100 UNIDADES</t>
    </r>
  </si>
  <si>
    <r>
      <t xml:space="preserve">ARTICULOS DE HIGIENE PERSONAL; TIPO: JABON LIQUIDO - </t>
    </r>
    <r>
      <rPr>
        <b/>
        <sz val="12"/>
        <rFont val="Times New Roman"/>
        <family val="1"/>
      </rPr>
      <t xml:space="preserve"> PARA MANOS,</t>
    </r>
    <r>
      <rPr>
        <sz val="10"/>
        <rFont val="Times New Roman"/>
        <family val="1"/>
      </rPr>
      <t xml:space="preserve"> PRESENTACION: ENVASE X 5 L</t>
    </r>
  </si>
  <si>
    <r>
      <t xml:space="preserve">ALCOHOL USO MEDICINAL; PUREZA: 70 %, PRESENTACIÓN: </t>
    </r>
    <r>
      <rPr>
        <b/>
        <sz val="12"/>
        <rFont val="Times New Roman"/>
        <family val="1"/>
      </rPr>
      <t>BIDON POR 5 LITROS,</t>
    </r>
    <r>
      <rPr>
        <sz val="10"/>
        <rFont val="Times New Roman"/>
        <family val="1"/>
      </rPr>
      <t xml:space="preserve"> CANTIDAD: 5 LITROS</t>
    </r>
  </si>
  <si>
    <t>2.9.2-1062.14</t>
  </si>
  <si>
    <r>
      <rPr>
        <b/>
        <sz val="10"/>
        <rFont val="Times New Roman"/>
        <family val="1"/>
      </rPr>
      <t>PAPELES ANOTADOR AUTOADHESIVOS</t>
    </r>
    <r>
      <rPr>
        <sz val="10"/>
        <rFont val="Times New Roman"/>
        <family val="1"/>
      </rPr>
      <t>; PRESENTACION: 100 HOJAS, LARGO X ANCHO: 50 X 50 mm</t>
    </r>
  </si>
  <si>
    <r>
      <rPr>
        <b/>
        <sz val="10"/>
        <rFont val="Times New Roman"/>
        <family val="1"/>
      </rPr>
      <t>RESALTADORES; PUNTA: 5 PLANA</t>
    </r>
    <r>
      <rPr>
        <sz val="10"/>
        <rFont val="Times New Roman"/>
        <family val="1"/>
      </rPr>
      <t xml:space="preserve">, ACCESORIO: SIN, </t>
    </r>
    <r>
      <rPr>
        <b/>
        <sz val="10"/>
        <rFont val="Times New Roman"/>
        <family val="1"/>
      </rPr>
      <t>COLOR: AZUL</t>
    </r>
    <r>
      <rPr>
        <sz val="10"/>
        <rFont val="Times New Roman"/>
        <family val="1"/>
      </rPr>
      <t>, TIPO PUNTA: 5 PLANA</t>
    </r>
  </si>
  <si>
    <r>
      <rPr>
        <b/>
        <sz val="10"/>
        <rFont val="Times New Roman"/>
        <family val="1"/>
      </rPr>
      <t>RESALTADORES; PUNTA: FINA</t>
    </r>
    <r>
      <rPr>
        <sz val="10"/>
        <rFont val="Times New Roman"/>
        <family val="1"/>
      </rPr>
      <t xml:space="preserve">, ACCESORIO: SIN, </t>
    </r>
    <r>
      <rPr>
        <b/>
        <sz val="10"/>
        <rFont val="Times New Roman"/>
        <family val="1"/>
      </rPr>
      <t>COLOR: AMARILLO</t>
    </r>
    <r>
      <rPr>
        <sz val="10"/>
        <rFont val="Times New Roman"/>
        <family val="1"/>
      </rPr>
      <t>, TIPO PUNTA: FINA</t>
    </r>
  </si>
  <si>
    <r>
      <rPr>
        <b/>
        <sz val="10"/>
        <rFont val="Times New Roman"/>
        <family val="1"/>
      </rPr>
      <t>RESALTADORES; PUNTA: FINA</t>
    </r>
    <r>
      <rPr>
        <sz val="10"/>
        <rFont val="Times New Roman"/>
        <family val="1"/>
      </rPr>
      <t xml:space="preserve">, ACCESORIO: SIN, </t>
    </r>
    <r>
      <rPr>
        <b/>
        <sz val="10"/>
        <rFont val="Times New Roman"/>
        <family val="1"/>
      </rPr>
      <t>COLOR: VERDE</t>
    </r>
    <r>
      <rPr>
        <sz val="10"/>
        <rFont val="Times New Roman"/>
        <family val="1"/>
      </rPr>
      <t>, TIPO PUNTA: FINA</t>
    </r>
  </si>
  <si>
    <r>
      <rPr>
        <b/>
        <sz val="10"/>
        <rFont val="Times New Roman"/>
        <family val="1"/>
      </rPr>
      <t xml:space="preserve">CARPETAS; MATERIAL PVC </t>
    </r>
    <r>
      <rPr>
        <sz val="10"/>
        <rFont val="Times New Roman"/>
        <family val="1"/>
      </rPr>
      <t>- TAMAÑO OFICIO</t>
    </r>
  </si>
  <si>
    <r>
      <rPr>
        <b/>
        <sz val="10"/>
        <rFont val="Times New Roman"/>
        <family val="1"/>
      </rPr>
      <t>CARPETAS; MATERIAL PVC -</t>
    </r>
    <r>
      <rPr>
        <sz val="10"/>
        <rFont val="Times New Roman"/>
        <family val="1"/>
      </rPr>
      <t xml:space="preserve"> TAMAÑO A4</t>
    </r>
  </si>
  <si>
    <r>
      <rPr>
        <b/>
        <sz val="10"/>
        <rFont val="Times New Roman"/>
        <family val="1"/>
      </rPr>
      <t>MARCADORES</t>
    </r>
    <r>
      <rPr>
        <sz val="10"/>
        <rFont val="Times New Roman"/>
        <family val="1"/>
      </rPr>
      <t>; TIPO: AL SOLVENTE, TRAZO: GRUESO, PUNTA: CHANFLEADA,</t>
    </r>
    <r>
      <rPr>
        <b/>
        <sz val="10"/>
        <rFont val="Times New Roman"/>
        <family val="1"/>
      </rPr>
      <t xml:space="preserve"> COLOR: VERDE</t>
    </r>
    <r>
      <rPr>
        <sz val="10"/>
        <rFont val="Times New Roman"/>
        <family val="1"/>
      </rPr>
      <t>, RECARGABLE:NO</t>
    </r>
  </si>
  <si>
    <r>
      <rPr>
        <b/>
        <sz val="11"/>
        <rFont val="Times New Roman"/>
        <family val="1"/>
      </rPr>
      <t>MARCADORES</t>
    </r>
    <r>
      <rPr>
        <sz val="11"/>
        <rFont val="Times New Roman"/>
        <family val="1"/>
      </rPr>
      <t xml:space="preserve">; TIPO: AL SOLVENTE, TRAZO: FINO, PUNTA: REDONDA, </t>
    </r>
    <r>
      <rPr>
        <b/>
        <sz val="11"/>
        <rFont val="Times New Roman"/>
        <family val="1"/>
      </rPr>
      <t xml:space="preserve">COLOR: NEGRO, </t>
    </r>
    <r>
      <rPr>
        <sz val="11"/>
        <rFont val="Times New Roman"/>
        <family val="1"/>
      </rPr>
      <t>RECARGABLE: NO</t>
    </r>
  </si>
  <si>
    <r>
      <rPr>
        <b/>
        <sz val="10"/>
        <rFont val="Times New Roman"/>
        <family val="1"/>
      </rPr>
      <t>BIBLIORATOS;</t>
    </r>
    <r>
      <rPr>
        <sz val="10"/>
        <rFont val="Times New Roman"/>
        <family val="1"/>
      </rPr>
      <t xml:space="preserve"> </t>
    </r>
    <r>
      <rPr>
        <b/>
        <sz val="10"/>
        <rFont val="Times New Roman"/>
        <family val="1"/>
      </rPr>
      <t>COLOR: GRIS</t>
    </r>
    <r>
      <rPr>
        <sz val="10"/>
        <rFont val="Times New Roman"/>
        <family val="1"/>
      </rPr>
      <t xml:space="preserve">, ANCHO: 28 Cm, ANILLO: 2 Y PALANCA, TAMAÑO: </t>
    </r>
    <r>
      <rPr>
        <b/>
        <sz val="10"/>
        <rFont val="Times New Roman"/>
        <family val="1"/>
      </rPr>
      <t>OFICIO</t>
    </r>
    <r>
      <rPr>
        <sz val="10"/>
        <rFont val="Times New Roman"/>
        <family val="1"/>
      </rPr>
      <t>, TAPAS: CARTON, LOMO: CARTON, MATERIAL: CARTON</t>
    </r>
  </si>
  <si>
    <t>2.9.2-317.5</t>
  </si>
  <si>
    <r>
      <rPr>
        <b/>
        <sz val="10"/>
        <rFont val="Times New Roman"/>
        <family val="1"/>
      </rPr>
      <t>BOLIGRAFOS</t>
    </r>
    <r>
      <rPr>
        <sz val="10"/>
        <rFont val="Times New Roman"/>
        <family val="1"/>
      </rPr>
      <t xml:space="preserve">; TRAZO 1,0mm </t>
    </r>
  </si>
  <si>
    <r>
      <rPr>
        <b/>
        <sz val="10"/>
        <rFont val="Times New Roman"/>
        <family val="1"/>
      </rPr>
      <t>BOLIGRAFOS</t>
    </r>
    <r>
      <rPr>
        <sz val="10"/>
        <rFont val="Times New Roman"/>
        <family val="1"/>
      </rPr>
      <t>; TRAZO 1,0mm</t>
    </r>
  </si>
  <si>
    <r>
      <rPr>
        <b/>
        <sz val="10"/>
        <rFont val="Times New Roman"/>
        <family val="1"/>
      </rPr>
      <t>CORRECTORES DE ESCRITURA</t>
    </r>
    <r>
      <rPr>
        <sz val="10"/>
        <rFont val="Times New Roman"/>
        <family val="1"/>
      </rPr>
      <t>; CAPACIDAD: 7 mL, ENVASE: LAPIZ (PUNTA METAL), PRESENTACION: LAPIZ (PUNTA METAL) X 7 mL</t>
    </r>
  </si>
  <si>
    <t>2.9.2-660.19</t>
  </si>
  <si>
    <r>
      <rPr>
        <b/>
        <sz val="10"/>
        <rFont val="Times New Roman"/>
        <family val="1"/>
      </rPr>
      <t>CLIPS P/PAPEL; NUMERO: 2,</t>
    </r>
    <r>
      <rPr>
        <sz val="10"/>
        <rFont val="Times New Roman"/>
        <family val="1"/>
      </rPr>
      <t xml:space="preserve"> MATERIAL: ACERO INOXIDABLE TRIANGULARES, CANT. X</t>
    </r>
    <r>
      <rPr>
        <b/>
        <u/>
        <sz val="10"/>
        <rFont val="Times New Roman"/>
        <family val="1"/>
      </rPr>
      <t xml:space="preserve"> CAJA: 20 UNIDADES</t>
    </r>
    <r>
      <rPr>
        <sz val="10"/>
        <rFont val="Times New Roman"/>
        <family val="1"/>
      </rPr>
      <t>, PRESENTACION: CAJA X 20</t>
    </r>
  </si>
  <si>
    <r>
      <rPr>
        <b/>
        <sz val="10"/>
        <rFont val="Times New Roman"/>
        <family val="1"/>
      </rPr>
      <t>CLIPS P/PAPEL</t>
    </r>
    <r>
      <rPr>
        <sz val="10"/>
        <rFont val="Times New Roman"/>
        <family val="1"/>
      </rPr>
      <t xml:space="preserve">; </t>
    </r>
    <r>
      <rPr>
        <u/>
        <sz val="10"/>
        <rFont val="Times New Roman"/>
        <family val="1"/>
      </rPr>
      <t>CANT. X CAJA: 50</t>
    </r>
    <r>
      <rPr>
        <sz val="10"/>
        <rFont val="Times New Roman"/>
        <family val="1"/>
      </rPr>
      <t>, NUMERO:</t>
    </r>
    <r>
      <rPr>
        <b/>
        <sz val="10"/>
        <rFont val="Times New Roman"/>
        <family val="1"/>
      </rPr>
      <t xml:space="preserve"> 6, </t>
    </r>
    <r>
      <rPr>
        <sz val="10"/>
        <rFont val="Times New Roman"/>
        <family val="1"/>
      </rPr>
      <t>MATERIAL: METAL, PRESENTACION: CAJA X 50</t>
    </r>
  </si>
  <si>
    <t>2.9.2-660.43</t>
  </si>
  <si>
    <r>
      <rPr>
        <b/>
        <sz val="10"/>
        <rFont val="Times New Roman"/>
        <family val="1"/>
      </rPr>
      <t xml:space="preserve">CLIPS P/PAPEL; NUMERO: 12, </t>
    </r>
    <r>
      <rPr>
        <sz val="10"/>
        <rFont val="Times New Roman"/>
        <family val="1"/>
      </rPr>
      <t xml:space="preserve">MATERIAL: METAL, PRESENTACION: </t>
    </r>
    <r>
      <rPr>
        <u/>
        <sz val="10"/>
        <rFont val="Times New Roman"/>
        <family val="1"/>
      </rPr>
      <t>CAJA X 100 UN</t>
    </r>
  </si>
  <si>
    <r>
      <rPr>
        <b/>
        <sz val="10"/>
        <rFont val="Times New Roman"/>
        <family val="1"/>
      </rPr>
      <t>PORTA SELLOS;</t>
    </r>
    <r>
      <rPr>
        <sz val="10"/>
        <rFont val="Times New Roman"/>
        <family val="1"/>
      </rPr>
      <t xml:space="preserve"> CANT. DE SELLOS: 12, MATERIAL: METAL</t>
    </r>
  </si>
  <si>
    <r>
      <t>PAPELES ENCUADERNADOS; CANT. DE HOJAS: 100, TAMAÑO: A4, TIPO: CUADERNO ESPIRALADO TAPA DURA, CERTIFICADO FORESTAL (GFS): SIN, PORC. FIBRAS RECICLADAS: 0 %, CERT. FIBRA ALTERNATIVA (FCA): SIN.</t>
    </r>
    <r>
      <rPr>
        <sz val="14"/>
        <rFont val="Times New Roman"/>
        <family val="1"/>
      </rPr>
      <t xml:space="preserve"> </t>
    </r>
    <r>
      <rPr>
        <b/>
        <u/>
        <sz val="14"/>
        <rFont val="Times New Roman"/>
        <family val="1"/>
      </rPr>
      <t>RAYADO</t>
    </r>
    <r>
      <rPr>
        <sz val="14"/>
        <rFont val="Times New Roman"/>
        <family val="1"/>
      </rPr>
      <t>.</t>
    </r>
  </si>
  <si>
    <r>
      <t xml:space="preserve">BIBLIORATOS; ANCHO: 80 mm, ANILLO: 2 Y PALANCA, TAMAÑO: A4, MATERIAL: CARTON FORRADO EN PVC. </t>
    </r>
    <r>
      <rPr>
        <b/>
        <sz val="14"/>
        <rFont val="Times New Roman"/>
        <family val="1"/>
      </rPr>
      <t>COLOR: GRIS.</t>
    </r>
  </si>
  <si>
    <r>
      <rPr>
        <sz val="10"/>
        <rFont val="Times New Roman"/>
        <family val="1"/>
      </rPr>
      <t>BOLIGRAFOS; TRAZO: GRUESO, COLOR</t>
    </r>
    <r>
      <rPr>
        <sz val="20"/>
        <rFont val="Times New Roman"/>
        <family val="1"/>
      </rPr>
      <t xml:space="preserve"> </t>
    </r>
    <r>
      <rPr>
        <sz val="14"/>
        <rFont val="Times New Roman"/>
        <family val="1"/>
      </rPr>
      <t>TINT</t>
    </r>
    <r>
      <rPr>
        <u/>
        <sz val="14"/>
        <rFont val="Times New Roman"/>
        <family val="1"/>
      </rPr>
      <t xml:space="preserve">A: </t>
    </r>
    <r>
      <rPr>
        <b/>
        <u/>
        <sz val="14"/>
        <rFont val="Times New Roman"/>
        <family val="1"/>
      </rPr>
      <t>ROJA</t>
    </r>
  </si>
  <si>
    <r>
      <t xml:space="preserve">BOLIGRAFOS; TRAZO: GRUESO, COLOR </t>
    </r>
    <r>
      <rPr>
        <sz val="14"/>
        <rFont val="Times New Roman"/>
        <family val="1"/>
      </rPr>
      <t>TINT</t>
    </r>
    <r>
      <rPr>
        <u/>
        <sz val="14"/>
        <rFont val="Times New Roman"/>
        <family val="1"/>
      </rPr>
      <t xml:space="preserve">A: </t>
    </r>
    <r>
      <rPr>
        <b/>
        <u/>
        <sz val="14"/>
        <rFont val="Times New Roman"/>
        <family val="1"/>
      </rPr>
      <t>VERDE</t>
    </r>
  </si>
  <si>
    <r>
      <t>BROCHES P/EXPEDIENTE; TIPO: MARIPOSA, LONG.DE CUERPO: 65 mm.</t>
    </r>
    <r>
      <rPr>
        <b/>
        <sz val="20"/>
        <rFont val="Times New Roman"/>
        <family val="1"/>
      </rPr>
      <t xml:space="preserve"> </t>
    </r>
    <r>
      <rPr>
        <b/>
        <sz val="14"/>
        <rFont val="Times New Roman"/>
        <family val="1"/>
      </rPr>
      <t>PRESENTACION: CAJA X 100 UNIDADES</t>
    </r>
  </si>
  <si>
    <r>
      <t>BROCHES P/EXPEDIENTE; TIPO: MARIPOSA, LONG.DE CUERPO: 25 mm.</t>
    </r>
    <r>
      <rPr>
        <sz val="14"/>
        <rFont val="Times New Roman"/>
        <family val="1"/>
      </rPr>
      <t xml:space="preserve"> </t>
    </r>
    <r>
      <rPr>
        <b/>
        <sz val="14"/>
        <rFont val="Times New Roman"/>
        <family val="1"/>
      </rPr>
      <t>PRESENTACION: CAJA X 100</t>
    </r>
    <r>
      <rPr>
        <b/>
        <sz val="20"/>
        <rFont val="Times New Roman"/>
        <family val="1"/>
      </rPr>
      <t xml:space="preserve"> </t>
    </r>
  </si>
  <si>
    <r>
      <t xml:space="preserve">BROCHES P/EXPEDIENTE; TIPO: MARIPOSA, LONG.DE CUERPO: 75 mm </t>
    </r>
    <r>
      <rPr>
        <b/>
        <sz val="14"/>
        <rFont val="Times New Roman"/>
        <family val="1"/>
      </rPr>
      <t xml:space="preserve">PRESENTACION: CAJA X 100 </t>
    </r>
  </si>
  <si>
    <t>2.3.1-6587.291</t>
  </si>
  <si>
    <r>
      <t xml:space="preserve">PAPELES ENCUADERNADOS; CANT. DE HOJAS: 120 HOJAS, TAMAÑO: 16 X 21 Cm, TIPO: RAYADO ESPIRALADO, CERTIFICADO FORESTAL (GFS): SIN, PORC. FIBRAS RECICLADAS: SIN VALOR %, CERT. FIBRA ALTERNATIVA (FCA): SIN
</t>
    </r>
    <r>
      <rPr>
        <b/>
        <u/>
        <sz val="14"/>
        <rFont val="Times New Roman"/>
        <family val="1"/>
      </rPr>
      <t>ESPIRALADO CON TAPA DURA. FORMATO: RAYADO</t>
    </r>
  </si>
  <si>
    <t>2.9.2</t>
  </si>
  <si>
    <r>
      <rPr>
        <b/>
        <sz val="11"/>
        <color theme="1"/>
        <rFont val="Calibri"/>
        <family val="2"/>
        <scheme val="minor"/>
      </rPr>
      <t xml:space="preserve">PARQUE AUTOMOTOR - MINISTERIO DE TRABAJO Y RECURSOS HUMANOS </t>
    </r>
    <r>
      <rPr>
        <sz val="10"/>
        <rFont val="Arial"/>
        <family val="2"/>
      </rPr>
      <t xml:space="preserve">
</t>
    </r>
    <r>
      <rPr>
        <sz val="10"/>
        <rFont val="Arial"/>
        <family val="2"/>
      </rPr>
      <t xml:space="preserve">
</t>
    </r>
  </si>
  <si>
    <t>ITEMNº</t>
  </si>
  <si>
    <t>VEHÍCULO</t>
  </si>
  <si>
    <t xml:space="preserve">DOMINIO </t>
  </si>
  <si>
    <t>MARCA</t>
  </si>
  <si>
    <t>MOTOR</t>
  </si>
  <si>
    <t>CHASIS</t>
  </si>
  <si>
    <t xml:space="preserve">G N C </t>
  </si>
  <si>
    <t>MODELO</t>
  </si>
  <si>
    <t xml:space="preserve">CAMIONETA </t>
  </si>
  <si>
    <t>AD770MB</t>
  </si>
  <si>
    <t>TOYOTA HILUX 2.4D  - 4x4</t>
  </si>
  <si>
    <t>2GD-4476742</t>
  </si>
  <si>
    <t>8AJDB8CD1K1400864</t>
  </si>
  <si>
    <t>NO</t>
  </si>
  <si>
    <t>AE215IO</t>
  </si>
  <si>
    <t>TOYOTA HILUX 2.4D  - 4x2</t>
  </si>
  <si>
    <t>2GB-0700815</t>
  </si>
  <si>
    <t>BAJCB3DD0L3900131</t>
  </si>
  <si>
    <t>NIK-381</t>
  </si>
  <si>
    <t>TOYOTA HILUX 3.0 DTI  - 4x2</t>
  </si>
  <si>
    <t>1KD-A302624</t>
  </si>
  <si>
    <t>8AJEZ32G7E1014114</t>
  </si>
  <si>
    <t>MBW-894</t>
  </si>
  <si>
    <t>CHEVROLET S10 2.8 TDI 4x4</t>
  </si>
  <si>
    <t>VLA007432</t>
  </si>
  <si>
    <t>9G148DH0CC402973</t>
  </si>
  <si>
    <t>NIK-372</t>
  </si>
  <si>
    <t>1KD-A276503</t>
  </si>
  <si>
    <t>8AJEB32G9E1013932</t>
  </si>
  <si>
    <t>IIL-806</t>
  </si>
  <si>
    <t xml:space="preserve">CINTROEN BERLINGO 1.9 </t>
  </si>
  <si>
    <t>10DXBE0058968</t>
  </si>
  <si>
    <t>8BCMFWJZFAG502519</t>
  </si>
  <si>
    <t>FEG-624</t>
  </si>
  <si>
    <t>CHEVROLET S10 2.8 TDI 4x2</t>
  </si>
  <si>
    <t>M1T231241</t>
  </si>
  <si>
    <t>9BG138AC05C439524</t>
  </si>
  <si>
    <t>JIY-081</t>
  </si>
  <si>
    <t>M1A373734</t>
  </si>
  <si>
    <t>9BG138AJOBC417207</t>
  </si>
  <si>
    <t>LXO-037</t>
  </si>
  <si>
    <t>FORD RANGER 2.2L 4x4</t>
  </si>
  <si>
    <t>QW2PCJO53112</t>
  </si>
  <si>
    <t>8AFAR23J8CJ053112</t>
  </si>
  <si>
    <t>OBO-158</t>
  </si>
  <si>
    <t>PEUGEOT PARTNER 1.6 HDI</t>
  </si>
  <si>
    <t>10JBED0037046</t>
  </si>
  <si>
    <t>8ADEJ9HCF650B343</t>
  </si>
  <si>
    <t>OFJ-200</t>
  </si>
  <si>
    <t>10JBED0036144</t>
  </si>
  <si>
    <t>8AD6J9HJCF504939</t>
  </si>
  <si>
    <t>FEC-331</t>
  </si>
  <si>
    <t>CHEVROLET BLAZER 2,8 DLX T</t>
  </si>
  <si>
    <t>M1T229703</t>
  </si>
  <si>
    <t>1BG116AC05C38143</t>
  </si>
  <si>
    <t>AUTOMOVIL</t>
  </si>
  <si>
    <t>AB-498-RA</t>
  </si>
  <si>
    <t>TOYOTA ETIOS X 1.5 6M/T</t>
  </si>
  <si>
    <t>2NR4114042</t>
  </si>
  <si>
    <t>9BRB29BTXJ2165115</t>
  </si>
  <si>
    <t>MOTOCICLETA</t>
  </si>
  <si>
    <t>384-CUR</t>
  </si>
  <si>
    <t>HONDA - WAVE-C 105-BIZ</t>
  </si>
  <si>
    <t>HA7E65020770</t>
  </si>
  <si>
    <t>9C2HA07605R020770</t>
  </si>
  <si>
    <t>GTG-156</t>
  </si>
  <si>
    <t>CHEVROLET-S10 DIESEL</t>
  </si>
  <si>
    <t>M1A298318</t>
  </si>
  <si>
    <t>9BG138AJ08C404715</t>
  </si>
  <si>
    <t>HLD-924</t>
  </si>
  <si>
    <t>CITROEN BERLINGO DIESEL</t>
  </si>
  <si>
    <t>10DXBE0049668</t>
  </si>
  <si>
    <t>8BCMFWJZF9G504303</t>
  </si>
  <si>
    <t>HLD-925</t>
  </si>
  <si>
    <t>10DXBE0049694</t>
  </si>
  <si>
    <t>8BCMFWJZF9G504304</t>
  </si>
  <si>
    <t>12 -Ministerio de Trabajo, Planificacion y Recursos Humanos</t>
  </si>
  <si>
    <t>22 - Subsecretaria de Administracion Financiera del Ministerio de Trabajo, Planificacion y Recursos Humanos</t>
  </si>
  <si>
    <r>
      <rPr>
        <b/>
        <sz val="10"/>
        <rFont val="Times New Roman"/>
        <family val="1"/>
      </rPr>
      <t>PAPELES ENCUADERNADO</t>
    </r>
    <r>
      <rPr>
        <sz val="10"/>
        <rFont val="Times New Roman"/>
        <family val="1"/>
      </rPr>
      <t xml:space="preserve">S; CANT. DE </t>
    </r>
    <r>
      <rPr>
        <b/>
        <sz val="10"/>
        <rFont val="Times New Roman"/>
        <family val="1"/>
      </rPr>
      <t xml:space="preserve">HOJAS: 84 HOJAS, TAMAÑO: 21 X 29,7 Cm, TIPO: RAYADO ESPIRALADO, </t>
    </r>
    <r>
      <rPr>
        <sz val="10"/>
        <rFont val="Times New Roman"/>
        <family val="1"/>
      </rPr>
      <t>CERTIFICADO FORESTAL (GFS): CON, PORC. FIBRAS RECICLADAS: 0 %, CERT. FIBRA ALTERNATIVA (FCA): SIN</t>
    </r>
  </si>
  <si>
    <r>
      <rPr>
        <b/>
        <sz val="10"/>
        <rFont val="Times New Roman"/>
        <family val="1"/>
      </rPr>
      <t>PAPELES ENCUADERNADOS</t>
    </r>
    <r>
      <rPr>
        <sz val="10"/>
        <rFont val="Times New Roman"/>
        <family val="1"/>
      </rPr>
      <t xml:space="preserve">; CANT. DE HOJAS: </t>
    </r>
    <r>
      <rPr>
        <b/>
        <sz val="10"/>
        <rFont val="Times New Roman"/>
        <family val="1"/>
      </rPr>
      <t>120 HOJAS, TAMAÑO: 16 X 21</t>
    </r>
    <r>
      <rPr>
        <sz val="10"/>
        <rFont val="Times New Roman"/>
        <family val="1"/>
      </rPr>
      <t xml:space="preserve"> Cm, TIPO: RAYADO ESPIRALADO, CERTIFICADO FORESTAL (GFS): SIN, PORC. FIBRAS RECICLADAS: SIN VALOR %, CERT. FIBRA ALTERNATIVA (FCA): SIN</t>
    </r>
  </si>
  <si>
    <t>2.9.2-1611.1</t>
  </si>
  <si>
    <t>2.9.2-1611.21</t>
  </si>
  <si>
    <r>
      <rPr>
        <b/>
        <u/>
        <sz val="10"/>
        <rFont val="Times New Roman"/>
        <family val="1"/>
      </rPr>
      <t>FOLIOS TRANSPARENTES</t>
    </r>
    <r>
      <rPr>
        <sz val="10"/>
        <rFont val="Times New Roman"/>
        <family val="1"/>
      </rPr>
      <t>; MATERIAL: PLASTICO (POLIETILENO), TAMAÑO: OFICIO, PERFORACIONES: 5 UNIVERSALES</t>
    </r>
  </si>
  <si>
    <r>
      <rPr>
        <b/>
        <u/>
        <sz val="10"/>
        <rFont val="Times New Roman"/>
        <family val="1"/>
      </rPr>
      <t>FOLIOS TRANSPARENTES;</t>
    </r>
    <r>
      <rPr>
        <sz val="10"/>
        <rFont val="Times New Roman"/>
        <family val="1"/>
      </rPr>
      <t xml:space="preserve"> TAMAÑO: A4, PERFORACIONES: SIN, MATERIAL: POLIETILENO</t>
    </r>
  </si>
  <si>
    <r>
      <rPr>
        <b/>
        <u/>
        <sz val="10"/>
        <rFont val="Times New Roman"/>
        <family val="1"/>
      </rPr>
      <t>ABROCHADORAS DE PAPEL</t>
    </r>
    <r>
      <rPr>
        <sz val="10"/>
        <rFont val="Times New Roman"/>
        <family val="1"/>
      </rPr>
      <t>; TIPO: PINZA, P/BROCHES: 10/50, MATERIAL: METALICA, MEDIDA: 10/50</t>
    </r>
  </si>
  <si>
    <t>Especificidades Item N° 33:</t>
  </si>
  <si>
    <t>2.9.1-683.7</t>
  </si>
  <si>
    <t>12- Ministerio de Trabajo, Planificacion y Recursos Humanos</t>
  </si>
  <si>
    <t>TINTAS P/SELLOS; TIPO DE SELLO: DE GOMA, COLOR: NEGRO, PRESENTACION: ENVASE X 50 CM3, ENVASE: 50 CM3</t>
  </si>
  <si>
    <r>
      <t xml:space="preserve">CARPETAS; COLOR: NEGRO, TIPO: </t>
    </r>
    <r>
      <rPr>
        <b/>
        <u/>
        <sz val="14"/>
        <rFont val="Times New Roman"/>
        <family val="1"/>
      </rPr>
      <t>TAPA TRANSPARENTE,</t>
    </r>
    <r>
      <rPr>
        <sz val="14"/>
        <rFont val="Times New Roman"/>
        <family val="1"/>
      </rPr>
      <t xml:space="preserve"> </t>
    </r>
    <r>
      <rPr>
        <sz val="10"/>
        <rFont val="Times New Roman"/>
        <family val="1"/>
      </rPr>
      <t>PRESENTACION:</t>
    </r>
    <r>
      <rPr>
        <b/>
        <sz val="10"/>
        <rFont val="Times New Roman"/>
        <family val="1"/>
      </rPr>
      <t xml:space="preserve"> </t>
    </r>
    <r>
      <rPr>
        <b/>
        <sz val="14"/>
        <rFont val="Times New Roman"/>
        <family val="1"/>
      </rPr>
      <t xml:space="preserve">PAQUETE DE 10 UNIDADES </t>
    </r>
    <r>
      <rPr>
        <sz val="10"/>
        <rFont val="Times New Roman"/>
        <family val="1"/>
      </rPr>
      <t>CADA UNO, SUJECION BROCHE TIPO NEPACO, MATERIAL: PVC, TAMAÑO: OFICIO. CANTIDAD SOLICITADA: QUINCE (15) PAQUETES DE 10 UNIDADES, EN TOTAL 150 UNIDADES.</t>
    </r>
  </si>
  <si>
    <r>
      <t>CARPETAS; COLOR: NEGRO, TIPO:</t>
    </r>
    <r>
      <rPr>
        <sz val="20"/>
        <rFont val="Times New Roman"/>
        <family val="1"/>
      </rPr>
      <t xml:space="preserve"> </t>
    </r>
    <r>
      <rPr>
        <b/>
        <u/>
        <sz val="14"/>
        <rFont val="Times New Roman"/>
        <family val="1"/>
      </rPr>
      <t>TAPA TRANSPARENTE</t>
    </r>
    <r>
      <rPr>
        <sz val="20"/>
        <rFont val="Times New Roman"/>
        <family val="1"/>
      </rPr>
      <t xml:space="preserve">, </t>
    </r>
    <r>
      <rPr>
        <sz val="10"/>
        <rFont val="Times New Roman"/>
        <family val="1"/>
      </rPr>
      <t xml:space="preserve">PRESENTACION: </t>
    </r>
    <r>
      <rPr>
        <b/>
        <sz val="14"/>
        <rFont val="Times New Roman"/>
        <family val="1"/>
      </rPr>
      <t>PAQUETE DE 10  UNIDADES</t>
    </r>
    <r>
      <rPr>
        <sz val="14"/>
        <rFont val="Times New Roman"/>
        <family val="1"/>
      </rPr>
      <t xml:space="preserve"> </t>
    </r>
    <r>
      <rPr>
        <sz val="10"/>
        <rFont val="Times New Roman"/>
        <family val="1"/>
      </rPr>
      <t>CADA UNO, SUJECION: BROCHE TIPO NEPACO, MATERIAL: PVC, TAMAÑO: A4. CANTIDAD SOLICITADA: QUINCE (15) PAQUETES DE 10 UNIDADES, EN TOTAL 150 UNIDADES.</t>
    </r>
  </si>
  <si>
    <t>Especificidades Ítem N° 3:</t>
  </si>
  <si>
    <t>Especificidades Ítem N° 5:</t>
  </si>
  <si>
    <t>Especificidades Ítem N° 18:</t>
  </si>
  <si>
    <t>Especificidades Ítem N° 17:</t>
  </si>
  <si>
    <t>Especificidades Ítem N° 27:</t>
  </si>
  <si>
    <t>Especificidades Ítem N° 32:</t>
  </si>
  <si>
    <t>Especificidades Ítem N° 31:</t>
  </si>
  <si>
    <t>Especificidades Ítem N° 46:</t>
  </si>
  <si>
    <t>Especificidades Ítem N° 47:</t>
  </si>
  <si>
    <t>Especificidades Ítem N° 48:</t>
  </si>
  <si>
    <t>a) LUGAR DE ENTREGA: Oficinas Centrales del Ministerio de Trabajo, Planificacion y Recursos Humanos, sito en Av. Colon- Capital - De 08 a 12 horas. 
b) FORMA DE LA ENTREGA: Libre de flete, acarreo y embalaje, como así también, de todo riesgo de pérdida o destrucción total o parcial, por causas ajenas a la Institución.
c)  PLAZO DE ENTREGA: El Oferente deberá establecer plazo de entrega de los elementos cotizados, debiendo ser expresado en días hábiles; que no podrá ser superior a cinco (5) días hábiles, contados a partir de la recepción de la comunicación prevista en el Artículo en el Reglamento Parcial N° 2 de la ley 4938.</t>
  </si>
  <si>
    <t>2.9.5</t>
  </si>
  <si>
    <r>
      <rPr>
        <b/>
        <sz val="11"/>
        <rFont val="Times New Roman"/>
        <family val="1"/>
      </rPr>
      <t xml:space="preserve">INSECTICIDAS; </t>
    </r>
    <r>
      <rPr>
        <sz val="11"/>
        <rFont val="Times New Roman"/>
        <family val="1"/>
      </rPr>
      <t xml:space="preserve">PRINCIPIO ACTIVO: DIFETHIALONE 0.0025 %, </t>
    </r>
    <r>
      <rPr>
        <b/>
        <sz val="11"/>
        <rFont val="Times New Roman"/>
        <family val="1"/>
      </rPr>
      <t>CONTROL: ROEDORES</t>
    </r>
    <r>
      <rPr>
        <sz val="11"/>
        <rFont val="Times New Roman"/>
        <family val="1"/>
      </rPr>
      <t>, ACCION: ELIMINACION DE PLAGAS, PRESENTACION: CEBO X 1 Kg</t>
    </r>
  </si>
  <si>
    <r>
      <rPr>
        <b/>
        <sz val="11"/>
        <rFont val="Times New Roman"/>
        <family val="1"/>
      </rPr>
      <t>DESODORANTES DE AMBIENTE</t>
    </r>
    <r>
      <rPr>
        <sz val="11"/>
        <rFont val="Times New Roman"/>
        <family val="1"/>
      </rPr>
      <t>; FORMATO: AEROSOL, FRAGANCIA: ORIGINAL, PRESENTACION: ENVASE X 360 CM3, LIBRE DE CFC: SI</t>
    </r>
  </si>
  <si>
    <r>
      <t xml:space="preserve">ARTICULOS DE TOCADOR; TIPO: </t>
    </r>
    <r>
      <rPr>
        <b/>
        <sz val="11"/>
        <rFont val="Times New Roman"/>
        <family val="1"/>
      </rPr>
      <t>JABON LIQUIDO</t>
    </r>
    <r>
      <rPr>
        <sz val="11"/>
        <rFont val="Times New Roman"/>
        <family val="1"/>
      </rPr>
      <t>, PRESENTACION: ENVASE X 5 L</t>
    </r>
  </si>
  <si>
    <r>
      <rPr>
        <b/>
        <sz val="11"/>
        <rFont val="Times New Roman"/>
        <family val="1"/>
      </rPr>
      <t>SECADORES DE GOMA</t>
    </r>
    <r>
      <rPr>
        <sz val="11"/>
        <rFont val="Times New Roman"/>
        <family val="1"/>
      </rPr>
      <t>; COLOR: BLANCO, LARGO: 40 Cm</t>
    </r>
  </si>
  <si>
    <t>Especificidades Item N° 27:</t>
  </si>
  <si>
    <r>
      <rPr>
        <b/>
        <sz val="10"/>
        <rFont val="Times New Roman"/>
        <family val="1"/>
      </rPr>
      <t>ADHESIVOS P/PAPEL</t>
    </r>
    <r>
      <rPr>
        <sz val="10"/>
        <rFont val="Times New Roman"/>
        <family val="1"/>
      </rPr>
      <t xml:space="preserve">; PRESENTACION: 250 GR, TIPO: </t>
    </r>
    <r>
      <rPr>
        <b/>
        <sz val="10"/>
        <rFont val="Times New Roman"/>
        <family val="1"/>
      </rPr>
      <t>COLA VINILICA</t>
    </r>
  </si>
  <si>
    <r>
      <rPr>
        <b/>
        <sz val="11"/>
        <color theme="1"/>
        <rFont val="Times New Roman"/>
        <family val="1"/>
      </rPr>
      <t>LIMPIADORES MULTIUSO;</t>
    </r>
    <r>
      <rPr>
        <sz val="11"/>
        <color theme="1"/>
        <rFont val="Times New Roman"/>
        <family val="1"/>
      </rPr>
      <t xml:space="preserve"> TIPO: P/</t>
    </r>
    <r>
      <rPr>
        <b/>
        <sz val="11"/>
        <color theme="1"/>
        <rFont val="Times New Roman"/>
        <family val="1"/>
      </rPr>
      <t>LAMPAZO</t>
    </r>
    <r>
      <rPr>
        <sz val="11"/>
        <color theme="1"/>
        <rFont val="Times New Roman"/>
        <family val="1"/>
      </rPr>
      <t>, PRESENTACION: ENVASE X 5 L</t>
    </r>
  </si>
  <si>
    <t xml:space="preserve">Plazo de entrega tres 3 días hábiles. Periodo de utilización tres meses. ENTREGA en VALES,  LUGAR DE ENTREGA:  Direccion de Contrataciones -Oficina Central del Ministerio de Trabajo, Planificacion y Recursos Humanos, sito en Av. Colon Nº 960 - Capital - De 08 a 12 horas. 
El COMBUSTIBLE en la boca de expendio.
LAS ENTREGAS de combustibles (Nafta Súper y Gasoil grado 3), se efectuarán en función de las necesidades de la Repartición, en las bocas de expendio de la firma oferente contra la presentación de la respectiva autorización de la Subsecretaria de Administración Financiera del Ministerio de Trabajo, Planificación  y Recurso Humanos, otorgada bajo la forma de VALES provistos por la firma Adjudicataria; en la siguiente forma:
a) Para la Nafta súper, Gasoil grado 3, proporcionalmente en vales de VEINTE (20), QUINCE (15) y DIEZ (10) litros;
b) Cuando la cantidad adjudicada no permita la confección de alguno de los vales precitados, para completar, se emitirá uno por una cantidad menor, en el tipo de combustible (que fuere necesario). 
La entrega de VALES se efectuará en la Dirección de Contrataciones  dependiente de la Subsecretaria de Administración Financiera del Ministerio de Trabajo, planificación y Recurso Humanos, de Provincia de Catamarca, sito en Av. Colon Nº 960 - San Fernando del Valle de Catamarca. De 08 a 12 horas.
</t>
  </si>
  <si>
    <t xml:space="preserve"> </t>
  </si>
  <si>
    <r>
      <rPr>
        <b/>
        <sz val="10"/>
        <rFont val="Times New Roman"/>
        <family val="1"/>
      </rPr>
      <t xml:space="preserve">RESALTADORES; PUNTA: </t>
    </r>
    <r>
      <rPr>
        <sz val="10"/>
        <rFont val="Times New Roman"/>
        <family val="1"/>
      </rPr>
      <t xml:space="preserve">PLANA 3 mm, ACCESORIO: SIN, </t>
    </r>
    <r>
      <rPr>
        <b/>
        <sz val="10"/>
        <rFont val="Times New Roman"/>
        <family val="1"/>
      </rPr>
      <t>COLOR: VERDE</t>
    </r>
    <r>
      <rPr>
        <sz val="10"/>
        <rFont val="Times New Roman"/>
        <family val="1"/>
      </rPr>
      <t>, TIPO PUNTA: 3 PLANA mm</t>
    </r>
  </si>
  <si>
    <t>$ 691.11</t>
  </si>
  <si>
    <t>$ 34555.5</t>
  </si>
  <si>
    <t>2.9.1</t>
  </si>
  <si>
    <t>OK</t>
  </si>
  <si>
    <t>OK SMP</t>
  </si>
  <si>
    <t>NOTA DE PEDIDO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</si>
</sst>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quot; €&quot;_-;\-* #,##0.00&quot; €&quot;_-;_-* \-??&quot; €&quot;_-;_-@_-"/>
    <numFmt numFmtId="165" formatCode="[$$-2C0A]\ #,##0.00;[$$-2C0A]&quot; -&quot;#,##0.00"/>
    <numFmt numFmtId="166" formatCode="_ [$$-2C0A]\ * #,##0.00_ ;_ [$$-2C0A]\ * \-#,##0.00_ ;_ [$$-2C0A]\ * &quot;-&quot;??_ ;_ @_ "/>
    <numFmt numFmtId="167" formatCode="[$$-2C0A]\ #,##0.00"/>
    <numFmt numFmtId="168" formatCode="_-[$$-2C0A]\ * #,##0.00_-;\-[$$-2C0A]\ * #,##0.00_-;_-[$$-2C0A]\ * &quot;-&quot;??_-;_-@_-"/>
  </numFmts>
  <fonts count="32" x14ac:knownFonts="1">
    <font>
      <sz val="10"/>
      <name val="Arial"/>
      <charset val="1"/>
    </font>
    <font>
      <sz val="11"/>
      <color theme="1"/>
      <name val="Calibri"/>
      <family val="2"/>
      <scheme val="minor"/>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Times New Roman"/>
      <family val="1"/>
    </font>
    <font>
      <b/>
      <u/>
      <sz val="10"/>
      <name val="Times New Roman"/>
      <family val="1"/>
    </font>
    <font>
      <b/>
      <u/>
      <sz val="11"/>
      <name val="Times New Roman"/>
      <family val="1"/>
    </font>
    <font>
      <sz val="11"/>
      <name val="Calibri"/>
      <family val="2"/>
      <scheme val="minor"/>
    </font>
    <font>
      <sz val="11"/>
      <name val="Times New Roman"/>
      <family val="1"/>
    </font>
    <font>
      <sz val="11"/>
      <color rgb="FF000000"/>
      <name val="Times New Roman"/>
      <family val="1"/>
    </font>
    <font>
      <b/>
      <sz val="12"/>
      <name val="Times New Roman"/>
      <family val="1"/>
    </font>
    <font>
      <b/>
      <sz val="11"/>
      <name val="Times New Roman"/>
      <family val="1"/>
    </font>
    <font>
      <b/>
      <sz val="14"/>
      <name val="Times New Roman"/>
      <family val="1"/>
    </font>
    <font>
      <sz val="20"/>
      <name val="Times New Roman"/>
      <family val="1"/>
    </font>
    <font>
      <b/>
      <sz val="20"/>
      <name val="Times New Roman"/>
      <family val="1"/>
    </font>
    <font>
      <b/>
      <u/>
      <sz val="14"/>
      <name val="Times New Roman"/>
      <family val="1"/>
    </font>
    <font>
      <sz val="14"/>
      <name val="Times New Roman"/>
      <family val="1"/>
    </font>
    <font>
      <u/>
      <sz val="14"/>
      <name val="Times New Roman"/>
      <family val="1"/>
    </font>
    <font>
      <b/>
      <sz val="11"/>
      <color theme="1"/>
      <name val="Calibri"/>
      <family val="2"/>
      <scheme val="minor"/>
    </font>
    <font>
      <sz val="11"/>
      <color theme="1"/>
      <name val="Times New Roman"/>
      <family val="1"/>
    </font>
    <font>
      <b/>
      <sz val="11"/>
      <color theme="1"/>
      <name val="Times New Roman"/>
      <family val="1"/>
    </font>
  </fonts>
  <fills count="5">
    <fill>
      <patternFill patternType="none"/>
    </fill>
    <fill>
      <patternFill patternType="gray125"/>
    </fill>
    <fill>
      <patternFill patternType="solid">
        <fgColor rgb="FFFFFF99"/>
        <bgColor rgb="FFFFFFCC"/>
      </patternFill>
    </fill>
    <fill>
      <patternFill patternType="solid">
        <fgColor theme="6" tint="0.79998168889431442"/>
        <bgColor indexed="64"/>
      </patternFill>
    </fill>
    <fill>
      <patternFill patternType="solid">
        <fgColor theme="0"/>
        <bgColor indexed="64"/>
      </patternFill>
    </fill>
  </fills>
  <borders count="32">
    <border>
      <left/>
      <right/>
      <top/>
      <bottom/>
      <diagonal/>
    </border>
    <border>
      <left/>
      <right/>
      <top/>
      <bottom style="thick">
        <color rgb="FF33CCCC"/>
      </bottom>
      <diagonal/>
    </border>
    <border>
      <left style="thick">
        <color auto="1"/>
      </left>
      <right style="thick">
        <color auto="1"/>
      </right>
      <top style="thick">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ck">
        <color auto="1"/>
      </right>
      <top style="thick">
        <color auto="1"/>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diagonal/>
    </border>
    <border>
      <left style="medium">
        <color indexed="64"/>
      </left>
      <right style="thick">
        <color auto="1"/>
      </right>
      <top style="medium">
        <color indexed="64"/>
      </top>
      <bottom/>
      <diagonal/>
    </border>
    <border>
      <left style="thick">
        <color auto="1"/>
      </left>
      <right style="medium">
        <color indexed="64"/>
      </right>
      <top style="medium">
        <color indexed="64"/>
      </top>
      <bottom/>
      <diagonal/>
    </border>
    <border>
      <left/>
      <right style="thick">
        <color auto="1"/>
      </right>
      <top style="medium">
        <color indexed="64"/>
      </top>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7">
    <xf numFmtId="0" fontId="0" fillId="0" borderId="0"/>
    <xf numFmtId="164" fontId="5" fillId="0" borderId="0" applyBorder="0" applyProtection="0"/>
    <xf numFmtId="0" fontId="3" fillId="0" borderId="1" applyProtection="0"/>
    <xf numFmtId="0" fontId="4" fillId="2" borderId="0" applyBorder="0" applyProtection="0"/>
    <xf numFmtId="0" fontId="2" fillId="0" borderId="0"/>
    <xf numFmtId="0" fontId="1" fillId="0" borderId="0"/>
    <xf numFmtId="0" fontId="5" fillId="0" borderId="0"/>
  </cellStyleXfs>
  <cellXfs count="170">
    <xf numFmtId="0" fontId="0" fillId="0" borderId="0" xfId="0"/>
    <xf numFmtId="0" fontId="6" fillId="0" borderId="0" xfId="0" applyFont="1"/>
    <xf numFmtId="0" fontId="9" fillId="0" borderId="0" xfId="0" applyFont="1" applyAlignment="1">
      <alignment horizontal="left" wrapText="1"/>
    </xf>
    <xf numFmtId="0" fontId="9" fillId="0" borderId="0" xfId="0" applyFont="1" applyAlignment="1">
      <alignment horizontal="center" wrapText="1"/>
    </xf>
    <xf numFmtId="0" fontId="10" fillId="0" borderId="2" xfId="0" applyFont="1" applyBorder="1" applyAlignment="1">
      <alignment horizontal="center" vertical="center" wrapText="1"/>
    </xf>
    <xf numFmtId="0" fontId="11" fillId="0" borderId="3" xfId="0" applyFont="1" applyBorder="1" applyAlignment="1">
      <alignment horizontal="center" vertical="center"/>
    </xf>
    <xf numFmtId="0" fontId="12" fillId="0" borderId="4" xfId="0" applyFont="1" applyBorder="1" applyAlignment="1">
      <alignment horizontal="center" vertical="center" wrapText="1"/>
    </xf>
    <xf numFmtId="0" fontId="13" fillId="0" borderId="11" xfId="0" applyFont="1" applyBorder="1"/>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13" fillId="0" borderId="14" xfId="0" applyFont="1" applyBorder="1" applyAlignment="1">
      <alignment horizontal="left" indent="3"/>
    </xf>
    <xf numFmtId="0" fontId="6" fillId="0" borderId="14" xfId="0" applyFont="1" applyBorder="1" applyAlignment="1">
      <alignment horizontal="left" indent="3"/>
    </xf>
    <xf numFmtId="0" fontId="6" fillId="0" borderId="0" xfId="0" applyFont="1" applyAlignment="1">
      <alignment horizontal="center" wrapText="1"/>
    </xf>
    <xf numFmtId="0" fontId="6" fillId="0" borderId="15" xfId="0" applyFont="1" applyBorder="1" applyAlignment="1">
      <alignment horizontal="center" wrapText="1"/>
    </xf>
    <xf numFmtId="0" fontId="6" fillId="0" borderId="16" xfId="0" applyFont="1" applyBorder="1" applyAlignment="1">
      <alignment horizontal="left" indent="3"/>
    </xf>
    <xf numFmtId="0" fontId="6" fillId="0" borderId="17" xfId="0" applyFont="1" applyBorder="1"/>
    <xf numFmtId="0" fontId="6" fillId="0" borderId="18" xfId="0" applyFont="1" applyBorder="1"/>
    <xf numFmtId="0" fontId="14" fillId="0" borderId="0" xfId="0" applyFont="1" applyAlignment="1">
      <alignment horizontal="left" wrapText="1" indent="1"/>
    </xf>
    <xf numFmtId="0" fontId="10" fillId="0" borderId="0" xfId="0" applyFont="1" applyAlignment="1">
      <alignment horizontal="left"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13" fillId="0" borderId="11" xfId="0" applyFont="1" applyBorder="1" applyAlignment="1">
      <alignment horizontal="left" indent="3"/>
    </xf>
    <xf numFmtId="166" fontId="11" fillId="0" borderId="5" xfId="1" applyNumberFormat="1" applyFont="1" applyBorder="1" applyAlignment="1" applyProtection="1">
      <alignment horizontal="right" vertical="center" wrapText="1"/>
    </xf>
    <xf numFmtId="166" fontId="11" fillId="0" borderId="4" xfId="1" applyNumberFormat="1" applyFont="1" applyBorder="1" applyAlignment="1" applyProtection="1">
      <alignment horizontal="right" vertical="center" wrapText="1"/>
    </xf>
    <xf numFmtId="0" fontId="10" fillId="0" borderId="24" xfId="0" applyFont="1" applyBorder="1" applyAlignment="1">
      <alignment horizontal="center" vertical="center" wrapText="1"/>
    </xf>
    <xf numFmtId="0" fontId="13" fillId="0" borderId="14" xfId="0" applyFont="1" applyBorder="1"/>
    <xf numFmtId="0" fontId="6" fillId="0" borderId="16" xfId="0" applyFont="1" applyBorder="1"/>
    <xf numFmtId="166" fontId="6" fillId="0" borderId="0" xfId="0" applyNumberFormat="1" applyFont="1"/>
    <xf numFmtId="0" fontId="6" fillId="0" borderId="0" xfId="0" applyFont="1" applyAlignment="1">
      <alignment horizontal="center" vertical="center"/>
    </xf>
    <xf numFmtId="0" fontId="6" fillId="0" borderId="14" xfId="0" applyFont="1" applyBorder="1" applyAlignment="1">
      <alignment horizontal="center" vertical="center"/>
    </xf>
    <xf numFmtId="0" fontId="6" fillId="0" borderId="12" xfId="0" applyFont="1" applyBorder="1" applyAlignment="1">
      <alignment horizontal="center" wrapText="1"/>
    </xf>
    <xf numFmtId="0" fontId="6" fillId="0" borderId="13" xfId="0" applyFont="1" applyBorder="1" applyAlignment="1">
      <alignment horizontal="center" wrapText="1"/>
    </xf>
    <xf numFmtId="0" fontId="6" fillId="0" borderId="0" xfId="0" applyFont="1" applyAlignment="1">
      <alignment vertical="center"/>
    </xf>
    <xf numFmtId="0" fontId="17" fillId="0" borderId="11" xfId="0" applyFont="1" applyBorder="1" applyAlignment="1">
      <alignment horizontal="left" vertical="center"/>
    </xf>
    <xf numFmtId="0" fontId="16" fillId="0" borderId="14" xfId="0" applyFont="1" applyBorder="1" applyAlignment="1">
      <alignment horizontal="left" vertical="center"/>
    </xf>
    <xf numFmtId="0" fontId="16" fillId="0" borderId="11" xfId="0" applyFont="1" applyBorder="1" applyAlignment="1">
      <alignment horizontal="left" vertical="center"/>
    </xf>
    <xf numFmtId="0" fontId="16" fillId="0" borderId="14" xfId="0" applyFont="1" applyBorder="1"/>
    <xf numFmtId="0" fontId="6" fillId="0" borderId="4" xfId="0" applyFont="1" applyBorder="1"/>
    <xf numFmtId="0" fontId="6" fillId="0" borderId="4" xfId="0" applyFont="1" applyBorder="1" applyAlignment="1">
      <alignment wrapText="1"/>
    </xf>
    <xf numFmtId="0" fontId="6" fillId="0" borderId="10" xfId="0" applyFont="1" applyBorder="1"/>
    <xf numFmtId="0" fontId="6" fillId="0" borderId="7" xfId="0" applyFont="1" applyBorder="1" applyAlignment="1">
      <alignment vertical="center"/>
    </xf>
    <xf numFmtId="0" fontId="6" fillId="0" borderId="7" xfId="0" applyFont="1" applyBorder="1" applyAlignment="1">
      <alignment vertical="center" wrapText="1"/>
    </xf>
    <xf numFmtId="0" fontId="9" fillId="0" borderId="7" xfId="0" applyFont="1" applyBorder="1" applyAlignment="1">
      <alignment horizontal="center" vertical="center" wrapText="1"/>
    </xf>
    <xf numFmtId="0" fontId="6" fillId="0" borderId="0" xfId="0" applyFont="1" applyAlignment="1">
      <alignment horizontal="center"/>
    </xf>
    <xf numFmtId="0" fontId="18" fillId="0" borderId="7" xfId="0" applyFont="1" applyBorder="1" applyAlignment="1">
      <alignment horizontal="center" vertical="center"/>
    </xf>
    <xf numFmtId="0" fontId="18" fillId="0" borderId="7"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6" fillId="0" borderId="6" xfId="0" applyFont="1" applyBorder="1" applyAlignment="1">
      <alignment horizontal="center" vertical="center"/>
    </xf>
    <xf numFmtId="0" fontId="14" fillId="0" borderId="0" xfId="0" applyFont="1" applyAlignment="1">
      <alignment horizontal="center" wrapText="1"/>
    </xf>
    <xf numFmtId="0" fontId="6" fillId="0" borderId="7" xfId="0" applyFont="1" applyBorder="1" applyAlignment="1">
      <alignment horizontal="center" vertical="center" wrapText="1"/>
    </xf>
    <xf numFmtId="0" fontId="6" fillId="0" borderId="0" xfId="0" applyFont="1" applyAlignment="1">
      <alignment horizontal="justify" wrapText="1"/>
    </xf>
    <xf numFmtId="0" fontId="6" fillId="0" borderId="15" xfId="0" applyFont="1" applyBorder="1" applyAlignment="1">
      <alignment horizontal="justify" wrapText="1"/>
    </xf>
    <xf numFmtId="0" fontId="6" fillId="0" borderId="0" xfId="0" applyFont="1" applyAlignment="1">
      <alignment vertical="center" wrapText="1"/>
    </xf>
    <xf numFmtId="0" fontId="6" fillId="0" borderId="17" xfId="0" applyFont="1" applyBorder="1" applyAlignment="1">
      <alignment horizontal="center" wrapText="1"/>
    </xf>
    <xf numFmtId="0" fontId="6" fillId="0" borderId="12" xfId="0" applyFont="1" applyBorder="1" applyAlignment="1">
      <alignment horizontal="center" vertical="center" wrapText="1"/>
    </xf>
    <xf numFmtId="0" fontId="19" fillId="0" borderId="7" xfId="0" applyFont="1" applyBorder="1" applyAlignment="1">
      <alignment horizontal="left" vertical="center" wrapText="1"/>
    </xf>
    <xf numFmtId="0" fontId="6" fillId="0" borderId="9" xfId="0" applyFont="1" applyBorder="1"/>
    <xf numFmtId="0" fontId="6" fillId="0" borderId="10" xfId="0" applyFont="1" applyBorder="1" applyAlignment="1">
      <alignment horizontal="center" wrapText="1"/>
    </xf>
    <xf numFmtId="0" fontId="6" fillId="0" borderId="10" xfId="0" applyFont="1" applyBorder="1" applyAlignment="1">
      <alignment horizontal="center"/>
    </xf>
    <xf numFmtId="166" fontId="6" fillId="0" borderId="8" xfId="1" applyNumberFormat="1" applyFont="1" applyBorder="1" applyAlignment="1" applyProtection="1">
      <alignment horizontal="right" vertical="center" wrapText="1"/>
    </xf>
    <xf numFmtId="0" fontId="6" fillId="0" borderId="13" xfId="0" applyFont="1" applyBorder="1" applyAlignment="1">
      <alignment wrapText="1"/>
    </xf>
    <xf numFmtId="0" fontId="6" fillId="0" borderId="15" xfId="0" applyFont="1" applyBorder="1" applyAlignment="1">
      <alignment wrapText="1"/>
    </xf>
    <xf numFmtId="0" fontId="6" fillId="0" borderId="18" xfId="0" applyFont="1" applyBorder="1" applyAlignment="1">
      <alignment wrapText="1"/>
    </xf>
    <xf numFmtId="0" fontId="6" fillId="0" borderId="0" xfId="0" applyFont="1" applyAlignment="1">
      <alignment wrapText="1"/>
    </xf>
    <xf numFmtId="0" fontId="9" fillId="0" borderId="0" xfId="0" applyFont="1" applyAlignment="1">
      <alignment horizontal="center" vertical="center" wrapText="1"/>
    </xf>
    <xf numFmtId="0" fontId="11" fillId="0" borderId="9" xfId="0" applyFont="1" applyBorder="1" applyAlignment="1">
      <alignment horizontal="center" vertical="center"/>
    </xf>
    <xf numFmtId="0" fontId="12" fillId="0" borderId="10" xfId="0" applyFont="1" applyBorder="1" applyAlignment="1">
      <alignment horizontal="center" vertical="center" wrapText="1"/>
    </xf>
    <xf numFmtId="0" fontId="6" fillId="0" borderId="10" xfId="0" applyFont="1" applyBorder="1" applyAlignment="1">
      <alignment wrapText="1"/>
    </xf>
    <xf numFmtId="0" fontId="9" fillId="0" borderId="10" xfId="0" applyFont="1" applyBorder="1" applyAlignment="1">
      <alignment horizontal="center" wrapText="1"/>
    </xf>
    <xf numFmtId="166" fontId="9" fillId="0" borderId="10" xfId="0" applyNumberFormat="1" applyFont="1" applyBorder="1" applyAlignment="1">
      <alignment horizontal="center" wrapText="1"/>
    </xf>
    <xf numFmtId="166" fontId="9" fillId="0" borderId="28" xfId="0" applyNumberFormat="1" applyFont="1" applyBorder="1" applyAlignment="1">
      <alignment horizontal="right" wrapText="1"/>
    </xf>
    <xf numFmtId="1" fontId="19" fillId="0" borderId="4" xfId="0" applyNumberFormat="1" applyFont="1" applyBorder="1" applyAlignment="1">
      <alignment horizontal="center" vertical="center" wrapText="1"/>
    </xf>
    <xf numFmtId="1" fontId="20" fillId="0" borderId="10" xfId="0" applyNumberFormat="1" applyFont="1" applyBorder="1" applyAlignment="1">
      <alignment horizontal="center" wrapText="1"/>
    </xf>
    <xf numFmtId="166" fontId="6" fillId="0" borderId="23" xfId="0" applyNumberFormat="1" applyFont="1" applyBorder="1"/>
    <xf numFmtId="0" fontId="10" fillId="0" borderId="2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9" fillId="0" borderId="7" xfId="0" applyFont="1" applyBorder="1" applyAlignment="1">
      <alignment horizontal="center" vertical="center" wrapText="1"/>
    </xf>
    <xf numFmtId="165" fontId="19" fillId="0" borderId="7" xfId="1" applyNumberFormat="1" applyFont="1" applyBorder="1" applyAlignment="1" applyProtection="1">
      <alignment horizontal="right" vertical="center" wrapText="1"/>
    </xf>
    <xf numFmtId="0" fontId="19" fillId="0" borderId="7" xfId="0" applyFont="1" applyBorder="1" applyAlignment="1">
      <alignment vertical="center"/>
    </xf>
    <xf numFmtId="0" fontId="19" fillId="0" borderId="4" xfId="0" applyFont="1" applyBorder="1" applyAlignment="1">
      <alignment horizontal="center" vertical="center" wrapText="1"/>
    </xf>
    <xf numFmtId="165" fontId="19" fillId="0" borderId="4" xfId="1" applyNumberFormat="1" applyFont="1" applyBorder="1" applyAlignment="1" applyProtection="1">
      <alignment horizontal="right" vertical="center" wrapText="1"/>
    </xf>
    <xf numFmtId="165" fontId="19" fillId="0" borderId="5" xfId="1" applyNumberFormat="1" applyFont="1" applyBorder="1" applyAlignment="1" applyProtection="1">
      <alignment horizontal="right" vertical="center" wrapText="1"/>
    </xf>
    <xf numFmtId="165" fontId="19" fillId="0" borderId="8" xfId="1" applyNumberFormat="1" applyFont="1" applyBorder="1" applyAlignment="1" applyProtection="1">
      <alignment horizontal="right" vertical="center" wrapText="1"/>
    </xf>
    <xf numFmtId="0" fontId="19" fillId="0" borderId="10" xfId="0" applyFont="1" applyBorder="1" applyAlignment="1">
      <alignment horizontal="center" vertical="center" wrapText="1"/>
    </xf>
    <xf numFmtId="165" fontId="19" fillId="0" borderId="10" xfId="1" applyNumberFormat="1" applyFont="1" applyBorder="1" applyAlignment="1" applyProtection="1">
      <alignment horizontal="right" vertical="center" wrapText="1"/>
    </xf>
    <xf numFmtId="165" fontId="19" fillId="0" borderId="28" xfId="1" applyNumberFormat="1" applyFont="1" applyBorder="1" applyAlignment="1" applyProtection="1">
      <alignment horizontal="right" vertical="center" wrapText="1"/>
    </xf>
    <xf numFmtId="0" fontId="19" fillId="0" borderId="7" xfId="0" applyFont="1" applyBorder="1" applyAlignment="1">
      <alignment vertical="center" wrapText="1"/>
    </xf>
    <xf numFmtId="165" fontId="15" fillId="0" borderId="29" xfId="0" applyNumberFormat="1" applyFont="1" applyBorder="1"/>
    <xf numFmtId="166" fontId="10" fillId="0" borderId="5" xfId="0" applyNumberFormat="1" applyFont="1" applyBorder="1" applyAlignment="1">
      <alignment horizontal="center" vertical="center" wrapText="1"/>
    </xf>
    <xf numFmtId="166" fontId="5" fillId="0" borderId="0" xfId="1" applyNumberFormat="1" applyAlignment="1">
      <alignment horizontal="center" vertical="center"/>
    </xf>
    <xf numFmtId="166" fontId="5" fillId="0" borderId="10" xfId="1" applyNumberFormat="1" applyBorder="1" applyAlignment="1">
      <alignment horizontal="center" vertical="center"/>
    </xf>
    <xf numFmtId="0" fontId="15" fillId="0" borderId="4" xfId="0" applyFont="1" applyBorder="1" applyAlignment="1">
      <alignment horizontal="center" wrapText="1"/>
    </xf>
    <xf numFmtId="0" fontId="6" fillId="0" borderId="7" xfId="0" applyFont="1" applyBorder="1" applyAlignment="1">
      <alignment horizontal="left" vertical="center"/>
    </xf>
    <xf numFmtId="0" fontId="18" fillId="0" borderId="7" xfId="0" applyFont="1" applyBorder="1" applyAlignment="1">
      <alignment horizontal="left" vertical="center"/>
    </xf>
    <xf numFmtId="166" fontId="15" fillId="0" borderId="28" xfId="0" applyNumberFormat="1" applyFont="1" applyBorder="1"/>
    <xf numFmtId="0" fontId="19" fillId="0" borderId="3" xfId="0" applyFont="1" applyBorder="1" applyAlignment="1">
      <alignment horizontal="center" vertical="center"/>
    </xf>
    <xf numFmtId="0" fontId="19" fillId="0" borderId="4" xfId="0" applyFont="1" applyBorder="1" applyAlignment="1">
      <alignment vertical="center"/>
    </xf>
    <xf numFmtId="0" fontId="19" fillId="0" borderId="4" xfId="0" applyFont="1" applyBorder="1" applyAlignment="1">
      <alignment vertical="center" wrapText="1"/>
    </xf>
    <xf numFmtId="0" fontId="19" fillId="0" borderId="6" xfId="0" applyFont="1" applyBorder="1" applyAlignment="1">
      <alignment horizontal="center" vertical="center"/>
    </xf>
    <xf numFmtId="0" fontId="19" fillId="0" borderId="10" xfId="0" applyFont="1" applyBorder="1" applyAlignment="1">
      <alignment vertical="center"/>
    </xf>
    <xf numFmtId="0" fontId="19" fillId="0" borderId="10" xfId="0" applyFont="1" applyBorder="1" applyAlignment="1">
      <alignment vertical="center" wrapText="1"/>
    </xf>
    <xf numFmtId="0" fontId="19" fillId="0" borderId="7" xfId="0" applyFont="1" applyBorder="1" applyAlignment="1">
      <alignment horizontal="center" vertical="center"/>
    </xf>
    <xf numFmtId="0" fontId="6" fillId="0" borderId="11" xfId="0" applyFont="1" applyBorder="1"/>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3" fillId="0" borderId="16" xfId="0" applyFont="1" applyBorder="1"/>
    <xf numFmtId="0" fontId="13" fillId="0" borderId="0" xfId="0" applyFont="1"/>
    <xf numFmtId="166" fontId="5" fillId="0" borderId="4" xfId="1" applyNumberFormat="1" applyBorder="1" applyAlignment="1">
      <alignment horizontal="center" vertical="center" wrapText="1"/>
    </xf>
    <xf numFmtId="166" fontId="5" fillId="0" borderId="0" xfId="1" applyNumberFormat="1" applyBorder="1" applyAlignment="1">
      <alignment horizontal="center" vertical="center"/>
    </xf>
    <xf numFmtId="0" fontId="6" fillId="0" borderId="30" xfId="0" applyFont="1" applyBorder="1" applyAlignment="1">
      <alignment vertical="center" wrapText="1"/>
    </xf>
    <xf numFmtId="166" fontId="6" fillId="0" borderId="31" xfId="1" applyNumberFormat="1" applyFont="1" applyBorder="1" applyAlignment="1" applyProtection="1">
      <alignment horizontal="right" vertical="center" wrapText="1"/>
    </xf>
    <xf numFmtId="0" fontId="6" fillId="0" borderId="13" xfId="0" applyFont="1" applyBorder="1" applyAlignment="1">
      <alignment horizontal="left" wrapText="1"/>
    </xf>
    <xf numFmtId="0" fontId="15" fillId="0" borderId="7" xfId="0" applyFont="1" applyBorder="1" applyAlignment="1">
      <alignment horizontal="center" vertical="center"/>
    </xf>
    <xf numFmtId="3" fontId="15" fillId="0" borderId="7" xfId="0" applyNumberFormat="1" applyFont="1" applyBorder="1" applyAlignment="1">
      <alignment horizontal="center" vertical="center"/>
    </xf>
    <xf numFmtId="0" fontId="22" fillId="0" borderId="7" xfId="0" applyFont="1" applyBorder="1" applyAlignment="1">
      <alignment horizontal="center" vertical="center"/>
    </xf>
    <xf numFmtId="0" fontId="15" fillId="0" borderId="7" xfId="0" applyFont="1" applyBorder="1" applyAlignment="1">
      <alignment horizontal="center" vertical="center" wrapText="1"/>
    </xf>
    <xf numFmtId="0" fontId="2" fillId="0" borderId="0" xfId="4"/>
    <xf numFmtId="0" fontId="18" fillId="0" borderId="7" xfId="4" applyFont="1" applyBorder="1" applyAlignment="1">
      <alignment horizontal="center" vertical="center"/>
    </xf>
    <xf numFmtId="0" fontId="18" fillId="4" borderId="7" xfId="4" applyFont="1" applyFill="1" applyBorder="1" applyAlignment="1">
      <alignment horizontal="center" vertical="center"/>
    </xf>
    <xf numFmtId="3" fontId="18" fillId="4" borderId="7" xfId="4" applyNumberFormat="1" applyFont="1" applyFill="1" applyBorder="1" applyAlignment="1">
      <alignment horizontal="center" vertical="center"/>
    </xf>
    <xf numFmtId="0" fontId="2" fillId="0" borderId="0" xfId="4" applyAlignment="1">
      <alignment vertical="center"/>
    </xf>
    <xf numFmtId="3" fontId="18" fillId="0" borderId="7" xfId="4" applyNumberFormat="1" applyFont="1" applyBorder="1" applyAlignment="1">
      <alignment horizontal="center" vertical="center"/>
    </xf>
    <xf numFmtId="0" fontId="2" fillId="0" borderId="7" xfId="4" applyBorder="1" applyAlignment="1">
      <alignment horizontal="center" vertical="center"/>
    </xf>
    <xf numFmtId="3" fontId="2" fillId="0" borderId="7" xfId="4" applyNumberFormat="1" applyBorder="1" applyAlignment="1">
      <alignment horizontal="center" vertical="center"/>
    </xf>
    <xf numFmtId="0" fontId="2" fillId="0" borderId="0" xfId="4" applyAlignment="1">
      <alignment horizontal="center" vertical="center"/>
    </xf>
    <xf numFmtId="0" fontId="13" fillId="0" borderId="14" xfId="0" applyFont="1" applyBorder="1" applyAlignment="1">
      <alignment horizontal="left" vertical="center" indent="3"/>
    </xf>
    <xf numFmtId="0" fontId="9" fillId="0" borderId="4" xfId="0" applyFont="1" applyBorder="1" applyAlignment="1">
      <alignment horizontal="center" vertical="center" wrapText="1"/>
    </xf>
    <xf numFmtId="0" fontId="9" fillId="0" borderId="30" xfId="0" applyFont="1" applyBorder="1" applyAlignment="1">
      <alignment horizontal="center" vertical="center" wrapText="1"/>
    </xf>
    <xf numFmtId="3" fontId="15" fillId="0" borderId="30" xfId="0" applyNumberFormat="1" applyFont="1" applyBorder="1" applyAlignment="1">
      <alignment horizontal="center" vertical="center" wrapText="1"/>
    </xf>
    <xf numFmtId="0" fontId="6" fillId="0" borderId="0" xfId="0" applyFont="1" applyAlignment="1">
      <alignment horizontal="center" vertical="center" wrapText="1"/>
    </xf>
    <xf numFmtId="0" fontId="6" fillId="0" borderId="15" xfId="0" applyFont="1" applyBorder="1" applyAlignment="1">
      <alignment horizontal="left" wrapText="1"/>
    </xf>
    <xf numFmtId="0" fontId="6" fillId="0" borderId="0" xfId="0" applyFont="1" applyAlignment="1">
      <alignment horizontal="left" vertical="center" wrapText="1"/>
    </xf>
    <xf numFmtId="0" fontId="6" fillId="0" borderId="15" xfId="0" applyFont="1" applyBorder="1" applyAlignment="1">
      <alignment horizontal="left" vertical="center" wrapText="1"/>
    </xf>
    <xf numFmtId="0" fontId="6" fillId="0" borderId="15" xfId="0" applyFont="1" applyBorder="1" applyAlignment="1">
      <alignment horizontal="center"/>
    </xf>
    <xf numFmtId="0" fontId="6" fillId="0" borderId="0" xfId="0" applyFont="1" applyAlignment="1">
      <alignment horizontal="left" wrapText="1"/>
    </xf>
    <xf numFmtId="0" fontId="15" fillId="0" borderId="7" xfId="0" applyFont="1" applyBorder="1" applyAlignment="1">
      <alignment vertical="center" wrapText="1"/>
    </xf>
    <xf numFmtId="0" fontId="19" fillId="0" borderId="9" xfId="0" applyFont="1" applyBorder="1" applyAlignment="1">
      <alignment horizontal="center" vertical="center"/>
    </xf>
    <xf numFmtId="0" fontId="30" fillId="0" borderId="7" xfId="0" applyFont="1" applyBorder="1" applyAlignment="1">
      <alignment vertical="center" wrapText="1"/>
    </xf>
    <xf numFmtId="165" fontId="6" fillId="0" borderId="0" xfId="0" applyNumberFormat="1" applyFont="1" applyAlignment="1">
      <alignment vertical="center"/>
    </xf>
    <xf numFmtId="167" fontId="6" fillId="0" borderId="0" xfId="0" applyNumberFormat="1" applyFont="1" applyAlignment="1">
      <alignment vertical="center"/>
    </xf>
    <xf numFmtId="168" fontId="6" fillId="0" borderId="0" xfId="0" applyNumberFormat="1" applyFont="1"/>
    <xf numFmtId="164" fontId="6" fillId="0" borderId="7" xfId="1" applyFont="1" applyBorder="1" applyAlignment="1">
      <alignment horizontal="center"/>
    </xf>
    <xf numFmtId="166" fontId="6" fillId="0" borderId="7" xfId="1" applyNumberFormat="1" applyFont="1" applyBorder="1" applyAlignment="1">
      <alignment horizontal="center" vertical="center"/>
    </xf>
    <xf numFmtId="166" fontId="6" fillId="0" borderId="30" xfId="1" applyNumberFormat="1" applyFont="1" applyBorder="1" applyAlignment="1">
      <alignment horizontal="center" vertical="center"/>
    </xf>
    <xf numFmtId="0" fontId="7" fillId="0" borderId="0" xfId="0" applyFont="1" applyAlignment="1">
      <alignment horizontal="center"/>
    </xf>
    <xf numFmtId="0" fontId="8" fillId="0" borderId="0" xfId="0" applyFont="1" applyAlignment="1">
      <alignment horizontal="left" vertical="center" wrapText="1"/>
    </xf>
    <xf numFmtId="0" fontId="14" fillId="0" borderId="0" xfId="0" applyFont="1" applyAlignment="1">
      <alignment horizontal="left" wrapText="1" indent="1"/>
    </xf>
    <xf numFmtId="0" fontId="14" fillId="0" borderId="0" xfId="0" applyFont="1" applyAlignment="1">
      <alignment horizontal="left" vertical="center" wrapText="1" indent="1"/>
    </xf>
    <xf numFmtId="0" fontId="6" fillId="0" borderId="15" xfId="0" applyFont="1" applyBorder="1" applyAlignment="1">
      <alignment horizontal="center"/>
    </xf>
    <xf numFmtId="0" fontId="6" fillId="0" borderId="0" xfId="0" applyFont="1" applyAlignment="1">
      <alignment horizontal="left" vertical="center" wrapText="1"/>
    </xf>
    <xf numFmtId="0" fontId="6" fillId="0" borderId="15" xfId="0" applyFont="1" applyBorder="1" applyAlignment="1">
      <alignment horizontal="left" vertical="center" wrapText="1"/>
    </xf>
    <xf numFmtId="0" fontId="6" fillId="0" borderId="0" xfId="0" applyFont="1" applyAlignment="1">
      <alignment horizontal="left" vertical="center"/>
    </xf>
    <xf numFmtId="0" fontId="6" fillId="0" borderId="15" xfId="0" applyFont="1" applyBorder="1" applyAlignment="1">
      <alignment horizontal="left" vertical="center"/>
    </xf>
    <xf numFmtId="0" fontId="6" fillId="0" borderId="17" xfId="0" applyFont="1" applyBorder="1" applyAlignment="1">
      <alignment horizontal="left" vertical="center" wrapText="1"/>
    </xf>
    <xf numFmtId="0" fontId="6" fillId="0" borderId="18" xfId="0" applyFont="1" applyBorder="1" applyAlignment="1">
      <alignment horizontal="left" vertical="center" wrapText="1"/>
    </xf>
    <xf numFmtId="0" fontId="6" fillId="0" borderId="0" xfId="0" applyFont="1" applyAlignment="1">
      <alignment horizontal="left" wrapText="1"/>
    </xf>
    <xf numFmtId="0" fontId="6" fillId="0" borderId="15" xfId="0" applyFont="1" applyBorder="1" applyAlignment="1">
      <alignment horizontal="left" wrapText="1"/>
    </xf>
    <xf numFmtId="0" fontId="8" fillId="0" borderId="0" xfId="0" applyFont="1" applyAlignment="1">
      <alignment horizontal="center" vertical="center" wrapText="1"/>
    </xf>
    <xf numFmtId="0" fontId="14" fillId="0" borderId="0" xfId="0" applyFont="1" applyAlignment="1">
      <alignment horizontal="left" wrapText="1"/>
    </xf>
    <xf numFmtId="0" fontId="15" fillId="0" borderId="0" xfId="0" applyFont="1" applyAlignment="1">
      <alignment horizontal="left" vertical="center" wrapText="1"/>
    </xf>
    <xf numFmtId="0" fontId="15" fillId="0" borderId="15" xfId="0" applyFont="1" applyBorder="1" applyAlignment="1">
      <alignment horizontal="left"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2" fillId="3" borderId="7" xfId="4" applyFill="1" applyBorder="1" applyAlignment="1">
      <alignment horizontal="center" vertical="center" wrapText="1"/>
    </xf>
  </cellXfs>
  <cellStyles count="7">
    <cellStyle name="Encabezado 1" xfId="2" xr:uid="{00000000-0005-0000-0000-000000000000}"/>
    <cellStyle name="Moneda" xfId="1" builtinId="4"/>
    <cellStyle name="Neutral 1" xfId="3" xr:uid="{00000000-0005-0000-0000-000002000000}"/>
    <cellStyle name="Normal" xfId="0" builtinId="0"/>
    <cellStyle name="Normal 2" xfId="4" xr:uid="{00000000-0005-0000-0000-000004000000}"/>
    <cellStyle name="Normal 3" xfId="5" xr:uid="{00000000-0005-0000-0000-000005000000}"/>
    <cellStyle name="Normal 4" xfId="6"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7</xdr:col>
      <xdr:colOff>433916</xdr:colOff>
      <xdr:row>17</xdr:row>
      <xdr:rowOff>455083</xdr:rowOff>
    </xdr:from>
    <xdr:ext cx="184731" cy="264560"/>
    <xdr:sp macro="" textlink="">
      <xdr:nvSpPr>
        <xdr:cNvPr id="2" name="1 CuadroTexto">
          <a:extLst>
            <a:ext uri="{FF2B5EF4-FFF2-40B4-BE49-F238E27FC236}">
              <a16:creationId xmlns:a16="http://schemas.microsoft.com/office/drawing/2014/main" id="{00000000-0008-0000-0300-000002000000}"/>
            </a:ext>
          </a:extLst>
        </xdr:cNvPr>
        <xdr:cNvSpPr txBox="1"/>
      </xdr:nvSpPr>
      <xdr:spPr>
        <a:xfrm>
          <a:off x="11313583" y="742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E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ompr\Dropbox\SAF%20022\SAF%2022%20-%20PLANIFICACION\PAC%202022\1RO%202022\Detalle%20Relevamiento%20de%20Hardware%20Ministerio%20de%20Trabajo%20y%20RRHH%20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arie\Downloads\Detalle%20Relevamiento%20de%20Hardware%20Ministerio%20de%20Trabajo%20y%20RRHH%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por reparticion"/>
      <sheetName val="DETALLE CPUS ESTADO CRITICO"/>
      <sheetName val="NECESIDADES"/>
      <sheetName val="Necesidades a considerar"/>
      <sheetName val="PROCESADORES"/>
      <sheetName val="MODELOS DE IMPRESORAS Y TONER"/>
      <sheetName val="DETALLE RELEVAMIENTO"/>
      <sheetName val="Hoja2"/>
      <sheetName val="necesidades SRRHHD"/>
      <sheetName val="Detalle Relevamiento de Hardwa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por reparticion"/>
      <sheetName val="DETALLE CPUS ESTADO CRITICO"/>
      <sheetName val="NECESIDADES"/>
      <sheetName val="Necesidades a considerar"/>
      <sheetName val="PROCESADORES"/>
      <sheetName val="MODELOS DE IMPRESORAS Y TONER"/>
      <sheetName val="DETALLE RELEVAMIENTO"/>
      <sheetName val="Hoja2"/>
      <sheetName val="necesidades SRRHHD"/>
      <sheetName val="Detalle Relevamiento de Hardwa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3"/>
  <sheetViews>
    <sheetView zoomScale="85" zoomScaleNormal="85" workbookViewId="0">
      <selection activeCell="I12" sqref="I12"/>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82.2851562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50" t="s">
        <v>0</v>
      </c>
      <c r="C2" s="150"/>
      <c r="D2" s="150"/>
      <c r="E2" s="150"/>
      <c r="F2" s="150"/>
      <c r="G2" s="150"/>
      <c r="H2" s="150"/>
    </row>
    <row r="4" spans="1:9" ht="18" customHeight="1" x14ac:dyDescent="0.25">
      <c r="A4" s="151" t="s">
        <v>1</v>
      </c>
      <c r="B4" s="151"/>
      <c r="C4" s="152" t="s">
        <v>280</v>
      </c>
      <c r="D4" s="152"/>
      <c r="E4" s="152"/>
      <c r="F4" s="2"/>
      <c r="G4" s="3"/>
      <c r="H4" s="2"/>
    </row>
    <row r="5" spans="1:9" ht="27" customHeight="1" x14ac:dyDescent="0.2">
      <c r="A5" s="151" t="s">
        <v>2</v>
      </c>
      <c r="B5" s="151"/>
      <c r="C5" s="153" t="s">
        <v>281</v>
      </c>
      <c r="D5" s="153"/>
      <c r="E5" s="153"/>
      <c r="F5" s="2"/>
      <c r="G5" s="3"/>
      <c r="H5" s="2"/>
    </row>
    <row r="6" spans="1:9" ht="16.5" customHeight="1" x14ac:dyDescent="0.25">
      <c r="A6" s="151" t="s">
        <v>3</v>
      </c>
      <c r="B6" s="151"/>
      <c r="C6" s="19">
        <v>2022</v>
      </c>
      <c r="D6" s="20"/>
      <c r="E6" s="20"/>
      <c r="F6" s="2"/>
      <c r="G6" s="3"/>
      <c r="H6" s="2"/>
    </row>
    <row r="7" spans="1:9" ht="16.5" customHeight="1" x14ac:dyDescent="0.25">
      <c r="A7" s="151" t="s">
        <v>4</v>
      </c>
      <c r="B7" s="151"/>
      <c r="C7" s="19">
        <v>4</v>
      </c>
      <c r="D7" s="20"/>
      <c r="E7" s="20"/>
      <c r="F7" s="2"/>
      <c r="G7" s="3"/>
      <c r="H7" s="2"/>
    </row>
    <row r="8" spans="1:9" ht="13.5" thickBot="1" x14ac:dyDescent="0.25">
      <c r="B8" s="2"/>
      <c r="C8" s="3"/>
      <c r="D8" s="2"/>
      <c r="E8" s="2"/>
      <c r="F8" s="2"/>
      <c r="G8" s="3"/>
      <c r="H8" s="2"/>
    </row>
    <row r="9" spans="1:9" ht="39.75" thickTop="1" thickBot="1" x14ac:dyDescent="0.25">
      <c r="A9" s="22" t="s">
        <v>5</v>
      </c>
      <c r="B9" s="23" t="s">
        <v>6</v>
      </c>
      <c r="C9" s="23" t="s">
        <v>7</v>
      </c>
      <c r="D9" s="23" t="s">
        <v>8</v>
      </c>
      <c r="E9" s="24" t="s">
        <v>9</v>
      </c>
      <c r="F9" s="21" t="s">
        <v>10</v>
      </c>
      <c r="G9" s="4" t="s">
        <v>11</v>
      </c>
      <c r="H9" s="4" t="s">
        <v>12</v>
      </c>
      <c r="I9" s="4" t="s">
        <v>13</v>
      </c>
    </row>
    <row r="10" spans="1:9" ht="25.5" x14ac:dyDescent="0.2">
      <c r="A10" s="5">
        <v>1</v>
      </c>
      <c r="B10" s="41" t="s">
        <v>93</v>
      </c>
      <c r="C10" s="41" t="s">
        <v>21</v>
      </c>
      <c r="D10" s="6" t="s">
        <v>94</v>
      </c>
      <c r="E10" s="42" t="s">
        <v>95</v>
      </c>
      <c r="F10" s="132" t="s">
        <v>98</v>
      </c>
      <c r="G10" s="76">
        <v>3200</v>
      </c>
      <c r="H10" s="27">
        <v>173.9</v>
      </c>
      <c r="I10" s="26">
        <f>G10*H10</f>
        <v>556480</v>
      </c>
    </row>
    <row r="11" spans="1:9" ht="27" thickBot="1" x14ac:dyDescent="0.3">
      <c r="A11" s="70">
        <v>2</v>
      </c>
      <c r="B11" s="43" t="s">
        <v>96</v>
      </c>
      <c r="C11" s="43" t="s">
        <v>21</v>
      </c>
      <c r="D11" s="71" t="s">
        <v>94</v>
      </c>
      <c r="E11" s="72" t="s">
        <v>97</v>
      </c>
      <c r="F11" s="73" t="s">
        <v>98</v>
      </c>
      <c r="G11" s="77">
        <v>3700</v>
      </c>
      <c r="H11" s="74">
        <v>204.1</v>
      </c>
      <c r="I11" s="75">
        <f>G11*H11</f>
        <v>755170</v>
      </c>
    </row>
    <row r="12" spans="1:9" ht="23.25" customHeight="1" thickBot="1" x14ac:dyDescent="0.25">
      <c r="I12" s="78">
        <f>SUM(I10:I11)</f>
        <v>1311650</v>
      </c>
    </row>
    <row r="13" spans="1:9" ht="45" customHeight="1" thickBot="1" x14ac:dyDescent="0.25"/>
    <row r="14" spans="1:9" ht="31.5" customHeight="1" x14ac:dyDescent="0.2">
      <c r="B14" s="25" t="s">
        <v>17</v>
      </c>
      <c r="C14" s="8"/>
      <c r="D14" s="8"/>
      <c r="E14" s="9"/>
    </row>
    <row r="15" spans="1:9" x14ac:dyDescent="0.2">
      <c r="B15" s="13"/>
      <c r="C15" s="155" t="s">
        <v>314</v>
      </c>
      <c r="D15" s="157"/>
      <c r="E15" s="158"/>
    </row>
    <row r="16" spans="1:9" ht="159" customHeight="1" x14ac:dyDescent="0.2">
      <c r="B16" s="13"/>
      <c r="C16" s="157"/>
      <c r="D16" s="157"/>
      <c r="E16" s="158"/>
    </row>
    <row r="17" spans="2:5" ht="18" customHeight="1" x14ac:dyDescent="0.2">
      <c r="B17" s="131" t="s">
        <v>18</v>
      </c>
      <c r="E17" s="11"/>
    </row>
    <row r="18" spans="2:5" ht="32.25" customHeight="1" x14ac:dyDescent="0.2">
      <c r="B18" s="13"/>
      <c r="C18" s="155" t="s">
        <v>24</v>
      </c>
      <c r="D18" s="155"/>
      <c r="E18" s="156"/>
    </row>
    <row r="19" spans="2:5" ht="36.75" customHeight="1" x14ac:dyDescent="0.2">
      <c r="B19" s="12" t="s">
        <v>19</v>
      </c>
      <c r="C19" s="14"/>
      <c r="D19" s="14"/>
      <c r="E19" s="15"/>
    </row>
    <row r="20" spans="2:5" ht="26.25" customHeight="1" x14ac:dyDescent="0.2">
      <c r="B20" s="13"/>
      <c r="C20" s="155" t="s">
        <v>25</v>
      </c>
      <c r="D20" s="155"/>
      <c r="E20" s="156"/>
    </row>
    <row r="21" spans="2:5" ht="17.25" customHeight="1" x14ac:dyDescent="0.2">
      <c r="B21" s="12" t="s">
        <v>20</v>
      </c>
      <c r="E21" s="11"/>
    </row>
    <row r="22" spans="2:5" ht="23.25" customHeight="1" x14ac:dyDescent="0.2">
      <c r="B22" s="12"/>
      <c r="C22" s="154"/>
      <c r="D22" s="154"/>
      <c r="E22" s="154"/>
    </row>
    <row r="23" spans="2:5" ht="13.5" thickBot="1" x14ac:dyDescent="0.25">
      <c r="B23" s="16"/>
      <c r="C23" s="17"/>
      <c r="D23" s="17"/>
      <c r="E23" s="18"/>
    </row>
  </sheetData>
  <mergeCells count="11">
    <mergeCell ref="C22:E22"/>
    <mergeCell ref="A7:B7"/>
    <mergeCell ref="C18:E18"/>
    <mergeCell ref="C20:E20"/>
    <mergeCell ref="A6:B6"/>
    <mergeCell ref="C15:E16"/>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5"/>
  <sheetViews>
    <sheetView topLeftCell="A34" zoomScale="90" zoomScaleNormal="90" workbookViewId="0">
      <selection activeCell="I48" sqref="I48"/>
    </sheetView>
  </sheetViews>
  <sheetFormatPr baseColWidth="10" defaultColWidth="11" defaultRowHeight="12.75" x14ac:dyDescent="0.2"/>
  <cols>
    <col min="1" max="1" width="4.5703125" style="1" customWidth="1"/>
    <col min="2" max="2" width="14.140625" style="1" customWidth="1"/>
    <col min="3" max="3" width="26.28515625" style="1" customWidth="1"/>
    <col min="4" max="4" width="8.42578125" style="1" customWidth="1"/>
    <col min="5" max="5" width="79" style="68" customWidth="1"/>
    <col min="6" max="6" width="11" style="32"/>
    <col min="7" max="7" width="12.7109375" style="1" customWidth="1"/>
    <col min="8" max="8" width="14.28515625" style="1" customWidth="1"/>
    <col min="9" max="9" width="18.5703125" style="1" customWidth="1"/>
    <col min="10" max="13" width="11" style="1"/>
    <col min="14" max="14" width="15.7109375" style="1" customWidth="1"/>
    <col min="15" max="16384" width="11" style="1"/>
  </cols>
  <sheetData>
    <row r="1" spans="1:15" ht="37.5" customHeight="1" x14ac:dyDescent="0.2"/>
    <row r="2" spans="1:15" ht="27" x14ac:dyDescent="0.35">
      <c r="B2" s="150" t="s">
        <v>0</v>
      </c>
      <c r="C2" s="150"/>
      <c r="D2" s="150"/>
      <c r="E2" s="150"/>
      <c r="F2" s="150"/>
      <c r="G2" s="150"/>
      <c r="H2" s="150"/>
      <c r="I2" s="150"/>
    </row>
    <row r="4" spans="1:15" ht="15.75" x14ac:dyDescent="0.25">
      <c r="A4" s="163" t="s">
        <v>1</v>
      </c>
      <c r="B4" s="163"/>
      <c r="C4" s="164" t="s">
        <v>280</v>
      </c>
      <c r="D4" s="164"/>
      <c r="E4" s="164"/>
      <c r="F4" s="69"/>
      <c r="G4" s="3"/>
      <c r="H4" s="2"/>
    </row>
    <row r="5" spans="1:15" ht="15.75" x14ac:dyDescent="0.25">
      <c r="A5" s="163" t="s">
        <v>2</v>
      </c>
      <c r="B5" s="163"/>
      <c r="C5" s="164" t="s">
        <v>281</v>
      </c>
      <c r="D5" s="164"/>
      <c r="E5" s="164"/>
      <c r="F5" s="69"/>
      <c r="G5" s="3"/>
      <c r="H5" s="2"/>
    </row>
    <row r="6" spans="1:15" ht="15.75" x14ac:dyDescent="0.25">
      <c r="A6" s="163" t="s">
        <v>3</v>
      </c>
      <c r="B6" s="163"/>
      <c r="C6" s="53">
        <v>2022</v>
      </c>
      <c r="D6" s="20"/>
      <c r="E6" s="20"/>
      <c r="F6" s="69"/>
      <c r="G6" s="3"/>
      <c r="H6" s="2"/>
    </row>
    <row r="7" spans="1:15" ht="15.75" x14ac:dyDescent="0.25">
      <c r="A7" s="163" t="s">
        <v>4</v>
      </c>
      <c r="B7" s="163"/>
      <c r="C7" s="53">
        <v>4</v>
      </c>
      <c r="D7" s="20"/>
      <c r="E7" s="20"/>
      <c r="F7" s="69"/>
      <c r="G7" s="3"/>
      <c r="H7" s="2"/>
    </row>
    <row r="8" spans="1:15" ht="13.5" thickBot="1" x14ac:dyDescent="0.25">
      <c r="B8" s="2"/>
      <c r="C8" s="3"/>
      <c r="D8" s="2"/>
      <c r="E8" s="2"/>
      <c r="F8" s="69"/>
      <c r="G8" s="3"/>
      <c r="H8" s="2"/>
    </row>
    <row r="9" spans="1:15" ht="39.75" thickTop="1" thickBot="1" x14ac:dyDescent="0.25">
      <c r="A9" s="28" t="s">
        <v>5</v>
      </c>
      <c r="B9" s="79" t="s">
        <v>6</v>
      </c>
      <c r="C9" s="50" t="s">
        <v>7</v>
      </c>
      <c r="D9" s="51" t="s">
        <v>8</v>
      </c>
      <c r="E9" s="50" t="s">
        <v>9</v>
      </c>
      <c r="F9" s="21" t="s">
        <v>10</v>
      </c>
      <c r="G9" s="4" t="s">
        <v>11</v>
      </c>
      <c r="H9" s="4" t="s">
        <v>12</v>
      </c>
      <c r="I9" s="4" t="s">
        <v>13</v>
      </c>
    </row>
    <row r="10" spans="1:15" s="36" customFormat="1" ht="45" x14ac:dyDescent="0.2">
      <c r="A10" s="101">
        <v>1</v>
      </c>
      <c r="B10" s="102" t="s">
        <v>70</v>
      </c>
      <c r="C10" s="103" t="s">
        <v>27</v>
      </c>
      <c r="D10" s="85" t="s">
        <v>306</v>
      </c>
      <c r="E10" s="103" t="s">
        <v>164</v>
      </c>
      <c r="F10" s="85" t="s">
        <v>167</v>
      </c>
      <c r="G10" s="85">
        <v>40</v>
      </c>
      <c r="H10" s="86">
        <v>1010</v>
      </c>
      <c r="I10" s="87">
        <f t="shared" ref="I10:I41" si="0">+H10*G10</f>
        <v>40400</v>
      </c>
    </row>
    <row r="11" spans="1:15" s="36" customFormat="1" ht="30" x14ac:dyDescent="0.2">
      <c r="A11" s="104">
        <v>2</v>
      </c>
      <c r="B11" s="84" t="s">
        <v>124</v>
      </c>
      <c r="C11" s="84" t="s">
        <v>71</v>
      </c>
      <c r="D11" s="82" t="str">
        <f>+LEFT(B11,5)</f>
        <v>2.3.4</v>
      </c>
      <c r="E11" s="92" t="s">
        <v>125</v>
      </c>
      <c r="F11" s="82" t="s">
        <v>168</v>
      </c>
      <c r="G11" s="82">
        <v>30</v>
      </c>
      <c r="H11" s="83">
        <v>516</v>
      </c>
      <c r="I11" s="88">
        <f t="shared" si="0"/>
        <v>15480</v>
      </c>
    </row>
    <row r="12" spans="1:15" s="36" customFormat="1" ht="45" x14ac:dyDescent="0.2">
      <c r="A12" s="104">
        <v>3</v>
      </c>
      <c r="B12" s="84" t="s">
        <v>72</v>
      </c>
      <c r="C12" s="84" t="s">
        <v>69</v>
      </c>
      <c r="D12" s="82" t="str">
        <f t="shared" ref="D12:D40" si="1">+LEFT(B12,5)</f>
        <v>2.3.4</v>
      </c>
      <c r="E12" s="92" t="s">
        <v>165</v>
      </c>
      <c r="F12" s="82" t="s">
        <v>167</v>
      </c>
      <c r="G12" s="82">
        <v>5</v>
      </c>
      <c r="H12" s="83">
        <v>3073.65</v>
      </c>
      <c r="I12" s="88">
        <f t="shared" si="0"/>
        <v>15368.25</v>
      </c>
    </row>
    <row r="13" spans="1:15" s="36" customFormat="1" ht="36.75" customHeight="1" x14ac:dyDescent="0.2">
      <c r="A13" s="104">
        <v>4</v>
      </c>
      <c r="B13" s="84" t="s">
        <v>73</v>
      </c>
      <c r="C13" s="84" t="s">
        <v>69</v>
      </c>
      <c r="D13" s="82" t="str">
        <f t="shared" si="1"/>
        <v>2.3.4</v>
      </c>
      <c r="E13" s="92" t="s">
        <v>126</v>
      </c>
      <c r="F13" s="82" t="s">
        <v>169</v>
      </c>
      <c r="G13" s="82">
        <v>6</v>
      </c>
      <c r="H13" s="83">
        <v>1757</v>
      </c>
      <c r="I13" s="88">
        <f t="shared" si="0"/>
        <v>10542</v>
      </c>
    </row>
    <row r="14" spans="1:15" s="36" customFormat="1" ht="30" x14ac:dyDescent="0.2">
      <c r="A14" s="104">
        <v>5</v>
      </c>
      <c r="B14" s="84" t="s">
        <v>74</v>
      </c>
      <c r="C14" s="84" t="s">
        <v>69</v>
      </c>
      <c r="D14" s="82" t="str">
        <f t="shared" si="1"/>
        <v>2.3.4</v>
      </c>
      <c r="E14" s="92" t="s">
        <v>127</v>
      </c>
      <c r="F14" s="82" t="s">
        <v>168</v>
      </c>
      <c r="G14" s="107">
        <v>125</v>
      </c>
      <c r="H14" s="83">
        <v>710</v>
      </c>
      <c r="I14" s="88">
        <f t="shared" si="0"/>
        <v>88750</v>
      </c>
      <c r="M14" s="36">
        <v>295</v>
      </c>
      <c r="N14" s="144">
        <f>+I10</f>
        <v>40400</v>
      </c>
      <c r="O14" s="36" t="s">
        <v>320</v>
      </c>
    </row>
    <row r="15" spans="1:15" s="36" customFormat="1" ht="30" x14ac:dyDescent="0.2">
      <c r="A15" s="104">
        <v>6</v>
      </c>
      <c r="B15" s="84" t="s">
        <v>128</v>
      </c>
      <c r="C15" s="84" t="s">
        <v>69</v>
      </c>
      <c r="D15" s="82" t="str">
        <f t="shared" si="1"/>
        <v>2.5.4</v>
      </c>
      <c r="E15" s="92" t="s">
        <v>129</v>
      </c>
      <c r="F15" s="82" t="s">
        <v>14</v>
      </c>
      <c r="G15" s="82">
        <v>160</v>
      </c>
      <c r="H15" s="83">
        <v>459</v>
      </c>
      <c r="I15" s="88">
        <f>+H15*G15</f>
        <v>73440</v>
      </c>
      <c r="M15" s="36">
        <v>291</v>
      </c>
      <c r="N15" s="145">
        <f>+I20+I21+I22+I23+I24+I25+I26+I27+I28+I29+I30+I31+I32+I33+I34+I35+I36+I37+I38+I39+I40+I41</f>
        <v>661593.80000000005</v>
      </c>
      <c r="O15" s="36" t="s">
        <v>320</v>
      </c>
    </row>
    <row r="16" spans="1:15" s="36" customFormat="1" ht="30" x14ac:dyDescent="0.2">
      <c r="A16" s="104">
        <v>7</v>
      </c>
      <c r="B16" s="84" t="s">
        <v>75</v>
      </c>
      <c r="C16" s="84" t="s">
        <v>69</v>
      </c>
      <c r="D16" s="82" t="str">
        <f t="shared" si="1"/>
        <v>2.5.4</v>
      </c>
      <c r="E16" s="92" t="s">
        <v>166</v>
      </c>
      <c r="F16" s="82" t="s">
        <v>14</v>
      </c>
      <c r="G16" s="82">
        <v>20</v>
      </c>
      <c r="H16" s="83">
        <v>481</v>
      </c>
      <c r="I16" s="88">
        <f t="shared" si="0"/>
        <v>9620</v>
      </c>
      <c r="M16" s="36">
        <v>254</v>
      </c>
      <c r="N16" s="145">
        <f>+I15+I16+I17+I18+I19</f>
        <v>138969.91666666666</v>
      </c>
      <c r="O16" s="36" t="s">
        <v>320</v>
      </c>
    </row>
    <row r="17" spans="1:15" s="36" customFormat="1" ht="45" x14ac:dyDescent="0.2">
      <c r="A17" s="104">
        <v>8</v>
      </c>
      <c r="B17" s="84" t="s">
        <v>76</v>
      </c>
      <c r="C17" s="84" t="s">
        <v>69</v>
      </c>
      <c r="D17" s="82" t="str">
        <f t="shared" si="1"/>
        <v>2.5.4</v>
      </c>
      <c r="E17" s="92" t="s">
        <v>130</v>
      </c>
      <c r="F17" s="82" t="s">
        <v>14</v>
      </c>
      <c r="G17" s="82">
        <v>25</v>
      </c>
      <c r="H17" s="83">
        <v>463.33</v>
      </c>
      <c r="I17" s="88">
        <f t="shared" si="0"/>
        <v>11583.25</v>
      </c>
      <c r="M17" s="36">
        <v>252</v>
      </c>
      <c r="N17" s="145" t="e">
        <f>+#REF!+#REF!</f>
        <v>#REF!</v>
      </c>
      <c r="O17" s="36" t="s">
        <v>321</v>
      </c>
    </row>
    <row r="18" spans="1:15" s="36" customFormat="1" ht="45" x14ac:dyDescent="0.2">
      <c r="A18" s="104">
        <v>9</v>
      </c>
      <c r="B18" s="84" t="s">
        <v>77</v>
      </c>
      <c r="C18" s="84" t="s">
        <v>69</v>
      </c>
      <c r="D18" s="82" t="str">
        <f t="shared" si="1"/>
        <v>2.5.4</v>
      </c>
      <c r="E18" s="92" t="s">
        <v>307</v>
      </c>
      <c r="F18" s="82" t="s">
        <v>14</v>
      </c>
      <c r="G18" s="82">
        <v>7</v>
      </c>
      <c r="H18" s="83">
        <v>3300</v>
      </c>
      <c r="I18" s="88">
        <f t="shared" si="0"/>
        <v>23100</v>
      </c>
      <c r="M18" s="36">
        <v>234</v>
      </c>
      <c r="N18" s="145">
        <f>+I11+I12+I13+I14</f>
        <v>130140.25</v>
      </c>
      <c r="O18" s="36" t="s">
        <v>320</v>
      </c>
    </row>
    <row r="19" spans="1:15" s="36" customFormat="1" ht="45" x14ac:dyDescent="0.2">
      <c r="A19" s="104">
        <v>10</v>
      </c>
      <c r="B19" s="84" t="s">
        <v>131</v>
      </c>
      <c r="C19" s="84" t="s">
        <v>69</v>
      </c>
      <c r="D19" s="82" t="str">
        <f t="shared" si="1"/>
        <v>2.5.4</v>
      </c>
      <c r="E19" s="92" t="s">
        <v>132</v>
      </c>
      <c r="F19" s="82" t="s">
        <v>14</v>
      </c>
      <c r="G19" s="82">
        <v>40</v>
      </c>
      <c r="H19" s="83">
        <v>530.66666666666663</v>
      </c>
      <c r="I19" s="88">
        <f t="shared" si="0"/>
        <v>21226.666666666664</v>
      </c>
      <c r="N19" s="144" t="e">
        <f>SUM(N14:N18)</f>
        <v>#REF!</v>
      </c>
    </row>
    <row r="20" spans="1:15" s="36" customFormat="1" ht="30" x14ac:dyDescent="0.2">
      <c r="A20" s="104">
        <v>11</v>
      </c>
      <c r="B20" s="84" t="s">
        <v>78</v>
      </c>
      <c r="C20" s="84" t="s">
        <v>69</v>
      </c>
      <c r="D20" s="82" t="str">
        <f t="shared" si="1"/>
        <v>2.9.1</v>
      </c>
      <c r="E20" s="92" t="s">
        <v>138</v>
      </c>
      <c r="F20" s="82" t="s">
        <v>14</v>
      </c>
      <c r="G20" s="82">
        <v>10</v>
      </c>
      <c r="H20" s="83">
        <v>1617</v>
      </c>
      <c r="I20" s="88">
        <f t="shared" si="0"/>
        <v>16170</v>
      </c>
    </row>
    <row r="21" spans="1:15" s="36" customFormat="1" ht="45" x14ac:dyDescent="0.2">
      <c r="A21" s="104">
        <v>12</v>
      </c>
      <c r="B21" s="84" t="s">
        <v>79</v>
      </c>
      <c r="C21" s="84" t="s">
        <v>69</v>
      </c>
      <c r="D21" s="82" t="str">
        <f t="shared" si="1"/>
        <v>2.9.1</v>
      </c>
      <c r="E21" s="92" t="s">
        <v>139</v>
      </c>
      <c r="F21" s="82" t="s">
        <v>14</v>
      </c>
      <c r="G21" s="82">
        <v>45</v>
      </c>
      <c r="H21" s="83">
        <v>345</v>
      </c>
      <c r="I21" s="88">
        <f t="shared" si="0"/>
        <v>15525</v>
      </c>
    </row>
    <row r="22" spans="1:15" s="36" customFormat="1" ht="30" x14ac:dyDescent="0.2">
      <c r="A22" s="104">
        <v>13</v>
      </c>
      <c r="B22" s="84" t="s">
        <v>80</v>
      </c>
      <c r="C22" s="84" t="s">
        <v>69</v>
      </c>
      <c r="D22" s="82" t="str">
        <f t="shared" si="1"/>
        <v>2.9.1</v>
      </c>
      <c r="E22" s="92" t="s">
        <v>140</v>
      </c>
      <c r="F22" s="82" t="s">
        <v>14</v>
      </c>
      <c r="G22" s="82">
        <v>45</v>
      </c>
      <c r="H22" s="83">
        <v>139</v>
      </c>
      <c r="I22" s="88">
        <f t="shared" si="0"/>
        <v>6255</v>
      </c>
    </row>
    <row r="23" spans="1:15" s="36" customFormat="1" ht="30" x14ac:dyDescent="0.2">
      <c r="A23" s="104">
        <v>14</v>
      </c>
      <c r="B23" s="84" t="s">
        <v>81</v>
      </c>
      <c r="C23" s="84" t="s">
        <v>69</v>
      </c>
      <c r="D23" s="82" t="str">
        <f t="shared" si="1"/>
        <v>2.9.1</v>
      </c>
      <c r="E23" s="143" t="s">
        <v>313</v>
      </c>
      <c r="F23" s="82" t="s">
        <v>14</v>
      </c>
      <c r="G23" s="82">
        <v>13</v>
      </c>
      <c r="H23" s="83">
        <v>2328</v>
      </c>
      <c r="I23" s="88">
        <f t="shared" si="0"/>
        <v>30264</v>
      </c>
    </row>
    <row r="24" spans="1:15" s="36" customFormat="1" ht="30" x14ac:dyDescent="0.2">
      <c r="A24" s="104">
        <v>15</v>
      </c>
      <c r="B24" s="84" t="s">
        <v>82</v>
      </c>
      <c r="C24" s="84" t="s">
        <v>69</v>
      </c>
      <c r="D24" s="82" t="str">
        <f t="shared" si="1"/>
        <v>2.9.1</v>
      </c>
      <c r="E24" s="92" t="s">
        <v>308</v>
      </c>
      <c r="F24" s="82" t="s">
        <v>14</v>
      </c>
      <c r="G24" s="82">
        <v>150</v>
      </c>
      <c r="H24" s="83">
        <v>371.5</v>
      </c>
      <c r="I24" s="88">
        <f t="shared" si="0"/>
        <v>55725</v>
      </c>
    </row>
    <row r="25" spans="1:15" s="36" customFormat="1" ht="30" x14ac:dyDescent="0.2">
      <c r="A25" s="104">
        <v>16</v>
      </c>
      <c r="B25" s="84" t="s">
        <v>133</v>
      </c>
      <c r="C25" s="84" t="s">
        <v>69</v>
      </c>
      <c r="D25" s="82" t="str">
        <f t="shared" si="1"/>
        <v>2.9.1</v>
      </c>
      <c r="E25" s="92" t="s">
        <v>141</v>
      </c>
      <c r="F25" s="82" t="s">
        <v>168</v>
      </c>
      <c r="G25" s="82">
        <v>250</v>
      </c>
      <c r="H25" s="83">
        <v>237.03</v>
      </c>
      <c r="I25" s="88">
        <f t="shared" si="0"/>
        <v>59257.5</v>
      </c>
    </row>
    <row r="26" spans="1:15" s="36" customFormat="1" ht="30" x14ac:dyDescent="0.2">
      <c r="A26" s="104">
        <v>17</v>
      </c>
      <c r="B26" s="84" t="s">
        <v>83</v>
      </c>
      <c r="C26" s="84" t="s">
        <v>69</v>
      </c>
      <c r="D26" s="82" t="str">
        <f t="shared" si="1"/>
        <v>2.9.1</v>
      </c>
      <c r="E26" s="92" t="s">
        <v>142</v>
      </c>
      <c r="F26" s="82" t="s">
        <v>14</v>
      </c>
      <c r="G26" s="82">
        <v>80</v>
      </c>
      <c r="H26" s="83">
        <v>282.75</v>
      </c>
      <c r="I26" s="88">
        <f t="shared" si="0"/>
        <v>22620</v>
      </c>
    </row>
    <row r="27" spans="1:15" s="36" customFormat="1" ht="15" x14ac:dyDescent="0.2">
      <c r="A27" s="104">
        <v>18</v>
      </c>
      <c r="B27" s="84" t="s">
        <v>84</v>
      </c>
      <c r="C27" s="84" t="s">
        <v>69</v>
      </c>
      <c r="D27" s="82" t="str">
        <f t="shared" si="1"/>
        <v>2.9.1</v>
      </c>
      <c r="E27" s="92" t="s">
        <v>143</v>
      </c>
      <c r="F27" s="82" t="s">
        <v>14</v>
      </c>
      <c r="G27" s="82">
        <v>18</v>
      </c>
      <c r="H27" s="83">
        <v>473</v>
      </c>
      <c r="I27" s="88">
        <f t="shared" si="0"/>
        <v>8514</v>
      </c>
    </row>
    <row r="28" spans="1:15" s="36" customFormat="1" ht="15" x14ac:dyDescent="0.2">
      <c r="A28" s="104">
        <v>19</v>
      </c>
      <c r="B28" s="84" t="s">
        <v>290</v>
      </c>
      <c r="C28" s="84" t="s">
        <v>69</v>
      </c>
      <c r="D28" s="82" t="str">
        <f t="shared" si="1"/>
        <v>2.9.1</v>
      </c>
      <c r="E28" s="92" t="s">
        <v>310</v>
      </c>
      <c r="F28" s="82" t="s">
        <v>14</v>
      </c>
      <c r="G28" s="82">
        <v>18</v>
      </c>
      <c r="H28" s="83">
        <v>269</v>
      </c>
      <c r="I28" s="88">
        <f t="shared" si="0"/>
        <v>4842</v>
      </c>
    </row>
    <row r="29" spans="1:15" s="36" customFormat="1" ht="30" x14ac:dyDescent="0.2">
      <c r="A29" s="104">
        <v>20</v>
      </c>
      <c r="B29" s="84" t="s">
        <v>85</v>
      </c>
      <c r="C29" s="84" t="s">
        <v>69</v>
      </c>
      <c r="D29" s="82" t="str">
        <f t="shared" si="1"/>
        <v>2.9.1</v>
      </c>
      <c r="E29" s="92" t="s">
        <v>144</v>
      </c>
      <c r="F29" s="82" t="s">
        <v>14</v>
      </c>
      <c r="G29" s="82">
        <v>80</v>
      </c>
      <c r="H29" s="83">
        <v>420</v>
      </c>
      <c r="I29" s="88">
        <f t="shared" si="0"/>
        <v>33600</v>
      </c>
    </row>
    <row r="30" spans="1:15" s="36" customFormat="1" ht="15" x14ac:dyDescent="0.2">
      <c r="A30" s="104">
        <v>21</v>
      </c>
      <c r="B30" s="84" t="s">
        <v>86</v>
      </c>
      <c r="C30" s="84" t="s">
        <v>69</v>
      </c>
      <c r="D30" s="82" t="str">
        <f t="shared" si="1"/>
        <v>2.9.1</v>
      </c>
      <c r="E30" s="92" t="s">
        <v>145</v>
      </c>
      <c r="F30" s="82" t="s">
        <v>14</v>
      </c>
      <c r="G30" s="82">
        <v>20</v>
      </c>
      <c r="H30" s="83">
        <v>2297</v>
      </c>
      <c r="I30" s="88">
        <f t="shared" si="0"/>
        <v>45940</v>
      </c>
    </row>
    <row r="31" spans="1:15" s="36" customFormat="1" ht="15" x14ac:dyDescent="0.2">
      <c r="A31" s="104">
        <v>22</v>
      </c>
      <c r="B31" s="84" t="s">
        <v>134</v>
      </c>
      <c r="C31" s="84" t="s">
        <v>69</v>
      </c>
      <c r="D31" s="82" t="str">
        <f t="shared" si="1"/>
        <v>2.9.1</v>
      </c>
      <c r="E31" s="92" t="s">
        <v>161</v>
      </c>
      <c r="F31" s="82" t="s">
        <v>14</v>
      </c>
      <c r="G31" s="82">
        <v>15</v>
      </c>
      <c r="H31" s="83">
        <v>1300</v>
      </c>
      <c r="I31" s="88">
        <f t="shared" si="0"/>
        <v>19500</v>
      </c>
    </row>
    <row r="32" spans="1:15" s="36" customFormat="1" ht="15" x14ac:dyDescent="0.2">
      <c r="A32" s="104">
        <v>23</v>
      </c>
      <c r="B32" s="84" t="s">
        <v>135</v>
      </c>
      <c r="C32" s="84" t="s">
        <v>69</v>
      </c>
      <c r="D32" s="82" t="str">
        <f t="shared" si="1"/>
        <v>2.9.1</v>
      </c>
      <c r="E32" s="92" t="s">
        <v>146</v>
      </c>
      <c r="F32" s="82" t="s">
        <v>14</v>
      </c>
      <c r="G32" s="82">
        <v>10</v>
      </c>
      <c r="H32" s="83">
        <v>1593.99</v>
      </c>
      <c r="I32" s="88">
        <f t="shared" si="0"/>
        <v>15939.9</v>
      </c>
    </row>
    <row r="33" spans="1:9" s="36" customFormat="1" ht="15" x14ac:dyDescent="0.2">
      <c r="A33" s="104">
        <v>24</v>
      </c>
      <c r="B33" s="84" t="s">
        <v>87</v>
      </c>
      <c r="C33" s="84" t="s">
        <v>69</v>
      </c>
      <c r="D33" s="82" t="str">
        <f t="shared" si="1"/>
        <v>2.9.1</v>
      </c>
      <c r="E33" s="92" t="s">
        <v>147</v>
      </c>
      <c r="F33" s="82" t="s">
        <v>14</v>
      </c>
      <c r="G33" s="82">
        <v>95</v>
      </c>
      <c r="H33" s="83">
        <v>515.52</v>
      </c>
      <c r="I33" s="88">
        <f t="shared" si="0"/>
        <v>48974.400000000001</v>
      </c>
    </row>
    <row r="34" spans="1:9" s="36" customFormat="1" ht="30" x14ac:dyDescent="0.2">
      <c r="A34" s="104">
        <v>25</v>
      </c>
      <c r="B34" s="84" t="s">
        <v>88</v>
      </c>
      <c r="C34" s="84" t="s">
        <v>69</v>
      </c>
      <c r="D34" s="82" t="str">
        <f t="shared" si="1"/>
        <v>2.9.1</v>
      </c>
      <c r="E34" s="92" t="s">
        <v>148</v>
      </c>
      <c r="F34" s="82" t="s">
        <v>14</v>
      </c>
      <c r="G34" s="82">
        <v>80</v>
      </c>
      <c r="H34" s="83">
        <v>1173</v>
      </c>
      <c r="I34" s="88">
        <f t="shared" si="0"/>
        <v>93840</v>
      </c>
    </row>
    <row r="35" spans="1:9" s="36" customFormat="1" ht="15" x14ac:dyDescent="0.2">
      <c r="A35" s="104">
        <v>26</v>
      </c>
      <c r="B35" s="84" t="s">
        <v>89</v>
      </c>
      <c r="C35" s="84" t="s">
        <v>69</v>
      </c>
      <c r="D35" s="82" t="str">
        <f t="shared" si="1"/>
        <v>2.9.1</v>
      </c>
      <c r="E35" s="92" t="s">
        <v>149</v>
      </c>
      <c r="F35" s="82" t="s">
        <v>14</v>
      </c>
      <c r="G35" s="82">
        <v>20</v>
      </c>
      <c r="H35" s="83">
        <v>695</v>
      </c>
      <c r="I35" s="88">
        <f t="shared" si="0"/>
        <v>13900</v>
      </c>
    </row>
    <row r="36" spans="1:9" s="36" customFormat="1" ht="30" x14ac:dyDescent="0.2">
      <c r="A36" s="104">
        <v>27</v>
      </c>
      <c r="B36" s="84" t="s">
        <v>90</v>
      </c>
      <c r="C36" s="84" t="s">
        <v>69</v>
      </c>
      <c r="D36" s="82" t="str">
        <f t="shared" si="1"/>
        <v>2.9.1</v>
      </c>
      <c r="E36" s="92" t="s">
        <v>309</v>
      </c>
      <c r="F36" s="82" t="s">
        <v>14</v>
      </c>
      <c r="G36" s="82">
        <v>30</v>
      </c>
      <c r="H36" s="83">
        <v>1494</v>
      </c>
      <c r="I36" s="88">
        <f t="shared" si="0"/>
        <v>44820</v>
      </c>
    </row>
    <row r="37" spans="1:9" s="36" customFormat="1" ht="30" x14ac:dyDescent="0.2">
      <c r="A37" s="104">
        <v>28</v>
      </c>
      <c r="B37" s="84" t="s">
        <v>91</v>
      </c>
      <c r="C37" s="84" t="s">
        <v>69</v>
      </c>
      <c r="D37" s="82" t="str">
        <f t="shared" si="1"/>
        <v>2.9.1</v>
      </c>
      <c r="E37" s="92" t="s">
        <v>150</v>
      </c>
      <c r="F37" s="82" t="s">
        <v>167</v>
      </c>
      <c r="G37" s="82">
        <v>15</v>
      </c>
      <c r="H37" s="83">
        <v>3931</v>
      </c>
      <c r="I37" s="88">
        <f t="shared" si="0"/>
        <v>58965</v>
      </c>
    </row>
    <row r="38" spans="1:9" s="36" customFormat="1" ht="15" x14ac:dyDescent="0.2">
      <c r="A38" s="104">
        <v>30</v>
      </c>
      <c r="B38" s="84" t="s">
        <v>136</v>
      </c>
      <c r="C38" s="84" t="s">
        <v>69</v>
      </c>
      <c r="D38" s="82" t="str">
        <f t="shared" si="1"/>
        <v>2.9.1</v>
      </c>
      <c r="E38" s="92" t="s">
        <v>151</v>
      </c>
      <c r="F38" s="82" t="s">
        <v>14</v>
      </c>
      <c r="G38" s="82">
        <v>60</v>
      </c>
      <c r="H38" s="83">
        <v>150</v>
      </c>
      <c r="I38" s="88">
        <f t="shared" si="0"/>
        <v>9000</v>
      </c>
    </row>
    <row r="39" spans="1:9" s="36" customFormat="1" ht="15" x14ac:dyDescent="0.2">
      <c r="A39" s="104">
        <v>31</v>
      </c>
      <c r="B39" s="84" t="s">
        <v>137</v>
      </c>
      <c r="C39" s="84" t="s">
        <v>69</v>
      </c>
      <c r="D39" s="82" t="str">
        <f t="shared" si="1"/>
        <v>2.9.1</v>
      </c>
      <c r="E39" s="92" t="s">
        <v>152</v>
      </c>
      <c r="F39" s="82" t="s">
        <v>14</v>
      </c>
      <c r="G39" s="82">
        <v>60</v>
      </c>
      <c r="H39" s="83">
        <f>7660/50</f>
        <v>153.19999999999999</v>
      </c>
      <c r="I39" s="88">
        <f t="shared" si="0"/>
        <v>9192</v>
      </c>
    </row>
    <row r="40" spans="1:9" s="36" customFormat="1" ht="15" x14ac:dyDescent="0.2">
      <c r="A40" s="104">
        <v>32</v>
      </c>
      <c r="B40" s="84" t="s">
        <v>92</v>
      </c>
      <c r="C40" s="84" t="s">
        <v>69</v>
      </c>
      <c r="D40" s="82" t="str">
        <f t="shared" si="1"/>
        <v>2.9.1</v>
      </c>
      <c r="E40" s="92" t="s">
        <v>153</v>
      </c>
      <c r="F40" s="82" t="s">
        <v>14</v>
      </c>
      <c r="G40" s="82">
        <v>50</v>
      </c>
      <c r="H40" s="83">
        <v>335</v>
      </c>
      <c r="I40" s="88">
        <f t="shared" si="0"/>
        <v>16750</v>
      </c>
    </row>
    <row r="41" spans="1:9" s="36" customFormat="1" ht="42.75" customHeight="1" thickBot="1" x14ac:dyDescent="0.25">
      <c r="A41" s="142">
        <v>34</v>
      </c>
      <c r="B41" s="105" t="s">
        <v>162</v>
      </c>
      <c r="C41" s="105" t="s">
        <v>69</v>
      </c>
      <c r="D41" s="89" t="s">
        <v>319</v>
      </c>
      <c r="E41" s="106" t="s">
        <v>163</v>
      </c>
      <c r="F41" s="89" t="s">
        <v>14</v>
      </c>
      <c r="G41" s="89">
        <v>20</v>
      </c>
      <c r="H41" s="90">
        <v>1600</v>
      </c>
      <c r="I41" s="91">
        <f t="shared" si="0"/>
        <v>32000</v>
      </c>
    </row>
    <row r="42" spans="1:9" ht="13.5" thickBot="1" x14ac:dyDescent="0.25">
      <c r="I42" s="93">
        <f>SUM(I10:I41)</f>
        <v>971103.96666666679</v>
      </c>
    </row>
    <row r="43" spans="1:9" ht="13.5" thickBot="1" x14ac:dyDescent="0.25"/>
    <row r="44" spans="1:9" x14ac:dyDescent="0.2">
      <c r="B44" s="7" t="s">
        <v>15</v>
      </c>
      <c r="C44" s="8"/>
      <c r="D44" s="8"/>
      <c r="E44" s="65"/>
    </row>
    <row r="45" spans="1:9" ht="48" customHeight="1" x14ac:dyDescent="0.2">
      <c r="B45" s="10"/>
      <c r="C45" s="155" t="s">
        <v>170</v>
      </c>
      <c r="D45" s="155"/>
      <c r="E45" s="156"/>
    </row>
    <row r="46" spans="1:9" ht="13.5" customHeight="1" thickBot="1" x14ac:dyDescent="0.25">
      <c r="B46" s="10"/>
      <c r="C46" s="137"/>
      <c r="D46" s="137"/>
      <c r="E46" s="138"/>
    </row>
    <row r="47" spans="1:9" ht="13.5" customHeight="1" x14ac:dyDescent="0.2">
      <c r="B47" s="108"/>
      <c r="C47" s="109"/>
      <c r="D47" s="109"/>
      <c r="E47" s="110"/>
    </row>
    <row r="48" spans="1:9" x14ac:dyDescent="0.2">
      <c r="B48" s="29" t="s">
        <v>311</v>
      </c>
      <c r="E48" s="66"/>
    </row>
    <row r="49" spans="2:5" ht="43.5" customHeight="1" thickBot="1" x14ac:dyDescent="0.25">
      <c r="B49" s="30"/>
      <c r="C49" s="159" t="s">
        <v>171</v>
      </c>
      <c r="D49" s="159"/>
      <c r="E49" s="160"/>
    </row>
    <row r="50" spans="2:5" ht="13.5" customHeight="1" x14ac:dyDescent="0.2">
      <c r="B50" s="10"/>
      <c r="C50" s="137"/>
      <c r="D50" s="137"/>
      <c r="E50" s="138"/>
    </row>
    <row r="51" spans="2:5" x14ac:dyDescent="0.2">
      <c r="B51" s="29" t="s">
        <v>289</v>
      </c>
      <c r="E51" s="66"/>
    </row>
    <row r="52" spans="2:5" ht="43.5" customHeight="1" thickBot="1" x14ac:dyDescent="0.25">
      <c r="B52" s="30"/>
      <c r="C52" s="159" t="s">
        <v>172</v>
      </c>
      <c r="D52" s="159"/>
      <c r="E52" s="160"/>
    </row>
    <row r="53" spans="2:5" ht="22.5" customHeight="1" x14ac:dyDescent="0.2">
      <c r="B53" s="108"/>
      <c r="C53" s="109"/>
      <c r="D53" s="109"/>
      <c r="E53" s="110"/>
    </row>
    <row r="54" spans="2:5" x14ac:dyDescent="0.2">
      <c r="B54" s="12" t="s">
        <v>16</v>
      </c>
      <c r="E54" s="66"/>
    </row>
    <row r="55" spans="2:5" x14ac:dyDescent="0.2">
      <c r="B55" s="12"/>
      <c r="C55" s="55"/>
      <c r="D55" s="55"/>
      <c r="E55" s="56"/>
    </row>
    <row r="56" spans="2:5" x14ac:dyDescent="0.2">
      <c r="B56" s="12" t="s">
        <v>17</v>
      </c>
      <c r="E56" s="66"/>
    </row>
    <row r="57" spans="2:5" ht="118.5" customHeight="1" x14ac:dyDescent="0.2">
      <c r="B57" s="13"/>
      <c r="C57" s="155" t="s">
        <v>305</v>
      </c>
      <c r="D57" s="155"/>
      <c r="E57" s="156"/>
    </row>
    <row r="58" spans="2:5" x14ac:dyDescent="0.2">
      <c r="B58" s="13"/>
      <c r="C58" s="47"/>
      <c r="D58" s="47"/>
      <c r="E58" s="139"/>
    </row>
    <row r="59" spans="2:5" x14ac:dyDescent="0.2">
      <c r="B59" s="12" t="s">
        <v>18</v>
      </c>
      <c r="E59" s="66"/>
    </row>
    <row r="60" spans="2:5" ht="25.5" customHeight="1" x14ac:dyDescent="0.2">
      <c r="B60" s="13"/>
      <c r="C60" s="161" t="s">
        <v>26</v>
      </c>
      <c r="D60" s="161"/>
      <c r="E60" s="162"/>
    </row>
    <row r="61" spans="2:5" x14ac:dyDescent="0.2">
      <c r="B61" s="12" t="s">
        <v>19</v>
      </c>
      <c r="C61" s="14"/>
      <c r="D61" s="14"/>
      <c r="E61" s="15"/>
    </row>
    <row r="62" spans="2:5" x14ac:dyDescent="0.2">
      <c r="B62" s="13"/>
      <c r="C62" s="140" t="s">
        <v>25</v>
      </c>
      <c r="D62" s="140"/>
      <c r="E62" s="136"/>
    </row>
    <row r="63" spans="2:5" x14ac:dyDescent="0.2">
      <c r="B63" s="12" t="s">
        <v>20</v>
      </c>
      <c r="E63" s="66"/>
    </row>
    <row r="64" spans="2:5" x14ac:dyDescent="0.2">
      <c r="B64" s="12"/>
      <c r="C64" s="47"/>
      <c r="D64" s="47"/>
      <c r="E64" s="139"/>
    </row>
    <row r="65" spans="2:5" ht="13.5" thickBot="1" x14ac:dyDescent="0.25">
      <c r="B65" s="16"/>
      <c r="C65" s="17"/>
      <c r="D65" s="17"/>
      <c r="E65" s="67"/>
    </row>
  </sheetData>
  <autoFilter ref="A9:I42" xr:uid="{00000000-0009-0000-0000-000002000000}"/>
  <mergeCells count="12">
    <mergeCell ref="A6:B6"/>
    <mergeCell ref="B2:I2"/>
    <mergeCell ref="A4:B4"/>
    <mergeCell ref="C4:E4"/>
    <mergeCell ref="A5:B5"/>
    <mergeCell ref="C5:E5"/>
    <mergeCell ref="C52:E52"/>
    <mergeCell ref="C57:E57"/>
    <mergeCell ref="C60:E60"/>
    <mergeCell ref="A7:B7"/>
    <mergeCell ref="C45:E45"/>
    <mergeCell ref="C49:E49"/>
  </mergeCells>
  <pageMargins left="0.7" right="0.7" top="0.75" bottom="0.75" header="0.51180555555555496" footer="0.51180555555555496"/>
  <pageSetup paperSize="9" firstPageNumber="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J138"/>
  <sheetViews>
    <sheetView tabSelected="1" zoomScale="90" zoomScaleNormal="90" workbookViewId="0">
      <selection activeCell="E14" sqref="E14"/>
    </sheetView>
  </sheetViews>
  <sheetFormatPr baseColWidth="10" defaultColWidth="11" defaultRowHeight="12.75" x14ac:dyDescent="0.2"/>
  <cols>
    <col min="1" max="1" width="4.5703125" style="1" customWidth="1"/>
    <col min="2" max="2" width="14.7109375" style="1" customWidth="1"/>
    <col min="3" max="3" width="32.140625" style="14" customWidth="1"/>
    <col min="4" max="4" width="8.85546875" style="1" customWidth="1"/>
    <col min="5" max="5" width="79" style="68" customWidth="1"/>
    <col min="6" max="6" width="11" style="1"/>
    <col min="7" max="7" width="12.7109375" style="47" customWidth="1"/>
    <col min="8" max="8" width="13.85546875" style="95" customWidth="1"/>
    <col min="9" max="9" width="18.5703125" style="31" customWidth="1"/>
    <col min="10" max="10" width="65.5703125" style="1" customWidth="1"/>
    <col min="11" max="16384" width="11" style="1"/>
  </cols>
  <sheetData>
    <row r="2" spans="1:10" ht="27" x14ac:dyDescent="0.35">
      <c r="B2" s="150" t="s">
        <v>322</v>
      </c>
      <c r="C2" s="150"/>
      <c r="D2" s="150"/>
      <c r="E2" s="150"/>
      <c r="F2" s="150"/>
      <c r="G2" s="150"/>
      <c r="H2" s="150"/>
    </row>
    <row r="4" spans="1:10" ht="18" customHeight="1" x14ac:dyDescent="0.25">
      <c r="A4" s="151" t="s">
        <v>1</v>
      </c>
      <c r="B4" s="151"/>
      <c r="C4" s="152" t="s">
        <v>291</v>
      </c>
      <c r="D4" s="152"/>
      <c r="E4" s="152"/>
      <c r="F4" s="2"/>
      <c r="G4" s="3"/>
    </row>
    <row r="5" spans="1:10" ht="18" customHeight="1" x14ac:dyDescent="0.25">
      <c r="A5" s="151" t="s">
        <v>2</v>
      </c>
      <c r="B5" s="151"/>
      <c r="C5" s="152" t="s">
        <v>281</v>
      </c>
      <c r="D5" s="152"/>
      <c r="E5" s="152"/>
      <c r="F5" s="2"/>
      <c r="G5" s="3"/>
    </row>
    <row r="6" spans="1:10" ht="16.5" customHeight="1" x14ac:dyDescent="0.25">
      <c r="A6" s="151" t="s">
        <v>3</v>
      </c>
      <c r="B6" s="151"/>
      <c r="C6" s="53">
        <v>2022</v>
      </c>
      <c r="D6" s="20"/>
      <c r="E6" s="20"/>
      <c r="F6" s="2"/>
      <c r="G6" s="3"/>
    </row>
    <row r="7" spans="1:10" ht="16.5" customHeight="1" x14ac:dyDescent="0.25">
      <c r="A7" s="151" t="s">
        <v>4</v>
      </c>
      <c r="B7" s="151"/>
      <c r="C7" s="53">
        <v>4</v>
      </c>
      <c r="D7" s="20"/>
      <c r="E7" s="20"/>
      <c r="F7" s="2"/>
      <c r="G7" s="3"/>
    </row>
    <row r="8" spans="1:10" ht="13.5" thickBot="1" x14ac:dyDescent="0.25">
      <c r="B8" s="2"/>
      <c r="C8" s="3"/>
      <c r="D8" s="2"/>
      <c r="E8" s="2"/>
      <c r="F8" s="2"/>
      <c r="G8" s="3"/>
    </row>
    <row r="9" spans="1:10" ht="35.25" customHeight="1" x14ac:dyDescent="0.2">
      <c r="A9" s="80" t="s">
        <v>5</v>
      </c>
      <c r="B9" s="97" t="s">
        <v>6</v>
      </c>
      <c r="C9" s="81" t="s">
        <v>7</v>
      </c>
      <c r="D9" s="81" t="s">
        <v>8</v>
      </c>
      <c r="E9" s="81" t="s">
        <v>9</v>
      </c>
      <c r="F9" s="81" t="s">
        <v>10</v>
      </c>
      <c r="G9" s="81" t="s">
        <v>11</v>
      </c>
      <c r="H9" s="113" t="s">
        <v>12</v>
      </c>
      <c r="I9" s="94" t="s">
        <v>13</v>
      </c>
    </row>
    <row r="10" spans="1:10" ht="49.5" customHeight="1" x14ac:dyDescent="0.2">
      <c r="A10" s="52">
        <v>1</v>
      </c>
      <c r="B10" s="44" t="s">
        <v>28</v>
      </c>
      <c r="C10" s="54" t="s">
        <v>22</v>
      </c>
      <c r="D10" s="54" t="str">
        <f t="shared" ref="D10:D57" si="0">+LEFT(B10,5)</f>
        <v>2.3.1</v>
      </c>
      <c r="E10" s="45" t="s">
        <v>122</v>
      </c>
      <c r="F10" s="54" t="s">
        <v>14</v>
      </c>
      <c r="G10" s="119">
        <v>50</v>
      </c>
      <c r="H10" s="148">
        <v>1640</v>
      </c>
      <c r="I10" s="64">
        <f>H10*G10</f>
        <v>82000</v>
      </c>
    </row>
    <row r="11" spans="1:10" ht="40.5" customHeight="1" x14ac:dyDescent="0.2">
      <c r="A11" s="52">
        <v>2</v>
      </c>
      <c r="B11" s="44" t="s">
        <v>29</v>
      </c>
      <c r="C11" s="54" t="s">
        <v>22</v>
      </c>
      <c r="D11" s="54" t="str">
        <f t="shared" si="0"/>
        <v>2.3.1</v>
      </c>
      <c r="E11" s="45" t="s">
        <v>123</v>
      </c>
      <c r="F11" s="54" t="s">
        <v>14</v>
      </c>
      <c r="G11" s="119">
        <v>100</v>
      </c>
      <c r="H11" s="148">
        <v>1550</v>
      </c>
      <c r="I11" s="64">
        <f t="shared" ref="I11:I58" si="1">+H11*G11</f>
        <v>155000</v>
      </c>
    </row>
    <row r="12" spans="1:10" ht="49.5" customHeight="1" x14ac:dyDescent="0.2">
      <c r="A12" s="52">
        <v>3</v>
      </c>
      <c r="B12" s="44" t="s">
        <v>200</v>
      </c>
      <c r="C12" s="54" t="s">
        <v>22</v>
      </c>
      <c r="D12" s="54" t="str">
        <f t="shared" si="0"/>
        <v>2.3.1</v>
      </c>
      <c r="E12" s="45" t="s">
        <v>283</v>
      </c>
      <c r="F12" s="46" t="s">
        <v>14</v>
      </c>
      <c r="G12" s="118">
        <v>80</v>
      </c>
      <c r="H12" s="148">
        <v>1370</v>
      </c>
      <c r="I12" s="64">
        <f t="shared" si="1"/>
        <v>109600</v>
      </c>
    </row>
    <row r="13" spans="1:10" ht="49.5" customHeight="1" x14ac:dyDescent="0.2">
      <c r="A13" s="52">
        <v>4</v>
      </c>
      <c r="B13" s="44" t="s">
        <v>30</v>
      </c>
      <c r="C13" s="54" t="s">
        <v>22</v>
      </c>
      <c r="D13" s="46" t="str">
        <f t="shared" si="0"/>
        <v>2.3.1</v>
      </c>
      <c r="E13" s="45" t="s">
        <v>282</v>
      </c>
      <c r="F13" s="46" t="s">
        <v>14</v>
      </c>
      <c r="G13" s="118">
        <v>80</v>
      </c>
      <c r="H13" s="148">
        <v>1180</v>
      </c>
      <c r="I13" s="64">
        <f t="shared" si="1"/>
        <v>94400</v>
      </c>
    </row>
    <row r="14" spans="1:10" ht="49.5" customHeight="1" x14ac:dyDescent="0.2">
      <c r="A14" s="52">
        <v>5</v>
      </c>
      <c r="B14" s="44" t="s">
        <v>31</v>
      </c>
      <c r="C14" s="54" t="s">
        <v>22</v>
      </c>
      <c r="D14" s="46" t="str">
        <f t="shared" si="0"/>
        <v>2.3.1</v>
      </c>
      <c r="E14" s="45" t="s">
        <v>99</v>
      </c>
      <c r="F14" s="46" t="s">
        <v>14</v>
      </c>
      <c r="G14" s="118">
        <v>80</v>
      </c>
      <c r="H14" s="148">
        <v>1219.67</v>
      </c>
      <c r="I14" s="64">
        <f t="shared" si="1"/>
        <v>97573.6</v>
      </c>
      <c r="J14" s="31"/>
    </row>
    <row r="15" spans="1:10" ht="49.5" customHeight="1" x14ac:dyDescent="0.2">
      <c r="A15" s="52">
        <v>6</v>
      </c>
      <c r="B15" s="44" t="s">
        <v>32</v>
      </c>
      <c r="C15" s="54" t="s">
        <v>22</v>
      </c>
      <c r="D15" s="46" t="str">
        <f t="shared" si="0"/>
        <v>2.3.1</v>
      </c>
      <c r="E15" s="45" t="s">
        <v>100</v>
      </c>
      <c r="F15" s="46" t="s">
        <v>14</v>
      </c>
      <c r="G15" s="118">
        <v>100</v>
      </c>
      <c r="H15" s="148">
        <v>34.700000000000003</v>
      </c>
      <c r="I15" s="64">
        <f t="shared" si="1"/>
        <v>3470.0000000000005</v>
      </c>
      <c r="J15" s="146"/>
    </row>
    <row r="16" spans="1:10" ht="49.5" customHeight="1" x14ac:dyDescent="0.2">
      <c r="A16" s="52">
        <v>7</v>
      </c>
      <c r="B16" s="44" t="s">
        <v>33</v>
      </c>
      <c r="C16" s="54" t="s">
        <v>22</v>
      </c>
      <c r="D16" s="46" t="str">
        <f t="shared" si="0"/>
        <v>2.3.1</v>
      </c>
      <c r="E16" s="45" t="s">
        <v>101</v>
      </c>
      <c r="F16" s="46" t="s">
        <v>14</v>
      </c>
      <c r="G16" s="118">
        <v>200</v>
      </c>
      <c r="H16" s="148">
        <v>11.56</v>
      </c>
      <c r="I16" s="64">
        <f t="shared" si="1"/>
        <v>2312</v>
      </c>
      <c r="J16" s="31"/>
    </row>
    <row r="17" spans="1:10" ht="43.5" customHeight="1" x14ac:dyDescent="0.2">
      <c r="A17" s="52">
        <v>8</v>
      </c>
      <c r="B17" s="44" t="s">
        <v>173</v>
      </c>
      <c r="C17" s="54" t="s">
        <v>22</v>
      </c>
      <c r="D17" s="46" t="str">
        <f t="shared" si="0"/>
        <v>2.9.2</v>
      </c>
      <c r="E17" s="45" t="s">
        <v>174</v>
      </c>
      <c r="F17" s="46" t="s">
        <v>14</v>
      </c>
      <c r="G17" s="118">
        <v>100</v>
      </c>
      <c r="H17" s="148">
        <v>180</v>
      </c>
      <c r="I17" s="64">
        <f t="shared" si="1"/>
        <v>18000</v>
      </c>
      <c r="J17" s="146"/>
    </row>
    <row r="18" spans="1:10" ht="49.5" customHeight="1" x14ac:dyDescent="0.2">
      <c r="A18" s="52">
        <v>9</v>
      </c>
      <c r="B18" s="44" t="s">
        <v>157</v>
      </c>
      <c r="C18" s="54" t="s">
        <v>22</v>
      </c>
      <c r="D18" s="46" t="str">
        <f t="shared" si="0"/>
        <v>2.9.2</v>
      </c>
      <c r="E18" s="45" t="s">
        <v>158</v>
      </c>
      <c r="F18" s="46" t="s">
        <v>14</v>
      </c>
      <c r="G18" s="119">
        <v>50</v>
      </c>
      <c r="H18" s="148">
        <v>800</v>
      </c>
      <c r="I18" s="64">
        <f t="shared" si="1"/>
        <v>40000</v>
      </c>
    </row>
    <row r="19" spans="1:10" ht="42.75" customHeight="1" x14ac:dyDescent="0.2">
      <c r="A19" s="52">
        <v>10</v>
      </c>
      <c r="B19" s="44" t="s">
        <v>34</v>
      </c>
      <c r="C19" s="54" t="s">
        <v>22</v>
      </c>
      <c r="D19" s="46" t="str">
        <f t="shared" si="0"/>
        <v>2.9.2</v>
      </c>
      <c r="E19" s="45" t="s">
        <v>102</v>
      </c>
      <c r="F19" s="46" t="s">
        <v>14</v>
      </c>
      <c r="G19" s="118">
        <v>50</v>
      </c>
      <c r="H19" s="148">
        <v>138.9</v>
      </c>
      <c r="I19" s="64">
        <f t="shared" si="1"/>
        <v>6945</v>
      </c>
    </row>
    <row r="20" spans="1:10" ht="40.5" customHeight="1" x14ac:dyDescent="0.2">
      <c r="A20" s="52">
        <v>11</v>
      </c>
      <c r="B20" s="44" t="s">
        <v>35</v>
      </c>
      <c r="C20" s="54" t="s">
        <v>22</v>
      </c>
      <c r="D20" s="46" t="str">
        <f t="shared" si="0"/>
        <v>2.9.2</v>
      </c>
      <c r="E20" s="45" t="s">
        <v>103</v>
      </c>
      <c r="F20" s="46" t="s">
        <v>14</v>
      </c>
      <c r="G20" s="118">
        <v>50</v>
      </c>
      <c r="H20" s="148">
        <v>100</v>
      </c>
      <c r="I20" s="64">
        <f t="shared" si="1"/>
        <v>5000</v>
      </c>
    </row>
    <row r="21" spans="1:10" ht="41.25" customHeight="1" x14ac:dyDescent="0.2">
      <c r="A21" s="52">
        <v>12</v>
      </c>
      <c r="B21" s="44" t="s">
        <v>36</v>
      </c>
      <c r="C21" s="54" t="s">
        <v>22</v>
      </c>
      <c r="D21" s="46" t="str">
        <f t="shared" si="0"/>
        <v>2.9.2</v>
      </c>
      <c r="E21" s="45" t="s">
        <v>104</v>
      </c>
      <c r="F21" s="46" t="s">
        <v>14</v>
      </c>
      <c r="G21" s="119">
        <v>50</v>
      </c>
      <c r="H21" s="148">
        <v>278.88</v>
      </c>
      <c r="I21" s="64">
        <f t="shared" si="1"/>
        <v>13944</v>
      </c>
    </row>
    <row r="22" spans="1:10" ht="41.25" customHeight="1" x14ac:dyDescent="0.2">
      <c r="A22" s="52">
        <v>13</v>
      </c>
      <c r="B22" s="44" t="s">
        <v>37</v>
      </c>
      <c r="C22" s="54" t="s">
        <v>22</v>
      </c>
      <c r="D22" s="46" t="str">
        <f t="shared" si="0"/>
        <v>2.9.2</v>
      </c>
      <c r="E22" s="45" t="s">
        <v>316</v>
      </c>
      <c r="F22" s="46" t="s">
        <v>14</v>
      </c>
      <c r="G22" s="119">
        <v>100</v>
      </c>
      <c r="H22" s="148">
        <f>1059/6</f>
        <v>176.5</v>
      </c>
      <c r="I22" s="64">
        <f t="shared" si="1"/>
        <v>17650</v>
      </c>
    </row>
    <row r="23" spans="1:10" ht="39.75" customHeight="1" x14ac:dyDescent="0.2">
      <c r="A23" s="52">
        <v>14</v>
      </c>
      <c r="B23" s="44" t="s">
        <v>38</v>
      </c>
      <c r="C23" s="54" t="s">
        <v>22</v>
      </c>
      <c r="D23" s="46" t="str">
        <f t="shared" si="0"/>
        <v>2.9.2</v>
      </c>
      <c r="E23" s="45" t="s">
        <v>175</v>
      </c>
      <c r="F23" s="46" t="s">
        <v>14</v>
      </c>
      <c r="G23" s="119">
        <v>100</v>
      </c>
      <c r="H23" s="148">
        <v>176.5</v>
      </c>
      <c r="I23" s="64">
        <f t="shared" si="1"/>
        <v>17650</v>
      </c>
    </row>
    <row r="24" spans="1:10" ht="36" customHeight="1" x14ac:dyDescent="0.2">
      <c r="A24" s="52">
        <v>15</v>
      </c>
      <c r="B24" s="44" t="s">
        <v>39</v>
      </c>
      <c r="C24" s="54" t="s">
        <v>22</v>
      </c>
      <c r="D24" s="54" t="str">
        <f t="shared" si="0"/>
        <v>2.9.2</v>
      </c>
      <c r="E24" s="45" t="s">
        <v>176</v>
      </c>
      <c r="F24" s="54" t="s">
        <v>14</v>
      </c>
      <c r="G24" s="119">
        <v>100</v>
      </c>
      <c r="H24" s="148">
        <v>244.33333333333334</v>
      </c>
      <c r="I24" s="64">
        <f t="shared" si="1"/>
        <v>24433.333333333336</v>
      </c>
    </row>
    <row r="25" spans="1:10" ht="36.75" customHeight="1" x14ac:dyDescent="0.2">
      <c r="A25" s="52">
        <v>16</v>
      </c>
      <c r="B25" s="44" t="s">
        <v>40</v>
      </c>
      <c r="C25" s="54" t="s">
        <v>22</v>
      </c>
      <c r="D25" s="54" t="str">
        <f t="shared" si="0"/>
        <v>2.9.2</v>
      </c>
      <c r="E25" s="45" t="s">
        <v>177</v>
      </c>
      <c r="F25" s="54" t="s">
        <v>14</v>
      </c>
      <c r="G25" s="119">
        <v>100</v>
      </c>
      <c r="H25" s="148">
        <v>244.33</v>
      </c>
      <c r="I25" s="64">
        <f t="shared" si="1"/>
        <v>24433</v>
      </c>
    </row>
    <row r="26" spans="1:10" ht="31.5" customHeight="1" x14ac:dyDescent="0.2">
      <c r="A26" s="52">
        <v>17</v>
      </c>
      <c r="B26" s="98" t="s">
        <v>23</v>
      </c>
      <c r="C26" s="54" t="s">
        <v>22</v>
      </c>
      <c r="D26" s="46" t="str">
        <f t="shared" si="0"/>
        <v>2.9.2</v>
      </c>
      <c r="E26" s="45" t="s">
        <v>178</v>
      </c>
      <c r="F26" s="46" t="s">
        <v>168</v>
      </c>
      <c r="G26" s="119">
        <v>15</v>
      </c>
      <c r="H26" s="148">
        <v>1010</v>
      </c>
      <c r="I26" s="64">
        <f t="shared" si="1"/>
        <v>15150</v>
      </c>
    </row>
    <row r="27" spans="1:10" ht="36" customHeight="1" x14ac:dyDescent="0.2">
      <c r="A27" s="52">
        <v>18</v>
      </c>
      <c r="B27" s="44" t="s">
        <v>41</v>
      </c>
      <c r="C27" s="54" t="s">
        <v>22</v>
      </c>
      <c r="D27" s="46" t="str">
        <f t="shared" si="0"/>
        <v>2.9.2</v>
      </c>
      <c r="E27" s="45" t="s">
        <v>179</v>
      </c>
      <c r="F27" s="46" t="s">
        <v>168</v>
      </c>
      <c r="G27" s="119">
        <v>15</v>
      </c>
      <c r="H27" s="148">
        <v>830</v>
      </c>
      <c r="I27" s="64">
        <f t="shared" si="1"/>
        <v>12450</v>
      </c>
    </row>
    <row r="28" spans="1:10" ht="36.75" customHeight="1" x14ac:dyDescent="0.2">
      <c r="A28" s="52">
        <v>19</v>
      </c>
      <c r="B28" s="44" t="s">
        <v>42</v>
      </c>
      <c r="C28" s="54" t="s">
        <v>22</v>
      </c>
      <c r="D28" s="46" t="str">
        <f t="shared" si="0"/>
        <v>2.9.2</v>
      </c>
      <c r="E28" s="45" t="s">
        <v>105</v>
      </c>
      <c r="F28" s="46" t="s">
        <v>43</v>
      </c>
      <c r="G28" s="119">
        <v>40</v>
      </c>
      <c r="H28" s="148">
        <v>509</v>
      </c>
      <c r="I28" s="64">
        <f t="shared" si="1"/>
        <v>20360</v>
      </c>
    </row>
    <row r="29" spans="1:10" ht="36" customHeight="1" x14ac:dyDescent="0.2">
      <c r="A29" s="52">
        <v>20</v>
      </c>
      <c r="B29" s="44" t="s">
        <v>44</v>
      </c>
      <c r="C29" s="54" t="s">
        <v>22</v>
      </c>
      <c r="D29" s="46" t="str">
        <f t="shared" si="0"/>
        <v>2.9.2</v>
      </c>
      <c r="E29" s="141" t="s">
        <v>292</v>
      </c>
      <c r="F29" s="46" t="s">
        <v>14</v>
      </c>
      <c r="G29" s="119">
        <v>40</v>
      </c>
      <c r="H29" s="148">
        <v>549</v>
      </c>
      <c r="I29" s="64">
        <f t="shared" si="1"/>
        <v>21960</v>
      </c>
      <c r="J29" s="68"/>
    </row>
    <row r="30" spans="1:10" ht="39.75" customHeight="1" x14ac:dyDescent="0.2">
      <c r="A30" s="52">
        <v>21</v>
      </c>
      <c r="B30" s="44" t="s">
        <v>45</v>
      </c>
      <c r="C30" s="54" t="s">
        <v>22</v>
      </c>
      <c r="D30" s="46" t="str">
        <f t="shared" si="0"/>
        <v>2.9.2</v>
      </c>
      <c r="E30" s="45" t="s">
        <v>106</v>
      </c>
      <c r="F30" s="46" t="s">
        <v>14</v>
      </c>
      <c r="G30" s="119">
        <v>40</v>
      </c>
      <c r="H30" s="148">
        <v>291.67</v>
      </c>
      <c r="I30" s="64">
        <f t="shared" si="1"/>
        <v>11666.800000000001</v>
      </c>
    </row>
    <row r="31" spans="1:10" ht="34.5" customHeight="1" x14ac:dyDescent="0.2">
      <c r="A31" s="52">
        <v>22</v>
      </c>
      <c r="B31" s="44" t="s">
        <v>46</v>
      </c>
      <c r="C31" s="54" t="s">
        <v>22</v>
      </c>
      <c r="D31" s="46" t="str">
        <f t="shared" si="0"/>
        <v>2.9.2</v>
      </c>
      <c r="E31" s="45" t="s">
        <v>180</v>
      </c>
      <c r="F31" s="46" t="s">
        <v>14</v>
      </c>
      <c r="G31" s="119">
        <v>40</v>
      </c>
      <c r="H31" s="148">
        <v>358.55</v>
      </c>
      <c r="I31" s="64">
        <f t="shared" si="1"/>
        <v>14342</v>
      </c>
    </row>
    <row r="32" spans="1:10" ht="37.5" customHeight="1" x14ac:dyDescent="0.2">
      <c r="A32" s="52">
        <v>23</v>
      </c>
      <c r="B32" s="99" t="s">
        <v>47</v>
      </c>
      <c r="C32" s="49" t="s">
        <v>22</v>
      </c>
      <c r="D32" s="46" t="str">
        <f t="shared" si="0"/>
        <v>2.9.2</v>
      </c>
      <c r="E32" s="60" t="s">
        <v>181</v>
      </c>
      <c r="F32" s="48" t="s">
        <v>14</v>
      </c>
      <c r="G32" s="120">
        <v>40</v>
      </c>
      <c r="H32" s="148">
        <v>286.07</v>
      </c>
      <c r="I32" s="64">
        <f t="shared" si="1"/>
        <v>11442.8</v>
      </c>
    </row>
    <row r="33" spans="1:9" ht="24.75" customHeight="1" x14ac:dyDescent="0.2">
      <c r="A33" s="52">
        <v>24</v>
      </c>
      <c r="B33" s="44" t="s">
        <v>49</v>
      </c>
      <c r="C33" s="54" t="s">
        <v>22</v>
      </c>
      <c r="D33" s="46" t="str">
        <f t="shared" si="0"/>
        <v>2.9.2</v>
      </c>
      <c r="E33" s="45" t="s">
        <v>312</v>
      </c>
      <c r="F33" s="46" t="s">
        <v>14</v>
      </c>
      <c r="G33" s="119">
        <v>50</v>
      </c>
      <c r="H33" s="148">
        <v>342</v>
      </c>
      <c r="I33" s="64">
        <f t="shared" si="1"/>
        <v>17100</v>
      </c>
    </row>
    <row r="34" spans="1:9" ht="24.75" customHeight="1" x14ac:dyDescent="0.2">
      <c r="A34" s="52">
        <v>25</v>
      </c>
      <c r="B34" s="44" t="s">
        <v>50</v>
      </c>
      <c r="C34" s="54" t="s">
        <v>22</v>
      </c>
      <c r="D34" s="46" t="str">
        <f t="shared" si="0"/>
        <v>2.9.2</v>
      </c>
      <c r="E34" s="45" t="s">
        <v>107</v>
      </c>
      <c r="F34" s="46" t="s">
        <v>14</v>
      </c>
      <c r="G34" s="119">
        <v>80</v>
      </c>
      <c r="H34" s="148">
        <v>137.5</v>
      </c>
      <c r="I34" s="64">
        <f t="shared" si="1"/>
        <v>11000</v>
      </c>
    </row>
    <row r="35" spans="1:9" ht="36.75" customHeight="1" x14ac:dyDescent="0.2">
      <c r="A35" s="52">
        <v>26</v>
      </c>
      <c r="B35" s="44" t="s">
        <v>51</v>
      </c>
      <c r="C35" s="54" t="s">
        <v>22</v>
      </c>
      <c r="D35" s="46" t="str">
        <f t="shared" si="0"/>
        <v>2.9.2</v>
      </c>
      <c r="E35" s="45" t="s">
        <v>182</v>
      </c>
      <c r="F35" s="46" t="s">
        <v>14</v>
      </c>
      <c r="G35" s="119">
        <v>50</v>
      </c>
      <c r="H35" s="148">
        <v>675.9</v>
      </c>
      <c r="I35" s="64">
        <f t="shared" si="1"/>
        <v>33795</v>
      </c>
    </row>
    <row r="36" spans="1:9" ht="36" customHeight="1" x14ac:dyDescent="0.2">
      <c r="A36" s="52">
        <v>27</v>
      </c>
      <c r="B36" s="44" t="s">
        <v>52</v>
      </c>
      <c r="C36" s="54" t="s">
        <v>22</v>
      </c>
      <c r="D36" s="46" t="str">
        <f t="shared" si="0"/>
        <v>2.9.2</v>
      </c>
      <c r="E36" s="45" t="s">
        <v>108</v>
      </c>
      <c r="F36" s="46" t="s">
        <v>14</v>
      </c>
      <c r="G36" s="119">
        <v>50</v>
      </c>
      <c r="H36" s="147" t="s">
        <v>317</v>
      </c>
      <c r="I36" s="64" t="s">
        <v>318</v>
      </c>
    </row>
    <row r="37" spans="1:9" ht="27.75" customHeight="1" x14ac:dyDescent="0.2">
      <c r="A37" s="52">
        <v>28</v>
      </c>
      <c r="B37" s="44" t="s">
        <v>53</v>
      </c>
      <c r="C37" s="54" t="s">
        <v>22</v>
      </c>
      <c r="D37" s="46" t="str">
        <f>+LEFT(B37,5)</f>
        <v>2.9.2</v>
      </c>
      <c r="E37" s="45" t="s">
        <v>109</v>
      </c>
      <c r="F37" s="46" t="s">
        <v>14</v>
      </c>
      <c r="G37" s="119">
        <v>100</v>
      </c>
      <c r="H37" s="148">
        <v>60.06</v>
      </c>
      <c r="I37" s="64">
        <f t="shared" si="1"/>
        <v>6006</v>
      </c>
    </row>
    <row r="38" spans="1:9" ht="27.75" customHeight="1" x14ac:dyDescent="0.2">
      <c r="A38" s="52">
        <v>29</v>
      </c>
      <c r="B38" s="44" t="s">
        <v>64</v>
      </c>
      <c r="C38" s="54" t="s">
        <v>22</v>
      </c>
      <c r="D38" s="46" t="str">
        <f>+LEFT(B38,5)</f>
        <v>2.9.2</v>
      </c>
      <c r="E38" s="45" t="s">
        <v>110</v>
      </c>
      <c r="F38" s="46" t="s">
        <v>14</v>
      </c>
      <c r="G38" s="119">
        <v>150</v>
      </c>
      <c r="H38" s="148">
        <v>869</v>
      </c>
      <c r="I38" s="64">
        <f t="shared" si="1"/>
        <v>130350</v>
      </c>
    </row>
    <row r="39" spans="1:9" ht="25.5" customHeight="1" x14ac:dyDescent="0.2">
      <c r="A39" s="52">
        <v>30</v>
      </c>
      <c r="B39" s="44" t="s">
        <v>54</v>
      </c>
      <c r="C39" s="54" t="s">
        <v>22</v>
      </c>
      <c r="D39" s="46" t="str">
        <f>+LEFT(B39,5)</f>
        <v>2.9.2</v>
      </c>
      <c r="E39" s="45" t="s">
        <v>111</v>
      </c>
      <c r="F39" s="46" t="s">
        <v>14</v>
      </c>
      <c r="G39" s="119">
        <v>100</v>
      </c>
      <c r="H39" s="148">
        <v>155.84</v>
      </c>
      <c r="I39" s="64">
        <f t="shared" si="1"/>
        <v>15584</v>
      </c>
    </row>
    <row r="40" spans="1:9" ht="28.5" customHeight="1" x14ac:dyDescent="0.2">
      <c r="A40" s="52">
        <v>31</v>
      </c>
      <c r="B40" s="44" t="s">
        <v>183</v>
      </c>
      <c r="C40" s="54" t="s">
        <v>22</v>
      </c>
      <c r="D40" s="46" t="str">
        <f>+LEFT(B40,5)</f>
        <v>2.9.2</v>
      </c>
      <c r="E40" s="45" t="s">
        <v>184</v>
      </c>
      <c r="F40" s="46" t="s">
        <v>14</v>
      </c>
      <c r="G40" s="119">
        <v>100</v>
      </c>
      <c r="H40" s="148">
        <v>24.75</v>
      </c>
      <c r="I40" s="64">
        <f t="shared" si="1"/>
        <v>2475</v>
      </c>
    </row>
    <row r="41" spans="1:9" ht="28.5" customHeight="1" x14ac:dyDescent="0.2">
      <c r="A41" s="52">
        <v>32</v>
      </c>
      <c r="B41" s="44" t="s">
        <v>183</v>
      </c>
      <c r="C41" s="54" t="s">
        <v>22</v>
      </c>
      <c r="D41" s="46" t="str">
        <f>+LEFT(B41,5)</f>
        <v>2.9.2</v>
      </c>
      <c r="E41" s="45" t="s">
        <v>185</v>
      </c>
      <c r="F41" s="46" t="s">
        <v>14</v>
      </c>
      <c r="G41" s="119">
        <v>100</v>
      </c>
      <c r="H41" s="148">
        <v>24.75</v>
      </c>
      <c r="I41" s="64">
        <f t="shared" si="1"/>
        <v>2475</v>
      </c>
    </row>
    <row r="42" spans="1:9" ht="34.5" customHeight="1" x14ac:dyDescent="0.2">
      <c r="A42" s="52">
        <v>33</v>
      </c>
      <c r="B42" s="44" t="s">
        <v>159</v>
      </c>
      <c r="C42" s="54" t="s">
        <v>22</v>
      </c>
      <c r="D42" s="46" t="str">
        <f t="shared" si="0"/>
        <v>2.9.2</v>
      </c>
      <c r="E42" s="45" t="s">
        <v>186</v>
      </c>
      <c r="F42" s="46" t="s">
        <v>14</v>
      </c>
      <c r="G42" s="119">
        <v>150</v>
      </c>
      <c r="H42" s="148">
        <v>194.5</v>
      </c>
      <c r="I42" s="64">
        <f t="shared" si="1"/>
        <v>29175</v>
      </c>
    </row>
    <row r="43" spans="1:9" ht="36.75" customHeight="1" x14ac:dyDescent="0.2">
      <c r="A43" s="52">
        <v>34</v>
      </c>
      <c r="B43" s="44" t="s">
        <v>55</v>
      </c>
      <c r="C43" s="54" t="s">
        <v>22</v>
      </c>
      <c r="D43" s="46" t="str">
        <f t="shared" si="0"/>
        <v>2.9.2</v>
      </c>
      <c r="E43" s="45" t="s">
        <v>189</v>
      </c>
      <c r="F43" s="46" t="s">
        <v>167</v>
      </c>
      <c r="G43" s="119">
        <v>10</v>
      </c>
      <c r="H43" s="148">
        <v>427.09</v>
      </c>
      <c r="I43" s="64">
        <f t="shared" si="1"/>
        <v>4270.8999999999996</v>
      </c>
    </row>
    <row r="44" spans="1:9" ht="37.5" customHeight="1" x14ac:dyDescent="0.2">
      <c r="A44" s="52">
        <v>35</v>
      </c>
      <c r="B44" s="44" t="s">
        <v>187</v>
      </c>
      <c r="C44" s="54" t="s">
        <v>22</v>
      </c>
      <c r="D44" s="46" t="str">
        <f t="shared" si="0"/>
        <v>2.9.2</v>
      </c>
      <c r="E44" s="45" t="s">
        <v>188</v>
      </c>
      <c r="F44" s="46" t="s">
        <v>167</v>
      </c>
      <c r="G44" s="119">
        <v>10</v>
      </c>
      <c r="H44" s="148">
        <v>2659.4</v>
      </c>
      <c r="I44" s="64">
        <f t="shared" si="1"/>
        <v>26594</v>
      </c>
    </row>
    <row r="45" spans="1:9" ht="27.75" customHeight="1" x14ac:dyDescent="0.2">
      <c r="A45" s="52">
        <v>36</v>
      </c>
      <c r="B45" s="44" t="s">
        <v>190</v>
      </c>
      <c r="C45" s="54" t="s">
        <v>22</v>
      </c>
      <c r="D45" s="46" t="str">
        <f t="shared" si="0"/>
        <v>2.9.2</v>
      </c>
      <c r="E45" s="45" t="s">
        <v>191</v>
      </c>
      <c r="F45" s="46" t="s">
        <v>167</v>
      </c>
      <c r="G45" s="119">
        <v>10</v>
      </c>
      <c r="H45" s="148">
        <v>86</v>
      </c>
      <c r="I45" s="64">
        <f t="shared" si="1"/>
        <v>860</v>
      </c>
    </row>
    <row r="46" spans="1:9" ht="24.75" customHeight="1" x14ac:dyDescent="0.2">
      <c r="A46" s="52">
        <v>37</v>
      </c>
      <c r="B46" s="44" t="s">
        <v>65</v>
      </c>
      <c r="C46" s="54" t="s">
        <v>22</v>
      </c>
      <c r="D46" s="46" t="str">
        <f t="shared" si="0"/>
        <v>2.9.2</v>
      </c>
      <c r="E46" s="45" t="s">
        <v>112</v>
      </c>
      <c r="F46" s="46" t="s">
        <v>14</v>
      </c>
      <c r="G46" s="119">
        <v>30</v>
      </c>
      <c r="H46" s="148">
        <v>30.04</v>
      </c>
      <c r="I46" s="64">
        <f t="shared" si="1"/>
        <v>901.19999999999993</v>
      </c>
    </row>
    <row r="47" spans="1:9" ht="33.75" customHeight="1" x14ac:dyDescent="0.2">
      <c r="A47" s="52">
        <v>38</v>
      </c>
      <c r="B47" s="44" t="s">
        <v>56</v>
      </c>
      <c r="C47" s="54" t="s">
        <v>22</v>
      </c>
      <c r="D47" s="54" t="str">
        <f t="shared" si="0"/>
        <v>2.9.2</v>
      </c>
      <c r="E47" s="45" t="s">
        <v>113</v>
      </c>
      <c r="F47" s="54" t="s">
        <v>167</v>
      </c>
      <c r="G47" s="119">
        <v>15</v>
      </c>
      <c r="H47" s="148">
        <v>1989</v>
      </c>
      <c r="I47" s="64">
        <f t="shared" si="1"/>
        <v>29835</v>
      </c>
    </row>
    <row r="48" spans="1:9" ht="29.25" customHeight="1" x14ac:dyDescent="0.2">
      <c r="A48" s="52">
        <v>39</v>
      </c>
      <c r="B48" s="44" t="s">
        <v>160</v>
      </c>
      <c r="C48" s="54" t="s">
        <v>22</v>
      </c>
      <c r="D48" s="54" t="str">
        <f t="shared" si="0"/>
        <v>2.9.2</v>
      </c>
      <c r="E48" s="45" t="s">
        <v>192</v>
      </c>
      <c r="F48" s="46" t="s">
        <v>14</v>
      </c>
      <c r="G48" s="119">
        <v>20</v>
      </c>
      <c r="H48" s="148">
        <v>520</v>
      </c>
      <c r="I48" s="64">
        <f t="shared" si="1"/>
        <v>10400</v>
      </c>
    </row>
    <row r="49" spans="1:9" ht="49.5" customHeight="1" x14ac:dyDescent="0.2">
      <c r="A49" s="52">
        <v>40</v>
      </c>
      <c r="B49" s="44" t="s">
        <v>57</v>
      </c>
      <c r="C49" s="54" t="s">
        <v>22</v>
      </c>
      <c r="D49" s="54" t="str">
        <f t="shared" si="0"/>
        <v>2.9.2</v>
      </c>
      <c r="E49" s="45" t="s">
        <v>114</v>
      </c>
      <c r="F49" s="54" t="s">
        <v>14</v>
      </c>
      <c r="G49" s="119">
        <v>30</v>
      </c>
      <c r="H49" s="148">
        <v>385</v>
      </c>
      <c r="I49" s="64">
        <f t="shared" si="1"/>
        <v>11550</v>
      </c>
    </row>
    <row r="50" spans="1:9" ht="49.5" customHeight="1" x14ac:dyDescent="0.2">
      <c r="A50" s="52">
        <v>41</v>
      </c>
      <c r="B50" s="44" t="s">
        <v>58</v>
      </c>
      <c r="C50" s="54" t="s">
        <v>22</v>
      </c>
      <c r="D50" s="46" t="str">
        <f t="shared" si="0"/>
        <v>2.9.2</v>
      </c>
      <c r="E50" s="45" t="s">
        <v>115</v>
      </c>
      <c r="F50" s="46" t="s">
        <v>14</v>
      </c>
      <c r="G50" s="119">
        <v>30</v>
      </c>
      <c r="H50" s="148">
        <f>1130.97/12</f>
        <v>94.247500000000002</v>
      </c>
      <c r="I50" s="64">
        <f t="shared" si="1"/>
        <v>2827.4250000000002</v>
      </c>
    </row>
    <row r="51" spans="1:9" ht="33" customHeight="1" x14ac:dyDescent="0.2">
      <c r="A51" s="52">
        <v>42</v>
      </c>
      <c r="B51" s="44" t="s">
        <v>59</v>
      </c>
      <c r="C51" s="54" t="s">
        <v>22</v>
      </c>
      <c r="D51" s="46" t="str">
        <f t="shared" si="0"/>
        <v>2.9.2</v>
      </c>
      <c r="E51" s="45" t="s">
        <v>116</v>
      </c>
      <c r="F51" s="46" t="s">
        <v>14</v>
      </c>
      <c r="G51" s="119">
        <v>200</v>
      </c>
      <c r="H51" s="148">
        <v>158.33000000000001</v>
      </c>
      <c r="I51" s="64">
        <f t="shared" si="1"/>
        <v>31666.000000000004</v>
      </c>
    </row>
    <row r="52" spans="1:9" ht="27" customHeight="1" x14ac:dyDescent="0.2">
      <c r="A52" s="52">
        <v>43</v>
      </c>
      <c r="B52" s="44" t="s">
        <v>60</v>
      </c>
      <c r="C52" s="54" t="s">
        <v>22</v>
      </c>
      <c r="D52" s="46" t="str">
        <f t="shared" si="0"/>
        <v>2.9.2</v>
      </c>
      <c r="E52" s="45" t="s">
        <v>117</v>
      </c>
      <c r="F52" s="46" t="s">
        <v>14</v>
      </c>
      <c r="G52" s="119">
        <v>120</v>
      </c>
      <c r="H52" s="148">
        <v>115</v>
      </c>
      <c r="I52" s="64">
        <f t="shared" si="1"/>
        <v>13800</v>
      </c>
    </row>
    <row r="53" spans="1:9" ht="33" customHeight="1" x14ac:dyDescent="0.2">
      <c r="A53" s="52">
        <v>44</v>
      </c>
      <c r="B53" s="44" t="s">
        <v>61</v>
      </c>
      <c r="C53" s="54" t="s">
        <v>22</v>
      </c>
      <c r="D53" s="46" t="str">
        <f>+LEFT(B53,5)</f>
        <v>2.9.2</v>
      </c>
      <c r="E53" s="45" t="s">
        <v>118</v>
      </c>
      <c r="F53" s="46" t="s">
        <v>14</v>
      </c>
      <c r="G53" s="119">
        <v>100</v>
      </c>
      <c r="H53" s="148">
        <v>100</v>
      </c>
      <c r="I53" s="64">
        <f t="shared" si="1"/>
        <v>10000</v>
      </c>
    </row>
    <row r="54" spans="1:9" ht="42" customHeight="1" x14ac:dyDescent="0.2">
      <c r="A54" s="52">
        <v>45</v>
      </c>
      <c r="B54" s="44" t="s">
        <v>66</v>
      </c>
      <c r="C54" s="54" t="s">
        <v>22</v>
      </c>
      <c r="D54" s="46" t="str">
        <f>+LEFT(B54,5)</f>
        <v>2.9.2</v>
      </c>
      <c r="E54" s="45" t="s">
        <v>119</v>
      </c>
      <c r="F54" s="46" t="s">
        <v>167</v>
      </c>
      <c r="G54" s="119">
        <v>5</v>
      </c>
      <c r="H54" s="148">
        <v>1444</v>
      </c>
      <c r="I54" s="64">
        <f t="shared" si="1"/>
        <v>7220</v>
      </c>
    </row>
    <row r="55" spans="1:9" ht="28.5" customHeight="1" x14ac:dyDescent="0.2">
      <c r="A55" s="52">
        <v>46</v>
      </c>
      <c r="B55" s="44" t="s">
        <v>155</v>
      </c>
      <c r="C55" s="54" t="s">
        <v>22</v>
      </c>
      <c r="D55" s="46" t="str">
        <f t="shared" si="0"/>
        <v>2.9.2</v>
      </c>
      <c r="E55" s="45" t="s">
        <v>156</v>
      </c>
      <c r="F55" s="46" t="s">
        <v>167</v>
      </c>
      <c r="G55" s="119">
        <v>20</v>
      </c>
      <c r="H55" s="148">
        <v>535</v>
      </c>
      <c r="I55" s="64">
        <f t="shared" si="1"/>
        <v>10700</v>
      </c>
    </row>
    <row r="56" spans="1:9" ht="30" customHeight="1" x14ac:dyDescent="0.2">
      <c r="A56" s="52">
        <v>47</v>
      </c>
      <c r="B56" s="44" t="s">
        <v>62</v>
      </c>
      <c r="C56" s="54" t="s">
        <v>22</v>
      </c>
      <c r="D56" s="46" t="str">
        <f t="shared" si="0"/>
        <v>2.9.2</v>
      </c>
      <c r="E56" s="45" t="s">
        <v>120</v>
      </c>
      <c r="F56" s="46" t="s">
        <v>167</v>
      </c>
      <c r="G56" s="119">
        <v>20</v>
      </c>
      <c r="H56" s="148">
        <v>255</v>
      </c>
      <c r="I56" s="64">
        <f t="shared" si="1"/>
        <v>5100</v>
      </c>
    </row>
    <row r="57" spans="1:9" ht="29.25" customHeight="1" x14ac:dyDescent="0.2">
      <c r="A57" s="52">
        <v>48</v>
      </c>
      <c r="B57" s="44" t="s">
        <v>63</v>
      </c>
      <c r="C57" s="54" t="s">
        <v>22</v>
      </c>
      <c r="D57" s="46" t="str">
        <f t="shared" si="0"/>
        <v>2.9.2</v>
      </c>
      <c r="E57" s="45" t="s">
        <v>154</v>
      </c>
      <c r="F57" s="46" t="s">
        <v>167</v>
      </c>
      <c r="G57" s="119">
        <v>20</v>
      </c>
      <c r="H57" s="148">
        <v>620</v>
      </c>
      <c r="I57" s="64">
        <f t="shared" si="1"/>
        <v>12400</v>
      </c>
    </row>
    <row r="58" spans="1:9" s="57" customFormat="1" ht="29.25" customHeight="1" x14ac:dyDescent="0.2">
      <c r="A58" s="52">
        <v>49</v>
      </c>
      <c r="B58" s="45" t="s">
        <v>68</v>
      </c>
      <c r="C58" s="45" t="s">
        <v>22</v>
      </c>
      <c r="D58" s="46" t="str">
        <f t="shared" ref="D58" si="2">+LEFT(B58,5)</f>
        <v>2.3.1</v>
      </c>
      <c r="E58" s="45" t="s">
        <v>121</v>
      </c>
      <c r="F58" s="45" t="s">
        <v>167</v>
      </c>
      <c r="G58" s="121">
        <v>10</v>
      </c>
      <c r="H58" s="148">
        <v>429.25</v>
      </c>
      <c r="I58" s="64">
        <f t="shared" si="1"/>
        <v>4292.5</v>
      </c>
    </row>
    <row r="59" spans="1:9" s="57" customFormat="1" ht="37.5" customHeight="1" x14ac:dyDescent="0.2">
      <c r="A59" s="52">
        <v>50</v>
      </c>
      <c r="B59" s="115" t="s">
        <v>284</v>
      </c>
      <c r="C59" s="115" t="s">
        <v>22</v>
      </c>
      <c r="D59" s="133" t="s">
        <v>202</v>
      </c>
      <c r="E59" s="115" t="s">
        <v>286</v>
      </c>
      <c r="F59" s="115" t="s">
        <v>14</v>
      </c>
      <c r="G59" s="134">
        <v>300</v>
      </c>
      <c r="H59" s="149">
        <v>11.8</v>
      </c>
      <c r="I59" s="116">
        <f t="shared" ref="I59:I61" si="3">+H59*G59</f>
        <v>3540</v>
      </c>
    </row>
    <row r="60" spans="1:9" s="57" customFormat="1" ht="37.5" customHeight="1" x14ac:dyDescent="0.2">
      <c r="A60" s="52">
        <v>51</v>
      </c>
      <c r="B60" s="115" t="s">
        <v>285</v>
      </c>
      <c r="C60" s="115" t="s">
        <v>22</v>
      </c>
      <c r="D60" s="133" t="s">
        <v>202</v>
      </c>
      <c r="E60" s="115" t="s">
        <v>287</v>
      </c>
      <c r="F60" s="115" t="s">
        <v>14</v>
      </c>
      <c r="G60" s="134">
        <v>300</v>
      </c>
      <c r="H60" s="149">
        <v>11.8</v>
      </c>
      <c r="I60" s="116">
        <f t="shared" si="3"/>
        <v>3540</v>
      </c>
    </row>
    <row r="61" spans="1:9" s="57" customFormat="1" ht="37.5" customHeight="1" x14ac:dyDescent="0.2">
      <c r="A61" s="52">
        <v>52</v>
      </c>
      <c r="B61" s="115" t="s">
        <v>48</v>
      </c>
      <c r="C61" s="115" t="s">
        <v>22</v>
      </c>
      <c r="D61" s="133" t="s">
        <v>202</v>
      </c>
      <c r="E61" s="115" t="s">
        <v>288</v>
      </c>
      <c r="F61" s="115" t="s">
        <v>14</v>
      </c>
      <c r="G61" s="134">
        <v>15</v>
      </c>
      <c r="H61" s="149">
        <v>3514.4</v>
      </c>
      <c r="I61" s="116">
        <f t="shared" si="3"/>
        <v>52716</v>
      </c>
    </row>
    <row r="62" spans="1:9" ht="13.5" thickBot="1" x14ac:dyDescent="0.25">
      <c r="A62" s="61"/>
      <c r="B62" s="43"/>
      <c r="C62" s="62"/>
      <c r="D62" s="43"/>
      <c r="E62" s="72"/>
      <c r="F62" s="43"/>
      <c r="G62" s="63"/>
      <c r="H62" s="96"/>
      <c r="I62" s="100">
        <f>SUM(I10:I61)</f>
        <v>1309955.5583333333</v>
      </c>
    </row>
    <row r="63" spans="1:9" ht="18" customHeight="1" x14ac:dyDescent="0.2"/>
    <row r="66" spans="1:10" s="47" customFormat="1" ht="29.25" customHeight="1" thickBot="1" x14ac:dyDescent="0.25">
      <c r="A66" s="1"/>
      <c r="B66" s="112"/>
      <c r="C66" s="135"/>
      <c r="D66" s="135"/>
      <c r="E66" s="135"/>
      <c r="H66" s="95"/>
      <c r="I66" s="31" t="s">
        <v>315</v>
      </c>
      <c r="J66" s="1"/>
    </row>
    <row r="67" spans="1:10" s="47" customFormat="1" x14ac:dyDescent="0.2">
      <c r="A67" s="1"/>
      <c r="B67" s="7" t="s">
        <v>295</v>
      </c>
      <c r="C67" s="34"/>
      <c r="D67" s="8"/>
      <c r="E67" s="65"/>
      <c r="H67" s="95"/>
      <c r="I67" s="31"/>
      <c r="J67" s="1"/>
    </row>
    <row r="68" spans="1:10" s="47" customFormat="1" x14ac:dyDescent="0.2">
      <c r="A68" s="1"/>
      <c r="B68" s="10"/>
      <c r="C68" s="14"/>
      <c r="D68" s="1"/>
      <c r="E68" s="66"/>
      <c r="H68" s="95"/>
      <c r="I68" s="31"/>
      <c r="J68" s="1"/>
    </row>
    <row r="69" spans="1:10" s="47" customFormat="1" ht="17.25" customHeight="1" x14ac:dyDescent="0.2">
      <c r="A69" s="1"/>
      <c r="B69" s="29" t="s">
        <v>16</v>
      </c>
      <c r="C69" s="14"/>
      <c r="D69" s="1"/>
      <c r="E69" s="66"/>
      <c r="H69" s="95"/>
      <c r="I69" s="31"/>
      <c r="J69" s="1"/>
    </row>
    <row r="70" spans="1:10" s="47" customFormat="1" ht="55.5" customHeight="1" thickBot="1" x14ac:dyDescent="0.25">
      <c r="A70" s="1"/>
      <c r="B70" s="111"/>
      <c r="C70" s="167" t="s">
        <v>201</v>
      </c>
      <c r="D70" s="167"/>
      <c r="E70" s="168"/>
      <c r="H70" s="95"/>
      <c r="I70" s="31"/>
      <c r="J70" s="1"/>
    </row>
    <row r="71" spans="1:10" s="47" customFormat="1" ht="21" customHeight="1" thickBot="1" x14ac:dyDescent="0.25">
      <c r="A71" s="1"/>
      <c r="B71" s="112"/>
      <c r="C71" s="135"/>
      <c r="D71" s="135"/>
      <c r="E71" s="135"/>
      <c r="H71" s="95"/>
      <c r="I71" s="31"/>
      <c r="J71" s="1"/>
    </row>
    <row r="72" spans="1:10" s="47" customFormat="1" x14ac:dyDescent="0.2">
      <c r="A72" s="1"/>
      <c r="B72" s="7" t="s">
        <v>296</v>
      </c>
      <c r="C72" s="34"/>
      <c r="D72" s="8"/>
      <c r="E72" s="65"/>
      <c r="H72" s="95"/>
      <c r="I72" s="31"/>
      <c r="J72" s="1"/>
    </row>
    <row r="73" spans="1:10" s="47" customFormat="1" x14ac:dyDescent="0.2">
      <c r="A73" s="1"/>
      <c r="B73" s="10"/>
      <c r="C73" s="14"/>
      <c r="D73" s="1"/>
      <c r="E73" s="66"/>
      <c r="H73" s="95"/>
      <c r="I73" s="31"/>
      <c r="J73" s="1"/>
    </row>
    <row r="74" spans="1:10" s="47" customFormat="1" ht="21.75" customHeight="1" x14ac:dyDescent="0.2">
      <c r="A74" s="1"/>
      <c r="B74" s="29" t="s">
        <v>16</v>
      </c>
      <c r="C74" s="14"/>
      <c r="D74" s="1"/>
      <c r="E74" s="66"/>
      <c r="H74" s="95"/>
      <c r="I74" s="31"/>
      <c r="J74" s="1"/>
    </row>
    <row r="75" spans="1:10" s="47" customFormat="1" ht="54.75" customHeight="1" thickBot="1" x14ac:dyDescent="0.25">
      <c r="A75" s="1"/>
      <c r="B75" s="111"/>
      <c r="C75" s="167" t="s">
        <v>193</v>
      </c>
      <c r="D75" s="167"/>
      <c r="E75" s="168"/>
      <c r="H75" s="95"/>
      <c r="I75" s="31"/>
      <c r="J75" s="1"/>
    </row>
    <row r="76" spans="1:10" s="47" customFormat="1" ht="13.5" thickBot="1" x14ac:dyDescent="0.25">
      <c r="A76" s="1"/>
      <c r="B76" s="1"/>
      <c r="C76" s="14"/>
      <c r="D76" s="1"/>
      <c r="E76" s="68"/>
      <c r="F76" s="1"/>
      <c r="H76" s="95"/>
      <c r="I76" s="31"/>
      <c r="J76" s="1"/>
    </row>
    <row r="77" spans="1:10" s="47" customFormat="1" x14ac:dyDescent="0.2">
      <c r="A77" s="1"/>
      <c r="B77" s="7" t="s">
        <v>298</v>
      </c>
      <c r="C77" s="34"/>
      <c r="D77" s="8"/>
      <c r="E77" s="65"/>
      <c r="H77" s="95"/>
      <c r="I77" s="31"/>
      <c r="J77" s="1"/>
    </row>
    <row r="78" spans="1:10" s="47" customFormat="1" x14ac:dyDescent="0.2">
      <c r="A78" s="1"/>
      <c r="B78" s="10"/>
      <c r="C78" s="14"/>
      <c r="D78" s="1"/>
      <c r="E78" s="66"/>
      <c r="H78" s="95"/>
      <c r="I78" s="31"/>
      <c r="J78" s="1"/>
    </row>
    <row r="79" spans="1:10" s="47" customFormat="1" ht="29.25" customHeight="1" x14ac:dyDescent="0.2">
      <c r="A79" s="1"/>
      <c r="B79" s="29" t="s">
        <v>16</v>
      </c>
      <c r="C79" s="14"/>
      <c r="D79" s="1"/>
      <c r="E79" s="66"/>
      <c r="H79" s="95"/>
      <c r="I79" s="31"/>
      <c r="J79" s="1"/>
    </row>
    <row r="80" spans="1:10" s="47" customFormat="1" ht="77.25" customHeight="1" thickBot="1" x14ac:dyDescent="0.25">
      <c r="A80" s="1"/>
      <c r="B80" s="111"/>
      <c r="C80" s="159" t="s">
        <v>293</v>
      </c>
      <c r="D80" s="159"/>
      <c r="E80" s="160"/>
      <c r="H80" s="95"/>
      <c r="I80" s="31"/>
      <c r="J80" s="1"/>
    </row>
    <row r="81" spans="1:10" s="47" customFormat="1" ht="13.5" thickBot="1" x14ac:dyDescent="0.25">
      <c r="A81" s="1"/>
      <c r="B81" s="1"/>
      <c r="C81" s="14"/>
      <c r="D81" s="1"/>
      <c r="E81" s="68"/>
      <c r="H81" s="95"/>
      <c r="I81" s="31"/>
      <c r="J81" s="1"/>
    </row>
    <row r="82" spans="1:10" s="47" customFormat="1" x14ac:dyDescent="0.2">
      <c r="A82" s="1"/>
      <c r="B82" s="7" t="s">
        <v>297</v>
      </c>
      <c r="C82" s="34"/>
      <c r="D82" s="8"/>
      <c r="E82" s="65"/>
      <c r="H82" s="95"/>
      <c r="I82" s="31"/>
      <c r="J82" s="1"/>
    </row>
    <row r="83" spans="1:10" s="47" customFormat="1" x14ac:dyDescent="0.2">
      <c r="A83" s="1"/>
      <c r="B83" s="10"/>
      <c r="C83" s="14"/>
      <c r="D83" s="1"/>
      <c r="E83" s="66"/>
      <c r="H83" s="95"/>
      <c r="I83" s="31"/>
      <c r="J83" s="1"/>
    </row>
    <row r="84" spans="1:10" s="47" customFormat="1" ht="27.75" customHeight="1" x14ac:dyDescent="0.2">
      <c r="A84" s="1"/>
      <c r="B84" s="29" t="s">
        <v>16</v>
      </c>
      <c r="C84" s="14"/>
      <c r="D84" s="1"/>
      <c r="E84" s="66"/>
      <c r="H84" s="95"/>
      <c r="I84" s="31"/>
      <c r="J84" s="1"/>
    </row>
    <row r="85" spans="1:10" s="47" customFormat="1" ht="67.5" customHeight="1" x14ac:dyDescent="0.2">
      <c r="A85" s="1"/>
      <c r="B85" s="29"/>
      <c r="C85" s="155" t="s">
        <v>294</v>
      </c>
      <c r="D85" s="155"/>
      <c r="E85" s="156"/>
      <c r="H85" s="95"/>
      <c r="I85" s="31"/>
      <c r="J85" s="1"/>
    </row>
    <row r="86" spans="1:10" s="47" customFormat="1" ht="15.75" customHeight="1" thickBot="1" x14ac:dyDescent="0.25">
      <c r="A86" s="1"/>
      <c r="B86" s="30"/>
      <c r="C86" s="58"/>
      <c r="D86" s="17"/>
      <c r="E86" s="67"/>
      <c r="H86" s="95"/>
      <c r="I86" s="31"/>
      <c r="J86" s="1"/>
    </row>
    <row r="87" spans="1:10" s="47" customFormat="1" ht="13.5" thickBot="1" x14ac:dyDescent="0.25">
      <c r="A87" s="1"/>
      <c r="B87" s="1"/>
      <c r="C87" s="14"/>
      <c r="D87" s="1"/>
      <c r="E87" s="68"/>
      <c r="F87" s="1"/>
      <c r="H87" s="95"/>
      <c r="I87" s="31"/>
      <c r="J87" s="1"/>
    </row>
    <row r="88" spans="1:10" s="47" customFormat="1" x14ac:dyDescent="0.2">
      <c r="A88" s="1"/>
      <c r="B88" s="7" t="s">
        <v>299</v>
      </c>
      <c r="C88" s="34"/>
      <c r="D88" s="8"/>
      <c r="E88" s="65"/>
      <c r="H88" s="95"/>
      <c r="I88" s="31"/>
      <c r="J88" s="1"/>
    </row>
    <row r="89" spans="1:10" s="47" customFormat="1" x14ac:dyDescent="0.2">
      <c r="A89" s="1"/>
      <c r="B89" s="10"/>
      <c r="C89" s="14"/>
      <c r="D89" s="1"/>
      <c r="E89" s="66"/>
      <c r="H89" s="95"/>
      <c r="I89" s="31"/>
      <c r="J89" s="1"/>
    </row>
    <row r="90" spans="1:10" s="47" customFormat="1" x14ac:dyDescent="0.2">
      <c r="A90" s="1"/>
      <c r="B90" s="29" t="s">
        <v>16</v>
      </c>
      <c r="C90" s="14"/>
      <c r="D90" s="1"/>
      <c r="E90" s="66"/>
      <c r="H90" s="95"/>
      <c r="I90" s="31"/>
      <c r="J90" s="1"/>
    </row>
    <row r="91" spans="1:10" s="47" customFormat="1" ht="45" customHeight="1" x14ac:dyDescent="0.2">
      <c r="A91" s="1"/>
      <c r="B91" s="29"/>
      <c r="C91" s="165" t="s">
        <v>194</v>
      </c>
      <c r="D91" s="165"/>
      <c r="E91" s="166"/>
      <c r="H91" s="95"/>
      <c r="I91" s="31"/>
      <c r="J91" s="1"/>
    </row>
    <row r="92" spans="1:10" s="47" customFormat="1" ht="13.5" thickBot="1" x14ac:dyDescent="0.25">
      <c r="A92" s="1"/>
      <c r="B92" s="30"/>
      <c r="C92" s="58"/>
      <c r="D92" s="17"/>
      <c r="E92" s="67"/>
      <c r="H92" s="95"/>
      <c r="I92" s="31"/>
      <c r="J92" s="1"/>
    </row>
    <row r="93" spans="1:10" s="47" customFormat="1" ht="13.5" thickBot="1" x14ac:dyDescent="0.25">
      <c r="A93" s="1"/>
      <c r="B93" s="1"/>
      <c r="C93" s="14"/>
      <c r="D93" s="1"/>
      <c r="E93" s="68"/>
      <c r="F93" s="1"/>
      <c r="H93" s="95"/>
      <c r="I93" s="31"/>
      <c r="J93" s="1"/>
    </row>
    <row r="94" spans="1:10" s="47" customFormat="1" x14ac:dyDescent="0.2">
      <c r="A94" s="1"/>
      <c r="B94" s="7" t="s">
        <v>301</v>
      </c>
      <c r="C94" s="34"/>
      <c r="D94" s="8"/>
      <c r="E94" s="65"/>
      <c r="H94" s="95"/>
      <c r="I94" s="31"/>
      <c r="J94" s="1"/>
    </row>
    <row r="95" spans="1:10" s="47" customFormat="1" x14ac:dyDescent="0.2">
      <c r="A95" s="1"/>
      <c r="B95" s="10"/>
      <c r="C95" s="14"/>
      <c r="D95" s="1"/>
      <c r="E95" s="66"/>
      <c r="H95" s="95"/>
      <c r="I95" s="31"/>
      <c r="J95" s="1"/>
    </row>
    <row r="96" spans="1:10" s="47" customFormat="1" x14ac:dyDescent="0.2">
      <c r="A96" s="1"/>
      <c r="B96" s="29" t="s">
        <v>16</v>
      </c>
      <c r="C96" s="14"/>
      <c r="D96" s="1"/>
      <c r="E96" s="66"/>
      <c r="H96" s="95"/>
      <c r="I96" s="31"/>
      <c r="J96" s="1"/>
    </row>
    <row r="97" spans="1:10" s="47" customFormat="1" ht="30.75" customHeight="1" x14ac:dyDescent="0.2">
      <c r="A97" s="1"/>
      <c r="B97" s="29"/>
      <c r="C97" s="165" t="s">
        <v>195</v>
      </c>
      <c r="D97" s="165"/>
      <c r="E97" s="166"/>
      <c r="H97" s="95"/>
      <c r="I97" s="31"/>
      <c r="J97" s="1"/>
    </row>
    <row r="98" spans="1:10" s="47" customFormat="1" ht="12" customHeight="1" thickBot="1" x14ac:dyDescent="0.25">
      <c r="A98" s="1"/>
      <c r="B98" s="30"/>
      <c r="C98" s="58"/>
      <c r="D98" s="17"/>
      <c r="E98" s="67"/>
      <c r="H98" s="95"/>
      <c r="I98" s="31"/>
      <c r="J98" s="1"/>
    </row>
    <row r="99" spans="1:10" s="47" customFormat="1" ht="13.5" thickBot="1" x14ac:dyDescent="0.25">
      <c r="A99" s="1"/>
      <c r="B99" s="1"/>
      <c r="C99" s="14"/>
      <c r="D99" s="1"/>
      <c r="E99" s="68"/>
      <c r="H99" s="95"/>
      <c r="I99" s="31"/>
      <c r="J99" s="1"/>
    </row>
    <row r="100" spans="1:10" s="47" customFormat="1" x14ac:dyDescent="0.2">
      <c r="A100" s="1"/>
      <c r="B100" s="7" t="s">
        <v>300</v>
      </c>
      <c r="C100" s="34"/>
      <c r="D100" s="8"/>
      <c r="E100" s="65"/>
      <c r="H100" s="95"/>
      <c r="I100" s="31"/>
      <c r="J100" s="1"/>
    </row>
    <row r="101" spans="1:10" s="47" customFormat="1" x14ac:dyDescent="0.2">
      <c r="A101" s="1"/>
      <c r="B101" s="10"/>
      <c r="C101" s="14"/>
      <c r="D101" s="1"/>
      <c r="E101" s="66"/>
      <c r="H101" s="95"/>
      <c r="I101" s="31"/>
      <c r="J101" s="1"/>
    </row>
    <row r="102" spans="1:10" s="47" customFormat="1" x14ac:dyDescent="0.2">
      <c r="A102" s="1"/>
      <c r="B102" s="29" t="s">
        <v>16</v>
      </c>
      <c r="C102" s="14"/>
      <c r="D102" s="1"/>
      <c r="E102" s="66"/>
      <c r="H102" s="95"/>
      <c r="I102" s="31"/>
      <c r="J102" s="1"/>
    </row>
    <row r="103" spans="1:10" s="47" customFormat="1" ht="28.5" customHeight="1" x14ac:dyDescent="0.2">
      <c r="A103" s="1"/>
      <c r="B103" s="29"/>
      <c r="C103" s="155" t="s">
        <v>196</v>
      </c>
      <c r="D103" s="165"/>
      <c r="E103" s="166"/>
      <c r="H103" s="95"/>
      <c r="I103" s="31"/>
      <c r="J103" s="1"/>
    </row>
    <row r="104" spans="1:10" ht="17.25" customHeight="1" thickBot="1" x14ac:dyDescent="0.25">
      <c r="A104" s="32"/>
      <c r="B104" s="30"/>
      <c r="C104" s="58"/>
      <c r="D104" s="17"/>
      <c r="E104" s="67"/>
      <c r="F104" s="47"/>
    </row>
    <row r="105" spans="1:10" ht="14.25" customHeight="1" thickBot="1" x14ac:dyDescent="0.25">
      <c r="A105" s="32"/>
      <c r="F105" s="47"/>
      <c r="H105" s="114"/>
    </row>
    <row r="106" spans="1:10" x14ac:dyDescent="0.2">
      <c r="B106" s="7" t="s">
        <v>302</v>
      </c>
      <c r="C106" s="34"/>
      <c r="D106" s="8"/>
      <c r="E106" s="65"/>
      <c r="F106" s="47"/>
    </row>
    <row r="107" spans="1:10" x14ac:dyDescent="0.2">
      <c r="B107" s="10"/>
      <c r="E107" s="66"/>
      <c r="F107" s="47"/>
    </row>
    <row r="108" spans="1:10" x14ac:dyDescent="0.2">
      <c r="B108" s="29" t="s">
        <v>16</v>
      </c>
      <c r="E108" s="66"/>
      <c r="F108" s="47"/>
    </row>
    <row r="109" spans="1:10" ht="50.25" customHeight="1" x14ac:dyDescent="0.2">
      <c r="B109" s="29"/>
      <c r="C109" s="155" t="s">
        <v>197</v>
      </c>
      <c r="D109" s="165"/>
      <c r="E109" s="166"/>
      <c r="F109" s="47"/>
    </row>
    <row r="110" spans="1:10" ht="17.25" customHeight="1" thickBot="1" x14ac:dyDescent="0.25">
      <c r="A110" s="32"/>
      <c r="B110" s="30"/>
      <c r="C110" s="58"/>
      <c r="D110" s="17"/>
      <c r="E110" s="67"/>
      <c r="F110" s="47"/>
    </row>
    <row r="111" spans="1:10" ht="13.5" thickBot="1" x14ac:dyDescent="0.25">
      <c r="F111" s="47"/>
    </row>
    <row r="112" spans="1:10" x14ac:dyDescent="0.2">
      <c r="B112" s="7" t="s">
        <v>303</v>
      </c>
      <c r="C112" s="34"/>
      <c r="D112" s="8"/>
      <c r="E112" s="65"/>
      <c r="F112" s="47"/>
    </row>
    <row r="113" spans="1:10" x14ac:dyDescent="0.2">
      <c r="B113" s="10"/>
      <c r="E113" s="66"/>
      <c r="F113" s="47"/>
    </row>
    <row r="114" spans="1:10" x14ac:dyDescent="0.2">
      <c r="B114" s="29" t="s">
        <v>16</v>
      </c>
      <c r="E114" s="66"/>
      <c r="F114" s="47"/>
    </row>
    <row r="115" spans="1:10" ht="39" customHeight="1" x14ac:dyDescent="0.2">
      <c r="B115" s="29"/>
      <c r="C115" s="155" t="s">
        <v>198</v>
      </c>
      <c r="D115" s="165"/>
      <c r="E115" s="166"/>
      <c r="F115" s="47"/>
    </row>
    <row r="116" spans="1:10" ht="13.5" thickBot="1" x14ac:dyDescent="0.25">
      <c r="B116" s="30"/>
      <c r="C116" s="58"/>
      <c r="D116" s="17"/>
      <c r="E116" s="67"/>
      <c r="F116" s="47"/>
    </row>
    <row r="117" spans="1:10" ht="13.5" thickBot="1" x14ac:dyDescent="0.25">
      <c r="F117" s="47"/>
    </row>
    <row r="118" spans="1:10" ht="17.25" customHeight="1" x14ac:dyDescent="0.2">
      <c r="B118" s="7" t="s">
        <v>304</v>
      </c>
      <c r="C118" s="34"/>
      <c r="D118" s="8"/>
      <c r="E118" s="65"/>
      <c r="F118" s="47"/>
    </row>
    <row r="119" spans="1:10" x14ac:dyDescent="0.2">
      <c r="B119" s="10"/>
      <c r="E119" s="66"/>
      <c r="F119" s="47"/>
    </row>
    <row r="120" spans="1:10" s="47" customFormat="1" x14ac:dyDescent="0.2">
      <c r="A120" s="1"/>
      <c r="B120" s="29" t="s">
        <v>16</v>
      </c>
      <c r="C120" s="14"/>
      <c r="D120" s="1"/>
      <c r="E120" s="66"/>
      <c r="H120" s="95"/>
      <c r="I120" s="31"/>
      <c r="J120" s="1"/>
    </row>
    <row r="121" spans="1:10" s="47" customFormat="1" ht="31.5" customHeight="1" x14ac:dyDescent="0.2">
      <c r="A121" s="1"/>
      <c r="B121" s="29"/>
      <c r="C121" s="155" t="s">
        <v>199</v>
      </c>
      <c r="D121" s="165"/>
      <c r="E121" s="166"/>
      <c r="H121" s="95"/>
      <c r="I121" s="31"/>
      <c r="J121" s="1"/>
    </row>
    <row r="122" spans="1:10" s="47" customFormat="1" ht="15" customHeight="1" thickBot="1" x14ac:dyDescent="0.25">
      <c r="A122" s="1"/>
      <c r="B122" s="30"/>
      <c r="C122" s="58"/>
      <c r="D122" s="17"/>
      <c r="E122" s="67"/>
      <c r="H122" s="95"/>
      <c r="I122" s="31"/>
      <c r="J122" s="1"/>
    </row>
    <row r="123" spans="1:10" s="47" customFormat="1" x14ac:dyDescent="0.2">
      <c r="A123" s="1"/>
      <c r="B123" s="1"/>
      <c r="C123" s="14"/>
      <c r="D123" s="1"/>
      <c r="E123" s="68"/>
      <c r="F123" s="1"/>
      <c r="H123" s="95"/>
      <c r="I123" s="31"/>
      <c r="J123" s="1"/>
    </row>
    <row r="124" spans="1:10" s="47" customFormat="1" x14ac:dyDescent="0.2">
      <c r="A124" s="1"/>
      <c r="B124" s="1"/>
      <c r="C124" s="14"/>
      <c r="D124" s="1"/>
      <c r="E124" s="68"/>
      <c r="F124" s="1"/>
      <c r="H124" s="95"/>
      <c r="I124" s="31"/>
      <c r="J124" s="1"/>
    </row>
    <row r="125" spans="1:10" s="47" customFormat="1" x14ac:dyDescent="0.2">
      <c r="A125" s="1"/>
      <c r="B125" s="1"/>
      <c r="C125" s="14"/>
      <c r="D125" s="1"/>
      <c r="E125" s="68"/>
      <c r="F125" s="1"/>
      <c r="H125" s="95"/>
      <c r="I125" s="31"/>
      <c r="J125" s="1"/>
    </row>
    <row r="126" spans="1:10" s="47" customFormat="1" ht="13.5" thickBot="1" x14ac:dyDescent="0.25">
      <c r="A126" s="1"/>
      <c r="B126" s="1"/>
      <c r="C126" s="14"/>
      <c r="D126" s="1"/>
      <c r="E126" s="68"/>
      <c r="F126" s="1"/>
      <c r="H126" s="95"/>
      <c r="I126" s="31"/>
      <c r="J126" s="1"/>
    </row>
    <row r="127" spans="1:10" s="47" customFormat="1" ht="39.75" customHeight="1" x14ac:dyDescent="0.2">
      <c r="A127" s="32"/>
      <c r="B127" s="37" t="s">
        <v>17</v>
      </c>
      <c r="C127" s="59"/>
      <c r="D127" s="8"/>
      <c r="E127" s="117"/>
      <c r="F127" s="1"/>
      <c r="H127" s="95"/>
      <c r="I127" s="31"/>
      <c r="J127" s="1"/>
    </row>
    <row r="128" spans="1:10" s="47" customFormat="1" ht="112.5" customHeight="1" x14ac:dyDescent="0.2">
      <c r="A128" s="32"/>
      <c r="B128" s="33"/>
      <c r="C128" s="155" t="s">
        <v>305</v>
      </c>
      <c r="D128" s="155"/>
      <c r="E128" s="156"/>
      <c r="F128" s="1"/>
      <c r="H128" s="95"/>
      <c r="I128" s="31"/>
      <c r="J128" s="1"/>
    </row>
    <row r="129" spans="1:10" s="47" customFormat="1" x14ac:dyDescent="0.2">
      <c r="A129" s="32"/>
      <c r="B129" s="33"/>
      <c r="C129" s="154"/>
      <c r="D129" s="154"/>
      <c r="E129" s="154"/>
      <c r="F129" s="1"/>
      <c r="H129" s="95"/>
      <c r="I129" s="31"/>
      <c r="J129" s="1"/>
    </row>
    <row r="130" spans="1:10" s="47" customFormat="1" x14ac:dyDescent="0.2">
      <c r="A130" s="32"/>
      <c r="B130" s="38" t="s">
        <v>18</v>
      </c>
      <c r="C130" s="135"/>
      <c r="D130" s="1"/>
      <c r="E130" s="136"/>
      <c r="F130" s="1"/>
      <c r="H130" s="95"/>
      <c r="I130" s="31"/>
      <c r="J130" s="1"/>
    </row>
    <row r="131" spans="1:10" x14ac:dyDescent="0.2">
      <c r="A131" s="32"/>
      <c r="B131" s="33"/>
      <c r="C131" s="155" t="s">
        <v>24</v>
      </c>
      <c r="D131" s="155"/>
      <c r="E131" s="156"/>
    </row>
    <row r="132" spans="1:10" ht="13.5" thickBot="1" x14ac:dyDescent="0.25">
      <c r="B132" s="30"/>
      <c r="C132" s="58"/>
      <c r="D132" s="17"/>
      <c r="E132" s="67"/>
    </row>
    <row r="133" spans="1:10" ht="13.5" thickBot="1" x14ac:dyDescent="0.25"/>
    <row r="134" spans="1:10" x14ac:dyDescent="0.2">
      <c r="B134" s="39" t="s">
        <v>19</v>
      </c>
      <c r="C134" s="34"/>
      <c r="D134" s="34"/>
      <c r="E134" s="35"/>
    </row>
    <row r="135" spans="1:10" ht="30" customHeight="1" x14ac:dyDescent="0.2">
      <c r="B135" s="13"/>
      <c r="C135" s="161" t="s">
        <v>67</v>
      </c>
      <c r="D135" s="161"/>
      <c r="E135" s="162"/>
    </row>
    <row r="136" spans="1:10" ht="24.75" customHeight="1" x14ac:dyDescent="0.2">
      <c r="B136" s="40" t="s">
        <v>20</v>
      </c>
      <c r="E136" s="66"/>
    </row>
    <row r="137" spans="1:10" x14ac:dyDescent="0.2">
      <c r="B137" s="12"/>
      <c r="C137" s="154"/>
      <c r="D137" s="154"/>
      <c r="E137" s="154"/>
    </row>
    <row r="138" spans="1:10" ht="13.5" thickBot="1" x14ac:dyDescent="0.25">
      <c r="B138" s="16"/>
      <c r="C138" s="58"/>
      <c r="D138" s="17"/>
      <c r="E138" s="67"/>
    </row>
  </sheetData>
  <autoFilter ref="A9:I62" xr:uid="{00000000-0009-0000-0000-000003000000}"/>
  <mergeCells count="22">
    <mergeCell ref="C109:E109"/>
    <mergeCell ref="A7:B7"/>
    <mergeCell ref="C70:E70"/>
    <mergeCell ref="C75:E75"/>
    <mergeCell ref="B2:H2"/>
    <mergeCell ref="A4:B4"/>
    <mergeCell ref="C4:E4"/>
    <mergeCell ref="A5:B5"/>
    <mergeCell ref="C5:E5"/>
    <mergeCell ref="A6:B6"/>
    <mergeCell ref="C80:E80"/>
    <mergeCell ref="C85:E85"/>
    <mergeCell ref="C91:E91"/>
    <mergeCell ref="C97:E97"/>
    <mergeCell ref="C103:E103"/>
    <mergeCell ref="C135:E135"/>
    <mergeCell ref="C137:E137"/>
    <mergeCell ref="C115:E115"/>
    <mergeCell ref="C121:E121"/>
    <mergeCell ref="C128:E128"/>
    <mergeCell ref="C129:E129"/>
    <mergeCell ref="C131:E131"/>
  </mergeCells>
  <pageMargins left="0.7" right="0.7" top="0.75" bottom="0.75" header="0.51180555555555496" footer="0.51180555555555496"/>
  <pageSetup paperSize="9" firstPageNumber="0"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activeCell="E32" sqref="E32"/>
    </sheetView>
  </sheetViews>
  <sheetFormatPr baseColWidth="10" defaultRowHeight="15" x14ac:dyDescent="0.25"/>
  <cols>
    <col min="1" max="1" width="7.42578125" style="130" customWidth="1"/>
    <col min="2" max="2" width="17.7109375" style="130" customWidth="1"/>
    <col min="3" max="3" width="11.42578125" style="130"/>
    <col min="4" max="4" width="25" style="130" customWidth="1"/>
    <col min="5" max="5" width="15.7109375" style="130" customWidth="1"/>
    <col min="6" max="6" width="20" style="130" customWidth="1"/>
    <col min="7" max="7" width="6.5703125" style="130" customWidth="1"/>
    <col min="8" max="8" width="8.7109375" style="130" customWidth="1"/>
    <col min="9" max="16384" width="11.42578125" style="122"/>
  </cols>
  <sheetData>
    <row r="1" spans="1:8" ht="52.5" customHeight="1" x14ac:dyDescent="0.25">
      <c r="A1" s="169" t="s">
        <v>203</v>
      </c>
      <c r="B1" s="169"/>
      <c r="C1" s="169"/>
      <c r="D1" s="169"/>
      <c r="E1" s="169"/>
      <c r="F1" s="169"/>
      <c r="G1" s="169"/>
      <c r="H1" s="169"/>
    </row>
    <row r="2" spans="1:8" ht="30" customHeight="1" x14ac:dyDescent="0.25">
      <c r="A2" s="123" t="s">
        <v>204</v>
      </c>
      <c r="B2" s="123" t="s">
        <v>205</v>
      </c>
      <c r="C2" s="123" t="s">
        <v>206</v>
      </c>
      <c r="D2" s="123" t="s">
        <v>207</v>
      </c>
      <c r="E2" s="123" t="s">
        <v>208</v>
      </c>
      <c r="F2" s="123" t="s">
        <v>209</v>
      </c>
      <c r="G2" s="123" t="s">
        <v>210</v>
      </c>
      <c r="H2" s="123" t="s">
        <v>211</v>
      </c>
    </row>
    <row r="3" spans="1:8" s="126" customFormat="1" x14ac:dyDescent="0.2">
      <c r="A3" s="124">
        <v>1</v>
      </c>
      <c r="B3" s="124" t="s">
        <v>212</v>
      </c>
      <c r="C3" s="124" t="s">
        <v>213</v>
      </c>
      <c r="D3" s="124" t="s">
        <v>214</v>
      </c>
      <c r="E3" s="124" t="s">
        <v>215</v>
      </c>
      <c r="F3" s="124" t="s">
        <v>216</v>
      </c>
      <c r="G3" s="124" t="s">
        <v>217</v>
      </c>
      <c r="H3" s="125">
        <v>2019</v>
      </c>
    </row>
    <row r="4" spans="1:8" x14ac:dyDescent="0.25">
      <c r="A4" s="123">
        <v>2</v>
      </c>
      <c r="B4" s="123" t="s">
        <v>212</v>
      </c>
      <c r="C4" s="123" t="s">
        <v>218</v>
      </c>
      <c r="D4" s="124" t="s">
        <v>219</v>
      </c>
      <c r="E4" s="123" t="s">
        <v>220</v>
      </c>
      <c r="F4" s="123" t="s">
        <v>221</v>
      </c>
      <c r="G4" s="123" t="s">
        <v>217</v>
      </c>
      <c r="H4" s="127">
        <v>2020</v>
      </c>
    </row>
    <row r="5" spans="1:8" x14ac:dyDescent="0.25">
      <c r="A5" s="123">
        <v>3</v>
      </c>
      <c r="B5" s="123" t="s">
        <v>212</v>
      </c>
      <c r="C5" s="123" t="s">
        <v>222</v>
      </c>
      <c r="D5" s="124" t="s">
        <v>223</v>
      </c>
      <c r="E5" s="123" t="s">
        <v>224</v>
      </c>
      <c r="F5" s="123" t="s">
        <v>225</v>
      </c>
      <c r="G5" s="123" t="s">
        <v>217</v>
      </c>
      <c r="H5" s="127">
        <v>2013</v>
      </c>
    </row>
    <row r="6" spans="1:8" x14ac:dyDescent="0.25">
      <c r="A6" s="123">
        <v>4</v>
      </c>
      <c r="B6" s="123" t="s">
        <v>212</v>
      </c>
      <c r="C6" s="123" t="s">
        <v>226</v>
      </c>
      <c r="D6" s="124" t="s">
        <v>227</v>
      </c>
      <c r="E6" s="123" t="s">
        <v>228</v>
      </c>
      <c r="F6" s="123" t="s">
        <v>229</v>
      </c>
      <c r="G6" s="123" t="s">
        <v>217</v>
      </c>
      <c r="H6" s="127">
        <v>2013</v>
      </c>
    </row>
    <row r="7" spans="1:8" x14ac:dyDescent="0.25">
      <c r="A7" s="123">
        <v>5</v>
      </c>
      <c r="B7" s="123" t="s">
        <v>212</v>
      </c>
      <c r="C7" s="123" t="s">
        <v>230</v>
      </c>
      <c r="D7" s="124" t="s">
        <v>223</v>
      </c>
      <c r="E7" s="123" t="s">
        <v>231</v>
      </c>
      <c r="F7" s="123" t="s">
        <v>232</v>
      </c>
      <c r="G7" s="123" t="s">
        <v>217</v>
      </c>
      <c r="H7" s="127">
        <v>2013</v>
      </c>
    </row>
    <row r="8" spans="1:8" x14ac:dyDescent="0.25">
      <c r="A8" s="123">
        <v>6</v>
      </c>
      <c r="B8" s="123" t="s">
        <v>212</v>
      </c>
      <c r="C8" s="123" t="s">
        <v>233</v>
      </c>
      <c r="D8" s="124" t="s">
        <v>234</v>
      </c>
      <c r="E8" s="123" t="s">
        <v>235</v>
      </c>
      <c r="F8" s="123" t="s">
        <v>236</v>
      </c>
      <c r="G8" s="123" t="s">
        <v>217</v>
      </c>
      <c r="H8" s="127">
        <v>2009</v>
      </c>
    </row>
    <row r="9" spans="1:8" x14ac:dyDescent="0.25">
      <c r="A9" s="123">
        <v>7</v>
      </c>
      <c r="B9" s="123" t="s">
        <v>212</v>
      </c>
      <c r="C9" s="123" t="s">
        <v>237</v>
      </c>
      <c r="D9" s="124" t="s">
        <v>238</v>
      </c>
      <c r="E9" s="123" t="s">
        <v>239</v>
      </c>
      <c r="F9" s="123" t="s">
        <v>240</v>
      </c>
      <c r="G9" s="123" t="s">
        <v>217</v>
      </c>
      <c r="H9" s="127">
        <v>2005</v>
      </c>
    </row>
    <row r="10" spans="1:8" x14ac:dyDescent="0.25">
      <c r="A10" s="123">
        <v>8</v>
      </c>
      <c r="B10" s="123" t="s">
        <v>212</v>
      </c>
      <c r="C10" s="123" t="s">
        <v>241</v>
      </c>
      <c r="D10" s="124" t="s">
        <v>238</v>
      </c>
      <c r="E10" s="123" t="s">
        <v>242</v>
      </c>
      <c r="F10" s="123" t="s">
        <v>243</v>
      </c>
      <c r="G10" s="123" t="s">
        <v>217</v>
      </c>
      <c r="H10" s="127">
        <v>2010</v>
      </c>
    </row>
    <row r="11" spans="1:8" x14ac:dyDescent="0.25">
      <c r="A11" s="123">
        <v>9</v>
      </c>
      <c r="B11" s="123" t="s">
        <v>212</v>
      </c>
      <c r="C11" s="123" t="s">
        <v>244</v>
      </c>
      <c r="D11" s="124" t="s">
        <v>245</v>
      </c>
      <c r="E11" s="123" t="s">
        <v>246</v>
      </c>
      <c r="F11" s="123" t="s">
        <v>247</v>
      </c>
      <c r="G11" s="123" t="s">
        <v>217</v>
      </c>
      <c r="H11" s="127">
        <v>2013</v>
      </c>
    </row>
    <row r="12" spans="1:8" x14ac:dyDescent="0.25">
      <c r="A12" s="123">
        <v>10</v>
      </c>
      <c r="B12" s="123" t="s">
        <v>212</v>
      </c>
      <c r="C12" s="123" t="s">
        <v>248</v>
      </c>
      <c r="D12" s="124" t="s">
        <v>249</v>
      </c>
      <c r="E12" s="123" t="s">
        <v>250</v>
      </c>
      <c r="F12" s="123" t="s">
        <v>251</v>
      </c>
      <c r="G12" s="123" t="s">
        <v>217</v>
      </c>
      <c r="H12" s="127">
        <v>2014</v>
      </c>
    </row>
    <row r="13" spans="1:8" x14ac:dyDescent="0.25">
      <c r="A13" s="123">
        <v>11</v>
      </c>
      <c r="B13" s="123" t="s">
        <v>212</v>
      </c>
      <c r="C13" s="123" t="s">
        <v>252</v>
      </c>
      <c r="D13" s="124" t="s">
        <v>249</v>
      </c>
      <c r="E13" s="123" t="s">
        <v>253</v>
      </c>
      <c r="F13" s="123" t="s">
        <v>254</v>
      </c>
      <c r="G13" s="123" t="s">
        <v>217</v>
      </c>
      <c r="H13" s="127">
        <v>2014</v>
      </c>
    </row>
    <row r="14" spans="1:8" x14ac:dyDescent="0.25">
      <c r="A14" s="128">
        <v>12</v>
      </c>
      <c r="B14" s="128" t="s">
        <v>212</v>
      </c>
      <c r="C14" s="128" t="s">
        <v>255</v>
      </c>
      <c r="D14" s="128" t="s">
        <v>256</v>
      </c>
      <c r="E14" s="128" t="s">
        <v>257</v>
      </c>
      <c r="F14" s="128" t="s">
        <v>258</v>
      </c>
      <c r="G14" s="128" t="s">
        <v>217</v>
      </c>
      <c r="H14" s="128">
        <v>2005</v>
      </c>
    </row>
    <row r="15" spans="1:8" x14ac:dyDescent="0.25">
      <c r="A15" s="128">
        <v>13</v>
      </c>
      <c r="B15" s="128" t="s">
        <v>259</v>
      </c>
      <c r="C15" s="128" t="s">
        <v>260</v>
      </c>
      <c r="D15" s="128" t="s">
        <v>261</v>
      </c>
      <c r="E15" s="128" t="s">
        <v>262</v>
      </c>
      <c r="F15" s="128" t="s">
        <v>263</v>
      </c>
      <c r="G15" s="128" t="s">
        <v>217</v>
      </c>
      <c r="H15" s="128">
        <v>2018</v>
      </c>
    </row>
    <row r="16" spans="1:8" x14ac:dyDescent="0.25">
      <c r="A16" s="123">
        <v>14</v>
      </c>
      <c r="B16" s="128" t="s">
        <v>264</v>
      </c>
      <c r="C16" s="128" t="s">
        <v>265</v>
      </c>
      <c r="D16" s="128" t="s">
        <v>266</v>
      </c>
      <c r="E16" s="128" t="s">
        <v>267</v>
      </c>
      <c r="F16" s="128" t="s">
        <v>268</v>
      </c>
      <c r="G16" s="128" t="s">
        <v>217</v>
      </c>
      <c r="H16" s="129">
        <v>2006</v>
      </c>
    </row>
    <row r="17" spans="1:8" x14ac:dyDescent="0.25">
      <c r="A17" s="128">
        <v>15</v>
      </c>
      <c r="B17" s="128" t="s">
        <v>212</v>
      </c>
      <c r="C17" s="128" t="s">
        <v>269</v>
      </c>
      <c r="D17" s="128" t="s">
        <v>270</v>
      </c>
      <c r="E17" s="128" t="s">
        <v>271</v>
      </c>
      <c r="F17" s="128" t="s">
        <v>272</v>
      </c>
      <c r="G17" s="128" t="s">
        <v>217</v>
      </c>
      <c r="H17" s="129">
        <v>2007</v>
      </c>
    </row>
    <row r="18" spans="1:8" x14ac:dyDescent="0.25">
      <c r="A18" s="128">
        <v>16</v>
      </c>
      <c r="B18" s="128" t="s">
        <v>212</v>
      </c>
      <c r="C18" s="128" t="s">
        <v>273</v>
      </c>
      <c r="D18" s="128" t="s">
        <v>274</v>
      </c>
      <c r="E18" s="128" t="s">
        <v>275</v>
      </c>
      <c r="F18" s="128" t="s">
        <v>276</v>
      </c>
      <c r="G18" s="128" t="s">
        <v>217</v>
      </c>
      <c r="H18" s="129">
        <v>2008</v>
      </c>
    </row>
    <row r="19" spans="1:8" x14ac:dyDescent="0.25">
      <c r="A19" s="123">
        <v>17</v>
      </c>
      <c r="B19" s="128" t="s">
        <v>212</v>
      </c>
      <c r="C19" s="128" t="s">
        <v>277</v>
      </c>
      <c r="D19" s="128" t="s">
        <v>274</v>
      </c>
      <c r="E19" s="128" t="s">
        <v>278</v>
      </c>
      <c r="F19" s="128" t="s">
        <v>279</v>
      </c>
      <c r="G19" s="128" t="s">
        <v>217</v>
      </c>
      <c r="H19" s="129">
        <v>2008</v>
      </c>
    </row>
  </sheetData>
  <mergeCells count="1">
    <mergeCell ref="A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COMBUSTIBLE</vt:lpstr>
      <vt:lpstr>Hoja1</vt:lpstr>
      <vt:lpstr>ELEM. LIMPIEZA</vt:lpstr>
      <vt:lpstr>Utiles de Escritorio</vt:lpstr>
      <vt:lpstr>PARQUE AUTOMOTOR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Policia</dc:creator>
  <cp:lastModifiedBy>COMPRAS</cp:lastModifiedBy>
  <cp:revision>2</cp:revision>
  <cp:lastPrinted>2022-09-05T17:04:48Z</cp:lastPrinted>
  <dcterms:created xsi:type="dcterms:W3CDTF">2020-07-17T23:44:49Z</dcterms:created>
  <dcterms:modified xsi:type="dcterms:W3CDTF">2022-12-14T11:23:46Z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