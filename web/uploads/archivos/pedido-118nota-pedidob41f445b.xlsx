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228"/>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2EA47AD3-DD8B-4E14-A88A-D33117815518}" xr6:coauthVersionLast="47" xr6:coauthVersionMax="47" xr10:uidLastSave="{00000000-0000-0000-0000-000000000000}"/>
  <bookViews>
    <workbookView xWindow="-120" yWindow="-120" windowWidth="29040" windowHeight="15840" tabRatio="500" xr2:uid="{00000000-000D-0000-FFFF-FFFF00000000}"/>
  </bookViews>
  <sheets>
    <sheet name="Necesidades Trimestrales (2)" sheetId="3" r:id="rId1"/>
    <sheet name="lab centr" sheetId="5" r:id="rId2"/>
    <sheet name="APG" sheetId="4" r:id="rId3"/>
    <sheet name="bco sangr" sheetId="6" r:id="rId4"/>
    <sheet name="APG (3)" sheetId="9" r:id="rId5"/>
    <sheet name="CUR" sheetId="8" r:id="rId6"/>
    <sheet name="APG (2)" sheetId="10" r:id="rId7"/>
  </sheets>
  <externalReferences>
    <externalReference r:id="rId8"/>
  </externalReferences>
  <definedNames>
    <definedName name="_xlnm._FilterDatabase" localSheetId="0" hidden="1">'Necesidades Trimestrales (2)'!$A$9:$AU$144</definedName>
  </definedNames>
  <calcPr calcId="181029"/>
</workbook>
</file>

<file path=xl/calcChain.xml><?xml version="1.0" encoding="utf-8"?>
<calcChain xmlns="http://schemas.openxmlformats.org/spreadsheetml/2006/main">
  <c r="A26" i="10" l="1"/>
  <c r="Q15" i="10"/>
  <c r="Q23" i="10" s="1"/>
  <c r="G5" i="10"/>
  <c r="G4" i="10"/>
  <c r="L18" i="6" l="1"/>
  <c r="L19" i="6"/>
  <c r="AU47" i="3"/>
  <c r="AU48" i="3"/>
  <c r="N48" i="3"/>
  <c r="N47" i="3"/>
  <c r="I18" i="6"/>
  <c r="I19" i="6"/>
  <c r="K25" i="6" l="1"/>
  <c r="L25" i="6" s="1"/>
  <c r="I25" i="6"/>
  <c r="C25" i="6"/>
  <c r="C27" i="6"/>
  <c r="AS70" i="3" l="1"/>
  <c r="AU70" i="3" s="1"/>
  <c r="N70" i="3"/>
  <c r="A26" i="9" l="1"/>
  <c r="G5" i="9"/>
  <c r="G4" i="9"/>
  <c r="J28" i="8" l="1"/>
  <c r="I28" i="8"/>
  <c r="C28" i="8"/>
  <c r="J27" i="8"/>
  <c r="I27" i="8"/>
  <c r="C27" i="8"/>
  <c r="J26" i="8"/>
  <c r="I26" i="8"/>
  <c r="C26" i="8"/>
  <c r="J25" i="8"/>
  <c r="I25" i="8"/>
  <c r="C25" i="8"/>
  <c r="J24" i="8"/>
  <c r="I24" i="8"/>
  <c r="C24" i="8"/>
  <c r="J23" i="8"/>
  <c r="I23" i="8"/>
  <c r="C23" i="8"/>
  <c r="J22" i="8"/>
  <c r="I22" i="8"/>
  <c r="C22" i="8"/>
  <c r="J21" i="8"/>
  <c r="I21" i="8"/>
  <c r="C21" i="8"/>
  <c r="J20" i="8"/>
  <c r="I20" i="8"/>
  <c r="C20" i="8"/>
  <c r="J19" i="8"/>
  <c r="I19" i="8"/>
  <c r="C19" i="8"/>
  <c r="J18" i="8"/>
  <c r="I18" i="8"/>
  <c r="C18" i="8"/>
  <c r="J17" i="8"/>
  <c r="I17" i="8"/>
  <c r="C17" i="8"/>
  <c r="J16" i="8"/>
  <c r="I16" i="8"/>
  <c r="C16" i="8"/>
  <c r="J15" i="8"/>
  <c r="I15" i="8"/>
  <c r="C15" i="8"/>
  <c r="J14" i="8"/>
  <c r="I14" i="8"/>
  <c r="C14" i="8"/>
  <c r="J13" i="8"/>
  <c r="I13" i="8"/>
  <c r="C13" i="8"/>
  <c r="J12" i="8"/>
  <c r="I12" i="8"/>
  <c r="C12" i="8"/>
  <c r="J52" i="6"/>
  <c r="L52" i="6" s="1"/>
  <c r="I52" i="6"/>
  <c r="C52" i="6"/>
  <c r="J51" i="6"/>
  <c r="I51" i="6"/>
  <c r="C51" i="6"/>
  <c r="J50" i="6"/>
  <c r="I50" i="6"/>
  <c r="C50" i="6"/>
  <c r="J49" i="6"/>
  <c r="I49" i="6"/>
  <c r="C49" i="6"/>
  <c r="J48" i="6"/>
  <c r="I48" i="6"/>
  <c r="C48" i="6"/>
  <c r="J47" i="6"/>
  <c r="I47" i="6"/>
  <c r="C47" i="6"/>
  <c r="J46" i="6"/>
  <c r="I46" i="6"/>
  <c r="C46" i="6"/>
  <c r="J45" i="6"/>
  <c r="I45" i="6"/>
  <c r="C45" i="6"/>
  <c r="J44" i="6"/>
  <c r="I44" i="6"/>
  <c r="C44" i="6"/>
  <c r="J43" i="6"/>
  <c r="I43" i="6"/>
  <c r="C43" i="6"/>
  <c r="J42" i="6"/>
  <c r="I42" i="6"/>
  <c r="C42" i="6"/>
  <c r="J41" i="6"/>
  <c r="I41" i="6"/>
  <c r="C41" i="6"/>
  <c r="J40" i="6"/>
  <c r="I40" i="6"/>
  <c r="C40" i="6"/>
  <c r="J39" i="6"/>
  <c r="I39" i="6"/>
  <c r="C39" i="6"/>
  <c r="J38" i="6"/>
  <c r="I38" i="6"/>
  <c r="C38" i="6"/>
  <c r="J37" i="6"/>
  <c r="I37" i="6"/>
  <c r="C37" i="6"/>
  <c r="J36" i="6"/>
  <c r="I36" i="6"/>
  <c r="C36" i="6"/>
  <c r="J35" i="6"/>
  <c r="I35" i="6"/>
  <c r="C35" i="6"/>
  <c r="J34" i="6"/>
  <c r="I34" i="6"/>
  <c r="C34" i="6"/>
  <c r="J33" i="6"/>
  <c r="I33" i="6"/>
  <c r="C33" i="6"/>
  <c r="J32" i="6"/>
  <c r="I32" i="6"/>
  <c r="C32" i="6"/>
  <c r="J31" i="6"/>
  <c r="I31" i="6"/>
  <c r="C31" i="6"/>
  <c r="J30" i="6"/>
  <c r="I30" i="6"/>
  <c r="C30" i="6"/>
  <c r="J29" i="6"/>
  <c r="I29" i="6"/>
  <c r="C29" i="6"/>
  <c r="J28" i="6"/>
  <c r="L28" i="6" s="1"/>
  <c r="I28" i="6"/>
  <c r="C28" i="6"/>
  <c r="J27" i="6"/>
  <c r="I27" i="6"/>
  <c r="J26" i="6"/>
  <c r="I26" i="6"/>
  <c r="C26" i="6"/>
  <c r="J24" i="6"/>
  <c r="I24" i="6"/>
  <c r="C24" i="6"/>
  <c r="J23" i="6"/>
  <c r="I23" i="6"/>
  <c r="C23" i="6"/>
  <c r="J22" i="6"/>
  <c r="I22" i="6"/>
  <c r="C22" i="6"/>
  <c r="J21" i="6"/>
  <c r="I21" i="6"/>
  <c r="C21" i="6"/>
  <c r="J20" i="6"/>
  <c r="I20" i="6"/>
  <c r="C20" i="6"/>
  <c r="J17" i="6"/>
  <c r="L17" i="6" s="1"/>
  <c r="I17" i="6"/>
  <c r="C17" i="6"/>
  <c r="J16" i="6"/>
  <c r="I16" i="6"/>
  <c r="C16" i="6"/>
  <c r="J15" i="6"/>
  <c r="I15" i="6"/>
  <c r="C15" i="6"/>
  <c r="J14" i="6"/>
  <c r="I14" i="6"/>
  <c r="C14" i="6"/>
  <c r="J13" i="6"/>
  <c r="I13" i="6"/>
  <c r="C13" i="6"/>
  <c r="J12" i="6"/>
  <c r="I12" i="6"/>
  <c r="C12" i="6"/>
  <c r="N88" i="3" l="1"/>
  <c r="G4" i="4" l="1"/>
  <c r="G5" i="4"/>
  <c r="J12" i="5" l="1"/>
  <c r="J13" i="5"/>
  <c r="J14" i="5"/>
  <c r="J15" i="5"/>
  <c r="J16" i="5"/>
  <c r="J17" i="5"/>
  <c r="J18" i="5"/>
  <c r="L18" i="5" s="1"/>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L58" i="5" s="1"/>
  <c r="J59" i="5"/>
  <c r="J60" i="5"/>
  <c r="J61" i="5"/>
  <c r="J62" i="5"/>
  <c r="J63" i="5"/>
  <c r="J64" i="5"/>
  <c r="J65" i="5"/>
  <c r="J66" i="5"/>
  <c r="J67" i="5"/>
  <c r="J68" i="5"/>
  <c r="J69" i="5"/>
  <c r="J70" i="5"/>
  <c r="J71" i="5"/>
  <c r="J72" i="5"/>
  <c r="J73" i="5"/>
  <c r="J74" i="5"/>
  <c r="J75" i="5"/>
  <c r="J76" i="5"/>
  <c r="J77" i="5"/>
  <c r="J78" i="5"/>
  <c r="J79" i="5"/>
  <c r="J80" i="5"/>
  <c r="J81" i="5"/>
  <c r="J82" i="5"/>
  <c r="J83" i="5"/>
  <c r="J84" i="5"/>
  <c r="J85" i="5"/>
  <c r="L85" i="5" s="1"/>
  <c r="J86" i="5"/>
  <c r="J87" i="5"/>
  <c r="J88" i="5"/>
  <c r="J89" i="5"/>
  <c r="J90" i="5"/>
  <c r="J9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A26" i="4" l="1"/>
  <c r="G7" i="4"/>
  <c r="G6" i="4"/>
  <c r="AS111" i="3" l="1"/>
  <c r="AS112" i="3"/>
  <c r="AS55" i="3"/>
  <c r="AS123" i="3"/>
  <c r="AS13" i="3"/>
  <c r="AS109" i="3"/>
  <c r="AS63" i="3"/>
  <c r="AS95" i="3"/>
  <c r="AS65" i="3"/>
  <c r="AS105" i="3"/>
  <c r="AS64" i="3"/>
  <c r="AS66" i="3"/>
  <c r="AS56" i="3"/>
  <c r="L111" i="3"/>
  <c r="L112" i="3"/>
  <c r="L55" i="3"/>
  <c r="L123" i="3"/>
  <c r="L13" i="3"/>
  <c r="L109" i="3"/>
  <c r="L63" i="3"/>
  <c r="L95" i="3"/>
  <c r="L65" i="3"/>
  <c r="L105" i="3"/>
  <c r="L64" i="3"/>
  <c r="L66" i="3"/>
  <c r="L56" i="3"/>
  <c r="AS88" i="3"/>
  <c r="L23" i="3"/>
  <c r="L88" i="3"/>
  <c r="AS23" i="3"/>
  <c r="AU65" i="3" l="1"/>
  <c r="K38" i="5"/>
  <c r="AU111" i="3"/>
  <c r="K70" i="5"/>
  <c r="AU95" i="3"/>
  <c r="K59" i="5"/>
  <c r="AU63" i="3"/>
  <c r="K36" i="5"/>
  <c r="AU105" i="3"/>
  <c r="K65" i="5"/>
  <c r="AU109" i="3"/>
  <c r="K68" i="5"/>
  <c r="AU13" i="3"/>
  <c r="K13" i="5"/>
  <c r="AU66" i="3"/>
  <c r="K39" i="5"/>
  <c r="AU123" i="3"/>
  <c r="K76" i="5"/>
  <c r="AU112" i="3"/>
  <c r="K71" i="5"/>
  <c r="AU23" i="3"/>
  <c r="K19" i="5"/>
  <c r="AU56" i="3"/>
  <c r="K32" i="5"/>
  <c r="AU64" i="3"/>
  <c r="K37" i="5"/>
  <c r="AU55" i="3"/>
  <c r="K31" i="5"/>
  <c r="AU88" i="3"/>
  <c r="M58" i="5"/>
  <c r="AS24" i="3"/>
  <c r="AS134" i="3"/>
  <c r="AS15" i="3"/>
  <c r="AS16" i="3"/>
  <c r="AS22" i="3"/>
  <c r="AS41" i="3"/>
  <c r="AS42" i="3"/>
  <c r="AS44" i="3"/>
  <c r="AS45" i="3"/>
  <c r="AS46" i="3"/>
  <c r="AS51" i="3"/>
  <c r="AS52" i="3"/>
  <c r="AS67" i="3"/>
  <c r="AS53" i="3"/>
  <c r="AS76" i="3"/>
  <c r="AS69" i="3"/>
  <c r="AS68" i="3"/>
  <c r="AS142" i="3"/>
  <c r="AS143" i="3"/>
  <c r="AS75" i="3"/>
  <c r="AS74" i="3"/>
  <c r="AS14" i="3"/>
  <c r="AS77" i="3"/>
  <c r="AS78" i="3"/>
  <c r="AS80" i="3"/>
  <c r="AS79" i="3"/>
  <c r="AS81" i="3"/>
  <c r="AS85" i="3"/>
  <c r="AS82" i="3"/>
  <c r="AS83" i="3"/>
  <c r="AS84" i="3"/>
  <c r="AS86" i="3"/>
  <c r="AS87" i="3"/>
  <c r="AS100" i="3"/>
  <c r="AS132" i="3"/>
  <c r="AS96" i="3"/>
  <c r="AS144" i="3"/>
  <c r="AS113" i="3"/>
  <c r="AS106" i="3"/>
  <c r="AS141" i="3"/>
  <c r="AS108" i="3"/>
  <c r="AS110" i="3"/>
  <c r="AS11" i="3"/>
  <c r="AS139" i="3"/>
  <c r="AS121" i="3"/>
  <c r="AS119" i="3"/>
  <c r="AS137" i="3"/>
  <c r="AS128" i="3"/>
  <c r="AS135" i="3"/>
  <c r="AS136" i="3"/>
  <c r="AS138" i="3"/>
  <c r="AS140" i="3"/>
  <c r="AS43" i="3"/>
  <c r="AS99" i="3"/>
  <c r="AS98" i="3"/>
  <c r="AS73" i="3"/>
  <c r="AS97" i="3"/>
  <c r="AS122" i="3"/>
  <c r="AS49" i="3"/>
  <c r="AS58" i="3"/>
  <c r="AS57" i="3"/>
  <c r="AS20" i="3"/>
  <c r="AS130" i="3"/>
  <c r="AS131" i="3"/>
  <c r="AS94" i="3"/>
  <c r="K34" i="6" s="1"/>
  <c r="L34" i="6" s="1"/>
  <c r="AS93" i="3"/>
  <c r="K33" i="6" s="1"/>
  <c r="L33" i="6" s="1"/>
  <c r="AS125" i="3"/>
  <c r="K47" i="6" s="1"/>
  <c r="L47" i="6" s="1"/>
  <c r="AS126" i="3"/>
  <c r="K48" i="6" s="1"/>
  <c r="L48" i="6" s="1"/>
  <c r="AS127" i="3"/>
  <c r="K49" i="6" s="1"/>
  <c r="L49" i="6" s="1"/>
  <c r="AS101" i="3"/>
  <c r="K35" i="6" s="1"/>
  <c r="L35" i="6" s="1"/>
  <c r="AS102" i="3"/>
  <c r="K36" i="6" s="1"/>
  <c r="L36" i="6" s="1"/>
  <c r="AS104" i="3"/>
  <c r="K38" i="6" s="1"/>
  <c r="L38" i="6" s="1"/>
  <c r="AS103" i="3"/>
  <c r="K37" i="6" s="1"/>
  <c r="L37" i="6" s="1"/>
  <c r="AS117" i="3"/>
  <c r="K43" i="6" s="1"/>
  <c r="L43" i="6" s="1"/>
  <c r="AS118" i="3"/>
  <c r="K44" i="6" s="1"/>
  <c r="L44" i="6" s="1"/>
  <c r="AS120" i="3"/>
  <c r="K45" i="6" s="1"/>
  <c r="L45" i="6" s="1"/>
  <c r="AS90" i="3"/>
  <c r="K30" i="6" s="1"/>
  <c r="L30" i="6" s="1"/>
  <c r="AS60" i="3"/>
  <c r="K23" i="6" s="1"/>
  <c r="L23" i="6" s="1"/>
  <c r="AS59" i="3"/>
  <c r="K22" i="6" s="1"/>
  <c r="L22" i="6" s="1"/>
  <c r="AS91" i="3"/>
  <c r="K31" i="6" s="1"/>
  <c r="L31" i="6" s="1"/>
  <c r="AS92" i="3"/>
  <c r="K32" i="6" s="1"/>
  <c r="L32" i="6" s="1"/>
  <c r="AS115" i="3"/>
  <c r="K41" i="6" s="1"/>
  <c r="L41" i="6" s="1"/>
  <c r="AS116" i="3"/>
  <c r="K42" i="6" s="1"/>
  <c r="L42" i="6" s="1"/>
  <c r="AS114" i="3"/>
  <c r="K40" i="6" s="1"/>
  <c r="L40" i="6" s="1"/>
  <c r="AS133" i="3"/>
  <c r="K51" i="6" s="1"/>
  <c r="L51" i="6" s="1"/>
  <c r="AS107" i="3"/>
  <c r="K39" i="6" s="1"/>
  <c r="L39" i="6" s="1"/>
  <c r="AS50" i="3"/>
  <c r="K20" i="6" s="1"/>
  <c r="L20" i="6" s="1"/>
  <c r="AS54" i="3"/>
  <c r="K21" i="6" s="1"/>
  <c r="L21" i="6" s="1"/>
  <c r="AS89" i="3"/>
  <c r="K29" i="6" s="1"/>
  <c r="L29" i="6" s="1"/>
  <c r="AS124" i="3"/>
  <c r="K46" i="6" s="1"/>
  <c r="L46" i="6" s="1"/>
  <c r="AS12" i="3"/>
  <c r="K12" i="6" s="1"/>
  <c r="L12" i="6" s="1"/>
  <c r="AS62" i="3"/>
  <c r="K24" i="6" s="1"/>
  <c r="L24" i="6" s="1"/>
  <c r="AS129" i="3"/>
  <c r="K50" i="6" s="1"/>
  <c r="L50" i="6" s="1"/>
  <c r="AS17" i="3"/>
  <c r="K13" i="6" s="1"/>
  <c r="L13" i="6" s="1"/>
  <c r="AS19" i="3"/>
  <c r="K15" i="6" s="1"/>
  <c r="L15" i="6" s="1"/>
  <c r="AS18" i="3"/>
  <c r="K14" i="6" s="1"/>
  <c r="L14" i="6" s="1"/>
  <c r="AS21" i="3"/>
  <c r="K16" i="6" s="1"/>
  <c r="L16" i="6" s="1"/>
  <c r="AS72" i="3"/>
  <c r="K27" i="6" s="1"/>
  <c r="L27" i="6" s="1"/>
  <c r="AS71" i="3"/>
  <c r="K26" i="6" s="1"/>
  <c r="L26" i="6" s="1"/>
  <c r="AS36" i="3"/>
  <c r="K24" i="8" s="1"/>
  <c r="AS35" i="3"/>
  <c r="K23" i="8" s="1"/>
  <c r="AS34" i="3"/>
  <c r="K22" i="8" s="1"/>
  <c r="AS33" i="3"/>
  <c r="K21" i="8" s="1"/>
  <c r="AS26" i="3"/>
  <c r="K14" i="8" s="1"/>
  <c r="AS25" i="3"/>
  <c r="K13" i="8" s="1"/>
  <c r="AS28" i="3"/>
  <c r="K16" i="8" s="1"/>
  <c r="AS27" i="3"/>
  <c r="K15" i="8" s="1"/>
  <c r="AS39" i="3"/>
  <c r="K27" i="8" s="1"/>
  <c r="AS38" i="3"/>
  <c r="K26" i="8" s="1"/>
  <c r="AS32" i="3"/>
  <c r="K20" i="8" s="1"/>
  <c r="AS31" i="3"/>
  <c r="K19" i="8" s="1"/>
  <c r="AS29" i="3"/>
  <c r="K17" i="8" s="1"/>
  <c r="AS30" i="3"/>
  <c r="K18" i="8" s="1"/>
  <c r="AS40" i="3"/>
  <c r="K28" i="8" s="1"/>
  <c r="AS37" i="3"/>
  <c r="K25" i="8" s="1"/>
  <c r="AS10" i="3"/>
  <c r="K12" i="8" s="1"/>
  <c r="AS61" i="3"/>
  <c r="J54" i="6" l="1"/>
  <c r="M28" i="8"/>
  <c r="L28" i="8"/>
  <c r="M16" i="8"/>
  <c r="L16" i="8"/>
  <c r="M32" i="5"/>
  <c r="L32" i="5"/>
  <c r="M39" i="5"/>
  <c r="L39" i="5"/>
  <c r="M36" i="5"/>
  <c r="L36" i="5"/>
  <c r="L13" i="8"/>
  <c r="M13" i="8"/>
  <c r="M18" i="8"/>
  <c r="L18" i="8"/>
  <c r="L17" i="8"/>
  <c r="M17" i="8"/>
  <c r="M14" i="8"/>
  <c r="L14" i="8"/>
  <c r="M19" i="5"/>
  <c r="L19" i="5"/>
  <c r="M13" i="5"/>
  <c r="L13" i="5"/>
  <c r="M59" i="5"/>
  <c r="L59" i="5"/>
  <c r="L15" i="8"/>
  <c r="M15" i="8"/>
  <c r="M25" i="8"/>
  <c r="L25" i="8"/>
  <c r="L21" i="8"/>
  <c r="M21" i="8"/>
  <c r="M20" i="8"/>
  <c r="L20" i="8"/>
  <c r="M22" i="8"/>
  <c r="L22" i="8"/>
  <c r="M31" i="5"/>
  <c r="L31" i="5"/>
  <c r="M71" i="5"/>
  <c r="L71" i="5"/>
  <c r="M68" i="5"/>
  <c r="L68" i="5"/>
  <c r="M70" i="5"/>
  <c r="L70" i="5"/>
  <c r="M23" i="8"/>
  <c r="L23" i="8"/>
  <c r="L19" i="8"/>
  <c r="M19" i="8"/>
  <c r="M26" i="8"/>
  <c r="L26" i="8"/>
  <c r="M12" i="8"/>
  <c r="L12" i="8"/>
  <c r="M27" i="8"/>
  <c r="L27" i="8"/>
  <c r="M24" i="8"/>
  <c r="L24" i="8"/>
  <c r="M37" i="5"/>
  <c r="L37" i="5"/>
  <c r="M76" i="5"/>
  <c r="L76" i="5"/>
  <c r="M65" i="5"/>
  <c r="L65" i="5"/>
  <c r="M38" i="5"/>
  <c r="L38" i="5"/>
  <c r="AU37" i="3"/>
  <c r="AU28" i="3"/>
  <c r="AU31" i="3"/>
  <c r="AU33" i="3"/>
  <c r="AU19" i="3"/>
  <c r="AU89" i="3"/>
  <c r="AU115" i="3"/>
  <c r="AU117" i="3"/>
  <c r="AU93" i="3"/>
  <c r="AU122" i="3"/>
  <c r="K75" i="5"/>
  <c r="AU136" i="3"/>
  <c r="K83" i="5"/>
  <c r="AU110" i="3"/>
  <c r="K69" i="5"/>
  <c r="AU100" i="3"/>
  <c r="K64" i="5"/>
  <c r="AU79" i="3"/>
  <c r="K49" i="5"/>
  <c r="AU142" i="3"/>
  <c r="K89" i="5"/>
  <c r="AU46" i="3"/>
  <c r="K26" i="5"/>
  <c r="AU134" i="3"/>
  <c r="K81" i="5"/>
  <c r="AU27" i="3"/>
  <c r="AU29" i="3"/>
  <c r="AU18" i="3"/>
  <c r="AU32" i="3"/>
  <c r="AU34" i="3"/>
  <c r="AU17" i="3"/>
  <c r="AU92" i="3"/>
  <c r="AU103" i="3"/>
  <c r="AU94" i="3"/>
  <c r="AU97" i="3"/>
  <c r="K61" i="5"/>
  <c r="AU135" i="3"/>
  <c r="K82" i="5"/>
  <c r="AU108" i="3"/>
  <c r="K67" i="5"/>
  <c r="AU87" i="3"/>
  <c r="K57" i="5"/>
  <c r="AU80" i="3"/>
  <c r="K50" i="5"/>
  <c r="AU68" i="3"/>
  <c r="K41" i="5"/>
  <c r="AU45" i="3"/>
  <c r="K25" i="5"/>
  <c r="AU24" i="3"/>
  <c r="K20" i="5"/>
  <c r="AU10" i="3"/>
  <c r="AU72" i="3"/>
  <c r="AU61" i="3"/>
  <c r="K35" i="5"/>
  <c r="AU38" i="3"/>
  <c r="AU35" i="3"/>
  <c r="AU129" i="3"/>
  <c r="AU54" i="3"/>
  <c r="AU91" i="3"/>
  <c r="AU104" i="3"/>
  <c r="AU131" i="3"/>
  <c r="K79" i="5"/>
  <c r="AU73" i="3"/>
  <c r="K43" i="5"/>
  <c r="AU128" i="3"/>
  <c r="K77" i="5"/>
  <c r="AU141" i="3"/>
  <c r="K88" i="5"/>
  <c r="AU86" i="3"/>
  <c r="K56" i="5"/>
  <c r="AU78" i="3"/>
  <c r="K48" i="5"/>
  <c r="AU69" i="3"/>
  <c r="K42" i="5"/>
  <c r="AU44" i="3"/>
  <c r="K24" i="5"/>
  <c r="AU39" i="3"/>
  <c r="AU36" i="3"/>
  <c r="AU62" i="3"/>
  <c r="AU50" i="3"/>
  <c r="AU59" i="3"/>
  <c r="AU102" i="3"/>
  <c r="AU130" i="3"/>
  <c r="K78" i="5"/>
  <c r="AU98" i="3"/>
  <c r="K62" i="5"/>
  <c r="AU137" i="3"/>
  <c r="K84" i="5"/>
  <c r="AU106" i="3"/>
  <c r="K66" i="5"/>
  <c r="AU84" i="3"/>
  <c r="K54" i="5"/>
  <c r="AU77" i="3"/>
  <c r="K47" i="5"/>
  <c r="AU76" i="3"/>
  <c r="K46" i="5"/>
  <c r="AU42" i="3"/>
  <c r="K22" i="5"/>
  <c r="AU71" i="3"/>
  <c r="AU107" i="3"/>
  <c r="AU60" i="3"/>
  <c r="AU101" i="3"/>
  <c r="AU20" i="3"/>
  <c r="K17" i="5"/>
  <c r="AU99" i="3"/>
  <c r="K63" i="5"/>
  <c r="AU119" i="3"/>
  <c r="K73" i="5"/>
  <c r="AU113" i="3"/>
  <c r="K72" i="5"/>
  <c r="AU83" i="3"/>
  <c r="K53" i="5"/>
  <c r="AU14" i="3"/>
  <c r="K14" i="5"/>
  <c r="AU53" i="3"/>
  <c r="K30" i="5"/>
  <c r="AU41" i="3"/>
  <c r="K21" i="5"/>
  <c r="AU124" i="3"/>
  <c r="AU90" i="3"/>
  <c r="AU127" i="3"/>
  <c r="AU57" i="3"/>
  <c r="K33" i="5"/>
  <c r="AU43" i="3"/>
  <c r="K23" i="5"/>
  <c r="AU121" i="3"/>
  <c r="K74" i="5"/>
  <c r="AU144" i="3"/>
  <c r="K91" i="5"/>
  <c r="AU82" i="3"/>
  <c r="K52" i="5"/>
  <c r="AU74" i="3"/>
  <c r="K44" i="5"/>
  <c r="AU67" i="3"/>
  <c r="K40" i="5"/>
  <c r="AU40" i="3"/>
  <c r="AU133" i="3"/>
  <c r="AU30" i="3"/>
  <c r="AU25" i="3"/>
  <c r="AU21" i="3"/>
  <c r="AU114" i="3"/>
  <c r="AU120" i="3"/>
  <c r="AU126" i="3"/>
  <c r="AU58" i="3"/>
  <c r="K34" i="5"/>
  <c r="AU140" i="3"/>
  <c r="K87" i="5"/>
  <c r="AU139" i="3"/>
  <c r="K86" i="5"/>
  <c r="AU96" i="3"/>
  <c r="K60" i="5"/>
  <c r="AU85" i="3"/>
  <c r="K55" i="5"/>
  <c r="AU75" i="3"/>
  <c r="K45" i="5"/>
  <c r="AU52" i="3"/>
  <c r="K29" i="5"/>
  <c r="AU16" i="3"/>
  <c r="K16" i="5"/>
  <c r="AU12" i="3"/>
  <c r="AU26" i="3"/>
  <c r="AU116" i="3"/>
  <c r="AU118" i="3"/>
  <c r="AU125" i="3"/>
  <c r="AU49" i="3"/>
  <c r="K27" i="5"/>
  <c r="AU138" i="3"/>
  <c r="M85" i="5"/>
  <c r="AU11" i="3"/>
  <c r="K12" i="5"/>
  <c r="AU132" i="3"/>
  <c r="K80" i="5"/>
  <c r="AU81" i="3"/>
  <c r="K51" i="5"/>
  <c r="AU143" i="3"/>
  <c r="K90" i="5"/>
  <c r="AU51" i="3"/>
  <c r="K28" i="5"/>
  <c r="AU15" i="3"/>
  <c r="K15" i="5"/>
  <c r="AU22" i="3"/>
  <c r="M18" i="5"/>
  <c r="AL35" i="3"/>
  <c r="AL34" i="3"/>
  <c r="AL33" i="3"/>
  <c r="AL26" i="3"/>
  <c r="AL25" i="3"/>
  <c r="AL28" i="3"/>
  <c r="AL27" i="3"/>
  <c r="AL39" i="3"/>
  <c r="AL38" i="3"/>
  <c r="AL32" i="3"/>
  <c r="AL31" i="3"/>
  <c r="AL29" i="3"/>
  <c r="AL30" i="3"/>
  <c r="AL40" i="3"/>
  <c r="AL37" i="3"/>
  <c r="AL10" i="3"/>
  <c r="AL36" i="3"/>
  <c r="M30" i="8" l="1"/>
  <c r="M49" i="5"/>
  <c r="L49" i="5"/>
  <c r="M75" i="5"/>
  <c r="L75" i="5"/>
  <c r="M28" i="5"/>
  <c r="L28" i="5"/>
  <c r="M12" i="5"/>
  <c r="L12" i="5"/>
  <c r="M14" i="5"/>
  <c r="L14" i="5"/>
  <c r="M63" i="5"/>
  <c r="L63" i="5"/>
  <c r="M22" i="5"/>
  <c r="L22" i="5"/>
  <c r="M66" i="5"/>
  <c r="L66" i="5"/>
  <c r="M42" i="5"/>
  <c r="L42" i="5"/>
  <c r="M77" i="5"/>
  <c r="L77" i="5"/>
  <c r="M20" i="5"/>
  <c r="L20" i="5"/>
  <c r="M57" i="5"/>
  <c r="L57" i="5"/>
  <c r="M45" i="5"/>
  <c r="L45" i="5"/>
  <c r="M33" i="5"/>
  <c r="L33" i="5"/>
  <c r="M81" i="5"/>
  <c r="L81" i="5"/>
  <c r="M90" i="5"/>
  <c r="L90" i="5"/>
  <c r="M53" i="5"/>
  <c r="L53" i="5"/>
  <c r="M17" i="5"/>
  <c r="L17" i="5"/>
  <c r="M46" i="5"/>
  <c r="L46" i="5"/>
  <c r="M84" i="5"/>
  <c r="L84" i="5"/>
  <c r="M48" i="5"/>
  <c r="L48" i="5"/>
  <c r="M43" i="5"/>
  <c r="L43" i="5"/>
  <c r="M25" i="5"/>
  <c r="L25" i="5"/>
  <c r="M67" i="5"/>
  <c r="L67" i="5"/>
  <c r="M52" i="5"/>
  <c r="L52" i="5"/>
  <c r="M16" i="5"/>
  <c r="L16" i="5"/>
  <c r="M60" i="5"/>
  <c r="L60" i="5"/>
  <c r="M40" i="5"/>
  <c r="L40" i="5"/>
  <c r="M74" i="5"/>
  <c r="L74" i="5"/>
  <c r="M26" i="5"/>
  <c r="L26" i="5"/>
  <c r="M69" i="5"/>
  <c r="L69" i="5"/>
  <c r="M34" i="5"/>
  <c r="L34" i="5"/>
  <c r="M51" i="5"/>
  <c r="L51" i="5"/>
  <c r="M21" i="5"/>
  <c r="L21" i="5"/>
  <c r="M72" i="5"/>
  <c r="L72" i="5"/>
  <c r="M47" i="5"/>
  <c r="L47" i="5"/>
  <c r="M62" i="5"/>
  <c r="L62" i="5"/>
  <c r="M56" i="5"/>
  <c r="L56" i="5"/>
  <c r="M79" i="5"/>
  <c r="L79" i="5"/>
  <c r="M35" i="5"/>
  <c r="L35" i="5"/>
  <c r="M41" i="5"/>
  <c r="L41" i="5"/>
  <c r="M82" i="5"/>
  <c r="L82" i="5"/>
  <c r="M64" i="5"/>
  <c r="L64" i="5"/>
  <c r="M29" i="5"/>
  <c r="L29" i="5"/>
  <c r="M86" i="5"/>
  <c r="L86" i="5"/>
  <c r="M44" i="5"/>
  <c r="L44" i="5"/>
  <c r="M23" i="5"/>
  <c r="L23" i="5"/>
  <c r="M89" i="5"/>
  <c r="L89" i="5"/>
  <c r="M83" i="5"/>
  <c r="L83" i="5"/>
  <c r="M87" i="5"/>
  <c r="L87" i="5"/>
  <c r="M55" i="5"/>
  <c r="L55" i="5"/>
  <c r="M91" i="5"/>
  <c r="L91" i="5"/>
  <c r="AL145" i="3"/>
  <c r="M27" i="5"/>
  <c r="L27" i="5"/>
  <c r="M15" i="5"/>
  <c r="L15" i="5"/>
  <c r="M80" i="5"/>
  <c r="L80" i="5"/>
  <c r="M30" i="5"/>
  <c r="L30" i="5"/>
  <c r="M73" i="5"/>
  <c r="L73" i="5"/>
  <c r="M54" i="5"/>
  <c r="L54" i="5"/>
  <c r="M78" i="5"/>
  <c r="L78" i="5"/>
  <c r="M24" i="5"/>
  <c r="L24" i="5"/>
  <c r="M88" i="5"/>
  <c r="L88" i="5"/>
  <c r="M50" i="5"/>
  <c r="L50" i="5"/>
  <c r="M61" i="5"/>
  <c r="L61" i="5"/>
  <c r="J30" i="8"/>
  <c r="AU145" i="3"/>
  <c r="M93" i="5" l="1"/>
  <c r="J93" i="5"/>
  <c r="N90" i="3"/>
  <c r="N60" i="3"/>
  <c r="N59" i="3"/>
  <c r="N91" i="3"/>
  <c r="N92" i="3"/>
  <c r="N115" i="3"/>
  <c r="N116" i="3"/>
  <c r="N114" i="3"/>
  <c r="N133" i="3"/>
  <c r="N107" i="3"/>
  <c r="N50" i="3"/>
  <c r="N54" i="3"/>
  <c r="N89" i="3"/>
  <c r="N124" i="3"/>
  <c r="N12" i="3"/>
  <c r="N62" i="3"/>
  <c r="N129" i="3"/>
  <c r="N17" i="3"/>
  <c r="N19" i="3"/>
  <c r="N18" i="3"/>
  <c r="N21" i="3"/>
  <c r="N72" i="3"/>
  <c r="N71" i="3"/>
  <c r="N104" i="3"/>
  <c r="N93" i="3"/>
  <c r="N125" i="3"/>
  <c r="N126" i="3"/>
  <c r="N127" i="3"/>
  <c r="N101" i="3"/>
  <c r="N102" i="3"/>
  <c r="N103" i="3"/>
  <c r="N117" i="3"/>
  <c r="N118" i="3"/>
  <c r="N120" i="3"/>
  <c r="N94" i="3"/>
  <c r="L131" i="3" l="1"/>
  <c r="N131" i="3" l="1"/>
  <c r="N130" i="3"/>
  <c r="L130" i="3"/>
  <c r="N20" i="3"/>
  <c r="L20" i="3" l="1"/>
  <c r="N57" i="3"/>
  <c r="N58" i="3"/>
  <c r="L58" i="3"/>
  <c r="N49" i="3"/>
  <c r="L49" i="3"/>
  <c r="N122" i="3"/>
  <c r="L122" i="3"/>
  <c r="N97" i="3"/>
  <c r="L97" i="3"/>
  <c r="N73" i="3"/>
  <c r="L73" i="3"/>
  <c r="N98" i="3"/>
  <c r="L98" i="3"/>
  <c r="N99" i="3"/>
  <c r="L99" i="3"/>
  <c r="N43" i="3"/>
  <c r="L43" i="3"/>
  <c r="N140" i="3"/>
  <c r="L140" i="3"/>
  <c r="N138" i="3"/>
  <c r="L138" i="3"/>
  <c r="N136" i="3"/>
  <c r="L136" i="3"/>
  <c r="N135" i="3"/>
  <c r="L135" i="3"/>
  <c r="N128" i="3"/>
  <c r="L128" i="3"/>
  <c r="N137" i="3"/>
  <c r="L137" i="3"/>
  <c r="N119" i="3"/>
  <c r="L119" i="3"/>
  <c r="N121" i="3"/>
  <c r="L121" i="3"/>
  <c r="N139" i="3"/>
  <c r="L139" i="3"/>
  <c r="N11" i="3"/>
  <c r="L11" i="3"/>
  <c r="N110" i="3"/>
  <c r="L110" i="3"/>
  <c r="N108" i="3"/>
  <c r="L108" i="3"/>
  <c r="N141" i="3"/>
  <c r="L141" i="3"/>
  <c r="N106" i="3"/>
  <c r="L106" i="3"/>
  <c r="N113" i="3"/>
  <c r="L113" i="3"/>
  <c r="N144" i="3"/>
  <c r="L144" i="3"/>
  <c r="N96" i="3"/>
  <c r="L96" i="3"/>
  <c r="N132" i="3"/>
  <c r="L132" i="3"/>
  <c r="N100" i="3"/>
  <c r="L100" i="3"/>
  <c r="N87" i="3"/>
  <c r="L87" i="3"/>
  <c r="N86" i="3"/>
  <c r="L86" i="3"/>
  <c r="N84" i="3"/>
  <c r="L84" i="3"/>
  <c r="N83" i="3"/>
  <c r="L83" i="3"/>
  <c r="N82" i="3"/>
  <c r="L82" i="3"/>
  <c r="N85" i="3"/>
  <c r="L85" i="3"/>
  <c r="N81" i="3"/>
  <c r="L81" i="3"/>
  <c r="N79" i="3"/>
  <c r="L79" i="3"/>
  <c r="N80" i="3"/>
  <c r="L80" i="3"/>
  <c r="N78" i="3"/>
  <c r="L78" i="3"/>
  <c r="N77" i="3"/>
  <c r="L77" i="3"/>
  <c r="N14" i="3"/>
  <c r="L14" i="3"/>
  <c r="N74" i="3"/>
  <c r="L74" i="3"/>
  <c r="N75" i="3"/>
  <c r="L75" i="3"/>
  <c r="N143" i="3"/>
  <c r="L143" i="3"/>
  <c r="N142" i="3"/>
  <c r="L142" i="3"/>
  <c r="N68" i="3"/>
  <c r="L68" i="3"/>
  <c r="N69" i="3"/>
  <c r="L69" i="3"/>
  <c r="N76" i="3"/>
  <c r="L76" i="3"/>
  <c r="N53" i="3"/>
  <c r="L53" i="3"/>
  <c r="N67" i="3"/>
  <c r="L67" i="3"/>
  <c r="N52" i="3"/>
  <c r="L52" i="3"/>
  <c r="N51" i="3"/>
  <c r="L51" i="3"/>
  <c r="N46" i="3"/>
  <c r="L46" i="3"/>
  <c r="N45" i="3"/>
  <c r="L45" i="3"/>
  <c r="N44" i="3"/>
  <c r="L44" i="3"/>
  <c r="N42" i="3"/>
  <c r="L42" i="3"/>
  <c r="N41" i="3"/>
  <c r="L41" i="3"/>
  <c r="N22" i="3"/>
  <c r="L22" i="3"/>
  <c r="N16" i="3"/>
  <c r="L16" i="3"/>
  <c r="N15" i="3"/>
  <c r="L15" i="3"/>
  <c r="N134" i="3"/>
  <c r="L134" i="3"/>
  <c r="N24" i="3"/>
  <c r="L24" i="3"/>
  <c r="N61" i="3"/>
  <c r="L61" i="3"/>
  <c r="N145" i="3" l="1"/>
  <c r="Q15" i="9" s="1"/>
  <c r="Q23" i="9" s="1"/>
  <c r="L57" i="3"/>
  <c r="L145" i="3" s="1"/>
  <c r="Q15" i="4" s="1"/>
  <c r="Q23" i="4" s="1"/>
</calcChain>
</file>

<file path=xl/sharedStrings.xml><?xml version="1.0" encoding="utf-8"?>
<sst xmlns="http://schemas.openxmlformats.org/spreadsheetml/2006/main" count="973" uniqueCount="284">
  <si>
    <t>JURISDICCION:</t>
  </si>
  <si>
    <t xml:space="preserve">SAF N°: </t>
  </si>
  <si>
    <t>EJERCICIO:</t>
  </si>
  <si>
    <t>TRIMESTRE:</t>
  </si>
  <si>
    <t>ID</t>
  </si>
  <si>
    <t>CODIGO ITEM</t>
  </si>
  <si>
    <t>RUBRO DE COMPRA</t>
  </si>
  <si>
    <t xml:space="preserve">I.P.P. </t>
  </si>
  <si>
    <t>DESCRIPCION</t>
  </si>
  <si>
    <t>UNIDAD DE MEDIDA</t>
  </si>
  <si>
    <t>PRECIO UNITARIO ESTIMADO</t>
  </si>
  <si>
    <t xml:space="preserve">IMPORTE TOTAL ESTIMADO </t>
  </si>
  <si>
    <t>UNIDAD</t>
  </si>
  <si>
    <t xml:space="preserve">UNIDAD </t>
  </si>
  <si>
    <t>CAJA</t>
  </si>
  <si>
    <t>40 - MINISTERIO DE SALUD</t>
  </si>
  <si>
    <t>Pedido de Necesidades Trimestrales</t>
  </si>
  <si>
    <t>SOLUSION FISIOLOGICA x 100 ml</t>
  </si>
  <si>
    <t>HIV ELISA AG/AC 4° GENERACION -96 DET-</t>
  </si>
  <si>
    <t xml:space="preserve">Unidad </t>
  </si>
  <si>
    <t>CHAGATEST ELISA RECOMBINANTE (V4,0)-96 DET.</t>
  </si>
  <si>
    <t>CHAGATEST ELISA LISADO-96DET.</t>
  </si>
  <si>
    <t>HTLV 1 Y 2 ELISA-96DET.</t>
  </si>
  <si>
    <t>VDRL TEST-250DET.</t>
  </si>
  <si>
    <t>ANTIGENO FEBRIL BRUCELLA (HUDDLESON 1 X 5 ML.</t>
  </si>
  <si>
    <t>CMV CITOMEGALOVIRUS IGM  METODO ELISA 96 DET.</t>
  </si>
  <si>
    <t>TOXO HAI 96 DET.</t>
  </si>
  <si>
    <t>ANTI-A MONOCLONAL- FRASCO 10 ML</t>
  </si>
  <si>
    <t>ANTI-B MONOCLONAL-FRASCOS 10 ML</t>
  </si>
  <si>
    <t>ANTI-AB MONOCLONAL- FRASCO 10 ML</t>
  </si>
  <si>
    <t>ANTI-D (RHO) MONOCLONAL-FRASCOS 10 ML</t>
  </si>
  <si>
    <t>CANTIDAD TOTAL</t>
  </si>
  <si>
    <t>BIDON</t>
  </si>
  <si>
    <t>Wl 19 Control AA 3 Niveles 3x3 Ml (Bajo-Normal-Alto) Tipo WIENER</t>
  </si>
  <si>
    <t>VDRL Test 250 Det Tipo WIENER</t>
  </si>
  <si>
    <t>Uricostat Enzimatico AA LL 250 Ml Tipo WIENER</t>
  </si>
  <si>
    <t>Tg Color Gpo/Pap AA LL 400 Ml (4x100 Ml) Tipo WIENER</t>
  </si>
  <si>
    <t>Urine Strip 100 Tiras Tipo WIENER</t>
  </si>
  <si>
    <t>Soluplastin 10x2 Ml 100 Det Tipo WIENER</t>
  </si>
  <si>
    <t>Standartrol S-E 2 Nivel 3 Fr x 5 Ml N1+3 Fr Tipo WIENER</t>
  </si>
  <si>
    <t>Proti 2 140 Det (Biuret 500 M+Alb 500+Sp) Tipo WIENER</t>
  </si>
  <si>
    <t>Wl 19 Probe Cleanser AA 20 Ml Tipo WIENER</t>
  </si>
  <si>
    <t>Pcr Latex Directo 50 Det Tipo WIENER</t>
  </si>
  <si>
    <t>Sangre Agar (Columbia) 10 Placas Tipo BRITANIA</t>
  </si>
  <si>
    <t>Wl19 Lyse AA 500 Ml Tipo WIENER</t>
  </si>
  <si>
    <t>LDL Colesterol monofase AA 200 Det (60 Ml+20 Ml) Tipo WIENER</t>
  </si>
  <si>
    <t>Pack para equipo Diestro 103 Automatico Tipo DIESTRO</t>
  </si>
  <si>
    <t>HDL Colesterol Monofase AA Plus c/calibrador 60 Ml+20 Ml (200D x 0,4 M) Tipo WIENER</t>
  </si>
  <si>
    <t>HDL Colesterol Ft 100 Ml 200 Det Tipo WIENER</t>
  </si>
  <si>
    <t>HBA1C Enzymatic Lysis Buffer Turbidim 50 Ml Tipo WIENER</t>
  </si>
  <si>
    <t>HBA1C Enzymatic Control Turbidim 2x0,5 Ml Tipo WIENER</t>
  </si>
  <si>
    <t>HBA1C Enzymatic Calibrador Turbidimetrico 2x0,5 Ml Tipo WIENER</t>
  </si>
  <si>
    <t>HBA1C Enzymatic Turbidimetrico 1x18 Ml - 1x8 Ml - 1x12 Ml Tipo WIENER</t>
  </si>
  <si>
    <t>Gpt (ALT) UV AA 200 Ml Tipo WIENER</t>
  </si>
  <si>
    <t>Gpt (ALT) UV AA 200 Ml (10x20 Ml) Tipo WIENER</t>
  </si>
  <si>
    <t>Got (AST) UV AA 200 Ml (10x20 Ml) Tipo WIENER</t>
  </si>
  <si>
    <t>Fecuntest Strips 25 Det Tipo WIENER</t>
  </si>
  <si>
    <t>Wl19 E-Z Cleanser AA 100 Ml Tipo WIENER</t>
  </si>
  <si>
    <t>Wl19 Diluent AA 20 Litros Tipo WIENER</t>
  </si>
  <si>
    <t>Giemsa+Estabilizador 1 Litro Tipo BIOPUR</t>
  </si>
  <si>
    <t>Colestat Enzimatico AA LL 400 Ml (4x100 Ml) Tipo WIENER</t>
  </si>
  <si>
    <t>Bilirrubina 200 Det Tipo WIENER</t>
  </si>
  <si>
    <t>ASO latex 50 Det Tipo WIENER</t>
  </si>
  <si>
    <t>Artritest Directo 50 Det Tipo WIENER</t>
  </si>
  <si>
    <t>Amilasa 405 liquida  30 Ml (3x10 ml) tipo WIENER</t>
  </si>
  <si>
    <t>ALP 405 AA LL 100 Ml Tipo WIENER</t>
  </si>
  <si>
    <t>unidad</t>
  </si>
  <si>
    <t>DIR. LAB. CENTRAL</t>
  </si>
  <si>
    <t>TOTAL DE LAB CENTRAL</t>
  </si>
  <si>
    <t>Botella de FA Plus Aerobico para Bact Alert</t>
  </si>
  <si>
    <t>Strepto B x 20 Placas Tipo BIOMERIEUX</t>
  </si>
  <si>
    <t>Limpiador concentrado x 1 L CD80 Tipo MINDRAY</t>
  </si>
  <si>
    <t>Ez Cleanser x 100 Ml Tipo MINDRAY</t>
  </si>
  <si>
    <t>M-30 CFL x 500 Ml Tipo MINDRAY</t>
  </si>
  <si>
    <t>M-30 Diluent x 20 Lts Tipo MINDRAY</t>
  </si>
  <si>
    <t>BC-3D Control Hematologico 3x3 Ml (1B, 1N, 1A)</t>
  </si>
  <si>
    <t>KIT</t>
  </si>
  <si>
    <t xml:space="preserve">BCO DE SANGRE </t>
  </si>
  <si>
    <t xml:space="preserve">TOTAL BANCO DE SANGRE </t>
  </si>
  <si>
    <t>PANEL SERO cyte 0,8% X 3 UNID.</t>
  </si>
  <si>
    <t>PANEL SERIGRUP A1/B X 3 UNID.</t>
  </si>
  <si>
    <t>SOLUCION DG SOL X 100ML X 14 UNID.</t>
  </si>
  <si>
    <t xml:space="preserve">Equipo para la deteccion de Anti Hb Core, por metodo de Elisa  en microplacas en equipos de 96 det. Monolisa HBc Plus </t>
  </si>
  <si>
    <t>ATENCION PRIMARIA</t>
  </si>
  <si>
    <t>TOTAL ATENCION PRI</t>
  </si>
  <si>
    <t xml:space="preserve">DIR DE CANCER </t>
  </si>
  <si>
    <t>TOTAL DE DIR DE CANCER</t>
  </si>
  <si>
    <t>FARMACIA</t>
  </si>
  <si>
    <t>TOTAL FARMACIA</t>
  </si>
  <si>
    <t>ODONTOLOGIA</t>
  </si>
  <si>
    <t>TOTAL DE ODONTOLOG</t>
  </si>
  <si>
    <t>SAME</t>
  </si>
  <si>
    <t>TOTAL DE SAME</t>
  </si>
  <si>
    <t>QUIMICOS</t>
  </si>
  <si>
    <t>MALBRAN</t>
  </si>
  <si>
    <t>HOSPITAL MALBRAN</t>
  </si>
  <si>
    <t>maternidade e infancia</t>
  </si>
  <si>
    <t xml:space="preserve">total maternidad </t>
  </si>
  <si>
    <t>SEC DE ASIST EN SALUD PUB</t>
  </si>
  <si>
    <t>TOTAL SEC EN ASIS EN SAL</t>
  </si>
  <si>
    <t>SALUD Y MEDIO AMBIENTE</t>
  </si>
  <si>
    <t>TOTAL SALUD Y MEDIO AMBIENTE</t>
  </si>
  <si>
    <t>VECTORES Y ZOONOSIS</t>
  </si>
  <si>
    <t>TOTAL DE VECT Y ZOON</t>
  </si>
  <si>
    <t>SUMAR</t>
  </si>
  <si>
    <t xml:space="preserve">TOTAL SUMAR </t>
  </si>
  <si>
    <t>CUR</t>
  </si>
  <si>
    <t>TOTAL CUR</t>
  </si>
  <si>
    <t>2.5.1.</t>
  </si>
  <si>
    <t>PLANIFICACION</t>
  </si>
  <si>
    <t>TOTAL PLANIFICA</t>
  </si>
  <si>
    <t>SALUD MENTAL</t>
  </si>
  <si>
    <t>TOTAL SALUD MENTAL</t>
  </si>
  <si>
    <t>AREAS Y DPAS</t>
  </si>
  <si>
    <t>TOTAL DPAS</t>
  </si>
  <si>
    <t>SEC PREV</t>
  </si>
  <si>
    <t>TOTAL SEC PREVEN</t>
  </si>
  <si>
    <t>DIR DE ADM</t>
  </si>
  <si>
    <t>TOTAL DIR ADM</t>
  </si>
  <si>
    <t>KITS PARA PLAQUETOFERESIS CON FILTRO 994/995 TIPO GRIFOLS</t>
  </si>
  <si>
    <t>KIT PLASMAFERESIS 980 TIPO GRIFOLS</t>
  </si>
  <si>
    <t>TARJETA DE GEL ABO RH 2d TIPO GRIFOLS</t>
  </si>
  <si>
    <t>TARJETA DE GEL COOMBS TIPO GRIFOLS</t>
  </si>
  <si>
    <t>TARJETA DE GEL PHENO TIPO GRIFOLS</t>
  </si>
  <si>
    <t>PANEL IDENTISERA DIANA TIPO GRIFOLS</t>
  </si>
  <si>
    <t>PANEL SARASCAN DIANA 2 TIPOS GRIFOLS</t>
  </si>
  <si>
    <t>PANEL SERO cyte 0,8%  TIPOS GRIFOLS</t>
  </si>
  <si>
    <t>PANEL SERIGRUP A1/B TIPO GRIFOLS</t>
  </si>
  <si>
    <t>Solucion ACD ( ANTICOAGULANTE PARA EQUIPO DE AFERESIS) TIPO GRIFOLS</t>
  </si>
  <si>
    <t xml:space="preserve">SOLUCION DG SOL X 100ML FLEXIBLE DOBLE TIPO GRIFOLS </t>
  </si>
  <si>
    <t>CHAGATEST ELISA RECOMBINANTE (V4,0)-96 DET. TIPO WIENER</t>
  </si>
  <si>
    <t>CHAGATEST ELISA LISADO-96DET. TIPO WIENER</t>
  </si>
  <si>
    <t>HTLV 1 Y 2 ELISA-96DET. TIPO WIENER</t>
  </si>
  <si>
    <t>HVC REACTIVO x 100 det TIPO ABBOTT P/ EQUIPO ARCHITECT</t>
  </si>
  <si>
    <t>SARS-COV-2 IgG Reactivo x 100 det TIPO ABBOTT P/ EQUIPO ARCHITECT</t>
  </si>
  <si>
    <t>SARS-COV-2 IgM Calibrador TIPO ABBOTT P/ EQUIPO ARCHITECT</t>
  </si>
  <si>
    <t>SARS- COV-2 Igm Control TIPO ABBOTT P/ EQUIPO ARCHITECT</t>
  </si>
  <si>
    <t>Trigger TIPO ABBOTT P/ EQUIPO ARCHITECT</t>
  </si>
  <si>
    <t>Pre-trigger TIPO ABBOTT P/ EQUIPO ARCHITECT</t>
  </si>
  <si>
    <t>Buffer TIPO ABBOTT P/ EQUIPO ARCHITECT</t>
  </si>
  <si>
    <t>Celdas de Reaccion TIPO ABBOTT P/ EQUIPO ARCHITECT</t>
  </si>
  <si>
    <t xml:space="preserve">HEPATITIS C HCV ELISA 3º GEN. 96 DET. TIPO WIENER </t>
  </si>
  <si>
    <t>SUERO ANTI HUMANO COOMBS TIPO WIENER</t>
  </si>
  <si>
    <t>ALBUMINA BOVINA TIPO WIENER</t>
  </si>
  <si>
    <t>CMV CITOMEGALOVIRUS IGM  METODO ELISA 96 DET. TIPO WIENER</t>
  </si>
  <si>
    <t>TOXO HAI 96 DET. TIPO WIENER</t>
  </si>
  <si>
    <t>ANTI-A MONOCLONAL- FRASCO 10 ML TIPO WIENER</t>
  </si>
  <si>
    <t>ANTI-B MONOCLONAL-FRASCOS 10 ML TIPO WIENER</t>
  </si>
  <si>
    <t>ANTI-AB MONOCLONAL- FRASCO 10 MLTIPO WIENER</t>
  </si>
  <si>
    <t>ANTI-D (RHO) MONOCLONAL-FRASCOS 10 ML TIPO WIENER</t>
  </si>
  <si>
    <t>ARC HIV COMBO RGT X 100 DET. TIPO ART. ABBOT</t>
  </si>
  <si>
    <t>ARC HIV COMBO CALIBRADOR TIPO ART. ABBOT</t>
  </si>
  <si>
    <t>ARC HBSAG RGT X 100 DET. TIPO ART. ABBOT</t>
  </si>
  <si>
    <t>ARC HBSAG CALIBRADOR TIPO ART. ABBOT</t>
  </si>
  <si>
    <t>ARC ANTI HBC II RGT X 100 DET. TIPO ART. ABBOT</t>
  </si>
  <si>
    <t>ARC ANTI HBC II CALIBRADOR TIPO ART. ABBOT</t>
  </si>
  <si>
    <t>ARC ANTI HCV RGT X 100 DET. TIPO ART. ABBOT</t>
  </si>
  <si>
    <t>ARC ANTI HCV CALIBRADOR TIPO ART. ABBOT</t>
  </si>
  <si>
    <t>ARC SIFILIS RGT X 100 TIPO ART. ABBOT</t>
  </si>
  <si>
    <t>ARC SIFILIS CALIBRADOR TIPO ART. ABBOT</t>
  </si>
  <si>
    <t>ARC CMV M RGT X 100 TIPO ART. ABBOT</t>
  </si>
  <si>
    <t>ARC CMV M CALIBRADOR TIPO ART. ABBOT</t>
  </si>
  <si>
    <t>ARC BUFFER CONCENTRADO x 4 lts TIPO ART. ABBOT</t>
  </si>
  <si>
    <t>ARC CELDAS DE REACCION  TIPO ART. ABBOT</t>
  </si>
  <si>
    <t>ARC TRIGGER x 4 lts TIPO ART. ABBOT</t>
  </si>
  <si>
    <t>ARC PRE TRIGGER x 4 lts TIPO ART. ABBOT</t>
  </si>
  <si>
    <t>CLORURO DE CALCIO Tipo HEMO MEDICA (USA)</t>
  </si>
  <si>
    <t>APTT-P  Tipo HEMO MEDICA (USA)</t>
  </si>
  <si>
    <t>TROBOPLASTINA -S Tipo HEMO MEDICA (USA)</t>
  </si>
  <si>
    <t>ANTIGENO FEBRIL BRUCELLA (HUDDLESON)</t>
  </si>
  <si>
    <t>Bilirrubina DIRECTA AA LIQUIDA Tipo WIENER</t>
  </si>
  <si>
    <t>Bilirrubina TOTAL AA LIQUIDA Tipo WIENER</t>
  </si>
  <si>
    <t>CALCIO COLOR AATipo WIENER</t>
  </si>
  <si>
    <t>CALIBRADOR A PLUS Tipo WIENER</t>
  </si>
  <si>
    <t>CASSETE SENSOR OSMOTECH OPTI CCA TIPO E-GLU</t>
  </si>
  <si>
    <t>Creatinina DIRECTA Tipo WIENER</t>
  </si>
  <si>
    <t>Creatinina Cinetica AA LL Tipo WIENER</t>
  </si>
  <si>
    <t>Fecuntest DIRECTO 50 Det Tipo WIENER</t>
  </si>
  <si>
    <t>ALCohol ISOPROPILICO  Tipo CICARELLI X 1 LITRO</t>
  </si>
  <si>
    <t>Glicemia Enzimatica AA 250 Ml (1x250 Ml) Tipo WIENER</t>
  </si>
  <si>
    <t>Got (AST) UV AA LL 200 Ml Tipo WIENER</t>
  </si>
  <si>
    <t>TOXOPLASMOSIS HAI Tipo POLICHACO</t>
  </si>
  <si>
    <t>Proteinas totales AA 120 X 6 Ml Tipo WIENER</t>
  </si>
  <si>
    <t>Albumina AA 120 X 6 Ml Tipo WIENER</t>
  </si>
  <si>
    <t>W19 Rinse Counter 20 L Tipo WIENER</t>
  </si>
  <si>
    <t>Urea UV Cinetica liquidaTipo WIENER</t>
  </si>
  <si>
    <t>CHAGAS HAI Tipo WIENER</t>
  </si>
  <si>
    <t>CHAGAS ELISA Tipo WIENER</t>
  </si>
  <si>
    <t>Anticoagulante W EDTA 6x50 ml tipo Wiener</t>
  </si>
  <si>
    <t>Toxo IgG MINIVIDAS Tipo BIOMERIEUX</t>
  </si>
  <si>
    <t>Toxo IgM MINIVIDAS Tipo BIOMERIEUX</t>
  </si>
  <si>
    <t>APTTest tipo Wiener 150 det.</t>
  </si>
  <si>
    <t>HEPATISIS B  Ag Superficie tipo Wiener</t>
  </si>
  <si>
    <t>S1 RINSE SOLUCION COBAS B221 2X 1800 ML X 2 UNIDADES TIPO ROCHE</t>
  </si>
  <si>
    <t>S2 FLUIDO PACK COBAS B221  TIPO ROCHE</t>
  </si>
  <si>
    <t>CELL PACKS Tipo SYSMEX 20 L</t>
  </si>
  <si>
    <t>STROMATROLYSER 4DL XS 1000 TIPO  SYSMEX 5 L</t>
  </si>
  <si>
    <t>ALBUMINA COBAS C311 X 300 DET. TIPO ROCHE</t>
  </si>
  <si>
    <t>PROTEINAS TOTALES COBAS C311 X 300 DET. TIPO ROCHE</t>
  </si>
  <si>
    <t>COBAS DIMERO D X 100 det: Tipo ROCHE</t>
  </si>
  <si>
    <t>LACTATO COBAS C311 X 100 DET. TIPO ROCHE</t>
  </si>
  <si>
    <t>COBAS FERRITINA X 250 det.  TIPO ROCHE</t>
  </si>
  <si>
    <t>PCR COBAS C311  X 250 DET. TIPO ROCHE</t>
  </si>
  <si>
    <t>COBAS ECO-D Tipo ROCHE</t>
  </si>
  <si>
    <t>COBAS SMS Tipo ROCHE</t>
  </si>
  <si>
    <t>CELL WASH SOLITION I COBAS C311 TIPO ROCHE</t>
  </si>
  <si>
    <t>NOTA DE PEDIDO</t>
  </si>
  <si>
    <t>N°</t>
  </si>
  <si>
    <t xml:space="preserve">JURISDICCIÓN: </t>
  </si>
  <si>
    <t>040 - Ministerio de Salud</t>
  </si>
  <si>
    <t>SAF:</t>
  </si>
  <si>
    <t>011 - Direccion Provincial de Administración - Ministerio de Salud</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</si>
  <si>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</si>
  <si>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</si>
  <si>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</si>
  <si>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</si>
  <si>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</si>
  <si>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</si>
  <si>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</si>
  <si>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</si>
  <si>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</si>
  <si>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</si>
  <si>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</si>
  <si>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</si>
  <si>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</si>
  <si>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</si>
  <si>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</si>
  <si>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</si>
  <si>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</si>
  <si>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</si>
  <si>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</si>
  <si>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</si>
  <si>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</si>
  <si>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</si>
  <si>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</si>
  <si>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</si>
  <si>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</si>
  <si>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</si>
  <si>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</si>
  <si>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</si>
  <si>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</si>
  <si>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</si>
  <si>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</si>
  <si>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</si>
  <si>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</si>
  <si>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</si>
  <si>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JUSTIFICACIÓN:</t>
  </si>
  <si>
    <t>11 - DIRECCION PROVINCIAL DE ADMINISTRACION - MINISTERIO DE SALUD</t>
  </si>
  <si>
    <t>TOTAL RUBRO REACTIVOS PARA LABORATORIO</t>
  </si>
  <si>
    <t>468 - DIRECCION PROVINCIAL DE LABORATORIO</t>
  </si>
  <si>
    <t>Adquisicion del  RUBRO REACTIVOS PARA LABORATORIO</t>
  </si>
  <si>
    <t>COMPUESTOS QUIMICOS</t>
  </si>
  <si>
    <t>DETALLE TECNICO Y ESPECIFICACIONES</t>
  </si>
  <si>
    <t xml:space="preserve">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
</t>
  </si>
  <si>
    <t>Plazos de entrega</t>
  </si>
  <si>
    <t>veinte (20) dias corridos</t>
  </si>
  <si>
    <t>Lugar de Entrega:</t>
  </si>
  <si>
    <t>Calidad Minima esperada</t>
  </si>
  <si>
    <t>Mantenimiento</t>
  </si>
  <si>
    <t>cuarenta y cinco (45) días</t>
  </si>
  <si>
    <t>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t>
  </si>
  <si>
    <t>34/21</t>
  </si>
  <si>
    <t>Autorizo la realización de los  trámites correspondientes, a fin de proveer a  este Organismo los bienes que se detallan en Nota de pedido y Entrega N° 34/2021,  afectando la erogación resultante a los créditos presupuestarios aprobados a favor de esta Unidad Ejecutora, conforme al siguiente detalle:</t>
  </si>
  <si>
    <t>TOTAL DE PESOS:  CATORCE MILLONES NOVECIENTOS SETENTA Y DOS MIL DOSCIENTOS SESENTA Y SIETE con 00/100</t>
  </si>
  <si>
    <t>Costo total estimado: CATORCE MILLONES NOVECIENTOS SETENTA Y DOS MIL DOSCIENTOS SESENTA Y SIETE con 00/100</t>
  </si>
  <si>
    <t>EQUIPOS COVIDAR IgG x192 det. Para equipo elisa</t>
  </si>
  <si>
    <t>BIOZIMA CHAGAS x192 DET.</t>
  </si>
  <si>
    <t>BIOZIMA CHAGAS RECOMBINANTES x192 DET.</t>
  </si>
  <si>
    <t>TOTAL DE PESOS:  TRECE MILLONES QUINIENTOS SIETE MIL DOSCIENTOS SETENTA Y SIETE con 16/100</t>
  </si>
  <si>
    <t>Autorizo la realización de los  trámites correspondientes, a fin de proveer a  este Organismo los bienes que se detallan en Nota de pedido y Entrega N° 13/2021,  afectando la erogación resultante a los créditos presupuestarios aprobados a favor de esta Unidad Ejecutora, conforme al siguiente detalle:</t>
  </si>
  <si>
    <t>_13/21</t>
  </si>
  <si>
    <t>_19/21</t>
  </si>
  <si>
    <t>Autorizo la realización de los  trámites correspondientes, a fin de proveer a  este Organismo los bienes que se detallan en Nota de pedido y Entrega N° 19/2021,  afectando la erogación resultante a los créditos presupuestarios aprobados a favor de esta Unidad Ejecutora, conforme al siguiente detalle:</t>
  </si>
  <si>
    <t>TOTAL DE PESOS: OCHOCIENTOS VEINTISEIS MIL TRESCIENTOS CUARENTA Y OCHO CON 00/100</t>
  </si>
  <si>
    <t>3° TRIMESTRE</t>
  </si>
  <si>
    <t>TERCER TRIMESTRE</t>
  </si>
  <si>
    <t>747 - DIRECCION PROVINCIAL BANCO DE SANGRE</t>
  </si>
  <si>
    <t>160 - DIRECCION PROVINCIAL CENTRO UNICO DE REFERENCIA</t>
  </si>
  <si>
    <t>Costo total estimado:OCHOCIENTOS VEINTISEIS MIL TRESCIENTOS CUARENTA Y OCHO CON 00/100</t>
  </si>
  <si>
    <t>Costo total estimado: TRECE MILLONES QUINIENTOS SIETE MIL DOSCIENTOS SETENTA Y SIETE con 16/100</t>
  </si>
  <si>
    <t>Los items 2, 4 al 7, 11, 13 ( 30 uni), al 15, 32 al 37, 40, 42 al 44, 46 al 49, 52, 54 al 60, 64 al 79 (10 unid), 86 al 91, 96, 97, 99 al 204, 110, 112 al  114, 119, 121 al 123, 125 al 129 (50 unid), 126 al 135  DIR. PROV. DE LABORATORIO - CHACABUCO N° 169 - en el horario de 8:00hs a 12:00hs de lunes a viernes</t>
  </si>
  <si>
    <t>Los items 3, 8 al 10, 12, 13, 38, 39, 41, 45, 50, 51, 53, 61, 62, 79 (12 unid) al 85, 92 al 95, 98, 105 al 109, 111, 115 al 118, 120, 124 129 (12 unid)  DIR. PROV. BANCO DE SANGRE - Pasaje Boto Gray N°500 (frente la Maternida Provincial 25 de Mayo) en el horario de 8:00hs a 12:00hs de lunes a viernes</t>
  </si>
  <si>
    <t>Los items1, 16 al 31 DIR. PROV. CUR - CENTRO UNICO DE REFERENCIA - Dr Julio Herrera N° 250. en el horario de 8:00hs a 12:00hs de lunes a viernes</t>
  </si>
  <si>
    <t xml:space="preserve">AGUA BIDESTILADA x 10 litros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</si>
</sst>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7" formatCode="&quot;$&quot;\ #,##0.00;\-&quot;$&quot;\ #,##0.00"/>
    <numFmt numFmtId="44" formatCode="_-&quot;$&quot;\ * #,##0.00_-;\-&quot;$&quot;\ * #,##0.00_-;_-&quot;$&quot;\ * &quot;-&quot;??_-;_-@_-"/>
    <numFmt numFmtId="43" formatCode="_-* #,##0.00_-;\-* #,##0.00_-;_-* &quot;-&quot;??_-;_-@_-"/>
    <numFmt numFmtId="164" formatCode="_ &quot;$&quot;\ * #,##0.00_ ;_ &quot;$&quot;\ * \-#,##0.00_ ;_ &quot;$&quot;\ * &quot;-&quot;??_ ;_ @_ "/>
    <numFmt numFmtId="165" formatCode="_-* #,##0.00&quot; €&quot;_-;\-* #,##0.00&quot; €&quot;_-;_-* \-??&quot; €&quot;_-;_-@_-"/>
    <numFmt numFmtId="166" formatCode="_-[$$-2C0A]\ * #,##0.00_-;\-[$$-2C0A]\ * #,##0.00_-;_-[$$-2C0A]\ * &quot;-&quot;??_-;_-@_-"/>
    <numFmt numFmtId="167" formatCode="[$$-2C0A]\ #,##0.00;[$$-2C0A]&quot; -&quot;#,##0.00"/>
    <numFmt numFmtId="168" formatCode="[$$-2C0A]\ #,##0.00"/>
    <numFmt numFmtId="169" formatCode="&quot;$&quot;\ #,##0.00"/>
    <numFmt numFmtId="170" formatCode="dd\-mm\-yy;@"/>
    <numFmt numFmtId="171" formatCode="_(\$* #,##0.00_);_(\$* \(#,##0.00\);_(\$* \-??_);_(@_)"/>
  </numFmts>
  <fonts count="39"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b/>
      <sz val="12"/>
      <color rgb="FF000000"/>
      <name val="Times New Roman"/>
      <family val="1"/>
    </font>
    <font>
      <sz val="10"/>
      <name val="Arial"/>
      <family val="2"/>
    </font>
    <font>
      <sz val="11"/>
      <name val="Arial"/>
      <family val="2"/>
    </font>
    <font>
      <b/>
      <sz val="20"/>
      <name val="Times New Roman"/>
      <family val="1"/>
    </font>
    <font>
      <sz val="11"/>
      <name val="Times New Roman"/>
      <family val="1"/>
    </font>
    <font>
      <sz val="11"/>
      <color rgb="FF000000"/>
      <name val="Times New Roman"/>
      <family val="1"/>
    </font>
    <font>
      <sz val="11"/>
      <color theme="1"/>
      <name val="Times New Roman"/>
      <family val="1"/>
    </font>
    <font>
      <b/>
      <sz val="11"/>
      <name val="Times New Roman"/>
      <family val="1"/>
    </font>
    <font>
      <b/>
      <u/>
      <sz val="12"/>
      <name val="Times New Roman"/>
      <family val="1"/>
      <charset val="1"/>
    </font>
    <font>
      <b/>
      <sz val="12"/>
      <name val="Times New Roman"/>
      <family val="1"/>
      <charset val="1"/>
    </font>
    <font>
      <sz val="10"/>
      <color theme="0"/>
      <name val="Arial"/>
      <family val="2"/>
    </font>
    <font>
      <sz val="12"/>
      <name val="Times New Roman"/>
      <family val="1"/>
      <charset val="1"/>
    </font>
    <font>
      <b/>
      <sz val="11"/>
      <name val="Times New Roman"/>
      <family val="1"/>
      <charset val="1"/>
    </font>
    <font>
      <sz val="10"/>
      <name val="Times New Roman"/>
      <family val="1"/>
      <charset val="1"/>
    </font>
    <font>
      <sz val="10"/>
      <name val="Arial"/>
      <family val="2"/>
      <charset val="1"/>
    </font>
    <font>
      <sz val="11"/>
      <name val="Calibri"/>
      <family val="2"/>
      <scheme val="minor"/>
    </font>
    <font>
      <sz val="11"/>
      <name val="Times New Roman"/>
      <family val="1"/>
      <charset val="1"/>
    </font>
    <font>
      <b/>
      <sz val="10"/>
      <name val="Arial"/>
      <family val="2"/>
    </font>
    <font>
      <b/>
      <sz val="10"/>
      <name val="Times New Roman"/>
      <family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b/>
      <sz val="10"/>
      <color rgb="FFFF0000"/>
      <name val="Times New Roman"/>
      <family val="1"/>
    </font>
    <font>
      <sz val="10"/>
      <color theme="1"/>
      <name val="Times New Roman"/>
      <family val="1"/>
    </font>
    <font>
      <sz val="10"/>
      <color rgb="FF333333"/>
      <name val="Times New Roman"/>
      <family val="1"/>
    </font>
  </fonts>
  <fills count="7">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C0C0C0"/>
        <bgColor rgb="FFCCCCFF"/>
      </patternFill>
    </fill>
    <fill>
      <patternFill patternType="solid">
        <fgColor rgb="FFFFFF00"/>
        <bgColor indexed="64"/>
      </patternFill>
    </fill>
  </fills>
  <borders count="81">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thin">
        <color indexed="64"/>
      </bottom>
      <diagonal/>
    </border>
    <border>
      <left/>
      <right/>
      <top style="thin">
        <color auto="1"/>
      </top>
      <bottom/>
      <diagonal/>
    </border>
    <border>
      <left/>
      <right style="medium">
        <color indexed="64"/>
      </right>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medium">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diagonal/>
    </border>
    <border>
      <left style="thin">
        <color indexed="64"/>
      </left>
      <right style="thin">
        <color auto="1"/>
      </right>
      <top/>
      <bottom/>
      <diagonal/>
    </border>
    <border>
      <left style="thin">
        <color auto="1"/>
      </left>
      <right/>
      <top/>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3D3D3D"/>
      </left>
      <right/>
      <top style="medium">
        <color rgb="FF3D3D3D"/>
      </top>
      <bottom/>
      <diagonal/>
    </border>
    <border>
      <left style="medium">
        <color indexed="64"/>
      </left>
      <right style="medium">
        <color indexed="64"/>
      </right>
      <top style="medium">
        <color indexed="64"/>
      </top>
      <bottom style="medium">
        <color indexed="64"/>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rgb="FF3D3D3D"/>
      </left>
      <right/>
      <top style="medium">
        <color indexed="64"/>
      </top>
      <bottom style="medium">
        <color indexed="64"/>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auto="1"/>
      </left>
      <right style="medium">
        <color indexed="64"/>
      </right>
      <top style="medium">
        <color auto="1"/>
      </top>
      <bottom style="thin">
        <color indexed="64"/>
      </bottom>
      <diagonal/>
    </border>
    <border>
      <left style="medium">
        <color auto="1"/>
      </left>
      <right style="medium">
        <color rgb="FF3D3D3D"/>
      </right>
      <top style="medium">
        <color auto="1"/>
      </top>
      <bottom style="thin">
        <color indexed="64"/>
      </bottom>
      <diagonal/>
    </border>
    <border>
      <left style="medium">
        <color rgb="FF3D3D3D"/>
      </left>
      <right style="medium">
        <color rgb="FF3D3D3D"/>
      </right>
      <top style="medium">
        <color auto="1"/>
      </top>
      <bottom style="thin">
        <color indexed="64"/>
      </bottom>
      <diagonal/>
    </border>
    <border>
      <left style="medium">
        <color rgb="FF3D3D3D"/>
      </left>
      <right/>
      <top style="medium">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7">
    <xf numFmtId="0" fontId="0" fillId="0" borderId="0"/>
    <xf numFmtId="165" fontId="7" fillId="0" borderId="0" applyBorder="0" applyProtection="0"/>
    <xf numFmtId="0" fontId="5" fillId="0" borderId="1" applyProtection="0"/>
    <xf numFmtId="0" fontId="6" fillId="2" borderId="0" applyBorder="0" applyProtection="0"/>
    <xf numFmtId="0" fontId="13" fillId="0" borderId="0"/>
    <xf numFmtId="164" fontId="13" fillId="0" borderId="0" applyBorder="0" applyAlignment="0" applyProtection="0"/>
    <xf numFmtId="0" fontId="13" fillId="0" borderId="0"/>
    <xf numFmtId="0" fontId="13" fillId="0" borderId="0"/>
    <xf numFmtId="0" fontId="13" fillId="0" borderId="0"/>
    <xf numFmtId="0" fontId="4" fillId="0" borderId="0"/>
    <xf numFmtId="0" fontId="7" fillId="0" borderId="0"/>
    <xf numFmtId="165" fontId="7" fillId="0" borderId="0" applyBorder="0" applyProtection="0"/>
    <xf numFmtId="0" fontId="5" fillId="0" borderId="1" applyProtection="0"/>
    <xf numFmtId="0" fontId="7" fillId="0" borderId="0"/>
    <xf numFmtId="164" fontId="7" fillId="0" borderId="0" applyBorder="0" applyAlignment="0" applyProtection="0"/>
    <xf numFmtId="0" fontId="7" fillId="0" borderId="0"/>
    <xf numFmtId="0" fontId="7" fillId="0" borderId="0"/>
    <xf numFmtId="0" fontId="7" fillId="0" borderId="0"/>
    <xf numFmtId="0" fontId="3" fillId="0" borderId="0"/>
    <xf numFmtId="43" fontId="3" fillId="0" borderId="0" applyFont="0" applyFill="0" applyBorder="0" applyAlignment="0" applyProtection="0"/>
    <xf numFmtId="0" fontId="3" fillId="0" borderId="0"/>
    <xf numFmtId="165" fontId="7" fillId="0" borderId="0" applyBorder="0" applyProtection="0"/>
    <xf numFmtId="0" fontId="3" fillId="0" borderId="0"/>
    <xf numFmtId="0" fontId="3" fillId="0" borderId="0"/>
    <xf numFmtId="0" fontId="2" fillId="0" borderId="0"/>
    <xf numFmtId="171" fontId="26" fillId="0" borderId="0" applyBorder="0" applyProtection="0"/>
    <xf numFmtId="0" fontId="1" fillId="0" borderId="0"/>
  </cellStyleXfs>
  <cellXfs count="359">
    <xf numFmtId="0" fontId="0" fillId="0" borderId="0" xfId="0"/>
    <xf numFmtId="0" fontId="8" fillId="0" borderId="0" xfId="0" applyFont="1"/>
    <xf numFmtId="0" fontId="10" fillId="0" borderId="0" xfId="0" applyFont="1" applyAlignment="1">
      <alignment horizontal="center" wrapText="1"/>
    </xf>
    <xf numFmtId="0" fontId="8" fillId="0" borderId="0" xfId="0" applyFont="1" applyAlignment="1">
      <alignment horizontal="center"/>
    </xf>
    <xf numFmtId="3" fontId="14" fillId="4" borderId="2" xfId="0" applyNumberFormat="1" applyFont="1" applyFill="1" applyBorder="1" applyAlignment="1">
      <alignment horizontal="center" vertical="center" wrapText="1"/>
    </xf>
    <xf numFmtId="1" fontId="10" fillId="0" borderId="0" xfId="0" applyNumberFormat="1" applyFont="1" applyAlignment="1">
      <alignment horizontal="center" wrapText="1"/>
    </xf>
    <xf numFmtId="1" fontId="8" fillId="0" borderId="0" xfId="0" applyNumberFormat="1" applyFont="1" applyAlignment="1">
      <alignment horizontal="center"/>
    </xf>
    <xf numFmtId="169" fontId="8" fillId="0" borderId="0" xfId="0" applyNumberFormat="1" applyFont="1" applyAlignment="1">
      <alignment horizontal="center"/>
    </xf>
    <xf numFmtId="169" fontId="10" fillId="0" borderId="0" xfId="0" applyNumberFormat="1" applyFont="1" applyAlignment="1">
      <alignment horizontal="center" wrapText="1"/>
    </xf>
    <xf numFmtId="3" fontId="8" fillId="0" borderId="0" xfId="0" applyNumberFormat="1" applyFont="1" applyAlignment="1">
      <alignment horizontal="center"/>
    </xf>
    <xf numFmtId="3" fontId="10" fillId="0" borderId="0" xfId="0" applyNumberFormat="1" applyFont="1" applyAlignment="1">
      <alignment horizontal="center" wrapText="1"/>
    </xf>
    <xf numFmtId="3" fontId="8" fillId="0" borderId="0" xfId="0" applyNumberFormat="1" applyFont="1" applyAlignment="1">
      <alignment horizontal="center" vertical="center"/>
    </xf>
    <xf numFmtId="3" fontId="10" fillId="0" borderId="0" xfId="0" applyNumberFormat="1" applyFont="1" applyAlignment="1">
      <alignment horizontal="center" vertical="center" wrapText="1"/>
    </xf>
    <xf numFmtId="166" fontId="8" fillId="0" borderId="0" xfId="0" applyNumberFormat="1" applyFont="1" applyAlignment="1">
      <alignment vertical="center"/>
    </xf>
    <xf numFmtId="0" fontId="16" fillId="0" borderId="0" xfId="0" applyFont="1" applyAlignment="1">
      <alignment horizontal="center" wrapText="1"/>
    </xf>
    <xf numFmtId="0" fontId="8" fillId="0" borderId="0" xfId="0" applyFont="1" applyAlignment="1">
      <alignment horizontal="center" vertical="center"/>
    </xf>
    <xf numFmtId="0" fontId="17" fillId="0" borderId="0" xfId="0" applyFont="1" applyAlignment="1">
      <alignment horizontal="center" wrapText="1"/>
    </xf>
    <xf numFmtId="0" fontId="10" fillId="0" borderId="0" xfId="0" applyFont="1" applyAlignment="1">
      <alignment horizontal="center" vertical="center" wrapText="1"/>
    </xf>
    <xf numFmtId="0" fontId="8" fillId="0" borderId="0" xfId="0" applyFont="1" applyAlignment="1">
      <alignment horizontal="center" vertical="center" wrapText="1"/>
    </xf>
    <xf numFmtId="168" fontId="8" fillId="0" borderId="0" xfId="0" applyNumberFormat="1" applyFont="1" applyAlignment="1">
      <alignment horizontal="center"/>
    </xf>
    <xf numFmtId="168" fontId="10" fillId="0" borderId="0" xfId="0" applyNumberFormat="1" applyFont="1" applyAlignment="1">
      <alignment horizontal="center" wrapText="1"/>
    </xf>
    <xf numFmtId="0" fontId="19" fillId="0" borderId="0" xfId="0" applyFont="1" applyAlignment="1">
      <alignment wrapText="1"/>
    </xf>
    <xf numFmtId="0" fontId="16" fillId="0" borderId="0" xfId="0" applyFont="1"/>
    <xf numFmtId="0" fontId="16" fillId="4" borderId="0" xfId="0" applyFont="1" applyFill="1"/>
    <xf numFmtId="0" fontId="19" fillId="0" borderId="0" xfId="0" applyFont="1"/>
    <xf numFmtId="0" fontId="18" fillId="0" borderId="8" xfId="0" applyFont="1" applyBorder="1" applyAlignment="1">
      <alignment horizontal="left"/>
    </xf>
    <xf numFmtId="0" fontId="18" fillId="0" borderId="3" xfId="0" applyFont="1" applyBorder="1" applyAlignment="1">
      <alignment horizontal="left"/>
    </xf>
    <xf numFmtId="0" fontId="18" fillId="4" borderId="16" xfId="0" applyFont="1" applyFill="1" applyBorder="1" applyAlignment="1">
      <alignment horizontal="left" vertical="top"/>
    </xf>
    <xf numFmtId="0" fontId="18" fillId="4" borderId="14" xfId="0" applyFont="1" applyFill="1" applyBorder="1" applyAlignment="1">
      <alignment horizontal="left" vertical="top"/>
    </xf>
    <xf numFmtId="0" fontId="18" fillId="4" borderId="13" xfId="0" applyFont="1" applyFill="1" applyBorder="1" applyAlignment="1">
      <alignment horizontal="left" vertical="top"/>
    </xf>
    <xf numFmtId="0" fontId="18" fillId="0" borderId="16" xfId="0" applyFont="1" applyBorder="1" applyAlignment="1">
      <alignment horizontal="left"/>
    </xf>
    <xf numFmtId="0" fontId="18" fillId="0" borderId="14" xfId="0" applyFont="1" applyBorder="1" applyAlignment="1">
      <alignment horizontal="left"/>
    </xf>
    <xf numFmtId="0" fontId="18" fillId="0" borderId="13" xfId="0" applyFont="1" applyBorder="1" applyAlignment="1">
      <alignment horizontal="left"/>
    </xf>
    <xf numFmtId="0" fontId="18" fillId="4" borderId="16" xfId="0" applyFont="1" applyFill="1" applyBorder="1" applyAlignment="1">
      <alignment horizontal="left"/>
    </xf>
    <xf numFmtId="0" fontId="18" fillId="4" borderId="14" xfId="0" applyFont="1" applyFill="1" applyBorder="1" applyAlignment="1">
      <alignment horizontal="left"/>
    </xf>
    <xf numFmtId="0" fontId="18" fillId="4" borderId="13" xfId="0" applyFont="1" applyFill="1" applyBorder="1" applyAlignment="1">
      <alignment horizontal="left"/>
    </xf>
    <xf numFmtId="0" fontId="18" fillId="0" borderId="6" xfId="0" applyFont="1" applyBorder="1" applyAlignment="1">
      <alignment horizontal="left"/>
    </xf>
    <xf numFmtId="0" fontId="18" fillId="0" borderId="5" xfId="0" applyFont="1" applyBorder="1" applyAlignment="1">
      <alignment horizontal="left"/>
    </xf>
    <xf numFmtId="0" fontId="9" fillId="0" borderId="15" xfId="0" applyFont="1" applyBorder="1" applyAlignment="1">
      <alignment horizontal="center" vertical="center"/>
    </xf>
    <xf numFmtId="0" fontId="9" fillId="0" borderId="15" xfId="0" applyFont="1" applyBorder="1" applyAlignment="1">
      <alignment horizontal="center" vertical="center" wrapText="1"/>
    </xf>
    <xf numFmtId="1" fontId="9" fillId="0" borderId="15" xfId="0" applyNumberFormat="1" applyFont="1" applyBorder="1" applyAlignment="1">
      <alignment horizontal="center" vertical="center" wrapText="1"/>
    </xf>
    <xf numFmtId="169" fontId="9" fillId="0" borderId="15" xfId="0" applyNumberFormat="1" applyFont="1" applyBorder="1" applyAlignment="1">
      <alignment horizontal="center" vertical="center" wrapText="1"/>
    </xf>
    <xf numFmtId="3" fontId="9" fillId="0" borderId="15" xfId="0" applyNumberFormat="1" applyFont="1" applyBorder="1" applyAlignment="1">
      <alignment horizontal="center" vertical="center" wrapText="1"/>
    </xf>
    <xf numFmtId="168" fontId="9" fillId="0" borderId="15" xfId="0" applyNumberFormat="1" applyFont="1" applyBorder="1" applyAlignment="1">
      <alignment horizontal="center" vertical="center" wrapText="1"/>
    </xf>
    <xf numFmtId="3" fontId="9" fillId="6" borderId="15" xfId="0" applyNumberFormat="1" applyFont="1" applyFill="1" applyBorder="1" applyAlignment="1">
      <alignment horizontal="center" vertical="center" wrapText="1"/>
    </xf>
    <xf numFmtId="166" fontId="9" fillId="0" borderId="15" xfId="0" applyNumberFormat="1" applyFont="1" applyBorder="1" applyAlignment="1">
      <alignment vertical="center" wrapText="1"/>
    </xf>
    <xf numFmtId="0" fontId="10" fillId="0" borderId="15" xfId="0" applyFont="1" applyBorder="1" applyAlignment="1">
      <alignment horizontal="center" wrapText="1"/>
    </xf>
    <xf numFmtId="0" fontId="10" fillId="0" borderId="20" xfId="0" applyFont="1" applyBorder="1" applyAlignment="1">
      <alignment horizontal="center" wrapText="1"/>
    </xf>
    <xf numFmtId="0" fontId="10" fillId="0" borderId="19" xfId="0" applyFont="1" applyBorder="1" applyAlignment="1">
      <alignment horizontal="center" wrapText="1"/>
    </xf>
    <xf numFmtId="0" fontId="12" fillId="0" borderId="0" xfId="0" applyFont="1" applyFill="1" applyAlignment="1">
      <alignment horizontal="left" vertical="center" wrapText="1"/>
    </xf>
    <xf numFmtId="0" fontId="11" fillId="0" borderId="0" xfId="0" applyFont="1" applyFill="1" applyAlignment="1">
      <alignment horizontal="left" vertical="center" wrapText="1"/>
    </xf>
    <xf numFmtId="0" fontId="20" fillId="0" borderId="22" xfId="13" applyFont="1" applyBorder="1" applyAlignment="1">
      <alignment horizontal="right" vertical="center"/>
    </xf>
    <xf numFmtId="17" fontId="21" fillId="3" borderId="23" xfId="13" applyNumberFormat="1" applyFont="1" applyFill="1" applyBorder="1" applyAlignment="1">
      <alignment horizontal="center" vertical="center"/>
    </xf>
    <xf numFmtId="166" fontId="22" fillId="0" borderId="0" xfId="0" applyNumberFormat="1" applyFont="1"/>
    <xf numFmtId="0" fontId="20" fillId="0" borderId="24" xfId="13" applyFont="1" applyBorder="1" applyAlignment="1">
      <alignment vertical="center"/>
    </xf>
    <xf numFmtId="0" fontId="20" fillId="0" borderId="0" xfId="13" applyFont="1" applyBorder="1" applyAlignment="1">
      <alignment vertical="center"/>
    </xf>
    <xf numFmtId="0" fontId="21" fillId="0" borderId="26" xfId="13" applyFont="1" applyBorder="1" applyAlignment="1">
      <alignment vertical="center"/>
    </xf>
    <xf numFmtId="0" fontId="21" fillId="0" borderId="27" xfId="13" applyFont="1" applyBorder="1" applyAlignment="1">
      <alignment vertical="center"/>
    </xf>
    <xf numFmtId="0" fontId="21" fillId="0" borderId="28" xfId="13" applyFont="1" applyBorder="1" applyAlignment="1">
      <alignment vertical="center"/>
    </xf>
    <xf numFmtId="0" fontId="21" fillId="0" borderId="27" xfId="13" applyFont="1" applyBorder="1" applyAlignment="1">
      <alignment vertical="center" wrapText="1"/>
    </xf>
    <xf numFmtId="0" fontId="21" fillId="0" borderId="28" xfId="13" applyFont="1" applyBorder="1" applyAlignment="1">
      <alignment vertical="center" wrapText="1"/>
    </xf>
    <xf numFmtId="0" fontId="23" fillId="0" borderId="0" xfId="13" applyFont="1" applyBorder="1" applyAlignment="1">
      <alignment horizontal="left" vertical="center"/>
    </xf>
    <xf numFmtId="0" fontId="21" fillId="0" borderId="0" xfId="13" applyFont="1" applyBorder="1" applyAlignment="1">
      <alignment horizontal="left" vertical="center" wrapText="1" indent="1"/>
    </xf>
    <xf numFmtId="0" fontId="25" fillId="4" borderId="35" xfId="13" applyFont="1" applyFill="1" applyBorder="1" applyAlignment="1">
      <alignment horizontal="center" vertical="center"/>
    </xf>
    <xf numFmtId="0" fontId="25" fillId="4" borderId="35" xfId="13" applyFont="1" applyFill="1" applyBorder="1" applyAlignment="1">
      <alignment horizontal="left" vertical="center"/>
    </xf>
    <xf numFmtId="0" fontId="25" fillId="3" borderId="36" xfId="13" applyFont="1" applyFill="1" applyBorder="1" applyAlignment="1">
      <alignment horizontal="center" vertical="center"/>
    </xf>
    <xf numFmtId="0" fontId="7" fillId="0" borderId="35" xfId="13" applyBorder="1" applyAlignment="1">
      <alignment horizontal="center" vertical="center"/>
    </xf>
    <xf numFmtId="166" fontId="8" fillId="0" borderId="35" xfId="13" applyNumberFormat="1" applyFont="1" applyBorder="1" applyAlignment="1">
      <alignment horizontal="center" vertical="center"/>
    </xf>
    <xf numFmtId="3" fontId="7" fillId="4" borderId="35" xfId="13" applyNumberFormat="1" applyFont="1" applyFill="1" applyBorder="1" applyAlignment="1">
      <alignment horizontal="center" vertical="center"/>
    </xf>
    <xf numFmtId="0" fontId="7" fillId="4" borderId="16" xfId="13" applyFont="1" applyFill="1" applyBorder="1" applyAlignment="1">
      <alignment vertical="center"/>
    </xf>
    <xf numFmtId="0" fontId="7" fillId="4" borderId="11" xfId="13" applyFont="1" applyFill="1" applyBorder="1" applyAlignment="1">
      <alignment vertical="center"/>
    </xf>
    <xf numFmtId="0" fontId="7" fillId="4" borderId="16" xfId="13" applyFont="1" applyFill="1" applyBorder="1" applyAlignment="1">
      <alignment vertical="center" wrapText="1"/>
    </xf>
    <xf numFmtId="0" fontId="7" fillId="4" borderId="11" xfId="13" applyFont="1" applyFill="1" applyBorder="1" applyAlignment="1">
      <alignment vertical="center" wrapText="1"/>
    </xf>
    <xf numFmtId="0" fontId="27" fillId="4" borderId="7" xfId="13" applyFont="1" applyFill="1" applyBorder="1" applyAlignment="1">
      <alignment horizontal="left" vertical="center" wrapText="1"/>
    </xf>
    <xf numFmtId="0" fontId="27" fillId="4" borderId="9" xfId="13" applyFont="1" applyFill="1" applyBorder="1" applyAlignment="1">
      <alignment horizontal="left" vertical="center" wrapText="1"/>
    </xf>
    <xf numFmtId="0" fontId="28" fillId="0" borderId="38" xfId="13" applyFont="1" applyBorder="1" applyAlignment="1">
      <alignment horizontal="left" vertical="center"/>
    </xf>
    <xf numFmtId="0" fontId="27" fillId="4" borderId="16" xfId="13" applyFont="1" applyFill="1" applyBorder="1" applyAlignment="1">
      <alignment vertical="center" wrapText="1"/>
    </xf>
    <xf numFmtId="0" fontId="27" fillId="4" borderId="11" xfId="13" applyFont="1" applyFill="1" applyBorder="1" applyAlignment="1">
      <alignment vertical="center" wrapText="1"/>
    </xf>
    <xf numFmtId="0" fontId="28" fillId="0" borderId="39" xfId="13" applyFont="1" applyBorder="1" applyAlignment="1">
      <alignment horizontal="left" vertical="center"/>
    </xf>
    <xf numFmtId="0" fontId="28" fillId="0" borderId="40" xfId="13" applyFont="1" applyBorder="1" applyAlignment="1">
      <alignment horizontal="center" vertical="center"/>
    </xf>
    <xf numFmtId="0" fontId="28" fillId="0" borderId="40" xfId="13" applyFont="1" applyBorder="1" applyAlignment="1">
      <alignment horizontal="left" vertical="center"/>
    </xf>
    <xf numFmtId="0" fontId="7" fillId="4" borderId="41" xfId="13" applyFont="1" applyFill="1" applyBorder="1" applyAlignment="1">
      <alignment vertical="center"/>
    </xf>
    <xf numFmtId="0" fontId="7" fillId="4" borderId="42" xfId="13" applyFont="1" applyFill="1" applyBorder="1" applyAlignment="1">
      <alignment vertical="center"/>
    </xf>
    <xf numFmtId="0" fontId="7" fillId="4" borderId="43" xfId="13" applyFont="1" applyFill="1" applyBorder="1" applyAlignment="1">
      <alignment vertical="center"/>
    </xf>
    <xf numFmtId="0" fontId="25" fillId="0" borderId="44" xfId="13" applyFont="1" applyBorder="1" applyAlignment="1">
      <alignment horizontal="center" vertical="center"/>
    </xf>
    <xf numFmtId="0" fontId="25" fillId="0" borderId="40" xfId="13" applyFont="1" applyBorder="1" applyAlignment="1">
      <alignment horizontal="center" vertical="center" wrapText="1"/>
    </xf>
    <xf numFmtId="44" fontId="25" fillId="0" borderId="40" xfId="13" applyNumberFormat="1" applyFont="1" applyBorder="1" applyAlignment="1">
      <alignment horizontal="center" vertical="center" wrapText="1"/>
    </xf>
    <xf numFmtId="3" fontId="25" fillId="0" borderId="40" xfId="13" applyNumberFormat="1" applyFont="1" applyBorder="1" applyAlignment="1">
      <alignment horizontal="center" vertical="center"/>
    </xf>
    <xf numFmtId="3" fontId="31" fillId="0" borderId="0" xfId="13" applyNumberFormat="1" applyFont="1" applyBorder="1" applyAlignment="1"/>
    <xf numFmtId="170" fontId="7" fillId="0" borderId="0" xfId="13" applyNumberFormat="1" applyAlignment="1">
      <alignment horizontal="left"/>
    </xf>
    <xf numFmtId="0" fontId="7" fillId="0" borderId="0" xfId="13"/>
    <xf numFmtId="0" fontId="7" fillId="0" borderId="0" xfId="13" applyAlignment="1">
      <alignment horizontal="left"/>
    </xf>
    <xf numFmtId="0" fontId="33" fillId="4" borderId="25" xfId="13" applyFont="1" applyFill="1" applyBorder="1" applyAlignment="1">
      <alignment vertical="center"/>
    </xf>
    <xf numFmtId="0" fontId="33" fillId="4" borderId="45" xfId="13" applyFont="1" applyFill="1" applyBorder="1" applyAlignment="1">
      <alignment vertical="center"/>
    </xf>
    <xf numFmtId="0" fontId="33" fillId="4" borderId="46" xfId="13" applyFont="1" applyFill="1" applyBorder="1" applyAlignment="1">
      <alignment vertical="center"/>
    </xf>
    <xf numFmtId="0" fontId="7" fillId="0" borderId="0" xfId="13" applyBorder="1"/>
    <xf numFmtId="0" fontId="7" fillId="0" borderId="22" xfId="13" applyBorder="1"/>
    <xf numFmtId="0" fontId="7" fillId="0" borderId="48" xfId="13" applyBorder="1"/>
    <xf numFmtId="0" fontId="7" fillId="0" borderId="24" xfId="13" applyBorder="1"/>
    <xf numFmtId="0" fontId="7" fillId="0" borderId="24" xfId="13" applyBorder="1" applyAlignment="1">
      <alignment horizontal="left"/>
    </xf>
    <xf numFmtId="0" fontId="7" fillId="0" borderId="49" xfId="13" applyBorder="1"/>
    <xf numFmtId="0" fontId="35" fillId="0" borderId="52" xfId="13" applyFont="1" applyBorder="1" applyAlignment="1">
      <alignment horizontal="center" vertical="center"/>
    </xf>
    <xf numFmtId="0" fontId="35" fillId="0" borderId="53" xfId="13" applyFont="1" applyBorder="1" applyAlignment="1">
      <alignment horizontal="center" vertical="center"/>
    </xf>
    <xf numFmtId="0" fontId="35" fillId="0" borderId="53" xfId="13" applyFont="1" applyBorder="1" applyAlignment="1">
      <alignment horizontal="left" vertical="center"/>
    </xf>
    <xf numFmtId="0" fontId="35" fillId="0" borderId="54" xfId="13" applyFont="1" applyBorder="1" applyAlignment="1">
      <alignment horizontal="center" vertical="center"/>
    </xf>
    <xf numFmtId="0" fontId="35" fillId="0" borderId="55" xfId="13" applyFont="1" applyBorder="1" applyAlignment="1">
      <alignment horizontal="center" vertical="center"/>
    </xf>
    <xf numFmtId="0" fontId="7" fillId="3" borderId="56" xfId="13" applyFont="1" applyFill="1" applyBorder="1" applyAlignment="1">
      <alignment horizontal="center" vertical="center"/>
    </xf>
    <xf numFmtId="0" fontId="7" fillId="3" borderId="57" xfId="13" applyFont="1" applyFill="1" applyBorder="1" applyAlignment="1">
      <alignment horizontal="center" vertical="center"/>
    </xf>
    <xf numFmtId="0" fontId="7" fillId="0" borderId="57" xfId="13" applyFont="1" applyBorder="1" applyAlignment="1">
      <alignment horizontal="center" vertical="center"/>
    </xf>
    <xf numFmtId="0" fontId="7" fillId="3" borderId="58" xfId="13" applyFont="1" applyFill="1" applyBorder="1" applyAlignment="1">
      <alignment horizontal="center" vertical="center"/>
    </xf>
    <xf numFmtId="0" fontId="7" fillId="3" borderId="57" xfId="13" applyFill="1" applyBorder="1" applyAlignment="1">
      <alignment horizontal="center" vertical="center"/>
    </xf>
    <xf numFmtId="167" fontId="0" fillId="0" borderId="59" xfId="25" applyNumberFormat="1" applyFont="1" applyBorder="1" applyAlignment="1" applyProtection="1">
      <alignment horizontal="center" vertical="center"/>
    </xf>
    <xf numFmtId="0" fontId="7" fillId="0" borderId="60" xfId="13" applyFont="1" applyBorder="1" applyAlignment="1">
      <alignment horizontal="center" vertical="center"/>
    </xf>
    <xf numFmtId="0" fontId="7" fillId="0" borderId="61" xfId="13" applyFont="1" applyBorder="1" applyAlignment="1">
      <alignment horizontal="center" vertical="center"/>
    </xf>
    <xf numFmtId="0" fontId="7" fillId="0" borderId="62" xfId="13" applyFont="1" applyBorder="1" applyAlignment="1">
      <alignment horizontal="center" vertical="center"/>
    </xf>
    <xf numFmtId="0" fontId="7" fillId="0" borderId="63" xfId="13" applyFont="1" applyBorder="1" applyAlignment="1">
      <alignment horizontal="center" vertical="center"/>
    </xf>
    <xf numFmtId="167" fontId="0" fillId="0" borderId="64" xfId="25" applyNumberFormat="1" applyFont="1" applyBorder="1" applyAlignment="1" applyProtection="1">
      <alignment horizontal="center" vertical="center"/>
    </xf>
    <xf numFmtId="0" fontId="33" fillId="0" borderId="60" xfId="13" applyFont="1" applyBorder="1" applyAlignment="1">
      <alignment horizontal="center" vertical="center"/>
    </xf>
    <xf numFmtId="0" fontId="33" fillId="0" borderId="61" xfId="13" applyFont="1" applyBorder="1" applyAlignment="1">
      <alignment horizontal="center" vertical="center"/>
    </xf>
    <xf numFmtId="0" fontId="7" fillId="0" borderId="63" xfId="13" applyBorder="1" applyAlignment="1">
      <alignment horizontal="center" vertical="center"/>
    </xf>
    <xf numFmtId="0" fontId="33" fillId="0" borderId="62" xfId="13" applyFont="1" applyBorder="1" applyAlignment="1">
      <alignment horizontal="center" vertical="center"/>
    </xf>
    <xf numFmtId="0" fontId="33" fillId="0" borderId="63" xfId="13" applyFont="1" applyBorder="1" applyAlignment="1">
      <alignment horizontal="center" vertical="center"/>
    </xf>
    <xf numFmtId="0" fontId="7" fillId="0" borderId="65" xfId="13" applyBorder="1" applyAlignment="1">
      <alignment horizontal="center" vertical="center"/>
    </xf>
    <xf numFmtId="0" fontId="7" fillId="0" borderId="66" xfId="13" applyBorder="1" applyAlignment="1">
      <alignment horizontal="center" vertical="center"/>
    </xf>
    <xf numFmtId="0" fontId="7" fillId="0" borderId="67" xfId="13" applyBorder="1" applyAlignment="1">
      <alignment horizontal="center" vertical="center"/>
    </xf>
    <xf numFmtId="167" fontId="0" fillId="0" borderId="68" xfId="25" applyNumberFormat="1" applyFont="1" applyBorder="1" applyAlignment="1" applyProtection="1">
      <alignment horizontal="center" vertical="center"/>
    </xf>
    <xf numFmtId="167" fontId="35" fillId="0" borderId="69" xfId="13" applyNumberFormat="1" applyFont="1" applyBorder="1" applyAlignment="1">
      <alignment horizontal="center" vertical="center"/>
    </xf>
    <xf numFmtId="0" fontId="33" fillId="3" borderId="47" xfId="13" applyFont="1" applyFill="1" applyBorder="1" applyAlignment="1">
      <alignment vertical="center"/>
    </xf>
    <xf numFmtId="0" fontId="33" fillId="3" borderId="0" xfId="13" applyFont="1" applyFill="1" applyBorder="1" applyAlignment="1">
      <alignment vertical="center" wrapText="1"/>
    </xf>
    <xf numFmtId="0" fontId="33" fillId="3" borderId="22" xfId="13" applyFont="1" applyFill="1" applyBorder="1" applyAlignment="1">
      <alignment vertical="center" wrapText="1"/>
    </xf>
    <xf numFmtId="0" fontId="33" fillId="3" borderId="48" xfId="13" applyFont="1" applyFill="1" applyBorder="1" applyAlignment="1">
      <alignment vertical="center" wrapText="1"/>
    </xf>
    <xf numFmtId="0" fontId="33" fillId="3" borderId="24" xfId="13" applyFont="1" applyFill="1" applyBorder="1" applyAlignment="1">
      <alignment vertical="center" wrapText="1"/>
    </xf>
    <xf numFmtId="0" fontId="33" fillId="3" borderId="49" xfId="13" applyFont="1" applyFill="1" applyBorder="1" applyAlignment="1">
      <alignment vertical="center" wrapText="1"/>
    </xf>
    <xf numFmtId="166" fontId="14" fillId="0" borderId="0" xfId="1" applyNumberFormat="1" applyFont="1" applyAlignment="1">
      <alignment vertical="center"/>
    </xf>
    <xf numFmtId="166" fontId="19" fillId="0" borderId="15" xfId="1" applyNumberFormat="1" applyFont="1" applyBorder="1" applyAlignment="1">
      <alignment vertical="center" wrapText="1"/>
    </xf>
    <xf numFmtId="0" fontId="8" fillId="0" borderId="15" xfId="0" applyFont="1" applyFill="1" applyBorder="1" applyAlignment="1">
      <alignment horizontal="center" vertical="center" wrapText="1"/>
    </xf>
    <xf numFmtId="0" fontId="8" fillId="0" borderId="15" xfId="0" applyNumberFormat="1" applyFont="1" applyFill="1" applyBorder="1" applyAlignment="1">
      <alignment horizontal="center" vertical="center"/>
    </xf>
    <xf numFmtId="0" fontId="8" fillId="0" borderId="15" xfId="0" applyFont="1" applyBorder="1" applyAlignment="1">
      <alignment horizontal="center" vertical="center"/>
    </xf>
    <xf numFmtId="0" fontId="10" fillId="0" borderId="18" xfId="0" applyFont="1" applyBorder="1" applyAlignment="1">
      <alignment horizontal="center" wrapText="1"/>
    </xf>
    <xf numFmtId="0" fontId="8" fillId="0" borderId="15" xfId="0" applyFont="1" applyBorder="1" applyAlignment="1">
      <alignment horizontal="center"/>
    </xf>
    <xf numFmtId="0" fontId="36" fillId="0" borderId="15" xfId="0" applyFont="1" applyBorder="1" applyAlignment="1">
      <alignment horizontal="center" vertical="center" wrapText="1"/>
    </xf>
    <xf numFmtId="0" fontId="36" fillId="0" borderId="15" xfId="0" applyFont="1" applyBorder="1" applyAlignment="1">
      <alignment horizontal="center"/>
    </xf>
    <xf numFmtId="1" fontId="36" fillId="0" borderId="15" xfId="0" applyNumberFormat="1" applyFont="1" applyBorder="1" applyAlignment="1">
      <alignment horizontal="center"/>
    </xf>
    <xf numFmtId="169" fontId="36" fillId="0" borderId="15" xfId="0" applyNumberFormat="1" applyFont="1" applyBorder="1" applyAlignment="1">
      <alignment horizontal="center"/>
    </xf>
    <xf numFmtId="3" fontId="36" fillId="0" borderId="15" xfId="0" applyNumberFormat="1" applyFont="1" applyBorder="1" applyAlignment="1">
      <alignment horizontal="center"/>
    </xf>
    <xf numFmtId="168" fontId="36" fillId="0" borderId="15" xfId="0" applyNumberFormat="1" applyFont="1" applyBorder="1" applyAlignment="1">
      <alignment horizontal="center"/>
    </xf>
    <xf numFmtId="3" fontId="36" fillId="0" borderId="15" xfId="0" applyNumberFormat="1" applyFont="1" applyBorder="1" applyAlignment="1">
      <alignment horizontal="center" vertical="center"/>
    </xf>
    <xf numFmtId="166" fontId="36" fillId="0" borderId="15" xfId="0" applyNumberFormat="1" applyFont="1" applyBorder="1" applyAlignment="1">
      <alignment vertical="center"/>
    </xf>
    <xf numFmtId="0" fontId="26" fillId="4" borderId="0" xfId="13" applyFont="1" applyFill="1" applyBorder="1" applyAlignment="1">
      <alignment vertical="center"/>
    </xf>
    <xf numFmtId="3" fontId="26" fillId="4" borderId="37" xfId="13" applyNumberFormat="1" applyFont="1" applyFill="1" applyBorder="1" applyAlignment="1">
      <alignment vertical="center"/>
    </xf>
    <xf numFmtId="0" fontId="16" fillId="0" borderId="74" xfId="13" applyFont="1" applyFill="1" applyBorder="1" applyAlignment="1">
      <alignment vertical="center" wrapText="1"/>
    </xf>
    <xf numFmtId="0" fontId="8" fillId="0" borderId="0" xfId="13" applyFont="1" applyFill="1" applyBorder="1" applyAlignment="1">
      <alignment horizontal="center" vertical="center" wrapText="1"/>
    </xf>
    <xf numFmtId="0" fontId="8" fillId="0" borderId="0" xfId="13" applyFont="1" applyFill="1" applyBorder="1" applyAlignment="1">
      <alignment horizontal="center" vertical="center"/>
    </xf>
    <xf numFmtId="0" fontId="8" fillId="0" borderId="0" xfId="13" applyFont="1" applyBorder="1" applyAlignment="1">
      <alignment horizontal="center" vertical="center"/>
    </xf>
    <xf numFmtId="0" fontId="8" fillId="0" borderId="0" xfId="13" applyFont="1" applyBorder="1" applyAlignment="1">
      <alignment horizontal="center" vertical="center" wrapText="1"/>
    </xf>
    <xf numFmtId="0" fontId="8" fillId="0" borderId="4" xfId="13" applyFont="1" applyBorder="1" applyAlignment="1">
      <alignment horizontal="left" vertical="center"/>
    </xf>
    <xf numFmtId="0" fontId="8" fillId="0" borderId="4" xfId="13" applyFont="1" applyBorder="1" applyAlignment="1">
      <alignment horizontal="center" vertical="center" wrapText="1"/>
    </xf>
    <xf numFmtId="0" fontId="16" fillId="0" borderId="77" xfId="13" applyFont="1" applyFill="1" applyBorder="1" applyAlignment="1">
      <alignment horizontal="center" vertical="center" wrapText="1"/>
    </xf>
    <xf numFmtId="0" fontId="8" fillId="0" borderId="78" xfId="13" applyFont="1" applyFill="1" applyBorder="1" applyAlignment="1">
      <alignment horizontal="center" vertical="center"/>
    </xf>
    <xf numFmtId="0" fontId="16" fillId="0" borderId="77" xfId="13" applyFont="1" applyBorder="1" applyAlignment="1">
      <alignment horizontal="center" vertical="center" wrapText="1"/>
    </xf>
    <xf numFmtId="0" fontId="8" fillId="0" borderId="78" xfId="13" applyFont="1" applyBorder="1" applyAlignment="1">
      <alignment horizontal="center" vertical="center"/>
    </xf>
    <xf numFmtId="0" fontId="16" fillId="0" borderId="79" xfId="13" applyFont="1" applyBorder="1" applyAlignment="1">
      <alignment horizontal="center" vertical="center" wrapText="1"/>
    </xf>
    <xf numFmtId="0" fontId="8" fillId="0" borderId="4" xfId="13" applyFont="1" applyBorder="1" applyAlignment="1">
      <alignment horizontal="center" vertical="center"/>
    </xf>
    <xf numFmtId="0" fontId="8" fillId="0" borderId="80" xfId="13" applyFont="1" applyBorder="1" applyAlignment="1">
      <alignment horizontal="center" vertical="center"/>
    </xf>
    <xf numFmtId="0" fontId="8" fillId="0" borderId="0" xfId="13" applyFont="1" applyFill="1" applyBorder="1" applyAlignment="1">
      <alignment horizontal="left" vertical="center"/>
    </xf>
    <xf numFmtId="0" fontId="10" fillId="4" borderId="18" xfId="0" applyFont="1" applyFill="1" applyBorder="1" applyAlignment="1">
      <alignment horizontal="left" vertical="center" wrapText="1"/>
    </xf>
    <xf numFmtId="0" fontId="8" fillId="0" borderId="78" xfId="13" applyFont="1" applyFill="1" applyBorder="1" applyAlignment="1">
      <alignment horizontal="left" vertical="center" wrapText="1"/>
    </xf>
    <xf numFmtId="0" fontId="22" fillId="0" borderId="0" xfId="0" applyFont="1"/>
    <xf numFmtId="0" fontId="7" fillId="0" borderId="0" xfId="0" applyFont="1"/>
    <xf numFmtId="166" fontId="7" fillId="0" borderId="0" xfId="0" applyNumberFormat="1" applyFont="1"/>
    <xf numFmtId="0" fontId="8" fillId="4" borderId="35" xfId="13" applyFont="1" applyFill="1" applyBorder="1" applyAlignment="1">
      <alignment horizontal="center" vertical="center"/>
    </xf>
    <xf numFmtId="0" fontId="8" fillId="4" borderId="35" xfId="13" applyFont="1" applyFill="1" applyBorder="1" applyAlignment="1">
      <alignment horizontal="left" vertical="center"/>
    </xf>
    <xf numFmtId="3" fontId="8" fillId="4" borderId="37" xfId="13" applyNumberFormat="1" applyFont="1" applyFill="1" applyBorder="1" applyAlignment="1">
      <alignment vertical="center"/>
    </xf>
    <xf numFmtId="0" fontId="8" fillId="4" borderId="16" xfId="13" applyFont="1" applyFill="1" applyBorder="1" applyAlignment="1">
      <alignment vertical="center"/>
    </xf>
    <xf numFmtId="0" fontId="8" fillId="4" borderId="11" xfId="13" applyFont="1" applyFill="1" applyBorder="1" applyAlignment="1">
      <alignment vertical="center"/>
    </xf>
    <xf numFmtId="0" fontId="8" fillId="3" borderId="36" xfId="13" applyFont="1" applyFill="1" applyBorder="1" applyAlignment="1">
      <alignment horizontal="center" vertical="center"/>
    </xf>
    <xf numFmtId="0" fontId="8" fillId="0" borderId="35" xfId="13" applyFont="1" applyBorder="1" applyAlignment="1">
      <alignment horizontal="center" vertical="center"/>
    </xf>
    <xf numFmtId="3" fontId="8" fillId="4" borderId="35" xfId="13" applyNumberFormat="1" applyFont="1" applyFill="1" applyBorder="1" applyAlignment="1">
      <alignment horizontal="center" vertical="center"/>
    </xf>
    <xf numFmtId="0" fontId="8" fillId="4" borderId="7" xfId="13" applyFont="1" applyFill="1" applyBorder="1" applyAlignment="1">
      <alignment horizontal="left" vertical="center" wrapText="1"/>
    </xf>
    <xf numFmtId="0" fontId="8" fillId="4" borderId="9" xfId="13" applyFont="1" applyFill="1" applyBorder="1" applyAlignment="1">
      <alignment horizontal="left" vertical="center" wrapText="1"/>
    </xf>
    <xf numFmtId="7" fontId="37" fillId="0" borderId="15" xfId="1" applyNumberFormat="1" applyFont="1" applyBorder="1" applyAlignment="1">
      <alignment vertical="center"/>
    </xf>
    <xf numFmtId="0" fontId="8" fillId="0" borderId="39" xfId="13" applyFont="1" applyBorder="1" applyAlignment="1">
      <alignment horizontal="left" vertical="center"/>
    </xf>
    <xf numFmtId="0" fontId="8" fillId="4" borderId="16" xfId="13" applyFont="1" applyFill="1" applyBorder="1" applyAlignment="1">
      <alignment vertical="center" wrapText="1"/>
    </xf>
    <xf numFmtId="0" fontId="8" fillId="4" borderId="11" xfId="13" applyFont="1" applyFill="1" applyBorder="1" applyAlignment="1">
      <alignment vertical="center" wrapText="1"/>
    </xf>
    <xf numFmtId="3" fontId="8" fillId="4" borderId="20" xfId="0" applyNumberFormat="1" applyFont="1" applyFill="1" applyBorder="1" applyAlignment="1">
      <alignment horizontal="left" vertical="center" wrapText="1"/>
    </xf>
    <xf numFmtId="3" fontId="8" fillId="4" borderId="15" xfId="0" applyNumberFormat="1" applyFont="1" applyFill="1" applyBorder="1" applyAlignment="1">
      <alignment horizontal="left" vertical="center" wrapText="1"/>
    </xf>
    <xf numFmtId="3" fontId="8" fillId="4" borderId="18" xfId="0" applyNumberFormat="1" applyFont="1" applyFill="1" applyBorder="1" applyAlignment="1">
      <alignment horizontal="left" vertical="center" wrapText="1"/>
    </xf>
    <xf numFmtId="0" fontId="37" fillId="0" borderId="15" xfId="0" applyFont="1" applyBorder="1" applyAlignment="1">
      <alignment horizontal="center" vertical="center" wrapText="1"/>
    </xf>
    <xf numFmtId="3" fontId="37" fillId="4" borderId="15" xfId="0" applyNumberFormat="1" applyFont="1" applyFill="1" applyBorder="1" applyAlignment="1">
      <alignment horizontal="center" vertical="center" wrapText="1"/>
    </xf>
    <xf numFmtId="0" fontId="37" fillId="4" borderId="15"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4" borderId="15" xfId="0" applyFont="1" applyFill="1" applyBorder="1" applyAlignment="1">
      <alignment horizontal="center" vertical="center"/>
    </xf>
    <xf numFmtId="0" fontId="10" fillId="4" borderId="20" xfId="0" applyFont="1" applyFill="1" applyBorder="1" applyAlignment="1">
      <alignment horizontal="center" vertical="center"/>
    </xf>
    <xf numFmtId="169" fontId="10" fillId="4" borderId="15" xfId="0" applyNumberFormat="1" applyFont="1" applyFill="1" applyBorder="1" applyAlignment="1">
      <alignment horizontal="center" vertical="center"/>
    </xf>
    <xf numFmtId="1" fontId="10" fillId="4" borderId="15" xfId="0" applyNumberFormat="1" applyFont="1" applyFill="1" applyBorder="1" applyAlignment="1">
      <alignment horizontal="center" vertical="center"/>
    </xf>
    <xf numFmtId="3" fontId="10" fillId="4" borderId="15" xfId="0" applyNumberFormat="1" applyFont="1" applyFill="1" applyBorder="1" applyAlignment="1">
      <alignment horizontal="center" vertical="center"/>
    </xf>
    <xf numFmtId="168" fontId="10" fillId="4" borderId="15" xfId="0" applyNumberFormat="1" applyFont="1" applyFill="1" applyBorder="1" applyAlignment="1">
      <alignment horizontal="center" vertical="center"/>
    </xf>
    <xf numFmtId="3" fontId="8" fillId="0" borderId="15" xfId="4" applyNumberFormat="1" applyFont="1" applyBorder="1" applyAlignment="1">
      <alignment horizontal="center" vertical="center" wrapText="1"/>
    </xf>
    <xf numFmtId="166" fontId="8" fillId="0" borderId="20" xfId="1" applyNumberFormat="1" applyFont="1" applyFill="1" applyBorder="1" applyAlignment="1">
      <alignment horizontal="center" vertical="center" wrapText="1"/>
    </xf>
    <xf numFmtId="166" fontId="8" fillId="4" borderId="15" xfId="4" applyNumberFormat="1" applyFont="1" applyFill="1" applyBorder="1" applyAlignment="1">
      <alignment vertical="center" wrapText="1"/>
    </xf>
    <xf numFmtId="0" fontId="38" fillId="4" borderId="15" xfId="0" applyFont="1" applyFill="1" applyBorder="1" applyAlignment="1">
      <alignment horizontal="center" vertical="center" wrapText="1"/>
    </xf>
    <xf numFmtId="0" fontId="10" fillId="4" borderId="15" xfId="0" applyFont="1" applyFill="1" applyBorder="1" applyAlignment="1">
      <alignment horizontal="left" vertical="center" wrapText="1"/>
    </xf>
    <xf numFmtId="0" fontId="10" fillId="3" borderId="15" xfId="0" applyFont="1" applyFill="1" applyBorder="1" applyAlignment="1">
      <alignment horizontal="center" vertical="center" wrapText="1"/>
    </xf>
    <xf numFmtId="0" fontId="8" fillId="4" borderId="15" xfId="0" applyFont="1" applyFill="1" applyBorder="1" applyAlignment="1">
      <alignment horizontal="center" vertical="center" wrapText="1"/>
    </xf>
    <xf numFmtId="168" fontId="8" fillId="0" borderId="15" xfId="0" applyNumberFormat="1" applyFont="1" applyBorder="1" applyAlignment="1">
      <alignment horizontal="center"/>
    </xf>
    <xf numFmtId="1" fontId="8" fillId="0" borderId="15" xfId="0" applyNumberFormat="1" applyFont="1" applyBorder="1" applyAlignment="1">
      <alignment horizontal="center"/>
    </xf>
    <xf numFmtId="169" fontId="8" fillId="0" borderId="15" xfId="0" applyNumberFormat="1" applyFont="1" applyBorder="1" applyAlignment="1">
      <alignment horizontal="center"/>
    </xf>
    <xf numFmtId="3" fontId="8" fillId="0" borderId="15" xfId="0" applyNumberFormat="1" applyFont="1" applyBorder="1" applyAlignment="1">
      <alignment horizontal="center"/>
    </xf>
    <xf numFmtId="166" fontId="8" fillId="0" borderId="15" xfId="5" applyNumberFormat="1" applyFont="1" applyFill="1" applyBorder="1" applyAlignment="1" applyProtection="1">
      <alignment horizontal="right" vertical="center" wrapText="1"/>
    </xf>
    <xf numFmtId="0" fontId="37" fillId="4" borderId="15" xfId="0" applyFont="1" applyFill="1" applyBorder="1" applyAlignment="1">
      <alignment horizontal="left" vertical="center" wrapText="1"/>
    </xf>
    <xf numFmtId="0" fontId="37" fillId="0" borderId="15" xfId="0" applyFont="1" applyBorder="1" applyAlignment="1">
      <alignment horizontal="center"/>
    </xf>
    <xf numFmtId="0" fontId="37" fillId="4" borderId="15" xfId="4" applyFont="1" applyFill="1" applyBorder="1" applyAlignment="1">
      <alignment horizontal="center" vertical="center" wrapText="1"/>
    </xf>
    <xf numFmtId="1" fontId="37" fillId="4" borderId="20" xfId="4" applyNumberFormat="1" applyFont="1" applyFill="1" applyBorder="1" applyAlignment="1">
      <alignment horizontal="center" vertical="center" wrapText="1"/>
    </xf>
    <xf numFmtId="1" fontId="37" fillId="0" borderId="15" xfId="0" applyNumberFormat="1" applyFont="1" applyBorder="1" applyAlignment="1">
      <alignment horizontal="center" vertical="center"/>
    </xf>
    <xf numFmtId="166" fontId="37" fillId="0" borderId="15" xfId="1" applyNumberFormat="1" applyFont="1" applyBorder="1" applyAlignment="1">
      <alignment vertical="center"/>
    </xf>
    <xf numFmtId="0" fontId="10" fillId="4" borderId="20" xfId="0" applyFont="1" applyFill="1" applyBorder="1" applyAlignment="1">
      <alignment horizontal="left" vertical="center" wrapText="1"/>
    </xf>
    <xf numFmtId="0" fontId="10" fillId="3" borderId="20" xfId="0" applyFont="1" applyFill="1" applyBorder="1" applyAlignment="1">
      <alignment horizontal="center" vertical="center" wrapText="1"/>
    </xf>
    <xf numFmtId="166" fontId="8" fillId="3" borderId="20" xfId="1" applyNumberFormat="1" applyFont="1" applyFill="1" applyBorder="1" applyAlignment="1" applyProtection="1">
      <alignment horizontal="right" vertical="center" wrapText="1"/>
    </xf>
    <xf numFmtId="0" fontId="8" fillId="4" borderId="15" xfId="0" applyFont="1" applyFill="1" applyBorder="1" applyAlignment="1">
      <alignment horizontal="center" vertical="center"/>
    </xf>
    <xf numFmtId="0" fontId="8" fillId="4" borderId="15" xfId="4" applyFont="1" applyFill="1" applyBorder="1" applyAlignment="1">
      <alignment horizontal="center" vertical="center" wrapText="1"/>
    </xf>
    <xf numFmtId="166" fontId="8" fillId="3" borderId="15" xfId="5" applyNumberFormat="1" applyFont="1" applyFill="1" applyBorder="1" applyAlignment="1" applyProtection="1">
      <alignment horizontal="right" vertical="center" wrapText="1"/>
    </xf>
    <xf numFmtId="166" fontId="8" fillId="3" borderId="20" xfId="5" applyNumberFormat="1" applyFont="1" applyFill="1" applyBorder="1" applyAlignment="1" applyProtection="1">
      <alignment horizontal="right" vertical="center" wrapText="1"/>
    </xf>
    <xf numFmtId="0" fontId="37" fillId="4" borderId="18" xfId="0" applyFont="1" applyFill="1" applyBorder="1" applyAlignment="1">
      <alignment horizontal="left" vertical="center" wrapText="1"/>
    </xf>
    <xf numFmtId="1" fontId="37" fillId="4" borderId="18" xfId="4" applyNumberFormat="1" applyFont="1" applyFill="1" applyBorder="1" applyAlignment="1">
      <alignment horizontal="center" vertical="center" wrapText="1"/>
    </xf>
    <xf numFmtId="1" fontId="37" fillId="0" borderId="15" xfId="13" applyNumberFormat="1" applyFont="1" applyBorder="1" applyAlignment="1">
      <alignment horizontal="center"/>
    </xf>
    <xf numFmtId="166" fontId="37" fillId="0" borderId="18" xfId="1" applyNumberFormat="1" applyFont="1" applyBorder="1" applyAlignment="1">
      <alignment vertical="center"/>
    </xf>
    <xf numFmtId="1" fontId="37" fillId="4" borderId="15" xfId="4" applyNumberFormat="1" applyFont="1" applyFill="1" applyBorder="1" applyAlignment="1">
      <alignment horizontal="center" vertical="center" wrapText="1"/>
    </xf>
    <xf numFmtId="0" fontId="37" fillId="4" borderId="20" xfId="0" applyFont="1" applyFill="1" applyBorder="1" applyAlignment="1">
      <alignment horizontal="left" vertical="center" wrapText="1"/>
    </xf>
    <xf numFmtId="166" fontId="37" fillId="0" borderId="20" xfId="1" applyNumberFormat="1" applyFont="1" applyBorder="1" applyAlignment="1">
      <alignment vertical="center"/>
    </xf>
    <xf numFmtId="0" fontId="38" fillId="0" borderId="15" xfId="0" applyFont="1" applyBorder="1" applyAlignment="1">
      <alignment horizontal="center" vertical="center" wrapText="1"/>
    </xf>
    <xf numFmtId="166" fontId="8" fillId="0" borderId="15" xfId="1" applyNumberFormat="1" applyFont="1" applyFill="1" applyBorder="1" applyAlignment="1">
      <alignment horizontal="center" vertical="center" wrapText="1"/>
    </xf>
    <xf numFmtId="166" fontId="8" fillId="0" borderId="15" xfId="0" applyNumberFormat="1" applyFont="1" applyBorder="1" applyAlignment="1">
      <alignment horizontal="center" vertical="center"/>
    </xf>
    <xf numFmtId="0" fontId="10" fillId="4" borderId="18" xfId="0" applyFont="1" applyFill="1" applyBorder="1" applyAlignment="1">
      <alignment horizontal="center" vertical="center"/>
    </xf>
    <xf numFmtId="166" fontId="8" fillId="0" borderId="18" xfId="0" applyNumberFormat="1" applyFont="1" applyBorder="1" applyAlignment="1">
      <alignment horizontal="center" vertical="center"/>
    </xf>
    <xf numFmtId="0" fontId="10" fillId="3" borderId="18" xfId="0" applyFont="1" applyFill="1" applyBorder="1" applyAlignment="1">
      <alignment horizontal="center" vertical="center" wrapText="1"/>
    </xf>
    <xf numFmtId="166" fontId="8" fillId="3" borderId="18" xfId="5" applyNumberFormat="1" applyFont="1" applyFill="1" applyBorder="1" applyAlignment="1" applyProtection="1">
      <alignment horizontal="right" vertical="center" wrapText="1"/>
    </xf>
    <xf numFmtId="0" fontId="10" fillId="4" borderId="15" xfId="0" applyFont="1" applyFill="1" applyBorder="1" applyAlignment="1">
      <alignment horizontal="center" vertical="center" wrapText="1"/>
    </xf>
    <xf numFmtId="0" fontId="8" fillId="4" borderId="17" xfId="0" applyFont="1" applyFill="1" applyBorder="1" applyAlignment="1">
      <alignment horizontal="center" vertical="center" wrapText="1"/>
    </xf>
    <xf numFmtId="0" fontId="8" fillId="4" borderId="17" xfId="4" applyFont="1" applyFill="1" applyBorder="1" applyAlignment="1">
      <alignment horizontal="center" vertical="center" wrapText="1"/>
    </xf>
    <xf numFmtId="0" fontId="37" fillId="4" borderId="15" xfId="0" applyFont="1" applyFill="1" applyBorder="1" applyAlignment="1"/>
    <xf numFmtId="0" fontId="37" fillId="0" borderId="16" xfId="0" applyFont="1" applyBorder="1" applyAlignment="1"/>
    <xf numFmtId="0" fontId="37" fillId="0" borderId="17" xfId="0" applyFont="1" applyBorder="1" applyAlignment="1"/>
    <xf numFmtId="44" fontId="37" fillId="0" borderId="15" xfId="1" applyNumberFormat="1" applyFont="1" applyBorder="1" applyAlignment="1">
      <alignment vertical="center"/>
    </xf>
    <xf numFmtId="0" fontId="37" fillId="4" borderId="15" xfId="9" applyFont="1" applyFill="1" applyBorder="1" applyAlignment="1">
      <alignment horizontal="center" vertical="center"/>
    </xf>
    <xf numFmtId="0" fontId="10" fillId="4" borderId="17" xfId="0" applyFont="1" applyFill="1" applyBorder="1" applyAlignment="1">
      <alignment horizontal="center" vertical="center" wrapText="1"/>
    </xf>
    <xf numFmtId="0" fontId="37" fillId="4" borderId="17" xfId="4" applyFont="1" applyFill="1" applyBorder="1" applyAlignment="1">
      <alignment horizontal="center" vertical="center" wrapText="1"/>
    </xf>
    <xf numFmtId="166" fontId="8" fillId="3" borderId="18" xfId="1" applyNumberFormat="1" applyFont="1" applyFill="1" applyBorder="1" applyAlignment="1" applyProtection="1">
      <alignment horizontal="right" vertical="center" wrapText="1"/>
    </xf>
    <xf numFmtId="166" fontId="8" fillId="3" borderId="21" xfId="1" applyNumberFormat="1" applyFont="1" applyFill="1" applyBorder="1" applyAlignment="1" applyProtection="1">
      <alignment horizontal="right" vertical="center" wrapText="1"/>
    </xf>
    <xf numFmtId="166" fontId="8" fillId="3" borderId="19" xfId="1" applyNumberFormat="1" applyFont="1" applyFill="1" applyBorder="1" applyAlignment="1" applyProtection="1">
      <alignment horizontal="right" vertical="center" wrapText="1"/>
    </xf>
    <xf numFmtId="0" fontId="10" fillId="3" borderId="19" xfId="0" applyFont="1" applyFill="1" applyBorder="1" applyAlignment="1">
      <alignment horizontal="center" vertical="center" wrapText="1"/>
    </xf>
    <xf numFmtId="166" fontId="8" fillId="3" borderId="21" xfId="5" applyNumberFormat="1" applyFont="1" applyFill="1" applyBorder="1" applyAlignment="1" applyProtection="1">
      <alignment horizontal="right" vertical="center" wrapText="1"/>
    </xf>
    <xf numFmtId="166" fontId="8" fillId="3" borderId="19" xfId="5" applyNumberFormat="1" applyFont="1" applyFill="1" applyBorder="1" applyAlignment="1" applyProtection="1">
      <alignment horizontal="right" vertical="center" wrapText="1"/>
    </xf>
    <xf numFmtId="0" fontId="10" fillId="0" borderId="19" xfId="0" applyFont="1" applyBorder="1" applyAlignment="1">
      <alignment horizontal="center" vertical="center" wrapText="1"/>
    </xf>
    <xf numFmtId="166" fontId="37" fillId="0" borderId="19" xfId="1" applyNumberFormat="1" applyFont="1" applyBorder="1" applyAlignment="1">
      <alignment vertical="center" wrapText="1"/>
    </xf>
    <xf numFmtId="1" fontId="37" fillId="4" borderId="19" xfId="4" applyNumberFormat="1" applyFont="1" applyFill="1" applyBorder="1" applyAlignment="1">
      <alignment horizontal="center" vertical="center" wrapText="1"/>
    </xf>
    <xf numFmtId="0" fontId="8" fillId="5" borderId="15" xfId="0" applyFont="1" applyFill="1" applyBorder="1" applyAlignment="1">
      <alignment horizontal="center" vertical="center" wrapText="1"/>
    </xf>
    <xf numFmtId="0" fontId="37" fillId="4" borderId="19" xfId="0" applyFont="1" applyFill="1" applyBorder="1" applyAlignment="1">
      <alignment horizontal="left" vertical="center" wrapText="1"/>
    </xf>
    <xf numFmtId="0" fontId="37" fillId="0" borderId="19" xfId="0" applyFont="1" applyBorder="1" applyAlignment="1">
      <alignment horizontal="center"/>
    </xf>
    <xf numFmtId="0" fontId="37" fillId="0" borderId="19" xfId="13" applyFont="1" applyBorder="1" applyAlignment="1">
      <alignment horizontal="center" vertical="top"/>
    </xf>
    <xf numFmtId="1" fontId="37" fillId="0" borderId="15" xfId="8" applyNumberFormat="1" applyFont="1" applyBorder="1" applyAlignment="1">
      <alignment horizontal="center" vertical="center"/>
    </xf>
    <xf numFmtId="166" fontId="37" fillId="0" borderId="15" xfId="1" applyNumberFormat="1" applyFont="1" applyBorder="1" applyAlignment="1" applyProtection="1">
      <alignment vertical="center"/>
    </xf>
    <xf numFmtId="0" fontId="37" fillId="0" borderId="15" xfId="13" applyFont="1" applyBorder="1" applyAlignment="1">
      <alignment horizontal="center" vertical="top"/>
    </xf>
    <xf numFmtId="166" fontId="8" fillId="3" borderId="15" xfId="1" applyNumberFormat="1" applyFont="1" applyFill="1" applyBorder="1" applyAlignment="1" applyProtection="1">
      <alignment horizontal="right" vertical="center" wrapText="1"/>
    </xf>
    <xf numFmtId="0" fontId="8" fillId="0" borderId="15" xfId="4" applyFont="1" applyBorder="1" applyAlignment="1">
      <alignment horizontal="center" vertical="center"/>
    </xf>
    <xf numFmtId="166" fontId="37" fillId="0" borderId="17" xfId="1" applyNumberFormat="1" applyFont="1" applyBorder="1" applyAlignment="1">
      <alignment vertical="center"/>
    </xf>
    <xf numFmtId="0" fontId="8" fillId="4" borderId="15" xfId="6" applyFont="1" applyFill="1" applyBorder="1" applyAlignment="1">
      <alignment horizontal="center" vertical="center" wrapText="1"/>
    </xf>
    <xf numFmtId="0" fontId="10" fillId="0" borderId="18" xfId="0" applyFont="1" applyFill="1" applyBorder="1" applyAlignment="1">
      <alignment horizontal="center" vertical="center" wrapText="1"/>
    </xf>
    <xf numFmtId="0" fontId="8" fillId="4" borderId="18" xfId="0" applyFont="1" applyFill="1" applyBorder="1" applyAlignment="1">
      <alignment horizontal="center" vertical="center" wrapText="1"/>
    </xf>
    <xf numFmtId="168" fontId="8" fillId="0" borderId="18" xfId="0" applyNumberFormat="1" applyFont="1" applyBorder="1" applyAlignment="1">
      <alignment horizontal="center"/>
    </xf>
    <xf numFmtId="1" fontId="8" fillId="0" borderId="18" xfId="0" applyNumberFormat="1" applyFont="1" applyBorder="1" applyAlignment="1">
      <alignment horizontal="center"/>
    </xf>
    <xf numFmtId="169" fontId="8" fillId="0" borderId="18" xfId="0" applyNumberFormat="1" applyFont="1" applyBorder="1" applyAlignment="1">
      <alignment horizontal="center"/>
    </xf>
    <xf numFmtId="3" fontId="8" fillId="0" borderId="18" xfId="0" applyNumberFormat="1" applyFont="1" applyBorder="1" applyAlignment="1">
      <alignment horizontal="center"/>
    </xf>
    <xf numFmtId="3" fontId="8" fillId="0" borderId="18" xfId="4" applyNumberFormat="1" applyFont="1" applyBorder="1" applyAlignment="1">
      <alignment horizontal="center" vertical="center" wrapText="1"/>
    </xf>
    <xf numFmtId="166" fontId="8" fillId="4" borderId="18" xfId="4" applyNumberFormat="1" applyFont="1" applyFill="1" applyBorder="1" applyAlignment="1">
      <alignment vertical="center" wrapText="1"/>
    </xf>
    <xf numFmtId="0" fontId="8" fillId="0" borderId="15" xfId="0" applyFont="1" applyBorder="1" applyAlignment="1">
      <alignment horizontal="center" wrapText="1"/>
    </xf>
    <xf numFmtId="166" fontId="36" fillId="0" borderId="15" xfId="1" applyNumberFormat="1" applyFont="1" applyBorder="1" applyAlignment="1">
      <alignment vertical="center"/>
    </xf>
    <xf numFmtId="0" fontId="37" fillId="4" borderId="19" xfId="4" applyFont="1" applyFill="1" applyBorder="1" applyAlignment="1">
      <alignment horizontal="center" vertical="center" wrapText="1"/>
    </xf>
    <xf numFmtId="0" fontId="10" fillId="4" borderId="19" xfId="0" applyFont="1" applyFill="1" applyBorder="1" applyAlignment="1">
      <alignment horizontal="left" vertical="center" wrapText="1"/>
    </xf>
    <xf numFmtId="0" fontId="8" fillId="4" borderId="19" xfId="4" applyFont="1" applyFill="1" applyBorder="1" applyAlignment="1">
      <alignment horizontal="center" vertical="center" wrapText="1"/>
    </xf>
    <xf numFmtId="168" fontId="8" fillId="0" borderId="19" xfId="0" applyNumberFormat="1" applyFont="1" applyBorder="1" applyAlignment="1">
      <alignment horizontal="center"/>
    </xf>
    <xf numFmtId="0" fontId="7" fillId="4" borderId="57" xfId="13" applyFont="1" applyFill="1" applyBorder="1" applyAlignment="1">
      <alignment horizontal="center" vertical="center"/>
    </xf>
    <xf numFmtId="0" fontId="7" fillId="4" borderId="61" xfId="13" applyFont="1" applyFill="1" applyBorder="1" applyAlignment="1">
      <alignment horizontal="center" vertical="center"/>
    </xf>
    <xf numFmtId="0" fontId="9" fillId="0" borderId="0" xfId="0" applyFont="1" applyBorder="1" applyAlignment="1">
      <alignment horizontal="left" vertical="center" wrapText="1"/>
    </xf>
    <xf numFmtId="0" fontId="15" fillId="0" borderId="0" xfId="0" applyFont="1" applyBorder="1" applyAlignment="1">
      <alignment horizontal="center"/>
    </xf>
    <xf numFmtId="0" fontId="15" fillId="0" borderId="0" xfId="0" applyFont="1" applyBorder="1" applyAlignment="1">
      <alignment horizontal="center" vertical="center"/>
    </xf>
    <xf numFmtId="0" fontId="15" fillId="0" borderId="0" xfId="0" applyFont="1" applyBorder="1" applyAlignment="1">
      <alignment horizontal="right" vertical="center"/>
    </xf>
    <xf numFmtId="0" fontId="12" fillId="0" borderId="0" xfId="0" applyFont="1" applyFill="1" applyBorder="1" applyAlignment="1">
      <alignment horizontal="left" vertical="center" wrapText="1"/>
    </xf>
    <xf numFmtId="0" fontId="18" fillId="0" borderId="16" xfId="0" applyFont="1" applyBorder="1" applyAlignment="1">
      <alignment horizontal="left" vertical="center"/>
    </xf>
    <xf numFmtId="0" fontId="18" fillId="0" borderId="14" xfId="0" applyFont="1" applyBorder="1" applyAlignment="1">
      <alignment horizontal="left" vertical="center"/>
    </xf>
    <xf numFmtId="0" fontId="18" fillId="0" borderId="13" xfId="0" applyFont="1" applyBorder="1" applyAlignment="1">
      <alignment horizontal="left" vertical="center"/>
    </xf>
    <xf numFmtId="0" fontId="18" fillId="0" borderId="16" xfId="0" applyFont="1" applyBorder="1" applyAlignment="1">
      <alignment horizontal="left"/>
    </xf>
    <xf numFmtId="0" fontId="18" fillId="0" borderId="14" xfId="0" applyFont="1" applyBorder="1" applyAlignment="1">
      <alignment horizontal="left"/>
    </xf>
    <xf numFmtId="0" fontId="18" fillId="0" borderId="13" xfId="0" applyFont="1" applyBorder="1" applyAlignment="1">
      <alignment horizontal="left"/>
    </xf>
    <xf numFmtId="0" fontId="18" fillId="4" borderId="16" xfId="0" applyFont="1" applyFill="1" applyBorder="1" applyAlignment="1">
      <alignment horizontal="left" vertical="top"/>
    </xf>
    <xf numFmtId="0" fontId="18" fillId="4" borderId="14" xfId="0" applyFont="1" applyFill="1" applyBorder="1" applyAlignment="1">
      <alignment horizontal="left" vertical="top"/>
    </xf>
    <xf numFmtId="0" fontId="18" fillId="4" borderId="13" xfId="0" applyFont="1" applyFill="1" applyBorder="1" applyAlignment="1">
      <alignment horizontal="left" vertical="top"/>
    </xf>
    <xf numFmtId="0" fontId="18" fillId="4" borderId="17" xfId="0" applyFont="1" applyFill="1" applyBorder="1" applyAlignment="1">
      <alignment horizontal="left"/>
    </xf>
    <xf numFmtId="0" fontId="18" fillId="4" borderId="10" xfId="0" applyFont="1" applyFill="1" applyBorder="1" applyAlignment="1">
      <alignment horizontal="left"/>
    </xf>
    <xf numFmtId="0" fontId="18" fillId="0" borderId="17" xfId="0" applyFont="1" applyBorder="1" applyAlignment="1">
      <alignment horizontal="left"/>
    </xf>
    <xf numFmtId="0" fontId="18" fillId="0" borderId="10" xfId="0" applyFont="1" applyBorder="1" applyAlignment="1">
      <alignment horizontal="left"/>
    </xf>
    <xf numFmtId="0" fontId="18" fillId="4" borderId="16" xfId="0" applyFont="1" applyFill="1" applyBorder="1" applyAlignment="1">
      <alignment horizontal="center"/>
    </xf>
    <xf numFmtId="0" fontId="18" fillId="4" borderId="14" xfId="0" applyFont="1" applyFill="1" applyBorder="1" applyAlignment="1">
      <alignment horizontal="center"/>
    </xf>
    <xf numFmtId="0" fontId="18" fillId="4" borderId="13" xfId="0" applyFont="1" applyFill="1" applyBorder="1" applyAlignment="1">
      <alignment horizontal="center"/>
    </xf>
    <xf numFmtId="0" fontId="8" fillId="0" borderId="0" xfId="13" applyFont="1" applyFill="1" applyBorder="1" applyAlignment="1">
      <alignment horizontal="left" vertical="center" wrapText="1"/>
    </xf>
    <xf numFmtId="0" fontId="18" fillId="4" borderId="4" xfId="0" applyFont="1" applyFill="1" applyBorder="1" applyAlignment="1">
      <alignment horizontal="left" vertical="center" wrapText="1"/>
    </xf>
    <xf numFmtId="0" fontId="18" fillId="4" borderId="12" xfId="0" applyFont="1" applyFill="1" applyBorder="1" applyAlignment="1">
      <alignment horizontal="left" vertical="center" wrapText="1"/>
    </xf>
    <xf numFmtId="0" fontId="8" fillId="0" borderId="75" xfId="13" applyFont="1" applyFill="1" applyBorder="1" applyAlignment="1">
      <alignment horizontal="left" vertical="center" wrapText="1"/>
    </xf>
    <xf numFmtId="0" fontId="8" fillId="0" borderId="76" xfId="13" applyFont="1" applyFill="1" applyBorder="1" applyAlignment="1">
      <alignment horizontal="left" vertical="center" wrapText="1"/>
    </xf>
    <xf numFmtId="0" fontId="8" fillId="0" borderId="78" xfId="13" applyFont="1" applyFill="1" applyBorder="1" applyAlignment="1">
      <alignment horizontal="left" vertical="center" wrapText="1"/>
    </xf>
    <xf numFmtId="0" fontId="23" fillId="0" borderId="29" xfId="13" applyFont="1" applyBorder="1" applyAlignment="1">
      <alignment horizontal="left" vertical="center" wrapText="1"/>
    </xf>
    <xf numFmtId="0" fontId="21" fillId="0" borderId="30" xfId="13" applyFont="1" applyBorder="1" applyAlignment="1">
      <alignment horizontal="left" vertical="center" wrapText="1" indent="1"/>
    </xf>
    <xf numFmtId="0" fontId="20" fillId="0" borderId="0" xfId="13" applyFont="1" applyBorder="1" applyAlignment="1">
      <alignment horizontal="center" vertical="center"/>
    </xf>
    <xf numFmtId="0" fontId="23" fillId="0" borderId="25" xfId="13" applyFont="1" applyBorder="1" applyAlignment="1">
      <alignment horizontal="left" vertical="center" wrapText="1"/>
    </xf>
    <xf numFmtId="0" fontId="29" fillId="0" borderId="26" xfId="13" applyFont="1" applyBorder="1" applyAlignment="1">
      <alignment horizontal="left" vertical="center"/>
    </xf>
    <xf numFmtId="0" fontId="29" fillId="0" borderId="27" xfId="13" applyFont="1" applyBorder="1" applyAlignment="1">
      <alignment horizontal="left" vertical="center"/>
    </xf>
    <xf numFmtId="0" fontId="29" fillId="0" borderId="28" xfId="13" applyFont="1" applyBorder="1" applyAlignment="1">
      <alignment horizontal="left" vertical="center"/>
    </xf>
    <xf numFmtId="166" fontId="30" fillId="0" borderId="27" xfId="13" applyNumberFormat="1" applyFont="1" applyBorder="1" applyAlignment="1">
      <alignment horizontal="center" vertical="center" wrapText="1"/>
    </xf>
    <xf numFmtId="166" fontId="30" fillId="0" borderId="28" xfId="13" applyNumberFormat="1" applyFont="1" applyBorder="1" applyAlignment="1">
      <alignment horizontal="center" vertical="center" wrapText="1"/>
    </xf>
    <xf numFmtId="0" fontId="23" fillId="0" borderId="31" xfId="13" applyFont="1" applyBorder="1" applyAlignment="1">
      <alignment horizontal="left" vertical="center"/>
    </xf>
    <xf numFmtId="0" fontId="21" fillId="0" borderId="32" xfId="13" applyFont="1" applyBorder="1" applyAlignment="1">
      <alignment horizontal="left" vertical="center" wrapText="1" indent="1"/>
    </xf>
    <xf numFmtId="0" fontId="24" fillId="0" borderId="31" xfId="13" applyFont="1" applyBorder="1" applyAlignment="1">
      <alignment horizontal="center" vertical="center"/>
    </xf>
    <xf numFmtId="0" fontId="24" fillId="0" borderId="71" xfId="13" applyFont="1" applyBorder="1" applyAlignment="1">
      <alignment horizontal="center" vertical="center"/>
    </xf>
    <xf numFmtId="0" fontId="24" fillId="0" borderId="33" xfId="13" applyFont="1" applyBorder="1" applyAlignment="1">
      <alignment horizontal="center" vertical="center" wrapText="1"/>
    </xf>
    <xf numFmtId="0" fontId="24" fillId="0" borderId="72" xfId="13" applyFont="1" applyBorder="1" applyAlignment="1">
      <alignment horizontal="center" vertical="center" wrapText="1"/>
    </xf>
    <xf numFmtId="0" fontId="24" fillId="0" borderId="34" xfId="13" applyFont="1" applyBorder="1" applyAlignment="1">
      <alignment horizontal="center" vertical="center" wrapText="1"/>
    </xf>
    <xf numFmtId="0" fontId="24" fillId="0" borderId="73" xfId="13" applyFont="1" applyBorder="1" applyAlignment="1">
      <alignment horizontal="center" vertical="center" wrapText="1"/>
    </xf>
    <xf numFmtId="0" fontId="24" fillId="0" borderId="30" xfId="13" applyFont="1" applyBorder="1" applyAlignment="1">
      <alignment horizontal="center" vertical="center" wrapText="1"/>
    </xf>
    <xf numFmtId="0" fontId="24" fillId="0" borderId="70" xfId="13" applyFont="1" applyBorder="1" applyAlignment="1">
      <alignment horizontal="center" vertical="center" wrapText="1"/>
    </xf>
    <xf numFmtId="0" fontId="25" fillId="0" borderId="25" xfId="13" applyFont="1" applyBorder="1" applyAlignment="1">
      <alignment horizontal="left" vertical="center" wrapText="1"/>
    </xf>
    <xf numFmtId="0" fontId="25" fillId="0" borderId="45" xfId="13" applyFont="1" applyBorder="1" applyAlignment="1">
      <alignment horizontal="left" vertical="center" wrapText="1"/>
    </xf>
    <xf numFmtId="0" fontId="25" fillId="0" borderId="46" xfId="13" applyFont="1" applyBorder="1" applyAlignment="1">
      <alignment horizontal="left" vertical="center" wrapText="1"/>
    </xf>
    <xf numFmtId="0" fontId="7" fillId="0" borderId="26" xfId="13" applyFont="1" applyBorder="1" applyAlignment="1">
      <alignment horizontal="center"/>
    </xf>
    <xf numFmtId="0" fontId="31" fillId="0" borderId="28" xfId="13" applyNumberFormat="1" applyFont="1" applyBorder="1" applyAlignment="1">
      <alignment horizontal="center"/>
    </xf>
    <xf numFmtId="0" fontId="32" fillId="0" borderId="23" xfId="13" applyFont="1" applyBorder="1" applyAlignment="1">
      <alignment horizontal="center" vertical="center" wrapText="1"/>
    </xf>
    <xf numFmtId="0" fontId="26" fillId="0" borderId="23" xfId="13" applyFont="1" applyBorder="1" applyAlignment="1">
      <alignment vertical="center"/>
    </xf>
    <xf numFmtId="0" fontId="7" fillId="0" borderId="63" xfId="13" applyFont="1" applyBorder="1" applyAlignment="1">
      <alignment horizontal="left" vertical="center"/>
    </xf>
    <xf numFmtId="0" fontId="34" fillId="0" borderId="23" xfId="13" applyFont="1" applyBorder="1" applyAlignment="1">
      <alignment horizontal="left" vertical="center"/>
    </xf>
    <xf numFmtId="0" fontId="33" fillId="0" borderId="47" xfId="13" applyFont="1" applyBorder="1"/>
    <xf numFmtId="0" fontId="33" fillId="4" borderId="47" xfId="13" applyNumberFormat="1" applyFont="1" applyFill="1" applyBorder="1" applyAlignment="1">
      <alignment horizontal="left" vertical="justify" wrapText="1" indent="1"/>
    </xf>
    <xf numFmtId="0" fontId="33" fillId="4" borderId="0" xfId="13" applyNumberFormat="1" applyFont="1" applyFill="1" applyBorder="1" applyAlignment="1">
      <alignment horizontal="left" vertical="justify" wrapText="1" indent="1"/>
    </xf>
    <xf numFmtId="0" fontId="33" fillId="4" borderId="22" xfId="13" applyNumberFormat="1" applyFont="1" applyFill="1" applyBorder="1" applyAlignment="1">
      <alignment horizontal="left" vertical="justify" wrapText="1" indent="1"/>
    </xf>
    <xf numFmtId="0" fontId="35" fillId="0" borderId="50" xfId="13" applyFont="1" applyBorder="1" applyAlignment="1">
      <alignment horizontal="center" vertical="center"/>
    </xf>
    <xf numFmtId="0" fontId="35" fillId="0" borderId="23" xfId="13" applyFont="1" applyBorder="1" applyAlignment="1">
      <alignment horizontal="center" vertical="center"/>
    </xf>
    <xf numFmtId="0" fontId="35" fillId="0" borderId="50" xfId="13" applyFont="1" applyBorder="1" applyAlignment="1">
      <alignment horizontal="center" vertical="center" wrapText="1"/>
    </xf>
    <xf numFmtId="0" fontId="35" fillId="0" borderId="51" xfId="13" applyFont="1" applyBorder="1" applyAlignment="1">
      <alignment horizontal="center" vertical="center"/>
    </xf>
    <xf numFmtId="0" fontId="7" fillId="0" borderId="57" xfId="13" applyBorder="1" applyAlignment="1">
      <alignment horizontal="left" vertical="center" wrapText="1"/>
    </xf>
    <xf numFmtId="0" fontId="7" fillId="0" borderId="57" xfId="13" applyFont="1" applyBorder="1" applyAlignment="1">
      <alignment horizontal="left" vertical="center" wrapText="1"/>
    </xf>
    <xf numFmtId="0" fontId="7" fillId="0" borderId="63" xfId="13" applyBorder="1" applyAlignment="1">
      <alignment horizontal="left" vertical="center"/>
    </xf>
    <xf numFmtId="0" fontId="7" fillId="0" borderId="66" xfId="13" applyBorder="1" applyAlignment="1">
      <alignment horizontal="left" vertical="center"/>
    </xf>
    <xf numFmtId="0" fontId="31" fillId="0" borderId="69" xfId="13" applyFont="1" applyBorder="1" applyAlignment="1">
      <alignment horizontal="left" vertical="center" wrapText="1"/>
    </xf>
    <xf numFmtId="0" fontId="7" fillId="0" borderId="50" xfId="13" applyBorder="1"/>
    <xf numFmtId="0" fontId="31" fillId="0" borderId="26" xfId="13" applyFont="1" applyBorder="1" applyAlignment="1">
      <alignment vertical="center" wrapText="1"/>
    </xf>
    <xf numFmtId="0" fontId="31" fillId="0" borderId="34" xfId="13" applyFont="1" applyBorder="1" applyAlignment="1">
      <alignment vertical="center" wrapText="1"/>
    </xf>
    <xf numFmtId="0" fontId="31" fillId="0" borderId="32" xfId="13" applyFont="1" applyBorder="1" applyAlignment="1">
      <alignment vertical="center" wrapText="1"/>
    </xf>
    <xf numFmtId="0" fontId="33" fillId="0" borderId="51" xfId="13" applyFont="1" applyBorder="1" applyAlignment="1">
      <alignment vertical="center" wrapText="1"/>
    </xf>
    <xf numFmtId="3" fontId="8" fillId="4" borderId="37" xfId="13" applyNumberFormat="1" applyFont="1" applyFill="1" applyBorder="1" applyAlignment="1">
      <alignment horizontal="left" vertical="center" wrapText="1"/>
    </xf>
    <xf numFmtId="3" fontId="8" fillId="4" borderId="16" xfId="13" applyNumberFormat="1" applyFont="1" applyFill="1" applyBorder="1" applyAlignment="1">
      <alignment horizontal="left" vertical="center" wrapText="1"/>
    </xf>
    <xf numFmtId="3" fontId="8" fillId="4" borderId="11" xfId="13" applyNumberFormat="1" applyFont="1" applyFill="1" applyBorder="1" applyAlignment="1">
      <alignment horizontal="left" vertical="center" wrapText="1"/>
    </xf>
    <xf numFmtId="0" fontId="37" fillId="4" borderId="15" xfId="0" applyFont="1" applyFill="1" applyBorder="1" applyAlignment="1">
      <alignment horizontal="left"/>
    </xf>
  </cellXfs>
  <cellStyles count="27">
    <cellStyle name="Encabezado 1" xfId="2" xr:uid="{00000000-0005-0000-0000-000000000000}"/>
    <cellStyle name="Encabezado 1 2" xfId="12" xr:uid="{00000000-0005-0000-0000-000001000000}"/>
    <cellStyle name="Millares 2" xfId="19" xr:uid="{00000000-0005-0000-0000-000002000000}"/>
    <cellStyle name="Moneda" xfId="1" builtinId="4"/>
    <cellStyle name="Moneda 2" xfId="5" xr:uid="{00000000-0005-0000-0000-000004000000}"/>
    <cellStyle name="Moneda 2 2" xfId="14" xr:uid="{00000000-0005-0000-0000-000005000000}"/>
    <cellStyle name="Moneda 3" xfId="11" xr:uid="{00000000-0005-0000-0000-000006000000}"/>
    <cellStyle name="Moneda 4" xfId="21" xr:uid="{00000000-0005-0000-0000-000007000000}"/>
    <cellStyle name="Moneda_AUTORIZACION Y NOTA DE PEDIDO" xfId="25" xr:uid="{00000000-0005-0000-0000-000008000000}"/>
    <cellStyle name="Neutral 1" xfId="3" xr:uid="{00000000-0005-0000-0000-000009000000}"/>
    <cellStyle name="Normal" xfId="0" builtinId="0"/>
    <cellStyle name="Normal 2" xfId="4" xr:uid="{00000000-0005-0000-0000-00000B000000}"/>
    <cellStyle name="Normal 2 2" xfId="13" xr:uid="{00000000-0005-0000-0000-00000C000000}"/>
    <cellStyle name="Normal 3" xfId="6" xr:uid="{00000000-0005-0000-0000-00000D000000}"/>
    <cellStyle name="Normal 3 2" xfId="7" xr:uid="{00000000-0005-0000-0000-00000E000000}"/>
    <cellStyle name="Normal 3 2 2" xfId="16" xr:uid="{00000000-0005-0000-0000-00000F000000}"/>
    <cellStyle name="Normal 3 3" xfId="15" xr:uid="{00000000-0005-0000-0000-000010000000}"/>
    <cellStyle name="Normal 3 4" xfId="22" xr:uid="{00000000-0005-0000-0000-000011000000}"/>
    <cellStyle name="Normal 4" xfId="8" xr:uid="{00000000-0005-0000-0000-000012000000}"/>
    <cellStyle name="Normal 4 2" xfId="17" xr:uid="{00000000-0005-0000-0000-000013000000}"/>
    <cellStyle name="Normal 4 3" xfId="23" xr:uid="{00000000-0005-0000-0000-000014000000}"/>
    <cellStyle name="Normal 5" xfId="9" xr:uid="{00000000-0005-0000-0000-000015000000}"/>
    <cellStyle name="Normal 5 2" xfId="20" xr:uid="{00000000-0005-0000-0000-000016000000}"/>
    <cellStyle name="Normal 5 3" xfId="24" xr:uid="{00000000-0005-0000-0000-000017000000}"/>
    <cellStyle name="Normal 5 4" xfId="26" xr:uid="{00000000-0005-0000-0000-000018000000}"/>
    <cellStyle name="Normal 6" xfId="10" xr:uid="{00000000-0005-0000-0000-000019000000}"/>
    <cellStyle name="Normal 7" xfId="18" xr:uid="{00000000-0005-0000-0000-00001A000000}"/>
  </cellStyles>
  <dxfs count="119">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ELIAS%20QUINTAR/AppData/Local/Temp/$frd_/F9RBADE.tmp/AP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cesidades Trimestrales (2)"/>
      <sheetName val="lab centr"/>
      <sheetName val="APG"/>
      <sheetName val="bco sangr"/>
      <sheetName val="APG (3)"/>
      <sheetName val="CUR"/>
      <sheetName val="APG (2)"/>
    </sheetNames>
    <sheetDataSet>
      <sheetData sheetId="0"/>
      <sheetData sheetId="1">
        <row r="3">
          <cell r="D3" t="str">
            <v>040 - Ministerio de Salud</v>
          </cell>
        </row>
        <row r="4">
          <cell r="D4" t="str">
            <v>011 - Direccion Provincial de Administración - Ministerio de Salud</v>
          </cell>
        </row>
        <row r="8">
          <cell r="D8" t="str">
            <v>Adquisicion del  RUBRO REACTIVOS PARA LABORATORIO</v>
          </cell>
        </row>
      </sheetData>
      <sheetData sheetId="2"/>
      <sheetData sheetId="3"/>
      <sheetData sheetId="4"/>
      <sheetData sheetId="5"/>
      <sheetData sheetId="6"/>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56"/>
  <sheetViews>
    <sheetView tabSelected="1" topLeftCell="A101" zoomScale="80" zoomScaleNormal="80" workbookViewId="0">
      <selection activeCell="E11" sqref="E11"/>
    </sheetView>
  </sheetViews>
  <sheetFormatPr baseColWidth="10" defaultColWidth="10.85546875" defaultRowHeight="15" x14ac:dyDescent="0.25"/>
  <cols>
    <col min="1" max="1" width="9.140625" style="15" customWidth="1"/>
    <col min="2" max="2" width="16" style="14" customWidth="1"/>
    <col min="3" max="3" width="24.5703125" style="15" customWidth="1"/>
    <col min="4" max="4" width="8.42578125" style="3" customWidth="1"/>
    <col min="5" max="5" width="67.28515625" style="18" customWidth="1"/>
    <col min="6" max="6" width="11" style="3" customWidth="1"/>
    <col min="7" max="7" width="11" style="3" hidden="1" customWidth="1"/>
    <col min="8" max="8" width="14.85546875" style="3" hidden="1" customWidth="1"/>
    <col min="9" max="9" width="11" style="3" hidden="1" customWidth="1"/>
    <col min="10" max="11" width="14.85546875" style="3" hidden="1" customWidth="1"/>
    <col min="12" max="12" width="24" style="3" hidden="1" customWidth="1"/>
    <col min="13" max="13" width="12.85546875" style="6" hidden="1" customWidth="1"/>
    <col min="14" max="14" width="18.85546875" style="7" hidden="1" customWidth="1"/>
    <col min="15" max="15" width="18.85546875" style="9" hidden="1" customWidth="1"/>
    <col min="16" max="16" width="28.5703125" style="3" hidden="1" customWidth="1"/>
    <col min="17" max="17" width="18.85546875" style="6" hidden="1" customWidth="1"/>
    <col min="18" max="18" width="18.85546875" style="3" hidden="1" customWidth="1"/>
    <col min="19" max="19" width="18.85546875" style="9" hidden="1" customWidth="1"/>
    <col min="20" max="20" width="18.85546875" style="19" hidden="1" customWidth="1"/>
    <col min="21" max="21" width="18.85546875" style="6" hidden="1" customWidth="1"/>
    <col min="22" max="22" width="18.85546875" style="3" hidden="1" customWidth="1"/>
    <col min="23" max="23" width="18.85546875" style="9" hidden="1" customWidth="1"/>
    <col min="24" max="24" width="18.85546875" style="3" hidden="1" customWidth="1"/>
    <col min="25" max="25" width="18.85546875" style="9" hidden="1" customWidth="1"/>
    <col min="26" max="26" width="18.85546875" style="3" hidden="1" customWidth="1"/>
    <col min="27" max="27" width="18.85546875" style="9" hidden="1" customWidth="1"/>
    <col min="28" max="28" width="18.85546875" style="3" hidden="1" customWidth="1"/>
    <col min="29" max="29" width="18.85546875" style="9" hidden="1" customWidth="1"/>
    <col min="30" max="30" width="18.85546875" style="3" hidden="1" customWidth="1"/>
    <col min="31" max="31" width="19.85546875" style="9" hidden="1" customWidth="1"/>
    <col min="32" max="32" width="19.85546875" style="3" hidden="1" customWidth="1"/>
    <col min="33" max="33" width="19.85546875" style="9" hidden="1" customWidth="1"/>
    <col min="34" max="34" width="19.85546875" style="3" hidden="1" customWidth="1"/>
    <col min="35" max="35" width="19.85546875" style="9" hidden="1" customWidth="1"/>
    <col min="36" max="36" width="19.85546875" style="3" hidden="1" customWidth="1"/>
    <col min="37" max="37" width="18.85546875" style="9" hidden="1" customWidth="1"/>
    <col min="38" max="38" width="18.85546875" style="3" hidden="1" customWidth="1"/>
    <col min="39" max="39" width="18.85546875" style="9" hidden="1" customWidth="1"/>
    <col min="40" max="40" width="18.85546875" style="3" hidden="1" customWidth="1"/>
    <col min="41" max="41" width="18.85546875" style="9" hidden="1" customWidth="1"/>
    <col min="42" max="42" width="18.85546875" style="3" hidden="1" customWidth="1"/>
    <col min="43" max="43" width="18.85546875" style="9" hidden="1" customWidth="1"/>
    <col min="44" max="44" width="18.85546875" style="3" hidden="1" customWidth="1"/>
    <col min="45" max="45" width="16.42578125" style="11" customWidth="1"/>
    <col min="46" max="46" width="16.5703125" style="133" bestFit="1" customWidth="1"/>
    <col min="47" max="47" width="22.5703125" style="13" customWidth="1"/>
    <col min="48" max="48" width="23.5703125" style="1" customWidth="1"/>
    <col min="49" max="16384" width="10.85546875" style="1"/>
  </cols>
  <sheetData>
    <row r="1" spans="1:48" x14ac:dyDescent="0.25">
      <c r="A1" s="4">
        <v>2021</v>
      </c>
    </row>
    <row r="2" spans="1:48" ht="25.5" x14ac:dyDescent="0.35">
      <c r="B2" s="283" t="s">
        <v>16</v>
      </c>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4"/>
      <c r="AT2" s="285"/>
    </row>
    <row r="4" spans="1:48" ht="18" customHeight="1" x14ac:dyDescent="0.2">
      <c r="A4" s="282" t="s">
        <v>0</v>
      </c>
      <c r="B4" s="282"/>
      <c r="C4" s="286" t="s">
        <v>15</v>
      </c>
      <c r="D4" s="286"/>
      <c r="E4" s="286"/>
      <c r="F4" s="2"/>
      <c r="G4" s="2"/>
      <c r="H4" s="2"/>
      <c r="I4" s="2"/>
      <c r="J4" s="2"/>
      <c r="K4" s="2"/>
      <c r="L4" s="2"/>
      <c r="M4" s="5"/>
      <c r="N4" s="8"/>
      <c r="O4" s="10"/>
      <c r="P4" s="2"/>
      <c r="Q4" s="5"/>
      <c r="R4" s="2"/>
      <c r="S4" s="10"/>
      <c r="T4" s="20"/>
      <c r="U4" s="5"/>
      <c r="V4" s="2"/>
      <c r="W4" s="10"/>
      <c r="X4" s="2"/>
      <c r="Y4" s="10"/>
      <c r="Z4" s="2"/>
      <c r="AA4" s="10"/>
      <c r="AB4" s="2"/>
      <c r="AC4" s="10"/>
      <c r="AD4" s="2"/>
      <c r="AE4" s="10"/>
      <c r="AF4" s="2"/>
      <c r="AG4" s="10"/>
      <c r="AH4" s="2"/>
      <c r="AI4" s="10"/>
      <c r="AJ4" s="2"/>
      <c r="AK4" s="10"/>
      <c r="AL4" s="2"/>
      <c r="AM4" s="10"/>
      <c r="AN4" s="2"/>
      <c r="AO4" s="10"/>
      <c r="AP4" s="2"/>
      <c r="AQ4" s="10"/>
      <c r="AR4" s="2"/>
      <c r="AS4" s="12"/>
    </row>
    <row r="5" spans="1:48" ht="18" customHeight="1" x14ac:dyDescent="0.2">
      <c r="A5" s="282" t="s">
        <v>1</v>
      </c>
      <c r="B5" s="282"/>
      <c r="C5" s="286" t="s">
        <v>247</v>
      </c>
      <c r="D5" s="286"/>
      <c r="E5" s="286"/>
      <c r="F5" s="2"/>
      <c r="G5" s="2"/>
      <c r="H5" s="2"/>
      <c r="I5" s="2"/>
      <c r="J5" s="2"/>
      <c r="K5" s="2"/>
      <c r="L5" s="2"/>
      <c r="M5" s="5"/>
      <c r="N5" s="8"/>
      <c r="O5" s="10"/>
      <c r="P5" s="2"/>
      <c r="Q5" s="5"/>
      <c r="R5" s="2"/>
      <c r="S5" s="10"/>
      <c r="T5" s="20"/>
      <c r="U5" s="5"/>
      <c r="V5" s="2"/>
      <c r="W5" s="10"/>
      <c r="X5" s="2"/>
      <c r="Y5" s="10"/>
      <c r="Z5" s="2"/>
      <c r="AA5" s="10"/>
      <c r="AB5" s="2"/>
      <c r="AC5" s="10"/>
      <c r="AD5" s="2"/>
      <c r="AE5" s="10"/>
      <c r="AF5" s="2"/>
      <c r="AG5" s="10"/>
      <c r="AH5" s="2"/>
      <c r="AI5" s="10"/>
      <c r="AJ5" s="2"/>
      <c r="AK5" s="10"/>
      <c r="AL5" s="2"/>
      <c r="AM5" s="10"/>
      <c r="AN5" s="2"/>
      <c r="AO5" s="10"/>
      <c r="AP5" s="2"/>
      <c r="AQ5" s="10"/>
      <c r="AR5" s="2"/>
      <c r="AS5" s="12"/>
    </row>
    <row r="6" spans="1:48" ht="16.5" customHeight="1" x14ac:dyDescent="0.2">
      <c r="A6" s="282" t="s">
        <v>2</v>
      </c>
      <c r="B6" s="282"/>
      <c r="C6" s="49">
        <v>2021</v>
      </c>
      <c r="D6" s="50"/>
      <c r="E6" s="50"/>
      <c r="F6" s="2"/>
      <c r="G6" s="2"/>
      <c r="H6" s="2"/>
      <c r="I6" s="2"/>
      <c r="J6" s="2"/>
      <c r="K6" s="2"/>
      <c r="L6" s="2"/>
      <c r="M6" s="5"/>
      <c r="N6" s="8"/>
      <c r="O6" s="10"/>
      <c r="P6" s="2"/>
      <c r="Q6" s="5"/>
      <c r="R6" s="2"/>
      <c r="S6" s="10"/>
      <c r="T6" s="20"/>
      <c r="U6" s="5"/>
      <c r="V6" s="2"/>
      <c r="W6" s="10"/>
      <c r="X6" s="2"/>
      <c r="Y6" s="10"/>
      <c r="Z6" s="2"/>
      <c r="AA6" s="10"/>
      <c r="AB6" s="2"/>
      <c r="AC6" s="10"/>
      <c r="AD6" s="2"/>
      <c r="AE6" s="10"/>
      <c r="AF6" s="2"/>
      <c r="AG6" s="10"/>
      <c r="AH6" s="2"/>
      <c r="AI6" s="10"/>
      <c r="AJ6" s="2"/>
      <c r="AK6" s="10"/>
      <c r="AL6" s="2"/>
      <c r="AM6" s="10"/>
      <c r="AN6" s="2"/>
      <c r="AO6" s="10"/>
      <c r="AP6" s="2"/>
      <c r="AQ6" s="10"/>
      <c r="AR6" s="2"/>
      <c r="AS6" s="12"/>
    </row>
    <row r="7" spans="1:48" ht="31.5" customHeight="1" x14ac:dyDescent="0.2">
      <c r="A7" s="282" t="s">
        <v>3</v>
      </c>
      <c r="B7" s="282"/>
      <c r="C7" s="49" t="s">
        <v>275</v>
      </c>
      <c r="D7" s="50"/>
      <c r="E7" s="50"/>
      <c r="F7" s="2"/>
      <c r="G7" s="2"/>
      <c r="H7" s="2"/>
      <c r="I7" s="2"/>
      <c r="J7" s="2"/>
      <c r="K7" s="2"/>
      <c r="L7" s="2"/>
      <c r="M7" s="5"/>
      <c r="N7" s="8"/>
      <c r="O7" s="10"/>
      <c r="P7" s="2"/>
      <c r="Q7" s="5"/>
      <c r="R7" s="2"/>
      <c r="S7" s="10"/>
      <c r="T7" s="20"/>
      <c r="U7" s="5"/>
      <c r="V7" s="2"/>
      <c r="W7" s="10"/>
      <c r="X7" s="2"/>
      <c r="Y7" s="10"/>
      <c r="Z7" s="2"/>
      <c r="AA7" s="10"/>
      <c r="AB7" s="2"/>
      <c r="AC7" s="10"/>
      <c r="AD7" s="2"/>
      <c r="AE7" s="10"/>
      <c r="AF7" s="2"/>
      <c r="AG7" s="10"/>
      <c r="AH7" s="2"/>
      <c r="AI7" s="10"/>
      <c r="AJ7" s="2"/>
      <c r="AK7" s="10"/>
      <c r="AL7" s="2"/>
      <c r="AM7" s="10"/>
      <c r="AN7" s="2"/>
      <c r="AO7" s="10"/>
      <c r="AP7" s="2"/>
      <c r="AQ7" s="10"/>
      <c r="AR7" s="2"/>
      <c r="AS7" s="12"/>
    </row>
    <row r="8" spans="1:48" ht="2.25" customHeight="1" x14ac:dyDescent="0.25">
      <c r="B8" s="16"/>
      <c r="C8" s="17"/>
      <c r="D8" s="2"/>
      <c r="E8" s="17"/>
      <c r="F8" s="2"/>
      <c r="G8" s="2"/>
      <c r="H8" s="2"/>
      <c r="I8" s="2"/>
      <c r="J8" s="2"/>
      <c r="K8" s="2"/>
      <c r="L8" s="2"/>
      <c r="M8" s="5"/>
      <c r="N8" s="8"/>
      <c r="O8" s="10"/>
      <c r="P8" s="2"/>
      <c r="Q8" s="5"/>
      <c r="R8" s="2"/>
      <c r="S8" s="10"/>
      <c r="T8" s="20"/>
      <c r="U8" s="5"/>
      <c r="V8" s="2"/>
      <c r="W8" s="10"/>
      <c r="X8" s="2"/>
      <c r="Y8" s="10"/>
      <c r="Z8" s="2"/>
      <c r="AA8" s="10"/>
      <c r="AB8" s="2"/>
      <c r="AC8" s="10"/>
      <c r="AD8" s="2"/>
      <c r="AE8" s="10"/>
      <c r="AF8" s="2"/>
      <c r="AG8" s="10"/>
      <c r="AH8" s="2"/>
      <c r="AI8" s="10"/>
      <c r="AJ8" s="2"/>
      <c r="AK8" s="10"/>
      <c r="AL8" s="2"/>
      <c r="AM8" s="10"/>
      <c r="AN8" s="2"/>
      <c r="AO8" s="10"/>
      <c r="AP8" s="2"/>
      <c r="AQ8" s="10"/>
      <c r="AR8" s="2"/>
      <c r="AS8" s="12"/>
    </row>
    <row r="9" spans="1:48" s="24" customFormat="1" ht="42.75" x14ac:dyDescent="0.2">
      <c r="A9" s="38" t="s">
        <v>4</v>
      </c>
      <c r="B9" s="38" t="s">
        <v>5</v>
      </c>
      <c r="C9" s="39" t="s">
        <v>6</v>
      </c>
      <c r="D9" s="38" t="s">
        <v>7</v>
      </c>
      <c r="E9" s="39" t="s">
        <v>8</v>
      </c>
      <c r="F9" s="39" t="s">
        <v>9</v>
      </c>
      <c r="G9" s="39" t="s">
        <v>117</v>
      </c>
      <c r="H9" s="39" t="s">
        <v>118</v>
      </c>
      <c r="I9" s="39" t="s">
        <v>115</v>
      </c>
      <c r="J9" s="39" t="s">
        <v>116</v>
      </c>
      <c r="K9" s="39" t="s">
        <v>67</v>
      </c>
      <c r="L9" s="39" t="s">
        <v>68</v>
      </c>
      <c r="M9" s="40" t="s">
        <v>77</v>
      </c>
      <c r="N9" s="41" t="s">
        <v>78</v>
      </c>
      <c r="O9" s="42" t="s">
        <v>83</v>
      </c>
      <c r="P9" s="39" t="s">
        <v>84</v>
      </c>
      <c r="Q9" s="40" t="s">
        <v>85</v>
      </c>
      <c r="R9" s="39" t="s">
        <v>86</v>
      </c>
      <c r="S9" s="42" t="s">
        <v>87</v>
      </c>
      <c r="T9" s="43" t="s">
        <v>88</v>
      </c>
      <c r="U9" s="40" t="s">
        <v>89</v>
      </c>
      <c r="V9" s="39" t="s">
        <v>90</v>
      </c>
      <c r="W9" s="42" t="s">
        <v>91</v>
      </c>
      <c r="X9" s="39" t="s">
        <v>92</v>
      </c>
      <c r="Y9" s="42" t="s">
        <v>94</v>
      </c>
      <c r="Z9" s="39" t="s">
        <v>95</v>
      </c>
      <c r="AA9" s="42" t="s">
        <v>96</v>
      </c>
      <c r="AB9" s="39" t="s">
        <v>97</v>
      </c>
      <c r="AC9" s="44" t="s">
        <v>98</v>
      </c>
      <c r="AD9" s="39" t="s">
        <v>99</v>
      </c>
      <c r="AE9" s="42" t="s">
        <v>100</v>
      </c>
      <c r="AF9" s="39" t="s">
        <v>101</v>
      </c>
      <c r="AG9" s="42" t="s">
        <v>102</v>
      </c>
      <c r="AH9" s="39" t="s">
        <v>103</v>
      </c>
      <c r="AI9" s="42" t="s">
        <v>104</v>
      </c>
      <c r="AJ9" s="39" t="s">
        <v>105</v>
      </c>
      <c r="AK9" s="42" t="s">
        <v>106</v>
      </c>
      <c r="AL9" s="39" t="s">
        <v>107</v>
      </c>
      <c r="AM9" s="44" t="s">
        <v>109</v>
      </c>
      <c r="AN9" s="39" t="s">
        <v>110</v>
      </c>
      <c r="AO9" s="42" t="s">
        <v>111</v>
      </c>
      <c r="AP9" s="39" t="s">
        <v>112</v>
      </c>
      <c r="AQ9" s="42" t="s">
        <v>113</v>
      </c>
      <c r="AR9" s="39" t="s">
        <v>114</v>
      </c>
      <c r="AS9" s="42" t="s">
        <v>31</v>
      </c>
      <c r="AT9" s="134" t="s">
        <v>10</v>
      </c>
      <c r="AU9" s="45" t="s">
        <v>11</v>
      </c>
      <c r="AV9" s="21"/>
    </row>
    <row r="10" spans="1:48" s="22" customFormat="1" ht="18.75" customHeight="1" x14ac:dyDescent="0.25">
      <c r="A10" s="187">
        <v>1</v>
      </c>
      <c r="B10" s="188"/>
      <c r="C10" s="189" t="s">
        <v>93</v>
      </c>
      <c r="D10" s="190" t="s">
        <v>108</v>
      </c>
      <c r="E10" s="184" t="s">
        <v>283</v>
      </c>
      <c r="F10" s="135" t="s">
        <v>32</v>
      </c>
      <c r="G10" s="191"/>
      <c r="H10" s="191"/>
      <c r="I10" s="191"/>
      <c r="J10" s="191"/>
      <c r="K10" s="192"/>
      <c r="L10" s="193"/>
      <c r="M10" s="194"/>
      <c r="N10" s="193"/>
      <c r="O10" s="195"/>
      <c r="P10" s="193"/>
      <c r="Q10" s="194"/>
      <c r="R10" s="193"/>
      <c r="S10" s="195"/>
      <c r="T10" s="196"/>
      <c r="U10" s="194"/>
      <c r="V10" s="193"/>
      <c r="W10" s="195"/>
      <c r="X10" s="193"/>
      <c r="Y10" s="195"/>
      <c r="Z10" s="193"/>
      <c r="AA10" s="195"/>
      <c r="AB10" s="193"/>
      <c r="AC10" s="195"/>
      <c r="AD10" s="193"/>
      <c r="AE10" s="195"/>
      <c r="AF10" s="193"/>
      <c r="AG10" s="195"/>
      <c r="AH10" s="193"/>
      <c r="AI10" s="195"/>
      <c r="AJ10" s="193"/>
      <c r="AK10" s="136">
        <v>10</v>
      </c>
      <c r="AL10" s="193">
        <f>+AK10*AT10</f>
        <v>5740</v>
      </c>
      <c r="AM10" s="195"/>
      <c r="AN10" s="193"/>
      <c r="AO10" s="195"/>
      <c r="AP10" s="193"/>
      <c r="AQ10" s="195"/>
      <c r="AR10" s="193"/>
      <c r="AS10" s="197">
        <f t="shared" ref="AS10:AS40" si="0">+AQ10+AO10+AM10+AK10+AI10+AG10+AE10+AC10+AA10+Y10+W10+U10+S10+Q10+O10+M10+K10+I10</f>
        <v>10</v>
      </c>
      <c r="AT10" s="198">
        <v>574</v>
      </c>
      <c r="AU10" s="199">
        <f t="shared" ref="AU10:AU40" si="1">+AS10*AT10</f>
        <v>5740</v>
      </c>
    </row>
    <row r="11" spans="1:48" s="22" customFormat="1" ht="18.75" customHeight="1" x14ac:dyDescent="0.25">
      <c r="A11" s="187">
        <v>2</v>
      </c>
      <c r="B11" s="200"/>
      <c r="C11" s="189" t="s">
        <v>93</v>
      </c>
      <c r="D11" s="190" t="s">
        <v>108</v>
      </c>
      <c r="E11" s="201" t="s">
        <v>183</v>
      </c>
      <c r="F11" s="202" t="s">
        <v>66</v>
      </c>
      <c r="G11" s="203"/>
      <c r="H11" s="203"/>
      <c r="I11" s="203"/>
      <c r="J11" s="203"/>
      <c r="K11" s="190">
        <v>10</v>
      </c>
      <c r="L11" s="204">
        <f>+K11*AT11</f>
        <v>45660</v>
      </c>
      <c r="M11" s="205"/>
      <c r="N11" s="206">
        <f>+M11*AT11</f>
        <v>0</v>
      </c>
      <c r="O11" s="207"/>
      <c r="P11" s="204"/>
      <c r="Q11" s="205"/>
      <c r="R11" s="204"/>
      <c r="S11" s="207"/>
      <c r="T11" s="204"/>
      <c r="U11" s="205"/>
      <c r="V11" s="204"/>
      <c r="W11" s="207"/>
      <c r="X11" s="204"/>
      <c r="Y11" s="207"/>
      <c r="Z11" s="204"/>
      <c r="AA11" s="207"/>
      <c r="AB11" s="204"/>
      <c r="AC11" s="207"/>
      <c r="AD11" s="204"/>
      <c r="AE11" s="207"/>
      <c r="AF11" s="204"/>
      <c r="AG11" s="207"/>
      <c r="AH11" s="204"/>
      <c r="AI11" s="207"/>
      <c r="AJ11" s="204"/>
      <c r="AK11" s="207"/>
      <c r="AL11" s="204"/>
      <c r="AM11" s="207"/>
      <c r="AN11" s="204"/>
      <c r="AO11" s="207"/>
      <c r="AP11" s="204"/>
      <c r="AQ11" s="207"/>
      <c r="AR11" s="204"/>
      <c r="AS11" s="197">
        <f t="shared" si="0"/>
        <v>10</v>
      </c>
      <c r="AT11" s="208">
        <v>4566</v>
      </c>
      <c r="AU11" s="199">
        <f t="shared" si="1"/>
        <v>45660</v>
      </c>
    </row>
    <row r="12" spans="1:48" s="22" customFormat="1" ht="18.75" customHeight="1" x14ac:dyDescent="0.25">
      <c r="A12" s="187">
        <v>3</v>
      </c>
      <c r="B12" s="188"/>
      <c r="C12" s="189" t="s">
        <v>93</v>
      </c>
      <c r="D12" s="190" t="s">
        <v>108</v>
      </c>
      <c r="E12" s="209" t="s">
        <v>143</v>
      </c>
      <c r="F12" s="210" t="s">
        <v>12</v>
      </c>
      <c r="G12" s="211"/>
      <c r="H12" s="211"/>
      <c r="I12" s="211"/>
      <c r="J12" s="211"/>
      <c r="K12" s="212"/>
      <c r="L12" s="204"/>
      <c r="M12" s="213">
        <v>12</v>
      </c>
      <c r="N12" s="206">
        <f>+M12*AT12</f>
        <v>15012</v>
      </c>
      <c r="O12" s="207"/>
      <c r="P12" s="204"/>
      <c r="Q12" s="205"/>
      <c r="R12" s="204"/>
      <c r="S12" s="207"/>
      <c r="T12" s="204"/>
      <c r="U12" s="205"/>
      <c r="V12" s="204"/>
      <c r="W12" s="207"/>
      <c r="X12" s="204"/>
      <c r="Y12" s="207"/>
      <c r="Z12" s="204"/>
      <c r="AA12" s="207"/>
      <c r="AB12" s="204"/>
      <c r="AC12" s="207"/>
      <c r="AD12" s="204"/>
      <c r="AE12" s="207"/>
      <c r="AF12" s="204"/>
      <c r="AG12" s="207"/>
      <c r="AH12" s="204"/>
      <c r="AI12" s="207"/>
      <c r="AJ12" s="204"/>
      <c r="AK12" s="207"/>
      <c r="AL12" s="204"/>
      <c r="AM12" s="207"/>
      <c r="AN12" s="204"/>
      <c r="AO12" s="207"/>
      <c r="AP12" s="204"/>
      <c r="AQ12" s="207"/>
      <c r="AR12" s="204"/>
      <c r="AS12" s="197">
        <f t="shared" si="0"/>
        <v>12</v>
      </c>
      <c r="AT12" s="214">
        <v>1251</v>
      </c>
      <c r="AU12" s="199">
        <f t="shared" si="1"/>
        <v>15012</v>
      </c>
    </row>
    <row r="13" spans="1:48" s="22" customFormat="1" ht="18.75" customHeight="1" x14ac:dyDescent="0.25">
      <c r="A13" s="187">
        <v>4</v>
      </c>
      <c r="B13" s="203"/>
      <c r="C13" s="189" t="s">
        <v>93</v>
      </c>
      <c r="D13" s="190" t="s">
        <v>108</v>
      </c>
      <c r="E13" s="215" t="s">
        <v>197</v>
      </c>
      <c r="F13" s="202" t="s">
        <v>12</v>
      </c>
      <c r="G13" s="211"/>
      <c r="H13" s="211"/>
      <c r="I13" s="211"/>
      <c r="J13" s="211"/>
      <c r="K13" s="216">
        <v>12</v>
      </c>
      <c r="L13" s="204">
        <f>+K13*AT13</f>
        <v>24372</v>
      </c>
      <c r="M13" s="205"/>
      <c r="N13" s="206"/>
      <c r="O13" s="207"/>
      <c r="P13" s="204"/>
      <c r="Q13" s="205"/>
      <c r="R13" s="204"/>
      <c r="S13" s="207"/>
      <c r="T13" s="204"/>
      <c r="U13" s="205"/>
      <c r="V13" s="204"/>
      <c r="W13" s="207"/>
      <c r="X13" s="204"/>
      <c r="Y13" s="207"/>
      <c r="Z13" s="204"/>
      <c r="AA13" s="207"/>
      <c r="AB13" s="204"/>
      <c r="AC13" s="207"/>
      <c r="AD13" s="204"/>
      <c r="AE13" s="207"/>
      <c r="AF13" s="204"/>
      <c r="AG13" s="207"/>
      <c r="AH13" s="204"/>
      <c r="AI13" s="207"/>
      <c r="AJ13" s="204"/>
      <c r="AK13" s="207"/>
      <c r="AL13" s="204"/>
      <c r="AM13" s="207"/>
      <c r="AN13" s="204"/>
      <c r="AO13" s="207"/>
      <c r="AP13" s="204"/>
      <c r="AQ13" s="207"/>
      <c r="AR13" s="204"/>
      <c r="AS13" s="197">
        <f t="shared" si="0"/>
        <v>12</v>
      </c>
      <c r="AT13" s="217">
        <v>2031</v>
      </c>
      <c r="AU13" s="199">
        <f t="shared" si="1"/>
        <v>24372</v>
      </c>
    </row>
    <row r="14" spans="1:48" s="22" customFormat="1" ht="18.75" customHeight="1" x14ac:dyDescent="0.25">
      <c r="A14" s="187">
        <v>5</v>
      </c>
      <c r="B14" s="218"/>
      <c r="C14" s="189" t="s">
        <v>93</v>
      </c>
      <c r="D14" s="190" t="s">
        <v>108</v>
      </c>
      <c r="E14" s="201" t="s">
        <v>178</v>
      </c>
      <c r="F14" s="202" t="s">
        <v>66</v>
      </c>
      <c r="G14" s="219"/>
      <c r="H14" s="219"/>
      <c r="I14" s="219"/>
      <c r="J14" s="219"/>
      <c r="K14" s="202">
        <v>30</v>
      </c>
      <c r="L14" s="204">
        <f>+K14*AT14</f>
        <v>61650</v>
      </c>
      <c r="M14" s="205"/>
      <c r="N14" s="206">
        <f t="shared" ref="N14:N22" si="2">+M14*AT14</f>
        <v>0</v>
      </c>
      <c r="O14" s="207"/>
      <c r="P14" s="204"/>
      <c r="Q14" s="205"/>
      <c r="R14" s="204"/>
      <c r="S14" s="207"/>
      <c r="T14" s="204"/>
      <c r="U14" s="205"/>
      <c r="V14" s="204"/>
      <c r="W14" s="207"/>
      <c r="X14" s="204"/>
      <c r="Y14" s="207"/>
      <c r="Z14" s="204"/>
      <c r="AA14" s="207"/>
      <c r="AB14" s="204"/>
      <c r="AC14" s="207"/>
      <c r="AD14" s="204"/>
      <c r="AE14" s="207"/>
      <c r="AF14" s="204"/>
      <c r="AG14" s="207"/>
      <c r="AH14" s="204"/>
      <c r="AI14" s="207"/>
      <c r="AJ14" s="204"/>
      <c r="AK14" s="207"/>
      <c r="AL14" s="204"/>
      <c r="AM14" s="207"/>
      <c r="AN14" s="204"/>
      <c r="AO14" s="207"/>
      <c r="AP14" s="204"/>
      <c r="AQ14" s="207"/>
      <c r="AR14" s="204"/>
      <c r="AS14" s="197">
        <f t="shared" si="0"/>
        <v>30</v>
      </c>
      <c r="AT14" s="220">
        <v>2055</v>
      </c>
      <c r="AU14" s="199">
        <f t="shared" si="1"/>
        <v>61650</v>
      </c>
    </row>
    <row r="15" spans="1:48" s="22" customFormat="1" ht="18.75" customHeight="1" x14ac:dyDescent="0.25">
      <c r="A15" s="187">
        <v>6</v>
      </c>
      <c r="B15" s="218"/>
      <c r="C15" s="189" t="s">
        <v>93</v>
      </c>
      <c r="D15" s="190" t="s">
        <v>108</v>
      </c>
      <c r="E15" s="215" t="s">
        <v>65</v>
      </c>
      <c r="F15" s="202" t="s">
        <v>66</v>
      </c>
      <c r="G15" s="219"/>
      <c r="H15" s="219"/>
      <c r="I15" s="219"/>
      <c r="J15" s="219"/>
      <c r="K15" s="216">
        <v>20</v>
      </c>
      <c r="L15" s="204">
        <f>+K15*AT15</f>
        <v>54340</v>
      </c>
      <c r="M15" s="205"/>
      <c r="N15" s="206">
        <f t="shared" si="2"/>
        <v>0</v>
      </c>
      <c r="O15" s="207"/>
      <c r="P15" s="204"/>
      <c r="Q15" s="205"/>
      <c r="R15" s="204"/>
      <c r="S15" s="207"/>
      <c r="T15" s="204"/>
      <c r="U15" s="205"/>
      <c r="V15" s="204"/>
      <c r="W15" s="207"/>
      <c r="X15" s="204"/>
      <c r="Y15" s="207"/>
      <c r="Z15" s="204"/>
      <c r="AA15" s="207"/>
      <c r="AB15" s="204"/>
      <c r="AC15" s="207"/>
      <c r="AD15" s="204"/>
      <c r="AE15" s="207"/>
      <c r="AF15" s="204"/>
      <c r="AG15" s="207"/>
      <c r="AH15" s="204"/>
      <c r="AI15" s="207"/>
      <c r="AJ15" s="204"/>
      <c r="AK15" s="207"/>
      <c r="AL15" s="204"/>
      <c r="AM15" s="207"/>
      <c r="AN15" s="204"/>
      <c r="AO15" s="207"/>
      <c r="AP15" s="204"/>
      <c r="AQ15" s="207"/>
      <c r="AR15" s="204"/>
      <c r="AS15" s="197">
        <f t="shared" si="0"/>
        <v>20</v>
      </c>
      <c r="AT15" s="221">
        <v>2717</v>
      </c>
      <c r="AU15" s="199">
        <f t="shared" si="1"/>
        <v>54340</v>
      </c>
    </row>
    <row r="16" spans="1:48" s="22" customFormat="1" ht="18.75" customHeight="1" x14ac:dyDescent="0.25">
      <c r="A16" s="187">
        <v>7</v>
      </c>
      <c r="B16" s="218"/>
      <c r="C16" s="189" t="s">
        <v>93</v>
      </c>
      <c r="D16" s="190" t="s">
        <v>108</v>
      </c>
      <c r="E16" s="201" t="s">
        <v>64</v>
      </c>
      <c r="F16" s="202" t="s">
        <v>66</v>
      </c>
      <c r="G16" s="219"/>
      <c r="H16" s="219"/>
      <c r="I16" s="219"/>
      <c r="J16" s="219"/>
      <c r="K16" s="202">
        <v>20</v>
      </c>
      <c r="L16" s="204">
        <f>+K16*AT16</f>
        <v>102920</v>
      </c>
      <c r="M16" s="205"/>
      <c r="N16" s="206">
        <f t="shared" si="2"/>
        <v>0</v>
      </c>
      <c r="O16" s="207"/>
      <c r="P16" s="204"/>
      <c r="Q16" s="205"/>
      <c r="R16" s="204"/>
      <c r="S16" s="207"/>
      <c r="T16" s="204"/>
      <c r="U16" s="205"/>
      <c r="V16" s="204"/>
      <c r="W16" s="207"/>
      <c r="X16" s="204"/>
      <c r="Y16" s="207"/>
      <c r="Z16" s="204"/>
      <c r="AA16" s="207"/>
      <c r="AB16" s="204"/>
      <c r="AC16" s="207"/>
      <c r="AD16" s="204"/>
      <c r="AE16" s="207"/>
      <c r="AF16" s="204"/>
      <c r="AG16" s="207"/>
      <c r="AH16" s="204"/>
      <c r="AI16" s="207"/>
      <c r="AJ16" s="204"/>
      <c r="AK16" s="207"/>
      <c r="AL16" s="204"/>
      <c r="AM16" s="207"/>
      <c r="AN16" s="204"/>
      <c r="AO16" s="207"/>
      <c r="AP16" s="204"/>
      <c r="AQ16" s="207"/>
      <c r="AR16" s="204"/>
      <c r="AS16" s="197">
        <f t="shared" si="0"/>
        <v>20</v>
      </c>
      <c r="AT16" s="220">
        <v>5146</v>
      </c>
      <c r="AU16" s="199">
        <f t="shared" si="1"/>
        <v>102920</v>
      </c>
    </row>
    <row r="17" spans="1:51" s="22" customFormat="1" ht="38.25" customHeight="1" x14ac:dyDescent="0.25">
      <c r="A17" s="187">
        <v>8</v>
      </c>
      <c r="B17" s="188"/>
      <c r="C17" s="189" t="s">
        <v>93</v>
      </c>
      <c r="D17" s="190" t="s">
        <v>108</v>
      </c>
      <c r="E17" s="222" t="s">
        <v>146</v>
      </c>
      <c r="F17" s="210" t="s">
        <v>12</v>
      </c>
      <c r="G17" s="211"/>
      <c r="H17" s="211"/>
      <c r="I17" s="211"/>
      <c r="J17" s="211"/>
      <c r="K17" s="223"/>
      <c r="L17" s="204"/>
      <c r="M17" s="224">
        <v>100</v>
      </c>
      <c r="N17" s="206">
        <f t="shared" si="2"/>
        <v>87600</v>
      </c>
      <c r="O17" s="207"/>
      <c r="P17" s="204"/>
      <c r="Q17" s="205"/>
      <c r="R17" s="204"/>
      <c r="S17" s="207"/>
      <c r="T17" s="204"/>
      <c r="U17" s="205"/>
      <c r="V17" s="204"/>
      <c r="W17" s="207"/>
      <c r="X17" s="204"/>
      <c r="Y17" s="207"/>
      <c r="Z17" s="204"/>
      <c r="AA17" s="207"/>
      <c r="AB17" s="204"/>
      <c r="AC17" s="207"/>
      <c r="AD17" s="204"/>
      <c r="AE17" s="207"/>
      <c r="AF17" s="204"/>
      <c r="AG17" s="207"/>
      <c r="AH17" s="204"/>
      <c r="AI17" s="207"/>
      <c r="AJ17" s="204"/>
      <c r="AK17" s="207"/>
      <c r="AL17" s="204"/>
      <c r="AM17" s="207"/>
      <c r="AN17" s="204"/>
      <c r="AO17" s="207"/>
      <c r="AP17" s="204"/>
      <c r="AQ17" s="207"/>
      <c r="AR17" s="204"/>
      <c r="AS17" s="197">
        <f t="shared" si="0"/>
        <v>100</v>
      </c>
      <c r="AT17" s="225">
        <v>876</v>
      </c>
      <c r="AU17" s="199">
        <f t="shared" si="1"/>
        <v>87600</v>
      </c>
    </row>
    <row r="18" spans="1:51" s="22" customFormat="1" ht="39.75" customHeight="1" x14ac:dyDescent="0.25">
      <c r="A18" s="187">
        <v>9</v>
      </c>
      <c r="B18" s="188"/>
      <c r="C18" s="189" t="s">
        <v>93</v>
      </c>
      <c r="D18" s="190" t="s">
        <v>108</v>
      </c>
      <c r="E18" s="209" t="s">
        <v>148</v>
      </c>
      <c r="F18" s="210" t="s">
        <v>12</v>
      </c>
      <c r="G18" s="211"/>
      <c r="H18" s="211"/>
      <c r="I18" s="211"/>
      <c r="J18" s="211"/>
      <c r="K18" s="226"/>
      <c r="L18" s="204"/>
      <c r="M18" s="224">
        <v>100</v>
      </c>
      <c r="N18" s="206">
        <f t="shared" si="2"/>
        <v>88800</v>
      </c>
      <c r="O18" s="207"/>
      <c r="P18" s="204"/>
      <c r="Q18" s="205"/>
      <c r="R18" s="204"/>
      <c r="S18" s="207"/>
      <c r="T18" s="204"/>
      <c r="U18" s="205"/>
      <c r="V18" s="204"/>
      <c r="W18" s="207"/>
      <c r="X18" s="204"/>
      <c r="Y18" s="207"/>
      <c r="Z18" s="204"/>
      <c r="AA18" s="207"/>
      <c r="AB18" s="204"/>
      <c r="AC18" s="207"/>
      <c r="AD18" s="204"/>
      <c r="AE18" s="207"/>
      <c r="AF18" s="204"/>
      <c r="AG18" s="207"/>
      <c r="AH18" s="204"/>
      <c r="AI18" s="207"/>
      <c r="AJ18" s="204"/>
      <c r="AK18" s="207"/>
      <c r="AL18" s="204"/>
      <c r="AM18" s="207"/>
      <c r="AN18" s="204"/>
      <c r="AO18" s="207"/>
      <c r="AP18" s="204"/>
      <c r="AQ18" s="207"/>
      <c r="AR18" s="204"/>
      <c r="AS18" s="197">
        <f t="shared" si="0"/>
        <v>100</v>
      </c>
      <c r="AT18" s="214">
        <v>888</v>
      </c>
      <c r="AU18" s="199">
        <f t="shared" si="1"/>
        <v>88800</v>
      </c>
    </row>
    <row r="19" spans="1:51" s="22" customFormat="1" ht="33" customHeight="1" x14ac:dyDescent="0.25">
      <c r="A19" s="187">
        <v>10</v>
      </c>
      <c r="B19" s="188"/>
      <c r="C19" s="189" t="s">
        <v>93</v>
      </c>
      <c r="D19" s="190" t="s">
        <v>108</v>
      </c>
      <c r="E19" s="227" t="s">
        <v>147</v>
      </c>
      <c r="F19" s="210" t="s">
        <v>12</v>
      </c>
      <c r="G19" s="211"/>
      <c r="H19" s="211"/>
      <c r="I19" s="211"/>
      <c r="J19" s="211"/>
      <c r="K19" s="212"/>
      <c r="L19" s="204"/>
      <c r="M19" s="224">
        <v>100</v>
      </c>
      <c r="N19" s="206">
        <f t="shared" si="2"/>
        <v>87600</v>
      </c>
      <c r="O19" s="207"/>
      <c r="P19" s="204"/>
      <c r="Q19" s="205"/>
      <c r="R19" s="204"/>
      <c r="S19" s="207"/>
      <c r="T19" s="204"/>
      <c r="U19" s="205"/>
      <c r="V19" s="204"/>
      <c r="W19" s="207"/>
      <c r="X19" s="204"/>
      <c r="Y19" s="207"/>
      <c r="Z19" s="204"/>
      <c r="AA19" s="207"/>
      <c r="AB19" s="204"/>
      <c r="AC19" s="207"/>
      <c r="AD19" s="204"/>
      <c r="AE19" s="207"/>
      <c r="AF19" s="204"/>
      <c r="AG19" s="207"/>
      <c r="AH19" s="204"/>
      <c r="AI19" s="207"/>
      <c r="AJ19" s="204"/>
      <c r="AK19" s="207"/>
      <c r="AL19" s="204"/>
      <c r="AM19" s="207"/>
      <c r="AN19" s="204"/>
      <c r="AO19" s="207"/>
      <c r="AP19" s="204"/>
      <c r="AQ19" s="207"/>
      <c r="AR19" s="204"/>
      <c r="AS19" s="197">
        <f t="shared" si="0"/>
        <v>100</v>
      </c>
      <c r="AT19" s="228">
        <v>876</v>
      </c>
      <c r="AU19" s="199">
        <f t="shared" si="1"/>
        <v>87600</v>
      </c>
    </row>
    <row r="20" spans="1:51" s="22" customFormat="1" ht="18.75" customHeight="1" x14ac:dyDescent="0.25">
      <c r="A20" s="187">
        <v>11</v>
      </c>
      <c r="B20" s="203"/>
      <c r="C20" s="189" t="s">
        <v>93</v>
      </c>
      <c r="D20" s="190" t="s">
        <v>108</v>
      </c>
      <c r="E20" s="201" t="s">
        <v>188</v>
      </c>
      <c r="F20" s="46" t="s">
        <v>66</v>
      </c>
      <c r="G20" s="203"/>
      <c r="H20" s="203"/>
      <c r="I20" s="203"/>
      <c r="J20" s="203"/>
      <c r="K20" s="46">
        <v>20</v>
      </c>
      <c r="L20" s="204">
        <f>+K20*AT20</f>
        <v>55600</v>
      </c>
      <c r="M20" s="205"/>
      <c r="N20" s="206">
        <f t="shared" si="2"/>
        <v>0</v>
      </c>
      <c r="O20" s="207"/>
      <c r="P20" s="204"/>
      <c r="Q20" s="205"/>
      <c r="R20" s="204"/>
      <c r="S20" s="207"/>
      <c r="T20" s="204"/>
      <c r="U20" s="205"/>
      <c r="V20" s="204"/>
      <c r="W20" s="207"/>
      <c r="X20" s="204"/>
      <c r="Y20" s="207"/>
      <c r="Z20" s="204"/>
      <c r="AA20" s="207"/>
      <c r="AB20" s="204"/>
      <c r="AC20" s="207"/>
      <c r="AD20" s="204"/>
      <c r="AE20" s="207"/>
      <c r="AF20" s="204"/>
      <c r="AG20" s="207"/>
      <c r="AH20" s="204"/>
      <c r="AI20" s="207"/>
      <c r="AJ20" s="204"/>
      <c r="AK20" s="207"/>
      <c r="AL20" s="204"/>
      <c r="AM20" s="207"/>
      <c r="AN20" s="204"/>
      <c r="AO20" s="207"/>
      <c r="AP20" s="204"/>
      <c r="AQ20" s="207"/>
      <c r="AR20" s="204"/>
      <c r="AS20" s="197">
        <f t="shared" si="0"/>
        <v>20</v>
      </c>
      <c r="AT20" s="220">
        <v>2780</v>
      </c>
      <c r="AU20" s="199">
        <f t="shared" si="1"/>
        <v>55600</v>
      </c>
    </row>
    <row r="21" spans="1:51" s="23" customFormat="1" ht="44.25" customHeight="1" x14ac:dyDescent="0.25">
      <c r="A21" s="187">
        <v>12</v>
      </c>
      <c r="B21" s="188"/>
      <c r="C21" s="189" t="s">
        <v>93</v>
      </c>
      <c r="D21" s="190" t="s">
        <v>108</v>
      </c>
      <c r="E21" s="227" t="s">
        <v>149</v>
      </c>
      <c r="F21" s="257" t="s">
        <v>12</v>
      </c>
      <c r="G21" s="276"/>
      <c r="H21" s="276"/>
      <c r="I21" s="276"/>
      <c r="J21" s="276"/>
      <c r="K21" s="212"/>
      <c r="L21" s="204"/>
      <c r="M21" s="224">
        <v>100</v>
      </c>
      <c r="N21" s="206">
        <f t="shared" si="2"/>
        <v>165700</v>
      </c>
      <c r="O21" s="207"/>
      <c r="P21" s="204"/>
      <c r="Q21" s="205"/>
      <c r="R21" s="204"/>
      <c r="S21" s="207"/>
      <c r="T21" s="204"/>
      <c r="U21" s="205"/>
      <c r="V21" s="204"/>
      <c r="W21" s="207"/>
      <c r="X21" s="204"/>
      <c r="Y21" s="207"/>
      <c r="Z21" s="204"/>
      <c r="AA21" s="207"/>
      <c r="AB21" s="204"/>
      <c r="AC21" s="207"/>
      <c r="AD21" s="204"/>
      <c r="AE21" s="207"/>
      <c r="AF21" s="204"/>
      <c r="AG21" s="207"/>
      <c r="AH21" s="204"/>
      <c r="AI21" s="207"/>
      <c r="AJ21" s="204"/>
      <c r="AK21" s="207"/>
      <c r="AL21" s="204"/>
      <c r="AM21" s="207"/>
      <c r="AN21" s="204"/>
      <c r="AO21" s="207"/>
      <c r="AP21" s="204"/>
      <c r="AQ21" s="207"/>
      <c r="AR21" s="204"/>
      <c r="AS21" s="197">
        <f t="shared" si="0"/>
        <v>100</v>
      </c>
      <c r="AT21" s="228">
        <v>1657</v>
      </c>
      <c r="AU21" s="199">
        <f t="shared" si="1"/>
        <v>165700</v>
      </c>
      <c r="AY21" s="22"/>
    </row>
    <row r="22" spans="1:51" s="22" customFormat="1" ht="27" customHeight="1" x14ac:dyDescent="0.25">
      <c r="A22" s="187">
        <v>13</v>
      </c>
      <c r="B22" s="191"/>
      <c r="C22" s="189" t="s">
        <v>93</v>
      </c>
      <c r="D22" s="190" t="s">
        <v>108</v>
      </c>
      <c r="E22" s="201" t="s">
        <v>169</v>
      </c>
      <c r="F22" s="202" t="s">
        <v>66</v>
      </c>
      <c r="G22" s="219"/>
      <c r="H22" s="219"/>
      <c r="I22" s="219"/>
      <c r="J22" s="219"/>
      <c r="K22" s="202">
        <v>30</v>
      </c>
      <c r="L22" s="204">
        <f>+K22*AT22</f>
        <v>39630</v>
      </c>
      <c r="M22" s="205">
        <v>12</v>
      </c>
      <c r="N22" s="206">
        <f t="shared" si="2"/>
        <v>15852</v>
      </c>
      <c r="O22" s="207"/>
      <c r="P22" s="204"/>
      <c r="Q22" s="205"/>
      <c r="R22" s="204"/>
      <c r="S22" s="207"/>
      <c r="T22" s="204"/>
      <c r="U22" s="205"/>
      <c r="V22" s="204"/>
      <c r="W22" s="207"/>
      <c r="X22" s="204"/>
      <c r="Y22" s="207"/>
      <c r="Z22" s="204"/>
      <c r="AA22" s="207"/>
      <c r="AB22" s="204"/>
      <c r="AC22" s="207"/>
      <c r="AD22" s="204"/>
      <c r="AE22" s="207"/>
      <c r="AF22" s="204"/>
      <c r="AG22" s="207"/>
      <c r="AH22" s="204"/>
      <c r="AI22" s="207"/>
      <c r="AJ22" s="204"/>
      <c r="AK22" s="207"/>
      <c r="AL22" s="204"/>
      <c r="AM22" s="207"/>
      <c r="AN22" s="204"/>
      <c r="AO22" s="207"/>
      <c r="AP22" s="204"/>
      <c r="AQ22" s="207"/>
      <c r="AR22" s="204"/>
      <c r="AS22" s="197">
        <f t="shared" si="0"/>
        <v>42</v>
      </c>
      <c r="AT22" s="221">
        <v>1321</v>
      </c>
      <c r="AU22" s="199">
        <f t="shared" si="1"/>
        <v>55482</v>
      </c>
    </row>
    <row r="23" spans="1:51" s="22" customFormat="1" ht="18.75" customHeight="1" x14ac:dyDescent="0.25">
      <c r="A23" s="187">
        <v>14</v>
      </c>
      <c r="B23" s="203"/>
      <c r="C23" s="189" t="s">
        <v>93</v>
      </c>
      <c r="D23" s="190" t="s">
        <v>108</v>
      </c>
      <c r="E23" s="201" t="s">
        <v>191</v>
      </c>
      <c r="F23" s="46" t="s">
        <v>66</v>
      </c>
      <c r="G23" s="211"/>
      <c r="H23" s="211"/>
      <c r="I23" s="211"/>
      <c r="J23" s="211"/>
      <c r="K23" s="46">
        <v>20</v>
      </c>
      <c r="L23" s="204">
        <f>+K23*AT23</f>
        <v>137020</v>
      </c>
      <c r="M23" s="205"/>
      <c r="N23" s="206"/>
      <c r="O23" s="207"/>
      <c r="P23" s="204"/>
      <c r="Q23" s="205"/>
      <c r="R23" s="204"/>
      <c r="S23" s="207"/>
      <c r="T23" s="204"/>
      <c r="U23" s="205"/>
      <c r="V23" s="204"/>
      <c r="W23" s="207"/>
      <c r="X23" s="204"/>
      <c r="Y23" s="207"/>
      <c r="Z23" s="204"/>
      <c r="AA23" s="207"/>
      <c r="AB23" s="204"/>
      <c r="AC23" s="207"/>
      <c r="AD23" s="204"/>
      <c r="AE23" s="207"/>
      <c r="AF23" s="204"/>
      <c r="AG23" s="207"/>
      <c r="AH23" s="204"/>
      <c r="AI23" s="207"/>
      <c r="AJ23" s="204"/>
      <c r="AK23" s="207"/>
      <c r="AL23" s="204"/>
      <c r="AM23" s="207"/>
      <c r="AN23" s="204"/>
      <c r="AO23" s="207"/>
      <c r="AP23" s="204"/>
      <c r="AQ23" s="207"/>
      <c r="AR23" s="204"/>
      <c r="AS23" s="197">
        <f t="shared" si="0"/>
        <v>20</v>
      </c>
      <c r="AT23" s="220">
        <v>6851</v>
      </c>
      <c r="AU23" s="199">
        <f t="shared" si="1"/>
        <v>137020</v>
      </c>
    </row>
    <row r="24" spans="1:51" s="22" customFormat="1" ht="18.75" customHeight="1" x14ac:dyDescent="0.25">
      <c r="A24" s="187">
        <v>15</v>
      </c>
      <c r="B24" s="229"/>
      <c r="C24" s="189" t="s">
        <v>93</v>
      </c>
      <c r="D24" s="190" t="s">
        <v>108</v>
      </c>
      <c r="E24" s="201" t="s">
        <v>167</v>
      </c>
      <c r="F24" s="202" t="s">
        <v>66</v>
      </c>
      <c r="G24" s="219"/>
      <c r="H24" s="219"/>
      <c r="I24" s="219"/>
      <c r="J24" s="219"/>
      <c r="K24" s="202">
        <v>20</v>
      </c>
      <c r="L24" s="204">
        <f>+K24*AT24</f>
        <v>175100</v>
      </c>
      <c r="M24" s="205"/>
      <c r="N24" s="206">
        <f>+M24*AT24</f>
        <v>0</v>
      </c>
      <c r="O24" s="207"/>
      <c r="P24" s="204"/>
      <c r="Q24" s="205"/>
      <c r="R24" s="204"/>
      <c r="S24" s="207"/>
      <c r="T24" s="204"/>
      <c r="U24" s="205"/>
      <c r="V24" s="204"/>
      <c r="W24" s="207"/>
      <c r="X24" s="204"/>
      <c r="Y24" s="207"/>
      <c r="Z24" s="204"/>
      <c r="AA24" s="207"/>
      <c r="AB24" s="204"/>
      <c r="AC24" s="207"/>
      <c r="AD24" s="204"/>
      <c r="AE24" s="207"/>
      <c r="AF24" s="204"/>
      <c r="AG24" s="207"/>
      <c r="AH24" s="204"/>
      <c r="AI24" s="207"/>
      <c r="AJ24" s="204"/>
      <c r="AK24" s="207"/>
      <c r="AL24" s="204"/>
      <c r="AM24" s="207"/>
      <c r="AN24" s="204"/>
      <c r="AO24" s="207"/>
      <c r="AP24" s="204"/>
      <c r="AQ24" s="207"/>
      <c r="AR24" s="204"/>
      <c r="AS24" s="197">
        <f t="shared" si="0"/>
        <v>20</v>
      </c>
      <c r="AT24" s="220">
        <v>8755</v>
      </c>
      <c r="AU24" s="199">
        <f t="shared" si="1"/>
        <v>175100</v>
      </c>
    </row>
    <row r="25" spans="1:51" s="22" customFormat="1" ht="18.75" customHeight="1" x14ac:dyDescent="0.25">
      <c r="A25" s="187">
        <v>16</v>
      </c>
      <c r="B25" s="188"/>
      <c r="C25" s="189" t="s">
        <v>93</v>
      </c>
      <c r="D25" s="190" t="s">
        <v>108</v>
      </c>
      <c r="E25" s="185" t="s">
        <v>155</v>
      </c>
      <c r="F25" s="135" t="s">
        <v>76</v>
      </c>
      <c r="G25" s="191"/>
      <c r="H25" s="191"/>
      <c r="I25" s="191"/>
      <c r="J25" s="191"/>
      <c r="K25" s="191"/>
      <c r="L25" s="193"/>
      <c r="M25" s="194"/>
      <c r="N25" s="193"/>
      <c r="O25" s="195"/>
      <c r="P25" s="193"/>
      <c r="Q25" s="194"/>
      <c r="R25" s="193"/>
      <c r="S25" s="195"/>
      <c r="T25" s="196"/>
      <c r="U25" s="194"/>
      <c r="V25" s="193"/>
      <c r="W25" s="195"/>
      <c r="X25" s="193"/>
      <c r="Y25" s="195"/>
      <c r="Z25" s="193"/>
      <c r="AA25" s="195"/>
      <c r="AB25" s="193"/>
      <c r="AC25" s="195"/>
      <c r="AD25" s="193"/>
      <c r="AE25" s="195"/>
      <c r="AF25" s="193"/>
      <c r="AG25" s="195"/>
      <c r="AH25" s="193"/>
      <c r="AI25" s="195"/>
      <c r="AJ25" s="193"/>
      <c r="AK25" s="136">
        <v>1</v>
      </c>
      <c r="AL25" s="193">
        <f t="shared" ref="AL25:AL40" si="3">+AK25*AT25</f>
        <v>15850</v>
      </c>
      <c r="AM25" s="195"/>
      <c r="AN25" s="193"/>
      <c r="AO25" s="195"/>
      <c r="AP25" s="193"/>
      <c r="AQ25" s="195"/>
      <c r="AR25" s="193"/>
      <c r="AS25" s="197">
        <f t="shared" si="0"/>
        <v>1</v>
      </c>
      <c r="AT25" s="230">
        <v>15850</v>
      </c>
      <c r="AU25" s="199">
        <f t="shared" si="1"/>
        <v>15850</v>
      </c>
    </row>
    <row r="26" spans="1:51" s="22" customFormat="1" ht="18.75" customHeight="1" x14ac:dyDescent="0.25">
      <c r="A26" s="187">
        <v>17</v>
      </c>
      <c r="B26" s="188"/>
      <c r="C26" s="189" t="s">
        <v>93</v>
      </c>
      <c r="D26" s="190" t="s">
        <v>108</v>
      </c>
      <c r="E26" s="185" t="s">
        <v>154</v>
      </c>
      <c r="F26" s="135" t="s">
        <v>76</v>
      </c>
      <c r="G26" s="191"/>
      <c r="H26" s="191"/>
      <c r="I26" s="191"/>
      <c r="J26" s="191"/>
      <c r="K26" s="191"/>
      <c r="L26" s="193"/>
      <c r="M26" s="194"/>
      <c r="N26" s="193"/>
      <c r="O26" s="195"/>
      <c r="P26" s="193"/>
      <c r="Q26" s="194"/>
      <c r="R26" s="193"/>
      <c r="S26" s="195"/>
      <c r="T26" s="196"/>
      <c r="U26" s="194"/>
      <c r="V26" s="193"/>
      <c r="W26" s="195"/>
      <c r="X26" s="193"/>
      <c r="Y26" s="195"/>
      <c r="Z26" s="193"/>
      <c r="AA26" s="195"/>
      <c r="AB26" s="193"/>
      <c r="AC26" s="195"/>
      <c r="AD26" s="193"/>
      <c r="AE26" s="195"/>
      <c r="AF26" s="193"/>
      <c r="AG26" s="195"/>
      <c r="AH26" s="193"/>
      <c r="AI26" s="195"/>
      <c r="AJ26" s="193"/>
      <c r="AK26" s="136">
        <v>2</v>
      </c>
      <c r="AL26" s="193">
        <f t="shared" si="3"/>
        <v>73500</v>
      </c>
      <c r="AM26" s="195"/>
      <c r="AN26" s="193"/>
      <c r="AO26" s="195"/>
      <c r="AP26" s="193"/>
      <c r="AQ26" s="195"/>
      <c r="AR26" s="193"/>
      <c r="AS26" s="197">
        <f t="shared" si="0"/>
        <v>2</v>
      </c>
      <c r="AT26" s="230">
        <v>36750</v>
      </c>
      <c r="AU26" s="199">
        <f t="shared" si="1"/>
        <v>73500</v>
      </c>
    </row>
    <row r="27" spans="1:51" s="22" customFormat="1" ht="18.75" customHeight="1" x14ac:dyDescent="0.25">
      <c r="A27" s="187">
        <v>18</v>
      </c>
      <c r="B27" s="188"/>
      <c r="C27" s="189" t="s">
        <v>93</v>
      </c>
      <c r="D27" s="190" t="s">
        <v>108</v>
      </c>
      <c r="E27" s="185" t="s">
        <v>157</v>
      </c>
      <c r="F27" s="135" t="s">
        <v>76</v>
      </c>
      <c r="G27" s="191"/>
      <c r="H27" s="191"/>
      <c r="I27" s="191"/>
      <c r="J27" s="191"/>
      <c r="K27" s="191"/>
      <c r="L27" s="193"/>
      <c r="M27" s="194"/>
      <c r="N27" s="193"/>
      <c r="O27" s="195"/>
      <c r="P27" s="193"/>
      <c r="Q27" s="194"/>
      <c r="R27" s="193"/>
      <c r="S27" s="195"/>
      <c r="T27" s="196"/>
      <c r="U27" s="194"/>
      <c r="V27" s="193"/>
      <c r="W27" s="195"/>
      <c r="X27" s="193"/>
      <c r="Y27" s="195"/>
      <c r="Z27" s="193"/>
      <c r="AA27" s="195"/>
      <c r="AB27" s="193"/>
      <c r="AC27" s="195"/>
      <c r="AD27" s="193"/>
      <c r="AE27" s="195"/>
      <c r="AF27" s="193"/>
      <c r="AG27" s="195"/>
      <c r="AH27" s="193"/>
      <c r="AI27" s="195"/>
      <c r="AJ27" s="193"/>
      <c r="AK27" s="136">
        <v>1</v>
      </c>
      <c r="AL27" s="193">
        <f t="shared" si="3"/>
        <v>15850</v>
      </c>
      <c r="AM27" s="195"/>
      <c r="AN27" s="193"/>
      <c r="AO27" s="195"/>
      <c r="AP27" s="193"/>
      <c r="AQ27" s="195"/>
      <c r="AR27" s="193"/>
      <c r="AS27" s="197">
        <f t="shared" si="0"/>
        <v>1</v>
      </c>
      <c r="AT27" s="230">
        <v>15850</v>
      </c>
      <c r="AU27" s="199">
        <f t="shared" si="1"/>
        <v>15850</v>
      </c>
    </row>
    <row r="28" spans="1:51" s="22" customFormat="1" ht="18.75" customHeight="1" x14ac:dyDescent="0.25">
      <c r="A28" s="187">
        <v>19</v>
      </c>
      <c r="B28" s="188"/>
      <c r="C28" s="189" t="s">
        <v>93</v>
      </c>
      <c r="D28" s="190" t="s">
        <v>108</v>
      </c>
      <c r="E28" s="185" t="s">
        <v>156</v>
      </c>
      <c r="F28" s="135" t="s">
        <v>76</v>
      </c>
      <c r="G28" s="191"/>
      <c r="H28" s="191"/>
      <c r="I28" s="191"/>
      <c r="J28" s="191"/>
      <c r="K28" s="191"/>
      <c r="L28" s="193"/>
      <c r="M28" s="194"/>
      <c r="N28" s="193"/>
      <c r="O28" s="195"/>
      <c r="P28" s="193"/>
      <c r="Q28" s="194"/>
      <c r="R28" s="193"/>
      <c r="S28" s="195"/>
      <c r="T28" s="196"/>
      <c r="U28" s="194"/>
      <c r="V28" s="193"/>
      <c r="W28" s="195"/>
      <c r="X28" s="193"/>
      <c r="Y28" s="195"/>
      <c r="Z28" s="193"/>
      <c r="AA28" s="195"/>
      <c r="AB28" s="193"/>
      <c r="AC28" s="195"/>
      <c r="AD28" s="193"/>
      <c r="AE28" s="195"/>
      <c r="AF28" s="193"/>
      <c r="AG28" s="195"/>
      <c r="AH28" s="193"/>
      <c r="AI28" s="195"/>
      <c r="AJ28" s="193"/>
      <c r="AK28" s="136">
        <v>2</v>
      </c>
      <c r="AL28" s="193">
        <f t="shared" si="3"/>
        <v>143000</v>
      </c>
      <c r="AM28" s="195"/>
      <c r="AN28" s="193"/>
      <c r="AO28" s="195"/>
      <c r="AP28" s="193"/>
      <c r="AQ28" s="195"/>
      <c r="AR28" s="193"/>
      <c r="AS28" s="197">
        <f t="shared" si="0"/>
        <v>2</v>
      </c>
      <c r="AT28" s="230">
        <v>71500</v>
      </c>
      <c r="AU28" s="199">
        <f t="shared" si="1"/>
        <v>143000</v>
      </c>
      <c r="AY28" s="23"/>
    </row>
    <row r="29" spans="1:51" s="22" customFormat="1" ht="18.75" customHeight="1" x14ac:dyDescent="0.25">
      <c r="A29" s="187">
        <v>20</v>
      </c>
      <c r="B29" s="188"/>
      <c r="C29" s="189" t="s">
        <v>93</v>
      </c>
      <c r="D29" s="190" t="s">
        <v>108</v>
      </c>
      <c r="E29" s="184" t="s">
        <v>162</v>
      </c>
      <c r="F29" s="135" t="s">
        <v>32</v>
      </c>
      <c r="G29" s="191"/>
      <c r="H29" s="191"/>
      <c r="I29" s="191"/>
      <c r="J29" s="191"/>
      <c r="K29" s="192"/>
      <c r="L29" s="193"/>
      <c r="M29" s="194"/>
      <c r="N29" s="193"/>
      <c r="O29" s="195"/>
      <c r="P29" s="193"/>
      <c r="Q29" s="194"/>
      <c r="R29" s="193"/>
      <c r="S29" s="195"/>
      <c r="T29" s="196"/>
      <c r="U29" s="194"/>
      <c r="V29" s="193"/>
      <c r="W29" s="195"/>
      <c r="X29" s="193"/>
      <c r="Y29" s="195"/>
      <c r="Z29" s="193"/>
      <c r="AA29" s="195"/>
      <c r="AB29" s="193"/>
      <c r="AC29" s="195"/>
      <c r="AD29" s="193"/>
      <c r="AE29" s="195"/>
      <c r="AF29" s="193"/>
      <c r="AG29" s="195"/>
      <c r="AH29" s="193"/>
      <c r="AI29" s="195"/>
      <c r="AJ29" s="193"/>
      <c r="AK29" s="136">
        <v>3</v>
      </c>
      <c r="AL29" s="193">
        <f t="shared" si="3"/>
        <v>37650</v>
      </c>
      <c r="AM29" s="195"/>
      <c r="AN29" s="193"/>
      <c r="AO29" s="195"/>
      <c r="AP29" s="193"/>
      <c r="AQ29" s="195"/>
      <c r="AR29" s="193"/>
      <c r="AS29" s="197">
        <f t="shared" si="0"/>
        <v>3</v>
      </c>
      <c r="AT29" s="198">
        <v>12550</v>
      </c>
      <c r="AU29" s="199">
        <f t="shared" si="1"/>
        <v>37650</v>
      </c>
    </row>
    <row r="30" spans="1:51" s="22" customFormat="1" ht="18.75" customHeight="1" x14ac:dyDescent="0.25">
      <c r="A30" s="187">
        <v>21</v>
      </c>
      <c r="B30" s="188"/>
      <c r="C30" s="189" t="s">
        <v>93</v>
      </c>
      <c r="D30" s="190" t="s">
        <v>108</v>
      </c>
      <c r="E30" s="185" t="s">
        <v>163</v>
      </c>
      <c r="F30" s="135" t="s">
        <v>14</v>
      </c>
      <c r="G30" s="191"/>
      <c r="H30" s="191"/>
      <c r="I30" s="191"/>
      <c r="J30" s="191"/>
      <c r="K30" s="191"/>
      <c r="L30" s="193"/>
      <c r="M30" s="194"/>
      <c r="N30" s="193"/>
      <c r="O30" s="195"/>
      <c r="P30" s="193"/>
      <c r="Q30" s="194"/>
      <c r="R30" s="193"/>
      <c r="S30" s="195"/>
      <c r="T30" s="196"/>
      <c r="U30" s="194"/>
      <c r="V30" s="193"/>
      <c r="W30" s="195"/>
      <c r="X30" s="193"/>
      <c r="Y30" s="195"/>
      <c r="Z30" s="193"/>
      <c r="AA30" s="195"/>
      <c r="AB30" s="193"/>
      <c r="AC30" s="195"/>
      <c r="AD30" s="193"/>
      <c r="AE30" s="195"/>
      <c r="AF30" s="193"/>
      <c r="AG30" s="195"/>
      <c r="AH30" s="193"/>
      <c r="AI30" s="195"/>
      <c r="AJ30" s="193"/>
      <c r="AK30" s="136">
        <v>3</v>
      </c>
      <c r="AL30" s="193">
        <f t="shared" si="3"/>
        <v>84000</v>
      </c>
      <c r="AM30" s="195"/>
      <c r="AN30" s="193"/>
      <c r="AO30" s="195"/>
      <c r="AP30" s="193"/>
      <c r="AQ30" s="195"/>
      <c r="AR30" s="193"/>
      <c r="AS30" s="197">
        <f t="shared" si="0"/>
        <v>3</v>
      </c>
      <c r="AT30" s="230">
        <v>28000</v>
      </c>
      <c r="AU30" s="199">
        <f t="shared" si="1"/>
        <v>84000</v>
      </c>
    </row>
    <row r="31" spans="1:51" s="22" customFormat="1" ht="18.75" customHeight="1" x14ac:dyDescent="0.25">
      <c r="A31" s="187">
        <v>22</v>
      </c>
      <c r="B31" s="188"/>
      <c r="C31" s="189" t="s">
        <v>93</v>
      </c>
      <c r="D31" s="190" t="s">
        <v>108</v>
      </c>
      <c r="E31" s="185" t="s">
        <v>161</v>
      </c>
      <c r="F31" s="135" t="s">
        <v>76</v>
      </c>
      <c r="G31" s="191"/>
      <c r="H31" s="191"/>
      <c r="I31" s="191"/>
      <c r="J31" s="191"/>
      <c r="K31" s="191"/>
      <c r="L31" s="193"/>
      <c r="M31" s="194"/>
      <c r="N31" s="193"/>
      <c r="O31" s="195"/>
      <c r="P31" s="193"/>
      <c r="Q31" s="194"/>
      <c r="R31" s="193"/>
      <c r="S31" s="195"/>
      <c r="T31" s="196"/>
      <c r="U31" s="194"/>
      <c r="V31" s="193"/>
      <c r="W31" s="195"/>
      <c r="X31" s="193"/>
      <c r="Y31" s="195"/>
      <c r="Z31" s="193"/>
      <c r="AA31" s="195"/>
      <c r="AB31" s="193"/>
      <c r="AC31" s="195"/>
      <c r="AD31" s="193"/>
      <c r="AE31" s="195"/>
      <c r="AF31" s="193"/>
      <c r="AG31" s="195"/>
      <c r="AH31" s="193"/>
      <c r="AI31" s="195"/>
      <c r="AJ31" s="193"/>
      <c r="AK31" s="136">
        <v>1</v>
      </c>
      <c r="AL31" s="193">
        <f t="shared" si="3"/>
        <v>15039</v>
      </c>
      <c r="AM31" s="195"/>
      <c r="AN31" s="193"/>
      <c r="AO31" s="195"/>
      <c r="AP31" s="193"/>
      <c r="AQ31" s="195"/>
      <c r="AR31" s="193"/>
      <c r="AS31" s="197">
        <f t="shared" si="0"/>
        <v>1</v>
      </c>
      <c r="AT31" s="231">
        <v>15039</v>
      </c>
      <c r="AU31" s="199">
        <f t="shared" si="1"/>
        <v>15039</v>
      </c>
    </row>
    <row r="32" spans="1:51" s="22" customFormat="1" ht="18.75" customHeight="1" x14ac:dyDescent="0.25">
      <c r="A32" s="187">
        <v>23</v>
      </c>
      <c r="B32" s="188"/>
      <c r="C32" s="189" t="s">
        <v>93</v>
      </c>
      <c r="D32" s="190" t="s">
        <v>108</v>
      </c>
      <c r="E32" s="186" t="s">
        <v>160</v>
      </c>
      <c r="F32" s="135" t="s">
        <v>76</v>
      </c>
      <c r="G32" s="191"/>
      <c r="H32" s="191"/>
      <c r="I32" s="191"/>
      <c r="J32" s="191"/>
      <c r="K32" s="232"/>
      <c r="L32" s="193"/>
      <c r="M32" s="194"/>
      <c r="N32" s="193"/>
      <c r="O32" s="195"/>
      <c r="P32" s="193"/>
      <c r="Q32" s="194"/>
      <c r="R32" s="193"/>
      <c r="S32" s="195"/>
      <c r="T32" s="196"/>
      <c r="U32" s="194"/>
      <c r="V32" s="193"/>
      <c r="W32" s="195"/>
      <c r="X32" s="193"/>
      <c r="Y32" s="195"/>
      <c r="Z32" s="193"/>
      <c r="AA32" s="195"/>
      <c r="AB32" s="193"/>
      <c r="AC32" s="195"/>
      <c r="AD32" s="193"/>
      <c r="AE32" s="195"/>
      <c r="AF32" s="193"/>
      <c r="AG32" s="195"/>
      <c r="AH32" s="193"/>
      <c r="AI32" s="195"/>
      <c r="AJ32" s="193"/>
      <c r="AK32" s="136">
        <v>1</v>
      </c>
      <c r="AL32" s="193">
        <f t="shared" si="3"/>
        <v>27595</v>
      </c>
      <c r="AM32" s="195"/>
      <c r="AN32" s="193"/>
      <c r="AO32" s="195"/>
      <c r="AP32" s="193"/>
      <c r="AQ32" s="195"/>
      <c r="AR32" s="193"/>
      <c r="AS32" s="197">
        <f t="shared" si="0"/>
        <v>1</v>
      </c>
      <c r="AT32" s="231">
        <v>27595</v>
      </c>
      <c r="AU32" s="199">
        <f t="shared" si="1"/>
        <v>27595</v>
      </c>
    </row>
    <row r="33" spans="1:47" s="22" customFormat="1" ht="18.75" customHeight="1" x14ac:dyDescent="0.25">
      <c r="A33" s="187">
        <v>24</v>
      </c>
      <c r="B33" s="188"/>
      <c r="C33" s="189" t="s">
        <v>93</v>
      </c>
      <c r="D33" s="190" t="s">
        <v>108</v>
      </c>
      <c r="E33" s="186" t="s">
        <v>153</v>
      </c>
      <c r="F33" s="137" t="s">
        <v>76</v>
      </c>
      <c r="G33" s="191"/>
      <c r="H33" s="191"/>
      <c r="I33" s="191"/>
      <c r="J33" s="191"/>
      <c r="K33" s="232"/>
      <c r="L33" s="193"/>
      <c r="M33" s="194"/>
      <c r="N33" s="193"/>
      <c r="O33" s="195"/>
      <c r="P33" s="193"/>
      <c r="Q33" s="194"/>
      <c r="R33" s="193"/>
      <c r="S33" s="195"/>
      <c r="T33" s="196"/>
      <c r="U33" s="194"/>
      <c r="V33" s="193"/>
      <c r="W33" s="195"/>
      <c r="X33" s="193"/>
      <c r="Y33" s="195"/>
      <c r="Z33" s="193"/>
      <c r="AA33" s="195"/>
      <c r="AB33" s="193"/>
      <c r="AC33" s="195"/>
      <c r="AD33" s="193"/>
      <c r="AE33" s="195"/>
      <c r="AF33" s="193"/>
      <c r="AG33" s="195"/>
      <c r="AH33" s="193"/>
      <c r="AI33" s="195"/>
      <c r="AJ33" s="193"/>
      <c r="AK33" s="136">
        <v>1</v>
      </c>
      <c r="AL33" s="193">
        <f t="shared" si="3"/>
        <v>15850</v>
      </c>
      <c r="AM33" s="195"/>
      <c r="AN33" s="193"/>
      <c r="AO33" s="195"/>
      <c r="AP33" s="193"/>
      <c r="AQ33" s="195"/>
      <c r="AR33" s="193"/>
      <c r="AS33" s="197">
        <f t="shared" si="0"/>
        <v>1</v>
      </c>
      <c r="AT33" s="233">
        <v>15850</v>
      </c>
      <c r="AU33" s="199">
        <f t="shared" si="1"/>
        <v>15850</v>
      </c>
    </row>
    <row r="34" spans="1:47" s="22" customFormat="1" ht="18.75" customHeight="1" x14ac:dyDescent="0.25">
      <c r="A34" s="187">
        <v>25</v>
      </c>
      <c r="B34" s="188"/>
      <c r="C34" s="189" t="s">
        <v>93</v>
      </c>
      <c r="D34" s="190" t="s">
        <v>108</v>
      </c>
      <c r="E34" s="185" t="s">
        <v>152</v>
      </c>
      <c r="F34" s="135" t="s">
        <v>76</v>
      </c>
      <c r="G34" s="191"/>
      <c r="H34" s="191"/>
      <c r="I34" s="191"/>
      <c r="J34" s="191"/>
      <c r="K34" s="191"/>
      <c r="L34" s="193"/>
      <c r="M34" s="194"/>
      <c r="N34" s="193"/>
      <c r="O34" s="195"/>
      <c r="P34" s="193"/>
      <c r="Q34" s="194"/>
      <c r="R34" s="193"/>
      <c r="S34" s="195"/>
      <c r="T34" s="196"/>
      <c r="U34" s="194"/>
      <c r="V34" s="193"/>
      <c r="W34" s="195"/>
      <c r="X34" s="193"/>
      <c r="Y34" s="195"/>
      <c r="Z34" s="193"/>
      <c r="AA34" s="195"/>
      <c r="AB34" s="193"/>
      <c r="AC34" s="195"/>
      <c r="AD34" s="193"/>
      <c r="AE34" s="195"/>
      <c r="AF34" s="193"/>
      <c r="AG34" s="195"/>
      <c r="AH34" s="193"/>
      <c r="AI34" s="195"/>
      <c r="AJ34" s="193"/>
      <c r="AK34" s="136">
        <v>2</v>
      </c>
      <c r="AL34" s="193">
        <f t="shared" si="3"/>
        <v>48960</v>
      </c>
      <c r="AM34" s="195"/>
      <c r="AN34" s="193"/>
      <c r="AO34" s="195"/>
      <c r="AP34" s="193"/>
      <c r="AQ34" s="195"/>
      <c r="AR34" s="193"/>
      <c r="AS34" s="197">
        <f t="shared" si="0"/>
        <v>2</v>
      </c>
      <c r="AT34" s="230">
        <v>24480</v>
      </c>
      <c r="AU34" s="199">
        <f t="shared" si="1"/>
        <v>48960</v>
      </c>
    </row>
    <row r="35" spans="1:47" s="22" customFormat="1" ht="18.75" customHeight="1" x14ac:dyDescent="0.25">
      <c r="A35" s="187">
        <v>26</v>
      </c>
      <c r="B35" s="188"/>
      <c r="C35" s="189" t="s">
        <v>93</v>
      </c>
      <c r="D35" s="190" t="s">
        <v>108</v>
      </c>
      <c r="E35" s="184" t="s">
        <v>151</v>
      </c>
      <c r="F35" s="135" t="s">
        <v>76</v>
      </c>
      <c r="G35" s="191"/>
      <c r="H35" s="191"/>
      <c r="I35" s="191"/>
      <c r="J35" s="191"/>
      <c r="K35" s="192"/>
      <c r="L35" s="193"/>
      <c r="M35" s="194"/>
      <c r="N35" s="193"/>
      <c r="O35" s="195"/>
      <c r="P35" s="193"/>
      <c r="Q35" s="194"/>
      <c r="R35" s="193"/>
      <c r="S35" s="195"/>
      <c r="T35" s="196"/>
      <c r="U35" s="194"/>
      <c r="V35" s="193"/>
      <c r="W35" s="195"/>
      <c r="X35" s="193"/>
      <c r="Y35" s="195"/>
      <c r="Z35" s="193"/>
      <c r="AA35" s="195"/>
      <c r="AB35" s="193"/>
      <c r="AC35" s="195"/>
      <c r="AD35" s="193"/>
      <c r="AE35" s="195"/>
      <c r="AF35" s="193"/>
      <c r="AG35" s="195"/>
      <c r="AH35" s="193"/>
      <c r="AI35" s="195"/>
      <c r="AJ35" s="193"/>
      <c r="AK35" s="136">
        <v>1</v>
      </c>
      <c r="AL35" s="193">
        <f t="shared" si="3"/>
        <v>20240</v>
      </c>
      <c r="AM35" s="195"/>
      <c r="AN35" s="193"/>
      <c r="AO35" s="195"/>
      <c r="AP35" s="193"/>
      <c r="AQ35" s="195"/>
      <c r="AR35" s="193"/>
      <c r="AS35" s="197">
        <f t="shared" si="0"/>
        <v>1</v>
      </c>
      <c r="AT35" s="198">
        <v>20240</v>
      </c>
      <c r="AU35" s="199">
        <f t="shared" si="1"/>
        <v>20240</v>
      </c>
    </row>
    <row r="36" spans="1:47" s="22" customFormat="1" ht="18.75" customHeight="1" x14ac:dyDescent="0.25">
      <c r="A36" s="187">
        <v>27</v>
      </c>
      <c r="B36" s="188"/>
      <c r="C36" s="189" t="s">
        <v>93</v>
      </c>
      <c r="D36" s="190" t="s">
        <v>108</v>
      </c>
      <c r="E36" s="201" t="s">
        <v>150</v>
      </c>
      <c r="F36" s="135" t="s">
        <v>76</v>
      </c>
      <c r="G36" s="191"/>
      <c r="H36" s="191"/>
      <c r="I36" s="191"/>
      <c r="J36" s="191"/>
      <c r="K36" s="191"/>
      <c r="L36" s="193"/>
      <c r="M36" s="194"/>
      <c r="N36" s="193"/>
      <c r="O36" s="195"/>
      <c r="P36" s="193"/>
      <c r="Q36" s="194"/>
      <c r="R36" s="193"/>
      <c r="S36" s="195"/>
      <c r="T36" s="196"/>
      <c r="U36" s="194"/>
      <c r="V36" s="193"/>
      <c r="W36" s="195"/>
      <c r="X36" s="193"/>
      <c r="Y36" s="195"/>
      <c r="Z36" s="193"/>
      <c r="AA36" s="195"/>
      <c r="AB36" s="193"/>
      <c r="AC36" s="195"/>
      <c r="AD36" s="193"/>
      <c r="AE36" s="195"/>
      <c r="AF36" s="193"/>
      <c r="AG36" s="195"/>
      <c r="AH36" s="193"/>
      <c r="AI36" s="195"/>
      <c r="AJ36" s="193"/>
      <c r="AK36" s="136">
        <v>4</v>
      </c>
      <c r="AL36" s="193">
        <f t="shared" si="3"/>
        <v>168956</v>
      </c>
      <c r="AM36" s="195"/>
      <c r="AN36" s="193"/>
      <c r="AO36" s="195"/>
      <c r="AP36" s="193"/>
      <c r="AQ36" s="195"/>
      <c r="AR36" s="193"/>
      <c r="AS36" s="197">
        <f t="shared" si="0"/>
        <v>4</v>
      </c>
      <c r="AT36" s="230">
        <v>42239</v>
      </c>
      <c r="AU36" s="199">
        <f t="shared" si="1"/>
        <v>168956</v>
      </c>
    </row>
    <row r="37" spans="1:47" s="22" customFormat="1" ht="26.25" customHeight="1" x14ac:dyDescent="0.25">
      <c r="A37" s="187">
        <v>28</v>
      </c>
      <c r="B37" s="188"/>
      <c r="C37" s="189" t="s">
        <v>93</v>
      </c>
      <c r="D37" s="190" t="s">
        <v>108</v>
      </c>
      <c r="E37" s="184" t="s">
        <v>165</v>
      </c>
      <c r="F37" s="135" t="s">
        <v>32</v>
      </c>
      <c r="G37" s="191"/>
      <c r="H37" s="191"/>
      <c r="I37" s="191"/>
      <c r="J37" s="191"/>
      <c r="K37" s="192"/>
      <c r="L37" s="193"/>
      <c r="M37" s="194"/>
      <c r="N37" s="193"/>
      <c r="O37" s="195"/>
      <c r="P37" s="193"/>
      <c r="Q37" s="194"/>
      <c r="R37" s="193"/>
      <c r="S37" s="195"/>
      <c r="T37" s="196"/>
      <c r="U37" s="194"/>
      <c r="V37" s="193"/>
      <c r="W37" s="195"/>
      <c r="X37" s="193"/>
      <c r="Y37" s="195"/>
      <c r="Z37" s="193"/>
      <c r="AA37" s="195"/>
      <c r="AB37" s="193"/>
      <c r="AC37" s="195"/>
      <c r="AD37" s="193"/>
      <c r="AE37" s="195"/>
      <c r="AF37" s="193"/>
      <c r="AG37" s="195"/>
      <c r="AH37" s="193"/>
      <c r="AI37" s="195"/>
      <c r="AJ37" s="193"/>
      <c r="AK37" s="136">
        <v>2</v>
      </c>
      <c r="AL37" s="193">
        <f t="shared" si="3"/>
        <v>51000</v>
      </c>
      <c r="AM37" s="195"/>
      <c r="AN37" s="193"/>
      <c r="AO37" s="195"/>
      <c r="AP37" s="193"/>
      <c r="AQ37" s="195"/>
      <c r="AR37" s="193"/>
      <c r="AS37" s="197">
        <f t="shared" si="0"/>
        <v>2</v>
      </c>
      <c r="AT37" s="198">
        <v>25500</v>
      </c>
      <c r="AU37" s="199">
        <f t="shared" si="1"/>
        <v>51000</v>
      </c>
    </row>
    <row r="38" spans="1:47" s="22" customFormat="1" ht="26.25" customHeight="1" x14ac:dyDescent="0.25">
      <c r="A38" s="187">
        <v>29</v>
      </c>
      <c r="B38" s="188"/>
      <c r="C38" s="189" t="s">
        <v>93</v>
      </c>
      <c r="D38" s="190" t="s">
        <v>108</v>
      </c>
      <c r="E38" s="185" t="s">
        <v>159</v>
      </c>
      <c r="F38" s="135" t="s">
        <v>76</v>
      </c>
      <c r="G38" s="191"/>
      <c r="H38" s="191"/>
      <c r="I38" s="191"/>
      <c r="J38" s="191"/>
      <c r="K38" s="191"/>
      <c r="L38" s="193"/>
      <c r="M38" s="194"/>
      <c r="N38" s="193"/>
      <c r="O38" s="195"/>
      <c r="P38" s="193"/>
      <c r="Q38" s="194"/>
      <c r="R38" s="193"/>
      <c r="S38" s="195"/>
      <c r="T38" s="196"/>
      <c r="U38" s="194"/>
      <c r="V38" s="193"/>
      <c r="W38" s="195"/>
      <c r="X38" s="193"/>
      <c r="Y38" s="195"/>
      <c r="Z38" s="193"/>
      <c r="AA38" s="195"/>
      <c r="AB38" s="193"/>
      <c r="AC38" s="195"/>
      <c r="AD38" s="193"/>
      <c r="AE38" s="195"/>
      <c r="AF38" s="193"/>
      <c r="AG38" s="195"/>
      <c r="AH38" s="193"/>
      <c r="AI38" s="195"/>
      <c r="AJ38" s="193"/>
      <c r="AK38" s="136">
        <v>1</v>
      </c>
      <c r="AL38" s="193">
        <f t="shared" si="3"/>
        <v>16418</v>
      </c>
      <c r="AM38" s="195"/>
      <c r="AN38" s="193"/>
      <c r="AO38" s="195"/>
      <c r="AP38" s="193"/>
      <c r="AQ38" s="195"/>
      <c r="AR38" s="193"/>
      <c r="AS38" s="197">
        <f t="shared" si="0"/>
        <v>1</v>
      </c>
      <c r="AT38" s="231">
        <v>16418</v>
      </c>
      <c r="AU38" s="199">
        <f t="shared" si="1"/>
        <v>16418</v>
      </c>
    </row>
    <row r="39" spans="1:47" s="22" customFormat="1" ht="26.25" customHeight="1" x14ac:dyDescent="0.25">
      <c r="A39" s="187">
        <v>30</v>
      </c>
      <c r="B39" s="188"/>
      <c r="C39" s="189" t="s">
        <v>93</v>
      </c>
      <c r="D39" s="190" t="s">
        <v>108</v>
      </c>
      <c r="E39" s="184" t="s">
        <v>158</v>
      </c>
      <c r="F39" s="135" t="s">
        <v>76</v>
      </c>
      <c r="G39" s="191"/>
      <c r="H39" s="191"/>
      <c r="I39" s="191"/>
      <c r="J39" s="191"/>
      <c r="K39" s="192"/>
      <c r="L39" s="193"/>
      <c r="M39" s="194"/>
      <c r="N39" s="193"/>
      <c r="O39" s="195"/>
      <c r="P39" s="193"/>
      <c r="Q39" s="194"/>
      <c r="R39" s="193"/>
      <c r="S39" s="195"/>
      <c r="T39" s="196"/>
      <c r="U39" s="194"/>
      <c r="V39" s="193"/>
      <c r="W39" s="195"/>
      <c r="X39" s="193"/>
      <c r="Y39" s="195"/>
      <c r="Z39" s="193"/>
      <c r="AA39" s="195"/>
      <c r="AB39" s="193"/>
      <c r="AC39" s="195"/>
      <c r="AD39" s="193"/>
      <c r="AE39" s="195"/>
      <c r="AF39" s="193"/>
      <c r="AG39" s="195"/>
      <c r="AH39" s="193"/>
      <c r="AI39" s="195"/>
      <c r="AJ39" s="193"/>
      <c r="AK39" s="136">
        <v>2</v>
      </c>
      <c r="AL39" s="193">
        <f t="shared" si="3"/>
        <v>64700</v>
      </c>
      <c r="AM39" s="195"/>
      <c r="AN39" s="193"/>
      <c r="AO39" s="195"/>
      <c r="AP39" s="193"/>
      <c r="AQ39" s="195"/>
      <c r="AR39" s="193"/>
      <c r="AS39" s="197">
        <f t="shared" si="0"/>
        <v>2</v>
      </c>
      <c r="AT39" s="198">
        <v>32350</v>
      </c>
      <c r="AU39" s="199">
        <f t="shared" si="1"/>
        <v>64700</v>
      </c>
    </row>
    <row r="40" spans="1:47" s="22" customFormat="1" ht="26.25" customHeight="1" x14ac:dyDescent="0.25">
      <c r="A40" s="187">
        <v>31</v>
      </c>
      <c r="B40" s="188"/>
      <c r="C40" s="189" t="s">
        <v>93</v>
      </c>
      <c r="D40" s="190" t="s">
        <v>108</v>
      </c>
      <c r="E40" s="185" t="s">
        <v>164</v>
      </c>
      <c r="F40" s="135" t="s">
        <v>32</v>
      </c>
      <c r="G40" s="191"/>
      <c r="H40" s="191"/>
      <c r="I40" s="191"/>
      <c r="J40" s="191"/>
      <c r="K40" s="191"/>
      <c r="L40" s="193"/>
      <c r="M40" s="194"/>
      <c r="N40" s="193"/>
      <c r="O40" s="195"/>
      <c r="P40" s="193"/>
      <c r="Q40" s="194"/>
      <c r="R40" s="193"/>
      <c r="S40" s="195"/>
      <c r="T40" s="196"/>
      <c r="U40" s="194"/>
      <c r="V40" s="193"/>
      <c r="W40" s="195"/>
      <c r="X40" s="193"/>
      <c r="Y40" s="195"/>
      <c r="Z40" s="193"/>
      <c r="AA40" s="195"/>
      <c r="AB40" s="193"/>
      <c r="AC40" s="195"/>
      <c r="AD40" s="193"/>
      <c r="AE40" s="195"/>
      <c r="AF40" s="193"/>
      <c r="AG40" s="195"/>
      <c r="AH40" s="193"/>
      <c r="AI40" s="195"/>
      <c r="AJ40" s="193"/>
      <c r="AK40" s="136">
        <v>2</v>
      </c>
      <c r="AL40" s="193">
        <f t="shared" si="3"/>
        <v>22000</v>
      </c>
      <c r="AM40" s="195"/>
      <c r="AN40" s="193"/>
      <c r="AO40" s="195"/>
      <c r="AP40" s="193"/>
      <c r="AQ40" s="195"/>
      <c r="AR40" s="193"/>
      <c r="AS40" s="197">
        <f t="shared" si="0"/>
        <v>2</v>
      </c>
      <c r="AT40" s="230">
        <v>11000</v>
      </c>
      <c r="AU40" s="199">
        <f t="shared" si="1"/>
        <v>22000</v>
      </c>
    </row>
    <row r="41" spans="1:47" s="22" customFormat="1" ht="18.75" customHeight="1" x14ac:dyDescent="0.25">
      <c r="A41" s="187">
        <v>32</v>
      </c>
      <c r="B41" s="218"/>
      <c r="C41" s="189" t="s">
        <v>93</v>
      </c>
      <c r="D41" s="190" t="s">
        <v>108</v>
      </c>
      <c r="E41" s="165" t="s">
        <v>63</v>
      </c>
      <c r="F41" s="202" t="s">
        <v>66</v>
      </c>
      <c r="G41" s="203"/>
      <c r="H41" s="203"/>
      <c r="I41" s="203"/>
      <c r="J41" s="203"/>
      <c r="K41" s="234">
        <v>30</v>
      </c>
      <c r="L41" s="204">
        <f t="shared" ref="L41:L49" si="4">+K41*AT41</f>
        <v>58950</v>
      </c>
      <c r="M41" s="205"/>
      <c r="N41" s="206">
        <f t="shared" ref="N41:N54" si="5">+M41*AT41</f>
        <v>0</v>
      </c>
      <c r="O41" s="207"/>
      <c r="P41" s="204"/>
      <c r="Q41" s="205"/>
      <c r="R41" s="204"/>
      <c r="S41" s="207"/>
      <c r="T41" s="204"/>
      <c r="U41" s="205"/>
      <c r="V41" s="204"/>
      <c r="W41" s="207"/>
      <c r="X41" s="204"/>
      <c r="Y41" s="207"/>
      <c r="Z41" s="204"/>
      <c r="AA41" s="207"/>
      <c r="AB41" s="204"/>
      <c r="AC41" s="207"/>
      <c r="AD41" s="204"/>
      <c r="AE41" s="207"/>
      <c r="AF41" s="204"/>
      <c r="AG41" s="207"/>
      <c r="AH41" s="204"/>
      <c r="AI41" s="207"/>
      <c r="AJ41" s="204"/>
      <c r="AK41" s="207"/>
      <c r="AL41" s="204"/>
      <c r="AM41" s="207"/>
      <c r="AN41" s="204"/>
      <c r="AO41" s="207"/>
      <c r="AP41" s="204"/>
      <c r="AQ41" s="207"/>
      <c r="AR41" s="204"/>
      <c r="AS41" s="197">
        <f t="shared" ref="AS41:AS75" si="6">+AQ41+AO41+AM41+AK41+AI41+AG41+AE41+AC41+AA41+Y41+W41+U41+S41+Q41+O41+M41+K41+I41</f>
        <v>30</v>
      </c>
      <c r="AT41" s="235">
        <v>1965</v>
      </c>
      <c r="AU41" s="199">
        <f t="shared" ref="AU41:AU75" si="7">+AS41*AT41</f>
        <v>58950</v>
      </c>
    </row>
    <row r="42" spans="1:47" s="22" customFormat="1" ht="26.25" customHeight="1" x14ac:dyDescent="0.25">
      <c r="A42" s="187">
        <v>33</v>
      </c>
      <c r="B42" s="137"/>
      <c r="C42" s="189" t="s">
        <v>93</v>
      </c>
      <c r="D42" s="190" t="s">
        <v>108</v>
      </c>
      <c r="E42" s="201" t="s">
        <v>62</v>
      </c>
      <c r="F42" s="202" t="s">
        <v>66</v>
      </c>
      <c r="G42" s="211"/>
      <c r="H42" s="211"/>
      <c r="I42" s="211"/>
      <c r="J42" s="211"/>
      <c r="K42" s="202">
        <v>5</v>
      </c>
      <c r="L42" s="204">
        <f t="shared" si="4"/>
        <v>19675</v>
      </c>
      <c r="M42" s="205"/>
      <c r="N42" s="206">
        <f t="shared" si="5"/>
        <v>0</v>
      </c>
      <c r="O42" s="207"/>
      <c r="P42" s="204"/>
      <c r="Q42" s="205"/>
      <c r="R42" s="204"/>
      <c r="S42" s="207"/>
      <c r="T42" s="204"/>
      <c r="U42" s="205"/>
      <c r="V42" s="204"/>
      <c r="W42" s="207"/>
      <c r="X42" s="204"/>
      <c r="Y42" s="207"/>
      <c r="Z42" s="204"/>
      <c r="AA42" s="207"/>
      <c r="AB42" s="204"/>
      <c r="AC42" s="207"/>
      <c r="AD42" s="204"/>
      <c r="AE42" s="207"/>
      <c r="AF42" s="204"/>
      <c r="AG42" s="207"/>
      <c r="AH42" s="204"/>
      <c r="AI42" s="207"/>
      <c r="AJ42" s="204"/>
      <c r="AK42" s="207"/>
      <c r="AL42" s="204"/>
      <c r="AM42" s="207"/>
      <c r="AN42" s="204"/>
      <c r="AO42" s="207"/>
      <c r="AP42" s="204"/>
      <c r="AQ42" s="207"/>
      <c r="AR42" s="204"/>
      <c r="AS42" s="197">
        <f t="shared" si="6"/>
        <v>5</v>
      </c>
      <c r="AT42" s="220">
        <v>3935</v>
      </c>
      <c r="AU42" s="199">
        <f t="shared" si="7"/>
        <v>19675</v>
      </c>
    </row>
    <row r="43" spans="1:47" s="22" customFormat="1" ht="18.75" customHeight="1" x14ac:dyDescent="0.25">
      <c r="A43" s="187">
        <v>34</v>
      </c>
      <c r="B43" s="218"/>
      <c r="C43" s="189" t="s">
        <v>93</v>
      </c>
      <c r="D43" s="190" t="s">
        <v>108</v>
      </c>
      <c r="E43" s="201" t="s">
        <v>75</v>
      </c>
      <c r="F43" s="46" t="s">
        <v>66</v>
      </c>
      <c r="G43" s="236"/>
      <c r="H43" s="236"/>
      <c r="I43" s="236"/>
      <c r="J43" s="236"/>
      <c r="K43" s="46">
        <v>8</v>
      </c>
      <c r="L43" s="204">
        <f t="shared" si="4"/>
        <v>92000</v>
      </c>
      <c r="M43" s="205"/>
      <c r="N43" s="206">
        <f t="shared" si="5"/>
        <v>0</v>
      </c>
      <c r="O43" s="207"/>
      <c r="P43" s="204"/>
      <c r="Q43" s="205"/>
      <c r="R43" s="204"/>
      <c r="S43" s="207"/>
      <c r="T43" s="204"/>
      <c r="U43" s="205"/>
      <c r="V43" s="204"/>
      <c r="W43" s="207"/>
      <c r="X43" s="204"/>
      <c r="Y43" s="207"/>
      <c r="Z43" s="204"/>
      <c r="AA43" s="207"/>
      <c r="AB43" s="204"/>
      <c r="AC43" s="207"/>
      <c r="AD43" s="204"/>
      <c r="AE43" s="207"/>
      <c r="AF43" s="204"/>
      <c r="AG43" s="207"/>
      <c r="AH43" s="204"/>
      <c r="AI43" s="207"/>
      <c r="AJ43" s="204"/>
      <c r="AK43" s="207"/>
      <c r="AL43" s="204"/>
      <c r="AM43" s="207"/>
      <c r="AN43" s="204"/>
      <c r="AO43" s="207"/>
      <c r="AP43" s="204"/>
      <c r="AQ43" s="207"/>
      <c r="AR43" s="204"/>
      <c r="AS43" s="197">
        <f t="shared" si="6"/>
        <v>8</v>
      </c>
      <c r="AT43" s="220">
        <v>11500</v>
      </c>
      <c r="AU43" s="199">
        <f t="shared" si="7"/>
        <v>92000</v>
      </c>
    </row>
    <row r="44" spans="1:47" s="22" customFormat="1" ht="18.75" customHeight="1" x14ac:dyDescent="0.25">
      <c r="A44" s="187">
        <v>35</v>
      </c>
      <c r="B44" s="218"/>
      <c r="C44" s="189" t="s">
        <v>93</v>
      </c>
      <c r="D44" s="190" t="s">
        <v>108</v>
      </c>
      <c r="E44" s="215" t="s">
        <v>61</v>
      </c>
      <c r="F44" s="202" t="s">
        <v>66</v>
      </c>
      <c r="G44" s="219"/>
      <c r="H44" s="219"/>
      <c r="I44" s="219"/>
      <c r="J44" s="219"/>
      <c r="K44" s="216">
        <v>10</v>
      </c>
      <c r="L44" s="204">
        <f t="shared" si="4"/>
        <v>48050</v>
      </c>
      <c r="M44" s="205"/>
      <c r="N44" s="206">
        <f t="shared" si="5"/>
        <v>0</v>
      </c>
      <c r="O44" s="207"/>
      <c r="P44" s="204"/>
      <c r="Q44" s="205"/>
      <c r="R44" s="204"/>
      <c r="S44" s="207"/>
      <c r="T44" s="204"/>
      <c r="U44" s="205"/>
      <c r="V44" s="204"/>
      <c r="W44" s="207"/>
      <c r="X44" s="204"/>
      <c r="Y44" s="207"/>
      <c r="Z44" s="204"/>
      <c r="AA44" s="207"/>
      <c r="AB44" s="204"/>
      <c r="AC44" s="207"/>
      <c r="AD44" s="204"/>
      <c r="AE44" s="207"/>
      <c r="AF44" s="204"/>
      <c r="AG44" s="207"/>
      <c r="AH44" s="204"/>
      <c r="AI44" s="207"/>
      <c r="AJ44" s="204"/>
      <c r="AK44" s="207"/>
      <c r="AL44" s="204"/>
      <c r="AM44" s="207"/>
      <c r="AN44" s="204"/>
      <c r="AO44" s="207"/>
      <c r="AP44" s="204"/>
      <c r="AQ44" s="207"/>
      <c r="AR44" s="204"/>
      <c r="AS44" s="197">
        <f t="shared" si="6"/>
        <v>10</v>
      </c>
      <c r="AT44" s="221">
        <v>4805</v>
      </c>
      <c r="AU44" s="199">
        <f t="shared" si="7"/>
        <v>48050</v>
      </c>
    </row>
    <row r="45" spans="1:47" s="22" customFormat="1" ht="26.25" customHeight="1" x14ac:dyDescent="0.25">
      <c r="A45" s="187">
        <v>36</v>
      </c>
      <c r="B45" s="137"/>
      <c r="C45" s="189" t="s">
        <v>93</v>
      </c>
      <c r="D45" s="190" t="s">
        <v>108</v>
      </c>
      <c r="E45" s="201" t="s">
        <v>170</v>
      </c>
      <c r="F45" s="202" t="s">
        <v>66</v>
      </c>
      <c r="G45" s="237"/>
      <c r="H45" s="203"/>
      <c r="I45" s="203"/>
      <c r="J45" s="203"/>
      <c r="K45" s="202">
        <v>10</v>
      </c>
      <c r="L45" s="204">
        <f t="shared" si="4"/>
        <v>41200</v>
      </c>
      <c r="M45" s="205"/>
      <c r="N45" s="206">
        <f t="shared" si="5"/>
        <v>0</v>
      </c>
      <c r="O45" s="207"/>
      <c r="P45" s="204"/>
      <c r="Q45" s="205"/>
      <c r="R45" s="204"/>
      <c r="S45" s="207"/>
      <c r="T45" s="204"/>
      <c r="U45" s="205"/>
      <c r="V45" s="204"/>
      <c r="W45" s="207"/>
      <c r="X45" s="204"/>
      <c r="Y45" s="207"/>
      <c r="Z45" s="204"/>
      <c r="AA45" s="207"/>
      <c r="AB45" s="204"/>
      <c r="AC45" s="207"/>
      <c r="AD45" s="204"/>
      <c r="AE45" s="207"/>
      <c r="AF45" s="204"/>
      <c r="AG45" s="207"/>
      <c r="AH45" s="204"/>
      <c r="AI45" s="207"/>
      <c r="AJ45" s="204"/>
      <c r="AK45" s="207"/>
      <c r="AL45" s="204"/>
      <c r="AM45" s="207"/>
      <c r="AN45" s="204"/>
      <c r="AO45" s="207"/>
      <c r="AP45" s="204"/>
      <c r="AQ45" s="207"/>
      <c r="AR45" s="204"/>
      <c r="AS45" s="197">
        <f t="shared" si="6"/>
        <v>10</v>
      </c>
      <c r="AT45" s="220">
        <v>4120</v>
      </c>
      <c r="AU45" s="199">
        <f t="shared" si="7"/>
        <v>41200</v>
      </c>
    </row>
    <row r="46" spans="1:47" s="22" customFormat="1" ht="18.75" customHeight="1" x14ac:dyDescent="0.25">
      <c r="A46" s="187">
        <v>37</v>
      </c>
      <c r="B46" s="137"/>
      <c r="C46" s="189" t="s">
        <v>93</v>
      </c>
      <c r="D46" s="190" t="s">
        <v>108</v>
      </c>
      <c r="E46" s="201" t="s">
        <v>171</v>
      </c>
      <c r="F46" s="202" t="s">
        <v>66</v>
      </c>
      <c r="G46" s="238"/>
      <c r="H46" s="219"/>
      <c r="I46" s="219"/>
      <c r="J46" s="219"/>
      <c r="K46" s="234">
        <v>10</v>
      </c>
      <c r="L46" s="204">
        <f t="shared" si="4"/>
        <v>41250</v>
      </c>
      <c r="M46" s="205"/>
      <c r="N46" s="206">
        <f t="shared" si="5"/>
        <v>0</v>
      </c>
      <c r="O46" s="207"/>
      <c r="P46" s="204"/>
      <c r="Q46" s="205"/>
      <c r="R46" s="204"/>
      <c r="S46" s="207"/>
      <c r="T46" s="204"/>
      <c r="U46" s="205"/>
      <c r="V46" s="204"/>
      <c r="W46" s="207"/>
      <c r="X46" s="204"/>
      <c r="Y46" s="207"/>
      <c r="Z46" s="204"/>
      <c r="AA46" s="207"/>
      <c r="AB46" s="204"/>
      <c r="AC46" s="207"/>
      <c r="AD46" s="204"/>
      <c r="AE46" s="207"/>
      <c r="AF46" s="204"/>
      <c r="AG46" s="207"/>
      <c r="AH46" s="204"/>
      <c r="AI46" s="207"/>
      <c r="AJ46" s="204"/>
      <c r="AK46" s="207"/>
      <c r="AL46" s="204"/>
      <c r="AM46" s="207"/>
      <c r="AN46" s="204"/>
      <c r="AO46" s="207"/>
      <c r="AP46" s="204"/>
      <c r="AQ46" s="207"/>
      <c r="AR46" s="204"/>
      <c r="AS46" s="197">
        <f t="shared" si="6"/>
        <v>10</v>
      </c>
      <c r="AT46" s="235">
        <v>4125</v>
      </c>
      <c r="AU46" s="199">
        <f t="shared" si="7"/>
        <v>41250</v>
      </c>
    </row>
    <row r="47" spans="1:47" s="22" customFormat="1" ht="18.75" customHeight="1" x14ac:dyDescent="0.25">
      <c r="A47" s="187">
        <v>38</v>
      </c>
      <c r="B47" s="137"/>
      <c r="C47" s="189" t="s">
        <v>93</v>
      </c>
      <c r="D47" s="190" t="s">
        <v>108</v>
      </c>
      <c r="E47" s="239" t="s">
        <v>266</v>
      </c>
      <c r="F47" s="202" t="s">
        <v>66</v>
      </c>
      <c r="G47" s="240"/>
      <c r="H47" s="240"/>
      <c r="I47" s="241"/>
      <c r="J47" s="219"/>
      <c r="K47" s="234"/>
      <c r="L47" s="204"/>
      <c r="M47" s="205">
        <v>12</v>
      </c>
      <c r="N47" s="206">
        <f>+M47*AT47</f>
        <v>126934.20000000001</v>
      </c>
      <c r="O47" s="207"/>
      <c r="P47" s="204"/>
      <c r="Q47" s="205"/>
      <c r="R47" s="204"/>
      <c r="S47" s="207"/>
      <c r="T47" s="204"/>
      <c r="U47" s="205"/>
      <c r="V47" s="204"/>
      <c r="W47" s="207"/>
      <c r="X47" s="204"/>
      <c r="Y47" s="207"/>
      <c r="Z47" s="204"/>
      <c r="AA47" s="207"/>
      <c r="AB47" s="204"/>
      <c r="AC47" s="207"/>
      <c r="AD47" s="204"/>
      <c r="AE47" s="207"/>
      <c r="AF47" s="204"/>
      <c r="AG47" s="207"/>
      <c r="AH47" s="204"/>
      <c r="AI47" s="207"/>
      <c r="AJ47" s="204"/>
      <c r="AK47" s="207"/>
      <c r="AL47" s="204"/>
      <c r="AM47" s="207"/>
      <c r="AN47" s="204"/>
      <c r="AO47" s="207"/>
      <c r="AP47" s="204"/>
      <c r="AQ47" s="207"/>
      <c r="AR47" s="204"/>
      <c r="AS47" s="197">
        <v>12</v>
      </c>
      <c r="AT47" s="242">
        <v>10577.85</v>
      </c>
      <c r="AU47" s="199">
        <f t="shared" si="7"/>
        <v>126934.20000000001</v>
      </c>
    </row>
    <row r="48" spans="1:47" s="22" customFormat="1" ht="18.75" customHeight="1" x14ac:dyDescent="0.25">
      <c r="A48" s="187">
        <v>39</v>
      </c>
      <c r="B48" s="137"/>
      <c r="C48" s="189" t="s">
        <v>93</v>
      </c>
      <c r="D48" s="190" t="s">
        <v>108</v>
      </c>
      <c r="E48" s="239" t="s">
        <v>267</v>
      </c>
      <c r="F48" s="202" t="s">
        <v>66</v>
      </c>
      <c r="G48" s="240"/>
      <c r="H48" s="240"/>
      <c r="I48" s="241"/>
      <c r="J48" s="219"/>
      <c r="K48" s="234"/>
      <c r="L48" s="204"/>
      <c r="M48" s="205">
        <v>12</v>
      </c>
      <c r="N48" s="206">
        <f>+M48*AT48</f>
        <v>138027.12</v>
      </c>
      <c r="O48" s="207"/>
      <c r="P48" s="204"/>
      <c r="Q48" s="205"/>
      <c r="R48" s="204"/>
      <c r="S48" s="207"/>
      <c r="T48" s="204"/>
      <c r="U48" s="205"/>
      <c r="V48" s="204"/>
      <c r="W48" s="207"/>
      <c r="X48" s="204"/>
      <c r="Y48" s="207"/>
      <c r="Z48" s="204"/>
      <c r="AA48" s="207"/>
      <c r="AB48" s="204"/>
      <c r="AC48" s="207"/>
      <c r="AD48" s="204"/>
      <c r="AE48" s="207"/>
      <c r="AF48" s="204"/>
      <c r="AG48" s="207"/>
      <c r="AH48" s="204"/>
      <c r="AI48" s="207"/>
      <c r="AJ48" s="204"/>
      <c r="AK48" s="207"/>
      <c r="AL48" s="204"/>
      <c r="AM48" s="207"/>
      <c r="AN48" s="204"/>
      <c r="AO48" s="207"/>
      <c r="AP48" s="204"/>
      <c r="AQ48" s="207"/>
      <c r="AR48" s="204"/>
      <c r="AS48" s="197">
        <v>12</v>
      </c>
      <c r="AT48" s="242">
        <v>11502.26</v>
      </c>
      <c r="AU48" s="199">
        <f t="shared" si="7"/>
        <v>138027.12</v>
      </c>
    </row>
    <row r="49" spans="1:50" s="22" customFormat="1" ht="18.75" customHeight="1" x14ac:dyDescent="0.25">
      <c r="A49" s="187">
        <v>40</v>
      </c>
      <c r="B49" s="243"/>
      <c r="C49" s="189" t="s">
        <v>93</v>
      </c>
      <c r="D49" s="190" t="s">
        <v>108</v>
      </c>
      <c r="E49" s="201" t="s">
        <v>69</v>
      </c>
      <c r="F49" s="46" t="s">
        <v>66</v>
      </c>
      <c r="G49" s="244"/>
      <c r="H49" s="236"/>
      <c r="I49" s="236"/>
      <c r="J49" s="236"/>
      <c r="K49" s="138">
        <v>1500</v>
      </c>
      <c r="L49" s="204">
        <f t="shared" si="4"/>
        <v>1425000</v>
      </c>
      <c r="M49" s="205"/>
      <c r="N49" s="206">
        <f t="shared" si="5"/>
        <v>0</v>
      </c>
      <c r="O49" s="207"/>
      <c r="P49" s="204"/>
      <c r="Q49" s="205"/>
      <c r="R49" s="204"/>
      <c r="S49" s="207"/>
      <c r="T49" s="204"/>
      <c r="U49" s="205"/>
      <c r="V49" s="204"/>
      <c r="W49" s="207"/>
      <c r="X49" s="204"/>
      <c r="Y49" s="207"/>
      <c r="Z49" s="204"/>
      <c r="AA49" s="207"/>
      <c r="AB49" s="204"/>
      <c r="AC49" s="207"/>
      <c r="AD49" s="204"/>
      <c r="AE49" s="207"/>
      <c r="AF49" s="204"/>
      <c r="AG49" s="207"/>
      <c r="AH49" s="204"/>
      <c r="AI49" s="207"/>
      <c r="AJ49" s="204"/>
      <c r="AK49" s="207"/>
      <c r="AL49" s="204"/>
      <c r="AM49" s="207"/>
      <c r="AN49" s="204"/>
      <c r="AO49" s="207"/>
      <c r="AP49" s="204"/>
      <c r="AQ49" s="207"/>
      <c r="AR49" s="204"/>
      <c r="AS49" s="197">
        <f t="shared" si="6"/>
        <v>1500</v>
      </c>
      <c r="AT49" s="235">
        <v>950</v>
      </c>
      <c r="AU49" s="199">
        <f t="shared" si="7"/>
        <v>1425000</v>
      </c>
    </row>
    <row r="50" spans="1:50" s="22" customFormat="1" ht="18.75" customHeight="1" x14ac:dyDescent="0.25">
      <c r="A50" s="187">
        <v>41</v>
      </c>
      <c r="B50" s="188"/>
      <c r="C50" s="189" t="s">
        <v>93</v>
      </c>
      <c r="D50" s="190" t="s">
        <v>108</v>
      </c>
      <c r="E50" s="209" t="s">
        <v>139</v>
      </c>
      <c r="F50" s="210" t="s">
        <v>14</v>
      </c>
      <c r="G50" s="245"/>
      <c r="H50" s="211"/>
      <c r="I50" s="211"/>
      <c r="J50" s="211"/>
      <c r="K50" s="223"/>
      <c r="L50" s="204"/>
      <c r="M50" s="213">
        <v>14</v>
      </c>
      <c r="N50" s="206">
        <f t="shared" si="5"/>
        <v>116200</v>
      </c>
      <c r="O50" s="207"/>
      <c r="P50" s="204"/>
      <c r="Q50" s="205"/>
      <c r="R50" s="204"/>
      <c r="S50" s="207"/>
      <c r="T50" s="204"/>
      <c r="U50" s="205"/>
      <c r="V50" s="204"/>
      <c r="W50" s="207"/>
      <c r="X50" s="204"/>
      <c r="Y50" s="207"/>
      <c r="Z50" s="204"/>
      <c r="AA50" s="207"/>
      <c r="AB50" s="204"/>
      <c r="AC50" s="207"/>
      <c r="AD50" s="204"/>
      <c r="AE50" s="207"/>
      <c r="AF50" s="204"/>
      <c r="AG50" s="207"/>
      <c r="AH50" s="204"/>
      <c r="AI50" s="207"/>
      <c r="AJ50" s="204"/>
      <c r="AK50" s="207"/>
      <c r="AL50" s="204"/>
      <c r="AM50" s="207"/>
      <c r="AN50" s="204"/>
      <c r="AO50" s="207"/>
      <c r="AP50" s="204"/>
      <c r="AQ50" s="207"/>
      <c r="AR50" s="204"/>
      <c r="AS50" s="197">
        <f t="shared" si="6"/>
        <v>14</v>
      </c>
      <c r="AT50" s="225">
        <v>8300</v>
      </c>
      <c r="AU50" s="199">
        <f t="shared" si="7"/>
        <v>116200</v>
      </c>
    </row>
    <row r="51" spans="1:50" s="22" customFormat="1" ht="18.75" customHeight="1" x14ac:dyDescent="0.25">
      <c r="A51" s="187">
        <v>42</v>
      </c>
      <c r="B51" s="218"/>
      <c r="C51" s="189" t="s">
        <v>93</v>
      </c>
      <c r="D51" s="190" t="s">
        <v>108</v>
      </c>
      <c r="E51" s="165" t="s">
        <v>172</v>
      </c>
      <c r="F51" s="202" t="s">
        <v>66</v>
      </c>
      <c r="G51" s="203"/>
      <c r="H51" s="203"/>
      <c r="I51" s="203"/>
      <c r="J51" s="203"/>
      <c r="K51" s="234">
        <v>10</v>
      </c>
      <c r="L51" s="204">
        <f>+K51*AT51</f>
        <v>24870</v>
      </c>
      <c r="M51" s="205"/>
      <c r="N51" s="206">
        <f t="shared" si="5"/>
        <v>0</v>
      </c>
      <c r="O51" s="207"/>
      <c r="P51" s="204"/>
      <c r="Q51" s="205"/>
      <c r="R51" s="204"/>
      <c r="S51" s="207"/>
      <c r="T51" s="204"/>
      <c r="U51" s="205"/>
      <c r="V51" s="204"/>
      <c r="W51" s="207"/>
      <c r="X51" s="204"/>
      <c r="Y51" s="207"/>
      <c r="Z51" s="204"/>
      <c r="AA51" s="207"/>
      <c r="AB51" s="204"/>
      <c r="AC51" s="207"/>
      <c r="AD51" s="204"/>
      <c r="AE51" s="207"/>
      <c r="AF51" s="204"/>
      <c r="AG51" s="207"/>
      <c r="AH51" s="204"/>
      <c r="AI51" s="207"/>
      <c r="AJ51" s="204"/>
      <c r="AK51" s="207"/>
      <c r="AL51" s="204"/>
      <c r="AM51" s="207"/>
      <c r="AN51" s="204"/>
      <c r="AO51" s="207"/>
      <c r="AP51" s="204"/>
      <c r="AQ51" s="207"/>
      <c r="AR51" s="204"/>
      <c r="AS51" s="197">
        <f t="shared" si="6"/>
        <v>10</v>
      </c>
      <c r="AT51" s="235">
        <v>2487</v>
      </c>
      <c r="AU51" s="199">
        <f t="shared" si="7"/>
        <v>24870</v>
      </c>
    </row>
    <row r="52" spans="1:50" s="22" customFormat="1" ht="18.75" customHeight="1" x14ac:dyDescent="0.25">
      <c r="A52" s="187">
        <v>43</v>
      </c>
      <c r="B52" s="218"/>
      <c r="C52" s="189" t="s">
        <v>93</v>
      </c>
      <c r="D52" s="190" t="s">
        <v>108</v>
      </c>
      <c r="E52" s="165" t="s">
        <v>173</v>
      </c>
      <c r="F52" s="202" t="s">
        <v>66</v>
      </c>
      <c r="G52" s="219"/>
      <c r="H52" s="219"/>
      <c r="I52" s="219"/>
      <c r="J52" s="219"/>
      <c r="K52" s="234">
        <v>15</v>
      </c>
      <c r="L52" s="204">
        <f>+K52*AT52</f>
        <v>58935</v>
      </c>
      <c r="M52" s="205"/>
      <c r="N52" s="206">
        <f t="shared" si="5"/>
        <v>0</v>
      </c>
      <c r="O52" s="207"/>
      <c r="P52" s="204"/>
      <c r="Q52" s="205"/>
      <c r="R52" s="204"/>
      <c r="S52" s="207"/>
      <c r="T52" s="204"/>
      <c r="U52" s="205"/>
      <c r="V52" s="204"/>
      <c r="W52" s="207"/>
      <c r="X52" s="204"/>
      <c r="Y52" s="207"/>
      <c r="Z52" s="204"/>
      <c r="AA52" s="207"/>
      <c r="AB52" s="204"/>
      <c r="AC52" s="207"/>
      <c r="AD52" s="204"/>
      <c r="AE52" s="207"/>
      <c r="AF52" s="204"/>
      <c r="AG52" s="207"/>
      <c r="AH52" s="204"/>
      <c r="AI52" s="207"/>
      <c r="AJ52" s="204"/>
      <c r="AK52" s="207"/>
      <c r="AL52" s="204"/>
      <c r="AM52" s="207"/>
      <c r="AN52" s="204"/>
      <c r="AO52" s="207"/>
      <c r="AP52" s="204"/>
      <c r="AQ52" s="207"/>
      <c r="AR52" s="204"/>
      <c r="AS52" s="197">
        <f t="shared" si="6"/>
        <v>15</v>
      </c>
      <c r="AT52" s="235">
        <v>3929</v>
      </c>
      <c r="AU52" s="199">
        <f t="shared" si="7"/>
        <v>58935</v>
      </c>
    </row>
    <row r="53" spans="1:50" s="22" customFormat="1" ht="18.75" customHeight="1" x14ac:dyDescent="0.25">
      <c r="A53" s="187">
        <v>44</v>
      </c>
      <c r="B53" s="191"/>
      <c r="C53" s="189" t="s">
        <v>93</v>
      </c>
      <c r="D53" s="190" t="s">
        <v>108</v>
      </c>
      <c r="E53" s="165" t="s">
        <v>174</v>
      </c>
      <c r="F53" s="202" t="s">
        <v>66</v>
      </c>
      <c r="G53" s="219"/>
      <c r="H53" s="219"/>
      <c r="I53" s="219"/>
      <c r="J53" s="219"/>
      <c r="K53" s="234">
        <v>20</v>
      </c>
      <c r="L53" s="204">
        <f>+K53*AT53</f>
        <v>928800</v>
      </c>
      <c r="M53" s="205"/>
      <c r="N53" s="206">
        <f t="shared" si="5"/>
        <v>0</v>
      </c>
      <c r="O53" s="207"/>
      <c r="P53" s="204"/>
      <c r="Q53" s="205"/>
      <c r="R53" s="204"/>
      <c r="S53" s="207"/>
      <c r="T53" s="204"/>
      <c r="U53" s="205"/>
      <c r="V53" s="204"/>
      <c r="W53" s="207"/>
      <c r="X53" s="204"/>
      <c r="Y53" s="207"/>
      <c r="Z53" s="204"/>
      <c r="AA53" s="207"/>
      <c r="AB53" s="204"/>
      <c r="AC53" s="207"/>
      <c r="AD53" s="204"/>
      <c r="AE53" s="207"/>
      <c r="AF53" s="204"/>
      <c r="AG53" s="207"/>
      <c r="AH53" s="204"/>
      <c r="AI53" s="207"/>
      <c r="AJ53" s="204"/>
      <c r="AK53" s="207"/>
      <c r="AL53" s="204"/>
      <c r="AM53" s="207"/>
      <c r="AN53" s="204"/>
      <c r="AO53" s="207"/>
      <c r="AP53" s="204"/>
      <c r="AQ53" s="207"/>
      <c r="AR53" s="204"/>
      <c r="AS53" s="197">
        <f t="shared" si="6"/>
        <v>20</v>
      </c>
      <c r="AT53" s="235">
        <v>46440</v>
      </c>
      <c r="AU53" s="199">
        <f t="shared" si="7"/>
        <v>928800</v>
      </c>
      <c r="AV53" s="23"/>
      <c r="AW53" s="23"/>
      <c r="AX53" s="23"/>
    </row>
    <row r="54" spans="1:50" s="22" customFormat="1" ht="34.5" customHeight="1" x14ac:dyDescent="0.25">
      <c r="A54" s="187">
        <v>45</v>
      </c>
      <c r="B54" s="188"/>
      <c r="C54" s="189" t="s">
        <v>93</v>
      </c>
      <c r="D54" s="190" t="s">
        <v>108</v>
      </c>
      <c r="E54" s="222" t="s">
        <v>140</v>
      </c>
      <c r="F54" s="210" t="s">
        <v>14</v>
      </c>
      <c r="G54" s="211"/>
      <c r="H54" s="211"/>
      <c r="I54" s="211"/>
      <c r="J54" s="211"/>
      <c r="K54" s="223"/>
      <c r="L54" s="204"/>
      <c r="M54" s="213">
        <v>1</v>
      </c>
      <c r="N54" s="206">
        <f t="shared" si="5"/>
        <v>11685</v>
      </c>
      <c r="O54" s="207"/>
      <c r="P54" s="204"/>
      <c r="Q54" s="205"/>
      <c r="R54" s="204"/>
      <c r="S54" s="207"/>
      <c r="T54" s="204"/>
      <c r="U54" s="205"/>
      <c r="V54" s="204"/>
      <c r="W54" s="207"/>
      <c r="X54" s="204"/>
      <c r="Y54" s="207"/>
      <c r="Z54" s="204"/>
      <c r="AA54" s="207"/>
      <c r="AB54" s="204"/>
      <c r="AC54" s="207"/>
      <c r="AD54" s="204"/>
      <c r="AE54" s="207"/>
      <c r="AF54" s="204"/>
      <c r="AG54" s="207"/>
      <c r="AH54" s="204"/>
      <c r="AI54" s="207"/>
      <c r="AJ54" s="204"/>
      <c r="AK54" s="207"/>
      <c r="AL54" s="204"/>
      <c r="AM54" s="207"/>
      <c r="AN54" s="204"/>
      <c r="AO54" s="207"/>
      <c r="AP54" s="204"/>
      <c r="AQ54" s="207"/>
      <c r="AR54" s="204"/>
      <c r="AS54" s="197">
        <f t="shared" si="6"/>
        <v>1</v>
      </c>
      <c r="AT54" s="225">
        <v>11685</v>
      </c>
      <c r="AU54" s="199">
        <f t="shared" si="7"/>
        <v>11685</v>
      </c>
    </row>
    <row r="55" spans="1:50" s="22" customFormat="1" ht="18.75" customHeight="1" x14ac:dyDescent="0.25">
      <c r="A55" s="187">
        <v>46</v>
      </c>
      <c r="B55" s="203"/>
      <c r="C55" s="189" t="s">
        <v>93</v>
      </c>
      <c r="D55" s="190" t="s">
        <v>108</v>
      </c>
      <c r="E55" s="165" t="s">
        <v>195</v>
      </c>
      <c r="F55" s="202" t="s">
        <v>12</v>
      </c>
      <c r="G55" s="211"/>
      <c r="H55" s="211"/>
      <c r="I55" s="211"/>
      <c r="J55" s="211"/>
      <c r="K55" s="234">
        <v>16</v>
      </c>
      <c r="L55" s="204">
        <f>+K55*AT55</f>
        <v>126912</v>
      </c>
      <c r="M55" s="205"/>
      <c r="N55" s="206"/>
      <c r="O55" s="207"/>
      <c r="P55" s="204"/>
      <c r="Q55" s="205"/>
      <c r="R55" s="204"/>
      <c r="S55" s="207"/>
      <c r="T55" s="204"/>
      <c r="U55" s="205"/>
      <c r="V55" s="204"/>
      <c r="W55" s="207"/>
      <c r="X55" s="204"/>
      <c r="Y55" s="207"/>
      <c r="Z55" s="204"/>
      <c r="AA55" s="207"/>
      <c r="AB55" s="204"/>
      <c r="AC55" s="207"/>
      <c r="AD55" s="204"/>
      <c r="AE55" s="207"/>
      <c r="AF55" s="204"/>
      <c r="AG55" s="207"/>
      <c r="AH55" s="204"/>
      <c r="AI55" s="207"/>
      <c r="AJ55" s="204"/>
      <c r="AK55" s="207"/>
      <c r="AL55" s="204"/>
      <c r="AM55" s="207"/>
      <c r="AN55" s="204"/>
      <c r="AO55" s="207"/>
      <c r="AP55" s="204"/>
      <c r="AQ55" s="207"/>
      <c r="AR55" s="204"/>
      <c r="AS55" s="197">
        <f t="shared" si="6"/>
        <v>16</v>
      </c>
      <c r="AT55" s="246">
        <v>7932</v>
      </c>
      <c r="AU55" s="199">
        <f t="shared" si="7"/>
        <v>126912</v>
      </c>
    </row>
    <row r="56" spans="1:50" s="22" customFormat="1" ht="18.75" customHeight="1" x14ac:dyDescent="0.25">
      <c r="A56" s="187">
        <v>47</v>
      </c>
      <c r="B56" s="203"/>
      <c r="C56" s="189" t="s">
        <v>93</v>
      </c>
      <c r="D56" s="190" t="s">
        <v>108</v>
      </c>
      <c r="E56" s="165" t="s">
        <v>205</v>
      </c>
      <c r="F56" s="46" t="s">
        <v>66</v>
      </c>
      <c r="G56" s="211"/>
      <c r="H56" s="211"/>
      <c r="I56" s="211"/>
      <c r="J56" s="211"/>
      <c r="K56" s="138">
        <v>15</v>
      </c>
      <c r="L56" s="204">
        <f>+K56*AT56</f>
        <v>88830</v>
      </c>
      <c r="M56" s="205"/>
      <c r="N56" s="206"/>
      <c r="O56" s="207"/>
      <c r="P56" s="204"/>
      <c r="Q56" s="205"/>
      <c r="R56" s="204"/>
      <c r="S56" s="207"/>
      <c r="T56" s="204"/>
      <c r="U56" s="205"/>
      <c r="V56" s="204"/>
      <c r="W56" s="207"/>
      <c r="X56" s="204"/>
      <c r="Y56" s="207"/>
      <c r="Z56" s="204"/>
      <c r="AA56" s="207"/>
      <c r="AB56" s="204"/>
      <c r="AC56" s="207"/>
      <c r="AD56" s="204"/>
      <c r="AE56" s="207"/>
      <c r="AF56" s="204"/>
      <c r="AG56" s="207"/>
      <c r="AH56" s="204"/>
      <c r="AI56" s="207"/>
      <c r="AJ56" s="204"/>
      <c r="AK56" s="207"/>
      <c r="AL56" s="204"/>
      <c r="AM56" s="207"/>
      <c r="AN56" s="204"/>
      <c r="AO56" s="207"/>
      <c r="AP56" s="204"/>
      <c r="AQ56" s="207"/>
      <c r="AR56" s="204"/>
      <c r="AS56" s="197">
        <f t="shared" si="6"/>
        <v>15</v>
      </c>
      <c r="AT56" s="246">
        <v>5922</v>
      </c>
      <c r="AU56" s="199">
        <f t="shared" si="7"/>
        <v>88830</v>
      </c>
    </row>
    <row r="57" spans="1:50" s="22" customFormat="1" ht="18.75" customHeight="1" x14ac:dyDescent="0.25">
      <c r="A57" s="187">
        <v>48</v>
      </c>
      <c r="B57" s="203"/>
      <c r="C57" s="189" t="s">
        <v>93</v>
      </c>
      <c r="D57" s="190" t="s">
        <v>108</v>
      </c>
      <c r="E57" s="165" t="s">
        <v>187</v>
      </c>
      <c r="F57" s="46" t="s">
        <v>66</v>
      </c>
      <c r="G57" s="203"/>
      <c r="H57" s="203"/>
      <c r="I57" s="203"/>
      <c r="J57" s="203"/>
      <c r="K57" s="138">
        <v>30</v>
      </c>
      <c r="L57" s="204">
        <f>+K57*AT57</f>
        <v>341580</v>
      </c>
      <c r="M57" s="205"/>
      <c r="N57" s="206">
        <f t="shared" ref="N57:N62" si="8">+M57*AT57</f>
        <v>0</v>
      </c>
      <c r="O57" s="207"/>
      <c r="P57" s="204"/>
      <c r="Q57" s="205"/>
      <c r="R57" s="204"/>
      <c r="S57" s="207"/>
      <c r="T57" s="204"/>
      <c r="U57" s="205"/>
      <c r="V57" s="204"/>
      <c r="W57" s="207"/>
      <c r="X57" s="204"/>
      <c r="Y57" s="207"/>
      <c r="Z57" s="204"/>
      <c r="AA57" s="207"/>
      <c r="AB57" s="204"/>
      <c r="AC57" s="207"/>
      <c r="AD57" s="204"/>
      <c r="AE57" s="207"/>
      <c r="AF57" s="204"/>
      <c r="AG57" s="207"/>
      <c r="AH57" s="204"/>
      <c r="AI57" s="207"/>
      <c r="AJ57" s="204"/>
      <c r="AK57" s="207"/>
      <c r="AL57" s="204"/>
      <c r="AM57" s="207"/>
      <c r="AN57" s="204"/>
      <c r="AO57" s="207"/>
      <c r="AP57" s="204"/>
      <c r="AQ57" s="207"/>
      <c r="AR57" s="204"/>
      <c r="AS57" s="197">
        <f t="shared" si="6"/>
        <v>30</v>
      </c>
      <c r="AT57" s="235">
        <v>11386</v>
      </c>
      <c r="AU57" s="199">
        <f t="shared" si="7"/>
        <v>341580</v>
      </c>
    </row>
    <row r="58" spans="1:50" s="22" customFormat="1" ht="18.75" customHeight="1" x14ac:dyDescent="0.25">
      <c r="A58" s="187">
        <v>49</v>
      </c>
      <c r="B58" s="203"/>
      <c r="C58" s="189" t="s">
        <v>93</v>
      </c>
      <c r="D58" s="190" t="s">
        <v>108</v>
      </c>
      <c r="E58" s="165" t="s">
        <v>186</v>
      </c>
      <c r="F58" s="46" t="s">
        <v>66</v>
      </c>
      <c r="G58" s="203"/>
      <c r="H58" s="203"/>
      <c r="I58" s="203"/>
      <c r="J58" s="203"/>
      <c r="K58" s="138">
        <v>30</v>
      </c>
      <c r="L58" s="204">
        <f>+K58*AT58</f>
        <v>362760</v>
      </c>
      <c r="M58" s="205"/>
      <c r="N58" s="206">
        <f t="shared" si="8"/>
        <v>0</v>
      </c>
      <c r="O58" s="207"/>
      <c r="P58" s="204"/>
      <c r="Q58" s="205"/>
      <c r="R58" s="204"/>
      <c r="S58" s="207"/>
      <c r="T58" s="204"/>
      <c r="U58" s="205"/>
      <c r="V58" s="204"/>
      <c r="W58" s="207"/>
      <c r="X58" s="204"/>
      <c r="Y58" s="207"/>
      <c r="Z58" s="204"/>
      <c r="AA58" s="207"/>
      <c r="AB58" s="204"/>
      <c r="AC58" s="207"/>
      <c r="AD58" s="204"/>
      <c r="AE58" s="207"/>
      <c r="AF58" s="204"/>
      <c r="AG58" s="207"/>
      <c r="AH58" s="204"/>
      <c r="AI58" s="207"/>
      <c r="AJ58" s="204"/>
      <c r="AK58" s="207"/>
      <c r="AL58" s="204"/>
      <c r="AM58" s="207"/>
      <c r="AN58" s="204"/>
      <c r="AO58" s="207"/>
      <c r="AP58" s="204"/>
      <c r="AQ58" s="207"/>
      <c r="AR58" s="204"/>
      <c r="AS58" s="197">
        <f t="shared" si="6"/>
        <v>30</v>
      </c>
      <c r="AT58" s="235">
        <v>12092</v>
      </c>
      <c r="AU58" s="199">
        <f t="shared" si="7"/>
        <v>362760</v>
      </c>
    </row>
    <row r="59" spans="1:50" s="22" customFormat="1" ht="18.75" customHeight="1" x14ac:dyDescent="0.25">
      <c r="A59" s="187">
        <v>50</v>
      </c>
      <c r="B59" s="188"/>
      <c r="C59" s="189" t="s">
        <v>93</v>
      </c>
      <c r="D59" s="190" t="s">
        <v>108</v>
      </c>
      <c r="E59" s="222" t="s">
        <v>131</v>
      </c>
      <c r="F59" s="210" t="s">
        <v>12</v>
      </c>
      <c r="G59" s="211"/>
      <c r="H59" s="211"/>
      <c r="I59" s="211"/>
      <c r="J59" s="211"/>
      <c r="K59" s="223"/>
      <c r="L59" s="204"/>
      <c r="M59" s="213">
        <v>12</v>
      </c>
      <c r="N59" s="206">
        <f t="shared" si="8"/>
        <v>122472</v>
      </c>
      <c r="O59" s="207"/>
      <c r="P59" s="204"/>
      <c r="Q59" s="205"/>
      <c r="R59" s="204"/>
      <c r="S59" s="207"/>
      <c r="T59" s="204"/>
      <c r="U59" s="205"/>
      <c r="V59" s="204"/>
      <c r="W59" s="207"/>
      <c r="X59" s="204"/>
      <c r="Y59" s="207"/>
      <c r="Z59" s="204"/>
      <c r="AA59" s="207"/>
      <c r="AB59" s="204"/>
      <c r="AC59" s="207"/>
      <c r="AD59" s="204"/>
      <c r="AE59" s="207"/>
      <c r="AF59" s="204"/>
      <c r="AG59" s="207"/>
      <c r="AH59" s="204"/>
      <c r="AI59" s="207"/>
      <c r="AJ59" s="204"/>
      <c r="AK59" s="207"/>
      <c r="AL59" s="204"/>
      <c r="AM59" s="207"/>
      <c r="AN59" s="204"/>
      <c r="AO59" s="207"/>
      <c r="AP59" s="204"/>
      <c r="AQ59" s="207"/>
      <c r="AR59" s="204"/>
      <c r="AS59" s="197">
        <f t="shared" si="6"/>
        <v>12</v>
      </c>
      <c r="AT59" s="225">
        <v>10206</v>
      </c>
      <c r="AU59" s="199">
        <f t="shared" si="7"/>
        <v>122472</v>
      </c>
    </row>
    <row r="60" spans="1:50" s="22" customFormat="1" ht="32.25" customHeight="1" x14ac:dyDescent="0.25">
      <c r="A60" s="187">
        <v>51</v>
      </c>
      <c r="B60" s="188"/>
      <c r="C60" s="189" t="s">
        <v>93</v>
      </c>
      <c r="D60" s="190" t="s">
        <v>108</v>
      </c>
      <c r="E60" s="222" t="s">
        <v>130</v>
      </c>
      <c r="F60" s="210" t="s">
        <v>12</v>
      </c>
      <c r="G60" s="211"/>
      <c r="H60" s="211"/>
      <c r="I60" s="211"/>
      <c r="J60" s="211"/>
      <c r="K60" s="223"/>
      <c r="L60" s="204"/>
      <c r="M60" s="213">
        <v>12</v>
      </c>
      <c r="N60" s="206">
        <f t="shared" si="8"/>
        <v>135540</v>
      </c>
      <c r="O60" s="207"/>
      <c r="P60" s="204"/>
      <c r="Q60" s="205"/>
      <c r="R60" s="204"/>
      <c r="S60" s="207"/>
      <c r="T60" s="204"/>
      <c r="U60" s="205"/>
      <c r="V60" s="204"/>
      <c r="W60" s="207"/>
      <c r="X60" s="204"/>
      <c r="Y60" s="207"/>
      <c r="Z60" s="204"/>
      <c r="AA60" s="207"/>
      <c r="AB60" s="204"/>
      <c r="AC60" s="207"/>
      <c r="AD60" s="204"/>
      <c r="AE60" s="207"/>
      <c r="AF60" s="204"/>
      <c r="AG60" s="207"/>
      <c r="AH60" s="204"/>
      <c r="AI60" s="207"/>
      <c r="AJ60" s="204"/>
      <c r="AK60" s="207"/>
      <c r="AL60" s="204"/>
      <c r="AM60" s="207"/>
      <c r="AN60" s="204"/>
      <c r="AO60" s="207"/>
      <c r="AP60" s="204"/>
      <c r="AQ60" s="207"/>
      <c r="AR60" s="204"/>
      <c r="AS60" s="197">
        <f t="shared" si="6"/>
        <v>12</v>
      </c>
      <c r="AT60" s="225">
        <v>11295</v>
      </c>
      <c r="AU60" s="199">
        <f t="shared" si="7"/>
        <v>135540</v>
      </c>
    </row>
    <row r="61" spans="1:50" s="22" customFormat="1" ht="18.75" customHeight="1" x14ac:dyDescent="0.25">
      <c r="A61" s="187">
        <v>52</v>
      </c>
      <c r="B61" s="218"/>
      <c r="C61" s="189" t="s">
        <v>93</v>
      </c>
      <c r="D61" s="190" t="s">
        <v>108</v>
      </c>
      <c r="E61" s="165" t="s">
        <v>166</v>
      </c>
      <c r="F61" s="202" t="s">
        <v>66</v>
      </c>
      <c r="G61" s="203"/>
      <c r="H61" s="203"/>
      <c r="I61" s="203"/>
      <c r="J61" s="203"/>
      <c r="K61" s="234">
        <v>5</v>
      </c>
      <c r="L61" s="204">
        <f>+K61*AT61</f>
        <v>51405</v>
      </c>
      <c r="M61" s="205"/>
      <c r="N61" s="206">
        <f t="shared" si="8"/>
        <v>0</v>
      </c>
      <c r="O61" s="207"/>
      <c r="P61" s="204"/>
      <c r="Q61" s="205"/>
      <c r="R61" s="204"/>
      <c r="S61" s="207"/>
      <c r="T61" s="204"/>
      <c r="U61" s="205"/>
      <c r="V61" s="204"/>
      <c r="W61" s="207"/>
      <c r="X61" s="204"/>
      <c r="Y61" s="207"/>
      <c r="Z61" s="204"/>
      <c r="AA61" s="207"/>
      <c r="AB61" s="204"/>
      <c r="AC61" s="207"/>
      <c r="AD61" s="204"/>
      <c r="AE61" s="207"/>
      <c r="AF61" s="204"/>
      <c r="AG61" s="207"/>
      <c r="AH61" s="204"/>
      <c r="AI61" s="207"/>
      <c r="AJ61" s="204"/>
      <c r="AK61" s="207"/>
      <c r="AL61" s="204"/>
      <c r="AM61" s="207"/>
      <c r="AN61" s="204"/>
      <c r="AO61" s="207"/>
      <c r="AP61" s="204"/>
      <c r="AQ61" s="207"/>
      <c r="AR61" s="204"/>
      <c r="AS61" s="197">
        <f t="shared" si="6"/>
        <v>5</v>
      </c>
      <c r="AT61" s="235">
        <v>10281</v>
      </c>
      <c r="AU61" s="199">
        <f t="shared" si="7"/>
        <v>51405</v>
      </c>
    </row>
    <row r="62" spans="1:50" s="22" customFormat="1" ht="30" customHeight="1" x14ac:dyDescent="0.25">
      <c r="A62" s="187">
        <v>53</v>
      </c>
      <c r="B62" s="188"/>
      <c r="C62" s="189" t="s">
        <v>93</v>
      </c>
      <c r="D62" s="190" t="s">
        <v>108</v>
      </c>
      <c r="E62" s="209" t="s">
        <v>144</v>
      </c>
      <c r="F62" s="210" t="s">
        <v>12</v>
      </c>
      <c r="G62" s="211"/>
      <c r="H62" s="211"/>
      <c r="I62" s="211"/>
      <c r="J62" s="211"/>
      <c r="K62" s="226"/>
      <c r="L62" s="204"/>
      <c r="M62" s="213">
        <v>12</v>
      </c>
      <c r="N62" s="206">
        <f t="shared" si="8"/>
        <v>236988</v>
      </c>
      <c r="O62" s="207"/>
      <c r="P62" s="204"/>
      <c r="Q62" s="205"/>
      <c r="R62" s="204"/>
      <c r="S62" s="207"/>
      <c r="T62" s="204"/>
      <c r="U62" s="205"/>
      <c r="V62" s="204"/>
      <c r="W62" s="207"/>
      <c r="X62" s="204"/>
      <c r="Y62" s="207"/>
      <c r="Z62" s="204"/>
      <c r="AA62" s="207"/>
      <c r="AB62" s="204"/>
      <c r="AC62" s="207"/>
      <c r="AD62" s="204"/>
      <c r="AE62" s="207"/>
      <c r="AF62" s="204"/>
      <c r="AG62" s="207"/>
      <c r="AH62" s="204"/>
      <c r="AI62" s="207"/>
      <c r="AJ62" s="204"/>
      <c r="AK62" s="207"/>
      <c r="AL62" s="204"/>
      <c r="AM62" s="207"/>
      <c r="AN62" s="204"/>
      <c r="AO62" s="207"/>
      <c r="AP62" s="204"/>
      <c r="AQ62" s="207"/>
      <c r="AR62" s="204"/>
      <c r="AS62" s="197">
        <f t="shared" si="6"/>
        <v>12</v>
      </c>
      <c r="AT62" s="225">
        <v>19749</v>
      </c>
      <c r="AU62" s="199">
        <f t="shared" si="7"/>
        <v>236988</v>
      </c>
    </row>
    <row r="63" spans="1:50" s="22" customFormat="1" ht="26.25" customHeight="1" x14ac:dyDescent="0.25">
      <c r="A63" s="187">
        <v>54</v>
      </c>
      <c r="B63" s="203"/>
      <c r="C63" s="189" t="s">
        <v>93</v>
      </c>
      <c r="D63" s="190" t="s">
        <v>108</v>
      </c>
      <c r="E63" s="201" t="s">
        <v>199</v>
      </c>
      <c r="F63" s="202" t="s">
        <v>12</v>
      </c>
      <c r="G63" s="211"/>
      <c r="H63" s="211"/>
      <c r="I63" s="211"/>
      <c r="J63" s="211"/>
      <c r="K63" s="202">
        <v>12</v>
      </c>
      <c r="L63" s="204">
        <f t="shared" ref="L63:L69" si="9">+K63*AT63</f>
        <v>912024</v>
      </c>
      <c r="M63" s="205"/>
      <c r="N63" s="206"/>
      <c r="O63" s="207"/>
      <c r="P63" s="204"/>
      <c r="Q63" s="205"/>
      <c r="R63" s="204"/>
      <c r="S63" s="207"/>
      <c r="T63" s="204"/>
      <c r="U63" s="205"/>
      <c r="V63" s="204"/>
      <c r="W63" s="207"/>
      <c r="X63" s="204"/>
      <c r="Y63" s="207"/>
      <c r="Z63" s="204"/>
      <c r="AA63" s="207"/>
      <c r="AB63" s="204"/>
      <c r="AC63" s="207"/>
      <c r="AD63" s="204"/>
      <c r="AE63" s="207"/>
      <c r="AF63" s="204"/>
      <c r="AG63" s="207"/>
      <c r="AH63" s="204"/>
      <c r="AI63" s="207"/>
      <c r="AJ63" s="204"/>
      <c r="AK63" s="207"/>
      <c r="AL63" s="204"/>
      <c r="AM63" s="207"/>
      <c r="AN63" s="204"/>
      <c r="AO63" s="207"/>
      <c r="AP63" s="204"/>
      <c r="AQ63" s="207"/>
      <c r="AR63" s="204"/>
      <c r="AS63" s="197">
        <f t="shared" si="6"/>
        <v>12</v>
      </c>
      <c r="AT63" s="246">
        <v>76002</v>
      </c>
      <c r="AU63" s="199">
        <f t="shared" si="7"/>
        <v>912024</v>
      </c>
    </row>
    <row r="64" spans="1:50" s="22" customFormat="1" ht="18.75" customHeight="1" x14ac:dyDescent="0.25">
      <c r="A64" s="187">
        <v>55</v>
      </c>
      <c r="B64" s="203"/>
      <c r="C64" s="189" t="s">
        <v>93</v>
      </c>
      <c r="D64" s="190" t="s">
        <v>108</v>
      </c>
      <c r="E64" s="201" t="s">
        <v>203</v>
      </c>
      <c r="F64" s="46" t="s">
        <v>66</v>
      </c>
      <c r="G64" s="211"/>
      <c r="H64" s="211"/>
      <c r="I64" s="211"/>
      <c r="J64" s="211"/>
      <c r="K64" s="46">
        <v>15</v>
      </c>
      <c r="L64" s="204">
        <f t="shared" si="9"/>
        <v>87630</v>
      </c>
      <c r="M64" s="205"/>
      <c r="N64" s="206"/>
      <c r="O64" s="207"/>
      <c r="P64" s="204"/>
      <c r="Q64" s="205"/>
      <c r="R64" s="204"/>
      <c r="S64" s="207"/>
      <c r="T64" s="204"/>
      <c r="U64" s="205"/>
      <c r="V64" s="204"/>
      <c r="W64" s="207"/>
      <c r="X64" s="204"/>
      <c r="Y64" s="207"/>
      <c r="Z64" s="204"/>
      <c r="AA64" s="207"/>
      <c r="AB64" s="204"/>
      <c r="AC64" s="207"/>
      <c r="AD64" s="204"/>
      <c r="AE64" s="207"/>
      <c r="AF64" s="204"/>
      <c r="AG64" s="207"/>
      <c r="AH64" s="204"/>
      <c r="AI64" s="207"/>
      <c r="AJ64" s="204"/>
      <c r="AK64" s="207"/>
      <c r="AL64" s="204"/>
      <c r="AM64" s="207"/>
      <c r="AN64" s="204"/>
      <c r="AO64" s="207"/>
      <c r="AP64" s="204"/>
      <c r="AQ64" s="207"/>
      <c r="AR64" s="204"/>
      <c r="AS64" s="197">
        <f t="shared" si="6"/>
        <v>15</v>
      </c>
      <c r="AT64" s="247">
        <v>5842</v>
      </c>
      <c r="AU64" s="199">
        <f t="shared" si="7"/>
        <v>87630</v>
      </c>
    </row>
    <row r="65" spans="1:47" s="22" customFormat="1" ht="18.75" customHeight="1" x14ac:dyDescent="0.25">
      <c r="A65" s="187">
        <v>56</v>
      </c>
      <c r="B65" s="203"/>
      <c r="C65" s="189" t="s">
        <v>93</v>
      </c>
      <c r="D65" s="190" t="s">
        <v>108</v>
      </c>
      <c r="E65" s="165" t="s">
        <v>201</v>
      </c>
      <c r="F65" s="202" t="s">
        <v>12</v>
      </c>
      <c r="G65" s="211"/>
      <c r="H65" s="211"/>
      <c r="I65" s="211"/>
      <c r="J65" s="211"/>
      <c r="K65" s="202">
        <v>9</v>
      </c>
      <c r="L65" s="204">
        <f t="shared" si="9"/>
        <v>485991</v>
      </c>
      <c r="M65" s="205"/>
      <c r="N65" s="206"/>
      <c r="O65" s="207"/>
      <c r="P65" s="204"/>
      <c r="Q65" s="205"/>
      <c r="R65" s="204"/>
      <c r="S65" s="207"/>
      <c r="T65" s="204"/>
      <c r="U65" s="205"/>
      <c r="V65" s="204"/>
      <c r="W65" s="207"/>
      <c r="X65" s="204"/>
      <c r="Y65" s="207"/>
      <c r="Z65" s="204"/>
      <c r="AA65" s="207"/>
      <c r="AB65" s="204"/>
      <c r="AC65" s="207"/>
      <c r="AD65" s="204"/>
      <c r="AE65" s="207"/>
      <c r="AF65" s="204"/>
      <c r="AG65" s="207"/>
      <c r="AH65" s="204"/>
      <c r="AI65" s="207"/>
      <c r="AJ65" s="204"/>
      <c r="AK65" s="207"/>
      <c r="AL65" s="204"/>
      <c r="AM65" s="207"/>
      <c r="AN65" s="204"/>
      <c r="AO65" s="207"/>
      <c r="AP65" s="204"/>
      <c r="AQ65" s="207"/>
      <c r="AR65" s="204"/>
      <c r="AS65" s="197">
        <f t="shared" si="6"/>
        <v>9</v>
      </c>
      <c r="AT65" s="248">
        <v>53999</v>
      </c>
      <c r="AU65" s="199">
        <f t="shared" si="7"/>
        <v>485991</v>
      </c>
    </row>
    <row r="66" spans="1:47" s="22" customFormat="1" ht="18.75" customHeight="1" x14ac:dyDescent="0.25">
      <c r="A66" s="187">
        <v>57</v>
      </c>
      <c r="B66" s="203"/>
      <c r="C66" s="189" t="s">
        <v>93</v>
      </c>
      <c r="D66" s="190" t="s">
        <v>108</v>
      </c>
      <c r="E66" s="165" t="s">
        <v>204</v>
      </c>
      <c r="F66" s="47" t="s">
        <v>66</v>
      </c>
      <c r="G66" s="211"/>
      <c r="H66" s="211"/>
      <c r="I66" s="211"/>
      <c r="J66" s="211"/>
      <c r="K66" s="47">
        <v>21</v>
      </c>
      <c r="L66" s="204">
        <f t="shared" si="9"/>
        <v>23079</v>
      </c>
      <c r="M66" s="205"/>
      <c r="N66" s="206"/>
      <c r="O66" s="207"/>
      <c r="P66" s="204"/>
      <c r="Q66" s="205"/>
      <c r="R66" s="204"/>
      <c r="S66" s="207"/>
      <c r="T66" s="204"/>
      <c r="U66" s="205"/>
      <c r="V66" s="204"/>
      <c r="W66" s="207"/>
      <c r="X66" s="204"/>
      <c r="Y66" s="207"/>
      <c r="Z66" s="204"/>
      <c r="AA66" s="207"/>
      <c r="AB66" s="204"/>
      <c r="AC66" s="207"/>
      <c r="AD66" s="204"/>
      <c r="AE66" s="207"/>
      <c r="AF66" s="204"/>
      <c r="AG66" s="207"/>
      <c r="AH66" s="204"/>
      <c r="AI66" s="207"/>
      <c r="AJ66" s="204"/>
      <c r="AK66" s="207"/>
      <c r="AL66" s="204"/>
      <c r="AM66" s="207"/>
      <c r="AN66" s="204"/>
      <c r="AO66" s="207"/>
      <c r="AP66" s="204"/>
      <c r="AQ66" s="207"/>
      <c r="AR66" s="204"/>
      <c r="AS66" s="197">
        <f t="shared" si="6"/>
        <v>21</v>
      </c>
      <c r="AT66" s="248">
        <v>1099</v>
      </c>
      <c r="AU66" s="199">
        <f t="shared" si="7"/>
        <v>23079</v>
      </c>
    </row>
    <row r="67" spans="1:47" s="22" customFormat="1" ht="18.75" customHeight="1" x14ac:dyDescent="0.25">
      <c r="A67" s="187">
        <v>58</v>
      </c>
      <c r="B67" s="218"/>
      <c r="C67" s="189" t="s">
        <v>93</v>
      </c>
      <c r="D67" s="190" t="s">
        <v>108</v>
      </c>
      <c r="E67" s="165" t="s">
        <v>60</v>
      </c>
      <c r="F67" s="202" t="s">
        <v>66</v>
      </c>
      <c r="G67" s="219"/>
      <c r="H67" s="219"/>
      <c r="I67" s="219"/>
      <c r="J67" s="219"/>
      <c r="K67" s="249">
        <v>40</v>
      </c>
      <c r="L67" s="204">
        <f t="shared" si="9"/>
        <v>155160</v>
      </c>
      <c r="M67" s="205"/>
      <c r="N67" s="206">
        <f t="shared" ref="N67:N87" si="10">+M67*AT67</f>
        <v>0</v>
      </c>
      <c r="O67" s="207"/>
      <c r="P67" s="204"/>
      <c r="Q67" s="205"/>
      <c r="R67" s="204"/>
      <c r="S67" s="207"/>
      <c r="T67" s="204"/>
      <c r="U67" s="205"/>
      <c r="V67" s="204"/>
      <c r="W67" s="207"/>
      <c r="X67" s="204"/>
      <c r="Y67" s="207"/>
      <c r="Z67" s="204"/>
      <c r="AA67" s="207"/>
      <c r="AB67" s="204"/>
      <c r="AC67" s="207"/>
      <c r="AD67" s="204"/>
      <c r="AE67" s="207"/>
      <c r="AF67" s="204"/>
      <c r="AG67" s="207"/>
      <c r="AH67" s="204"/>
      <c r="AI67" s="207"/>
      <c r="AJ67" s="204"/>
      <c r="AK67" s="207"/>
      <c r="AL67" s="204"/>
      <c r="AM67" s="207"/>
      <c r="AN67" s="204"/>
      <c r="AO67" s="207"/>
      <c r="AP67" s="204"/>
      <c r="AQ67" s="207"/>
      <c r="AR67" s="204"/>
      <c r="AS67" s="197">
        <f t="shared" si="6"/>
        <v>40</v>
      </c>
      <c r="AT67" s="220">
        <v>3879</v>
      </c>
      <c r="AU67" s="199">
        <f t="shared" si="7"/>
        <v>155160</v>
      </c>
    </row>
    <row r="68" spans="1:47" s="22" customFormat="1" ht="18.75" customHeight="1" x14ac:dyDescent="0.25">
      <c r="A68" s="187">
        <v>59</v>
      </c>
      <c r="B68" s="218"/>
      <c r="C68" s="189" t="s">
        <v>93</v>
      </c>
      <c r="D68" s="190" t="s">
        <v>108</v>
      </c>
      <c r="E68" s="165" t="s">
        <v>176</v>
      </c>
      <c r="F68" s="216" t="s">
        <v>66</v>
      </c>
      <c r="G68" s="219"/>
      <c r="H68" s="219"/>
      <c r="I68" s="219"/>
      <c r="J68" s="219"/>
      <c r="K68" s="249">
        <v>20</v>
      </c>
      <c r="L68" s="204">
        <f t="shared" si="9"/>
        <v>66100</v>
      </c>
      <c r="M68" s="205"/>
      <c r="N68" s="206">
        <f t="shared" si="10"/>
        <v>0</v>
      </c>
      <c r="O68" s="207"/>
      <c r="P68" s="204"/>
      <c r="Q68" s="205"/>
      <c r="R68" s="204"/>
      <c r="S68" s="207"/>
      <c r="T68" s="204"/>
      <c r="U68" s="205"/>
      <c r="V68" s="204"/>
      <c r="W68" s="207"/>
      <c r="X68" s="204"/>
      <c r="Y68" s="207"/>
      <c r="Z68" s="204"/>
      <c r="AA68" s="207"/>
      <c r="AB68" s="204"/>
      <c r="AC68" s="207"/>
      <c r="AD68" s="204"/>
      <c r="AE68" s="207"/>
      <c r="AF68" s="204"/>
      <c r="AG68" s="207"/>
      <c r="AH68" s="204"/>
      <c r="AI68" s="207"/>
      <c r="AJ68" s="204"/>
      <c r="AK68" s="207"/>
      <c r="AL68" s="204"/>
      <c r="AM68" s="207"/>
      <c r="AN68" s="204"/>
      <c r="AO68" s="207"/>
      <c r="AP68" s="204"/>
      <c r="AQ68" s="207"/>
      <c r="AR68" s="204"/>
      <c r="AS68" s="197">
        <f t="shared" si="6"/>
        <v>20</v>
      </c>
      <c r="AT68" s="250">
        <v>3305</v>
      </c>
      <c r="AU68" s="199">
        <f t="shared" si="7"/>
        <v>66100</v>
      </c>
    </row>
    <row r="69" spans="1:47" s="22" customFormat="1" ht="18.75" customHeight="1" x14ac:dyDescent="0.25">
      <c r="A69" s="187">
        <v>60</v>
      </c>
      <c r="B69" s="137"/>
      <c r="C69" s="189" t="s">
        <v>93</v>
      </c>
      <c r="D69" s="190" t="s">
        <v>108</v>
      </c>
      <c r="E69" s="165" t="s">
        <v>175</v>
      </c>
      <c r="F69" s="249" t="s">
        <v>66</v>
      </c>
      <c r="G69" s="211"/>
      <c r="H69" s="211"/>
      <c r="I69" s="211"/>
      <c r="J69" s="211"/>
      <c r="K69" s="202">
        <v>20</v>
      </c>
      <c r="L69" s="204">
        <f t="shared" si="9"/>
        <v>46160</v>
      </c>
      <c r="M69" s="205"/>
      <c r="N69" s="206">
        <f t="shared" si="10"/>
        <v>0</v>
      </c>
      <c r="O69" s="207"/>
      <c r="P69" s="204"/>
      <c r="Q69" s="205"/>
      <c r="R69" s="204"/>
      <c r="S69" s="207"/>
      <c r="T69" s="204"/>
      <c r="U69" s="205"/>
      <c r="V69" s="204"/>
      <c r="W69" s="207"/>
      <c r="X69" s="204"/>
      <c r="Y69" s="207"/>
      <c r="Z69" s="204"/>
      <c r="AA69" s="207"/>
      <c r="AB69" s="204"/>
      <c r="AC69" s="207"/>
      <c r="AD69" s="204"/>
      <c r="AE69" s="207"/>
      <c r="AF69" s="204"/>
      <c r="AG69" s="207"/>
      <c r="AH69" s="204"/>
      <c r="AI69" s="207"/>
      <c r="AJ69" s="204"/>
      <c r="AK69" s="207"/>
      <c r="AL69" s="204"/>
      <c r="AM69" s="207"/>
      <c r="AN69" s="204"/>
      <c r="AO69" s="207"/>
      <c r="AP69" s="204"/>
      <c r="AQ69" s="207"/>
      <c r="AR69" s="204"/>
      <c r="AS69" s="197">
        <f t="shared" si="6"/>
        <v>20</v>
      </c>
      <c r="AT69" s="251">
        <v>2308</v>
      </c>
      <c r="AU69" s="199">
        <f t="shared" si="7"/>
        <v>46160</v>
      </c>
    </row>
    <row r="70" spans="1:47" s="22" customFormat="1" ht="18.75" customHeight="1" x14ac:dyDescent="0.25">
      <c r="A70" s="187">
        <v>61</v>
      </c>
      <c r="B70" s="137"/>
      <c r="C70" s="189" t="s">
        <v>93</v>
      </c>
      <c r="D70" s="190" t="s">
        <v>108</v>
      </c>
      <c r="E70" s="165" t="s">
        <v>265</v>
      </c>
      <c r="F70" s="249" t="s">
        <v>66</v>
      </c>
      <c r="G70" s="211"/>
      <c r="H70" s="211"/>
      <c r="I70" s="211"/>
      <c r="J70" s="211"/>
      <c r="K70" s="202"/>
      <c r="L70" s="204"/>
      <c r="M70" s="205">
        <v>12</v>
      </c>
      <c r="N70" s="206">
        <f>+M70*AT70</f>
        <v>236922.84</v>
      </c>
      <c r="O70" s="207"/>
      <c r="P70" s="204"/>
      <c r="Q70" s="205"/>
      <c r="R70" s="204"/>
      <c r="S70" s="207"/>
      <c r="T70" s="204"/>
      <c r="U70" s="205"/>
      <c r="V70" s="204"/>
      <c r="W70" s="207"/>
      <c r="X70" s="204"/>
      <c r="Y70" s="207"/>
      <c r="Z70" s="204"/>
      <c r="AA70" s="207"/>
      <c r="AB70" s="204"/>
      <c r="AC70" s="207"/>
      <c r="AD70" s="204"/>
      <c r="AE70" s="207"/>
      <c r="AF70" s="204"/>
      <c r="AG70" s="207"/>
      <c r="AH70" s="204"/>
      <c r="AI70" s="207"/>
      <c r="AJ70" s="204"/>
      <c r="AK70" s="207"/>
      <c r="AL70" s="204"/>
      <c r="AM70" s="207"/>
      <c r="AN70" s="204"/>
      <c r="AO70" s="207"/>
      <c r="AP70" s="204"/>
      <c r="AQ70" s="207"/>
      <c r="AR70" s="204"/>
      <c r="AS70" s="197">
        <f>+M70</f>
        <v>12</v>
      </c>
      <c r="AT70" s="251">
        <v>19743.57</v>
      </c>
      <c r="AU70" s="199">
        <f t="shared" si="7"/>
        <v>236922.84</v>
      </c>
    </row>
    <row r="71" spans="1:47" s="22" customFormat="1" ht="25.5" x14ac:dyDescent="0.25">
      <c r="A71" s="187">
        <v>62</v>
      </c>
      <c r="B71" s="188"/>
      <c r="C71" s="189" t="s">
        <v>93</v>
      </c>
      <c r="D71" s="190" t="s">
        <v>108</v>
      </c>
      <c r="E71" s="222" t="s">
        <v>82</v>
      </c>
      <c r="F71" s="252" t="s">
        <v>14</v>
      </c>
      <c r="G71" s="211"/>
      <c r="H71" s="211"/>
      <c r="I71" s="211"/>
      <c r="J71" s="211"/>
      <c r="K71" s="212"/>
      <c r="L71" s="204"/>
      <c r="M71" s="205">
        <v>16</v>
      </c>
      <c r="N71" s="206">
        <f t="shared" si="10"/>
        <v>322560</v>
      </c>
      <c r="O71" s="207"/>
      <c r="P71" s="204"/>
      <c r="Q71" s="205"/>
      <c r="R71" s="204"/>
      <c r="S71" s="207"/>
      <c r="T71" s="204"/>
      <c r="U71" s="205"/>
      <c r="V71" s="204"/>
      <c r="W71" s="207"/>
      <c r="X71" s="204"/>
      <c r="Y71" s="207"/>
      <c r="Z71" s="204"/>
      <c r="AA71" s="207"/>
      <c r="AB71" s="204"/>
      <c r="AC71" s="207"/>
      <c r="AD71" s="204"/>
      <c r="AE71" s="207"/>
      <c r="AF71" s="204"/>
      <c r="AG71" s="207"/>
      <c r="AH71" s="204"/>
      <c r="AI71" s="207"/>
      <c r="AJ71" s="204"/>
      <c r="AK71" s="207"/>
      <c r="AL71" s="204"/>
      <c r="AM71" s="207"/>
      <c r="AN71" s="204"/>
      <c r="AO71" s="207"/>
      <c r="AP71" s="204"/>
      <c r="AQ71" s="207"/>
      <c r="AR71" s="204"/>
      <c r="AS71" s="197">
        <f t="shared" si="6"/>
        <v>16</v>
      </c>
      <c r="AT71" s="253">
        <v>20160</v>
      </c>
      <c r="AU71" s="199">
        <f t="shared" si="7"/>
        <v>322560</v>
      </c>
    </row>
    <row r="72" spans="1:47" s="22" customFormat="1" ht="102" x14ac:dyDescent="0.25">
      <c r="A72" s="187">
        <v>63</v>
      </c>
      <c r="B72" s="188"/>
      <c r="C72" s="189" t="s">
        <v>93</v>
      </c>
      <c r="D72" s="190" t="s">
        <v>108</v>
      </c>
      <c r="E72" s="222" t="s">
        <v>260</v>
      </c>
      <c r="F72" s="252" t="s">
        <v>14</v>
      </c>
      <c r="G72" s="211"/>
      <c r="H72" s="211"/>
      <c r="I72" s="211"/>
      <c r="J72" s="211"/>
      <c r="K72" s="254"/>
      <c r="L72" s="204"/>
      <c r="M72" s="205">
        <v>16</v>
      </c>
      <c r="N72" s="206">
        <f t="shared" si="10"/>
        <v>580800</v>
      </c>
      <c r="O72" s="207"/>
      <c r="P72" s="204"/>
      <c r="Q72" s="205"/>
      <c r="R72" s="204"/>
      <c r="S72" s="207"/>
      <c r="T72" s="204"/>
      <c r="U72" s="205"/>
      <c r="V72" s="204"/>
      <c r="W72" s="207"/>
      <c r="X72" s="204"/>
      <c r="Y72" s="207"/>
      <c r="Z72" s="204"/>
      <c r="AA72" s="207"/>
      <c r="AB72" s="204"/>
      <c r="AC72" s="207"/>
      <c r="AD72" s="204"/>
      <c r="AE72" s="207"/>
      <c r="AF72" s="204"/>
      <c r="AG72" s="207"/>
      <c r="AH72" s="204"/>
      <c r="AI72" s="207"/>
      <c r="AJ72" s="204"/>
      <c r="AK72" s="207"/>
      <c r="AL72" s="204"/>
      <c r="AM72" s="207"/>
      <c r="AN72" s="204"/>
      <c r="AO72" s="207"/>
      <c r="AP72" s="204"/>
      <c r="AQ72" s="207"/>
      <c r="AR72" s="204"/>
      <c r="AS72" s="197">
        <f t="shared" si="6"/>
        <v>16</v>
      </c>
      <c r="AT72" s="253">
        <v>36300</v>
      </c>
      <c r="AU72" s="199">
        <f t="shared" si="7"/>
        <v>580800</v>
      </c>
    </row>
    <row r="73" spans="1:47" s="22" customFormat="1" ht="18.75" customHeight="1" x14ac:dyDescent="0.25">
      <c r="A73" s="187">
        <v>64</v>
      </c>
      <c r="B73" s="203"/>
      <c r="C73" s="189" t="s">
        <v>93</v>
      </c>
      <c r="D73" s="190" t="s">
        <v>108</v>
      </c>
      <c r="E73" s="215" t="s">
        <v>72</v>
      </c>
      <c r="F73" s="48" t="s">
        <v>66</v>
      </c>
      <c r="G73" s="236"/>
      <c r="H73" s="236"/>
      <c r="I73" s="236"/>
      <c r="J73" s="236"/>
      <c r="K73" s="48">
        <v>20</v>
      </c>
      <c r="L73" s="204">
        <f t="shared" ref="L73:L88" si="11">+K73*AT73</f>
        <v>142000</v>
      </c>
      <c r="M73" s="205"/>
      <c r="N73" s="206">
        <f t="shared" si="10"/>
        <v>0</v>
      </c>
      <c r="O73" s="207"/>
      <c r="P73" s="204"/>
      <c r="Q73" s="205"/>
      <c r="R73" s="204"/>
      <c r="S73" s="207"/>
      <c r="T73" s="204"/>
      <c r="U73" s="205"/>
      <c r="V73" s="204"/>
      <c r="W73" s="207"/>
      <c r="X73" s="204"/>
      <c r="Y73" s="207"/>
      <c r="Z73" s="204"/>
      <c r="AA73" s="207"/>
      <c r="AB73" s="204"/>
      <c r="AC73" s="207"/>
      <c r="AD73" s="204"/>
      <c r="AE73" s="207"/>
      <c r="AF73" s="204"/>
      <c r="AG73" s="207"/>
      <c r="AH73" s="204"/>
      <c r="AI73" s="207"/>
      <c r="AJ73" s="204"/>
      <c r="AK73" s="207"/>
      <c r="AL73" s="204"/>
      <c r="AM73" s="207"/>
      <c r="AN73" s="204"/>
      <c r="AO73" s="207"/>
      <c r="AP73" s="204"/>
      <c r="AQ73" s="207"/>
      <c r="AR73" s="204"/>
      <c r="AS73" s="197">
        <f t="shared" si="6"/>
        <v>20</v>
      </c>
      <c r="AT73" s="251">
        <v>7100</v>
      </c>
      <c r="AU73" s="199">
        <f t="shared" si="7"/>
        <v>142000</v>
      </c>
    </row>
    <row r="74" spans="1:47" s="22" customFormat="1" ht="18.75" customHeight="1" x14ac:dyDescent="0.25">
      <c r="A74" s="187">
        <v>65</v>
      </c>
      <c r="B74" s="218"/>
      <c r="C74" s="189" t="s">
        <v>93</v>
      </c>
      <c r="D74" s="190" t="s">
        <v>108</v>
      </c>
      <c r="E74" s="201" t="s">
        <v>177</v>
      </c>
      <c r="F74" s="249" t="s">
        <v>66</v>
      </c>
      <c r="G74" s="203"/>
      <c r="H74" s="203"/>
      <c r="I74" s="203"/>
      <c r="J74" s="203"/>
      <c r="K74" s="249">
        <v>20</v>
      </c>
      <c r="L74" s="204">
        <f t="shared" si="11"/>
        <v>130760</v>
      </c>
      <c r="M74" s="205"/>
      <c r="N74" s="206">
        <f t="shared" si="10"/>
        <v>0</v>
      </c>
      <c r="O74" s="207"/>
      <c r="P74" s="204"/>
      <c r="Q74" s="205"/>
      <c r="R74" s="204"/>
      <c r="S74" s="207"/>
      <c r="T74" s="204"/>
      <c r="U74" s="205"/>
      <c r="V74" s="204"/>
      <c r="W74" s="207"/>
      <c r="X74" s="204"/>
      <c r="Y74" s="207"/>
      <c r="Z74" s="204"/>
      <c r="AA74" s="207"/>
      <c r="AB74" s="204"/>
      <c r="AC74" s="207"/>
      <c r="AD74" s="204"/>
      <c r="AE74" s="207"/>
      <c r="AF74" s="204"/>
      <c r="AG74" s="207"/>
      <c r="AH74" s="204"/>
      <c r="AI74" s="207"/>
      <c r="AJ74" s="204"/>
      <c r="AK74" s="207"/>
      <c r="AL74" s="204"/>
      <c r="AM74" s="207"/>
      <c r="AN74" s="204"/>
      <c r="AO74" s="207"/>
      <c r="AP74" s="204"/>
      <c r="AQ74" s="207"/>
      <c r="AR74" s="204"/>
      <c r="AS74" s="197">
        <f t="shared" si="6"/>
        <v>20</v>
      </c>
      <c r="AT74" s="251">
        <v>6538</v>
      </c>
      <c r="AU74" s="199">
        <f t="shared" si="7"/>
        <v>130760</v>
      </c>
    </row>
    <row r="75" spans="1:47" s="22" customFormat="1" ht="18.75" customHeight="1" x14ac:dyDescent="0.25">
      <c r="A75" s="187">
        <v>66</v>
      </c>
      <c r="B75" s="218"/>
      <c r="C75" s="189" t="s">
        <v>93</v>
      </c>
      <c r="D75" s="190" t="s">
        <v>108</v>
      </c>
      <c r="E75" s="201" t="s">
        <v>56</v>
      </c>
      <c r="F75" s="249" t="s">
        <v>66</v>
      </c>
      <c r="G75" s="219"/>
      <c r="H75" s="219"/>
      <c r="I75" s="219"/>
      <c r="J75" s="219"/>
      <c r="K75" s="249">
        <v>200</v>
      </c>
      <c r="L75" s="204">
        <f t="shared" si="11"/>
        <v>359400</v>
      </c>
      <c r="M75" s="205"/>
      <c r="N75" s="206">
        <f t="shared" si="10"/>
        <v>0</v>
      </c>
      <c r="O75" s="207"/>
      <c r="P75" s="204"/>
      <c r="Q75" s="205"/>
      <c r="R75" s="204"/>
      <c r="S75" s="207"/>
      <c r="T75" s="204"/>
      <c r="U75" s="205"/>
      <c r="V75" s="204"/>
      <c r="W75" s="207"/>
      <c r="X75" s="204"/>
      <c r="Y75" s="207"/>
      <c r="Z75" s="204"/>
      <c r="AA75" s="207"/>
      <c r="AB75" s="204"/>
      <c r="AC75" s="207"/>
      <c r="AD75" s="204"/>
      <c r="AE75" s="207"/>
      <c r="AF75" s="204"/>
      <c r="AG75" s="207"/>
      <c r="AH75" s="204"/>
      <c r="AI75" s="207"/>
      <c r="AJ75" s="204"/>
      <c r="AK75" s="207"/>
      <c r="AL75" s="204"/>
      <c r="AM75" s="207"/>
      <c r="AN75" s="204"/>
      <c r="AO75" s="207"/>
      <c r="AP75" s="204"/>
      <c r="AQ75" s="207"/>
      <c r="AR75" s="204"/>
      <c r="AS75" s="197">
        <f t="shared" si="6"/>
        <v>200</v>
      </c>
      <c r="AT75" s="251">
        <v>1797</v>
      </c>
      <c r="AU75" s="199">
        <f t="shared" si="7"/>
        <v>359400</v>
      </c>
    </row>
    <row r="76" spans="1:47" s="22" customFormat="1" ht="18.75" customHeight="1" x14ac:dyDescent="0.25">
      <c r="A76" s="187">
        <v>67</v>
      </c>
      <c r="B76" s="218"/>
      <c r="C76" s="189" t="s">
        <v>93</v>
      </c>
      <c r="D76" s="190" t="s">
        <v>108</v>
      </c>
      <c r="E76" s="201" t="s">
        <v>59</v>
      </c>
      <c r="F76" s="249" t="s">
        <v>66</v>
      </c>
      <c r="G76" s="203"/>
      <c r="H76" s="203"/>
      <c r="I76" s="203"/>
      <c r="J76" s="203"/>
      <c r="K76" s="249">
        <v>10</v>
      </c>
      <c r="L76" s="204">
        <f t="shared" si="11"/>
        <v>36760</v>
      </c>
      <c r="M76" s="205"/>
      <c r="N76" s="206">
        <f t="shared" si="10"/>
        <v>0</v>
      </c>
      <c r="O76" s="207"/>
      <c r="P76" s="204"/>
      <c r="Q76" s="205"/>
      <c r="R76" s="204"/>
      <c r="S76" s="207"/>
      <c r="T76" s="204"/>
      <c r="U76" s="205"/>
      <c r="V76" s="204"/>
      <c r="W76" s="207"/>
      <c r="X76" s="204"/>
      <c r="Y76" s="207"/>
      <c r="Z76" s="204"/>
      <c r="AA76" s="207"/>
      <c r="AB76" s="204"/>
      <c r="AC76" s="207"/>
      <c r="AD76" s="204"/>
      <c r="AE76" s="207"/>
      <c r="AF76" s="204"/>
      <c r="AG76" s="207"/>
      <c r="AH76" s="204"/>
      <c r="AI76" s="207"/>
      <c r="AJ76" s="204"/>
      <c r="AK76" s="207"/>
      <c r="AL76" s="204"/>
      <c r="AM76" s="207"/>
      <c r="AN76" s="204"/>
      <c r="AO76" s="207"/>
      <c r="AP76" s="204"/>
      <c r="AQ76" s="207"/>
      <c r="AR76" s="204"/>
      <c r="AS76" s="197">
        <f t="shared" ref="AS76:AS106" si="12">+AQ76+AO76+AM76+AK76+AI76+AG76+AE76+AC76+AA76+Y76+W76+U76+S76+Q76+O76+M76+K76+I76</f>
        <v>10</v>
      </c>
      <c r="AT76" s="251">
        <v>3676</v>
      </c>
      <c r="AU76" s="199">
        <f t="shared" ref="AU76:AU106" si="13">+AS76*AT76</f>
        <v>36760</v>
      </c>
    </row>
    <row r="77" spans="1:47" s="22" customFormat="1" ht="18.75" customHeight="1" x14ac:dyDescent="0.25">
      <c r="A77" s="187">
        <v>68</v>
      </c>
      <c r="B77" s="218"/>
      <c r="C77" s="189" t="s">
        <v>93</v>
      </c>
      <c r="D77" s="190" t="s">
        <v>108</v>
      </c>
      <c r="E77" s="201" t="s">
        <v>179</v>
      </c>
      <c r="F77" s="249" t="s">
        <v>66</v>
      </c>
      <c r="G77" s="219"/>
      <c r="H77" s="219"/>
      <c r="I77" s="219"/>
      <c r="J77" s="219"/>
      <c r="K77" s="249">
        <v>80</v>
      </c>
      <c r="L77" s="204">
        <f t="shared" si="11"/>
        <v>173360</v>
      </c>
      <c r="M77" s="205"/>
      <c r="N77" s="206">
        <f t="shared" si="10"/>
        <v>0</v>
      </c>
      <c r="O77" s="207"/>
      <c r="P77" s="204"/>
      <c r="Q77" s="205"/>
      <c r="R77" s="204"/>
      <c r="S77" s="207"/>
      <c r="T77" s="204"/>
      <c r="U77" s="205"/>
      <c r="V77" s="204"/>
      <c r="W77" s="207"/>
      <c r="X77" s="204"/>
      <c r="Y77" s="207"/>
      <c r="Z77" s="204"/>
      <c r="AA77" s="207"/>
      <c r="AB77" s="204"/>
      <c r="AC77" s="207"/>
      <c r="AD77" s="204"/>
      <c r="AE77" s="207"/>
      <c r="AF77" s="204"/>
      <c r="AG77" s="207"/>
      <c r="AH77" s="204"/>
      <c r="AI77" s="207"/>
      <c r="AJ77" s="204"/>
      <c r="AK77" s="207"/>
      <c r="AL77" s="204"/>
      <c r="AM77" s="207"/>
      <c r="AN77" s="204"/>
      <c r="AO77" s="207"/>
      <c r="AP77" s="204"/>
      <c r="AQ77" s="207"/>
      <c r="AR77" s="204"/>
      <c r="AS77" s="197">
        <f t="shared" si="12"/>
        <v>80</v>
      </c>
      <c r="AT77" s="251">
        <v>2167</v>
      </c>
      <c r="AU77" s="199">
        <f t="shared" si="13"/>
        <v>173360</v>
      </c>
    </row>
    <row r="78" spans="1:47" s="22" customFormat="1" ht="18.75" customHeight="1" x14ac:dyDescent="0.25">
      <c r="A78" s="187">
        <v>69</v>
      </c>
      <c r="B78" s="191"/>
      <c r="C78" s="189" t="s">
        <v>93</v>
      </c>
      <c r="D78" s="190" t="s">
        <v>108</v>
      </c>
      <c r="E78" s="277" t="s">
        <v>55</v>
      </c>
      <c r="F78" s="249" t="s">
        <v>66</v>
      </c>
      <c r="G78" s="278"/>
      <c r="H78" s="278"/>
      <c r="I78" s="278"/>
      <c r="J78" s="278"/>
      <c r="K78" s="249">
        <v>20</v>
      </c>
      <c r="L78" s="279">
        <f t="shared" si="11"/>
        <v>142900</v>
      </c>
      <c r="M78" s="205"/>
      <c r="N78" s="206">
        <f t="shared" si="10"/>
        <v>0</v>
      </c>
      <c r="O78" s="207"/>
      <c r="P78" s="204"/>
      <c r="Q78" s="205"/>
      <c r="R78" s="204"/>
      <c r="S78" s="207"/>
      <c r="T78" s="204"/>
      <c r="U78" s="205"/>
      <c r="V78" s="204"/>
      <c r="W78" s="207"/>
      <c r="X78" s="204"/>
      <c r="Y78" s="207"/>
      <c r="Z78" s="204"/>
      <c r="AA78" s="207"/>
      <c r="AB78" s="204"/>
      <c r="AC78" s="207"/>
      <c r="AD78" s="204"/>
      <c r="AE78" s="207"/>
      <c r="AF78" s="204"/>
      <c r="AG78" s="207"/>
      <c r="AH78" s="204"/>
      <c r="AI78" s="207"/>
      <c r="AJ78" s="204"/>
      <c r="AK78" s="207"/>
      <c r="AL78" s="204"/>
      <c r="AM78" s="207"/>
      <c r="AN78" s="204"/>
      <c r="AO78" s="207"/>
      <c r="AP78" s="204"/>
      <c r="AQ78" s="207"/>
      <c r="AR78" s="204"/>
      <c r="AS78" s="197">
        <f t="shared" si="12"/>
        <v>20</v>
      </c>
      <c r="AT78" s="251">
        <v>7145</v>
      </c>
      <c r="AU78" s="199">
        <f t="shared" si="13"/>
        <v>142900</v>
      </c>
    </row>
    <row r="79" spans="1:47" s="22" customFormat="1" ht="26.25" customHeight="1" x14ac:dyDescent="0.25">
      <c r="A79" s="187">
        <v>70</v>
      </c>
      <c r="B79" s="137"/>
      <c r="C79" s="189" t="s">
        <v>93</v>
      </c>
      <c r="D79" s="190" t="s">
        <v>108</v>
      </c>
      <c r="E79" s="201" t="s">
        <v>180</v>
      </c>
      <c r="F79" s="202" t="s">
        <v>66</v>
      </c>
      <c r="G79" s="211"/>
      <c r="H79" s="211"/>
      <c r="I79" s="211"/>
      <c r="J79" s="211"/>
      <c r="K79" s="202">
        <v>20</v>
      </c>
      <c r="L79" s="204">
        <f t="shared" si="11"/>
        <v>99060</v>
      </c>
      <c r="M79" s="205"/>
      <c r="N79" s="206">
        <f t="shared" si="10"/>
        <v>0</v>
      </c>
      <c r="O79" s="207"/>
      <c r="P79" s="204"/>
      <c r="Q79" s="205"/>
      <c r="R79" s="204"/>
      <c r="S79" s="207"/>
      <c r="T79" s="204"/>
      <c r="U79" s="205"/>
      <c r="V79" s="204"/>
      <c r="W79" s="207"/>
      <c r="X79" s="204"/>
      <c r="Y79" s="207"/>
      <c r="Z79" s="204"/>
      <c r="AA79" s="207"/>
      <c r="AB79" s="204"/>
      <c r="AC79" s="207"/>
      <c r="AD79" s="204"/>
      <c r="AE79" s="207"/>
      <c r="AF79" s="204"/>
      <c r="AG79" s="207"/>
      <c r="AH79" s="204"/>
      <c r="AI79" s="207"/>
      <c r="AJ79" s="204"/>
      <c r="AK79" s="207"/>
      <c r="AL79" s="204"/>
      <c r="AM79" s="207"/>
      <c r="AN79" s="204"/>
      <c r="AO79" s="207"/>
      <c r="AP79" s="204"/>
      <c r="AQ79" s="207"/>
      <c r="AR79" s="204"/>
      <c r="AS79" s="197">
        <f t="shared" si="12"/>
        <v>20</v>
      </c>
      <c r="AT79" s="235">
        <v>4953</v>
      </c>
      <c r="AU79" s="199">
        <f t="shared" si="13"/>
        <v>99060</v>
      </c>
    </row>
    <row r="80" spans="1:47" s="22" customFormat="1" ht="18.75" customHeight="1" x14ac:dyDescent="0.25">
      <c r="A80" s="187">
        <v>71</v>
      </c>
      <c r="B80" s="218"/>
      <c r="C80" s="189" t="s">
        <v>93</v>
      </c>
      <c r="D80" s="190" t="s">
        <v>108</v>
      </c>
      <c r="E80" s="165" t="s">
        <v>54</v>
      </c>
      <c r="F80" s="234" t="s">
        <v>66</v>
      </c>
      <c r="G80" s="203"/>
      <c r="H80" s="203"/>
      <c r="I80" s="203"/>
      <c r="J80" s="203"/>
      <c r="K80" s="234">
        <v>20</v>
      </c>
      <c r="L80" s="204">
        <f t="shared" si="11"/>
        <v>142900</v>
      </c>
      <c r="M80" s="205"/>
      <c r="N80" s="206">
        <f t="shared" si="10"/>
        <v>0</v>
      </c>
      <c r="O80" s="207"/>
      <c r="P80" s="204"/>
      <c r="Q80" s="205"/>
      <c r="R80" s="204"/>
      <c r="S80" s="207"/>
      <c r="T80" s="204"/>
      <c r="U80" s="205"/>
      <c r="V80" s="204"/>
      <c r="W80" s="207"/>
      <c r="X80" s="204"/>
      <c r="Y80" s="207"/>
      <c r="Z80" s="204"/>
      <c r="AA80" s="207"/>
      <c r="AB80" s="204"/>
      <c r="AC80" s="207"/>
      <c r="AD80" s="204"/>
      <c r="AE80" s="207"/>
      <c r="AF80" s="204"/>
      <c r="AG80" s="207"/>
      <c r="AH80" s="204"/>
      <c r="AI80" s="207"/>
      <c r="AJ80" s="204"/>
      <c r="AK80" s="207"/>
      <c r="AL80" s="204"/>
      <c r="AM80" s="207"/>
      <c r="AN80" s="204"/>
      <c r="AO80" s="207"/>
      <c r="AP80" s="204"/>
      <c r="AQ80" s="207"/>
      <c r="AR80" s="204"/>
      <c r="AS80" s="197">
        <f t="shared" si="12"/>
        <v>20</v>
      </c>
      <c r="AT80" s="235">
        <v>7145</v>
      </c>
      <c r="AU80" s="199">
        <f t="shared" si="13"/>
        <v>142900</v>
      </c>
    </row>
    <row r="81" spans="1:52" s="22" customFormat="1" ht="18.75" customHeight="1" x14ac:dyDescent="0.25">
      <c r="A81" s="187">
        <v>72</v>
      </c>
      <c r="B81" s="218"/>
      <c r="C81" s="189" t="s">
        <v>93</v>
      </c>
      <c r="D81" s="190" t="s">
        <v>108</v>
      </c>
      <c r="E81" s="165" t="s">
        <v>53</v>
      </c>
      <c r="F81" s="234" t="s">
        <v>66</v>
      </c>
      <c r="G81" s="219"/>
      <c r="H81" s="219"/>
      <c r="I81" s="219"/>
      <c r="J81" s="219"/>
      <c r="K81" s="234">
        <v>20</v>
      </c>
      <c r="L81" s="204">
        <f t="shared" si="11"/>
        <v>99060</v>
      </c>
      <c r="M81" s="205"/>
      <c r="N81" s="206">
        <f t="shared" si="10"/>
        <v>0</v>
      </c>
      <c r="O81" s="207"/>
      <c r="P81" s="204"/>
      <c r="Q81" s="205"/>
      <c r="R81" s="204"/>
      <c r="S81" s="207"/>
      <c r="T81" s="204"/>
      <c r="U81" s="205"/>
      <c r="V81" s="204"/>
      <c r="W81" s="207"/>
      <c r="X81" s="204"/>
      <c r="Y81" s="207"/>
      <c r="Z81" s="204"/>
      <c r="AA81" s="207"/>
      <c r="AB81" s="204"/>
      <c r="AC81" s="207"/>
      <c r="AD81" s="204"/>
      <c r="AE81" s="207"/>
      <c r="AF81" s="204"/>
      <c r="AG81" s="207"/>
      <c r="AH81" s="204"/>
      <c r="AI81" s="207"/>
      <c r="AJ81" s="204"/>
      <c r="AK81" s="207"/>
      <c r="AL81" s="204"/>
      <c r="AM81" s="207"/>
      <c r="AN81" s="204"/>
      <c r="AO81" s="207"/>
      <c r="AP81" s="204"/>
      <c r="AQ81" s="207"/>
      <c r="AR81" s="204"/>
      <c r="AS81" s="197">
        <f t="shared" si="12"/>
        <v>20</v>
      </c>
      <c r="AT81" s="235">
        <v>4953</v>
      </c>
      <c r="AU81" s="199">
        <f t="shared" si="13"/>
        <v>99060</v>
      </c>
    </row>
    <row r="82" spans="1:52" s="22" customFormat="1" ht="18.75" customHeight="1" x14ac:dyDescent="0.25">
      <c r="A82" s="187">
        <v>73</v>
      </c>
      <c r="B82" s="137"/>
      <c r="C82" s="189" t="s">
        <v>93</v>
      </c>
      <c r="D82" s="190" t="s">
        <v>108</v>
      </c>
      <c r="E82" s="165" t="s">
        <v>51</v>
      </c>
      <c r="F82" s="234" t="s">
        <v>66</v>
      </c>
      <c r="G82" s="255"/>
      <c r="H82" s="255"/>
      <c r="I82" s="255"/>
      <c r="J82" s="255"/>
      <c r="K82" s="234">
        <v>10</v>
      </c>
      <c r="L82" s="204">
        <f t="shared" si="11"/>
        <v>82360</v>
      </c>
      <c r="M82" s="205"/>
      <c r="N82" s="206">
        <f t="shared" si="10"/>
        <v>0</v>
      </c>
      <c r="O82" s="207"/>
      <c r="P82" s="204"/>
      <c r="Q82" s="205"/>
      <c r="R82" s="204"/>
      <c r="S82" s="207"/>
      <c r="T82" s="204"/>
      <c r="U82" s="205"/>
      <c r="V82" s="204"/>
      <c r="W82" s="207"/>
      <c r="X82" s="204"/>
      <c r="Y82" s="207"/>
      <c r="Z82" s="204"/>
      <c r="AA82" s="207"/>
      <c r="AB82" s="204"/>
      <c r="AC82" s="207"/>
      <c r="AD82" s="204"/>
      <c r="AE82" s="207"/>
      <c r="AF82" s="204"/>
      <c r="AG82" s="207"/>
      <c r="AH82" s="204"/>
      <c r="AI82" s="207"/>
      <c r="AJ82" s="204"/>
      <c r="AK82" s="207"/>
      <c r="AL82" s="204"/>
      <c r="AM82" s="207"/>
      <c r="AN82" s="204"/>
      <c r="AO82" s="207"/>
      <c r="AP82" s="204"/>
      <c r="AQ82" s="207"/>
      <c r="AR82" s="204"/>
      <c r="AS82" s="197">
        <f t="shared" si="12"/>
        <v>10</v>
      </c>
      <c r="AT82" s="235">
        <v>8236</v>
      </c>
      <c r="AU82" s="199">
        <f t="shared" si="13"/>
        <v>82360</v>
      </c>
    </row>
    <row r="83" spans="1:52" s="22" customFormat="1" ht="18.75" customHeight="1" x14ac:dyDescent="0.25">
      <c r="A83" s="187">
        <v>74</v>
      </c>
      <c r="B83" s="218"/>
      <c r="C83" s="189" t="s">
        <v>93</v>
      </c>
      <c r="D83" s="190" t="s">
        <v>108</v>
      </c>
      <c r="E83" s="165" t="s">
        <v>50</v>
      </c>
      <c r="F83" s="234" t="s">
        <v>66</v>
      </c>
      <c r="G83" s="219"/>
      <c r="H83" s="219"/>
      <c r="I83" s="219"/>
      <c r="J83" s="219"/>
      <c r="K83" s="234">
        <v>10</v>
      </c>
      <c r="L83" s="204">
        <f t="shared" si="11"/>
        <v>96560</v>
      </c>
      <c r="M83" s="205"/>
      <c r="N83" s="206">
        <f t="shared" si="10"/>
        <v>0</v>
      </c>
      <c r="O83" s="207"/>
      <c r="P83" s="204"/>
      <c r="Q83" s="205"/>
      <c r="R83" s="204"/>
      <c r="S83" s="207"/>
      <c r="T83" s="204"/>
      <c r="U83" s="205"/>
      <c r="V83" s="204"/>
      <c r="W83" s="207"/>
      <c r="X83" s="204"/>
      <c r="Y83" s="207"/>
      <c r="Z83" s="204"/>
      <c r="AA83" s="207"/>
      <c r="AB83" s="204"/>
      <c r="AC83" s="207"/>
      <c r="AD83" s="204"/>
      <c r="AE83" s="207"/>
      <c r="AF83" s="204"/>
      <c r="AG83" s="207"/>
      <c r="AH83" s="204"/>
      <c r="AI83" s="207"/>
      <c r="AJ83" s="204"/>
      <c r="AK83" s="207"/>
      <c r="AL83" s="204"/>
      <c r="AM83" s="207"/>
      <c r="AN83" s="204"/>
      <c r="AO83" s="207"/>
      <c r="AP83" s="204"/>
      <c r="AQ83" s="207"/>
      <c r="AR83" s="204"/>
      <c r="AS83" s="197">
        <f t="shared" si="12"/>
        <v>10</v>
      </c>
      <c r="AT83" s="235">
        <v>9656</v>
      </c>
      <c r="AU83" s="199">
        <f t="shared" si="13"/>
        <v>96560</v>
      </c>
    </row>
    <row r="84" spans="1:52" s="22" customFormat="1" ht="18.75" customHeight="1" x14ac:dyDescent="0.25">
      <c r="A84" s="187">
        <v>75</v>
      </c>
      <c r="B84" s="218"/>
      <c r="C84" s="189" t="s">
        <v>93</v>
      </c>
      <c r="D84" s="190" t="s">
        <v>108</v>
      </c>
      <c r="E84" s="165" t="s">
        <v>49</v>
      </c>
      <c r="F84" s="234" t="s">
        <v>66</v>
      </c>
      <c r="G84" s="236"/>
      <c r="H84" s="236"/>
      <c r="I84" s="236"/>
      <c r="J84" s="236"/>
      <c r="K84" s="234">
        <v>5</v>
      </c>
      <c r="L84" s="204">
        <f t="shared" si="11"/>
        <v>60620</v>
      </c>
      <c r="M84" s="205"/>
      <c r="N84" s="206">
        <f t="shared" si="10"/>
        <v>0</v>
      </c>
      <c r="O84" s="207"/>
      <c r="P84" s="204"/>
      <c r="Q84" s="205"/>
      <c r="R84" s="204"/>
      <c r="S84" s="207"/>
      <c r="T84" s="204"/>
      <c r="U84" s="205"/>
      <c r="V84" s="204"/>
      <c r="W84" s="207"/>
      <c r="X84" s="204"/>
      <c r="Y84" s="207"/>
      <c r="Z84" s="204"/>
      <c r="AA84" s="207"/>
      <c r="AB84" s="204"/>
      <c r="AC84" s="207"/>
      <c r="AD84" s="204"/>
      <c r="AE84" s="207"/>
      <c r="AF84" s="204"/>
      <c r="AG84" s="207"/>
      <c r="AH84" s="204"/>
      <c r="AI84" s="207"/>
      <c r="AJ84" s="204"/>
      <c r="AK84" s="207"/>
      <c r="AL84" s="204"/>
      <c r="AM84" s="207"/>
      <c r="AN84" s="204"/>
      <c r="AO84" s="207"/>
      <c r="AP84" s="204"/>
      <c r="AQ84" s="207"/>
      <c r="AR84" s="204"/>
      <c r="AS84" s="197">
        <f t="shared" si="12"/>
        <v>5</v>
      </c>
      <c r="AT84" s="235">
        <v>12124</v>
      </c>
      <c r="AU84" s="199">
        <f t="shared" si="13"/>
        <v>60620</v>
      </c>
    </row>
    <row r="85" spans="1:52" s="22" customFormat="1" ht="36.75" customHeight="1" x14ac:dyDescent="0.25">
      <c r="A85" s="187">
        <v>76</v>
      </c>
      <c r="B85" s="137"/>
      <c r="C85" s="189" t="s">
        <v>93</v>
      </c>
      <c r="D85" s="190" t="s">
        <v>108</v>
      </c>
      <c r="E85" s="165" t="s">
        <v>52</v>
      </c>
      <c r="F85" s="234" t="s">
        <v>66</v>
      </c>
      <c r="G85" s="203"/>
      <c r="H85" s="203"/>
      <c r="I85" s="203"/>
      <c r="J85" s="203"/>
      <c r="K85" s="234">
        <v>10</v>
      </c>
      <c r="L85" s="204">
        <f t="shared" si="11"/>
        <v>202790</v>
      </c>
      <c r="M85" s="205"/>
      <c r="N85" s="206">
        <f t="shared" si="10"/>
        <v>0</v>
      </c>
      <c r="O85" s="207"/>
      <c r="P85" s="204"/>
      <c r="Q85" s="205"/>
      <c r="R85" s="204"/>
      <c r="S85" s="207"/>
      <c r="T85" s="204"/>
      <c r="U85" s="205"/>
      <c r="V85" s="204"/>
      <c r="W85" s="207"/>
      <c r="X85" s="204"/>
      <c r="Y85" s="207"/>
      <c r="Z85" s="204"/>
      <c r="AA85" s="207"/>
      <c r="AB85" s="204"/>
      <c r="AC85" s="207"/>
      <c r="AD85" s="204"/>
      <c r="AE85" s="207"/>
      <c r="AF85" s="204"/>
      <c r="AG85" s="207"/>
      <c r="AH85" s="204"/>
      <c r="AI85" s="207"/>
      <c r="AJ85" s="204"/>
      <c r="AK85" s="207"/>
      <c r="AL85" s="204"/>
      <c r="AM85" s="207"/>
      <c r="AN85" s="204"/>
      <c r="AO85" s="207"/>
      <c r="AP85" s="204"/>
      <c r="AQ85" s="207"/>
      <c r="AR85" s="204"/>
      <c r="AS85" s="197">
        <f t="shared" si="12"/>
        <v>10</v>
      </c>
      <c r="AT85" s="235">
        <v>20279</v>
      </c>
      <c r="AU85" s="199">
        <f t="shared" si="13"/>
        <v>202790</v>
      </c>
    </row>
    <row r="86" spans="1:52" s="22" customFormat="1" ht="18.75" customHeight="1" x14ac:dyDescent="0.25">
      <c r="A86" s="187">
        <v>77</v>
      </c>
      <c r="B86" s="218"/>
      <c r="C86" s="189" t="s">
        <v>93</v>
      </c>
      <c r="D86" s="190" t="s">
        <v>108</v>
      </c>
      <c r="E86" s="165" t="s">
        <v>48</v>
      </c>
      <c r="F86" s="234" t="s">
        <v>66</v>
      </c>
      <c r="G86" s="202"/>
      <c r="H86" s="202"/>
      <c r="I86" s="202"/>
      <c r="J86" s="202"/>
      <c r="K86" s="234">
        <v>20</v>
      </c>
      <c r="L86" s="204">
        <f t="shared" si="11"/>
        <v>32960</v>
      </c>
      <c r="M86" s="205"/>
      <c r="N86" s="206">
        <f t="shared" si="10"/>
        <v>0</v>
      </c>
      <c r="O86" s="207"/>
      <c r="P86" s="204"/>
      <c r="Q86" s="205"/>
      <c r="R86" s="204"/>
      <c r="S86" s="207"/>
      <c r="T86" s="204"/>
      <c r="U86" s="205"/>
      <c r="V86" s="204"/>
      <c r="W86" s="207"/>
      <c r="X86" s="204"/>
      <c r="Y86" s="207"/>
      <c r="Z86" s="204"/>
      <c r="AA86" s="207"/>
      <c r="AB86" s="204"/>
      <c r="AC86" s="207"/>
      <c r="AD86" s="204"/>
      <c r="AE86" s="207"/>
      <c r="AF86" s="204"/>
      <c r="AG86" s="207"/>
      <c r="AH86" s="204"/>
      <c r="AI86" s="207"/>
      <c r="AJ86" s="204"/>
      <c r="AK86" s="207"/>
      <c r="AL86" s="204"/>
      <c r="AM86" s="207"/>
      <c r="AN86" s="204"/>
      <c r="AO86" s="207"/>
      <c r="AP86" s="204"/>
      <c r="AQ86" s="207"/>
      <c r="AR86" s="204"/>
      <c r="AS86" s="197">
        <f t="shared" si="12"/>
        <v>20</v>
      </c>
      <c r="AT86" s="235">
        <v>1648</v>
      </c>
      <c r="AU86" s="199">
        <f t="shared" si="13"/>
        <v>32960</v>
      </c>
    </row>
    <row r="87" spans="1:52" s="22" customFormat="1" ht="38.25" customHeight="1" x14ac:dyDescent="0.25">
      <c r="A87" s="187">
        <v>78</v>
      </c>
      <c r="B87" s="137"/>
      <c r="C87" s="189" t="s">
        <v>93</v>
      </c>
      <c r="D87" s="190" t="s">
        <v>108</v>
      </c>
      <c r="E87" s="165" t="s">
        <v>47</v>
      </c>
      <c r="F87" s="234" t="s">
        <v>66</v>
      </c>
      <c r="G87" s="236"/>
      <c r="H87" s="236"/>
      <c r="I87" s="236"/>
      <c r="J87" s="236"/>
      <c r="K87" s="234">
        <v>10</v>
      </c>
      <c r="L87" s="204">
        <f t="shared" si="11"/>
        <v>107350</v>
      </c>
      <c r="M87" s="205"/>
      <c r="N87" s="206">
        <f t="shared" si="10"/>
        <v>0</v>
      </c>
      <c r="O87" s="207"/>
      <c r="P87" s="204"/>
      <c r="Q87" s="205"/>
      <c r="R87" s="204"/>
      <c r="S87" s="207"/>
      <c r="T87" s="204"/>
      <c r="U87" s="205"/>
      <c r="V87" s="204"/>
      <c r="W87" s="207"/>
      <c r="X87" s="204"/>
      <c r="Y87" s="207"/>
      <c r="Z87" s="204"/>
      <c r="AA87" s="207"/>
      <c r="AB87" s="204"/>
      <c r="AC87" s="207"/>
      <c r="AD87" s="204"/>
      <c r="AE87" s="207"/>
      <c r="AF87" s="204"/>
      <c r="AG87" s="207"/>
      <c r="AH87" s="204"/>
      <c r="AI87" s="207"/>
      <c r="AJ87" s="204"/>
      <c r="AK87" s="207"/>
      <c r="AL87" s="204"/>
      <c r="AM87" s="207"/>
      <c r="AN87" s="204"/>
      <c r="AO87" s="207"/>
      <c r="AP87" s="204"/>
      <c r="AQ87" s="207"/>
      <c r="AR87" s="204"/>
      <c r="AS87" s="197">
        <f t="shared" si="12"/>
        <v>10</v>
      </c>
      <c r="AT87" s="235">
        <v>10735</v>
      </c>
      <c r="AU87" s="199">
        <f t="shared" si="13"/>
        <v>107350</v>
      </c>
    </row>
    <row r="88" spans="1:52" s="22" customFormat="1" ht="32.25" customHeight="1" x14ac:dyDescent="0.25">
      <c r="A88" s="187">
        <v>79</v>
      </c>
      <c r="B88" s="203"/>
      <c r="C88" s="189" t="s">
        <v>93</v>
      </c>
      <c r="D88" s="190" t="s">
        <v>108</v>
      </c>
      <c r="E88" s="201" t="s">
        <v>192</v>
      </c>
      <c r="F88" s="138" t="s">
        <v>66</v>
      </c>
      <c r="G88" s="211"/>
      <c r="H88" s="211"/>
      <c r="I88" s="211"/>
      <c r="J88" s="211"/>
      <c r="K88" s="48">
        <v>10</v>
      </c>
      <c r="L88" s="204">
        <f t="shared" si="11"/>
        <v>162720</v>
      </c>
      <c r="M88" s="205">
        <v>12</v>
      </c>
      <c r="N88" s="206">
        <f>+M88*AT88</f>
        <v>195264</v>
      </c>
      <c r="O88" s="207"/>
      <c r="P88" s="204"/>
      <c r="Q88" s="205"/>
      <c r="R88" s="204"/>
      <c r="S88" s="207"/>
      <c r="T88" s="204"/>
      <c r="U88" s="205"/>
      <c r="V88" s="204"/>
      <c r="W88" s="207"/>
      <c r="X88" s="204"/>
      <c r="Y88" s="207"/>
      <c r="Z88" s="204"/>
      <c r="AA88" s="207"/>
      <c r="AB88" s="204"/>
      <c r="AC88" s="207"/>
      <c r="AD88" s="204"/>
      <c r="AE88" s="207"/>
      <c r="AF88" s="204"/>
      <c r="AG88" s="207"/>
      <c r="AH88" s="204"/>
      <c r="AI88" s="207"/>
      <c r="AJ88" s="204"/>
      <c r="AK88" s="207"/>
      <c r="AL88" s="204"/>
      <c r="AM88" s="207"/>
      <c r="AN88" s="204"/>
      <c r="AO88" s="207"/>
      <c r="AP88" s="204"/>
      <c r="AQ88" s="207"/>
      <c r="AR88" s="204"/>
      <c r="AS88" s="197">
        <f t="shared" si="12"/>
        <v>22</v>
      </c>
      <c r="AT88" s="235">
        <v>16272</v>
      </c>
      <c r="AU88" s="199">
        <f t="shared" si="13"/>
        <v>357984</v>
      </c>
    </row>
    <row r="89" spans="1:52" s="22" customFormat="1" ht="48" customHeight="1" x14ac:dyDescent="0.25">
      <c r="A89" s="187">
        <v>80</v>
      </c>
      <c r="B89" s="188"/>
      <c r="C89" s="189" t="s">
        <v>93</v>
      </c>
      <c r="D89" s="190" t="s">
        <v>108</v>
      </c>
      <c r="E89" s="256" t="s">
        <v>141</v>
      </c>
      <c r="F89" s="257" t="s">
        <v>12</v>
      </c>
      <c r="G89" s="211"/>
      <c r="H89" s="211"/>
      <c r="I89" s="211"/>
      <c r="J89" s="211"/>
      <c r="K89" s="254"/>
      <c r="L89" s="204"/>
      <c r="M89" s="213">
        <v>12</v>
      </c>
      <c r="N89" s="206">
        <f t="shared" ref="N89:N94" si="14">+M89*AT89</f>
        <v>477672</v>
      </c>
      <c r="O89" s="207"/>
      <c r="P89" s="204"/>
      <c r="Q89" s="205"/>
      <c r="R89" s="204"/>
      <c r="S89" s="207"/>
      <c r="T89" s="204"/>
      <c r="U89" s="205"/>
      <c r="V89" s="204"/>
      <c r="W89" s="207"/>
      <c r="X89" s="204"/>
      <c r="Y89" s="207"/>
      <c r="Z89" s="204"/>
      <c r="AA89" s="207"/>
      <c r="AB89" s="204"/>
      <c r="AC89" s="207"/>
      <c r="AD89" s="204"/>
      <c r="AE89" s="207"/>
      <c r="AF89" s="204"/>
      <c r="AG89" s="207"/>
      <c r="AH89" s="204"/>
      <c r="AI89" s="207"/>
      <c r="AJ89" s="204"/>
      <c r="AK89" s="207"/>
      <c r="AL89" s="204"/>
      <c r="AM89" s="207"/>
      <c r="AN89" s="204"/>
      <c r="AO89" s="207"/>
      <c r="AP89" s="204"/>
      <c r="AQ89" s="207"/>
      <c r="AR89" s="204"/>
      <c r="AS89" s="197">
        <f t="shared" si="12"/>
        <v>12</v>
      </c>
      <c r="AT89" s="214">
        <v>39806</v>
      </c>
      <c r="AU89" s="199">
        <f t="shared" si="13"/>
        <v>477672</v>
      </c>
    </row>
    <row r="90" spans="1:52" s="22" customFormat="1" ht="18.75" customHeight="1" x14ac:dyDescent="0.25">
      <c r="A90" s="187">
        <v>81</v>
      </c>
      <c r="B90" s="188"/>
      <c r="C90" s="189" t="s">
        <v>93</v>
      </c>
      <c r="D90" s="190" t="s">
        <v>108</v>
      </c>
      <c r="E90" s="256" t="s">
        <v>18</v>
      </c>
      <c r="F90" s="258" t="s">
        <v>19</v>
      </c>
      <c r="G90" s="211"/>
      <c r="H90" s="211"/>
      <c r="I90" s="211"/>
      <c r="J90" s="211"/>
      <c r="K90" s="254"/>
      <c r="L90" s="204"/>
      <c r="M90" s="259">
        <v>48</v>
      </c>
      <c r="N90" s="206">
        <f t="shared" si="14"/>
        <v>1111056</v>
      </c>
      <c r="O90" s="207"/>
      <c r="P90" s="204"/>
      <c r="Q90" s="205"/>
      <c r="R90" s="204"/>
      <c r="S90" s="207"/>
      <c r="T90" s="204"/>
      <c r="U90" s="205"/>
      <c r="V90" s="204"/>
      <c r="W90" s="207"/>
      <c r="X90" s="204"/>
      <c r="Y90" s="207"/>
      <c r="Z90" s="204"/>
      <c r="AA90" s="207"/>
      <c r="AB90" s="204"/>
      <c r="AC90" s="207"/>
      <c r="AD90" s="204"/>
      <c r="AE90" s="207"/>
      <c r="AF90" s="204"/>
      <c r="AG90" s="207"/>
      <c r="AH90" s="204"/>
      <c r="AI90" s="207"/>
      <c r="AJ90" s="204"/>
      <c r="AK90" s="207"/>
      <c r="AL90" s="204"/>
      <c r="AM90" s="207"/>
      <c r="AN90" s="204"/>
      <c r="AO90" s="207"/>
      <c r="AP90" s="204"/>
      <c r="AQ90" s="207"/>
      <c r="AR90" s="204"/>
      <c r="AS90" s="197">
        <f t="shared" si="12"/>
        <v>48</v>
      </c>
      <c r="AT90" s="260">
        <v>23147</v>
      </c>
      <c r="AU90" s="199">
        <f t="shared" si="13"/>
        <v>1111056</v>
      </c>
    </row>
    <row r="91" spans="1:52" s="22" customFormat="1" ht="26.25" customHeight="1" x14ac:dyDescent="0.25">
      <c r="A91" s="187">
        <v>82</v>
      </c>
      <c r="B91" s="188"/>
      <c r="C91" s="189" t="s">
        <v>93</v>
      </c>
      <c r="D91" s="190" t="s">
        <v>108</v>
      </c>
      <c r="E91" s="209" t="s">
        <v>132</v>
      </c>
      <c r="F91" s="210" t="s">
        <v>12</v>
      </c>
      <c r="G91" s="211"/>
      <c r="H91" s="211"/>
      <c r="I91" s="211"/>
      <c r="J91" s="211"/>
      <c r="K91" s="226"/>
      <c r="L91" s="204"/>
      <c r="M91" s="213">
        <v>12</v>
      </c>
      <c r="N91" s="206">
        <f t="shared" si="14"/>
        <v>308964</v>
      </c>
      <c r="O91" s="207"/>
      <c r="P91" s="204"/>
      <c r="Q91" s="205"/>
      <c r="R91" s="204"/>
      <c r="S91" s="207"/>
      <c r="T91" s="204"/>
      <c r="U91" s="205"/>
      <c r="V91" s="204"/>
      <c r="W91" s="207"/>
      <c r="X91" s="204"/>
      <c r="Y91" s="207"/>
      <c r="Z91" s="204"/>
      <c r="AA91" s="207"/>
      <c r="AB91" s="204"/>
      <c r="AC91" s="207"/>
      <c r="AD91" s="204"/>
      <c r="AE91" s="207"/>
      <c r="AF91" s="204"/>
      <c r="AG91" s="207"/>
      <c r="AH91" s="204"/>
      <c r="AI91" s="207"/>
      <c r="AJ91" s="204"/>
      <c r="AK91" s="207"/>
      <c r="AL91" s="204"/>
      <c r="AM91" s="207"/>
      <c r="AN91" s="204"/>
      <c r="AO91" s="207"/>
      <c r="AP91" s="204"/>
      <c r="AQ91" s="207"/>
      <c r="AR91" s="204"/>
      <c r="AS91" s="197">
        <f t="shared" si="12"/>
        <v>12</v>
      </c>
      <c r="AT91" s="214">
        <v>25747</v>
      </c>
      <c r="AU91" s="199">
        <f t="shared" si="13"/>
        <v>308964</v>
      </c>
      <c r="AV91" s="287"/>
      <c r="AW91" s="288"/>
      <c r="AX91" s="288"/>
      <c r="AY91" s="288"/>
      <c r="AZ91" s="289"/>
    </row>
    <row r="92" spans="1:52" s="22" customFormat="1" ht="33.75" customHeight="1" x14ac:dyDescent="0.25">
      <c r="A92" s="187">
        <v>83</v>
      </c>
      <c r="B92" s="188"/>
      <c r="C92" s="189" t="s">
        <v>93</v>
      </c>
      <c r="D92" s="190" t="s">
        <v>108</v>
      </c>
      <c r="E92" s="209" t="s">
        <v>133</v>
      </c>
      <c r="F92" s="210" t="s">
        <v>14</v>
      </c>
      <c r="G92" s="211"/>
      <c r="H92" s="211"/>
      <c r="I92" s="211"/>
      <c r="J92" s="211"/>
      <c r="K92" s="226"/>
      <c r="L92" s="204"/>
      <c r="M92" s="213">
        <v>3</v>
      </c>
      <c r="N92" s="206">
        <f t="shared" si="14"/>
        <v>151635</v>
      </c>
      <c r="O92" s="207"/>
      <c r="P92" s="204"/>
      <c r="Q92" s="205"/>
      <c r="R92" s="204"/>
      <c r="S92" s="207"/>
      <c r="T92" s="204"/>
      <c r="U92" s="205"/>
      <c r="V92" s="204"/>
      <c r="W92" s="207"/>
      <c r="X92" s="204"/>
      <c r="Y92" s="207"/>
      <c r="Z92" s="204"/>
      <c r="AA92" s="207"/>
      <c r="AB92" s="204"/>
      <c r="AC92" s="207"/>
      <c r="AD92" s="204"/>
      <c r="AE92" s="207"/>
      <c r="AF92" s="204"/>
      <c r="AG92" s="207"/>
      <c r="AH92" s="204"/>
      <c r="AI92" s="207"/>
      <c r="AJ92" s="204"/>
      <c r="AK92" s="207"/>
      <c r="AL92" s="204"/>
      <c r="AM92" s="207"/>
      <c r="AN92" s="204"/>
      <c r="AO92" s="207"/>
      <c r="AP92" s="204"/>
      <c r="AQ92" s="207"/>
      <c r="AR92" s="204"/>
      <c r="AS92" s="197">
        <f t="shared" si="12"/>
        <v>3</v>
      </c>
      <c r="AT92" s="214">
        <v>50545</v>
      </c>
      <c r="AU92" s="199">
        <f t="shared" si="13"/>
        <v>151635</v>
      </c>
      <c r="AV92" s="287"/>
      <c r="AW92" s="288"/>
      <c r="AX92" s="288"/>
      <c r="AY92" s="288"/>
      <c r="AZ92" s="289"/>
    </row>
    <row r="93" spans="1:52" s="22" customFormat="1" ht="33" customHeight="1" x14ac:dyDescent="0.25">
      <c r="A93" s="187">
        <v>84</v>
      </c>
      <c r="B93" s="188"/>
      <c r="C93" s="189" t="s">
        <v>93</v>
      </c>
      <c r="D93" s="190" t="s">
        <v>108</v>
      </c>
      <c r="E93" s="209" t="s">
        <v>120</v>
      </c>
      <c r="F93" s="261" t="s">
        <v>12</v>
      </c>
      <c r="G93" s="211"/>
      <c r="H93" s="211"/>
      <c r="I93" s="211"/>
      <c r="J93" s="211"/>
      <c r="K93" s="226"/>
      <c r="L93" s="204"/>
      <c r="M93" s="259">
        <v>24</v>
      </c>
      <c r="N93" s="206">
        <f t="shared" si="14"/>
        <v>842160</v>
      </c>
      <c r="O93" s="207"/>
      <c r="P93" s="204"/>
      <c r="Q93" s="205"/>
      <c r="R93" s="204"/>
      <c r="S93" s="207"/>
      <c r="T93" s="204"/>
      <c r="U93" s="205"/>
      <c r="V93" s="204"/>
      <c r="W93" s="207"/>
      <c r="X93" s="204"/>
      <c r="Y93" s="207"/>
      <c r="Z93" s="204"/>
      <c r="AA93" s="207"/>
      <c r="AB93" s="204"/>
      <c r="AC93" s="207"/>
      <c r="AD93" s="204"/>
      <c r="AE93" s="207"/>
      <c r="AF93" s="204"/>
      <c r="AG93" s="207"/>
      <c r="AH93" s="204"/>
      <c r="AI93" s="207"/>
      <c r="AJ93" s="204"/>
      <c r="AK93" s="207"/>
      <c r="AL93" s="204"/>
      <c r="AM93" s="207"/>
      <c r="AN93" s="204"/>
      <c r="AO93" s="207"/>
      <c r="AP93" s="204"/>
      <c r="AQ93" s="207"/>
      <c r="AR93" s="204"/>
      <c r="AS93" s="197">
        <f t="shared" si="12"/>
        <v>24</v>
      </c>
      <c r="AT93" s="214">
        <v>35090</v>
      </c>
      <c r="AU93" s="199">
        <f t="shared" si="13"/>
        <v>842160</v>
      </c>
      <c r="AV93" s="287"/>
      <c r="AW93" s="288"/>
      <c r="AX93" s="288"/>
      <c r="AY93" s="288"/>
      <c r="AZ93" s="289"/>
    </row>
    <row r="94" spans="1:52" s="22" customFormat="1" ht="54.75" customHeight="1" x14ac:dyDescent="0.25">
      <c r="A94" s="187">
        <v>85</v>
      </c>
      <c r="B94" s="188"/>
      <c r="C94" s="189" t="s">
        <v>93</v>
      </c>
      <c r="D94" s="190" t="s">
        <v>108</v>
      </c>
      <c r="E94" s="209" t="s">
        <v>119</v>
      </c>
      <c r="F94" s="261" t="s">
        <v>13</v>
      </c>
      <c r="G94" s="211"/>
      <c r="H94" s="211"/>
      <c r="I94" s="211"/>
      <c r="J94" s="211"/>
      <c r="K94" s="226"/>
      <c r="L94" s="204"/>
      <c r="M94" s="259">
        <v>72</v>
      </c>
      <c r="N94" s="206">
        <f t="shared" si="14"/>
        <v>2570040</v>
      </c>
      <c r="O94" s="207"/>
      <c r="P94" s="204"/>
      <c r="Q94" s="205"/>
      <c r="R94" s="204"/>
      <c r="S94" s="207"/>
      <c r="T94" s="204"/>
      <c r="U94" s="205"/>
      <c r="V94" s="204"/>
      <c r="W94" s="207"/>
      <c r="X94" s="204"/>
      <c r="Y94" s="207"/>
      <c r="Z94" s="204"/>
      <c r="AA94" s="207"/>
      <c r="AB94" s="204"/>
      <c r="AC94" s="207"/>
      <c r="AD94" s="204"/>
      <c r="AE94" s="207"/>
      <c r="AF94" s="204"/>
      <c r="AG94" s="207"/>
      <c r="AH94" s="204"/>
      <c r="AI94" s="207"/>
      <c r="AJ94" s="204"/>
      <c r="AK94" s="207"/>
      <c r="AL94" s="204"/>
      <c r="AM94" s="207"/>
      <c r="AN94" s="204"/>
      <c r="AO94" s="207"/>
      <c r="AP94" s="204"/>
      <c r="AQ94" s="207"/>
      <c r="AR94" s="204"/>
      <c r="AS94" s="197">
        <f t="shared" si="12"/>
        <v>72</v>
      </c>
      <c r="AT94" s="214">
        <v>35695</v>
      </c>
      <c r="AU94" s="199">
        <f t="shared" si="13"/>
        <v>2570040</v>
      </c>
      <c r="AV94" s="296"/>
      <c r="AW94" s="297" t="s">
        <v>79</v>
      </c>
      <c r="AX94" s="297" t="s">
        <v>79</v>
      </c>
      <c r="AY94" s="297" t="s">
        <v>79</v>
      </c>
      <c r="AZ94" s="297" t="s">
        <v>79</v>
      </c>
    </row>
    <row r="95" spans="1:52" s="22" customFormat="1" ht="18.75" customHeight="1" x14ac:dyDescent="0.25">
      <c r="A95" s="187">
        <v>86</v>
      </c>
      <c r="B95" s="203"/>
      <c r="C95" s="189" t="s">
        <v>93</v>
      </c>
      <c r="D95" s="190" t="s">
        <v>108</v>
      </c>
      <c r="E95" s="201" t="s">
        <v>200</v>
      </c>
      <c r="F95" s="202" t="s">
        <v>12</v>
      </c>
      <c r="G95" s="211"/>
      <c r="H95" s="211"/>
      <c r="I95" s="211"/>
      <c r="J95" s="211"/>
      <c r="K95" s="202">
        <v>21</v>
      </c>
      <c r="L95" s="204">
        <f t="shared" ref="L95:L100" si="15">+K95*AT95</f>
        <v>140133</v>
      </c>
      <c r="M95" s="205"/>
      <c r="N95" s="206"/>
      <c r="O95" s="207"/>
      <c r="P95" s="204"/>
      <c r="Q95" s="205"/>
      <c r="R95" s="204"/>
      <c r="S95" s="207"/>
      <c r="T95" s="204"/>
      <c r="U95" s="205"/>
      <c r="V95" s="204"/>
      <c r="W95" s="207"/>
      <c r="X95" s="204"/>
      <c r="Y95" s="207"/>
      <c r="Z95" s="204"/>
      <c r="AA95" s="207"/>
      <c r="AB95" s="204"/>
      <c r="AC95" s="207"/>
      <c r="AD95" s="204"/>
      <c r="AE95" s="207"/>
      <c r="AF95" s="204"/>
      <c r="AG95" s="207"/>
      <c r="AH95" s="204"/>
      <c r="AI95" s="207"/>
      <c r="AJ95" s="204"/>
      <c r="AK95" s="207"/>
      <c r="AL95" s="204"/>
      <c r="AM95" s="207"/>
      <c r="AN95" s="204"/>
      <c r="AO95" s="207"/>
      <c r="AP95" s="204"/>
      <c r="AQ95" s="207"/>
      <c r="AR95" s="204"/>
      <c r="AS95" s="197">
        <f t="shared" si="12"/>
        <v>21</v>
      </c>
      <c r="AT95" s="262">
        <v>6673</v>
      </c>
      <c r="AU95" s="199">
        <f t="shared" si="13"/>
        <v>140133</v>
      </c>
      <c r="AV95" s="298"/>
      <c r="AW95" s="299" t="s">
        <v>80</v>
      </c>
      <c r="AX95" s="299" t="s">
        <v>80</v>
      </c>
      <c r="AY95" s="299" t="s">
        <v>80</v>
      </c>
      <c r="AZ95" s="299" t="s">
        <v>80</v>
      </c>
    </row>
    <row r="96" spans="1:52" s="22" customFormat="1" ht="18.75" customHeight="1" x14ac:dyDescent="0.25">
      <c r="A96" s="187">
        <v>87</v>
      </c>
      <c r="B96" s="243"/>
      <c r="C96" s="189" t="s">
        <v>93</v>
      </c>
      <c r="D96" s="190" t="s">
        <v>108</v>
      </c>
      <c r="E96" s="201" t="s">
        <v>45</v>
      </c>
      <c r="F96" s="202" t="s">
        <v>66</v>
      </c>
      <c r="G96" s="203"/>
      <c r="H96" s="203"/>
      <c r="I96" s="203"/>
      <c r="J96" s="203"/>
      <c r="K96" s="202">
        <v>10</v>
      </c>
      <c r="L96" s="204">
        <f t="shared" si="15"/>
        <v>253250</v>
      </c>
      <c r="M96" s="205"/>
      <c r="N96" s="206">
        <f t="shared" ref="N96:N104" si="16">+M96*AT96</f>
        <v>0</v>
      </c>
      <c r="O96" s="207"/>
      <c r="P96" s="204"/>
      <c r="Q96" s="205"/>
      <c r="R96" s="204"/>
      <c r="S96" s="207"/>
      <c r="T96" s="204"/>
      <c r="U96" s="205"/>
      <c r="V96" s="204"/>
      <c r="W96" s="207"/>
      <c r="X96" s="204"/>
      <c r="Y96" s="207"/>
      <c r="Z96" s="204"/>
      <c r="AA96" s="207"/>
      <c r="AB96" s="204"/>
      <c r="AC96" s="207"/>
      <c r="AD96" s="204"/>
      <c r="AE96" s="207"/>
      <c r="AF96" s="204"/>
      <c r="AG96" s="207"/>
      <c r="AH96" s="204"/>
      <c r="AI96" s="207"/>
      <c r="AJ96" s="204"/>
      <c r="AK96" s="207"/>
      <c r="AL96" s="204"/>
      <c r="AM96" s="207"/>
      <c r="AN96" s="204"/>
      <c r="AO96" s="207"/>
      <c r="AP96" s="204"/>
      <c r="AQ96" s="207"/>
      <c r="AR96" s="204"/>
      <c r="AS96" s="197">
        <f t="shared" si="12"/>
        <v>10</v>
      </c>
      <c r="AT96" s="220">
        <v>25325</v>
      </c>
      <c r="AU96" s="199">
        <f t="shared" si="13"/>
        <v>253250</v>
      </c>
      <c r="AV96" s="300"/>
      <c r="AW96" s="301"/>
      <c r="AX96" s="301"/>
      <c r="AY96" s="301"/>
      <c r="AZ96" s="302"/>
    </row>
    <row r="97" spans="1:52" s="22" customFormat="1" ht="18.75" customHeight="1" x14ac:dyDescent="0.25">
      <c r="A97" s="187">
        <v>88</v>
      </c>
      <c r="B97" s="203"/>
      <c r="C97" s="189" t="s">
        <v>93</v>
      </c>
      <c r="D97" s="190" t="s">
        <v>108</v>
      </c>
      <c r="E97" s="201" t="s">
        <v>71</v>
      </c>
      <c r="F97" s="46" t="s">
        <v>66</v>
      </c>
      <c r="G97" s="203"/>
      <c r="H97" s="203"/>
      <c r="I97" s="203"/>
      <c r="J97" s="203"/>
      <c r="K97" s="46">
        <v>10</v>
      </c>
      <c r="L97" s="204">
        <f t="shared" si="15"/>
        <v>26000</v>
      </c>
      <c r="M97" s="205"/>
      <c r="N97" s="206">
        <f t="shared" si="16"/>
        <v>0</v>
      </c>
      <c r="O97" s="207"/>
      <c r="P97" s="204"/>
      <c r="Q97" s="205"/>
      <c r="R97" s="204"/>
      <c r="S97" s="207"/>
      <c r="T97" s="204"/>
      <c r="U97" s="205"/>
      <c r="V97" s="204"/>
      <c r="W97" s="207"/>
      <c r="X97" s="204"/>
      <c r="Y97" s="207"/>
      <c r="Z97" s="204"/>
      <c r="AA97" s="207"/>
      <c r="AB97" s="204"/>
      <c r="AC97" s="207"/>
      <c r="AD97" s="204"/>
      <c r="AE97" s="207"/>
      <c r="AF97" s="204"/>
      <c r="AG97" s="207"/>
      <c r="AH97" s="204"/>
      <c r="AI97" s="207"/>
      <c r="AJ97" s="204"/>
      <c r="AK97" s="207"/>
      <c r="AL97" s="204"/>
      <c r="AM97" s="207"/>
      <c r="AN97" s="204"/>
      <c r="AO97" s="207"/>
      <c r="AP97" s="204"/>
      <c r="AQ97" s="207"/>
      <c r="AR97" s="204"/>
      <c r="AS97" s="197">
        <f t="shared" si="12"/>
        <v>10</v>
      </c>
      <c r="AT97" s="220">
        <v>2600</v>
      </c>
      <c r="AU97" s="199">
        <f t="shared" si="13"/>
        <v>26000</v>
      </c>
      <c r="AV97" s="298"/>
      <c r="AW97" s="299" t="s">
        <v>81</v>
      </c>
      <c r="AX97" s="299" t="s">
        <v>81</v>
      </c>
      <c r="AY97" s="299" t="s">
        <v>81</v>
      </c>
      <c r="AZ97" s="299" t="s">
        <v>81</v>
      </c>
    </row>
    <row r="98" spans="1:52" s="22" customFormat="1" ht="18.75" customHeight="1" x14ac:dyDescent="0.25">
      <c r="A98" s="187">
        <v>89</v>
      </c>
      <c r="B98" s="203"/>
      <c r="C98" s="189" t="s">
        <v>93</v>
      </c>
      <c r="D98" s="190" t="s">
        <v>108</v>
      </c>
      <c r="E98" s="201" t="s">
        <v>73</v>
      </c>
      <c r="F98" s="46" t="s">
        <v>66</v>
      </c>
      <c r="G98" s="203"/>
      <c r="H98" s="203"/>
      <c r="I98" s="203"/>
      <c r="J98" s="203"/>
      <c r="K98" s="46">
        <v>10</v>
      </c>
      <c r="L98" s="204">
        <f t="shared" si="15"/>
        <v>65000</v>
      </c>
      <c r="M98" s="205"/>
      <c r="N98" s="206">
        <f t="shared" si="16"/>
        <v>0</v>
      </c>
      <c r="O98" s="207"/>
      <c r="P98" s="204"/>
      <c r="Q98" s="205"/>
      <c r="R98" s="204"/>
      <c r="S98" s="207"/>
      <c r="T98" s="204"/>
      <c r="U98" s="205"/>
      <c r="V98" s="204"/>
      <c r="W98" s="207"/>
      <c r="X98" s="204"/>
      <c r="Y98" s="207"/>
      <c r="Z98" s="204"/>
      <c r="AA98" s="207"/>
      <c r="AB98" s="204"/>
      <c r="AC98" s="207"/>
      <c r="AD98" s="204"/>
      <c r="AE98" s="207"/>
      <c r="AF98" s="204"/>
      <c r="AG98" s="207"/>
      <c r="AH98" s="204"/>
      <c r="AI98" s="207"/>
      <c r="AJ98" s="204"/>
      <c r="AK98" s="207"/>
      <c r="AL98" s="204"/>
      <c r="AM98" s="207"/>
      <c r="AN98" s="204"/>
      <c r="AO98" s="207"/>
      <c r="AP98" s="204"/>
      <c r="AQ98" s="207"/>
      <c r="AR98" s="204"/>
      <c r="AS98" s="197">
        <f t="shared" si="12"/>
        <v>10</v>
      </c>
      <c r="AT98" s="220">
        <v>6500</v>
      </c>
      <c r="AU98" s="199">
        <f t="shared" si="13"/>
        <v>65000</v>
      </c>
      <c r="AV98" s="290"/>
      <c r="AW98" s="291"/>
      <c r="AX98" s="291"/>
      <c r="AY98" s="291"/>
      <c r="AZ98" s="292"/>
    </row>
    <row r="99" spans="1:52" s="22" customFormat="1" ht="18.75" customHeight="1" thickBot="1" x14ac:dyDescent="0.3">
      <c r="A99" s="187">
        <v>90</v>
      </c>
      <c r="B99" s="203"/>
      <c r="C99" s="189" t="s">
        <v>93</v>
      </c>
      <c r="D99" s="190" t="s">
        <v>108</v>
      </c>
      <c r="E99" s="201" t="s">
        <v>74</v>
      </c>
      <c r="F99" s="46" t="s">
        <v>66</v>
      </c>
      <c r="G99" s="236"/>
      <c r="H99" s="236"/>
      <c r="I99" s="236"/>
      <c r="J99" s="236"/>
      <c r="K99" s="46">
        <v>30</v>
      </c>
      <c r="L99" s="204">
        <f t="shared" si="15"/>
        <v>234000</v>
      </c>
      <c r="M99" s="205"/>
      <c r="N99" s="206">
        <f t="shared" si="16"/>
        <v>0</v>
      </c>
      <c r="O99" s="207"/>
      <c r="P99" s="204"/>
      <c r="Q99" s="205"/>
      <c r="R99" s="204"/>
      <c r="S99" s="207"/>
      <c r="T99" s="204"/>
      <c r="U99" s="205"/>
      <c r="V99" s="204"/>
      <c r="W99" s="207"/>
      <c r="X99" s="204"/>
      <c r="Y99" s="207"/>
      <c r="Z99" s="204"/>
      <c r="AA99" s="207"/>
      <c r="AB99" s="204"/>
      <c r="AC99" s="207"/>
      <c r="AD99" s="204"/>
      <c r="AE99" s="207"/>
      <c r="AF99" s="204"/>
      <c r="AG99" s="207"/>
      <c r="AH99" s="204"/>
      <c r="AI99" s="207"/>
      <c r="AJ99" s="204"/>
      <c r="AK99" s="207"/>
      <c r="AL99" s="204"/>
      <c r="AM99" s="207"/>
      <c r="AN99" s="204"/>
      <c r="AO99" s="207"/>
      <c r="AP99" s="204"/>
      <c r="AQ99" s="207"/>
      <c r="AR99" s="204"/>
      <c r="AS99" s="197">
        <f t="shared" si="12"/>
        <v>30</v>
      </c>
      <c r="AT99" s="220">
        <v>7800</v>
      </c>
      <c r="AU99" s="199">
        <f t="shared" si="13"/>
        <v>234000</v>
      </c>
      <c r="AV99" s="304"/>
      <c r="AW99" s="304"/>
      <c r="AX99" s="304"/>
      <c r="AY99" s="304"/>
      <c r="AZ99" s="305"/>
    </row>
    <row r="100" spans="1:52" s="22" customFormat="1" ht="36" customHeight="1" x14ac:dyDescent="0.25">
      <c r="A100" s="187">
        <v>91</v>
      </c>
      <c r="B100" s="263"/>
      <c r="C100" s="189" t="s">
        <v>93</v>
      </c>
      <c r="D100" s="190" t="s">
        <v>108</v>
      </c>
      <c r="E100" s="201" t="s">
        <v>46</v>
      </c>
      <c r="F100" s="202" t="s">
        <v>66</v>
      </c>
      <c r="G100" s="202"/>
      <c r="H100" s="202"/>
      <c r="I100" s="202"/>
      <c r="J100" s="202"/>
      <c r="K100" s="202">
        <v>20</v>
      </c>
      <c r="L100" s="204">
        <f t="shared" si="15"/>
        <v>539800</v>
      </c>
      <c r="M100" s="205"/>
      <c r="N100" s="206">
        <f t="shared" si="16"/>
        <v>0</v>
      </c>
      <c r="O100" s="207"/>
      <c r="P100" s="204"/>
      <c r="Q100" s="205"/>
      <c r="R100" s="204"/>
      <c r="S100" s="207"/>
      <c r="T100" s="204"/>
      <c r="U100" s="205"/>
      <c r="V100" s="204"/>
      <c r="W100" s="207"/>
      <c r="X100" s="204"/>
      <c r="Y100" s="207"/>
      <c r="Z100" s="204"/>
      <c r="AA100" s="207"/>
      <c r="AB100" s="204"/>
      <c r="AC100" s="207"/>
      <c r="AD100" s="204"/>
      <c r="AE100" s="207"/>
      <c r="AF100" s="204"/>
      <c r="AG100" s="207"/>
      <c r="AH100" s="204"/>
      <c r="AI100" s="207"/>
      <c r="AJ100" s="204"/>
      <c r="AK100" s="207"/>
      <c r="AL100" s="204"/>
      <c r="AM100" s="207"/>
      <c r="AN100" s="204"/>
      <c r="AO100" s="207"/>
      <c r="AP100" s="204"/>
      <c r="AQ100" s="207"/>
      <c r="AR100" s="204"/>
      <c r="AS100" s="197">
        <f t="shared" si="12"/>
        <v>20</v>
      </c>
      <c r="AT100" s="220">
        <v>26990</v>
      </c>
      <c r="AU100" s="199">
        <f t="shared" si="13"/>
        <v>539800</v>
      </c>
      <c r="AV100" s="287"/>
      <c r="AW100" s="288" t="s">
        <v>20</v>
      </c>
      <c r="AX100" s="288" t="s">
        <v>20</v>
      </c>
      <c r="AY100" s="288" t="s">
        <v>20</v>
      </c>
      <c r="AZ100" s="289" t="s">
        <v>20</v>
      </c>
    </row>
    <row r="101" spans="1:52" s="22" customFormat="1" ht="26.25" customHeight="1" x14ac:dyDescent="0.25">
      <c r="A101" s="187">
        <v>92</v>
      </c>
      <c r="B101" s="188"/>
      <c r="C101" s="189" t="s">
        <v>93</v>
      </c>
      <c r="D101" s="190" t="s">
        <v>108</v>
      </c>
      <c r="E101" s="209" t="s">
        <v>124</v>
      </c>
      <c r="F101" s="261" t="s">
        <v>12</v>
      </c>
      <c r="G101" s="211"/>
      <c r="H101" s="211"/>
      <c r="I101" s="211"/>
      <c r="J101" s="211"/>
      <c r="K101" s="226"/>
      <c r="L101" s="204"/>
      <c r="M101" s="259">
        <v>9</v>
      </c>
      <c r="N101" s="206">
        <f t="shared" si="16"/>
        <v>262440</v>
      </c>
      <c r="O101" s="207"/>
      <c r="P101" s="204"/>
      <c r="Q101" s="205"/>
      <c r="R101" s="204"/>
      <c r="S101" s="207"/>
      <c r="T101" s="204"/>
      <c r="U101" s="205"/>
      <c r="V101" s="204"/>
      <c r="W101" s="207"/>
      <c r="X101" s="204"/>
      <c r="Y101" s="207"/>
      <c r="Z101" s="204"/>
      <c r="AA101" s="207"/>
      <c r="AB101" s="204"/>
      <c r="AC101" s="207"/>
      <c r="AD101" s="204"/>
      <c r="AE101" s="207"/>
      <c r="AF101" s="204"/>
      <c r="AG101" s="207"/>
      <c r="AH101" s="204"/>
      <c r="AI101" s="207"/>
      <c r="AJ101" s="204"/>
      <c r="AK101" s="207"/>
      <c r="AL101" s="204"/>
      <c r="AM101" s="207"/>
      <c r="AN101" s="204"/>
      <c r="AO101" s="207"/>
      <c r="AP101" s="204"/>
      <c r="AQ101" s="207"/>
      <c r="AR101" s="204"/>
      <c r="AS101" s="197">
        <f t="shared" si="12"/>
        <v>9</v>
      </c>
      <c r="AT101" s="214">
        <v>29160</v>
      </c>
      <c r="AU101" s="199">
        <f t="shared" si="13"/>
        <v>262440</v>
      </c>
      <c r="AV101" s="287"/>
      <c r="AW101" s="288" t="s">
        <v>21</v>
      </c>
      <c r="AX101" s="288" t="s">
        <v>21</v>
      </c>
      <c r="AY101" s="288" t="s">
        <v>21</v>
      </c>
      <c r="AZ101" s="289" t="s">
        <v>21</v>
      </c>
    </row>
    <row r="102" spans="1:52" s="22" customFormat="1" ht="18.75" customHeight="1" x14ac:dyDescent="0.25">
      <c r="A102" s="187">
        <v>93</v>
      </c>
      <c r="B102" s="188"/>
      <c r="C102" s="189" t="s">
        <v>93</v>
      </c>
      <c r="D102" s="190" t="s">
        <v>108</v>
      </c>
      <c r="E102" s="209" t="s">
        <v>125</v>
      </c>
      <c r="F102" s="261" t="s">
        <v>12</v>
      </c>
      <c r="G102" s="211"/>
      <c r="H102" s="211"/>
      <c r="I102" s="211"/>
      <c r="J102" s="211"/>
      <c r="K102" s="226"/>
      <c r="L102" s="204"/>
      <c r="M102" s="259">
        <v>9</v>
      </c>
      <c r="N102" s="206">
        <f t="shared" si="16"/>
        <v>202500</v>
      </c>
      <c r="O102" s="207"/>
      <c r="P102" s="204"/>
      <c r="Q102" s="205"/>
      <c r="R102" s="204"/>
      <c r="S102" s="207"/>
      <c r="T102" s="204"/>
      <c r="U102" s="205"/>
      <c r="V102" s="204"/>
      <c r="W102" s="207"/>
      <c r="X102" s="204"/>
      <c r="Y102" s="207"/>
      <c r="Z102" s="204"/>
      <c r="AA102" s="207"/>
      <c r="AB102" s="204"/>
      <c r="AC102" s="207"/>
      <c r="AD102" s="204"/>
      <c r="AE102" s="207"/>
      <c r="AF102" s="204"/>
      <c r="AG102" s="207"/>
      <c r="AH102" s="204"/>
      <c r="AI102" s="207"/>
      <c r="AJ102" s="204"/>
      <c r="AK102" s="207"/>
      <c r="AL102" s="204"/>
      <c r="AM102" s="207"/>
      <c r="AN102" s="204"/>
      <c r="AO102" s="207"/>
      <c r="AP102" s="204"/>
      <c r="AQ102" s="207"/>
      <c r="AR102" s="204"/>
      <c r="AS102" s="197">
        <f t="shared" si="12"/>
        <v>9</v>
      </c>
      <c r="AT102" s="214">
        <v>22500</v>
      </c>
      <c r="AU102" s="199">
        <f t="shared" si="13"/>
        <v>202500</v>
      </c>
      <c r="AV102" s="290"/>
      <c r="AW102" s="291" t="s">
        <v>22</v>
      </c>
      <c r="AX102" s="291" t="s">
        <v>22</v>
      </c>
      <c r="AY102" s="291" t="s">
        <v>22</v>
      </c>
      <c r="AZ102" s="292" t="s">
        <v>22</v>
      </c>
    </row>
    <row r="103" spans="1:52" s="22" customFormat="1" ht="18.75" customHeight="1" x14ac:dyDescent="0.25">
      <c r="A103" s="187">
        <v>94</v>
      </c>
      <c r="B103" s="188"/>
      <c r="C103" s="189" t="s">
        <v>93</v>
      </c>
      <c r="D103" s="190" t="s">
        <v>108</v>
      </c>
      <c r="E103" s="209" t="s">
        <v>127</v>
      </c>
      <c r="F103" s="261" t="s">
        <v>13</v>
      </c>
      <c r="G103" s="211"/>
      <c r="H103" s="211"/>
      <c r="I103" s="211"/>
      <c r="J103" s="211"/>
      <c r="K103" s="226"/>
      <c r="L103" s="204"/>
      <c r="M103" s="259">
        <v>9</v>
      </c>
      <c r="N103" s="206">
        <f t="shared" si="16"/>
        <v>140292</v>
      </c>
      <c r="O103" s="207"/>
      <c r="P103" s="204"/>
      <c r="Q103" s="205"/>
      <c r="R103" s="204"/>
      <c r="S103" s="207"/>
      <c r="T103" s="204"/>
      <c r="U103" s="205"/>
      <c r="V103" s="204"/>
      <c r="W103" s="207"/>
      <c r="X103" s="204"/>
      <c r="Y103" s="207"/>
      <c r="Z103" s="204"/>
      <c r="AA103" s="207"/>
      <c r="AB103" s="204"/>
      <c r="AC103" s="207"/>
      <c r="AD103" s="204"/>
      <c r="AE103" s="207"/>
      <c r="AF103" s="204"/>
      <c r="AG103" s="207"/>
      <c r="AH103" s="204"/>
      <c r="AI103" s="207"/>
      <c r="AJ103" s="204"/>
      <c r="AK103" s="207"/>
      <c r="AL103" s="204"/>
      <c r="AM103" s="207"/>
      <c r="AN103" s="204"/>
      <c r="AO103" s="207"/>
      <c r="AP103" s="204"/>
      <c r="AQ103" s="207"/>
      <c r="AR103" s="204"/>
      <c r="AS103" s="197">
        <f t="shared" si="12"/>
        <v>9</v>
      </c>
      <c r="AT103" s="214">
        <v>15588</v>
      </c>
      <c r="AU103" s="199">
        <f t="shared" si="13"/>
        <v>140292</v>
      </c>
      <c r="AV103" s="293"/>
      <c r="AW103" s="294"/>
      <c r="AX103" s="294"/>
      <c r="AY103" s="294"/>
      <c r="AZ103" s="295"/>
    </row>
    <row r="104" spans="1:52" s="22" customFormat="1" ht="26.25" customHeight="1" x14ac:dyDescent="0.25">
      <c r="A104" s="187">
        <v>95</v>
      </c>
      <c r="B104" s="188"/>
      <c r="C104" s="189" t="s">
        <v>93</v>
      </c>
      <c r="D104" s="190" t="s">
        <v>108</v>
      </c>
      <c r="E104" s="209" t="s">
        <v>126</v>
      </c>
      <c r="F104" s="261" t="s">
        <v>13</v>
      </c>
      <c r="G104" s="211"/>
      <c r="H104" s="211"/>
      <c r="I104" s="211"/>
      <c r="J104" s="211"/>
      <c r="K104" s="226"/>
      <c r="L104" s="204"/>
      <c r="M104" s="259">
        <v>9</v>
      </c>
      <c r="N104" s="206">
        <f t="shared" si="16"/>
        <v>148500</v>
      </c>
      <c r="O104" s="207"/>
      <c r="P104" s="204"/>
      <c r="Q104" s="205"/>
      <c r="R104" s="204"/>
      <c r="S104" s="207"/>
      <c r="T104" s="204"/>
      <c r="U104" s="205"/>
      <c r="V104" s="204"/>
      <c r="W104" s="207"/>
      <c r="X104" s="204"/>
      <c r="Y104" s="207"/>
      <c r="Z104" s="204"/>
      <c r="AA104" s="207"/>
      <c r="AB104" s="204"/>
      <c r="AC104" s="207"/>
      <c r="AD104" s="204"/>
      <c r="AE104" s="207"/>
      <c r="AF104" s="204"/>
      <c r="AG104" s="207"/>
      <c r="AH104" s="204"/>
      <c r="AI104" s="207"/>
      <c r="AJ104" s="204"/>
      <c r="AK104" s="207"/>
      <c r="AL104" s="204"/>
      <c r="AM104" s="207"/>
      <c r="AN104" s="204"/>
      <c r="AO104" s="207"/>
      <c r="AP104" s="204"/>
      <c r="AQ104" s="207"/>
      <c r="AR104" s="204"/>
      <c r="AS104" s="197">
        <f t="shared" si="12"/>
        <v>9</v>
      </c>
      <c r="AT104" s="214">
        <v>16500</v>
      </c>
      <c r="AU104" s="199">
        <f t="shared" si="13"/>
        <v>148500</v>
      </c>
      <c r="AV104" s="293"/>
      <c r="AW104" s="294"/>
      <c r="AX104" s="294"/>
      <c r="AY104" s="294"/>
      <c r="AZ104" s="295"/>
    </row>
    <row r="105" spans="1:52" s="22" customFormat="1" ht="18.75" customHeight="1" x14ac:dyDescent="0.25">
      <c r="A105" s="187">
        <v>96</v>
      </c>
      <c r="B105" s="203"/>
      <c r="C105" s="189" t="s">
        <v>93</v>
      </c>
      <c r="D105" s="190" t="s">
        <v>108</v>
      </c>
      <c r="E105" s="201" t="s">
        <v>202</v>
      </c>
      <c r="F105" s="202" t="s">
        <v>12</v>
      </c>
      <c r="G105" s="211"/>
      <c r="H105" s="211"/>
      <c r="I105" s="211"/>
      <c r="J105" s="211"/>
      <c r="K105" s="46">
        <v>21</v>
      </c>
      <c r="L105" s="204">
        <f>+K105*AT105</f>
        <v>793863</v>
      </c>
      <c r="M105" s="205"/>
      <c r="N105" s="206"/>
      <c r="O105" s="207"/>
      <c r="P105" s="204"/>
      <c r="Q105" s="205"/>
      <c r="R105" s="204"/>
      <c r="S105" s="207"/>
      <c r="T105" s="204"/>
      <c r="U105" s="205"/>
      <c r="V105" s="204"/>
      <c r="W105" s="207"/>
      <c r="X105" s="204"/>
      <c r="Y105" s="207"/>
      <c r="Z105" s="204"/>
      <c r="AA105" s="207"/>
      <c r="AB105" s="204"/>
      <c r="AC105" s="207"/>
      <c r="AD105" s="204"/>
      <c r="AE105" s="207"/>
      <c r="AF105" s="204"/>
      <c r="AG105" s="207"/>
      <c r="AH105" s="204"/>
      <c r="AI105" s="207"/>
      <c r="AJ105" s="204"/>
      <c r="AK105" s="207"/>
      <c r="AL105" s="204"/>
      <c r="AM105" s="207"/>
      <c r="AN105" s="204"/>
      <c r="AO105" s="207"/>
      <c r="AP105" s="204"/>
      <c r="AQ105" s="207"/>
      <c r="AR105" s="204"/>
      <c r="AS105" s="197">
        <f t="shared" si="12"/>
        <v>21</v>
      </c>
      <c r="AT105" s="262">
        <v>37803</v>
      </c>
      <c r="AU105" s="199">
        <f t="shared" si="13"/>
        <v>793863</v>
      </c>
      <c r="AV105" s="293"/>
      <c r="AW105" s="294"/>
      <c r="AX105" s="294"/>
      <c r="AY105" s="294"/>
      <c r="AZ105" s="295"/>
    </row>
    <row r="106" spans="1:52" s="22" customFormat="1" ht="18.75" customHeight="1" x14ac:dyDescent="0.25">
      <c r="A106" s="187">
        <v>97</v>
      </c>
      <c r="B106" s="200"/>
      <c r="C106" s="189" t="s">
        <v>93</v>
      </c>
      <c r="D106" s="190" t="s">
        <v>108</v>
      </c>
      <c r="E106" s="201" t="s">
        <v>42</v>
      </c>
      <c r="F106" s="202" t="s">
        <v>66</v>
      </c>
      <c r="G106" s="236"/>
      <c r="H106" s="236"/>
      <c r="I106" s="236"/>
      <c r="J106" s="236"/>
      <c r="K106" s="202">
        <v>40</v>
      </c>
      <c r="L106" s="204">
        <f>+K106*AT106</f>
        <v>134000</v>
      </c>
      <c r="M106" s="205"/>
      <c r="N106" s="206">
        <f>+M106*AT106</f>
        <v>0</v>
      </c>
      <c r="O106" s="207"/>
      <c r="P106" s="204"/>
      <c r="Q106" s="205"/>
      <c r="R106" s="204"/>
      <c r="S106" s="207"/>
      <c r="T106" s="204"/>
      <c r="U106" s="205"/>
      <c r="V106" s="204"/>
      <c r="W106" s="207"/>
      <c r="X106" s="204"/>
      <c r="Y106" s="207"/>
      <c r="Z106" s="204"/>
      <c r="AA106" s="207"/>
      <c r="AB106" s="204"/>
      <c r="AC106" s="207"/>
      <c r="AD106" s="204"/>
      <c r="AE106" s="207"/>
      <c r="AF106" s="204"/>
      <c r="AG106" s="207"/>
      <c r="AH106" s="204"/>
      <c r="AI106" s="207"/>
      <c r="AJ106" s="204"/>
      <c r="AK106" s="207"/>
      <c r="AL106" s="204"/>
      <c r="AM106" s="207"/>
      <c r="AN106" s="204"/>
      <c r="AO106" s="207"/>
      <c r="AP106" s="204"/>
      <c r="AQ106" s="207"/>
      <c r="AR106" s="204"/>
      <c r="AS106" s="197">
        <f t="shared" si="12"/>
        <v>40</v>
      </c>
      <c r="AT106" s="220">
        <v>3350</v>
      </c>
      <c r="AU106" s="199">
        <f t="shared" si="13"/>
        <v>134000</v>
      </c>
      <c r="AV106" s="27"/>
      <c r="AW106" s="28"/>
      <c r="AX106" s="28"/>
      <c r="AY106" s="28"/>
      <c r="AZ106" s="29"/>
    </row>
    <row r="107" spans="1:52" s="22" customFormat="1" ht="36" customHeight="1" x14ac:dyDescent="0.25">
      <c r="A107" s="187">
        <v>98</v>
      </c>
      <c r="B107" s="188"/>
      <c r="C107" s="189" t="s">
        <v>93</v>
      </c>
      <c r="D107" s="190" t="s">
        <v>108</v>
      </c>
      <c r="E107" s="209" t="s">
        <v>138</v>
      </c>
      <c r="F107" s="210" t="s">
        <v>14</v>
      </c>
      <c r="G107" s="211"/>
      <c r="H107" s="211"/>
      <c r="I107" s="211"/>
      <c r="J107" s="211"/>
      <c r="K107" s="226"/>
      <c r="L107" s="204"/>
      <c r="M107" s="213">
        <v>3</v>
      </c>
      <c r="N107" s="206">
        <f>+M107*AT107</f>
        <v>50940</v>
      </c>
      <c r="O107" s="207"/>
      <c r="P107" s="204"/>
      <c r="Q107" s="205"/>
      <c r="R107" s="204"/>
      <c r="S107" s="207"/>
      <c r="T107" s="204"/>
      <c r="U107" s="205"/>
      <c r="V107" s="204"/>
      <c r="W107" s="207"/>
      <c r="X107" s="204"/>
      <c r="Y107" s="207"/>
      <c r="Z107" s="204"/>
      <c r="AA107" s="207"/>
      <c r="AB107" s="204"/>
      <c r="AC107" s="207"/>
      <c r="AD107" s="204"/>
      <c r="AE107" s="207"/>
      <c r="AF107" s="204"/>
      <c r="AG107" s="207"/>
      <c r="AH107" s="204"/>
      <c r="AI107" s="207"/>
      <c r="AJ107" s="204"/>
      <c r="AK107" s="207"/>
      <c r="AL107" s="204"/>
      <c r="AM107" s="207"/>
      <c r="AN107" s="204"/>
      <c r="AO107" s="207"/>
      <c r="AP107" s="204"/>
      <c r="AQ107" s="207"/>
      <c r="AR107" s="204"/>
      <c r="AS107" s="197">
        <f t="shared" ref="AS107:AS136" si="17">+AQ107+AO107+AM107+AK107+AI107+AG107+AE107+AC107+AA107+Y107+W107+U107+S107+Q107+O107+M107+K107+I107</f>
        <v>3</v>
      </c>
      <c r="AT107" s="214">
        <v>16980</v>
      </c>
      <c r="AU107" s="199">
        <f t="shared" ref="AU107:AU136" si="18">+AS107*AT107</f>
        <v>50940</v>
      </c>
      <c r="AV107" s="27"/>
      <c r="AW107" s="28"/>
      <c r="AX107" s="28"/>
      <c r="AY107" s="28"/>
      <c r="AZ107" s="29"/>
    </row>
    <row r="108" spans="1:52" s="22" customFormat="1" ht="38.25" customHeight="1" x14ac:dyDescent="0.25">
      <c r="A108" s="187">
        <v>99</v>
      </c>
      <c r="B108" s="218"/>
      <c r="C108" s="189" t="s">
        <v>93</v>
      </c>
      <c r="D108" s="190" t="s">
        <v>108</v>
      </c>
      <c r="E108" s="201" t="s">
        <v>182</v>
      </c>
      <c r="F108" s="202" t="s">
        <v>66</v>
      </c>
      <c r="G108" s="211"/>
      <c r="H108" s="211"/>
      <c r="I108" s="211"/>
      <c r="J108" s="211"/>
      <c r="K108" s="202">
        <v>10</v>
      </c>
      <c r="L108" s="204">
        <f t="shared" ref="L108:L113" si="19">+K108*AT108</f>
        <v>27780</v>
      </c>
      <c r="M108" s="205"/>
      <c r="N108" s="206">
        <f>+M108*AT108</f>
        <v>0</v>
      </c>
      <c r="O108" s="207"/>
      <c r="P108" s="204"/>
      <c r="Q108" s="205"/>
      <c r="R108" s="204"/>
      <c r="S108" s="207"/>
      <c r="T108" s="204"/>
      <c r="U108" s="205"/>
      <c r="V108" s="204"/>
      <c r="W108" s="207"/>
      <c r="X108" s="204"/>
      <c r="Y108" s="207"/>
      <c r="Z108" s="204"/>
      <c r="AA108" s="207"/>
      <c r="AB108" s="204"/>
      <c r="AC108" s="207"/>
      <c r="AD108" s="204"/>
      <c r="AE108" s="207"/>
      <c r="AF108" s="204"/>
      <c r="AG108" s="207"/>
      <c r="AH108" s="204"/>
      <c r="AI108" s="207"/>
      <c r="AJ108" s="204"/>
      <c r="AK108" s="207"/>
      <c r="AL108" s="204"/>
      <c r="AM108" s="207"/>
      <c r="AN108" s="204"/>
      <c r="AO108" s="207"/>
      <c r="AP108" s="204"/>
      <c r="AQ108" s="207"/>
      <c r="AR108" s="204"/>
      <c r="AS108" s="197">
        <f t="shared" si="17"/>
        <v>10</v>
      </c>
      <c r="AT108" s="220">
        <v>2778</v>
      </c>
      <c r="AU108" s="199">
        <f t="shared" si="18"/>
        <v>27780</v>
      </c>
      <c r="AV108" s="27"/>
      <c r="AW108" s="28"/>
      <c r="AX108" s="28"/>
      <c r="AY108" s="28"/>
      <c r="AZ108" s="29"/>
    </row>
    <row r="109" spans="1:52" s="22" customFormat="1" ht="44.25" customHeight="1" x14ac:dyDescent="0.25">
      <c r="A109" s="187">
        <v>100</v>
      </c>
      <c r="B109" s="203"/>
      <c r="C109" s="189" t="s">
        <v>93</v>
      </c>
      <c r="D109" s="190" t="s">
        <v>108</v>
      </c>
      <c r="E109" s="201" t="s">
        <v>198</v>
      </c>
      <c r="F109" s="202" t="s">
        <v>12</v>
      </c>
      <c r="G109" s="211"/>
      <c r="H109" s="211"/>
      <c r="I109" s="211"/>
      <c r="J109" s="211"/>
      <c r="K109" s="202">
        <v>12</v>
      </c>
      <c r="L109" s="204">
        <f t="shared" si="19"/>
        <v>21072</v>
      </c>
      <c r="M109" s="205"/>
      <c r="N109" s="206"/>
      <c r="O109" s="207"/>
      <c r="P109" s="204"/>
      <c r="Q109" s="205"/>
      <c r="R109" s="204"/>
      <c r="S109" s="207"/>
      <c r="T109" s="204"/>
      <c r="U109" s="205"/>
      <c r="V109" s="204"/>
      <c r="W109" s="207"/>
      <c r="X109" s="204"/>
      <c r="Y109" s="207"/>
      <c r="Z109" s="204"/>
      <c r="AA109" s="207"/>
      <c r="AB109" s="204"/>
      <c r="AC109" s="207"/>
      <c r="AD109" s="204"/>
      <c r="AE109" s="207"/>
      <c r="AF109" s="204"/>
      <c r="AG109" s="207"/>
      <c r="AH109" s="204"/>
      <c r="AI109" s="207"/>
      <c r="AJ109" s="204"/>
      <c r="AK109" s="207"/>
      <c r="AL109" s="204"/>
      <c r="AM109" s="207"/>
      <c r="AN109" s="204"/>
      <c r="AO109" s="207"/>
      <c r="AP109" s="204"/>
      <c r="AQ109" s="207"/>
      <c r="AR109" s="204"/>
      <c r="AS109" s="197">
        <f t="shared" si="17"/>
        <v>12</v>
      </c>
      <c r="AT109" s="262">
        <v>1756</v>
      </c>
      <c r="AU109" s="199">
        <f t="shared" si="18"/>
        <v>21072</v>
      </c>
      <c r="AV109" s="27"/>
      <c r="AW109" s="28"/>
      <c r="AX109" s="28"/>
      <c r="AY109" s="28"/>
      <c r="AZ109" s="29"/>
    </row>
    <row r="110" spans="1:52" s="22" customFormat="1" ht="42" customHeight="1" x14ac:dyDescent="0.25">
      <c r="A110" s="187">
        <v>101</v>
      </c>
      <c r="B110" s="203"/>
      <c r="C110" s="189" t="s">
        <v>93</v>
      </c>
      <c r="D110" s="190" t="s">
        <v>108</v>
      </c>
      <c r="E110" s="201" t="s">
        <v>40</v>
      </c>
      <c r="F110" s="202" t="s">
        <v>66</v>
      </c>
      <c r="G110" s="219"/>
      <c r="H110" s="219"/>
      <c r="I110" s="219"/>
      <c r="J110" s="219"/>
      <c r="K110" s="202">
        <v>10</v>
      </c>
      <c r="L110" s="204">
        <f t="shared" si="19"/>
        <v>28110</v>
      </c>
      <c r="M110" s="205"/>
      <c r="N110" s="206">
        <f>+M110*AT110</f>
        <v>0</v>
      </c>
      <c r="O110" s="207"/>
      <c r="P110" s="204"/>
      <c r="Q110" s="205"/>
      <c r="R110" s="204"/>
      <c r="S110" s="207"/>
      <c r="T110" s="204"/>
      <c r="U110" s="205"/>
      <c r="V110" s="204"/>
      <c r="W110" s="207"/>
      <c r="X110" s="204"/>
      <c r="Y110" s="207"/>
      <c r="Z110" s="204"/>
      <c r="AA110" s="207"/>
      <c r="AB110" s="204"/>
      <c r="AC110" s="207"/>
      <c r="AD110" s="204"/>
      <c r="AE110" s="207"/>
      <c r="AF110" s="204"/>
      <c r="AG110" s="207"/>
      <c r="AH110" s="204"/>
      <c r="AI110" s="207"/>
      <c r="AJ110" s="204"/>
      <c r="AK110" s="207"/>
      <c r="AL110" s="204"/>
      <c r="AM110" s="207"/>
      <c r="AN110" s="204"/>
      <c r="AO110" s="207"/>
      <c r="AP110" s="204"/>
      <c r="AQ110" s="207"/>
      <c r="AR110" s="204"/>
      <c r="AS110" s="197">
        <f t="shared" si="17"/>
        <v>10</v>
      </c>
      <c r="AT110" s="220">
        <v>2811</v>
      </c>
      <c r="AU110" s="199">
        <f t="shared" si="18"/>
        <v>28110</v>
      </c>
      <c r="AV110" s="27"/>
      <c r="AW110" s="28"/>
      <c r="AX110" s="28"/>
      <c r="AY110" s="28"/>
      <c r="AZ110" s="29"/>
    </row>
    <row r="111" spans="1:52" s="22" customFormat="1" ht="44.25" customHeight="1" x14ac:dyDescent="0.25">
      <c r="A111" s="187">
        <v>102</v>
      </c>
      <c r="B111" s="203"/>
      <c r="C111" s="189" t="s">
        <v>93</v>
      </c>
      <c r="D111" s="190" t="s">
        <v>108</v>
      </c>
      <c r="E111" s="201" t="s">
        <v>193</v>
      </c>
      <c r="F111" s="202" t="s">
        <v>14</v>
      </c>
      <c r="G111" s="211"/>
      <c r="H111" s="211"/>
      <c r="I111" s="211"/>
      <c r="J111" s="211"/>
      <c r="K111" s="202">
        <v>10</v>
      </c>
      <c r="L111" s="204">
        <f t="shared" si="19"/>
        <v>280070</v>
      </c>
      <c r="M111" s="205"/>
      <c r="N111" s="206"/>
      <c r="O111" s="207"/>
      <c r="P111" s="204"/>
      <c r="Q111" s="205"/>
      <c r="R111" s="204"/>
      <c r="S111" s="207"/>
      <c r="T111" s="204"/>
      <c r="U111" s="205"/>
      <c r="V111" s="204"/>
      <c r="W111" s="207"/>
      <c r="X111" s="204"/>
      <c r="Y111" s="207"/>
      <c r="Z111" s="204"/>
      <c r="AA111" s="207"/>
      <c r="AB111" s="204"/>
      <c r="AC111" s="207"/>
      <c r="AD111" s="204"/>
      <c r="AE111" s="207"/>
      <c r="AF111" s="204"/>
      <c r="AG111" s="207"/>
      <c r="AH111" s="204"/>
      <c r="AI111" s="207"/>
      <c r="AJ111" s="204"/>
      <c r="AK111" s="207"/>
      <c r="AL111" s="204"/>
      <c r="AM111" s="207"/>
      <c r="AN111" s="204"/>
      <c r="AO111" s="207"/>
      <c r="AP111" s="204"/>
      <c r="AQ111" s="207"/>
      <c r="AR111" s="204"/>
      <c r="AS111" s="197">
        <f t="shared" si="17"/>
        <v>10</v>
      </c>
      <c r="AT111" s="262">
        <v>28007</v>
      </c>
      <c r="AU111" s="199">
        <f t="shared" si="18"/>
        <v>280070</v>
      </c>
      <c r="AV111" s="30"/>
      <c r="AW111" s="31" t="s">
        <v>23</v>
      </c>
      <c r="AX111" s="31" t="s">
        <v>23</v>
      </c>
      <c r="AY111" s="31" t="s">
        <v>23</v>
      </c>
      <c r="AZ111" s="32" t="s">
        <v>23</v>
      </c>
    </row>
    <row r="112" spans="1:52" s="22" customFormat="1" ht="36.75" customHeight="1" x14ac:dyDescent="0.25">
      <c r="A112" s="187">
        <v>103</v>
      </c>
      <c r="B112" s="203"/>
      <c r="C112" s="189" t="s">
        <v>93</v>
      </c>
      <c r="D112" s="190" t="s">
        <v>108</v>
      </c>
      <c r="E112" s="201" t="s">
        <v>194</v>
      </c>
      <c r="F112" s="202" t="s">
        <v>12</v>
      </c>
      <c r="G112" s="211"/>
      <c r="H112" s="211"/>
      <c r="I112" s="211"/>
      <c r="J112" s="211"/>
      <c r="K112" s="202">
        <v>20</v>
      </c>
      <c r="L112" s="204">
        <f t="shared" si="19"/>
        <v>918380</v>
      </c>
      <c r="M112" s="205"/>
      <c r="N112" s="206"/>
      <c r="O112" s="207"/>
      <c r="P112" s="204"/>
      <c r="Q112" s="205"/>
      <c r="R112" s="204"/>
      <c r="S112" s="207"/>
      <c r="T112" s="204"/>
      <c r="U112" s="205"/>
      <c r="V112" s="204"/>
      <c r="W112" s="207"/>
      <c r="X112" s="204"/>
      <c r="Y112" s="207"/>
      <c r="Z112" s="204"/>
      <c r="AA112" s="207"/>
      <c r="AB112" s="204"/>
      <c r="AC112" s="207"/>
      <c r="AD112" s="204"/>
      <c r="AE112" s="207"/>
      <c r="AF112" s="204"/>
      <c r="AG112" s="207"/>
      <c r="AH112" s="204"/>
      <c r="AI112" s="207"/>
      <c r="AJ112" s="204"/>
      <c r="AK112" s="207"/>
      <c r="AL112" s="204"/>
      <c r="AM112" s="207"/>
      <c r="AN112" s="204"/>
      <c r="AO112" s="207"/>
      <c r="AP112" s="204"/>
      <c r="AQ112" s="207"/>
      <c r="AR112" s="204"/>
      <c r="AS112" s="197">
        <f t="shared" si="17"/>
        <v>20</v>
      </c>
      <c r="AT112" s="262">
        <v>45919</v>
      </c>
      <c r="AU112" s="199">
        <f t="shared" si="18"/>
        <v>918380</v>
      </c>
      <c r="AV112" s="30"/>
      <c r="AW112" s="31" t="s">
        <v>24</v>
      </c>
      <c r="AX112" s="31" t="s">
        <v>24</v>
      </c>
      <c r="AY112" s="31" t="s">
        <v>24</v>
      </c>
      <c r="AZ112" s="32" t="s">
        <v>24</v>
      </c>
    </row>
    <row r="113" spans="1:52" s="22" customFormat="1" ht="18.75" customHeight="1" x14ac:dyDescent="0.25">
      <c r="A113" s="187">
        <v>104</v>
      </c>
      <c r="B113" s="200"/>
      <c r="C113" s="189" t="s">
        <v>93</v>
      </c>
      <c r="D113" s="190" t="s">
        <v>108</v>
      </c>
      <c r="E113" s="201" t="s">
        <v>43</v>
      </c>
      <c r="F113" s="202" t="s">
        <v>66</v>
      </c>
      <c r="G113" s="236"/>
      <c r="H113" s="236"/>
      <c r="I113" s="236"/>
      <c r="J113" s="236"/>
      <c r="K113" s="202">
        <v>30</v>
      </c>
      <c r="L113" s="204">
        <f t="shared" si="19"/>
        <v>50850</v>
      </c>
      <c r="M113" s="205"/>
      <c r="N113" s="206">
        <f t="shared" ref="N113:N122" si="20">+M113*AT113</f>
        <v>0</v>
      </c>
      <c r="O113" s="207"/>
      <c r="P113" s="204"/>
      <c r="Q113" s="205"/>
      <c r="R113" s="204"/>
      <c r="S113" s="207"/>
      <c r="T113" s="204"/>
      <c r="U113" s="205"/>
      <c r="V113" s="204"/>
      <c r="W113" s="207"/>
      <c r="X113" s="204"/>
      <c r="Y113" s="207"/>
      <c r="Z113" s="204"/>
      <c r="AA113" s="207"/>
      <c r="AB113" s="204"/>
      <c r="AC113" s="207"/>
      <c r="AD113" s="204"/>
      <c r="AE113" s="207"/>
      <c r="AF113" s="204"/>
      <c r="AG113" s="207"/>
      <c r="AH113" s="204"/>
      <c r="AI113" s="207"/>
      <c r="AJ113" s="204"/>
      <c r="AK113" s="207"/>
      <c r="AL113" s="204"/>
      <c r="AM113" s="207"/>
      <c r="AN113" s="204"/>
      <c r="AO113" s="207"/>
      <c r="AP113" s="204"/>
      <c r="AQ113" s="207"/>
      <c r="AR113" s="204"/>
      <c r="AS113" s="197">
        <f t="shared" si="17"/>
        <v>30</v>
      </c>
      <c r="AT113" s="220">
        <v>1695</v>
      </c>
      <c r="AU113" s="199">
        <f t="shared" si="18"/>
        <v>50850</v>
      </c>
      <c r="AV113" s="33"/>
      <c r="AW113" s="34"/>
      <c r="AX113" s="34"/>
      <c r="AY113" s="34"/>
      <c r="AZ113" s="35"/>
    </row>
    <row r="114" spans="1:52" s="22" customFormat="1" ht="34.5" customHeight="1" x14ac:dyDescent="0.25">
      <c r="A114" s="187">
        <v>105</v>
      </c>
      <c r="B114" s="188"/>
      <c r="C114" s="189" t="s">
        <v>93</v>
      </c>
      <c r="D114" s="190" t="s">
        <v>108</v>
      </c>
      <c r="E114" s="209" t="s">
        <v>136</v>
      </c>
      <c r="F114" s="210" t="s">
        <v>14</v>
      </c>
      <c r="G114" s="211"/>
      <c r="H114" s="211"/>
      <c r="I114" s="211"/>
      <c r="J114" s="211"/>
      <c r="K114" s="226"/>
      <c r="L114" s="204"/>
      <c r="M114" s="213">
        <v>1</v>
      </c>
      <c r="N114" s="206">
        <f t="shared" si="20"/>
        <v>17788</v>
      </c>
      <c r="O114" s="207"/>
      <c r="P114" s="204"/>
      <c r="Q114" s="205"/>
      <c r="R114" s="204"/>
      <c r="S114" s="207"/>
      <c r="T114" s="204"/>
      <c r="U114" s="205"/>
      <c r="V114" s="204"/>
      <c r="W114" s="207"/>
      <c r="X114" s="204"/>
      <c r="Y114" s="207"/>
      <c r="Z114" s="204"/>
      <c r="AA114" s="207"/>
      <c r="AB114" s="204"/>
      <c r="AC114" s="207"/>
      <c r="AD114" s="204"/>
      <c r="AE114" s="207"/>
      <c r="AF114" s="204"/>
      <c r="AG114" s="207"/>
      <c r="AH114" s="204"/>
      <c r="AI114" s="207"/>
      <c r="AJ114" s="204"/>
      <c r="AK114" s="207"/>
      <c r="AL114" s="204"/>
      <c r="AM114" s="207"/>
      <c r="AN114" s="204"/>
      <c r="AO114" s="207"/>
      <c r="AP114" s="204"/>
      <c r="AQ114" s="207"/>
      <c r="AR114" s="204"/>
      <c r="AS114" s="197">
        <f t="shared" si="17"/>
        <v>1</v>
      </c>
      <c r="AT114" s="214">
        <v>17788</v>
      </c>
      <c r="AU114" s="199">
        <f t="shared" si="18"/>
        <v>17788</v>
      </c>
      <c r="AV114" s="33"/>
      <c r="AW114" s="34"/>
      <c r="AX114" s="34"/>
      <c r="AY114" s="34"/>
      <c r="AZ114" s="35"/>
    </row>
    <row r="115" spans="1:52" s="22" customFormat="1" ht="38.25" customHeight="1" x14ac:dyDescent="0.25">
      <c r="A115" s="187">
        <v>106</v>
      </c>
      <c r="B115" s="188"/>
      <c r="C115" s="189" t="s">
        <v>93</v>
      </c>
      <c r="D115" s="190" t="s">
        <v>108</v>
      </c>
      <c r="E115" s="209" t="s">
        <v>134</v>
      </c>
      <c r="F115" s="210" t="s">
        <v>14</v>
      </c>
      <c r="G115" s="211"/>
      <c r="H115" s="211"/>
      <c r="I115" s="211"/>
      <c r="J115" s="211"/>
      <c r="K115" s="226"/>
      <c r="L115" s="204"/>
      <c r="M115" s="213">
        <v>15</v>
      </c>
      <c r="N115" s="206">
        <f t="shared" si="20"/>
        <v>970500</v>
      </c>
      <c r="O115" s="207"/>
      <c r="P115" s="204"/>
      <c r="Q115" s="205"/>
      <c r="R115" s="204"/>
      <c r="S115" s="207"/>
      <c r="T115" s="204"/>
      <c r="U115" s="205"/>
      <c r="V115" s="204"/>
      <c r="W115" s="207"/>
      <c r="X115" s="204"/>
      <c r="Y115" s="207"/>
      <c r="Z115" s="204"/>
      <c r="AA115" s="207"/>
      <c r="AB115" s="204"/>
      <c r="AC115" s="207"/>
      <c r="AD115" s="204"/>
      <c r="AE115" s="207"/>
      <c r="AF115" s="204"/>
      <c r="AG115" s="207"/>
      <c r="AH115" s="204"/>
      <c r="AI115" s="207"/>
      <c r="AJ115" s="204"/>
      <c r="AK115" s="207"/>
      <c r="AL115" s="204"/>
      <c r="AM115" s="207"/>
      <c r="AN115" s="204"/>
      <c r="AO115" s="207"/>
      <c r="AP115" s="204"/>
      <c r="AQ115" s="207"/>
      <c r="AR115" s="204"/>
      <c r="AS115" s="197">
        <f t="shared" si="17"/>
        <v>15</v>
      </c>
      <c r="AT115" s="214">
        <v>64700</v>
      </c>
      <c r="AU115" s="199">
        <f t="shared" si="18"/>
        <v>970500</v>
      </c>
      <c r="AV115" s="30"/>
      <c r="AW115" s="31" t="s">
        <v>25</v>
      </c>
      <c r="AX115" s="31" t="s">
        <v>25</v>
      </c>
      <c r="AY115" s="31" t="s">
        <v>25</v>
      </c>
      <c r="AZ115" s="32" t="s">
        <v>25</v>
      </c>
    </row>
    <row r="116" spans="1:52" s="22" customFormat="1" ht="48.75" customHeight="1" x14ac:dyDescent="0.25">
      <c r="A116" s="187">
        <v>107</v>
      </c>
      <c r="B116" s="188"/>
      <c r="C116" s="189" t="s">
        <v>93</v>
      </c>
      <c r="D116" s="190" t="s">
        <v>108</v>
      </c>
      <c r="E116" s="209" t="s">
        <v>135</v>
      </c>
      <c r="F116" s="210" t="s">
        <v>14</v>
      </c>
      <c r="G116" s="211"/>
      <c r="H116" s="211"/>
      <c r="I116" s="211"/>
      <c r="J116" s="211"/>
      <c r="K116" s="226"/>
      <c r="L116" s="204"/>
      <c r="M116" s="213">
        <v>1</v>
      </c>
      <c r="N116" s="206">
        <f t="shared" si="20"/>
        <v>12540</v>
      </c>
      <c r="O116" s="207"/>
      <c r="P116" s="204"/>
      <c r="Q116" s="205"/>
      <c r="R116" s="204"/>
      <c r="S116" s="207"/>
      <c r="T116" s="204"/>
      <c r="U116" s="205"/>
      <c r="V116" s="204"/>
      <c r="W116" s="207"/>
      <c r="X116" s="204"/>
      <c r="Y116" s="207"/>
      <c r="Z116" s="204"/>
      <c r="AA116" s="207"/>
      <c r="AB116" s="204"/>
      <c r="AC116" s="207"/>
      <c r="AD116" s="204"/>
      <c r="AE116" s="207"/>
      <c r="AF116" s="204"/>
      <c r="AG116" s="207"/>
      <c r="AH116" s="204"/>
      <c r="AI116" s="207"/>
      <c r="AJ116" s="204"/>
      <c r="AK116" s="207"/>
      <c r="AL116" s="204"/>
      <c r="AM116" s="207"/>
      <c r="AN116" s="204"/>
      <c r="AO116" s="207"/>
      <c r="AP116" s="204"/>
      <c r="AQ116" s="207"/>
      <c r="AR116" s="204"/>
      <c r="AS116" s="197">
        <f t="shared" si="17"/>
        <v>1</v>
      </c>
      <c r="AT116" s="214">
        <v>12540</v>
      </c>
      <c r="AU116" s="199">
        <f t="shared" si="18"/>
        <v>12540</v>
      </c>
      <c r="AV116" s="30"/>
      <c r="AW116" s="31" t="s">
        <v>26</v>
      </c>
      <c r="AX116" s="31" t="s">
        <v>26</v>
      </c>
      <c r="AY116" s="31" t="s">
        <v>26</v>
      </c>
      <c r="AZ116" s="32" t="s">
        <v>26</v>
      </c>
    </row>
    <row r="117" spans="1:52" s="22" customFormat="1" ht="51.75" customHeight="1" x14ac:dyDescent="0.25">
      <c r="A117" s="187">
        <v>108</v>
      </c>
      <c r="B117" s="188"/>
      <c r="C117" s="189" t="s">
        <v>93</v>
      </c>
      <c r="D117" s="190" t="s">
        <v>108</v>
      </c>
      <c r="E117" s="209" t="s">
        <v>128</v>
      </c>
      <c r="F117" s="261" t="s">
        <v>12</v>
      </c>
      <c r="G117" s="211"/>
      <c r="H117" s="211"/>
      <c r="I117" s="211"/>
      <c r="J117" s="211"/>
      <c r="K117" s="226"/>
      <c r="L117" s="204"/>
      <c r="M117" s="259">
        <v>81</v>
      </c>
      <c r="N117" s="206">
        <f t="shared" si="20"/>
        <v>352350</v>
      </c>
      <c r="O117" s="207"/>
      <c r="P117" s="204"/>
      <c r="Q117" s="205"/>
      <c r="R117" s="204"/>
      <c r="S117" s="207"/>
      <c r="T117" s="204"/>
      <c r="U117" s="205"/>
      <c r="V117" s="204"/>
      <c r="W117" s="207"/>
      <c r="X117" s="204"/>
      <c r="Y117" s="207"/>
      <c r="Z117" s="204"/>
      <c r="AA117" s="207"/>
      <c r="AB117" s="204"/>
      <c r="AC117" s="207"/>
      <c r="AD117" s="204"/>
      <c r="AE117" s="207"/>
      <c r="AF117" s="204"/>
      <c r="AG117" s="207"/>
      <c r="AH117" s="204"/>
      <c r="AI117" s="207"/>
      <c r="AJ117" s="204"/>
      <c r="AK117" s="207"/>
      <c r="AL117" s="204"/>
      <c r="AM117" s="207"/>
      <c r="AN117" s="204"/>
      <c r="AO117" s="207"/>
      <c r="AP117" s="204"/>
      <c r="AQ117" s="207"/>
      <c r="AR117" s="204"/>
      <c r="AS117" s="197">
        <f t="shared" si="17"/>
        <v>81</v>
      </c>
      <c r="AT117" s="214">
        <v>4350</v>
      </c>
      <c r="AU117" s="199">
        <f t="shared" si="18"/>
        <v>352350</v>
      </c>
      <c r="AV117" s="30"/>
      <c r="AW117" s="31" t="s">
        <v>27</v>
      </c>
      <c r="AX117" s="31" t="s">
        <v>27</v>
      </c>
      <c r="AY117" s="31" t="s">
        <v>27</v>
      </c>
      <c r="AZ117" s="32" t="s">
        <v>27</v>
      </c>
    </row>
    <row r="118" spans="1:52" s="22" customFormat="1" ht="47.25" customHeight="1" x14ac:dyDescent="0.25">
      <c r="A118" s="187">
        <v>109</v>
      </c>
      <c r="B118" s="188"/>
      <c r="C118" s="189" t="s">
        <v>93</v>
      </c>
      <c r="D118" s="190" t="s">
        <v>108</v>
      </c>
      <c r="E118" s="209" t="s">
        <v>129</v>
      </c>
      <c r="F118" s="261" t="s">
        <v>13</v>
      </c>
      <c r="G118" s="211"/>
      <c r="H118" s="211"/>
      <c r="I118" s="211"/>
      <c r="J118" s="211"/>
      <c r="K118" s="226"/>
      <c r="L118" s="204"/>
      <c r="M118" s="259">
        <v>42</v>
      </c>
      <c r="N118" s="206">
        <f t="shared" si="20"/>
        <v>279279</v>
      </c>
      <c r="O118" s="207"/>
      <c r="P118" s="204"/>
      <c r="Q118" s="205"/>
      <c r="R118" s="204"/>
      <c r="S118" s="207"/>
      <c r="T118" s="204"/>
      <c r="U118" s="205"/>
      <c r="V118" s="204"/>
      <c r="W118" s="207"/>
      <c r="X118" s="204"/>
      <c r="Y118" s="207"/>
      <c r="Z118" s="204"/>
      <c r="AA118" s="207"/>
      <c r="AB118" s="204"/>
      <c r="AC118" s="207"/>
      <c r="AD118" s="204"/>
      <c r="AE118" s="207"/>
      <c r="AF118" s="204"/>
      <c r="AG118" s="207"/>
      <c r="AH118" s="204"/>
      <c r="AI118" s="207"/>
      <c r="AJ118" s="204"/>
      <c r="AK118" s="207"/>
      <c r="AL118" s="204"/>
      <c r="AM118" s="207"/>
      <c r="AN118" s="204"/>
      <c r="AO118" s="207"/>
      <c r="AP118" s="204"/>
      <c r="AQ118" s="207"/>
      <c r="AR118" s="204"/>
      <c r="AS118" s="197">
        <f t="shared" si="17"/>
        <v>42</v>
      </c>
      <c r="AT118" s="214">
        <v>6649.5</v>
      </c>
      <c r="AU118" s="199">
        <f t="shared" si="18"/>
        <v>279279</v>
      </c>
      <c r="AV118" s="290"/>
      <c r="AW118" s="291" t="s">
        <v>28</v>
      </c>
      <c r="AX118" s="291" t="s">
        <v>28</v>
      </c>
      <c r="AY118" s="291" t="s">
        <v>28</v>
      </c>
      <c r="AZ118" s="292" t="s">
        <v>28</v>
      </c>
    </row>
    <row r="119" spans="1:52" s="22" customFormat="1" ht="30" customHeight="1" x14ac:dyDescent="0.25">
      <c r="A119" s="187">
        <v>110</v>
      </c>
      <c r="B119" s="137"/>
      <c r="C119" s="189" t="s">
        <v>93</v>
      </c>
      <c r="D119" s="190" t="s">
        <v>108</v>
      </c>
      <c r="E119" s="201" t="s">
        <v>38</v>
      </c>
      <c r="F119" s="202" t="s">
        <v>66</v>
      </c>
      <c r="G119" s="236"/>
      <c r="H119" s="236"/>
      <c r="I119" s="236"/>
      <c r="J119" s="236"/>
      <c r="K119" s="202">
        <v>40</v>
      </c>
      <c r="L119" s="204">
        <f>+K119*AT119</f>
        <v>189000</v>
      </c>
      <c r="M119" s="205"/>
      <c r="N119" s="206">
        <f t="shared" si="20"/>
        <v>0</v>
      </c>
      <c r="O119" s="207"/>
      <c r="P119" s="204"/>
      <c r="Q119" s="205"/>
      <c r="R119" s="204"/>
      <c r="S119" s="207"/>
      <c r="T119" s="204"/>
      <c r="U119" s="205"/>
      <c r="V119" s="204"/>
      <c r="W119" s="207"/>
      <c r="X119" s="204"/>
      <c r="Y119" s="207"/>
      <c r="Z119" s="204"/>
      <c r="AA119" s="207"/>
      <c r="AB119" s="204"/>
      <c r="AC119" s="207"/>
      <c r="AD119" s="204"/>
      <c r="AE119" s="207"/>
      <c r="AF119" s="204"/>
      <c r="AG119" s="207"/>
      <c r="AH119" s="204"/>
      <c r="AI119" s="207"/>
      <c r="AJ119" s="204"/>
      <c r="AK119" s="207"/>
      <c r="AL119" s="204"/>
      <c r="AM119" s="207"/>
      <c r="AN119" s="204"/>
      <c r="AO119" s="207"/>
      <c r="AP119" s="204"/>
      <c r="AQ119" s="207"/>
      <c r="AR119" s="204"/>
      <c r="AS119" s="197">
        <f t="shared" si="17"/>
        <v>40</v>
      </c>
      <c r="AT119" s="220">
        <v>4725</v>
      </c>
      <c r="AU119" s="199">
        <f t="shared" si="18"/>
        <v>189000</v>
      </c>
      <c r="AV119" s="30"/>
      <c r="AW119" s="31"/>
      <c r="AX119" s="31"/>
      <c r="AY119" s="31"/>
      <c r="AZ119" s="32"/>
    </row>
    <row r="120" spans="1:52" s="22" customFormat="1" ht="18.75" customHeight="1" x14ac:dyDescent="0.25">
      <c r="A120" s="187">
        <v>111</v>
      </c>
      <c r="B120" s="188"/>
      <c r="C120" s="189" t="s">
        <v>93</v>
      </c>
      <c r="D120" s="190" t="s">
        <v>108</v>
      </c>
      <c r="E120" s="209" t="s">
        <v>17</v>
      </c>
      <c r="F120" s="261" t="s">
        <v>12</v>
      </c>
      <c r="G120" s="211"/>
      <c r="H120" s="211"/>
      <c r="I120" s="211"/>
      <c r="J120" s="211"/>
      <c r="K120" s="226"/>
      <c r="L120" s="204"/>
      <c r="M120" s="259">
        <v>90</v>
      </c>
      <c r="N120" s="206">
        <f t="shared" si="20"/>
        <v>16650</v>
      </c>
      <c r="O120" s="207"/>
      <c r="P120" s="204"/>
      <c r="Q120" s="205"/>
      <c r="R120" s="204"/>
      <c r="S120" s="207"/>
      <c r="T120" s="204"/>
      <c r="U120" s="205"/>
      <c r="V120" s="204"/>
      <c r="W120" s="207"/>
      <c r="X120" s="204"/>
      <c r="Y120" s="207"/>
      <c r="Z120" s="204"/>
      <c r="AA120" s="207"/>
      <c r="AB120" s="204"/>
      <c r="AC120" s="207"/>
      <c r="AD120" s="204"/>
      <c r="AE120" s="207"/>
      <c r="AF120" s="204"/>
      <c r="AG120" s="207"/>
      <c r="AH120" s="204"/>
      <c r="AI120" s="207"/>
      <c r="AJ120" s="204"/>
      <c r="AK120" s="207"/>
      <c r="AL120" s="204"/>
      <c r="AM120" s="207"/>
      <c r="AN120" s="204"/>
      <c r="AO120" s="207"/>
      <c r="AP120" s="204"/>
      <c r="AQ120" s="207"/>
      <c r="AR120" s="204"/>
      <c r="AS120" s="197">
        <f t="shared" si="17"/>
        <v>90</v>
      </c>
      <c r="AT120" s="214">
        <v>185</v>
      </c>
      <c r="AU120" s="199">
        <f t="shared" si="18"/>
        <v>16650</v>
      </c>
      <c r="AV120" s="30"/>
      <c r="AW120" s="31"/>
      <c r="AX120" s="31"/>
      <c r="AY120" s="31"/>
      <c r="AZ120" s="32"/>
    </row>
    <row r="121" spans="1:52" s="22" customFormat="1" ht="30" customHeight="1" x14ac:dyDescent="0.25">
      <c r="A121" s="187">
        <v>112</v>
      </c>
      <c r="B121" s="218"/>
      <c r="C121" s="189" t="s">
        <v>93</v>
      </c>
      <c r="D121" s="190" t="s">
        <v>108</v>
      </c>
      <c r="E121" s="201" t="s">
        <v>39</v>
      </c>
      <c r="F121" s="202" t="s">
        <v>66</v>
      </c>
      <c r="G121" s="219"/>
      <c r="H121" s="219"/>
      <c r="I121" s="219"/>
      <c r="J121" s="219"/>
      <c r="K121" s="202">
        <v>10</v>
      </c>
      <c r="L121" s="204">
        <f>+K121*AT121</f>
        <v>107450</v>
      </c>
      <c r="M121" s="205"/>
      <c r="N121" s="206">
        <f t="shared" si="20"/>
        <v>0</v>
      </c>
      <c r="O121" s="207"/>
      <c r="P121" s="204"/>
      <c r="Q121" s="205"/>
      <c r="R121" s="204"/>
      <c r="S121" s="207"/>
      <c r="T121" s="204"/>
      <c r="U121" s="205"/>
      <c r="V121" s="204"/>
      <c r="W121" s="207"/>
      <c r="X121" s="204"/>
      <c r="Y121" s="207"/>
      <c r="Z121" s="204"/>
      <c r="AA121" s="207"/>
      <c r="AB121" s="204"/>
      <c r="AC121" s="207"/>
      <c r="AD121" s="204"/>
      <c r="AE121" s="207"/>
      <c r="AF121" s="204"/>
      <c r="AG121" s="207"/>
      <c r="AH121" s="204"/>
      <c r="AI121" s="207"/>
      <c r="AJ121" s="204"/>
      <c r="AK121" s="207"/>
      <c r="AL121" s="204"/>
      <c r="AM121" s="207"/>
      <c r="AN121" s="204"/>
      <c r="AO121" s="207"/>
      <c r="AP121" s="204"/>
      <c r="AQ121" s="207"/>
      <c r="AR121" s="204"/>
      <c r="AS121" s="197">
        <f t="shared" si="17"/>
        <v>10</v>
      </c>
      <c r="AT121" s="220">
        <v>10745</v>
      </c>
      <c r="AU121" s="199">
        <f t="shared" si="18"/>
        <v>107450</v>
      </c>
      <c r="AV121" s="30"/>
      <c r="AW121" s="31"/>
      <c r="AX121" s="31"/>
      <c r="AY121" s="31"/>
      <c r="AZ121" s="32"/>
    </row>
    <row r="122" spans="1:52" s="22" customFormat="1" ht="30" customHeight="1" x14ac:dyDescent="0.25">
      <c r="A122" s="187">
        <v>113</v>
      </c>
      <c r="B122" s="203"/>
      <c r="C122" s="189" t="s">
        <v>93</v>
      </c>
      <c r="D122" s="190" t="s">
        <v>108</v>
      </c>
      <c r="E122" s="201" t="s">
        <v>70</v>
      </c>
      <c r="F122" s="46" t="s">
        <v>66</v>
      </c>
      <c r="G122" s="203"/>
      <c r="H122" s="203"/>
      <c r="I122" s="203"/>
      <c r="J122" s="203"/>
      <c r="K122" s="46">
        <v>20</v>
      </c>
      <c r="L122" s="204">
        <f>+K122*AT122</f>
        <v>138000</v>
      </c>
      <c r="M122" s="205"/>
      <c r="N122" s="206">
        <f t="shared" si="20"/>
        <v>0</v>
      </c>
      <c r="O122" s="207"/>
      <c r="P122" s="204"/>
      <c r="Q122" s="205"/>
      <c r="R122" s="204"/>
      <c r="S122" s="207"/>
      <c r="T122" s="204"/>
      <c r="U122" s="205"/>
      <c r="V122" s="204"/>
      <c r="W122" s="207"/>
      <c r="X122" s="204"/>
      <c r="Y122" s="207"/>
      <c r="Z122" s="204"/>
      <c r="AA122" s="207"/>
      <c r="AB122" s="204"/>
      <c r="AC122" s="207"/>
      <c r="AD122" s="204"/>
      <c r="AE122" s="207"/>
      <c r="AF122" s="204"/>
      <c r="AG122" s="207"/>
      <c r="AH122" s="204"/>
      <c r="AI122" s="207"/>
      <c r="AJ122" s="204"/>
      <c r="AK122" s="207"/>
      <c r="AL122" s="204"/>
      <c r="AM122" s="207"/>
      <c r="AN122" s="204"/>
      <c r="AO122" s="207"/>
      <c r="AP122" s="204"/>
      <c r="AQ122" s="207"/>
      <c r="AR122" s="204"/>
      <c r="AS122" s="197">
        <f t="shared" si="17"/>
        <v>20</v>
      </c>
      <c r="AT122" s="220">
        <v>6900</v>
      </c>
      <c r="AU122" s="199">
        <f t="shared" si="18"/>
        <v>138000</v>
      </c>
      <c r="AV122" s="290"/>
      <c r="AW122" s="291" t="s">
        <v>29</v>
      </c>
      <c r="AX122" s="291" t="s">
        <v>29</v>
      </c>
      <c r="AY122" s="291" t="s">
        <v>29</v>
      </c>
      <c r="AZ122" s="292" t="s">
        <v>29</v>
      </c>
    </row>
    <row r="123" spans="1:52" s="22" customFormat="1" ht="30" customHeight="1" x14ac:dyDescent="0.25">
      <c r="A123" s="187">
        <v>114</v>
      </c>
      <c r="B123" s="203"/>
      <c r="C123" s="189" t="s">
        <v>93</v>
      </c>
      <c r="D123" s="190" t="s">
        <v>108</v>
      </c>
      <c r="E123" s="201" t="s">
        <v>196</v>
      </c>
      <c r="F123" s="202" t="s">
        <v>12</v>
      </c>
      <c r="G123" s="211"/>
      <c r="H123" s="211"/>
      <c r="I123" s="211"/>
      <c r="J123" s="211"/>
      <c r="K123" s="202">
        <v>10</v>
      </c>
      <c r="L123" s="204">
        <f>+K123*AT123</f>
        <v>229190</v>
      </c>
      <c r="M123" s="205"/>
      <c r="N123" s="206"/>
      <c r="O123" s="207"/>
      <c r="P123" s="204"/>
      <c r="Q123" s="205"/>
      <c r="R123" s="204"/>
      <c r="S123" s="207"/>
      <c r="T123" s="204"/>
      <c r="U123" s="205"/>
      <c r="V123" s="204"/>
      <c r="W123" s="207"/>
      <c r="X123" s="204"/>
      <c r="Y123" s="207"/>
      <c r="Z123" s="204"/>
      <c r="AA123" s="207"/>
      <c r="AB123" s="204"/>
      <c r="AC123" s="207"/>
      <c r="AD123" s="204"/>
      <c r="AE123" s="207"/>
      <c r="AF123" s="204"/>
      <c r="AG123" s="207"/>
      <c r="AH123" s="204"/>
      <c r="AI123" s="207"/>
      <c r="AJ123" s="204"/>
      <c r="AK123" s="207"/>
      <c r="AL123" s="204"/>
      <c r="AM123" s="207"/>
      <c r="AN123" s="204"/>
      <c r="AO123" s="207"/>
      <c r="AP123" s="204"/>
      <c r="AQ123" s="207"/>
      <c r="AR123" s="204"/>
      <c r="AS123" s="197">
        <f t="shared" si="17"/>
        <v>10</v>
      </c>
      <c r="AT123" s="262">
        <v>22919</v>
      </c>
      <c r="AU123" s="199">
        <f t="shared" si="18"/>
        <v>229190</v>
      </c>
      <c r="AV123" s="30"/>
      <c r="AW123" s="36"/>
      <c r="AX123" s="36"/>
      <c r="AY123" s="36"/>
      <c r="AZ123" s="37"/>
    </row>
    <row r="124" spans="1:52" s="22" customFormat="1" ht="30" customHeight="1" x14ac:dyDescent="0.25">
      <c r="A124" s="187">
        <v>115</v>
      </c>
      <c r="B124" s="188"/>
      <c r="C124" s="189" t="s">
        <v>93</v>
      </c>
      <c r="D124" s="190" t="s">
        <v>108</v>
      </c>
      <c r="E124" s="209" t="s">
        <v>142</v>
      </c>
      <c r="F124" s="210" t="s">
        <v>12</v>
      </c>
      <c r="G124" s="211"/>
      <c r="H124" s="211"/>
      <c r="I124" s="211"/>
      <c r="J124" s="211"/>
      <c r="K124" s="226"/>
      <c r="L124" s="204"/>
      <c r="M124" s="213">
        <v>12</v>
      </c>
      <c r="N124" s="206">
        <f t="shared" ref="N124:N144" si="21">+M124*AT124</f>
        <v>15900</v>
      </c>
      <c r="O124" s="207"/>
      <c r="P124" s="204"/>
      <c r="Q124" s="205"/>
      <c r="R124" s="204"/>
      <c r="S124" s="207"/>
      <c r="T124" s="204"/>
      <c r="U124" s="205"/>
      <c r="V124" s="204"/>
      <c r="W124" s="207"/>
      <c r="X124" s="204"/>
      <c r="Y124" s="207"/>
      <c r="Z124" s="204"/>
      <c r="AA124" s="207"/>
      <c r="AB124" s="204"/>
      <c r="AC124" s="207"/>
      <c r="AD124" s="204"/>
      <c r="AE124" s="207"/>
      <c r="AF124" s="204"/>
      <c r="AG124" s="207"/>
      <c r="AH124" s="204"/>
      <c r="AI124" s="207"/>
      <c r="AJ124" s="204"/>
      <c r="AK124" s="207"/>
      <c r="AL124" s="204"/>
      <c r="AM124" s="207"/>
      <c r="AN124" s="204"/>
      <c r="AO124" s="207"/>
      <c r="AP124" s="204"/>
      <c r="AQ124" s="207"/>
      <c r="AR124" s="204"/>
      <c r="AS124" s="197">
        <f t="shared" si="17"/>
        <v>12</v>
      </c>
      <c r="AT124" s="214">
        <v>1325</v>
      </c>
      <c r="AU124" s="199">
        <f t="shared" si="18"/>
        <v>15900</v>
      </c>
      <c r="AV124" s="30"/>
      <c r="AW124" s="36"/>
      <c r="AX124" s="36"/>
      <c r="AY124" s="36"/>
      <c r="AZ124" s="37"/>
    </row>
    <row r="125" spans="1:52" s="22" customFormat="1" ht="25.5" customHeight="1" x14ac:dyDescent="0.25">
      <c r="A125" s="187">
        <v>116</v>
      </c>
      <c r="B125" s="188"/>
      <c r="C125" s="189" t="s">
        <v>93</v>
      </c>
      <c r="D125" s="190" t="s">
        <v>108</v>
      </c>
      <c r="E125" s="209" t="s">
        <v>121</v>
      </c>
      <c r="F125" s="261" t="s">
        <v>13</v>
      </c>
      <c r="G125" s="211"/>
      <c r="H125" s="211"/>
      <c r="I125" s="211"/>
      <c r="J125" s="211"/>
      <c r="K125" s="226"/>
      <c r="L125" s="204"/>
      <c r="M125" s="259">
        <v>1500</v>
      </c>
      <c r="N125" s="206">
        <f t="shared" si="21"/>
        <v>998250</v>
      </c>
      <c r="O125" s="207"/>
      <c r="P125" s="204"/>
      <c r="Q125" s="205"/>
      <c r="R125" s="204"/>
      <c r="S125" s="207"/>
      <c r="T125" s="204"/>
      <c r="U125" s="205"/>
      <c r="V125" s="204"/>
      <c r="W125" s="207"/>
      <c r="X125" s="204"/>
      <c r="Y125" s="207"/>
      <c r="Z125" s="204"/>
      <c r="AA125" s="207"/>
      <c r="AB125" s="204"/>
      <c r="AC125" s="207"/>
      <c r="AD125" s="204"/>
      <c r="AE125" s="207"/>
      <c r="AF125" s="204"/>
      <c r="AG125" s="207"/>
      <c r="AH125" s="204"/>
      <c r="AI125" s="207"/>
      <c r="AJ125" s="204"/>
      <c r="AK125" s="207"/>
      <c r="AL125" s="204"/>
      <c r="AM125" s="207"/>
      <c r="AN125" s="204"/>
      <c r="AO125" s="207"/>
      <c r="AP125" s="204"/>
      <c r="AQ125" s="207"/>
      <c r="AR125" s="204"/>
      <c r="AS125" s="197">
        <f t="shared" si="17"/>
        <v>1500</v>
      </c>
      <c r="AT125" s="264">
        <v>665.5</v>
      </c>
      <c r="AU125" s="199">
        <f t="shared" si="18"/>
        <v>998250</v>
      </c>
      <c r="AV125" s="30"/>
      <c r="AW125" s="36"/>
      <c r="AX125" s="36"/>
      <c r="AY125" s="36"/>
      <c r="AZ125" s="37"/>
    </row>
    <row r="126" spans="1:52" s="22" customFormat="1" ht="25.5" customHeight="1" x14ac:dyDescent="0.25">
      <c r="A126" s="187">
        <v>117</v>
      </c>
      <c r="B126" s="188"/>
      <c r="C126" s="189" t="s">
        <v>93</v>
      </c>
      <c r="D126" s="190" t="s">
        <v>108</v>
      </c>
      <c r="E126" s="209" t="s">
        <v>122</v>
      </c>
      <c r="F126" s="261" t="s">
        <v>13</v>
      </c>
      <c r="G126" s="211"/>
      <c r="H126" s="211"/>
      <c r="I126" s="211"/>
      <c r="J126" s="211"/>
      <c r="K126" s="226"/>
      <c r="L126" s="204"/>
      <c r="M126" s="259">
        <v>900</v>
      </c>
      <c r="N126" s="206">
        <f t="shared" si="21"/>
        <v>784080</v>
      </c>
      <c r="O126" s="207"/>
      <c r="P126" s="206"/>
      <c r="Q126" s="205"/>
      <c r="R126" s="206"/>
      <c r="S126" s="207"/>
      <c r="T126" s="204"/>
      <c r="U126" s="205"/>
      <c r="V126" s="206"/>
      <c r="W126" s="207"/>
      <c r="X126" s="206"/>
      <c r="Y126" s="207"/>
      <c r="Z126" s="206"/>
      <c r="AA126" s="207"/>
      <c r="AB126" s="206"/>
      <c r="AC126" s="207"/>
      <c r="AD126" s="206"/>
      <c r="AE126" s="207"/>
      <c r="AF126" s="206"/>
      <c r="AG126" s="207"/>
      <c r="AH126" s="206"/>
      <c r="AI126" s="207"/>
      <c r="AJ126" s="206"/>
      <c r="AK126" s="207"/>
      <c r="AL126" s="206"/>
      <c r="AM126" s="207"/>
      <c r="AN126" s="206"/>
      <c r="AO126" s="207"/>
      <c r="AP126" s="206"/>
      <c r="AQ126" s="207"/>
      <c r="AR126" s="206"/>
      <c r="AS126" s="197">
        <f t="shared" si="17"/>
        <v>900</v>
      </c>
      <c r="AT126" s="214">
        <v>871.2</v>
      </c>
      <c r="AU126" s="199">
        <f t="shared" si="18"/>
        <v>784080</v>
      </c>
      <c r="AV126" s="30"/>
      <c r="AW126" s="36"/>
      <c r="AX126" s="36"/>
      <c r="AY126" s="36"/>
      <c r="AZ126" s="37"/>
    </row>
    <row r="127" spans="1:52" s="22" customFormat="1" ht="25.5" customHeight="1" x14ac:dyDescent="0.25">
      <c r="A127" s="187">
        <v>118</v>
      </c>
      <c r="B127" s="188"/>
      <c r="C127" s="189" t="s">
        <v>93</v>
      </c>
      <c r="D127" s="190" t="s">
        <v>108</v>
      </c>
      <c r="E127" s="209" t="s">
        <v>123</v>
      </c>
      <c r="F127" s="261" t="s">
        <v>12</v>
      </c>
      <c r="G127" s="211"/>
      <c r="H127" s="211"/>
      <c r="I127" s="211"/>
      <c r="J127" s="211"/>
      <c r="K127" s="226"/>
      <c r="L127" s="204"/>
      <c r="M127" s="259">
        <v>900</v>
      </c>
      <c r="N127" s="206">
        <f t="shared" si="21"/>
        <v>858600</v>
      </c>
      <c r="O127" s="207"/>
      <c r="P127" s="204"/>
      <c r="Q127" s="205"/>
      <c r="R127" s="204"/>
      <c r="S127" s="207"/>
      <c r="T127" s="204"/>
      <c r="U127" s="205"/>
      <c r="V127" s="204"/>
      <c r="W127" s="207"/>
      <c r="X127" s="204"/>
      <c r="Y127" s="207"/>
      <c r="Z127" s="204"/>
      <c r="AA127" s="207"/>
      <c r="AB127" s="204"/>
      <c r="AC127" s="207"/>
      <c r="AD127" s="204"/>
      <c r="AE127" s="207"/>
      <c r="AF127" s="204"/>
      <c r="AG127" s="207"/>
      <c r="AH127" s="204"/>
      <c r="AI127" s="207"/>
      <c r="AJ127" s="204"/>
      <c r="AK127" s="207"/>
      <c r="AL127" s="204"/>
      <c r="AM127" s="207"/>
      <c r="AN127" s="204"/>
      <c r="AO127" s="207"/>
      <c r="AP127" s="204"/>
      <c r="AQ127" s="207"/>
      <c r="AR127" s="204"/>
      <c r="AS127" s="197">
        <f t="shared" si="17"/>
        <v>900</v>
      </c>
      <c r="AT127" s="214">
        <v>954</v>
      </c>
      <c r="AU127" s="199">
        <f t="shared" si="18"/>
        <v>858600</v>
      </c>
      <c r="AV127" s="30"/>
      <c r="AW127" s="36"/>
      <c r="AX127" s="36"/>
      <c r="AY127" s="36"/>
      <c r="AZ127" s="37"/>
    </row>
    <row r="128" spans="1:52" s="22" customFormat="1" ht="25.5" customHeight="1" x14ac:dyDescent="0.25">
      <c r="A128" s="187">
        <v>119</v>
      </c>
      <c r="B128" s="137"/>
      <c r="C128" s="189" t="s">
        <v>93</v>
      </c>
      <c r="D128" s="190" t="s">
        <v>108</v>
      </c>
      <c r="E128" s="201" t="s">
        <v>36</v>
      </c>
      <c r="F128" s="202" t="s">
        <v>66</v>
      </c>
      <c r="G128" s="219"/>
      <c r="H128" s="219"/>
      <c r="I128" s="219"/>
      <c r="J128" s="219"/>
      <c r="K128" s="202">
        <v>30</v>
      </c>
      <c r="L128" s="204">
        <f>+K128*AT128</f>
        <v>275700</v>
      </c>
      <c r="M128" s="205"/>
      <c r="N128" s="206">
        <f t="shared" si="21"/>
        <v>0</v>
      </c>
      <c r="O128" s="207"/>
      <c r="P128" s="204"/>
      <c r="Q128" s="205"/>
      <c r="R128" s="204"/>
      <c r="S128" s="207"/>
      <c r="T128" s="204"/>
      <c r="U128" s="205"/>
      <c r="V128" s="204"/>
      <c r="W128" s="207"/>
      <c r="X128" s="204"/>
      <c r="Y128" s="207"/>
      <c r="Z128" s="204"/>
      <c r="AA128" s="207"/>
      <c r="AB128" s="204"/>
      <c r="AC128" s="207"/>
      <c r="AD128" s="204"/>
      <c r="AE128" s="207"/>
      <c r="AF128" s="204"/>
      <c r="AG128" s="207"/>
      <c r="AH128" s="204"/>
      <c r="AI128" s="207"/>
      <c r="AJ128" s="204"/>
      <c r="AK128" s="207"/>
      <c r="AL128" s="204"/>
      <c r="AM128" s="207"/>
      <c r="AN128" s="204"/>
      <c r="AO128" s="207"/>
      <c r="AP128" s="204"/>
      <c r="AQ128" s="207"/>
      <c r="AR128" s="204"/>
      <c r="AS128" s="197">
        <f t="shared" si="17"/>
        <v>30</v>
      </c>
      <c r="AT128" s="220">
        <v>9190</v>
      </c>
      <c r="AU128" s="199">
        <f t="shared" si="18"/>
        <v>275700</v>
      </c>
      <c r="AV128" s="290"/>
      <c r="AW128" s="291" t="s">
        <v>30</v>
      </c>
      <c r="AX128" s="291" t="s">
        <v>30</v>
      </c>
      <c r="AY128" s="291" t="s">
        <v>30</v>
      </c>
      <c r="AZ128" s="292" t="s">
        <v>30</v>
      </c>
    </row>
    <row r="129" spans="1:52" s="22" customFormat="1" ht="18.75" customHeight="1" x14ac:dyDescent="0.25">
      <c r="A129" s="187">
        <v>120</v>
      </c>
      <c r="B129" s="188"/>
      <c r="C129" s="189" t="s">
        <v>93</v>
      </c>
      <c r="D129" s="190" t="s">
        <v>108</v>
      </c>
      <c r="E129" s="209" t="s">
        <v>145</v>
      </c>
      <c r="F129" s="210" t="s">
        <v>12</v>
      </c>
      <c r="G129" s="211"/>
      <c r="H129" s="211"/>
      <c r="I129" s="211"/>
      <c r="J129" s="211"/>
      <c r="K129" s="226"/>
      <c r="L129" s="204"/>
      <c r="M129" s="213">
        <v>12</v>
      </c>
      <c r="N129" s="206">
        <f t="shared" si="21"/>
        <v>199740</v>
      </c>
      <c r="O129" s="207"/>
      <c r="P129" s="204"/>
      <c r="Q129" s="205"/>
      <c r="R129" s="204"/>
      <c r="S129" s="207"/>
      <c r="T129" s="204"/>
      <c r="U129" s="205"/>
      <c r="V129" s="204"/>
      <c r="W129" s="207"/>
      <c r="X129" s="204"/>
      <c r="Y129" s="207"/>
      <c r="Z129" s="204"/>
      <c r="AA129" s="207"/>
      <c r="AB129" s="204"/>
      <c r="AC129" s="207"/>
      <c r="AD129" s="204"/>
      <c r="AE129" s="207"/>
      <c r="AF129" s="204"/>
      <c r="AG129" s="207"/>
      <c r="AH129" s="204"/>
      <c r="AI129" s="207"/>
      <c r="AJ129" s="204"/>
      <c r="AK129" s="207"/>
      <c r="AL129" s="204"/>
      <c r="AM129" s="207"/>
      <c r="AN129" s="204"/>
      <c r="AO129" s="207"/>
      <c r="AP129" s="204"/>
      <c r="AQ129" s="207"/>
      <c r="AR129" s="204"/>
      <c r="AS129" s="197">
        <f t="shared" si="17"/>
        <v>12</v>
      </c>
      <c r="AT129" s="214">
        <v>16645</v>
      </c>
      <c r="AU129" s="199">
        <f t="shared" si="18"/>
        <v>199740</v>
      </c>
      <c r="AV129" s="25"/>
      <c r="AW129" s="25"/>
      <c r="AX129" s="25"/>
      <c r="AY129" s="25"/>
      <c r="AZ129" s="26"/>
    </row>
    <row r="130" spans="1:52" s="22" customFormat="1" ht="18.75" customHeight="1" x14ac:dyDescent="0.25">
      <c r="A130" s="187">
        <v>121</v>
      </c>
      <c r="B130" s="243"/>
      <c r="C130" s="189" t="s">
        <v>93</v>
      </c>
      <c r="D130" s="190" t="s">
        <v>108</v>
      </c>
      <c r="E130" s="201" t="s">
        <v>189</v>
      </c>
      <c r="F130" s="46" t="s">
        <v>66</v>
      </c>
      <c r="G130" s="203"/>
      <c r="H130" s="203"/>
      <c r="I130" s="203"/>
      <c r="J130" s="203"/>
      <c r="K130" s="46">
        <v>5</v>
      </c>
      <c r="L130" s="204">
        <f>+K130*AT130</f>
        <v>107000</v>
      </c>
      <c r="M130" s="205"/>
      <c r="N130" s="206">
        <f t="shared" si="21"/>
        <v>0</v>
      </c>
      <c r="O130" s="207"/>
      <c r="P130" s="204"/>
      <c r="Q130" s="205"/>
      <c r="R130" s="204"/>
      <c r="S130" s="207"/>
      <c r="T130" s="204"/>
      <c r="U130" s="205"/>
      <c r="V130" s="204"/>
      <c r="W130" s="207"/>
      <c r="X130" s="204"/>
      <c r="Y130" s="207"/>
      <c r="Z130" s="204"/>
      <c r="AA130" s="207"/>
      <c r="AB130" s="204"/>
      <c r="AC130" s="207"/>
      <c r="AD130" s="204"/>
      <c r="AE130" s="207"/>
      <c r="AF130" s="204"/>
      <c r="AG130" s="207"/>
      <c r="AH130" s="204"/>
      <c r="AI130" s="207"/>
      <c r="AJ130" s="204"/>
      <c r="AK130" s="207"/>
      <c r="AL130" s="204"/>
      <c r="AM130" s="207"/>
      <c r="AN130" s="204"/>
      <c r="AO130" s="207"/>
      <c r="AP130" s="204"/>
      <c r="AQ130" s="207"/>
      <c r="AR130" s="204"/>
      <c r="AS130" s="197">
        <f t="shared" si="17"/>
        <v>5</v>
      </c>
      <c r="AT130" s="220">
        <v>21400</v>
      </c>
      <c r="AU130" s="199">
        <f t="shared" si="18"/>
        <v>107000</v>
      </c>
      <c r="AV130" s="25"/>
      <c r="AW130" s="25"/>
      <c r="AX130" s="25"/>
      <c r="AY130" s="25"/>
      <c r="AZ130" s="26"/>
    </row>
    <row r="131" spans="1:52" s="22" customFormat="1" ht="18.75" customHeight="1" x14ac:dyDescent="0.25">
      <c r="A131" s="187">
        <v>122</v>
      </c>
      <c r="B131" s="203"/>
      <c r="C131" s="189" t="s">
        <v>93</v>
      </c>
      <c r="D131" s="190" t="s">
        <v>108</v>
      </c>
      <c r="E131" s="201" t="s">
        <v>190</v>
      </c>
      <c r="F131" s="46" t="s">
        <v>66</v>
      </c>
      <c r="G131" s="211"/>
      <c r="H131" s="211"/>
      <c r="I131" s="211"/>
      <c r="J131" s="211"/>
      <c r="K131" s="46">
        <v>5</v>
      </c>
      <c r="L131" s="204">
        <f>+K131*AT131</f>
        <v>119000</v>
      </c>
      <c r="M131" s="205"/>
      <c r="N131" s="206">
        <f t="shared" si="21"/>
        <v>0</v>
      </c>
      <c r="O131" s="207"/>
      <c r="P131" s="204"/>
      <c r="Q131" s="205"/>
      <c r="R131" s="204"/>
      <c r="S131" s="207"/>
      <c r="T131" s="204"/>
      <c r="U131" s="205"/>
      <c r="V131" s="204"/>
      <c r="W131" s="207"/>
      <c r="X131" s="204"/>
      <c r="Y131" s="207"/>
      <c r="Z131" s="204"/>
      <c r="AA131" s="207"/>
      <c r="AB131" s="204"/>
      <c r="AC131" s="207"/>
      <c r="AD131" s="204"/>
      <c r="AE131" s="207"/>
      <c r="AF131" s="204"/>
      <c r="AG131" s="207"/>
      <c r="AH131" s="204"/>
      <c r="AI131" s="207"/>
      <c r="AJ131" s="204"/>
      <c r="AK131" s="207"/>
      <c r="AL131" s="204"/>
      <c r="AM131" s="207"/>
      <c r="AN131" s="204"/>
      <c r="AO131" s="207"/>
      <c r="AP131" s="204"/>
      <c r="AQ131" s="207"/>
      <c r="AR131" s="204"/>
      <c r="AS131" s="197">
        <f t="shared" si="17"/>
        <v>5</v>
      </c>
      <c r="AT131" s="220">
        <v>23800</v>
      </c>
      <c r="AU131" s="199">
        <f t="shared" si="18"/>
        <v>119000</v>
      </c>
      <c r="AV131" s="25"/>
      <c r="AW131" s="25"/>
      <c r="AX131" s="25"/>
      <c r="AY131" s="25"/>
      <c r="AZ131" s="26"/>
    </row>
    <row r="132" spans="1:52" s="22" customFormat="1" ht="18.75" customHeight="1" x14ac:dyDescent="0.25">
      <c r="A132" s="187">
        <v>123</v>
      </c>
      <c r="B132" s="218"/>
      <c r="C132" s="189" t="s">
        <v>93</v>
      </c>
      <c r="D132" s="190" t="s">
        <v>108</v>
      </c>
      <c r="E132" s="201" t="s">
        <v>181</v>
      </c>
      <c r="F132" s="202" t="s">
        <v>66</v>
      </c>
      <c r="G132" s="202"/>
      <c r="H132" s="202"/>
      <c r="I132" s="202"/>
      <c r="J132" s="202"/>
      <c r="K132" s="202">
        <v>20</v>
      </c>
      <c r="L132" s="204">
        <f>+K132*AT132</f>
        <v>376400</v>
      </c>
      <c r="M132" s="205"/>
      <c r="N132" s="206">
        <f t="shared" si="21"/>
        <v>0</v>
      </c>
      <c r="O132" s="207"/>
      <c r="P132" s="204"/>
      <c r="Q132" s="205"/>
      <c r="R132" s="204"/>
      <c r="S132" s="207"/>
      <c r="T132" s="204"/>
      <c r="U132" s="205"/>
      <c r="V132" s="204"/>
      <c r="W132" s="207"/>
      <c r="X132" s="204"/>
      <c r="Y132" s="207"/>
      <c r="Z132" s="204"/>
      <c r="AA132" s="207"/>
      <c r="AB132" s="204"/>
      <c r="AC132" s="207"/>
      <c r="AD132" s="204"/>
      <c r="AE132" s="207"/>
      <c r="AF132" s="204"/>
      <c r="AG132" s="207"/>
      <c r="AH132" s="204"/>
      <c r="AI132" s="207"/>
      <c r="AJ132" s="204"/>
      <c r="AK132" s="207"/>
      <c r="AL132" s="204"/>
      <c r="AM132" s="207"/>
      <c r="AN132" s="204"/>
      <c r="AO132" s="207"/>
      <c r="AP132" s="204"/>
      <c r="AQ132" s="207"/>
      <c r="AR132" s="204"/>
      <c r="AS132" s="197">
        <f t="shared" si="17"/>
        <v>20</v>
      </c>
      <c r="AT132" s="220">
        <v>18820</v>
      </c>
      <c r="AU132" s="199">
        <f t="shared" si="18"/>
        <v>376400</v>
      </c>
      <c r="AV132" s="25"/>
      <c r="AW132" s="25"/>
      <c r="AX132" s="25"/>
      <c r="AY132" s="25"/>
      <c r="AZ132" s="26"/>
    </row>
    <row r="133" spans="1:52" s="22" customFormat="1" ht="18.75" customHeight="1" x14ac:dyDescent="0.25">
      <c r="A133" s="187">
        <v>124</v>
      </c>
      <c r="B133" s="188"/>
      <c r="C133" s="189" t="s">
        <v>93</v>
      </c>
      <c r="D133" s="190" t="s">
        <v>108</v>
      </c>
      <c r="E133" s="209" t="s">
        <v>137</v>
      </c>
      <c r="F133" s="210" t="s">
        <v>14</v>
      </c>
      <c r="G133" s="211"/>
      <c r="H133" s="211"/>
      <c r="I133" s="211"/>
      <c r="J133" s="211"/>
      <c r="K133" s="226"/>
      <c r="L133" s="204"/>
      <c r="M133" s="213">
        <v>4</v>
      </c>
      <c r="N133" s="206">
        <f t="shared" si="21"/>
        <v>29580</v>
      </c>
      <c r="O133" s="207"/>
      <c r="P133" s="204"/>
      <c r="Q133" s="205"/>
      <c r="R133" s="204"/>
      <c r="S133" s="207"/>
      <c r="T133" s="204"/>
      <c r="U133" s="205"/>
      <c r="V133" s="204"/>
      <c r="W133" s="207"/>
      <c r="X133" s="204"/>
      <c r="Y133" s="207"/>
      <c r="Z133" s="204"/>
      <c r="AA133" s="207"/>
      <c r="AB133" s="204"/>
      <c r="AC133" s="207"/>
      <c r="AD133" s="204"/>
      <c r="AE133" s="207"/>
      <c r="AF133" s="204"/>
      <c r="AG133" s="207"/>
      <c r="AH133" s="204"/>
      <c r="AI133" s="207"/>
      <c r="AJ133" s="204"/>
      <c r="AK133" s="207"/>
      <c r="AL133" s="204"/>
      <c r="AM133" s="207"/>
      <c r="AN133" s="204"/>
      <c r="AO133" s="207"/>
      <c r="AP133" s="204"/>
      <c r="AQ133" s="207"/>
      <c r="AR133" s="204"/>
      <c r="AS133" s="197">
        <f t="shared" si="17"/>
        <v>4</v>
      </c>
      <c r="AT133" s="214">
        <v>7395</v>
      </c>
      <c r="AU133" s="199">
        <f t="shared" si="18"/>
        <v>29580</v>
      </c>
      <c r="AV133" s="25"/>
      <c r="AW133" s="25"/>
      <c r="AX133" s="25"/>
      <c r="AY133" s="25"/>
      <c r="AZ133" s="26"/>
    </row>
    <row r="134" spans="1:52" s="22" customFormat="1" ht="18.75" customHeight="1" x14ac:dyDescent="0.25">
      <c r="A134" s="187">
        <v>125</v>
      </c>
      <c r="B134" s="203"/>
      <c r="C134" s="189" t="s">
        <v>93</v>
      </c>
      <c r="D134" s="190" t="s">
        <v>108</v>
      </c>
      <c r="E134" s="201" t="s">
        <v>168</v>
      </c>
      <c r="F134" s="202" t="s">
        <v>66</v>
      </c>
      <c r="G134" s="219"/>
      <c r="H134" s="219"/>
      <c r="I134" s="219"/>
      <c r="J134" s="219"/>
      <c r="K134" s="202">
        <v>20</v>
      </c>
      <c r="L134" s="204">
        <f>+K134*AT134</f>
        <v>118040</v>
      </c>
      <c r="M134" s="205"/>
      <c r="N134" s="206">
        <f t="shared" si="21"/>
        <v>0</v>
      </c>
      <c r="O134" s="207"/>
      <c r="P134" s="204"/>
      <c r="Q134" s="205"/>
      <c r="R134" s="204"/>
      <c r="S134" s="207"/>
      <c r="T134" s="204"/>
      <c r="U134" s="205"/>
      <c r="V134" s="204"/>
      <c r="W134" s="207"/>
      <c r="X134" s="204"/>
      <c r="Y134" s="207"/>
      <c r="Z134" s="204"/>
      <c r="AA134" s="207"/>
      <c r="AB134" s="204"/>
      <c r="AC134" s="207"/>
      <c r="AD134" s="204"/>
      <c r="AE134" s="207"/>
      <c r="AF134" s="204"/>
      <c r="AG134" s="207"/>
      <c r="AH134" s="204"/>
      <c r="AI134" s="207"/>
      <c r="AJ134" s="204"/>
      <c r="AK134" s="207"/>
      <c r="AL134" s="204"/>
      <c r="AM134" s="207"/>
      <c r="AN134" s="204"/>
      <c r="AO134" s="207"/>
      <c r="AP134" s="204"/>
      <c r="AQ134" s="207"/>
      <c r="AR134" s="204"/>
      <c r="AS134" s="197">
        <f t="shared" si="17"/>
        <v>20</v>
      </c>
      <c r="AT134" s="220">
        <v>5902</v>
      </c>
      <c r="AU134" s="199">
        <f t="shared" si="18"/>
        <v>118040</v>
      </c>
      <c r="AV134" s="25"/>
      <c r="AW134" s="25"/>
      <c r="AX134" s="25"/>
      <c r="AY134" s="25"/>
      <c r="AZ134" s="26"/>
    </row>
    <row r="135" spans="1:52" s="22" customFormat="1" ht="18.75" customHeight="1" x14ac:dyDescent="0.25">
      <c r="A135" s="187">
        <v>126</v>
      </c>
      <c r="B135" s="218"/>
      <c r="C135" s="189" t="s">
        <v>93</v>
      </c>
      <c r="D135" s="190" t="s">
        <v>108</v>
      </c>
      <c r="E135" s="201" t="s">
        <v>185</v>
      </c>
      <c r="F135" s="202" t="s">
        <v>66</v>
      </c>
      <c r="G135" s="219"/>
      <c r="H135" s="219"/>
      <c r="I135" s="219"/>
      <c r="J135" s="219"/>
      <c r="K135" s="202">
        <v>10</v>
      </c>
      <c r="L135" s="204">
        <f>+K135*AT135</f>
        <v>138120</v>
      </c>
      <c r="M135" s="205"/>
      <c r="N135" s="206">
        <f t="shared" si="21"/>
        <v>0</v>
      </c>
      <c r="O135" s="207"/>
      <c r="P135" s="204"/>
      <c r="Q135" s="205"/>
      <c r="R135" s="204"/>
      <c r="S135" s="207"/>
      <c r="T135" s="204"/>
      <c r="U135" s="205"/>
      <c r="V135" s="204"/>
      <c r="W135" s="207"/>
      <c r="X135" s="204"/>
      <c r="Y135" s="207"/>
      <c r="Z135" s="204"/>
      <c r="AA135" s="207"/>
      <c r="AB135" s="204"/>
      <c r="AC135" s="207"/>
      <c r="AD135" s="204"/>
      <c r="AE135" s="207"/>
      <c r="AF135" s="204"/>
      <c r="AG135" s="207"/>
      <c r="AH135" s="204"/>
      <c r="AI135" s="207"/>
      <c r="AJ135" s="204"/>
      <c r="AK135" s="207"/>
      <c r="AL135" s="204"/>
      <c r="AM135" s="207"/>
      <c r="AN135" s="204"/>
      <c r="AO135" s="207"/>
      <c r="AP135" s="204"/>
      <c r="AQ135" s="207"/>
      <c r="AR135" s="204"/>
      <c r="AS135" s="197">
        <f t="shared" si="17"/>
        <v>10</v>
      </c>
      <c r="AT135" s="220">
        <v>13812</v>
      </c>
      <c r="AU135" s="199">
        <f t="shared" si="18"/>
        <v>138120</v>
      </c>
      <c r="AV135" s="25"/>
      <c r="AW135" s="25"/>
      <c r="AX135" s="25"/>
      <c r="AY135" s="25"/>
      <c r="AZ135" s="26"/>
    </row>
    <row r="136" spans="1:52" s="22" customFormat="1" ht="18.75" customHeight="1" x14ac:dyDescent="0.25">
      <c r="A136" s="187">
        <v>127</v>
      </c>
      <c r="B136" s="243"/>
      <c r="C136" s="189" t="s">
        <v>93</v>
      </c>
      <c r="D136" s="190" t="s">
        <v>108</v>
      </c>
      <c r="E136" s="201" t="s">
        <v>35</v>
      </c>
      <c r="F136" s="202" t="s">
        <v>66</v>
      </c>
      <c r="G136" s="203"/>
      <c r="H136" s="203"/>
      <c r="I136" s="203"/>
      <c r="J136" s="203"/>
      <c r="K136" s="202">
        <v>20</v>
      </c>
      <c r="L136" s="204">
        <f>+K136*AT136</f>
        <v>67760</v>
      </c>
      <c r="M136" s="205"/>
      <c r="N136" s="206">
        <f t="shared" si="21"/>
        <v>0</v>
      </c>
      <c r="O136" s="207"/>
      <c r="P136" s="204"/>
      <c r="Q136" s="205"/>
      <c r="R136" s="204"/>
      <c r="S136" s="207"/>
      <c r="T136" s="204"/>
      <c r="U136" s="205"/>
      <c r="V136" s="204"/>
      <c r="W136" s="207"/>
      <c r="X136" s="204"/>
      <c r="Y136" s="207"/>
      <c r="Z136" s="204"/>
      <c r="AA136" s="207"/>
      <c r="AB136" s="204"/>
      <c r="AC136" s="207"/>
      <c r="AD136" s="204"/>
      <c r="AE136" s="207"/>
      <c r="AF136" s="204"/>
      <c r="AG136" s="207"/>
      <c r="AH136" s="204"/>
      <c r="AI136" s="207"/>
      <c r="AJ136" s="204"/>
      <c r="AK136" s="207"/>
      <c r="AL136" s="204"/>
      <c r="AM136" s="207"/>
      <c r="AN136" s="204"/>
      <c r="AO136" s="207"/>
      <c r="AP136" s="204"/>
      <c r="AQ136" s="207"/>
      <c r="AR136" s="204"/>
      <c r="AS136" s="197">
        <f t="shared" si="17"/>
        <v>20</v>
      </c>
      <c r="AT136" s="220">
        <v>3388</v>
      </c>
      <c r="AU136" s="199">
        <f t="shared" si="18"/>
        <v>67760</v>
      </c>
      <c r="AV136" s="25"/>
      <c r="AW136" s="25"/>
      <c r="AX136" s="25"/>
      <c r="AY136" s="25"/>
      <c r="AZ136" s="26"/>
    </row>
    <row r="137" spans="1:52" s="22" customFormat="1" ht="18.75" customHeight="1" x14ac:dyDescent="0.25">
      <c r="A137" s="187">
        <v>128</v>
      </c>
      <c r="B137" s="137"/>
      <c r="C137" s="189" t="s">
        <v>93</v>
      </c>
      <c r="D137" s="190" t="s">
        <v>108</v>
      </c>
      <c r="E137" s="201" t="s">
        <v>37</v>
      </c>
      <c r="F137" s="202" t="s">
        <v>66</v>
      </c>
      <c r="G137" s="265"/>
      <c r="H137" s="265"/>
      <c r="I137" s="265"/>
      <c r="J137" s="265"/>
      <c r="K137" s="202">
        <v>200</v>
      </c>
      <c r="L137" s="204">
        <f>+K137*AT137</f>
        <v>329400</v>
      </c>
      <c r="M137" s="205"/>
      <c r="N137" s="206">
        <f t="shared" si="21"/>
        <v>0</v>
      </c>
      <c r="O137" s="207"/>
      <c r="P137" s="204"/>
      <c r="Q137" s="205"/>
      <c r="R137" s="204"/>
      <c r="S137" s="207"/>
      <c r="T137" s="204"/>
      <c r="U137" s="205"/>
      <c r="V137" s="204"/>
      <c r="W137" s="207"/>
      <c r="X137" s="204"/>
      <c r="Y137" s="207"/>
      <c r="Z137" s="204"/>
      <c r="AA137" s="207"/>
      <c r="AB137" s="204"/>
      <c r="AC137" s="207"/>
      <c r="AD137" s="204"/>
      <c r="AE137" s="207"/>
      <c r="AF137" s="204"/>
      <c r="AG137" s="207"/>
      <c r="AH137" s="204"/>
      <c r="AI137" s="207"/>
      <c r="AJ137" s="204"/>
      <c r="AK137" s="207"/>
      <c r="AL137" s="204"/>
      <c r="AM137" s="207"/>
      <c r="AN137" s="204"/>
      <c r="AO137" s="207"/>
      <c r="AP137" s="204"/>
      <c r="AQ137" s="207"/>
      <c r="AR137" s="204"/>
      <c r="AS137" s="197">
        <f t="shared" ref="AS137:AS144" si="22">+AQ137+AO137+AM137+AK137+AI137+AG137+AE137+AC137+AA137+Y137+W137+U137+S137+Q137+O137+M137+K137+I137</f>
        <v>200</v>
      </c>
      <c r="AT137" s="220">
        <v>1647</v>
      </c>
      <c r="AU137" s="199">
        <f t="shared" ref="AU137:AU144" si="23">+AS137*AT137</f>
        <v>329400</v>
      </c>
      <c r="AV137" s="25"/>
      <c r="AW137" s="25"/>
      <c r="AX137" s="25"/>
      <c r="AY137" s="25"/>
      <c r="AZ137" s="26"/>
    </row>
    <row r="138" spans="1:52" s="22" customFormat="1" ht="18.75" customHeight="1" x14ac:dyDescent="0.25">
      <c r="A138" s="187">
        <v>129</v>
      </c>
      <c r="B138" s="218"/>
      <c r="C138" s="189" t="s">
        <v>93</v>
      </c>
      <c r="D138" s="190" t="s">
        <v>108</v>
      </c>
      <c r="E138" s="201" t="s">
        <v>34</v>
      </c>
      <c r="F138" s="202" t="s">
        <v>66</v>
      </c>
      <c r="G138" s="236"/>
      <c r="H138" s="236"/>
      <c r="I138" s="236"/>
      <c r="J138" s="236"/>
      <c r="K138" s="46">
        <v>50</v>
      </c>
      <c r="L138" s="204">
        <f>+K138*AT138</f>
        <v>91100</v>
      </c>
      <c r="M138" s="205">
        <v>12</v>
      </c>
      <c r="N138" s="206">
        <f t="shared" si="21"/>
        <v>21864</v>
      </c>
      <c r="O138" s="207"/>
      <c r="P138" s="204"/>
      <c r="Q138" s="205"/>
      <c r="R138" s="204"/>
      <c r="S138" s="207"/>
      <c r="T138" s="204"/>
      <c r="U138" s="205"/>
      <c r="V138" s="204"/>
      <c r="W138" s="207"/>
      <c r="X138" s="204"/>
      <c r="Y138" s="207"/>
      <c r="Z138" s="204"/>
      <c r="AA138" s="207"/>
      <c r="AB138" s="204"/>
      <c r="AC138" s="207"/>
      <c r="AD138" s="204"/>
      <c r="AE138" s="207"/>
      <c r="AF138" s="204"/>
      <c r="AG138" s="207"/>
      <c r="AH138" s="204"/>
      <c r="AI138" s="207"/>
      <c r="AJ138" s="204"/>
      <c r="AK138" s="207"/>
      <c r="AL138" s="204"/>
      <c r="AM138" s="207"/>
      <c r="AN138" s="204"/>
      <c r="AO138" s="207"/>
      <c r="AP138" s="204"/>
      <c r="AQ138" s="207"/>
      <c r="AR138" s="204"/>
      <c r="AS138" s="197">
        <f t="shared" si="22"/>
        <v>62</v>
      </c>
      <c r="AT138" s="220">
        <v>1822</v>
      </c>
      <c r="AU138" s="199">
        <f t="shared" si="23"/>
        <v>112964</v>
      </c>
      <c r="AV138" s="25"/>
      <c r="AW138" s="25"/>
      <c r="AX138" s="25"/>
      <c r="AY138" s="25"/>
      <c r="AZ138" s="26"/>
    </row>
    <row r="139" spans="1:52" s="22" customFormat="1" ht="18.75" customHeight="1" x14ac:dyDescent="0.25">
      <c r="A139" s="187">
        <v>130</v>
      </c>
      <c r="B139" s="218"/>
      <c r="C139" s="189" t="s">
        <v>93</v>
      </c>
      <c r="D139" s="190" t="s">
        <v>108</v>
      </c>
      <c r="E139" s="201" t="s">
        <v>184</v>
      </c>
      <c r="F139" s="202" t="s">
        <v>66</v>
      </c>
      <c r="G139" s="219"/>
      <c r="H139" s="219"/>
      <c r="I139" s="219"/>
      <c r="J139" s="219"/>
      <c r="K139" s="190">
        <v>15</v>
      </c>
      <c r="L139" s="204">
        <f t="shared" ref="L139:L144" si="24">+K139*AT139</f>
        <v>245070</v>
      </c>
      <c r="M139" s="205"/>
      <c r="N139" s="206">
        <f t="shared" si="21"/>
        <v>0</v>
      </c>
      <c r="O139" s="207"/>
      <c r="P139" s="204"/>
      <c r="Q139" s="205"/>
      <c r="R139" s="204"/>
      <c r="S139" s="207"/>
      <c r="T139" s="204"/>
      <c r="U139" s="205"/>
      <c r="V139" s="204"/>
      <c r="W139" s="207"/>
      <c r="X139" s="204"/>
      <c r="Y139" s="207"/>
      <c r="Z139" s="204"/>
      <c r="AA139" s="207"/>
      <c r="AB139" s="204"/>
      <c r="AC139" s="207"/>
      <c r="AD139" s="204"/>
      <c r="AE139" s="207"/>
      <c r="AF139" s="204"/>
      <c r="AG139" s="207"/>
      <c r="AH139" s="204"/>
      <c r="AI139" s="207"/>
      <c r="AJ139" s="204"/>
      <c r="AK139" s="207"/>
      <c r="AL139" s="204"/>
      <c r="AM139" s="207"/>
      <c r="AN139" s="204"/>
      <c r="AO139" s="207"/>
      <c r="AP139" s="204"/>
      <c r="AQ139" s="207"/>
      <c r="AR139" s="204"/>
      <c r="AS139" s="197">
        <f t="shared" si="22"/>
        <v>15</v>
      </c>
      <c r="AT139" s="208">
        <v>16338</v>
      </c>
      <c r="AU139" s="199">
        <f t="shared" si="23"/>
        <v>245070</v>
      </c>
      <c r="AV139" s="25"/>
      <c r="AW139" s="25"/>
      <c r="AX139" s="25"/>
      <c r="AY139" s="25"/>
      <c r="AZ139" s="26"/>
    </row>
    <row r="140" spans="1:52" s="22" customFormat="1" ht="18.75" customHeight="1" x14ac:dyDescent="0.25">
      <c r="A140" s="187">
        <v>131</v>
      </c>
      <c r="B140" s="218"/>
      <c r="C140" s="189" t="s">
        <v>93</v>
      </c>
      <c r="D140" s="190" t="s">
        <v>108</v>
      </c>
      <c r="E140" s="201" t="s">
        <v>33</v>
      </c>
      <c r="F140" s="202" t="s">
        <v>66</v>
      </c>
      <c r="G140" s="236"/>
      <c r="H140" s="236"/>
      <c r="I140" s="236"/>
      <c r="J140" s="236"/>
      <c r="K140" s="46">
        <v>9</v>
      </c>
      <c r="L140" s="204">
        <f t="shared" si="24"/>
        <v>80046</v>
      </c>
      <c r="M140" s="205"/>
      <c r="N140" s="206">
        <f t="shared" si="21"/>
        <v>0</v>
      </c>
      <c r="O140" s="207"/>
      <c r="P140" s="204"/>
      <c r="Q140" s="205"/>
      <c r="R140" s="204"/>
      <c r="S140" s="207"/>
      <c r="T140" s="204"/>
      <c r="U140" s="205"/>
      <c r="V140" s="204"/>
      <c r="W140" s="207"/>
      <c r="X140" s="204"/>
      <c r="Y140" s="207"/>
      <c r="Z140" s="204"/>
      <c r="AA140" s="207"/>
      <c r="AB140" s="204"/>
      <c r="AC140" s="207"/>
      <c r="AD140" s="204"/>
      <c r="AE140" s="207"/>
      <c r="AF140" s="204"/>
      <c r="AG140" s="207"/>
      <c r="AH140" s="204"/>
      <c r="AI140" s="207"/>
      <c r="AJ140" s="204"/>
      <c r="AK140" s="207"/>
      <c r="AL140" s="204"/>
      <c r="AM140" s="207"/>
      <c r="AN140" s="204"/>
      <c r="AO140" s="207"/>
      <c r="AP140" s="204"/>
      <c r="AQ140" s="207"/>
      <c r="AR140" s="204"/>
      <c r="AS140" s="197">
        <f t="shared" si="22"/>
        <v>9</v>
      </c>
      <c r="AT140" s="220">
        <v>8894</v>
      </c>
      <c r="AU140" s="199">
        <f t="shared" si="23"/>
        <v>80046</v>
      </c>
      <c r="AV140" s="25"/>
      <c r="AW140" s="25"/>
      <c r="AX140" s="25"/>
      <c r="AY140" s="25"/>
      <c r="AZ140" s="26"/>
    </row>
    <row r="141" spans="1:52" s="22" customFormat="1" ht="18.75" customHeight="1" x14ac:dyDescent="0.25">
      <c r="A141" s="187">
        <v>132</v>
      </c>
      <c r="B141" s="218"/>
      <c r="C141" s="189" t="s">
        <v>93</v>
      </c>
      <c r="D141" s="190" t="s">
        <v>108</v>
      </c>
      <c r="E141" s="201" t="s">
        <v>41</v>
      </c>
      <c r="F141" s="202" t="s">
        <v>66</v>
      </c>
      <c r="G141" s="211"/>
      <c r="H141" s="211"/>
      <c r="I141" s="211"/>
      <c r="J141" s="211"/>
      <c r="K141" s="202">
        <v>20</v>
      </c>
      <c r="L141" s="204">
        <f t="shared" si="24"/>
        <v>11760</v>
      </c>
      <c r="M141" s="205"/>
      <c r="N141" s="206">
        <f t="shared" si="21"/>
        <v>0</v>
      </c>
      <c r="O141" s="207"/>
      <c r="P141" s="204"/>
      <c r="Q141" s="205"/>
      <c r="R141" s="204"/>
      <c r="S141" s="207"/>
      <c r="T141" s="204"/>
      <c r="U141" s="205"/>
      <c r="V141" s="204"/>
      <c r="W141" s="207"/>
      <c r="X141" s="204"/>
      <c r="Y141" s="207"/>
      <c r="Z141" s="204"/>
      <c r="AA141" s="207"/>
      <c r="AB141" s="204"/>
      <c r="AC141" s="207"/>
      <c r="AD141" s="204"/>
      <c r="AE141" s="207"/>
      <c r="AF141" s="204"/>
      <c r="AG141" s="207"/>
      <c r="AH141" s="204"/>
      <c r="AI141" s="207"/>
      <c r="AJ141" s="204"/>
      <c r="AK141" s="207"/>
      <c r="AL141" s="204"/>
      <c r="AM141" s="207"/>
      <c r="AN141" s="204"/>
      <c r="AO141" s="207"/>
      <c r="AP141" s="204"/>
      <c r="AQ141" s="207"/>
      <c r="AR141" s="204"/>
      <c r="AS141" s="197">
        <f t="shared" si="22"/>
        <v>20</v>
      </c>
      <c r="AT141" s="220">
        <v>588</v>
      </c>
      <c r="AU141" s="199">
        <f t="shared" si="23"/>
        <v>11760</v>
      </c>
      <c r="AV141" s="25"/>
      <c r="AW141" s="25"/>
      <c r="AX141" s="25"/>
      <c r="AY141" s="25"/>
      <c r="AZ141" s="26"/>
    </row>
    <row r="142" spans="1:52" s="22" customFormat="1" ht="18.75" customHeight="1" x14ac:dyDescent="0.25">
      <c r="A142" s="187">
        <v>133</v>
      </c>
      <c r="B142" s="137"/>
      <c r="C142" s="189" t="s">
        <v>93</v>
      </c>
      <c r="D142" s="190" t="s">
        <v>108</v>
      </c>
      <c r="E142" s="201" t="s">
        <v>58</v>
      </c>
      <c r="F142" s="202" t="s">
        <v>66</v>
      </c>
      <c r="G142" s="203"/>
      <c r="H142" s="203"/>
      <c r="I142" s="203"/>
      <c r="J142" s="203"/>
      <c r="K142" s="202">
        <v>30</v>
      </c>
      <c r="L142" s="204">
        <f t="shared" si="24"/>
        <v>215670</v>
      </c>
      <c r="M142" s="205"/>
      <c r="N142" s="206">
        <f t="shared" si="21"/>
        <v>0</v>
      </c>
      <c r="O142" s="207"/>
      <c r="P142" s="204"/>
      <c r="Q142" s="205"/>
      <c r="R142" s="204"/>
      <c r="S142" s="207"/>
      <c r="T142" s="204"/>
      <c r="U142" s="205"/>
      <c r="V142" s="204"/>
      <c r="W142" s="207"/>
      <c r="X142" s="204"/>
      <c r="Y142" s="207"/>
      <c r="Z142" s="204"/>
      <c r="AA142" s="207"/>
      <c r="AB142" s="204"/>
      <c r="AC142" s="207"/>
      <c r="AD142" s="204"/>
      <c r="AE142" s="207"/>
      <c r="AF142" s="204"/>
      <c r="AG142" s="207"/>
      <c r="AH142" s="204"/>
      <c r="AI142" s="207"/>
      <c r="AJ142" s="204"/>
      <c r="AK142" s="207"/>
      <c r="AL142" s="204"/>
      <c r="AM142" s="207"/>
      <c r="AN142" s="204"/>
      <c r="AO142" s="207"/>
      <c r="AP142" s="204"/>
      <c r="AQ142" s="207"/>
      <c r="AR142" s="204"/>
      <c r="AS142" s="197">
        <f t="shared" si="22"/>
        <v>30</v>
      </c>
      <c r="AT142" s="220">
        <v>7189</v>
      </c>
      <c r="AU142" s="199">
        <f t="shared" si="23"/>
        <v>215670</v>
      </c>
      <c r="AV142" s="25"/>
      <c r="AW142" s="25"/>
      <c r="AX142" s="25"/>
      <c r="AY142" s="25"/>
      <c r="AZ142" s="26"/>
    </row>
    <row r="143" spans="1:52" s="22" customFormat="1" ht="18.75" customHeight="1" x14ac:dyDescent="0.25">
      <c r="A143" s="187">
        <v>134</v>
      </c>
      <c r="B143" s="137"/>
      <c r="C143" s="189" t="s">
        <v>93</v>
      </c>
      <c r="D143" s="190" t="s">
        <v>108</v>
      </c>
      <c r="E143" s="201" t="s">
        <v>57</v>
      </c>
      <c r="F143" s="202" t="s">
        <v>66</v>
      </c>
      <c r="G143" s="219"/>
      <c r="H143" s="219"/>
      <c r="I143" s="219"/>
      <c r="J143" s="219"/>
      <c r="K143" s="202">
        <v>30</v>
      </c>
      <c r="L143" s="204">
        <f t="shared" si="24"/>
        <v>245040</v>
      </c>
      <c r="M143" s="205"/>
      <c r="N143" s="206">
        <f t="shared" si="21"/>
        <v>0</v>
      </c>
      <c r="O143" s="207"/>
      <c r="P143" s="204"/>
      <c r="Q143" s="205"/>
      <c r="R143" s="204"/>
      <c r="S143" s="207"/>
      <c r="T143" s="204"/>
      <c r="U143" s="205"/>
      <c r="V143" s="204"/>
      <c r="W143" s="207"/>
      <c r="X143" s="204"/>
      <c r="Y143" s="207"/>
      <c r="Z143" s="204"/>
      <c r="AA143" s="207"/>
      <c r="AB143" s="204"/>
      <c r="AC143" s="207"/>
      <c r="AD143" s="204"/>
      <c r="AE143" s="207"/>
      <c r="AF143" s="204"/>
      <c r="AG143" s="207"/>
      <c r="AH143" s="204"/>
      <c r="AI143" s="207"/>
      <c r="AJ143" s="204"/>
      <c r="AK143" s="207"/>
      <c r="AL143" s="204"/>
      <c r="AM143" s="207"/>
      <c r="AN143" s="204"/>
      <c r="AO143" s="207"/>
      <c r="AP143" s="204"/>
      <c r="AQ143" s="207"/>
      <c r="AR143" s="204"/>
      <c r="AS143" s="197">
        <f t="shared" si="22"/>
        <v>30</v>
      </c>
      <c r="AT143" s="220">
        <v>8168</v>
      </c>
      <c r="AU143" s="199">
        <f t="shared" si="23"/>
        <v>245040</v>
      </c>
      <c r="AV143" s="25"/>
      <c r="AW143" s="25"/>
      <c r="AX143" s="25"/>
      <c r="AY143" s="25"/>
      <c r="AZ143" s="26"/>
    </row>
    <row r="144" spans="1:52" s="22" customFormat="1" x14ac:dyDescent="0.25">
      <c r="A144" s="187">
        <v>135</v>
      </c>
      <c r="B144" s="200"/>
      <c r="C144" s="189" t="s">
        <v>93</v>
      </c>
      <c r="D144" s="266" t="s">
        <v>108</v>
      </c>
      <c r="E144" s="165" t="s">
        <v>44</v>
      </c>
      <c r="F144" s="234" t="s">
        <v>66</v>
      </c>
      <c r="G144" s="267"/>
      <c r="H144" s="267"/>
      <c r="I144" s="267"/>
      <c r="J144" s="267"/>
      <c r="K144" s="234">
        <v>20</v>
      </c>
      <c r="L144" s="268">
        <f t="shared" si="24"/>
        <v>122000</v>
      </c>
      <c r="M144" s="269"/>
      <c r="N144" s="270">
        <f t="shared" si="21"/>
        <v>0</v>
      </c>
      <c r="O144" s="271"/>
      <c r="P144" s="268"/>
      <c r="Q144" s="269"/>
      <c r="R144" s="268"/>
      <c r="S144" s="271"/>
      <c r="T144" s="268"/>
      <c r="U144" s="269"/>
      <c r="V144" s="268"/>
      <c r="W144" s="271"/>
      <c r="X144" s="268"/>
      <c r="Y144" s="271"/>
      <c r="Z144" s="268"/>
      <c r="AA144" s="271"/>
      <c r="AB144" s="268"/>
      <c r="AC144" s="271"/>
      <c r="AD144" s="268"/>
      <c r="AE144" s="271"/>
      <c r="AF144" s="268"/>
      <c r="AG144" s="271"/>
      <c r="AH144" s="268"/>
      <c r="AI144" s="271"/>
      <c r="AJ144" s="268"/>
      <c r="AK144" s="271"/>
      <c r="AL144" s="268"/>
      <c r="AM144" s="271"/>
      <c r="AN144" s="268"/>
      <c r="AO144" s="271"/>
      <c r="AP144" s="268"/>
      <c r="AQ144" s="271"/>
      <c r="AR144" s="268"/>
      <c r="AS144" s="272">
        <f t="shared" si="22"/>
        <v>20</v>
      </c>
      <c r="AT144" s="235">
        <v>6100</v>
      </c>
      <c r="AU144" s="273">
        <f t="shared" si="23"/>
        <v>122000</v>
      </c>
      <c r="AV144" s="25"/>
      <c r="AW144" s="25"/>
      <c r="AX144" s="25"/>
      <c r="AY144" s="25"/>
      <c r="AZ144" s="26"/>
    </row>
    <row r="145" spans="1:47" ht="32.25" customHeight="1" x14ac:dyDescent="0.2">
      <c r="A145" s="137"/>
      <c r="B145" s="274"/>
      <c r="C145" s="137"/>
      <c r="D145" s="139"/>
      <c r="E145" s="140" t="s">
        <v>248</v>
      </c>
      <c r="F145" s="141"/>
      <c r="G145" s="141"/>
      <c r="H145" s="141"/>
      <c r="I145" s="141"/>
      <c r="J145" s="141"/>
      <c r="K145" s="141"/>
      <c r="L145" s="143">
        <f>SUM(L10:L144)</f>
        <v>14972267</v>
      </c>
      <c r="M145" s="142"/>
      <c r="N145" s="143">
        <f>SUM(N10:N144)</f>
        <v>13507277.16</v>
      </c>
      <c r="O145" s="144"/>
      <c r="P145" s="141"/>
      <c r="Q145" s="142"/>
      <c r="R145" s="141"/>
      <c r="S145" s="144"/>
      <c r="T145" s="145"/>
      <c r="U145" s="142"/>
      <c r="V145" s="141"/>
      <c r="W145" s="144"/>
      <c r="X145" s="141"/>
      <c r="Y145" s="144"/>
      <c r="Z145" s="141"/>
      <c r="AA145" s="144"/>
      <c r="AB145" s="141"/>
      <c r="AC145" s="144"/>
      <c r="AD145" s="141"/>
      <c r="AE145" s="144"/>
      <c r="AF145" s="141"/>
      <c r="AG145" s="144"/>
      <c r="AH145" s="141"/>
      <c r="AI145" s="144"/>
      <c r="AJ145" s="141"/>
      <c r="AK145" s="144"/>
      <c r="AL145" s="143">
        <f>SUM(AL10:AL144)</f>
        <v>826348</v>
      </c>
      <c r="AM145" s="144"/>
      <c r="AN145" s="141"/>
      <c r="AO145" s="144"/>
      <c r="AP145" s="141"/>
      <c r="AQ145" s="144"/>
      <c r="AR145" s="141"/>
      <c r="AS145" s="146"/>
      <c r="AT145" s="275"/>
      <c r="AU145" s="147">
        <f>+SUM(AU10:AU144)</f>
        <v>29305892.16</v>
      </c>
    </row>
    <row r="147" spans="1:47" ht="15.75" thickBot="1" x14ac:dyDescent="0.3"/>
    <row r="148" spans="1:47" ht="177" customHeight="1" x14ac:dyDescent="0.25">
      <c r="C148" s="150" t="s">
        <v>252</v>
      </c>
      <c r="D148" s="306" t="s">
        <v>253</v>
      </c>
      <c r="E148" s="306"/>
      <c r="F148" s="306"/>
      <c r="G148" s="307"/>
    </row>
    <row r="149" spans="1:47" x14ac:dyDescent="0.25">
      <c r="C149" s="157" t="s">
        <v>254</v>
      </c>
      <c r="D149" s="164" t="s">
        <v>255</v>
      </c>
      <c r="E149" s="152"/>
      <c r="F149" s="151"/>
      <c r="G149" s="158"/>
    </row>
    <row r="150" spans="1:47" x14ac:dyDescent="0.25">
      <c r="C150" s="157"/>
      <c r="D150" s="152"/>
      <c r="E150" s="152"/>
      <c r="F150" s="151"/>
      <c r="G150" s="158"/>
    </row>
    <row r="151" spans="1:47" ht="42.6" customHeight="1" x14ac:dyDescent="0.25">
      <c r="C151" s="157" t="s">
        <v>256</v>
      </c>
      <c r="D151" s="303" t="s">
        <v>280</v>
      </c>
      <c r="E151" s="303"/>
      <c r="F151" s="303"/>
      <c r="G151" s="308"/>
    </row>
    <row r="152" spans="1:47" ht="48" customHeight="1" x14ac:dyDescent="0.25">
      <c r="C152" s="157"/>
      <c r="D152" s="303" t="s">
        <v>281</v>
      </c>
      <c r="E152" s="303"/>
      <c r="F152" s="303"/>
      <c r="G152" s="308"/>
    </row>
    <row r="153" spans="1:47" ht="48" customHeight="1" x14ac:dyDescent="0.25">
      <c r="C153" s="157"/>
      <c r="D153" s="303" t="s">
        <v>282</v>
      </c>
      <c r="E153" s="303"/>
      <c r="F153" s="303"/>
      <c r="G153" s="166"/>
    </row>
    <row r="154" spans="1:47" x14ac:dyDescent="0.25">
      <c r="C154" s="159" t="s">
        <v>257</v>
      </c>
      <c r="D154" s="153"/>
      <c r="E154" s="153"/>
      <c r="F154" s="154"/>
      <c r="G154" s="160"/>
    </row>
    <row r="155" spans="1:47" x14ac:dyDescent="0.25">
      <c r="C155" s="159"/>
      <c r="D155" s="153"/>
      <c r="E155" s="153"/>
      <c r="F155" s="154"/>
      <c r="G155" s="160"/>
    </row>
    <row r="156" spans="1:47" ht="15.75" thickBot="1" x14ac:dyDescent="0.3">
      <c r="C156" s="161" t="s">
        <v>258</v>
      </c>
      <c r="D156" s="155" t="s">
        <v>259</v>
      </c>
      <c r="E156" s="162"/>
      <c r="F156" s="156"/>
      <c r="G156" s="163"/>
    </row>
  </sheetData>
  <sortState xmlns:xlrd2="http://schemas.microsoft.com/office/spreadsheetml/2017/richdata2" ref="A10:AV147">
    <sortCondition ref="E10"/>
  </sortState>
  <mergeCells count="29">
    <mergeCell ref="D153:F153"/>
    <mergeCell ref="AV128:AZ128"/>
    <mergeCell ref="AV98:AZ98"/>
    <mergeCell ref="AV99:AZ99"/>
    <mergeCell ref="AV122:AZ122"/>
    <mergeCell ref="D148:G148"/>
    <mergeCell ref="D151:G151"/>
    <mergeCell ref="D152:G152"/>
    <mergeCell ref="AV93:AZ93"/>
    <mergeCell ref="AV118:AZ118"/>
    <mergeCell ref="AV91:AZ91"/>
    <mergeCell ref="AV105:AZ105"/>
    <mergeCell ref="A7:B7"/>
    <mergeCell ref="AV100:AZ100"/>
    <mergeCell ref="AV103:AZ103"/>
    <mergeCell ref="AV104:AZ104"/>
    <mergeCell ref="AV102:AZ102"/>
    <mergeCell ref="AV92:AZ92"/>
    <mergeCell ref="AV101:AZ101"/>
    <mergeCell ref="AV94:AZ94"/>
    <mergeCell ref="AV95:AZ95"/>
    <mergeCell ref="AV96:AZ96"/>
    <mergeCell ref="AV97:AZ97"/>
    <mergeCell ref="A6:B6"/>
    <mergeCell ref="B2:AT2"/>
    <mergeCell ref="A4:B4"/>
    <mergeCell ref="C4:E4"/>
    <mergeCell ref="A5:B5"/>
    <mergeCell ref="C5:E5"/>
  </mergeCells>
  <conditionalFormatting sqref="E59">
    <cfRule type="duplicateValues" dxfId="118" priority="612"/>
  </conditionalFormatting>
  <conditionalFormatting sqref="B117 B93:B94">
    <cfRule type="duplicateValues" dxfId="117" priority="437"/>
  </conditionalFormatting>
  <conditionalFormatting sqref="B95:B97">
    <cfRule type="duplicateValues" dxfId="116" priority="434"/>
  </conditionalFormatting>
  <conditionalFormatting sqref="B98:B99">
    <cfRule type="duplicateValues" dxfId="115" priority="431"/>
  </conditionalFormatting>
  <conditionalFormatting sqref="B100:B102">
    <cfRule type="duplicateValues" dxfId="114" priority="428"/>
  </conditionalFormatting>
  <conditionalFormatting sqref="B103:B104">
    <cfRule type="duplicateValues" dxfId="113" priority="425"/>
  </conditionalFormatting>
  <conditionalFormatting sqref="B105:B107">
    <cfRule type="duplicateValues" dxfId="112" priority="422"/>
  </conditionalFormatting>
  <conditionalFormatting sqref="B143 E127:E128 B126:B129">
    <cfRule type="duplicateValues" dxfId="111" priority="416"/>
  </conditionalFormatting>
  <conditionalFormatting sqref="B121:B125">
    <cfRule type="duplicateValues" dxfId="110" priority="413"/>
  </conditionalFormatting>
  <conditionalFormatting sqref="B120">
    <cfRule type="duplicateValues" dxfId="109" priority="410"/>
  </conditionalFormatting>
  <conditionalFormatting sqref="B118:B119">
    <cfRule type="duplicateValues" dxfId="108" priority="407"/>
  </conditionalFormatting>
  <conditionalFormatting sqref="B130:B131">
    <cfRule type="duplicateValues" dxfId="107" priority="228"/>
  </conditionalFormatting>
  <conditionalFormatting sqref="B130:B131">
    <cfRule type="duplicateValues" dxfId="106" priority="229"/>
  </conditionalFormatting>
  <conditionalFormatting sqref="B130:B131">
    <cfRule type="duplicateValues" dxfId="105" priority="230"/>
  </conditionalFormatting>
  <conditionalFormatting sqref="B132:B133">
    <cfRule type="duplicateValues" dxfId="104" priority="220"/>
  </conditionalFormatting>
  <conditionalFormatting sqref="B132:B133">
    <cfRule type="duplicateValues" dxfId="103" priority="221"/>
  </conditionalFormatting>
  <conditionalFormatting sqref="B132:B133">
    <cfRule type="duplicateValues" dxfId="102" priority="222"/>
  </conditionalFormatting>
  <conditionalFormatting sqref="B134:B135">
    <cfRule type="duplicateValues" dxfId="101" priority="212"/>
  </conditionalFormatting>
  <conditionalFormatting sqref="B134:B135">
    <cfRule type="duplicateValues" dxfId="100" priority="213"/>
  </conditionalFormatting>
  <conditionalFormatting sqref="B134:B135">
    <cfRule type="duplicateValues" dxfId="99" priority="214"/>
  </conditionalFormatting>
  <conditionalFormatting sqref="B136:B137">
    <cfRule type="duplicateValues" dxfId="98" priority="204"/>
  </conditionalFormatting>
  <conditionalFormatting sqref="B136:B137">
    <cfRule type="duplicateValues" dxfId="97" priority="205"/>
  </conditionalFormatting>
  <conditionalFormatting sqref="B136:B137">
    <cfRule type="duplicateValues" dxfId="96" priority="206"/>
  </conditionalFormatting>
  <conditionalFormatting sqref="B139:B140">
    <cfRule type="duplicateValues" dxfId="95" priority="188"/>
  </conditionalFormatting>
  <conditionalFormatting sqref="B139:B140">
    <cfRule type="duplicateValues" dxfId="94" priority="189"/>
  </conditionalFormatting>
  <conditionalFormatting sqref="B139:B140">
    <cfRule type="duplicateValues" dxfId="93" priority="190"/>
  </conditionalFormatting>
  <conditionalFormatting sqref="B141:B142">
    <cfRule type="duplicateValues" dxfId="92" priority="180"/>
  </conditionalFormatting>
  <conditionalFormatting sqref="B141:B142">
    <cfRule type="duplicateValues" dxfId="91" priority="181"/>
  </conditionalFormatting>
  <conditionalFormatting sqref="B141:B142">
    <cfRule type="duplicateValues" dxfId="90" priority="182"/>
  </conditionalFormatting>
  <conditionalFormatting sqref="B42">
    <cfRule type="duplicateValues" dxfId="89" priority="8707"/>
  </conditionalFormatting>
  <conditionalFormatting sqref="B42">
    <cfRule type="duplicateValues" dxfId="88" priority="8714"/>
  </conditionalFormatting>
  <conditionalFormatting sqref="E103:E104">
    <cfRule type="duplicateValues" dxfId="87" priority="77"/>
  </conditionalFormatting>
  <conditionalFormatting sqref="E117 E93:E94">
    <cfRule type="duplicateValues" dxfId="86" priority="76"/>
  </conditionalFormatting>
  <conditionalFormatting sqref="E95:E97">
    <cfRule type="duplicateValues" dxfId="85" priority="75"/>
  </conditionalFormatting>
  <conditionalFormatting sqref="E98:E99">
    <cfRule type="duplicateValues" dxfId="84" priority="74"/>
  </conditionalFormatting>
  <conditionalFormatting sqref="E100:E102">
    <cfRule type="duplicateValues" dxfId="83" priority="73"/>
  </conditionalFormatting>
  <conditionalFormatting sqref="E103:E104">
    <cfRule type="duplicateValues" dxfId="82" priority="72"/>
  </conditionalFormatting>
  <conditionalFormatting sqref="E105:E107">
    <cfRule type="duplicateValues" dxfId="81" priority="71"/>
  </conditionalFormatting>
  <conditionalFormatting sqref="E126">
    <cfRule type="duplicateValues" dxfId="80" priority="69"/>
  </conditionalFormatting>
  <conditionalFormatting sqref="E121:E125">
    <cfRule type="duplicateValues" dxfId="79" priority="68"/>
  </conditionalFormatting>
  <conditionalFormatting sqref="E120">
    <cfRule type="duplicateValues" dxfId="78" priority="67"/>
  </conditionalFormatting>
  <conditionalFormatting sqref="E118:E119">
    <cfRule type="duplicateValues" dxfId="77" priority="66"/>
  </conditionalFormatting>
  <conditionalFormatting sqref="E91:E92">
    <cfRule type="duplicateValues" dxfId="76" priority="80"/>
  </conditionalFormatting>
  <conditionalFormatting sqref="E91:E92">
    <cfRule type="duplicateValues" dxfId="75" priority="81"/>
  </conditionalFormatting>
  <conditionalFormatting sqref="E91:E92">
    <cfRule type="duplicateValues" dxfId="74" priority="82"/>
  </conditionalFormatting>
  <conditionalFormatting sqref="E143 E129">
    <cfRule type="duplicateValues" dxfId="73" priority="47"/>
  </conditionalFormatting>
  <conditionalFormatting sqref="E130:E131">
    <cfRule type="duplicateValues" dxfId="72" priority="44"/>
  </conditionalFormatting>
  <conditionalFormatting sqref="E130:E131">
    <cfRule type="duplicateValues" dxfId="71" priority="45"/>
    <cfRule type="duplicateValues" dxfId="70" priority="46"/>
  </conditionalFormatting>
  <conditionalFormatting sqref="E132:E133">
    <cfRule type="duplicateValues" dxfId="69" priority="41"/>
  </conditionalFormatting>
  <conditionalFormatting sqref="E132:E133">
    <cfRule type="duplicateValues" dxfId="68" priority="42"/>
    <cfRule type="duplicateValues" dxfId="67" priority="43"/>
  </conditionalFormatting>
  <conditionalFormatting sqref="E134:E135">
    <cfRule type="duplicateValues" dxfId="66" priority="38"/>
  </conditionalFormatting>
  <conditionalFormatting sqref="E134:E135">
    <cfRule type="duplicateValues" dxfId="65" priority="39"/>
    <cfRule type="duplicateValues" dxfId="64" priority="40"/>
  </conditionalFormatting>
  <conditionalFormatting sqref="E136:E137">
    <cfRule type="duplicateValues" dxfId="63" priority="35"/>
  </conditionalFormatting>
  <conditionalFormatting sqref="E136:E137">
    <cfRule type="duplicateValues" dxfId="62" priority="36"/>
    <cfRule type="duplicateValues" dxfId="61" priority="37"/>
  </conditionalFormatting>
  <conditionalFormatting sqref="E139:E140">
    <cfRule type="duplicateValues" dxfId="60" priority="29"/>
  </conditionalFormatting>
  <conditionalFormatting sqref="E139:E140">
    <cfRule type="duplicateValues" dxfId="59" priority="30"/>
    <cfRule type="duplicateValues" dxfId="58" priority="31"/>
  </conditionalFormatting>
  <conditionalFormatting sqref="E141:E142">
    <cfRule type="duplicateValues" dxfId="57" priority="26"/>
  </conditionalFormatting>
  <conditionalFormatting sqref="E141:E142">
    <cfRule type="duplicateValues" dxfId="56" priority="27"/>
    <cfRule type="duplicateValues" dxfId="55" priority="28"/>
  </conditionalFormatting>
  <conditionalFormatting sqref="E143 E129">
    <cfRule type="duplicateValues" dxfId="54" priority="51"/>
    <cfRule type="duplicateValues" dxfId="53" priority="52"/>
  </conditionalFormatting>
  <conditionalFormatting sqref="B1:B1048576">
    <cfRule type="duplicateValues" dxfId="52" priority="13071"/>
  </conditionalFormatting>
  <conditionalFormatting sqref="E157:E1048576 E144:E147 E1:E90 E127:E128">
    <cfRule type="duplicateValues" dxfId="51" priority="13074"/>
  </conditionalFormatting>
  <conditionalFormatting sqref="E157:E1048576 E144:E147 E1:E90 E127:E128">
    <cfRule type="duplicateValues" dxfId="50" priority="13122"/>
    <cfRule type="duplicateValues" dxfId="49" priority="13123"/>
  </conditionalFormatting>
  <conditionalFormatting sqref="B108:B116">
    <cfRule type="duplicateValues" dxfId="48" priority="13148"/>
  </conditionalFormatting>
  <conditionalFormatting sqref="E108:E116">
    <cfRule type="duplicateValues" dxfId="47" priority="13162"/>
  </conditionalFormatting>
  <conditionalFormatting sqref="E91:E126">
    <cfRule type="duplicateValues" dxfId="46" priority="13164"/>
  </conditionalFormatting>
  <conditionalFormatting sqref="E91:E126">
    <cfRule type="duplicateValues" dxfId="45" priority="13166"/>
    <cfRule type="duplicateValues" dxfId="44" priority="13167"/>
  </conditionalFormatting>
  <conditionalFormatting sqref="B138">
    <cfRule type="duplicateValues" dxfId="43" priority="13173"/>
  </conditionalFormatting>
  <conditionalFormatting sqref="E138">
    <cfRule type="duplicateValues" dxfId="42" priority="13178"/>
  </conditionalFormatting>
  <conditionalFormatting sqref="E138">
    <cfRule type="duplicateValues" dxfId="41" priority="13179"/>
    <cfRule type="duplicateValues" dxfId="40" priority="13180"/>
  </conditionalFormatting>
  <conditionalFormatting sqref="E129:E143">
    <cfRule type="duplicateValues" dxfId="39" priority="13220"/>
  </conditionalFormatting>
  <conditionalFormatting sqref="F154:F156 F149:F150">
    <cfRule type="duplicateValues" dxfId="38" priority="5"/>
  </conditionalFormatting>
  <conditionalFormatting sqref="F154:F156 C149:C156 F149:F150">
    <cfRule type="duplicateValues" dxfId="37" priority="4"/>
  </conditionalFormatting>
  <conditionalFormatting sqref="F154:F156">
    <cfRule type="duplicateValues" dxfId="36" priority="3"/>
  </conditionalFormatting>
  <conditionalFormatting sqref="F154:F156 F149:F150">
    <cfRule type="duplicateValues" dxfId="35" priority="1"/>
    <cfRule type="duplicateValues" dxfId="34" priority="2"/>
  </conditionalFormatting>
  <conditionalFormatting sqref="C149:C156">
    <cfRule type="duplicateValues" dxfId="33" priority="6"/>
  </conditionalFormatting>
  <conditionalFormatting sqref="F149:F150 F154:F156">
    <cfRule type="duplicateValues" dxfId="32" priority="7"/>
    <cfRule type="duplicateValues" dxfId="31" priority="8"/>
  </conditionalFormatting>
  <conditionalFormatting sqref="F149:F150 F154:F156">
    <cfRule type="duplicateValues" dxfId="30" priority="9"/>
  </conditionalFormatting>
  <conditionalFormatting sqref="F149:F150 F154:F156">
    <cfRule type="duplicateValues" dxfId="29" priority="10"/>
  </conditionalFormatting>
  <conditionalFormatting sqref="C149:C156 F149:F150 F154:F156">
    <cfRule type="duplicateValues" dxfId="28" priority="11"/>
  </conditionalFormatting>
  <conditionalFormatting sqref="C149:C156">
    <cfRule type="duplicateValues" dxfId="27" priority="12"/>
  </conditionalFormatting>
  <conditionalFormatting sqref="B22:B41 E22:E41">
    <cfRule type="duplicateValues" dxfId="26" priority="13221"/>
  </conditionalFormatting>
  <conditionalFormatting sqref="B117 B93:B94">
    <cfRule type="duplicateValues" dxfId="25" priority="13223"/>
  </conditionalFormatting>
  <conditionalFormatting sqref="B93:B94 B117">
    <cfRule type="duplicateValues" dxfId="24" priority="13225"/>
  </conditionalFormatting>
  <conditionalFormatting sqref="B95:B97">
    <cfRule type="duplicateValues" dxfId="23" priority="13227"/>
  </conditionalFormatting>
  <conditionalFormatting sqref="B95:B97">
    <cfRule type="duplicateValues" dxfId="22" priority="13228"/>
  </conditionalFormatting>
  <conditionalFormatting sqref="B98:B99">
    <cfRule type="duplicateValues" dxfId="21" priority="13229"/>
  </conditionalFormatting>
  <conditionalFormatting sqref="B98:B99">
    <cfRule type="duplicateValues" dxfId="20" priority="13230"/>
  </conditionalFormatting>
  <conditionalFormatting sqref="B100:B102">
    <cfRule type="duplicateValues" dxfId="19" priority="13231"/>
  </conditionalFormatting>
  <conditionalFormatting sqref="B100:B102">
    <cfRule type="duplicateValues" dxfId="18" priority="13232"/>
  </conditionalFormatting>
  <conditionalFormatting sqref="B103:B104">
    <cfRule type="duplicateValues" dxfId="17" priority="13233"/>
  </conditionalFormatting>
  <conditionalFormatting sqref="B103:B104">
    <cfRule type="duplicateValues" dxfId="16" priority="13234"/>
  </conditionalFormatting>
  <conditionalFormatting sqref="B105:B107">
    <cfRule type="duplicateValues" dxfId="15" priority="13235"/>
  </conditionalFormatting>
  <conditionalFormatting sqref="B105:B107">
    <cfRule type="duplicateValues" dxfId="14" priority="13236"/>
  </conditionalFormatting>
  <conditionalFormatting sqref="B143 E127:E128 B126:B129">
    <cfRule type="duplicateValues" dxfId="13" priority="13237"/>
  </conditionalFormatting>
  <conditionalFormatting sqref="B121:B125">
    <cfRule type="duplicateValues" dxfId="12" priority="13240"/>
  </conditionalFormatting>
  <conditionalFormatting sqref="B121:B125">
    <cfRule type="duplicateValues" dxfId="11" priority="13241"/>
  </conditionalFormatting>
  <conditionalFormatting sqref="B120">
    <cfRule type="duplicateValues" dxfId="10" priority="13242"/>
  </conditionalFormatting>
  <conditionalFormatting sqref="B120">
    <cfRule type="duplicateValues" dxfId="9" priority="13243"/>
  </conditionalFormatting>
  <conditionalFormatting sqref="B118:B119">
    <cfRule type="duplicateValues" dxfId="8" priority="13244"/>
  </conditionalFormatting>
  <conditionalFormatting sqref="B118:B119">
    <cfRule type="duplicateValues" dxfId="7" priority="13245"/>
  </conditionalFormatting>
  <conditionalFormatting sqref="E42">
    <cfRule type="duplicateValues" dxfId="6" priority="13246"/>
  </conditionalFormatting>
  <conditionalFormatting sqref="B42 E42">
    <cfRule type="duplicateValues" dxfId="5" priority="13247"/>
  </conditionalFormatting>
  <conditionalFormatting sqref="E157:E1048576 E144:E147 B43:B92 E43:E90 E1:E21 B1:B21 B144:B1048576">
    <cfRule type="duplicateValues" dxfId="4" priority="13249"/>
  </conditionalFormatting>
  <conditionalFormatting sqref="E157:E1048576 E144:E147 B43:B92 E43:E90 E1:E41 B1:B41 B144:B1048576">
    <cfRule type="duplicateValues" dxfId="3" priority="13256"/>
  </conditionalFormatting>
  <conditionalFormatting sqref="E157:E1048576 E144:E147 E1:E90 B144:B1048576 B1:B92">
    <cfRule type="duplicateValues" dxfId="2" priority="13263"/>
  </conditionalFormatting>
  <conditionalFormatting sqref="B108:B116">
    <cfRule type="duplicateValues" dxfId="1" priority="13268"/>
  </conditionalFormatting>
  <conditionalFormatting sqref="B108:B116">
    <cfRule type="duplicateValues" dxfId="0" priority="13269"/>
  </conditionalFormatting>
  <pageMargins left="0.70866141732283472" right="0.70866141732283472" top="0.74803149606299213" bottom="0.74803149606299213" header="0.51181102362204722" footer="0.51181102362204722"/>
  <pageSetup paperSize="5" scale="8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3"/>
  <sheetViews>
    <sheetView topLeftCell="A79" workbookViewId="0">
      <selection activeCell="D7" sqref="D7:K7"/>
    </sheetView>
  </sheetViews>
  <sheetFormatPr baseColWidth="10" defaultRowHeight="12.75" x14ac:dyDescent="0.2"/>
  <cols>
    <col min="1" max="1" width="5.5703125" customWidth="1"/>
    <col min="2" max="2" width="15.140625" customWidth="1"/>
    <col min="3" max="3" width="14.140625" customWidth="1"/>
    <col min="4" max="4" width="26" customWidth="1"/>
    <col min="5" max="5" width="8" customWidth="1"/>
    <col min="6" max="6" width="7.85546875" customWidth="1"/>
    <col min="7" max="7" width="30.7109375" customWidth="1"/>
    <col min="8" max="8" width="9.28515625" customWidth="1"/>
    <col min="9" max="9" width="14.5703125" customWidth="1"/>
    <col min="10" max="10" width="16" customWidth="1"/>
    <col min="11" max="11" width="15.5703125" customWidth="1"/>
    <col min="13" max="13" width="15.42578125" bestFit="1" customWidth="1"/>
  </cols>
  <sheetData>
    <row r="1" spans="1:13" ht="16.5" thickBot="1" x14ac:dyDescent="0.25">
      <c r="A1" s="311" t="s">
        <v>206</v>
      </c>
      <c r="B1" s="311"/>
      <c r="C1" s="311"/>
      <c r="D1" s="311"/>
      <c r="E1" s="311"/>
      <c r="F1" s="311"/>
      <c r="G1" s="311"/>
      <c r="H1" s="311"/>
      <c r="I1" s="311"/>
      <c r="J1" s="51" t="s">
        <v>207</v>
      </c>
      <c r="K1" s="52" t="s">
        <v>261</v>
      </c>
      <c r="M1" s="53"/>
    </row>
    <row r="2" spans="1:13" ht="16.5" thickBot="1" x14ac:dyDescent="0.25">
      <c r="A2" s="54"/>
      <c r="B2" s="54"/>
      <c r="C2" s="54"/>
      <c r="D2" s="55"/>
      <c r="E2" s="55"/>
      <c r="F2" s="55"/>
      <c r="G2" s="55"/>
      <c r="H2" s="55"/>
      <c r="I2" s="55"/>
      <c r="J2" s="55"/>
      <c r="K2" s="55"/>
      <c r="M2" s="53"/>
    </row>
    <row r="3" spans="1:13" ht="16.5" thickBot="1" x14ac:dyDescent="0.25">
      <c r="A3" s="312" t="s">
        <v>208</v>
      </c>
      <c r="B3" s="312"/>
      <c r="C3" s="312"/>
      <c r="D3" s="56" t="s">
        <v>209</v>
      </c>
      <c r="E3" s="57"/>
      <c r="F3" s="57"/>
      <c r="G3" s="57"/>
      <c r="H3" s="57"/>
      <c r="I3" s="57"/>
      <c r="J3" s="57"/>
      <c r="K3" s="58"/>
      <c r="M3" s="53"/>
    </row>
    <row r="4" spans="1:13" ht="16.5" thickBot="1" x14ac:dyDescent="0.25">
      <c r="A4" s="309" t="s">
        <v>210</v>
      </c>
      <c r="B4" s="309"/>
      <c r="C4" s="309"/>
      <c r="D4" s="56" t="s">
        <v>211</v>
      </c>
      <c r="E4" s="57"/>
      <c r="F4" s="57"/>
      <c r="G4" s="57"/>
      <c r="H4" s="57"/>
      <c r="I4" s="57"/>
      <c r="J4" s="57"/>
      <c r="K4" s="58"/>
      <c r="M4" s="53"/>
    </row>
    <row r="5" spans="1:13" ht="16.5" thickBot="1" x14ac:dyDescent="0.25">
      <c r="A5" s="309" t="s">
        <v>212</v>
      </c>
      <c r="B5" s="309"/>
      <c r="C5" s="309"/>
      <c r="D5" s="56" t="s">
        <v>249</v>
      </c>
      <c r="E5" s="59"/>
      <c r="F5" s="59"/>
      <c r="G5" s="59"/>
      <c r="H5" s="59"/>
      <c r="I5" s="59"/>
      <c r="J5" s="59"/>
      <c r="K5" s="60"/>
      <c r="M5" s="53"/>
    </row>
    <row r="6" spans="1:13" ht="16.5" thickBot="1" x14ac:dyDescent="0.25">
      <c r="A6" s="312" t="s">
        <v>213</v>
      </c>
      <c r="B6" s="312"/>
      <c r="C6" s="312"/>
      <c r="D6" s="56" t="s">
        <v>249</v>
      </c>
      <c r="E6" s="59"/>
      <c r="F6" s="59"/>
      <c r="G6" s="59"/>
      <c r="H6" s="59"/>
      <c r="I6" s="59"/>
      <c r="J6" s="59"/>
      <c r="K6" s="60"/>
      <c r="M6" s="53"/>
    </row>
    <row r="7" spans="1:13" ht="16.5" thickBot="1" x14ac:dyDescent="0.25">
      <c r="A7" s="309" t="s">
        <v>214</v>
      </c>
      <c r="B7" s="309"/>
      <c r="C7" s="309"/>
      <c r="D7" s="310" t="s">
        <v>274</v>
      </c>
      <c r="E7" s="310"/>
      <c r="F7" s="310"/>
      <c r="G7" s="310"/>
      <c r="H7" s="310"/>
      <c r="I7" s="310"/>
      <c r="J7" s="310"/>
      <c r="K7" s="310"/>
      <c r="M7" s="53"/>
    </row>
    <row r="8" spans="1:13" ht="16.5" thickBot="1" x14ac:dyDescent="0.25">
      <c r="A8" s="318" t="s">
        <v>215</v>
      </c>
      <c r="B8" s="318"/>
      <c r="C8" s="318"/>
      <c r="D8" s="319" t="s">
        <v>250</v>
      </c>
      <c r="E8" s="319"/>
      <c r="F8" s="319"/>
      <c r="G8" s="319"/>
      <c r="H8" s="319"/>
      <c r="I8" s="319"/>
      <c r="J8" s="319"/>
      <c r="K8" s="319"/>
      <c r="M8" s="53"/>
    </row>
    <row r="9" spans="1:13" ht="16.5" thickBot="1" x14ac:dyDescent="0.25">
      <c r="A9" s="61"/>
      <c r="B9" s="61"/>
      <c r="C9" s="61"/>
      <c r="D9" s="62"/>
      <c r="E9" s="62"/>
      <c r="F9" s="62"/>
      <c r="G9" s="62"/>
      <c r="H9" s="62"/>
      <c r="I9" s="62"/>
      <c r="J9" s="62"/>
      <c r="K9" s="62"/>
      <c r="M9" s="53"/>
    </row>
    <row r="10" spans="1:13" ht="13.5" thickBot="1" x14ac:dyDescent="0.25">
      <c r="A10" s="320" t="s">
        <v>216</v>
      </c>
      <c r="B10" s="322" t="s">
        <v>217</v>
      </c>
      <c r="C10" s="322" t="s">
        <v>218</v>
      </c>
      <c r="D10" s="322"/>
      <c r="E10" s="322"/>
      <c r="F10" s="322"/>
      <c r="G10" s="322"/>
      <c r="H10" s="324" t="s">
        <v>219</v>
      </c>
      <c r="I10" s="326" t="s">
        <v>220</v>
      </c>
      <c r="J10" s="326" t="s">
        <v>221</v>
      </c>
      <c r="K10" s="326" t="s">
        <v>222</v>
      </c>
      <c r="M10" s="53"/>
    </row>
    <row r="11" spans="1:13" x14ac:dyDescent="0.2">
      <c r="A11" s="321"/>
      <c r="B11" s="323"/>
      <c r="C11" s="323"/>
      <c r="D11" s="323"/>
      <c r="E11" s="323"/>
      <c r="F11" s="323"/>
      <c r="G11" s="323"/>
      <c r="H11" s="325"/>
      <c r="I11" s="327"/>
      <c r="J11" s="327"/>
      <c r="K11" s="327"/>
      <c r="M11" s="53"/>
    </row>
    <row r="12" spans="1:13" x14ac:dyDescent="0.2">
      <c r="A12" s="63">
        <v>1</v>
      </c>
      <c r="B12" s="64"/>
      <c r="C12" s="149" t="str">
        <f>'Necesidades Trimestrales (2)'!E11</f>
        <v>Albumina AA 120 X 6 Ml Tipo WIENER</v>
      </c>
      <c r="D12" s="69"/>
      <c r="E12" s="69"/>
      <c r="F12" s="69"/>
      <c r="G12" s="70"/>
      <c r="H12" s="65" t="s">
        <v>223</v>
      </c>
      <c r="I12" s="66" t="str">
        <f>'Necesidades Trimestrales (2)'!F11</f>
        <v>unidad</v>
      </c>
      <c r="J12" s="67">
        <f>'Necesidades Trimestrales (2)'!AT11</f>
        <v>4566</v>
      </c>
      <c r="K12" s="68">
        <f>'Necesidades Trimestrales (2)'!AS11</f>
        <v>10</v>
      </c>
      <c r="L12" s="167">
        <f>+J12*K12</f>
        <v>45660</v>
      </c>
      <c r="M12" s="53">
        <f t="shared" ref="M12:M46" si="0">+J12*K12</f>
        <v>45660</v>
      </c>
    </row>
    <row r="13" spans="1:13" x14ac:dyDescent="0.2">
      <c r="A13" s="63">
        <v>2</v>
      </c>
      <c r="B13" s="64"/>
      <c r="C13" s="149" t="str">
        <f>'Necesidades Trimestrales (2)'!E13</f>
        <v>ALBUMINA COBAS C311 X 300 DET. TIPO ROCHE</v>
      </c>
      <c r="D13" s="71"/>
      <c r="E13" s="71"/>
      <c r="F13" s="71"/>
      <c r="G13" s="72"/>
      <c r="H13" s="65" t="s">
        <v>223</v>
      </c>
      <c r="I13" s="66" t="str">
        <f>'Necesidades Trimestrales (2)'!F13</f>
        <v>UNIDAD</v>
      </c>
      <c r="J13" s="67">
        <f>'Necesidades Trimestrales (2)'!AT13</f>
        <v>2031</v>
      </c>
      <c r="K13" s="68">
        <f>'Necesidades Trimestrales (2)'!AS13</f>
        <v>12</v>
      </c>
      <c r="L13" s="167">
        <f t="shared" ref="L13:L76" si="1">+J13*K13</f>
        <v>24372</v>
      </c>
      <c r="M13" s="53">
        <f t="shared" si="0"/>
        <v>24372</v>
      </c>
    </row>
    <row r="14" spans="1:13" ht="15" x14ac:dyDescent="0.2">
      <c r="A14" s="63">
        <v>3</v>
      </c>
      <c r="B14" s="64"/>
      <c r="C14" s="149" t="str">
        <f>'Necesidades Trimestrales (2)'!E14</f>
        <v>ALCohol ISOPROPILICO  Tipo CICARELLI X 1 LITRO</v>
      </c>
      <c r="D14" s="73"/>
      <c r="E14" s="73"/>
      <c r="F14" s="73"/>
      <c r="G14" s="74"/>
      <c r="H14" s="65" t="s">
        <v>223</v>
      </c>
      <c r="I14" s="66" t="str">
        <f>'Necesidades Trimestrales (2)'!F14</f>
        <v>unidad</v>
      </c>
      <c r="J14" s="67">
        <f>'Necesidades Trimestrales (2)'!AT14</f>
        <v>2055</v>
      </c>
      <c r="K14" s="68">
        <f>'Necesidades Trimestrales (2)'!AS14</f>
        <v>30</v>
      </c>
      <c r="L14" s="167">
        <f t="shared" si="1"/>
        <v>61650</v>
      </c>
      <c r="M14" s="53">
        <f t="shared" si="0"/>
        <v>61650</v>
      </c>
    </row>
    <row r="15" spans="1:13" ht="15" x14ac:dyDescent="0.2">
      <c r="A15" s="63">
        <v>4</v>
      </c>
      <c r="B15" s="64"/>
      <c r="C15" s="149" t="str">
        <f>'Necesidades Trimestrales (2)'!E15</f>
        <v>ALP 405 AA LL 100 Ml Tipo WIENER</v>
      </c>
      <c r="D15" s="73"/>
      <c r="E15" s="73"/>
      <c r="F15" s="73"/>
      <c r="G15" s="74"/>
      <c r="H15" s="65" t="s">
        <v>223</v>
      </c>
      <c r="I15" s="66" t="str">
        <f>'Necesidades Trimestrales (2)'!F15</f>
        <v>unidad</v>
      </c>
      <c r="J15" s="67">
        <f>'Necesidades Trimestrales (2)'!AT15</f>
        <v>2717</v>
      </c>
      <c r="K15" s="68">
        <f>'Necesidades Trimestrales (2)'!AS15</f>
        <v>20</v>
      </c>
      <c r="L15" s="167">
        <f t="shared" si="1"/>
        <v>54340</v>
      </c>
      <c r="M15" s="53">
        <f t="shared" si="0"/>
        <v>54340</v>
      </c>
    </row>
    <row r="16" spans="1:13" ht="15" x14ac:dyDescent="0.2">
      <c r="A16" s="63">
        <v>5</v>
      </c>
      <c r="B16" s="64"/>
      <c r="C16" s="149" t="str">
        <f>'Necesidades Trimestrales (2)'!E16</f>
        <v>Amilasa 405 liquida  30 Ml (3x10 ml) tipo WIENER</v>
      </c>
      <c r="D16" s="73"/>
      <c r="E16" s="73"/>
      <c r="F16" s="73"/>
      <c r="G16" s="74"/>
      <c r="H16" s="65" t="s">
        <v>223</v>
      </c>
      <c r="I16" s="66" t="str">
        <f>'Necesidades Trimestrales (2)'!F16</f>
        <v>unidad</v>
      </c>
      <c r="J16" s="67">
        <f>'Necesidades Trimestrales (2)'!AT16</f>
        <v>5146</v>
      </c>
      <c r="K16" s="68">
        <f>'Necesidades Trimestrales (2)'!AS16</f>
        <v>20</v>
      </c>
      <c r="L16" s="167">
        <f t="shared" si="1"/>
        <v>102920</v>
      </c>
      <c r="M16" s="53">
        <f t="shared" si="0"/>
        <v>102920</v>
      </c>
    </row>
    <row r="17" spans="1:13" ht="15" x14ac:dyDescent="0.2">
      <c r="A17" s="63">
        <v>6</v>
      </c>
      <c r="B17" s="64"/>
      <c r="C17" s="149" t="str">
        <f>'Necesidades Trimestrales (2)'!E20</f>
        <v>Anticoagulante W EDTA 6x50 ml tipo Wiener</v>
      </c>
      <c r="D17" s="73"/>
      <c r="E17" s="73"/>
      <c r="F17" s="73"/>
      <c r="G17" s="74"/>
      <c r="H17" s="65" t="s">
        <v>223</v>
      </c>
      <c r="I17" s="66" t="str">
        <f>'Necesidades Trimestrales (2)'!F20</f>
        <v>unidad</v>
      </c>
      <c r="J17" s="67">
        <f>'Necesidades Trimestrales (2)'!AT20</f>
        <v>2780</v>
      </c>
      <c r="K17" s="68">
        <f>'Necesidades Trimestrales (2)'!AS20</f>
        <v>20</v>
      </c>
      <c r="L17" s="167">
        <f t="shared" si="1"/>
        <v>55600</v>
      </c>
      <c r="M17" s="53">
        <f t="shared" si="0"/>
        <v>55600</v>
      </c>
    </row>
    <row r="18" spans="1:13" ht="15" x14ac:dyDescent="0.2">
      <c r="A18" s="63">
        <v>7</v>
      </c>
      <c r="B18" s="64"/>
      <c r="C18" s="149" t="str">
        <f>'Necesidades Trimestrales (2)'!E22</f>
        <v>ANTIGENO FEBRIL BRUCELLA (HUDDLESON)</v>
      </c>
      <c r="D18" s="73"/>
      <c r="E18" s="73"/>
      <c r="F18" s="73"/>
      <c r="G18" s="74"/>
      <c r="H18" s="65" t="s">
        <v>223</v>
      </c>
      <c r="I18" s="66" t="str">
        <f>'Necesidades Trimestrales (2)'!F22</f>
        <v>unidad</v>
      </c>
      <c r="J18" s="67">
        <f>'Necesidades Trimestrales (2)'!AT22</f>
        <v>1321</v>
      </c>
      <c r="K18" s="68">
        <v>30</v>
      </c>
      <c r="L18" s="167">
        <f t="shared" si="1"/>
        <v>39630</v>
      </c>
      <c r="M18" s="53">
        <f t="shared" si="0"/>
        <v>39630</v>
      </c>
    </row>
    <row r="19" spans="1:13" ht="15" x14ac:dyDescent="0.2">
      <c r="A19" s="63">
        <v>8</v>
      </c>
      <c r="B19" s="64"/>
      <c r="C19" s="149" t="str">
        <f>'Necesidades Trimestrales (2)'!E23</f>
        <v>APTTest tipo Wiener 150 det.</v>
      </c>
      <c r="D19" s="73"/>
      <c r="E19" s="73"/>
      <c r="F19" s="73"/>
      <c r="G19" s="74"/>
      <c r="H19" s="65" t="s">
        <v>223</v>
      </c>
      <c r="I19" s="66" t="str">
        <f>'Necesidades Trimestrales (2)'!F23</f>
        <v>unidad</v>
      </c>
      <c r="J19" s="67">
        <f>'Necesidades Trimestrales (2)'!AT23</f>
        <v>6851</v>
      </c>
      <c r="K19" s="68">
        <f>'Necesidades Trimestrales (2)'!AS23</f>
        <v>20</v>
      </c>
      <c r="L19" s="167">
        <f t="shared" si="1"/>
        <v>137020</v>
      </c>
      <c r="M19" s="53">
        <f t="shared" si="0"/>
        <v>137020</v>
      </c>
    </row>
    <row r="20" spans="1:13" ht="15" x14ac:dyDescent="0.2">
      <c r="A20" s="63">
        <v>9</v>
      </c>
      <c r="B20" s="64"/>
      <c r="C20" s="149" t="str">
        <f>'Necesidades Trimestrales (2)'!E24</f>
        <v>APTT-P  Tipo HEMO MEDICA (USA)</v>
      </c>
      <c r="D20" s="73"/>
      <c r="E20" s="73"/>
      <c r="F20" s="73"/>
      <c r="G20" s="74"/>
      <c r="H20" s="65" t="s">
        <v>223</v>
      </c>
      <c r="I20" s="66" t="str">
        <f>'Necesidades Trimestrales (2)'!F24</f>
        <v>unidad</v>
      </c>
      <c r="J20" s="67">
        <f>'Necesidades Trimestrales (2)'!AT24</f>
        <v>8755</v>
      </c>
      <c r="K20" s="68">
        <f>'Necesidades Trimestrales (2)'!AS24</f>
        <v>20</v>
      </c>
      <c r="L20" s="167">
        <f t="shared" si="1"/>
        <v>175100</v>
      </c>
      <c r="M20" s="53">
        <f t="shared" si="0"/>
        <v>175100</v>
      </c>
    </row>
    <row r="21" spans="1:13" ht="15" x14ac:dyDescent="0.2">
      <c r="A21" s="63">
        <v>10</v>
      </c>
      <c r="B21" s="64"/>
      <c r="C21" s="149" t="str">
        <f>'Necesidades Trimestrales (2)'!E41</f>
        <v>Artritest Directo 50 Det Tipo WIENER</v>
      </c>
      <c r="D21" s="73"/>
      <c r="E21" s="73"/>
      <c r="F21" s="73"/>
      <c r="G21" s="74"/>
      <c r="H21" s="65" t="s">
        <v>223</v>
      </c>
      <c r="I21" s="66" t="str">
        <f>'Necesidades Trimestrales (2)'!F41</f>
        <v>unidad</v>
      </c>
      <c r="J21" s="67">
        <f>'Necesidades Trimestrales (2)'!AT41</f>
        <v>1965</v>
      </c>
      <c r="K21" s="68">
        <f>'Necesidades Trimestrales (2)'!AS41</f>
        <v>30</v>
      </c>
      <c r="L21" s="167">
        <f t="shared" si="1"/>
        <v>58950</v>
      </c>
      <c r="M21" s="53">
        <f t="shared" si="0"/>
        <v>58950</v>
      </c>
    </row>
    <row r="22" spans="1:13" ht="15" x14ac:dyDescent="0.2">
      <c r="A22" s="63">
        <v>11</v>
      </c>
      <c r="B22" s="64"/>
      <c r="C22" s="149" t="str">
        <f>'Necesidades Trimestrales (2)'!E42</f>
        <v>ASO latex 50 Det Tipo WIENER</v>
      </c>
      <c r="D22" s="73"/>
      <c r="E22" s="73"/>
      <c r="F22" s="73"/>
      <c r="G22" s="74"/>
      <c r="H22" s="65" t="s">
        <v>223</v>
      </c>
      <c r="I22" s="66" t="str">
        <f>'Necesidades Trimestrales (2)'!F42</f>
        <v>unidad</v>
      </c>
      <c r="J22" s="67">
        <f>'Necesidades Trimestrales (2)'!AT42</f>
        <v>3935</v>
      </c>
      <c r="K22" s="68">
        <f>'Necesidades Trimestrales (2)'!AS42</f>
        <v>5</v>
      </c>
      <c r="L22" s="167">
        <f t="shared" si="1"/>
        <v>19675</v>
      </c>
      <c r="M22" s="53">
        <f t="shared" si="0"/>
        <v>19675</v>
      </c>
    </row>
    <row r="23" spans="1:13" ht="15" x14ac:dyDescent="0.2">
      <c r="A23" s="63">
        <v>12</v>
      </c>
      <c r="B23" s="64"/>
      <c r="C23" s="149" t="str">
        <f>'Necesidades Trimestrales (2)'!E43</f>
        <v>BC-3D Control Hematologico 3x3 Ml (1B, 1N, 1A)</v>
      </c>
      <c r="D23" s="73"/>
      <c r="E23" s="73"/>
      <c r="F23" s="73"/>
      <c r="G23" s="74"/>
      <c r="H23" s="65" t="s">
        <v>223</v>
      </c>
      <c r="I23" s="66" t="str">
        <f>'Necesidades Trimestrales (2)'!F43</f>
        <v>unidad</v>
      </c>
      <c r="J23" s="67">
        <f>'Necesidades Trimestrales (2)'!AT43</f>
        <v>11500</v>
      </c>
      <c r="K23" s="68">
        <f>'Necesidades Trimestrales (2)'!AS43</f>
        <v>8</v>
      </c>
      <c r="L23" s="167">
        <f t="shared" si="1"/>
        <v>92000</v>
      </c>
      <c r="M23" s="53">
        <f t="shared" si="0"/>
        <v>92000</v>
      </c>
    </row>
    <row r="24" spans="1:13" ht="15" x14ac:dyDescent="0.2">
      <c r="A24" s="63">
        <v>13</v>
      </c>
      <c r="B24" s="64"/>
      <c r="C24" s="149" t="str">
        <f>'Necesidades Trimestrales (2)'!E44</f>
        <v>Bilirrubina 200 Det Tipo WIENER</v>
      </c>
      <c r="D24" s="73"/>
      <c r="E24" s="73"/>
      <c r="F24" s="73"/>
      <c r="G24" s="74"/>
      <c r="H24" s="65" t="s">
        <v>223</v>
      </c>
      <c r="I24" s="66" t="str">
        <f>'Necesidades Trimestrales (2)'!F44</f>
        <v>unidad</v>
      </c>
      <c r="J24" s="67">
        <f>'Necesidades Trimestrales (2)'!AT44</f>
        <v>4805</v>
      </c>
      <c r="K24" s="68">
        <f>'Necesidades Trimestrales (2)'!AS44</f>
        <v>10</v>
      </c>
      <c r="L24" s="167">
        <f t="shared" si="1"/>
        <v>48050</v>
      </c>
      <c r="M24" s="53">
        <f t="shared" si="0"/>
        <v>48050</v>
      </c>
    </row>
    <row r="25" spans="1:13" ht="15" x14ac:dyDescent="0.2">
      <c r="A25" s="63">
        <v>14</v>
      </c>
      <c r="B25" s="64"/>
      <c r="C25" s="149" t="str">
        <f>'Necesidades Trimestrales (2)'!E45</f>
        <v>Bilirrubina DIRECTA AA LIQUIDA Tipo WIENER</v>
      </c>
      <c r="D25" s="73"/>
      <c r="E25" s="73"/>
      <c r="F25" s="73"/>
      <c r="G25" s="74"/>
      <c r="H25" s="65" t="s">
        <v>223</v>
      </c>
      <c r="I25" s="66" t="str">
        <f>'Necesidades Trimestrales (2)'!F45</f>
        <v>unidad</v>
      </c>
      <c r="J25" s="67">
        <f>'Necesidades Trimestrales (2)'!AT45</f>
        <v>4120</v>
      </c>
      <c r="K25" s="68">
        <f>'Necesidades Trimestrales (2)'!AS45</f>
        <v>10</v>
      </c>
      <c r="L25" s="167">
        <f t="shared" si="1"/>
        <v>41200</v>
      </c>
      <c r="M25" s="53">
        <f t="shared" si="0"/>
        <v>41200</v>
      </c>
    </row>
    <row r="26" spans="1:13" ht="15" x14ac:dyDescent="0.2">
      <c r="A26" s="63">
        <v>15</v>
      </c>
      <c r="B26" s="64"/>
      <c r="C26" s="149" t="str">
        <f>'Necesidades Trimestrales (2)'!E46</f>
        <v>Bilirrubina TOTAL AA LIQUIDA Tipo WIENER</v>
      </c>
      <c r="D26" s="73"/>
      <c r="E26" s="73"/>
      <c r="F26" s="73"/>
      <c r="G26" s="74"/>
      <c r="H26" s="65" t="s">
        <v>223</v>
      </c>
      <c r="I26" s="66" t="str">
        <f>'Necesidades Trimestrales (2)'!F46</f>
        <v>unidad</v>
      </c>
      <c r="J26" s="67">
        <f>'Necesidades Trimestrales (2)'!AT46</f>
        <v>4125</v>
      </c>
      <c r="K26" s="68">
        <f>'Necesidades Trimestrales (2)'!AS46</f>
        <v>10</v>
      </c>
      <c r="L26" s="167">
        <f t="shared" si="1"/>
        <v>41250</v>
      </c>
      <c r="M26" s="53">
        <f t="shared" si="0"/>
        <v>41250</v>
      </c>
    </row>
    <row r="27" spans="1:13" ht="15" x14ac:dyDescent="0.2">
      <c r="A27" s="63">
        <v>16</v>
      </c>
      <c r="B27" s="64"/>
      <c r="C27" s="149" t="str">
        <f>'Necesidades Trimestrales (2)'!E49</f>
        <v>Botella de FA Plus Aerobico para Bact Alert</v>
      </c>
      <c r="D27" s="73"/>
      <c r="E27" s="73"/>
      <c r="F27" s="73"/>
      <c r="G27" s="74"/>
      <c r="H27" s="65" t="s">
        <v>223</v>
      </c>
      <c r="I27" s="66" t="str">
        <f>'Necesidades Trimestrales (2)'!F49</f>
        <v>unidad</v>
      </c>
      <c r="J27" s="67">
        <f>'Necesidades Trimestrales (2)'!AT49</f>
        <v>950</v>
      </c>
      <c r="K27" s="68">
        <f>'Necesidades Trimestrales (2)'!AS49</f>
        <v>1500</v>
      </c>
      <c r="L27" s="167">
        <f t="shared" si="1"/>
        <v>1425000</v>
      </c>
      <c r="M27" s="53">
        <f t="shared" si="0"/>
        <v>1425000</v>
      </c>
    </row>
    <row r="28" spans="1:13" ht="15" x14ac:dyDescent="0.2">
      <c r="A28" s="63">
        <v>17</v>
      </c>
      <c r="B28" s="64"/>
      <c r="C28" s="149" t="str">
        <f>'Necesidades Trimestrales (2)'!E51</f>
        <v>CALCIO COLOR AATipo WIENER</v>
      </c>
      <c r="D28" s="73"/>
      <c r="E28" s="73"/>
      <c r="F28" s="73"/>
      <c r="G28" s="74"/>
      <c r="H28" s="65" t="s">
        <v>223</v>
      </c>
      <c r="I28" s="66" t="str">
        <f>'Necesidades Trimestrales (2)'!F51</f>
        <v>unidad</v>
      </c>
      <c r="J28" s="67">
        <f>'Necesidades Trimestrales (2)'!AT51</f>
        <v>2487</v>
      </c>
      <c r="K28" s="68">
        <f>'Necesidades Trimestrales (2)'!AS51</f>
        <v>10</v>
      </c>
      <c r="L28" s="167">
        <f t="shared" si="1"/>
        <v>24870</v>
      </c>
      <c r="M28" s="53">
        <f t="shared" si="0"/>
        <v>24870</v>
      </c>
    </row>
    <row r="29" spans="1:13" ht="15" x14ac:dyDescent="0.2">
      <c r="A29" s="63">
        <v>18</v>
      </c>
      <c r="B29" s="64"/>
      <c r="C29" s="149" t="str">
        <f>'Necesidades Trimestrales (2)'!E52</f>
        <v>CALIBRADOR A PLUS Tipo WIENER</v>
      </c>
      <c r="D29" s="73"/>
      <c r="E29" s="73"/>
      <c r="F29" s="73"/>
      <c r="G29" s="74"/>
      <c r="H29" s="65" t="s">
        <v>223</v>
      </c>
      <c r="I29" s="66" t="str">
        <f>'Necesidades Trimestrales (2)'!F52</f>
        <v>unidad</v>
      </c>
      <c r="J29" s="67">
        <f>'Necesidades Trimestrales (2)'!AT52</f>
        <v>3929</v>
      </c>
      <c r="K29" s="68">
        <f>'Necesidades Trimestrales (2)'!AS52</f>
        <v>15</v>
      </c>
      <c r="L29" s="167">
        <f t="shared" si="1"/>
        <v>58935</v>
      </c>
      <c r="M29" s="53">
        <f t="shared" si="0"/>
        <v>58935</v>
      </c>
    </row>
    <row r="30" spans="1:13" ht="15" x14ac:dyDescent="0.2">
      <c r="A30" s="63">
        <v>19</v>
      </c>
      <c r="B30" s="64"/>
      <c r="C30" s="149" t="str">
        <f>'Necesidades Trimestrales (2)'!E53</f>
        <v>CASSETE SENSOR OSMOTECH OPTI CCA TIPO E-GLU</v>
      </c>
      <c r="D30" s="73"/>
      <c r="E30" s="73"/>
      <c r="F30" s="73"/>
      <c r="G30" s="74"/>
      <c r="H30" s="65" t="s">
        <v>223</v>
      </c>
      <c r="I30" s="66" t="str">
        <f>'Necesidades Trimestrales (2)'!F53</f>
        <v>unidad</v>
      </c>
      <c r="J30" s="67">
        <f>'Necesidades Trimestrales (2)'!AT53</f>
        <v>46440</v>
      </c>
      <c r="K30" s="68">
        <f>'Necesidades Trimestrales (2)'!AS53</f>
        <v>20</v>
      </c>
      <c r="L30" s="167">
        <f t="shared" si="1"/>
        <v>928800</v>
      </c>
      <c r="M30" s="53">
        <f t="shared" si="0"/>
        <v>928800</v>
      </c>
    </row>
    <row r="31" spans="1:13" ht="15" x14ac:dyDescent="0.2">
      <c r="A31" s="63">
        <v>20</v>
      </c>
      <c r="B31" s="64"/>
      <c r="C31" s="149" t="str">
        <f>'Necesidades Trimestrales (2)'!E55</f>
        <v>CELL PACKS Tipo SYSMEX 20 L</v>
      </c>
      <c r="D31" s="73"/>
      <c r="E31" s="73"/>
      <c r="F31" s="73"/>
      <c r="G31" s="74"/>
      <c r="H31" s="65" t="s">
        <v>223</v>
      </c>
      <c r="I31" s="66" t="str">
        <f>'Necesidades Trimestrales (2)'!F55</f>
        <v>UNIDAD</v>
      </c>
      <c r="J31" s="67">
        <f>'Necesidades Trimestrales (2)'!AT55</f>
        <v>7932</v>
      </c>
      <c r="K31" s="68">
        <f>'Necesidades Trimestrales (2)'!AS55</f>
        <v>16</v>
      </c>
      <c r="L31" s="167">
        <f t="shared" si="1"/>
        <v>126912</v>
      </c>
      <c r="M31" s="53">
        <f t="shared" si="0"/>
        <v>126912</v>
      </c>
    </row>
    <row r="32" spans="1:13" ht="15" x14ac:dyDescent="0.2">
      <c r="A32" s="63">
        <v>21</v>
      </c>
      <c r="B32" s="64"/>
      <c r="C32" s="149" t="str">
        <f>'Necesidades Trimestrales (2)'!E56</f>
        <v>CELL WASH SOLITION I COBAS C311 TIPO ROCHE</v>
      </c>
      <c r="D32" s="73"/>
      <c r="E32" s="73"/>
      <c r="F32" s="73"/>
      <c r="G32" s="74"/>
      <c r="H32" s="65" t="s">
        <v>223</v>
      </c>
      <c r="I32" s="66" t="str">
        <f>'Necesidades Trimestrales (2)'!F56</f>
        <v>unidad</v>
      </c>
      <c r="J32" s="67">
        <f>'Necesidades Trimestrales (2)'!AT56</f>
        <v>5922</v>
      </c>
      <c r="K32" s="68">
        <f>'Necesidades Trimestrales (2)'!AS56</f>
        <v>15</v>
      </c>
      <c r="L32" s="167">
        <f t="shared" si="1"/>
        <v>88830</v>
      </c>
      <c r="M32" s="53">
        <f t="shared" si="0"/>
        <v>88830</v>
      </c>
    </row>
    <row r="33" spans="1:13" ht="15" x14ac:dyDescent="0.2">
      <c r="A33" s="63">
        <v>22</v>
      </c>
      <c r="B33" s="64"/>
      <c r="C33" s="149" t="str">
        <f>'Necesidades Trimestrales (2)'!E57</f>
        <v>CHAGAS ELISA Tipo WIENER</v>
      </c>
      <c r="D33" s="73"/>
      <c r="E33" s="73"/>
      <c r="F33" s="73"/>
      <c r="G33" s="74"/>
      <c r="H33" s="65" t="s">
        <v>223</v>
      </c>
      <c r="I33" s="66" t="str">
        <f>'Necesidades Trimestrales (2)'!F57</f>
        <v>unidad</v>
      </c>
      <c r="J33" s="67">
        <f>'Necesidades Trimestrales (2)'!AT57</f>
        <v>11386</v>
      </c>
      <c r="K33" s="68">
        <f>'Necesidades Trimestrales (2)'!AS57</f>
        <v>30</v>
      </c>
      <c r="L33" s="167">
        <f t="shared" si="1"/>
        <v>341580</v>
      </c>
      <c r="M33" s="53">
        <f t="shared" si="0"/>
        <v>341580</v>
      </c>
    </row>
    <row r="34" spans="1:13" ht="15" x14ac:dyDescent="0.2">
      <c r="A34" s="63">
        <v>23</v>
      </c>
      <c r="B34" s="64"/>
      <c r="C34" s="149" t="str">
        <f>'Necesidades Trimestrales (2)'!E58</f>
        <v>CHAGAS HAI Tipo WIENER</v>
      </c>
      <c r="D34" s="73"/>
      <c r="E34" s="73"/>
      <c r="F34" s="73"/>
      <c r="G34" s="74"/>
      <c r="H34" s="65" t="s">
        <v>223</v>
      </c>
      <c r="I34" s="66" t="str">
        <f>'Necesidades Trimestrales (2)'!F58</f>
        <v>unidad</v>
      </c>
      <c r="J34" s="67">
        <f>'Necesidades Trimestrales (2)'!AT58</f>
        <v>12092</v>
      </c>
      <c r="K34" s="68">
        <f>'Necesidades Trimestrales (2)'!AS58</f>
        <v>30</v>
      </c>
      <c r="L34" s="167">
        <f t="shared" si="1"/>
        <v>362760</v>
      </c>
      <c r="M34" s="53">
        <f t="shared" si="0"/>
        <v>362760</v>
      </c>
    </row>
    <row r="35" spans="1:13" ht="15" x14ac:dyDescent="0.2">
      <c r="A35" s="63">
        <v>24</v>
      </c>
      <c r="B35" s="64"/>
      <c r="C35" s="149" t="str">
        <f>'Necesidades Trimestrales (2)'!E61</f>
        <v>CLORURO DE CALCIO Tipo HEMO MEDICA (USA)</v>
      </c>
      <c r="D35" s="73"/>
      <c r="E35" s="73"/>
      <c r="F35" s="73"/>
      <c r="G35" s="74"/>
      <c r="H35" s="65" t="s">
        <v>223</v>
      </c>
      <c r="I35" s="66" t="str">
        <f>'Necesidades Trimestrales (2)'!F61</f>
        <v>unidad</v>
      </c>
      <c r="J35" s="67">
        <f>'Necesidades Trimestrales (2)'!AT61</f>
        <v>10281</v>
      </c>
      <c r="K35" s="68">
        <f>'Necesidades Trimestrales (2)'!AS61</f>
        <v>5</v>
      </c>
      <c r="L35" s="167">
        <f t="shared" si="1"/>
        <v>51405</v>
      </c>
      <c r="M35" s="53">
        <f t="shared" si="0"/>
        <v>51405</v>
      </c>
    </row>
    <row r="36" spans="1:13" ht="15" x14ac:dyDescent="0.2">
      <c r="A36" s="63">
        <v>25</v>
      </c>
      <c r="B36" s="64"/>
      <c r="C36" s="149" t="str">
        <f>'Necesidades Trimestrales (2)'!E63</f>
        <v>COBAS DIMERO D X 100 det: Tipo ROCHE</v>
      </c>
      <c r="D36" s="73"/>
      <c r="E36" s="73"/>
      <c r="F36" s="73"/>
      <c r="G36" s="74"/>
      <c r="H36" s="65" t="s">
        <v>223</v>
      </c>
      <c r="I36" s="66" t="str">
        <f>'Necesidades Trimestrales (2)'!F63</f>
        <v>UNIDAD</v>
      </c>
      <c r="J36" s="67">
        <f>'Necesidades Trimestrales (2)'!AT63</f>
        <v>76002</v>
      </c>
      <c r="K36" s="68">
        <f>'Necesidades Trimestrales (2)'!AS63</f>
        <v>12</v>
      </c>
      <c r="L36" s="167">
        <f t="shared" si="1"/>
        <v>912024</v>
      </c>
      <c r="M36" s="53">
        <f t="shared" si="0"/>
        <v>912024</v>
      </c>
    </row>
    <row r="37" spans="1:13" ht="15" x14ac:dyDescent="0.2">
      <c r="A37" s="63">
        <v>26</v>
      </c>
      <c r="B37" s="64"/>
      <c r="C37" s="149" t="str">
        <f>'Necesidades Trimestrales (2)'!E64</f>
        <v>COBAS ECO-D Tipo ROCHE</v>
      </c>
      <c r="D37" s="73"/>
      <c r="E37" s="73"/>
      <c r="F37" s="73"/>
      <c r="G37" s="74"/>
      <c r="H37" s="65" t="s">
        <v>223</v>
      </c>
      <c r="I37" s="66" t="str">
        <f>'Necesidades Trimestrales (2)'!F64</f>
        <v>unidad</v>
      </c>
      <c r="J37" s="67">
        <f>'Necesidades Trimestrales (2)'!AT64</f>
        <v>5842</v>
      </c>
      <c r="K37" s="68">
        <f>'Necesidades Trimestrales (2)'!AS64</f>
        <v>15</v>
      </c>
      <c r="L37" s="167">
        <f t="shared" si="1"/>
        <v>87630</v>
      </c>
      <c r="M37" s="53">
        <f t="shared" si="0"/>
        <v>87630</v>
      </c>
    </row>
    <row r="38" spans="1:13" ht="15" x14ac:dyDescent="0.2">
      <c r="A38" s="63">
        <v>27</v>
      </c>
      <c r="B38" s="64"/>
      <c r="C38" s="149" t="str">
        <f>'Necesidades Trimestrales (2)'!E65</f>
        <v>COBAS FERRITINA X 250 det.  TIPO ROCHE</v>
      </c>
      <c r="D38" s="73"/>
      <c r="E38" s="73"/>
      <c r="F38" s="73"/>
      <c r="G38" s="74"/>
      <c r="H38" s="65" t="s">
        <v>223</v>
      </c>
      <c r="I38" s="66" t="str">
        <f>'Necesidades Trimestrales (2)'!F65</f>
        <v>UNIDAD</v>
      </c>
      <c r="J38" s="67">
        <f>'Necesidades Trimestrales (2)'!AT65</f>
        <v>53999</v>
      </c>
      <c r="K38" s="68">
        <f>'Necesidades Trimestrales (2)'!AS65</f>
        <v>9</v>
      </c>
      <c r="L38" s="167">
        <f t="shared" si="1"/>
        <v>485991</v>
      </c>
      <c r="M38" s="53">
        <f t="shared" si="0"/>
        <v>485991</v>
      </c>
    </row>
    <row r="39" spans="1:13" ht="15" x14ac:dyDescent="0.2">
      <c r="A39" s="63">
        <v>28</v>
      </c>
      <c r="B39" s="64"/>
      <c r="C39" s="149" t="str">
        <f>'Necesidades Trimestrales (2)'!E66</f>
        <v>COBAS SMS Tipo ROCHE</v>
      </c>
      <c r="D39" s="73"/>
      <c r="E39" s="73"/>
      <c r="F39" s="73"/>
      <c r="G39" s="74"/>
      <c r="H39" s="65" t="s">
        <v>223</v>
      </c>
      <c r="I39" s="66" t="str">
        <f>'Necesidades Trimestrales (2)'!F66</f>
        <v>unidad</v>
      </c>
      <c r="J39" s="67">
        <f>'Necesidades Trimestrales (2)'!AT66</f>
        <v>1099</v>
      </c>
      <c r="K39" s="68">
        <f>'Necesidades Trimestrales (2)'!AS66</f>
        <v>21</v>
      </c>
      <c r="L39" s="167">
        <f t="shared" si="1"/>
        <v>23079</v>
      </c>
      <c r="M39" s="53">
        <f t="shared" si="0"/>
        <v>23079</v>
      </c>
    </row>
    <row r="40" spans="1:13" ht="15" x14ac:dyDescent="0.2">
      <c r="A40" s="63">
        <v>29</v>
      </c>
      <c r="B40" s="64"/>
      <c r="C40" s="149" t="str">
        <f>'Necesidades Trimestrales (2)'!E67</f>
        <v>Colestat Enzimatico AA LL 400 Ml (4x100 Ml) Tipo WIENER</v>
      </c>
      <c r="D40" s="73"/>
      <c r="E40" s="73"/>
      <c r="F40" s="73"/>
      <c r="G40" s="74"/>
      <c r="H40" s="65" t="s">
        <v>223</v>
      </c>
      <c r="I40" s="66" t="str">
        <f>'Necesidades Trimestrales (2)'!F67</f>
        <v>unidad</v>
      </c>
      <c r="J40" s="67">
        <f>'Necesidades Trimestrales (2)'!AT67</f>
        <v>3879</v>
      </c>
      <c r="K40" s="68">
        <f>'Necesidades Trimestrales (2)'!AS67</f>
        <v>40</v>
      </c>
      <c r="L40" s="167">
        <f t="shared" si="1"/>
        <v>155160</v>
      </c>
      <c r="M40" s="53">
        <f t="shared" si="0"/>
        <v>155160</v>
      </c>
    </row>
    <row r="41" spans="1:13" ht="15" x14ac:dyDescent="0.2">
      <c r="A41" s="63">
        <v>30</v>
      </c>
      <c r="B41" s="64"/>
      <c r="C41" s="149" t="str">
        <f>'Necesidades Trimestrales (2)'!E68</f>
        <v>Creatinina Cinetica AA LL Tipo WIENER</v>
      </c>
      <c r="D41" s="73"/>
      <c r="E41" s="73"/>
      <c r="F41" s="73"/>
      <c r="G41" s="74"/>
      <c r="H41" s="65" t="s">
        <v>223</v>
      </c>
      <c r="I41" s="66" t="str">
        <f>'Necesidades Trimestrales (2)'!F68</f>
        <v>unidad</v>
      </c>
      <c r="J41" s="67">
        <f>'Necesidades Trimestrales (2)'!AT68</f>
        <v>3305</v>
      </c>
      <c r="K41" s="68">
        <f>'Necesidades Trimestrales (2)'!AS68</f>
        <v>20</v>
      </c>
      <c r="L41" s="167">
        <f t="shared" si="1"/>
        <v>66100</v>
      </c>
      <c r="M41" s="53">
        <f t="shared" si="0"/>
        <v>66100</v>
      </c>
    </row>
    <row r="42" spans="1:13" ht="15" x14ac:dyDescent="0.2">
      <c r="A42" s="63">
        <v>31</v>
      </c>
      <c r="B42" s="64"/>
      <c r="C42" s="149" t="str">
        <f>'Necesidades Trimestrales (2)'!E69</f>
        <v>Creatinina DIRECTA Tipo WIENER</v>
      </c>
      <c r="D42" s="73"/>
      <c r="E42" s="73"/>
      <c r="F42" s="73"/>
      <c r="G42" s="74"/>
      <c r="H42" s="65" t="s">
        <v>223</v>
      </c>
      <c r="I42" s="66" t="str">
        <f>'Necesidades Trimestrales (2)'!F69</f>
        <v>unidad</v>
      </c>
      <c r="J42" s="67">
        <f>'Necesidades Trimestrales (2)'!AT69</f>
        <v>2308</v>
      </c>
      <c r="K42" s="68">
        <f>'Necesidades Trimestrales (2)'!AS69</f>
        <v>20</v>
      </c>
      <c r="L42" s="167">
        <f t="shared" si="1"/>
        <v>46160</v>
      </c>
      <c r="M42" s="53">
        <f t="shared" si="0"/>
        <v>46160</v>
      </c>
    </row>
    <row r="43" spans="1:13" ht="15" x14ac:dyDescent="0.2">
      <c r="A43" s="63">
        <v>32</v>
      </c>
      <c r="B43" s="64"/>
      <c r="C43" s="149" t="str">
        <f>'Necesidades Trimestrales (2)'!E73</f>
        <v>Ez Cleanser x 100 Ml Tipo MINDRAY</v>
      </c>
      <c r="D43" s="73"/>
      <c r="E43" s="73"/>
      <c r="F43" s="73"/>
      <c r="G43" s="74"/>
      <c r="H43" s="65" t="s">
        <v>223</v>
      </c>
      <c r="I43" s="66" t="str">
        <f>'Necesidades Trimestrales (2)'!F73</f>
        <v>unidad</v>
      </c>
      <c r="J43" s="67">
        <f>'Necesidades Trimestrales (2)'!AT73</f>
        <v>7100</v>
      </c>
      <c r="K43" s="68">
        <f>'Necesidades Trimestrales (2)'!AS73</f>
        <v>20</v>
      </c>
      <c r="L43" s="167">
        <f t="shared" si="1"/>
        <v>142000</v>
      </c>
      <c r="M43" s="53">
        <f t="shared" si="0"/>
        <v>142000</v>
      </c>
    </row>
    <row r="44" spans="1:13" ht="15" x14ac:dyDescent="0.2">
      <c r="A44" s="63">
        <v>33</v>
      </c>
      <c r="B44" s="64"/>
      <c r="C44" s="149" t="str">
        <f>'Necesidades Trimestrales (2)'!E74</f>
        <v>Fecuntest DIRECTO 50 Det Tipo WIENER</v>
      </c>
      <c r="D44" s="73"/>
      <c r="E44" s="73"/>
      <c r="F44" s="73"/>
      <c r="G44" s="74"/>
      <c r="H44" s="65" t="s">
        <v>223</v>
      </c>
      <c r="I44" s="66" t="str">
        <f>'Necesidades Trimestrales (2)'!F74</f>
        <v>unidad</v>
      </c>
      <c r="J44" s="67">
        <f>'Necesidades Trimestrales (2)'!AT74</f>
        <v>6538</v>
      </c>
      <c r="K44" s="68">
        <f>'Necesidades Trimestrales (2)'!AS74</f>
        <v>20</v>
      </c>
      <c r="L44" s="167">
        <f t="shared" si="1"/>
        <v>130760</v>
      </c>
      <c r="M44" s="53">
        <f t="shared" si="0"/>
        <v>130760</v>
      </c>
    </row>
    <row r="45" spans="1:13" ht="15" x14ac:dyDescent="0.2">
      <c r="A45" s="63">
        <v>34</v>
      </c>
      <c r="B45" s="64"/>
      <c r="C45" s="149" t="str">
        <f>'Necesidades Trimestrales (2)'!E75</f>
        <v>Fecuntest Strips 25 Det Tipo WIENER</v>
      </c>
      <c r="D45" s="73"/>
      <c r="E45" s="73"/>
      <c r="F45" s="73"/>
      <c r="G45" s="74"/>
      <c r="H45" s="65" t="s">
        <v>223</v>
      </c>
      <c r="I45" s="66" t="str">
        <f>'Necesidades Trimestrales (2)'!F75</f>
        <v>unidad</v>
      </c>
      <c r="J45" s="67">
        <f>'Necesidades Trimestrales (2)'!AT75</f>
        <v>1797</v>
      </c>
      <c r="K45" s="68">
        <f>'Necesidades Trimestrales (2)'!AS75</f>
        <v>200</v>
      </c>
      <c r="L45" s="167">
        <f t="shared" si="1"/>
        <v>359400</v>
      </c>
      <c r="M45" s="53">
        <f t="shared" si="0"/>
        <v>359400</v>
      </c>
    </row>
    <row r="46" spans="1:13" ht="15" x14ac:dyDescent="0.2">
      <c r="A46" s="63">
        <v>35</v>
      </c>
      <c r="B46" s="64"/>
      <c r="C46" s="149" t="str">
        <f>'Necesidades Trimestrales (2)'!E76</f>
        <v>Giemsa+Estabilizador 1 Litro Tipo BIOPUR</v>
      </c>
      <c r="D46" s="73"/>
      <c r="E46" s="73"/>
      <c r="F46" s="73"/>
      <c r="G46" s="74"/>
      <c r="H46" s="65" t="s">
        <v>223</v>
      </c>
      <c r="I46" s="66" t="str">
        <f>'Necesidades Trimestrales (2)'!F76</f>
        <v>unidad</v>
      </c>
      <c r="J46" s="67">
        <f>'Necesidades Trimestrales (2)'!AT76</f>
        <v>3676</v>
      </c>
      <c r="K46" s="68">
        <f>'Necesidades Trimestrales (2)'!AS76</f>
        <v>10</v>
      </c>
      <c r="L46" s="167">
        <f t="shared" si="1"/>
        <v>36760</v>
      </c>
      <c r="M46" s="53">
        <f t="shared" si="0"/>
        <v>36760</v>
      </c>
    </row>
    <row r="47" spans="1:13" ht="15" x14ac:dyDescent="0.2">
      <c r="A47" s="63">
        <v>36</v>
      </c>
      <c r="B47" s="64"/>
      <c r="C47" s="149" t="str">
        <f>'Necesidades Trimestrales (2)'!E77</f>
        <v>Glicemia Enzimatica AA 250 Ml (1x250 Ml) Tipo WIENER</v>
      </c>
      <c r="D47" s="73"/>
      <c r="E47" s="73"/>
      <c r="F47" s="73"/>
      <c r="G47" s="74"/>
      <c r="H47" s="65" t="s">
        <v>223</v>
      </c>
      <c r="I47" s="66" t="str">
        <f>'Necesidades Trimestrales (2)'!F77</f>
        <v>unidad</v>
      </c>
      <c r="J47" s="67">
        <f>'Necesidades Trimestrales (2)'!AT77</f>
        <v>2167</v>
      </c>
      <c r="K47" s="68">
        <f>'Necesidades Trimestrales (2)'!AS77</f>
        <v>80</v>
      </c>
      <c r="L47" s="167">
        <f t="shared" si="1"/>
        <v>173360</v>
      </c>
      <c r="M47" s="53">
        <f t="shared" ref="M47:M84" si="2">+J47*K47</f>
        <v>173360</v>
      </c>
    </row>
    <row r="48" spans="1:13" ht="15" x14ac:dyDescent="0.2">
      <c r="A48" s="63">
        <v>37</v>
      </c>
      <c r="B48" s="64"/>
      <c r="C48" s="149" t="str">
        <f>'Necesidades Trimestrales (2)'!E78</f>
        <v>Got (AST) UV AA 200 Ml (10x20 Ml) Tipo WIENER</v>
      </c>
      <c r="D48" s="73"/>
      <c r="E48" s="73"/>
      <c r="F48" s="73"/>
      <c r="G48" s="74"/>
      <c r="H48" s="65" t="s">
        <v>223</v>
      </c>
      <c r="I48" s="66" t="str">
        <f>'Necesidades Trimestrales (2)'!F78</f>
        <v>unidad</v>
      </c>
      <c r="J48" s="67">
        <f>'Necesidades Trimestrales (2)'!AT78</f>
        <v>7145</v>
      </c>
      <c r="K48" s="68">
        <f>'Necesidades Trimestrales (2)'!AS78</f>
        <v>20</v>
      </c>
      <c r="L48" s="167">
        <f t="shared" si="1"/>
        <v>142900</v>
      </c>
      <c r="M48" s="53">
        <f t="shared" si="2"/>
        <v>142900</v>
      </c>
    </row>
    <row r="49" spans="1:13" ht="15" x14ac:dyDescent="0.2">
      <c r="A49" s="63">
        <v>38</v>
      </c>
      <c r="B49" s="64"/>
      <c r="C49" s="149" t="str">
        <f>'Necesidades Trimestrales (2)'!E79</f>
        <v>Got (AST) UV AA LL 200 Ml Tipo WIENER</v>
      </c>
      <c r="D49" s="73"/>
      <c r="E49" s="73"/>
      <c r="F49" s="73"/>
      <c r="G49" s="74"/>
      <c r="H49" s="65" t="s">
        <v>223</v>
      </c>
      <c r="I49" s="66" t="str">
        <f>'Necesidades Trimestrales (2)'!F79</f>
        <v>unidad</v>
      </c>
      <c r="J49" s="67">
        <f>'Necesidades Trimestrales (2)'!AT79</f>
        <v>4953</v>
      </c>
      <c r="K49" s="68">
        <f>'Necesidades Trimestrales (2)'!AS79</f>
        <v>20</v>
      </c>
      <c r="L49" s="167">
        <f t="shared" si="1"/>
        <v>99060</v>
      </c>
      <c r="M49" s="53">
        <f t="shared" si="2"/>
        <v>99060</v>
      </c>
    </row>
    <row r="50" spans="1:13" ht="15" x14ac:dyDescent="0.2">
      <c r="A50" s="63">
        <v>39</v>
      </c>
      <c r="B50" s="64"/>
      <c r="C50" s="149" t="str">
        <f>'Necesidades Trimestrales (2)'!E80</f>
        <v>Gpt (ALT) UV AA 200 Ml (10x20 Ml) Tipo WIENER</v>
      </c>
      <c r="D50" s="73"/>
      <c r="E50" s="73"/>
      <c r="F50" s="73"/>
      <c r="G50" s="74"/>
      <c r="H50" s="65" t="s">
        <v>223</v>
      </c>
      <c r="I50" s="66" t="str">
        <f>'Necesidades Trimestrales (2)'!F80</f>
        <v>unidad</v>
      </c>
      <c r="J50" s="67">
        <f>'Necesidades Trimestrales (2)'!AT80</f>
        <v>7145</v>
      </c>
      <c r="K50" s="68">
        <f>'Necesidades Trimestrales (2)'!AS80</f>
        <v>20</v>
      </c>
      <c r="L50" s="167">
        <f t="shared" si="1"/>
        <v>142900</v>
      </c>
      <c r="M50" s="53">
        <f t="shared" si="2"/>
        <v>142900</v>
      </c>
    </row>
    <row r="51" spans="1:13" ht="15" x14ac:dyDescent="0.2">
      <c r="A51" s="63">
        <v>40</v>
      </c>
      <c r="B51" s="64"/>
      <c r="C51" s="149" t="str">
        <f>'Necesidades Trimestrales (2)'!E81</f>
        <v>Gpt (ALT) UV AA 200 Ml Tipo WIENER</v>
      </c>
      <c r="D51" s="73"/>
      <c r="E51" s="73"/>
      <c r="F51" s="73"/>
      <c r="G51" s="74"/>
      <c r="H51" s="65" t="s">
        <v>223</v>
      </c>
      <c r="I51" s="66" t="str">
        <f>'Necesidades Trimestrales (2)'!F81</f>
        <v>unidad</v>
      </c>
      <c r="J51" s="67">
        <f>'Necesidades Trimestrales (2)'!AT81</f>
        <v>4953</v>
      </c>
      <c r="K51" s="68">
        <f>'Necesidades Trimestrales (2)'!AS81</f>
        <v>20</v>
      </c>
      <c r="L51" s="167">
        <f t="shared" si="1"/>
        <v>99060</v>
      </c>
      <c r="M51" s="53">
        <f t="shared" si="2"/>
        <v>99060</v>
      </c>
    </row>
    <row r="52" spans="1:13" ht="15" x14ac:dyDescent="0.2">
      <c r="A52" s="63">
        <v>41</v>
      </c>
      <c r="B52" s="64"/>
      <c r="C52" s="149" t="str">
        <f>'Necesidades Trimestrales (2)'!E82</f>
        <v>HBA1C Enzymatic Calibrador Turbidimetrico 2x0,5 Ml Tipo WIENER</v>
      </c>
      <c r="D52" s="73"/>
      <c r="E52" s="73"/>
      <c r="F52" s="73"/>
      <c r="G52" s="74"/>
      <c r="H52" s="65" t="s">
        <v>223</v>
      </c>
      <c r="I52" s="66" t="str">
        <f>'Necesidades Trimestrales (2)'!F82</f>
        <v>unidad</v>
      </c>
      <c r="J52" s="67">
        <f>'Necesidades Trimestrales (2)'!AT82</f>
        <v>8236</v>
      </c>
      <c r="K52" s="68">
        <f>'Necesidades Trimestrales (2)'!AS82</f>
        <v>10</v>
      </c>
      <c r="L52" s="167">
        <f t="shared" si="1"/>
        <v>82360</v>
      </c>
      <c r="M52" s="53">
        <f t="shared" si="2"/>
        <v>82360</v>
      </c>
    </row>
    <row r="53" spans="1:13" ht="15" x14ac:dyDescent="0.2">
      <c r="A53" s="63">
        <v>42</v>
      </c>
      <c r="B53" s="64"/>
      <c r="C53" s="149" t="str">
        <f>'Necesidades Trimestrales (2)'!E83</f>
        <v>HBA1C Enzymatic Control Turbidim 2x0,5 Ml Tipo WIENER</v>
      </c>
      <c r="D53" s="73"/>
      <c r="E53" s="73"/>
      <c r="F53" s="73"/>
      <c r="G53" s="74"/>
      <c r="H53" s="65" t="s">
        <v>223</v>
      </c>
      <c r="I53" s="66" t="str">
        <f>'Necesidades Trimestrales (2)'!F83</f>
        <v>unidad</v>
      </c>
      <c r="J53" s="67">
        <f>'Necesidades Trimestrales (2)'!AT83</f>
        <v>9656</v>
      </c>
      <c r="K53" s="68">
        <f>'Necesidades Trimestrales (2)'!AS83</f>
        <v>10</v>
      </c>
      <c r="L53" s="167">
        <f t="shared" si="1"/>
        <v>96560</v>
      </c>
      <c r="M53" s="53">
        <f t="shared" si="2"/>
        <v>96560</v>
      </c>
    </row>
    <row r="54" spans="1:13" ht="15" x14ac:dyDescent="0.2">
      <c r="A54" s="63">
        <v>43</v>
      </c>
      <c r="B54" s="75"/>
      <c r="C54" s="149" t="str">
        <f>'Necesidades Trimestrales (2)'!E84</f>
        <v>HBA1C Enzymatic Lysis Buffer Turbidim 50 Ml Tipo WIENER</v>
      </c>
      <c r="D54" s="76"/>
      <c r="E54" s="76"/>
      <c r="F54" s="76"/>
      <c r="G54" s="77"/>
      <c r="H54" s="65" t="s">
        <v>223</v>
      </c>
      <c r="I54" s="66" t="str">
        <f>'Necesidades Trimestrales (2)'!F84</f>
        <v>unidad</v>
      </c>
      <c r="J54" s="67">
        <f>'Necesidades Trimestrales (2)'!AT84</f>
        <v>12124</v>
      </c>
      <c r="K54" s="68">
        <f>'Necesidades Trimestrales (2)'!AS84</f>
        <v>5</v>
      </c>
      <c r="L54" s="167">
        <f t="shared" si="1"/>
        <v>60620</v>
      </c>
      <c r="M54" s="53">
        <f t="shared" si="2"/>
        <v>60620</v>
      </c>
    </row>
    <row r="55" spans="1:13" ht="15" x14ac:dyDescent="0.2">
      <c r="A55" s="63">
        <v>44</v>
      </c>
      <c r="B55" s="78"/>
      <c r="C55" s="149" t="str">
        <f>'Necesidades Trimestrales (2)'!E85</f>
        <v>HBA1C Enzymatic Turbidimetrico 1x18 Ml - 1x8 Ml - 1x12 Ml Tipo WIENER</v>
      </c>
      <c r="D55" s="76"/>
      <c r="E55" s="76"/>
      <c r="F55" s="76"/>
      <c r="G55" s="77"/>
      <c r="H55" s="65" t="s">
        <v>223</v>
      </c>
      <c r="I55" s="66" t="str">
        <f>'Necesidades Trimestrales (2)'!F85</f>
        <v>unidad</v>
      </c>
      <c r="J55" s="67">
        <f>'Necesidades Trimestrales (2)'!AT85</f>
        <v>20279</v>
      </c>
      <c r="K55" s="68">
        <f>'Necesidades Trimestrales (2)'!AS85</f>
        <v>10</v>
      </c>
      <c r="L55" s="167">
        <f t="shared" si="1"/>
        <v>202790</v>
      </c>
      <c r="M55" s="53">
        <f t="shared" si="2"/>
        <v>202790</v>
      </c>
    </row>
    <row r="56" spans="1:13" ht="15" x14ac:dyDescent="0.2">
      <c r="A56" s="63">
        <v>45</v>
      </c>
      <c r="B56" s="78"/>
      <c r="C56" s="149" t="str">
        <f>'Necesidades Trimestrales (2)'!E86</f>
        <v>HDL Colesterol Ft 100 Ml 200 Det Tipo WIENER</v>
      </c>
      <c r="D56" s="76"/>
      <c r="E56" s="76"/>
      <c r="F56" s="76"/>
      <c r="G56" s="77"/>
      <c r="H56" s="65" t="s">
        <v>223</v>
      </c>
      <c r="I56" s="66" t="str">
        <f>'Necesidades Trimestrales (2)'!F86</f>
        <v>unidad</v>
      </c>
      <c r="J56" s="67">
        <f>'Necesidades Trimestrales (2)'!AT86</f>
        <v>1648</v>
      </c>
      <c r="K56" s="68">
        <f>'Necesidades Trimestrales (2)'!AS86</f>
        <v>20</v>
      </c>
      <c r="L56" s="167">
        <f t="shared" si="1"/>
        <v>32960</v>
      </c>
      <c r="M56" s="53">
        <f t="shared" si="2"/>
        <v>32960</v>
      </c>
    </row>
    <row r="57" spans="1:13" ht="15" x14ac:dyDescent="0.2">
      <c r="A57" s="63">
        <v>46</v>
      </c>
      <c r="B57" s="78"/>
      <c r="C57" s="149" t="str">
        <f>'Necesidades Trimestrales (2)'!E87</f>
        <v>HDL Colesterol Monofase AA Plus c/calibrador 60 Ml+20 Ml (200D x 0,4 M) Tipo WIENER</v>
      </c>
      <c r="D57" s="76"/>
      <c r="E57" s="76"/>
      <c r="F57" s="76"/>
      <c r="G57" s="77"/>
      <c r="H57" s="65" t="s">
        <v>223</v>
      </c>
      <c r="I57" s="66" t="str">
        <f>'Necesidades Trimestrales (2)'!F87</f>
        <v>unidad</v>
      </c>
      <c r="J57" s="67">
        <f>'Necesidades Trimestrales (2)'!AT87</f>
        <v>10735</v>
      </c>
      <c r="K57" s="68">
        <f>'Necesidades Trimestrales (2)'!AS87</f>
        <v>10</v>
      </c>
      <c r="L57" s="167">
        <f t="shared" si="1"/>
        <v>107350</v>
      </c>
      <c r="M57" s="53">
        <f t="shared" si="2"/>
        <v>107350</v>
      </c>
    </row>
    <row r="58" spans="1:13" ht="15" x14ac:dyDescent="0.2">
      <c r="A58" s="63">
        <v>47</v>
      </c>
      <c r="B58" s="78"/>
      <c r="C58" s="149" t="str">
        <f>'Necesidades Trimestrales (2)'!E88</f>
        <v>HEPATISIS B  Ag Superficie tipo Wiener</v>
      </c>
      <c r="D58" s="76"/>
      <c r="E58" s="76"/>
      <c r="F58" s="76"/>
      <c r="G58" s="77"/>
      <c r="H58" s="65" t="s">
        <v>223</v>
      </c>
      <c r="I58" s="66" t="str">
        <f>'Necesidades Trimestrales (2)'!F88</f>
        <v>unidad</v>
      </c>
      <c r="J58" s="67">
        <f>'Necesidades Trimestrales (2)'!AT88</f>
        <v>16272</v>
      </c>
      <c r="K58" s="68">
        <v>10</v>
      </c>
      <c r="L58" s="167">
        <f t="shared" si="1"/>
        <v>162720</v>
      </c>
      <c r="M58" s="53">
        <f t="shared" si="2"/>
        <v>162720</v>
      </c>
    </row>
    <row r="59" spans="1:13" ht="15" x14ac:dyDescent="0.2">
      <c r="A59" s="63">
        <v>48</v>
      </c>
      <c r="B59" s="78"/>
      <c r="C59" s="149" t="str">
        <f>'Necesidades Trimestrales (2)'!E95</f>
        <v>LACTATO COBAS C311 X 100 DET. TIPO ROCHE</v>
      </c>
      <c r="D59" s="76"/>
      <c r="E59" s="76"/>
      <c r="F59" s="76"/>
      <c r="G59" s="77"/>
      <c r="H59" s="65" t="s">
        <v>223</v>
      </c>
      <c r="I59" s="66" t="str">
        <f>'Necesidades Trimestrales (2)'!F95</f>
        <v>UNIDAD</v>
      </c>
      <c r="J59" s="67">
        <f>'Necesidades Trimestrales (2)'!AT95</f>
        <v>6673</v>
      </c>
      <c r="K59" s="68">
        <f>'Necesidades Trimestrales (2)'!AS95</f>
        <v>21</v>
      </c>
      <c r="L59" s="167">
        <f t="shared" si="1"/>
        <v>140133</v>
      </c>
      <c r="M59" s="53">
        <f t="shared" si="2"/>
        <v>140133</v>
      </c>
    </row>
    <row r="60" spans="1:13" ht="15" x14ac:dyDescent="0.2">
      <c r="A60" s="63">
        <v>49</v>
      </c>
      <c r="B60" s="78"/>
      <c r="C60" s="149" t="str">
        <f>'Necesidades Trimestrales (2)'!E96</f>
        <v>LDL Colesterol monofase AA 200 Det (60 Ml+20 Ml) Tipo WIENER</v>
      </c>
      <c r="D60" s="76"/>
      <c r="E60" s="76"/>
      <c r="F60" s="76"/>
      <c r="G60" s="77"/>
      <c r="H60" s="65" t="s">
        <v>223</v>
      </c>
      <c r="I60" s="66" t="str">
        <f>'Necesidades Trimestrales (2)'!F96</f>
        <v>unidad</v>
      </c>
      <c r="J60" s="67">
        <f>'Necesidades Trimestrales (2)'!AT96</f>
        <v>25325</v>
      </c>
      <c r="K60" s="68">
        <f>'Necesidades Trimestrales (2)'!AS96</f>
        <v>10</v>
      </c>
      <c r="L60" s="167">
        <f t="shared" si="1"/>
        <v>253250</v>
      </c>
      <c r="M60" s="53">
        <f t="shared" si="2"/>
        <v>253250</v>
      </c>
    </row>
    <row r="61" spans="1:13" ht="15" x14ac:dyDescent="0.2">
      <c r="A61" s="63">
        <v>50</v>
      </c>
      <c r="B61" s="78"/>
      <c r="C61" s="149" t="str">
        <f>'Necesidades Trimestrales (2)'!E97</f>
        <v>Limpiador concentrado x 1 L CD80 Tipo MINDRAY</v>
      </c>
      <c r="D61" s="76"/>
      <c r="E61" s="76"/>
      <c r="F61" s="76"/>
      <c r="G61" s="77"/>
      <c r="H61" s="65" t="s">
        <v>223</v>
      </c>
      <c r="I61" s="66" t="str">
        <f>'Necesidades Trimestrales (2)'!F97</f>
        <v>unidad</v>
      </c>
      <c r="J61" s="67">
        <f>'Necesidades Trimestrales (2)'!AT97</f>
        <v>2600</v>
      </c>
      <c r="K61" s="68">
        <f>'Necesidades Trimestrales (2)'!AS97</f>
        <v>10</v>
      </c>
      <c r="L61" s="167">
        <f t="shared" si="1"/>
        <v>26000</v>
      </c>
      <c r="M61" s="53">
        <f t="shared" si="2"/>
        <v>26000</v>
      </c>
    </row>
    <row r="62" spans="1:13" ht="15" x14ac:dyDescent="0.2">
      <c r="A62" s="63">
        <v>51</v>
      </c>
      <c r="B62" s="78"/>
      <c r="C62" s="149" t="str">
        <f>'Necesidades Trimestrales (2)'!E98</f>
        <v>M-30 CFL x 500 Ml Tipo MINDRAY</v>
      </c>
      <c r="D62" s="76"/>
      <c r="E62" s="76"/>
      <c r="F62" s="76"/>
      <c r="G62" s="77"/>
      <c r="H62" s="65" t="s">
        <v>223</v>
      </c>
      <c r="I62" s="66" t="str">
        <f>'Necesidades Trimestrales (2)'!F98</f>
        <v>unidad</v>
      </c>
      <c r="J62" s="67">
        <f>'Necesidades Trimestrales (2)'!AT98</f>
        <v>6500</v>
      </c>
      <c r="K62" s="68">
        <f>'Necesidades Trimestrales (2)'!AS98</f>
        <v>10</v>
      </c>
      <c r="L62" s="167">
        <f t="shared" si="1"/>
        <v>65000</v>
      </c>
      <c r="M62" s="53">
        <f t="shared" si="2"/>
        <v>65000</v>
      </c>
    </row>
    <row r="63" spans="1:13" ht="15" x14ac:dyDescent="0.2">
      <c r="A63" s="63">
        <v>52</v>
      </c>
      <c r="B63" s="78"/>
      <c r="C63" s="149" t="str">
        <f>'Necesidades Trimestrales (2)'!E99</f>
        <v>M-30 Diluent x 20 Lts Tipo MINDRAY</v>
      </c>
      <c r="D63" s="76"/>
      <c r="E63" s="76"/>
      <c r="F63" s="76"/>
      <c r="G63" s="77"/>
      <c r="H63" s="65" t="s">
        <v>223</v>
      </c>
      <c r="I63" s="66" t="str">
        <f>'Necesidades Trimestrales (2)'!F99</f>
        <v>unidad</v>
      </c>
      <c r="J63" s="67">
        <f>'Necesidades Trimestrales (2)'!AT99</f>
        <v>7800</v>
      </c>
      <c r="K63" s="68">
        <f>'Necesidades Trimestrales (2)'!AS99</f>
        <v>30</v>
      </c>
      <c r="L63" s="167">
        <f t="shared" si="1"/>
        <v>234000</v>
      </c>
      <c r="M63" s="53">
        <f t="shared" si="2"/>
        <v>234000</v>
      </c>
    </row>
    <row r="64" spans="1:13" ht="15" x14ac:dyDescent="0.2">
      <c r="A64" s="63">
        <v>53</v>
      </c>
      <c r="B64" s="78"/>
      <c r="C64" s="149" t="str">
        <f>'Necesidades Trimestrales (2)'!E100</f>
        <v>Pack para equipo Diestro 103 Automatico Tipo DIESTRO</v>
      </c>
      <c r="D64" s="76"/>
      <c r="E64" s="76"/>
      <c r="F64" s="76"/>
      <c r="G64" s="77"/>
      <c r="H64" s="65" t="s">
        <v>223</v>
      </c>
      <c r="I64" s="66" t="str">
        <f>'Necesidades Trimestrales (2)'!F100</f>
        <v>unidad</v>
      </c>
      <c r="J64" s="67">
        <f>'Necesidades Trimestrales (2)'!AT100</f>
        <v>26990</v>
      </c>
      <c r="K64" s="68">
        <f>'Necesidades Trimestrales (2)'!AS100</f>
        <v>20</v>
      </c>
      <c r="L64" s="167">
        <f t="shared" si="1"/>
        <v>539800</v>
      </c>
      <c r="M64" s="53">
        <f t="shared" si="2"/>
        <v>539800</v>
      </c>
    </row>
    <row r="65" spans="1:13" ht="15" x14ac:dyDescent="0.2">
      <c r="A65" s="63">
        <v>54</v>
      </c>
      <c r="B65" s="78"/>
      <c r="C65" s="149" t="str">
        <f>'Necesidades Trimestrales (2)'!E105</f>
        <v>PCR COBAS C311  X 250 DET. TIPO ROCHE</v>
      </c>
      <c r="D65" s="76"/>
      <c r="E65" s="76"/>
      <c r="F65" s="76"/>
      <c r="G65" s="77"/>
      <c r="H65" s="65" t="s">
        <v>223</v>
      </c>
      <c r="I65" s="66" t="str">
        <f>'Necesidades Trimestrales (2)'!F105</f>
        <v>UNIDAD</v>
      </c>
      <c r="J65" s="67">
        <f>'Necesidades Trimestrales (2)'!AT105</f>
        <v>37803</v>
      </c>
      <c r="K65" s="68">
        <f>'Necesidades Trimestrales (2)'!AS105</f>
        <v>21</v>
      </c>
      <c r="L65" s="167">
        <f t="shared" si="1"/>
        <v>793863</v>
      </c>
      <c r="M65" s="53">
        <f t="shared" si="2"/>
        <v>793863</v>
      </c>
    </row>
    <row r="66" spans="1:13" ht="15" x14ac:dyDescent="0.2">
      <c r="A66" s="63">
        <v>55</v>
      </c>
      <c r="B66" s="78"/>
      <c r="C66" s="149" t="str">
        <f>'Necesidades Trimestrales (2)'!E106</f>
        <v>Pcr Latex Directo 50 Det Tipo WIENER</v>
      </c>
      <c r="D66" s="76"/>
      <c r="E66" s="76"/>
      <c r="F66" s="76"/>
      <c r="G66" s="77"/>
      <c r="H66" s="65" t="s">
        <v>223</v>
      </c>
      <c r="I66" s="66" t="str">
        <f>'Necesidades Trimestrales (2)'!F106</f>
        <v>unidad</v>
      </c>
      <c r="J66" s="67">
        <f>'Necesidades Trimestrales (2)'!AT106</f>
        <v>3350</v>
      </c>
      <c r="K66" s="68">
        <f>'Necesidades Trimestrales (2)'!AS106</f>
        <v>40</v>
      </c>
      <c r="L66" s="167">
        <f t="shared" si="1"/>
        <v>134000</v>
      </c>
      <c r="M66" s="53">
        <f t="shared" si="2"/>
        <v>134000</v>
      </c>
    </row>
    <row r="67" spans="1:13" ht="15" x14ac:dyDescent="0.2">
      <c r="A67" s="63">
        <v>56</v>
      </c>
      <c r="B67" s="78"/>
      <c r="C67" s="149" t="str">
        <f>'Necesidades Trimestrales (2)'!E108</f>
        <v>Proteinas totales AA 120 X 6 Ml Tipo WIENER</v>
      </c>
      <c r="D67" s="76"/>
      <c r="E67" s="76"/>
      <c r="F67" s="76"/>
      <c r="G67" s="77"/>
      <c r="H67" s="65" t="s">
        <v>223</v>
      </c>
      <c r="I67" s="66" t="str">
        <f>'Necesidades Trimestrales (2)'!F108</f>
        <v>unidad</v>
      </c>
      <c r="J67" s="67">
        <f>'Necesidades Trimestrales (2)'!AT108</f>
        <v>2778</v>
      </c>
      <c r="K67" s="68">
        <f>'Necesidades Trimestrales (2)'!AS108</f>
        <v>10</v>
      </c>
      <c r="L67" s="167">
        <f t="shared" si="1"/>
        <v>27780</v>
      </c>
      <c r="M67" s="53">
        <f t="shared" si="2"/>
        <v>27780</v>
      </c>
    </row>
    <row r="68" spans="1:13" ht="15" x14ac:dyDescent="0.2">
      <c r="A68" s="63">
        <v>57</v>
      </c>
      <c r="B68" s="78"/>
      <c r="C68" s="149" t="str">
        <f>'Necesidades Trimestrales (2)'!E109</f>
        <v>PROTEINAS TOTALES COBAS C311 X 300 DET. TIPO ROCHE</v>
      </c>
      <c r="D68" s="76"/>
      <c r="E68" s="76"/>
      <c r="F68" s="76"/>
      <c r="G68" s="77"/>
      <c r="H68" s="65" t="s">
        <v>223</v>
      </c>
      <c r="I68" s="66" t="str">
        <f>'Necesidades Trimestrales (2)'!F109</f>
        <v>UNIDAD</v>
      </c>
      <c r="J68" s="67">
        <f>'Necesidades Trimestrales (2)'!AT109</f>
        <v>1756</v>
      </c>
      <c r="K68" s="68">
        <f>'Necesidades Trimestrales (2)'!AS109</f>
        <v>12</v>
      </c>
      <c r="L68" s="167">
        <f t="shared" si="1"/>
        <v>21072</v>
      </c>
      <c r="M68" s="53">
        <f t="shared" si="2"/>
        <v>21072</v>
      </c>
    </row>
    <row r="69" spans="1:13" ht="15" x14ac:dyDescent="0.2">
      <c r="A69" s="63">
        <v>58</v>
      </c>
      <c r="B69" s="78"/>
      <c r="C69" s="149" t="str">
        <f>'Necesidades Trimestrales (2)'!E110</f>
        <v>Proti 2 140 Det (Biuret 500 M+Alb 500+Sp) Tipo WIENER</v>
      </c>
      <c r="D69" s="76"/>
      <c r="E69" s="76"/>
      <c r="F69" s="76"/>
      <c r="G69" s="77"/>
      <c r="H69" s="65" t="s">
        <v>223</v>
      </c>
      <c r="I69" s="66" t="str">
        <f>'Necesidades Trimestrales (2)'!F110</f>
        <v>unidad</v>
      </c>
      <c r="J69" s="67">
        <f>'Necesidades Trimestrales (2)'!AT110</f>
        <v>2811</v>
      </c>
      <c r="K69" s="68">
        <f>'Necesidades Trimestrales (2)'!AS110</f>
        <v>10</v>
      </c>
      <c r="L69" s="167">
        <f t="shared" si="1"/>
        <v>28110</v>
      </c>
      <c r="M69" s="53">
        <f t="shared" si="2"/>
        <v>28110</v>
      </c>
    </row>
    <row r="70" spans="1:13" ht="15" x14ac:dyDescent="0.2">
      <c r="A70" s="63">
        <v>59</v>
      </c>
      <c r="B70" s="78"/>
      <c r="C70" s="149" t="str">
        <f>'Necesidades Trimestrales (2)'!E111</f>
        <v>S1 RINSE SOLUCION COBAS B221 2X 1800 ML X 2 UNIDADES TIPO ROCHE</v>
      </c>
      <c r="D70" s="76"/>
      <c r="E70" s="76"/>
      <c r="F70" s="76"/>
      <c r="G70" s="77"/>
      <c r="H70" s="65" t="s">
        <v>223</v>
      </c>
      <c r="I70" s="66" t="str">
        <f>'Necesidades Trimestrales (2)'!F111</f>
        <v>CAJA</v>
      </c>
      <c r="J70" s="67">
        <f>'Necesidades Trimestrales (2)'!AT111</f>
        <v>28007</v>
      </c>
      <c r="K70" s="68">
        <f>'Necesidades Trimestrales (2)'!AS111</f>
        <v>10</v>
      </c>
      <c r="L70" s="167">
        <f t="shared" si="1"/>
        <v>280070</v>
      </c>
      <c r="M70" s="53">
        <f t="shared" si="2"/>
        <v>280070</v>
      </c>
    </row>
    <row r="71" spans="1:13" ht="15" x14ac:dyDescent="0.2">
      <c r="A71" s="63">
        <v>60</v>
      </c>
      <c r="B71" s="78"/>
      <c r="C71" s="149" t="str">
        <f>'Necesidades Trimestrales (2)'!E112</f>
        <v>S2 FLUIDO PACK COBAS B221  TIPO ROCHE</v>
      </c>
      <c r="D71" s="76"/>
      <c r="E71" s="76"/>
      <c r="F71" s="76"/>
      <c r="G71" s="77"/>
      <c r="H71" s="65" t="s">
        <v>223</v>
      </c>
      <c r="I71" s="66" t="str">
        <f>'Necesidades Trimestrales (2)'!F112</f>
        <v>UNIDAD</v>
      </c>
      <c r="J71" s="67">
        <f>'Necesidades Trimestrales (2)'!AT112</f>
        <v>45919</v>
      </c>
      <c r="K71" s="68">
        <f>'Necesidades Trimestrales (2)'!AS112</f>
        <v>20</v>
      </c>
      <c r="L71" s="167">
        <f t="shared" si="1"/>
        <v>918380</v>
      </c>
      <c r="M71" s="53">
        <f t="shared" si="2"/>
        <v>918380</v>
      </c>
    </row>
    <row r="72" spans="1:13" ht="15" x14ac:dyDescent="0.2">
      <c r="A72" s="63">
        <v>61</v>
      </c>
      <c r="B72" s="78"/>
      <c r="C72" s="149" t="str">
        <f>'Necesidades Trimestrales (2)'!E113</f>
        <v>Sangre Agar (Columbia) 10 Placas Tipo BRITANIA</v>
      </c>
      <c r="D72" s="76"/>
      <c r="E72" s="76"/>
      <c r="F72" s="76"/>
      <c r="G72" s="77"/>
      <c r="H72" s="65" t="s">
        <v>223</v>
      </c>
      <c r="I72" s="66" t="str">
        <f>'Necesidades Trimestrales (2)'!F113</f>
        <v>unidad</v>
      </c>
      <c r="J72" s="67">
        <f>'Necesidades Trimestrales (2)'!AT113</f>
        <v>1695</v>
      </c>
      <c r="K72" s="68">
        <f>'Necesidades Trimestrales (2)'!AS113</f>
        <v>30</v>
      </c>
      <c r="L72" s="167">
        <f t="shared" si="1"/>
        <v>50850</v>
      </c>
      <c r="M72" s="53">
        <f t="shared" si="2"/>
        <v>50850</v>
      </c>
    </row>
    <row r="73" spans="1:13" ht="15" x14ac:dyDescent="0.2">
      <c r="A73" s="63">
        <v>62</v>
      </c>
      <c r="B73" s="78"/>
      <c r="C73" s="149" t="str">
        <f>'Necesidades Trimestrales (2)'!E119</f>
        <v>Soluplastin 10x2 Ml 100 Det Tipo WIENER</v>
      </c>
      <c r="D73" s="76"/>
      <c r="E73" s="76"/>
      <c r="F73" s="76"/>
      <c r="G73" s="77"/>
      <c r="H73" s="65" t="s">
        <v>223</v>
      </c>
      <c r="I73" s="66" t="str">
        <f>'Necesidades Trimestrales (2)'!F119</f>
        <v>unidad</v>
      </c>
      <c r="J73" s="67">
        <f>'Necesidades Trimestrales (2)'!AT119</f>
        <v>4725</v>
      </c>
      <c r="K73" s="68">
        <f>'Necesidades Trimestrales (2)'!AS119</f>
        <v>40</v>
      </c>
      <c r="L73" s="167">
        <f t="shared" si="1"/>
        <v>189000</v>
      </c>
      <c r="M73" s="53">
        <f t="shared" si="2"/>
        <v>189000</v>
      </c>
    </row>
    <row r="74" spans="1:13" ht="15" x14ac:dyDescent="0.2">
      <c r="A74" s="63">
        <v>63</v>
      </c>
      <c r="B74" s="78"/>
      <c r="C74" s="149" t="str">
        <f>'Necesidades Trimestrales (2)'!E121</f>
        <v>Standartrol S-E 2 Nivel 3 Fr x 5 Ml N1+3 Fr Tipo WIENER</v>
      </c>
      <c r="D74" s="76"/>
      <c r="E74" s="76"/>
      <c r="F74" s="76"/>
      <c r="G74" s="77"/>
      <c r="H74" s="65" t="s">
        <v>223</v>
      </c>
      <c r="I74" s="66" t="str">
        <f>'Necesidades Trimestrales (2)'!F121</f>
        <v>unidad</v>
      </c>
      <c r="J74" s="67">
        <f>'Necesidades Trimestrales (2)'!AT121</f>
        <v>10745</v>
      </c>
      <c r="K74" s="68">
        <f>'Necesidades Trimestrales (2)'!AS121</f>
        <v>10</v>
      </c>
      <c r="L74" s="167">
        <f t="shared" si="1"/>
        <v>107450</v>
      </c>
      <c r="M74" s="53">
        <f t="shared" si="2"/>
        <v>107450</v>
      </c>
    </row>
    <row r="75" spans="1:13" ht="15" x14ac:dyDescent="0.2">
      <c r="A75" s="63">
        <v>64</v>
      </c>
      <c r="B75" s="78"/>
      <c r="C75" s="149" t="str">
        <f>'Necesidades Trimestrales (2)'!E122</f>
        <v>Strepto B x 20 Placas Tipo BIOMERIEUX</v>
      </c>
      <c r="D75" s="76"/>
      <c r="E75" s="76"/>
      <c r="F75" s="76"/>
      <c r="G75" s="77"/>
      <c r="H75" s="65" t="s">
        <v>223</v>
      </c>
      <c r="I75" s="66" t="str">
        <f>'Necesidades Trimestrales (2)'!F122</f>
        <v>unidad</v>
      </c>
      <c r="J75" s="67">
        <f>'Necesidades Trimestrales (2)'!AT122</f>
        <v>6900</v>
      </c>
      <c r="K75" s="68">
        <f>'Necesidades Trimestrales (2)'!AS122</f>
        <v>20</v>
      </c>
      <c r="L75" s="167">
        <f t="shared" si="1"/>
        <v>138000</v>
      </c>
      <c r="M75" s="53">
        <f t="shared" si="2"/>
        <v>138000</v>
      </c>
    </row>
    <row r="76" spans="1:13" ht="15" x14ac:dyDescent="0.2">
      <c r="A76" s="63">
        <v>65</v>
      </c>
      <c r="B76" s="78"/>
      <c r="C76" s="149" t="str">
        <f>'Necesidades Trimestrales (2)'!E123</f>
        <v>STROMATROLYSER 4DL XS 1000 TIPO  SYSMEX 5 L</v>
      </c>
      <c r="D76" s="76"/>
      <c r="E76" s="76"/>
      <c r="F76" s="76"/>
      <c r="G76" s="77"/>
      <c r="H76" s="65" t="s">
        <v>223</v>
      </c>
      <c r="I76" s="66" t="str">
        <f>'Necesidades Trimestrales (2)'!F123</f>
        <v>UNIDAD</v>
      </c>
      <c r="J76" s="67">
        <f>'Necesidades Trimestrales (2)'!AT123</f>
        <v>22919</v>
      </c>
      <c r="K76" s="68">
        <f>'Necesidades Trimestrales (2)'!AS123</f>
        <v>10</v>
      </c>
      <c r="L76" s="167">
        <f t="shared" si="1"/>
        <v>229190</v>
      </c>
      <c r="M76" s="53">
        <f t="shared" si="2"/>
        <v>229190</v>
      </c>
    </row>
    <row r="77" spans="1:13" ht="15" x14ac:dyDescent="0.2">
      <c r="A77" s="63">
        <v>66</v>
      </c>
      <c r="B77" s="78"/>
      <c r="C77" s="149" t="str">
        <f>'Necesidades Trimestrales (2)'!E128</f>
        <v>Tg Color Gpo/Pap AA LL 400 Ml (4x100 Ml) Tipo WIENER</v>
      </c>
      <c r="D77" s="76"/>
      <c r="E77" s="76"/>
      <c r="F77" s="76"/>
      <c r="G77" s="77"/>
      <c r="H77" s="65" t="s">
        <v>223</v>
      </c>
      <c r="I77" s="66" t="str">
        <f>'Necesidades Trimestrales (2)'!F128</f>
        <v>unidad</v>
      </c>
      <c r="J77" s="67">
        <f>'Necesidades Trimestrales (2)'!AT128</f>
        <v>9190</v>
      </c>
      <c r="K77" s="68">
        <f>'Necesidades Trimestrales (2)'!AS128</f>
        <v>30</v>
      </c>
      <c r="L77" s="167">
        <f t="shared" ref="L77:L91" si="3">+J77*K77</f>
        <v>275700</v>
      </c>
      <c r="M77" s="53">
        <f t="shared" si="2"/>
        <v>275700</v>
      </c>
    </row>
    <row r="78" spans="1:13" ht="15" x14ac:dyDescent="0.2">
      <c r="A78" s="63">
        <v>67</v>
      </c>
      <c r="B78" s="78"/>
      <c r="C78" s="149" t="str">
        <f>'Necesidades Trimestrales (2)'!E130</f>
        <v>Toxo IgG MINIVIDAS Tipo BIOMERIEUX</v>
      </c>
      <c r="D78" s="76"/>
      <c r="E78" s="76"/>
      <c r="F78" s="76"/>
      <c r="G78" s="77"/>
      <c r="H78" s="65" t="s">
        <v>223</v>
      </c>
      <c r="I78" s="66" t="str">
        <f>'Necesidades Trimestrales (2)'!F130</f>
        <v>unidad</v>
      </c>
      <c r="J78" s="67">
        <f>'Necesidades Trimestrales (2)'!AT130</f>
        <v>21400</v>
      </c>
      <c r="K78" s="68">
        <f>'Necesidades Trimestrales (2)'!AS130</f>
        <v>5</v>
      </c>
      <c r="L78" s="167">
        <f t="shared" si="3"/>
        <v>107000</v>
      </c>
      <c r="M78" s="53">
        <f t="shared" si="2"/>
        <v>107000</v>
      </c>
    </row>
    <row r="79" spans="1:13" ht="15" x14ac:dyDescent="0.2">
      <c r="A79" s="63">
        <v>68</v>
      </c>
      <c r="B79" s="78"/>
      <c r="C79" s="149" t="str">
        <f>'Necesidades Trimestrales (2)'!E131</f>
        <v>Toxo IgM MINIVIDAS Tipo BIOMERIEUX</v>
      </c>
      <c r="D79" s="76"/>
      <c r="E79" s="76"/>
      <c r="F79" s="76"/>
      <c r="G79" s="77"/>
      <c r="H79" s="65" t="s">
        <v>223</v>
      </c>
      <c r="I79" s="66" t="str">
        <f>'Necesidades Trimestrales (2)'!F131</f>
        <v>unidad</v>
      </c>
      <c r="J79" s="67">
        <f>'Necesidades Trimestrales (2)'!AT131</f>
        <v>23800</v>
      </c>
      <c r="K79" s="68">
        <f>'Necesidades Trimestrales (2)'!AS131</f>
        <v>5</v>
      </c>
      <c r="L79" s="167">
        <f t="shared" si="3"/>
        <v>119000</v>
      </c>
      <c r="M79" s="53">
        <f t="shared" si="2"/>
        <v>119000</v>
      </c>
    </row>
    <row r="80" spans="1:13" ht="15" x14ac:dyDescent="0.2">
      <c r="A80" s="63">
        <v>69</v>
      </c>
      <c r="B80" s="78"/>
      <c r="C80" s="149" t="str">
        <f>'Necesidades Trimestrales (2)'!E132</f>
        <v>TOXOPLASMOSIS HAI Tipo POLICHACO</v>
      </c>
      <c r="D80" s="76"/>
      <c r="E80" s="76"/>
      <c r="F80" s="76"/>
      <c r="G80" s="77"/>
      <c r="H80" s="65" t="s">
        <v>223</v>
      </c>
      <c r="I80" s="66" t="str">
        <f>'Necesidades Trimestrales (2)'!F132</f>
        <v>unidad</v>
      </c>
      <c r="J80" s="67">
        <f>'Necesidades Trimestrales (2)'!AT132</f>
        <v>18820</v>
      </c>
      <c r="K80" s="68">
        <f>'Necesidades Trimestrales (2)'!AS132</f>
        <v>20</v>
      </c>
      <c r="L80" s="167">
        <f t="shared" si="3"/>
        <v>376400</v>
      </c>
      <c r="M80" s="53">
        <f t="shared" si="2"/>
        <v>376400</v>
      </c>
    </row>
    <row r="81" spans="1:13" ht="15" x14ac:dyDescent="0.2">
      <c r="A81" s="63">
        <v>70</v>
      </c>
      <c r="B81" s="78"/>
      <c r="C81" s="149" t="str">
        <f>'Necesidades Trimestrales (2)'!E134</f>
        <v>TROBOPLASTINA -S Tipo HEMO MEDICA (USA)</v>
      </c>
      <c r="D81" s="76"/>
      <c r="E81" s="76"/>
      <c r="F81" s="76"/>
      <c r="G81" s="77"/>
      <c r="H81" s="65" t="s">
        <v>223</v>
      </c>
      <c r="I81" s="66" t="str">
        <f>'Necesidades Trimestrales (2)'!F134</f>
        <v>unidad</v>
      </c>
      <c r="J81" s="67">
        <f>'Necesidades Trimestrales (2)'!AT134</f>
        <v>5902</v>
      </c>
      <c r="K81" s="68">
        <f>'Necesidades Trimestrales (2)'!AS134</f>
        <v>20</v>
      </c>
      <c r="L81" s="167">
        <f t="shared" si="3"/>
        <v>118040</v>
      </c>
      <c r="M81" s="53">
        <f t="shared" si="2"/>
        <v>118040</v>
      </c>
    </row>
    <row r="82" spans="1:13" ht="15" x14ac:dyDescent="0.2">
      <c r="A82" s="63">
        <v>71</v>
      </c>
      <c r="B82" s="78"/>
      <c r="C82" s="149" t="str">
        <f>'Necesidades Trimestrales (2)'!E135</f>
        <v>Urea UV Cinetica liquidaTipo WIENER</v>
      </c>
      <c r="D82" s="76"/>
      <c r="E82" s="76"/>
      <c r="F82" s="76"/>
      <c r="G82" s="77"/>
      <c r="H82" s="65" t="s">
        <v>223</v>
      </c>
      <c r="I82" s="66" t="str">
        <f>'Necesidades Trimestrales (2)'!F135</f>
        <v>unidad</v>
      </c>
      <c r="J82" s="67">
        <f>'Necesidades Trimestrales (2)'!AT135</f>
        <v>13812</v>
      </c>
      <c r="K82" s="68">
        <f>'Necesidades Trimestrales (2)'!AS135</f>
        <v>10</v>
      </c>
      <c r="L82" s="167">
        <f t="shared" si="3"/>
        <v>138120</v>
      </c>
      <c r="M82" s="53">
        <f t="shared" si="2"/>
        <v>138120</v>
      </c>
    </row>
    <row r="83" spans="1:13" ht="15" x14ac:dyDescent="0.2">
      <c r="A83" s="63">
        <v>72</v>
      </c>
      <c r="B83" s="78"/>
      <c r="C83" s="149" t="str">
        <f>'Necesidades Trimestrales (2)'!E136</f>
        <v>Uricostat Enzimatico AA LL 250 Ml Tipo WIENER</v>
      </c>
      <c r="D83" s="76"/>
      <c r="E83" s="76"/>
      <c r="F83" s="76"/>
      <c r="G83" s="77"/>
      <c r="H83" s="65" t="s">
        <v>223</v>
      </c>
      <c r="I83" s="66" t="str">
        <f>'Necesidades Trimestrales (2)'!F136</f>
        <v>unidad</v>
      </c>
      <c r="J83" s="67">
        <f>'Necesidades Trimestrales (2)'!AT136</f>
        <v>3388</v>
      </c>
      <c r="K83" s="68">
        <f>'Necesidades Trimestrales (2)'!AS136</f>
        <v>20</v>
      </c>
      <c r="L83" s="167">
        <f t="shared" si="3"/>
        <v>67760</v>
      </c>
      <c r="M83" s="53">
        <f t="shared" si="2"/>
        <v>67760</v>
      </c>
    </row>
    <row r="84" spans="1:13" ht="15" x14ac:dyDescent="0.2">
      <c r="A84" s="63">
        <v>73</v>
      </c>
      <c r="B84" s="78"/>
      <c r="C84" s="149" t="str">
        <f>'Necesidades Trimestrales (2)'!E137</f>
        <v>Urine Strip 100 Tiras Tipo WIENER</v>
      </c>
      <c r="D84" s="76"/>
      <c r="E84" s="76"/>
      <c r="F84" s="76"/>
      <c r="G84" s="77"/>
      <c r="H84" s="65" t="s">
        <v>223</v>
      </c>
      <c r="I84" s="66" t="str">
        <f>'Necesidades Trimestrales (2)'!F137</f>
        <v>unidad</v>
      </c>
      <c r="J84" s="67">
        <f>'Necesidades Trimestrales (2)'!AT137</f>
        <v>1647</v>
      </c>
      <c r="K84" s="68">
        <f>'Necesidades Trimestrales (2)'!AS137</f>
        <v>200</v>
      </c>
      <c r="L84" s="167">
        <f t="shared" si="3"/>
        <v>329400</v>
      </c>
      <c r="M84" s="53">
        <f t="shared" si="2"/>
        <v>329400</v>
      </c>
    </row>
    <row r="85" spans="1:13" ht="15" x14ac:dyDescent="0.2">
      <c r="A85" s="63">
        <v>74</v>
      </c>
      <c r="B85" s="78"/>
      <c r="C85" s="149" t="str">
        <f>'Necesidades Trimestrales (2)'!E138</f>
        <v>VDRL Test 250 Det Tipo WIENER</v>
      </c>
      <c r="D85" s="76"/>
      <c r="E85" s="76"/>
      <c r="F85" s="76"/>
      <c r="G85" s="77"/>
      <c r="H85" s="65" t="s">
        <v>223</v>
      </c>
      <c r="I85" s="66" t="str">
        <f>'Necesidades Trimestrales (2)'!F138</f>
        <v>unidad</v>
      </c>
      <c r="J85" s="67">
        <f>'Necesidades Trimestrales (2)'!AT138</f>
        <v>1822</v>
      </c>
      <c r="K85" s="68">
        <v>50</v>
      </c>
      <c r="L85" s="167">
        <f t="shared" si="3"/>
        <v>91100</v>
      </c>
      <c r="M85" s="53">
        <f t="shared" ref="M85:M91" si="4">+J85*K85</f>
        <v>91100</v>
      </c>
    </row>
    <row r="86" spans="1:13" ht="15" x14ac:dyDescent="0.2">
      <c r="A86" s="63">
        <v>75</v>
      </c>
      <c r="B86" s="78"/>
      <c r="C86" s="149" t="str">
        <f>'Necesidades Trimestrales (2)'!E139</f>
        <v>W19 Rinse Counter 20 L Tipo WIENER</v>
      </c>
      <c r="D86" s="76"/>
      <c r="E86" s="76"/>
      <c r="F86" s="76"/>
      <c r="G86" s="77"/>
      <c r="H86" s="65" t="s">
        <v>223</v>
      </c>
      <c r="I86" s="66" t="str">
        <f>'Necesidades Trimestrales (2)'!F139</f>
        <v>unidad</v>
      </c>
      <c r="J86" s="67">
        <f>'Necesidades Trimestrales (2)'!AT139</f>
        <v>16338</v>
      </c>
      <c r="K86" s="68">
        <f>'Necesidades Trimestrales (2)'!AS139</f>
        <v>15</v>
      </c>
      <c r="L86" s="167">
        <f t="shared" si="3"/>
        <v>245070</v>
      </c>
      <c r="M86" s="53">
        <f t="shared" si="4"/>
        <v>245070</v>
      </c>
    </row>
    <row r="87" spans="1:13" ht="15" x14ac:dyDescent="0.2">
      <c r="A87" s="63">
        <v>76</v>
      </c>
      <c r="B87" s="78"/>
      <c r="C87" s="149" t="str">
        <f>'Necesidades Trimestrales (2)'!E140</f>
        <v>Wl 19 Control AA 3 Niveles 3x3 Ml (Bajo-Normal-Alto) Tipo WIENER</v>
      </c>
      <c r="D87" s="76"/>
      <c r="E87" s="76"/>
      <c r="F87" s="76"/>
      <c r="G87" s="77"/>
      <c r="H87" s="65" t="s">
        <v>223</v>
      </c>
      <c r="I87" s="66" t="str">
        <f>'Necesidades Trimestrales (2)'!F140</f>
        <v>unidad</v>
      </c>
      <c r="J87" s="67">
        <f>'Necesidades Trimestrales (2)'!AT140</f>
        <v>8894</v>
      </c>
      <c r="K87" s="68">
        <f>'Necesidades Trimestrales (2)'!AS140</f>
        <v>9</v>
      </c>
      <c r="L87" s="167">
        <f t="shared" si="3"/>
        <v>80046</v>
      </c>
      <c r="M87" s="53">
        <f t="shared" si="4"/>
        <v>80046</v>
      </c>
    </row>
    <row r="88" spans="1:13" ht="15" x14ac:dyDescent="0.2">
      <c r="A88" s="63">
        <v>77</v>
      </c>
      <c r="B88" s="78"/>
      <c r="C88" s="149" t="str">
        <f>'Necesidades Trimestrales (2)'!E141</f>
        <v>Wl 19 Probe Cleanser AA 20 Ml Tipo WIENER</v>
      </c>
      <c r="D88" s="76"/>
      <c r="E88" s="76"/>
      <c r="F88" s="76"/>
      <c r="G88" s="77"/>
      <c r="H88" s="65" t="s">
        <v>223</v>
      </c>
      <c r="I88" s="66" t="str">
        <f>'Necesidades Trimestrales (2)'!F141</f>
        <v>unidad</v>
      </c>
      <c r="J88" s="67">
        <f>'Necesidades Trimestrales (2)'!AT141</f>
        <v>588</v>
      </c>
      <c r="K88" s="68">
        <f>'Necesidades Trimestrales (2)'!AS141</f>
        <v>20</v>
      </c>
      <c r="L88" s="167">
        <f t="shared" si="3"/>
        <v>11760</v>
      </c>
      <c r="M88" s="53">
        <f t="shared" si="4"/>
        <v>11760</v>
      </c>
    </row>
    <row r="89" spans="1:13" ht="15" x14ac:dyDescent="0.2">
      <c r="A89" s="63">
        <v>78</v>
      </c>
      <c r="B89" s="78"/>
      <c r="C89" s="149" t="str">
        <f>'Necesidades Trimestrales (2)'!E142</f>
        <v>Wl19 Diluent AA 20 Litros Tipo WIENER</v>
      </c>
      <c r="D89" s="76"/>
      <c r="E89" s="76"/>
      <c r="F89" s="76"/>
      <c r="G89" s="77"/>
      <c r="H89" s="65" t="s">
        <v>223</v>
      </c>
      <c r="I89" s="66" t="str">
        <f>'Necesidades Trimestrales (2)'!F142</f>
        <v>unidad</v>
      </c>
      <c r="J89" s="67">
        <f>'Necesidades Trimestrales (2)'!AT142</f>
        <v>7189</v>
      </c>
      <c r="K89" s="68">
        <f>'Necesidades Trimestrales (2)'!AS142</f>
        <v>30</v>
      </c>
      <c r="L89" s="167">
        <f t="shared" si="3"/>
        <v>215670</v>
      </c>
      <c r="M89" s="53">
        <f t="shared" si="4"/>
        <v>215670</v>
      </c>
    </row>
    <row r="90" spans="1:13" ht="15" x14ac:dyDescent="0.2">
      <c r="A90" s="63">
        <v>79</v>
      </c>
      <c r="B90" s="78"/>
      <c r="C90" s="149" t="str">
        <f>'Necesidades Trimestrales (2)'!E143</f>
        <v>Wl19 E-Z Cleanser AA 100 Ml Tipo WIENER</v>
      </c>
      <c r="D90" s="76"/>
      <c r="E90" s="76"/>
      <c r="F90" s="76"/>
      <c r="G90" s="77"/>
      <c r="H90" s="65" t="s">
        <v>223</v>
      </c>
      <c r="I90" s="66" t="str">
        <f>'Necesidades Trimestrales (2)'!F143</f>
        <v>unidad</v>
      </c>
      <c r="J90" s="67">
        <f>'Necesidades Trimestrales (2)'!AT143</f>
        <v>8168</v>
      </c>
      <c r="K90" s="68">
        <f>'Necesidades Trimestrales (2)'!AS143</f>
        <v>30</v>
      </c>
      <c r="L90" s="167">
        <f t="shared" si="3"/>
        <v>245040</v>
      </c>
      <c r="M90" s="53">
        <f t="shared" si="4"/>
        <v>245040</v>
      </c>
    </row>
    <row r="91" spans="1:13" ht="15" x14ac:dyDescent="0.2">
      <c r="A91" s="63">
        <v>80</v>
      </c>
      <c r="B91" s="78"/>
      <c r="C91" s="149" t="str">
        <f>'Necesidades Trimestrales (2)'!E144</f>
        <v>Wl19 Lyse AA 500 Ml Tipo WIENER</v>
      </c>
      <c r="D91" s="76"/>
      <c r="E91" s="76"/>
      <c r="F91" s="76"/>
      <c r="G91" s="77"/>
      <c r="H91" s="65" t="s">
        <v>223</v>
      </c>
      <c r="I91" s="66" t="str">
        <f>'Necesidades Trimestrales (2)'!F144</f>
        <v>unidad</v>
      </c>
      <c r="J91" s="67">
        <f>'Necesidades Trimestrales (2)'!AT144</f>
        <v>6100</v>
      </c>
      <c r="K91" s="68">
        <f>'Necesidades Trimestrales (2)'!AS144</f>
        <v>20</v>
      </c>
      <c r="L91" s="167">
        <f t="shared" si="3"/>
        <v>122000</v>
      </c>
      <c r="M91" s="53">
        <f t="shared" si="4"/>
        <v>122000</v>
      </c>
    </row>
    <row r="92" spans="1:13" ht="15.75" thickBot="1" x14ac:dyDescent="0.25">
      <c r="A92" s="79"/>
      <c r="B92" s="80"/>
      <c r="C92" s="81"/>
      <c r="D92" s="82"/>
      <c r="E92" s="82"/>
      <c r="F92" s="82"/>
      <c r="G92" s="83"/>
      <c r="H92" s="84"/>
      <c r="I92" s="85"/>
      <c r="J92" s="86"/>
      <c r="K92" s="87"/>
      <c r="M92" s="53"/>
    </row>
    <row r="93" spans="1:13" ht="13.5" thickBot="1" x14ac:dyDescent="0.25">
      <c r="A93" s="313" t="s">
        <v>264</v>
      </c>
      <c r="B93" s="314"/>
      <c r="C93" s="314"/>
      <c r="D93" s="314"/>
      <c r="E93" s="314"/>
      <c r="F93" s="314"/>
      <c r="G93" s="314"/>
      <c r="H93" s="314"/>
      <c r="I93" s="315"/>
      <c r="J93" s="316">
        <f>SUM(L12:L91)</f>
        <v>14972267</v>
      </c>
      <c r="K93" s="317"/>
      <c r="M93" s="53">
        <f>SUM(M12:M92)</f>
        <v>14972267</v>
      </c>
    </row>
  </sheetData>
  <mergeCells count="18">
    <mergeCell ref="A93:I93"/>
    <mergeCell ref="J93:K93"/>
    <mergeCell ref="A8:C8"/>
    <mergeCell ref="D8:K8"/>
    <mergeCell ref="A10:A11"/>
    <mergeCell ref="B10:B11"/>
    <mergeCell ref="C10:G11"/>
    <mergeCell ref="H10:H11"/>
    <mergeCell ref="I10:I11"/>
    <mergeCell ref="J10:J11"/>
    <mergeCell ref="K10:K11"/>
    <mergeCell ref="A7:C7"/>
    <mergeCell ref="D7:K7"/>
    <mergeCell ref="A1:I1"/>
    <mergeCell ref="A3:C3"/>
    <mergeCell ref="A4:C4"/>
    <mergeCell ref="A5:C5"/>
    <mergeCell ref="A6:C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7"/>
  <sheetViews>
    <sheetView topLeftCell="A13" workbookViewId="0">
      <selection activeCell="D43" sqref="D43"/>
    </sheetView>
  </sheetViews>
  <sheetFormatPr baseColWidth="10" defaultRowHeight="12.75" x14ac:dyDescent="0.2"/>
  <cols>
    <col min="1" max="5" width="4.42578125" customWidth="1"/>
    <col min="6" max="6" width="5.5703125" customWidth="1"/>
    <col min="7" max="14" width="4.42578125" customWidth="1"/>
    <col min="15" max="16" width="14.85546875" customWidth="1"/>
    <col min="17" max="17" width="17.7109375" customWidth="1"/>
  </cols>
  <sheetData>
    <row r="1" spans="1:17" ht="18.75" customHeight="1" thickBot="1" x14ac:dyDescent="0.3">
      <c r="A1" s="331" t="s">
        <v>2</v>
      </c>
      <c r="B1" s="331"/>
      <c r="C1" s="331"/>
      <c r="D1" s="332">
        <v>2021</v>
      </c>
      <c r="E1" s="332"/>
      <c r="F1" s="88"/>
      <c r="G1" s="88"/>
      <c r="H1" s="89"/>
      <c r="I1" s="89"/>
      <c r="J1" s="89"/>
      <c r="K1" s="89"/>
      <c r="L1" s="89"/>
      <c r="M1" s="89"/>
      <c r="N1" s="89"/>
      <c r="O1" s="90"/>
      <c r="P1" s="333" t="s">
        <v>224</v>
      </c>
      <c r="Q1" s="333"/>
    </row>
    <row r="2" spans="1:17" ht="18.75" customHeight="1" thickBot="1" x14ac:dyDescent="0.25">
      <c r="A2" s="90"/>
      <c r="B2" s="90"/>
      <c r="C2" s="90"/>
      <c r="D2" s="90"/>
      <c r="E2" s="90"/>
      <c r="F2" s="90"/>
      <c r="G2" s="91"/>
      <c r="H2" s="89"/>
      <c r="I2" s="89"/>
      <c r="J2" s="89"/>
      <c r="K2" s="89"/>
      <c r="L2" s="89"/>
      <c r="M2" s="89"/>
      <c r="N2" s="89"/>
      <c r="O2" s="90"/>
      <c r="P2" s="333"/>
      <c r="Q2" s="333"/>
    </row>
    <row r="3" spans="1:17" ht="18.75" customHeight="1" thickBot="1" x14ac:dyDescent="0.25">
      <c r="A3" s="90"/>
      <c r="B3" s="90"/>
      <c r="C3" s="90"/>
      <c r="D3" s="90"/>
      <c r="E3" s="90"/>
      <c r="F3" s="90"/>
      <c r="G3" s="91"/>
      <c r="H3" s="90"/>
      <c r="I3" s="90"/>
      <c r="J3" s="90"/>
      <c r="K3" s="90"/>
      <c r="L3" s="90"/>
      <c r="M3" s="90"/>
      <c r="N3" s="90"/>
      <c r="O3" s="90"/>
      <c r="P3" s="90"/>
      <c r="Q3" s="90"/>
    </row>
    <row r="4" spans="1:17" ht="18.75" customHeight="1" thickBot="1" x14ac:dyDescent="0.25">
      <c r="A4" s="334" t="s">
        <v>225</v>
      </c>
      <c r="B4" s="334"/>
      <c r="C4" s="334"/>
      <c r="D4" s="334"/>
      <c r="E4" s="334"/>
      <c r="F4" s="334"/>
      <c r="G4" s="92" t="str">
        <f>'lab centr'!D3</f>
        <v>040 - Ministerio de Salud</v>
      </c>
      <c r="H4" s="93"/>
      <c r="I4" s="93"/>
      <c r="J4" s="93"/>
      <c r="K4" s="93"/>
      <c r="L4" s="93"/>
      <c r="M4" s="93"/>
      <c r="N4" s="93"/>
      <c r="O4" s="93"/>
      <c r="P4" s="93"/>
      <c r="Q4" s="94"/>
    </row>
    <row r="5" spans="1:17" ht="18.75" customHeight="1" thickBot="1" x14ac:dyDescent="0.25">
      <c r="A5" s="328" t="s">
        <v>210</v>
      </c>
      <c r="B5" s="329"/>
      <c r="C5" s="329"/>
      <c r="D5" s="329"/>
      <c r="E5" s="329"/>
      <c r="F5" s="330"/>
      <c r="G5" s="92" t="str">
        <f>'lab centr'!D4</f>
        <v>011 - Direccion Provincial de Administración - Ministerio de Salud</v>
      </c>
      <c r="H5" s="93"/>
      <c r="I5" s="93"/>
      <c r="J5" s="93"/>
      <c r="K5" s="93"/>
      <c r="L5" s="93"/>
      <c r="M5" s="93"/>
      <c r="N5" s="93"/>
      <c r="O5" s="93"/>
      <c r="P5" s="93"/>
      <c r="Q5" s="94"/>
    </row>
    <row r="6" spans="1:17" ht="18.75" customHeight="1" thickBot="1" x14ac:dyDescent="0.25">
      <c r="A6" s="328" t="s">
        <v>212</v>
      </c>
      <c r="B6" s="329"/>
      <c r="C6" s="329"/>
      <c r="D6" s="329"/>
      <c r="E6" s="329"/>
      <c r="F6" s="330"/>
      <c r="G6" s="92" t="str">
        <f>'lab centr'!D5</f>
        <v>468 - DIRECCION PROVINCIAL DE LABORATORIO</v>
      </c>
      <c r="H6" s="93"/>
      <c r="I6" s="93"/>
      <c r="J6" s="93"/>
      <c r="K6" s="93"/>
      <c r="L6" s="93"/>
      <c r="M6" s="93"/>
      <c r="N6" s="93"/>
      <c r="O6" s="93"/>
      <c r="P6" s="93"/>
      <c r="Q6" s="94"/>
    </row>
    <row r="7" spans="1:17" ht="18.75" customHeight="1" thickBot="1" x14ac:dyDescent="0.25">
      <c r="A7" s="328" t="s">
        <v>213</v>
      </c>
      <c r="B7" s="329"/>
      <c r="C7" s="329"/>
      <c r="D7" s="329"/>
      <c r="E7" s="329"/>
      <c r="F7" s="330"/>
      <c r="G7" s="92" t="str">
        <f>'lab centr'!D6</f>
        <v>468 - DIRECCION PROVINCIAL DE LABORATORIO</v>
      </c>
      <c r="H7" s="93"/>
      <c r="I7" s="93"/>
      <c r="J7" s="93"/>
      <c r="K7" s="93"/>
      <c r="L7" s="93"/>
      <c r="M7" s="93"/>
      <c r="N7" s="93"/>
      <c r="O7" s="93"/>
      <c r="P7" s="93"/>
      <c r="Q7" s="94"/>
    </row>
    <row r="8" spans="1:17" ht="18.75" customHeight="1" thickBot="1" x14ac:dyDescent="0.25">
      <c r="A8" s="336" t="s">
        <v>226</v>
      </c>
      <c r="B8" s="336"/>
      <c r="C8" s="336"/>
      <c r="D8" s="336"/>
      <c r="E8" s="336"/>
      <c r="F8" s="336"/>
      <c r="G8" s="336"/>
      <c r="H8" s="336"/>
      <c r="I8" s="336"/>
      <c r="J8" s="336"/>
      <c r="K8" s="336"/>
      <c r="L8" s="336"/>
      <c r="M8" s="336"/>
      <c r="N8" s="336"/>
      <c r="O8" s="336"/>
      <c r="P8" s="336"/>
      <c r="Q8" s="336"/>
    </row>
    <row r="9" spans="1:17" ht="18.75" customHeight="1" x14ac:dyDescent="0.2">
      <c r="A9" s="337" t="s">
        <v>227</v>
      </c>
      <c r="B9" s="337"/>
      <c r="C9" s="337"/>
      <c r="D9" s="337"/>
      <c r="E9" s="337"/>
      <c r="F9" s="337"/>
      <c r="G9" s="337"/>
      <c r="H9" s="337"/>
      <c r="I9" s="337"/>
      <c r="J9" s="337"/>
      <c r="K9" s="337"/>
      <c r="L9" s="337"/>
      <c r="M9" s="337"/>
      <c r="N9" s="337"/>
      <c r="O9" s="95"/>
      <c r="P9" s="95"/>
      <c r="Q9" s="96"/>
    </row>
    <row r="10" spans="1:17" ht="48.75" customHeight="1" x14ac:dyDescent="0.2">
      <c r="A10" s="338" t="s">
        <v>262</v>
      </c>
      <c r="B10" s="339"/>
      <c r="C10" s="339"/>
      <c r="D10" s="339"/>
      <c r="E10" s="339"/>
      <c r="F10" s="339"/>
      <c r="G10" s="339"/>
      <c r="H10" s="339"/>
      <c r="I10" s="339"/>
      <c r="J10" s="339"/>
      <c r="K10" s="339"/>
      <c r="L10" s="339"/>
      <c r="M10" s="339"/>
      <c r="N10" s="339"/>
      <c r="O10" s="339"/>
      <c r="P10" s="339"/>
      <c r="Q10" s="340"/>
    </row>
    <row r="11" spans="1:17" ht="18.75" customHeight="1" thickBot="1" x14ac:dyDescent="0.25">
      <c r="A11" s="97"/>
      <c r="B11" s="98"/>
      <c r="C11" s="98"/>
      <c r="D11" s="98"/>
      <c r="E11" s="98"/>
      <c r="F11" s="98"/>
      <c r="G11" s="99"/>
      <c r="H11" s="98"/>
      <c r="I11" s="98"/>
      <c r="J11" s="98"/>
      <c r="K11" s="98"/>
      <c r="L11" s="98"/>
      <c r="M11" s="98"/>
      <c r="N11" s="98"/>
      <c r="O11" s="98"/>
      <c r="P11" s="98"/>
      <c r="Q11" s="100"/>
    </row>
    <row r="12" spans="1:17" ht="18.75" customHeight="1" thickBot="1" x14ac:dyDescent="0.25">
      <c r="A12" s="341" t="s">
        <v>228</v>
      </c>
      <c r="B12" s="341"/>
      <c r="C12" s="341"/>
      <c r="D12" s="341"/>
      <c r="E12" s="341"/>
      <c r="F12" s="341"/>
      <c r="G12" s="341"/>
      <c r="H12" s="341"/>
      <c r="I12" s="341"/>
      <c r="J12" s="341"/>
      <c r="K12" s="341"/>
      <c r="L12" s="341"/>
      <c r="M12" s="341"/>
      <c r="N12" s="341"/>
      <c r="O12" s="341"/>
      <c r="P12" s="341"/>
      <c r="Q12" s="341"/>
    </row>
    <row r="13" spans="1:17" ht="18.75" customHeight="1" thickBot="1" x14ac:dyDescent="0.25">
      <c r="A13" s="342" t="s">
        <v>229</v>
      </c>
      <c r="B13" s="342"/>
      <c r="C13" s="342"/>
      <c r="D13" s="342"/>
      <c r="E13" s="342"/>
      <c r="F13" s="342"/>
      <c r="G13" s="342"/>
      <c r="H13" s="342"/>
      <c r="I13" s="342"/>
      <c r="J13" s="342"/>
      <c r="K13" s="342"/>
      <c r="L13" s="342"/>
      <c r="M13" s="342"/>
      <c r="N13" s="342"/>
      <c r="O13" s="343" t="s">
        <v>230</v>
      </c>
      <c r="P13" s="343"/>
      <c r="Q13" s="344" t="s">
        <v>231</v>
      </c>
    </row>
    <row r="14" spans="1:17" ht="18.75" customHeight="1" thickBot="1" x14ac:dyDescent="0.25">
      <c r="A14" s="101" t="s">
        <v>232</v>
      </c>
      <c r="B14" s="102" t="s">
        <v>233</v>
      </c>
      <c r="C14" s="102" t="s">
        <v>234</v>
      </c>
      <c r="D14" s="102" t="s">
        <v>235</v>
      </c>
      <c r="E14" s="102" t="s">
        <v>236</v>
      </c>
      <c r="F14" s="102" t="s">
        <v>237</v>
      </c>
      <c r="G14" s="103" t="s">
        <v>238</v>
      </c>
      <c r="H14" s="102" t="s">
        <v>239</v>
      </c>
      <c r="I14" s="102" t="s">
        <v>240</v>
      </c>
      <c r="J14" s="102" t="s">
        <v>241</v>
      </c>
      <c r="K14" s="102" t="s">
        <v>241</v>
      </c>
      <c r="L14" s="102" t="s">
        <v>242</v>
      </c>
      <c r="M14" s="104" t="s">
        <v>243</v>
      </c>
      <c r="N14" s="105" t="s">
        <v>244</v>
      </c>
      <c r="O14" s="343"/>
      <c r="P14" s="343"/>
      <c r="Q14" s="344"/>
    </row>
    <row r="15" spans="1:17" ht="37.5" customHeight="1" x14ac:dyDescent="0.2">
      <c r="A15" s="106">
        <v>62</v>
      </c>
      <c r="B15" s="107"/>
      <c r="C15" s="107"/>
      <c r="D15" s="107">
        <v>1</v>
      </c>
      <c r="E15" s="107"/>
      <c r="F15" s="107">
        <v>4901</v>
      </c>
      <c r="G15" s="107">
        <v>3</v>
      </c>
      <c r="H15" s="107">
        <v>1</v>
      </c>
      <c r="I15" s="108">
        <v>2</v>
      </c>
      <c r="J15" s="108">
        <v>5</v>
      </c>
      <c r="K15" s="108">
        <v>1</v>
      </c>
      <c r="L15" s="107"/>
      <c r="M15" s="109">
        <v>1</v>
      </c>
      <c r="N15" s="110" t="s">
        <v>245</v>
      </c>
      <c r="O15" s="345" t="s">
        <v>251</v>
      </c>
      <c r="P15" s="346"/>
      <c r="Q15" s="111">
        <f>+'Necesidades Trimestrales (2)'!L145</f>
        <v>14972267</v>
      </c>
    </row>
    <row r="16" spans="1:17" ht="18.75" customHeight="1" x14ac:dyDescent="0.2">
      <c r="A16" s="112"/>
      <c r="B16" s="113"/>
      <c r="C16" s="113"/>
      <c r="D16" s="113"/>
      <c r="E16" s="113"/>
      <c r="F16" s="113"/>
      <c r="G16" s="113"/>
      <c r="H16" s="113"/>
      <c r="I16" s="113"/>
      <c r="J16" s="113"/>
      <c r="K16" s="113"/>
      <c r="L16" s="113"/>
      <c r="M16" s="114"/>
      <c r="N16" s="115"/>
      <c r="O16" s="347"/>
      <c r="P16" s="335"/>
      <c r="Q16" s="116"/>
    </row>
    <row r="17" spans="1:17" ht="18.75" customHeight="1" x14ac:dyDescent="0.2">
      <c r="A17" s="112"/>
      <c r="B17" s="113"/>
      <c r="C17" s="113"/>
      <c r="D17" s="113"/>
      <c r="E17" s="113"/>
      <c r="F17" s="115"/>
      <c r="G17" s="113"/>
      <c r="H17" s="113"/>
      <c r="I17" s="113"/>
      <c r="J17" s="113"/>
      <c r="K17" s="113"/>
      <c r="L17" s="113"/>
      <c r="M17" s="114"/>
      <c r="N17" s="115"/>
      <c r="O17" s="347"/>
      <c r="P17" s="335"/>
      <c r="Q17" s="116"/>
    </row>
    <row r="18" spans="1:17" ht="18.75" customHeight="1" x14ac:dyDescent="0.2">
      <c r="A18" s="112"/>
      <c r="B18" s="113"/>
      <c r="C18" s="113"/>
      <c r="D18" s="113"/>
      <c r="E18" s="113"/>
      <c r="F18" s="113"/>
      <c r="G18" s="113"/>
      <c r="H18" s="113"/>
      <c r="I18" s="113"/>
      <c r="J18" s="113"/>
      <c r="K18" s="113"/>
      <c r="L18" s="113"/>
      <c r="M18" s="114"/>
      <c r="N18" s="115"/>
      <c r="O18" s="335"/>
      <c r="P18" s="335"/>
      <c r="Q18" s="116"/>
    </row>
    <row r="19" spans="1:17" ht="18.75" customHeight="1" x14ac:dyDescent="0.2">
      <c r="A19" s="112"/>
      <c r="B19" s="113"/>
      <c r="C19" s="113"/>
      <c r="D19" s="113"/>
      <c r="E19" s="113"/>
      <c r="F19" s="115"/>
      <c r="G19" s="113"/>
      <c r="H19" s="113"/>
      <c r="I19" s="113"/>
      <c r="J19" s="113"/>
      <c r="K19" s="113"/>
      <c r="L19" s="113"/>
      <c r="M19" s="114"/>
      <c r="N19" s="115"/>
      <c r="O19" s="335"/>
      <c r="P19" s="335"/>
      <c r="Q19" s="116"/>
    </row>
    <row r="20" spans="1:17" ht="18.75" customHeight="1" x14ac:dyDescent="0.2">
      <c r="A20" s="112"/>
      <c r="B20" s="113"/>
      <c r="C20" s="113"/>
      <c r="D20" s="113"/>
      <c r="E20" s="113"/>
      <c r="F20" s="115"/>
      <c r="G20" s="113"/>
      <c r="H20" s="113"/>
      <c r="I20" s="113"/>
      <c r="J20" s="113"/>
      <c r="K20" s="113"/>
      <c r="L20" s="113"/>
      <c r="M20" s="114"/>
      <c r="N20" s="115"/>
      <c r="O20" s="335"/>
      <c r="P20" s="335"/>
      <c r="Q20" s="116"/>
    </row>
    <row r="21" spans="1:17" ht="18.75" customHeight="1" x14ac:dyDescent="0.2">
      <c r="A21" s="117"/>
      <c r="B21" s="118"/>
      <c r="C21" s="118"/>
      <c r="D21" s="118"/>
      <c r="E21" s="118"/>
      <c r="F21" s="119"/>
      <c r="G21" s="118"/>
      <c r="H21" s="118"/>
      <c r="I21" s="118"/>
      <c r="J21" s="118"/>
      <c r="K21" s="118"/>
      <c r="L21" s="118"/>
      <c r="M21" s="120"/>
      <c r="N21" s="121"/>
      <c r="O21" s="347"/>
      <c r="P21" s="347"/>
      <c r="Q21" s="116"/>
    </row>
    <row r="22" spans="1:17" ht="18.75" customHeight="1" thickBot="1" x14ac:dyDescent="0.25">
      <c r="A22" s="122"/>
      <c r="B22" s="123"/>
      <c r="C22" s="123"/>
      <c r="D22" s="123"/>
      <c r="E22" s="123"/>
      <c r="F22" s="123"/>
      <c r="G22" s="123"/>
      <c r="H22" s="123"/>
      <c r="I22" s="123"/>
      <c r="J22" s="123"/>
      <c r="K22" s="123"/>
      <c r="L22" s="123"/>
      <c r="M22" s="124"/>
      <c r="N22" s="123"/>
      <c r="O22" s="348"/>
      <c r="P22" s="348"/>
      <c r="Q22" s="125"/>
    </row>
    <row r="23" spans="1:17" ht="37.5" customHeight="1" thickBot="1" x14ac:dyDescent="0.25">
      <c r="A23" s="349" t="s">
        <v>263</v>
      </c>
      <c r="B23" s="349"/>
      <c r="C23" s="349"/>
      <c r="D23" s="349"/>
      <c r="E23" s="349"/>
      <c r="F23" s="349"/>
      <c r="G23" s="349"/>
      <c r="H23" s="349"/>
      <c r="I23" s="349"/>
      <c r="J23" s="349"/>
      <c r="K23" s="349"/>
      <c r="L23" s="349"/>
      <c r="M23" s="349"/>
      <c r="N23" s="349"/>
      <c r="O23" s="349"/>
      <c r="P23" s="349"/>
      <c r="Q23" s="126">
        <f>SUM(Q15:Q22)</f>
        <v>14972267</v>
      </c>
    </row>
    <row r="24" spans="1:17" ht="18.75" customHeight="1" thickBot="1" x14ac:dyDescent="0.25">
      <c r="A24" s="350"/>
      <c r="B24" s="350"/>
      <c r="C24" s="350"/>
      <c r="D24" s="350"/>
      <c r="E24" s="350"/>
      <c r="F24" s="350"/>
      <c r="G24" s="350"/>
      <c r="H24" s="350"/>
      <c r="I24" s="350"/>
      <c r="J24" s="350"/>
      <c r="K24" s="350"/>
      <c r="L24" s="350"/>
      <c r="M24" s="350"/>
      <c r="N24" s="350"/>
      <c r="O24" s="350"/>
      <c r="P24" s="350"/>
      <c r="Q24" s="350"/>
    </row>
    <row r="25" spans="1:17" ht="18.75" customHeight="1" thickBot="1" x14ac:dyDescent="0.25">
      <c r="A25" s="351" t="s">
        <v>246</v>
      </c>
      <c r="B25" s="352"/>
      <c r="C25" s="352"/>
      <c r="D25" s="352"/>
      <c r="E25" s="352"/>
      <c r="F25" s="353"/>
      <c r="G25" s="354"/>
      <c r="H25" s="354"/>
      <c r="I25" s="354"/>
      <c r="J25" s="354"/>
      <c r="K25" s="354"/>
      <c r="L25" s="354"/>
      <c r="M25" s="354"/>
      <c r="N25" s="354"/>
      <c r="O25" s="354"/>
      <c r="P25" s="354"/>
      <c r="Q25" s="354"/>
    </row>
    <row r="26" spans="1:17" ht="18.75" customHeight="1" x14ac:dyDescent="0.2">
      <c r="A26" s="127" t="str">
        <f>'lab centr'!D8</f>
        <v>Adquisicion del  RUBRO REACTIVOS PARA LABORATORIO</v>
      </c>
      <c r="B26" s="128"/>
      <c r="C26" s="128"/>
      <c r="D26" s="128"/>
      <c r="E26" s="128"/>
      <c r="F26" s="128"/>
      <c r="G26" s="128"/>
      <c r="H26" s="128"/>
      <c r="I26" s="128"/>
      <c r="J26" s="128"/>
      <c r="K26" s="128"/>
      <c r="L26" s="128"/>
      <c r="M26" s="128"/>
      <c r="N26" s="128"/>
      <c r="O26" s="128"/>
      <c r="P26" s="128"/>
      <c r="Q26" s="129"/>
    </row>
    <row r="27" spans="1:17" ht="18.75" customHeight="1" thickBot="1" x14ac:dyDescent="0.25">
      <c r="A27" s="130"/>
      <c r="B27" s="131"/>
      <c r="C27" s="131"/>
      <c r="D27" s="131"/>
      <c r="E27" s="131"/>
      <c r="F27" s="131"/>
      <c r="G27" s="131"/>
      <c r="H27" s="131"/>
      <c r="I27" s="131"/>
      <c r="J27" s="131"/>
      <c r="K27" s="131"/>
      <c r="L27" s="131"/>
      <c r="M27" s="131"/>
      <c r="N27" s="131"/>
      <c r="O27" s="131"/>
      <c r="P27" s="131"/>
      <c r="Q27" s="132"/>
    </row>
  </sheetData>
  <mergeCells count="26">
    <mergeCell ref="O21:P21"/>
    <mergeCell ref="O22:P22"/>
    <mergeCell ref="A23:P23"/>
    <mergeCell ref="A24:Q24"/>
    <mergeCell ref="A25:F25"/>
    <mergeCell ref="G25:Q25"/>
    <mergeCell ref="O20:P20"/>
    <mergeCell ref="A7:F7"/>
    <mergeCell ref="A8:Q8"/>
    <mergeCell ref="A9:N9"/>
    <mergeCell ref="A10:Q10"/>
    <mergeCell ref="A12:Q12"/>
    <mergeCell ref="A13:N13"/>
    <mergeCell ref="O13:P14"/>
    <mergeCell ref="Q13:Q14"/>
    <mergeCell ref="O15:P15"/>
    <mergeCell ref="O16:P16"/>
    <mergeCell ref="O17:P17"/>
    <mergeCell ref="O18:P18"/>
    <mergeCell ref="O19:P19"/>
    <mergeCell ref="A6:F6"/>
    <mergeCell ref="A1:C1"/>
    <mergeCell ref="D1:E1"/>
    <mergeCell ref="P1:Q2"/>
    <mergeCell ref="A4:F4"/>
    <mergeCell ref="A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54"/>
  <sheetViews>
    <sheetView topLeftCell="A31" workbookViewId="0">
      <selection activeCell="D56" sqref="D56"/>
    </sheetView>
  </sheetViews>
  <sheetFormatPr baseColWidth="10" defaultRowHeight="12.75" x14ac:dyDescent="0.2"/>
  <cols>
    <col min="1" max="1" width="5.5703125" customWidth="1"/>
    <col min="2" max="2" width="15.140625" customWidth="1"/>
    <col min="3" max="3" width="14.140625" customWidth="1"/>
    <col min="4" max="4" width="26" customWidth="1"/>
    <col min="5" max="5" width="8" customWidth="1"/>
    <col min="6" max="6" width="7.85546875" customWidth="1"/>
    <col min="7" max="7" width="39.85546875" customWidth="1"/>
    <col min="8" max="8" width="9.28515625" customWidth="1"/>
    <col min="9" max="9" width="14.5703125" customWidth="1"/>
    <col min="10" max="10" width="16" customWidth="1"/>
    <col min="11" max="11" width="15.5703125" customWidth="1"/>
    <col min="13" max="13" width="15.42578125" bestFit="1" customWidth="1"/>
  </cols>
  <sheetData>
    <row r="1" spans="1:13" ht="16.5" thickBot="1" x14ac:dyDescent="0.25">
      <c r="A1" s="311" t="s">
        <v>206</v>
      </c>
      <c r="B1" s="311"/>
      <c r="C1" s="311"/>
      <c r="D1" s="311"/>
      <c r="E1" s="311"/>
      <c r="F1" s="311"/>
      <c r="G1" s="311"/>
      <c r="H1" s="311"/>
      <c r="I1" s="311"/>
      <c r="J1" s="51" t="s">
        <v>207</v>
      </c>
      <c r="K1" s="52" t="s">
        <v>271</v>
      </c>
      <c r="M1" s="53"/>
    </row>
    <row r="2" spans="1:13" ht="16.5" thickBot="1" x14ac:dyDescent="0.25">
      <c r="A2" s="54"/>
      <c r="B2" s="54"/>
      <c r="C2" s="54"/>
      <c r="D2" s="55"/>
      <c r="E2" s="55"/>
      <c r="F2" s="55"/>
      <c r="G2" s="55"/>
      <c r="H2" s="55"/>
      <c r="I2" s="55"/>
      <c r="J2" s="55"/>
      <c r="K2" s="55"/>
      <c r="M2" s="53"/>
    </row>
    <row r="3" spans="1:13" ht="16.5" thickBot="1" x14ac:dyDescent="0.25">
      <c r="A3" s="312" t="s">
        <v>208</v>
      </c>
      <c r="B3" s="312"/>
      <c r="C3" s="312"/>
      <c r="D3" s="56" t="s">
        <v>209</v>
      </c>
      <c r="E3" s="57"/>
      <c r="F3" s="57"/>
      <c r="G3" s="57"/>
      <c r="H3" s="57"/>
      <c r="I3" s="57"/>
      <c r="J3" s="57"/>
      <c r="K3" s="58"/>
      <c r="M3" s="53"/>
    </row>
    <row r="4" spans="1:13" ht="16.5" thickBot="1" x14ac:dyDescent="0.25">
      <c r="A4" s="309" t="s">
        <v>210</v>
      </c>
      <c r="B4" s="309"/>
      <c r="C4" s="309"/>
      <c r="D4" s="56" t="s">
        <v>211</v>
      </c>
      <c r="E4" s="57"/>
      <c r="F4" s="57"/>
      <c r="G4" s="57"/>
      <c r="H4" s="57"/>
      <c r="I4" s="57"/>
      <c r="J4" s="57"/>
      <c r="K4" s="58"/>
      <c r="M4" s="53"/>
    </row>
    <row r="5" spans="1:13" ht="16.5" thickBot="1" x14ac:dyDescent="0.25">
      <c r="A5" s="309" t="s">
        <v>212</v>
      </c>
      <c r="B5" s="309"/>
      <c r="C5" s="309"/>
      <c r="D5" s="56" t="s">
        <v>276</v>
      </c>
      <c r="E5" s="59"/>
      <c r="F5" s="59"/>
      <c r="G5" s="59"/>
      <c r="H5" s="59"/>
      <c r="I5" s="59"/>
      <c r="J5" s="59"/>
      <c r="K5" s="60"/>
      <c r="M5" s="53"/>
    </row>
    <row r="6" spans="1:13" ht="16.5" thickBot="1" x14ac:dyDescent="0.25">
      <c r="A6" s="312" t="s">
        <v>213</v>
      </c>
      <c r="B6" s="312"/>
      <c r="C6" s="312"/>
      <c r="D6" s="56" t="s">
        <v>276</v>
      </c>
      <c r="E6" s="59"/>
      <c r="F6" s="59"/>
      <c r="G6" s="59"/>
      <c r="H6" s="59"/>
      <c r="I6" s="59"/>
      <c r="J6" s="59"/>
      <c r="K6" s="60"/>
      <c r="M6" s="53"/>
    </row>
    <row r="7" spans="1:13" ht="16.5" thickBot="1" x14ac:dyDescent="0.25">
      <c r="A7" s="309" t="s">
        <v>214</v>
      </c>
      <c r="B7" s="309"/>
      <c r="C7" s="309"/>
      <c r="D7" s="310" t="s">
        <v>274</v>
      </c>
      <c r="E7" s="310"/>
      <c r="F7" s="310"/>
      <c r="G7" s="310"/>
      <c r="H7" s="310"/>
      <c r="I7" s="310"/>
      <c r="J7" s="310"/>
      <c r="K7" s="310"/>
      <c r="M7" s="53"/>
    </row>
    <row r="8" spans="1:13" ht="16.5" thickBot="1" x14ac:dyDescent="0.25">
      <c r="A8" s="318" t="s">
        <v>215</v>
      </c>
      <c r="B8" s="318"/>
      <c r="C8" s="318"/>
      <c r="D8" s="319" t="s">
        <v>250</v>
      </c>
      <c r="E8" s="319"/>
      <c r="F8" s="319"/>
      <c r="G8" s="319"/>
      <c r="H8" s="319"/>
      <c r="I8" s="319"/>
      <c r="J8" s="319"/>
      <c r="K8" s="319"/>
      <c r="M8" s="53"/>
    </row>
    <row r="9" spans="1:13" ht="16.5" thickBot="1" x14ac:dyDescent="0.25">
      <c r="A9" s="61"/>
      <c r="B9" s="61"/>
      <c r="C9" s="61"/>
      <c r="D9" s="62"/>
      <c r="E9" s="62"/>
      <c r="F9" s="62"/>
      <c r="G9" s="62"/>
      <c r="H9" s="62"/>
      <c r="I9" s="62"/>
      <c r="J9" s="62"/>
      <c r="K9" s="62"/>
      <c r="M9" s="53"/>
    </row>
    <row r="10" spans="1:13" ht="13.5" thickBot="1" x14ac:dyDescent="0.25">
      <c r="A10" s="320" t="s">
        <v>216</v>
      </c>
      <c r="B10" s="322" t="s">
        <v>217</v>
      </c>
      <c r="C10" s="322" t="s">
        <v>218</v>
      </c>
      <c r="D10" s="322"/>
      <c r="E10" s="322"/>
      <c r="F10" s="322"/>
      <c r="G10" s="322"/>
      <c r="H10" s="324" t="s">
        <v>219</v>
      </c>
      <c r="I10" s="326" t="s">
        <v>220</v>
      </c>
      <c r="J10" s="326" t="s">
        <v>221</v>
      </c>
      <c r="K10" s="326" t="s">
        <v>222</v>
      </c>
      <c r="M10" s="53"/>
    </row>
    <row r="11" spans="1:13" x14ac:dyDescent="0.2">
      <c r="A11" s="321"/>
      <c r="B11" s="323"/>
      <c r="C11" s="323"/>
      <c r="D11" s="323"/>
      <c r="E11" s="323"/>
      <c r="F11" s="323"/>
      <c r="G11" s="323"/>
      <c r="H11" s="325"/>
      <c r="I11" s="327"/>
      <c r="J11" s="327"/>
      <c r="K11" s="327"/>
      <c r="M11" s="53"/>
    </row>
    <row r="12" spans="1:13" x14ac:dyDescent="0.2">
      <c r="A12" s="170">
        <v>1</v>
      </c>
      <c r="B12" s="171"/>
      <c r="C12" s="172" t="str">
        <f>'Necesidades Trimestrales (2)'!E12</f>
        <v>ALBUMINA BOVINA TIPO WIENER</v>
      </c>
      <c r="D12" s="173"/>
      <c r="E12" s="173"/>
      <c r="F12" s="173"/>
      <c r="G12" s="174"/>
      <c r="H12" s="175" t="s">
        <v>223</v>
      </c>
      <c r="I12" s="176" t="str">
        <f>'Necesidades Trimestrales (2)'!F12</f>
        <v>UNIDAD</v>
      </c>
      <c r="J12" s="67">
        <f>'Necesidades Trimestrales (2)'!AT12</f>
        <v>1251</v>
      </c>
      <c r="K12" s="177">
        <f>'Necesidades Trimestrales (2)'!AS12</f>
        <v>12</v>
      </c>
      <c r="L12" s="167">
        <f>+J12*K12</f>
        <v>15012</v>
      </c>
      <c r="M12" s="169"/>
    </row>
    <row r="13" spans="1:13" x14ac:dyDescent="0.2">
      <c r="A13" s="170">
        <v>2</v>
      </c>
      <c r="B13" s="171"/>
      <c r="C13" s="172" t="str">
        <f>'Necesidades Trimestrales (2)'!E17</f>
        <v>ANTI-A MONOCLONAL- FRASCO 10 ML TIPO WIENER</v>
      </c>
      <c r="D13" s="178"/>
      <c r="E13" s="178"/>
      <c r="F13" s="178"/>
      <c r="G13" s="179"/>
      <c r="H13" s="175" t="s">
        <v>223</v>
      </c>
      <c r="I13" s="176" t="str">
        <f>'Necesidades Trimestrales (2)'!F17</f>
        <v>UNIDAD</v>
      </c>
      <c r="J13" s="67">
        <f>'Necesidades Trimestrales (2)'!AT17</f>
        <v>876</v>
      </c>
      <c r="K13" s="177">
        <f>'Necesidades Trimestrales (2)'!AS17</f>
        <v>100</v>
      </c>
      <c r="L13" s="167">
        <f t="shared" ref="L13:L52" si="0">+J13*K13</f>
        <v>87600</v>
      </c>
      <c r="M13" s="169"/>
    </row>
    <row r="14" spans="1:13" x14ac:dyDescent="0.2">
      <c r="A14" s="170">
        <v>3</v>
      </c>
      <c r="B14" s="171"/>
      <c r="C14" s="172" t="str">
        <f>'Necesidades Trimestrales (2)'!E18</f>
        <v>ANTI-AB MONOCLONAL- FRASCO 10 MLTIPO WIENER</v>
      </c>
      <c r="D14" s="178"/>
      <c r="E14" s="178"/>
      <c r="F14" s="178"/>
      <c r="G14" s="179"/>
      <c r="H14" s="175" t="s">
        <v>223</v>
      </c>
      <c r="I14" s="176" t="str">
        <f>'Necesidades Trimestrales (2)'!F18</f>
        <v>UNIDAD</v>
      </c>
      <c r="J14" s="67">
        <f>'Necesidades Trimestrales (2)'!AT18</f>
        <v>888</v>
      </c>
      <c r="K14" s="177">
        <f>'Necesidades Trimestrales (2)'!AS18</f>
        <v>100</v>
      </c>
      <c r="L14" s="167">
        <f t="shared" si="0"/>
        <v>88800</v>
      </c>
      <c r="M14" s="169"/>
    </row>
    <row r="15" spans="1:13" x14ac:dyDescent="0.2">
      <c r="A15" s="170">
        <v>4</v>
      </c>
      <c r="B15" s="171"/>
      <c r="C15" s="172" t="str">
        <f>'Necesidades Trimestrales (2)'!E19</f>
        <v>ANTI-B MONOCLONAL-FRASCOS 10 ML TIPO WIENER</v>
      </c>
      <c r="D15" s="178"/>
      <c r="E15" s="178"/>
      <c r="F15" s="178"/>
      <c r="G15" s="179"/>
      <c r="H15" s="175" t="s">
        <v>223</v>
      </c>
      <c r="I15" s="176" t="str">
        <f>'Necesidades Trimestrales (2)'!F19</f>
        <v>UNIDAD</v>
      </c>
      <c r="J15" s="67">
        <f>'Necesidades Trimestrales (2)'!AT19</f>
        <v>876</v>
      </c>
      <c r="K15" s="177">
        <f>'Necesidades Trimestrales (2)'!AS19</f>
        <v>100</v>
      </c>
      <c r="L15" s="167">
        <f t="shared" si="0"/>
        <v>87600</v>
      </c>
      <c r="M15" s="169"/>
    </row>
    <row r="16" spans="1:13" x14ac:dyDescent="0.2">
      <c r="A16" s="170">
        <v>5</v>
      </c>
      <c r="B16" s="171"/>
      <c r="C16" s="172" t="str">
        <f>'Necesidades Trimestrales (2)'!E21</f>
        <v>ANTI-D (RHO) MONOCLONAL-FRASCOS 10 ML TIPO WIENER</v>
      </c>
      <c r="D16" s="178"/>
      <c r="E16" s="178"/>
      <c r="F16" s="178"/>
      <c r="G16" s="179"/>
      <c r="H16" s="175" t="s">
        <v>223</v>
      </c>
      <c r="I16" s="176" t="str">
        <f>'Necesidades Trimestrales (2)'!F21</f>
        <v>UNIDAD</v>
      </c>
      <c r="J16" s="67">
        <f>'Necesidades Trimestrales (2)'!AT21</f>
        <v>1657</v>
      </c>
      <c r="K16" s="177">
        <f>'Necesidades Trimestrales (2)'!AS21</f>
        <v>100</v>
      </c>
      <c r="L16" s="167">
        <f t="shared" si="0"/>
        <v>165700</v>
      </c>
      <c r="M16" s="169"/>
    </row>
    <row r="17" spans="1:13" x14ac:dyDescent="0.2">
      <c r="A17" s="170">
        <v>6</v>
      </c>
      <c r="B17" s="171"/>
      <c r="C17" s="172" t="str">
        <f>'Necesidades Trimestrales (2)'!E22</f>
        <v>ANTIGENO FEBRIL BRUCELLA (HUDDLESON)</v>
      </c>
      <c r="D17" s="178"/>
      <c r="E17" s="178"/>
      <c r="F17" s="178"/>
      <c r="G17" s="179"/>
      <c r="H17" s="175" t="s">
        <v>223</v>
      </c>
      <c r="I17" s="176" t="str">
        <f>'Necesidades Trimestrales (2)'!F22</f>
        <v>unidad</v>
      </c>
      <c r="J17" s="67">
        <f>'Necesidades Trimestrales (2)'!AT22</f>
        <v>1321</v>
      </c>
      <c r="K17" s="177">
        <v>12</v>
      </c>
      <c r="L17" s="167">
        <f t="shared" si="0"/>
        <v>15852</v>
      </c>
      <c r="M17" s="169"/>
    </row>
    <row r="18" spans="1:13" x14ac:dyDescent="0.2">
      <c r="A18" s="170">
        <v>7</v>
      </c>
      <c r="B18" s="171"/>
      <c r="C18" s="358" t="s">
        <v>266</v>
      </c>
      <c r="D18" s="358"/>
      <c r="E18" s="358"/>
      <c r="F18" s="358"/>
      <c r="G18" s="358"/>
      <c r="H18" s="175" t="s">
        <v>223</v>
      </c>
      <c r="I18" s="176" t="str">
        <f>'Necesidades Trimestrales (2)'!F23</f>
        <v>unidad</v>
      </c>
      <c r="J18" s="180">
        <v>10577.85</v>
      </c>
      <c r="K18" s="177">
        <v>12</v>
      </c>
      <c r="L18" s="167">
        <f t="shared" si="0"/>
        <v>126934.20000000001</v>
      </c>
      <c r="M18" s="169"/>
    </row>
    <row r="19" spans="1:13" x14ac:dyDescent="0.2">
      <c r="A19" s="170">
        <v>8</v>
      </c>
      <c r="B19" s="171"/>
      <c r="C19" s="358" t="s">
        <v>267</v>
      </c>
      <c r="D19" s="358"/>
      <c r="E19" s="358"/>
      <c r="F19" s="358"/>
      <c r="G19" s="358"/>
      <c r="H19" s="175" t="s">
        <v>223</v>
      </c>
      <c r="I19" s="176" t="str">
        <f>'Necesidades Trimestrales (2)'!F24</f>
        <v>unidad</v>
      </c>
      <c r="J19" s="180">
        <v>11502.26</v>
      </c>
      <c r="K19" s="177">
        <v>12</v>
      </c>
      <c r="L19" s="167">
        <f t="shared" si="0"/>
        <v>138027.12</v>
      </c>
      <c r="M19" s="169"/>
    </row>
    <row r="20" spans="1:13" x14ac:dyDescent="0.2">
      <c r="A20" s="170">
        <v>9</v>
      </c>
      <c r="B20" s="171"/>
      <c r="C20" s="172" t="str">
        <f>'Necesidades Trimestrales (2)'!E50</f>
        <v>Buffer TIPO ABBOTT P/ EQUIPO ARCHITECT</v>
      </c>
      <c r="D20" s="178"/>
      <c r="E20" s="178"/>
      <c r="F20" s="178"/>
      <c r="G20" s="179"/>
      <c r="H20" s="175" t="s">
        <v>223</v>
      </c>
      <c r="I20" s="176" t="str">
        <f>'Necesidades Trimestrales (2)'!F50</f>
        <v>CAJA</v>
      </c>
      <c r="J20" s="67">
        <f>'Necesidades Trimestrales (2)'!AT50</f>
        <v>8300</v>
      </c>
      <c r="K20" s="177">
        <f>'Necesidades Trimestrales (2)'!AS50</f>
        <v>14</v>
      </c>
      <c r="L20" s="167">
        <f t="shared" si="0"/>
        <v>116200</v>
      </c>
      <c r="M20" s="169"/>
    </row>
    <row r="21" spans="1:13" x14ac:dyDescent="0.2">
      <c r="A21" s="170">
        <v>10</v>
      </c>
      <c r="B21" s="171"/>
      <c r="C21" s="172" t="str">
        <f>'Necesidades Trimestrales (2)'!E54</f>
        <v>Celdas de Reaccion TIPO ABBOTT P/ EQUIPO ARCHITECT</v>
      </c>
      <c r="D21" s="178"/>
      <c r="E21" s="178"/>
      <c r="F21" s="178"/>
      <c r="G21" s="179"/>
      <c r="H21" s="175" t="s">
        <v>223</v>
      </c>
      <c r="I21" s="176" t="str">
        <f>'Necesidades Trimestrales (2)'!F54</f>
        <v>CAJA</v>
      </c>
      <c r="J21" s="67">
        <f>'Necesidades Trimestrales (2)'!AT54</f>
        <v>11685</v>
      </c>
      <c r="K21" s="177">
        <f>'Necesidades Trimestrales (2)'!AS54</f>
        <v>1</v>
      </c>
      <c r="L21" s="167">
        <f t="shared" si="0"/>
        <v>11685</v>
      </c>
      <c r="M21" s="169"/>
    </row>
    <row r="22" spans="1:13" x14ac:dyDescent="0.2">
      <c r="A22" s="170">
        <v>11</v>
      </c>
      <c r="B22" s="171"/>
      <c r="C22" s="172" t="str">
        <f>'Necesidades Trimestrales (2)'!E59</f>
        <v>CHAGATEST ELISA LISADO-96DET. TIPO WIENER</v>
      </c>
      <c r="D22" s="178"/>
      <c r="E22" s="178"/>
      <c r="F22" s="178"/>
      <c r="G22" s="179"/>
      <c r="H22" s="175" t="s">
        <v>223</v>
      </c>
      <c r="I22" s="176" t="str">
        <f>'Necesidades Trimestrales (2)'!F59</f>
        <v>UNIDAD</v>
      </c>
      <c r="J22" s="67">
        <f>'Necesidades Trimestrales (2)'!AT59</f>
        <v>10206</v>
      </c>
      <c r="K22" s="177">
        <f>'Necesidades Trimestrales (2)'!AS59</f>
        <v>12</v>
      </c>
      <c r="L22" s="167">
        <f t="shared" si="0"/>
        <v>122472</v>
      </c>
    </row>
    <row r="23" spans="1:13" x14ac:dyDescent="0.2">
      <c r="A23" s="170">
        <v>12</v>
      </c>
      <c r="B23" s="171"/>
      <c r="C23" s="172" t="str">
        <f>'Necesidades Trimestrales (2)'!E60</f>
        <v>CHAGATEST ELISA RECOMBINANTE (V4,0)-96 DET. TIPO WIENER</v>
      </c>
      <c r="D23" s="178"/>
      <c r="E23" s="178"/>
      <c r="F23" s="178"/>
      <c r="G23" s="179"/>
      <c r="H23" s="175" t="s">
        <v>223</v>
      </c>
      <c r="I23" s="176" t="str">
        <f>'Necesidades Trimestrales (2)'!F60</f>
        <v>UNIDAD</v>
      </c>
      <c r="J23" s="67">
        <f>'Necesidades Trimestrales (2)'!AT60</f>
        <v>11295</v>
      </c>
      <c r="K23" s="177">
        <f>'Necesidades Trimestrales (2)'!AS60</f>
        <v>12</v>
      </c>
      <c r="L23" s="167">
        <f t="shared" si="0"/>
        <v>135540</v>
      </c>
    </row>
    <row r="24" spans="1:13" x14ac:dyDescent="0.2">
      <c r="A24" s="170">
        <v>13</v>
      </c>
      <c r="B24" s="171"/>
      <c r="C24" s="172" t="str">
        <f>'Necesidades Trimestrales (2)'!E62</f>
        <v>CMV CITOMEGALOVIRUS IGM  METODO ELISA 96 DET. TIPO WIENER</v>
      </c>
      <c r="D24" s="178"/>
      <c r="E24" s="178"/>
      <c r="F24" s="178"/>
      <c r="G24" s="179"/>
      <c r="H24" s="175" t="s">
        <v>223</v>
      </c>
      <c r="I24" s="176" t="str">
        <f>'Necesidades Trimestrales (2)'!F62</f>
        <v>UNIDAD</v>
      </c>
      <c r="J24" s="67">
        <f>'Necesidades Trimestrales (2)'!AT62</f>
        <v>19749</v>
      </c>
      <c r="K24" s="177">
        <f>'Necesidades Trimestrales (2)'!AS62</f>
        <v>12</v>
      </c>
      <c r="L24" s="167">
        <f t="shared" si="0"/>
        <v>236988</v>
      </c>
    </row>
    <row r="25" spans="1:13" x14ac:dyDescent="0.2">
      <c r="A25" s="170">
        <v>14</v>
      </c>
      <c r="B25" s="171"/>
      <c r="C25" s="172" t="str">
        <f>+'Necesidades Trimestrales (2)'!E70</f>
        <v>EQUIPOS COVIDAR IgG x192 det. Para equipo elisa</v>
      </c>
      <c r="D25" s="178"/>
      <c r="E25" s="178"/>
      <c r="F25" s="178"/>
      <c r="G25" s="179"/>
      <c r="H25" s="175" t="s">
        <v>223</v>
      </c>
      <c r="I25" s="176" t="str">
        <f>'Necesidades Trimestrales (2)'!F63</f>
        <v>UNIDAD</v>
      </c>
      <c r="J25" s="67">
        <v>19743.57</v>
      </c>
      <c r="K25" s="177">
        <f>+'Necesidades Trimestrales (2)'!M70</f>
        <v>12</v>
      </c>
      <c r="L25" s="167">
        <f t="shared" si="0"/>
        <v>236922.84</v>
      </c>
    </row>
    <row r="26" spans="1:13" x14ac:dyDescent="0.2">
      <c r="A26" s="170">
        <v>15</v>
      </c>
      <c r="B26" s="171"/>
      <c r="C26" s="172" t="str">
        <f>'Necesidades Trimestrales (2)'!E71</f>
        <v xml:space="preserve">Equipo para la deteccion de Anti Hb Core, por metodo de Elisa  en microplacas en equipos de 96 det. Monolisa HBc Plus </v>
      </c>
      <c r="D26" s="178"/>
      <c r="E26" s="178"/>
      <c r="F26" s="178"/>
      <c r="G26" s="179"/>
      <c r="H26" s="175" t="s">
        <v>223</v>
      </c>
      <c r="I26" s="176" t="str">
        <f>'Necesidades Trimestrales (2)'!F71</f>
        <v>CAJA</v>
      </c>
      <c r="J26" s="67">
        <f>'Necesidades Trimestrales (2)'!AT71</f>
        <v>20160</v>
      </c>
      <c r="K26" s="177">
        <f>'Necesidades Trimestrales (2)'!AS71</f>
        <v>16</v>
      </c>
      <c r="L26" s="167">
        <f t="shared" si="0"/>
        <v>322560</v>
      </c>
    </row>
    <row r="27" spans="1:13" ht="89.25" customHeight="1" x14ac:dyDescent="0.2">
      <c r="A27" s="170">
        <v>16</v>
      </c>
      <c r="B27" s="171"/>
      <c r="C27" s="355" t="str">
        <f>'Necesidades Trimestrales (2)'!E72</f>
        <v>Equipos por metodo de Elisa para la deteccion simultanea anticuerpos y antigenos de virus de Hepatitis C por Elisa en microplaca recubierta con anticuerpos monoclonales anti caspide de HCV con antigenos reconvinantes de la region NS3 genotipos 1 y 3º y de la region no estructural NS4 y un peptido mutado de la region de la caspide del Virus HCV. En equipos de 96 det. Por metodologia EIA en microplacas con provision de reactivos, calibradores,materias descartable, buffers, liquido de lavado, y todo insumo necesario para suprocesamiento Monolisa HCV Ag- Ab Ultra v.2</v>
      </c>
      <c r="D27" s="356"/>
      <c r="E27" s="356"/>
      <c r="F27" s="356"/>
      <c r="G27" s="357"/>
      <c r="H27" s="175" t="s">
        <v>223</v>
      </c>
      <c r="I27" s="176" t="str">
        <f>'Necesidades Trimestrales (2)'!F72</f>
        <v>CAJA</v>
      </c>
      <c r="J27" s="67">
        <f>'Necesidades Trimestrales (2)'!AT72</f>
        <v>36300</v>
      </c>
      <c r="K27" s="177">
        <f>'Necesidades Trimestrales (2)'!AS72</f>
        <v>16</v>
      </c>
      <c r="L27" s="167">
        <f t="shared" si="0"/>
        <v>580800</v>
      </c>
    </row>
    <row r="28" spans="1:13" x14ac:dyDescent="0.2">
      <c r="A28" s="170">
        <v>17</v>
      </c>
      <c r="B28" s="181"/>
      <c r="C28" s="172" t="str">
        <f>'Necesidades Trimestrales (2)'!E88</f>
        <v>HEPATISIS B  Ag Superficie tipo Wiener</v>
      </c>
      <c r="D28" s="182"/>
      <c r="E28" s="182"/>
      <c r="F28" s="182"/>
      <c r="G28" s="183"/>
      <c r="H28" s="175" t="s">
        <v>223</v>
      </c>
      <c r="I28" s="176" t="str">
        <f>'Necesidades Trimestrales (2)'!F88</f>
        <v>unidad</v>
      </c>
      <c r="J28" s="67">
        <f>'Necesidades Trimestrales (2)'!AT88</f>
        <v>16272</v>
      </c>
      <c r="K28" s="177">
        <v>12</v>
      </c>
      <c r="L28" s="167">
        <f t="shared" si="0"/>
        <v>195264</v>
      </c>
    </row>
    <row r="29" spans="1:13" x14ac:dyDescent="0.2">
      <c r="A29" s="170">
        <v>18</v>
      </c>
      <c r="B29" s="181"/>
      <c r="C29" s="172" t="str">
        <f>'Necesidades Trimestrales (2)'!E89</f>
        <v xml:space="preserve">HEPATITIS C HCV ELISA 3º GEN. 96 DET. TIPO WIENER </v>
      </c>
      <c r="D29" s="182"/>
      <c r="E29" s="182"/>
      <c r="F29" s="182"/>
      <c r="G29" s="183"/>
      <c r="H29" s="175" t="s">
        <v>223</v>
      </c>
      <c r="I29" s="176" t="str">
        <f>'Necesidades Trimestrales (2)'!F89</f>
        <v>UNIDAD</v>
      </c>
      <c r="J29" s="67">
        <f>'Necesidades Trimestrales (2)'!AT89</f>
        <v>39806</v>
      </c>
      <c r="K29" s="177">
        <f>'Necesidades Trimestrales (2)'!AS89</f>
        <v>12</v>
      </c>
      <c r="L29" s="167">
        <f t="shared" si="0"/>
        <v>477672</v>
      </c>
    </row>
    <row r="30" spans="1:13" x14ac:dyDescent="0.2">
      <c r="A30" s="170">
        <v>19</v>
      </c>
      <c r="B30" s="181"/>
      <c r="C30" s="172" t="str">
        <f>'Necesidades Trimestrales (2)'!E90</f>
        <v>HIV ELISA AG/AC 4° GENERACION -96 DET-</v>
      </c>
      <c r="D30" s="182"/>
      <c r="E30" s="182"/>
      <c r="F30" s="182"/>
      <c r="G30" s="183"/>
      <c r="H30" s="175" t="s">
        <v>223</v>
      </c>
      <c r="I30" s="176" t="str">
        <f>'Necesidades Trimestrales (2)'!F90</f>
        <v xml:space="preserve">Unidad </v>
      </c>
      <c r="J30" s="67">
        <f>'Necesidades Trimestrales (2)'!AT90</f>
        <v>23147</v>
      </c>
      <c r="K30" s="177">
        <f>'Necesidades Trimestrales (2)'!AS90</f>
        <v>48</v>
      </c>
      <c r="L30" s="167">
        <f t="shared" si="0"/>
        <v>1111056</v>
      </c>
    </row>
    <row r="31" spans="1:13" x14ac:dyDescent="0.2">
      <c r="A31" s="170">
        <v>20</v>
      </c>
      <c r="B31" s="181"/>
      <c r="C31" s="172" t="str">
        <f>'Necesidades Trimestrales (2)'!E91</f>
        <v>HTLV 1 Y 2 ELISA-96DET. TIPO WIENER</v>
      </c>
      <c r="D31" s="182"/>
      <c r="E31" s="182"/>
      <c r="F31" s="182"/>
      <c r="G31" s="183"/>
      <c r="H31" s="175" t="s">
        <v>223</v>
      </c>
      <c r="I31" s="176" t="str">
        <f>'Necesidades Trimestrales (2)'!F91</f>
        <v>UNIDAD</v>
      </c>
      <c r="J31" s="67">
        <f>'Necesidades Trimestrales (2)'!AT91</f>
        <v>25747</v>
      </c>
      <c r="K31" s="177">
        <f>'Necesidades Trimestrales (2)'!AS91</f>
        <v>12</v>
      </c>
      <c r="L31" s="167">
        <f t="shared" si="0"/>
        <v>308964</v>
      </c>
    </row>
    <row r="32" spans="1:13" x14ac:dyDescent="0.2">
      <c r="A32" s="170">
        <v>21</v>
      </c>
      <c r="B32" s="181"/>
      <c r="C32" s="172" t="str">
        <f>'Necesidades Trimestrales (2)'!E92</f>
        <v>HVC REACTIVO x 100 det TIPO ABBOTT P/ EQUIPO ARCHITECT</v>
      </c>
      <c r="D32" s="182"/>
      <c r="E32" s="182"/>
      <c r="F32" s="182"/>
      <c r="G32" s="183"/>
      <c r="H32" s="175" t="s">
        <v>223</v>
      </c>
      <c r="I32" s="176" t="str">
        <f>'Necesidades Trimestrales (2)'!F92</f>
        <v>CAJA</v>
      </c>
      <c r="J32" s="67">
        <f>'Necesidades Trimestrales (2)'!AT92</f>
        <v>50545</v>
      </c>
      <c r="K32" s="177">
        <f>'Necesidades Trimestrales (2)'!AS92</f>
        <v>3</v>
      </c>
      <c r="L32" s="167">
        <f t="shared" si="0"/>
        <v>151635</v>
      </c>
    </row>
    <row r="33" spans="1:12" x14ac:dyDescent="0.2">
      <c r="A33" s="170">
        <v>22</v>
      </c>
      <c r="B33" s="181"/>
      <c r="C33" s="172" t="str">
        <f>'Necesidades Trimestrales (2)'!E93</f>
        <v>KIT PLASMAFERESIS 980 TIPO GRIFOLS</v>
      </c>
      <c r="D33" s="182"/>
      <c r="E33" s="182"/>
      <c r="F33" s="182"/>
      <c r="G33" s="183"/>
      <c r="H33" s="175" t="s">
        <v>223</v>
      </c>
      <c r="I33" s="176" t="str">
        <f>'Necesidades Trimestrales (2)'!F93</f>
        <v>UNIDAD</v>
      </c>
      <c r="J33" s="67">
        <f>'Necesidades Trimestrales (2)'!AT93</f>
        <v>35090</v>
      </c>
      <c r="K33" s="177">
        <f>'Necesidades Trimestrales (2)'!AS93</f>
        <v>24</v>
      </c>
      <c r="L33" s="167">
        <f t="shared" si="0"/>
        <v>842160</v>
      </c>
    </row>
    <row r="34" spans="1:12" x14ac:dyDescent="0.2">
      <c r="A34" s="170">
        <v>23</v>
      </c>
      <c r="B34" s="181"/>
      <c r="C34" s="172" t="str">
        <f>'Necesidades Trimestrales (2)'!E94</f>
        <v>KITS PARA PLAQUETOFERESIS CON FILTRO 994/995 TIPO GRIFOLS</v>
      </c>
      <c r="D34" s="182"/>
      <c r="E34" s="182"/>
      <c r="F34" s="182"/>
      <c r="G34" s="183"/>
      <c r="H34" s="175" t="s">
        <v>223</v>
      </c>
      <c r="I34" s="176" t="str">
        <f>'Necesidades Trimestrales (2)'!F94</f>
        <v xml:space="preserve">UNIDAD </v>
      </c>
      <c r="J34" s="67">
        <f>'Necesidades Trimestrales (2)'!AT94</f>
        <v>35695</v>
      </c>
      <c r="K34" s="177">
        <f>'Necesidades Trimestrales (2)'!AS94</f>
        <v>72</v>
      </c>
      <c r="L34" s="167">
        <f t="shared" si="0"/>
        <v>2570040</v>
      </c>
    </row>
    <row r="35" spans="1:12" x14ac:dyDescent="0.2">
      <c r="A35" s="170">
        <v>24</v>
      </c>
      <c r="B35" s="181"/>
      <c r="C35" s="172" t="str">
        <f>'Necesidades Trimestrales (2)'!E101</f>
        <v>PANEL IDENTISERA DIANA TIPO GRIFOLS</v>
      </c>
      <c r="D35" s="182"/>
      <c r="E35" s="182"/>
      <c r="F35" s="182"/>
      <c r="G35" s="183"/>
      <c r="H35" s="175" t="s">
        <v>223</v>
      </c>
      <c r="I35" s="176" t="str">
        <f>'Necesidades Trimestrales (2)'!F101</f>
        <v>UNIDAD</v>
      </c>
      <c r="J35" s="67">
        <f>'Necesidades Trimestrales (2)'!AT101</f>
        <v>29160</v>
      </c>
      <c r="K35" s="177">
        <f>'Necesidades Trimestrales (2)'!AS101</f>
        <v>9</v>
      </c>
      <c r="L35" s="167">
        <f t="shared" si="0"/>
        <v>262440</v>
      </c>
    </row>
    <row r="36" spans="1:12" x14ac:dyDescent="0.2">
      <c r="A36" s="170">
        <v>25</v>
      </c>
      <c r="B36" s="181"/>
      <c r="C36" s="172" t="str">
        <f>'Necesidades Trimestrales (2)'!E102</f>
        <v>PANEL SARASCAN DIANA 2 TIPOS GRIFOLS</v>
      </c>
      <c r="D36" s="182"/>
      <c r="E36" s="182"/>
      <c r="F36" s="182"/>
      <c r="G36" s="183"/>
      <c r="H36" s="175" t="s">
        <v>223</v>
      </c>
      <c r="I36" s="176" t="str">
        <f>'Necesidades Trimestrales (2)'!F102</f>
        <v>UNIDAD</v>
      </c>
      <c r="J36" s="67">
        <f>'Necesidades Trimestrales (2)'!AT102</f>
        <v>22500</v>
      </c>
      <c r="K36" s="177">
        <f>'Necesidades Trimestrales (2)'!AS102</f>
        <v>9</v>
      </c>
      <c r="L36" s="167">
        <f t="shared" si="0"/>
        <v>202500</v>
      </c>
    </row>
    <row r="37" spans="1:12" x14ac:dyDescent="0.2">
      <c r="A37" s="170">
        <v>26</v>
      </c>
      <c r="B37" s="181"/>
      <c r="C37" s="172" t="str">
        <f>'Necesidades Trimestrales (2)'!E103</f>
        <v>PANEL SERIGRUP A1/B TIPO GRIFOLS</v>
      </c>
      <c r="D37" s="182"/>
      <c r="E37" s="182"/>
      <c r="F37" s="182"/>
      <c r="G37" s="183"/>
      <c r="H37" s="175" t="s">
        <v>223</v>
      </c>
      <c r="I37" s="176" t="str">
        <f>'Necesidades Trimestrales (2)'!F103</f>
        <v xml:space="preserve">UNIDAD </v>
      </c>
      <c r="J37" s="67">
        <f>'Necesidades Trimestrales (2)'!AT103</f>
        <v>15588</v>
      </c>
      <c r="K37" s="177">
        <f>'Necesidades Trimestrales (2)'!AS103</f>
        <v>9</v>
      </c>
      <c r="L37" s="167">
        <f t="shared" si="0"/>
        <v>140292</v>
      </c>
    </row>
    <row r="38" spans="1:12" x14ac:dyDescent="0.2">
      <c r="A38" s="170">
        <v>27</v>
      </c>
      <c r="B38" s="181"/>
      <c r="C38" s="172" t="str">
        <f>'Necesidades Trimestrales (2)'!E104</f>
        <v>PANEL SERO cyte 0,8%  TIPOS GRIFOLS</v>
      </c>
      <c r="D38" s="182"/>
      <c r="E38" s="182"/>
      <c r="F38" s="182"/>
      <c r="G38" s="183"/>
      <c r="H38" s="175" t="s">
        <v>223</v>
      </c>
      <c r="I38" s="176" t="str">
        <f>'Necesidades Trimestrales (2)'!F104</f>
        <v xml:space="preserve">UNIDAD </v>
      </c>
      <c r="J38" s="67">
        <f>'Necesidades Trimestrales (2)'!AT104</f>
        <v>16500</v>
      </c>
      <c r="K38" s="177">
        <f>'Necesidades Trimestrales (2)'!AS104</f>
        <v>9</v>
      </c>
      <c r="L38" s="167">
        <f t="shared" si="0"/>
        <v>148500</v>
      </c>
    </row>
    <row r="39" spans="1:12" x14ac:dyDescent="0.2">
      <c r="A39" s="170">
        <v>28</v>
      </c>
      <c r="B39" s="181"/>
      <c r="C39" s="172" t="str">
        <f>'Necesidades Trimestrales (2)'!E107</f>
        <v>Pre-trigger TIPO ABBOTT P/ EQUIPO ARCHITECT</v>
      </c>
      <c r="D39" s="182"/>
      <c r="E39" s="182"/>
      <c r="F39" s="182"/>
      <c r="G39" s="183"/>
      <c r="H39" s="175" t="s">
        <v>223</v>
      </c>
      <c r="I39" s="176" t="str">
        <f>'Necesidades Trimestrales (2)'!F107</f>
        <v>CAJA</v>
      </c>
      <c r="J39" s="67">
        <f>'Necesidades Trimestrales (2)'!AT107</f>
        <v>16980</v>
      </c>
      <c r="K39" s="177">
        <f>'Necesidades Trimestrales (2)'!AS107</f>
        <v>3</v>
      </c>
      <c r="L39" s="167">
        <f t="shared" si="0"/>
        <v>50940</v>
      </c>
    </row>
    <row r="40" spans="1:12" x14ac:dyDescent="0.2">
      <c r="A40" s="170">
        <v>29</v>
      </c>
      <c r="B40" s="181"/>
      <c r="C40" s="172" t="str">
        <f>'Necesidades Trimestrales (2)'!E114</f>
        <v>SARS- COV-2 Igm Control TIPO ABBOTT P/ EQUIPO ARCHITECT</v>
      </c>
      <c r="D40" s="182"/>
      <c r="E40" s="182"/>
      <c r="F40" s="182"/>
      <c r="G40" s="183"/>
      <c r="H40" s="175" t="s">
        <v>223</v>
      </c>
      <c r="I40" s="176" t="str">
        <f>'Necesidades Trimestrales (2)'!F114</f>
        <v>CAJA</v>
      </c>
      <c r="J40" s="67">
        <f>'Necesidades Trimestrales (2)'!AT114</f>
        <v>17788</v>
      </c>
      <c r="K40" s="177">
        <f>'Necesidades Trimestrales (2)'!AS114</f>
        <v>1</v>
      </c>
      <c r="L40" s="167">
        <f t="shared" si="0"/>
        <v>17788</v>
      </c>
    </row>
    <row r="41" spans="1:12" x14ac:dyDescent="0.2">
      <c r="A41" s="170">
        <v>30</v>
      </c>
      <c r="B41" s="181"/>
      <c r="C41" s="172" t="str">
        <f>'Necesidades Trimestrales (2)'!E115</f>
        <v>SARS-COV-2 IgG Reactivo x 100 det TIPO ABBOTT P/ EQUIPO ARCHITECT</v>
      </c>
      <c r="D41" s="182"/>
      <c r="E41" s="182"/>
      <c r="F41" s="182"/>
      <c r="G41" s="183"/>
      <c r="H41" s="175" t="s">
        <v>223</v>
      </c>
      <c r="I41" s="176" t="str">
        <f>'Necesidades Trimestrales (2)'!F115</f>
        <v>CAJA</v>
      </c>
      <c r="J41" s="67">
        <f>'Necesidades Trimestrales (2)'!AT115</f>
        <v>64700</v>
      </c>
      <c r="K41" s="177">
        <f>'Necesidades Trimestrales (2)'!AS115</f>
        <v>15</v>
      </c>
      <c r="L41" s="167">
        <f t="shared" si="0"/>
        <v>970500</v>
      </c>
    </row>
    <row r="42" spans="1:12" x14ac:dyDescent="0.2">
      <c r="A42" s="170">
        <v>31</v>
      </c>
      <c r="B42" s="181"/>
      <c r="C42" s="172" t="str">
        <f>'Necesidades Trimestrales (2)'!E116</f>
        <v>SARS-COV-2 IgM Calibrador TIPO ABBOTT P/ EQUIPO ARCHITECT</v>
      </c>
      <c r="D42" s="182"/>
      <c r="E42" s="182"/>
      <c r="F42" s="182"/>
      <c r="G42" s="183"/>
      <c r="H42" s="175" t="s">
        <v>223</v>
      </c>
      <c r="I42" s="176" t="str">
        <f>'Necesidades Trimestrales (2)'!F116</f>
        <v>CAJA</v>
      </c>
      <c r="J42" s="67">
        <f>'Necesidades Trimestrales (2)'!AT116</f>
        <v>12540</v>
      </c>
      <c r="K42" s="177">
        <f>'Necesidades Trimestrales (2)'!AS116</f>
        <v>1</v>
      </c>
      <c r="L42" s="167">
        <f t="shared" si="0"/>
        <v>12540</v>
      </c>
    </row>
    <row r="43" spans="1:12" x14ac:dyDescent="0.2">
      <c r="A43" s="170">
        <v>32</v>
      </c>
      <c r="B43" s="181"/>
      <c r="C43" s="172" t="str">
        <f>'Necesidades Trimestrales (2)'!E117</f>
        <v>Solucion ACD ( ANTICOAGULANTE PARA EQUIPO DE AFERESIS) TIPO GRIFOLS</v>
      </c>
      <c r="D43" s="182"/>
      <c r="E43" s="182"/>
      <c r="F43" s="182"/>
      <c r="G43" s="183"/>
      <c r="H43" s="175" t="s">
        <v>223</v>
      </c>
      <c r="I43" s="176" t="str">
        <f>'Necesidades Trimestrales (2)'!F117</f>
        <v>UNIDAD</v>
      </c>
      <c r="J43" s="67">
        <f>'Necesidades Trimestrales (2)'!AT117</f>
        <v>4350</v>
      </c>
      <c r="K43" s="177">
        <f>'Necesidades Trimestrales (2)'!AS117</f>
        <v>81</v>
      </c>
      <c r="L43" s="167">
        <f t="shared" si="0"/>
        <v>352350</v>
      </c>
    </row>
    <row r="44" spans="1:12" x14ac:dyDescent="0.2">
      <c r="A44" s="170">
        <v>33</v>
      </c>
      <c r="B44" s="181"/>
      <c r="C44" s="172" t="str">
        <f>'Necesidades Trimestrales (2)'!E118</f>
        <v xml:space="preserve">SOLUCION DG SOL X 100ML FLEXIBLE DOBLE TIPO GRIFOLS </v>
      </c>
      <c r="D44" s="182"/>
      <c r="E44" s="182"/>
      <c r="F44" s="182"/>
      <c r="G44" s="183"/>
      <c r="H44" s="175" t="s">
        <v>223</v>
      </c>
      <c r="I44" s="176" t="str">
        <f>'Necesidades Trimestrales (2)'!F118</f>
        <v xml:space="preserve">UNIDAD </v>
      </c>
      <c r="J44" s="67">
        <f>'Necesidades Trimestrales (2)'!AT118</f>
        <v>6649.5</v>
      </c>
      <c r="K44" s="177">
        <f>'Necesidades Trimestrales (2)'!AS118</f>
        <v>42</v>
      </c>
      <c r="L44" s="167">
        <f t="shared" si="0"/>
        <v>279279</v>
      </c>
    </row>
    <row r="45" spans="1:12" x14ac:dyDescent="0.2">
      <c r="A45" s="170">
        <v>34</v>
      </c>
      <c r="B45" s="181"/>
      <c r="C45" s="172" t="str">
        <f>'Necesidades Trimestrales (2)'!E120</f>
        <v>SOLUSION FISIOLOGICA x 100 ml</v>
      </c>
      <c r="D45" s="182"/>
      <c r="E45" s="182"/>
      <c r="F45" s="182"/>
      <c r="G45" s="183"/>
      <c r="H45" s="175" t="s">
        <v>223</v>
      </c>
      <c r="I45" s="176" t="str">
        <f>'Necesidades Trimestrales (2)'!F120</f>
        <v>UNIDAD</v>
      </c>
      <c r="J45" s="67">
        <f>'Necesidades Trimestrales (2)'!AT120</f>
        <v>185</v>
      </c>
      <c r="K45" s="177">
        <f>'Necesidades Trimestrales (2)'!AS120</f>
        <v>90</v>
      </c>
      <c r="L45" s="167">
        <f t="shared" si="0"/>
        <v>16650</v>
      </c>
    </row>
    <row r="46" spans="1:12" x14ac:dyDescent="0.2">
      <c r="A46" s="170">
        <v>35</v>
      </c>
      <c r="B46" s="181"/>
      <c r="C46" s="172" t="str">
        <f>'Necesidades Trimestrales (2)'!E124</f>
        <v>SUERO ANTI HUMANO COOMBS TIPO WIENER</v>
      </c>
      <c r="D46" s="182"/>
      <c r="E46" s="182"/>
      <c r="F46" s="182"/>
      <c r="G46" s="183"/>
      <c r="H46" s="175" t="s">
        <v>223</v>
      </c>
      <c r="I46" s="176" t="str">
        <f>'Necesidades Trimestrales (2)'!F124</f>
        <v>UNIDAD</v>
      </c>
      <c r="J46" s="67">
        <f>'Necesidades Trimestrales (2)'!AT124</f>
        <v>1325</v>
      </c>
      <c r="K46" s="177">
        <f>'Necesidades Trimestrales (2)'!AS124</f>
        <v>12</v>
      </c>
      <c r="L46" s="167">
        <f t="shared" si="0"/>
        <v>15900</v>
      </c>
    </row>
    <row r="47" spans="1:12" x14ac:dyDescent="0.2">
      <c r="A47" s="170">
        <v>36</v>
      </c>
      <c r="B47" s="181"/>
      <c r="C47" s="172" t="str">
        <f>'Necesidades Trimestrales (2)'!E125</f>
        <v>TARJETA DE GEL ABO RH 2d TIPO GRIFOLS</v>
      </c>
      <c r="D47" s="182"/>
      <c r="E47" s="182"/>
      <c r="F47" s="182"/>
      <c r="G47" s="183"/>
      <c r="H47" s="175" t="s">
        <v>223</v>
      </c>
      <c r="I47" s="176" t="str">
        <f>'Necesidades Trimestrales (2)'!F125</f>
        <v xml:space="preserve">UNIDAD </v>
      </c>
      <c r="J47" s="67">
        <f>'Necesidades Trimestrales (2)'!AT125</f>
        <v>665.5</v>
      </c>
      <c r="K47" s="177">
        <f>'Necesidades Trimestrales (2)'!AS125</f>
        <v>1500</v>
      </c>
      <c r="L47" s="167">
        <f t="shared" si="0"/>
        <v>998250</v>
      </c>
    </row>
    <row r="48" spans="1:12" x14ac:dyDescent="0.2">
      <c r="A48" s="170">
        <v>37</v>
      </c>
      <c r="B48" s="181"/>
      <c r="C48" s="172" t="str">
        <f>'Necesidades Trimestrales (2)'!E126</f>
        <v>TARJETA DE GEL COOMBS TIPO GRIFOLS</v>
      </c>
      <c r="D48" s="182"/>
      <c r="E48" s="182"/>
      <c r="F48" s="182"/>
      <c r="G48" s="183"/>
      <c r="H48" s="175" t="s">
        <v>223</v>
      </c>
      <c r="I48" s="176" t="str">
        <f>'Necesidades Trimestrales (2)'!F126</f>
        <v xml:space="preserve">UNIDAD </v>
      </c>
      <c r="J48" s="67">
        <f>'Necesidades Trimestrales (2)'!AT126</f>
        <v>871.2</v>
      </c>
      <c r="K48" s="177">
        <f>'Necesidades Trimestrales (2)'!AS126</f>
        <v>900</v>
      </c>
      <c r="L48" s="167">
        <f t="shared" si="0"/>
        <v>784080</v>
      </c>
    </row>
    <row r="49" spans="1:12" x14ac:dyDescent="0.2">
      <c r="A49" s="170">
        <v>38</v>
      </c>
      <c r="B49" s="181"/>
      <c r="C49" s="172" t="str">
        <f>'Necesidades Trimestrales (2)'!E127</f>
        <v>TARJETA DE GEL PHENO TIPO GRIFOLS</v>
      </c>
      <c r="D49" s="182"/>
      <c r="E49" s="182"/>
      <c r="F49" s="182"/>
      <c r="G49" s="183"/>
      <c r="H49" s="175" t="s">
        <v>223</v>
      </c>
      <c r="I49" s="176" t="str">
        <f>'Necesidades Trimestrales (2)'!F127</f>
        <v>UNIDAD</v>
      </c>
      <c r="J49" s="67">
        <f>'Necesidades Trimestrales (2)'!AT127</f>
        <v>954</v>
      </c>
      <c r="K49" s="177">
        <f>'Necesidades Trimestrales (2)'!AS127</f>
        <v>900</v>
      </c>
      <c r="L49" s="167">
        <f t="shared" si="0"/>
        <v>858600</v>
      </c>
    </row>
    <row r="50" spans="1:12" x14ac:dyDescent="0.2">
      <c r="A50" s="170">
        <v>39</v>
      </c>
      <c r="B50" s="181"/>
      <c r="C50" s="172" t="str">
        <f>'Necesidades Trimestrales (2)'!E129</f>
        <v>TOXO HAI 96 DET. TIPO WIENER</v>
      </c>
      <c r="D50" s="182"/>
      <c r="E50" s="182"/>
      <c r="F50" s="182"/>
      <c r="G50" s="183"/>
      <c r="H50" s="175" t="s">
        <v>223</v>
      </c>
      <c r="I50" s="176" t="str">
        <f>'Necesidades Trimestrales (2)'!F129</f>
        <v>UNIDAD</v>
      </c>
      <c r="J50" s="67">
        <f>'Necesidades Trimestrales (2)'!AT129</f>
        <v>16645</v>
      </c>
      <c r="K50" s="177">
        <f>'Necesidades Trimestrales (2)'!AS129</f>
        <v>12</v>
      </c>
      <c r="L50" s="167">
        <f t="shared" si="0"/>
        <v>199740</v>
      </c>
    </row>
    <row r="51" spans="1:12" x14ac:dyDescent="0.2">
      <c r="A51" s="170">
        <v>40</v>
      </c>
      <c r="B51" s="181"/>
      <c r="C51" s="172" t="str">
        <f>'Necesidades Trimestrales (2)'!E133</f>
        <v>Trigger TIPO ABBOTT P/ EQUIPO ARCHITECT</v>
      </c>
      <c r="D51" s="182"/>
      <c r="E51" s="182"/>
      <c r="F51" s="182"/>
      <c r="G51" s="183"/>
      <c r="H51" s="175" t="s">
        <v>223</v>
      </c>
      <c r="I51" s="176" t="str">
        <f>'Necesidades Trimestrales (2)'!F133</f>
        <v>CAJA</v>
      </c>
      <c r="J51" s="67">
        <f>'Necesidades Trimestrales (2)'!AT133</f>
        <v>7395</v>
      </c>
      <c r="K51" s="177">
        <f>'Necesidades Trimestrales (2)'!AS133</f>
        <v>4</v>
      </c>
      <c r="L51" s="167">
        <f t="shared" si="0"/>
        <v>29580</v>
      </c>
    </row>
    <row r="52" spans="1:12" x14ac:dyDescent="0.2">
      <c r="A52" s="170">
        <v>41</v>
      </c>
      <c r="B52" s="181"/>
      <c r="C52" s="172" t="str">
        <f>'Necesidades Trimestrales (2)'!E138</f>
        <v>VDRL Test 250 Det Tipo WIENER</v>
      </c>
      <c r="D52" s="182"/>
      <c r="E52" s="182"/>
      <c r="F52" s="182"/>
      <c r="G52" s="183"/>
      <c r="H52" s="175" t="s">
        <v>223</v>
      </c>
      <c r="I52" s="176" t="str">
        <f>'Necesidades Trimestrales (2)'!F138</f>
        <v>unidad</v>
      </c>
      <c r="J52" s="67">
        <f>'Necesidades Trimestrales (2)'!AT138</f>
        <v>1822</v>
      </c>
      <c r="K52" s="177">
        <v>12</v>
      </c>
      <c r="L52" s="167">
        <f t="shared" si="0"/>
        <v>21864</v>
      </c>
    </row>
    <row r="53" spans="1:12" ht="15.75" thickBot="1" x14ac:dyDescent="0.25">
      <c r="A53" s="79"/>
      <c r="B53" s="80"/>
      <c r="C53" s="81"/>
      <c r="D53" s="82"/>
      <c r="E53" s="82"/>
      <c r="F53" s="82"/>
      <c r="G53" s="83"/>
      <c r="H53" s="84"/>
      <c r="I53" s="85"/>
      <c r="J53" s="86"/>
      <c r="K53" s="87"/>
      <c r="L53" s="168"/>
    </row>
    <row r="54" spans="1:12" ht="13.5" thickBot="1" x14ac:dyDescent="0.25">
      <c r="A54" s="313" t="s">
        <v>279</v>
      </c>
      <c r="B54" s="314"/>
      <c r="C54" s="314"/>
      <c r="D54" s="314"/>
      <c r="E54" s="314"/>
      <c r="F54" s="314"/>
      <c r="G54" s="314"/>
      <c r="H54" s="314"/>
      <c r="I54" s="315"/>
      <c r="J54" s="316">
        <f>SUM(L12:L52)</f>
        <v>13507277.16</v>
      </c>
      <c r="K54" s="317"/>
      <c r="L54" s="168"/>
    </row>
  </sheetData>
  <mergeCells count="21">
    <mergeCell ref="A7:C7"/>
    <mergeCell ref="D7:K7"/>
    <mergeCell ref="C18:G18"/>
    <mergeCell ref="C19:G19"/>
    <mergeCell ref="A1:I1"/>
    <mergeCell ref="A3:C3"/>
    <mergeCell ref="A4:C4"/>
    <mergeCell ref="A5:C5"/>
    <mergeCell ref="A6:C6"/>
    <mergeCell ref="C27:G27"/>
    <mergeCell ref="A54:I54"/>
    <mergeCell ref="J54:K54"/>
    <mergeCell ref="A8:C8"/>
    <mergeCell ref="D8:K8"/>
    <mergeCell ref="A10:A11"/>
    <mergeCell ref="B10:B11"/>
    <mergeCell ref="C10:G11"/>
    <mergeCell ref="H10:H11"/>
    <mergeCell ref="I10:I11"/>
    <mergeCell ref="J10:J11"/>
    <mergeCell ref="K10:K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7"/>
  <sheetViews>
    <sheetView topLeftCell="A16" workbookViewId="0">
      <selection activeCell="A23" sqref="A23:P23"/>
    </sheetView>
  </sheetViews>
  <sheetFormatPr baseColWidth="10" defaultRowHeight="12.75" x14ac:dyDescent="0.2"/>
  <cols>
    <col min="1" max="5" width="4.42578125" customWidth="1"/>
    <col min="6" max="6" width="5.5703125" customWidth="1"/>
    <col min="7" max="14" width="4.42578125" customWidth="1"/>
    <col min="15" max="16" width="14.85546875" customWidth="1"/>
    <col min="17" max="17" width="17.7109375" customWidth="1"/>
  </cols>
  <sheetData>
    <row r="1" spans="1:17" ht="18.75" customHeight="1" thickBot="1" x14ac:dyDescent="0.3">
      <c r="A1" s="331" t="s">
        <v>2</v>
      </c>
      <c r="B1" s="331"/>
      <c r="C1" s="331"/>
      <c r="D1" s="332">
        <v>2021</v>
      </c>
      <c r="E1" s="332"/>
      <c r="F1" s="88"/>
      <c r="G1" s="88"/>
      <c r="H1" s="89"/>
      <c r="I1" s="89"/>
      <c r="J1" s="89"/>
      <c r="K1" s="89"/>
      <c r="L1" s="89"/>
      <c r="M1" s="89"/>
      <c r="N1" s="89"/>
      <c r="O1" s="90"/>
      <c r="P1" s="333" t="s">
        <v>224</v>
      </c>
      <c r="Q1" s="333"/>
    </row>
    <row r="2" spans="1:17" ht="18.75" customHeight="1" thickBot="1" x14ac:dyDescent="0.25">
      <c r="A2" s="90"/>
      <c r="B2" s="90"/>
      <c r="C2" s="90"/>
      <c r="D2" s="90"/>
      <c r="E2" s="90"/>
      <c r="F2" s="90"/>
      <c r="G2" s="91"/>
      <c r="H2" s="89"/>
      <c r="I2" s="89"/>
      <c r="J2" s="89"/>
      <c r="K2" s="89"/>
      <c r="L2" s="89"/>
      <c r="M2" s="89"/>
      <c r="N2" s="89"/>
      <c r="O2" s="90"/>
      <c r="P2" s="333"/>
      <c r="Q2" s="333"/>
    </row>
    <row r="3" spans="1:17" ht="18.75" customHeight="1" thickBot="1" x14ac:dyDescent="0.25">
      <c r="A3" s="90"/>
      <c r="B3" s="90"/>
      <c r="C3" s="90"/>
      <c r="D3" s="90"/>
      <c r="E3" s="90"/>
      <c r="F3" s="90"/>
      <c r="G3" s="91"/>
      <c r="H3" s="90"/>
      <c r="I3" s="90"/>
      <c r="J3" s="90"/>
      <c r="K3" s="90"/>
      <c r="L3" s="90"/>
      <c r="M3" s="90"/>
      <c r="N3" s="90"/>
      <c r="O3" s="90"/>
      <c r="P3" s="90"/>
      <c r="Q3" s="90"/>
    </row>
    <row r="4" spans="1:17" ht="18.75" customHeight="1" thickBot="1" x14ac:dyDescent="0.25">
      <c r="A4" s="334" t="s">
        <v>225</v>
      </c>
      <c r="B4" s="334"/>
      <c r="C4" s="334"/>
      <c r="D4" s="334"/>
      <c r="E4" s="334"/>
      <c r="F4" s="334"/>
      <c r="G4" s="92" t="str">
        <f>'lab centr'!D3</f>
        <v>040 - Ministerio de Salud</v>
      </c>
      <c r="H4" s="93"/>
      <c r="I4" s="93"/>
      <c r="J4" s="93"/>
      <c r="K4" s="93"/>
      <c r="L4" s="93"/>
      <c r="M4" s="93"/>
      <c r="N4" s="93"/>
      <c r="O4" s="93"/>
      <c r="P4" s="93"/>
      <c r="Q4" s="94"/>
    </row>
    <row r="5" spans="1:17" ht="18.75" customHeight="1" thickBot="1" x14ac:dyDescent="0.25">
      <c r="A5" s="328" t="s">
        <v>210</v>
      </c>
      <c r="B5" s="329"/>
      <c r="C5" s="329"/>
      <c r="D5" s="329"/>
      <c r="E5" s="329"/>
      <c r="F5" s="330"/>
      <c r="G5" s="92" t="str">
        <f>'lab centr'!D4</f>
        <v>011 - Direccion Provincial de Administración - Ministerio de Salud</v>
      </c>
      <c r="H5" s="93"/>
      <c r="I5" s="93"/>
      <c r="J5" s="93"/>
      <c r="K5" s="93"/>
      <c r="L5" s="93"/>
      <c r="M5" s="93"/>
      <c r="N5" s="93"/>
      <c r="O5" s="93"/>
      <c r="P5" s="93"/>
      <c r="Q5" s="94"/>
    </row>
    <row r="6" spans="1:17" ht="18.75" customHeight="1" thickBot="1" x14ac:dyDescent="0.25">
      <c r="A6" s="328" t="s">
        <v>212</v>
      </c>
      <c r="B6" s="329"/>
      <c r="C6" s="329"/>
      <c r="D6" s="329"/>
      <c r="E6" s="329"/>
      <c r="F6" s="330"/>
      <c r="G6" s="92" t="s">
        <v>276</v>
      </c>
      <c r="H6" s="93"/>
      <c r="I6" s="93"/>
      <c r="J6" s="93"/>
      <c r="K6" s="93"/>
      <c r="L6" s="93"/>
      <c r="M6" s="93"/>
      <c r="N6" s="93"/>
      <c r="O6" s="93"/>
      <c r="P6" s="93"/>
      <c r="Q6" s="94"/>
    </row>
    <row r="7" spans="1:17" ht="18.75" customHeight="1" thickBot="1" x14ac:dyDescent="0.25">
      <c r="A7" s="328" t="s">
        <v>213</v>
      </c>
      <c r="B7" s="329"/>
      <c r="C7" s="329"/>
      <c r="D7" s="329"/>
      <c r="E7" s="329"/>
      <c r="F7" s="330"/>
      <c r="G7" s="92" t="s">
        <v>276</v>
      </c>
      <c r="H7" s="93"/>
      <c r="I7" s="93"/>
      <c r="J7" s="93"/>
      <c r="K7" s="93"/>
      <c r="L7" s="93"/>
      <c r="M7" s="93"/>
      <c r="N7" s="93"/>
      <c r="O7" s="93"/>
      <c r="P7" s="93"/>
      <c r="Q7" s="94"/>
    </row>
    <row r="8" spans="1:17" ht="18.75" customHeight="1" thickBot="1" x14ac:dyDescent="0.25">
      <c r="A8" s="336" t="s">
        <v>226</v>
      </c>
      <c r="B8" s="336"/>
      <c r="C8" s="336"/>
      <c r="D8" s="336"/>
      <c r="E8" s="336"/>
      <c r="F8" s="336"/>
      <c r="G8" s="336"/>
      <c r="H8" s="336"/>
      <c r="I8" s="336"/>
      <c r="J8" s="336"/>
      <c r="K8" s="336"/>
      <c r="L8" s="336"/>
      <c r="M8" s="336"/>
      <c r="N8" s="336"/>
      <c r="O8" s="336"/>
      <c r="P8" s="336"/>
      <c r="Q8" s="336"/>
    </row>
    <row r="9" spans="1:17" ht="18.75" customHeight="1" x14ac:dyDescent="0.2">
      <c r="A9" s="337" t="s">
        <v>227</v>
      </c>
      <c r="B9" s="337"/>
      <c r="C9" s="337"/>
      <c r="D9" s="337"/>
      <c r="E9" s="337"/>
      <c r="F9" s="337"/>
      <c r="G9" s="337"/>
      <c r="H9" s="337"/>
      <c r="I9" s="337"/>
      <c r="J9" s="337"/>
      <c r="K9" s="337"/>
      <c r="L9" s="337"/>
      <c r="M9" s="337"/>
      <c r="N9" s="337"/>
      <c r="O9" s="95"/>
      <c r="P9" s="95"/>
      <c r="Q9" s="96"/>
    </row>
    <row r="10" spans="1:17" ht="48.75" customHeight="1" x14ac:dyDescent="0.2">
      <c r="A10" s="338" t="s">
        <v>272</v>
      </c>
      <c r="B10" s="339"/>
      <c r="C10" s="339"/>
      <c r="D10" s="339"/>
      <c r="E10" s="339"/>
      <c r="F10" s="339"/>
      <c r="G10" s="339"/>
      <c r="H10" s="339"/>
      <c r="I10" s="339"/>
      <c r="J10" s="339"/>
      <c r="K10" s="339"/>
      <c r="L10" s="339"/>
      <c r="M10" s="339"/>
      <c r="N10" s="339"/>
      <c r="O10" s="339"/>
      <c r="P10" s="339"/>
      <c r="Q10" s="340"/>
    </row>
    <row r="11" spans="1:17" ht="18.75" customHeight="1" thickBot="1" x14ac:dyDescent="0.25">
      <c r="A11" s="97"/>
      <c r="B11" s="98"/>
      <c r="C11" s="98"/>
      <c r="D11" s="98"/>
      <c r="E11" s="98"/>
      <c r="F11" s="98"/>
      <c r="G11" s="99"/>
      <c r="H11" s="98"/>
      <c r="I11" s="98"/>
      <c r="J11" s="98"/>
      <c r="K11" s="98"/>
      <c r="L11" s="98"/>
      <c r="M11" s="98"/>
      <c r="N11" s="98"/>
      <c r="O11" s="98"/>
      <c r="P11" s="98"/>
      <c r="Q11" s="100"/>
    </row>
    <row r="12" spans="1:17" ht="18.75" customHeight="1" thickBot="1" x14ac:dyDescent="0.25">
      <c r="A12" s="341" t="s">
        <v>228</v>
      </c>
      <c r="B12" s="341"/>
      <c r="C12" s="341"/>
      <c r="D12" s="341"/>
      <c r="E12" s="341"/>
      <c r="F12" s="341"/>
      <c r="G12" s="341"/>
      <c r="H12" s="341"/>
      <c r="I12" s="341"/>
      <c r="J12" s="341"/>
      <c r="K12" s="341"/>
      <c r="L12" s="341"/>
      <c r="M12" s="341"/>
      <c r="N12" s="341"/>
      <c r="O12" s="341"/>
      <c r="P12" s="341"/>
      <c r="Q12" s="341"/>
    </row>
    <row r="13" spans="1:17" ht="18.75" customHeight="1" thickBot="1" x14ac:dyDescent="0.25">
      <c r="A13" s="342" t="s">
        <v>229</v>
      </c>
      <c r="B13" s="342"/>
      <c r="C13" s="342"/>
      <c r="D13" s="342"/>
      <c r="E13" s="342"/>
      <c r="F13" s="342"/>
      <c r="G13" s="342"/>
      <c r="H13" s="342"/>
      <c r="I13" s="342"/>
      <c r="J13" s="342"/>
      <c r="K13" s="342"/>
      <c r="L13" s="342"/>
      <c r="M13" s="342"/>
      <c r="N13" s="342"/>
      <c r="O13" s="343" t="s">
        <v>230</v>
      </c>
      <c r="P13" s="343"/>
      <c r="Q13" s="344" t="s">
        <v>231</v>
      </c>
    </row>
    <row r="14" spans="1:17" ht="18.75" customHeight="1" thickBot="1" x14ac:dyDescent="0.25">
      <c r="A14" s="101" t="s">
        <v>232</v>
      </c>
      <c r="B14" s="102" t="s">
        <v>233</v>
      </c>
      <c r="C14" s="102" t="s">
        <v>234</v>
      </c>
      <c r="D14" s="102" t="s">
        <v>235</v>
      </c>
      <c r="E14" s="102" t="s">
        <v>236</v>
      </c>
      <c r="F14" s="102" t="s">
        <v>237</v>
      </c>
      <c r="G14" s="103" t="s">
        <v>238</v>
      </c>
      <c r="H14" s="102" t="s">
        <v>239</v>
      </c>
      <c r="I14" s="102" t="s">
        <v>240</v>
      </c>
      <c r="J14" s="102" t="s">
        <v>241</v>
      </c>
      <c r="K14" s="102" t="s">
        <v>241</v>
      </c>
      <c r="L14" s="102" t="s">
        <v>242</v>
      </c>
      <c r="M14" s="104" t="s">
        <v>243</v>
      </c>
      <c r="N14" s="105" t="s">
        <v>244</v>
      </c>
      <c r="O14" s="343"/>
      <c r="P14" s="343"/>
      <c r="Q14" s="344"/>
    </row>
    <row r="15" spans="1:17" ht="37.5" customHeight="1" x14ac:dyDescent="0.2">
      <c r="A15" s="106">
        <v>27</v>
      </c>
      <c r="B15" s="107"/>
      <c r="C15" s="107"/>
      <c r="D15" s="107">
        <v>1</v>
      </c>
      <c r="E15" s="107"/>
      <c r="F15" s="107">
        <v>4901</v>
      </c>
      <c r="G15" s="107">
        <v>3</v>
      </c>
      <c r="H15" s="107">
        <v>1</v>
      </c>
      <c r="I15" s="108">
        <v>2</v>
      </c>
      <c r="J15" s="108">
        <v>5</v>
      </c>
      <c r="K15" s="108">
        <v>1</v>
      </c>
      <c r="L15" s="107"/>
      <c r="M15" s="109">
        <v>1</v>
      </c>
      <c r="N15" s="110" t="s">
        <v>245</v>
      </c>
      <c r="O15" s="345" t="s">
        <v>251</v>
      </c>
      <c r="P15" s="346"/>
      <c r="Q15" s="111">
        <f>+'Necesidades Trimestrales (2)'!N145</f>
        <v>13507277.16</v>
      </c>
    </row>
    <row r="16" spans="1:17" ht="18.75" customHeight="1" x14ac:dyDescent="0.2">
      <c r="A16" s="112"/>
      <c r="B16" s="113"/>
      <c r="C16" s="113"/>
      <c r="D16" s="113"/>
      <c r="E16" s="113"/>
      <c r="F16" s="113"/>
      <c r="G16" s="113"/>
      <c r="H16" s="113"/>
      <c r="I16" s="113"/>
      <c r="J16" s="113"/>
      <c r="K16" s="113"/>
      <c r="L16" s="113"/>
      <c r="M16" s="114"/>
      <c r="N16" s="115"/>
      <c r="O16" s="347"/>
      <c r="P16" s="335"/>
      <c r="Q16" s="116"/>
    </row>
    <row r="17" spans="1:17" ht="18.75" customHeight="1" x14ac:dyDescent="0.2">
      <c r="A17" s="112"/>
      <c r="B17" s="113"/>
      <c r="C17" s="113"/>
      <c r="D17" s="113"/>
      <c r="E17" s="113"/>
      <c r="F17" s="115"/>
      <c r="G17" s="113"/>
      <c r="H17" s="113"/>
      <c r="I17" s="113"/>
      <c r="J17" s="113"/>
      <c r="K17" s="113"/>
      <c r="L17" s="113"/>
      <c r="M17" s="114"/>
      <c r="N17" s="115"/>
      <c r="O17" s="347"/>
      <c r="P17" s="335"/>
      <c r="Q17" s="116"/>
    </row>
    <row r="18" spans="1:17" ht="18.75" customHeight="1" x14ac:dyDescent="0.2">
      <c r="A18" s="112"/>
      <c r="B18" s="113"/>
      <c r="C18" s="113"/>
      <c r="D18" s="113"/>
      <c r="E18" s="113"/>
      <c r="F18" s="113"/>
      <c r="G18" s="113"/>
      <c r="H18" s="113"/>
      <c r="I18" s="113"/>
      <c r="J18" s="113"/>
      <c r="K18" s="113"/>
      <c r="L18" s="113"/>
      <c r="M18" s="114"/>
      <c r="N18" s="115"/>
      <c r="O18" s="335"/>
      <c r="P18" s="335"/>
      <c r="Q18" s="116"/>
    </row>
    <row r="19" spans="1:17" ht="18.75" customHeight="1" x14ac:dyDescent="0.2">
      <c r="A19" s="112"/>
      <c r="B19" s="113"/>
      <c r="C19" s="113"/>
      <c r="D19" s="113"/>
      <c r="E19" s="113"/>
      <c r="F19" s="115"/>
      <c r="G19" s="113"/>
      <c r="H19" s="113"/>
      <c r="I19" s="113"/>
      <c r="J19" s="113"/>
      <c r="K19" s="113"/>
      <c r="L19" s="113"/>
      <c r="M19" s="114"/>
      <c r="N19" s="115"/>
      <c r="O19" s="335"/>
      <c r="P19" s="335"/>
      <c r="Q19" s="116"/>
    </row>
    <row r="20" spans="1:17" ht="18.75" customHeight="1" x14ac:dyDescent="0.2">
      <c r="A20" s="112"/>
      <c r="B20" s="113"/>
      <c r="C20" s="113"/>
      <c r="D20" s="113"/>
      <c r="E20" s="113"/>
      <c r="F20" s="115"/>
      <c r="G20" s="113"/>
      <c r="H20" s="113"/>
      <c r="I20" s="113"/>
      <c r="J20" s="113"/>
      <c r="K20" s="113"/>
      <c r="L20" s="113"/>
      <c r="M20" s="114"/>
      <c r="N20" s="115"/>
      <c r="O20" s="335"/>
      <c r="P20" s="335"/>
      <c r="Q20" s="116"/>
    </row>
    <row r="21" spans="1:17" ht="18.75" customHeight="1" x14ac:dyDescent="0.2">
      <c r="A21" s="117"/>
      <c r="B21" s="118"/>
      <c r="C21" s="118"/>
      <c r="D21" s="118"/>
      <c r="E21" s="118"/>
      <c r="F21" s="119"/>
      <c r="G21" s="118"/>
      <c r="H21" s="118"/>
      <c r="I21" s="118"/>
      <c r="J21" s="118"/>
      <c r="K21" s="118"/>
      <c r="L21" s="118"/>
      <c r="M21" s="120"/>
      <c r="N21" s="121"/>
      <c r="O21" s="347"/>
      <c r="P21" s="347"/>
      <c r="Q21" s="116"/>
    </row>
    <row r="22" spans="1:17" ht="18.75" customHeight="1" thickBot="1" x14ac:dyDescent="0.25">
      <c r="A22" s="122"/>
      <c r="B22" s="123"/>
      <c r="C22" s="123"/>
      <c r="D22" s="123"/>
      <c r="E22" s="123"/>
      <c r="F22" s="123"/>
      <c r="G22" s="123"/>
      <c r="H22" s="123"/>
      <c r="I22" s="123"/>
      <c r="J22" s="123"/>
      <c r="K22" s="123"/>
      <c r="L22" s="123"/>
      <c r="M22" s="124"/>
      <c r="N22" s="123"/>
      <c r="O22" s="348"/>
      <c r="P22" s="348"/>
      <c r="Q22" s="125"/>
    </row>
    <row r="23" spans="1:17" ht="37.5" customHeight="1" thickBot="1" x14ac:dyDescent="0.25">
      <c r="A23" s="349" t="s">
        <v>268</v>
      </c>
      <c r="B23" s="349"/>
      <c r="C23" s="349"/>
      <c r="D23" s="349"/>
      <c r="E23" s="349"/>
      <c r="F23" s="349"/>
      <c r="G23" s="349"/>
      <c r="H23" s="349"/>
      <c r="I23" s="349"/>
      <c r="J23" s="349"/>
      <c r="K23" s="349"/>
      <c r="L23" s="349"/>
      <c r="M23" s="349"/>
      <c r="N23" s="349"/>
      <c r="O23" s="349"/>
      <c r="P23" s="349"/>
      <c r="Q23" s="126">
        <f>SUM(Q15:Q22)</f>
        <v>13507277.16</v>
      </c>
    </row>
    <row r="24" spans="1:17" ht="18.75" customHeight="1" thickBot="1" x14ac:dyDescent="0.25">
      <c r="A24" s="350"/>
      <c r="B24" s="350"/>
      <c r="C24" s="350"/>
      <c r="D24" s="350"/>
      <c r="E24" s="350"/>
      <c r="F24" s="350"/>
      <c r="G24" s="350"/>
      <c r="H24" s="350"/>
      <c r="I24" s="350"/>
      <c r="J24" s="350"/>
      <c r="K24" s="350"/>
      <c r="L24" s="350"/>
      <c r="M24" s="350"/>
      <c r="N24" s="350"/>
      <c r="O24" s="350"/>
      <c r="P24" s="350"/>
      <c r="Q24" s="350"/>
    </row>
    <row r="25" spans="1:17" ht="18.75" customHeight="1" thickBot="1" x14ac:dyDescent="0.25">
      <c r="A25" s="351" t="s">
        <v>246</v>
      </c>
      <c r="B25" s="352"/>
      <c r="C25" s="352"/>
      <c r="D25" s="352"/>
      <c r="E25" s="352"/>
      <c r="F25" s="353"/>
      <c r="G25" s="354"/>
      <c r="H25" s="354"/>
      <c r="I25" s="354"/>
      <c r="J25" s="354"/>
      <c r="K25" s="354"/>
      <c r="L25" s="354"/>
      <c r="M25" s="354"/>
      <c r="N25" s="354"/>
      <c r="O25" s="354"/>
      <c r="P25" s="354"/>
      <c r="Q25" s="354"/>
    </row>
    <row r="26" spans="1:17" ht="18.75" customHeight="1" x14ac:dyDescent="0.2">
      <c r="A26" s="127" t="str">
        <f>'lab centr'!D8</f>
        <v>Adquisicion del  RUBRO REACTIVOS PARA LABORATORIO</v>
      </c>
      <c r="B26" s="128"/>
      <c r="C26" s="128"/>
      <c r="D26" s="128"/>
      <c r="E26" s="128"/>
      <c r="F26" s="128"/>
      <c r="G26" s="128"/>
      <c r="H26" s="128"/>
      <c r="I26" s="128"/>
      <c r="J26" s="128"/>
      <c r="K26" s="128"/>
      <c r="L26" s="128"/>
      <c r="M26" s="128"/>
      <c r="N26" s="128"/>
      <c r="O26" s="128"/>
      <c r="P26" s="128"/>
      <c r="Q26" s="129"/>
    </row>
    <row r="27" spans="1:17" ht="18.75" customHeight="1" thickBot="1" x14ac:dyDescent="0.25">
      <c r="A27" s="130"/>
      <c r="B27" s="131"/>
      <c r="C27" s="131"/>
      <c r="D27" s="131"/>
      <c r="E27" s="131"/>
      <c r="F27" s="131"/>
      <c r="G27" s="131"/>
      <c r="H27" s="131"/>
      <c r="I27" s="131"/>
      <c r="J27" s="131"/>
      <c r="K27" s="131"/>
      <c r="L27" s="131"/>
      <c r="M27" s="131"/>
      <c r="N27" s="131"/>
      <c r="O27" s="131"/>
      <c r="P27" s="131"/>
      <c r="Q27" s="132"/>
    </row>
  </sheetData>
  <mergeCells count="26">
    <mergeCell ref="A6:F6"/>
    <mergeCell ref="A1:C1"/>
    <mergeCell ref="D1:E1"/>
    <mergeCell ref="P1:Q2"/>
    <mergeCell ref="A4:F4"/>
    <mergeCell ref="A5:F5"/>
    <mergeCell ref="O20:P20"/>
    <mergeCell ref="A7:F7"/>
    <mergeCell ref="A8:Q8"/>
    <mergeCell ref="A9:N9"/>
    <mergeCell ref="A10:Q10"/>
    <mergeCell ref="A12:Q12"/>
    <mergeCell ref="A13:N13"/>
    <mergeCell ref="O13:P14"/>
    <mergeCell ref="Q13:Q14"/>
    <mergeCell ref="O15:P15"/>
    <mergeCell ref="O16:P16"/>
    <mergeCell ref="O17:P17"/>
    <mergeCell ref="O18:P18"/>
    <mergeCell ref="O19:P19"/>
    <mergeCell ref="O21:P21"/>
    <mergeCell ref="O22:P22"/>
    <mergeCell ref="A23:P23"/>
    <mergeCell ref="A24:Q24"/>
    <mergeCell ref="A25:F25"/>
    <mergeCell ref="G25:Q2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0"/>
  <sheetViews>
    <sheetView workbookViewId="0">
      <selection activeCell="C24" sqref="C24"/>
    </sheetView>
  </sheetViews>
  <sheetFormatPr baseColWidth="10" defaultRowHeight="12.75" x14ac:dyDescent="0.2"/>
  <cols>
    <col min="1" max="1" width="5.5703125" customWidth="1"/>
    <col min="2" max="2" width="15.140625" customWidth="1"/>
    <col min="3" max="3" width="14.140625" customWidth="1"/>
    <col min="4" max="4" width="26" customWidth="1"/>
    <col min="5" max="5" width="8" customWidth="1"/>
    <col min="6" max="6" width="7.85546875" customWidth="1"/>
    <col min="7" max="7" width="22" customWidth="1"/>
    <col min="8" max="8" width="9.28515625" customWidth="1"/>
    <col min="9" max="9" width="14.5703125" customWidth="1"/>
    <col min="10" max="10" width="16" customWidth="1"/>
    <col min="11" max="11" width="15.5703125" customWidth="1"/>
    <col min="13" max="13" width="15.42578125" bestFit="1" customWidth="1"/>
  </cols>
  <sheetData>
    <row r="1" spans="1:13" ht="16.5" thickBot="1" x14ac:dyDescent="0.25">
      <c r="A1" s="311" t="s">
        <v>206</v>
      </c>
      <c r="B1" s="311"/>
      <c r="C1" s="311"/>
      <c r="D1" s="311"/>
      <c r="E1" s="311"/>
      <c r="F1" s="311"/>
      <c r="G1" s="311"/>
      <c r="H1" s="311"/>
      <c r="I1" s="311"/>
      <c r="J1" s="51" t="s">
        <v>207</v>
      </c>
      <c r="K1" s="52" t="s">
        <v>270</v>
      </c>
      <c r="M1" s="53"/>
    </row>
    <row r="2" spans="1:13" ht="16.5" thickBot="1" x14ac:dyDescent="0.25">
      <c r="A2" s="54"/>
      <c r="B2" s="54"/>
      <c r="C2" s="54"/>
      <c r="D2" s="55"/>
      <c r="E2" s="55"/>
      <c r="F2" s="55"/>
      <c r="G2" s="55"/>
      <c r="H2" s="55"/>
      <c r="I2" s="55"/>
      <c r="J2" s="55"/>
      <c r="K2" s="55"/>
      <c r="M2" s="53"/>
    </row>
    <row r="3" spans="1:13" ht="16.5" thickBot="1" x14ac:dyDescent="0.25">
      <c r="A3" s="312" t="s">
        <v>208</v>
      </c>
      <c r="B3" s="312"/>
      <c r="C3" s="312"/>
      <c r="D3" s="56" t="s">
        <v>209</v>
      </c>
      <c r="E3" s="57"/>
      <c r="F3" s="57"/>
      <c r="G3" s="57"/>
      <c r="H3" s="57"/>
      <c r="I3" s="57"/>
      <c r="J3" s="57"/>
      <c r="K3" s="58"/>
      <c r="M3" s="53"/>
    </row>
    <row r="4" spans="1:13" ht="16.5" thickBot="1" x14ac:dyDescent="0.25">
      <c r="A4" s="309" t="s">
        <v>210</v>
      </c>
      <c r="B4" s="309"/>
      <c r="C4" s="309"/>
      <c r="D4" s="56" t="s">
        <v>211</v>
      </c>
      <c r="E4" s="57"/>
      <c r="F4" s="57"/>
      <c r="G4" s="57"/>
      <c r="H4" s="57"/>
      <c r="I4" s="57"/>
      <c r="J4" s="57"/>
      <c r="K4" s="58"/>
      <c r="M4" s="53"/>
    </row>
    <row r="5" spans="1:13" ht="16.5" thickBot="1" x14ac:dyDescent="0.25">
      <c r="A5" s="309" t="s">
        <v>212</v>
      </c>
      <c r="B5" s="309"/>
      <c r="C5" s="309"/>
      <c r="D5" s="56" t="s">
        <v>277</v>
      </c>
      <c r="E5" s="59"/>
      <c r="F5" s="59"/>
      <c r="G5" s="59"/>
      <c r="H5" s="59"/>
      <c r="I5" s="59"/>
      <c r="J5" s="59"/>
      <c r="K5" s="60"/>
      <c r="M5" s="53"/>
    </row>
    <row r="6" spans="1:13" ht="16.5" thickBot="1" x14ac:dyDescent="0.25">
      <c r="A6" s="312" t="s">
        <v>213</v>
      </c>
      <c r="B6" s="312"/>
      <c r="C6" s="312"/>
      <c r="D6" s="56" t="s">
        <v>277</v>
      </c>
      <c r="E6" s="59"/>
      <c r="F6" s="59"/>
      <c r="G6" s="59"/>
      <c r="H6" s="59"/>
      <c r="I6" s="59"/>
      <c r="J6" s="59"/>
      <c r="K6" s="60"/>
      <c r="M6" s="53"/>
    </row>
    <row r="7" spans="1:13" ht="16.5" thickBot="1" x14ac:dyDescent="0.25">
      <c r="A7" s="309" t="s">
        <v>214</v>
      </c>
      <c r="B7" s="309"/>
      <c r="C7" s="309"/>
      <c r="D7" s="310" t="s">
        <v>274</v>
      </c>
      <c r="E7" s="310"/>
      <c r="F7" s="310"/>
      <c r="G7" s="310"/>
      <c r="H7" s="310"/>
      <c r="I7" s="310"/>
      <c r="J7" s="310"/>
      <c r="K7" s="310"/>
      <c r="M7" s="53"/>
    </row>
    <row r="8" spans="1:13" ht="16.5" thickBot="1" x14ac:dyDescent="0.25">
      <c r="A8" s="318" t="s">
        <v>215</v>
      </c>
      <c r="B8" s="318"/>
      <c r="C8" s="318"/>
      <c r="D8" s="319" t="s">
        <v>250</v>
      </c>
      <c r="E8" s="319"/>
      <c r="F8" s="319"/>
      <c r="G8" s="319"/>
      <c r="H8" s="319"/>
      <c r="I8" s="319"/>
      <c r="J8" s="319"/>
      <c r="K8" s="319"/>
      <c r="M8" s="53"/>
    </row>
    <row r="9" spans="1:13" ht="16.5" thickBot="1" x14ac:dyDescent="0.25">
      <c r="A9" s="61"/>
      <c r="B9" s="61"/>
      <c r="C9" s="61"/>
      <c r="D9" s="62"/>
      <c r="E9" s="62"/>
      <c r="F9" s="62"/>
      <c r="G9" s="62"/>
      <c r="H9" s="62"/>
      <c r="I9" s="62"/>
      <c r="J9" s="62"/>
      <c r="K9" s="62"/>
      <c r="M9" s="53"/>
    </row>
    <row r="10" spans="1:13" ht="13.5" thickBot="1" x14ac:dyDescent="0.25">
      <c r="A10" s="320" t="s">
        <v>216</v>
      </c>
      <c r="B10" s="322" t="s">
        <v>217</v>
      </c>
      <c r="C10" s="322" t="s">
        <v>218</v>
      </c>
      <c r="D10" s="322"/>
      <c r="E10" s="322"/>
      <c r="F10" s="322"/>
      <c r="G10" s="322"/>
      <c r="H10" s="324" t="s">
        <v>219</v>
      </c>
      <c r="I10" s="326" t="s">
        <v>220</v>
      </c>
      <c r="J10" s="326" t="s">
        <v>221</v>
      </c>
      <c r="K10" s="326" t="s">
        <v>222</v>
      </c>
      <c r="M10" s="53"/>
    </row>
    <row r="11" spans="1:13" x14ac:dyDescent="0.2">
      <c r="A11" s="321"/>
      <c r="B11" s="323"/>
      <c r="C11" s="323"/>
      <c r="D11" s="323"/>
      <c r="E11" s="323"/>
      <c r="F11" s="323"/>
      <c r="G11" s="323"/>
      <c r="H11" s="325"/>
      <c r="I11" s="327"/>
      <c r="J11" s="327"/>
      <c r="K11" s="327"/>
      <c r="M11" s="53"/>
    </row>
    <row r="12" spans="1:13" x14ac:dyDescent="0.2">
      <c r="A12" s="63">
        <v>1</v>
      </c>
      <c r="B12" s="64"/>
      <c r="C12" s="149" t="str">
        <f>'Necesidades Trimestrales (2)'!E10</f>
        <v xml:space="preserve">AGUA BIDESTILADA x 10 litros </v>
      </c>
      <c r="D12" s="148"/>
      <c r="E12" s="148"/>
      <c r="F12" s="148"/>
      <c r="G12" s="148"/>
      <c r="H12" s="65" t="s">
        <v>223</v>
      </c>
      <c r="I12" s="66" t="str">
        <f>'Necesidades Trimestrales (2)'!F10</f>
        <v>BIDON</v>
      </c>
      <c r="J12" s="67">
        <f>'Necesidades Trimestrales (2)'!AT10</f>
        <v>574</v>
      </c>
      <c r="K12" s="68">
        <f>'Necesidades Trimestrales (2)'!AS10</f>
        <v>10</v>
      </c>
      <c r="L12" s="167">
        <f>+J12*K12</f>
        <v>5740</v>
      </c>
      <c r="M12" s="53">
        <f>+J12*K12</f>
        <v>5740</v>
      </c>
    </row>
    <row r="13" spans="1:13" ht="15" x14ac:dyDescent="0.2">
      <c r="A13" s="63">
        <v>2</v>
      </c>
      <c r="B13" s="64"/>
      <c r="C13" s="149" t="str">
        <f>'Necesidades Trimestrales (2)'!E25</f>
        <v>ARC ANTI HBC II CALIBRADOR TIPO ART. ABBOT</v>
      </c>
      <c r="D13" s="73"/>
      <c r="E13" s="73"/>
      <c r="F13" s="73"/>
      <c r="G13" s="74"/>
      <c r="H13" s="65" t="s">
        <v>223</v>
      </c>
      <c r="I13" s="66" t="str">
        <f>'Necesidades Trimestrales (2)'!F25</f>
        <v>KIT</v>
      </c>
      <c r="J13" s="67">
        <f>'Necesidades Trimestrales (2)'!AT25</f>
        <v>15850</v>
      </c>
      <c r="K13" s="68">
        <f>'Necesidades Trimestrales (2)'!AS25</f>
        <v>1</v>
      </c>
      <c r="L13" s="167">
        <f t="shared" ref="L13:L28" si="0">+J13*K13</f>
        <v>15850</v>
      </c>
      <c r="M13" s="53">
        <f t="shared" ref="M13:M28" si="1">+J13*K13</f>
        <v>15850</v>
      </c>
    </row>
    <row r="14" spans="1:13" ht="15" x14ac:dyDescent="0.2">
      <c r="A14" s="63">
        <v>3</v>
      </c>
      <c r="B14" s="64"/>
      <c r="C14" s="149" t="str">
        <f>'Necesidades Trimestrales (2)'!E26</f>
        <v>ARC ANTI HBC II RGT X 100 DET. TIPO ART. ABBOT</v>
      </c>
      <c r="D14" s="73"/>
      <c r="E14" s="73"/>
      <c r="F14" s="73"/>
      <c r="G14" s="74"/>
      <c r="H14" s="65" t="s">
        <v>223</v>
      </c>
      <c r="I14" s="66" t="str">
        <f>'Necesidades Trimestrales (2)'!F26</f>
        <v>KIT</v>
      </c>
      <c r="J14" s="67">
        <f>'Necesidades Trimestrales (2)'!AT26</f>
        <v>36750</v>
      </c>
      <c r="K14" s="68">
        <f>'Necesidades Trimestrales (2)'!AS26</f>
        <v>2</v>
      </c>
      <c r="L14" s="167">
        <f t="shared" si="0"/>
        <v>73500</v>
      </c>
      <c r="M14" s="53">
        <f t="shared" si="1"/>
        <v>73500</v>
      </c>
    </row>
    <row r="15" spans="1:13" ht="15" x14ac:dyDescent="0.2">
      <c r="A15" s="63">
        <v>4</v>
      </c>
      <c r="B15" s="64"/>
      <c r="C15" s="149" t="str">
        <f>'Necesidades Trimestrales (2)'!E27</f>
        <v>ARC ANTI HCV CALIBRADOR TIPO ART. ABBOT</v>
      </c>
      <c r="D15" s="73"/>
      <c r="E15" s="73"/>
      <c r="F15" s="73"/>
      <c r="G15" s="74"/>
      <c r="H15" s="65" t="s">
        <v>223</v>
      </c>
      <c r="I15" s="66" t="str">
        <f>'Necesidades Trimestrales (2)'!F27</f>
        <v>KIT</v>
      </c>
      <c r="J15" s="67">
        <f>'Necesidades Trimestrales (2)'!AT27</f>
        <v>15850</v>
      </c>
      <c r="K15" s="68">
        <f>'Necesidades Trimestrales (2)'!AS27</f>
        <v>1</v>
      </c>
      <c r="L15" s="167">
        <f t="shared" si="0"/>
        <v>15850</v>
      </c>
      <c r="M15" s="53">
        <f t="shared" si="1"/>
        <v>15850</v>
      </c>
    </row>
    <row r="16" spans="1:13" ht="15" x14ac:dyDescent="0.2">
      <c r="A16" s="63">
        <v>5</v>
      </c>
      <c r="B16" s="64"/>
      <c r="C16" s="149" t="str">
        <f>'Necesidades Trimestrales (2)'!E28</f>
        <v>ARC ANTI HCV RGT X 100 DET. TIPO ART. ABBOT</v>
      </c>
      <c r="D16" s="73"/>
      <c r="E16" s="73"/>
      <c r="F16" s="73"/>
      <c r="G16" s="74"/>
      <c r="H16" s="65" t="s">
        <v>223</v>
      </c>
      <c r="I16" s="66" t="str">
        <f>'Necesidades Trimestrales (2)'!F28</f>
        <v>KIT</v>
      </c>
      <c r="J16" s="67">
        <f>'Necesidades Trimestrales (2)'!AT28</f>
        <v>71500</v>
      </c>
      <c r="K16" s="68">
        <f>'Necesidades Trimestrales (2)'!AS28</f>
        <v>2</v>
      </c>
      <c r="L16" s="167">
        <f t="shared" si="0"/>
        <v>143000</v>
      </c>
      <c r="M16" s="53">
        <f t="shared" si="1"/>
        <v>143000</v>
      </c>
    </row>
    <row r="17" spans="1:13" ht="15" x14ac:dyDescent="0.2">
      <c r="A17" s="63">
        <v>6</v>
      </c>
      <c r="B17" s="64"/>
      <c r="C17" s="149" t="str">
        <f>'Necesidades Trimestrales (2)'!E29</f>
        <v>ARC BUFFER CONCENTRADO x 4 lts TIPO ART. ABBOT</v>
      </c>
      <c r="D17" s="73"/>
      <c r="E17" s="73"/>
      <c r="F17" s="73"/>
      <c r="G17" s="74"/>
      <c r="H17" s="65" t="s">
        <v>223</v>
      </c>
      <c r="I17" s="66" t="str">
        <f>'Necesidades Trimestrales (2)'!F29</f>
        <v>BIDON</v>
      </c>
      <c r="J17" s="67">
        <f>'Necesidades Trimestrales (2)'!AT29</f>
        <v>12550</v>
      </c>
      <c r="K17" s="68">
        <f>'Necesidades Trimestrales (2)'!AS29</f>
        <v>3</v>
      </c>
      <c r="L17" s="167">
        <f t="shared" si="0"/>
        <v>37650</v>
      </c>
      <c r="M17" s="53">
        <f t="shared" si="1"/>
        <v>37650</v>
      </c>
    </row>
    <row r="18" spans="1:13" ht="15" x14ac:dyDescent="0.2">
      <c r="A18" s="63">
        <v>7</v>
      </c>
      <c r="B18" s="64"/>
      <c r="C18" s="149" t="str">
        <f>'Necesidades Trimestrales (2)'!E30</f>
        <v>ARC CELDAS DE REACCION  TIPO ART. ABBOT</v>
      </c>
      <c r="D18" s="73"/>
      <c r="E18" s="73"/>
      <c r="F18" s="73"/>
      <c r="G18" s="74"/>
      <c r="H18" s="65" t="s">
        <v>223</v>
      </c>
      <c r="I18" s="66" t="str">
        <f>'Necesidades Trimestrales (2)'!F30</f>
        <v>CAJA</v>
      </c>
      <c r="J18" s="67">
        <f>'Necesidades Trimestrales (2)'!AT30</f>
        <v>28000</v>
      </c>
      <c r="K18" s="68">
        <f>'Necesidades Trimestrales (2)'!AS30</f>
        <v>3</v>
      </c>
      <c r="L18" s="167">
        <f t="shared" si="0"/>
        <v>84000</v>
      </c>
      <c r="M18" s="53">
        <f t="shared" si="1"/>
        <v>84000</v>
      </c>
    </row>
    <row r="19" spans="1:13" ht="15" x14ac:dyDescent="0.2">
      <c r="A19" s="63">
        <v>8</v>
      </c>
      <c r="B19" s="64"/>
      <c r="C19" s="149" t="str">
        <f>'Necesidades Trimestrales (2)'!E31</f>
        <v>ARC CMV M CALIBRADOR TIPO ART. ABBOT</v>
      </c>
      <c r="D19" s="73"/>
      <c r="E19" s="73"/>
      <c r="F19" s="73"/>
      <c r="G19" s="74"/>
      <c r="H19" s="65" t="s">
        <v>223</v>
      </c>
      <c r="I19" s="66" t="str">
        <f>'Necesidades Trimestrales (2)'!F31</f>
        <v>KIT</v>
      </c>
      <c r="J19" s="67">
        <f>'Necesidades Trimestrales (2)'!AT31</f>
        <v>15039</v>
      </c>
      <c r="K19" s="68">
        <f>'Necesidades Trimestrales (2)'!AS31</f>
        <v>1</v>
      </c>
      <c r="L19" s="167">
        <f t="shared" si="0"/>
        <v>15039</v>
      </c>
      <c r="M19" s="53">
        <f t="shared" si="1"/>
        <v>15039</v>
      </c>
    </row>
    <row r="20" spans="1:13" ht="15" x14ac:dyDescent="0.2">
      <c r="A20" s="63">
        <v>9</v>
      </c>
      <c r="B20" s="64"/>
      <c r="C20" s="149" t="str">
        <f>'Necesidades Trimestrales (2)'!E32</f>
        <v>ARC CMV M RGT X 100 TIPO ART. ABBOT</v>
      </c>
      <c r="D20" s="73"/>
      <c r="E20" s="73"/>
      <c r="F20" s="73"/>
      <c r="G20" s="74"/>
      <c r="H20" s="65" t="s">
        <v>223</v>
      </c>
      <c r="I20" s="66" t="str">
        <f>'Necesidades Trimestrales (2)'!F32</f>
        <v>KIT</v>
      </c>
      <c r="J20" s="67">
        <f>'Necesidades Trimestrales (2)'!AT32</f>
        <v>27595</v>
      </c>
      <c r="K20" s="68">
        <f>'Necesidades Trimestrales (2)'!AS32</f>
        <v>1</v>
      </c>
      <c r="L20" s="167">
        <f t="shared" si="0"/>
        <v>27595</v>
      </c>
      <c r="M20" s="53">
        <f t="shared" si="1"/>
        <v>27595</v>
      </c>
    </row>
    <row r="21" spans="1:13" ht="15" x14ac:dyDescent="0.2">
      <c r="A21" s="63">
        <v>10</v>
      </c>
      <c r="B21" s="64"/>
      <c r="C21" s="149" t="str">
        <f>'Necesidades Trimestrales (2)'!E33</f>
        <v>ARC HBSAG CALIBRADOR TIPO ART. ABBOT</v>
      </c>
      <c r="D21" s="73"/>
      <c r="E21" s="73"/>
      <c r="F21" s="73"/>
      <c r="G21" s="74"/>
      <c r="H21" s="65" t="s">
        <v>223</v>
      </c>
      <c r="I21" s="66" t="str">
        <f>'Necesidades Trimestrales (2)'!F33</f>
        <v>KIT</v>
      </c>
      <c r="J21" s="67">
        <f>'Necesidades Trimestrales (2)'!AT33</f>
        <v>15850</v>
      </c>
      <c r="K21" s="68">
        <f>'Necesidades Trimestrales (2)'!AS33</f>
        <v>1</v>
      </c>
      <c r="L21" s="167">
        <f t="shared" si="0"/>
        <v>15850</v>
      </c>
      <c r="M21" s="53">
        <f t="shared" si="1"/>
        <v>15850</v>
      </c>
    </row>
    <row r="22" spans="1:13" ht="15" x14ac:dyDescent="0.2">
      <c r="A22" s="63">
        <v>11</v>
      </c>
      <c r="B22" s="64"/>
      <c r="C22" s="149" t="str">
        <f>'Necesidades Trimestrales (2)'!E34</f>
        <v>ARC HBSAG RGT X 100 DET. TIPO ART. ABBOT</v>
      </c>
      <c r="D22" s="73"/>
      <c r="E22" s="73"/>
      <c r="F22" s="73"/>
      <c r="G22" s="74"/>
      <c r="H22" s="65" t="s">
        <v>223</v>
      </c>
      <c r="I22" s="66" t="str">
        <f>'Necesidades Trimestrales (2)'!F34</f>
        <v>KIT</v>
      </c>
      <c r="J22" s="67">
        <f>'Necesidades Trimestrales (2)'!AT34</f>
        <v>24480</v>
      </c>
      <c r="K22" s="68">
        <f>'Necesidades Trimestrales (2)'!AS34</f>
        <v>2</v>
      </c>
      <c r="L22" s="167">
        <f t="shared" si="0"/>
        <v>48960</v>
      </c>
      <c r="M22" s="53">
        <f t="shared" si="1"/>
        <v>48960</v>
      </c>
    </row>
    <row r="23" spans="1:13" ht="15" x14ac:dyDescent="0.2">
      <c r="A23" s="63">
        <v>12</v>
      </c>
      <c r="B23" s="64"/>
      <c r="C23" s="149" t="str">
        <f>'Necesidades Trimestrales (2)'!E35</f>
        <v>ARC HIV COMBO CALIBRADOR TIPO ART. ABBOT</v>
      </c>
      <c r="D23" s="73"/>
      <c r="E23" s="73"/>
      <c r="F23" s="73"/>
      <c r="G23" s="74"/>
      <c r="H23" s="65" t="s">
        <v>223</v>
      </c>
      <c r="I23" s="66" t="str">
        <f>'Necesidades Trimestrales (2)'!F35</f>
        <v>KIT</v>
      </c>
      <c r="J23" s="67">
        <f>'Necesidades Trimestrales (2)'!AT35</f>
        <v>20240</v>
      </c>
      <c r="K23" s="68">
        <f>'Necesidades Trimestrales (2)'!AS35</f>
        <v>1</v>
      </c>
      <c r="L23" s="167">
        <f t="shared" si="0"/>
        <v>20240</v>
      </c>
      <c r="M23" s="53">
        <f t="shared" si="1"/>
        <v>20240</v>
      </c>
    </row>
    <row r="24" spans="1:13" ht="15" x14ac:dyDescent="0.2">
      <c r="A24" s="63">
        <v>13</v>
      </c>
      <c r="B24" s="64"/>
      <c r="C24" s="149" t="str">
        <f>'Necesidades Trimestrales (2)'!E36</f>
        <v>ARC HIV COMBO RGT X 100 DET. TIPO ART. ABBOT</v>
      </c>
      <c r="D24" s="73"/>
      <c r="E24" s="73"/>
      <c r="F24" s="73"/>
      <c r="G24" s="74"/>
      <c r="H24" s="65" t="s">
        <v>223</v>
      </c>
      <c r="I24" s="66" t="str">
        <f>'Necesidades Trimestrales (2)'!F36</f>
        <v>KIT</v>
      </c>
      <c r="J24" s="67">
        <f>'Necesidades Trimestrales (2)'!AT36</f>
        <v>42239</v>
      </c>
      <c r="K24" s="68">
        <f>'Necesidades Trimestrales (2)'!AS36</f>
        <v>4</v>
      </c>
      <c r="L24" s="167">
        <f t="shared" si="0"/>
        <v>168956</v>
      </c>
      <c r="M24" s="53">
        <f t="shared" si="1"/>
        <v>168956</v>
      </c>
    </row>
    <row r="25" spans="1:13" ht="15" x14ac:dyDescent="0.2">
      <c r="A25" s="63">
        <v>14</v>
      </c>
      <c r="B25" s="64"/>
      <c r="C25" s="149" t="str">
        <f>'Necesidades Trimestrales (2)'!E37</f>
        <v>ARC PRE TRIGGER x 4 lts TIPO ART. ABBOT</v>
      </c>
      <c r="D25" s="73"/>
      <c r="E25" s="73"/>
      <c r="F25" s="73"/>
      <c r="G25" s="74"/>
      <c r="H25" s="65" t="s">
        <v>223</v>
      </c>
      <c r="I25" s="66" t="str">
        <f>'Necesidades Trimestrales (2)'!F37</f>
        <v>BIDON</v>
      </c>
      <c r="J25" s="67">
        <f>'Necesidades Trimestrales (2)'!AT37</f>
        <v>25500</v>
      </c>
      <c r="K25" s="68">
        <f>'Necesidades Trimestrales (2)'!AS37</f>
        <v>2</v>
      </c>
      <c r="L25" s="167">
        <f t="shared" si="0"/>
        <v>51000</v>
      </c>
      <c r="M25" s="53">
        <f t="shared" si="1"/>
        <v>51000</v>
      </c>
    </row>
    <row r="26" spans="1:13" ht="15" x14ac:dyDescent="0.2">
      <c r="A26" s="63">
        <v>15</v>
      </c>
      <c r="B26" s="64"/>
      <c r="C26" s="149" t="str">
        <f>'Necesidades Trimestrales (2)'!E38</f>
        <v>ARC SIFILIS CALIBRADOR TIPO ART. ABBOT</v>
      </c>
      <c r="D26" s="73"/>
      <c r="E26" s="73"/>
      <c r="F26" s="73"/>
      <c r="G26" s="74"/>
      <c r="H26" s="65" t="s">
        <v>223</v>
      </c>
      <c r="I26" s="66" t="str">
        <f>'Necesidades Trimestrales (2)'!F38</f>
        <v>KIT</v>
      </c>
      <c r="J26" s="67">
        <f>'Necesidades Trimestrales (2)'!AT38</f>
        <v>16418</v>
      </c>
      <c r="K26" s="68">
        <f>'Necesidades Trimestrales (2)'!AS38</f>
        <v>1</v>
      </c>
      <c r="L26" s="167">
        <f t="shared" si="0"/>
        <v>16418</v>
      </c>
      <c r="M26" s="53">
        <f t="shared" si="1"/>
        <v>16418</v>
      </c>
    </row>
    <row r="27" spans="1:13" ht="15" x14ac:dyDescent="0.2">
      <c r="A27" s="63">
        <v>16</v>
      </c>
      <c r="B27" s="64"/>
      <c r="C27" s="149" t="str">
        <f>'Necesidades Trimestrales (2)'!E39</f>
        <v>ARC SIFILIS RGT X 100 TIPO ART. ABBOT</v>
      </c>
      <c r="D27" s="73"/>
      <c r="E27" s="73"/>
      <c r="F27" s="73"/>
      <c r="G27" s="74"/>
      <c r="H27" s="65" t="s">
        <v>223</v>
      </c>
      <c r="I27" s="66" t="str">
        <f>'Necesidades Trimestrales (2)'!F39</f>
        <v>KIT</v>
      </c>
      <c r="J27" s="67">
        <f>'Necesidades Trimestrales (2)'!AT39</f>
        <v>32350</v>
      </c>
      <c r="K27" s="68">
        <f>'Necesidades Trimestrales (2)'!AS39</f>
        <v>2</v>
      </c>
      <c r="L27" s="167">
        <f t="shared" si="0"/>
        <v>64700</v>
      </c>
      <c r="M27" s="53">
        <f t="shared" si="1"/>
        <v>64700</v>
      </c>
    </row>
    <row r="28" spans="1:13" ht="15" x14ac:dyDescent="0.2">
      <c r="A28" s="63">
        <v>17</v>
      </c>
      <c r="B28" s="64"/>
      <c r="C28" s="149" t="str">
        <f>'Necesidades Trimestrales (2)'!E40</f>
        <v>ARC TRIGGER x 4 lts TIPO ART. ABBOT</v>
      </c>
      <c r="D28" s="73"/>
      <c r="E28" s="73"/>
      <c r="F28" s="73"/>
      <c r="G28" s="74"/>
      <c r="H28" s="65" t="s">
        <v>223</v>
      </c>
      <c r="I28" s="66" t="str">
        <f>'Necesidades Trimestrales (2)'!F40</f>
        <v>BIDON</v>
      </c>
      <c r="J28" s="67">
        <f>'Necesidades Trimestrales (2)'!AT40</f>
        <v>11000</v>
      </c>
      <c r="K28" s="68">
        <f>'Necesidades Trimestrales (2)'!AS40</f>
        <v>2</v>
      </c>
      <c r="L28" s="167">
        <f t="shared" si="0"/>
        <v>22000</v>
      </c>
      <c r="M28" s="53">
        <f t="shared" si="1"/>
        <v>22000</v>
      </c>
    </row>
    <row r="29" spans="1:13" ht="15.75" thickBot="1" x14ac:dyDescent="0.25">
      <c r="A29" s="79"/>
      <c r="B29" s="80"/>
      <c r="C29" s="81"/>
      <c r="D29" s="82"/>
      <c r="E29" s="82"/>
      <c r="F29" s="82"/>
      <c r="G29" s="83"/>
      <c r="H29" s="84"/>
      <c r="I29" s="85"/>
      <c r="J29" s="86"/>
      <c r="K29" s="87"/>
      <c r="M29" s="53"/>
    </row>
    <row r="30" spans="1:13" ht="13.5" thickBot="1" x14ac:dyDescent="0.25">
      <c r="A30" s="313" t="s">
        <v>278</v>
      </c>
      <c r="B30" s="314"/>
      <c r="C30" s="314"/>
      <c r="D30" s="314"/>
      <c r="E30" s="314"/>
      <c r="F30" s="314"/>
      <c r="G30" s="314"/>
      <c r="H30" s="314"/>
      <c r="I30" s="315"/>
      <c r="J30" s="316">
        <f>SUM(L12:L28)</f>
        <v>826348</v>
      </c>
      <c r="K30" s="317"/>
      <c r="M30" s="53">
        <f>SUM(M12:M29)</f>
        <v>826348</v>
      </c>
    </row>
  </sheetData>
  <mergeCells count="18">
    <mergeCell ref="A7:C7"/>
    <mergeCell ref="D7:K7"/>
    <mergeCell ref="A1:I1"/>
    <mergeCell ref="A3:C3"/>
    <mergeCell ref="A4:C4"/>
    <mergeCell ref="A5:C5"/>
    <mergeCell ref="A6:C6"/>
    <mergeCell ref="A30:I30"/>
    <mergeCell ref="J30:K30"/>
    <mergeCell ref="A8:C8"/>
    <mergeCell ref="D8:K8"/>
    <mergeCell ref="A10:A11"/>
    <mergeCell ref="B10:B11"/>
    <mergeCell ref="C10:G11"/>
    <mergeCell ref="H10:H11"/>
    <mergeCell ref="I10:I11"/>
    <mergeCell ref="J10:J11"/>
    <mergeCell ref="K10:K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27"/>
  <sheetViews>
    <sheetView topLeftCell="A13" workbookViewId="0">
      <selection activeCell="O18" sqref="O18:P18"/>
    </sheetView>
  </sheetViews>
  <sheetFormatPr baseColWidth="10" defaultRowHeight="12.75" x14ac:dyDescent="0.2"/>
  <cols>
    <col min="1" max="5" width="4.42578125" customWidth="1"/>
    <col min="6" max="6" width="5.5703125" customWidth="1"/>
    <col min="7" max="14" width="4.42578125" customWidth="1"/>
    <col min="15" max="16" width="14.85546875" customWidth="1"/>
    <col min="17" max="17" width="17.7109375" customWidth="1"/>
  </cols>
  <sheetData>
    <row r="1" spans="1:17" ht="18.75" customHeight="1" thickBot="1" x14ac:dyDescent="0.3">
      <c r="A1" s="331" t="s">
        <v>2</v>
      </c>
      <c r="B1" s="331"/>
      <c r="C1" s="331"/>
      <c r="D1" s="332">
        <v>2021</v>
      </c>
      <c r="E1" s="332"/>
      <c r="F1" s="88"/>
      <c r="G1" s="88"/>
      <c r="H1" s="89"/>
      <c r="I1" s="89"/>
      <c r="J1" s="89"/>
      <c r="K1" s="89"/>
      <c r="L1" s="89"/>
      <c r="M1" s="89"/>
      <c r="N1" s="89"/>
      <c r="O1" s="90"/>
      <c r="P1" s="333" t="s">
        <v>224</v>
      </c>
      <c r="Q1" s="333"/>
    </row>
    <row r="2" spans="1:17" ht="18.75" customHeight="1" thickBot="1" x14ac:dyDescent="0.25">
      <c r="A2" s="90"/>
      <c r="B2" s="90"/>
      <c r="C2" s="90"/>
      <c r="D2" s="90"/>
      <c r="E2" s="90"/>
      <c r="F2" s="90"/>
      <c r="G2" s="91"/>
      <c r="H2" s="89"/>
      <c r="I2" s="89"/>
      <c r="J2" s="89"/>
      <c r="K2" s="89"/>
      <c r="L2" s="89"/>
      <c r="M2" s="89"/>
      <c r="N2" s="89"/>
      <c r="O2" s="90"/>
      <c r="P2" s="333"/>
      <c r="Q2" s="333"/>
    </row>
    <row r="3" spans="1:17" ht="18.75" customHeight="1" thickBot="1" x14ac:dyDescent="0.25">
      <c r="A3" s="90"/>
      <c r="B3" s="90"/>
      <c r="C3" s="90"/>
      <c r="D3" s="90"/>
      <c r="E3" s="90"/>
      <c r="F3" s="90"/>
      <c r="G3" s="91"/>
      <c r="H3" s="90"/>
      <c r="I3" s="90"/>
      <c r="J3" s="90"/>
      <c r="K3" s="90"/>
      <c r="L3" s="90"/>
      <c r="M3" s="90"/>
      <c r="N3" s="90"/>
      <c r="O3" s="90"/>
      <c r="P3" s="90"/>
      <c r="Q3" s="90"/>
    </row>
    <row r="4" spans="1:17" ht="18.75" customHeight="1" thickBot="1" x14ac:dyDescent="0.25">
      <c r="A4" s="334" t="s">
        <v>225</v>
      </c>
      <c r="B4" s="334"/>
      <c r="C4" s="334"/>
      <c r="D4" s="334"/>
      <c r="E4" s="334"/>
      <c r="F4" s="334"/>
      <c r="G4" s="92" t="str">
        <f>'[1]lab centr'!D3</f>
        <v>040 - Ministerio de Salud</v>
      </c>
      <c r="H4" s="93"/>
      <c r="I4" s="93"/>
      <c r="J4" s="93"/>
      <c r="K4" s="93"/>
      <c r="L4" s="93"/>
      <c r="M4" s="93"/>
      <c r="N4" s="93"/>
      <c r="O4" s="93"/>
      <c r="P4" s="93"/>
      <c r="Q4" s="94"/>
    </row>
    <row r="5" spans="1:17" ht="18.75" customHeight="1" thickBot="1" x14ac:dyDescent="0.25">
      <c r="A5" s="328" t="s">
        <v>210</v>
      </c>
      <c r="B5" s="329"/>
      <c r="C5" s="329"/>
      <c r="D5" s="329"/>
      <c r="E5" s="329"/>
      <c r="F5" s="330"/>
      <c r="G5" s="92" t="str">
        <f>'[1]lab centr'!D4</f>
        <v>011 - Direccion Provincial de Administración - Ministerio de Salud</v>
      </c>
      <c r="H5" s="93"/>
      <c r="I5" s="93"/>
      <c r="J5" s="93"/>
      <c r="K5" s="93"/>
      <c r="L5" s="93"/>
      <c r="M5" s="93"/>
      <c r="N5" s="93"/>
      <c r="O5" s="93"/>
      <c r="P5" s="93"/>
      <c r="Q5" s="94"/>
    </row>
    <row r="6" spans="1:17" ht="18.75" customHeight="1" thickBot="1" x14ac:dyDescent="0.25">
      <c r="A6" s="328" t="s">
        <v>212</v>
      </c>
      <c r="B6" s="329"/>
      <c r="C6" s="329"/>
      <c r="D6" s="329"/>
      <c r="E6" s="329"/>
      <c r="F6" s="330"/>
      <c r="G6" s="92" t="s">
        <v>277</v>
      </c>
      <c r="H6" s="93"/>
      <c r="I6" s="93"/>
      <c r="J6" s="93"/>
      <c r="K6" s="93"/>
      <c r="L6" s="93"/>
      <c r="M6" s="93"/>
      <c r="N6" s="93"/>
      <c r="O6" s="93"/>
      <c r="P6" s="93"/>
      <c r="Q6" s="94"/>
    </row>
    <row r="7" spans="1:17" ht="18.75" customHeight="1" thickBot="1" x14ac:dyDescent="0.25">
      <c r="A7" s="328" t="s">
        <v>213</v>
      </c>
      <c r="B7" s="329"/>
      <c r="C7" s="329"/>
      <c r="D7" s="329"/>
      <c r="E7" s="329"/>
      <c r="F7" s="330"/>
      <c r="G7" s="92" t="s">
        <v>277</v>
      </c>
      <c r="H7" s="93"/>
      <c r="I7" s="93"/>
      <c r="J7" s="93"/>
      <c r="K7" s="93"/>
      <c r="L7" s="93"/>
      <c r="M7" s="93"/>
      <c r="N7" s="93"/>
      <c r="O7" s="93"/>
      <c r="P7" s="93"/>
      <c r="Q7" s="94"/>
    </row>
    <row r="8" spans="1:17" ht="18.75" customHeight="1" thickBot="1" x14ac:dyDescent="0.25">
      <c r="A8" s="336" t="s">
        <v>226</v>
      </c>
      <c r="B8" s="336"/>
      <c r="C8" s="336"/>
      <c r="D8" s="336"/>
      <c r="E8" s="336"/>
      <c r="F8" s="336"/>
      <c r="G8" s="336"/>
      <c r="H8" s="336"/>
      <c r="I8" s="336"/>
      <c r="J8" s="336"/>
      <c r="K8" s="336"/>
      <c r="L8" s="336"/>
      <c r="M8" s="336"/>
      <c r="N8" s="336"/>
      <c r="O8" s="336"/>
      <c r="P8" s="336"/>
      <c r="Q8" s="336"/>
    </row>
    <row r="9" spans="1:17" ht="18.75" customHeight="1" x14ac:dyDescent="0.2">
      <c r="A9" s="337" t="s">
        <v>227</v>
      </c>
      <c r="B9" s="337"/>
      <c r="C9" s="337"/>
      <c r="D9" s="337"/>
      <c r="E9" s="337"/>
      <c r="F9" s="337"/>
      <c r="G9" s="337"/>
      <c r="H9" s="337"/>
      <c r="I9" s="337"/>
      <c r="J9" s="337"/>
      <c r="K9" s="337"/>
      <c r="L9" s="337"/>
      <c r="M9" s="337"/>
      <c r="N9" s="337"/>
      <c r="O9" s="95"/>
      <c r="P9" s="95"/>
      <c r="Q9" s="96"/>
    </row>
    <row r="10" spans="1:17" ht="48.75" customHeight="1" x14ac:dyDescent="0.2">
      <c r="A10" s="338" t="s">
        <v>269</v>
      </c>
      <c r="B10" s="339"/>
      <c r="C10" s="339"/>
      <c r="D10" s="339"/>
      <c r="E10" s="339"/>
      <c r="F10" s="339"/>
      <c r="G10" s="339"/>
      <c r="H10" s="339"/>
      <c r="I10" s="339"/>
      <c r="J10" s="339"/>
      <c r="K10" s="339"/>
      <c r="L10" s="339"/>
      <c r="M10" s="339"/>
      <c r="N10" s="339"/>
      <c r="O10" s="339"/>
      <c r="P10" s="339"/>
      <c r="Q10" s="340"/>
    </row>
    <row r="11" spans="1:17" ht="18.75" customHeight="1" thickBot="1" x14ac:dyDescent="0.25">
      <c r="A11" s="97"/>
      <c r="B11" s="98"/>
      <c r="C11" s="98"/>
      <c r="D11" s="98"/>
      <c r="E11" s="98"/>
      <c r="F11" s="98"/>
      <c r="G11" s="99"/>
      <c r="H11" s="98"/>
      <c r="I11" s="98"/>
      <c r="J11" s="98"/>
      <c r="K11" s="98"/>
      <c r="L11" s="98"/>
      <c r="M11" s="98"/>
      <c r="N11" s="98"/>
      <c r="O11" s="98"/>
      <c r="P11" s="98"/>
      <c r="Q11" s="100"/>
    </row>
    <row r="12" spans="1:17" ht="18.75" customHeight="1" thickBot="1" x14ac:dyDescent="0.25">
      <c r="A12" s="341" t="s">
        <v>228</v>
      </c>
      <c r="B12" s="341"/>
      <c r="C12" s="341"/>
      <c r="D12" s="341"/>
      <c r="E12" s="341"/>
      <c r="F12" s="341"/>
      <c r="G12" s="341"/>
      <c r="H12" s="341"/>
      <c r="I12" s="341"/>
      <c r="J12" s="341"/>
      <c r="K12" s="341"/>
      <c r="L12" s="341"/>
      <c r="M12" s="341"/>
      <c r="N12" s="341"/>
      <c r="O12" s="341"/>
      <c r="P12" s="341"/>
      <c r="Q12" s="341"/>
    </row>
    <row r="13" spans="1:17" ht="18.75" customHeight="1" thickBot="1" x14ac:dyDescent="0.25">
      <c r="A13" s="342" t="s">
        <v>229</v>
      </c>
      <c r="B13" s="342"/>
      <c r="C13" s="342"/>
      <c r="D13" s="342"/>
      <c r="E13" s="342"/>
      <c r="F13" s="342"/>
      <c r="G13" s="342"/>
      <c r="H13" s="342"/>
      <c r="I13" s="342"/>
      <c r="J13" s="342"/>
      <c r="K13" s="342"/>
      <c r="L13" s="342"/>
      <c r="M13" s="342"/>
      <c r="N13" s="342"/>
      <c r="O13" s="343" t="s">
        <v>230</v>
      </c>
      <c r="P13" s="343"/>
      <c r="Q13" s="344" t="s">
        <v>231</v>
      </c>
    </row>
    <row r="14" spans="1:17" ht="18.75" customHeight="1" thickBot="1" x14ac:dyDescent="0.25">
      <c r="A14" s="101" t="s">
        <v>232</v>
      </c>
      <c r="B14" s="102" t="s">
        <v>233</v>
      </c>
      <c r="C14" s="102" t="s">
        <v>234</v>
      </c>
      <c r="D14" s="102" t="s">
        <v>235</v>
      </c>
      <c r="E14" s="102" t="s">
        <v>236</v>
      </c>
      <c r="F14" s="102" t="s">
        <v>237</v>
      </c>
      <c r="G14" s="103" t="s">
        <v>238</v>
      </c>
      <c r="H14" s="102" t="s">
        <v>239</v>
      </c>
      <c r="I14" s="102" t="s">
        <v>240</v>
      </c>
      <c r="J14" s="102" t="s">
        <v>241</v>
      </c>
      <c r="K14" s="102" t="s">
        <v>241</v>
      </c>
      <c r="L14" s="102" t="s">
        <v>242</v>
      </c>
      <c r="M14" s="104" t="s">
        <v>243</v>
      </c>
      <c r="N14" s="105" t="s">
        <v>244</v>
      </c>
      <c r="O14" s="343"/>
      <c r="P14" s="343"/>
      <c r="Q14" s="344"/>
    </row>
    <row r="15" spans="1:17" ht="37.5" customHeight="1" thickBot="1" x14ac:dyDescent="0.25">
      <c r="A15" s="106">
        <v>35</v>
      </c>
      <c r="B15" s="107"/>
      <c r="C15" s="107"/>
      <c r="D15" s="107">
        <v>1</v>
      </c>
      <c r="E15" s="107"/>
      <c r="F15" s="107">
        <v>4901</v>
      </c>
      <c r="G15" s="107">
        <v>3</v>
      </c>
      <c r="H15" s="107">
        <v>1</v>
      </c>
      <c r="I15" s="280">
        <v>2</v>
      </c>
      <c r="J15" s="280">
        <v>5</v>
      </c>
      <c r="K15" s="108">
        <v>1</v>
      </c>
      <c r="L15" s="107"/>
      <c r="M15" s="109">
        <v>1</v>
      </c>
      <c r="N15" s="110" t="s">
        <v>245</v>
      </c>
      <c r="O15" s="345" t="s">
        <v>251</v>
      </c>
      <c r="P15" s="346"/>
      <c r="Q15" s="111">
        <f>826348-16700-481880</f>
        <v>327768</v>
      </c>
    </row>
    <row r="16" spans="1:17" ht="18.75" customHeight="1" thickBot="1" x14ac:dyDescent="0.25">
      <c r="A16" s="106">
        <v>35</v>
      </c>
      <c r="B16" s="281"/>
      <c r="C16" s="281"/>
      <c r="D16" s="281">
        <v>2</v>
      </c>
      <c r="E16" s="281"/>
      <c r="F16" s="107">
        <v>4901</v>
      </c>
      <c r="G16" s="107">
        <v>3</v>
      </c>
      <c r="H16" s="107">
        <v>1</v>
      </c>
      <c r="I16" s="280">
        <v>2</v>
      </c>
      <c r="J16" s="280">
        <v>5</v>
      </c>
      <c r="K16" s="108">
        <v>1</v>
      </c>
      <c r="L16" s="113"/>
      <c r="M16" s="109">
        <v>1</v>
      </c>
      <c r="N16" s="110" t="s">
        <v>245</v>
      </c>
      <c r="O16" s="345" t="s">
        <v>251</v>
      </c>
      <c r="P16" s="346"/>
      <c r="Q16" s="116">
        <v>16700</v>
      </c>
    </row>
    <row r="17" spans="1:17" ht="18.75" customHeight="1" x14ac:dyDescent="0.2">
      <c r="A17" s="106">
        <v>35</v>
      </c>
      <c r="B17" s="281"/>
      <c r="C17" s="281"/>
      <c r="D17" s="281">
        <v>3</v>
      </c>
      <c r="E17" s="281"/>
      <c r="F17" s="107">
        <v>4901</v>
      </c>
      <c r="G17" s="107">
        <v>3</v>
      </c>
      <c r="H17" s="107">
        <v>1</v>
      </c>
      <c r="I17" s="280">
        <v>2</v>
      </c>
      <c r="J17" s="280">
        <v>5</v>
      </c>
      <c r="K17" s="108">
        <v>1</v>
      </c>
      <c r="L17" s="113"/>
      <c r="M17" s="109">
        <v>1</v>
      </c>
      <c r="N17" s="110" t="s">
        <v>245</v>
      </c>
      <c r="O17" s="345" t="s">
        <v>251</v>
      </c>
      <c r="P17" s="346"/>
      <c r="Q17" s="116">
        <v>481880</v>
      </c>
    </row>
    <row r="18" spans="1:17" ht="18.75" customHeight="1" x14ac:dyDescent="0.2">
      <c r="A18" s="112"/>
      <c r="B18" s="113"/>
      <c r="C18" s="113"/>
      <c r="D18" s="113"/>
      <c r="E18" s="113"/>
      <c r="F18" s="113"/>
      <c r="G18" s="113"/>
      <c r="H18" s="113"/>
      <c r="I18" s="113"/>
      <c r="J18" s="113"/>
      <c r="K18" s="113"/>
      <c r="L18" s="113"/>
      <c r="M18" s="114"/>
      <c r="N18" s="115"/>
      <c r="O18" s="335"/>
      <c r="P18" s="335"/>
      <c r="Q18" s="116"/>
    </row>
    <row r="19" spans="1:17" ht="18.75" customHeight="1" x14ac:dyDescent="0.2">
      <c r="A19" s="112"/>
      <c r="B19" s="113"/>
      <c r="C19" s="113"/>
      <c r="D19" s="113"/>
      <c r="E19" s="113"/>
      <c r="F19" s="115"/>
      <c r="G19" s="113"/>
      <c r="H19" s="113"/>
      <c r="I19" s="113"/>
      <c r="J19" s="113"/>
      <c r="K19" s="113"/>
      <c r="L19" s="113"/>
      <c r="M19" s="114"/>
      <c r="N19" s="115"/>
      <c r="O19" s="335"/>
      <c r="P19" s="335"/>
      <c r="Q19" s="116"/>
    </row>
    <row r="20" spans="1:17" ht="18.75" customHeight="1" x14ac:dyDescent="0.2">
      <c r="A20" s="112"/>
      <c r="B20" s="113"/>
      <c r="C20" s="113"/>
      <c r="D20" s="113"/>
      <c r="E20" s="113"/>
      <c r="F20" s="115"/>
      <c r="G20" s="113"/>
      <c r="H20" s="113"/>
      <c r="I20" s="113"/>
      <c r="J20" s="113"/>
      <c r="K20" s="113"/>
      <c r="L20" s="113"/>
      <c r="M20" s="114"/>
      <c r="N20" s="115"/>
      <c r="O20" s="335"/>
      <c r="P20" s="335"/>
      <c r="Q20" s="116"/>
    </row>
    <row r="21" spans="1:17" ht="18.75" customHeight="1" x14ac:dyDescent="0.2">
      <c r="A21" s="117"/>
      <c r="B21" s="118"/>
      <c r="C21" s="118"/>
      <c r="D21" s="118"/>
      <c r="E21" s="118"/>
      <c r="F21" s="119"/>
      <c r="G21" s="118"/>
      <c r="H21" s="118"/>
      <c r="I21" s="118"/>
      <c r="J21" s="118"/>
      <c r="K21" s="118"/>
      <c r="L21" s="118"/>
      <c r="M21" s="120"/>
      <c r="N21" s="121"/>
      <c r="O21" s="347"/>
      <c r="P21" s="347"/>
      <c r="Q21" s="116"/>
    </row>
    <row r="22" spans="1:17" ht="18.75" customHeight="1" thickBot="1" x14ac:dyDescent="0.25">
      <c r="A22" s="122"/>
      <c r="B22" s="123"/>
      <c r="C22" s="123"/>
      <c r="D22" s="123"/>
      <c r="E22" s="123"/>
      <c r="F22" s="123"/>
      <c r="G22" s="123"/>
      <c r="H22" s="123"/>
      <c r="I22" s="123"/>
      <c r="J22" s="123"/>
      <c r="K22" s="123"/>
      <c r="L22" s="123"/>
      <c r="M22" s="124"/>
      <c r="N22" s="123"/>
      <c r="O22" s="348"/>
      <c r="P22" s="348"/>
      <c r="Q22" s="125"/>
    </row>
    <row r="23" spans="1:17" ht="37.5" customHeight="1" thickBot="1" x14ac:dyDescent="0.25">
      <c r="A23" s="349" t="s">
        <v>273</v>
      </c>
      <c r="B23" s="349"/>
      <c r="C23" s="349"/>
      <c r="D23" s="349"/>
      <c r="E23" s="349"/>
      <c r="F23" s="349"/>
      <c r="G23" s="349"/>
      <c r="H23" s="349"/>
      <c r="I23" s="349"/>
      <c r="J23" s="349"/>
      <c r="K23" s="349"/>
      <c r="L23" s="349"/>
      <c r="M23" s="349"/>
      <c r="N23" s="349"/>
      <c r="O23" s="349"/>
      <c r="P23" s="349"/>
      <c r="Q23" s="126">
        <f>SUM(Q15:Q22)</f>
        <v>826348</v>
      </c>
    </row>
    <row r="24" spans="1:17" ht="18.75" customHeight="1" thickBot="1" x14ac:dyDescent="0.25">
      <c r="A24" s="350"/>
      <c r="B24" s="350"/>
      <c r="C24" s="350"/>
      <c r="D24" s="350"/>
      <c r="E24" s="350"/>
      <c r="F24" s="350"/>
      <c r="G24" s="350"/>
      <c r="H24" s="350"/>
      <c r="I24" s="350"/>
      <c r="J24" s="350"/>
      <c r="K24" s="350"/>
      <c r="L24" s="350"/>
      <c r="M24" s="350"/>
      <c r="N24" s="350"/>
      <c r="O24" s="350"/>
      <c r="P24" s="350"/>
      <c r="Q24" s="350"/>
    </row>
    <row r="25" spans="1:17" ht="18.75" customHeight="1" thickBot="1" x14ac:dyDescent="0.25">
      <c r="A25" s="351" t="s">
        <v>246</v>
      </c>
      <c r="B25" s="352"/>
      <c r="C25" s="352"/>
      <c r="D25" s="352"/>
      <c r="E25" s="352"/>
      <c r="F25" s="353"/>
      <c r="G25" s="354"/>
      <c r="H25" s="354"/>
      <c r="I25" s="354"/>
      <c r="J25" s="354"/>
      <c r="K25" s="354"/>
      <c r="L25" s="354"/>
      <c r="M25" s="354"/>
      <c r="N25" s="354"/>
      <c r="O25" s="354"/>
      <c r="P25" s="354"/>
      <c r="Q25" s="354"/>
    </row>
    <row r="26" spans="1:17" ht="18.75" customHeight="1" x14ac:dyDescent="0.2">
      <c r="A26" s="127" t="str">
        <f>'[1]lab centr'!D8</f>
        <v>Adquisicion del  RUBRO REACTIVOS PARA LABORATORIO</v>
      </c>
      <c r="B26" s="128"/>
      <c r="C26" s="128"/>
      <c r="D26" s="128"/>
      <c r="E26" s="128"/>
      <c r="F26" s="128"/>
      <c r="G26" s="128"/>
      <c r="H26" s="128"/>
      <c r="I26" s="128"/>
      <c r="J26" s="128"/>
      <c r="K26" s="128"/>
      <c r="L26" s="128"/>
      <c r="M26" s="128"/>
      <c r="N26" s="128"/>
      <c r="O26" s="128"/>
      <c r="P26" s="128"/>
      <c r="Q26" s="129"/>
    </row>
    <row r="27" spans="1:17" ht="18.75" customHeight="1" thickBot="1" x14ac:dyDescent="0.25">
      <c r="A27" s="130"/>
      <c r="B27" s="131"/>
      <c r="C27" s="131"/>
      <c r="D27" s="131"/>
      <c r="E27" s="131"/>
      <c r="F27" s="131"/>
      <c r="G27" s="131"/>
      <c r="H27" s="131"/>
      <c r="I27" s="131"/>
      <c r="J27" s="131"/>
      <c r="K27" s="131"/>
      <c r="L27" s="131"/>
      <c r="M27" s="131"/>
      <c r="N27" s="131"/>
      <c r="O27" s="131"/>
      <c r="P27" s="131"/>
      <c r="Q27" s="132"/>
    </row>
  </sheetData>
  <mergeCells count="26">
    <mergeCell ref="A6:F6"/>
    <mergeCell ref="A1:C1"/>
    <mergeCell ref="D1:E1"/>
    <mergeCell ref="P1:Q2"/>
    <mergeCell ref="A4:F4"/>
    <mergeCell ref="A5:F5"/>
    <mergeCell ref="O20:P20"/>
    <mergeCell ref="A7:F7"/>
    <mergeCell ref="A8:Q8"/>
    <mergeCell ref="A9:N9"/>
    <mergeCell ref="A10:Q10"/>
    <mergeCell ref="A12:Q12"/>
    <mergeCell ref="A13:N13"/>
    <mergeCell ref="O13:P14"/>
    <mergeCell ref="Q13:Q14"/>
    <mergeCell ref="O15:P15"/>
    <mergeCell ref="O16:P16"/>
    <mergeCell ref="O17:P17"/>
    <mergeCell ref="O18:P18"/>
    <mergeCell ref="O19:P19"/>
    <mergeCell ref="O21:P21"/>
    <mergeCell ref="O22:P22"/>
    <mergeCell ref="A23:P23"/>
    <mergeCell ref="A24:Q24"/>
    <mergeCell ref="A25:F25"/>
    <mergeCell ref="G25:Q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Necesidades Trimestrales (2)</vt:lpstr>
      <vt:lpstr>lab centr</vt:lpstr>
      <vt:lpstr>APG</vt:lpstr>
      <vt:lpstr>bco sangr</vt:lpstr>
      <vt:lpstr>APG (3)</vt:lpstr>
      <vt:lpstr>CUR</vt:lpstr>
      <vt:lpstr>APG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ELIAS QUINTAR</cp:lastModifiedBy>
  <cp:revision>2</cp:revision>
  <cp:lastPrinted>2021-02-22T15:06:37Z</cp:lastPrinted>
  <dcterms:created xsi:type="dcterms:W3CDTF">2020-07-17T23:44:49Z</dcterms:created>
  <dcterms:modified xsi:type="dcterms:W3CDTF">2021-08-12T11:22:35Z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