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aternidad\Repuestos y Accesorios\"/>
    </mc:Choice>
  </mc:AlternateContent>
  <xr:revisionPtr revIDLastSave="0" documentId="13_ncr:1_{B4D5D769-166F-4C55-B9A5-6E30166C9CF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Trimestrales'!$A$9:$I$19</definedName>
    <definedName name="_xlnm.Print_Area" localSheetId="1">' NotaPedido'!$A$1:$K$22</definedName>
    <definedName name="_xlnm.Print_Area" localSheetId="2">'Autor Gastar'!$A$1:$Q$30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1" l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L10" i="1"/>
  <c r="K10" i="1"/>
  <c r="J10" i="1"/>
  <c r="F103" i="1"/>
  <c r="F86" i="1"/>
  <c r="F70" i="1"/>
  <c r="F55" i="1"/>
  <c r="F39" i="1"/>
  <c r="F25" i="1"/>
  <c r="K13" i="2"/>
  <c r="K14" i="2"/>
  <c r="K15" i="2"/>
  <c r="K16" i="2"/>
  <c r="K17" i="2"/>
  <c r="K18" i="2"/>
  <c r="K19" i="2"/>
  <c r="K20" i="2"/>
  <c r="K21" i="2"/>
  <c r="K12" i="2"/>
  <c r="J13" i="2"/>
  <c r="J14" i="2"/>
  <c r="J15" i="2"/>
  <c r="J16" i="2"/>
  <c r="J17" i="2"/>
  <c r="J18" i="2"/>
  <c r="J19" i="2"/>
  <c r="J20" i="2"/>
  <c r="J21" i="2"/>
  <c r="J12" i="2"/>
  <c r="I13" i="2"/>
  <c r="I14" i="2"/>
  <c r="I15" i="2"/>
  <c r="I16" i="2"/>
  <c r="I17" i="2"/>
  <c r="I18" i="2"/>
  <c r="I19" i="2"/>
  <c r="I20" i="2"/>
  <c r="I21" i="2"/>
  <c r="I12" i="2"/>
  <c r="C13" i="2"/>
  <c r="C14" i="2"/>
  <c r="C15" i="2"/>
  <c r="C16" i="2"/>
  <c r="C17" i="2"/>
  <c r="C18" i="2"/>
  <c r="C19" i="2"/>
  <c r="C20" i="2"/>
  <c r="C21" i="2"/>
  <c r="C12" i="2"/>
  <c r="B13" i="2"/>
  <c r="B14" i="2"/>
  <c r="B15" i="2"/>
  <c r="B16" i="2"/>
  <c r="B17" i="2"/>
  <c r="B18" i="2"/>
  <c r="B19" i="2"/>
  <c r="B20" i="2"/>
  <c r="B21" i="2"/>
  <c r="B12" i="2"/>
  <c r="A13" i="2"/>
  <c r="A14" i="2"/>
  <c r="A15" i="2"/>
  <c r="A16" i="2"/>
  <c r="A17" i="2"/>
  <c r="A18" i="2"/>
  <c r="A19" i="2"/>
  <c r="A20" i="2"/>
  <c r="A21" i="2"/>
  <c r="A12" i="2"/>
  <c r="D7" i="2"/>
  <c r="I19" i="1"/>
  <c r="I18" i="1"/>
  <c r="I17" i="1"/>
  <c r="I16" i="1"/>
  <c r="I15" i="1"/>
  <c r="I14" i="1"/>
  <c r="I12" i="1"/>
  <c r="I11" i="1"/>
  <c r="I10" i="1"/>
  <c r="I13" i="1"/>
  <c r="G6" i="3" l="1"/>
  <c r="G7" i="3"/>
  <c r="D3" i="2"/>
  <c r="G4" i="3" s="1"/>
  <c r="D4" i="2"/>
  <c r="G5" i="3" s="1"/>
  <c r="A10" i="3" l="1"/>
  <c r="D1" i="3"/>
  <c r="Q26" i="3"/>
  <c r="J22" i="2" l="1"/>
</calcChain>
</file>

<file path=xl/sharedStrings.xml><?xml version="1.0" encoding="utf-8"?>
<sst xmlns="http://schemas.openxmlformats.org/spreadsheetml/2006/main" count="193" uniqueCount="106">
  <si>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</si>
  <si>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</si>
  <si>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</si>
  <si>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</si>
  <si>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</si>
  <si>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</si>
  <si>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</si>
  <si>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</si>
  <si>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</si>
  <si>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</si>
  <si>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</si>
  <si>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</si>
  <si>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</si>
  <si>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</si>
  <si>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</si>
  <si>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</si>
  <si>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</si>
  <si>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</si>
  <si>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</si>
  <si>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</si>
  <si>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</si>
  <si>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</si>
  <si>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</si>
  <si>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</si>
  <si>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</si>
  <si>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</si>
  <si>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</si>
  <si>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</si>
  <si>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</si>
  <si>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</si>
  <si>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</si>
  <si>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</si>
  <si>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</si>
  <si>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</si>
  <si>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</si>
  <si>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</si>
  <si>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</si>
  <si>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</si>
  <si>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</si>
  <si>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</si>
  <si>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</si>
  <si>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</si>
  <si>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</si>
  <si>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</si>
  <si>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</si>
  <si>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</si>
  <si>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</si>
  <si>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</si>
  <si>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</si>
  <si>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</si>
  <si>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</si>
  <si>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</si>
  <si>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</si>
  <si>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</si>
  <si>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</si>
  <si>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</si>
  <si>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</si>
  <si>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1.1</t>
  </si>
  <si>
    <t xml:space="preserve">Con boca de expendio en San Fernando del Valle de Catamarca-Direccion de Mantenimiento de Maternidad Provincial 25 de Mayo Domicilio: Hernando de Pedraza N° 1650 B° Jorge Bermudez </t>
  </si>
  <si>
    <t xml:space="preserve">Direccion de Mantenimiento </t>
  </si>
  <si>
    <t xml:space="preserve">Mantenimiento </t>
  </si>
  <si>
    <t>SI</t>
  </si>
  <si>
    <t>UNIDAD</t>
  </si>
  <si>
    <t>Especificidades Item N° 4:</t>
  </si>
  <si>
    <t>Especificidades Item N° 5:</t>
  </si>
  <si>
    <t>Especificidades Item N° 7:</t>
  </si>
  <si>
    <t>Repuestos y Accesorios</t>
  </si>
  <si>
    <t>REPUESTOS</t>
  </si>
  <si>
    <t xml:space="preserve">Válvula de seguridad sin capuchón. Cuerpo de bronce. Asiento de teflón. Rosca macho de 1/2". Presión de Apertura: 3 Bar. Apto para vapor </t>
  </si>
  <si>
    <t>Especificidades Item N° 3:</t>
  </si>
  <si>
    <t xml:space="preserve">Válvula de seguridad sin capuchón. Cuerpo de bronce. Asiento de teflón. Rosca macho de 3/4". Presión de Apertura: 4 Bar. Apto para vapor </t>
  </si>
  <si>
    <t>Cámara de 2 vías para tensiómetro aneroide. Material: goma. Tamaño: Adulto.</t>
  </si>
  <si>
    <t xml:space="preserve">Celda de oxígeno compatible con Máquina de Anestesia marca GENERAL ELECTRIC, modelo AVANCE CS o 9100C.  </t>
  </si>
  <si>
    <t xml:space="preserve">Base con ruedas (completo) para Incubadora Neonatal marca MEDIX, modelo NATAL CARE. </t>
  </si>
  <si>
    <t>2.9.6-8875.277</t>
  </si>
  <si>
    <t>REP. Y ACC. P/EQUIPO MEDICO; USO: MESA DE ANESTESIA, MARCA EQUIPO: GENERAL ELECTRIC, ELEMENTO: CELDA DE OXIGENO, MODELO EQUIPO: AVANCE CS</t>
  </si>
  <si>
    <t>2.9.6-8875.278</t>
  </si>
  <si>
    <t>2.9.6-8875.282</t>
  </si>
  <si>
    <t>2.9.6-8875.283</t>
  </si>
  <si>
    <t>2.9.6-8875.275</t>
  </si>
  <si>
    <t>2.9.6-8875.285</t>
  </si>
  <si>
    <t>2.9.6-8875.289</t>
  </si>
  <si>
    <t>2.9.6-8875.290</t>
  </si>
  <si>
    <t>2.9.6</t>
  </si>
  <si>
    <t>NO</t>
  </si>
  <si>
    <t>10(diez) dias habiles</t>
  </si>
  <si>
    <t>30(treinta) dias habiles</t>
  </si>
  <si>
    <t>/2020</t>
  </si>
  <si>
    <t>40-Ministerio de Salud</t>
  </si>
  <si>
    <t xml:space="preserve">Perita insufladora. Material: goma. </t>
  </si>
  <si>
    <t>Especificidades Item N° 1:</t>
  </si>
  <si>
    <t>Especificidades Item N° 2:</t>
  </si>
  <si>
    <t>Adquisicion de Repuestos y Accesorios para Equipamiento Médico.</t>
  </si>
  <si>
    <t>Para la adquisición de Repuestos y Accesorios, para ser destinados al equipamiento electromédico de los diferentes Servicios de la Maternidad Provincial 25 de Mayo.</t>
  </si>
  <si>
    <t>2.9.6-6745.34</t>
  </si>
  <si>
    <t>REP. Y ACC. P/AUTOCLAVE; REPUESTO: VALVULA DE SEGURIDAD, MARCA EQUIPO: DEL GIUDICE, MODELO EQUIPO: 9 - 250L - DP - BV</t>
  </si>
  <si>
    <t>Costo total estimado: OCHO MILLONES CIENTO SESENTA Y NUEVE MIL DOSCIENTOS CUARENTA Y CUATRO CON 03/100</t>
  </si>
  <si>
    <t>TOTAL DE PESOS: OCHO MILLONES CIENTO SESENTA Y NUEVE MIL DOSCIENTOS CUARENTA Y CUATRO CON 03/100</t>
  </si>
  <si>
    <t xml:space="preserve">1 (UN) AÑO </t>
  </si>
  <si>
    <t>REP. Y ACC. P/EQUIPO MEDICO; USO: TENSIOMETRO ANEROIDE, ELEMENTO: PERITA INSUFLADORA</t>
  </si>
  <si>
    <t>REP. Y ACC. P/EQUIPO MEDICO; USO: TENSIOMETRO ANEROIDE, ELEMENTO: CAMARA DE DOS VIAS</t>
  </si>
  <si>
    <t>REP. Y ACC. P/EQUIPO MEDICO; USO: RESPIRADOR, MARCA EQUIPO: MAQUET, ELEMENTO: CASSETE ESPIRATORIO, MODELO EQUIPO: SERVO I</t>
  </si>
  <si>
    <t>REP Y ACC P/EQUIPO MEDICO; USO: INCUBADORA NEONATAL EQUIPO: MEDIX, MODELO EQUIPO: NATAL CARE ,ELEMENTO: BASE RODANTE CON RUEDAS</t>
  </si>
  <si>
    <t>REP. Y ACC. P/EQUIPO MEDICO; USO: INCUBADORA NEONATAL, MARCA EQUIPO: MEDIX, ELEMENTO: SENSOR TEMPERATURA DE AIRE, MODELO EQUIPO: NATAL CARE</t>
  </si>
  <si>
    <t>REP. Y ACC. P/EQUIPO MEDICO; USO: INCUBADORA NEONATAL, MARCA EQUIPO: MEDIX, ELEMENTO: MOTOR-TURBINA, MODELO EQUIPO: NATAL CARE</t>
  </si>
  <si>
    <t>REP. Y ACC. P/EQUIPO MEDICO; USO: LUMINOTERAPIA, MARCA EQUIPO: MEDIX, ELEMENTO: CONTADOR DE HORAS, MODELO EQUIPO: MEDILED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</si>
</sst>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D3D3D"/>
      </right>
      <top/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2" fillId="0" borderId="0" xfId="0" applyFont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3" fillId="0" borderId="4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22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23" fillId="0" borderId="0" xfId="0" applyFont="1" applyAlignment="1">
      <alignment horizontal="left" wrapText="1" indent="1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5" fillId="0" borderId="11" xfId="0" applyFont="1" applyBorder="1"/>
    <xf numFmtId="0" fontId="15" fillId="0" borderId="12" xfId="0" applyFont="1" applyBorder="1"/>
    <xf numFmtId="0" fontId="6" fillId="0" borderId="1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 wrapText="1"/>
    </xf>
    <xf numFmtId="0" fontId="15" fillId="0" borderId="4" xfId="0" applyFont="1" applyBorder="1"/>
    <xf numFmtId="0" fontId="25" fillId="0" borderId="5" xfId="0" applyFont="1" applyBorder="1"/>
    <xf numFmtId="0" fontId="24" fillId="0" borderId="8" xfId="0" applyFont="1" applyBorder="1" applyAlignment="1">
      <alignment horizontal="left" indent="3"/>
    </xf>
    <xf numFmtId="0" fontId="25" fillId="0" borderId="8" xfId="0" applyFont="1" applyBorder="1"/>
    <xf numFmtId="0" fontId="25" fillId="0" borderId="8" xfId="0" applyFont="1" applyBorder="1" applyAlignment="1">
      <alignment horizontal="left" indent="3"/>
    </xf>
    <xf numFmtId="0" fontId="25" fillId="0" borderId="8" xfId="0" applyFont="1" applyBorder="1" applyAlignment="1">
      <alignment wrapText="1"/>
    </xf>
    <xf numFmtId="0" fontId="15" fillId="0" borderId="0" xfId="0" applyFont="1" applyAlignment="1">
      <alignment horizontal="left" wrapText="1"/>
    </xf>
    <xf numFmtId="0" fontId="24" fillId="0" borderId="8" xfId="0" applyFont="1" applyBorder="1"/>
    <xf numFmtId="0" fontId="15" fillId="0" borderId="9" xfId="0" applyFont="1" applyBorder="1" applyAlignment="1">
      <alignment horizontal="left" wrapText="1"/>
    </xf>
    <xf numFmtId="0" fontId="24" fillId="0" borderId="6" xfId="0" applyFont="1" applyBorder="1"/>
    <xf numFmtId="167" fontId="2" fillId="0" borderId="0" xfId="0" applyNumberFormat="1" applyFont="1" applyAlignment="1">
      <alignment vertical="center"/>
    </xf>
    <xf numFmtId="0" fontId="4" fillId="4" borderId="64" xfId="0" applyFont="1" applyFill="1" applyBorder="1" applyAlignment="1">
      <alignment horizontal="center" vertical="center"/>
    </xf>
    <xf numFmtId="0" fontId="0" fillId="4" borderId="4" xfId="0" applyFill="1" applyBorder="1"/>
    <xf numFmtId="0" fontId="4" fillId="4" borderId="5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166" fontId="4" fillId="4" borderId="22" xfId="1" applyNumberFormat="1" applyFont="1" applyFill="1" applyBorder="1" applyAlignment="1" applyProtection="1">
      <alignment horizontal="right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4" fillId="0" borderId="9" xfId="0" applyFont="1" applyBorder="1"/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left" wrapText="1" inden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15" fillId="0" borderId="9" xfId="0" applyFont="1" applyBorder="1" applyAlignment="1">
      <alignment horizontal="center"/>
    </xf>
    <xf numFmtId="0" fontId="24" fillId="0" borderId="0" xfId="0" applyFont="1" applyAlignment="1">
      <alignment horizontal="left" wrapText="1"/>
    </xf>
    <xf numFmtId="0" fontId="24" fillId="0" borderId="9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 indent="1"/>
    </xf>
    <xf numFmtId="0" fontId="6" fillId="0" borderId="63" xfId="0" applyFont="1" applyBorder="1" applyAlignment="1">
      <alignment horizontal="left" vertical="center" wrapText="1" indent="1"/>
    </xf>
    <xf numFmtId="167" fontId="7" fillId="0" borderId="17" xfId="0" applyNumberFormat="1" applyFont="1" applyBorder="1" applyAlignment="1">
      <alignment horizontal="center" vertical="center"/>
    </xf>
    <xf numFmtId="0" fontId="0" fillId="4" borderId="65" xfId="0" applyFill="1" applyBorder="1" applyAlignment="1">
      <alignment horizontal="left" wrapText="1"/>
    </xf>
    <xf numFmtId="0" fontId="0" fillId="4" borderId="50" xfId="0" applyFill="1" applyBorder="1" applyAlignment="1">
      <alignment horizontal="left" wrapText="1"/>
    </xf>
    <xf numFmtId="0" fontId="0" fillId="4" borderId="66" xfId="0" applyFill="1" applyBorder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vertical="center" wrapText="1"/>
    </xf>
    <xf numFmtId="0" fontId="9" fillId="0" borderId="47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3" borderId="46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3" fillId="0" borderId="46" xfId="0" applyFont="1" applyBorder="1" applyAlignment="1">
      <alignment horizontal="left" vertical="center" wrapText="1"/>
    </xf>
    <xf numFmtId="0" fontId="0" fillId="0" borderId="25" xfId="0" applyBorder="1"/>
    <xf numFmtId="0" fontId="14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indent="1"/>
    </xf>
    <xf numFmtId="0" fontId="12" fillId="0" borderId="14" xfId="0" applyFont="1" applyBorder="1" applyAlignment="1">
      <alignment horizontal="left"/>
    </xf>
    <xf numFmtId="0" fontId="0" fillId="0" borderId="23" xfId="0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24" fillId="0" borderId="0" xfId="0" applyFont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166" fontId="4" fillId="0" borderId="57" xfId="1" applyNumberFormat="1" applyFont="1" applyBorder="1" applyAlignment="1" applyProtection="1">
      <alignment horizontal="center" vertical="center" wrapText="1"/>
    </xf>
    <xf numFmtId="167" fontId="4" fillId="0" borderId="51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167" fontId="4" fillId="0" borderId="57" xfId="0" applyNumberFormat="1" applyFont="1" applyBorder="1" applyAlignment="1">
      <alignment horizontal="center" vertical="center" wrapText="1"/>
    </xf>
    <xf numFmtId="167" fontId="15" fillId="0" borderId="0" xfId="0" applyNumberFormat="1" applyFo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P-APG%20REPUESTOS%20Y%20ACCESO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B10" t="str">
            <v>2.9.6-6745.34</v>
          </cell>
          <cell r="E10" t="str">
            <v>REP. Y ACC. P/AUTOCLAVE; REPUESTO: VALVULA DE SEGURIDAD, MARCA EQUIPO: DEL GIUDICE, MODELO EQUIPO: 9 - 250L - DP - BV</v>
          </cell>
          <cell r="I10">
            <v>87000</v>
          </cell>
        </row>
        <row r="11">
          <cell r="B11" t="str">
            <v>2.9.6-6745.34</v>
          </cell>
          <cell r="E11" t="str">
            <v>REP. Y ACC. P/AUTOCLAVE; REPUESTO: VALVULA DE SEGURIDAD, MARCA EQUIPO: DEL GIUDICE, MODELO EQUIPO: 9 - 250L - DP - BV</v>
          </cell>
          <cell r="I11">
            <v>35000</v>
          </cell>
        </row>
        <row r="12">
          <cell r="B12" t="str">
            <v>2.9.6-8875.289</v>
          </cell>
          <cell r="E12" t="str">
            <v>REP. Y ACC. P/EQUIPO MEDICO; USO: TENSIOMETRO ANEROIDE, ELEMENTO: PERITA INSUFLADORA</v>
          </cell>
          <cell r="I12">
            <v>5280</v>
          </cell>
        </row>
        <row r="13">
          <cell r="B13" t="str">
            <v>2.9.6-8875.290</v>
          </cell>
          <cell r="E13" t="str">
            <v>REP. Y ACC. P/EQUIPO MEDICO; USO: TENSIOMETRO ANEROIDE, ELEMENTO: CAMARA DE DOS VIAS</v>
          </cell>
          <cell r="I13">
            <v>12900</v>
          </cell>
        </row>
        <row r="14">
          <cell r="B14" t="str">
            <v>2.9.6-8875.277</v>
          </cell>
          <cell r="E14" t="str">
            <v>REP. Y ACC. P/EQUIPO MEDICO; USO: MESA DE ANESTESIA, MARCA EQUIPO: GENERAL ELECTRIC, ELEMENTO: CELDA DE OXIGENO, MODELO EQUIPO: AVANCE CS</v>
          </cell>
          <cell r="I14">
            <v>39682.03</v>
          </cell>
        </row>
        <row r="15">
          <cell r="B15" t="str">
            <v>2.9.6-8875.278</v>
          </cell>
          <cell r="E15" t="str">
            <v>REP. Y ACC. P/EQUIPO MEDICO; USO: RESPIRADOR, MARCA EQUIPO: MAQUET, ELEMENTO: CASSETE ESPIRATORIO, MODELO EQUIPO: SERVO I</v>
          </cell>
          <cell r="I15">
            <v>2712882</v>
          </cell>
        </row>
        <row r="16">
          <cell r="B16" t="str">
            <v>2.9.6-8875.275</v>
          </cell>
          <cell r="E16" t="str">
            <v>REP Y ACC P/EQUIPO MEDICO; USO: INCUBADORA NEONATAL EQUIPO: MEDIX, MODELO EQUIPO: NATAL CARE ,ELEMENTO: BASE RODANTE CON RUEDAS</v>
          </cell>
          <cell r="I16">
            <v>2455000</v>
          </cell>
        </row>
        <row r="17">
          <cell r="B17" t="str">
            <v>2.9.6-8875.282</v>
          </cell>
          <cell r="E17" t="str">
            <v>REP. Y ACC. P/EQUIPO MEDICO; USO: INCUBADORA NEONATAL, MARCA EQUIPO: MEDIX, ELEMENTO: SENSOR TEMPERATURA DE AIRE, MODELO EQUIPO: NATAL CARE</v>
          </cell>
          <cell r="I17">
            <v>162750</v>
          </cell>
        </row>
        <row r="18">
          <cell r="B18" t="str">
            <v>2.9.6-8875.283</v>
          </cell>
          <cell r="E18" t="str">
            <v>REP. Y ACC. P/EQUIPO MEDICO; USO: INCUBADORA NEONATAL, MARCA EQUIPO: MEDIX, ELEMENTO: MOTOR-TURBINA, MODELO EQUIPO: NATAL CARE</v>
          </cell>
          <cell r="I18">
            <v>2070000</v>
          </cell>
        </row>
        <row r="19">
          <cell r="B19" t="str">
            <v>2.9.6-8875.285</v>
          </cell>
          <cell r="E19" t="str">
            <v>REP. Y ACC. P/EQUIPO MEDICO; USO: LUMINOTERAPIA, MARCA EQUIPO: MEDIX, ELEMENTO: CONTADOR DE HORAS, MODELO EQUIPO: MEDILED</v>
          </cell>
          <cell r="I19">
            <v>588750</v>
          </cell>
        </row>
        <row r="25">
          <cell r="C25" t="str">
            <v xml:space="preserve">Válvula de seguridad sin capuchón. Cuerpo de bronce. Asiento de teflón. Rosca macho de 1/2". Presión de Apertura: 3 Bar. Apto para vapor </v>
          </cell>
        </row>
        <row r="39">
          <cell r="C39" t="str">
            <v xml:space="preserve">Válvula de seguridad sin capuchón. Cuerpo de bronce. Asiento de teflón. Rosca macho de 3/4". Presión de Apertura: 4 Bar. Apto para vapor </v>
          </cell>
        </row>
        <row r="55">
          <cell r="C55" t="str">
            <v xml:space="preserve">Perita insufladora. Material: goma. </v>
          </cell>
        </row>
        <row r="70">
          <cell r="C70" t="str">
            <v>Cámara de 2 vías para tensiómetro aneroide. Material: goma. Tamaño: Adulto.</v>
          </cell>
        </row>
        <row r="86">
          <cell r="C86" t="str">
            <v xml:space="preserve">Celda de oxígeno compatible con Máquina de Anestesia marca GENERAL ELECTRIC, modelo AVANCE CS o 9100C.  </v>
          </cell>
        </row>
        <row r="103">
          <cell r="C103" t="str">
            <v xml:space="preserve">Base con ruedas (completo) para Incubadora Neonatal marca MEDIX, modelo NATAL CARE. 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" zoomScale="85" zoomScaleNormal="85" workbookViewId="0">
      <selection activeCell="E20" sqref="E20"/>
    </sheetView>
  </sheetViews>
  <sheetFormatPr baseColWidth="10" defaultColWidth="11" defaultRowHeight="12.75" x14ac:dyDescent="0.2"/>
  <cols>
    <col min="1" max="1" width="4.5703125" style="35" customWidth="1"/>
    <col min="2" max="2" width="17.140625" style="35" customWidth="1"/>
    <col min="3" max="3" width="32.42578125" style="35" customWidth="1"/>
    <col min="4" max="4" width="8.42578125" style="35" customWidth="1"/>
    <col min="5" max="5" width="83.5703125" style="35" customWidth="1"/>
    <col min="6" max="6" width="12.42578125" style="35" bestFit="1" customWidth="1"/>
    <col min="7" max="7" width="12.7109375" style="35" customWidth="1"/>
    <col min="8" max="8" width="13.85546875" style="35" customWidth="1"/>
    <col min="9" max="9" width="18.5703125" style="35" customWidth="1"/>
    <col min="10" max="11" width="12.42578125" style="35" bestFit="1" customWidth="1"/>
    <col min="12" max="16384" width="11" style="35"/>
  </cols>
  <sheetData>
    <row r="2" spans="1:12" ht="27" x14ac:dyDescent="0.35">
      <c r="B2" s="82" t="s">
        <v>0</v>
      </c>
      <c r="C2" s="82"/>
      <c r="D2" s="82"/>
      <c r="E2" s="82"/>
      <c r="F2" s="82"/>
      <c r="G2" s="82"/>
      <c r="H2" s="82"/>
    </row>
    <row r="4" spans="1:12" ht="18" customHeight="1" x14ac:dyDescent="0.25">
      <c r="A4" s="81" t="s">
        <v>1</v>
      </c>
      <c r="B4" s="81"/>
      <c r="C4" s="83" t="s">
        <v>88</v>
      </c>
      <c r="D4" s="83"/>
      <c r="E4" s="83"/>
      <c r="F4" s="36"/>
      <c r="G4" s="37"/>
      <c r="H4" s="36"/>
    </row>
    <row r="5" spans="1:12" ht="18" customHeight="1" x14ac:dyDescent="0.25">
      <c r="A5" s="81" t="s">
        <v>2</v>
      </c>
      <c r="B5" s="81"/>
      <c r="C5" s="83" t="s">
        <v>56</v>
      </c>
      <c r="D5" s="83"/>
      <c r="E5" s="83"/>
      <c r="F5" s="36"/>
      <c r="G5" s="37"/>
      <c r="H5" s="36"/>
    </row>
    <row r="6" spans="1:12" ht="16.5" customHeight="1" x14ac:dyDescent="0.25">
      <c r="A6" s="81" t="s">
        <v>3</v>
      </c>
      <c r="B6" s="81"/>
      <c r="C6" s="46">
        <v>2022</v>
      </c>
      <c r="D6" s="47"/>
      <c r="E6" s="47"/>
      <c r="F6" s="36"/>
      <c r="G6" s="37"/>
      <c r="H6" s="36"/>
    </row>
    <row r="7" spans="1:12" ht="16.5" customHeight="1" x14ac:dyDescent="0.25">
      <c r="A7" s="81" t="s">
        <v>4</v>
      </c>
      <c r="B7" s="81"/>
      <c r="C7" s="46">
        <v>3</v>
      </c>
      <c r="D7" s="47"/>
      <c r="E7" s="47"/>
      <c r="F7" s="36"/>
      <c r="G7" s="37"/>
      <c r="H7" s="36"/>
    </row>
    <row r="8" spans="1:12" ht="13.5" thickBot="1" x14ac:dyDescent="0.25">
      <c r="B8" s="36"/>
      <c r="C8" s="37"/>
      <c r="D8" s="36"/>
      <c r="E8" s="36"/>
      <c r="F8" s="36"/>
      <c r="G8" s="37"/>
      <c r="H8" s="36"/>
    </row>
    <row r="9" spans="1:12" ht="39.75" thickTop="1" thickBot="1" x14ac:dyDescent="0.25">
      <c r="A9" s="56" t="s">
        <v>5</v>
      </c>
      <c r="B9" s="58" t="s">
        <v>6</v>
      </c>
      <c r="C9" s="57" t="s">
        <v>7</v>
      </c>
      <c r="D9" s="38" t="s">
        <v>8</v>
      </c>
      <c r="E9" s="38" t="s">
        <v>9</v>
      </c>
      <c r="F9" s="38" t="s">
        <v>10</v>
      </c>
      <c r="G9" s="38" t="s">
        <v>11</v>
      </c>
      <c r="H9" s="38" t="s">
        <v>12</v>
      </c>
      <c r="I9" s="38" t="s">
        <v>13</v>
      </c>
    </row>
    <row r="10" spans="1:12" ht="45" customHeight="1" thickBot="1" x14ac:dyDescent="0.25">
      <c r="A10" s="55">
        <v>1</v>
      </c>
      <c r="B10" s="136" t="s">
        <v>94</v>
      </c>
      <c r="C10" s="136" t="s">
        <v>67</v>
      </c>
      <c r="D10" s="59" t="s">
        <v>83</v>
      </c>
      <c r="E10" s="134" t="s">
        <v>95</v>
      </c>
      <c r="F10" s="137" t="s">
        <v>62</v>
      </c>
      <c r="G10" s="135">
        <v>3</v>
      </c>
      <c r="H10" s="138">
        <v>29000</v>
      </c>
      <c r="I10" s="139">
        <f t="shared" ref="I10:I19" si="0">H10*G10</f>
        <v>87000</v>
      </c>
      <c r="J10" s="35" t="b">
        <f>B10='[1]Necesidades Trimestrales'!B10</f>
        <v>1</v>
      </c>
      <c r="K10" s="35" t="b">
        <f>E10='[1]Necesidades Trimestrales'!E10</f>
        <v>1</v>
      </c>
      <c r="L10" s="142">
        <f>+G10*H10-'[1]Necesidades Trimestrales'!I10</f>
        <v>0</v>
      </c>
    </row>
    <row r="11" spans="1:12" ht="45" customHeight="1" thickBot="1" x14ac:dyDescent="0.25">
      <c r="A11" s="39">
        <v>2</v>
      </c>
      <c r="B11" s="136" t="s">
        <v>94</v>
      </c>
      <c r="C11" s="136" t="s">
        <v>67</v>
      </c>
      <c r="D11" s="59" t="s">
        <v>83</v>
      </c>
      <c r="E11" s="134" t="s">
        <v>95</v>
      </c>
      <c r="F11" s="140" t="s">
        <v>62</v>
      </c>
      <c r="G11" s="135">
        <v>1</v>
      </c>
      <c r="H11" s="138">
        <v>35000</v>
      </c>
      <c r="I11" s="141">
        <f t="shared" si="0"/>
        <v>35000</v>
      </c>
      <c r="J11" s="35" t="b">
        <f>B11='[1]Necesidades Trimestrales'!B11</f>
        <v>1</v>
      </c>
      <c r="K11" s="35" t="b">
        <f>E11='[1]Necesidades Trimestrales'!E11</f>
        <v>1</v>
      </c>
      <c r="L11" s="142">
        <f>+G11*H11-'[1]Necesidades Trimestrales'!I11</f>
        <v>0</v>
      </c>
    </row>
    <row r="12" spans="1:12" ht="45" customHeight="1" thickBot="1" x14ac:dyDescent="0.25">
      <c r="A12" s="55">
        <v>3</v>
      </c>
      <c r="B12" s="136" t="s">
        <v>81</v>
      </c>
      <c r="C12" s="136" t="s">
        <v>67</v>
      </c>
      <c r="D12" s="59" t="s">
        <v>83</v>
      </c>
      <c r="E12" s="134" t="s">
        <v>99</v>
      </c>
      <c r="F12" s="137" t="s">
        <v>62</v>
      </c>
      <c r="G12" s="135">
        <v>15</v>
      </c>
      <c r="H12" s="138">
        <v>352</v>
      </c>
      <c r="I12" s="141">
        <f t="shared" si="0"/>
        <v>5280</v>
      </c>
      <c r="J12" s="35" t="b">
        <f>B12='[1]Necesidades Trimestrales'!B12</f>
        <v>1</v>
      </c>
      <c r="K12" s="35" t="b">
        <f>E12='[1]Necesidades Trimestrales'!E12</f>
        <v>1</v>
      </c>
      <c r="L12" s="142">
        <f>+G12*H12-'[1]Necesidades Trimestrales'!I12</f>
        <v>0</v>
      </c>
    </row>
    <row r="13" spans="1:12" ht="45" customHeight="1" thickBot="1" x14ac:dyDescent="0.25">
      <c r="A13" s="39">
        <v>4</v>
      </c>
      <c r="B13" s="136" t="s">
        <v>82</v>
      </c>
      <c r="C13" s="136" t="s">
        <v>67</v>
      </c>
      <c r="D13" s="59" t="s">
        <v>83</v>
      </c>
      <c r="E13" s="134" t="s">
        <v>100</v>
      </c>
      <c r="F13" s="140" t="s">
        <v>62</v>
      </c>
      <c r="G13" s="135">
        <v>15</v>
      </c>
      <c r="H13" s="138">
        <v>860</v>
      </c>
      <c r="I13" s="139">
        <f t="shared" si="0"/>
        <v>12900</v>
      </c>
      <c r="J13" s="35" t="b">
        <f>B13='[1]Necesidades Trimestrales'!B13</f>
        <v>1</v>
      </c>
      <c r="K13" s="35" t="b">
        <f>E13='[1]Necesidades Trimestrales'!E13</f>
        <v>1</v>
      </c>
      <c r="L13" s="142">
        <f>+G13*H13-'[1]Necesidades Trimestrales'!I13</f>
        <v>0</v>
      </c>
    </row>
    <row r="14" spans="1:12" ht="45" customHeight="1" thickBot="1" x14ac:dyDescent="0.25">
      <c r="A14" s="39">
        <v>5</v>
      </c>
      <c r="B14" s="136" t="s">
        <v>74</v>
      </c>
      <c r="C14" s="136" t="s">
        <v>67</v>
      </c>
      <c r="D14" s="59" t="s">
        <v>83</v>
      </c>
      <c r="E14" s="134" t="s">
        <v>75</v>
      </c>
      <c r="F14" s="140" t="s">
        <v>62</v>
      </c>
      <c r="G14" s="135">
        <v>1</v>
      </c>
      <c r="H14" s="138">
        <v>39682.03</v>
      </c>
      <c r="I14" s="141">
        <f t="shared" si="0"/>
        <v>39682.03</v>
      </c>
      <c r="J14" s="35" t="b">
        <f>B14='[1]Necesidades Trimestrales'!B14</f>
        <v>1</v>
      </c>
      <c r="K14" s="35" t="b">
        <f>E14='[1]Necesidades Trimestrales'!E14</f>
        <v>1</v>
      </c>
      <c r="L14" s="142">
        <f>+G14*H14-'[1]Necesidades Trimestrales'!I14</f>
        <v>0</v>
      </c>
    </row>
    <row r="15" spans="1:12" ht="45" customHeight="1" thickBot="1" x14ac:dyDescent="0.25">
      <c r="A15" s="55">
        <v>6</v>
      </c>
      <c r="B15" s="136" t="s">
        <v>76</v>
      </c>
      <c r="C15" s="136" t="s">
        <v>67</v>
      </c>
      <c r="D15" s="59" t="s">
        <v>83</v>
      </c>
      <c r="E15" s="134" t="s">
        <v>101</v>
      </c>
      <c r="F15" s="137" t="s">
        <v>62</v>
      </c>
      <c r="G15" s="135">
        <v>6</v>
      </c>
      <c r="H15" s="138">
        <v>452147</v>
      </c>
      <c r="I15" s="141">
        <f t="shared" si="0"/>
        <v>2712882</v>
      </c>
      <c r="J15" s="35" t="b">
        <f>B15='[1]Necesidades Trimestrales'!B15</f>
        <v>1</v>
      </c>
      <c r="K15" s="35" t="b">
        <f>E15='[1]Necesidades Trimestrales'!E15</f>
        <v>1</v>
      </c>
      <c r="L15" s="142">
        <f>+G15*H15-'[1]Necesidades Trimestrales'!I15</f>
        <v>0</v>
      </c>
    </row>
    <row r="16" spans="1:12" ht="45" customHeight="1" thickBot="1" x14ac:dyDescent="0.25">
      <c r="A16" s="39">
        <v>7</v>
      </c>
      <c r="B16" s="136" t="s">
        <v>79</v>
      </c>
      <c r="C16" s="136" t="s">
        <v>67</v>
      </c>
      <c r="D16" s="59" t="s">
        <v>83</v>
      </c>
      <c r="E16" s="134" t="s">
        <v>102</v>
      </c>
      <c r="F16" s="140" t="s">
        <v>62</v>
      </c>
      <c r="G16" s="135">
        <v>20</v>
      </c>
      <c r="H16" s="138">
        <v>122750</v>
      </c>
      <c r="I16" s="141">
        <f t="shared" si="0"/>
        <v>2455000</v>
      </c>
      <c r="J16" s="35" t="b">
        <f>B16='[1]Necesidades Trimestrales'!B16</f>
        <v>1</v>
      </c>
      <c r="K16" s="35" t="b">
        <f>E16='[1]Necesidades Trimestrales'!E16</f>
        <v>1</v>
      </c>
      <c r="L16" s="142">
        <f>+G16*H16-'[1]Necesidades Trimestrales'!I16</f>
        <v>0</v>
      </c>
    </row>
    <row r="17" spans="1:12" ht="63" customHeight="1" thickBot="1" x14ac:dyDescent="0.25">
      <c r="A17" s="39">
        <v>8</v>
      </c>
      <c r="B17" s="136" t="s">
        <v>77</v>
      </c>
      <c r="C17" s="136" t="s">
        <v>67</v>
      </c>
      <c r="D17" s="59" t="s">
        <v>83</v>
      </c>
      <c r="E17" s="134" t="s">
        <v>103</v>
      </c>
      <c r="F17" s="137" t="s">
        <v>62</v>
      </c>
      <c r="G17" s="135">
        <v>6</v>
      </c>
      <c r="H17" s="138">
        <v>27125</v>
      </c>
      <c r="I17" s="141">
        <f t="shared" si="0"/>
        <v>162750</v>
      </c>
      <c r="J17" s="35" t="b">
        <f>B17='[1]Necesidades Trimestrales'!B17</f>
        <v>1</v>
      </c>
      <c r="K17" s="35" t="b">
        <f>E17='[1]Necesidades Trimestrales'!E17</f>
        <v>1</v>
      </c>
      <c r="L17" s="142">
        <f>+G17*H17-'[1]Necesidades Trimestrales'!I17</f>
        <v>0</v>
      </c>
    </row>
    <row r="18" spans="1:12" ht="60" customHeight="1" thickBot="1" x14ac:dyDescent="0.25">
      <c r="A18" s="55">
        <v>9</v>
      </c>
      <c r="B18" s="136" t="s">
        <v>78</v>
      </c>
      <c r="C18" s="136" t="s">
        <v>67</v>
      </c>
      <c r="D18" s="59" t="s">
        <v>83</v>
      </c>
      <c r="E18" s="134" t="s">
        <v>104</v>
      </c>
      <c r="F18" s="140" t="s">
        <v>62</v>
      </c>
      <c r="G18" s="135">
        <v>20</v>
      </c>
      <c r="H18" s="138">
        <v>103500</v>
      </c>
      <c r="I18" s="141">
        <f t="shared" si="0"/>
        <v>2070000</v>
      </c>
      <c r="J18" s="35" t="b">
        <f>B18='[1]Necesidades Trimestrales'!B18</f>
        <v>1</v>
      </c>
      <c r="K18" s="35" t="b">
        <f>E18='[1]Necesidades Trimestrales'!E18</f>
        <v>1</v>
      </c>
      <c r="L18" s="142">
        <f>+G18*H18-'[1]Necesidades Trimestrales'!I18</f>
        <v>0</v>
      </c>
    </row>
    <row r="19" spans="1:12" ht="75.75" customHeight="1" x14ac:dyDescent="0.2">
      <c r="A19" s="39">
        <v>10</v>
      </c>
      <c r="B19" s="136" t="s">
        <v>80</v>
      </c>
      <c r="C19" s="136" t="s">
        <v>67</v>
      </c>
      <c r="D19" s="59" t="s">
        <v>83</v>
      </c>
      <c r="E19" s="134" t="s">
        <v>105</v>
      </c>
      <c r="F19" s="140" t="s">
        <v>62</v>
      </c>
      <c r="G19" s="135">
        <v>30</v>
      </c>
      <c r="H19" s="138">
        <v>19625</v>
      </c>
      <c r="I19" s="141">
        <f t="shared" si="0"/>
        <v>588750</v>
      </c>
      <c r="J19" s="35" t="b">
        <f>B19='[1]Necesidades Trimestrales'!B19</f>
        <v>1</v>
      </c>
      <c r="K19" s="35" t="b">
        <f>E19='[1]Necesidades Trimestrales'!E19</f>
        <v>1</v>
      </c>
      <c r="L19" s="142">
        <f>+G19*H19-'[1]Necesidades Trimestrales'!I19</f>
        <v>0</v>
      </c>
    </row>
    <row r="20" spans="1:12" x14ac:dyDescent="0.2">
      <c r="E20" s="60"/>
    </row>
    <row r="21" spans="1:12" ht="13.5" thickBot="1" x14ac:dyDescent="0.25"/>
    <row r="22" spans="1:12" x14ac:dyDescent="0.2">
      <c r="B22" s="61" t="s">
        <v>90</v>
      </c>
      <c r="C22" s="40"/>
      <c r="D22" s="40"/>
      <c r="E22" s="41"/>
    </row>
    <row r="23" spans="1:12" x14ac:dyDescent="0.2">
      <c r="B23" s="67"/>
      <c r="E23" s="43"/>
    </row>
    <row r="24" spans="1:12" x14ac:dyDescent="0.2">
      <c r="B24" s="63" t="s">
        <v>14</v>
      </c>
      <c r="E24" s="43"/>
    </row>
    <row r="25" spans="1:12" ht="39" customHeight="1" x14ac:dyDescent="0.2">
      <c r="B25" s="64"/>
      <c r="C25" s="132" t="s">
        <v>68</v>
      </c>
      <c r="D25" s="132"/>
      <c r="E25" s="133"/>
      <c r="F25" s="35" t="b">
        <f>C25='[1]Necesidades Trimestrales'!C25</f>
        <v>1</v>
      </c>
    </row>
    <row r="26" spans="1:12" ht="25.5" x14ac:dyDescent="0.2">
      <c r="B26" s="65" t="s">
        <v>15</v>
      </c>
      <c r="E26" s="43" t="s">
        <v>85</v>
      </c>
    </row>
    <row r="27" spans="1:12" x14ac:dyDescent="0.2">
      <c r="B27" s="62"/>
      <c r="C27" s="84" t="s">
        <v>58</v>
      </c>
      <c r="D27" s="84"/>
      <c r="E27" s="85"/>
    </row>
    <row r="28" spans="1:12" ht="23.25" customHeight="1" x14ac:dyDescent="0.2">
      <c r="B28" s="62"/>
      <c r="C28" s="84"/>
      <c r="D28" s="84"/>
      <c r="E28" s="85"/>
    </row>
    <row r="29" spans="1:12" ht="25.5" x14ac:dyDescent="0.2">
      <c r="B29" s="65" t="s">
        <v>16</v>
      </c>
      <c r="E29" s="43"/>
    </row>
    <row r="30" spans="1:12" x14ac:dyDescent="0.2">
      <c r="B30" s="62"/>
      <c r="C30" s="86"/>
      <c r="D30" s="86"/>
      <c r="E30" s="86"/>
    </row>
    <row r="31" spans="1:12" x14ac:dyDescent="0.2">
      <c r="B31" s="65" t="s">
        <v>17</v>
      </c>
      <c r="C31" s="48"/>
      <c r="D31" s="48"/>
      <c r="E31" s="68" t="s">
        <v>86</v>
      </c>
    </row>
    <row r="32" spans="1:12" x14ac:dyDescent="0.2">
      <c r="B32" s="62"/>
      <c r="C32" s="86"/>
      <c r="D32" s="86"/>
      <c r="E32" s="86"/>
    </row>
    <row r="33" spans="2:6" x14ac:dyDescent="0.2">
      <c r="B33" s="63" t="s">
        <v>18</v>
      </c>
      <c r="E33" s="80" t="s">
        <v>98</v>
      </c>
    </row>
    <row r="34" spans="2:6" x14ac:dyDescent="0.2">
      <c r="B34" s="44"/>
      <c r="C34" s="87"/>
      <c r="D34" s="87"/>
      <c r="E34" s="87"/>
    </row>
    <row r="35" spans="2:6" ht="13.5" thickBot="1" x14ac:dyDescent="0.25">
      <c r="B35" s="45"/>
      <c r="C35" s="49"/>
      <c r="D35" s="49"/>
      <c r="E35" s="50"/>
    </row>
    <row r="36" spans="2:6" x14ac:dyDescent="0.2">
      <c r="B36" s="61" t="s">
        <v>91</v>
      </c>
      <c r="C36" s="69"/>
      <c r="D36" s="40"/>
      <c r="E36" s="41"/>
    </row>
    <row r="37" spans="2:6" x14ac:dyDescent="0.2">
      <c r="B37" s="42"/>
      <c r="E37" s="43"/>
    </row>
    <row r="38" spans="2:6" x14ac:dyDescent="0.2">
      <c r="B38" s="63" t="s">
        <v>14</v>
      </c>
      <c r="E38" s="43"/>
    </row>
    <row r="39" spans="2:6" ht="35.25" customHeight="1" x14ac:dyDescent="0.2">
      <c r="B39" s="64"/>
      <c r="C39" s="88" t="s">
        <v>70</v>
      </c>
      <c r="D39" s="88"/>
      <c r="E39" s="89"/>
      <c r="F39" s="35" t="b">
        <f>C39='[1]Necesidades Trimestrales'!C39</f>
        <v>1</v>
      </c>
    </row>
    <row r="40" spans="2:6" ht="25.5" x14ac:dyDescent="0.2">
      <c r="B40" s="65" t="s">
        <v>15</v>
      </c>
      <c r="E40" s="43" t="s">
        <v>85</v>
      </c>
    </row>
    <row r="41" spans="2:6" x14ac:dyDescent="0.2">
      <c r="B41" s="62"/>
      <c r="C41" s="84" t="s">
        <v>58</v>
      </c>
      <c r="D41" s="84"/>
      <c r="E41" s="85"/>
    </row>
    <row r="42" spans="2:6" x14ac:dyDescent="0.2">
      <c r="B42" s="62"/>
      <c r="C42" s="84"/>
      <c r="D42" s="84"/>
      <c r="E42" s="85"/>
    </row>
    <row r="43" spans="2:6" ht="25.5" x14ac:dyDescent="0.2">
      <c r="B43" s="65" t="s">
        <v>16</v>
      </c>
      <c r="E43" s="43"/>
    </row>
    <row r="44" spans="2:6" x14ac:dyDescent="0.2">
      <c r="B44" s="62"/>
      <c r="C44" s="86"/>
      <c r="D44" s="86"/>
      <c r="E44" s="86"/>
    </row>
    <row r="45" spans="2:6" x14ac:dyDescent="0.2">
      <c r="B45" s="63" t="s">
        <v>17</v>
      </c>
      <c r="C45" s="48"/>
      <c r="D45" s="48"/>
      <c r="E45" s="68" t="s">
        <v>86</v>
      </c>
    </row>
    <row r="46" spans="2:6" x14ac:dyDescent="0.2">
      <c r="B46" s="62"/>
      <c r="C46" s="86"/>
      <c r="D46" s="86"/>
      <c r="E46" s="86"/>
    </row>
    <row r="47" spans="2:6" x14ac:dyDescent="0.2">
      <c r="B47" s="63" t="s">
        <v>18</v>
      </c>
      <c r="E47" s="80" t="s">
        <v>98</v>
      </c>
    </row>
    <row r="48" spans="2:6" x14ac:dyDescent="0.2">
      <c r="B48" s="64"/>
      <c r="C48" s="87"/>
      <c r="D48" s="87"/>
      <c r="E48" s="87"/>
    </row>
    <row r="49" spans="2:6" x14ac:dyDescent="0.2">
      <c r="B49" s="45"/>
      <c r="C49" s="49"/>
      <c r="D49" s="49"/>
      <c r="E49" s="50"/>
    </row>
    <row r="52" spans="2:6" x14ac:dyDescent="0.2">
      <c r="B52" s="61" t="s">
        <v>69</v>
      </c>
      <c r="C52" s="40"/>
      <c r="D52" s="40"/>
      <c r="E52" s="41"/>
    </row>
    <row r="53" spans="2:6" x14ac:dyDescent="0.2">
      <c r="B53" s="67"/>
      <c r="E53" s="43"/>
    </row>
    <row r="54" spans="2:6" x14ac:dyDescent="0.2">
      <c r="B54" s="63" t="s">
        <v>14</v>
      </c>
      <c r="E54" s="43"/>
    </row>
    <row r="55" spans="2:6" ht="17.25" customHeight="1" x14ac:dyDescent="0.2">
      <c r="B55" s="64"/>
      <c r="C55" s="88" t="s">
        <v>89</v>
      </c>
      <c r="D55" s="88"/>
      <c r="E55" s="89"/>
      <c r="F55" s="35" t="b">
        <f>C55='[1]Necesidades Trimestrales'!C55</f>
        <v>1</v>
      </c>
    </row>
    <row r="56" spans="2:6" ht="25.5" x14ac:dyDescent="0.2">
      <c r="B56" s="65" t="s">
        <v>15</v>
      </c>
      <c r="E56" s="35" t="s">
        <v>85</v>
      </c>
    </row>
    <row r="57" spans="2:6" x14ac:dyDescent="0.2">
      <c r="B57" s="62"/>
      <c r="C57" s="84" t="s">
        <v>58</v>
      </c>
      <c r="D57" s="84"/>
      <c r="E57" s="85"/>
    </row>
    <row r="58" spans="2:6" x14ac:dyDescent="0.2">
      <c r="B58" s="62"/>
      <c r="C58" s="84"/>
      <c r="D58" s="84"/>
      <c r="E58" s="85"/>
    </row>
    <row r="59" spans="2:6" ht="25.5" x14ac:dyDescent="0.2">
      <c r="B59" s="65" t="s">
        <v>16</v>
      </c>
      <c r="E59" s="43"/>
    </row>
    <row r="60" spans="2:6" x14ac:dyDescent="0.2">
      <c r="B60" s="62"/>
      <c r="C60" s="86"/>
      <c r="D60" s="86"/>
      <c r="E60" s="86"/>
    </row>
    <row r="61" spans="2:6" x14ac:dyDescent="0.2">
      <c r="B61" s="63" t="s">
        <v>17</v>
      </c>
      <c r="C61" s="48"/>
      <c r="D61" s="48"/>
      <c r="E61" s="66" t="s">
        <v>86</v>
      </c>
    </row>
    <row r="62" spans="2:6" x14ac:dyDescent="0.2">
      <c r="B62" s="62"/>
      <c r="C62" s="86"/>
      <c r="D62" s="86"/>
      <c r="E62" s="86"/>
    </row>
    <row r="63" spans="2:6" x14ac:dyDescent="0.2">
      <c r="B63" s="63" t="s">
        <v>18</v>
      </c>
      <c r="E63" s="80" t="s">
        <v>98</v>
      </c>
    </row>
    <row r="64" spans="2:6" x14ac:dyDescent="0.2">
      <c r="B64" s="44"/>
      <c r="C64" s="87"/>
      <c r="D64" s="87"/>
      <c r="E64" s="87"/>
    </row>
    <row r="65" spans="2:6" x14ac:dyDescent="0.2">
      <c r="B65" s="45"/>
      <c r="C65" s="49"/>
      <c r="D65" s="49"/>
      <c r="E65" s="50"/>
    </row>
    <row r="67" spans="2:6" x14ac:dyDescent="0.2">
      <c r="B67" s="61" t="s">
        <v>63</v>
      </c>
      <c r="C67" s="40"/>
      <c r="D67" s="40"/>
      <c r="E67" s="41"/>
    </row>
    <row r="68" spans="2:6" x14ac:dyDescent="0.2">
      <c r="B68" s="67"/>
      <c r="E68" s="43"/>
    </row>
    <row r="69" spans="2:6" x14ac:dyDescent="0.2">
      <c r="B69" s="63" t="s">
        <v>14</v>
      </c>
      <c r="E69" s="43"/>
    </row>
    <row r="70" spans="2:6" x14ac:dyDescent="0.2">
      <c r="B70" s="64"/>
      <c r="C70" s="88" t="s">
        <v>71</v>
      </c>
      <c r="D70" s="88"/>
      <c r="E70" s="89"/>
      <c r="F70" s="35" t="b">
        <f>C70='[1]Necesidades Trimestrales'!C70</f>
        <v>1</v>
      </c>
    </row>
    <row r="71" spans="2:6" ht="25.5" x14ac:dyDescent="0.2">
      <c r="B71" s="65" t="s">
        <v>15</v>
      </c>
      <c r="E71" s="43" t="s">
        <v>85</v>
      </c>
    </row>
    <row r="72" spans="2:6" x14ac:dyDescent="0.2">
      <c r="B72" s="62"/>
      <c r="C72" s="84" t="s">
        <v>58</v>
      </c>
      <c r="D72" s="84"/>
      <c r="E72" s="85"/>
    </row>
    <row r="73" spans="2:6" x14ac:dyDescent="0.2">
      <c r="B73" s="62"/>
      <c r="C73" s="84"/>
      <c r="D73" s="84"/>
      <c r="E73" s="85"/>
    </row>
    <row r="74" spans="2:6" ht="25.5" x14ac:dyDescent="0.2">
      <c r="B74" s="65" t="s">
        <v>16</v>
      </c>
      <c r="E74" s="43"/>
    </row>
    <row r="75" spans="2:6" x14ac:dyDescent="0.2">
      <c r="B75" s="62"/>
      <c r="C75" s="86"/>
      <c r="D75" s="86"/>
      <c r="E75" s="86"/>
    </row>
    <row r="76" spans="2:6" x14ac:dyDescent="0.2">
      <c r="B76" s="63" t="s">
        <v>17</v>
      </c>
      <c r="C76" s="48"/>
      <c r="D76" s="48"/>
      <c r="E76" s="68" t="s">
        <v>86</v>
      </c>
    </row>
    <row r="77" spans="2:6" x14ac:dyDescent="0.2">
      <c r="B77" s="62"/>
      <c r="C77" s="86"/>
      <c r="D77" s="86"/>
      <c r="E77" s="86"/>
    </row>
    <row r="78" spans="2:6" x14ac:dyDescent="0.2">
      <c r="B78" s="63" t="s">
        <v>18</v>
      </c>
      <c r="E78" s="80" t="s">
        <v>98</v>
      </c>
    </row>
    <row r="79" spans="2:6" x14ac:dyDescent="0.2">
      <c r="B79" s="44"/>
      <c r="C79" s="87"/>
      <c r="D79" s="87"/>
      <c r="E79" s="87"/>
    </row>
    <row r="80" spans="2:6" x14ac:dyDescent="0.2">
      <c r="B80" s="45"/>
      <c r="C80" s="49"/>
      <c r="D80" s="49"/>
      <c r="E80" s="50"/>
    </row>
    <row r="83" spans="2:6" x14ac:dyDescent="0.2">
      <c r="B83" s="61" t="s">
        <v>64</v>
      </c>
      <c r="C83" s="40"/>
      <c r="D83" s="40"/>
      <c r="E83" s="41"/>
    </row>
    <row r="84" spans="2:6" x14ac:dyDescent="0.2">
      <c r="B84" s="67"/>
      <c r="E84" s="43"/>
    </row>
    <row r="85" spans="2:6" x14ac:dyDescent="0.2">
      <c r="B85" s="63" t="s">
        <v>14</v>
      </c>
      <c r="E85" s="43"/>
    </row>
    <row r="86" spans="2:6" ht="12.75" customHeight="1" x14ac:dyDescent="0.2">
      <c r="B86" s="64"/>
      <c r="C86" s="88" t="s">
        <v>72</v>
      </c>
      <c r="D86" s="88"/>
      <c r="E86" s="89"/>
      <c r="F86" s="35" t="b">
        <f>C86='[1]Necesidades Trimestrales'!C86</f>
        <v>1</v>
      </c>
    </row>
    <row r="87" spans="2:6" ht="25.5" x14ac:dyDescent="0.2">
      <c r="B87" s="65" t="s">
        <v>15</v>
      </c>
      <c r="E87" s="35" t="s">
        <v>85</v>
      </c>
    </row>
    <row r="88" spans="2:6" x14ac:dyDescent="0.2">
      <c r="B88" s="62"/>
      <c r="C88" s="84" t="s">
        <v>58</v>
      </c>
      <c r="D88" s="84"/>
      <c r="E88" s="85"/>
    </row>
    <row r="89" spans="2:6" x14ac:dyDescent="0.2">
      <c r="B89" s="62"/>
      <c r="C89" s="84"/>
      <c r="D89" s="84"/>
      <c r="E89" s="85"/>
    </row>
    <row r="90" spans="2:6" ht="25.5" x14ac:dyDescent="0.2">
      <c r="B90" s="65" t="s">
        <v>16</v>
      </c>
      <c r="E90" s="43"/>
    </row>
    <row r="91" spans="2:6" x14ac:dyDescent="0.2">
      <c r="B91" s="62"/>
      <c r="C91" s="86"/>
      <c r="D91" s="86"/>
      <c r="E91" s="86"/>
    </row>
    <row r="92" spans="2:6" x14ac:dyDescent="0.2">
      <c r="B92" s="63" t="s">
        <v>17</v>
      </c>
      <c r="C92" s="48"/>
      <c r="D92" s="48"/>
      <c r="E92" s="66" t="s">
        <v>86</v>
      </c>
    </row>
    <row r="93" spans="2:6" x14ac:dyDescent="0.2">
      <c r="B93" s="62"/>
      <c r="C93" s="86"/>
      <c r="D93" s="86"/>
      <c r="E93" s="86"/>
    </row>
    <row r="94" spans="2:6" x14ac:dyDescent="0.2">
      <c r="B94" s="63" t="s">
        <v>18</v>
      </c>
      <c r="E94" s="80" t="s">
        <v>98</v>
      </c>
    </row>
    <row r="95" spans="2:6" x14ac:dyDescent="0.2">
      <c r="B95" s="64"/>
      <c r="C95" s="87"/>
      <c r="D95" s="87"/>
      <c r="E95" s="87"/>
    </row>
    <row r="96" spans="2:6" x14ac:dyDescent="0.2">
      <c r="B96" s="45"/>
      <c r="C96" s="49"/>
      <c r="D96" s="49"/>
      <c r="E96" s="50"/>
    </row>
    <row r="98" spans="2:6" x14ac:dyDescent="0.2">
      <c r="B98" s="45"/>
      <c r="C98" s="49"/>
      <c r="D98" s="49"/>
      <c r="E98" s="50"/>
    </row>
    <row r="100" spans="2:6" x14ac:dyDescent="0.2">
      <c r="B100" s="61" t="s">
        <v>65</v>
      </c>
      <c r="C100" s="40"/>
      <c r="D100" s="40"/>
      <c r="E100" s="41"/>
    </row>
    <row r="101" spans="2:6" x14ac:dyDescent="0.2">
      <c r="B101" s="67"/>
      <c r="E101" s="43"/>
    </row>
    <row r="102" spans="2:6" x14ac:dyDescent="0.2">
      <c r="B102" s="63" t="s">
        <v>14</v>
      </c>
      <c r="E102" s="43"/>
    </row>
    <row r="103" spans="2:6" x14ac:dyDescent="0.2">
      <c r="B103" s="64"/>
      <c r="C103" s="88" t="s">
        <v>73</v>
      </c>
      <c r="D103" s="88"/>
      <c r="E103" s="89"/>
      <c r="F103" s="35" t="b">
        <f>C103='[1]Necesidades Trimestrales'!C103</f>
        <v>1</v>
      </c>
    </row>
    <row r="104" spans="2:6" ht="25.5" x14ac:dyDescent="0.2">
      <c r="B104" s="65" t="s">
        <v>15</v>
      </c>
      <c r="E104" s="43" t="s">
        <v>85</v>
      </c>
    </row>
    <row r="105" spans="2:6" x14ac:dyDescent="0.2">
      <c r="B105" s="62"/>
      <c r="C105" s="84" t="s">
        <v>58</v>
      </c>
      <c r="D105" s="84"/>
      <c r="E105" s="85"/>
    </row>
    <row r="106" spans="2:6" x14ac:dyDescent="0.2">
      <c r="B106" s="62"/>
      <c r="C106" s="84"/>
      <c r="D106" s="84"/>
      <c r="E106" s="85"/>
    </row>
    <row r="107" spans="2:6" ht="25.5" x14ac:dyDescent="0.2">
      <c r="B107" s="65" t="s">
        <v>16</v>
      </c>
      <c r="E107" s="43"/>
    </row>
    <row r="108" spans="2:6" x14ac:dyDescent="0.2">
      <c r="B108" s="62"/>
      <c r="C108" s="86"/>
      <c r="D108" s="86"/>
      <c r="E108" s="86"/>
    </row>
    <row r="109" spans="2:6" x14ac:dyDescent="0.2">
      <c r="B109" s="63" t="s">
        <v>17</v>
      </c>
      <c r="C109" s="48"/>
      <c r="D109" s="48"/>
      <c r="E109" s="68" t="s">
        <v>86</v>
      </c>
    </row>
    <row r="110" spans="2:6" x14ac:dyDescent="0.2">
      <c r="B110" s="67"/>
      <c r="C110" s="86"/>
      <c r="D110" s="86"/>
      <c r="E110" s="86"/>
    </row>
    <row r="111" spans="2:6" x14ac:dyDescent="0.2">
      <c r="B111" s="63" t="s">
        <v>18</v>
      </c>
      <c r="E111" s="80" t="s">
        <v>98</v>
      </c>
    </row>
    <row r="112" spans="2:6" x14ac:dyDescent="0.2">
      <c r="B112" s="64"/>
      <c r="C112" s="87"/>
      <c r="D112" s="87"/>
      <c r="E112" s="87"/>
    </row>
    <row r="113" spans="2:5" ht="13.5" thickBot="1" x14ac:dyDescent="0.25">
      <c r="B113" s="45"/>
      <c r="C113" s="49"/>
      <c r="D113" s="49"/>
      <c r="E113" s="50"/>
    </row>
  </sheetData>
  <mergeCells count="37">
    <mergeCell ref="C103:E103"/>
    <mergeCell ref="C105:E106"/>
    <mergeCell ref="C108:E108"/>
    <mergeCell ref="C110:E110"/>
    <mergeCell ref="C112:E112"/>
    <mergeCell ref="C39:E39"/>
    <mergeCell ref="C41:E42"/>
    <mergeCell ref="C44:E44"/>
    <mergeCell ref="C46:E46"/>
    <mergeCell ref="C48:E48"/>
    <mergeCell ref="C95:E95"/>
    <mergeCell ref="C70:E70"/>
    <mergeCell ref="C72:E73"/>
    <mergeCell ref="C75:E75"/>
    <mergeCell ref="C77:E77"/>
    <mergeCell ref="C79:E79"/>
    <mergeCell ref="C86:E86"/>
    <mergeCell ref="C88:E89"/>
    <mergeCell ref="C91:E91"/>
    <mergeCell ref="C93:E93"/>
    <mergeCell ref="C55:E55"/>
    <mergeCell ref="C57:E58"/>
    <mergeCell ref="C60:E60"/>
    <mergeCell ref="C62:E62"/>
    <mergeCell ref="C64:E64"/>
    <mergeCell ref="C25:E25"/>
    <mergeCell ref="C27:E28"/>
    <mergeCell ref="C30:E30"/>
    <mergeCell ref="C32:E32"/>
    <mergeCell ref="C34:E34"/>
    <mergeCell ref="A6:B6"/>
    <mergeCell ref="A7:B7"/>
    <mergeCell ref="B2:H2"/>
    <mergeCell ref="A4:B4"/>
    <mergeCell ref="C4:E4"/>
    <mergeCell ref="A5:B5"/>
    <mergeCell ref="C5:E5"/>
  </mergeCells>
  <phoneticPr fontId="26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2"/>
  <sheetViews>
    <sheetView topLeftCell="A13" zoomScale="69" zoomScaleNormal="69" workbookViewId="0">
      <selection activeCell="N19" sqref="N19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41.7109375" style="1" customWidth="1"/>
    <col min="5" max="5" width="23" style="1" customWidth="1"/>
    <col min="6" max="6" width="30.570312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2" ht="18" customHeight="1" x14ac:dyDescent="0.2">
      <c r="A1" s="96" t="s">
        <v>19</v>
      </c>
      <c r="B1" s="96"/>
      <c r="C1" s="96"/>
      <c r="D1" s="96"/>
      <c r="E1" s="96"/>
      <c r="F1" s="96"/>
      <c r="G1" s="96"/>
      <c r="H1" s="96"/>
      <c r="I1" s="96"/>
      <c r="J1" s="2" t="s">
        <v>20</v>
      </c>
      <c r="K1" s="51" t="s">
        <v>87</v>
      </c>
    </row>
    <row r="2" spans="1:12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2" ht="18.75" customHeight="1" thickBot="1" x14ac:dyDescent="0.25">
      <c r="A3" s="97" t="s">
        <v>53</v>
      </c>
      <c r="B3" s="97"/>
      <c r="C3" s="97"/>
      <c r="D3" s="90" t="str">
        <f>'Necesidades Trimestrales'!C4</f>
        <v>40-Ministerio de Salud</v>
      </c>
      <c r="E3" s="90"/>
      <c r="F3" s="90"/>
      <c r="G3" s="90"/>
      <c r="H3" s="90"/>
      <c r="I3" s="90"/>
      <c r="J3" s="90"/>
      <c r="K3" s="90"/>
    </row>
    <row r="4" spans="1:12" ht="18.75" customHeight="1" thickBot="1" x14ac:dyDescent="0.25">
      <c r="A4" s="98" t="s">
        <v>54</v>
      </c>
      <c r="B4" s="98"/>
      <c r="C4" s="98"/>
      <c r="D4" s="90" t="str">
        <f>'Necesidades Trimestrales'!C5</f>
        <v>28- Maternidad Provincial 25 de Mayo</v>
      </c>
      <c r="E4" s="90"/>
      <c r="F4" s="90"/>
      <c r="G4" s="90"/>
      <c r="H4" s="90"/>
      <c r="I4" s="90"/>
      <c r="J4" s="90"/>
      <c r="K4" s="90"/>
    </row>
    <row r="5" spans="1:12" ht="18.75" customHeight="1" thickBot="1" x14ac:dyDescent="0.25">
      <c r="A5" s="98" t="s">
        <v>32</v>
      </c>
      <c r="B5" s="98"/>
      <c r="C5" s="98"/>
      <c r="D5" s="90" t="s">
        <v>59</v>
      </c>
      <c r="E5" s="90"/>
      <c r="F5" s="90"/>
      <c r="G5" s="90"/>
      <c r="H5" s="90"/>
      <c r="I5" s="90"/>
      <c r="J5" s="90"/>
      <c r="K5" s="90"/>
    </row>
    <row r="6" spans="1:12" ht="16.5" customHeight="1" thickBot="1" x14ac:dyDescent="0.25">
      <c r="A6" s="97" t="s">
        <v>55</v>
      </c>
      <c r="B6" s="97"/>
      <c r="C6" s="97"/>
      <c r="D6" s="90" t="s">
        <v>60</v>
      </c>
      <c r="E6" s="90"/>
      <c r="F6" s="90"/>
      <c r="G6" s="90"/>
      <c r="H6" s="90"/>
      <c r="I6" s="90"/>
      <c r="J6" s="90"/>
      <c r="K6" s="90"/>
    </row>
    <row r="7" spans="1:12" ht="16.5" customHeight="1" x14ac:dyDescent="0.2">
      <c r="A7" s="98" t="s">
        <v>21</v>
      </c>
      <c r="B7" s="98"/>
      <c r="C7" s="98"/>
      <c r="D7" s="90" t="str">
        <f>'Necesidades Trimestrales'!C7 &amp; "° Trimestre - Año " &amp; 'Necesidades Trimestrales'!C6</f>
        <v>3° Trimestre - Año 2022</v>
      </c>
      <c r="E7" s="90"/>
      <c r="F7" s="90"/>
      <c r="G7" s="90"/>
      <c r="H7" s="90"/>
      <c r="I7" s="90"/>
      <c r="J7" s="90"/>
      <c r="K7" s="90"/>
    </row>
    <row r="8" spans="1:12" ht="16.5" customHeight="1" x14ac:dyDescent="0.2">
      <c r="A8" s="99" t="s">
        <v>22</v>
      </c>
      <c r="B8" s="99"/>
      <c r="C8" s="99"/>
      <c r="D8" s="103" t="s">
        <v>92</v>
      </c>
      <c r="E8" s="103"/>
      <c r="F8" s="103"/>
      <c r="G8" s="103"/>
      <c r="H8" s="103"/>
      <c r="I8" s="103"/>
      <c r="J8" s="103"/>
      <c r="K8" s="103"/>
    </row>
    <row r="9" spans="1:12" ht="15.75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2" ht="18.75" customHeight="1" thickBot="1" x14ac:dyDescent="0.25">
      <c r="A10" s="104" t="s">
        <v>23</v>
      </c>
      <c r="B10" s="101" t="s">
        <v>24</v>
      </c>
      <c r="C10" s="101" t="s">
        <v>25</v>
      </c>
      <c r="D10" s="101"/>
      <c r="E10" s="101"/>
      <c r="F10" s="101"/>
      <c r="G10" s="101"/>
      <c r="H10" s="101" t="s">
        <v>26</v>
      </c>
      <c r="I10" s="101" t="s">
        <v>27</v>
      </c>
      <c r="J10" s="101" t="s">
        <v>28</v>
      </c>
      <c r="K10" s="100" t="s">
        <v>29</v>
      </c>
    </row>
    <row r="11" spans="1:12" ht="24" customHeight="1" thickBot="1" x14ac:dyDescent="0.25">
      <c r="A11" s="104"/>
      <c r="B11" s="102"/>
      <c r="C11" s="102"/>
      <c r="D11" s="102"/>
      <c r="E11" s="102"/>
      <c r="F11" s="102"/>
      <c r="G11" s="102"/>
      <c r="H11" s="101"/>
      <c r="I11" s="101"/>
      <c r="J11" s="101"/>
      <c r="K11" s="100"/>
    </row>
    <row r="12" spans="1:12" ht="45" customHeight="1" thickBot="1" x14ac:dyDescent="0.25">
      <c r="A12" s="71">
        <f>+'Necesidades Trimestrales'!A10</f>
        <v>1</v>
      </c>
      <c r="B12" s="72" t="str">
        <f>+'Necesidades Trimestrales'!B10</f>
        <v>2.9.6-6745.34</v>
      </c>
      <c r="C12" s="93" t="str">
        <f>+'Necesidades Trimestrales'!E10</f>
        <v>REP. Y ACC. P/AUTOCLAVE; REPUESTO: VALVULA DE SEGURIDAD, MARCA EQUIPO: DEL GIUDICE, MODELO EQUIPO: 9 - 250L - DP - BV</v>
      </c>
      <c r="D12" s="94"/>
      <c r="E12" s="94"/>
      <c r="F12" s="94"/>
      <c r="G12" s="95"/>
      <c r="H12" s="73" t="s">
        <v>61</v>
      </c>
      <c r="I12" s="74" t="str">
        <f>+'Necesidades Trimestrales'!F10</f>
        <v>UNIDAD</v>
      </c>
      <c r="J12" s="75">
        <f>+'Necesidades Trimestrales'!H10</f>
        <v>29000</v>
      </c>
      <c r="K12" s="76">
        <f>+'Necesidades Trimestrales'!G10</f>
        <v>3</v>
      </c>
      <c r="L12" s="70"/>
    </row>
    <row r="13" spans="1:12" ht="48" customHeight="1" thickBot="1" x14ac:dyDescent="0.25">
      <c r="A13" s="71">
        <f>+'Necesidades Trimestrales'!A11</f>
        <v>2</v>
      </c>
      <c r="B13" s="72" t="str">
        <f>+'Necesidades Trimestrales'!B11</f>
        <v>2.9.6-6745.34</v>
      </c>
      <c r="C13" s="93" t="str">
        <f>+'Necesidades Trimestrales'!E11</f>
        <v>REP. Y ACC. P/AUTOCLAVE; REPUESTO: VALVULA DE SEGURIDAD, MARCA EQUIPO: DEL GIUDICE, MODELO EQUIPO: 9 - 250L - DP - BV</v>
      </c>
      <c r="D13" s="94"/>
      <c r="E13" s="94"/>
      <c r="F13" s="94"/>
      <c r="G13" s="95"/>
      <c r="H13" s="73" t="s">
        <v>61</v>
      </c>
      <c r="I13" s="74" t="str">
        <f>+'Necesidades Trimestrales'!F11</f>
        <v>UNIDAD</v>
      </c>
      <c r="J13" s="75">
        <f>+'Necesidades Trimestrales'!H11</f>
        <v>35000</v>
      </c>
      <c r="K13" s="76">
        <f>+'Necesidades Trimestrales'!G11</f>
        <v>1</v>
      </c>
      <c r="L13" s="70"/>
    </row>
    <row r="14" spans="1:12" ht="35.1" customHeight="1" thickBot="1" x14ac:dyDescent="0.25">
      <c r="A14" s="71">
        <f>+'Necesidades Trimestrales'!A12</f>
        <v>3</v>
      </c>
      <c r="B14" s="72" t="str">
        <f>+'Necesidades Trimestrales'!B12</f>
        <v>2.9.6-8875.289</v>
      </c>
      <c r="C14" s="93" t="str">
        <f>+'Necesidades Trimestrales'!E12</f>
        <v>REP. Y ACC. P/EQUIPO MEDICO; USO: TENSIOMETRO ANEROIDE, ELEMENTO: PERITA INSUFLADORA</v>
      </c>
      <c r="D14" s="94"/>
      <c r="E14" s="94"/>
      <c r="F14" s="94"/>
      <c r="G14" s="95"/>
      <c r="H14" s="73" t="s">
        <v>61</v>
      </c>
      <c r="I14" s="74" t="str">
        <f>+'Necesidades Trimestrales'!F12</f>
        <v>UNIDAD</v>
      </c>
      <c r="J14" s="75">
        <f>+'Necesidades Trimestrales'!H12</f>
        <v>352</v>
      </c>
      <c r="K14" s="76">
        <f>+'Necesidades Trimestrales'!G12</f>
        <v>15</v>
      </c>
      <c r="L14" s="70"/>
    </row>
    <row r="15" spans="1:12" ht="35.1" customHeight="1" thickBot="1" x14ac:dyDescent="0.25">
      <c r="A15" s="71">
        <f>+'Necesidades Trimestrales'!A13</f>
        <v>4</v>
      </c>
      <c r="B15" s="72" t="str">
        <f>+'Necesidades Trimestrales'!B13</f>
        <v>2.9.6-8875.290</v>
      </c>
      <c r="C15" s="93" t="str">
        <f>+'Necesidades Trimestrales'!E13</f>
        <v>REP. Y ACC. P/EQUIPO MEDICO; USO: TENSIOMETRO ANEROIDE, ELEMENTO: CAMARA DE DOS VIAS</v>
      </c>
      <c r="D15" s="94"/>
      <c r="E15" s="94"/>
      <c r="F15" s="94"/>
      <c r="G15" s="95"/>
      <c r="H15" s="73" t="s">
        <v>61</v>
      </c>
      <c r="I15" s="74" t="str">
        <f>+'Necesidades Trimestrales'!F13</f>
        <v>UNIDAD</v>
      </c>
      <c r="J15" s="75">
        <f>+'Necesidades Trimestrales'!H13</f>
        <v>860</v>
      </c>
      <c r="K15" s="76">
        <f>+'Necesidades Trimestrales'!G13</f>
        <v>15</v>
      </c>
      <c r="L15" s="70"/>
    </row>
    <row r="16" spans="1:12" ht="35.1" customHeight="1" thickBot="1" x14ac:dyDescent="0.25">
      <c r="A16" s="71">
        <f>+'Necesidades Trimestrales'!A14</f>
        <v>5</v>
      </c>
      <c r="B16" s="72" t="str">
        <f>+'Necesidades Trimestrales'!B14</f>
        <v>2.9.6-8875.277</v>
      </c>
      <c r="C16" s="93" t="str">
        <f>+'Necesidades Trimestrales'!E14</f>
        <v>REP. Y ACC. P/EQUIPO MEDICO; USO: MESA DE ANESTESIA, MARCA EQUIPO: GENERAL ELECTRIC, ELEMENTO: CELDA DE OXIGENO, MODELO EQUIPO: AVANCE CS</v>
      </c>
      <c r="D16" s="94"/>
      <c r="E16" s="94"/>
      <c r="F16" s="94"/>
      <c r="G16" s="95"/>
      <c r="H16" s="73" t="s">
        <v>61</v>
      </c>
      <c r="I16" s="74" t="str">
        <f>+'Necesidades Trimestrales'!F14</f>
        <v>UNIDAD</v>
      </c>
      <c r="J16" s="75">
        <f>+'Necesidades Trimestrales'!H14</f>
        <v>39682.03</v>
      </c>
      <c r="K16" s="76">
        <f>+'Necesidades Trimestrales'!G14</f>
        <v>1</v>
      </c>
      <c r="L16" s="70"/>
    </row>
    <row r="17" spans="1:12" ht="35.1" customHeight="1" thickBot="1" x14ac:dyDescent="0.25">
      <c r="A17" s="71">
        <f>+'Necesidades Trimestrales'!A15</f>
        <v>6</v>
      </c>
      <c r="B17" s="72" t="str">
        <f>+'Necesidades Trimestrales'!B15</f>
        <v>2.9.6-8875.278</v>
      </c>
      <c r="C17" s="93" t="str">
        <f>+'Necesidades Trimestrales'!E15</f>
        <v>REP. Y ACC. P/EQUIPO MEDICO; USO: RESPIRADOR, MARCA EQUIPO: MAQUET, ELEMENTO: CASSETE ESPIRATORIO, MODELO EQUIPO: SERVO I</v>
      </c>
      <c r="D17" s="94"/>
      <c r="E17" s="94"/>
      <c r="F17" s="94"/>
      <c r="G17" s="95"/>
      <c r="H17" s="77" t="s">
        <v>84</v>
      </c>
      <c r="I17" s="74" t="str">
        <f>+'Necesidades Trimestrales'!F15</f>
        <v>UNIDAD</v>
      </c>
      <c r="J17" s="75">
        <f>+'Necesidades Trimestrales'!H15</f>
        <v>452147</v>
      </c>
      <c r="K17" s="76">
        <f>+'Necesidades Trimestrales'!G15</f>
        <v>6</v>
      </c>
      <c r="L17" s="70"/>
    </row>
    <row r="18" spans="1:12" ht="35.1" customHeight="1" thickBot="1" x14ac:dyDescent="0.25">
      <c r="A18" s="71">
        <f>+'Necesidades Trimestrales'!A16</f>
        <v>7</v>
      </c>
      <c r="B18" s="72" t="str">
        <f>+'Necesidades Trimestrales'!B16</f>
        <v>2.9.6-8875.275</v>
      </c>
      <c r="C18" s="93" t="str">
        <f>+'Necesidades Trimestrales'!E16</f>
        <v>REP Y ACC P/EQUIPO MEDICO; USO: INCUBADORA NEONATAL EQUIPO: MEDIX, MODELO EQUIPO: NATAL CARE ,ELEMENTO: BASE RODANTE CON RUEDAS</v>
      </c>
      <c r="D18" s="94"/>
      <c r="E18" s="94"/>
      <c r="F18" s="94"/>
      <c r="G18" s="95"/>
      <c r="H18" s="73" t="s">
        <v>61</v>
      </c>
      <c r="I18" s="74" t="str">
        <f>+'Necesidades Trimestrales'!F16</f>
        <v>UNIDAD</v>
      </c>
      <c r="J18" s="75">
        <f>+'Necesidades Trimestrales'!H16</f>
        <v>122750</v>
      </c>
      <c r="K18" s="76">
        <f>+'Necesidades Trimestrales'!G16</f>
        <v>20</v>
      </c>
      <c r="L18" s="70"/>
    </row>
    <row r="19" spans="1:12" ht="35.1" customHeight="1" thickBot="1" x14ac:dyDescent="0.25">
      <c r="A19" s="71">
        <f>+'Necesidades Trimestrales'!A17</f>
        <v>8</v>
      </c>
      <c r="B19" s="72" t="str">
        <f>+'Necesidades Trimestrales'!B17</f>
        <v>2.9.6-8875.282</v>
      </c>
      <c r="C19" s="93" t="str">
        <f>+'Necesidades Trimestrales'!E17</f>
        <v>REP. Y ACC. P/EQUIPO MEDICO; USO: INCUBADORA NEONATAL, MARCA EQUIPO: MEDIX, ELEMENTO: SENSOR TEMPERATURA DE AIRE, MODELO EQUIPO: NATAL CARE</v>
      </c>
      <c r="D19" s="94"/>
      <c r="E19" s="94"/>
      <c r="F19" s="94"/>
      <c r="G19" s="95"/>
      <c r="H19" s="77" t="s">
        <v>84</v>
      </c>
      <c r="I19" s="74" t="str">
        <f>+'Necesidades Trimestrales'!F17</f>
        <v>UNIDAD</v>
      </c>
      <c r="J19" s="75">
        <f>+'Necesidades Trimestrales'!H17</f>
        <v>27125</v>
      </c>
      <c r="K19" s="76">
        <f>+'Necesidades Trimestrales'!G17</f>
        <v>6</v>
      </c>
      <c r="L19" s="70"/>
    </row>
    <row r="20" spans="1:12" ht="50.25" customHeight="1" thickBot="1" x14ac:dyDescent="0.25">
      <c r="A20" s="71">
        <f>+'Necesidades Trimestrales'!A18</f>
        <v>9</v>
      </c>
      <c r="B20" s="72" t="str">
        <f>+'Necesidades Trimestrales'!B18</f>
        <v>2.9.6-8875.283</v>
      </c>
      <c r="C20" s="93" t="str">
        <f>+'Necesidades Trimestrales'!E18</f>
        <v>REP. Y ACC. P/EQUIPO MEDICO; USO: INCUBADORA NEONATAL, MARCA EQUIPO: MEDIX, ELEMENTO: MOTOR-TURBINA, MODELO EQUIPO: NATAL CARE</v>
      </c>
      <c r="D20" s="94"/>
      <c r="E20" s="94"/>
      <c r="F20" s="94"/>
      <c r="G20" s="95"/>
      <c r="H20" s="77" t="s">
        <v>84</v>
      </c>
      <c r="I20" s="74" t="str">
        <f>+'Necesidades Trimestrales'!F18</f>
        <v>UNIDAD</v>
      </c>
      <c r="J20" s="75">
        <f>+'Necesidades Trimestrales'!H18</f>
        <v>103500</v>
      </c>
      <c r="K20" s="76">
        <f>+'Necesidades Trimestrales'!G18</f>
        <v>20</v>
      </c>
      <c r="L20" s="70"/>
    </row>
    <row r="21" spans="1:12" ht="44.25" customHeight="1" thickBot="1" x14ac:dyDescent="0.25">
      <c r="A21" s="71">
        <f>+'Necesidades Trimestrales'!A19</f>
        <v>10</v>
      </c>
      <c r="B21" s="72" t="str">
        <f>+'Necesidades Trimestrales'!B19</f>
        <v>2.9.6-8875.285</v>
      </c>
      <c r="C21" s="93" t="str">
        <f>+'Necesidades Trimestrales'!E19</f>
        <v>REP. Y ACC. P/EQUIPO MEDICO; USO: LUMINOTERAPIA, MARCA EQUIPO: MEDIX, ELEMENTO: CONTADOR DE HORAS, MODELO EQUIPO: MEDILED</v>
      </c>
      <c r="D21" s="94"/>
      <c r="E21" s="94"/>
      <c r="F21" s="94"/>
      <c r="G21" s="95"/>
      <c r="H21" s="77" t="s">
        <v>84</v>
      </c>
      <c r="I21" s="74" t="str">
        <f>+'Necesidades Trimestrales'!F19</f>
        <v>UNIDAD</v>
      </c>
      <c r="J21" s="75">
        <f>+'Necesidades Trimestrales'!H19</f>
        <v>19625</v>
      </c>
      <c r="K21" s="76">
        <f>+'Necesidades Trimestrales'!G19</f>
        <v>30</v>
      </c>
      <c r="L21" s="70"/>
    </row>
    <row r="22" spans="1:12" ht="35.25" customHeight="1" thickBot="1" x14ac:dyDescent="0.25">
      <c r="A22" s="90" t="s">
        <v>96</v>
      </c>
      <c r="B22" s="91"/>
      <c r="C22" s="91"/>
      <c r="D22" s="91"/>
      <c r="E22" s="91"/>
      <c r="F22" s="91"/>
      <c r="G22" s="91"/>
      <c r="H22" s="90"/>
      <c r="I22" s="90"/>
      <c r="J22" s="92">
        <f>SUMPRODUCT(J12:J21,K12:K21)</f>
        <v>8169244.0299999993</v>
      </c>
      <c r="K22" s="92"/>
    </row>
  </sheetData>
  <mergeCells count="32">
    <mergeCell ref="A8:C8"/>
    <mergeCell ref="K10:K11"/>
    <mergeCell ref="B10:B11"/>
    <mergeCell ref="C10:G11"/>
    <mergeCell ref="D8:K8"/>
    <mergeCell ref="A10:A11"/>
    <mergeCell ref="I10:I11"/>
    <mergeCell ref="J10:J11"/>
    <mergeCell ref="H10:H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2:I22"/>
    <mergeCell ref="J22:K2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topLeftCell="A20" zoomScale="130" zoomScaleNormal="130" workbookViewId="0">
      <selection activeCell="S27" sqref="S27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5.42578125" style="7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2022</v>
      </c>
      <c r="E1" s="129"/>
      <c r="F1" s="8"/>
      <c r="G1" s="8"/>
      <c r="H1" s="9"/>
      <c r="I1" s="9"/>
      <c r="J1" s="9"/>
      <c r="K1" s="9"/>
      <c r="L1" s="9"/>
      <c r="M1" s="9"/>
      <c r="N1" s="9"/>
      <c r="P1" s="130" t="s">
        <v>30</v>
      </c>
      <c r="Q1" s="130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130"/>
      <c r="Q2" s="130"/>
    </row>
    <row r="4" spans="1:17" s="10" customFormat="1" ht="18" customHeight="1" thickBot="1" x14ac:dyDescent="0.25">
      <c r="A4" s="131" t="s">
        <v>31</v>
      </c>
      <c r="B4" s="131"/>
      <c r="C4" s="131"/>
      <c r="D4" s="131"/>
      <c r="E4" s="131"/>
      <c r="F4" s="131"/>
      <c r="G4" s="126" t="str">
        <f>' NotaPedido'!D3</f>
        <v>40-Ministerio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0" customFormat="1" ht="18" customHeight="1" thickBot="1" x14ac:dyDescent="0.25">
      <c r="A5" s="123" t="s">
        <v>54</v>
      </c>
      <c r="B5" s="124"/>
      <c r="C5" s="124"/>
      <c r="D5" s="124"/>
      <c r="E5" s="124"/>
      <c r="F5" s="125"/>
      <c r="G5" s="126" t="str">
        <f>' NotaPedido'!D4</f>
        <v>28- Maternidad Provincial 25 de Mayo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0" customFormat="1" ht="18" customHeight="1" thickBot="1" x14ac:dyDescent="0.25">
      <c r="A6" s="123" t="s">
        <v>32</v>
      </c>
      <c r="B6" s="124"/>
      <c r="C6" s="124"/>
      <c r="D6" s="124"/>
      <c r="E6" s="124"/>
      <c r="F6" s="125"/>
      <c r="G6" s="126" t="str">
        <f>' NotaPedido'!D5</f>
        <v xml:space="preserve">Direccion de Mantenimiento 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0" customFormat="1" ht="18" customHeight="1" thickBot="1" x14ac:dyDescent="0.25">
      <c r="A7" s="123" t="s">
        <v>55</v>
      </c>
      <c r="B7" s="124"/>
      <c r="C7" s="124"/>
      <c r="D7" s="124"/>
      <c r="E7" s="124"/>
      <c r="F7" s="125"/>
      <c r="G7" s="126" t="str">
        <f>' NotaPedido'!D6</f>
        <v xml:space="preserve">Mantenimiento 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7" t="s">
        <v>34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Q9" s="11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/2020,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thickBot="1" x14ac:dyDescent="0.25">
      <c r="A12" s="119" t="s">
        <v>35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thickBot="1" x14ac:dyDescent="0.25">
      <c r="A13" s="120" t="s">
        <v>36</v>
      </c>
      <c r="B13" s="120"/>
      <c r="C13" s="120"/>
      <c r="D13" s="120"/>
      <c r="E13" s="120"/>
      <c r="F13" s="120"/>
      <c r="G13" s="120"/>
      <c r="H13" s="120"/>
      <c r="I13" s="119"/>
      <c r="J13" s="119"/>
      <c r="K13" s="119"/>
      <c r="L13" s="120"/>
      <c r="M13" s="120"/>
      <c r="N13" s="120"/>
      <c r="O13" s="121" t="s">
        <v>37</v>
      </c>
      <c r="P13" s="121"/>
      <c r="Q13" s="122" t="s">
        <v>38</v>
      </c>
    </row>
    <row r="14" spans="1:17" ht="15.75" customHeight="1" thickBot="1" x14ac:dyDescent="0.25">
      <c r="A14" s="16" t="s">
        <v>39</v>
      </c>
      <c r="B14" s="17" t="s">
        <v>40</v>
      </c>
      <c r="C14" s="17" t="s">
        <v>41</v>
      </c>
      <c r="D14" s="17" t="s">
        <v>42</v>
      </c>
      <c r="E14" s="17" t="s">
        <v>43</v>
      </c>
      <c r="F14" s="17" t="s">
        <v>44</v>
      </c>
      <c r="G14" s="18" t="s">
        <v>45</v>
      </c>
      <c r="H14" s="19" t="s">
        <v>46</v>
      </c>
      <c r="I14" s="79" t="s">
        <v>47</v>
      </c>
      <c r="J14" s="79" t="s">
        <v>48</v>
      </c>
      <c r="K14" s="79" t="s">
        <v>48</v>
      </c>
      <c r="L14" s="78" t="s">
        <v>49</v>
      </c>
      <c r="M14" s="19" t="s">
        <v>50</v>
      </c>
      <c r="N14" s="20" t="s">
        <v>51</v>
      </c>
      <c r="O14" s="121"/>
      <c r="P14" s="121"/>
      <c r="Q14" s="122"/>
    </row>
    <row r="15" spans="1:17" ht="17.25" customHeight="1" x14ac:dyDescent="0.2">
      <c r="A15" s="52">
        <v>42</v>
      </c>
      <c r="B15" s="53"/>
      <c r="C15" s="53"/>
      <c r="D15" s="53">
        <v>4</v>
      </c>
      <c r="E15" s="53"/>
      <c r="F15" s="53">
        <v>4901</v>
      </c>
      <c r="G15" s="53">
        <v>3</v>
      </c>
      <c r="H15" s="53">
        <v>1</v>
      </c>
      <c r="I15" s="22">
        <v>2</v>
      </c>
      <c r="J15" s="22">
        <v>9</v>
      </c>
      <c r="K15" s="22">
        <v>6</v>
      </c>
      <c r="L15" s="53"/>
      <c r="M15" s="54">
        <v>1</v>
      </c>
      <c r="N15" s="53" t="s">
        <v>57</v>
      </c>
      <c r="O15" s="114" t="s">
        <v>66</v>
      </c>
      <c r="P15" s="115"/>
      <c r="Q15" s="25">
        <v>8169244.0300000003</v>
      </c>
    </row>
    <row r="16" spans="1:17" ht="17.25" customHeigh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24"/>
      <c r="O16" s="116"/>
      <c r="P16" s="115"/>
      <c r="Q16" s="25"/>
    </row>
    <row r="17" spans="1:17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116"/>
      <c r="P17" s="115"/>
      <c r="Q17" s="25"/>
    </row>
    <row r="18" spans="1:17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4"/>
      <c r="O18" s="116"/>
      <c r="P18" s="115"/>
      <c r="Q18" s="25"/>
    </row>
    <row r="19" spans="1:17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4"/>
      <c r="O19" s="116"/>
      <c r="P19" s="115"/>
      <c r="Q19" s="25"/>
    </row>
    <row r="20" spans="1:17" ht="17.25" customHeight="1" x14ac:dyDescent="0.2">
      <c r="A20" s="21"/>
      <c r="B20" s="22"/>
      <c r="C20" s="22"/>
      <c r="D20" s="22"/>
      <c r="E20" s="22"/>
      <c r="F20" s="24"/>
      <c r="G20" s="22"/>
      <c r="H20" s="22"/>
      <c r="I20" s="22"/>
      <c r="J20" s="22"/>
      <c r="K20" s="22"/>
      <c r="L20" s="22"/>
      <c r="M20" s="23"/>
      <c r="N20" s="24"/>
      <c r="O20" s="110"/>
      <c r="P20" s="110"/>
      <c r="Q20" s="25"/>
    </row>
    <row r="21" spans="1:17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4"/>
      <c r="O21" s="110"/>
      <c r="P21" s="110"/>
      <c r="Q21" s="25"/>
    </row>
    <row r="22" spans="1:17" ht="17.25" customHeight="1" x14ac:dyDescent="0.2">
      <c r="A22" s="21"/>
      <c r="B22" s="22"/>
      <c r="C22" s="22"/>
      <c r="D22" s="22"/>
      <c r="E22" s="22"/>
      <c r="F22" s="24"/>
      <c r="G22" s="22"/>
      <c r="H22" s="22"/>
      <c r="I22" s="22"/>
      <c r="J22" s="22"/>
      <c r="K22" s="22"/>
      <c r="L22" s="22"/>
      <c r="M22" s="23"/>
      <c r="N22" s="24"/>
      <c r="O22" s="110"/>
      <c r="P22" s="110"/>
      <c r="Q22" s="25"/>
    </row>
    <row r="23" spans="1:17" ht="17.25" customHeight="1" x14ac:dyDescent="0.2">
      <c r="A23" s="21"/>
      <c r="B23" s="22"/>
      <c r="C23" s="22"/>
      <c r="D23" s="22"/>
      <c r="E23" s="22"/>
      <c r="F23" s="24"/>
      <c r="G23" s="22"/>
      <c r="H23" s="22"/>
      <c r="I23" s="22"/>
      <c r="J23" s="22"/>
      <c r="K23" s="22"/>
      <c r="L23" s="22"/>
      <c r="M23" s="23"/>
      <c r="N23" s="24"/>
      <c r="O23" s="110"/>
      <c r="P23" s="110"/>
      <c r="Q23" s="25"/>
    </row>
    <row r="24" spans="1:17" ht="17.25" customHeight="1" x14ac:dyDescent="0.2">
      <c r="A24" s="26"/>
      <c r="B24" s="27"/>
      <c r="C24" s="27"/>
      <c r="D24" s="27"/>
      <c r="E24" s="27"/>
      <c r="F24" s="24"/>
      <c r="G24" s="27"/>
      <c r="H24" s="27"/>
      <c r="I24" s="27"/>
      <c r="J24" s="27"/>
      <c r="K24" s="27"/>
      <c r="L24" s="27"/>
      <c r="M24" s="28"/>
      <c r="N24" s="29"/>
      <c r="O24" s="110"/>
      <c r="P24" s="110"/>
      <c r="Q24" s="25"/>
    </row>
    <row r="25" spans="1:17" ht="17.25" customHeight="1" x14ac:dyDescent="0.2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1"/>
      <c r="O25" s="111"/>
      <c r="P25" s="111"/>
      <c r="Q25" s="33"/>
    </row>
    <row r="26" spans="1:17" ht="26.25" customHeight="1" x14ac:dyDescent="0.2">
      <c r="A26" s="112" t="s">
        <v>97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34">
        <f>SUM(Q15:Q25)</f>
        <v>8169244.0300000003</v>
      </c>
    </row>
    <row r="27" spans="1:17" ht="18" customHeight="1" thickBot="1" x14ac:dyDescent="0.25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  <row r="28" spans="1:17" ht="17.25" customHeight="1" thickBot="1" x14ac:dyDescent="0.25">
      <c r="A28" s="105" t="s">
        <v>52</v>
      </c>
      <c r="B28" s="106"/>
      <c r="C28" s="106"/>
      <c r="D28" s="106"/>
      <c r="E28" s="106"/>
      <c r="F28" s="107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</row>
    <row r="29" spans="1:17" ht="18" customHeight="1" thickBot="1" x14ac:dyDescent="0.25">
      <c r="A29" s="109" t="s">
        <v>93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</row>
    <row r="30" spans="1:17" ht="30" customHeight="1" thickBot="1" x14ac:dyDescent="0.25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</row>
  </sheetData>
  <mergeCells count="3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20:P20"/>
    <mergeCell ref="O21:P21"/>
    <mergeCell ref="O22:P22"/>
    <mergeCell ref="O15:P15"/>
    <mergeCell ref="O16:P16"/>
    <mergeCell ref="O17:P17"/>
    <mergeCell ref="O18:P18"/>
    <mergeCell ref="O19:P19"/>
    <mergeCell ref="A28:F28"/>
    <mergeCell ref="G28:Q28"/>
    <mergeCell ref="A29:Q30"/>
    <mergeCell ref="O23:P23"/>
    <mergeCell ref="O24:P24"/>
    <mergeCell ref="O25:P25"/>
    <mergeCell ref="A26:P26"/>
    <mergeCell ref="A27:Q2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ARIEL</dc:creator>
  <dc:description/>
  <cp:lastModifiedBy>COMPRAR</cp:lastModifiedBy>
  <cp:revision>2</cp:revision>
  <cp:lastPrinted>2022-07-14T13:54:04Z</cp:lastPrinted>
  <dcterms:created xsi:type="dcterms:W3CDTF">2020-07-17T23:44:49Z</dcterms:created>
  <dcterms:modified xsi:type="dcterms:W3CDTF">2022-07-28T13:20:11Z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