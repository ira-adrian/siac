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191089CD-6B35-44A8-9B6D-35A6AFA63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22" i="2" l="1"/>
  <c r="M22" i="2"/>
  <c r="Q22" i="2"/>
</calcChain>
</file>

<file path=xl/sharedStrings.xml><?xml version="1.0" encoding="utf-8"?>
<sst xmlns="http://schemas.openxmlformats.org/spreadsheetml/2006/main" count="122" uniqueCount="78">
  <si>
    <t>Número expediente:</t>
  </si>
  <si>
    <t>EX-2022-01719508-   -CAT-DPCBS#MEC</t>
  </si>
  <si>
    <t>Número proceso de compra:</t>
  </si>
  <si>
    <t>100-0164-CDI22</t>
  </si>
  <si>
    <t>Nombre descriptivo proceso de compra:</t>
  </si>
  <si>
    <t>Adq. de Cubiertas de distintas medidas, con destino a las distintas dependencias del MS</t>
  </si>
  <si>
    <t>Unidad Operativa de Compras:</t>
  </si>
  <si>
    <t>Secretaria de Compras y Abastecimiento</t>
  </si>
  <si>
    <t>Fecha de Apertura:</t>
  </si>
  <si>
    <t>23/09/2022</t>
  </si>
  <si>
    <t>Renglón</t>
  </si>
  <si>
    <t>SARAKO S.R.L.</t>
  </si>
  <si>
    <t>LUIS ALBERTO FERNANDEZ</t>
  </si>
  <si>
    <t>GUTIERREZ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</si>
  <si>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</si>
  <si>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</si>
  <si>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</si>
  <si>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</si>
  <si>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</si>
  <si>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</si>
  <si>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</si>
  <si>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</si>
  <si>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</si>
  <si>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</si>
  <si>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2.4.4-6818.980 </t>
  </si>
  <si>
    <t xml:space="preserve">NEUMATICOS; VEHICULO: AMBULANCIA/FURGON/MINIBUS, CONSTRUCCION: RADIAL, ARMADO: S/CAMARA, MEDIDA: 195/70-R15 </t>
  </si>
  <si>
    <t xml:space="preserve">UNIDAD </t>
  </si>
  <si>
    <t xml:space="preserve">Marca: Fate - Modelo: AR-410 Avantia.- </t>
  </si>
  <si>
    <t xml:space="preserve">cubierta fate, triangle o lo que este disponible en el 
momento de ajudicar de similar o igual calidad. </t>
  </si>
  <si>
    <t xml:space="preserve">MARCA FIRESTONE CV 5000 </t>
  </si>
  <si>
    <t xml:space="preserve">2 </t>
  </si>
  <si>
    <t xml:space="preserve">2.4.4-6818.986 </t>
  </si>
  <si>
    <t xml:space="preserve">NEUMATICOS; VEHICULO: AMBULANCIA/FURGON/MINIBUS, CONSTRUCCION: RADIAL, ARMADO: S/CAMARA, MEDIDA: 205/75R16 </t>
  </si>
  <si>
    <t xml:space="preserve">Cubierta fate o triangle o calidad similar de pendiendo disponiblidad 
al momento de adjudicar. </t>
  </si>
  <si>
    <t xml:space="preserve">MARCA TRIANGLE TR 652 </t>
  </si>
  <si>
    <t xml:space="preserve">3 </t>
  </si>
  <si>
    <t xml:space="preserve">2.4.4-6818.724 </t>
  </si>
  <si>
    <t xml:space="preserve">NEUMATICOS; VEHICULO: CAMIONETA, CONSTRUCCION: CON CLAVOS, ARMADO: S/CAMARA, MEDIDA: 215/75R16 
</t>
  </si>
  <si>
    <t xml:space="preserve">Medida 205R16C - Marca: Fate - Modelo: Range Runner HT.- 
</t>
  </si>
  <si>
    <t xml:space="preserve">4 </t>
  </si>
  <si>
    <t xml:space="preserve">2.4.4-6818.801 </t>
  </si>
  <si>
    <t xml:space="preserve">NEUMATICOS; VEHICULO: CAMIONETA, CONSTRUCCION: CON CLAVOS, ARMADO: S/CAMARA, MEDIDA: 265/70R16 
</t>
  </si>
  <si>
    <t xml:space="preserve">Marca: FATE - Modelo: Range Runner AT.- </t>
  </si>
  <si>
    <t xml:space="preserve">5 </t>
  </si>
  <si>
    <t xml:space="preserve">2.4.4-6818.989 </t>
  </si>
  <si>
    <t xml:space="preserve">NEUMATICOS; VEHICULO: CAMIONETA, CONSTRUCCION: RADIAL, ARMADO: S/CAMARA, MEDIDA: 225/70 R17 
</t>
  </si>
  <si>
    <t xml:space="preserve">Marca: FATE - Modelo: Range Runner ATR.- </t>
  </si>
  <si>
    <t xml:space="preserve">Cubierta marca Kumho o similar. </t>
  </si>
  <si>
    <t xml:space="preserve">MARCA BRIDGESTONE REVO 2 </t>
  </si>
  <si>
    <t xml:space="preserve">6 </t>
  </si>
  <si>
    <t xml:space="preserve">2.4.4-6818.744 </t>
  </si>
  <si>
    <t xml:space="preserve">NEUMATICOS; VEHICULO: CAMIONETA, CONSTRUCCION: RADIAL, ARMADO: S/CAMARA, MEDIDA: 235/70R16 </t>
  </si>
  <si>
    <t xml:space="preserve">Marca: FATE - Modelo: Range Runner H/T.- </t>
  </si>
  <si>
    <t xml:space="preserve">7 </t>
  </si>
  <si>
    <t xml:space="preserve">2.4.4-6818.53 </t>
  </si>
  <si>
    <t xml:space="preserve">NEUMATICOS; VEHICULO: CAMIONETA, CONSTRUCCION: RADIAL, ARMADO: S/CAMARA, MEDIDA: 235/75R16 </t>
  </si>
  <si>
    <t xml:space="preserve">MEDIDA: 235/70 R16 - Marca: FATE - Modelo: Range Runner 
H/T.- </t>
  </si>
  <si>
    <t xml:space="preserve">8 </t>
  </si>
  <si>
    <t xml:space="preserve">2.4.4-6818.751 </t>
  </si>
  <si>
    <t xml:space="preserve">NEUMATICOS; VEHICULO: CAMIONETA, CONSTRUCCION: RADIAL, ARMADO: S/CAMARA, MEDIDA: 245/65 R17 
</t>
  </si>
  <si>
    <t xml:space="preserve">MARCA KUMHO HT/51 </t>
  </si>
  <si>
    <t xml:space="preserve">9 </t>
  </si>
  <si>
    <t xml:space="preserve">2.4.4-6818.530 </t>
  </si>
  <si>
    <t xml:space="preserve">NEUMATICOS; VEHICULO: CAMIONETA, CONSTRUCCION: RADIAL, ARMADO: S/CAMARA, MEDIDA: 245/70R16 </t>
  </si>
  <si>
    <t xml:space="preserve">MARCA CONTINENTAL CROSS CONTACT LTX </t>
  </si>
  <si>
    <t xml:space="preserve">10 </t>
  </si>
  <si>
    <t xml:space="preserve">2.4.4-6818.755 </t>
  </si>
  <si>
    <t xml:space="preserve">NEUMATICOS; VEHICULO: CAMIONETA, CONSTRUCCION: RADIAL, ARMADO: SIN CAMARA, MEDIDA: 255/70R16 
</t>
  </si>
  <si>
    <t xml:space="preserve">MARCA BRIDGESTONE AT 693 </t>
  </si>
  <si>
    <t xml:space="preserve">11 </t>
  </si>
  <si>
    <t xml:space="preserve">2.4.4-6818.890 </t>
  </si>
  <si>
    <t xml:space="preserve">NEUMATICOS; VEHICULO: CAMIONETA, CONSTRUCCION: RADIAL, ARMADO: SIN CAMARA, MEDIDA: 265/60R18 
</t>
  </si>
  <si>
    <t xml:space="preserve">MARCA TRIANGLE TR 259 XL </t>
  </si>
  <si>
    <t xml:space="preserve">12 </t>
  </si>
  <si>
    <t xml:space="preserve">2.4.4-6818.48 </t>
  </si>
  <si>
    <t xml:space="preserve">NEUMATICOS; VEHICULO: CAMIONETA, CONSTRUCCION: RADIAL, MEDIDA: 235/75R15, ARMADO: S/CAMARA </t>
  </si>
  <si>
    <t xml:space="preserve">MARCA TRIANGLE TR 292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</si>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</sst>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2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13.85546875" customWidth="1"/>
    <col min="5" max="5" width="78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3.28515625" customWidth="1"/>
    <col min="11" max="11" width="14.28515625" customWidth="1"/>
    <col min="12" max="12" width="17.28515625" customWidth="1"/>
    <col min="13" max="13" width="16.5703125" customWidth="1"/>
    <col min="14" max="14" width="60" customWidth="1"/>
    <col min="15" max="15" width="14.28515625" customWidth="1"/>
    <col min="16" max="16" width="17.28515625" customWidth="1"/>
    <col min="17" max="17" width="16.5703125" customWidth="1"/>
    <col min="18" max="18" width="39.285156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t="s">
        <v>25</v>
      </c>
      <c r="E10">
        <v>6</v>
      </c>
      <c r="F10" t="s">
        <v>26</v>
      </c>
      <c r="G10" s="3">
        <v>84000</v>
      </c>
      <c r="H10" s="3">
        <v>6</v>
      </c>
      <c r="I10" s="4">
        <v>504000</v>
      </c>
      <c r="J10" t="s">
        <v>27</v>
      </c>
      <c r="K10" s="3">
        <v>104880</v>
      </c>
      <c r="L10" s="3">
        <v>6</v>
      </c>
      <c r="M10" s="4">
        <v>629280</v>
      </c>
      <c r="N10" s="5" t="s">
        <v>28</v>
      </c>
      <c r="O10" s="3">
        <v>79250</v>
      </c>
      <c r="P10" s="3">
        <v>6</v>
      </c>
      <c r="Q10" s="4">
        <v>475500</v>
      </c>
      <c r="R10" t="s">
        <v>29</v>
      </c>
    </row>
    <row r="11" spans="1:18" ht="45" x14ac:dyDescent="0.25">
      <c r="A11" t="s">
        <v>30</v>
      </c>
      <c r="B11" t="s">
        <v>23</v>
      </c>
      <c r="C11" t="s">
        <v>31</v>
      </c>
      <c r="D11" t="s">
        <v>32</v>
      </c>
      <c r="E11">
        <v>26</v>
      </c>
      <c r="F11" t="s">
        <v>26</v>
      </c>
      <c r="G11" s="3">
        <v>103100</v>
      </c>
      <c r="H11" s="3">
        <v>26</v>
      </c>
      <c r="I11" s="4">
        <v>2680600</v>
      </c>
      <c r="J11" t="s">
        <v>27</v>
      </c>
      <c r="K11" s="3">
        <v>118020</v>
      </c>
      <c r="L11" s="3">
        <v>26</v>
      </c>
      <c r="M11" s="4">
        <v>3068520</v>
      </c>
      <c r="N11" s="5" t="s">
        <v>33</v>
      </c>
      <c r="O11" s="3">
        <v>74390</v>
      </c>
      <c r="P11" s="3">
        <v>20</v>
      </c>
      <c r="Q11" s="4">
        <v>1487800</v>
      </c>
      <c r="R11" t="s">
        <v>34</v>
      </c>
    </row>
    <row r="12" spans="1:18" ht="30" x14ac:dyDescent="0.25">
      <c r="A12" t="s">
        <v>35</v>
      </c>
      <c r="B12" t="s">
        <v>23</v>
      </c>
      <c r="C12" t="s">
        <v>36</v>
      </c>
      <c r="D12" s="5" t="s">
        <v>37</v>
      </c>
      <c r="E12">
        <v>16</v>
      </c>
      <c r="F12" t="s">
        <v>26</v>
      </c>
      <c r="G12" s="3">
        <v>78600</v>
      </c>
      <c r="H12" s="3">
        <v>16</v>
      </c>
      <c r="I12" s="4">
        <v>1257600</v>
      </c>
      <c r="J12" s="5" t="s">
        <v>38</v>
      </c>
      <c r="K12" s="3"/>
      <c r="L12" s="3"/>
      <c r="M12" s="4"/>
      <c r="O12" s="3"/>
      <c r="P12" s="3"/>
      <c r="Q12" s="4"/>
    </row>
    <row r="13" spans="1:18" ht="30" x14ac:dyDescent="0.25">
      <c r="A13" t="s">
        <v>39</v>
      </c>
      <c r="B13" t="s">
        <v>23</v>
      </c>
      <c r="C13" t="s">
        <v>40</v>
      </c>
      <c r="D13" s="5" t="s">
        <v>41</v>
      </c>
      <c r="E13">
        <v>8</v>
      </c>
      <c r="F13" t="s">
        <v>26</v>
      </c>
      <c r="G13" s="3">
        <v>102700</v>
      </c>
      <c r="H13" s="3">
        <v>8</v>
      </c>
      <c r="I13" s="4">
        <v>821600</v>
      </c>
      <c r="J13" t="s">
        <v>42</v>
      </c>
      <c r="K13" s="3"/>
      <c r="L13" s="3"/>
      <c r="M13" s="4"/>
      <c r="O13" s="3"/>
      <c r="P13" s="3"/>
      <c r="Q13" s="4"/>
    </row>
    <row r="14" spans="1:18" ht="30" x14ac:dyDescent="0.25">
      <c r="A14" t="s">
        <v>43</v>
      </c>
      <c r="B14" t="s">
        <v>23</v>
      </c>
      <c r="C14" t="s">
        <v>44</v>
      </c>
      <c r="D14" s="5" t="s">
        <v>45</v>
      </c>
      <c r="E14">
        <v>4</v>
      </c>
      <c r="F14" t="s">
        <v>26</v>
      </c>
      <c r="G14" s="3">
        <v>95200</v>
      </c>
      <c r="H14" s="3">
        <v>4</v>
      </c>
      <c r="I14" s="4">
        <v>380800</v>
      </c>
      <c r="J14" t="s">
        <v>46</v>
      </c>
      <c r="K14" s="3">
        <v>93450</v>
      </c>
      <c r="L14" s="3">
        <v>4</v>
      </c>
      <c r="M14" s="4">
        <v>373800</v>
      </c>
      <c r="N14" t="s">
        <v>47</v>
      </c>
      <c r="O14" s="3">
        <v>105525</v>
      </c>
      <c r="P14" s="3">
        <v>4</v>
      </c>
      <c r="Q14" s="4">
        <v>422100</v>
      </c>
      <c r="R14" t="s">
        <v>48</v>
      </c>
    </row>
    <row r="15" spans="1:18" ht="45" x14ac:dyDescent="0.25">
      <c r="A15" t="s">
        <v>49</v>
      </c>
      <c r="B15" t="s">
        <v>23</v>
      </c>
      <c r="C15" t="s">
        <v>50</v>
      </c>
      <c r="D15" t="s">
        <v>51</v>
      </c>
      <c r="E15">
        <v>8</v>
      </c>
      <c r="F15" t="s">
        <v>26</v>
      </c>
      <c r="G15" s="3">
        <v>98150</v>
      </c>
      <c r="H15" s="3">
        <v>8</v>
      </c>
      <c r="I15" s="4">
        <v>785200</v>
      </c>
      <c r="J15" t="s">
        <v>52</v>
      </c>
      <c r="K15" s="3">
        <v>124920</v>
      </c>
      <c r="L15" s="3">
        <v>8</v>
      </c>
      <c r="M15" s="4">
        <v>999360</v>
      </c>
      <c r="N15" s="5" t="s">
        <v>33</v>
      </c>
      <c r="O15" s="3"/>
      <c r="P15" s="3"/>
      <c r="Q15" s="4"/>
    </row>
    <row r="16" spans="1:18" ht="45" x14ac:dyDescent="0.25">
      <c r="A16" t="s">
        <v>53</v>
      </c>
      <c r="B16" t="s">
        <v>23</v>
      </c>
      <c r="C16" t="s">
        <v>54</v>
      </c>
      <c r="D16" t="s">
        <v>55</v>
      </c>
      <c r="E16">
        <v>4</v>
      </c>
      <c r="F16" t="s">
        <v>26</v>
      </c>
      <c r="G16" s="3">
        <v>98150</v>
      </c>
      <c r="H16" s="3">
        <v>4</v>
      </c>
      <c r="I16" s="4">
        <v>392600</v>
      </c>
      <c r="J16" s="5" t="s">
        <v>56</v>
      </c>
      <c r="K16" s="3"/>
      <c r="L16" s="3"/>
      <c r="M16" s="4"/>
      <c r="O16" s="3"/>
      <c r="P16" s="3"/>
      <c r="Q16" s="4"/>
    </row>
    <row r="17" spans="1:18" ht="45" x14ac:dyDescent="0.25">
      <c r="A17" t="s">
        <v>57</v>
      </c>
      <c r="B17" t="s">
        <v>23</v>
      </c>
      <c r="C17" t="s">
        <v>58</v>
      </c>
      <c r="D17" s="5" t="s">
        <v>59</v>
      </c>
      <c r="E17">
        <v>20</v>
      </c>
      <c r="F17" t="s">
        <v>26</v>
      </c>
      <c r="G17" s="3">
        <v>105700</v>
      </c>
      <c r="H17" s="3">
        <v>20</v>
      </c>
      <c r="I17" s="4">
        <v>2114000</v>
      </c>
      <c r="J17" t="s">
        <v>42</v>
      </c>
      <c r="K17" s="3">
        <v>144100</v>
      </c>
      <c r="L17" s="3">
        <v>20</v>
      </c>
      <c r="M17" s="4">
        <v>2882000</v>
      </c>
      <c r="N17" s="5" t="s">
        <v>33</v>
      </c>
      <c r="O17" s="3">
        <v>111860</v>
      </c>
      <c r="P17" s="3">
        <v>16</v>
      </c>
      <c r="Q17" s="4">
        <v>1789760</v>
      </c>
      <c r="R17" t="s">
        <v>60</v>
      </c>
    </row>
    <row r="18" spans="1:18" ht="45" x14ac:dyDescent="0.25">
      <c r="A18" t="s">
        <v>61</v>
      </c>
      <c r="B18" t="s">
        <v>23</v>
      </c>
      <c r="C18" t="s">
        <v>62</v>
      </c>
      <c r="D18" t="s">
        <v>63</v>
      </c>
      <c r="E18">
        <v>8</v>
      </c>
      <c r="F18" t="s">
        <v>26</v>
      </c>
      <c r="G18" s="3">
        <v>90100</v>
      </c>
      <c r="H18" s="3">
        <v>8</v>
      </c>
      <c r="I18" s="4">
        <v>720800</v>
      </c>
      <c r="J18" t="s">
        <v>42</v>
      </c>
      <c r="K18" s="3">
        <v>118800</v>
      </c>
      <c r="L18" s="3">
        <v>8</v>
      </c>
      <c r="M18" s="4">
        <v>950400</v>
      </c>
      <c r="N18" s="5" t="s">
        <v>33</v>
      </c>
      <c r="O18" s="3">
        <v>120000</v>
      </c>
      <c r="P18" s="3">
        <v>8</v>
      </c>
      <c r="Q18" s="4">
        <v>960000</v>
      </c>
      <c r="R18" t="s">
        <v>64</v>
      </c>
    </row>
    <row r="19" spans="1:18" ht="45" x14ac:dyDescent="0.25">
      <c r="A19" t="s">
        <v>65</v>
      </c>
      <c r="B19" t="s">
        <v>23</v>
      </c>
      <c r="C19" t="s">
        <v>66</v>
      </c>
      <c r="D19" s="5" t="s">
        <v>67</v>
      </c>
      <c r="E19">
        <v>4</v>
      </c>
      <c r="F19" t="s">
        <v>26</v>
      </c>
      <c r="G19" s="3">
        <v>101350</v>
      </c>
      <c r="H19" s="3">
        <v>4</v>
      </c>
      <c r="I19" s="4">
        <v>405400</v>
      </c>
      <c r="J19" t="s">
        <v>42</v>
      </c>
      <c r="K19" s="3">
        <v>137950</v>
      </c>
      <c r="L19" s="3">
        <v>4</v>
      </c>
      <c r="M19" s="4">
        <v>551800</v>
      </c>
      <c r="N19" s="5" t="s">
        <v>33</v>
      </c>
      <c r="O19" s="3">
        <v>108590</v>
      </c>
      <c r="P19" s="3">
        <v>4</v>
      </c>
      <c r="Q19" s="4">
        <v>434360</v>
      </c>
      <c r="R19" t="s">
        <v>68</v>
      </c>
    </row>
    <row r="20" spans="1:18" ht="45" x14ac:dyDescent="0.25">
      <c r="A20" t="s">
        <v>69</v>
      </c>
      <c r="B20" t="s">
        <v>23</v>
      </c>
      <c r="C20" t="s">
        <v>70</v>
      </c>
      <c r="D20" s="5" t="s">
        <v>71</v>
      </c>
      <c r="E20">
        <v>2</v>
      </c>
      <c r="F20" t="s">
        <v>26</v>
      </c>
      <c r="G20" s="3">
        <v>129500</v>
      </c>
      <c r="H20" s="3">
        <v>2</v>
      </c>
      <c r="I20" s="4">
        <v>259000</v>
      </c>
      <c r="J20" t="s">
        <v>46</v>
      </c>
      <c r="K20" s="3">
        <v>182980</v>
      </c>
      <c r="L20" s="3">
        <v>2</v>
      </c>
      <c r="M20" s="4">
        <v>365960</v>
      </c>
      <c r="N20" s="5" t="s">
        <v>33</v>
      </c>
      <c r="O20" s="3">
        <v>90700</v>
      </c>
      <c r="P20" s="3">
        <v>2</v>
      </c>
      <c r="Q20" s="4">
        <v>181400</v>
      </c>
      <c r="R20" t="s">
        <v>72</v>
      </c>
    </row>
    <row r="21" spans="1:18" ht="45" x14ac:dyDescent="0.25">
      <c r="A21" t="s">
        <v>73</v>
      </c>
      <c r="B21" t="s">
        <v>23</v>
      </c>
      <c r="C21" t="s">
        <v>74</v>
      </c>
      <c r="D21" t="s">
        <v>75</v>
      </c>
      <c r="E21">
        <v>4</v>
      </c>
      <c r="F21" t="s">
        <v>26</v>
      </c>
      <c r="G21" s="3">
        <v>78000</v>
      </c>
      <c r="H21" s="3">
        <v>4</v>
      </c>
      <c r="I21" s="4">
        <v>312000</v>
      </c>
      <c r="J21" t="s">
        <v>52</v>
      </c>
      <c r="K21" s="3">
        <v>99180</v>
      </c>
      <c r="L21" s="3">
        <v>4</v>
      </c>
      <c r="M21" s="4">
        <v>396720</v>
      </c>
      <c r="N21" s="5" t="s">
        <v>33</v>
      </c>
      <c r="O21" s="3">
        <v>87000</v>
      </c>
      <c r="P21" s="3">
        <v>4</v>
      </c>
      <c r="Q21" s="4">
        <v>348000</v>
      </c>
      <c r="R21" t="s">
        <v>76</v>
      </c>
    </row>
    <row r="22" spans="1:18" x14ac:dyDescent="0.25">
      <c r="C22" t="s">
        <v>77</v>
      </c>
      <c r="G22" s="3"/>
      <c r="H22" s="3"/>
      <c r="I22" s="4">
        <f>SUBTOTAL(109,Table2[Total por renglón])</f>
        <v>10633600</v>
      </c>
      <c r="K22" s="3"/>
      <c r="L22" s="3"/>
      <c r="M22" s="4">
        <f>SUBTOTAL(109,Table3[Total por renglón])</f>
        <v>10217840</v>
      </c>
      <c r="N22" s="5"/>
      <c r="O22" s="3"/>
      <c r="P22" s="3"/>
      <c r="Q22" s="4">
        <f>SUBTOTAL(109,Table4[Total por renglón])</f>
        <v>6098920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AYBAR</dc:creator>
  <cp:lastModifiedBy>COMPRAS</cp:lastModifiedBy>
  <dcterms:created xsi:type="dcterms:W3CDTF">2022-10-06T11:30:50Z</dcterms:created>
  <dcterms:modified xsi:type="dcterms:W3CDTF">2022-10-06T11:32:18Z</dcterms:modified>
</cp:coreProperties>
</file>