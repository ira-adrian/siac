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esktop\"/>
    </mc:Choice>
  </mc:AlternateContent>
  <xr:revisionPtr revIDLastSave="0" documentId="8_{9C2C5577-CEAA-45F8-968C-CA28645B99E7}" xr6:coauthVersionLast="46" xr6:coauthVersionMax="46" xr10:uidLastSave="{00000000-0000-0000-0000-000000000000}"/>
  <bookViews>
    <workbookView xWindow="-120" yWindow="-120" windowWidth="29040" windowHeight="15840" xr2:uid="{156128DC-17D6-4D72-9D65-7301D84254E8}"/>
  </bookViews>
  <sheets>
    <sheet name="Hoja1" sheetId="1" r:id="rId1"/>
  </sheets>
  <definedNames>
    <definedName name="_xlnm._FilterDatabase" localSheetId="0" hidden="1">Hoja1!$A$9:$AS$9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3" i="1"/>
  <c r="A14" i="1"/>
  <c r="A15" i="1"/>
  <c r="A16" i="1" s="1"/>
  <c r="A17" i="1" s="1"/>
  <c r="A18" i="1" s="1"/>
  <c r="A19" i="1" s="1"/>
  <c r="A20" i="1" s="1"/>
  <c r="A21" i="1" s="1"/>
  <c r="A22" i="1" s="1"/>
  <c r="A23" i="1" s="1"/>
  <c r="A11" i="1"/>
  <c r="V24" i="1"/>
  <c r="R24" i="1"/>
  <c r="AS15" i="1"/>
  <c r="AS11" i="1"/>
  <c r="AS10" i="1"/>
  <c r="AS17" i="1"/>
  <c r="AS13" i="1"/>
  <c r="AS20" i="1"/>
  <c r="AS22" i="1"/>
  <c r="AS23" i="1"/>
  <c r="AS16" i="1"/>
  <c r="AS21" i="1"/>
  <c r="AS12" i="1"/>
  <c r="AS18" i="1"/>
  <c r="AS14" i="1"/>
  <c r="AQ14" i="1"/>
  <c r="AS19" i="1"/>
  <c r="AS24" i="1" l="1"/>
</calcChain>
</file>

<file path=xl/sharedStrings.xml><?xml version="1.0" encoding="utf-8"?>
<sst xmlns="http://schemas.openxmlformats.org/spreadsheetml/2006/main" count="104" uniqueCount="78">
  <si>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</si>
  <si>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</si>
  <si>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</si>
  <si>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</si>
  <si>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</si>
  <si>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</si>
  <si>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</si>
  <si>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</si>
  <si>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</si>
  <si>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</si>
  <si>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</si>
  <si>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</si>
  <si>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</si>
  <si>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</si>
  <si>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DIR. ADM.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</si>
  <si>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</si>
  <si>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</si>
  <si>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</si>
  <si>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</si>
  <si>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</si>
  <si>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</si>
  <si>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</si>
  <si>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</si>
  <si>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</si>
  <si>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</si>
  <si>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</si>
  <si>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</si>
  <si>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</si>
  <si>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</si>
  <si>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</si>
  <si>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</si>
  <si>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</si>
  <si>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</si>
  <si>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</si>
  <si>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</si>
  <si>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</si>
  <si>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</si>
  <si>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</si>
  <si>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</si>
  <si>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</si>
  <si>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</si>
  <si>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</si>
  <si>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</si>
  <si>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</si>
  <si>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</si>
  <si>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</si>
  <si>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</si>
  <si>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</si>
  <si>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</si>
  <si>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</si>
  <si>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</si>
  <si>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</si>
  <si>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</si>
  <si>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PROD. MEDICO/FARMACEUTICOS/LAB</t>
  </si>
  <si>
    <t>LORAZEPAM  4MG AMPOLLA</t>
  </si>
  <si>
    <t>Unidad</t>
  </si>
  <si>
    <t>DEXMETOMIDINA 200MG/2ML</t>
  </si>
  <si>
    <t>KETAMINA 50MG/ML</t>
  </si>
  <si>
    <t>CLORPROMAZINA 0,25% AMPOLLA</t>
  </si>
  <si>
    <t>TIOPENTAL SODICO 1 GR FRASCO AMPOLLA</t>
  </si>
  <si>
    <t>FENTANILO 250MCG AMPOLLA</t>
  </si>
  <si>
    <t xml:space="preserve">VECURONIO BROMURO 10 MG </t>
  </si>
  <si>
    <t>VANCOMICINA 1GR AMPOLLA</t>
  </si>
  <si>
    <t>PIPERACILINA + TAZOBACTAM 4,5GR AMPOLLA</t>
  </si>
  <si>
    <t>COLISTINA 150 MG AMPOLLA</t>
  </si>
  <si>
    <t>IMIPENEM +CILASTATINA 500MG AMPOLLA</t>
  </si>
  <si>
    <t>ALBUMINA 20% X 50ML</t>
  </si>
  <si>
    <t>ANFOTERICINA B 50 MG FRASCO AMPOLLA</t>
  </si>
  <si>
    <t>ENOXAPARINA 40MG/0,4ML JERINGA PRELLENADA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</si>
  <si>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</si>
  <si>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doce (12) meses  a partir de la fecha de su recepción.
6-Se podra solicitar muestra en caso de necesitar analisis de calidad.  </t>
  </si>
  <si>
    <t>Plazos de entrega</t>
  </si>
  <si>
    <t xml:space="preserve">diez (10) dias 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</si>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</sst>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5" fillId="0" borderId="0" applyBorder="0" applyProtection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2" fillId="2" borderId="2" xfId="2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3" fontId="13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3" applyNumberFormat="1" applyFont="1" applyFill="1" applyBorder="1" applyAlignment="1">
      <alignment horizontal="left" vertical="center"/>
    </xf>
    <xf numFmtId="3" fontId="3" fillId="2" borderId="1" xfId="3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/>
    </xf>
    <xf numFmtId="3" fontId="14" fillId="0" borderId="5" xfId="0" applyNumberFormat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center" wrapText="1"/>
    </xf>
    <xf numFmtId="3" fontId="13" fillId="2" borderId="6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</cellXfs>
  <cellStyles count="4">
    <cellStyle name="Millares 2" xfId="3" xr:uid="{10A564CC-1F57-4BEE-BC6F-49B3836C79AE}"/>
    <cellStyle name="Moneda 2" xfId="1" xr:uid="{BC480EFA-B1F3-4B6A-9AA0-1211E3D2F0F2}"/>
    <cellStyle name="Normal" xfId="0" builtinId="0"/>
    <cellStyle name="Normal 7" xfId="2" xr:uid="{2CB8A5E8-99C1-45CE-BDBD-9A3499A8615F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B8B5-C398-4D8C-93B4-FD8F6DA2D4FB}">
  <dimension ref="A1:AS37"/>
  <sheetViews>
    <sheetView tabSelected="1" topLeftCell="A6" workbookViewId="0">
      <selection activeCell="AR26" sqref="AR26"/>
    </sheetView>
  </sheetViews>
  <sheetFormatPr baseColWidth="10" defaultRowHeight="15" x14ac:dyDescent="0.25"/>
  <cols>
    <col min="1" max="1" width="6.42578125" customWidth="1"/>
    <col min="2" max="2" width="16" customWidth="1"/>
    <col min="3" max="3" width="50" customWidth="1"/>
    <col min="4" max="4" width="8.42578125" customWidth="1"/>
    <col min="5" max="5" width="65.42578125" customWidth="1"/>
    <col min="6" max="6" width="16.42578125" customWidth="1"/>
    <col min="7" max="42" width="0" hidden="1" customWidth="1"/>
    <col min="43" max="43" width="16.42578125" customWidth="1"/>
    <col min="44" max="44" width="16.5703125" bestFit="1" customWidth="1"/>
    <col min="45" max="45" width="22.5703125" customWidth="1"/>
  </cols>
  <sheetData>
    <row r="1" spans="1:45" x14ac:dyDescent="0.25">
      <c r="A1" s="1">
        <v>2021</v>
      </c>
      <c r="B1" s="2"/>
      <c r="C1" s="3"/>
      <c r="D1" s="4"/>
      <c r="E1" s="5"/>
      <c r="F1" s="4"/>
      <c r="G1" s="4"/>
      <c r="H1" s="4"/>
      <c r="I1" s="4"/>
      <c r="J1" s="4"/>
      <c r="K1" s="6"/>
      <c r="L1" s="7"/>
      <c r="M1" s="8"/>
      <c r="N1" s="4"/>
      <c r="O1" s="6"/>
      <c r="P1" s="4"/>
      <c r="Q1" s="8"/>
      <c r="R1" s="4"/>
      <c r="S1" s="6"/>
      <c r="T1" s="4"/>
      <c r="U1" s="8"/>
      <c r="V1" s="4"/>
      <c r="W1" s="8"/>
      <c r="X1" s="4"/>
      <c r="Y1" s="8"/>
      <c r="Z1" s="4"/>
      <c r="AA1" s="8"/>
      <c r="AB1" s="4"/>
      <c r="AC1" s="8"/>
      <c r="AD1" s="4"/>
      <c r="AE1" s="8"/>
      <c r="AF1" s="4"/>
      <c r="AG1" s="8"/>
      <c r="AH1" s="4"/>
      <c r="AI1" s="8"/>
      <c r="AJ1" s="4"/>
      <c r="AK1" s="8"/>
      <c r="AL1" s="4"/>
      <c r="AM1" s="8"/>
      <c r="AN1" s="4"/>
      <c r="AO1" s="8"/>
      <c r="AP1" s="4"/>
      <c r="AQ1" s="9"/>
      <c r="AR1" s="10"/>
      <c r="AS1" s="11"/>
    </row>
    <row r="2" spans="1:45" ht="25.5" x14ac:dyDescent="0.35">
      <c r="A2" s="3"/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3"/>
      <c r="AR2" s="14"/>
      <c r="AS2" s="11"/>
    </row>
    <row r="3" spans="1:45" x14ac:dyDescent="0.25">
      <c r="A3" s="3"/>
      <c r="B3" s="2"/>
      <c r="C3" s="3"/>
      <c r="D3" s="4"/>
      <c r="E3" s="5"/>
      <c r="F3" s="4"/>
      <c r="G3" s="4"/>
      <c r="H3" s="4"/>
      <c r="I3" s="4"/>
      <c r="J3" s="4"/>
      <c r="K3" s="6"/>
      <c r="L3" s="7"/>
      <c r="M3" s="8"/>
      <c r="N3" s="4"/>
      <c r="O3" s="6"/>
      <c r="P3" s="4"/>
      <c r="Q3" s="8"/>
      <c r="R3" s="4"/>
      <c r="S3" s="6"/>
      <c r="T3" s="4"/>
      <c r="U3" s="8"/>
      <c r="V3" s="4"/>
      <c r="W3" s="8"/>
      <c r="X3" s="4"/>
      <c r="Y3" s="8"/>
      <c r="Z3" s="4"/>
      <c r="AA3" s="8"/>
      <c r="AB3" s="4"/>
      <c r="AC3" s="8"/>
      <c r="AD3" s="4"/>
      <c r="AE3" s="8"/>
      <c r="AF3" s="4"/>
      <c r="AG3" s="8"/>
      <c r="AH3" s="4"/>
      <c r="AI3" s="8"/>
      <c r="AJ3" s="4"/>
      <c r="AK3" s="8"/>
      <c r="AL3" s="4"/>
      <c r="AM3" s="8"/>
      <c r="AN3" s="4"/>
      <c r="AO3" s="8"/>
      <c r="AP3" s="4"/>
      <c r="AQ3" s="9"/>
      <c r="AR3" s="10"/>
      <c r="AS3" s="11"/>
    </row>
    <row r="4" spans="1:45" ht="15.75" x14ac:dyDescent="0.25">
      <c r="A4" s="15" t="s">
        <v>1</v>
      </c>
      <c r="B4" s="15"/>
      <c r="C4" s="16" t="s">
        <v>2</v>
      </c>
      <c r="D4" s="16"/>
      <c r="E4" s="16"/>
      <c r="F4" s="17"/>
      <c r="G4" s="17"/>
      <c r="H4" s="17"/>
      <c r="I4" s="17"/>
      <c r="J4" s="17"/>
      <c r="K4" s="18"/>
      <c r="L4" s="19"/>
      <c r="M4" s="20"/>
      <c r="N4" s="17"/>
      <c r="O4" s="18"/>
      <c r="P4" s="17"/>
      <c r="Q4" s="20"/>
      <c r="R4" s="17"/>
      <c r="S4" s="18"/>
      <c r="T4" s="17"/>
      <c r="U4" s="20"/>
      <c r="V4" s="17"/>
      <c r="W4" s="20"/>
      <c r="X4" s="17"/>
      <c r="Y4" s="20"/>
      <c r="Z4" s="17"/>
      <c r="AA4" s="20"/>
      <c r="AB4" s="17"/>
      <c r="AC4" s="20"/>
      <c r="AD4" s="17"/>
      <c r="AE4" s="20"/>
      <c r="AF4" s="17"/>
      <c r="AG4" s="20"/>
      <c r="AH4" s="17"/>
      <c r="AI4" s="20"/>
      <c r="AJ4" s="17"/>
      <c r="AK4" s="20"/>
      <c r="AL4" s="17"/>
      <c r="AM4" s="20"/>
      <c r="AN4" s="17"/>
      <c r="AO4" s="20"/>
      <c r="AP4" s="17"/>
      <c r="AQ4" s="21"/>
      <c r="AR4" s="10"/>
      <c r="AS4" s="11"/>
    </row>
    <row r="5" spans="1:45" ht="15.75" x14ac:dyDescent="0.25">
      <c r="A5" s="15" t="s">
        <v>3</v>
      </c>
      <c r="B5" s="15"/>
      <c r="C5" s="16" t="s">
        <v>4</v>
      </c>
      <c r="D5" s="16"/>
      <c r="E5" s="16"/>
      <c r="F5" s="17"/>
      <c r="G5" s="17"/>
      <c r="H5" s="17"/>
      <c r="I5" s="17"/>
      <c r="J5" s="17"/>
      <c r="K5" s="18"/>
      <c r="L5" s="19"/>
      <c r="M5" s="20"/>
      <c r="N5" s="17"/>
      <c r="O5" s="18"/>
      <c r="P5" s="17"/>
      <c r="Q5" s="20"/>
      <c r="R5" s="17"/>
      <c r="S5" s="18"/>
      <c r="T5" s="17"/>
      <c r="U5" s="20"/>
      <c r="V5" s="17"/>
      <c r="W5" s="20"/>
      <c r="X5" s="17"/>
      <c r="Y5" s="20"/>
      <c r="Z5" s="17"/>
      <c r="AA5" s="20"/>
      <c r="AB5" s="17"/>
      <c r="AC5" s="20"/>
      <c r="AD5" s="17"/>
      <c r="AE5" s="20"/>
      <c r="AF5" s="17"/>
      <c r="AG5" s="20"/>
      <c r="AH5" s="17"/>
      <c r="AI5" s="20"/>
      <c r="AJ5" s="17"/>
      <c r="AK5" s="20"/>
      <c r="AL5" s="17"/>
      <c r="AM5" s="20"/>
      <c r="AN5" s="17"/>
      <c r="AO5" s="20"/>
      <c r="AP5" s="17"/>
      <c r="AQ5" s="21"/>
      <c r="AR5" s="10"/>
      <c r="AS5" s="11"/>
    </row>
    <row r="6" spans="1:45" ht="15.75" x14ac:dyDescent="0.25">
      <c r="A6" s="15" t="s">
        <v>5</v>
      </c>
      <c r="B6" s="15"/>
      <c r="C6" s="22">
        <v>2021</v>
      </c>
      <c r="D6" s="23"/>
      <c r="E6" s="24"/>
      <c r="F6" s="17"/>
      <c r="G6" s="17"/>
      <c r="H6" s="17"/>
      <c r="I6" s="17"/>
      <c r="J6" s="17"/>
      <c r="K6" s="18"/>
      <c r="L6" s="19"/>
      <c r="M6" s="20"/>
      <c r="N6" s="17"/>
      <c r="O6" s="18"/>
      <c r="P6" s="17"/>
      <c r="Q6" s="20"/>
      <c r="R6" s="17"/>
      <c r="S6" s="18"/>
      <c r="T6" s="17"/>
      <c r="U6" s="20"/>
      <c r="V6" s="17"/>
      <c r="W6" s="20"/>
      <c r="X6" s="17"/>
      <c r="Y6" s="20"/>
      <c r="Z6" s="17"/>
      <c r="AA6" s="20"/>
      <c r="AB6" s="17"/>
      <c r="AC6" s="20"/>
      <c r="AD6" s="17"/>
      <c r="AE6" s="20"/>
      <c r="AF6" s="17"/>
      <c r="AG6" s="20"/>
      <c r="AH6" s="17"/>
      <c r="AI6" s="20"/>
      <c r="AJ6" s="17"/>
      <c r="AK6" s="20"/>
      <c r="AL6" s="17"/>
      <c r="AM6" s="20"/>
      <c r="AN6" s="17"/>
      <c r="AO6" s="20"/>
      <c r="AP6" s="17"/>
      <c r="AQ6" s="21"/>
      <c r="AR6" s="10"/>
      <c r="AS6" s="11"/>
    </row>
    <row r="7" spans="1:45" ht="15.75" x14ac:dyDescent="0.25">
      <c r="A7" s="15" t="s">
        <v>6</v>
      </c>
      <c r="B7" s="15"/>
      <c r="C7" s="22" t="s">
        <v>7</v>
      </c>
      <c r="D7" s="23"/>
      <c r="E7" s="24"/>
      <c r="F7" s="17"/>
      <c r="G7" s="17"/>
      <c r="H7" s="17"/>
      <c r="I7" s="17"/>
      <c r="J7" s="17"/>
      <c r="K7" s="18"/>
      <c r="L7" s="19"/>
      <c r="M7" s="20"/>
      <c r="N7" s="17"/>
      <c r="O7" s="18"/>
      <c r="P7" s="17"/>
      <c r="Q7" s="20"/>
      <c r="R7" s="17"/>
      <c r="S7" s="18"/>
      <c r="T7" s="17"/>
      <c r="U7" s="20"/>
      <c r="V7" s="17"/>
      <c r="W7" s="20"/>
      <c r="X7" s="17"/>
      <c r="Y7" s="20"/>
      <c r="Z7" s="17"/>
      <c r="AA7" s="20"/>
      <c r="AB7" s="17"/>
      <c r="AC7" s="20"/>
      <c r="AD7" s="17"/>
      <c r="AE7" s="20"/>
      <c r="AF7" s="17"/>
      <c r="AG7" s="20"/>
      <c r="AH7" s="17"/>
      <c r="AI7" s="20"/>
      <c r="AJ7" s="17"/>
      <c r="AK7" s="20"/>
      <c r="AL7" s="17"/>
      <c r="AM7" s="20"/>
      <c r="AN7" s="17"/>
      <c r="AO7" s="20"/>
      <c r="AP7" s="17"/>
      <c r="AQ7" s="21"/>
      <c r="AR7" s="10"/>
      <c r="AS7" s="11"/>
    </row>
    <row r="8" spans="1:45" x14ac:dyDescent="0.25">
      <c r="A8" s="3"/>
      <c r="B8" s="25"/>
      <c r="C8" s="26"/>
      <c r="D8" s="17"/>
      <c r="E8" s="26"/>
      <c r="F8" s="17"/>
      <c r="G8" s="17"/>
      <c r="H8" s="17"/>
      <c r="I8" s="17"/>
      <c r="J8" s="17"/>
      <c r="K8" s="18"/>
      <c r="L8" s="19"/>
      <c r="M8" s="20"/>
      <c r="N8" s="17"/>
      <c r="O8" s="18"/>
      <c r="P8" s="17"/>
      <c r="Q8" s="20"/>
      <c r="R8" s="17"/>
      <c r="S8" s="18"/>
      <c r="T8" s="17"/>
      <c r="U8" s="20"/>
      <c r="V8" s="17"/>
      <c r="W8" s="20"/>
      <c r="X8" s="17"/>
      <c r="Y8" s="20"/>
      <c r="Z8" s="17"/>
      <c r="AA8" s="20"/>
      <c r="AB8" s="17"/>
      <c r="AC8" s="20"/>
      <c r="AD8" s="17"/>
      <c r="AE8" s="20"/>
      <c r="AF8" s="17"/>
      <c r="AG8" s="20"/>
      <c r="AH8" s="17"/>
      <c r="AI8" s="20"/>
      <c r="AJ8" s="17"/>
      <c r="AK8" s="20"/>
      <c r="AL8" s="17"/>
      <c r="AM8" s="20"/>
      <c r="AN8" s="17"/>
      <c r="AO8" s="20"/>
      <c r="AP8" s="17"/>
      <c r="AQ8" s="21"/>
      <c r="AR8" s="10"/>
      <c r="AS8" s="11"/>
    </row>
    <row r="9" spans="1:45" ht="75.75" thickBot="1" x14ac:dyDescent="0.3">
      <c r="A9" s="43" t="s">
        <v>8</v>
      </c>
      <c r="B9" s="43" t="s">
        <v>9</v>
      </c>
      <c r="C9" s="48" t="s">
        <v>10</v>
      </c>
      <c r="D9" s="43" t="s">
        <v>11</v>
      </c>
      <c r="E9" s="48" t="s">
        <v>12</v>
      </c>
      <c r="F9" s="48" t="s">
        <v>13</v>
      </c>
      <c r="G9" s="48" t="s">
        <v>14</v>
      </c>
      <c r="H9" s="48" t="s">
        <v>15</v>
      </c>
      <c r="I9" s="48" t="s">
        <v>16</v>
      </c>
      <c r="J9" s="48" t="s">
        <v>17</v>
      </c>
      <c r="K9" s="49" t="s">
        <v>18</v>
      </c>
      <c r="L9" s="50" t="s">
        <v>19</v>
      </c>
      <c r="M9" s="51" t="s">
        <v>20</v>
      </c>
      <c r="N9" s="48" t="s">
        <v>21</v>
      </c>
      <c r="O9" s="49" t="s">
        <v>22</v>
      </c>
      <c r="P9" s="48" t="s">
        <v>23</v>
      </c>
      <c r="Q9" s="51" t="s">
        <v>24</v>
      </c>
      <c r="R9" s="48" t="s">
        <v>25</v>
      </c>
      <c r="S9" s="49" t="s">
        <v>26</v>
      </c>
      <c r="T9" s="48" t="s">
        <v>27</v>
      </c>
      <c r="U9" s="51" t="s">
        <v>28</v>
      </c>
      <c r="V9" s="48" t="s">
        <v>29</v>
      </c>
      <c r="W9" s="51" t="s">
        <v>30</v>
      </c>
      <c r="X9" s="48" t="s">
        <v>31</v>
      </c>
      <c r="Y9" s="51" t="s">
        <v>32</v>
      </c>
      <c r="Z9" s="48" t="s">
        <v>33</v>
      </c>
      <c r="AA9" s="51" t="s">
        <v>34</v>
      </c>
      <c r="AB9" s="48" t="s">
        <v>35</v>
      </c>
      <c r="AC9" s="51" t="s">
        <v>36</v>
      </c>
      <c r="AD9" s="48" t="s">
        <v>37</v>
      </c>
      <c r="AE9" s="51" t="s">
        <v>38</v>
      </c>
      <c r="AF9" s="48" t="s">
        <v>39</v>
      </c>
      <c r="AG9" s="51" t="s">
        <v>40</v>
      </c>
      <c r="AH9" s="48" t="s">
        <v>41</v>
      </c>
      <c r="AI9" s="51" t="s">
        <v>42</v>
      </c>
      <c r="AJ9" s="48" t="s">
        <v>43</v>
      </c>
      <c r="AK9" s="51" t="s">
        <v>44</v>
      </c>
      <c r="AL9" s="48" t="s">
        <v>45</v>
      </c>
      <c r="AM9" s="51" t="s">
        <v>46</v>
      </c>
      <c r="AN9" s="48" t="s">
        <v>47</v>
      </c>
      <c r="AO9" s="51" t="s">
        <v>48</v>
      </c>
      <c r="AP9" s="48" t="s">
        <v>49</v>
      </c>
      <c r="AQ9" s="51" t="s">
        <v>50</v>
      </c>
      <c r="AR9" s="72" t="s">
        <v>51</v>
      </c>
      <c r="AS9" s="73" t="s">
        <v>52</v>
      </c>
    </row>
    <row r="10" spans="1:45" ht="15.75" thickBot="1" x14ac:dyDescent="0.3">
      <c r="A10" s="52">
        <v>1</v>
      </c>
      <c r="B10" s="28"/>
      <c r="C10" s="42" t="s">
        <v>53</v>
      </c>
      <c r="D10" s="53">
        <v>252</v>
      </c>
      <c r="E10" s="54" t="s">
        <v>66</v>
      </c>
      <c r="F10" s="55" t="s">
        <v>55</v>
      </c>
      <c r="G10" s="53"/>
      <c r="H10" s="53"/>
      <c r="I10" s="53"/>
      <c r="J10" s="53"/>
      <c r="K10" s="56"/>
      <c r="L10" s="57"/>
      <c r="M10" s="58"/>
      <c r="N10" s="53"/>
      <c r="O10" s="56"/>
      <c r="P10" s="53"/>
      <c r="Q10" s="59"/>
      <c r="R10" s="60"/>
      <c r="S10" s="56"/>
      <c r="T10" s="53"/>
      <c r="U10" s="58"/>
      <c r="V10" s="53"/>
      <c r="W10" s="58"/>
      <c r="X10" s="53"/>
      <c r="Y10" s="58"/>
      <c r="Z10" s="53"/>
      <c r="AA10" s="58"/>
      <c r="AB10" s="53"/>
      <c r="AC10" s="58"/>
      <c r="AD10" s="53"/>
      <c r="AE10" s="58"/>
      <c r="AF10" s="53"/>
      <c r="AG10" s="58"/>
      <c r="AH10" s="53"/>
      <c r="AI10" s="58"/>
      <c r="AJ10" s="53"/>
      <c r="AK10" s="58"/>
      <c r="AL10" s="53"/>
      <c r="AM10" s="58"/>
      <c r="AN10" s="53"/>
      <c r="AO10" s="58"/>
      <c r="AP10" s="53"/>
      <c r="AQ10" s="61">
        <v>1900</v>
      </c>
      <c r="AR10" s="74">
        <v>1800</v>
      </c>
      <c r="AS10" s="50">
        <f>+AR10*AQ10</f>
        <v>3420000</v>
      </c>
    </row>
    <row r="11" spans="1:45" ht="15.75" thickBot="1" x14ac:dyDescent="0.3">
      <c r="A11" s="43">
        <f>1+A10</f>
        <v>2</v>
      </c>
      <c r="B11" s="28"/>
      <c r="C11" s="42" t="s">
        <v>53</v>
      </c>
      <c r="D11" s="53">
        <v>252</v>
      </c>
      <c r="E11" s="44" t="s">
        <v>67</v>
      </c>
      <c r="F11" s="55" t="s">
        <v>55</v>
      </c>
      <c r="G11" s="53"/>
      <c r="H11" s="53"/>
      <c r="I11" s="53"/>
      <c r="J11" s="53"/>
      <c r="K11" s="56"/>
      <c r="L11" s="57"/>
      <c r="M11" s="58"/>
      <c r="N11" s="53"/>
      <c r="O11" s="56"/>
      <c r="P11" s="53"/>
      <c r="Q11" s="45"/>
      <c r="R11" s="60"/>
      <c r="S11" s="56"/>
      <c r="T11" s="53"/>
      <c r="U11" s="58"/>
      <c r="V11" s="53"/>
      <c r="W11" s="58"/>
      <c r="X11" s="53"/>
      <c r="Y11" s="58"/>
      <c r="Z11" s="53"/>
      <c r="AA11" s="58"/>
      <c r="AB11" s="53"/>
      <c r="AC11" s="58"/>
      <c r="AD11" s="53"/>
      <c r="AE11" s="58"/>
      <c r="AF11" s="53"/>
      <c r="AG11" s="58"/>
      <c r="AH11" s="53"/>
      <c r="AI11" s="58"/>
      <c r="AJ11" s="53"/>
      <c r="AK11" s="58"/>
      <c r="AL11" s="53"/>
      <c r="AM11" s="58"/>
      <c r="AN11" s="53"/>
      <c r="AO11" s="58"/>
      <c r="AP11" s="53"/>
      <c r="AQ11" s="61">
        <v>600</v>
      </c>
      <c r="AR11" s="74">
        <v>580</v>
      </c>
      <c r="AS11" s="50">
        <f>+AR11*AQ11</f>
        <v>348000</v>
      </c>
    </row>
    <row r="12" spans="1:45" ht="15.75" thickBot="1" x14ac:dyDescent="0.3">
      <c r="A12" s="43">
        <f t="shared" ref="A12:A23" si="0">1+A11</f>
        <v>3</v>
      </c>
      <c r="B12" s="28"/>
      <c r="C12" s="42" t="s">
        <v>53</v>
      </c>
      <c r="D12" s="53">
        <v>252</v>
      </c>
      <c r="E12" s="62" t="s">
        <v>58</v>
      </c>
      <c r="F12" s="55" t="s">
        <v>55</v>
      </c>
      <c r="G12" s="53"/>
      <c r="H12" s="53"/>
      <c r="I12" s="53"/>
      <c r="J12" s="53"/>
      <c r="K12" s="56"/>
      <c r="L12" s="57"/>
      <c r="M12" s="58"/>
      <c r="N12" s="53"/>
      <c r="O12" s="56"/>
      <c r="P12" s="53"/>
      <c r="Q12" s="63"/>
      <c r="R12" s="60"/>
      <c r="S12" s="56"/>
      <c r="T12" s="53"/>
      <c r="U12" s="58"/>
      <c r="V12" s="53"/>
      <c r="W12" s="58"/>
      <c r="X12" s="53"/>
      <c r="Y12" s="58"/>
      <c r="Z12" s="53"/>
      <c r="AA12" s="58"/>
      <c r="AB12" s="53"/>
      <c r="AC12" s="58"/>
      <c r="AD12" s="53"/>
      <c r="AE12" s="58"/>
      <c r="AF12" s="53"/>
      <c r="AG12" s="58"/>
      <c r="AH12" s="53"/>
      <c r="AI12" s="58"/>
      <c r="AJ12" s="53"/>
      <c r="AK12" s="58"/>
      <c r="AL12" s="53"/>
      <c r="AM12" s="58"/>
      <c r="AN12" s="53"/>
      <c r="AO12" s="58"/>
      <c r="AP12" s="53"/>
      <c r="AQ12" s="61">
        <v>15000</v>
      </c>
      <c r="AR12" s="74">
        <v>40</v>
      </c>
      <c r="AS12" s="50">
        <f>+AR12*AQ12</f>
        <v>600000</v>
      </c>
    </row>
    <row r="13" spans="1:45" ht="15.75" thickBot="1" x14ac:dyDescent="0.3">
      <c r="A13" s="43">
        <f t="shared" si="0"/>
        <v>4</v>
      </c>
      <c r="B13" s="28"/>
      <c r="C13" s="42" t="s">
        <v>53</v>
      </c>
      <c r="D13" s="53">
        <v>252</v>
      </c>
      <c r="E13" s="62" t="s">
        <v>64</v>
      </c>
      <c r="F13" s="55" t="s">
        <v>55</v>
      </c>
      <c r="G13" s="53"/>
      <c r="H13" s="53"/>
      <c r="I13" s="53"/>
      <c r="J13" s="53"/>
      <c r="K13" s="56"/>
      <c r="L13" s="57"/>
      <c r="M13" s="58"/>
      <c r="N13" s="53"/>
      <c r="O13" s="56"/>
      <c r="P13" s="53"/>
      <c r="Q13" s="63"/>
      <c r="R13" s="60"/>
      <c r="S13" s="56"/>
      <c r="T13" s="53"/>
      <c r="U13" s="58"/>
      <c r="V13" s="53"/>
      <c r="W13" s="58"/>
      <c r="X13" s="53"/>
      <c r="Y13" s="58"/>
      <c r="Z13" s="53"/>
      <c r="AA13" s="58"/>
      <c r="AB13" s="53"/>
      <c r="AC13" s="58"/>
      <c r="AD13" s="53"/>
      <c r="AE13" s="58"/>
      <c r="AF13" s="53"/>
      <c r="AG13" s="58"/>
      <c r="AH13" s="53"/>
      <c r="AI13" s="58"/>
      <c r="AJ13" s="53"/>
      <c r="AK13" s="58"/>
      <c r="AL13" s="53"/>
      <c r="AM13" s="58"/>
      <c r="AN13" s="53"/>
      <c r="AO13" s="58"/>
      <c r="AP13" s="53"/>
      <c r="AQ13" s="61">
        <v>4000</v>
      </c>
      <c r="AR13" s="75">
        <v>330</v>
      </c>
      <c r="AS13" s="50">
        <f>+AR13*AQ13</f>
        <v>1320000</v>
      </c>
    </row>
    <row r="14" spans="1:45" ht="15.75" thickBot="1" x14ac:dyDescent="0.3">
      <c r="A14" s="43">
        <f t="shared" si="0"/>
        <v>5</v>
      </c>
      <c r="B14" s="28"/>
      <c r="C14" s="42" t="s">
        <v>53</v>
      </c>
      <c r="D14" s="53">
        <v>252</v>
      </c>
      <c r="E14" s="64" t="s">
        <v>56</v>
      </c>
      <c r="F14" s="55" t="s">
        <v>55</v>
      </c>
      <c r="G14" s="53"/>
      <c r="H14" s="53"/>
      <c r="I14" s="53"/>
      <c r="J14" s="53"/>
      <c r="K14" s="56"/>
      <c r="L14" s="57"/>
      <c r="M14" s="58"/>
      <c r="N14" s="53"/>
      <c r="O14" s="56"/>
      <c r="P14" s="53"/>
      <c r="Q14" s="65"/>
      <c r="R14" s="60"/>
      <c r="S14" s="56"/>
      <c r="T14" s="53"/>
      <c r="U14" s="58"/>
      <c r="V14" s="66"/>
      <c r="W14" s="58"/>
      <c r="X14" s="53"/>
      <c r="Y14" s="58"/>
      <c r="Z14" s="53"/>
      <c r="AA14" s="58"/>
      <c r="AB14" s="53"/>
      <c r="AC14" s="58"/>
      <c r="AD14" s="53"/>
      <c r="AE14" s="58"/>
      <c r="AF14" s="53"/>
      <c r="AG14" s="58"/>
      <c r="AH14" s="53"/>
      <c r="AI14" s="58"/>
      <c r="AJ14" s="53"/>
      <c r="AK14" s="58"/>
      <c r="AL14" s="53"/>
      <c r="AM14" s="58"/>
      <c r="AN14" s="53"/>
      <c r="AO14" s="58"/>
      <c r="AP14" s="53"/>
      <c r="AQ14" s="61">
        <f>5000-1500</f>
        <v>3500</v>
      </c>
      <c r="AR14" s="74">
        <v>440</v>
      </c>
      <c r="AS14" s="50">
        <f>+AR14*AQ14</f>
        <v>1540000</v>
      </c>
    </row>
    <row r="15" spans="1:45" ht="15.75" thickBot="1" x14ac:dyDescent="0.3">
      <c r="A15" s="43">
        <f t="shared" si="0"/>
        <v>6</v>
      </c>
      <c r="B15" s="28"/>
      <c r="C15" s="42" t="s">
        <v>53</v>
      </c>
      <c r="D15" s="53">
        <v>252</v>
      </c>
      <c r="E15" s="44" t="s">
        <v>68</v>
      </c>
      <c r="F15" s="55" t="s">
        <v>55</v>
      </c>
      <c r="G15" s="53"/>
      <c r="H15" s="53"/>
      <c r="I15" s="53"/>
      <c r="J15" s="53"/>
      <c r="K15" s="56"/>
      <c r="L15" s="57"/>
      <c r="M15" s="58"/>
      <c r="N15" s="53"/>
      <c r="O15" s="56"/>
      <c r="P15" s="53"/>
      <c r="Q15" s="45"/>
      <c r="R15" s="60"/>
      <c r="S15" s="56"/>
      <c r="T15" s="53"/>
      <c r="U15" s="58"/>
      <c r="V15" s="53"/>
      <c r="W15" s="58"/>
      <c r="X15" s="53"/>
      <c r="Y15" s="58"/>
      <c r="Z15" s="53"/>
      <c r="AA15" s="58"/>
      <c r="AB15" s="53"/>
      <c r="AC15" s="58"/>
      <c r="AD15" s="53"/>
      <c r="AE15" s="58"/>
      <c r="AF15" s="53"/>
      <c r="AG15" s="58"/>
      <c r="AH15" s="53"/>
      <c r="AI15" s="58"/>
      <c r="AJ15" s="53"/>
      <c r="AK15" s="58"/>
      <c r="AL15" s="53"/>
      <c r="AM15" s="58"/>
      <c r="AN15" s="53"/>
      <c r="AO15" s="58"/>
      <c r="AP15" s="53"/>
      <c r="AQ15" s="61">
        <v>22600</v>
      </c>
      <c r="AR15" s="74">
        <v>645.53</v>
      </c>
      <c r="AS15" s="50">
        <f>+AR15*AQ15</f>
        <v>14588978</v>
      </c>
    </row>
    <row r="16" spans="1:45" ht="15.75" thickBot="1" x14ac:dyDescent="0.3">
      <c r="A16" s="43">
        <f t="shared" si="0"/>
        <v>7</v>
      </c>
      <c r="B16" s="28"/>
      <c r="C16" s="42" t="s">
        <v>53</v>
      </c>
      <c r="D16" s="53">
        <v>252</v>
      </c>
      <c r="E16" s="44" t="s">
        <v>60</v>
      </c>
      <c r="F16" s="55" t="s">
        <v>55</v>
      </c>
      <c r="G16" s="53"/>
      <c r="H16" s="53"/>
      <c r="I16" s="53"/>
      <c r="J16" s="53"/>
      <c r="K16" s="56"/>
      <c r="L16" s="57"/>
      <c r="M16" s="58"/>
      <c r="N16" s="53"/>
      <c r="O16" s="56"/>
      <c r="P16" s="53"/>
      <c r="Q16" s="45"/>
      <c r="R16" s="60"/>
      <c r="S16" s="56"/>
      <c r="T16" s="53"/>
      <c r="U16" s="58"/>
      <c r="V16" s="53"/>
      <c r="W16" s="58"/>
      <c r="X16" s="53"/>
      <c r="Y16" s="58"/>
      <c r="Z16" s="53"/>
      <c r="AA16" s="58"/>
      <c r="AB16" s="53"/>
      <c r="AC16" s="58"/>
      <c r="AD16" s="53"/>
      <c r="AE16" s="58"/>
      <c r="AF16" s="53"/>
      <c r="AG16" s="58"/>
      <c r="AH16" s="53"/>
      <c r="AI16" s="58"/>
      <c r="AJ16" s="53"/>
      <c r="AK16" s="58"/>
      <c r="AL16" s="53"/>
      <c r="AM16" s="58"/>
      <c r="AN16" s="53"/>
      <c r="AO16" s="58"/>
      <c r="AP16" s="53"/>
      <c r="AQ16" s="61">
        <v>5000</v>
      </c>
      <c r="AR16" s="74">
        <v>550</v>
      </c>
      <c r="AS16" s="50">
        <f>+AR16*AQ16</f>
        <v>2750000</v>
      </c>
    </row>
    <row r="17" spans="1:45" ht="15.75" thickBot="1" x14ac:dyDescent="0.3">
      <c r="A17" s="43">
        <f t="shared" si="0"/>
        <v>8</v>
      </c>
      <c r="B17" s="28"/>
      <c r="C17" s="42" t="s">
        <v>53</v>
      </c>
      <c r="D17" s="53">
        <v>252</v>
      </c>
      <c r="E17" s="62" t="s">
        <v>65</v>
      </c>
      <c r="F17" s="55" t="s">
        <v>55</v>
      </c>
      <c r="G17" s="53"/>
      <c r="H17" s="53"/>
      <c r="I17" s="53"/>
      <c r="J17" s="53"/>
      <c r="K17" s="56"/>
      <c r="L17" s="57"/>
      <c r="M17" s="58"/>
      <c r="N17" s="53"/>
      <c r="O17" s="56"/>
      <c r="P17" s="53"/>
      <c r="Q17" s="63"/>
      <c r="R17" s="60"/>
      <c r="S17" s="56"/>
      <c r="T17" s="53"/>
      <c r="U17" s="58"/>
      <c r="V17" s="53"/>
      <c r="W17" s="58"/>
      <c r="X17" s="53"/>
      <c r="Y17" s="58"/>
      <c r="Z17" s="53"/>
      <c r="AA17" s="58"/>
      <c r="AB17" s="53"/>
      <c r="AC17" s="58"/>
      <c r="AD17" s="53"/>
      <c r="AE17" s="58"/>
      <c r="AF17" s="53"/>
      <c r="AG17" s="58"/>
      <c r="AH17" s="53"/>
      <c r="AI17" s="58"/>
      <c r="AJ17" s="53"/>
      <c r="AK17" s="58"/>
      <c r="AL17" s="53"/>
      <c r="AM17" s="58"/>
      <c r="AN17" s="53"/>
      <c r="AO17" s="58"/>
      <c r="AP17" s="53"/>
      <c r="AQ17" s="67">
        <v>600</v>
      </c>
      <c r="AR17" s="76">
        <v>350</v>
      </c>
      <c r="AS17" s="50">
        <f>+AR17*AQ17</f>
        <v>210000</v>
      </c>
    </row>
    <row r="18" spans="1:45" ht="15.75" thickBot="1" x14ac:dyDescent="0.3">
      <c r="A18" s="43">
        <f t="shared" si="0"/>
        <v>9</v>
      </c>
      <c r="B18" s="28"/>
      <c r="C18" s="42" t="s">
        <v>53</v>
      </c>
      <c r="D18" s="53">
        <v>252</v>
      </c>
      <c r="E18" s="54" t="s">
        <v>57</v>
      </c>
      <c r="F18" s="55" t="s">
        <v>55</v>
      </c>
      <c r="G18" s="53"/>
      <c r="H18" s="53"/>
      <c r="I18" s="53"/>
      <c r="J18" s="53"/>
      <c r="K18" s="56"/>
      <c r="L18" s="57"/>
      <c r="M18" s="58"/>
      <c r="N18" s="53"/>
      <c r="O18" s="56"/>
      <c r="P18" s="53"/>
      <c r="Q18" s="59"/>
      <c r="R18" s="60"/>
      <c r="S18" s="56"/>
      <c r="T18" s="53"/>
      <c r="U18" s="58"/>
      <c r="V18" s="53"/>
      <c r="W18" s="58"/>
      <c r="X18" s="53"/>
      <c r="Y18" s="58"/>
      <c r="Z18" s="53"/>
      <c r="AA18" s="58"/>
      <c r="AB18" s="53"/>
      <c r="AC18" s="58"/>
      <c r="AD18" s="53"/>
      <c r="AE18" s="58"/>
      <c r="AF18" s="53"/>
      <c r="AG18" s="58"/>
      <c r="AH18" s="53"/>
      <c r="AI18" s="58"/>
      <c r="AJ18" s="53"/>
      <c r="AK18" s="58"/>
      <c r="AL18" s="53"/>
      <c r="AM18" s="58"/>
      <c r="AN18" s="53"/>
      <c r="AO18" s="58"/>
      <c r="AP18" s="53"/>
      <c r="AQ18" s="61">
        <v>3000</v>
      </c>
      <c r="AR18" s="74">
        <v>2013</v>
      </c>
      <c r="AS18" s="50">
        <f>+AR18*AQ18</f>
        <v>6039000</v>
      </c>
    </row>
    <row r="19" spans="1:45" ht="15.75" thickBot="1" x14ac:dyDescent="0.3">
      <c r="A19" s="43">
        <f t="shared" si="0"/>
        <v>10</v>
      </c>
      <c r="B19" s="43"/>
      <c r="C19" s="42" t="s">
        <v>53</v>
      </c>
      <c r="D19" s="46">
        <v>252</v>
      </c>
      <c r="E19" s="47" t="s">
        <v>54</v>
      </c>
      <c r="F19" s="55" t="s">
        <v>55</v>
      </c>
      <c r="G19" s="48"/>
      <c r="H19" s="48"/>
      <c r="I19" s="48"/>
      <c r="J19" s="48"/>
      <c r="K19" s="49"/>
      <c r="L19" s="50"/>
      <c r="M19" s="51"/>
      <c r="N19" s="48"/>
      <c r="O19" s="49"/>
      <c r="P19" s="48"/>
      <c r="Q19" s="51"/>
      <c r="R19" s="48"/>
      <c r="S19" s="49"/>
      <c r="T19" s="48"/>
      <c r="U19" s="51"/>
      <c r="V19" s="50"/>
      <c r="W19" s="51"/>
      <c r="X19" s="48"/>
      <c r="Y19" s="51"/>
      <c r="Z19" s="48"/>
      <c r="AA19" s="51"/>
      <c r="AB19" s="48"/>
      <c r="AC19" s="51"/>
      <c r="AD19" s="48"/>
      <c r="AE19" s="51"/>
      <c r="AF19" s="48"/>
      <c r="AG19" s="51"/>
      <c r="AH19" s="48"/>
      <c r="AI19" s="51"/>
      <c r="AJ19" s="48"/>
      <c r="AK19" s="51"/>
      <c r="AL19" s="48"/>
      <c r="AM19" s="51"/>
      <c r="AN19" s="48"/>
      <c r="AO19" s="51"/>
      <c r="AP19" s="48"/>
      <c r="AQ19" s="61">
        <v>15000</v>
      </c>
      <c r="AR19" s="74">
        <v>180</v>
      </c>
      <c r="AS19" s="50">
        <f>+AR19*AQ19</f>
        <v>2700000</v>
      </c>
    </row>
    <row r="20" spans="1:45" ht="15.75" thickBot="1" x14ac:dyDescent="0.3">
      <c r="A20" s="43">
        <f t="shared" si="0"/>
        <v>11</v>
      </c>
      <c r="B20" s="28"/>
      <c r="C20" s="42" t="s">
        <v>53</v>
      </c>
      <c r="D20" s="53">
        <v>252</v>
      </c>
      <c r="E20" s="68" t="s">
        <v>63</v>
      </c>
      <c r="F20" s="55" t="s">
        <v>55</v>
      </c>
      <c r="G20" s="53"/>
      <c r="H20" s="53"/>
      <c r="I20" s="53"/>
      <c r="J20" s="53"/>
      <c r="K20" s="56"/>
      <c r="L20" s="57"/>
      <c r="M20" s="58"/>
      <c r="N20" s="53"/>
      <c r="O20" s="56"/>
      <c r="P20" s="53"/>
      <c r="Q20" s="69"/>
      <c r="R20" s="60"/>
      <c r="S20" s="56"/>
      <c r="T20" s="53"/>
      <c r="U20" s="58"/>
      <c r="V20" s="53"/>
      <c r="W20" s="58"/>
      <c r="X20" s="53"/>
      <c r="Y20" s="58"/>
      <c r="Z20" s="53"/>
      <c r="AA20" s="58"/>
      <c r="AB20" s="53"/>
      <c r="AC20" s="58"/>
      <c r="AD20" s="53"/>
      <c r="AE20" s="58"/>
      <c r="AF20" s="53"/>
      <c r="AG20" s="58"/>
      <c r="AH20" s="53"/>
      <c r="AI20" s="58"/>
      <c r="AJ20" s="53"/>
      <c r="AK20" s="58"/>
      <c r="AL20" s="53"/>
      <c r="AM20" s="58"/>
      <c r="AN20" s="53"/>
      <c r="AO20" s="58"/>
      <c r="AP20" s="53"/>
      <c r="AQ20" s="61">
        <v>500</v>
      </c>
      <c r="AR20" s="75">
        <v>406.6</v>
      </c>
      <c r="AS20" s="50">
        <f>+AR20*AQ20</f>
        <v>203300</v>
      </c>
    </row>
    <row r="21" spans="1:45" ht="15.75" thickBot="1" x14ac:dyDescent="0.3">
      <c r="A21" s="43">
        <f t="shared" si="0"/>
        <v>12</v>
      </c>
      <c r="B21" s="28"/>
      <c r="C21" s="42" t="s">
        <v>53</v>
      </c>
      <c r="D21" s="53">
        <v>252</v>
      </c>
      <c r="E21" s="54" t="s">
        <v>59</v>
      </c>
      <c r="F21" s="55" t="s">
        <v>55</v>
      </c>
      <c r="G21" s="53"/>
      <c r="H21" s="53"/>
      <c r="I21" s="53"/>
      <c r="J21" s="53"/>
      <c r="K21" s="56"/>
      <c r="L21" s="57"/>
      <c r="M21" s="58"/>
      <c r="N21" s="53"/>
      <c r="O21" s="56"/>
      <c r="P21" s="53"/>
      <c r="Q21" s="59"/>
      <c r="R21" s="60"/>
      <c r="S21" s="56"/>
      <c r="T21" s="53"/>
      <c r="U21" s="58"/>
      <c r="V21" s="53"/>
      <c r="W21" s="58"/>
      <c r="X21" s="53"/>
      <c r="Y21" s="58"/>
      <c r="Z21" s="53"/>
      <c r="AA21" s="58"/>
      <c r="AB21" s="53"/>
      <c r="AC21" s="58"/>
      <c r="AD21" s="53"/>
      <c r="AE21" s="58"/>
      <c r="AF21" s="53"/>
      <c r="AG21" s="58"/>
      <c r="AH21" s="53"/>
      <c r="AI21" s="58"/>
      <c r="AJ21" s="53"/>
      <c r="AK21" s="58"/>
      <c r="AL21" s="53"/>
      <c r="AM21" s="58"/>
      <c r="AN21" s="53"/>
      <c r="AO21" s="58"/>
      <c r="AP21" s="53"/>
      <c r="AQ21" s="61">
        <v>9500</v>
      </c>
      <c r="AR21" s="74">
        <v>2300</v>
      </c>
      <c r="AS21" s="50">
        <f>+AR21*AQ21</f>
        <v>21850000</v>
      </c>
    </row>
    <row r="22" spans="1:45" ht="15.75" thickBot="1" x14ac:dyDescent="0.3">
      <c r="A22" s="43">
        <f t="shared" si="0"/>
        <v>13</v>
      </c>
      <c r="B22" s="28"/>
      <c r="C22" s="42" t="s">
        <v>53</v>
      </c>
      <c r="D22" s="53">
        <v>252</v>
      </c>
      <c r="E22" s="70" t="s">
        <v>62</v>
      </c>
      <c r="F22" s="55" t="s">
        <v>55</v>
      </c>
      <c r="G22" s="53"/>
      <c r="H22" s="53"/>
      <c r="I22" s="53"/>
      <c r="J22" s="53"/>
      <c r="K22" s="56"/>
      <c r="L22" s="57"/>
      <c r="M22" s="58"/>
      <c r="N22" s="53"/>
      <c r="O22" s="56"/>
      <c r="P22" s="53"/>
      <c r="Q22" s="71"/>
      <c r="R22" s="60"/>
      <c r="S22" s="56"/>
      <c r="T22" s="53"/>
      <c r="U22" s="58"/>
      <c r="V22" s="53"/>
      <c r="W22" s="58"/>
      <c r="X22" s="53"/>
      <c r="Y22" s="58"/>
      <c r="Z22" s="53"/>
      <c r="AA22" s="58"/>
      <c r="AB22" s="53"/>
      <c r="AC22" s="58"/>
      <c r="AD22" s="53"/>
      <c r="AE22" s="58"/>
      <c r="AF22" s="53"/>
      <c r="AG22" s="58"/>
      <c r="AH22" s="53"/>
      <c r="AI22" s="58"/>
      <c r="AJ22" s="53"/>
      <c r="AK22" s="58"/>
      <c r="AL22" s="53"/>
      <c r="AM22" s="58"/>
      <c r="AN22" s="53"/>
      <c r="AO22" s="58"/>
      <c r="AP22" s="53"/>
      <c r="AQ22" s="61">
        <v>700</v>
      </c>
      <c r="AR22" s="75">
        <v>389</v>
      </c>
      <c r="AS22" s="50">
        <f>+AR22*AQ22</f>
        <v>272300</v>
      </c>
    </row>
    <row r="23" spans="1:45" ht="15.75" thickBot="1" x14ac:dyDescent="0.3">
      <c r="A23" s="43">
        <f t="shared" si="0"/>
        <v>14</v>
      </c>
      <c r="B23" s="28"/>
      <c r="C23" s="42" t="s">
        <v>53</v>
      </c>
      <c r="D23" s="53">
        <v>252</v>
      </c>
      <c r="E23" s="44" t="s">
        <v>61</v>
      </c>
      <c r="F23" s="55" t="s">
        <v>55</v>
      </c>
      <c r="G23" s="53"/>
      <c r="H23" s="53"/>
      <c r="I23" s="53"/>
      <c r="J23" s="53"/>
      <c r="K23" s="56"/>
      <c r="L23" s="57"/>
      <c r="M23" s="58"/>
      <c r="N23" s="53"/>
      <c r="O23" s="56"/>
      <c r="P23" s="53"/>
      <c r="Q23" s="45"/>
      <c r="R23" s="60"/>
      <c r="S23" s="56"/>
      <c r="T23" s="53"/>
      <c r="U23" s="58"/>
      <c r="V23" s="53"/>
      <c r="W23" s="58"/>
      <c r="X23" s="53"/>
      <c r="Y23" s="58"/>
      <c r="Z23" s="53"/>
      <c r="AA23" s="58"/>
      <c r="AB23" s="53"/>
      <c r="AC23" s="58"/>
      <c r="AD23" s="53"/>
      <c r="AE23" s="58"/>
      <c r="AF23" s="53"/>
      <c r="AG23" s="58"/>
      <c r="AH23" s="53"/>
      <c r="AI23" s="58"/>
      <c r="AJ23" s="53"/>
      <c r="AK23" s="58"/>
      <c r="AL23" s="53"/>
      <c r="AM23" s="58"/>
      <c r="AN23" s="53"/>
      <c r="AO23" s="58"/>
      <c r="AP23" s="53"/>
      <c r="AQ23" s="61">
        <v>18000</v>
      </c>
      <c r="AR23" s="74">
        <v>350</v>
      </c>
      <c r="AS23" s="50">
        <f>+AR23*AQ23</f>
        <v>6300000</v>
      </c>
    </row>
    <row r="24" spans="1:45" x14ac:dyDescent="0.25">
      <c r="A24" s="27"/>
      <c r="B24" s="28"/>
      <c r="C24" s="27"/>
      <c r="D24" s="29"/>
      <c r="E24" s="30"/>
      <c r="F24" s="29"/>
      <c r="G24" s="29"/>
      <c r="H24" s="29"/>
      <c r="I24" s="29"/>
      <c r="J24" s="29"/>
      <c r="K24" s="31"/>
      <c r="L24" s="32"/>
      <c r="M24" s="33"/>
      <c r="N24" s="29"/>
      <c r="O24" s="31"/>
      <c r="P24" s="29"/>
      <c r="Q24" s="33"/>
      <c r="R24" s="34">
        <f>SUM(R11:R23)</f>
        <v>0</v>
      </c>
      <c r="S24" s="31"/>
      <c r="T24" s="29"/>
      <c r="U24" s="33"/>
      <c r="V24" s="34">
        <f>SUM(V10:V23)</f>
        <v>0</v>
      </c>
      <c r="W24" s="33"/>
      <c r="X24" s="29"/>
      <c r="Y24" s="33"/>
      <c r="Z24" s="29"/>
      <c r="AA24" s="33"/>
      <c r="AB24" s="29"/>
      <c r="AC24" s="33"/>
      <c r="AD24" s="29"/>
      <c r="AE24" s="33"/>
      <c r="AF24" s="29"/>
      <c r="AG24" s="33"/>
      <c r="AH24" s="29"/>
      <c r="AI24" s="33"/>
      <c r="AJ24" s="29"/>
      <c r="AK24" s="33"/>
      <c r="AL24" s="29"/>
      <c r="AM24" s="33"/>
      <c r="AN24" s="29"/>
      <c r="AO24" s="33"/>
      <c r="AP24" s="29"/>
      <c r="AQ24" s="35"/>
      <c r="AR24" s="36"/>
      <c r="AS24" s="77">
        <f>SUM(AS10:AS23)</f>
        <v>62141578</v>
      </c>
    </row>
    <row r="25" spans="1:45" x14ac:dyDescent="0.25">
      <c r="A25" s="3"/>
      <c r="B25" s="2"/>
      <c r="C25" s="3"/>
      <c r="D25" s="4"/>
      <c r="E25" s="5"/>
      <c r="F25" s="4"/>
      <c r="G25" s="4"/>
      <c r="H25" s="4"/>
      <c r="I25" s="4"/>
      <c r="J25" s="4"/>
      <c r="K25" s="6"/>
      <c r="L25" s="7"/>
      <c r="M25" s="8"/>
      <c r="N25" s="4"/>
      <c r="O25" s="6"/>
      <c r="P25" s="4"/>
      <c r="Q25" s="8"/>
      <c r="R25" s="4"/>
      <c r="S25" s="6"/>
      <c r="T25" s="4"/>
      <c r="U25" s="8"/>
      <c r="V25" s="4"/>
      <c r="W25" s="8"/>
      <c r="X25" s="4"/>
      <c r="Y25" s="8"/>
      <c r="Z25" s="4"/>
      <c r="AA25" s="8"/>
      <c r="AB25" s="4"/>
      <c r="AC25" s="8"/>
      <c r="AD25" s="4"/>
      <c r="AE25" s="8"/>
      <c r="AF25" s="4"/>
      <c r="AG25" s="8"/>
      <c r="AH25" s="4"/>
      <c r="AI25" s="8"/>
      <c r="AJ25" s="4"/>
      <c r="AK25" s="8"/>
      <c r="AL25" s="4"/>
      <c r="AM25" s="8"/>
      <c r="AN25" s="4"/>
      <c r="AO25" s="8"/>
      <c r="AP25" s="4"/>
      <c r="AQ25" s="9"/>
      <c r="AR25" s="10"/>
      <c r="AS25" s="11"/>
    </row>
    <row r="26" spans="1:45" ht="97.5" customHeight="1" x14ac:dyDescent="0.25">
      <c r="A26" s="3"/>
      <c r="B26" s="37" t="s">
        <v>69</v>
      </c>
      <c r="C26" s="38" t="s">
        <v>70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6"/>
      <c r="T26" s="4"/>
      <c r="U26" s="8"/>
      <c r="V26" s="4"/>
      <c r="W26" s="8"/>
      <c r="X26" s="4"/>
      <c r="Y26" s="8"/>
      <c r="Z26" s="4"/>
      <c r="AA26" s="8"/>
      <c r="AB26" s="4"/>
      <c r="AC26" s="8"/>
      <c r="AD26" s="4"/>
      <c r="AE26" s="8"/>
      <c r="AF26" s="4"/>
      <c r="AG26" s="8"/>
      <c r="AH26" s="4"/>
      <c r="AI26" s="8"/>
      <c r="AJ26" s="4"/>
      <c r="AK26" s="8"/>
      <c r="AL26" s="4"/>
      <c r="AM26" s="8"/>
      <c r="AN26" s="4"/>
      <c r="AO26" s="8"/>
      <c r="AP26" s="4"/>
      <c r="AQ26" s="9"/>
      <c r="AR26" s="10"/>
      <c r="AS26" s="11"/>
    </row>
    <row r="27" spans="1:45" x14ac:dyDescent="0.25">
      <c r="A27" s="3"/>
      <c r="B27" s="2"/>
      <c r="C27" s="3"/>
      <c r="D27" s="4"/>
      <c r="E27" s="5"/>
      <c r="F27" s="4"/>
      <c r="G27" s="4"/>
      <c r="H27" s="4"/>
      <c r="I27" s="4"/>
      <c r="J27" s="4"/>
      <c r="K27" s="6"/>
      <c r="L27" s="7"/>
      <c r="M27" s="8"/>
      <c r="N27" s="4"/>
      <c r="O27" s="6"/>
      <c r="P27" s="4"/>
      <c r="Q27" s="8"/>
      <c r="R27" s="4"/>
      <c r="S27" s="6"/>
      <c r="T27" s="4"/>
      <c r="U27" s="8"/>
      <c r="V27" s="4"/>
      <c r="W27" s="8"/>
      <c r="X27" s="4"/>
      <c r="Y27" s="8"/>
      <c r="Z27" s="4"/>
      <c r="AA27" s="8"/>
      <c r="AB27" s="4"/>
      <c r="AC27" s="8"/>
      <c r="AD27" s="4"/>
      <c r="AE27" s="8"/>
      <c r="AF27" s="4"/>
      <c r="AG27" s="8"/>
      <c r="AH27" s="4"/>
      <c r="AI27" s="8"/>
      <c r="AJ27" s="4"/>
      <c r="AK27" s="8"/>
      <c r="AL27" s="4"/>
      <c r="AM27" s="8"/>
      <c r="AN27" s="4"/>
      <c r="AO27" s="8"/>
      <c r="AP27" s="4"/>
      <c r="AQ27" s="9"/>
      <c r="AR27" s="10"/>
      <c r="AS27" s="11"/>
    </row>
    <row r="28" spans="1:45" x14ac:dyDescent="0.25">
      <c r="A28" s="3"/>
      <c r="B28" s="2" t="s">
        <v>71</v>
      </c>
      <c r="C28" s="39" t="s">
        <v>72</v>
      </c>
      <c r="D28" s="4"/>
      <c r="E28" s="5"/>
      <c r="F28" s="4"/>
      <c r="G28" s="4"/>
      <c r="H28" s="4"/>
      <c r="I28" s="4"/>
      <c r="J28" s="4"/>
      <c r="K28" s="6"/>
      <c r="L28" s="7"/>
      <c r="M28" s="8"/>
      <c r="N28" s="4"/>
      <c r="O28" s="6"/>
      <c r="P28" s="4"/>
      <c r="Q28" s="8"/>
      <c r="R28" s="4"/>
      <c r="S28" s="6"/>
      <c r="T28" s="4"/>
      <c r="U28" s="8"/>
      <c r="V28" s="4"/>
      <c r="W28" s="8"/>
      <c r="X28" s="4"/>
      <c r="Y28" s="8"/>
      <c r="Z28" s="4"/>
      <c r="AA28" s="8"/>
      <c r="AB28" s="4"/>
      <c r="AC28" s="8"/>
      <c r="AD28" s="4"/>
      <c r="AE28" s="8"/>
      <c r="AF28" s="4"/>
      <c r="AG28" s="8"/>
      <c r="AH28" s="4"/>
      <c r="AI28" s="8"/>
      <c r="AJ28" s="4"/>
      <c r="AK28" s="8"/>
      <c r="AL28" s="4"/>
      <c r="AM28" s="8"/>
      <c r="AN28" s="4"/>
      <c r="AO28" s="8"/>
      <c r="AP28" s="4"/>
      <c r="AQ28" s="9"/>
      <c r="AR28" s="10"/>
      <c r="AS28" s="11"/>
    </row>
    <row r="29" spans="1:45" x14ac:dyDescent="0.25">
      <c r="A29" s="3"/>
      <c r="B29" s="2"/>
      <c r="C29" s="3"/>
      <c r="D29" s="4"/>
      <c r="E29" s="5"/>
      <c r="F29" s="4"/>
      <c r="G29" s="4"/>
      <c r="H29" s="4"/>
      <c r="I29" s="4"/>
      <c r="J29" s="4"/>
      <c r="K29" s="6"/>
      <c r="L29" s="7"/>
      <c r="M29" s="8"/>
      <c r="N29" s="4"/>
      <c r="O29" s="6"/>
      <c r="P29" s="4"/>
      <c r="Q29" s="8"/>
      <c r="R29" s="4"/>
      <c r="S29" s="6"/>
      <c r="T29" s="4"/>
      <c r="U29" s="8"/>
      <c r="V29" s="4"/>
      <c r="W29" s="8"/>
      <c r="X29" s="4"/>
      <c r="Y29" s="8"/>
      <c r="Z29" s="4"/>
      <c r="AA29" s="8"/>
      <c r="AB29" s="4"/>
      <c r="AC29" s="8"/>
      <c r="AD29" s="4"/>
      <c r="AE29" s="8"/>
      <c r="AF29" s="4"/>
      <c r="AG29" s="8"/>
      <c r="AH29" s="4"/>
      <c r="AI29" s="8"/>
      <c r="AJ29" s="4"/>
      <c r="AK29" s="8"/>
      <c r="AL29" s="4"/>
      <c r="AM29" s="8"/>
      <c r="AN29" s="4"/>
      <c r="AO29" s="8"/>
      <c r="AP29" s="4"/>
      <c r="AQ29" s="9"/>
      <c r="AR29" s="10"/>
      <c r="AS29" s="11"/>
    </row>
    <row r="30" spans="1:45" ht="30" x14ac:dyDescent="0.25">
      <c r="A30" s="3"/>
      <c r="B30" s="2" t="s">
        <v>73</v>
      </c>
      <c r="C30" s="40" t="s">
        <v>74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"/>
      <c r="AG30" s="8"/>
      <c r="AH30" s="4"/>
      <c r="AI30" s="8"/>
      <c r="AJ30" s="4"/>
      <c r="AK30" s="8"/>
      <c r="AL30" s="4"/>
      <c r="AM30" s="8"/>
      <c r="AN30" s="4"/>
      <c r="AO30" s="8"/>
      <c r="AP30" s="4"/>
      <c r="AQ30" s="9"/>
      <c r="AR30" s="10"/>
      <c r="AS30" s="11"/>
    </row>
    <row r="31" spans="1:45" x14ac:dyDescent="0.25">
      <c r="A31" s="3"/>
      <c r="B31" s="2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"/>
      <c r="AG31" s="8"/>
      <c r="AH31" s="4"/>
      <c r="AI31" s="8"/>
      <c r="AJ31" s="4"/>
      <c r="AK31" s="8"/>
      <c r="AL31" s="4"/>
      <c r="AM31" s="8"/>
      <c r="AN31" s="4"/>
      <c r="AO31" s="8"/>
      <c r="AP31" s="4"/>
      <c r="AQ31" s="9"/>
      <c r="AR31" s="10"/>
      <c r="AS31" s="11"/>
    </row>
    <row r="32" spans="1:45" x14ac:dyDescent="0.25">
      <c r="A32" s="3"/>
      <c r="B32" s="2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"/>
      <c r="AG32" s="8"/>
      <c r="AH32" s="4"/>
      <c r="AI32" s="8"/>
      <c r="AJ32" s="4"/>
      <c r="AK32" s="8"/>
      <c r="AL32" s="4"/>
      <c r="AM32" s="8"/>
      <c r="AN32" s="4"/>
      <c r="AO32" s="8"/>
      <c r="AP32" s="4"/>
      <c r="AQ32" s="9"/>
      <c r="AR32" s="10"/>
      <c r="AS32" s="11"/>
    </row>
    <row r="33" spans="1:45" x14ac:dyDescent="0.25">
      <c r="A33" s="3"/>
      <c r="B33" s="2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"/>
      <c r="AG33" s="8"/>
      <c r="AH33" s="4"/>
      <c r="AI33" s="8"/>
      <c r="AJ33" s="4"/>
      <c r="AK33" s="8"/>
      <c r="AL33" s="4"/>
      <c r="AM33" s="8"/>
      <c r="AN33" s="4"/>
      <c r="AO33" s="8"/>
      <c r="AP33" s="4"/>
      <c r="AQ33" s="9"/>
      <c r="AR33" s="10"/>
      <c r="AS33" s="11"/>
    </row>
    <row r="34" spans="1:45" ht="30" x14ac:dyDescent="0.25">
      <c r="A34" s="3"/>
      <c r="B34" s="2" t="s">
        <v>75</v>
      </c>
      <c r="C34" s="3"/>
      <c r="D34" s="4"/>
      <c r="E34" s="5"/>
      <c r="F34" s="4"/>
      <c r="G34" s="4"/>
      <c r="H34" s="4"/>
      <c r="I34" s="4"/>
      <c r="J34" s="4"/>
      <c r="K34" s="6"/>
      <c r="L34" s="7"/>
      <c r="M34" s="8"/>
      <c r="N34" s="4"/>
      <c r="O34" s="6"/>
      <c r="P34" s="4"/>
      <c r="Q34" s="8"/>
      <c r="R34" s="4"/>
      <c r="S34" s="6"/>
      <c r="T34" s="4"/>
      <c r="U34" s="8"/>
      <c r="V34" s="4"/>
      <c r="W34" s="8"/>
      <c r="X34" s="4"/>
      <c r="Y34" s="8"/>
      <c r="Z34" s="4"/>
      <c r="AA34" s="8"/>
      <c r="AB34" s="4"/>
      <c r="AC34" s="8"/>
      <c r="AD34" s="4"/>
      <c r="AE34" s="8"/>
      <c r="AF34" s="4"/>
      <c r="AG34" s="8"/>
      <c r="AH34" s="4"/>
      <c r="AI34" s="8"/>
      <c r="AJ34" s="4"/>
      <c r="AK34" s="8"/>
      <c r="AL34" s="4"/>
      <c r="AM34" s="8"/>
      <c r="AN34" s="4"/>
      <c r="AO34" s="8"/>
      <c r="AP34" s="4"/>
      <c r="AQ34" s="9"/>
      <c r="AR34" s="10"/>
      <c r="AS34" s="11"/>
    </row>
    <row r="35" spans="1:45" x14ac:dyDescent="0.25">
      <c r="A35" s="3"/>
      <c r="B35" s="2"/>
      <c r="C35" s="3"/>
      <c r="D35" s="4"/>
      <c r="E35" s="5"/>
      <c r="F35" s="4"/>
      <c r="G35" s="4"/>
      <c r="H35" s="4"/>
      <c r="I35" s="4"/>
      <c r="J35" s="4"/>
      <c r="K35" s="6"/>
      <c r="L35" s="7"/>
      <c r="M35" s="8"/>
      <c r="N35" s="4"/>
      <c r="O35" s="6"/>
      <c r="P35" s="4"/>
      <c r="Q35" s="8"/>
      <c r="R35" s="4"/>
      <c r="S35" s="6"/>
      <c r="T35" s="4"/>
      <c r="U35" s="8"/>
      <c r="V35" s="4"/>
      <c r="W35" s="8"/>
      <c r="X35" s="4"/>
      <c r="Y35" s="8"/>
      <c r="Z35" s="4"/>
      <c r="AA35" s="8"/>
      <c r="AB35" s="4"/>
      <c r="AC35" s="8"/>
      <c r="AD35" s="4"/>
      <c r="AE35" s="8"/>
      <c r="AF35" s="4"/>
      <c r="AG35" s="8"/>
      <c r="AH35" s="4"/>
      <c r="AI35" s="8"/>
      <c r="AJ35" s="4"/>
      <c r="AK35" s="8"/>
      <c r="AL35" s="4"/>
      <c r="AM35" s="8"/>
      <c r="AN35" s="4"/>
      <c r="AO35" s="8"/>
      <c r="AP35" s="4"/>
      <c r="AQ35" s="9"/>
      <c r="AR35" s="10"/>
      <c r="AS35" s="11"/>
    </row>
    <row r="36" spans="1:45" x14ac:dyDescent="0.25">
      <c r="A36" s="3"/>
      <c r="B36" s="2" t="s">
        <v>76</v>
      </c>
      <c r="C36" s="41" t="s">
        <v>77</v>
      </c>
      <c r="D36" s="4"/>
      <c r="E36" s="5"/>
      <c r="F36" s="4"/>
      <c r="G36" s="4"/>
      <c r="H36" s="4"/>
      <c r="I36" s="4"/>
      <c r="J36" s="4"/>
      <c r="K36" s="6"/>
      <c r="L36" s="7"/>
      <c r="M36" s="8"/>
      <c r="N36" s="4"/>
      <c r="O36" s="6"/>
      <c r="P36" s="4"/>
      <c r="Q36" s="8"/>
      <c r="R36" s="4"/>
      <c r="S36" s="6"/>
      <c r="T36" s="4"/>
      <c r="U36" s="8"/>
      <c r="V36" s="4"/>
      <c r="W36" s="8"/>
      <c r="X36" s="4"/>
      <c r="Y36" s="8"/>
      <c r="Z36" s="4"/>
      <c r="AA36" s="8"/>
      <c r="AB36" s="4"/>
      <c r="AC36" s="8"/>
      <c r="AD36" s="4"/>
      <c r="AE36" s="8"/>
      <c r="AF36" s="4"/>
      <c r="AG36" s="8"/>
      <c r="AH36" s="4"/>
      <c r="AI36" s="8"/>
      <c r="AJ36" s="4"/>
      <c r="AK36" s="8"/>
      <c r="AL36" s="4"/>
      <c r="AM36" s="8"/>
      <c r="AN36" s="4"/>
      <c r="AO36" s="8"/>
      <c r="AP36" s="4"/>
      <c r="AQ36" s="9"/>
      <c r="AR36" s="10"/>
      <c r="AS36" s="11"/>
    </row>
    <row r="37" spans="1:45" x14ac:dyDescent="0.25">
      <c r="A37" s="3"/>
      <c r="B37" s="2"/>
      <c r="C37" s="3"/>
      <c r="D37" s="4"/>
      <c r="E37" s="5"/>
      <c r="F37" s="4"/>
      <c r="G37" s="4"/>
      <c r="H37" s="4"/>
      <c r="I37" s="4"/>
      <c r="J37" s="4"/>
      <c r="K37" s="6"/>
      <c r="L37" s="7"/>
      <c r="M37" s="8"/>
      <c r="N37" s="4"/>
      <c r="O37" s="6"/>
      <c r="P37" s="4"/>
      <c r="Q37" s="8"/>
      <c r="R37" s="4"/>
      <c r="S37" s="6"/>
      <c r="T37" s="4"/>
      <c r="U37" s="8"/>
      <c r="V37" s="4"/>
      <c r="W37" s="8"/>
      <c r="X37" s="4"/>
      <c r="Y37" s="8"/>
      <c r="Z37" s="4"/>
      <c r="AA37" s="8"/>
      <c r="AB37" s="4"/>
      <c r="AC37" s="8"/>
      <c r="AD37" s="4"/>
      <c r="AE37" s="8"/>
      <c r="AF37" s="4"/>
      <c r="AG37" s="8"/>
      <c r="AH37" s="4"/>
      <c r="AI37" s="8"/>
      <c r="AJ37" s="4"/>
      <c r="AK37" s="8"/>
      <c r="AL37" s="4"/>
      <c r="AM37" s="8"/>
      <c r="AN37" s="4"/>
      <c r="AO37" s="8"/>
      <c r="AP37" s="4"/>
      <c r="AQ37" s="9"/>
      <c r="AR37" s="10"/>
      <c r="AS37" s="11"/>
    </row>
  </sheetData>
  <autoFilter ref="A9:AS9" xr:uid="{88637246-CB60-41F1-9BF9-543B79C5A1C0}">
    <sortState xmlns:xlrd2="http://schemas.microsoft.com/office/spreadsheetml/2017/richdata2" ref="A10:AS24">
      <sortCondition ref="E9"/>
    </sortState>
  </autoFilter>
  <mergeCells count="12">
    <mergeCell ref="A7:B7"/>
    <mergeCell ref="C26:R26"/>
    <mergeCell ref="C30:AE30"/>
    <mergeCell ref="C31:AE31"/>
    <mergeCell ref="C32:AE32"/>
    <mergeCell ref="C33:AE33"/>
    <mergeCell ref="B2:AR2"/>
    <mergeCell ref="A4:B4"/>
    <mergeCell ref="C4:E4"/>
    <mergeCell ref="A5:B5"/>
    <mergeCell ref="C5:E5"/>
    <mergeCell ref="A6:B6"/>
  </mergeCells>
  <conditionalFormatting sqref="B1:B37">
    <cfRule type="duplicateValues" dxfId="16" priority="7"/>
  </conditionalFormatting>
  <conditionalFormatting sqref="E1:E37">
    <cfRule type="duplicateValues" dxfId="15" priority="6"/>
  </conditionalFormatting>
  <conditionalFormatting sqref="E1:E37">
    <cfRule type="duplicateValues" dxfId="14" priority="8"/>
    <cfRule type="duplicateValues" dxfId="13" priority="9"/>
  </conditionalFormatting>
  <conditionalFormatting sqref="B1:B37 E1:E37">
    <cfRule type="duplicateValues" dxfId="12" priority="10"/>
  </conditionalFormatting>
  <conditionalFormatting sqref="E34:E36 E27:E29">
    <cfRule type="duplicateValues" dxfId="11" priority="5"/>
  </conditionalFormatting>
  <conditionalFormatting sqref="E34:E36 B26:B36 E27:E29">
    <cfRule type="duplicateValues" dxfId="10" priority="4"/>
  </conditionalFormatting>
  <conditionalFormatting sqref="E34:E36">
    <cfRule type="duplicateValues" dxfId="9" priority="3"/>
  </conditionalFormatting>
  <conditionalFormatting sqref="E34:E36 E27:E29">
    <cfRule type="duplicateValues" dxfId="8" priority="1"/>
    <cfRule type="duplicateValues" dxfId="7" priority="2"/>
  </conditionalFormatting>
  <conditionalFormatting sqref="B26:B36">
    <cfRule type="duplicateValues" dxfId="6" priority="11"/>
  </conditionalFormatting>
  <conditionalFormatting sqref="E27:E36">
    <cfRule type="duplicateValues" dxfId="5" priority="12"/>
    <cfRule type="duplicateValues" dxfId="4" priority="13"/>
  </conditionalFormatting>
  <conditionalFormatting sqref="E27:E36">
    <cfRule type="duplicateValues" dxfId="3" priority="14"/>
  </conditionalFormatting>
  <conditionalFormatting sqref="E27:E36">
    <cfRule type="duplicateValues" dxfId="2" priority="15"/>
  </conditionalFormatting>
  <conditionalFormatting sqref="B26:B36 E27:E36">
    <cfRule type="duplicateValues" dxfId="1" priority="16"/>
  </conditionalFormatting>
  <conditionalFormatting sqref="B26:B36">
    <cfRule type="duplicateValues" dxfId="0" priority="17"/>
  </conditionalFormatting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2021-04-26T15:10:09Z</dcterms:created>
  <dcterms:modified xsi:type="dcterms:W3CDTF">2021-04-26T15:13:36Z</dcterms:modified>
</cp:coreProperties>
</file>