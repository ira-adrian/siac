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Trimestrales'!$A$9:$I$42</definedName>
    <definedName name="_xlnm.Print_Area" localSheetId="1">' NotaPedido'!$A$1:$K$45</definedName>
    <definedName name="_xlnm.Print_Area" localSheetId="2">'Autor Gastar'!$A$1:$Q$25</definedName>
    <definedName name="_xlnm.Print_Area" localSheetId="0">'Necesidades Trimestrales'!$E$9:$E$42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3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32" i="1"/>
  <c r="I33" i="1"/>
  <c r="I34" i="1"/>
  <c r="I35" i="1"/>
  <c r="I36" i="1"/>
  <c r="I37" i="1"/>
  <c r="I38" i="1"/>
  <c r="I39" i="1"/>
  <c r="I40" i="1"/>
  <c r="I41" i="1"/>
  <c r="I42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J45" i="2" l="1"/>
  <c r="Q21" i="3"/>
</calcChain>
</file>

<file path=xl/sharedStrings.xml><?xml version="1.0" encoding="utf-8"?>
<sst xmlns="http://schemas.openxmlformats.org/spreadsheetml/2006/main" count="259" uniqueCount="152">
  <si>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</si>
  <si>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</si>
  <si>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</si>
  <si>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</si>
  <si>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</si>
  <si>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</si>
  <si>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</si>
  <si>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</si>
  <si>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</si>
  <si>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</si>
  <si>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</si>
  <si>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</si>
  <si>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</si>
  <si>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</si>
  <si>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</si>
  <si>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</si>
  <si>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</si>
  <si>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</si>
  <si>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</si>
  <si>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</si>
  <si>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</si>
  <si>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</si>
  <si>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</si>
  <si>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</si>
  <si>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</si>
  <si>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</si>
  <si>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</si>
  <si>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</si>
  <si>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</si>
  <si>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</si>
  <si>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</si>
  <si>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</si>
  <si>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</si>
  <si>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</si>
  <si>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</si>
  <si>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</si>
  <si>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</si>
  <si>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</si>
  <si>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</si>
  <si>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</si>
  <si>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</si>
  <si>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</si>
  <si>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</si>
  <si>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</si>
  <si>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</si>
  <si>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</si>
  <si>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</si>
  <si>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</si>
  <si>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</si>
  <si>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</si>
  <si>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</si>
  <si>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</si>
  <si>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</si>
  <si>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t xml:space="preserve"> </t>
  </si>
  <si>
    <t>Servicio de Farmacia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</si>
  <si>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</si>
  <si>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</si>
  <si>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</si>
  <si>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</si>
  <si>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Descartable Complejo</t>
  </si>
  <si>
    <t>Para la adquisición de Descartable Complejo destinados al Servicio de Farmacia del Hospital Interzonal de Niños Eva Peron, para el normal funcionamiento del organismo.</t>
  </si>
  <si>
    <t>Semestral</t>
  </si>
  <si>
    <t>PRODUCTOS FARMACEUTICOS Y MEDICINALES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</si>
  <si>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</si>
  <si>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2.9.5-2694.24</t>
  </si>
  <si>
    <t>PROD. MEDICO/FARMACEUTICOS/LAB</t>
  </si>
  <si>
    <t>BOLSAS P/TRANSFUSIONES SANGRE; CAPACIDAD: 400 mL, SOLUCIONES: SIN, TIPO: TRANSFERENCIA</t>
  </si>
  <si>
    <t>2.9.5-3020.18</t>
  </si>
  <si>
    <t>BOLSAS P/COLOSTOMIA; TIPO: NEONATAL, DIAMETRO: REGULABLE</t>
  </si>
  <si>
    <t>2.9.5-3020.8</t>
  </si>
  <si>
    <t>BOLSAS P/COLOSTOMIA; TIPO: DESCARTABLE ADHESIVA PEDIATRICA, DIAMETRO: REGULABLE</t>
  </si>
  <si>
    <t>2.9.5-2161.556</t>
  </si>
  <si>
    <t>CATETERES/SONDAS; NUMERO: SIN DATOS, TIPO: DOBLE P/LAVADO BRONCO ALVEOLAR P/DIAGNOSTICO NEUMONIA</t>
  </si>
  <si>
    <t>2.9.5-2161.590</t>
  </si>
  <si>
    <t>CATETERES/SONDAS; NUMERO: 9 FR X 15 CM TIPO DOBLE LUMEN HEMODIALISIS</t>
  </si>
  <si>
    <t>2.9.5-5294.5</t>
  </si>
  <si>
    <t>CERAS P/HUESOS; USO: HEMOSTASIA, PRESENTACION: UNIDAD ESTERIL DE 2,5 GR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</si>
  <si>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</si>
  <si>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</si>
  <si>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</si>
  <si>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</si>
  <si>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</si>
  <si>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</si>
  <si>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2.9.5-448.45</t>
  </si>
  <si>
    <t>FRASCOS ESTERILES; CAPACIDAD: 2500 mL, PRESENTACION: UNIDAD, GRABADO: SIN, USO: DRENAJE</t>
  </si>
  <si>
    <t>2.9.5-448.95</t>
  </si>
  <si>
    <t>FRASCOS ESTERILES; CAPACIDAD: 750 CC, PRESENTACION: UNIDAD, GRABADO: SIN, USO: BITUBULADO DRENAJE</t>
  </si>
  <si>
    <t>2.9.5-6520.1</t>
  </si>
  <si>
    <t>TRADUCTORES DE PRESION; USO: P/MEDIR PRESION ARTERIAL</t>
  </si>
  <si>
    <t>2.9.5-2161.566</t>
  </si>
  <si>
    <t>CATÉTERES/SONDAS; NÚMERO: 5 FRENCH 30 CM.; TIPO: P/VÍA CENTRAL DOBLE LUMEN</t>
  </si>
  <si>
    <t>2.9.5-2161.549</t>
  </si>
  <si>
    <t>CATETERES/SONDAS; NUMERO: 10 FR, TIPO: GASTRICA SILICONA 100% CON LÍNEA RADIOPACA</t>
  </si>
  <si>
    <t>2.9.5-2161.550</t>
  </si>
  <si>
    <t>CATETERES/SONDAS; NUMERO: 7 FR, TIPO: GASTRICA SILICONA 100% CON LÍNEA RADIOPACA</t>
  </si>
  <si>
    <t>2.9.5-2161.551</t>
  </si>
  <si>
    <t>CATETERES/SONDAS; NUMERO: 9 FR, TIPO: GASTRICA SILICONA 100% CON LÍNEA RADIOPACA</t>
  </si>
  <si>
    <t>2.9.5-2161.159</t>
  </si>
  <si>
    <t>CATETERES/SONDAS; NUMERO: K108, TIPO: ALIMENTACION ENTERAL</t>
  </si>
  <si>
    <t>2.9.5-2161.584</t>
  </si>
  <si>
    <t>CATETERES/SONDAS; NUMERO: 10 FR, TIPO: SILICONA TRANSPILORICA C/LASTRE Y MAND.</t>
  </si>
  <si>
    <t>2.9.5-6286.5</t>
  </si>
  <si>
    <t>HEMOSTATICOS ABSORBIBLES; TIPO: SURGIEL, MEDIDA: 5 X 7,5 Cm, PRESENTACION: UNIDAD</t>
  </si>
  <si>
    <t>2.9.5-441.473</t>
  </si>
  <si>
    <t>AGUJAS QUIRURGICAS; TIPO: P/BIOPSIA MEDULA OSEA, ESPECIFICACION: 11G X 10 mm, PRESENTACION: UNIDAD</t>
  </si>
  <si>
    <t>2.9.5-441.474</t>
  </si>
  <si>
    <t>AGUJAS QUIRURGICAS; TIPO: P/BIOPSIA MEDULA OSEA, ESPECIFICACION: 8G X 15 mm, PRESENTACION: UNIDAD</t>
  </si>
  <si>
    <t>2.9.5-441.475</t>
  </si>
  <si>
    <t>AGUJAS QUIRURGICAS; TIPO: PUNCION Y ASP. DE MEDULA OSEA, ESPECIFICACION: 18G, PRESENTACION: POR UNIDAD</t>
  </si>
  <si>
    <t>2.9.5-441.476</t>
  </si>
  <si>
    <t>AGUJAS QUIRURGICAS; TIPO: PUNCION Y ASP. DE MEDULA OSEA, ESPECIFICACION: 16G, PRESENTACION: POR UNIDAD</t>
  </si>
  <si>
    <t>2.9.5-6700.5</t>
  </si>
  <si>
    <t>TROCAR DE PUNCION; USO: PUNCION TORAXICO, TIPO: N°10, CAMISA: SIN</t>
  </si>
  <si>
    <t>2.9.5-6700.4</t>
  </si>
  <si>
    <t>TROCAR DE PUNCION; USO: PUNCION TORAXICO, TIPO: N°12, CAMISA: SIN</t>
  </si>
  <si>
    <t>2.9.5-6700.28</t>
  </si>
  <si>
    <t>TROCAR DE PUNCION; USO: PUNCION TORAXICA, TIPO: Nº 14, CAMISA: SIN</t>
  </si>
  <si>
    <t>2.9.5-6700.3</t>
  </si>
  <si>
    <t>TROCAR DE PUNCION; USO: PUNCION TORAXICO, TIPO: N°16 FR, CAMISA: SIN</t>
  </si>
  <si>
    <t>2.9.5-6700.27</t>
  </si>
  <si>
    <t>TROCAR DE PUNCION; USO: PUNCION TORAXICA, TIPO: N° 18 FR, CAMISA: SIN</t>
  </si>
  <si>
    <t>2.9.5-6700.17</t>
  </si>
  <si>
    <t>TROCAR DE PUNCION; USO: PUNCION TORAXICO, TIPO: Nº20 FR, CAMISA: SIN</t>
  </si>
  <si>
    <t>2.9.5-6700.30</t>
  </si>
  <si>
    <t>TROCAR DE PUNCION; USO: PUNCION TORAXICO, TIPO: N° 22 FR, CAMISA: SIN</t>
  </si>
  <si>
    <t>2.9.5-6700.26</t>
  </si>
  <si>
    <t>TROCAR DE PUNCION; USO: PUNCION TORAXICA, TIPO: N° 24 FR, CAMISA: SIN</t>
  </si>
  <si>
    <t>2.9.5-6700.31</t>
  </si>
  <si>
    <t>TROCAR DE PUNCION; USO: PUNCION TORAXICO, TIPO: N° 28 FR, CAMISA: SIN</t>
  </si>
  <si>
    <t>2.9.5-6700.2</t>
  </si>
  <si>
    <t>TROCAR DE PUNCION; USO: PUNCION TORAXICO, TIPO: N°8, CAMISA: SIN</t>
  </si>
  <si>
    <t>40 - Ministerio de Salud</t>
  </si>
  <si>
    <t>24 - Direccion de Administracion del Hospital Interzonal de Niños</t>
  </si>
  <si>
    <t>072/2022</t>
  </si>
  <si>
    <t>TOTAL DE PESOS: TRES MILLONES TRESCIENTOS DOS MIL DOSCIENTOS VEINTIUNO CON 00/100.</t>
  </si>
  <si>
    <t>Costo total estimado: Tres Millones Trescientos Dos Mil Doscientos Veintiuno Con 00/100.</t>
  </si>
  <si>
    <r>
      <t>Mantenimiento de Oferta</t>
    </r>
    <r>
      <rPr>
        <sz val="10"/>
        <rFont val="Times New Roman"/>
        <family val="1"/>
      </rPr>
      <t>: Cuarenta y Cinco (45) dias habiles.</t>
    </r>
  </si>
  <si>
    <t>Especificidades Item N° 13:</t>
  </si>
  <si>
    <r>
      <t>Descripción técnica:</t>
    </r>
    <r>
      <rPr>
        <sz val="10"/>
        <rFont val="Calibri"/>
        <family val="2"/>
      </rPr>
      <t xml:space="preserve"> </t>
    </r>
    <r>
      <rPr>
        <sz val="11"/>
        <rFont val="Calibri"/>
        <family val="2"/>
      </rPr>
      <t>TIPO  T/EDWARDS LIFESCIENCES 30CC/60IM 150CM</t>
    </r>
  </si>
  <si>
    <t>Especificidades Item N° 12:</t>
  </si>
  <si>
    <r>
      <t xml:space="preserve">Descripción técnica: </t>
    </r>
    <r>
      <rPr>
        <sz val="11"/>
        <rFont val="Calibri"/>
        <family val="2"/>
      </rPr>
      <t>TIPO ARROW</t>
    </r>
  </si>
  <si>
    <t>Especificidades Item N° 14, 15 y 16:</t>
  </si>
  <si>
    <r>
      <t>Descripción técnica:</t>
    </r>
    <r>
      <rPr>
        <sz val="11"/>
        <rFont val="Calibri"/>
        <family val="2"/>
      </rPr>
      <t xml:space="preserve"> TIPO SILMAG</t>
    </r>
  </si>
  <si>
    <r>
      <t>Descripción técnica:</t>
    </r>
    <r>
      <rPr>
        <sz val="11"/>
        <rFont val="Calibri"/>
        <family val="2"/>
      </rPr>
      <t xml:space="preserve"> TIPO RIVERO</t>
    </r>
  </si>
  <si>
    <t>Especificidades Item N° 17:</t>
  </si>
  <si>
    <t>Especificidades Item N° 18:</t>
  </si>
  <si>
    <r>
      <t>Descripción técnica:</t>
    </r>
    <r>
      <rPr>
        <sz val="11"/>
        <rFont val="Calibri"/>
        <family val="2"/>
      </rPr>
      <t xml:space="preserve"> TIPO ETHICON</t>
    </r>
  </si>
  <si>
    <t>Especificidades Item N° 19:</t>
  </si>
  <si>
    <t>Especificidades Item N° 20 y 22:</t>
  </si>
  <si>
    <t>Especificidades Item N° 21 y 23:</t>
  </si>
  <si>
    <r>
      <t>Descripción técnica:</t>
    </r>
    <r>
      <rPr>
        <sz val="11"/>
        <rFont val="Calibri"/>
        <family val="2"/>
      </rPr>
      <t xml:space="preserve"> PEDIATRICO</t>
    </r>
  </si>
  <si>
    <r>
      <t>Descripción técnica:</t>
    </r>
    <r>
      <rPr>
        <sz val="11"/>
        <rFont val="Calibri"/>
        <family val="2"/>
      </rPr>
      <t xml:space="preserve"> NEONATAL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</si>
</sst>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1" formatCode="_-&quot;$&quot;\ * #,##0.00_-;\-&quot;$&quot;\ * #,##0.00_-;_-&quot;$&quot;\ * &quot;-&quot;??_-;_-@_-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24242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C000"/>
      </patternFill>
    </fill>
  </fills>
  <borders count="7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7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28" fillId="0" borderId="28" xfId="0" applyFont="1" applyFill="1" applyBorder="1" applyAlignment="1">
      <alignment horizontal="left" vertical="center" wrapText="1"/>
    </xf>
    <xf numFmtId="0" fontId="17" fillId="0" borderId="59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7" fillId="3" borderId="53" xfId="0" applyFont="1" applyFill="1" applyBorder="1" applyAlignment="1">
      <alignment horizontal="left" vertical="center"/>
    </xf>
    <xf numFmtId="0" fontId="0" fillId="3" borderId="53" xfId="0" applyFill="1" applyBorder="1" applyAlignment="1">
      <alignment horizontal="left" vertical="center" wrapText="1"/>
    </xf>
    <xf numFmtId="0" fontId="30" fillId="3" borderId="53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vertical="center" wrapText="1"/>
    </xf>
    <xf numFmtId="0" fontId="17" fillId="3" borderId="53" xfId="0" applyFont="1" applyFill="1" applyBorder="1" applyAlignment="1">
      <alignment horizontal="center" vertical="center"/>
    </xf>
    <xf numFmtId="3" fontId="17" fillId="3" borderId="53" xfId="0" applyNumberFormat="1" applyFont="1" applyFill="1" applyBorder="1" applyAlignment="1">
      <alignment horizontal="center" vertical="center"/>
    </xf>
    <xf numFmtId="171" fontId="17" fillId="3" borderId="57" xfId="1" applyNumberFormat="1" applyFont="1" applyFill="1" applyBorder="1" applyAlignment="1">
      <alignment horizontal="center" vertical="center"/>
    </xf>
    <xf numFmtId="0" fontId="29" fillId="5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left" vertical="center"/>
    </xf>
    <xf numFmtId="0" fontId="32" fillId="6" borderId="53" xfId="0" applyFont="1" applyFill="1" applyBorder="1" applyAlignment="1">
      <alignment horizontal="left" vertical="center" wrapText="1"/>
    </xf>
    <xf numFmtId="0" fontId="17" fillId="3" borderId="53" xfId="0" applyFont="1" applyFill="1" applyBorder="1" applyAlignment="1">
      <alignment vertical="center" wrapText="1"/>
    </xf>
    <xf numFmtId="0" fontId="17" fillId="3" borderId="0" xfId="0" applyFont="1" applyFill="1" applyAlignment="1">
      <alignment horizontal="center" vertical="center" wrapText="1"/>
    </xf>
    <xf numFmtId="0" fontId="0" fillId="3" borderId="53" xfId="0" applyFill="1" applyBorder="1" applyAlignment="1">
      <alignment horizontal="left" vertical="center"/>
    </xf>
    <xf numFmtId="0" fontId="29" fillId="7" borderId="53" xfId="0" applyFont="1" applyFill="1" applyBorder="1" applyAlignment="1">
      <alignment vertical="center" wrapText="1"/>
    </xf>
    <xf numFmtId="0" fontId="0" fillId="0" borderId="53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0" fillId="3" borderId="61" xfId="0" applyFill="1" applyBorder="1" applyAlignment="1">
      <alignment horizontal="left" vertical="center" wrapText="1"/>
    </xf>
    <xf numFmtId="0" fontId="30" fillId="3" borderId="61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/>
    </xf>
    <xf numFmtId="3" fontId="17" fillId="3" borderId="61" xfId="0" applyNumberFormat="1" applyFont="1" applyFill="1" applyBorder="1" applyAlignment="1">
      <alignment horizontal="center" vertical="center"/>
    </xf>
    <xf numFmtId="171" fontId="17" fillId="3" borderId="62" xfId="1" applyNumberFormat="1" applyFont="1" applyFill="1" applyBorder="1" applyAlignment="1">
      <alignment horizontal="center" vertical="center"/>
    </xf>
    <xf numFmtId="0" fontId="30" fillId="5" borderId="56" xfId="0" applyFont="1" applyFill="1" applyBorder="1" applyAlignment="1">
      <alignment horizontal="left" vertical="center" wrapText="1"/>
    </xf>
    <xf numFmtId="0" fontId="0" fillId="3" borderId="56" xfId="0" applyFill="1" applyBorder="1" applyAlignment="1">
      <alignment horizontal="left" vertical="center" wrapText="1"/>
    </xf>
    <xf numFmtId="0" fontId="30" fillId="3" borderId="56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vertical="center" wrapText="1"/>
    </xf>
    <xf numFmtId="0" fontId="17" fillId="3" borderId="56" xfId="0" applyFont="1" applyFill="1" applyBorder="1" applyAlignment="1">
      <alignment horizontal="center" vertical="center"/>
    </xf>
    <xf numFmtId="3" fontId="17" fillId="3" borderId="56" xfId="0" applyNumberFormat="1" applyFont="1" applyFill="1" applyBorder="1" applyAlignment="1">
      <alignment horizontal="center" vertical="center"/>
    </xf>
    <xf numFmtId="171" fontId="17" fillId="3" borderId="63" xfId="1" applyNumberFormat="1" applyFont="1" applyFill="1" applyBorder="1" applyAlignment="1">
      <alignment horizontal="center" vertical="center"/>
    </xf>
    <xf numFmtId="0" fontId="30" fillId="5" borderId="61" xfId="0" applyFont="1" applyFill="1" applyBorder="1" applyAlignment="1">
      <alignment horizontal="left" vertical="center" wrapText="1"/>
    </xf>
    <xf numFmtId="0" fontId="33" fillId="5" borderId="61" xfId="0" applyFont="1" applyFill="1" applyBorder="1" applyAlignment="1">
      <alignment vertical="center" wrapText="1"/>
    </xf>
    <xf numFmtId="0" fontId="17" fillId="3" borderId="53" xfId="0" applyFont="1" applyFill="1" applyBorder="1" applyAlignment="1">
      <alignment horizontal="left" vertical="center" wrapText="1"/>
    </xf>
    <xf numFmtId="0" fontId="17" fillId="0" borderId="61" xfId="0" applyFont="1" applyBorder="1" applyAlignment="1">
      <alignment horizontal="left" vertical="center"/>
    </xf>
    <xf numFmtId="0" fontId="30" fillId="5" borderId="58" xfId="0" applyFont="1" applyFill="1" applyBorder="1" applyAlignment="1">
      <alignment horizontal="left" vertical="center" wrapText="1"/>
    </xf>
    <xf numFmtId="0" fontId="33" fillId="5" borderId="64" xfId="0" applyFont="1" applyFill="1" applyBorder="1" applyAlignment="1">
      <alignment vertical="center" wrapText="1"/>
    </xf>
    <xf numFmtId="0" fontId="33" fillId="5" borderId="58" xfId="0" applyFont="1" applyFill="1" applyBorder="1" applyAlignment="1">
      <alignment vertical="center" wrapText="1"/>
    </xf>
    <xf numFmtId="0" fontId="33" fillId="5" borderId="65" xfId="0" applyFont="1" applyFill="1" applyBorder="1" applyAlignment="1">
      <alignment vertical="center" wrapText="1"/>
    </xf>
    <xf numFmtId="0" fontId="17" fillId="0" borderId="53" xfId="0" applyFont="1" applyBorder="1" applyAlignment="1">
      <alignment horizontal="left" vertical="center"/>
    </xf>
    <xf numFmtId="0" fontId="17" fillId="3" borderId="66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left" vertical="center"/>
    </xf>
    <xf numFmtId="0" fontId="17" fillId="3" borderId="56" xfId="0" applyFont="1" applyFill="1" applyBorder="1" applyAlignment="1">
      <alignment vertical="center" wrapText="1"/>
    </xf>
    <xf numFmtId="3" fontId="17" fillId="3" borderId="53" xfId="5" applyNumberFormat="1" applyFont="1" applyFill="1" applyBorder="1" applyAlignment="1">
      <alignment horizontal="center" vertical="center"/>
    </xf>
    <xf numFmtId="0" fontId="0" fillId="0" borderId="53" xfId="0" applyBorder="1" applyAlignment="1">
      <alignment vertical="center" wrapText="1"/>
    </xf>
    <xf numFmtId="0" fontId="34" fillId="0" borderId="67" xfId="0" applyFont="1" applyBorder="1" applyAlignment="1">
      <alignment horizontal="left"/>
    </xf>
    <xf numFmtId="0" fontId="17" fillId="0" borderId="68" xfId="0" applyFont="1" applyBorder="1"/>
    <xf numFmtId="0" fontId="17" fillId="0" borderId="69" xfId="0" applyFont="1" applyBorder="1"/>
    <xf numFmtId="0" fontId="35" fillId="0" borderId="70" xfId="0" applyFont="1" applyBorder="1"/>
    <xf numFmtId="0" fontId="17" fillId="0" borderId="71" xfId="0" applyFont="1" applyBorder="1"/>
    <xf numFmtId="0" fontId="17" fillId="0" borderId="72" xfId="0" applyFont="1" applyBorder="1"/>
    <xf numFmtId="0" fontId="34" fillId="0" borderId="67" xfId="0" applyFont="1" applyBorder="1"/>
    <xf numFmtId="0" fontId="17" fillId="0" borderId="68" xfId="0" applyFont="1" applyBorder="1"/>
    <xf numFmtId="0" fontId="17" fillId="0" borderId="69" xfId="0" applyFont="1" applyBorder="1"/>
    <xf numFmtId="0" fontId="35" fillId="0" borderId="0" xfId="0" applyFont="1" applyBorder="1"/>
    <xf numFmtId="0" fontId="17" fillId="0" borderId="0" xfId="0" applyFont="1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84"/>
  <sheetViews>
    <sheetView tabSelected="1" zoomScale="93" zoomScaleNormal="93" workbookViewId="0">
      <selection activeCell="H67" sqref="H67"/>
    </sheetView>
  </sheetViews>
  <sheetFormatPr baseColWidth="10" defaultColWidth="11" defaultRowHeight="12.75" x14ac:dyDescent="0.2"/>
  <cols>
    <col min="1" max="1" width="6.42578125" style="26" customWidth="1"/>
    <col min="2" max="2" width="17.8554687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78" t="s">
        <v>0</v>
      </c>
      <c r="C2" s="78"/>
      <c r="D2" s="78"/>
      <c r="E2" s="78"/>
      <c r="F2" s="78"/>
      <c r="G2" s="78"/>
      <c r="H2" s="78"/>
    </row>
    <row r="3" spans="1:10" ht="12" customHeight="1" x14ac:dyDescent="0.2"/>
    <row r="4" spans="1:10" ht="18" customHeight="1" x14ac:dyDescent="0.25">
      <c r="A4" s="74" t="s">
        <v>1</v>
      </c>
      <c r="B4" s="74"/>
      <c r="C4" s="79" t="s">
        <v>131</v>
      </c>
      <c r="D4" s="79"/>
      <c r="E4" s="79"/>
      <c r="F4" s="27"/>
      <c r="G4" s="28"/>
      <c r="H4" s="46"/>
    </row>
    <row r="5" spans="1:10" ht="18" customHeight="1" x14ac:dyDescent="0.25">
      <c r="A5" s="74" t="s">
        <v>2</v>
      </c>
      <c r="B5" s="74"/>
      <c r="C5" s="79" t="s">
        <v>132</v>
      </c>
      <c r="D5" s="79"/>
      <c r="E5" s="79"/>
      <c r="F5" s="27"/>
      <c r="G5" s="28" t="s">
        <v>53</v>
      </c>
      <c r="H5" s="46"/>
    </row>
    <row r="6" spans="1:10" ht="16.5" customHeight="1" x14ac:dyDescent="0.25">
      <c r="A6" s="74" t="s">
        <v>3</v>
      </c>
      <c r="B6" s="74"/>
      <c r="C6" s="42">
        <v>2022</v>
      </c>
      <c r="D6" s="43"/>
      <c r="E6" s="43"/>
      <c r="F6" s="27"/>
      <c r="G6" s="28"/>
      <c r="H6" s="46"/>
    </row>
    <row r="7" spans="1:10" ht="16.5" customHeight="1" x14ac:dyDescent="0.25">
      <c r="A7" s="74" t="s">
        <v>4</v>
      </c>
      <c r="B7" s="74"/>
      <c r="C7" s="42">
        <v>3</v>
      </c>
      <c r="D7" s="43"/>
      <c r="E7" s="43"/>
      <c r="F7" s="27"/>
      <c r="G7" s="28"/>
      <c r="H7" s="46"/>
    </row>
    <row r="8" spans="1:10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0" ht="36.75" thickBot="1" x14ac:dyDescent="0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8" t="s">
        <v>12</v>
      </c>
      <c r="I9" s="67" t="s">
        <v>13</v>
      </c>
    </row>
    <row r="10" spans="1:10" ht="38.25" x14ac:dyDescent="0.2">
      <c r="A10" s="59">
        <v>1</v>
      </c>
      <c r="B10" s="124" t="s">
        <v>64</v>
      </c>
      <c r="C10" s="125" t="s">
        <v>65</v>
      </c>
      <c r="D10" s="126">
        <v>295</v>
      </c>
      <c r="E10" s="127" t="s">
        <v>66</v>
      </c>
      <c r="F10" s="128" t="s">
        <v>55</v>
      </c>
      <c r="G10" s="129">
        <v>30</v>
      </c>
      <c r="H10" s="130">
        <v>465</v>
      </c>
      <c r="I10" s="60">
        <f t="shared" ref="I10:I42" si="0">+G10*H10</f>
        <v>13950</v>
      </c>
    </row>
    <row r="11" spans="1:10" ht="38.25" x14ac:dyDescent="0.2">
      <c r="A11" s="59">
        <v>2</v>
      </c>
      <c r="B11" s="124" t="s">
        <v>67</v>
      </c>
      <c r="C11" s="125" t="s">
        <v>65</v>
      </c>
      <c r="D11" s="126">
        <v>295</v>
      </c>
      <c r="E11" s="134" t="s">
        <v>68</v>
      </c>
      <c r="F11" s="128" t="s">
        <v>55</v>
      </c>
      <c r="G11" s="129">
        <v>30</v>
      </c>
      <c r="H11" s="130">
        <v>410</v>
      </c>
      <c r="I11" s="60">
        <f t="shared" si="0"/>
        <v>12300</v>
      </c>
    </row>
    <row r="12" spans="1:10" ht="38.25" x14ac:dyDescent="0.2">
      <c r="A12" s="59">
        <v>3</v>
      </c>
      <c r="B12" s="131" t="s">
        <v>69</v>
      </c>
      <c r="C12" s="125" t="s">
        <v>65</v>
      </c>
      <c r="D12" s="126">
        <v>295</v>
      </c>
      <c r="E12" s="134" t="s">
        <v>70</v>
      </c>
      <c r="F12" s="128" t="s">
        <v>55</v>
      </c>
      <c r="G12" s="129">
        <v>30</v>
      </c>
      <c r="H12" s="130">
        <v>415</v>
      </c>
      <c r="I12" s="60">
        <f t="shared" si="0"/>
        <v>12450</v>
      </c>
    </row>
    <row r="13" spans="1:10" ht="38.25" x14ac:dyDescent="0.2">
      <c r="A13" s="59">
        <v>4</v>
      </c>
      <c r="B13" s="132" t="s">
        <v>71</v>
      </c>
      <c r="C13" s="125" t="s">
        <v>65</v>
      </c>
      <c r="D13" s="126">
        <v>295</v>
      </c>
      <c r="E13" s="133" t="s">
        <v>72</v>
      </c>
      <c r="F13" s="128" t="s">
        <v>55</v>
      </c>
      <c r="G13" s="129">
        <v>30</v>
      </c>
      <c r="H13" s="130">
        <v>8500</v>
      </c>
      <c r="I13" s="60">
        <f t="shared" si="0"/>
        <v>255000</v>
      </c>
    </row>
    <row r="14" spans="1:10" ht="38.25" x14ac:dyDescent="0.2">
      <c r="A14" s="59">
        <v>5</v>
      </c>
      <c r="B14" s="124" t="s">
        <v>73</v>
      </c>
      <c r="C14" s="125" t="s">
        <v>65</v>
      </c>
      <c r="D14" s="126">
        <v>295</v>
      </c>
      <c r="E14" s="134" t="s">
        <v>74</v>
      </c>
      <c r="F14" s="135" t="s">
        <v>55</v>
      </c>
      <c r="G14" s="129">
        <v>3</v>
      </c>
      <c r="H14" s="130">
        <v>29800</v>
      </c>
      <c r="I14" s="60">
        <f t="shared" si="0"/>
        <v>89400</v>
      </c>
    </row>
    <row r="15" spans="1:10" ht="38.25" x14ac:dyDescent="0.2">
      <c r="A15" s="59">
        <v>6</v>
      </c>
      <c r="B15" s="136" t="s">
        <v>75</v>
      </c>
      <c r="C15" s="125" t="s">
        <v>65</v>
      </c>
      <c r="D15" s="126">
        <v>252</v>
      </c>
      <c r="E15" s="134" t="s">
        <v>76</v>
      </c>
      <c r="F15" s="128" t="s">
        <v>55</v>
      </c>
      <c r="G15" s="129">
        <v>30</v>
      </c>
      <c r="H15" s="130">
        <v>488</v>
      </c>
      <c r="I15" s="60">
        <f t="shared" si="0"/>
        <v>14640</v>
      </c>
    </row>
    <row r="16" spans="1:10" ht="38.25" x14ac:dyDescent="0.2">
      <c r="A16" s="59">
        <v>7</v>
      </c>
      <c r="B16" s="136" t="s">
        <v>77</v>
      </c>
      <c r="C16" s="125" t="s">
        <v>65</v>
      </c>
      <c r="D16" s="126">
        <v>295</v>
      </c>
      <c r="E16" s="127" t="s">
        <v>78</v>
      </c>
      <c r="F16" s="128" t="s">
        <v>55</v>
      </c>
      <c r="G16" s="129">
        <v>30</v>
      </c>
      <c r="H16" s="130">
        <v>421.2</v>
      </c>
      <c r="I16" s="60">
        <f t="shared" si="0"/>
        <v>12636</v>
      </c>
    </row>
    <row r="17" spans="1:9" ht="38.25" x14ac:dyDescent="0.2">
      <c r="A17" s="59">
        <v>8</v>
      </c>
      <c r="B17" s="136" t="s">
        <v>79</v>
      </c>
      <c r="C17" s="125" t="s">
        <v>65</v>
      </c>
      <c r="D17" s="126">
        <v>295</v>
      </c>
      <c r="E17" s="137" t="s">
        <v>80</v>
      </c>
      <c r="F17" s="128" t="s">
        <v>55</v>
      </c>
      <c r="G17" s="129">
        <v>30</v>
      </c>
      <c r="H17" s="130">
        <v>390</v>
      </c>
      <c r="I17" s="60">
        <f t="shared" si="0"/>
        <v>11700</v>
      </c>
    </row>
    <row r="18" spans="1:9" ht="38.25" x14ac:dyDescent="0.2">
      <c r="A18" s="59">
        <v>9</v>
      </c>
      <c r="B18" s="138" t="s">
        <v>81</v>
      </c>
      <c r="C18" s="125" t="s">
        <v>65</v>
      </c>
      <c r="D18" s="126">
        <v>295</v>
      </c>
      <c r="E18" s="137" t="s">
        <v>82</v>
      </c>
      <c r="F18" s="128" t="s">
        <v>55</v>
      </c>
      <c r="G18" s="129">
        <v>30</v>
      </c>
      <c r="H18" s="130">
        <v>395</v>
      </c>
      <c r="I18" s="60">
        <f t="shared" si="0"/>
        <v>11850</v>
      </c>
    </row>
    <row r="19" spans="1:9" ht="38.25" x14ac:dyDescent="0.2">
      <c r="A19" s="59">
        <v>10</v>
      </c>
      <c r="B19" s="138" t="s">
        <v>83</v>
      </c>
      <c r="C19" s="125" t="s">
        <v>65</v>
      </c>
      <c r="D19" s="126">
        <v>295</v>
      </c>
      <c r="E19" s="137" t="s">
        <v>84</v>
      </c>
      <c r="F19" s="128" t="s">
        <v>55</v>
      </c>
      <c r="G19" s="129">
        <v>50</v>
      </c>
      <c r="H19" s="130">
        <v>1250</v>
      </c>
      <c r="I19" s="60">
        <f t="shared" si="0"/>
        <v>62500</v>
      </c>
    </row>
    <row r="20" spans="1:9" ht="38.25" x14ac:dyDescent="0.2">
      <c r="A20" s="59">
        <v>11</v>
      </c>
      <c r="B20" s="138" t="s">
        <v>85</v>
      </c>
      <c r="C20" s="125" t="s">
        <v>65</v>
      </c>
      <c r="D20" s="126">
        <v>295</v>
      </c>
      <c r="E20" s="137" t="s">
        <v>86</v>
      </c>
      <c r="F20" s="128" t="s">
        <v>55</v>
      </c>
      <c r="G20" s="129">
        <v>50</v>
      </c>
      <c r="H20" s="130">
        <v>330</v>
      </c>
      <c r="I20" s="60">
        <f t="shared" si="0"/>
        <v>16500</v>
      </c>
    </row>
    <row r="21" spans="1:9" ht="38.25" x14ac:dyDescent="0.2">
      <c r="A21" s="59">
        <v>12</v>
      </c>
      <c r="B21" s="139" t="s">
        <v>87</v>
      </c>
      <c r="C21" s="140" t="s">
        <v>65</v>
      </c>
      <c r="D21" s="141">
        <v>295</v>
      </c>
      <c r="E21" s="127" t="s">
        <v>88</v>
      </c>
      <c r="F21" s="142" t="s">
        <v>55</v>
      </c>
      <c r="G21" s="143">
        <v>100</v>
      </c>
      <c r="H21" s="144">
        <v>3200</v>
      </c>
      <c r="I21" s="60">
        <f t="shared" si="0"/>
        <v>320000</v>
      </c>
    </row>
    <row r="22" spans="1:9" ht="38.25" x14ac:dyDescent="0.2">
      <c r="A22" s="59">
        <v>13</v>
      </c>
      <c r="B22" s="124" t="s">
        <v>89</v>
      </c>
      <c r="C22" s="125" t="s">
        <v>65</v>
      </c>
      <c r="D22" s="126">
        <v>295</v>
      </c>
      <c r="E22" s="134" t="s">
        <v>90</v>
      </c>
      <c r="F22" s="128" t="s">
        <v>55</v>
      </c>
      <c r="G22" s="129">
        <v>100</v>
      </c>
      <c r="H22" s="130">
        <v>8175</v>
      </c>
      <c r="I22" s="60">
        <f t="shared" si="0"/>
        <v>817500</v>
      </c>
    </row>
    <row r="23" spans="1:9" ht="38.25" x14ac:dyDescent="0.2">
      <c r="A23" s="59">
        <v>14</v>
      </c>
      <c r="B23" s="145" t="s">
        <v>91</v>
      </c>
      <c r="C23" s="146" t="s">
        <v>65</v>
      </c>
      <c r="D23" s="147">
        <v>295</v>
      </c>
      <c r="E23" s="148" t="s">
        <v>92</v>
      </c>
      <c r="F23" s="149" t="s">
        <v>55</v>
      </c>
      <c r="G23" s="150">
        <v>200</v>
      </c>
      <c r="H23" s="151">
        <v>1658.8</v>
      </c>
      <c r="I23" s="60">
        <f t="shared" si="0"/>
        <v>331760</v>
      </c>
    </row>
    <row r="24" spans="1:9" ht="38.25" x14ac:dyDescent="0.2">
      <c r="A24" s="59">
        <v>15</v>
      </c>
      <c r="B24" s="152" t="s">
        <v>93</v>
      </c>
      <c r="C24" s="140" t="s">
        <v>65</v>
      </c>
      <c r="D24" s="141">
        <v>295</v>
      </c>
      <c r="E24" s="153" t="s">
        <v>94</v>
      </c>
      <c r="F24" s="142" t="s">
        <v>55</v>
      </c>
      <c r="G24" s="143">
        <v>200</v>
      </c>
      <c r="H24" s="144">
        <v>1658.8</v>
      </c>
      <c r="I24" s="60">
        <f t="shared" si="0"/>
        <v>331760</v>
      </c>
    </row>
    <row r="25" spans="1:9" ht="38.25" x14ac:dyDescent="0.2">
      <c r="A25" s="59">
        <v>16</v>
      </c>
      <c r="B25" s="145" t="s">
        <v>95</v>
      </c>
      <c r="C25" s="146" t="s">
        <v>65</v>
      </c>
      <c r="D25" s="147">
        <v>295</v>
      </c>
      <c r="E25" s="148" t="s">
        <v>96</v>
      </c>
      <c r="F25" s="149" t="s">
        <v>55</v>
      </c>
      <c r="G25" s="150">
        <v>200</v>
      </c>
      <c r="H25" s="151">
        <v>1658.8</v>
      </c>
      <c r="I25" s="60">
        <f t="shared" si="0"/>
        <v>331760</v>
      </c>
    </row>
    <row r="26" spans="1:9" ht="38.25" x14ac:dyDescent="0.2">
      <c r="A26" s="59">
        <v>17</v>
      </c>
      <c r="B26" s="124" t="s">
        <v>97</v>
      </c>
      <c r="C26" s="125" t="s">
        <v>65</v>
      </c>
      <c r="D26" s="126">
        <v>295</v>
      </c>
      <c r="E26" s="127" t="s">
        <v>98</v>
      </c>
      <c r="F26" s="128" t="s">
        <v>55</v>
      </c>
      <c r="G26" s="129">
        <v>10</v>
      </c>
      <c r="H26" s="130">
        <v>10500</v>
      </c>
      <c r="I26" s="60">
        <f t="shared" si="0"/>
        <v>105000</v>
      </c>
    </row>
    <row r="27" spans="1:9" ht="38.25" x14ac:dyDescent="0.2">
      <c r="A27" s="59">
        <v>18</v>
      </c>
      <c r="B27" s="154" t="s">
        <v>99</v>
      </c>
      <c r="C27" s="125" t="s">
        <v>65</v>
      </c>
      <c r="D27" s="126">
        <v>295</v>
      </c>
      <c r="E27" s="134" t="s">
        <v>100</v>
      </c>
      <c r="F27" s="128" t="s">
        <v>55</v>
      </c>
      <c r="G27" s="129">
        <v>10</v>
      </c>
      <c r="H27" s="130">
        <v>7051.5</v>
      </c>
      <c r="I27" s="60">
        <f t="shared" si="0"/>
        <v>70515</v>
      </c>
    </row>
    <row r="28" spans="1:9" ht="38.25" x14ac:dyDescent="0.2">
      <c r="A28" s="59">
        <v>19</v>
      </c>
      <c r="B28" s="155" t="s">
        <v>101</v>
      </c>
      <c r="C28" s="140" t="s">
        <v>65</v>
      </c>
      <c r="D28" s="141">
        <v>295</v>
      </c>
      <c r="E28" s="165" t="s">
        <v>102</v>
      </c>
      <c r="F28" s="142" t="s">
        <v>55</v>
      </c>
      <c r="G28" s="143">
        <v>20</v>
      </c>
      <c r="H28" s="144">
        <v>4900</v>
      </c>
      <c r="I28" s="60">
        <f t="shared" si="0"/>
        <v>98000</v>
      </c>
    </row>
    <row r="29" spans="1:9" ht="38.25" x14ac:dyDescent="0.2">
      <c r="A29" s="59">
        <v>20</v>
      </c>
      <c r="B29" s="156" t="s">
        <v>103</v>
      </c>
      <c r="C29" s="125" t="s">
        <v>65</v>
      </c>
      <c r="D29" s="126">
        <v>295</v>
      </c>
      <c r="E29" s="157" t="s">
        <v>104</v>
      </c>
      <c r="F29" s="128" t="s">
        <v>55</v>
      </c>
      <c r="G29" s="129">
        <v>20</v>
      </c>
      <c r="H29" s="130">
        <v>3100</v>
      </c>
      <c r="I29" s="60">
        <f t="shared" si="0"/>
        <v>62000</v>
      </c>
    </row>
    <row r="30" spans="1:9" ht="38.25" x14ac:dyDescent="0.2">
      <c r="A30" s="59">
        <v>21</v>
      </c>
      <c r="B30" s="156" t="s">
        <v>105</v>
      </c>
      <c r="C30" s="125" t="s">
        <v>65</v>
      </c>
      <c r="D30" s="126">
        <v>295</v>
      </c>
      <c r="E30" s="158" t="s">
        <v>106</v>
      </c>
      <c r="F30" s="128" t="s">
        <v>55</v>
      </c>
      <c r="G30" s="129">
        <v>20</v>
      </c>
      <c r="H30" s="130">
        <v>3100</v>
      </c>
      <c r="I30" s="60">
        <f t="shared" si="0"/>
        <v>62000</v>
      </c>
    </row>
    <row r="31" spans="1:9" ht="38.25" x14ac:dyDescent="0.2">
      <c r="A31" s="59">
        <v>22</v>
      </c>
      <c r="B31" s="156" t="s">
        <v>107</v>
      </c>
      <c r="C31" s="125" t="s">
        <v>65</v>
      </c>
      <c r="D31" s="126">
        <v>295</v>
      </c>
      <c r="E31" s="158" t="s">
        <v>108</v>
      </c>
      <c r="F31" s="128" t="s">
        <v>55</v>
      </c>
      <c r="G31" s="129">
        <v>20</v>
      </c>
      <c r="H31" s="130">
        <v>3100</v>
      </c>
      <c r="I31" s="60">
        <f t="shared" si="0"/>
        <v>62000</v>
      </c>
    </row>
    <row r="32" spans="1:9" ht="38.25" x14ac:dyDescent="0.2">
      <c r="A32" s="59">
        <v>23</v>
      </c>
      <c r="B32" s="156" t="s">
        <v>109</v>
      </c>
      <c r="C32" s="125" t="s">
        <v>65</v>
      </c>
      <c r="D32" s="126">
        <v>295</v>
      </c>
      <c r="E32" s="159" t="s">
        <v>110</v>
      </c>
      <c r="F32" s="128" t="s">
        <v>55</v>
      </c>
      <c r="G32" s="129">
        <v>20</v>
      </c>
      <c r="H32" s="130">
        <v>3100</v>
      </c>
      <c r="I32" s="60">
        <f t="shared" si="0"/>
        <v>62000</v>
      </c>
    </row>
    <row r="33" spans="1:9" ht="38.25" x14ac:dyDescent="0.2">
      <c r="A33" s="59">
        <v>24</v>
      </c>
      <c r="B33" s="160" t="s">
        <v>111</v>
      </c>
      <c r="C33" s="125" t="s">
        <v>65</v>
      </c>
      <c r="D33" s="126">
        <v>295</v>
      </c>
      <c r="E33" s="165" t="s">
        <v>112</v>
      </c>
      <c r="F33" s="161" t="s">
        <v>55</v>
      </c>
      <c r="G33" s="129">
        <v>10</v>
      </c>
      <c r="H33" s="130">
        <v>1350</v>
      </c>
      <c r="I33" s="60">
        <f t="shared" si="0"/>
        <v>13500</v>
      </c>
    </row>
    <row r="34" spans="1:9" ht="38.25" x14ac:dyDescent="0.2">
      <c r="A34" s="59">
        <v>25</v>
      </c>
      <c r="B34" s="160" t="s">
        <v>113</v>
      </c>
      <c r="C34" s="125" t="s">
        <v>65</v>
      </c>
      <c r="D34" s="126">
        <v>295</v>
      </c>
      <c r="E34" s="165" t="s">
        <v>114</v>
      </c>
      <c r="F34" s="161" t="s">
        <v>55</v>
      </c>
      <c r="G34" s="129">
        <v>10</v>
      </c>
      <c r="H34" s="130">
        <v>1350</v>
      </c>
      <c r="I34" s="60">
        <f t="shared" si="0"/>
        <v>13500</v>
      </c>
    </row>
    <row r="35" spans="1:9" ht="38.25" x14ac:dyDescent="0.2">
      <c r="A35" s="59">
        <v>26</v>
      </c>
      <c r="B35" s="160" t="s">
        <v>115</v>
      </c>
      <c r="C35" s="125" t="s">
        <v>65</v>
      </c>
      <c r="D35" s="126">
        <v>295</v>
      </c>
      <c r="E35" s="165" t="s">
        <v>116</v>
      </c>
      <c r="F35" s="161" t="s">
        <v>55</v>
      </c>
      <c r="G35" s="129">
        <v>10</v>
      </c>
      <c r="H35" s="130">
        <v>1350</v>
      </c>
      <c r="I35" s="60">
        <f t="shared" si="0"/>
        <v>13500</v>
      </c>
    </row>
    <row r="36" spans="1:9" ht="38.25" x14ac:dyDescent="0.2">
      <c r="A36" s="59">
        <v>27</v>
      </c>
      <c r="B36" s="162" t="s">
        <v>117</v>
      </c>
      <c r="C36" s="146" t="s">
        <v>65</v>
      </c>
      <c r="D36" s="147">
        <v>295</v>
      </c>
      <c r="E36" s="163" t="s">
        <v>118</v>
      </c>
      <c r="F36" s="135" t="s">
        <v>55</v>
      </c>
      <c r="G36" s="150">
        <v>10</v>
      </c>
      <c r="H36" s="130">
        <v>1350</v>
      </c>
      <c r="I36" s="60">
        <f t="shared" si="0"/>
        <v>13500</v>
      </c>
    </row>
    <row r="37" spans="1:9" ht="38.25" x14ac:dyDescent="0.2">
      <c r="A37" s="59">
        <v>28</v>
      </c>
      <c r="B37" s="124" t="s">
        <v>119</v>
      </c>
      <c r="C37" s="125" t="s">
        <v>65</v>
      </c>
      <c r="D37" s="126">
        <v>295</v>
      </c>
      <c r="E37" s="134" t="s">
        <v>120</v>
      </c>
      <c r="F37" s="128" t="s">
        <v>55</v>
      </c>
      <c r="G37" s="129">
        <v>10</v>
      </c>
      <c r="H37" s="130">
        <v>1350</v>
      </c>
      <c r="I37" s="60">
        <f t="shared" si="0"/>
        <v>13500</v>
      </c>
    </row>
    <row r="38" spans="1:9" ht="38.25" x14ac:dyDescent="0.2">
      <c r="A38" s="59">
        <v>29</v>
      </c>
      <c r="B38" s="124" t="s">
        <v>121</v>
      </c>
      <c r="C38" s="125" t="s">
        <v>65</v>
      </c>
      <c r="D38" s="126">
        <v>295</v>
      </c>
      <c r="E38" s="134" t="s">
        <v>122</v>
      </c>
      <c r="F38" s="128" t="s">
        <v>55</v>
      </c>
      <c r="G38" s="129">
        <v>10</v>
      </c>
      <c r="H38" s="130">
        <v>1350</v>
      </c>
      <c r="I38" s="60">
        <f t="shared" si="0"/>
        <v>13500</v>
      </c>
    </row>
    <row r="39" spans="1:9" ht="38.25" x14ac:dyDescent="0.2">
      <c r="A39" s="59">
        <v>30</v>
      </c>
      <c r="B39" s="124" t="s">
        <v>123</v>
      </c>
      <c r="C39" s="125" t="s">
        <v>65</v>
      </c>
      <c r="D39" s="126">
        <v>295</v>
      </c>
      <c r="E39" s="134" t="s">
        <v>124</v>
      </c>
      <c r="F39" s="128" t="s">
        <v>55</v>
      </c>
      <c r="G39" s="164">
        <v>10</v>
      </c>
      <c r="H39" s="130">
        <v>1350</v>
      </c>
      <c r="I39" s="60">
        <f t="shared" si="0"/>
        <v>13500</v>
      </c>
    </row>
    <row r="40" spans="1:9" ht="38.25" x14ac:dyDescent="0.2">
      <c r="A40" s="59">
        <v>31</v>
      </c>
      <c r="B40" s="124" t="s">
        <v>125</v>
      </c>
      <c r="C40" s="125" t="s">
        <v>65</v>
      </c>
      <c r="D40" s="126">
        <v>295</v>
      </c>
      <c r="E40" s="134" t="s">
        <v>126</v>
      </c>
      <c r="F40" s="128" t="s">
        <v>55</v>
      </c>
      <c r="G40" s="164">
        <v>10</v>
      </c>
      <c r="H40" s="130">
        <v>1350</v>
      </c>
      <c r="I40" s="60">
        <f t="shared" si="0"/>
        <v>13500</v>
      </c>
    </row>
    <row r="41" spans="1:9" ht="38.25" x14ac:dyDescent="0.2">
      <c r="A41" s="59">
        <v>32</v>
      </c>
      <c r="B41" s="124" t="s">
        <v>127</v>
      </c>
      <c r="C41" s="125" t="s">
        <v>65</v>
      </c>
      <c r="D41" s="126">
        <v>295</v>
      </c>
      <c r="E41" s="134" t="s">
        <v>128</v>
      </c>
      <c r="F41" s="128" t="s">
        <v>55</v>
      </c>
      <c r="G41" s="164">
        <v>10</v>
      </c>
      <c r="H41" s="130">
        <v>1350</v>
      </c>
      <c r="I41" s="60">
        <f t="shared" si="0"/>
        <v>13500</v>
      </c>
    </row>
    <row r="42" spans="1:9" ht="38.25" x14ac:dyDescent="0.2">
      <c r="A42" s="59">
        <v>33</v>
      </c>
      <c r="B42" s="124" t="s">
        <v>129</v>
      </c>
      <c r="C42" s="125" t="s">
        <v>65</v>
      </c>
      <c r="D42" s="126">
        <v>295</v>
      </c>
      <c r="E42" s="125" t="s">
        <v>130</v>
      </c>
      <c r="F42" s="128" t="s">
        <v>55</v>
      </c>
      <c r="G42" s="164">
        <v>10</v>
      </c>
      <c r="H42" s="130">
        <v>1350</v>
      </c>
      <c r="I42" s="60">
        <f t="shared" si="0"/>
        <v>13500</v>
      </c>
    </row>
    <row r="43" spans="1:9" ht="13.5" thickBot="1" x14ac:dyDescent="0.25">
      <c r="I43" s="33"/>
    </row>
    <row r="44" spans="1:9" ht="15" x14ac:dyDescent="0.25">
      <c r="B44" s="166" t="s">
        <v>139</v>
      </c>
      <c r="C44" s="167"/>
      <c r="D44" s="167"/>
      <c r="E44" s="168"/>
      <c r="I44" s="33"/>
    </row>
    <row r="45" spans="1:9" ht="15.75" thickBot="1" x14ac:dyDescent="0.3">
      <c r="B45" s="169" t="s">
        <v>138</v>
      </c>
      <c r="C45" s="170"/>
      <c r="D45" s="170"/>
      <c r="E45" s="171"/>
      <c r="I45" s="33"/>
    </row>
    <row r="46" spans="1:9" ht="13.5" thickBot="1" x14ac:dyDescent="0.25">
      <c r="I46" s="33"/>
    </row>
    <row r="47" spans="1:9" ht="15" x14ac:dyDescent="0.25">
      <c r="B47" s="172" t="s">
        <v>137</v>
      </c>
      <c r="C47" s="173"/>
      <c r="D47" s="173"/>
      <c r="E47" s="174"/>
      <c r="I47" s="33"/>
    </row>
    <row r="48" spans="1:9" ht="15.75" thickBot="1" x14ac:dyDescent="0.3">
      <c r="B48" s="169" t="s">
        <v>140</v>
      </c>
      <c r="C48" s="170"/>
      <c r="D48" s="170"/>
      <c r="E48" s="171"/>
      <c r="I48" s="33"/>
    </row>
    <row r="49" spans="2:9" ht="13.5" thickBot="1" x14ac:dyDescent="0.25">
      <c r="I49" s="33"/>
    </row>
    <row r="50" spans="2:9" ht="15" x14ac:dyDescent="0.25">
      <c r="B50" s="166" t="s">
        <v>141</v>
      </c>
      <c r="C50" s="167"/>
      <c r="D50" s="167"/>
      <c r="E50" s="168"/>
      <c r="I50" s="33"/>
    </row>
    <row r="51" spans="2:9" ht="15.75" thickBot="1" x14ac:dyDescent="0.3">
      <c r="B51" s="169" t="s">
        <v>142</v>
      </c>
      <c r="C51" s="170"/>
      <c r="D51" s="170"/>
      <c r="E51" s="171"/>
      <c r="I51" s="33"/>
    </row>
    <row r="52" spans="2:9" ht="13.5" thickBot="1" x14ac:dyDescent="0.25">
      <c r="I52" s="33"/>
    </row>
    <row r="53" spans="2:9" ht="15" x14ac:dyDescent="0.25">
      <c r="B53" s="166" t="s">
        <v>144</v>
      </c>
      <c r="C53" s="167"/>
      <c r="D53" s="167"/>
      <c r="E53" s="168"/>
      <c r="I53" s="33"/>
    </row>
    <row r="54" spans="2:9" ht="15.75" thickBot="1" x14ac:dyDescent="0.3">
      <c r="B54" s="169" t="s">
        <v>143</v>
      </c>
      <c r="C54" s="170"/>
      <c r="D54" s="170"/>
      <c r="E54" s="171"/>
      <c r="I54" s="33"/>
    </row>
    <row r="55" spans="2:9" ht="13.5" thickBot="1" x14ac:dyDescent="0.25">
      <c r="I55" s="33"/>
    </row>
    <row r="56" spans="2:9" ht="15" x14ac:dyDescent="0.25">
      <c r="B56" s="166" t="s">
        <v>145</v>
      </c>
      <c r="C56" s="167"/>
      <c r="D56" s="167"/>
      <c r="E56" s="168"/>
      <c r="I56" s="33"/>
    </row>
    <row r="57" spans="2:9" ht="15.75" thickBot="1" x14ac:dyDescent="0.3">
      <c r="B57" s="169" t="s">
        <v>142</v>
      </c>
      <c r="C57" s="170"/>
      <c r="D57" s="170"/>
      <c r="E57" s="171"/>
      <c r="I57" s="33"/>
    </row>
    <row r="58" spans="2:9" ht="13.5" thickBot="1" x14ac:dyDescent="0.25">
      <c r="I58" s="33"/>
    </row>
    <row r="59" spans="2:9" ht="15" x14ac:dyDescent="0.25">
      <c r="B59" s="166" t="s">
        <v>147</v>
      </c>
      <c r="C59" s="167"/>
      <c r="D59" s="167"/>
      <c r="E59" s="168"/>
      <c r="I59" s="33"/>
    </row>
    <row r="60" spans="2:9" ht="15.75" thickBot="1" x14ac:dyDescent="0.3">
      <c r="B60" s="169" t="s">
        <v>146</v>
      </c>
      <c r="C60" s="170"/>
      <c r="D60" s="170"/>
      <c r="E60" s="171"/>
      <c r="I60" s="33"/>
    </row>
    <row r="61" spans="2:9" ht="15.75" thickBot="1" x14ac:dyDescent="0.3">
      <c r="B61" s="175"/>
      <c r="C61" s="176"/>
      <c r="D61" s="176"/>
      <c r="E61" s="176"/>
      <c r="I61" s="33"/>
    </row>
    <row r="62" spans="2:9" ht="15" x14ac:dyDescent="0.25">
      <c r="B62" s="166" t="s">
        <v>148</v>
      </c>
      <c r="C62" s="167"/>
      <c r="D62" s="167"/>
      <c r="E62" s="168"/>
      <c r="I62" s="33"/>
    </row>
    <row r="63" spans="2:9" ht="15.75" thickBot="1" x14ac:dyDescent="0.3">
      <c r="B63" s="169" t="s">
        <v>151</v>
      </c>
      <c r="C63" s="170"/>
      <c r="D63" s="170"/>
      <c r="E63" s="171"/>
      <c r="I63" s="33"/>
    </row>
    <row r="64" spans="2:9" ht="13.5" thickBot="1" x14ac:dyDescent="0.25">
      <c r="I64" s="33"/>
    </row>
    <row r="65" spans="2:9" ht="15" x14ac:dyDescent="0.25">
      <c r="B65" s="166" t="s">
        <v>149</v>
      </c>
      <c r="C65" s="167"/>
      <c r="D65" s="167"/>
      <c r="E65" s="168"/>
      <c r="I65" s="33"/>
    </row>
    <row r="66" spans="2:9" ht="15.75" thickBot="1" x14ac:dyDescent="0.3">
      <c r="B66" s="169" t="s">
        <v>150</v>
      </c>
      <c r="C66" s="170"/>
      <c r="D66" s="170"/>
      <c r="E66" s="171"/>
      <c r="I66" s="33"/>
    </row>
    <row r="67" spans="2:9" ht="12" customHeight="1" thickBot="1" x14ac:dyDescent="0.3">
      <c r="B67" s="175"/>
      <c r="C67" s="176"/>
      <c r="D67" s="176"/>
      <c r="E67" s="176"/>
      <c r="I67" s="33"/>
    </row>
    <row r="68" spans="2:9" x14ac:dyDescent="0.2">
      <c r="B68" s="69" t="s">
        <v>57</v>
      </c>
      <c r="C68" s="29"/>
      <c r="D68" s="29"/>
      <c r="E68" s="30"/>
      <c r="I68" s="33"/>
    </row>
    <row r="69" spans="2:9" ht="13.5" customHeight="1" x14ac:dyDescent="0.2">
      <c r="B69" s="75" t="s">
        <v>58</v>
      </c>
      <c r="C69" s="76"/>
      <c r="D69" s="76"/>
      <c r="E69" s="77"/>
    </row>
    <row r="70" spans="2:9" ht="25.5" customHeight="1" x14ac:dyDescent="0.2">
      <c r="B70" s="75"/>
      <c r="C70" s="76"/>
      <c r="D70" s="76"/>
      <c r="E70" s="77"/>
      <c r="F70" s="31"/>
      <c r="G70" s="32"/>
    </row>
    <row r="71" spans="2:9" ht="13.5" customHeight="1" x14ac:dyDescent="0.2">
      <c r="B71" s="75" t="s">
        <v>63</v>
      </c>
      <c r="C71" s="76"/>
      <c r="D71" s="76"/>
      <c r="E71" s="77"/>
      <c r="F71" s="31"/>
      <c r="G71" s="32"/>
    </row>
    <row r="72" spans="2:9" ht="13.5" thickBot="1" x14ac:dyDescent="0.25">
      <c r="B72" s="70" t="s">
        <v>136</v>
      </c>
      <c r="C72" s="71"/>
      <c r="D72" s="72"/>
      <c r="E72" s="73"/>
      <c r="F72" s="31"/>
      <c r="G72" s="32"/>
    </row>
    <row r="73" spans="2:9" ht="12" customHeight="1" x14ac:dyDescent="0.2"/>
    <row r="84" spans="7:7" x14ac:dyDescent="0.2">
      <c r="G84" s="26" t="s">
        <v>53</v>
      </c>
    </row>
  </sheetData>
  <autoFilter ref="A9:I42"/>
  <mergeCells count="16">
    <mergeCell ref="A6:B6"/>
    <mergeCell ref="A7:B7"/>
    <mergeCell ref="B69:E70"/>
    <mergeCell ref="B71:E71"/>
    <mergeCell ref="B2:H2"/>
    <mergeCell ref="A4:B4"/>
    <mergeCell ref="C4:E4"/>
    <mergeCell ref="A5:B5"/>
    <mergeCell ref="C5:E5"/>
    <mergeCell ref="B44:E44"/>
    <mergeCell ref="B50:E50"/>
    <mergeCell ref="B53:E53"/>
    <mergeCell ref="B56:E56"/>
    <mergeCell ref="B59:E59"/>
    <mergeCell ref="B62:E62"/>
    <mergeCell ref="B65:E6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5"/>
  <sheetViews>
    <sheetView zoomScale="80" zoomScaleNormal="80" workbookViewId="0">
      <selection activeCell="A46" sqref="A46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88" t="s">
        <v>14</v>
      </c>
      <c r="B1" s="88"/>
      <c r="C1" s="88"/>
      <c r="D1" s="88"/>
      <c r="E1" s="88"/>
      <c r="F1" s="88"/>
      <c r="G1" s="88"/>
      <c r="H1" s="88"/>
      <c r="I1" s="88"/>
      <c r="J1" s="34" t="s">
        <v>15</v>
      </c>
      <c r="K1" s="35" t="s">
        <v>133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89" t="s">
        <v>48</v>
      </c>
      <c r="B3" s="89"/>
      <c r="C3" s="89"/>
      <c r="D3" s="81" t="str">
        <f>'Necesidades Trimestrales'!C4</f>
        <v>40 - Ministerio de Salud</v>
      </c>
      <c r="E3" s="81"/>
      <c r="F3" s="81"/>
      <c r="G3" s="81"/>
      <c r="H3" s="81"/>
      <c r="I3" s="81"/>
      <c r="J3" s="81"/>
      <c r="K3" s="81"/>
    </row>
    <row r="4" spans="1:11" ht="18.75" customHeight="1" thickBot="1" x14ac:dyDescent="0.25">
      <c r="A4" s="90" t="s">
        <v>49</v>
      </c>
      <c r="B4" s="90"/>
      <c r="C4" s="90"/>
      <c r="D4" s="81" t="str">
        <f>'Necesidades Trimestrales'!C5</f>
        <v>24 - Direccion de Administracion del Hospital Interzonal de Niños</v>
      </c>
      <c r="E4" s="81"/>
      <c r="F4" s="81"/>
      <c r="G4" s="81"/>
      <c r="H4" s="81"/>
      <c r="I4" s="81"/>
      <c r="J4" s="81"/>
      <c r="K4" s="81"/>
    </row>
    <row r="5" spans="1:11" ht="18.75" customHeight="1" thickBot="1" x14ac:dyDescent="0.25">
      <c r="A5" s="90" t="s">
        <v>27</v>
      </c>
      <c r="B5" s="90"/>
      <c r="C5" s="90"/>
      <c r="D5" s="81" t="s">
        <v>132</v>
      </c>
      <c r="E5" s="81"/>
      <c r="F5" s="81"/>
      <c r="G5" s="81"/>
      <c r="H5" s="81"/>
      <c r="I5" s="81"/>
      <c r="J5" s="81"/>
      <c r="K5" s="81"/>
    </row>
    <row r="6" spans="1:11" ht="16.5" customHeight="1" thickBot="1" x14ac:dyDescent="0.25">
      <c r="A6" s="89" t="s">
        <v>50</v>
      </c>
      <c r="B6" s="89"/>
      <c r="C6" s="89"/>
      <c r="D6" s="81" t="s">
        <v>54</v>
      </c>
      <c r="E6" s="81"/>
      <c r="F6" s="81"/>
      <c r="G6" s="81"/>
      <c r="H6" s="81"/>
      <c r="I6" s="81"/>
      <c r="J6" s="81"/>
      <c r="K6" s="81"/>
    </row>
    <row r="7" spans="1:11" ht="16.5" customHeight="1" x14ac:dyDescent="0.2">
      <c r="A7" s="90" t="s">
        <v>16</v>
      </c>
      <c r="B7" s="90"/>
      <c r="C7" s="90"/>
      <c r="D7" s="81" t="s">
        <v>61</v>
      </c>
      <c r="E7" s="81"/>
      <c r="F7" s="81"/>
      <c r="G7" s="81"/>
      <c r="H7" s="81"/>
      <c r="I7" s="81"/>
      <c r="J7" s="81"/>
      <c r="K7" s="81"/>
    </row>
    <row r="8" spans="1:11" ht="16.5" customHeight="1" x14ac:dyDescent="0.2">
      <c r="A8" s="87" t="s">
        <v>17</v>
      </c>
      <c r="B8" s="87"/>
      <c r="C8" s="87"/>
      <c r="D8" s="83" t="s">
        <v>59</v>
      </c>
      <c r="E8" s="83"/>
      <c r="F8" s="83"/>
      <c r="G8" s="83"/>
      <c r="H8" s="83"/>
      <c r="I8" s="83"/>
      <c r="J8" s="83"/>
      <c r="K8" s="83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84" t="s">
        <v>18</v>
      </c>
      <c r="B10" s="85" t="s">
        <v>19</v>
      </c>
      <c r="C10" s="85" t="s">
        <v>20</v>
      </c>
      <c r="D10" s="85"/>
      <c r="E10" s="85"/>
      <c r="F10" s="85"/>
      <c r="G10" s="85"/>
      <c r="H10" s="85" t="s">
        <v>21</v>
      </c>
      <c r="I10" s="85" t="s">
        <v>22</v>
      </c>
      <c r="J10" s="85" t="s">
        <v>23</v>
      </c>
      <c r="K10" s="86" t="s">
        <v>24</v>
      </c>
    </row>
    <row r="11" spans="1:11" ht="24" customHeight="1" thickBo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6"/>
    </row>
    <row r="12" spans="1:11" ht="27.75" customHeight="1" x14ac:dyDescent="0.2">
      <c r="A12" s="61">
        <v>1</v>
      </c>
      <c r="B12" s="62" t="str">
        <f>'Necesidades Trimestrales'!B10</f>
        <v>2.9.5-2694.24</v>
      </c>
      <c r="C12" s="80" t="str">
        <f>'Necesidades Trimestrales'!E10</f>
        <v>BOLSAS P/TRANSFUSIONES SANGRE; CAPACIDAD: 400 mL, SOLUCIONES: SIN, TIPO: TRANSFERENCIA</v>
      </c>
      <c r="D12" s="80"/>
      <c r="E12" s="80"/>
      <c r="F12" s="80"/>
      <c r="G12" s="80"/>
      <c r="H12" s="65" t="s">
        <v>52</v>
      </c>
      <c r="I12" s="66" t="str">
        <f>'Necesidades Trimestrales'!F10</f>
        <v>UNIDAD</v>
      </c>
      <c r="J12" s="64">
        <f>'Necesidades Trimestrales'!H10</f>
        <v>465</v>
      </c>
      <c r="K12" s="63">
        <f>'Necesidades Trimestrales'!G10</f>
        <v>30</v>
      </c>
    </row>
    <row r="13" spans="1:11" ht="27.75" customHeight="1" x14ac:dyDescent="0.2">
      <c r="A13" s="61">
        <v>2</v>
      </c>
      <c r="B13" s="62" t="str">
        <f>'Necesidades Trimestrales'!B11</f>
        <v>2.9.5-3020.18</v>
      </c>
      <c r="C13" s="80" t="str">
        <f>'Necesidades Trimestrales'!E11</f>
        <v>BOLSAS P/COLOSTOMIA; TIPO: NEONATAL, DIAMETRO: REGULABLE</v>
      </c>
      <c r="D13" s="80"/>
      <c r="E13" s="80"/>
      <c r="F13" s="80"/>
      <c r="G13" s="80"/>
      <c r="H13" s="65" t="s">
        <v>52</v>
      </c>
      <c r="I13" s="66" t="str">
        <f>'Necesidades Trimestrales'!F11</f>
        <v>UNIDAD</v>
      </c>
      <c r="J13" s="64">
        <f>'Necesidades Trimestrales'!H11</f>
        <v>410</v>
      </c>
      <c r="K13" s="63">
        <f>'Necesidades Trimestrales'!G11</f>
        <v>30</v>
      </c>
    </row>
    <row r="14" spans="1:11" ht="27.75" customHeight="1" x14ac:dyDescent="0.2">
      <c r="A14" s="61">
        <v>3</v>
      </c>
      <c r="B14" s="62" t="str">
        <f>'Necesidades Trimestrales'!B12</f>
        <v>2.9.5-3020.8</v>
      </c>
      <c r="C14" s="80" t="str">
        <f>'Necesidades Trimestrales'!E12</f>
        <v>BOLSAS P/COLOSTOMIA; TIPO: DESCARTABLE ADHESIVA PEDIATRICA, DIAMETRO: REGULABLE</v>
      </c>
      <c r="D14" s="80"/>
      <c r="E14" s="80"/>
      <c r="F14" s="80"/>
      <c r="G14" s="80"/>
      <c r="H14" s="65" t="s">
        <v>52</v>
      </c>
      <c r="I14" s="66" t="str">
        <f>'Necesidades Trimestrales'!F12</f>
        <v>UNIDAD</v>
      </c>
      <c r="J14" s="64">
        <f>'Necesidades Trimestrales'!H12</f>
        <v>415</v>
      </c>
      <c r="K14" s="63">
        <f>'Necesidades Trimestrales'!G12</f>
        <v>30</v>
      </c>
    </row>
    <row r="15" spans="1:11" ht="27.75" customHeight="1" x14ac:dyDescent="0.2">
      <c r="A15" s="61">
        <v>4</v>
      </c>
      <c r="B15" s="62" t="str">
        <f>'Necesidades Trimestrales'!B13</f>
        <v>2.9.5-2161.556</v>
      </c>
      <c r="C15" s="80" t="str">
        <f>'Necesidades Trimestrales'!E13</f>
        <v>CATETERES/SONDAS; NUMERO: SIN DATOS, TIPO: DOBLE P/LAVADO BRONCO ALVEOLAR P/DIAGNOSTICO NEUMONIA</v>
      </c>
      <c r="D15" s="80"/>
      <c r="E15" s="80"/>
      <c r="F15" s="80"/>
      <c r="G15" s="80"/>
      <c r="H15" s="65" t="s">
        <v>52</v>
      </c>
      <c r="I15" s="66" t="str">
        <f>'Necesidades Trimestrales'!F13</f>
        <v>UNIDAD</v>
      </c>
      <c r="J15" s="64">
        <f>'Necesidades Trimestrales'!H13</f>
        <v>8500</v>
      </c>
      <c r="K15" s="63">
        <f>'Necesidades Trimestrales'!G13</f>
        <v>30</v>
      </c>
    </row>
    <row r="16" spans="1:11" ht="27.75" customHeight="1" x14ac:dyDescent="0.2">
      <c r="A16" s="61">
        <v>5</v>
      </c>
      <c r="B16" s="62" t="str">
        <f>'Necesidades Trimestrales'!B14</f>
        <v>2.9.5-2161.590</v>
      </c>
      <c r="C16" s="80" t="str">
        <f>'Necesidades Trimestrales'!E14</f>
        <v>CATETERES/SONDAS; NUMERO: 9 FR X 15 CM TIPO DOBLE LUMEN HEMODIALISIS</v>
      </c>
      <c r="D16" s="80"/>
      <c r="E16" s="80"/>
      <c r="F16" s="80"/>
      <c r="G16" s="80"/>
      <c r="H16" s="65" t="s">
        <v>52</v>
      </c>
      <c r="I16" s="66" t="str">
        <f>'Necesidades Trimestrales'!F14</f>
        <v>UNIDAD</v>
      </c>
      <c r="J16" s="64">
        <f>'Necesidades Trimestrales'!H14</f>
        <v>29800</v>
      </c>
      <c r="K16" s="63">
        <f>'Necesidades Trimestrales'!G14</f>
        <v>3</v>
      </c>
    </row>
    <row r="17" spans="1:14" ht="27.75" customHeight="1" x14ac:dyDescent="0.2">
      <c r="A17" s="61">
        <v>6</v>
      </c>
      <c r="B17" s="62" t="str">
        <f>'Necesidades Trimestrales'!B15</f>
        <v>2.9.5-5294.5</v>
      </c>
      <c r="C17" s="80" t="str">
        <f>'Necesidades Trimestrales'!E15</f>
        <v>CERAS P/HUESOS; USO: HEMOSTASIA, PRESENTACION: UNIDAD ESTERIL DE 2,5 GR</v>
      </c>
      <c r="D17" s="80"/>
      <c r="E17" s="80"/>
      <c r="F17" s="80"/>
      <c r="G17" s="80"/>
      <c r="H17" s="65" t="s">
        <v>52</v>
      </c>
      <c r="I17" s="66" t="str">
        <f>'Necesidades Trimestrales'!F15</f>
        <v>UNIDAD</v>
      </c>
      <c r="J17" s="64">
        <f>'Necesidades Trimestrales'!H15</f>
        <v>488</v>
      </c>
      <c r="K17" s="63">
        <f>'Necesidades Trimestrales'!G15</f>
        <v>30</v>
      </c>
    </row>
    <row r="18" spans="1:14" ht="27.75" customHeight="1" x14ac:dyDescent="0.2">
      <c r="A18" s="61">
        <v>7</v>
      </c>
      <c r="B18" s="62" t="str">
        <f>'Necesidades Trimestrales'!B16</f>
        <v>2.9.5-6379.1</v>
      </c>
      <c r="C18" s="80" t="str">
        <f>'Necesidades Trimestrales'!E16</f>
        <v>CLAVIJAS DE CIRUGIA; TIPO: KIRSCHNER, MATERIAL: ACERO INOXIDABLE, DIAMETRO: 0,5 mm, PRESENTACION: UNIDAD</v>
      </c>
      <c r="D18" s="80"/>
      <c r="E18" s="80"/>
      <c r="F18" s="80"/>
      <c r="G18" s="80"/>
      <c r="H18" s="65" t="s">
        <v>52</v>
      </c>
      <c r="I18" s="66" t="str">
        <f>'Necesidades Trimestrales'!F16</f>
        <v>UNIDAD</v>
      </c>
      <c r="J18" s="64">
        <f>'Necesidades Trimestrales'!H16</f>
        <v>421.2</v>
      </c>
      <c r="K18" s="63">
        <f>'Necesidades Trimestrales'!G16</f>
        <v>30</v>
      </c>
    </row>
    <row r="19" spans="1:14" ht="27.75" customHeight="1" x14ac:dyDescent="0.2">
      <c r="A19" s="61">
        <v>8</v>
      </c>
      <c r="B19" s="62" t="str">
        <f>'Necesidades Trimestrales'!B17</f>
        <v>2.9.5-6379.2</v>
      </c>
      <c r="C19" s="80" t="str">
        <f>'Necesidades Trimestrales'!E17</f>
        <v>CLAVIJAS DE CIRUGIA; TIPO: KIRSCHNER, MATERIAL: ACERO INOXIDABLE, DIAMETRO: 1 mm, PRESENTACION: UNIDAD</v>
      </c>
      <c r="D19" s="80"/>
      <c r="E19" s="80"/>
      <c r="F19" s="80"/>
      <c r="G19" s="80"/>
      <c r="H19" s="65" t="s">
        <v>52</v>
      </c>
      <c r="I19" s="66" t="str">
        <f>'Necesidades Trimestrales'!F17</f>
        <v>UNIDAD</v>
      </c>
      <c r="J19" s="64">
        <f>'Necesidades Trimestrales'!H17</f>
        <v>390</v>
      </c>
      <c r="K19" s="63">
        <f>'Necesidades Trimestrales'!G17</f>
        <v>30</v>
      </c>
    </row>
    <row r="20" spans="1:14" ht="27.75" customHeight="1" x14ac:dyDescent="0.2">
      <c r="A20" s="61">
        <v>9</v>
      </c>
      <c r="B20" s="62" t="str">
        <f>'Necesidades Trimestrales'!B18</f>
        <v>2.9.5-6379.3</v>
      </c>
      <c r="C20" s="80" t="str">
        <f>'Necesidades Trimestrales'!E18</f>
        <v>CLAVIJAS DE CIRUGIA; TIPO: KIRSCHNER, MATERIAL: ACERO INOXIDABLE, DIAMETRO: 1,5 mm, PRESENTACION: UNIDAD</v>
      </c>
      <c r="D20" s="80"/>
      <c r="E20" s="80"/>
      <c r="F20" s="80"/>
      <c r="G20" s="80"/>
      <c r="H20" s="65" t="s">
        <v>52</v>
      </c>
      <c r="I20" s="66" t="str">
        <f>'Necesidades Trimestrales'!F18</f>
        <v>UNIDAD</v>
      </c>
      <c r="J20" s="64">
        <f>'Necesidades Trimestrales'!H18</f>
        <v>395</v>
      </c>
      <c r="K20" s="63">
        <f>'Necesidades Trimestrales'!G18</f>
        <v>30</v>
      </c>
    </row>
    <row r="21" spans="1:14" ht="27.75" customHeight="1" x14ac:dyDescent="0.2">
      <c r="A21" s="61">
        <v>10</v>
      </c>
      <c r="B21" s="62" t="str">
        <f>'Necesidades Trimestrales'!B19</f>
        <v>2.9.5-448.45</v>
      </c>
      <c r="C21" s="80" t="str">
        <f>'Necesidades Trimestrales'!E19</f>
        <v>FRASCOS ESTERILES; CAPACIDAD: 2500 mL, PRESENTACION: UNIDAD, GRABADO: SIN, USO: DRENAJE</v>
      </c>
      <c r="D21" s="80"/>
      <c r="E21" s="80"/>
      <c r="F21" s="80"/>
      <c r="G21" s="80"/>
      <c r="H21" s="65" t="s">
        <v>52</v>
      </c>
      <c r="I21" s="66" t="str">
        <f>'Necesidades Trimestrales'!F19</f>
        <v>UNIDAD</v>
      </c>
      <c r="J21" s="64">
        <f>'Necesidades Trimestrales'!H19</f>
        <v>1250</v>
      </c>
      <c r="K21" s="63">
        <f>'Necesidades Trimestrales'!G19</f>
        <v>50</v>
      </c>
    </row>
    <row r="22" spans="1:14" ht="27.75" customHeight="1" x14ac:dyDescent="0.2">
      <c r="A22" s="61">
        <v>11</v>
      </c>
      <c r="B22" s="62" t="str">
        <f>'Necesidades Trimestrales'!B20</f>
        <v>2.9.5-448.95</v>
      </c>
      <c r="C22" s="80" t="str">
        <f>'Necesidades Trimestrales'!E20</f>
        <v>FRASCOS ESTERILES; CAPACIDAD: 750 CC, PRESENTACION: UNIDAD, GRABADO: SIN, USO: BITUBULADO DRENAJE</v>
      </c>
      <c r="D22" s="80"/>
      <c r="E22" s="80"/>
      <c r="F22" s="80"/>
      <c r="G22" s="80"/>
      <c r="H22" s="65" t="s">
        <v>52</v>
      </c>
      <c r="I22" s="66" t="str">
        <f>'Necesidades Trimestrales'!F20</f>
        <v>UNIDAD</v>
      </c>
      <c r="J22" s="64">
        <f>'Necesidades Trimestrales'!H20</f>
        <v>330</v>
      </c>
      <c r="K22" s="63">
        <f>'Necesidades Trimestrales'!G20</f>
        <v>50</v>
      </c>
    </row>
    <row r="23" spans="1:14" ht="27.75" customHeight="1" x14ac:dyDescent="0.2">
      <c r="A23" s="61">
        <v>12</v>
      </c>
      <c r="B23" s="62" t="str">
        <f>'Necesidades Trimestrales'!B21</f>
        <v>2.9.5-6520.1</v>
      </c>
      <c r="C23" s="80" t="str">
        <f>'Necesidades Trimestrales'!E21</f>
        <v>TRADUCTORES DE PRESION; USO: P/MEDIR PRESION ARTERIAL</v>
      </c>
      <c r="D23" s="80"/>
      <c r="E23" s="80"/>
      <c r="F23" s="80"/>
      <c r="G23" s="80"/>
      <c r="H23" s="65" t="s">
        <v>52</v>
      </c>
      <c r="I23" s="66" t="str">
        <f>'Necesidades Trimestrales'!F21</f>
        <v>UNIDAD</v>
      </c>
      <c r="J23" s="64">
        <f>'Necesidades Trimestrales'!H21</f>
        <v>3200</v>
      </c>
      <c r="K23" s="63">
        <f>'Necesidades Trimestrales'!G21</f>
        <v>100</v>
      </c>
    </row>
    <row r="24" spans="1:14" ht="27.75" customHeight="1" x14ac:dyDescent="0.2">
      <c r="A24" s="61">
        <v>13</v>
      </c>
      <c r="B24" s="62" t="str">
        <f>'Necesidades Trimestrales'!B22</f>
        <v>2.9.5-2161.566</v>
      </c>
      <c r="C24" s="80" t="str">
        <f>'Necesidades Trimestrales'!E22</f>
        <v>CATÉTERES/SONDAS; NÚMERO: 5 FRENCH 30 CM.; TIPO: P/VÍA CENTRAL DOBLE LUMEN</v>
      </c>
      <c r="D24" s="80"/>
      <c r="E24" s="80"/>
      <c r="F24" s="80"/>
      <c r="G24" s="80"/>
      <c r="H24" s="65" t="s">
        <v>52</v>
      </c>
      <c r="I24" s="66" t="str">
        <f>'Necesidades Trimestrales'!F22</f>
        <v>UNIDAD</v>
      </c>
      <c r="J24" s="64">
        <f>'Necesidades Trimestrales'!H22</f>
        <v>8175</v>
      </c>
      <c r="K24" s="63">
        <f>'Necesidades Trimestrales'!G22</f>
        <v>100</v>
      </c>
    </row>
    <row r="25" spans="1:14" ht="27.75" customHeight="1" x14ac:dyDescent="0.2">
      <c r="A25" s="61">
        <v>14</v>
      </c>
      <c r="B25" s="62" t="str">
        <f>'Necesidades Trimestrales'!B23</f>
        <v>2.9.5-2161.549</v>
      </c>
      <c r="C25" s="80" t="str">
        <f>'Necesidades Trimestrales'!E23</f>
        <v>CATETERES/SONDAS; NUMERO: 10 FR, TIPO: GASTRICA SILICONA 100% CON LÍNEA RADIOPACA</v>
      </c>
      <c r="D25" s="80"/>
      <c r="E25" s="80"/>
      <c r="F25" s="80"/>
      <c r="G25" s="80"/>
      <c r="H25" s="65" t="s">
        <v>52</v>
      </c>
      <c r="I25" s="66" t="str">
        <f>'Necesidades Trimestrales'!F23</f>
        <v>UNIDAD</v>
      </c>
      <c r="J25" s="64">
        <f>'Necesidades Trimestrales'!H23</f>
        <v>1658.8</v>
      </c>
      <c r="K25" s="63">
        <f>'Necesidades Trimestrales'!G23</f>
        <v>200</v>
      </c>
    </row>
    <row r="26" spans="1:14" ht="27.75" customHeight="1" x14ac:dyDescent="0.2">
      <c r="A26" s="61">
        <v>15</v>
      </c>
      <c r="B26" s="62" t="str">
        <f>'Necesidades Trimestrales'!B24</f>
        <v>2.9.5-2161.550</v>
      </c>
      <c r="C26" s="80" t="str">
        <f>'Necesidades Trimestrales'!E24</f>
        <v>CATETERES/SONDAS; NUMERO: 7 FR, TIPO: GASTRICA SILICONA 100% CON LÍNEA RADIOPACA</v>
      </c>
      <c r="D26" s="80"/>
      <c r="E26" s="80"/>
      <c r="F26" s="80"/>
      <c r="G26" s="80"/>
      <c r="H26" s="65" t="s">
        <v>52</v>
      </c>
      <c r="I26" s="66" t="str">
        <f>'Necesidades Trimestrales'!F24</f>
        <v>UNIDAD</v>
      </c>
      <c r="J26" s="64">
        <f>'Necesidades Trimestrales'!H24</f>
        <v>1658.8</v>
      </c>
      <c r="K26" s="63">
        <f>'Necesidades Trimestrales'!G24</f>
        <v>200</v>
      </c>
    </row>
    <row r="27" spans="1:14" ht="27.75" customHeight="1" x14ac:dyDescent="0.2">
      <c r="A27" s="61">
        <v>16</v>
      </c>
      <c r="B27" s="62" t="str">
        <f>'Necesidades Trimestrales'!B25</f>
        <v>2.9.5-2161.551</v>
      </c>
      <c r="C27" s="80" t="str">
        <f>'Necesidades Trimestrales'!E25</f>
        <v>CATETERES/SONDAS; NUMERO: 9 FR, TIPO: GASTRICA SILICONA 100% CON LÍNEA RADIOPACA</v>
      </c>
      <c r="D27" s="80"/>
      <c r="E27" s="80"/>
      <c r="F27" s="80"/>
      <c r="G27" s="80"/>
      <c r="H27" s="65" t="s">
        <v>52</v>
      </c>
      <c r="I27" s="66" t="str">
        <f>'Necesidades Trimestrales'!F25</f>
        <v>UNIDAD</v>
      </c>
      <c r="J27" s="64">
        <f>'Necesidades Trimestrales'!H25</f>
        <v>1658.8</v>
      </c>
      <c r="K27" s="63">
        <f>'Necesidades Trimestrales'!G25</f>
        <v>200</v>
      </c>
    </row>
    <row r="28" spans="1:14" ht="27.75" customHeight="1" x14ac:dyDescent="0.2">
      <c r="A28" s="61">
        <v>17</v>
      </c>
      <c r="B28" s="62" t="str">
        <f>'Necesidades Trimestrales'!B26</f>
        <v>2.9.5-2161.159</v>
      </c>
      <c r="C28" s="80" t="str">
        <f>'Necesidades Trimestrales'!E26</f>
        <v>CATETERES/SONDAS; NUMERO: K108, TIPO: ALIMENTACION ENTERAL</v>
      </c>
      <c r="D28" s="80"/>
      <c r="E28" s="80"/>
      <c r="F28" s="80"/>
      <c r="G28" s="80"/>
      <c r="H28" s="65" t="s">
        <v>52</v>
      </c>
      <c r="I28" s="66" t="str">
        <f>'Necesidades Trimestrales'!F26</f>
        <v>UNIDAD</v>
      </c>
      <c r="J28" s="64">
        <f>'Necesidades Trimestrales'!H26</f>
        <v>10500</v>
      </c>
      <c r="K28" s="63">
        <f>'Necesidades Trimestrales'!G26</f>
        <v>10</v>
      </c>
    </row>
    <row r="29" spans="1:14" ht="27.75" customHeight="1" x14ac:dyDescent="0.2">
      <c r="A29" s="61">
        <v>18</v>
      </c>
      <c r="B29" s="62" t="str">
        <f>'Necesidades Trimestrales'!B27</f>
        <v>2.9.5-2161.584</v>
      </c>
      <c r="C29" s="80" t="str">
        <f>'Necesidades Trimestrales'!E27</f>
        <v>CATETERES/SONDAS; NUMERO: 10 FR, TIPO: SILICONA TRANSPILORICA C/LASTRE Y MAND.</v>
      </c>
      <c r="D29" s="80"/>
      <c r="E29" s="80"/>
      <c r="F29" s="80"/>
      <c r="G29" s="80"/>
      <c r="H29" s="65" t="s">
        <v>52</v>
      </c>
      <c r="I29" s="66" t="str">
        <f>'Necesidades Trimestrales'!F27</f>
        <v>UNIDAD</v>
      </c>
      <c r="J29" s="64">
        <f>'Necesidades Trimestrales'!H27</f>
        <v>7051.5</v>
      </c>
      <c r="K29" s="63">
        <f>'Necesidades Trimestrales'!G27</f>
        <v>10</v>
      </c>
    </row>
    <row r="30" spans="1:14" ht="27.75" customHeight="1" x14ac:dyDescent="0.2">
      <c r="A30" s="61">
        <v>19</v>
      </c>
      <c r="B30" s="62" t="str">
        <f>'Necesidades Trimestrales'!B28</f>
        <v>2.9.5-6286.5</v>
      </c>
      <c r="C30" s="80" t="str">
        <f>'Necesidades Trimestrales'!E28</f>
        <v>HEMOSTATICOS ABSORBIBLES; TIPO: SURGIEL, MEDIDA: 5 X 7,5 Cm, PRESENTACION: UNIDAD</v>
      </c>
      <c r="D30" s="80"/>
      <c r="E30" s="80"/>
      <c r="F30" s="80"/>
      <c r="G30" s="80"/>
      <c r="H30" s="65" t="s">
        <v>52</v>
      </c>
      <c r="I30" s="66" t="str">
        <f>'Necesidades Trimestrales'!F28</f>
        <v>UNIDAD</v>
      </c>
      <c r="J30" s="64">
        <f>'Necesidades Trimestrales'!H28</f>
        <v>4900</v>
      </c>
      <c r="K30" s="63">
        <f>'Necesidades Trimestrales'!G28</f>
        <v>20</v>
      </c>
    </row>
    <row r="31" spans="1:14" ht="27.75" customHeight="1" x14ac:dyDescent="0.2">
      <c r="A31" s="61">
        <v>20</v>
      </c>
      <c r="B31" s="62" t="str">
        <f>'Necesidades Trimestrales'!B29</f>
        <v>2.9.5-441.473</v>
      </c>
      <c r="C31" s="80" t="str">
        <f>'Necesidades Trimestrales'!E29</f>
        <v>AGUJAS QUIRURGICAS; TIPO: P/BIOPSIA MEDULA OSEA, ESPECIFICACION: 11G X 10 mm, PRESENTACION: UNIDAD</v>
      </c>
      <c r="D31" s="80"/>
      <c r="E31" s="80"/>
      <c r="F31" s="80"/>
      <c r="G31" s="80"/>
      <c r="H31" s="65" t="s">
        <v>52</v>
      </c>
      <c r="I31" s="66" t="str">
        <f>'Necesidades Trimestrales'!F29</f>
        <v>UNIDAD</v>
      </c>
      <c r="J31" s="64">
        <f>'Necesidades Trimestrales'!H29</f>
        <v>3100</v>
      </c>
      <c r="K31" s="63">
        <f>'Necesidades Trimestrales'!G29</f>
        <v>20</v>
      </c>
      <c r="N31" s="36" t="s">
        <v>53</v>
      </c>
    </row>
    <row r="32" spans="1:14" ht="27.75" customHeight="1" x14ac:dyDescent="0.2">
      <c r="A32" s="61">
        <v>21</v>
      </c>
      <c r="B32" s="62" t="str">
        <f>'Necesidades Trimestrales'!B30</f>
        <v>2.9.5-441.474</v>
      </c>
      <c r="C32" s="80" t="str">
        <f>'Necesidades Trimestrales'!E30</f>
        <v>AGUJAS QUIRURGICAS; TIPO: P/BIOPSIA MEDULA OSEA, ESPECIFICACION: 8G X 15 mm, PRESENTACION: UNIDAD</v>
      </c>
      <c r="D32" s="80"/>
      <c r="E32" s="80"/>
      <c r="F32" s="80"/>
      <c r="G32" s="80"/>
      <c r="H32" s="65" t="s">
        <v>52</v>
      </c>
      <c r="I32" s="66" t="str">
        <f>'Necesidades Trimestrales'!F30</f>
        <v>UNIDAD</v>
      </c>
      <c r="J32" s="64">
        <f>'Necesidades Trimestrales'!H30</f>
        <v>3100</v>
      </c>
      <c r="K32" s="63">
        <f>'Necesidades Trimestrales'!G30</f>
        <v>20</v>
      </c>
    </row>
    <row r="33" spans="1:14" ht="27.75" customHeight="1" x14ac:dyDescent="0.2">
      <c r="A33" s="61">
        <v>22</v>
      </c>
      <c r="B33" s="62" t="str">
        <f>'Necesidades Trimestrales'!B31</f>
        <v>2.9.5-441.475</v>
      </c>
      <c r="C33" s="80" t="str">
        <f>'Necesidades Trimestrales'!E31</f>
        <v>AGUJAS QUIRURGICAS; TIPO: PUNCION Y ASP. DE MEDULA OSEA, ESPECIFICACION: 18G, PRESENTACION: POR UNIDAD</v>
      </c>
      <c r="D33" s="80"/>
      <c r="E33" s="80"/>
      <c r="F33" s="80"/>
      <c r="G33" s="80"/>
      <c r="H33" s="65" t="s">
        <v>52</v>
      </c>
      <c r="I33" s="66" t="str">
        <f>'Necesidades Trimestrales'!F31</f>
        <v>UNIDAD</v>
      </c>
      <c r="J33" s="64">
        <f>'Necesidades Trimestrales'!H31</f>
        <v>3100</v>
      </c>
      <c r="K33" s="63">
        <f>'Necesidades Trimestrales'!G31</f>
        <v>20</v>
      </c>
    </row>
    <row r="34" spans="1:14" ht="27.75" customHeight="1" x14ac:dyDescent="0.2">
      <c r="A34" s="61">
        <v>23</v>
      </c>
      <c r="B34" s="62" t="str">
        <f>'Necesidades Trimestrales'!B32</f>
        <v>2.9.5-441.476</v>
      </c>
      <c r="C34" s="80" t="str">
        <f>'Necesidades Trimestrales'!E32</f>
        <v>AGUJAS QUIRURGICAS; TIPO: PUNCION Y ASP. DE MEDULA OSEA, ESPECIFICACION: 16G, PRESENTACION: POR UNIDAD</v>
      </c>
      <c r="D34" s="80"/>
      <c r="E34" s="80"/>
      <c r="F34" s="80"/>
      <c r="G34" s="80"/>
      <c r="H34" s="65" t="s">
        <v>52</v>
      </c>
      <c r="I34" s="66" t="str">
        <f>'Necesidades Trimestrales'!F32</f>
        <v>UNIDAD</v>
      </c>
      <c r="J34" s="64">
        <f>'Necesidades Trimestrales'!H32</f>
        <v>3100</v>
      </c>
      <c r="K34" s="63">
        <f>'Necesidades Trimestrales'!G32</f>
        <v>20</v>
      </c>
    </row>
    <row r="35" spans="1:14" ht="27.75" customHeight="1" x14ac:dyDescent="0.2">
      <c r="A35" s="61">
        <v>24</v>
      </c>
      <c r="B35" s="62" t="str">
        <f>'Necesidades Trimestrales'!B33</f>
        <v>2.9.5-6700.5</v>
      </c>
      <c r="C35" s="80" t="str">
        <f>'Necesidades Trimestrales'!E33</f>
        <v>TROCAR DE PUNCION; USO: PUNCION TORAXICO, TIPO: N°10, CAMISA: SIN</v>
      </c>
      <c r="D35" s="80"/>
      <c r="E35" s="80"/>
      <c r="F35" s="80"/>
      <c r="G35" s="80"/>
      <c r="H35" s="65" t="s">
        <v>52</v>
      </c>
      <c r="I35" s="66" t="str">
        <f>'Necesidades Trimestrales'!F33</f>
        <v>UNIDAD</v>
      </c>
      <c r="J35" s="64">
        <f>'Necesidades Trimestrales'!H33</f>
        <v>1350</v>
      </c>
      <c r="K35" s="63">
        <f>'Necesidades Trimestrales'!G33</f>
        <v>10</v>
      </c>
    </row>
    <row r="36" spans="1:14" ht="27.75" customHeight="1" x14ac:dyDescent="0.2">
      <c r="A36" s="61">
        <v>25</v>
      </c>
      <c r="B36" s="62" t="str">
        <f>'Necesidades Trimestrales'!B34</f>
        <v>2.9.5-6700.4</v>
      </c>
      <c r="C36" s="80" t="str">
        <f>'Necesidades Trimestrales'!E34</f>
        <v>TROCAR DE PUNCION; USO: PUNCION TORAXICO, TIPO: N°12, CAMISA: SIN</v>
      </c>
      <c r="D36" s="80"/>
      <c r="E36" s="80"/>
      <c r="F36" s="80"/>
      <c r="G36" s="80"/>
      <c r="H36" s="65" t="s">
        <v>52</v>
      </c>
      <c r="I36" s="66" t="str">
        <f>'Necesidades Trimestrales'!F34</f>
        <v>UNIDAD</v>
      </c>
      <c r="J36" s="64">
        <f>'Necesidades Trimestrales'!H34</f>
        <v>1350</v>
      </c>
      <c r="K36" s="63">
        <f>'Necesidades Trimestrales'!G34</f>
        <v>10</v>
      </c>
    </row>
    <row r="37" spans="1:14" ht="27.75" customHeight="1" x14ac:dyDescent="0.2">
      <c r="A37" s="61">
        <v>26</v>
      </c>
      <c r="B37" s="62" t="str">
        <f>'Necesidades Trimestrales'!B35</f>
        <v>2.9.5-6700.28</v>
      </c>
      <c r="C37" s="80" t="str">
        <f>'Necesidades Trimestrales'!E35</f>
        <v>TROCAR DE PUNCION; USO: PUNCION TORAXICA, TIPO: Nº 14, CAMISA: SIN</v>
      </c>
      <c r="D37" s="80"/>
      <c r="E37" s="80"/>
      <c r="F37" s="80"/>
      <c r="G37" s="80"/>
      <c r="H37" s="65" t="s">
        <v>52</v>
      </c>
      <c r="I37" s="66" t="str">
        <f>'Necesidades Trimestrales'!F35</f>
        <v>UNIDAD</v>
      </c>
      <c r="J37" s="64">
        <f>'Necesidades Trimestrales'!H35</f>
        <v>1350</v>
      </c>
      <c r="K37" s="63">
        <f>'Necesidades Trimestrales'!G35</f>
        <v>10</v>
      </c>
    </row>
    <row r="38" spans="1:14" ht="27.75" customHeight="1" x14ac:dyDescent="0.2">
      <c r="A38" s="61">
        <v>27</v>
      </c>
      <c r="B38" s="62" t="str">
        <f>'Necesidades Trimestrales'!B36</f>
        <v>2.9.5-6700.3</v>
      </c>
      <c r="C38" s="80" t="str">
        <f>'Necesidades Trimestrales'!E36</f>
        <v>TROCAR DE PUNCION; USO: PUNCION TORAXICO, TIPO: N°16 FR, CAMISA: SIN</v>
      </c>
      <c r="D38" s="80"/>
      <c r="E38" s="80"/>
      <c r="F38" s="80"/>
      <c r="G38" s="80"/>
      <c r="H38" s="65" t="s">
        <v>52</v>
      </c>
      <c r="I38" s="66" t="str">
        <f>'Necesidades Trimestrales'!F36</f>
        <v>UNIDAD</v>
      </c>
      <c r="J38" s="64">
        <f>'Necesidades Trimestrales'!H36</f>
        <v>1350</v>
      </c>
      <c r="K38" s="63">
        <f>'Necesidades Trimestrales'!G36</f>
        <v>10</v>
      </c>
    </row>
    <row r="39" spans="1:14" ht="27.75" customHeight="1" x14ac:dyDescent="0.2">
      <c r="A39" s="61">
        <v>28</v>
      </c>
      <c r="B39" s="62" t="str">
        <f>'Necesidades Trimestrales'!B37</f>
        <v>2.9.5-6700.27</v>
      </c>
      <c r="C39" s="80" t="str">
        <f>'Necesidades Trimestrales'!E37</f>
        <v>TROCAR DE PUNCION; USO: PUNCION TORAXICA, TIPO: N° 18 FR, CAMISA: SIN</v>
      </c>
      <c r="D39" s="80"/>
      <c r="E39" s="80"/>
      <c r="F39" s="80"/>
      <c r="G39" s="80"/>
      <c r="H39" s="65" t="s">
        <v>52</v>
      </c>
      <c r="I39" s="66" t="str">
        <f>'Necesidades Trimestrales'!F37</f>
        <v>UNIDAD</v>
      </c>
      <c r="J39" s="64">
        <f>'Necesidades Trimestrales'!H37</f>
        <v>1350</v>
      </c>
      <c r="K39" s="63">
        <f>'Necesidades Trimestrales'!G37</f>
        <v>10</v>
      </c>
    </row>
    <row r="40" spans="1:14" ht="27.75" customHeight="1" x14ac:dyDescent="0.2">
      <c r="A40" s="61">
        <v>29</v>
      </c>
      <c r="B40" s="62" t="str">
        <f>'Necesidades Trimestrales'!B38</f>
        <v>2.9.5-6700.17</v>
      </c>
      <c r="C40" s="80" t="str">
        <f>'Necesidades Trimestrales'!E38</f>
        <v>TROCAR DE PUNCION; USO: PUNCION TORAXICO, TIPO: Nº20 FR, CAMISA: SIN</v>
      </c>
      <c r="D40" s="80"/>
      <c r="E40" s="80"/>
      <c r="F40" s="80"/>
      <c r="G40" s="80"/>
      <c r="H40" s="65" t="s">
        <v>52</v>
      </c>
      <c r="I40" s="66" t="str">
        <f>'Necesidades Trimestrales'!F38</f>
        <v>UNIDAD</v>
      </c>
      <c r="J40" s="64">
        <f>'Necesidades Trimestrales'!H38</f>
        <v>1350</v>
      </c>
      <c r="K40" s="63">
        <f>'Necesidades Trimestrales'!G38</f>
        <v>10</v>
      </c>
    </row>
    <row r="41" spans="1:14" ht="27.75" customHeight="1" x14ac:dyDescent="0.2">
      <c r="A41" s="61">
        <v>30</v>
      </c>
      <c r="B41" s="62" t="str">
        <f>'Necesidades Trimestrales'!B39</f>
        <v>2.9.5-6700.30</v>
      </c>
      <c r="C41" s="80" t="str">
        <f>'Necesidades Trimestrales'!E39</f>
        <v>TROCAR DE PUNCION; USO: PUNCION TORAXICO, TIPO: N° 22 FR, CAMISA: SIN</v>
      </c>
      <c r="D41" s="80"/>
      <c r="E41" s="80"/>
      <c r="F41" s="80"/>
      <c r="G41" s="80"/>
      <c r="H41" s="65" t="s">
        <v>52</v>
      </c>
      <c r="I41" s="66" t="str">
        <f>'Necesidades Trimestrales'!F39</f>
        <v>UNIDAD</v>
      </c>
      <c r="J41" s="64">
        <f>'Necesidades Trimestrales'!H39</f>
        <v>1350</v>
      </c>
      <c r="K41" s="63">
        <f>'Necesidades Trimestrales'!G39</f>
        <v>10</v>
      </c>
    </row>
    <row r="42" spans="1:14" ht="27.75" customHeight="1" x14ac:dyDescent="0.2">
      <c r="A42" s="61">
        <v>31</v>
      </c>
      <c r="B42" s="62" t="str">
        <f>'Necesidades Trimestrales'!B40</f>
        <v>2.9.5-6700.26</v>
      </c>
      <c r="C42" s="80" t="str">
        <f>'Necesidades Trimestrales'!E40</f>
        <v>TROCAR DE PUNCION; USO: PUNCION TORAXICA, TIPO: N° 24 FR, CAMISA: SIN</v>
      </c>
      <c r="D42" s="80"/>
      <c r="E42" s="80"/>
      <c r="F42" s="80"/>
      <c r="G42" s="80"/>
      <c r="H42" s="65" t="s">
        <v>52</v>
      </c>
      <c r="I42" s="66" t="str">
        <f>'Necesidades Trimestrales'!F40</f>
        <v>UNIDAD</v>
      </c>
      <c r="J42" s="64">
        <f>'Necesidades Trimestrales'!H40</f>
        <v>1350</v>
      </c>
      <c r="K42" s="63">
        <f>'Necesidades Trimestrales'!G40</f>
        <v>10</v>
      </c>
    </row>
    <row r="43" spans="1:14" ht="27.75" customHeight="1" x14ac:dyDescent="0.2">
      <c r="A43" s="61">
        <v>32</v>
      </c>
      <c r="B43" s="62" t="str">
        <f>'Necesidades Trimestrales'!B41</f>
        <v>2.9.5-6700.31</v>
      </c>
      <c r="C43" s="80" t="str">
        <f>'Necesidades Trimestrales'!E41</f>
        <v>TROCAR DE PUNCION; USO: PUNCION TORAXICO, TIPO: N° 28 FR, CAMISA: SIN</v>
      </c>
      <c r="D43" s="80"/>
      <c r="E43" s="80"/>
      <c r="F43" s="80"/>
      <c r="G43" s="80"/>
      <c r="H43" s="65" t="s">
        <v>52</v>
      </c>
      <c r="I43" s="66" t="str">
        <f>'Necesidades Trimestrales'!F41</f>
        <v>UNIDAD</v>
      </c>
      <c r="J43" s="64">
        <f>'Necesidades Trimestrales'!H41</f>
        <v>1350</v>
      </c>
      <c r="K43" s="63">
        <f>'Necesidades Trimestrales'!G41</f>
        <v>10</v>
      </c>
    </row>
    <row r="44" spans="1:14" ht="27.75" customHeight="1" thickBot="1" x14ac:dyDescent="0.25">
      <c r="A44" s="61">
        <v>33</v>
      </c>
      <c r="B44" s="62" t="str">
        <f>'Necesidades Trimestrales'!B42</f>
        <v>2.9.5-6700.2</v>
      </c>
      <c r="C44" s="80" t="str">
        <f>'Necesidades Trimestrales'!E42</f>
        <v>TROCAR DE PUNCION; USO: PUNCION TORAXICO, TIPO: N°8, CAMISA: SIN</v>
      </c>
      <c r="D44" s="80"/>
      <c r="E44" s="80"/>
      <c r="F44" s="80"/>
      <c r="G44" s="80"/>
      <c r="H44" s="65" t="s">
        <v>52</v>
      </c>
      <c r="I44" s="66" t="str">
        <f>'Necesidades Trimestrales'!F42</f>
        <v>UNIDAD</v>
      </c>
      <c r="J44" s="64">
        <f>'Necesidades Trimestrales'!H42</f>
        <v>1350</v>
      </c>
      <c r="K44" s="63">
        <f>'Necesidades Trimestrales'!G42</f>
        <v>10</v>
      </c>
    </row>
    <row r="45" spans="1:14" ht="20.25" customHeight="1" thickBot="1" x14ac:dyDescent="0.25">
      <c r="A45" s="81" t="s">
        <v>135</v>
      </c>
      <c r="B45" s="81"/>
      <c r="C45" s="81"/>
      <c r="D45" s="81"/>
      <c r="E45" s="81"/>
      <c r="F45" s="81"/>
      <c r="G45" s="81"/>
      <c r="H45" s="81"/>
      <c r="I45" s="81"/>
      <c r="J45" s="82">
        <f>SUMPRODUCT(J12:J44,K12:K44)</f>
        <v>3302221</v>
      </c>
      <c r="K45" s="82"/>
      <c r="N45" s="47"/>
    </row>
  </sheetData>
  <mergeCells count="55">
    <mergeCell ref="C42:G42"/>
    <mergeCell ref="C43:G43"/>
    <mergeCell ref="C44:G44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31:G31"/>
    <mergeCell ref="C25:G25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45:I45"/>
    <mergeCell ref="J45:K4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0" t="s">
        <v>3</v>
      </c>
      <c r="B1" s="120"/>
      <c r="C1" s="120"/>
      <c r="D1" s="121">
        <f>'Necesidades Trimestrales'!C6</f>
        <v>2022</v>
      </c>
      <c r="E1" s="121"/>
      <c r="F1" s="3"/>
      <c r="G1" s="3"/>
      <c r="H1" s="4"/>
      <c r="I1" s="4"/>
      <c r="J1" s="4"/>
      <c r="K1" s="4"/>
      <c r="L1" s="4"/>
      <c r="M1" s="4"/>
      <c r="N1" s="4"/>
      <c r="P1" s="122" t="s">
        <v>25</v>
      </c>
      <c r="Q1" s="122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2"/>
      <c r="Q2" s="122"/>
    </row>
    <row r="4" spans="1:17" s="5" customFormat="1" ht="18" customHeight="1" thickBot="1" x14ac:dyDescent="0.25">
      <c r="A4" s="123" t="s">
        <v>26</v>
      </c>
      <c r="B4" s="123"/>
      <c r="C4" s="123"/>
      <c r="D4" s="123"/>
      <c r="E4" s="123"/>
      <c r="F4" s="123"/>
      <c r="G4" s="118" t="str">
        <f>' NotaPedido'!D3</f>
        <v>40 - Ministerio de Salud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7" s="5" customFormat="1" ht="18" customHeight="1" thickBot="1" x14ac:dyDescent="0.25">
      <c r="A5" s="115" t="s">
        <v>49</v>
      </c>
      <c r="B5" s="116"/>
      <c r="C5" s="116"/>
      <c r="D5" s="116"/>
      <c r="E5" s="116"/>
      <c r="F5" s="117"/>
      <c r="G5" s="118" t="str">
        <f>' NotaPedido'!D4</f>
        <v>24 - Direccion de Administracion del Hospital Interzonal de Niños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7" s="5" customFormat="1" ht="18" customHeight="1" thickBot="1" x14ac:dyDescent="0.25">
      <c r="A6" s="115" t="s">
        <v>27</v>
      </c>
      <c r="B6" s="116"/>
      <c r="C6" s="116"/>
      <c r="D6" s="116"/>
      <c r="E6" s="116"/>
      <c r="F6" s="117"/>
      <c r="G6" s="118" t="str">
        <f>' NotaPedido'!D5</f>
        <v>24 - Direccion de Administracion del Hospital Interzonal de Niños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7" s="5" customFormat="1" ht="18" customHeight="1" thickBot="1" x14ac:dyDescent="0.25">
      <c r="A7" s="115" t="s">
        <v>50</v>
      </c>
      <c r="B7" s="116"/>
      <c r="C7" s="116"/>
      <c r="D7" s="116"/>
      <c r="E7" s="116"/>
      <c r="F7" s="117"/>
      <c r="G7" s="118" t="s">
        <v>54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7" ht="18" customHeight="1" thickBot="1" x14ac:dyDescent="0.25">
      <c r="A8" s="119" t="s">
        <v>28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7" ht="18" customHeight="1" x14ac:dyDescent="0.2">
      <c r="A9" s="104" t="s">
        <v>29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"/>
      <c r="P9" s="1"/>
      <c r="Q9" s="6"/>
    </row>
    <row r="10" spans="1:17" ht="54.75" customHeight="1" x14ac:dyDescent="0.2">
      <c r="A10" s="10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072/2022,  afectando la erogación resultante a los créditos presupuestarios aprobados a favor de esta Unidad Ejecutora, conforme al siguiente detalle: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06" t="s">
        <v>30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1:17" ht="15.75" customHeight="1" thickBot="1" x14ac:dyDescent="0.25">
      <c r="A13" s="107" t="s">
        <v>31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32</v>
      </c>
      <c r="P13" s="110"/>
      <c r="Q13" s="113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11"/>
      <c r="P14" s="112"/>
      <c r="Q14" s="114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5</v>
      </c>
      <c r="K15" s="49">
        <v>2</v>
      </c>
      <c r="L15" s="49"/>
      <c r="M15" s="50">
        <v>1</v>
      </c>
      <c r="N15" s="51" t="s">
        <v>51</v>
      </c>
      <c r="O15" s="97" t="s">
        <v>62</v>
      </c>
      <c r="P15" s="97"/>
      <c r="Q15" s="57">
        <v>14640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12">
        <v>2</v>
      </c>
      <c r="J16" s="12">
        <v>9</v>
      </c>
      <c r="K16" s="12">
        <v>5</v>
      </c>
      <c r="L16" s="12"/>
      <c r="M16" s="13">
        <v>1</v>
      </c>
      <c r="N16" s="58" t="s">
        <v>51</v>
      </c>
      <c r="O16" s="98" t="s">
        <v>56</v>
      </c>
      <c r="P16" s="99"/>
      <c r="Q16" s="15">
        <f>3302221-14640</f>
        <v>3287581</v>
      </c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92"/>
      <c r="P17" s="92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92"/>
      <c r="P18" s="92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93"/>
      <c r="P19" s="93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94"/>
      <c r="P20" s="94"/>
      <c r="Q20" s="24"/>
    </row>
    <row r="21" spans="1:18" ht="29.25" customHeight="1" x14ac:dyDescent="0.2">
      <c r="A21" s="95" t="s">
        <v>134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25">
        <f>SUM(Q15:Q20)</f>
        <v>3302221</v>
      </c>
    </row>
    <row r="22" spans="1:18" ht="18" customHeight="1" thickBot="1" x14ac:dyDescent="0.2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</row>
    <row r="23" spans="1:18" ht="17.25" customHeight="1" thickBot="1" x14ac:dyDescent="0.25">
      <c r="A23" s="100" t="s">
        <v>47</v>
      </c>
      <c r="B23" s="101"/>
      <c r="C23" s="101"/>
      <c r="D23" s="101"/>
      <c r="E23" s="101"/>
      <c r="F23" s="102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</row>
    <row r="24" spans="1:18" ht="18" customHeight="1" thickBot="1" x14ac:dyDescent="0.25">
      <c r="A24" s="91" t="s">
        <v>60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</row>
    <row r="25" spans="1:18" ht="26.25" customHeight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2021-11-08T15:21:02Z</cp:lastPrinted>
  <dcterms:created xsi:type="dcterms:W3CDTF">2020-07-17T23:44:49Z</dcterms:created>
  <dcterms:modified xsi:type="dcterms:W3CDTF">2022-07-25T14:46:10Z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