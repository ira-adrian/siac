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G:\Mi unidad\COMPARTIDA\DIRECCION DE PLANIFICACION\DOCUMENTACION\Mario\Carga SIAC\NO-2021-00441749-CAT-DPPR#MHP\"/>
    </mc:Choice>
  </mc:AlternateContent>
  <xr:revisionPtr revIDLastSave="0" documentId="8_{A942EEEA-DAEE-4967-856A-C121E055FDCE}"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s>
  <definedNames>
    <definedName name="_xlnm.Print_Area" localSheetId="1">' NotaPedido'!$A$1:$K$16</definedName>
    <definedName name="_xlnm.Print_Area" localSheetId="2">'Autor Gastar'!$A$1:$Q$25</definedName>
  </definedNames>
  <calcPr calcId="181029"/>
</workbook>
</file>

<file path=xl/calcChain.xml><?xml version="1.0" encoding="utf-8"?>
<calcChain xmlns="http://schemas.openxmlformats.org/spreadsheetml/2006/main">
  <c r="J12" i="2" l="1"/>
  <c r="J13" i="2"/>
  <c r="J14" i="2"/>
  <c r="I12" i="2"/>
  <c r="I13" i="2"/>
  <c r="I14" i="2"/>
  <c r="C12" i="2"/>
  <c r="C13" i="2"/>
  <c r="C14" i="2"/>
  <c r="B12" i="2"/>
  <c r="B13" i="2"/>
  <c r="B14" i="2"/>
  <c r="I10" i="1"/>
  <c r="I11" i="1"/>
  <c r="I12" i="1"/>
  <c r="D10" i="1"/>
  <c r="D11" i="1"/>
  <c r="D12" i="1"/>
  <c r="A10" i="3" l="1"/>
  <c r="J15" i="2"/>
  <c r="I13" i="1"/>
  <c r="D13" i="1"/>
  <c r="Q21" i="3" l="1"/>
  <c r="C15" i="2" l="1"/>
  <c r="G6" i="3" l="1"/>
  <c r="G7" i="3"/>
  <c r="D7" i="2"/>
  <c r="D3" i="2"/>
  <c r="G4" i="3" s="1"/>
  <c r="D4" i="2"/>
  <c r="G5" i="3" s="1"/>
  <c r="D1" i="3" l="1"/>
  <c r="I15" i="2"/>
  <c r="B15" i="2"/>
  <c r="I15" i="3"/>
  <c r="K15" i="3" l="1"/>
  <c r="J15" i="3"/>
</calcChain>
</file>

<file path=xl/sharedStrings.xml><?xml version="1.0" encoding="utf-8"?>
<sst xmlns="http://schemas.openxmlformats.org/spreadsheetml/2006/main" count="130" uniqueCount="93">
  <si>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</si>
  <si>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</si>
  <si>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</si>
  <si>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</si>
  <si>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</si>
  <si>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</si>
  <si>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</si>
  <si>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</si>
  <si>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</si>
  <si>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</si>
  <si>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</si>
  <si>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</si>
  <si>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</si>
  <si>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</si>
  <si>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</si>
  <si>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Descripción técnica</t>
  </si>
  <si>
    <t>Plazos y lugares de entrega</t>
  </si>
  <si>
    <t>Garantia</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</si>
  <si>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</si>
  <si>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</si>
  <si>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</si>
  <si>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</si>
  <si>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</si>
  <si>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</si>
  <si>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</si>
  <si>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</si>
  <si>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</si>
  <si>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</si>
  <si>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</si>
  <si>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</si>
  <si>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</si>
  <si>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</si>
  <si>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</si>
  <si>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</si>
  <si>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</si>
  <si>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</si>
  <si>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</si>
  <si>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</si>
  <si>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</si>
  <si>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</si>
  <si>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</si>
  <si>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</si>
  <si>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</si>
  <si>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</si>
  <si>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</si>
  <si>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</si>
  <si>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</si>
  <si>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</si>
  <si>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</si>
  <si>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</si>
  <si>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</si>
  <si>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</si>
  <si>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</si>
  <si>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</si>
  <si>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</si>
  <si>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</si>
  <si>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</si>
  <si>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</si>
  <si>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1.1</t>
  </si>
  <si>
    <t>EQUIPOS</t>
  </si>
  <si>
    <t>Especificidades Item N° 1</t>
  </si>
  <si>
    <t>Cantidad de extrusores: 2</t>
  </si>
  <si>
    <t>Volumen de la zona de impresión: 220 x 220 x 260 mm</t>
  </si>
  <si>
    <t>Cama Caliente: Si</t>
  </si>
  <si>
    <r>
      <t>Calidad Minima esperada:</t>
    </r>
    <r>
      <rPr>
        <sz val="10"/>
        <rFont val="Times New Roman"/>
        <family val="1"/>
      </rPr>
      <t xml:space="preserve">  muy buena calidad, tipo Hellbot -modelo 507</t>
    </r>
  </si>
  <si>
    <t>Mínima de Un (1) año</t>
  </si>
  <si>
    <t>EQUIPOS PARA COMPUTACION</t>
  </si>
  <si>
    <r>
      <t>Mantenimiento:</t>
    </r>
    <r>
      <rPr>
        <sz val="10"/>
        <rFont val="Times New Roman"/>
        <family val="1"/>
      </rPr>
      <t xml:space="preserve"> Treinta Días Hábiles.-</t>
    </r>
  </si>
  <si>
    <t xml:space="preserve"> SECRETARIA DE  CIENCIA Y TECNOLOGIA</t>
  </si>
  <si>
    <t>DIRECCION PROVINCIAL DE GESTION ADMINISTRATIVA Y RECURSOS HUMANOS</t>
  </si>
  <si>
    <t>4.3.5-9163.80</t>
  </si>
  <si>
    <t>4.3.6-9604.3</t>
  </si>
  <si>
    <t>4.3.5-9163.90</t>
  </si>
  <si>
    <t>EQUIPOS DIDACTICOS TECNICOS; NOMBRE: LENTES, TIPO: REALIDAD VIRTUAL</t>
  </si>
  <si>
    <t>EQUIPOS DIDACTICOS TECNICOS; NOMBRE: KIT EXPERIMENTAL , TIPO: SEGÚN PLIEGO</t>
  </si>
  <si>
    <t>015/2021</t>
  </si>
  <si>
    <t>ADQUISICION DE EQUIPOS, DESTINADAS AL CENTRO DEL CONOCIMIENTO PARA LAS AULAS DE FORMACIÓN, DEPENDIENTE DEL MINISTERIO DE CIENCIA E INNOVACION TECNOLOGICA.-</t>
  </si>
  <si>
    <t>TOTAL DE PESOS: DOS MILLONES CUARENTA Y UN MIL QUINIENTOS DOCE CON 10/100.-</t>
  </si>
  <si>
    <t>EQUIPOS EDUCACIONAL Y RECREATIVO</t>
  </si>
  <si>
    <t>Costo total estimado: PESOS  DOS MILLONES CUARENTA Y UN MIL QUINIENTOS DOCE CON 10/100.-</t>
  </si>
  <si>
    <t>INFORMATICA</t>
  </si>
  <si>
    <t>TABLETA PC; RESOLUCION: 1280 X 800 PXL, PANTALLA: 9,4 pulg, MEMORIA: 32 Gb, MEMORIA RAM: 32 Gb</t>
  </si>
  <si>
    <t>Especificidades Item N° 2</t>
  </si>
  <si>
    <t>Especificidades Item N°3</t>
  </si>
  <si>
    <t>Especificidades Item N° 4</t>
  </si>
  <si>
    <r>
      <t>Calidad Minima esperada:</t>
    </r>
    <r>
      <rPr>
        <sz val="10"/>
        <rFont val="Times New Roman"/>
        <family val="1"/>
      </rPr>
      <t xml:space="preserve">  </t>
    </r>
  </si>
  <si>
    <r>
      <t>Calidad Minima esperada:</t>
    </r>
    <r>
      <rPr>
        <sz val="10"/>
        <rFont val="Times New Roman"/>
        <family val="1"/>
      </rPr>
      <t xml:space="preserve"> </t>
    </r>
  </si>
  <si>
    <r>
      <rPr>
        <b/>
        <sz val="10"/>
        <rFont val="Times New Roman"/>
        <family val="1"/>
      </rPr>
      <t>DISPOSITIVO DE REALIDAD VITUAL CON TECNOLOGIA TIPO OCULUS QUEST:</t>
    </r>
    <r>
      <rPr>
        <sz val="10"/>
        <rFont val="Times New Roman"/>
        <family val="1"/>
      </rPr>
      <t xml:space="preserve">
Tipo de Panel: LCD 
Resolución: 1920 x1832 por ojo 
Frecuencia de Refresco: 90 Hz Capada a 72 hz 
Procesador: Snapdragon XR2 o Similar 
Conectividad Inalámbrica: WiFi 6 Bluetooth 5.1 
Puertos: USD Tipo C 
Almacenamiento: 64 GB 
Sonido: 3D 
Tracking: Cámaras internas
Más valija diseñada para contener y almacenar los equipos en buen estado
</t>
    </r>
  </si>
  <si>
    <r>
      <rPr>
        <b/>
        <sz val="10"/>
        <rFont val="Times New Roman"/>
        <family val="1"/>
      </rPr>
      <t>DISPOSITIVO DE REALIDAD VITUAL CON TECNOLOGIA TIPO OCULUS GO:</t>
    </r>
    <r>
      <rPr>
        <sz val="10"/>
        <rFont val="Times New Roman"/>
        <family val="1"/>
      </rPr>
      <t xml:space="preserve">
Tipo de Panel: LCD 
Resolución: QHD (2.650 x 1.440 puntos) 
Frecuencia de Refresco: 72 Hz 
Procesador: Qualcomm Snapdragon 821 
Conectividad Inalámbrica: WiFi y Bluetooth 
Puertos: Micro-USB y Jack para auriculares 3,55 mm 
Almacenamiento: 32/64 GB 
Sonido: Estéreo 3D 
Más valija diseñada para contener y almacenar los equipos en buen estado
</t>
    </r>
  </si>
  <si>
    <r>
      <rPr>
        <b/>
        <sz val="10"/>
        <rFont val="Times New Roman"/>
        <family val="1"/>
      </rPr>
      <t>DISPOSITIVO SIMULADOR DE AUTOELEVADOR CON TECNOLOGIA TIPO OCULUS RIFT:</t>
    </r>
    <r>
      <rPr>
        <sz val="10"/>
        <rFont val="Times New Roman"/>
        <family val="1"/>
      </rPr>
      <t xml:space="preserve">
Incluye Casco de realidad Virtual, volante y pedalera
Visor: Un visor suave y cómodo con una óptica personalizada que ofrece una fidelidad visual extraordinaria y un amplio campo de visión.  
Controladores: Touch Touch es un par de controladores bajo seguimiento que permiten la presencia intuitiva de las manos en la realidad virtual (Sensación de las manos virtuales son las tuyas propias) 
Sensores: necesarios para realizar un seguimiento de las constelaciones de LED infrarrojos para trasladar los movimientos a la realidad virtual tanto si el individuo esta de pie como sentado 
Auriculares: Sistema de audio integrado para generar inmersión en la realidad virtual 
Resolución: 2.560 x 1440 píxeles por ojo 
Frecuencia de Refresco: 80 Hz 
Procesador: No tiene 
Conectividad Inalámbrica: No tiene 
Puertos: USB 
Almacenamiento: No tiene 
Sonido: Estéreo Passtrough+ 
Tracking: tipo Oculus Insight 
Más valija diseñada para contener y almacenar los equipos en buen estado
</t>
    </r>
  </si>
  <si>
    <r>
      <rPr>
        <b/>
        <sz val="10"/>
        <rFont val="Times New Roman"/>
        <family val="1"/>
      </rPr>
      <t xml:space="preserve">TABLET: </t>
    </r>
    <r>
      <rPr>
        <sz val="10"/>
        <rFont val="Times New Roman"/>
        <family val="1"/>
      </rPr>
      <t xml:space="preserve">
Sistema operativo: Android. 
Con procesador de 2GHz. ○ superior
Resolución  de  pantalla  de  1280px  x  800px.       
Con    lector    micro SD.      
32    gb    de     almacenamiento 
Memoria expandible  
Sistema    de altavoces
Más valija diseñada para contener y almacenar los equipos en buen estado
</t>
    </r>
  </si>
  <si>
    <t>El plazo de entrega  no podrá ser superior a los noventa (90) días corridos  a partir de la fecha de recepción de la respectiva Orden de Compra en el domicilio especial electrónico constituido, en virtud del método de contratación. La entrega de dichos bienes se realizará en  la Secretaria de Ciencia y Tecnología dependiente del Mrio. Ciencia e Innovación Tecnológica, sito en Avenida Republica de Venezuela S/N° - CAPE- Pabellón N° 26 San Fernando del Valle de Catamarca.  Se presentará Remito que deberá cumplimentar lo dispuesto por la R.G. AFIP  1415/03, sin excepción.</t>
  </si>
  <si>
    <t>El plazo de entrega  no podrá ser superior a los noventa (90) días corridos a partir de la fecha de recepción de la respectiva Orden de Compra en el domicilio especial electrónico constituido, en virtud del método de contratación. La entrega de dichos bienes se realizará en  la Secretaria de Ciencia y Tecnología dependiente del Mrio. Ciencia e Innovación Tecnológica, sito en Avenida Republica de Venezuela S/N° - CAPE- Pabellón N° 26 San Fernando del Valle de Catamarca.  Se presentará Remito que deberá cumplimentar lo dispuesto por la R.G. AFIP  1415/03, sin excepción.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</si>
</sst>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_);_(@_)"/>
    <numFmt numFmtId="165" formatCode="_-* #,##0.00&quot; €&quot;_-;\-* #,##0.00&quot; €&quot;_-;_-* \-??&quot; €&quot;_-;_-@_-"/>
    <numFmt numFmtId="166" formatCode="[$$-2C0A]\ #,##0.00;[$$-2C0A]&quot; -&quot;#,##0.00"/>
    <numFmt numFmtId="167" formatCode="[$$-2C0A]\ #,##0.00"/>
    <numFmt numFmtId="168" formatCode="dd\-mm\-yy;@"/>
    <numFmt numFmtId="169" formatCode="_ [$$-2C0A]\ * #,##0.00_ ;_ [$$-2C0A]\ * \-#,##0.00_ ;_ [$$-2C0A]\ * &quot;-&quot;??_ ;_ @_ "/>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9"/>
      <name val="Times New Roman"/>
      <family val="1"/>
      <charset val="1"/>
    </font>
    <font>
      <sz val="9"/>
      <name val="Arial"/>
      <family val="2"/>
    </font>
    <font>
      <b/>
      <sz val="10"/>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55">
    <border>
      <left/>
      <right/>
      <top/>
      <bottom/>
      <diagonal/>
    </border>
    <border>
      <left/>
      <right/>
      <top/>
      <bottom style="thick">
        <color rgb="FF33CCCC"/>
      </bottom>
      <diagonal/>
    </border>
    <border>
      <left style="thick">
        <color auto="1"/>
      </left>
      <right style="thick">
        <color auto="1"/>
      </right>
      <top style="thick">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rgb="FF3D3D3D"/>
      </left>
      <right/>
      <top style="medium">
        <color rgb="FF3D3D3D"/>
      </top>
      <bottom style="medium">
        <color rgb="FF3D3D3D"/>
      </bottom>
      <diagonal/>
    </border>
    <border>
      <left/>
      <right style="thin">
        <color rgb="FF3D3D3D"/>
      </right>
      <top style="medium">
        <color rgb="FF3D3D3D"/>
      </top>
      <bottom style="medium">
        <color rgb="FF3D3D3D"/>
      </bottom>
      <diagonal/>
    </border>
    <border>
      <left/>
      <right/>
      <top style="medium">
        <color auto="1"/>
      </top>
      <bottom style="medium">
        <color auto="1"/>
      </bottom>
      <diagonal/>
    </border>
  </borders>
  <cellStyleXfs count="5">
    <xf numFmtId="0" fontId="0" fillId="0" borderId="0"/>
    <xf numFmtId="165" fontId="14" fillId="0" borderId="0" applyBorder="0" applyProtection="0"/>
    <xf numFmtId="0" fontId="1" fillId="0" borderId="1" applyProtection="0"/>
    <xf numFmtId="164" fontId="2" fillId="0" borderId="0" applyBorder="0" applyProtection="0"/>
    <xf numFmtId="0" fontId="3" fillId="2" borderId="0" applyBorder="0" applyProtection="0"/>
  </cellStyleXfs>
  <cellXfs count="140">
    <xf numFmtId="0" fontId="0" fillId="0" borderId="0" xfId="0"/>
    <xf numFmtId="0" fontId="0" fillId="0" borderId="0" xfId="0" applyBorder="1"/>
    <xf numFmtId="0" fontId="2" fillId="0" borderId="0" xfId="0" applyFont="1" applyBorder="1" applyAlignment="1">
      <alignment vertical="center"/>
    </xf>
    <xf numFmtId="0" fontId="0" fillId="0" borderId="0" xfId="0" applyAlignment="1">
      <alignment horizontal="left"/>
    </xf>
    <xf numFmtId="0" fontId="2" fillId="0" borderId="0" xfId="0" applyFont="1"/>
    <xf numFmtId="0" fontId="15" fillId="0" borderId="0" xfId="0" applyFont="1" applyFill="1"/>
    <xf numFmtId="0" fontId="18" fillId="0" borderId="0" xfId="0" applyFont="1" applyFill="1" applyAlignment="1">
      <alignment horizontal="left" wrapText="1"/>
    </xf>
    <xf numFmtId="0" fontId="18" fillId="0" borderId="0" xfId="0" applyFont="1" applyFill="1" applyAlignment="1">
      <alignment horizontal="center" wrapText="1"/>
    </xf>
    <xf numFmtId="0" fontId="23" fillId="0" borderId="0" xfId="0" applyFont="1" applyFill="1" applyAlignment="1">
      <alignment horizontal="left" wrapText="1" indent="1"/>
    </xf>
    <xf numFmtId="0" fontId="19" fillId="0" borderId="0" xfId="0" applyFont="1" applyFill="1" applyAlignment="1">
      <alignment horizontal="left" wrapText="1"/>
    </xf>
    <xf numFmtId="0" fontId="19" fillId="0" borderId="2" xfId="0" applyFont="1" applyFill="1" applyBorder="1" applyAlignment="1">
      <alignment horizontal="center" vertical="center" wrapText="1"/>
    </xf>
    <xf numFmtId="0" fontId="13" fillId="0" borderId="29" xfId="0" applyFont="1" applyFill="1" applyBorder="1" applyAlignment="1">
      <alignment horizontal="center" vertical="center"/>
    </xf>
    <xf numFmtId="0" fontId="13" fillId="0" borderId="30" xfId="0" applyFont="1" applyFill="1" applyBorder="1" applyAlignment="1">
      <alignment horizontal="center" vertical="center"/>
    </xf>
    <xf numFmtId="0" fontId="13" fillId="0" borderId="30" xfId="0" applyFont="1" applyFill="1" applyBorder="1" applyAlignment="1">
      <alignment horizontal="left" vertical="center"/>
    </xf>
    <xf numFmtId="0" fontId="13" fillId="0" borderId="31" xfId="0" applyFont="1" applyFill="1" applyBorder="1" applyAlignment="1">
      <alignment horizontal="center" vertical="center"/>
    </xf>
    <xf numFmtId="0" fontId="13" fillId="0" borderId="25" xfId="0" applyFont="1" applyFill="1" applyBorder="1" applyAlignment="1">
      <alignment horizontal="center" vertical="center"/>
    </xf>
    <xf numFmtId="0" fontId="0" fillId="0" borderId="32" xfId="0" applyFont="1" applyFill="1" applyBorder="1" applyAlignment="1">
      <alignment horizontal="center" vertical="center"/>
    </xf>
    <xf numFmtId="0" fontId="0" fillId="0" borderId="33" xfId="0" applyFont="1" applyFill="1" applyBorder="1" applyAlignment="1">
      <alignment horizontal="center" vertical="center"/>
    </xf>
    <xf numFmtId="0" fontId="0" fillId="0" borderId="34" xfId="0" applyFont="1" applyFill="1" applyBorder="1" applyAlignment="1">
      <alignment horizontal="center" vertical="center"/>
    </xf>
    <xf numFmtId="3" fontId="9" fillId="0" borderId="0" xfId="0" applyNumberFormat="1" applyFont="1" applyFill="1" applyBorder="1" applyAlignment="1"/>
    <xf numFmtId="168" fontId="0" fillId="0" borderId="0" xfId="0" applyNumberFormat="1" applyFill="1" applyAlignment="1">
      <alignment horizontal="left"/>
    </xf>
    <xf numFmtId="0" fontId="0" fillId="0" borderId="0" xfId="0" applyFill="1"/>
    <xf numFmtId="0" fontId="0" fillId="0" borderId="0" xfId="0" applyFill="1" applyAlignment="1">
      <alignment horizontal="left"/>
    </xf>
    <xf numFmtId="0" fontId="0" fillId="0" borderId="0" xfId="0" applyFill="1" applyBorder="1"/>
    <xf numFmtId="0" fontId="0" fillId="0" borderId="11" xfId="0" applyFill="1" applyBorder="1"/>
    <xf numFmtId="0" fontId="0" fillId="0" borderId="26" xfId="0" applyFill="1" applyBorder="1"/>
    <xf numFmtId="0" fontId="0" fillId="0" borderId="13" xfId="0" applyFill="1" applyBorder="1"/>
    <xf numFmtId="0" fontId="0" fillId="0" borderId="13" xfId="0" applyFill="1" applyBorder="1" applyAlignment="1">
      <alignment horizontal="left"/>
    </xf>
    <xf numFmtId="0" fontId="0" fillId="0" borderId="27" xfId="0" applyFill="1" applyBorder="1"/>
    <xf numFmtId="166" fontId="0" fillId="0" borderId="35" xfId="3" applyNumberFormat="1" applyFont="1" applyFill="1" applyBorder="1" applyAlignment="1" applyProtection="1">
      <alignment horizontal="center" vertical="center"/>
    </xf>
    <xf numFmtId="0" fontId="0" fillId="0" borderId="36" xfId="0" applyFont="1" applyFill="1" applyBorder="1" applyAlignment="1">
      <alignment horizontal="center" vertical="center"/>
    </xf>
    <xf numFmtId="0" fontId="0" fillId="0" borderId="37" xfId="0" applyFont="1" applyFill="1" applyBorder="1" applyAlignment="1">
      <alignment horizontal="center" vertical="center"/>
    </xf>
    <xf numFmtId="0" fontId="0" fillId="0" borderId="38" xfId="0" applyFont="1" applyFill="1" applyBorder="1" applyAlignment="1">
      <alignment horizontal="center" vertical="center"/>
    </xf>
    <xf numFmtId="0" fontId="0" fillId="0" borderId="39" xfId="0" applyFont="1" applyFill="1" applyBorder="1" applyAlignment="1">
      <alignment horizontal="center" vertical="center"/>
    </xf>
    <xf numFmtId="166" fontId="0" fillId="0" borderId="40" xfId="3" applyNumberFormat="1" applyFont="1" applyFill="1" applyBorder="1" applyAlignment="1" applyProtection="1">
      <alignment horizontal="center" vertical="center"/>
    </xf>
    <xf numFmtId="0" fontId="11" fillId="0" borderId="36" xfId="0" applyFont="1" applyFill="1" applyBorder="1" applyAlignment="1">
      <alignment horizontal="center" vertical="center"/>
    </xf>
    <xf numFmtId="0" fontId="11" fillId="0" borderId="37" xfId="0" applyFont="1" applyFill="1" applyBorder="1" applyAlignment="1">
      <alignment horizontal="center" vertical="center"/>
    </xf>
    <xf numFmtId="0" fontId="0" fillId="0" borderId="39" xfId="0" applyFill="1" applyBorder="1" applyAlignment="1">
      <alignment horizontal="center" vertical="center"/>
    </xf>
    <xf numFmtId="0" fontId="11" fillId="0" borderId="38" xfId="0" applyFont="1" applyFill="1" applyBorder="1" applyAlignment="1">
      <alignment horizontal="center" vertical="center"/>
    </xf>
    <xf numFmtId="0" fontId="11" fillId="0" borderId="39" xfId="0" applyFont="1" applyFill="1" applyBorder="1" applyAlignment="1">
      <alignment horizontal="center" vertical="center"/>
    </xf>
    <xf numFmtId="0" fontId="0" fillId="0" borderId="41" xfId="0" applyFill="1" applyBorder="1" applyAlignment="1">
      <alignment horizontal="center" vertical="center"/>
    </xf>
    <xf numFmtId="0" fontId="0" fillId="0" borderId="42" xfId="0" applyFill="1" applyBorder="1" applyAlignment="1">
      <alignment horizontal="center" vertical="center"/>
    </xf>
    <xf numFmtId="0" fontId="0" fillId="0" borderId="43" xfId="0" applyFill="1" applyBorder="1" applyAlignment="1">
      <alignment horizontal="center" vertical="center"/>
    </xf>
    <xf numFmtId="166" fontId="0" fillId="0" borderId="44" xfId="3" applyNumberFormat="1" applyFont="1" applyFill="1" applyBorder="1" applyAlignment="1" applyProtection="1">
      <alignment horizontal="center" vertical="center"/>
    </xf>
    <xf numFmtId="166" fontId="13" fillId="0" borderId="45" xfId="0" applyNumberFormat="1" applyFont="1" applyFill="1" applyBorder="1" applyAlignment="1">
      <alignment horizontal="center" vertical="center"/>
    </xf>
    <xf numFmtId="0" fontId="5" fillId="0" borderId="11" xfId="0" applyFont="1" applyFill="1" applyBorder="1" applyAlignment="1">
      <alignment horizontal="right" vertical="center"/>
    </xf>
    <xf numFmtId="0" fontId="6" fillId="0" borderId="12" xfId="0" applyFont="1" applyFill="1" applyBorder="1" applyAlignment="1">
      <alignment horizontal="center" vertical="center"/>
    </xf>
    <xf numFmtId="0" fontId="5" fillId="0" borderId="13" xfId="0" applyFont="1" applyFill="1" applyBorder="1" applyAlignment="1">
      <alignment vertical="center"/>
    </xf>
    <xf numFmtId="0" fontId="5" fillId="0" borderId="0" xfId="0" applyFont="1" applyFill="1" applyBorder="1" applyAlignment="1">
      <alignment vertical="center"/>
    </xf>
    <xf numFmtId="0" fontId="7" fillId="0" borderId="0" xfId="0" applyFont="1" applyFill="1" applyBorder="1" applyAlignment="1">
      <alignment horizontal="left" vertical="center"/>
    </xf>
    <xf numFmtId="0" fontId="6" fillId="0" borderId="0" xfId="0" applyFont="1" applyFill="1" applyBorder="1" applyAlignment="1">
      <alignment horizontal="left" vertical="center" wrapText="1" indent="1"/>
    </xf>
    <xf numFmtId="0" fontId="4" fillId="0" borderId="20" xfId="0" applyFont="1" applyFill="1" applyBorder="1" applyAlignment="1">
      <alignment horizontal="center" vertical="center"/>
    </xf>
    <xf numFmtId="0" fontId="4" fillId="0" borderId="20" xfId="0" applyFont="1" applyFill="1" applyBorder="1" applyAlignment="1">
      <alignment horizontal="left" vertical="center"/>
    </xf>
    <xf numFmtId="0" fontId="4" fillId="0" borderId="20" xfId="0" applyFont="1" applyFill="1" applyBorder="1" applyAlignment="1">
      <alignment horizontal="center" vertical="center" wrapText="1"/>
    </xf>
    <xf numFmtId="3" fontId="4" fillId="0" borderId="20" xfId="0" applyNumberFormat="1" applyFont="1" applyFill="1" applyBorder="1" applyAlignment="1">
      <alignment horizontal="center" vertical="center"/>
    </xf>
    <xf numFmtId="169" fontId="14" fillId="0" borderId="20" xfId="1" applyNumberFormat="1" applyBorder="1" applyAlignment="1" applyProtection="1">
      <alignment horizontal="center" vertical="center"/>
    </xf>
    <xf numFmtId="0" fontId="15" fillId="0" borderId="0" xfId="0" applyFont="1"/>
    <xf numFmtId="0" fontId="20" fillId="4" borderId="21" xfId="0" applyFont="1" applyFill="1" applyBorder="1" applyAlignment="1">
      <alignment horizontal="center" vertical="center"/>
    </xf>
    <xf numFmtId="0" fontId="15" fillId="4" borderId="15" xfId="0" applyFont="1" applyFill="1" applyBorder="1" applyAlignment="1">
      <alignment horizontal="center" vertical="center" wrapText="1"/>
    </xf>
    <xf numFmtId="0" fontId="15" fillId="4" borderId="15" xfId="0" applyFont="1" applyFill="1" applyBorder="1" applyAlignment="1">
      <alignment horizontal="left" vertical="center" wrapText="1"/>
    </xf>
    <xf numFmtId="0" fontId="21" fillId="4" borderId="54" xfId="0" applyFont="1" applyFill="1" applyBorder="1" applyAlignment="1">
      <alignment horizontal="center" vertical="center" wrapText="1"/>
    </xf>
    <xf numFmtId="0" fontId="15" fillId="4" borderId="54" xfId="0" applyFont="1" applyFill="1" applyBorder="1" applyAlignment="1">
      <alignment horizontal="center" vertical="center" wrapText="1"/>
    </xf>
    <xf numFmtId="0" fontId="18" fillId="4" borderId="15" xfId="0" applyFont="1" applyFill="1" applyBorder="1" applyAlignment="1">
      <alignment horizontal="center" vertical="center" wrapText="1"/>
    </xf>
    <xf numFmtId="166" fontId="20" fillId="3" borderId="15" xfId="1" applyNumberFormat="1" applyFont="1" applyFill="1" applyBorder="1" applyAlignment="1" applyProtection="1">
      <alignment horizontal="right" vertical="center" wrapText="1"/>
    </xf>
    <xf numFmtId="167" fontId="18" fillId="4" borderId="22" xfId="0" applyNumberFormat="1" applyFont="1" applyFill="1" applyBorder="1" applyAlignment="1">
      <alignment horizontal="right" vertical="center" wrapText="1"/>
    </xf>
    <xf numFmtId="0" fontId="22" fillId="0" borderId="3" xfId="0" applyFont="1" applyBorder="1"/>
    <xf numFmtId="0" fontId="15" fillId="0" borderId="4" xfId="0" applyFont="1" applyBorder="1"/>
    <xf numFmtId="0" fontId="15" fillId="0" borderId="5" xfId="0" applyFont="1" applyBorder="1"/>
    <xf numFmtId="0" fontId="15" fillId="0" borderId="6" xfId="0" applyFont="1" applyBorder="1"/>
    <xf numFmtId="0" fontId="15" fillId="0" borderId="0" xfId="0" applyFont="1" applyBorder="1"/>
    <xf numFmtId="0" fontId="15" fillId="0" borderId="7" xfId="0" applyFont="1" applyBorder="1"/>
    <xf numFmtId="0" fontId="22" fillId="0" borderId="6" xfId="0" applyFont="1" applyBorder="1" applyAlignment="1">
      <alignment horizontal="left" indent="3"/>
    </xf>
    <xf numFmtId="0" fontId="15" fillId="0" borderId="0" xfId="0" applyFont="1" applyAlignment="1">
      <alignment vertical="center"/>
    </xf>
    <xf numFmtId="0" fontId="15" fillId="4" borderId="0" xfId="0" applyFont="1" applyFill="1" applyBorder="1"/>
    <xf numFmtId="0" fontId="15" fillId="4" borderId="7" xfId="0" applyFont="1" applyFill="1" applyBorder="1"/>
    <xf numFmtId="0" fontId="15" fillId="3" borderId="0" xfId="0" applyFont="1" applyFill="1" applyBorder="1" applyAlignment="1">
      <alignment vertical="center"/>
    </xf>
    <xf numFmtId="0" fontId="15" fillId="3" borderId="7" xfId="0" applyFont="1" applyFill="1" applyBorder="1" applyAlignment="1">
      <alignment vertical="center"/>
    </xf>
    <xf numFmtId="0" fontId="15" fillId="0" borderId="6" xfId="0" applyFont="1" applyBorder="1" applyAlignment="1">
      <alignment horizontal="left" indent="3"/>
    </xf>
    <xf numFmtId="0" fontId="15" fillId="0" borderId="0" xfId="0" applyFont="1" applyBorder="1" applyAlignment="1">
      <alignment horizontal="center" wrapText="1"/>
    </xf>
    <xf numFmtId="0" fontId="15" fillId="0" borderId="7" xfId="0" applyFont="1" applyBorder="1" applyAlignment="1">
      <alignment horizontal="center" wrapText="1"/>
    </xf>
    <xf numFmtId="0" fontId="15" fillId="0" borderId="8" xfId="0" applyFont="1" applyBorder="1" applyAlignment="1">
      <alignment horizontal="left" indent="3"/>
    </xf>
    <xf numFmtId="0" fontId="15" fillId="0" borderId="9" xfId="0" applyFont="1" applyBorder="1"/>
    <xf numFmtId="0" fontId="15" fillId="0" borderId="10" xfId="0" applyFont="1" applyBorder="1"/>
    <xf numFmtId="167" fontId="15" fillId="0" borderId="0" xfId="0" applyNumberFormat="1" applyFont="1" applyFill="1"/>
    <xf numFmtId="167" fontId="15" fillId="0" borderId="0" xfId="0" applyNumberFormat="1" applyFont="1"/>
    <xf numFmtId="0" fontId="17" fillId="0" borderId="0" xfId="0" applyFont="1" applyFill="1" applyBorder="1" applyAlignment="1">
      <alignment horizontal="left" vertical="center" wrapText="1"/>
    </xf>
    <xf numFmtId="0" fontId="16" fillId="0" borderId="0" xfId="0" applyFont="1" applyFill="1" applyBorder="1" applyAlignment="1">
      <alignment horizontal="center"/>
    </xf>
    <xf numFmtId="0" fontId="23" fillId="0" borderId="0" xfId="0" applyFont="1" applyFill="1" applyBorder="1" applyAlignment="1">
      <alignment horizontal="left" wrapText="1" indent="1"/>
    </xf>
    <xf numFmtId="0" fontId="15" fillId="3" borderId="0" xfId="0" applyFont="1" applyFill="1" applyBorder="1" applyAlignment="1">
      <alignment horizontal="left" vertical="center" wrapText="1"/>
    </xf>
    <xf numFmtId="0" fontId="15" fillId="3" borderId="7" xfId="0" applyFont="1" applyFill="1" applyBorder="1" applyAlignment="1">
      <alignment horizontal="left" vertical="center" wrapText="1"/>
    </xf>
    <xf numFmtId="0" fontId="15" fillId="3" borderId="0" xfId="0" applyFont="1" applyFill="1" applyBorder="1" applyAlignment="1">
      <alignment horizontal="left" wrapText="1"/>
    </xf>
    <xf numFmtId="0" fontId="15" fillId="3" borderId="7" xfId="0" applyFont="1" applyFill="1" applyBorder="1" applyAlignment="1">
      <alignment horizontal="left" wrapText="1"/>
    </xf>
    <xf numFmtId="0" fontId="15" fillId="3" borderId="0" xfId="0" applyFont="1" applyFill="1" applyBorder="1" applyAlignment="1">
      <alignment horizontal="left"/>
    </xf>
    <xf numFmtId="0" fontId="15" fillId="3" borderId="7" xfId="0" applyFont="1" applyFill="1" applyBorder="1" applyAlignment="1">
      <alignment horizontal="left"/>
    </xf>
    <xf numFmtId="0" fontId="5" fillId="0" borderId="0" xfId="0" applyFont="1" applyFill="1" applyBorder="1" applyAlignment="1">
      <alignment horizontal="center" vertical="center"/>
    </xf>
    <xf numFmtId="0" fontId="7" fillId="0" borderId="14" xfId="0" applyFont="1" applyFill="1" applyBorder="1" applyAlignment="1">
      <alignment horizontal="left" vertical="center" wrapText="1"/>
    </xf>
    <xf numFmtId="0" fontId="6" fillId="0" borderId="15" xfId="0" applyFont="1" applyFill="1" applyBorder="1" applyAlignment="1">
      <alignment horizontal="left" vertical="center" wrapText="1" indent="1"/>
    </xf>
    <xf numFmtId="0" fontId="7" fillId="0" borderId="16" xfId="0" applyFont="1" applyFill="1" applyBorder="1" applyAlignment="1">
      <alignment horizontal="left" vertical="center" wrapText="1"/>
    </xf>
    <xf numFmtId="0" fontId="7" fillId="0" borderId="17" xfId="0" applyFont="1" applyFill="1" applyBorder="1" applyAlignment="1">
      <alignment horizontal="left" vertical="center"/>
    </xf>
    <xf numFmtId="0" fontId="24" fillId="0" borderId="18" xfId="0" applyFont="1" applyFill="1" applyBorder="1" applyAlignment="1">
      <alignment horizontal="left" vertical="center" wrapText="1" indent="1"/>
    </xf>
    <xf numFmtId="0" fontId="8" fillId="0" borderId="17" xfId="0" applyFont="1" applyFill="1" applyBorder="1" applyAlignment="1">
      <alignment horizontal="center" vertical="center"/>
    </xf>
    <xf numFmtId="0" fontId="8" fillId="0" borderId="19" xfId="0" applyFont="1" applyFill="1" applyBorder="1" applyAlignment="1">
      <alignment horizontal="center" vertical="center" wrapText="1"/>
    </xf>
    <xf numFmtId="0" fontId="8" fillId="0" borderId="18" xfId="0" applyFont="1" applyFill="1" applyBorder="1" applyAlignment="1">
      <alignment horizontal="center" vertical="center" wrapText="1"/>
    </xf>
    <xf numFmtId="0" fontId="4" fillId="0" borderId="49" xfId="0" applyFont="1" applyFill="1" applyBorder="1" applyAlignment="1">
      <alignment horizontal="left" vertical="center" wrapText="1"/>
    </xf>
    <xf numFmtId="0" fontId="4" fillId="0" borderId="50" xfId="0" applyFont="1" applyFill="1" applyBorder="1" applyAlignment="1">
      <alignment horizontal="left" vertical="center" wrapText="1"/>
    </xf>
    <xf numFmtId="0" fontId="4" fillId="0" borderId="51" xfId="0" applyFont="1" applyFill="1" applyBorder="1" applyAlignment="1">
      <alignment horizontal="left" vertical="center" wrapText="1"/>
    </xf>
    <xf numFmtId="0" fontId="6" fillId="0" borderId="15" xfId="0" applyFont="1" applyBorder="1" applyAlignment="1">
      <alignment horizontal="left" vertical="center" wrapText="1" indent="1"/>
    </xf>
    <xf numFmtId="167" fontId="7" fillId="0" borderId="15" xfId="0" applyNumberFormat="1" applyFont="1" applyBorder="1" applyAlignment="1">
      <alignment horizontal="center" vertical="center"/>
    </xf>
    <xf numFmtId="0" fontId="0" fillId="0" borderId="21" xfId="0" applyFont="1" applyFill="1" applyBorder="1" applyAlignment="1">
      <alignment horizontal="center"/>
    </xf>
    <xf numFmtId="3" fontId="9" fillId="0" borderId="22" xfId="0" applyNumberFormat="1" applyFont="1" applyFill="1" applyBorder="1" applyAlignment="1">
      <alignment horizontal="center"/>
    </xf>
    <xf numFmtId="0" fontId="10" fillId="0" borderId="12" xfId="0" applyFont="1" applyFill="1" applyBorder="1" applyAlignment="1">
      <alignment horizontal="center" vertical="center" wrapText="1"/>
    </xf>
    <xf numFmtId="0" fontId="2" fillId="0" borderId="12" xfId="0" applyFont="1" applyFill="1" applyBorder="1"/>
    <xf numFmtId="0" fontId="11" fillId="0" borderId="12" xfId="0" applyFont="1" applyFill="1" applyBorder="1" applyAlignment="1">
      <alignment horizontal="left" indent="1"/>
    </xf>
    <xf numFmtId="0" fontId="4" fillId="0" borderId="14" xfId="0" applyFont="1" applyFill="1" applyBorder="1" applyAlignment="1">
      <alignment horizontal="left" vertical="center" wrapText="1"/>
    </xf>
    <xf numFmtId="0" fontId="4" fillId="0" borderId="47" xfId="0" applyFont="1" applyFill="1" applyBorder="1" applyAlignment="1">
      <alignment horizontal="left" vertical="center" wrapText="1"/>
    </xf>
    <xf numFmtId="0" fontId="4" fillId="0" borderId="48" xfId="0" applyFont="1" applyFill="1" applyBorder="1" applyAlignment="1">
      <alignment horizontal="left" vertical="center" wrapText="1"/>
    </xf>
    <xf numFmtId="0" fontId="12" fillId="0" borderId="12" xfId="0" applyFont="1" applyFill="1" applyBorder="1" applyAlignment="1">
      <alignment horizontal="left"/>
    </xf>
    <xf numFmtId="0" fontId="11" fillId="0" borderId="24" xfId="0" applyFont="1" applyFill="1" applyBorder="1"/>
    <xf numFmtId="0" fontId="11" fillId="0" borderId="25" xfId="0" applyFont="1" applyFill="1" applyBorder="1" applyAlignment="1">
      <alignment horizontal="left" vertical="center" wrapText="1" indent="1"/>
    </xf>
    <xf numFmtId="0" fontId="13" fillId="0" borderId="23" xfId="0" applyFont="1" applyFill="1" applyBorder="1" applyAlignment="1">
      <alignment horizontal="center" vertical="center"/>
    </xf>
    <xf numFmtId="0" fontId="13" fillId="0" borderId="12" xfId="0" applyFont="1" applyFill="1" applyBorder="1" applyAlignment="1">
      <alignment horizontal="center" vertical="center"/>
    </xf>
    <xf numFmtId="0" fontId="13" fillId="0" borderId="23" xfId="0" applyFont="1" applyFill="1" applyBorder="1" applyAlignment="1">
      <alignment horizontal="center" vertical="center" wrapText="1"/>
    </xf>
    <xf numFmtId="0" fontId="13" fillId="0" borderId="28" xfId="0" applyFont="1" applyFill="1" applyBorder="1" applyAlignment="1">
      <alignment horizontal="center" vertical="center"/>
    </xf>
    <xf numFmtId="0" fontId="25" fillId="0" borderId="52" xfId="0" applyFont="1" applyFill="1" applyBorder="1" applyAlignment="1">
      <alignment horizontal="left" vertical="center"/>
    </xf>
    <xf numFmtId="0" fontId="25" fillId="0" borderId="53" xfId="0" applyFont="1" applyFill="1" applyBorder="1" applyAlignment="1">
      <alignment horizontal="left" vertical="center"/>
    </xf>
    <xf numFmtId="0" fontId="0" fillId="0" borderId="39" xfId="0" applyFont="1" applyFill="1" applyBorder="1" applyAlignment="1">
      <alignment horizontal="left" vertical="center"/>
    </xf>
    <xf numFmtId="0" fontId="9" fillId="0" borderId="21" xfId="0" applyFont="1" applyFill="1" applyBorder="1" applyAlignment="1">
      <alignment vertical="center" wrapText="1"/>
    </xf>
    <xf numFmtId="0" fontId="9" fillId="0" borderId="46" xfId="0" applyFont="1" applyFill="1" applyBorder="1" applyAlignment="1">
      <alignment vertical="center" wrapText="1"/>
    </xf>
    <xf numFmtId="0" fontId="9" fillId="0" borderId="18" xfId="0" applyFont="1" applyFill="1" applyBorder="1" applyAlignment="1">
      <alignment vertical="center" wrapText="1"/>
    </xf>
    <xf numFmtId="0" fontId="11" fillId="0" borderId="28" xfId="0" applyFont="1" applyFill="1" applyBorder="1" applyAlignment="1">
      <alignment vertical="center" wrapText="1"/>
    </xf>
    <xf numFmtId="0" fontId="2" fillId="0" borderId="24"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26" xfId="0" applyFont="1" applyFill="1" applyBorder="1" applyAlignment="1">
      <alignment horizontal="left" vertical="center" wrapText="1"/>
    </xf>
    <xf numFmtId="0" fontId="2" fillId="0" borderId="13" xfId="0" applyFont="1" applyFill="1" applyBorder="1" applyAlignment="1">
      <alignment horizontal="left" vertical="center" wrapText="1"/>
    </xf>
    <xf numFmtId="0" fontId="2" fillId="0" borderId="27" xfId="0" applyFont="1" applyFill="1" applyBorder="1" applyAlignment="1">
      <alignment horizontal="left" vertical="center" wrapText="1"/>
    </xf>
    <xf numFmtId="0" fontId="0" fillId="0" borderId="39" xfId="0" applyFill="1" applyBorder="1" applyAlignment="1">
      <alignment horizontal="left" vertical="center"/>
    </xf>
    <xf numFmtId="0" fontId="0" fillId="0" borderId="42" xfId="0" applyFill="1" applyBorder="1" applyAlignment="1">
      <alignment horizontal="left" vertical="center"/>
    </xf>
    <xf numFmtId="0" fontId="9" fillId="0" borderId="45" xfId="0" applyFont="1" applyFill="1" applyBorder="1" applyAlignment="1">
      <alignment horizontal="left" vertical="center" wrapText="1"/>
    </xf>
    <xf numFmtId="0" fontId="0" fillId="0" borderId="23" xfId="0" applyFill="1"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108"/>
  <sheetViews>
    <sheetView tabSelected="1" topLeftCell="A7" zoomScale="87" zoomScaleNormal="87" workbookViewId="0">
      <selection activeCell="I10" sqref="I10:I13"/>
    </sheetView>
  </sheetViews>
  <sheetFormatPr baseColWidth="10" defaultColWidth="11" defaultRowHeight="12.75" x14ac:dyDescent="0.2"/>
  <cols>
    <col min="1" max="1" width="4.5703125" style="5" customWidth="1"/>
    <col min="2" max="2" width="12.85546875" style="5" customWidth="1"/>
    <col min="3" max="3" width="32.42578125" style="5" customWidth="1"/>
    <col min="4" max="4" width="8.42578125" style="5" customWidth="1"/>
    <col min="5" max="5" width="79" style="5" customWidth="1"/>
    <col min="6" max="6" width="11" style="5"/>
    <col min="7" max="7" width="12.7109375" style="5" customWidth="1"/>
    <col min="8" max="8" width="13.85546875" style="5" customWidth="1"/>
    <col min="9" max="9" width="18.5703125" style="5" customWidth="1"/>
    <col min="10" max="16384" width="11" style="5"/>
  </cols>
  <sheetData>
    <row r="2" spans="1:9" ht="27" x14ac:dyDescent="0.35">
      <c r="B2" s="86" t="s">
        <v>0</v>
      </c>
      <c r="C2" s="86"/>
      <c r="D2" s="86"/>
      <c r="E2" s="86"/>
      <c r="F2" s="86"/>
      <c r="G2" s="86"/>
      <c r="H2" s="86"/>
    </row>
    <row r="4" spans="1:9" ht="18" customHeight="1" x14ac:dyDescent="0.25">
      <c r="A4" s="85" t="s">
        <v>1</v>
      </c>
      <c r="B4" s="85"/>
      <c r="C4" s="87" t="s">
        <v>56</v>
      </c>
      <c r="D4" s="87"/>
      <c r="E4" s="87"/>
      <c r="F4" s="6"/>
      <c r="G4" s="7"/>
      <c r="H4" s="6"/>
    </row>
    <row r="5" spans="1:9" ht="16.5" customHeight="1" x14ac:dyDescent="0.25">
      <c r="A5" s="85" t="s">
        <v>2</v>
      </c>
      <c r="B5" s="85"/>
      <c r="C5" s="87" t="s">
        <v>57</v>
      </c>
      <c r="D5" s="87"/>
      <c r="E5" s="87"/>
      <c r="F5" s="6"/>
      <c r="G5" s="7"/>
      <c r="H5" s="6"/>
    </row>
    <row r="6" spans="1:9" ht="16.5" customHeight="1" x14ac:dyDescent="0.25">
      <c r="A6" s="85" t="s">
        <v>3</v>
      </c>
      <c r="B6" s="85"/>
      <c r="C6" s="8">
        <v>2021</v>
      </c>
      <c r="D6" s="9"/>
      <c r="E6" s="9"/>
      <c r="F6" s="6"/>
      <c r="G6" s="7"/>
      <c r="H6" s="6"/>
    </row>
    <row r="7" spans="1:9" ht="15.75" x14ac:dyDescent="0.25">
      <c r="A7" s="85" t="s">
        <v>4</v>
      </c>
      <c r="B7" s="85"/>
      <c r="C7" s="8">
        <v>2</v>
      </c>
      <c r="D7" s="9"/>
      <c r="E7" s="9"/>
      <c r="F7" s="6"/>
      <c r="G7" s="7"/>
      <c r="H7" s="6"/>
    </row>
    <row r="8" spans="1:9" ht="13.5" thickBot="1" x14ac:dyDescent="0.25">
      <c r="B8" s="6"/>
      <c r="C8" s="7"/>
      <c r="D8" s="6"/>
      <c r="E8" s="6"/>
      <c r="F8" s="6"/>
      <c r="G8" s="7"/>
      <c r="H8" s="6"/>
    </row>
    <row r="9" spans="1:9" ht="39.75" thickTop="1" thickBot="1" x14ac:dyDescent="0.25">
      <c r="A9" s="10" t="s">
        <v>5</v>
      </c>
      <c r="B9" s="10" t="s">
        <v>6</v>
      </c>
      <c r="C9" s="10" t="s">
        <v>7</v>
      </c>
      <c r="D9" s="10" t="s">
        <v>8</v>
      </c>
      <c r="E9" s="10" t="s">
        <v>9</v>
      </c>
      <c r="F9" s="10" t="s">
        <v>10</v>
      </c>
      <c r="G9" s="10" t="s">
        <v>11</v>
      </c>
      <c r="H9" s="10" t="s">
        <v>12</v>
      </c>
      <c r="I9" s="10" t="s">
        <v>13</v>
      </c>
    </row>
    <row r="10" spans="1:9" ht="46.5" customHeight="1" thickBot="1" x14ac:dyDescent="0.25">
      <c r="A10" s="57">
        <v>1</v>
      </c>
      <c r="B10" s="58" t="s">
        <v>70</v>
      </c>
      <c r="C10" s="59" t="s">
        <v>59</v>
      </c>
      <c r="D10" s="60" t="str">
        <f t="shared" ref="D10:D12" si="0">LEFT(B10,5)</f>
        <v>4.3.5</v>
      </c>
      <c r="E10" s="59" t="s">
        <v>73</v>
      </c>
      <c r="F10" s="61" t="s">
        <v>14</v>
      </c>
      <c r="G10" s="62">
        <v>3</v>
      </c>
      <c r="H10" s="63">
        <v>198036.7</v>
      </c>
      <c r="I10" s="64">
        <f t="shared" ref="I10:I12" si="1">H10*G10</f>
        <v>594110.10000000009</v>
      </c>
    </row>
    <row r="11" spans="1:9" ht="46.5" customHeight="1" thickBot="1" x14ac:dyDescent="0.25">
      <c r="A11" s="57">
        <v>2</v>
      </c>
      <c r="B11" s="58" t="s">
        <v>70</v>
      </c>
      <c r="C11" s="59" t="s">
        <v>59</v>
      </c>
      <c r="D11" s="60" t="str">
        <f t="shared" si="0"/>
        <v>4.3.5</v>
      </c>
      <c r="E11" s="59" t="s">
        <v>73</v>
      </c>
      <c r="F11" s="61" t="s">
        <v>14</v>
      </c>
      <c r="G11" s="62">
        <v>4</v>
      </c>
      <c r="H11" s="63">
        <v>92202</v>
      </c>
      <c r="I11" s="64">
        <f t="shared" si="1"/>
        <v>368808</v>
      </c>
    </row>
    <row r="12" spans="1:9" ht="46.5" customHeight="1" thickBot="1" x14ac:dyDescent="0.25">
      <c r="A12" s="57">
        <v>3</v>
      </c>
      <c r="B12" s="58" t="s">
        <v>71</v>
      </c>
      <c r="C12" s="59" t="s">
        <v>80</v>
      </c>
      <c r="D12" s="60" t="str">
        <f t="shared" si="0"/>
        <v>4.3.6</v>
      </c>
      <c r="E12" s="59" t="s">
        <v>81</v>
      </c>
      <c r="F12" s="61" t="s">
        <v>14</v>
      </c>
      <c r="G12" s="62">
        <v>6</v>
      </c>
      <c r="H12" s="63">
        <v>55055</v>
      </c>
      <c r="I12" s="64">
        <f t="shared" si="1"/>
        <v>330330</v>
      </c>
    </row>
    <row r="13" spans="1:9" ht="46.5" customHeight="1" thickBot="1" x14ac:dyDescent="0.25">
      <c r="A13" s="57">
        <v>4</v>
      </c>
      <c r="B13" s="58" t="s">
        <v>72</v>
      </c>
      <c r="C13" s="59" t="s">
        <v>59</v>
      </c>
      <c r="D13" s="60" t="str">
        <f t="shared" ref="D13" si="2">LEFT(B13,5)</f>
        <v>4.3.5</v>
      </c>
      <c r="E13" s="59" t="s">
        <v>74</v>
      </c>
      <c r="F13" s="61" t="s">
        <v>14</v>
      </c>
      <c r="G13" s="62">
        <v>1</v>
      </c>
      <c r="H13" s="63">
        <v>748264</v>
      </c>
      <c r="I13" s="64">
        <f t="shared" ref="I13" si="3">H13*G13</f>
        <v>748264</v>
      </c>
    </row>
    <row r="14" spans="1:9" x14ac:dyDescent="0.2">
      <c r="I14" s="83"/>
    </row>
    <row r="15" spans="1:9" ht="13.5" thickBot="1" x14ac:dyDescent="0.25"/>
    <row r="16" spans="1:9" s="56" customFormat="1" x14ac:dyDescent="0.2">
      <c r="B16" s="65" t="s">
        <v>60</v>
      </c>
      <c r="C16" s="66"/>
      <c r="D16" s="66"/>
      <c r="E16" s="67"/>
    </row>
    <row r="17" spans="2:8" s="56" customFormat="1" x14ac:dyDescent="0.2">
      <c r="B17" s="68"/>
      <c r="C17" s="69"/>
      <c r="D17" s="69"/>
      <c r="E17" s="70"/>
    </row>
    <row r="18" spans="2:8" s="56" customFormat="1" x14ac:dyDescent="0.2">
      <c r="B18" s="71" t="s">
        <v>15</v>
      </c>
      <c r="C18" s="69"/>
      <c r="D18" s="69"/>
      <c r="E18" s="70"/>
    </row>
    <row r="19" spans="2:8" s="56" customFormat="1" x14ac:dyDescent="0.2">
      <c r="B19" s="71"/>
      <c r="C19" s="69"/>
      <c r="D19" s="69"/>
      <c r="E19" s="70"/>
    </row>
    <row r="20" spans="2:8" s="56" customFormat="1" ht="15.75" customHeight="1" x14ac:dyDescent="0.2">
      <c r="B20" s="71"/>
      <c r="C20" s="88" t="s">
        <v>87</v>
      </c>
      <c r="D20" s="88"/>
      <c r="E20" s="89"/>
      <c r="H20" s="84"/>
    </row>
    <row r="21" spans="2:8" s="56" customFormat="1" ht="147" customHeight="1" x14ac:dyDescent="0.2">
      <c r="B21" s="71"/>
      <c r="C21" s="88"/>
      <c r="D21" s="88"/>
      <c r="E21" s="89"/>
      <c r="H21" s="84"/>
    </row>
    <row r="22" spans="2:8" s="56" customFormat="1" ht="3" customHeight="1" x14ac:dyDescent="0.2">
      <c r="B22" s="71"/>
      <c r="C22" s="88"/>
      <c r="D22" s="88"/>
      <c r="E22" s="89"/>
    </row>
    <row r="23" spans="2:8" s="56" customFormat="1" ht="15.75" hidden="1" customHeight="1" x14ac:dyDescent="0.2">
      <c r="B23" s="71"/>
      <c r="C23" s="88"/>
      <c r="D23" s="88"/>
      <c r="E23" s="89"/>
    </row>
    <row r="24" spans="2:8" s="56" customFormat="1" ht="15.75" hidden="1" customHeight="1" x14ac:dyDescent="0.2">
      <c r="B24" s="71"/>
      <c r="C24" s="72"/>
      <c r="D24" s="73"/>
      <c r="E24" s="74"/>
    </row>
    <row r="25" spans="2:8" s="56" customFormat="1" ht="15.75" hidden="1" customHeight="1" x14ac:dyDescent="0.2">
      <c r="B25" s="71"/>
      <c r="C25" s="72"/>
      <c r="D25" s="73"/>
      <c r="E25" s="74"/>
    </row>
    <row r="26" spans="2:8" s="56" customFormat="1" ht="0.75" customHeight="1" x14ac:dyDescent="0.2">
      <c r="B26" s="71"/>
      <c r="C26" s="75"/>
      <c r="D26" s="75"/>
      <c r="E26" s="76"/>
    </row>
    <row r="27" spans="2:8" s="56" customFormat="1" x14ac:dyDescent="0.2">
      <c r="B27" s="71" t="s">
        <v>16</v>
      </c>
      <c r="C27" s="69"/>
      <c r="D27" s="69"/>
      <c r="E27" s="70"/>
    </row>
    <row r="28" spans="2:8" s="56" customFormat="1" x14ac:dyDescent="0.2">
      <c r="B28" s="77"/>
      <c r="C28" s="88" t="s">
        <v>91</v>
      </c>
      <c r="D28" s="88"/>
      <c r="E28" s="89"/>
    </row>
    <row r="29" spans="2:8" s="56" customFormat="1" ht="42" customHeight="1" x14ac:dyDescent="0.2">
      <c r="B29" s="77"/>
      <c r="C29" s="88"/>
      <c r="D29" s="88"/>
      <c r="E29" s="89"/>
    </row>
    <row r="30" spans="2:8" s="56" customFormat="1" ht="6" customHeight="1" x14ac:dyDescent="0.2">
      <c r="B30" s="77"/>
      <c r="C30" s="88"/>
      <c r="D30" s="88"/>
      <c r="E30" s="89"/>
    </row>
    <row r="31" spans="2:8" s="56" customFormat="1" ht="23.25" customHeight="1" x14ac:dyDescent="0.2">
      <c r="B31" s="71" t="s">
        <v>64</v>
      </c>
      <c r="C31" s="69"/>
      <c r="D31" s="69"/>
      <c r="E31" s="70"/>
    </row>
    <row r="32" spans="2:8" s="56" customFormat="1" x14ac:dyDescent="0.2">
      <c r="B32" s="77"/>
      <c r="C32" s="90"/>
      <c r="D32" s="90"/>
      <c r="E32" s="91"/>
    </row>
    <row r="33" spans="2:5" s="56" customFormat="1" x14ac:dyDescent="0.2">
      <c r="B33" s="71" t="s">
        <v>67</v>
      </c>
      <c r="C33" s="78"/>
      <c r="D33" s="78"/>
      <c r="E33" s="79"/>
    </row>
    <row r="34" spans="2:5" s="56" customFormat="1" x14ac:dyDescent="0.2">
      <c r="B34" s="77"/>
      <c r="C34" s="90"/>
      <c r="D34" s="90"/>
      <c r="E34" s="91"/>
    </row>
    <row r="35" spans="2:5" s="56" customFormat="1" x14ac:dyDescent="0.2">
      <c r="B35" s="71" t="s">
        <v>17</v>
      </c>
      <c r="C35" s="69" t="s">
        <v>65</v>
      </c>
      <c r="D35" s="69"/>
      <c r="E35" s="70"/>
    </row>
    <row r="36" spans="2:5" s="56" customFormat="1" x14ac:dyDescent="0.2">
      <c r="B36" s="71"/>
      <c r="C36" s="90"/>
      <c r="D36" s="92"/>
      <c r="E36" s="93"/>
    </row>
    <row r="37" spans="2:5" s="56" customFormat="1" ht="13.5" thickBot="1" x14ac:dyDescent="0.25">
      <c r="B37" s="80"/>
      <c r="C37" s="81"/>
      <c r="D37" s="81"/>
      <c r="E37" s="82"/>
    </row>
    <row r="38" spans="2:5" s="56" customFormat="1" ht="13.5" thickBot="1" x14ac:dyDescent="0.25"/>
    <row r="39" spans="2:5" s="56" customFormat="1" x14ac:dyDescent="0.2">
      <c r="B39" s="65" t="s">
        <v>82</v>
      </c>
      <c r="C39" s="66"/>
      <c r="D39" s="66"/>
      <c r="E39" s="67"/>
    </row>
    <row r="40" spans="2:5" s="56" customFormat="1" x14ac:dyDescent="0.2">
      <c r="B40" s="68"/>
      <c r="C40" s="69"/>
      <c r="D40" s="69"/>
      <c r="E40" s="70"/>
    </row>
    <row r="41" spans="2:5" s="56" customFormat="1" x14ac:dyDescent="0.2">
      <c r="B41" s="71" t="s">
        <v>15</v>
      </c>
      <c r="C41" s="69"/>
      <c r="D41" s="69"/>
      <c r="E41" s="70"/>
    </row>
    <row r="42" spans="2:5" s="56" customFormat="1" x14ac:dyDescent="0.2">
      <c r="B42" s="71"/>
      <c r="C42" s="69"/>
      <c r="D42" s="69"/>
      <c r="E42" s="70"/>
    </row>
    <row r="43" spans="2:5" s="56" customFormat="1" x14ac:dyDescent="0.2">
      <c r="B43" s="71"/>
      <c r="C43" s="88" t="s">
        <v>88</v>
      </c>
      <c r="D43" s="88"/>
      <c r="E43" s="89"/>
    </row>
    <row r="44" spans="2:5" s="56" customFormat="1" ht="126" customHeight="1" x14ac:dyDescent="0.2">
      <c r="B44" s="71"/>
      <c r="C44" s="88"/>
      <c r="D44" s="88"/>
      <c r="E44" s="89"/>
    </row>
    <row r="45" spans="2:5" s="56" customFormat="1" ht="2.25" customHeight="1" x14ac:dyDescent="0.2">
      <c r="B45" s="71"/>
      <c r="C45" s="88"/>
      <c r="D45" s="88"/>
      <c r="E45" s="89"/>
    </row>
    <row r="46" spans="2:5" s="56" customFormat="1" ht="9" hidden="1" customHeight="1" x14ac:dyDescent="0.2">
      <c r="B46" s="71"/>
      <c r="C46" s="72"/>
      <c r="D46" s="73"/>
      <c r="E46" s="74"/>
    </row>
    <row r="47" spans="2:5" s="56" customFormat="1" hidden="1" x14ac:dyDescent="0.2">
      <c r="B47" s="71"/>
      <c r="C47" s="75"/>
      <c r="D47" s="75"/>
      <c r="E47" s="76"/>
    </row>
    <row r="48" spans="2:5" s="56" customFormat="1" x14ac:dyDescent="0.2">
      <c r="B48" s="71" t="s">
        <v>16</v>
      </c>
      <c r="C48" s="69"/>
      <c r="D48" s="69"/>
      <c r="E48" s="70"/>
    </row>
    <row r="49" spans="2:5" s="56" customFormat="1" ht="12.75" customHeight="1" x14ac:dyDescent="0.2">
      <c r="B49" s="77"/>
      <c r="C49" s="88" t="s">
        <v>92</v>
      </c>
      <c r="D49" s="88"/>
      <c r="E49" s="89"/>
    </row>
    <row r="50" spans="2:5" s="56" customFormat="1" ht="59.25" customHeight="1" x14ac:dyDescent="0.2">
      <c r="B50" s="77"/>
      <c r="C50" s="88"/>
      <c r="D50" s="88"/>
      <c r="E50" s="89"/>
    </row>
    <row r="51" spans="2:5" s="56" customFormat="1" x14ac:dyDescent="0.2">
      <c r="B51" s="77"/>
      <c r="C51" s="88"/>
      <c r="D51" s="88"/>
      <c r="E51" s="89"/>
    </row>
    <row r="52" spans="2:5" x14ac:dyDescent="0.2">
      <c r="B52" s="71" t="s">
        <v>86</v>
      </c>
      <c r="C52" s="69"/>
      <c r="D52" s="69"/>
      <c r="E52" s="70"/>
    </row>
    <row r="53" spans="2:5" x14ac:dyDescent="0.2">
      <c r="B53" s="77"/>
      <c r="C53" s="90"/>
      <c r="D53" s="90"/>
      <c r="E53" s="91"/>
    </row>
    <row r="54" spans="2:5" x14ac:dyDescent="0.2">
      <c r="B54" s="71" t="s">
        <v>67</v>
      </c>
      <c r="C54" s="78"/>
      <c r="D54" s="78"/>
      <c r="E54" s="79"/>
    </row>
    <row r="55" spans="2:5" x14ac:dyDescent="0.2">
      <c r="B55" s="77"/>
      <c r="C55" s="90"/>
      <c r="D55" s="90"/>
      <c r="E55" s="91"/>
    </row>
    <row r="56" spans="2:5" x14ac:dyDescent="0.2">
      <c r="B56" s="71" t="s">
        <v>17</v>
      </c>
      <c r="C56" s="69" t="s">
        <v>65</v>
      </c>
      <c r="D56" s="69"/>
      <c r="E56" s="70"/>
    </row>
    <row r="57" spans="2:5" x14ac:dyDescent="0.2">
      <c r="B57" s="71"/>
      <c r="C57" s="90"/>
      <c r="D57" s="92"/>
      <c r="E57" s="93"/>
    </row>
    <row r="58" spans="2:5" ht="13.5" thickBot="1" x14ac:dyDescent="0.25">
      <c r="B58" s="80"/>
      <c r="C58" s="81"/>
      <c r="D58" s="81"/>
      <c r="E58" s="82"/>
    </row>
    <row r="60" spans="2:5" ht="13.5" thickBot="1" x14ac:dyDescent="0.25"/>
    <row r="61" spans="2:5" x14ac:dyDescent="0.2">
      <c r="B61" s="65" t="s">
        <v>83</v>
      </c>
      <c r="C61" s="66"/>
      <c r="D61" s="66"/>
      <c r="E61" s="67"/>
    </row>
    <row r="62" spans="2:5" x14ac:dyDescent="0.2">
      <c r="B62" s="68"/>
      <c r="C62" s="69"/>
      <c r="D62" s="69"/>
      <c r="E62" s="70"/>
    </row>
    <row r="63" spans="2:5" x14ac:dyDescent="0.2">
      <c r="B63" s="71" t="s">
        <v>15</v>
      </c>
      <c r="C63" s="69"/>
      <c r="D63" s="69"/>
      <c r="E63" s="70"/>
    </row>
    <row r="64" spans="2:5" x14ac:dyDescent="0.2">
      <c r="B64" s="71"/>
      <c r="C64" s="69"/>
      <c r="D64" s="69"/>
      <c r="E64" s="70"/>
    </row>
    <row r="65" spans="2:5" x14ac:dyDescent="0.2">
      <c r="B65" s="71"/>
      <c r="C65" s="88" t="s">
        <v>90</v>
      </c>
      <c r="D65" s="88"/>
      <c r="E65" s="89"/>
    </row>
    <row r="66" spans="2:5" ht="125.25" customHeight="1" x14ac:dyDescent="0.2">
      <c r="B66" s="71"/>
      <c r="C66" s="88" t="s">
        <v>61</v>
      </c>
      <c r="D66" s="88"/>
      <c r="E66" s="89"/>
    </row>
    <row r="67" spans="2:5" ht="5.25" customHeight="1" x14ac:dyDescent="0.2">
      <c r="B67" s="71"/>
      <c r="C67" s="88"/>
      <c r="D67" s="88"/>
      <c r="E67" s="89"/>
    </row>
    <row r="68" spans="2:5" hidden="1" x14ac:dyDescent="0.2">
      <c r="B68" s="71"/>
      <c r="C68" s="88" t="s">
        <v>62</v>
      </c>
      <c r="D68" s="88"/>
      <c r="E68" s="89"/>
    </row>
    <row r="69" spans="2:5" hidden="1" x14ac:dyDescent="0.2">
      <c r="B69" s="71"/>
      <c r="C69" s="88"/>
      <c r="D69" s="88"/>
      <c r="E69" s="89"/>
    </row>
    <row r="70" spans="2:5" hidden="1" x14ac:dyDescent="0.2">
      <c r="B70" s="71"/>
      <c r="C70" s="72"/>
      <c r="D70" s="73"/>
      <c r="E70" s="74"/>
    </row>
    <row r="71" spans="2:5" ht="6" customHeight="1" x14ac:dyDescent="0.2">
      <c r="B71" s="71"/>
      <c r="C71" s="72"/>
      <c r="D71" s="73"/>
      <c r="E71" s="74"/>
    </row>
    <row r="72" spans="2:5" hidden="1" x14ac:dyDescent="0.2">
      <c r="B72" s="71"/>
      <c r="C72" s="75"/>
      <c r="D72" s="75"/>
      <c r="E72" s="76"/>
    </row>
    <row r="73" spans="2:5" x14ac:dyDescent="0.2">
      <c r="B73" s="71" t="s">
        <v>16</v>
      </c>
      <c r="C73" s="69"/>
      <c r="D73" s="69"/>
      <c r="E73" s="70"/>
    </row>
    <row r="74" spans="2:5" x14ac:dyDescent="0.2">
      <c r="B74" s="77"/>
      <c r="C74" s="88" t="s">
        <v>92</v>
      </c>
      <c r="D74" s="88"/>
      <c r="E74" s="89"/>
    </row>
    <row r="75" spans="2:5" ht="45" customHeight="1" x14ac:dyDescent="0.2">
      <c r="B75" s="77"/>
      <c r="C75" s="88"/>
      <c r="D75" s="88"/>
      <c r="E75" s="89"/>
    </row>
    <row r="76" spans="2:5" x14ac:dyDescent="0.2">
      <c r="B76" s="77"/>
      <c r="C76" s="88"/>
      <c r="D76" s="88"/>
      <c r="E76" s="89"/>
    </row>
    <row r="77" spans="2:5" x14ac:dyDescent="0.2">
      <c r="B77" s="71" t="s">
        <v>85</v>
      </c>
      <c r="C77" s="69"/>
      <c r="D77" s="69"/>
      <c r="E77" s="70"/>
    </row>
    <row r="78" spans="2:5" x14ac:dyDescent="0.2">
      <c r="B78" s="77"/>
      <c r="C78" s="90"/>
      <c r="D78" s="90"/>
      <c r="E78" s="91"/>
    </row>
    <row r="79" spans="2:5" x14ac:dyDescent="0.2">
      <c r="B79" s="71" t="s">
        <v>67</v>
      </c>
      <c r="C79" s="78"/>
      <c r="D79" s="78"/>
      <c r="E79" s="79"/>
    </row>
    <row r="80" spans="2:5" x14ac:dyDescent="0.2">
      <c r="B80" s="77"/>
      <c r="C80" s="90"/>
      <c r="D80" s="90"/>
      <c r="E80" s="91"/>
    </row>
    <row r="81" spans="2:5" x14ac:dyDescent="0.2">
      <c r="B81" s="71" t="s">
        <v>17</v>
      </c>
      <c r="C81" s="69" t="s">
        <v>65</v>
      </c>
      <c r="D81" s="69"/>
      <c r="E81" s="70"/>
    </row>
    <row r="82" spans="2:5" x14ac:dyDescent="0.2">
      <c r="B82" s="71"/>
      <c r="C82" s="90"/>
      <c r="D82" s="92"/>
      <c r="E82" s="93"/>
    </row>
    <row r="83" spans="2:5" ht="13.5" thickBot="1" x14ac:dyDescent="0.25">
      <c r="B83" s="80"/>
      <c r="C83" s="81"/>
      <c r="D83" s="81"/>
      <c r="E83" s="82"/>
    </row>
    <row r="85" spans="2:5" ht="13.5" thickBot="1" x14ac:dyDescent="0.25"/>
    <row r="86" spans="2:5" x14ac:dyDescent="0.2">
      <c r="B86" s="65" t="s">
        <v>84</v>
      </c>
      <c r="C86" s="66"/>
      <c r="D86" s="66"/>
      <c r="E86" s="67"/>
    </row>
    <row r="87" spans="2:5" x14ac:dyDescent="0.2">
      <c r="B87" s="68"/>
      <c r="C87" s="69"/>
      <c r="D87" s="69"/>
      <c r="E87" s="70"/>
    </row>
    <row r="88" spans="2:5" x14ac:dyDescent="0.2">
      <c r="B88" s="71" t="s">
        <v>15</v>
      </c>
      <c r="C88" s="69"/>
      <c r="D88" s="69"/>
      <c r="E88" s="70"/>
    </row>
    <row r="89" spans="2:5" x14ac:dyDescent="0.2">
      <c r="B89" s="71"/>
      <c r="C89" s="69"/>
      <c r="D89" s="69"/>
      <c r="E89" s="70"/>
    </row>
    <row r="90" spans="2:5" x14ac:dyDescent="0.2">
      <c r="B90" s="71"/>
      <c r="C90" s="88" t="s">
        <v>89</v>
      </c>
      <c r="D90" s="88"/>
      <c r="E90" s="89"/>
    </row>
    <row r="91" spans="2:5" ht="233.25" customHeight="1" x14ac:dyDescent="0.2">
      <c r="B91" s="71"/>
      <c r="C91" s="88" t="s">
        <v>61</v>
      </c>
      <c r="D91" s="88"/>
      <c r="E91" s="89"/>
    </row>
    <row r="92" spans="2:5" ht="4.5" customHeight="1" x14ac:dyDescent="0.2">
      <c r="B92" s="71"/>
      <c r="C92" s="88"/>
      <c r="D92" s="88"/>
      <c r="E92" s="89"/>
    </row>
    <row r="93" spans="2:5" hidden="1" x14ac:dyDescent="0.2">
      <c r="B93" s="71"/>
      <c r="C93" s="88" t="s">
        <v>62</v>
      </c>
      <c r="D93" s="88"/>
      <c r="E93" s="89"/>
    </row>
    <row r="94" spans="2:5" hidden="1" x14ac:dyDescent="0.2">
      <c r="B94" s="71"/>
      <c r="C94" s="88"/>
      <c r="D94" s="88"/>
      <c r="E94" s="89"/>
    </row>
    <row r="95" spans="2:5" hidden="1" x14ac:dyDescent="0.2">
      <c r="B95" s="71"/>
      <c r="C95" s="88" t="s">
        <v>63</v>
      </c>
      <c r="D95" s="88"/>
      <c r="E95" s="89"/>
    </row>
    <row r="96" spans="2:5" hidden="1" x14ac:dyDescent="0.2">
      <c r="B96" s="71"/>
      <c r="C96" s="72"/>
      <c r="D96" s="73"/>
      <c r="E96" s="74"/>
    </row>
    <row r="97" spans="2:5" x14ac:dyDescent="0.2">
      <c r="B97" s="71"/>
      <c r="C97" s="75"/>
      <c r="D97" s="75"/>
      <c r="E97" s="76"/>
    </row>
    <row r="98" spans="2:5" x14ac:dyDescent="0.2">
      <c r="B98" s="71" t="s">
        <v>16</v>
      </c>
      <c r="C98" s="69"/>
      <c r="D98" s="69"/>
      <c r="E98" s="70"/>
    </row>
    <row r="99" spans="2:5" x14ac:dyDescent="0.2">
      <c r="B99" s="77"/>
      <c r="C99" s="88" t="s">
        <v>92</v>
      </c>
      <c r="D99" s="88"/>
      <c r="E99" s="89"/>
    </row>
    <row r="100" spans="2:5" ht="51" customHeight="1" x14ac:dyDescent="0.2">
      <c r="B100" s="77"/>
      <c r="C100" s="88"/>
      <c r="D100" s="88"/>
      <c r="E100" s="89"/>
    </row>
    <row r="101" spans="2:5" x14ac:dyDescent="0.2">
      <c r="B101" s="77"/>
      <c r="C101" s="88"/>
      <c r="D101" s="88"/>
      <c r="E101" s="89"/>
    </row>
    <row r="102" spans="2:5" x14ac:dyDescent="0.2">
      <c r="B102" s="71" t="s">
        <v>85</v>
      </c>
      <c r="C102" s="69"/>
      <c r="D102" s="69"/>
      <c r="E102" s="70"/>
    </row>
    <row r="103" spans="2:5" x14ac:dyDescent="0.2">
      <c r="B103" s="77"/>
      <c r="C103" s="90"/>
      <c r="D103" s="90"/>
      <c r="E103" s="91"/>
    </row>
    <row r="104" spans="2:5" x14ac:dyDescent="0.2">
      <c r="B104" s="71" t="s">
        <v>67</v>
      </c>
      <c r="C104" s="78"/>
      <c r="D104" s="78"/>
      <c r="E104" s="79"/>
    </row>
    <row r="105" spans="2:5" x14ac:dyDescent="0.2">
      <c r="B105" s="77"/>
      <c r="C105" s="90"/>
      <c r="D105" s="90"/>
      <c r="E105" s="91"/>
    </row>
    <row r="106" spans="2:5" x14ac:dyDescent="0.2">
      <c r="B106" s="71" t="s">
        <v>17</v>
      </c>
      <c r="C106" s="69" t="s">
        <v>65</v>
      </c>
      <c r="D106" s="69"/>
      <c r="E106" s="70"/>
    </row>
    <row r="107" spans="2:5" x14ac:dyDescent="0.2">
      <c r="B107" s="71"/>
      <c r="C107" s="90"/>
      <c r="D107" s="92"/>
      <c r="E107" s="93"/>
    </row>
    <row r="108" spans="2:5" ht="13.5" thickBot="1" x14ac:dyDescent="0.25">
      <c r="B108" s="80"/>
      <c r="C108" s="81"/>
      <c r="D108" s="81"/>
      <c r="E108" s="82"/>
    </row>
  </sheetData>
  <mergeCells count="37">
    <mergeCell ref="C90:E91"/>
    <mergeCell ref="C92:E93"/>
    <mergeCell ref="C94:E95"/>
    <mergeCell ref="C20:E21"/>
    <mergeCell ref="C22:E23"/>
    <mergeCell ref="C43:E44"/>
    <mergeCell ref="C45:E45"/>
    <mergeCell ref="C65:E66"/>
    <mergeCell ref="C67:E68"/>
    <mergeCell ref="C69:E69"/>
    <mergeCell ref="C74:E75"/>
    <mergeCell ref="C76:E76"/>
    <mergeCell ref="C78:E78"/>
    <mergeCell ref="C80:E80"/>
    <mergeCell ref="C82:E82"/>
    <mergeCell ref="C49:E50"/>
    <mergeCell ref="C99:E100"/>
    <mergeCell ref="C101:E101"/>
    <mergeCell ref="C103:E103"/>
    <mergeCell ref="C105:E105"/>
    <mergeCell ref="C107:E107"/>
    <mergeCell ref="C51:E51"/>
    <mergeCell ref="C53:E53"/>
    <mergeCell ref="C55:E55"/>
    <mergeCell ref="C57:E57"/>
    <mergeCell ref="C28:E29"/>
    <mergeCell ref="C36:E36"/>
    <mergeCell ref="C30:E30"/>
    <mergeCell ref="C32:E32"/>
    <mergeCell ref="C34:E34"/>
    <mergeCell ref="A6:B6"/>
    <mergeCell ref="A7:B7"/>
    <mergeCell ref="B2:H2"/>
    <mergeCell ref="A4:B4"/>
    <mergeCell ref="C4:E4"/>
    <mergeCell ref="A5:B5"/>
    <mergeCell ref="C5:E5"/>
  </mergeCells>
  <pageMargins left="0.7" right="0.7" top="0.75" bottom="0.75" header="0.51180555555555496" footer="0.51180555555555496"/>
  <pageSetup paperSize="7"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6"/>
  <sheetViews>
    <sheetView topLeftCell="A6" zoomScaleNormal="100" workbookViewId="0">
      <selection activeCell="D8" sqref="D8:K8"/>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94" t="s">
        <v>18</v>
      </c>
      <c r="B1" s="94"/>
      <c r="C1" s="94"/>
      <c r="D1" s="94"/>
      <c r="E1" s="94"/>
      <c r="F1" s="94"/>
      <c r="G1" s="94"/>
      <c r="H1" s="94"/>
      <c r="I1" s="94"/>
      <c r="J1" s="45" t="s">
        <v>19</v>
      </c>
      <c r="K1" s="46" t="s">
        <v>75</v>
      </c>
    </row>
    <row r="2" spans="1:11" ht="18.75" customHeight="1" thickBot="1" x14ac:dyDescent="0.25">
      <c r="A2" s="47"/>
      <c r="B2" s="47"/>
      <c r="C2" s="47"/>
      <c r="D2" s="48"/>
      <c r="E2" s="48"/>
      <c r="F2" s="48"/>
      <c r="G2" s="48"/>
      <c r="H2" s="48"/>
      <c r="I2" s="48"/>
      <c r="J2" s="48"/>
      <c r="K2" s="48"/>
    </row>
    <row r="3" spans="1:11" ht="18.75" customHeight="1" thickBot="1" x14ac:dyDescent="0.25">
      <c r="A3" s="95" t="s">
        <v>53</v>
      </c>
      <c r="B3" s="95"/>
      <c r="C3" s="95"/>
      <c r="D3" s="96" t="str">
        <f>'Necesidades Trimestrales'!C4</f>
        <v>70 - MINISTERIO DE CIENCIA E INNOVACION TECNOLOGICA</v>
      </c>
      <c r="E3" s="96"/>
      <c r="F3" s="96"/>
      <c r="G3" s="96"/>
      <c r="H3" s="96"/>
      <c r="I3" s="96"/>
      <c r="J3" s="96"/>
      <c r="K3" s="96"/>
    </row>
    <row r="4" spans="1:11" ht="18.75" customHeight="1" thickBot="1" x14ac:dyDescent="0.25">
      <c r="A4" s="97" t="s">
        <v>54</v>
      </c>
      <c r="B4" s="97"/>
      <c r="C4" s="97"/>
      <c r="D4" s="96" t="str">
        <f>'Necesidades Trimestrales'!C5</f>
        <v>20 - MINISTERIO DE CIENCIA E INNOVACION TECNOLOGICA</v>
      </c>
      <c r="E4" s="96"/>
      <c r="F4" s="96"/>
      <c r="G4" s="96"/>
      <c r="H4" s="96"/>
      <c r="I4" s="96"/>
      <c r="J4" s="96"/>
      <c r="K4" s="96"/>
    </row>
    <row r="5" spans="1:11" ht="18.75" customHeight="1" thickBot="1" x14ac:dyDescent="0.25">
      <c r="A5" s="97" t="s">
        <v>32</v>
      </c>
      <c r="B5" s="97"/>
      <c r="C5" s="97"/>
      <c r="D5" s="96" t="s">
        <v>68</v>
      </c>
      <c r="E5" s="96"/>
      <c r="F5" s="96"/>
      <c r="G5" s="96"/>
      <c r="H5" s="96"/>
      <c r="I5" s="96"/>
      <c r="J5" s="96"/>
      <c r="K5" s="96"/>
    </row>
    <row r="6" spans="1:11" ht="16.5" customHeight="1" thickBot="1" x14ac:dyDescent="0.25">
      <c r="A6" s="95" t="s">
        <v>55</v>
      </c>
      <c r="B6" s="95"/>
      <c r="C6" s="95"/>
      <c r="D6" s="96" t="s">
        <v>69</v>
      </c>
      <c r="E6" s="96"/>
      <c r="F6" s="96"/>
      <c r="G6" s="96"/>
      <c r="H6" s="96"/>
      <c r="I6" s="96"/>
      <c r="J6" s="96"/>
      <c r="K6" s="96"/>
    </row>
    <row r="7" spans="1:11" ht="16.5" customHeight="1" x14ac:dyDescent="0.2">
      <c r="A7" s="97" t="s">
        <v>20</v>
      </c>
      <c r="B7" s="97"/>
      <c r="C7" s="97"/>
      <c r="D7" s="96" t="str">
        <f>'Necesidades Trimestrales'!C7 &amp; "° Trimestre - Año " &amp; 'Necesidades Trimestrales'!C6</f>
        <v>2° Trimestre - Año 2021</v>
      </c>
      <c r="E7" s="96"/>
      <c r="F7" s="96"/>
      <c r="G7" s="96"/>
      <c r="H7" s="96"/>
      <c r="I7" s="96"/>
      <c r="J7" s="96"/>
      <c r="K7" s="96"/>
    </row>
    <row r="8" spans="1:11" ht="33.75" customHeight="1" x14ac:dyDescent="0.2">
      <c r="A8" s="98" t="s">
        <v>21</v>
      </c>
      <c r="B8" s="98"/>
      <c r="C8" s="98"/>
      <c r="D8" s="99" t="s">
        <v>76</v>
      </c>
      <c r="E8" s="99"/>
      <c r="F8" s="99"/>
      <c r="G8" s="99"/>
      <c r="H8" s="99"/>
      <c r="I8" s="99"/>
      <c r="J8" s="99"/>
      <c r="K8" s="99"/>
    </row>
    <row r="9" spans="1:11" ht="15.75" x14ac:dyDescent="0.2">
      <c r="A9" s="49"/>
      <c r="B9" s="49"/>
      <c r="C9" s="49"/>
      <c r="D9" s="50"/>
      <c r="E9" s="50"/>
      <c r="F9" s="50"/>
      <c r="G9" s="50"/>
      <c r="H9" s="50"/>
      <c r="I9" s="50"/>
      <c r="J9" s="50"/>
      <c r="K9" s="50"/>
    </row>
    <row r="10" spans="1:11" ht="18.75" customHeight="1" x14ac:dyDescent="0.2">
      <c r="A10" s="100" t="s">
        <v>22</v>
      </c>
      <c r="B10" s="101" t="s">
        <v>23</v>
      </c>
      <c r="C10" s="101" t="s">
        <v>24</v>
      </c>
      <c r="D10" s="101"/>
      <c r="E10" s="101"/>
      <c r="F10" s="101"/>
      <c r="G10" s="101"/>
      <c r="H10" s="101" t="s">
        <v>25</v>
      </c>
      <c r="I10" s="101" t="s">
        <v>26</v>
      </c>
      <c r="J10" s="101" t="s">
        <v>27</v>
      </c>
      <c r="K10" s="102" t="s">
        <v>28</v>
      </c>
    </row>
    <row r="11" spans="1:11" ht="24" customHeight="1" thickBot="1" x14ac:dyDescent="0.25">
      <c r="A11" s="100"/>
      <c r="B11" s="101"/>
      <c r="C11" s="101"/>
      <c r="D11" s="101"/>
      <c r="E11" s="101"/>
      <c r="F11" s="101"/>
      <c r="G11" s="101"/>
      <c r="H11" s="101"/>
      <c r="I11" s="101"/>
      <c r="J11" s="101"/>
      <c r="K11" s="102"/>
    </row>
    <row r="12" spans="1:11" ht="45.75" customHeight="1" thickBot="1" x14ac:dyDescent="0.25">
      <c r="A12" s="51">
        <v>1</v>
      </c>
      <c r="B12" s="52" t="str">
        <f>'Necesidades Trimestrales'!B10</f>
        <v>4.3.5-9163.80</v>
      </c>
      <c r="C12" s="103" t="str">
        <f>'Necesidades Trimestrales'!E10</f>
        <v>EQUIPOS DIDACTICOS TECNICOS; NOMBRE: LENTES, TIPO: REALIDAD VIRTUAL</v>
      </c>
      <c r="D12" s="104"/>
      <c r="E12" s="104"/>
      <c r="F12" s="104"/>
      <c r="G12" s="105"/>
      <c r="H12" s="51" t="s">
        <v>29</v>
      </c>
      <c r="I12" s="53" t="str">
        <f>'Necesidades Trimestrales'!F10</f>
        <v>UNIDAD</v>
      </c>
      <c r="J12" s="55">
        <f>'Necesidades Trimestrales'!H10</f>
        <v>198036.7</v>
      </c>
      <c r="K12" s="54">
        <v>3</v>
      </c>
    </row>
    <row r="13" spans="1:11" ht="41.25" customHeight="1" thickBot="1" x14ac:dyDescent="0.25">
      <c r="A13" s="51">
        <v>2</v>
      </c>
      <c r="B13" s="52" t="str">
        <f>'Necesidades Trimestrales'!B11</f>
        <v>4.3.5-9163.80</v>
      </c>
      <c r="C13" s="103" t="str">
        <f>'Necesidades Trimestrales'!E11</f>
        <v>EQUIPOS DIDACTICOS TECNICOS; NOMBRE: LENTES, TIPO: REALIDAD VIRTUAL</v>
      </c>
      <c r="D13" s="104"/>
      <c r="E13" s="104"/>
      <c r="F13" s="104"/>
      <c r="G13" s="105"/>
      <c r="H13" s="51" t="s">
        <v>29</v>
      </c>
      <c r="I13" s="53" t="str">
        <f>'Necesidades Trimestrales'!F11</f>
        <v>UNIDAD</v>
      </c>
      <c r="J13" s="55">
        <f>'Necesidades Trimestrales'!H11</f>
        <v>92202</v>
      </c>
      <c r="K13" s="54">
        <v>4</v>
      </c>
    </row>
    <row r="14" spans="1:11" ht="46.5" customHeight="1" thickBot="1" x14ac:dyDescent="0.25">
      <c r="A14" s="51">
        <v>3</v>
      </c>
      <c r="B14" s="52" t="str">
        <f>'Necesidades Trimestrales'!B12</f>
        <v>4.3.6-9604.3</v>
      </c>
      <c r="C14" s="103" t="str">
        <f>'Necesidades Trimestrales'!E12</f>
        <v>TABLETA PC; RESOLUCION: 1280 X 800 PXL, PANTALLA: 9,4 pulg, MEMORIA: 32 Gb, MEMORIA RAM: 32 Gb</v>
      </c>
      <c r="D14" s="104"/>
      <c r="E14" s="104"/>
      <c r="F14" s="104"/>
      <c r="G14" s="105"/>
      <c r="H14" s="51" t="s">
        <v>29</v>
      </c>
      <c r="I14" s="53" t="str">
        <f>'Necesidades Trimestrales'!F12</f>
        <v>UNIDAD</v>
      </c>
      <c r="J14" s="55">
        <f>'Necesidades Trimestrales'!H12</f>
        <v>55055</v>
      </c>
      <c r="K14" s="54">
        <v>6</v>
      </c>
    </row>
    <row r="15" spans="1:11" ht="46.5" customHeight="1" thickBot="1" x14ac:dyDescent="0.25">
      <c r="A15" s="51">
        <v>4</v>
      </c>
      <c r="B15" s="52" t="str">
        <f>'Necesidades Trimestrales'!B13</f>
        <v>4.3.5-9163.90</v>
      </c>
      <c r="C15" s="103" t="str">
        <f>'Necesidades Trimestrales'!E13</f>
        <v>EQUIPOS DIDACTICOS TECNICOS; NOMBRE: KIT EXPERIMENTAL , TIPO: SEGÚN PLIEGO</v>
      </c>
      <c r="D15" s="104"/>
      <c r="E15" s="104"/>
      <c r="F15" s="104"/>
      <c r="G15" s="105"/>
      <c r="H15" s="51" t="s">
        <v>29</v>
      </c>
      <c r="I15" s="53" t="str">
        <f>'Necesidades Trimestrales'!F13</f>
        <v>UNIDAD</v>
      </c>
      <c r="J15" s="55">
        <f>'Necesidades Trimestrales'!H13</f>
        <v>748264</v>
      </c>
      <c r="K15" s="54">
        <v>1</v>
      </c>
    </row>
    <row r="16" spans="1:11" ht="20.25" customHeight="1" thickBot="1" x14ac:dyDescent="0.25">
      <c r="A16" s="106" t="s">
        <v>79</v>
      </c>
      <c r="B16" s="106"/>
      <c r="C16" s="106"/>
      <c r="D16" s="106"/>
      <c r="E16" s="106"/>
      <c r="F16" s="106"/>
      <c r="G16" s="106"/>
      <c r="H16" s="106"/>
      <c r="I16" s="106"/>
      <c r="J16" s="107">
        <v>2041512.1</v>
      </c>
      <c r="K16" s="107"/>
    </row>
  </sheetData>
  <mergeCells count="26">
    <mergeCell ref="C12:G12"/>
    <mergeCell ref="C13:G13"/>
    <mergeCell ref="C14:G14"/>
    <mergeCell ref="A16:I16"/>
    <mergeCell ref="J16:K16"/>
    <mergeCell ref="C15:G15"/>
    <mergeCell ref="A8:C8"/>
    <mergeCell ref="D8:K8"/>
    <mergeCell ref="A10:A11"/>
    <mergeCell ref="B10:B11"/>
    <mergeCell ref="C10:G11"/>
    <mergeCell ref="H10:H11"/>
    <mergeCell ref="I10:I11"/>
    <mergeCell ref="J10:J11"/>
    <mergeCell ref="K10:K11"/>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7" scale="90" firstPageNumber="0" orientation="landscape"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topLeftCell="A11" zoomScaleNormal="100" workbookViewId="0">
      <selection activeCell="I30" sqref="I30"/>
    </sheetView>
  </sheetViews>
  <sheetFormatPr baseColWidth="10" defaultColWidth="11" defaultRowHeight="12.75" x14ac:dyDescent="0.2"/>
  <cols>
    <col min="1" max="5" width="4.42578125" customWidth="1"/>
    <col min="6" max="6" width="5.42578125" customWidth="1"/>
    <col min="7" max="7" width="4.42578125" style="3" customWidth="1"/>
    <col min="8" max="14" width="4.42578125" customWidth="1"/>
    <col min="15" max="15" width="14.85546875" customWidth="1"/>
    <col min="16" max="16" width="18.7109375" customWidth="1"/>
    <col min="17" max="17" width="14.7109375" customWidth="1"/>
  </cols>
  <sheetData>
    <row r="1" spans="1:17" ht="15.75" customHeight="1" x14ac:dyDescent="0.25">
      <c r="A1" s="108" t="s">
        <v>3</v>
      </c>
      <c r="B1" s="108"/>
      <c r="C1" s="108"/>
      <c r="D1" s="109">
        <f>'Necesidades Trimestrales'!C6</f>
        <v>2021</v>
      </c>
      <c r="E1" s="109"/>
      <c r="F1" s="19"/>
      <c r="G1" s="19"/>
      <c r="H1" s="20"/>
      <c r="I1" s="20"/>
      <c r="J1" s="20"/>
      <c r="K1" s="20"/>
      <c r="L1" s="20"/>
      <c r="M1" s="20"/>
      <c r="N1" s="20"/>
      <c r="O1" s="21"/>
      <c r="P1" s="110" t="s">
        <v>30</v>
      </c>
      <c r="Q1" s="110"/>
    </row>
    <row r="2" spans="1:17" ht="15.75" customHeight="1" x14ac:dyDescent="0.2">
      <c r="A2" s="21"/>
      <c r="B2" s="21"/>
      <c r="C2" s="21"/>
      <c r="D2" s="21"/>
      <c r="E2" s="21"/>
      <c r="F2" s="21"/>
      <c r="G2" s="22"/>
      <c r="H2" s="20"/>
      <c r="I2" s="20"/>
      <c r="J2" s="20"/>
      <c r="K2" s="20"/>
      <c r="L2" s="20"/>
      <c r="M2" s="20"/>
      <c r="N2" s="20"/>
      <c r="O2" s="21"/>
      <c r="P2" s="110"/>
      <c r="Q2" s="110"/>
    </row>
    <row r="3" spans="1:17" x14ac:dyDescent="0.2">
      <c r="A3" s="21"/>
      <c r="B3" s="21"/>
      <c r="C3" s="21"/>
      <c r="D3" s="21"/>
      <c r="E3" s="21"/>
      <c r="F3" s="21"/>
      <c r="G3" s="22"/>
      <c r="H3" s="21"/>
      <c r="I3" s="21"/>
      <c r="J3" s="21"/>
      <c r="K3" s="21"/>
      <c r="L3" s="21"/>
      <c r="M3" s="21"/>
      <c r="N3" s="21"/>
      <c r="O3" s="21"/>
      <c r="P3" s="21"/>
      <c r="Q3" s="21"/>
    </row>
    <row r="4" spans="1:17" s="4" customFormat="1" ht="18" customHeight="1" thickBot="1" x14ac:dyDescent="0.25">
      <c r="A4" s="111" t="s">
        <v>31</v>
      </c>
      <c r="B4" s="111"/>
      <c r="C4" s="111"/>
      <c r="D4" s="111"/>
      <c r="E4" s="111"/>
      <c r="F4" s="111"/>
      <c r="G4" s="112" t="str">
        <f>' NotaPedido'!D3</f>
        <v>70 - MINISTERIO DE CIENCIA E INNOVACION TECNOLOGICA</v>
      </c>
      <c r="H4" s="112"/>
      <c r="I4" s="112"/>
      <c r="J4" s="112"/>
      <c r="K4" s="112"/>
      <c r="L4" s="112"/>
      <c r="M4" s="112"/>
      <c r="N4" s="112"/>
      <c r="O4" s="112"/>
      <c r="P4" s="112"/>
      <c r="Q4" s="112"/>
    </row>
    <row r="5" spans="1:17" s="4" customFormat="1" ht="18" customHeight="1" thickBot="1" x14ac:dyDescent="0.25">
      <c r="A5" s="113" t="s">
        <v>54</v>
      </c>
      <c r="B5" s="114"/>
      <c r="C5" s="114"/>
      <c r="D5" s="114"/>
      <c r="E5" s="114"/>
      <c r="F5" s="115"/>
      <c r="G5" s="112" t="str">
        <f>' NotaPedido'!D4</f>
        <v>20 - MINISTERIO DE CIENCIA E INNOVACION TECNOLOGICA</v>
      </c>
      <c r="H5" s="112"/>
      <c r="I5" s="112"/>
      <c r="J5" s="112"/>
      <c r="K5" s="112"/>
      <c r="L5" s="112"/>
      <c r="M5" s="112"/>
      <c r="N5" s="112"/>
      <c r="O5" s="112"/>
      <c r="P5" s="112"/>
      <c r="Q5" s="112"/>
    </row>
    <row r="6" spans="1:17" s="4" customFormat="1" ht="18" customHeight="1" thickBot="1" x14ac:dyDescent="0.25">
      <c r="A6" s="113" t="s">
        <v>32</v>
      </c>
      <c r="B6" s="114"/>
      <c r="C6" s="114"/>
      <c r="D6" s="114"/>
      <c r="E6" s="114"/>
      <c r="F6" s="115"/>
      <c r="G6" s="112" t="str">
        <f>' NotaPedido'!D5</f>
        <v xml:space="preserve"> SECRETARIA DE  CIENCIA Y TECNOLOGIA</v>
      </c>
      <c r="H6" s="112"/>
      <c r="I6" s="112"/>
      <c r="J6" s="112"/>
      <c r="K6" s="112"/>
      <c r="L6" s="112"/>
      <c r="M6" s="112"/>
      <c r="N6" s="112"/>
      <c r="O6" s="112"/>
      <c r="P6" s="112"/>
      <c r="Q6" s="112"/>
    </row>
    <row r="7" spans="1:17" s="4" customFormat="1" ht="18" customHeight="1" thickBot="1" x14ac:dyDescent="0.25">
      <c r="A7" s="113" t="s">
        <v>55</v>
      </c>
      <c r="B7" s="114"/>
      <c r="C7" s="114"/>
      <c r="D7" s="114"/>
      <c r="E7" s="114"/>
      <c r="F7" s="115"/>
      <c r="G7" s="112" t="str">
        <f>' NotaPedido'!D6</f>
        <v>DIRECCION PROVINCIAL DE GESTION ADMINISTRATIVA Y RECURSOS HUMANOS</v>
      </c>
      <c r="H7" s="112"/>
      <c r="I7" s="112"/>
      <c r="J7" s="112"/>
      <c r="K7" s="112"/>
      <c r="L7" s="112"/>
      <c r="M7" s="112"/>
      <c r="N7" s="112"/>
      <c r="O7" s="112"/>
      <c r="P7" s="112"/>
      <c r="Q7" s="112"/>
    </row>
    <row r="8" spans="1:17" ht="18" customHeight="1" thickBot="1" x14ac:dyDescent="0.25">
      <c r="A8" s="116" t="s">
        <v>33</v>
      </c>
      <c r="B8" s="116"/>
      <c r="C8" s="116"/>
      <c r="D8" s="116"/>
      <c r="E8" s="116"/>
      <c r="F8" s="116"/>
      <c r="G8" s="116"/>
      <c r="H8" s="116"/>
      <c r="I8" s="116"/>
      <c r="J8" s="116"/>
      <c r="K8" s="116"/>
      <c r="L8" s="116"/>
      <c r="M8" s="116"/>
      <c r="N8" s="116"/>
      <c r="O8" s="116"/>
      <c r="P8" s="116"/>
      <c r="Q8" s="116"/>
    </row>
    <row r="9" spans="1:17" ht="18" customHeight="1" x14ac:dyDescent="0.2">
      <c r="A9" s="117" t="s">
        <v>34</v>
      </c>
      <c r="B9" s="117"/>
      <c r="C9" s="117"/>
      <c r="D9" s="117"/>
      <c r="E9" s="117"/>
      <c r="F9" s="117"/>
      <c r="G9" s="117"/>
      <c r="H9" s="117"/>
      <c r="I9" s="117"/>
      <c r="J9" s="117"/>
      <c r="K9" s="117"/>
      <c r="L9" s="117"/>
      <c r="M9" s="117"/>
      <c r="N9" s="117"/>
      <c r="O9" s="23"/>
      <c r="P9" s="23"/>
      <c r="Q9" s="24"/>
    </row>
    <row r="10" spans="1:17" ht="54.75" customHeight="1" x14ac:dyDescent="0.2">
      <c r="A10" s="118"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015/2021,  afectando la erogación resultante a los créditos presupuestarios aprobados a favor de esta Unidad Ejecutora, conforme al siguiente detalle:</v>
      </c>
      <c r="B10" s="118"/>
      <c r="C10" s="118"/>
      <c r="D10" s="118"/>
      <c r="E10" s="118"/>
      <c r="F10" s="118"/>
      <c r="G10" s="118"/>
      <c r="H10" s="118"/>
      <c r="I10" s="118"/>
      <c r="J10" s="118"/>
      <c r="K10" s="118"/>
      <c r="L10" s="118"/>
      <c r="M10" s="118"/>
      <c r="N10" s="118"/>
      <c r="O10" s="118"/>
      <c r="P10" s="118"/>
      <c r="Q10" s="118"/>
    </row>
    <row r="11" spans="1:17" ht="9" customHeight="1" x14ac:dyDescent="0.2">
      <c r="A11" s="25"/>
      <c r="B11" s="26"/>
      <c r="C11" s="26"/>
      <c r="D11" s="26"/>
      <c r="E11" s="26"/>
      <c r="F11" s="26"/>
      <c r="G11" s="27"/>
      <c r="H11" s="26"/>
      <c r="I11" s="26"/>
      <c r="J11" s="26"/>
      <c r="K11" s="26"/>
      <c r="L11" s="26"/>
      <c r="M11" s="26"/>
      <c r="N11" s="26"/>
      <c r="O11" s="26"/>
      <c r="P11" s="26"/>
      <c r="Q11" s="28"/>
    </row>
    <row r="12" spans="1:17" ht="15.75" customHeight="1" x14ac:dyDescent="0.2">
      <c r="A12" s="119" t="s">
        <v>35</v>
      </c>
      <c r="B12" s="119"/>
      <c r="C12" s="119"/>
      <c r="D12" s="119"/>
      <c r="E12" s="119"/>
      <c r="F12" s="119"/>
      <c r="G12" s="119"/>
      <c r="H12" s="119"/>
      <c r="I12" s="119"/>
      <c r="J12" s="119"/>
      <c r="K12" s="119"/>
      <c r="L12" s="119"/>
      <c r="M12" s="119"/>
      <c r="N12" s="119"/>
      <c r="O12" s="119"/>
      <c r="P12" s="119"/>
      <c r="Q12" s="119"/>
    </row>
    <row r="13" spans="1:17" ht="15.75" customHeight="1" x14ac:dyDescent="0.2">
      <c r="A13" s="120" t="s">
        <v>36</v>
      </c>
      <c r="B13" s="120"/>
      <c r="C13" s="120"/>
      <c r="D13" s="120"/>
      <c r="E13" s="120"/>
      <c r="F13" s="120"/>
      <c r="G13" s="120"/>
      <c r="H13" s="120"/>
      <c r="I13" s="120"/>
      <c r="J13" s="120"/>
      <c r="K13" s="120"/>
      <c r="L13" s="120"/>
      <c r="M13" s="120"/>
      <c r="N13" s="120"/>
      <c r="O13" s="121" t="s">
        <v>37</v>
      </c>
      <c r="P13" s="121"/>
      <c r="Q13" s="122" t="s">
        <v>38</v>
      </c>
    </row>
    <row r="14" spans="1:17" ht="15.75" customHeight="1" thickBot="1" x14ac:dyDescent="0.25">
      <c r="A14" s="11" t="s">
        <v>39</v>
      </c>
      <c r="B14" s="12" t="s">
        <v>40</v>
      </c>
      <c r="C14" s="12" t="s">
        <v>41</v>
      </c>
      <c r="D14" s="12" t="s">
        <v>42</v>
      </c>
      <c r="E14" s="12" t="s">
        <v>43</v>
      </c>
      <c r="F14" s="12" t="s">
        <v>44</v>
      </c>
      <c r="G14" s="13" t="s">
        <v>45</v>
      </c>
      <c r="H14" s="12" t="s">
        <v>46</v>
      </c>
      <c r="I14" s="12" t="s">
        <v>47</v>
      </c>
      <c r="J14" s="12" t="s">
        <v>48</v>
      </c>
      <c r="K14" s="12" t="s">
        <v>48</v>
      </c>
      <c r="L14" s="12" t="s">
        <v>49</v>
      </c>
      <c r="M14" s="14" t="s">
        <v>50</v>
      </c>
      <c r="N14" s="15" t="s">
        <v>51</v>
      </c>
      <c r="O14" s="121"/>
      <c r="P14" s="121"/>
      <c r="Q14" s="122"/>
    </row>
    <row r="15" spans="1:17" ht="30.75" customHeight="1" thickBot="1" x14ac:dyDescent="0.25">
      <c r="A15" s="16">
        <v>2</v>
      </c>
      <c r="B15" s="17">
        <v>0</v>
      </c>
      <c r="C15" s="17">
        <v>0</v>
      </c>
      <c r="D15" s="17">
        <v>1</v>
      </c>
      <c r="E15" s="17">
        <v>0</v>
      </c>
      <c r="F15" s="17">
        <v>4901</v>
      </c>
      <c r="G15" s="17">
        <v>3</v>
      </c>
      <c r="H15" s="17">
        <v>350</v>
      </c>
      <c r="I15" s="17" t="str">
        <f>LEFT('Necesidades Trimestrales'!D13,1)</f>
        <v>4</v>
      </c>
      <c r="J15" s="17" t="str">
        <f>MID('Necesidades Trimestrales'!D13,3,1)</f>
        <v>3</v>
      </c>
      <c r="K15" s="17" t="str">
        <f>RIGHT('Necesidades Trimestrales'!D13,1)</f>
        <v>5</v>
      </c>
      <c r="L15" s="17">
        <v>0</v>
      </c>
      <c r="M15" s="18">
        <v>1</v>
      </c>
      <c r="N15" s="17" t="s">
        <v>58</v>
      </c>
      <c r="O15" s="123" t="s">
        <v>78</v>
      </c>
      <c r="P15" s="124"/>
      <c r="Q15" s="29">
        <v>1711182.1</v>
      </c>
    </row>
    <row r="16" spans="1:17" ht="17.25" customHeight="1" x14ac:dyDescent="0.2">
      <c r="A16" s="30">
        <v>2</v>
      </c>
      <c r="B16" s="31">
        <v>0</v>
      </c>
      <c r="C16" s="31">
        <v>0</v>
      </c>
      <c r="D16" s="31">
        <v>1</v>
      </c>
      <c r="E16" s="31">
        <v>0</v>
      </c>
      <c r="F16" s="31">
        <v>4901</v>
      </c>
      <c r="G16" s="31">
        <v>3</v>
      </c>
      <c r="H16" s="31">
        <v>350</v>
      </c>
      <c r="I16" s="31">
        <v>4</v>
      </c>
      <c r="J16" s="31">
        <v>3</v>
      </c>
      <c r="K16" s="31">
        <v>6</v>
      </c>
      <c r="L16" s="31">
        <v>0</v>
      </c>
      <c r="M16" s="32">
        <v>1</v>
      </c>
      <c r="N16" s="33" t="s">
        <v>58</v>
      </c>
      <c r="O16" s="125" t="s">
        <v>66</v>
      </c>
      <c r="P16" s="125"/>
      <c r="Q16" s="34">
        <v>330330</v>
      </c>
    </row>
    <row r="17" spans="1:18" ht="17.25" customHeight="1" x14ac:dyDescent="0.2">
      <c r="A17" s="30"/>
      <c r="B17" s="31"/>
      <c r="C17" s="31"/>
      <c r="D17" s="31"/>
      <c r="E17" s="31"/>
      <c r="F17" s="33"/>
      <c r="G17" s="31"/>
      <c r="H17" s="31"/>
      <c r="I17" s="31"/>
      <c r="J17" s="31"/>
      <c r="K17" s="31"/>
      <c r="L17" s="31"/>
      <c r="M17" s="32"/>
      <c r="N17" s="33"/>
      <c r="O17" s="125"/>
      <c r="P17" s="125"/>
      <c r="Q17" s="34"/>
    </row>
    <row r="18" spans="1:18" ht="17.25" customHeight="1" x14ac:dyDescent="0.2">
      <c r="A18" s="30"/>
      <c r="B18" s="31"/>
      <c r="C18" s="31"/>
      <c r="D18" s="31"/>
      <c r="E18" s="31"/>
      <c r="F18" s="33"/>
      <c r="G18" s="31"/>
      <c r="H18" s="31"/>
      <c r="I18" s="31"/>
      <c r="J18" s="31"/>
      <c r="K18" s="31"/>
      <c r="L18" s="31"/>
      <c r="M18" s="32"/>
      <c r="N18" s="33"/>
      <c r="O18" s="125"/>
      <c r="P18" s="125"/>
      <c r="Q18" s="34"/>
    </row>
    <row r="19" spans="1:18" ht="17.25" customHeight="1" x14ac:dyDescent="0.2">
      <c r="A19" s="35"/>
      <c r="B19" s="36"/>
      <c r="C19" s="36"/>
      <c r="D19" s="36"/>
      <c r="E19" s="36"/>
      <c r="F19" s="37"/>
      <c r="G19" s="36"/>
      <c r="H19" s="36"/>
      <c r="I19" s="36"/>
      <c r="J19" s="36"/>
      <c r="K19" s="36"/>
      <c r="L19" s="36"/>
      <c r="M19" s="38"/>
      <c r="N19" s="39"/>
      <c r="O19" s="136"/>
      <c r="P19" s="136"/>
      <c r="Q19" s="34"/>
      <c r="R19" s="1"/>
    </row>
    <row r="20" spans="1:18" ht="17.25" customHeight="1" x14ac:dyDescent="0.2">
      <c r="A20" s="40"/>
      <c r="B20" s="41"/>
      <c r="C20" s="41"/>
      <c r="D20" s="41"/>
      <c r="E20" s="41"/>
      <c r="F20" s="41"/>
      <c r="G20" s="41"/>
      <c r="H20" s="41"/>
      <c r="I20" s="41"/>
      <c r="J20" s="41"/>
      <c r="K20" s="41"/>
      <c r="L20" s="41"/>
      <c r="M20" s="42"/>
      <c r="N20" s="41"/>
      <c r="O20" s="137"/>
      <c r="P20" s="137"/>
      <c r="Q20" s="43"/>
    </row>
    <row r="21" spans="1:18" ht="20.25" customHeight="1" x14ac:dyDescent="0.2">
      <c r="A21" s="138" t="s">
        <v>77</v>
      </c>
      <c r="B21" s="138"/>
      <c r="C21" s="138"/>
      <c r="D21" s="138"/>
      <c r="E21" s="138"/>
      <c r="F21" s="138"/>
      <c r="G21" s="138"/>
      <c r="H21" s="138"/>
      <c r="I21" s="138"/>
      <c r="J21" s="138"/>
      <c r="K21" s="138"/>
      <c r="L21" s="138"/>
      <c r="M21" s="138"/>
      <c r="N21" s="138"/>
      <c r="O21" s="138"/>
      <c r="P21" s="138"/>
      <c r="Q21" s="44">
        <f>SUM(Q15:Q20)</f>
        <v>2041512.1</v>
      </c>
    </row>
    <row r="22" spans="1:18" ht="18" customHeight="1" thickBot="1" x14ac:dyDescent="0.25">
      <c r="A22" s="139"/>
      <c r="B22" s="139"/>
      <c r="C22" s="139"/>
      <c r="D22" s="139"/>
      <c r="E22" s="139"/>
      <c r="F22" s="139"/>
      <c r="G22" s="139"/>
      <c r="H22" s="139"/>
      <c r="I22" s="139"/>
      <c r="J22" s="139"/>
      <c r="K22" s="139"/>
      <c r="L22" s="139"/>
      <c r="M22" s="139"/>
      <c r="N22" s="139"/>
      <c r="O22" s="139"/>
      <c r="P22" s="139"/>
      <c r="Q22" s="139"/>
    </row>
    <row r="23" spans="1:18" ht="17.25" customHeight="1" thickBot="1" x14ac:dyDescent="0.25">
      <c r="A23" s="126" t="s">
        <v>52</v>
      </c>
      <c r="B23" s="127"/>
      <c r="C23" s="127"/>
      <c r="D23" s="127"/>
      <c r="E23" s="127"/>
      <c r="F23" s="128"/>
      <c r="G23" s="129"/>
      <c r="H23" s="129"/>
      <c r="I23" s="129"/>
      <c r="J23" s="129"/>
      <c r="K23" s="129"/>
      <c r="L23" s="129"/>
      <c r="M23" s="129"/>
      <c r="N23" s="129"/>
      <c r="O23" s="129"/>
      <c r="P23" s="129"/>
      <c r="Q23" s="129"/>
    </row>
    <row r="24" spans="1:18" ht="18" customHeight="1" x14ac:dyDescent="0.2">
      <c r="A24" s="130" t="s">
        <v>76</v>
      </c>
      <c r="B24" s="131"/>
      <c r="C24" s="131"/>
      <c r="D24" s="131"/>
      <c r="E24" s="131"/>
      <c r="F24" s="131"/>
      <c r="G24" s="131"/>
      <c r="H24" s="131"/>
      <c r="I24" s="131"/>
      <c r="J24" s="131"/>
      <c r="K24" s="131"/>
      <c r="L24" s="131"/>
      <c r="M24" s="131"/>
      <c r="N24" s="131"/>
      <c r="O24" s="131"/>
      <c r="P24" s="131"/>
      <c r="Q24" s="132"/>
    </row>
    <row r="25" spans="1:18" ht="41.25" customHeight="1" thickBot="1" x14ac:dyDescent="0.25">
      <c r="A25" s="133"/>
      <c r="B25" s="134"/>
      <c r="C25" s="134"/>
      <c r="D25" s="134"/>
      <c r="E25" s="134"/>
      <c r="F25" s="134"/>
      <c r="G25" s="134"/>
      <c r="H25" s="134"/>
      <c r="I25" s="134"/>
      <c r="J25" s="134"/>
      <c r="K25" s="134"/>
      <c r="L25" s="134"/>
      <c r="M25" s="134"/>
      <c r="N25" s="134"/>
      <c r="O25" s="134"/>
      <c r="P25" s="134"/>
      <c r="Q25" s="135"/>
    </row>
    <row r="26" spans="1:18" x14ac:dyDescent="0.2">
      <c r="A26" s="21"/>
      <c r="B26" s="21"/>
      <c r="C26" s="21"/>
      <c r="D26" s="21"/>
      <c r="E26" s="21"/>
      <c r="F26" s="21"/>
      <c r="G26" s="22"/>
      <c r="H26" s="21"/>
      <c r="I26" s="21"/>
      <c r="J26" s="21"/>
      <c r="K26" s="21"/>
      <c r="L26" s="21"/>
      <c r="M26" s="21"/>
      <c r="N26" s="21"/>
      <c r="O26" s="21"/>
      <c r="P26" s="21"/>
      <c r="Q26" s="21"/>
    </row>
    <row r="27" spans="1:18" x14ac:dyDescent="0.2">
      <c r="A27" s="21"/>
      <c r="B27" s="21"/>
      <c r="C27" s="21"/>
      <c r="D27" s="21"/>
      <c r="E27" s="21"/>
      <c r="F27" s="21"/>
      <c r="G27" s="22"/>
      <c r="H27" s="21"/>
      <c r="I27" s="21"/>
      <c r="J27" s="21"/>
      <c r="K27" s="21"/>
      <c r="L27" s="21"/>
      <c r="M27" s="21"/>
      <c r="N27" s="21"/>
      <c r="O27" s="21"/>
      <c r="P27" s="21"/>
      <c r="Q27" s="21"/>
    </row>
    <row r="28" spans="1:18" x14ac:dyDescent="0.2">
      <c r="A28" s="21"/>
      <c r="B28" s="21"/>
      <c r="C28" s="21"/>
      <c r="D28" s="21"/>
      <c r="E28" s="21"/>
      <c r="F28" s="21"/>
      <c r="G28" s="22"/>
      <c r="H28" s="21"/>
      <c r="I28" s="21"/>
      <c r="J28" s="21"/>
      <c r="K28" s="21"/>
      <c r="L28" s="21"/>
      <c r="M28" s="21"/>
      <c r="N28" s="21"/>
      <c r="O28" s="21"/>
      <c r="P28" s="21"/>
      <c r="Q28" s="21"/>
    </row>
    <row r="29" spans="1:18" x14ac:dyDescent="0.2">
      <c r="A29" s="21"/>
      <c r="B29" s="21"/>
      <c r="C29" s="21"/>
      <c r="D29" s="21"/>
      <c r="E29" s="21"/>
      <c r="F29" s="21"/>
      <c r="G29" s="22"/>
      <c r="H29" s="21"/>
      <c r="I29" s="21"/>
      <c r="J29" s="21"/>
      <c r="K29" s="21"/>
      <c r="L29" s="21"/>
      <c r="M29" s="21"/>
      <c r="N29" s="21"/>
      <c r="O29" s="21"/>
      <c r="P29" s="21"/>
      <c r="Q29" s="21"/>
    </row>
    <row r="30" spans="1:18" x14ac:dyDescent="0.2">
      <c r="A30" s="21"/>
      <c r="B30" s="21"/>
      <c r="C30" s="21"/>
      <c r="D30" s="21"/>
      <c r="E30" s="21"/>
      <c r="F30" s="21"/>
      <c r="G30" s="22"/>
      <c r="H30" s="21"/>
      <c r="I30" s="21"/>
      <c r="J30" s="21"/>
      <c r="K30" s="21"/>
      <c r="L30" s="21"/>
      <c r="M30" s="21"/>
      <c r="N30" s="21"/>
      <c r="O30" s="21"/>
      <c r="P30" s="21"/>
      <c r="Q30" s="21"/>
    </row>
  </sheetData>
  <mergeCells count="29">
    <mergeCell ref="A24:Q25"/>
    <mergeCell ref="O18:P18"/>
    <mergeCell ref="O19:P19"/>
    <mergeCell ref="O20:P20"/>
    <mergeCell ref="A21:P21"/>
    <mergeCell ref="A22:Q22"/>
    <mergeCell ref="O15:P15"/>
    <mergeCell ref="O16:P16"/>
    <mergeCell ref="O17:P17"/>
    <mergeCell ref="A23:F23"/>
    <mergeCell ref="G23:Q23"/>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5" scale="90" firstPageNumber="0" orientation="portrait"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2021-05-04T16:52:16Z</cp:lastPrinted>
  <dcterms:created xsi:type="dcterms:W3CDTF">2020-07-17T23:44:49Z</dcterms:created>
  <dcterms:modified xsi:type="dcterms:W3CDTF">2021-08-10T15:22:12Z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