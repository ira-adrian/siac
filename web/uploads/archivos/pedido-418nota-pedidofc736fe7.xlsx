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0\Pedidos por cierre de FP SCA\Nutricion\Alimentos\Rectificado 2\"/>
    </mc:Choice>
  </mc:AlternateContent>
  <bookViews>
    <workbookView xWindow="0" yWindow="0" windowWidth="28800" windowHeight="12435" tabRatio="500" activeTab="1"/>
  </bookViews>
  <sheets>
    <sheet name="Nececidades Trimestrales" sheetId="3" r:id="rId1"/>
    <sheet name=" NotaPedido" sheetId="1" r:id="rId2"/>
    <sheet name="Autor Gastar" sheetId="2" r:id="rId3"/>
  </sheets>
  <externalReferences>
    <externalReference r:id="rId4"/>
  </externalReferences>
  <definedNames>
    <definedName name="_xlnm.Print_Area" localSheetId="1">' NotaPedido'!$A$1:$K$114</definedName>
    <definedName name="_xlnm.Print_Area" localSheetId="2">'Autor Gastar'!$A$1:$Q$28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7" i="3" l="1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H11" i="3" l="1"/>
  <c r="H12" i="3"/>
  <c r="H13" i="3"/>
  <c r="H14" i="3"/>
  <c r="H15" i="3"/>
  <c r="H16" i="3"/>
  <c r="H17" i="3"/>
  <c r="H18" i="3"/>
  <c r="H19" i="3"/>
  <c r="H20" i="3"/>
  <c r="H21" i="3"/>
  <c r="H22" i="3"/>
  <c r="H23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4" i="3"/>
  <c r="H65" i="3"/>
  <c r="H66" i="3"/>
  <c r="H67" i="3"/>
  <c r="H68" i="3"/>
  <c r="H69" i="3"/>
  <c r="H70" i="3"/>
  <c r="H71" i="3"/>
  <c r="H72" i="3"/>
  <c r="H73" i="3"/>
  <c r="H75" i="3"/>
  <c r="H76" i="3"/>
  <c r="H77" i="3"/>
  <c r="H78" i="3"/>
  <c r="H79" i="3"/>
  <c r="H80" i="3"/>
  <c r="H81" i="3"/>
  <c r="H83" i="3"/>
  <c r="I83" i="3" s="1"/>
  <c r="H84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0" i="3"/>
  <c r="I10" i="3" s="1"/>
  <c r="A11" i="3"/>
  <c r="A12" i="3"/>
  <c r="A13" i="3"/>
  <c r="A14" i="3"/>
  <c r="A15" i="3"/>
  <c r="A16" i="3"/>
  <c r="G11" i="3"/>
  <c r="G12" i="3"/>
  <c r="G13" i="3"/>
  <c r="G14" i="3"/>
  <c r="G15" i="3"/>
  <c r="G16" i="3"/>
  <c r="I16" i="3" s="1"/>
  <c r="G17" i="3"/>
  <c r="G18" i="3"/>
  <c r="G19" i="3"/>
  <c r="G20" i="3"/>
  <c r="G21" i="3"/>
  <c r="G22" i="3"/>
  <c r="G23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I45" i="3" s="1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3" i="3"/>
  <c r="G84" i="3"/>
  <c r="G85" i="3"/>
  <c r="G86" i="3"/>
  <c r="G87" i="3"/>
  <c r="G88" i="3"/>
  <c r="G89" i="3"/>
  <c r="G90" i="3"/>
  <c r="G91" i="3"/>
  <c r="I91" i="3" s="1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I107" i="3" s="1"/>
  <c r="G108" i="3"/>
  <c r="G109" i="3"/>
  <c r="G110" i="3"/>
  <c r="G111" i="3"/>
  <c r="I111" i="3" s="1"/>
  <c r="G10" i="3"/>
  <c r="A10" i="3"/>
  <c r="F11" i="3"/>
  <c r="F13" i="3"/>
  <c r="F14" i="3"/>
  <c r="F15" i="3"/>
  <c r="F16" i="3"/>
  <c r="F17" i="3"/>
  <c r="F18" i="3"/>
  <c r="F19" i="3"/>
  <c r="F20" i="3"/>
  <c r="F21" i="3"/>
  <c r="F22" i="3"/>
  <c r="F23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3" i="3"/>
  <c r="F84" i="3"/>
  <c r="F85" i="3"/>
  <c r="F86" i="3"/>
  <c r="F87" i="3"/>
  <c r="F88" i="3"/>
  <c r="F89" i="3"/>
  <c r="F90" i="3"/>
  <c r="F91" i="3"/>
  <c r="F92" i="3"/>
  <c r="F94" i="3"/>
  <c r="F95" i="3"/>
  <c r="F96" i="3"/>
  <c r="F99" i="3"/>
  <c r="F100" i="3"/>
  <c r="F101" i="3"/>
  <c r="F102" i="3"/>
  <c r="F105" i="3"/>
  <c r="F106" i="3"/>
  <c r="F107" i="3"/>
  <c r="F108" i="3"/>
  <c r="F109" i="3"/>
  <c r="F110" i="3"/>
  <c r="F111" i="3"/>
  <c r="F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0" i="3"/>
  <c r="I109" i="3"/>
  <c r="I104" i="3"/>
  <c r="I103" i="3"/>
  <c r="I99" i="3"/>
  <c r="I95" i="3"/>
  <c r="I88" i="3"/>
  <c r="I82" i="3"/>
  <c r="I80" i="3"/>
  <c r="I75" i="3"/>
  <c r="I71" i="3"/>
  <c r="I70" i="3"/>
  <c r="I67" i="3"/>
  <c r="I63" i="3"/>
  <c r="I59" i="3"/>
  <c r="I55" i="3"/>
  <c r="I52" i="3"/>
  <c r="I48" i="3"/>
  <c r="I43" i="3"/>
  <c r="I39" i="3"/>
  <c r="I36" i="3"/>
  <c r="I31" i="3"/>
  <c r="I27" i="3"/>
  <c r="I25" i="3"/>
  <c r="I24" i="3"/>
  <c r="I19" i="3"/>
  <c r="I15" i="3"/>
  <c r="I13" i="3"/>
  <c r="I12" i="3"/>
  <c r="I65" i="3" l="1"/>
  <c r="I37" i="3"/>
  <c r="I33" i="3"/>
  <c r="I79" i="3"/>
  <c r="I51" i="3"/>
  <c r="I47" i="3"/>
  <c r="I35" i="3"/>
  <c r="I23" i="3"/>
  <c r="I11" i="3"/>
  <c r="I93" i="3"/>
  <c r="I105" i="3"/>
  <c r="I97" i="3"/>
  <c r="I81" i="3"/>
  <c r="I77" i="3"/>
  <c r="I73" i="3"/>
  <c r="I69" i="3"/>
  <c r="I61" i="3"/>
  <c r="I57" i="3"/>
  <c r="I53" i="3"/>
  <c r="I49" i="3"/>
  <c r="I41" i="3"/>
  <c r="I29" i="3"/>
  <c r="I21" i="3"/>
  <c r="I17" i="3"/>
  <c r="I101" i="3"/>
  <c r="I108" i="3"/>
  <c r="I100" i="3"/>
  <c r="I96" i="3"/>
  <c r="I92" i="3"/>
  <c r="I84" i="3"/>
  <c r="I72" i="3"/>
  <c r="I68" i="3"/>
  <c r="I64" i="3"/>
  <c r="I60" i="3"/>
  <c r="I56" i="3"/>
  <c r="I44" i="3"/>
  <c r="I40" i="3"/>
  <c r="I32" i="3"/>
  <c r="I28" i="3"/>
  <c r="I20" i="3"/>
  <c r="I89" i="3"/>
  <c r="I98" i="3"/>
  <c r="I18" i="3"/>
  <c r="I110" i="3"/>
  <c r="I106" i="3"/>
  <c r="I102" i="3"/>
  <c r="I94" i="3"/>
  <c r="I90" i="3"/>
  <c r="I86" i="3"/>
  <c r="I78" i="3"/>
  <c r="I66" i="3"/>
  <c r="I62" i="3"/>
  <c r="I58" i="3"/>
  <c r="I54" i="3"/>
  <c r="I50" i="3"/>
  <c r="I46" i="3"/>
  <c r="I42" i="3"/>
  <c r="I38" i="3"/>
  <c r="I34" i="3"/>
  <c r="I30" i="3"/>
  <c r="I26" i="3"/>
  <c r="I14" i="3"/>
  <c r="I87" i="3"/>
  <c r="I22" i="3"/>
  <c r="I76" i="3"/>
  <c r="J87" i="1" l="1"/>
  <c r="H85" i="3" s="1"/>
  <c r="I85" i="3" s="1"/>
  <c r="J76" i="1"/>
  <c r="B12" i="1"/>
  <c r="B10" i="3" s="1"/>
  <c r="D10" i="3" s="1"/>
  <c r="B13" i="1"/>
  <c r="B11" i="3" s="1"/>
  <c r="D11" i="3" s="1"/>
  <c r="B14" i="1"/>
  <c r="B12" i="3" s="1"/>
  <c r="D12" i="3" s="1"/>
  <c r="B15" i="1"/>
  <c r="B13" i="3" s="1"/>
  <c r="D13" i="3" s="1"/>
  <c r="B16" i="1"/>
  <c r="B14" i="3" s="1"/>
  <c r="D14" i="3" s="1"/>
  <c r="B17" i="1"/>
  <c r="B15" i="3" s="1"/>
  <c r="D15" i="3" s="1"/>
  <c r="B18" i="1"/>
  <c r="B16" i="3" s="1"/>
  <c r="D16" i="3" s="1"/>
  <c r="B19" i="1"/>
  <c r="B17" i="3" s="1"/>
  <c r="D17" i="3" s="1"/>
  <c r="B20" i="1"/>
  <c r="B18" i="3" s="1"/>
  <c r="D18" i="3" s="1"/>
  <c r="B21" i="1"/>
  <c r="B19" i="3" s="1"/>
  <c r="D19" i="3" s="1"/>
  <c r="B22" i="1"/>
  <c r="B20" i="3" s="1"/>
  <c r="D20" i="3" s="1"/>
  <c r="B23" i="1"/>
  <c r="B21" i="3" s="1"/>
  <c r="D21" i="3" s="1"/>
  <c r="B24" i="1"/>
  <c r="B22" i="3" s="1"/>
  <c r="D22" i="3" s="1"/>
  <c r="B25" i="1"/>
  <c r="B23" i="3" s="1"/>
  <c r="D23" i="3" s="1"/>
  <c r="B26" i="1"/>
  <c r="B24" i="3" s="1"/>
  <c r="D24" i="3" s="1"/>
  <c r="B27" i="1"/>
  <c r="B25" i="3" s="1"/>
  <c r="D25" i="3" s="1"/>
  <c r="B28" i="1"/>
  <c r="B26" i="3" s="1"/>
  <c r="D26" i="3" s="1"/>
  <c r="B29" i="1"/>
  <c r="B27" i="3" s="1"/>
  <c r="D27" i="3" s="1"/>
  <c r="B30" i="1"/>
  <c r="B28" i="3" s="1"/>
  <c r="D28" i="3" s="1"/>
  <c r="B31" i="1"/>
  <c r="B29" i="3" s="1"/>
  <c r="D29" i="3" s="1"/>
  <c r="B32" i="1"/>
  <c r="B30" i="3" s="1"/>
  <c r="D30" i="3" s="1"/>
  <c r="B33" i="1"/>
  <c r="B31" i="3" s="1"/>
  <c r="D31" i="3" s="1"/>
  <c r="B34" i="1"/>
  <c r="B32" i="3" s="1"/>
  <c r="D32" i="3" s="1"/>
  <c r="B35" i="1"/>
  <c r="B33" i="3" s="1"/>
  <c r="D33" i="3" s="1"/>
  <c r="B36" i="1"/>
  <c r="B34" i="3" s="1"/>
  <c r="D34" i="3" s="1"/>
  <c r="B37" i="1"/>
  <c r="B35" i="3" s="1"/>
  <c r="D35" i="3" s="1"/>
  <c r="B38" i="1"/>
  <c r="B36" i="3" s="1"/>
  <c r="D36" i="3" s="1"/>
  <c r="B39" i="1"/>
  <c r="B37" i="3" s="1"/>
  <c r="D37" i="3" s="1"/>
  <c r="B40" i="1"/>
  <c r="B38" i="3" s="1"/>
  <c r="D38" i="3" s="1"/>
  <c r="B41" i="1"/>
  <c r="B39" i="3" s="1"/>
  <c r="D39" i="3" s="1"/>
  <c r="B42" i="1"/>
  <c r="B40" i="3" s="1"/>
  <c r="D40" i="3" s="1"/>
  <c r="B43" i="1"/>
  <c r="B41" i="3" s="1"/>
  <c r="D41" i="3" s="1"/>
  <c r="B44" i="1"/>
  <c r="B42" i="3" s="1"/>
  <c r="D42" i="3" s="1"/>
  <c r="B45" i="1"/>
  <c r="B43" i="3" s="1"/>
  <c r="D43" i="3" s="1"/>
  <c r="B46" i="1"/>
  <c r="B44" i="3" s="1"/>
  <c r="D44" i="3" s="1"/>
  <c r="B47" i="1"/>
  <c r="B45" i="3" s="1"/>
  <c r="D45" i="3" s="1"/>
  <c r="B48" i="1"/>
  <c r="B46" i="3" s="1"/>
  <c r="D46" i="3" s="1"/>
  <c r="B49" i="1"/>
  <c r="B47" i="3" s="1"/>
  <c r="D47" i="3" s="1"/>
  <c r="B50" i="1"/>
  <c r="B48" i="3" s="1"/>
  <c r="D48" i="3" s="1"/>
  <c r="B51" i="1"/>
  <c r="B49" i="3" s="1"/>
  <c r="D49" i="3" s="1"/>
  <c r="B52" i="1"/>
  <c r="B50" i="3" s="1"/>
  <c r="D50" i="3" s="1"/>
  <c r="B53" i="1"/>
  <c r="B51" i="3" s="1"/>
  <c r="D51" i="3" s="1"/>
  <c r="B54" i="1"/>
  <c r="B52" i="3" s="1"/>
  <c r="D52" i="3" s="1"/>
  <c r="B55" i="1"/>
  <c r="B53" i="3" s="1"/>
  <c r="D53" i="3" s="1"/>
  <c r="B56" i="1"/>
  <c r="B54" i="3" s="1"/>
  <c r="D54" i="3" s="1"/>
  <c r="B57" i="1"/>
  <c r="B55" i="3" s="1"/>
  <c r="D55" i="3" s="1"/>
  <c r="B58" i="1"/>
  <c r="B56" i="3" s="1"/>
  <c r="D56" i="3" s="1"/>
  <c r="B59" i="1"/>
  <c r="B57" i="3" s="1"/>
  <c r="D57" i="3" s="1"/>
  <c r="B60" i="1"/>
  <c r="B58" i="3" s="1"/>
  <c r="D58" i="3" s="1"/>
  <c r="B61" i="1"/>
  <c r="B59" i="3" s="1"/>
  <c r="D59" i="3" s="1"/>
  <c r="B62" i="1"/>
  <c r="B60" i="3" s="1"/>
  <c r="D60" i="3" s="1"/>
  <c r="B63" i="1"/>
  <c r="B61" i="3" s="1"/>
  <c r="D61" i="3" s="1"/>
  <c r="B64" i="1"/>
  <c r="B62" i="3" s="1"/>
  <c r="D62" i="3" s="1"/>
  <c r="B65" i="1"/>
  <c r="B63" i="3" s="1"/>
  <c r="D63" i="3" s="1"/>
  <c r="B66" i="1"/>
  <c r="B64" i="3" s="1"/>
  <c r="D64" i="3" s="1"/>
  <c r="B67" i="1"/>
  <c r="B65" i="3" s="1"/>
  <c r="D65" i="3" s="1"/>
  <c r="B68" i="1"/>
  <c r="B66" i="3" s="1"/>
  <c r="D66" i="3" s="1"/>
  <c r="B69" i="1"/>
  <c r="B67" i="3" s="1"/>
  <c r="D67" i="3" s="1"/>
  <c r="B70" i="1"/>
  <c r="B68" i="3" s="1"/>
  <c r="D68" i="3" s="1"/>
  <c r="B71" i="1"/>
  <c r="B69" i="3" s="1"/>
  <c r="D69" i="3" s="1"/>
  <c r="B72" i="1"/>
  <c r="B70" i="3" s="1"/>
  <c r="D70" i="3" s="1"/>
  <c r="B73" i="1"/>
  <c r="B71" i="3" s="1"/>
  <c r="D71" i="3" s="1"/>
  <c r="B74" i="1"/>
  <c r="B72" i="3" s="1"/>
  <c r="D72" i="3" s="1"/>
  <c r="B75" i="1"/>
  <c r="B73" i="3" s="1"/>
  <c r="D73" i="3" s="1"/>
  <c r="B76" i="1"/>
  <c r="B74" i="3" s="1"/>
  <c r="D74" i="3" s="1"/>
  <c r="B77" i="1"/>
  <c r="B75" i="3" s="1"/>
  <c r="D75" i="3" s="1"/>
  <c r="B78" i="1"/>
  <c r="B76" i="3" s="1"/>
  <c r="D76" i="3" s="1"/>
  <c r="B79" i="1"/>
  <c r="B77" i="3" s="1"/>
  <c r="D77" i="3" s="1"/>
  <c r="B80" i="1"/>
  <c r="B78" i="3" s="1"/>
  <c r="D78" i="3" s="1"/>
  <c r="B81" i="1"/>
  <c r="B79" i="3" s="1"/>
  <c r="D79" i="3" s="1"/>
  <c r="B82" i="1"/>
  <c r="B80" i="3" s="1"/>
  <c r="D80" i="3" s="1"/>
  <c r="B83" i="1"/>
  <c r="B81" i="3" s="1"/>
  <c r="D81" i="3" s="1"/>
  <c r="B84" i="1"/>
  <c r="B82" i="3" s="1"/>
  <c r="D82" i="3" s="1"/>
  <c r="B85" i="1"/>
  <c r="B83" i="3" s="1"/>
  <c r="D83" i="3" s="1"/>
  <c r="B86" i="1"/>
  <c r="B84" i="3" s="1"/>
  <c r="D84" i="3" s="1"/>
  <c r="B87" i="1"/>
  <c r="B85" i="3" s="1"/>
  <c r="D85" i="3" s="1"/>
  <c r="B88" i="1"/>
  <c r="B86" i="3" s="1"/>
  <c r="D86" i="3" s="1"/>
  <c r="B89" i="1"/>
  <c r="B87" i="3" s="1"/>
  <c r="D87" i="3" s="1"/>
  <c r="B90" i="1"/>
  <c r="B88" i="3" s="1"/>
  <c r="D88" i="3" s="1"/>
  <c r="B91" i="1"/>
  <c r="B89" i="3" s="1"/>
  <c r="D89" i="3" s="1"/>
  <c r="B92" i="1"/>
  <c r="B90" i="3" s="1"/>
  <c r="D90" i="3" s="1"/>
  <c r="B93" i="1"/>
  <c r="B91" i="3" s="1"/>
  <c r="D91" i="3" s="1"/>
  <c r="B94" i="1"/>
  <c r="B92" i="3" s="1"/>
  <c r="D92" i="3" s="1"/>
  <c r="B95" i="1"/>
  <c r="B93" i="3" s="1"/>
  <c r="D93" i="3" s="1"/>
  <c r="B96" i="1"/>
  <c r="B94" i="3" s="1"/>
  <c r="D94" i="3" s="1"/>
  <c r="B97" i="1"/>
  <c r="B95" i="3" s="1"/>
  <c r="D95" i="3" s="1"/>
  <c r="B98" i="1"/>
  <c r="B96" i="3" s="1"/>
  <c r="D96" i="3" s="1"/>
  <c r="B99" i="1"/>
  <c r="B97" i="3" s="1"/>
  <c r="D97" i="3" s="1"/>
  <c r="B100" i="1"/>
  <c r="B98" i="3" s="1"/>
  <c r="D98" i="3" s="1"/>
  <c r="B101" i="1"/>
  <c r="B99" i="3" s="1"/>
  <c r="D99" i="3" s="1"/>
  <c r="B102" i="1"/>
  <c r="B100" i="3" s="1"/>
  <c r="D100" i="3" s="1"/>
  <c r="B103" i="1"/>
  <c r="B101" i="3" s="1"/>
  <c r="D101" i="3" s="1"/>
  <c r="B104" i="1"/>
  <c r="B102" i="3" s="1"/>
  <c r="D102" i="3" s="1"/>
  <c r="B105" i="1"/>
  <c r="B103" i="3" s="1"/>
  <c r="D103" i="3" s="1"/>
  <c r="B106" i="1"/>
  <c r="B104" i="3" s="1"/>
  <c r="D104" i="3" s="1"/>
  <c r="B107" i="1"/>
  <c r="B105" i="3" s="1"/>
  <c r="D105" i="3" s="1"/>
  <c r="B108" i="1"/>
  <c r="B106" i="3" s="1"/>
  <c r="D106" i="3" s="1"/>
  <c r="B109" i="1"/>
  <c r="B107" i="3" s="1"/>
  <c r="D107" i="3" s="1"/>
  <c r="B110" i="1"/>
  <c r="B108" i="3" s="1"/>
  <c r="D108" i="3" s="1"/>
  <c r="B111" i="1"/>
  <c r="B109" i="3" s="1"/>
  <c r="D109" i="3" s="1"/>
  <c r="B112" i="1"/>
  <c r="B110" i="3" s="1"/>
  <c r="D110" i="3" s="1"/>
  <c r="B113" i="1"/>
  <c r="B111" i="3" s="1"/>
  <c r="D111" i="3" s="1"/>
  <c r="J114" i="1" l="1"/>
  <c r="H74" i="3"/>
  <c r="I74" i="3" s="1"/>
  <c r="Q24" i="2"/>
</calcChain>
</file>

<file path=xl/sharedStrings.xml><?xml version="1.0" encoding="utf-8"?>
<sst xmlns="http://schemas.openxmlformats.org/spreadsheetml/2006/main" count="959" uniqueCount="203">
  <si>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</si>
  <si>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</si>
  <si>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</si>
  <si>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</si>
  <si>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</si>
  <si>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</si>
  <si>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</si>
  <si>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</si>
  <si>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</si>
  <si>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</si>
  <si>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</si>
  <si>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</si>
  <si>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</si>
  <si>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</si>
  <si>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</si>
  <si>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</si>
  <si>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</si>
  <si>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</si>
  <si>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</si>
  <si>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</si>
  <si>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</si>
  <si>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</si>
  <si>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</si>
  <si>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</si>
  <si>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</si>
  <si>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</si>
  <si>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</si>
  <si>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</si>
  <si>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</si>
  <si>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</si>
  <si>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</si>
  <si>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</si>
  <si>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</si>
  <si>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</si>
  <si>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</si>
  <si>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</si>
  <si>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</si>
  <si>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</si>
  <si>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UNIDAD</t>
  </si>
  <si>
    <t>42-Miniterio de salud</t>
  </si>
  <si>
    <t>28-Maternidad Provincial 25 de Mayo</t>
  </si>
  <si>
    <t>2 Meses</t>
  </si>
  <si>
    <t>Descripción técnica</t>
  </si>
  <si>
    <t>Plazos y lugares de entrega</t>
  </si>
  <si>
    <t>Calidad Minima esperada</t>
  </si>
  <si>
    <t>Mantenimiento</t>
  </si>
  <si>
    <t>Garantia</t>
  </si>
  <si>
    <t>,</t>
  </si>
  <si>
    <t>169-Direccion Asistencial</t>
  </si>
  <si>
    <t>ACEITES COMESTIBLES; TIPO: GIRASOL, PRESENTACION: ENVASE X 900 CM3, MATERIAL ENVASE: PLASTICO 1 (PET), ELEM. TRANSPORTE: SIN, MATERIAL ELEM. TRANSPORTE : SIN, LIBRE DE GLUTEN: NO</t>
  </si>
  <si>
    <t>VERDURAS Y HORTALIZAS; VARIEDAD: ACELGA, ESTADO: EN HOJA, PRESENTACION: ATADO, PESO: SIN VALOR</t>
  </si>
  <si>
    <t>VERDURAS Y HORTALIZAS; ESTADO: NATURAL, PESO: SIN VALOR, VARIEDAD: AJO, PRESENTACION: UNIDAD</t>
  </si>
  <si>
    <t>FRUTAS; VARIEDAD: ANANA, PRESENTACION: ENVASE X 850 GR, PESO: 850 GR, ESTADO: CONSERVA</t>
  </si>
  <si>
    <t>VERDURAS Y HORTALIZAS; VARIEDAD: ZAPALLO ANCO, ESTADO: NATURAL, PRESENTACION: UNIDAD, PESO: 1 Kg</t>
  </si>
  <si>
    <t>VERDURAS Y HORTALIZAS; VARIEDAD: APIO, ESTADO: NATURAL, PRESENTACION: ATADO, PESO: 800 GR</t>
  </si>
  <si>
    <t>ARROZ; TIPO GRANO: DOBLE, TIPO: BLANCO, PROCESO: PARBOLIZADO, PRESENTACION: ENVASE X 1 Kg, MATERIAL ENVASE: CARTON, CERTIFICADO FORESTAL (GFS): SIN, ELEM. TRANSPORTE: SIN, MATERIAL ELEM. TRANSPORTE: SIN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</si>
  <si>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</si>
  <si>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CONSERVAS PESCADO Y FRUTOS MAR; TIPO: ATUN, ESTADO: AL NATURAL, PESO: 170 GR, ENVASE: LATA, ELEM. TRANSPORTE: SIN, MATERIAL ELEM. TRANSPORTE: SIN</t>
  </si>
  <si>
    <t>AVENAS; TIPO: ARROLLADA, ESTADO: INSTANTANEA, PRESENTACION: ENVASE X 350 GR, PESO: SIN VALOR</t>
  </si>
  <si>
    <t>LEGUMBRES; VARIEDAD: ARVEJAS, ESTADO: CONSERVA, PRESENTACION: LATA, PESO: 350 GR, MATERIAL ENVASE: METAL, ELEM. TRANSPORTE: SIN, MATERIAL ELEM. TRANSPORTE: SIN, LIBRE DE GLUTEN: NO</t>
  </si>
  <si>
    <t>AZUCARES; TIPO: "A" COMUN, ESTADO: MOLIDA, PESO: 1 Kg, MATERIAL ENVASE: PLASTICO, CERTIFICADO FORESTAL (GFS): SIN, ELEM. TRANSPORTE: SIN, MATERIAL ELEM. TRANSPORTE: SIN</t>
  </si>
  <si>
    <t>FRUTAS; VARIEDAD: BANANA, PRESENTACION: CAJON, ESTADO: NATURAL, PESO: SIN VALOR</t>
  </si>
  <si>
    <t>VERDURAS Y HORTALIZAS; VARIEDAD: BATATA, ESTADO: NATURAL, PRESENTACION: BOLSA, PESO: 10 Kg</t>
  </si>
  <si>
    <t>VERDURAS Y HORTALIZAS; VARIEDAD: BERENJENA, ESTADO: NATURAL, PRESENTACION: GRANEL, PESO: SIN VALOR</t>
  </si>
  <si>
    <t>CARNES; ESPECIE: VACUNA, CORTE: BOLA DE LOMO, TIPO: VACUNA</t>
  </si>
  <si>
    <t>CACAO; TIPO: INSTANTANEO, PRESENTACION: ENVASE X 800 GR, FORMA DE PRESENTACION: POLVO, MATERIAL ENVASE: CARTON, CERTICADO FORESTAL (GFS): CON, LIBRE DE GLUTEN: SI</t>
  </si>
  <si>
    <t>CARNES; ESPECIE: PORCINA, CORTE: CARRE CONGELADO, TIPO: PORCINA</t>
  </si>
  <si>
    <t>VERDURAS Y HORTALIZAS; VARIEDAD: CEBOLLA, ESTADO: NATURAL, PRESENTACION: BOLSA, PESO: 20 Kg</t>
  </si>
  <si>
    <t>VERDURAS Y HORTALIZAS; VARIEDAD: CEBOLLA DE VERDEO, ESTADO: NATURAL, PRESENTACION: CAJON, PESO: 10 Kg, ELEM. TRANSPORTE: CAJON, MATERIAL ELEM. TRANSPORTE: CARTON, LIBRE DE GLUTEN: NO</t>
  </si>
  <si>
    <t>VERDURAS Y HORTALIZAS; VARIEDAD: CHOCLO, ESTADO: GRANO, PRESENTACION: LATA, PESO: 350 GR</t>
  </si>
  <si>
    <t>FRUTAS; VARIEDAD: CIRUELA, ESTADO: DESECADA, PRESENTACION: ENVASE X 5 Kg, PESO: 5 Kg</t>
  </si>
  <si>
    <t>CONSERVAS DE FRUTAS; VARIEDAD: COCTEL, ENVASE: LATA, PESO: 800 GR, ELEM. TRANSPORTE: SIN, MATERIAL ELEM. TRANSPORTE: SIN, LIBRE DE GLUTEN: NO</t>
  </si>
  <si>
    <t>CONSERVAS DE FRUTAS; VARIEDAD: COCTEL, ENVASE: LATA, PESO: 820 GR, ELEM. TRANSPORTE: SIN, MATERIAL ELEM. TRANSPORTE: SIN, LIBRE DE GLUTEN: SI</t>
  </si>
  <si>
    <t>CARNES; TIPO: PORCINA, CORTE: COSTELETA</t>
  </si>
  <si>
    <t>ESPECIAS; TIPO: COMINO, PRESENTACION: SOBRE X 25 GR</t>
  </si>
  <si>
    <t>ESPECIAS; TIPO: ADOBO PARA PIZZA, PRESENTACION: SOBRE X 25 GR</t>
  </si>
  <si>
    <t>DULCES; TIPO: DE BATATA, PRESENTACION: LATA, PESO: 5</t>
  </si>
  <si>
    <t>DULCE DE LECHE; TIPO: COMUN, ENVASE: PLASTICO, CAPACIDAD: 1 Kg, PRESENTACION: ENVASE PLASTICO X 1 Kg</t>
  </si>
  <si>
    <t>DULCES; TIPO: DE MEMBRILLO, PRESENTACION: LATA, PESO: 5 Kg</t>
  </si>
  <si>
    <t>FRUTAS; VARIEDAD: DURAZNO, PRESENTACION: ENVASE X 820 GR, ESTADO: NATURAL, PESO: 820 GR</t>
  </si>
  <si>
    <t>FRUTAS; VARIEDAD: DURAZNO, ESTADO: CONSERVA, PRESENTACION: ENVASE X 800 GR, PESO: 800 GR</t>
  </si>
  <si>
    <t>EDULCORANTES; PRESENTACION: LIQUIDO, ENVASE: BOTELLA PLASTICA, CONTENIDO: 500 CM3</t>
  </si>
  <si>
    <t>EDULCORANTES; PRESENTACION: POLVO, ENVASE: SOBRE INDIVIDUAL, CONTENIDO: 500 SOBRES DE 1 GR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</si>
  <si>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</si>
  <si>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TIRABUZON, RELLENO: SIN, PRESENTACION: ENVASE X 500 GR, MATERIAL ENVASE: PLASTICO 1 (PET), ELEM. TRANSPORTE: SIN, MATERIAL ELEM. TRANSPORTE: SIN, CERTIFICADO FORESTAL (GFS): SIN, LIBRE DE GLUTEN: NO</t>
  </si>
  <si>
    <t>FIDEOS SECOS; VARIEDAD: TALLARIN, RELLENO: SIN, PRESENTACION: ENVASE X 500 GR, MATERIAL ENVASE: PLASTICO 1 (PET), ELEM. TRANSPORTE: SIN, MATERIAL ELEM. TRANSPORTE: SIN, CERTIFICADO FORESTAL (GFS): SIN, LIBRE DE GLUTEN: NO</t>
  </si>
  <si>
    <t>FECULA DE MAIZ; PESO: 500 GR, ENVASE: CAJA DE CARTON</t>
  </si>
  <si>
    <t>FLANES; PESO: 60 GR, ENVASE: CAJA CARTON, ESTADO PREPARACION: CON COCCION, SABOR: VAINILLA, TIPO: SIN VALOR, PRESENTACION: 60 GR</t>
  </si>
  <si>
    <t>LECHE; ESTADO: LIQUIDO, TIPO: PARA PREMATUROS, PROCESO: PASTEURIZADA, AGREGADO: VITAMINAS Y MINERALES, PRESENTACION: ENVASE X 200 CM3, MATERIAL ENVASE: TETRAFILM, ELEM. TRANSPORTE: SIN, MATERIAL ELEM. TRANSPORTE: SIN, CERTIFICADO FORESTAL (GFS): SI, LIBRE DE GLUTEN: SIN VALOR</t>
  </si>
  <si>
    <t>LECHE; ESTADO: LIQUIDO, TIPO: DE INICIO, PROCESO: PASTEURIZADA, AGREGADO: VITAMINAS Y MINERALES, PRESENTACION: ENVASE X 200 CM3, MATERIAL ENVASE: TETRAFILM, ELEM. TRANSPORTE: SIN, MATERIAL ELEM. TRANSPORTE: SIN, CERTIFICADO FORESTAL (GFS): SI, LIBRE DE GLUTEN: SIN VALOR</t>
  </si>
  <si>
    <t>LECHE; ESTADO: POLVO, TIPO: LACTANTE, PROCESO: PASTEURIZADA, AGREGADO: CASEINATO DE SODIO, PRESENTACION: ENVASE X 400 GR, MATERIAL ENVASE: METAL, ELEM. TRANSPORTE: SIN, MATERIAL ELEM. TRANSPORTE: SIN, CERTIFICADO FORESTAL (GFS): SIN, LIBRE DE GLUTEN: NO</t>
  </si>
  <si>
    <t>LECHE; ESTADO: POLVO, TIPO: LACTANTE, PROCESO: PASTEURIZADA, AGREGADO: HIDROL. EXT. PROTEINA DE SUERO, PRESENTACION: ENVASE X 400 GR, MATERIAL ENVASE: METAL, ELEM. TRANSPORTE: SIN, MATERIAL ELEM. TRANSPORTE: SIN, CERTIFICADO FORESTAL (GFS): SIN, LIBRE DE GLUTEN: NO</t>
  </si>
  <si>
    <t>GALLETITAS; VARIEDAD: SALADA TOSTADA, RELLENO: SIN, PRESENTACION: ENVASE X 140 GR, ELEM. TRANSPORTE: SIN, MATERIAL ELEM. TRANSPORTE: SIN, LIBRE DE GLUTEN: SI</t>
  </si>
  <si>
    <t>GELATINAS; TIPO: BAJAS CALORIAS, ENVASE: CAJA DE CARTON, PESO: 30 GR, SABOR: CEREZA</t>
  </si>
  <si>
    <t>GELATINAS; TIPO: COMUN, PESO: 50 GR, SABOR: DURAZNO, ENVASE: CAJA DE CARTON, LIBRE DE GLUTEN: NO</t>
  </si>
  <si>
    <t>HARINAS; TIPO: DE TRIGO 0000, PRESENTACION: ENVASE X 1 Kg, MATERIAL ENVASE: PAPEL, CERTICADO FORESTAL (GFS): SIN, ELEM. TRANSPORTE: SIN, MATERIAL ELEM. TRANSPORTE: SIN, LIBRE DE GLUTEN: NO</t>
  </si>
  <si>
    <t>HUEVO DE GALLINA; TAMAÑO: MEDIANOS, COLOR: BLANCOS, PRESENTACION: 30</t>
  </si>
  <si>
    <t>FIAMBRES; TIPO: JAMON COCIDO, PRESENTACION: AL VACIO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</si>
  <si>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</si>
  <si>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</si>
  <si>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LECHE; ESTADO: LIQUIDO, TIPO: ENTERA, PROCESO: LARGA VIDA, AGREGADO: VITAMINAS A Y D, PRESENTACION: ENVASE X 1 L, MATERIAL ENVASE: PLASTICO, ELEM. TRANSPORTE: SIN, MATERIAL ELEM. TRANSPORTE: SIN, CERTIFICADO FORESTAL (GFS): SIN, LIBRE DE GLUTEN: SI</t>
  </si>
  <si>
    <t>LEGUMBRES; VARIEDAD: LENTEJA, ESTADO: SECO, PRESENTACION: BOLSA, PESO: 450 GR, MATERIAL ENVASE: PLASTICO, ELEM. TRANSPORTE: SIN, MATERIAL ELEM. TRANSPORTE: SIN, LIBRE DE GLUTEN: SI</t>
  </si>
  <si>
    <t>VERDURAS Y HORTALIZAS; VARIEDAD: LECHUGA ARREPOLLADA, ESTADO: NATURAL, PRESENTACION: A GRANEL, PESO: 300 GR CADA PLANTA, ELEM. TRANSPORTE: SIN, MATERIAL ELEM. TRANSPORTE: SIN, LIBRE DE GLUTEN: SI</t>
  </si>
  <si>
    <t>LEVADURAS; TIPO: SECA INSTANTANEA, PRESENTACION: SOBRE, PESO: 20 GR</t>
  </si>
  <si>
    <t>FRUTAS; VARIEDAD: LIMON, ESTADO: NATURAL, PRESENTACION: CAJON X 1 Kg, PESO: 1 Kg</t>
  </si>
  <si>
    <t>FRUTAS; ESTADO: NATURAL, VARIEDAD: MANZANA RED DELICIOSA, PRESENTACION: CAJON, PESO: SIN VALOR</t>
  </si>
  <si>
    <t>MATE COCIDO; ENVASE: CAJA CARTON, PRESENTACION: ENSOBRADO, SAQUITOS P/CAJA: 100 UN, PESO X SAQ.: 3 GR</t>
  </si>
  <si>
    <t>ADEREZOS; TIPO: MAYONESA LIGHT, PRESENTACION: ENVASE X 475 GR, LIBRE DE GLUTEN: SIN VALOR</t>
  </si>
  <si>
    <t>CARNES; ESPECIE: VACUNA, CORTE: NALGA, TIPO: VACUNA</t>
  </si>
  <si>
    <t>CARNES; CORTE: TAPA DE NALGA, ESPECIE: VACUNA, TIPO: VACUNA</t>
  </si>
  <si>
    <t>FRUTAS; VARIEDAD: NARANJA ESPECIAL, ESTADO: NATURAL, PRESENTACION: CAJON, PESO: SIN VALOR</t>
  </si>
  <si>
    <t>ESPECIAS; TIPO: NUEZ MOSCADA, PRESENTACION: ENVASE X 25 GR, LIBRE DE GLUTEN: SI</t>
  </si>
  <si>
    <t>ESPECIAS; PRESENTACION: SOBRE X 50 GR, TIPO: OREGANO</t>
  </si>
  <si>
    <t>VERDURAS Y HORTALIZAS; VARIEDAD: PAPA BLANCA, ESTADO: NATURAL, PRESENTACION: BOLSA, PESO: 25 Kg</t>
  </si>
  <si>
    <t>CARNES; CORTE: PECETO, ESPECIE: VACUNA, TIPO: VACUNA</t>
  </si>
  <si>
    <t>AVES; TIPO: POLLO, PRESENTACION: CAJA X 22 Kg, EVISCERADO: SI, ELEM. TRANSPORTE: SIN, MATERIAL ELEM. TRANSPORTE: SIN, LIBRE DE GLUTEN: SIN VALOR</t>
  </si>
  <si>
    <t>FRUTAS; VARIEDAD: PERA AMARILLA, ESTADO: NATURAL, PRESENTACION: CAJON, PESO: SIN VALOR</t>
  </si>
  <si>
    <t>VERDURAS Y HORTALIZAS; VARIEDAD: PEREJIL, ESTADO: NATURAL, PRESENTACION: ATADO, PESO: 1 Kg</t>
  </si>
  <si>
    <t>ESPECIAS; TIPO: PIMENTON DULCE, PRESENTACION: PAQUETE X 50 GR</t>
  </si>
  <si>
    <t>ESPECIAS; TIPO: PIMIENTA NEGRA MOLIDA, PRESENTACION: ENVASE X 25 GR</t>
  </si>
  <si>
    <t>VERDURAS Y HORTALIZAS; VARIEDAD: MORRON ROJO, ESTADO: NATURAL, PRESENTACION: ENVASE X 10 Kg, PESO: 10 Kg, ELEM. TRANSPORTE: CAJON, MATERIAL ELEM. TRANSPORTE: MADERA, LIBRE DE GLUTEN: SI</t>
  </si>
  <si>
    <t>VERDURAS Y HORTALIZAS; VARIEDAD: MORRON VERDE, ESTADO: NATURAL, PRESENTACION: GRANEL, PESO: SIN VALOR</t>
  </si>
  <si>
    <t>ESPECIAS; TIPO: PROVENZAL, PRESENTACION: SOBRE X 50 GR, LIBRE DE GLUTEN: SI</t>
  </si>
  <si>
    <t>QUESOS; TIPO: CREMOSO, PRESENTACION: AL PESO, ELEM. TRANSPORTE: SIN, MATERIAL ELEM. TRANSPORTE: SIN, MATERIAL ENVASE: SIN, CERTIFICADO FORESTAL (GFS): SIN, LIBRE DE GLUTEN: A DEFINIR</t>
  </si>
  <si>
    <t>QUESOS; TIPO: SARDO, PRESENTACION: HORMA, ELEM. TRANSPORTE: SIN, MATERIAL ELEM. TRANSPORTE: SIN, MATERIAL ENVASE: SIN, CERTIFICADO FORESTAL (GFS): SIN, LIBRE DE GLUTEN: A DEFINIR</t>
  </si>
  <si>
    <t>QUESOS; TIPO: TYBO, PRESENTACION: ENVASE X 1 Kg, ELEM. TRANSPORTE: SIN, MATERIAL ELEM. TRANSPORTE: SIN, MATERIAL ENVASE: POLIESTIRENO, CERTIFICADO FORESTAL (GFS): SIN, LIBRE DE GLUTEN: SI</t>
  </si>
  <si>
    <t>PASTAS FRESCAS; VARIEDAD: RAVIOL, RELLENO: VERDURA Y POLLO, PRESENTACION: ENVASE X 500 GR</t>
  </si>
  <si>
    <t>SAL DE MESA; CONSISTENCIA: FINA, PESO: 500 GR, TIPO: SIN VALOR, ENVASE: PAQUETE</t>
  </si>
  <si>
    <t>SAL DE MESA; CONSISTENCIA: GRUESA, ENVASE: BOLSA, PESO: 1 Kg, TIPO: SIN VALOR</t>
  </si>
  <si>
    <t>TAPAS P/EMPANADAS; TIPO: P/HORNO, PRESENTACION: BOLSA X 12</t>
  </si>
  <si>
    <t>TAPAS P/TARTAS; TIPO: REDONDA, MASA: HOJALDRE, PRESENTACION: ENVASE X 400 GR</t>
  </si>
  <si>
    <t>TE; SAQUITOS 2G P/CAJA: 100, PRESENTACION: EN SAQUITOS ENSOBRADOS, PESO: SIN VALOR, TIPO: SIN VALOR</t>
  </si>
  <si>
    <t>VERDURAS Y HORTALIZAS; VARIEDAD: TOMATE REDONDO, ESTADO: NATURAL, PRESENTACION: CAJON, PESO: 10 Kg</t>
  </si>
  <si>
    <t>VERDURAS Y HORTALIZAS; PRESENTACION: BOTELLA, VARIEDAD: TOMATE PERITA, ESTADO: TRITURADO, PESO: 970 GR</t>
  </si>
  <si>
    <t>VINAGRES; TIPO: MANZANA, PRESENTACION: ENVASE X 1 L, MATERIAL ENVASE: PLASTICO 1 (PET)</t>
  </si>
  <si>
    <t>YERBAS; PALO: CON, PESO: 1 Kg, MATERIAL ENVASE : PAPEL, CERTIFICADO FORESTAL (GFS): CON, ELEM. TRANSPORTE: SIN, MATERIAL ELEM. TRANSPORTE: SIN, LIBRE DE GLUTEN: SI</t>
  </si>
  <si>
    <t>YOGHURT; TIPO: DESCREMADO, AGREGADO: SIN, CONSISTENCIA: FIRME, SABOR: VAINILLA-FRUTILLA, PRESENTACION: POTE PLASTICO X 190 mL</t>
  </si>
  <si>
    <t>YOGHURT; TIPO: ENTERO, AGREGADO: SIN, CONSISTENCIA: FIRME, SABOR: VAINILLA-FRUTILLA, PRESENTACION: POTE PLASTICO X 190 mL</t>
  </si>
  <si>
    <t>VERDURAS Y HORTALIZAS; VARIEDAD: ZANAHORIA, ESTADO: NATURAL, PRESENTACION: BOLSA, PESO: NO CORRESPONDE, ELEM. TRANSPORTE: SIN, MATERIAL ELEM. TRANSPORTE: SIN, LIBRE DE GLUTEN: SI, ORGANICO: NO</t>
  </si>
  <si>
    <t>VERDURAS Y HORTALIZAS; VARIEDAD: ZAPALLITO REDONDO, ESTADO: NATURAL, PRESENTACION: CAJON, PESO: SIN VALOR</t>
  </si>
  <si>
    <t>VERDURAS Y HORTALIZAS; VARIEDAD: ZUCHINI, ESTADO: NATURAL, PRESENTACION: CAJON, PESO: 18 Kg</t>
  </si>
  <si>
    <t>VERDURAS Y HORTALIZAS; VARIEDAD: ZAPALLO CALABAZA, ESTADO: NATURAL, PRESENTACION: BOLSA, PESO: 20 Kg</t>
  </si>
  <si>
    <t>VERDURAS Y HORTALIZAS; VARIEDAD: ZAPALLO CRIOLLO, ESTADO: NATURAL, PRESENTACION: UNIDAD, PESO: SIN VALOR</t>
  </si>
  <si>
    <t>ADEREZOS; TIPO: MOSTAZA, ENVASE: POMO, CONTENIDO: 300 GR, PRESENTACION: ENVASE X 300 GR</t>
  </si>
  <si>
    <t>ADEREZOS; TIPO: SALSA DE SOJA, PRESENTACION: ENVASE X 1 L, LIBRE DE GLUTEN: SIN VALOR</t>
  </si>
  <si>
    <t>ESPECIAS; TIPO: PIMIENTA NEGRA, PRESENTACION: ENVASE X 25 GR, LIBRE DE GLUTEN: SI</t>
  </si>
  <si>
    <t>LEGUMBRES; VARIEDAD: POROTO ALUBIA, ESTADO: NATURAL, PRESENTACION: BOLSA PLASTICA, PESO: 500 GR</t>
  </si>
  <si>
    <t>MAIZ; TIPO: BLANCO PISADO, PRESENTACION: ENVASE X 500 GR, FORMA DE PRESENTACION: SIN VALOR</t>
  </si>
  <si>
    <t>HARINAS; TIPO: MAIZ, PRESENTACION: ENVASE X 750 GR, MATERIAL ENVASE: PAPEL, CERTICADO FORESTAL (GFS): SIN, ELEM. TRANSPORTE: SIN, MATERIAL ELEM. TRANSPORTE: SIN</t>
  </si>
  <si>
    <t>CEREALES; TIPO: TRIGO BURGOL, PRESENTACION: ENVASE X 1 Kg</t>
  </si>
  <si>
    <t>RICOTA; ENVASE: PAQUETE, PESO: 1 Kg, SABOR: SIN</t>
  </si>
  <si>
    <t>ATADO</t>
  </si>
  <si>
    <t>LATA</t>
  </si>
  <si>
    <t>KG</t>
  </si>
  <si>
    <t>PAQUETE</t>
  </si>
  <si>
    <t>CAJA</t>
  </si>
  <si>
    <t>CAJON</t>
  </si>
  <si>
    <t>BOLSA</t>
  </si>
  <si>
    <t>SOBRE</t>
  </si>
  <si>
    <t>BOTELLA</t>
  </si>
  <si>
    <t>CARTON</t>
  </si>
  <si>
    <t>HORMA</t>
  </si>
  <si>
    <t xml:space="preserve">Alimentos para personas </t>
  </si>
  <si>
    <t>Adquisicion de Alimentos para pacientes internados, destinados al servicio de nutricion de Maternidad Provincial "25 de Mayo"</t>
  </si>
  <si>
    <t>304/2020</t>
  </si>
  <si>
    <t>NO</t>
  </si>
  <si>
    <t>ENVASE</t>
  </si>
  <si>
    <t>ALIMENTOS PARA PERSONAS</t>
  </si>
  <si>
    <t>Servicio de Nutrición y Dietoterapia</t>
  </si>
  <si>
    <t>169-Dirección Asistencial</t>
  </si>
  <si>
    <t>Pedido de Necesidades Trimestrales</t>
  </si>
  <si>
    <t>JURISDICCION:</t>
  </si>
  <si>
    <t>42-Ministerio de Salud</t>
  </si>
  <si>
    <t xml:space="preserve">SAF N°: </t>
  </si>
  <si>
    <t>28- Maternidad Provincial 25 de Mayo</t>
  </si>
  <si>
    <t>TRIMESTRE:</t>
  </si>
  <si>
    <t>ID</t>
  </si>
  <si>
    <t>CODIGO ITEM</t>
  </si>
  <si>
    <t>RUBRO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</si>
  <si>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</si>
  <si>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</si>
  <si>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</si>
  <si>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</si>
  <si>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</si>
  <si>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</si>
  <si>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ALIMENTOS</t>
  </si>
  <si>
    <t>1.1</t>
  </si>
  <si>
    <t xml:space="preserve">Costo total estimado: Un millon cuatrocientos treinta y siete mil seiscientos con 57/100 </t>
  </si>
  <si>
    <t>TOTAL DE PESOS: Un millon cuatrocientos treinta y siete mil seiscientos con 57/100 centavos.</t>
  </si>
  <si>
    <t>Servicio de Nutricion y Dietoterapia</t>
  </si>
  <si>
    <t>Autorizo la realización de los  trámites correspondientes, a fin de proveer a  este Organismo los bienes, servicios  que se detallan en Nota  de Pedido N°304/2020 , afectando la erogación resultante a los créditos presupuestarios aprobados a favor de esta Unidad Ejecutora, conforme al siguiente detalle:</t>
  </si>
  <si>
    <t>PLAZO DE ENTRAGA: DIEZ (10) DIAS HABILES</t>
  </si>
  <si>
    <t>Especificidades Item N° 2 :</t>
  </si>
  <si>
    <t>PESO MINIMO DEL ATADO 300 GR.</t>
  </si>
  <si>
    <t>Especificidades Item N° 13 :</t>
  </si>
  <si>
    <t>MATERNIDAD PROVINCIAL 25 DE MAYO-SERVICIO DE NUTRICION-HERNANDO DE PEDRAZA 1.650</t>
  </si>
  <si>
    <t>PESO MINIMO O APROXIMADO DEL CAJON 20 KG</t>
  </si>
  <si>
    <t>Especificidades Item N° 57 :</t>
  </si>
  <si>
    <t>Especificidades Item N° 62 :</t>
  </si>
  <si>
    <t>Especificidades Item N° 68 :</t>
  </si>
  <si>
    <t>Especificidades Item N° 90 :</t>
  </si>
  <si>
    <t>PESO MINIMO O APROXIMADO DE LA BOLSA 15 KG</t>
  </si>
  <si>
    <t>Especificidades Item N° 91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</si>
</sst>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_-[$$-2C0A]\ * #,##0.00_-;\-[$$-2C0A]\ * #,##0.00_-;_-[$$-2C0A]\ * &quot;-&quot;??_-;_-@_-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u/>
      <sz val="10"/>
      <name val="Times New Roman"/>
      <family val="1"/>
    </font>
    <font>
      <sz val="8"/>
      <name val="Arial"/>
      <charset val="1"/>
    </font>
    <font>
      <sz val="10"/>
      <name val="Arial"/>
      <charset val="1"/>
    </font>
    <font>
      <sz val="10"/>
      <color rgb="FF000000"/>
      <name val="Times New Roman"/>
      <family val="1"/>
    </font>
    <font>
      <sz val="9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1" fillId="0" borderId="0" applyFont="0" applyFill="0" applyBorder="0" applyAlignment="0" applyProtection="0"/>
  </cellStyleXfs>
  <cellXfs count="178">
    <xf numFmtId="0" fontId="0" fillId="0" borderId="0" xfId="0"/>
    <xf numFmtId="0" fontId="3" fillId="0" borderId="0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3" fillId="0" borderId="20" xfId="0" applyNumberFormat="1" applyFont="1" applyBorder="1" applyAlignment="1"/>
    <xf numFmtId="166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5" xfId="0" applyBorder="1"/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9" xfId="0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67" fontId="0" fillId="0" borderId="34" xfId="2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7" fontId="0" fillId="0" borderId="39" xfId="2" applyNumberFormat="1" applyFont="1" applyBorder="1" applyAlignment="1" applyProtection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7" fontId="0" fillId="0" borderId="43" xfId="2" applyNumberFormat="1" applyFont="1" applyBorder="1" applyAlignment="1" applyProtection="1">
      <alignment horizontal="center" vertical="center"/>
    </xf>
    <xf numFmtId="167" fontId="17" fillId="0" borderId="45" xfId="0" applyNumberFormat="1" applyFont="1" applyBorder="1" applyAlignment="1">
      <alignment horizontal="center" vertical="center"/>
    </xf>
    <xf numFmtId="0" fontId="0" fillId="3" borderId="46" xfId="0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/>
    </xf>
    <xf numFmtId="0" fontId="11" fillId="0" borderId="46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 wrapText="1"/>
    </xf>
    <xf numFmtId="3" fontId="11" fillId="0" borderId="46" xfId="0" applyNumberFormat="1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11" fillId="3" borderId="46" xfId="0" applyFont="1" applyFill="1" applyBorder="1" applyAlignment="1">
      <alignment horizontal="center" vertical="center" wrapText="1"/>
    </xf>
    <xf numFmtId="3" fontId="11" fillId="3" borderId="46" xfId="0" applyNumberFormat="1" applyFont="1" applyFill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right" vertical="center"/>
    </xf>
    <xf numFmtId="0" fontId="6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 wrapText="1" indent="1"/>
    </xf>
    <xf numFmtId="168" fontId="23" fillId="3" borderId="46" xfId="5" applyNumberFormat="1" applyFont="1" applyFill="1" applyBorder="1" applyAlignment="1" applyProtection="1">
      <alignment horizontal="right" vertical="center" wrapText="1"/>
    </xf>
    <xf numFmtId="168" fontId="22" fillId="3" borderId="46" xfId="0" applyNumberFormat="1" applyFont="1" applyFill="1" applyBorder="1" applyAlignment="1">
      <alignment horizontal="center" wrapText="1"/>
    </xf>
    <xf numFmtId="168" fontId="18" fillId="3" borderId="46" xfId="0" applyNumberFormat="1" applyFont="1" applyFill="1" applyBorder="1" applyAlignment="1">
      <alignment horizontal="center" wrapText="1"/>
    </xf>
    <xf numFmtId="0" fontId="3" fillId="3" borderId="0" xfId="0" applyFont="1" applyFill="1" applyBorder="1" applyAlignment="1">
      <alignment vertical="center"/>
    </xf>
    <xf numFmtId="168" fontId="3" fillId="0" borderId="0" xfId="0" applyNumberFormat="1" applyFont="1" applyBorder="1" applyAlignment="1">
      <alignment vertical="center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vertical="center" wrapText="1"/>
    </xf>
    <xf numFmtId="168" fontId="18" fillId="0" borderId="0" xfId="0" applyNumberFormat="1" applyFont="1"/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center" wrapText="1"/>
    </xf>
    <xf numFmtId="168" fontId="22" fillId="0" borderId="0" xfId="0" applyNumberFormat="1" applyFont="1" applyAlignment="1">
      <alignment horizontal="left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7" fillId="0" borderId="57" xfId="0" applyFont="1" applyBorder="1" applyAlignment="1">
      <alignment horizontal="center" vertical="center" wrapText="1"/>
    </xf>
    <xf numFmtId="0" fontId="27" fillId="0" borderId="58" xfId="0" applyFont="1" applyBorder="1" applyAlignment="1">
      <alignment horizontal="center" vertical="center" wrapText="1"/>
    </xf>
    <xf numFmtId="0" fontId="27" fillId="0" borderId="59" xfId="0" applyFont="1" applyBorder="1" applyAlignment="1">
      <alignment horizontal="center" vertical="center" wrapText="1"/>
    </xf>
    <xf numFmtId="0" fontId="27" fillId="0" borderId="60" xfId="0" applyFont="1" applyBorder="1" applyAlignment="1">
      <alignment horizontal="center" vertical="center" wrapText="1"/>
    </xf>
    <xf numFmtId="168" fontId="27" fillId="0" borderId="60" xfId="0" applyNumberFormat="1" applyFont="1" applyBorder="1" applyAlignment="1">
      <alignment horizontal="center" vertical="center" wrapText="1"/>
    </xf>
    <xf numFmtId="0" fontId="27" fillId="0" borderId="61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/>
    </xf>
    <xf numFmtId="0" fontId="0" fillId="0" borderId="46" xfId="0" applyBorder="1"/>
    <xf numFmtId="0" fontId="0" fillId="0" borderId="46" xfId="0" applyBorder="1" applyAlignment="1">
      <alignment vertical="center"/>
    </xf>
    <xf numFmtId="0" fontId="28" fillId="0" borderId="46" xfId="0" applyFont="1" applyBorder="1" applyAlignment="1">
      <alignment horizontal="center" vertical="center" wrapText="1"/>
    </xf>
    <xf numFmtId="0" fontId="0" fillId="0" borderId="46" xfId="0" applyBorder="1" applyAlignment="1">
      <alignment horizontal="left" vertical="center" wrapText="1"/>
    </xf>
    <xf numFmtId="168" fontId="23" fillId="0" borderId="46" xfId="5" applyNumberFormat="1" applyFont="1" applyFill="1" applyBorder="1" applyAlignment="1" applyProtection="1">
      <alignment horizontal="right" vertical="center" wrapText="1"/>
    </xf>
    <xf numFmtId="167" fontId="23" fillId="0" borderId="46" xfId="5" applyNumberFormat="1" applyFont="1" applyFill="1" applyBorder="1" applyAlignment="1" applyProtection="1">
      <alignment horizontal="right" vertical="center" wrapText="1"/>
    </xf>
    <xf numFmtId="0" fontId="29" fillId="0" borderId="46" xfId="0" applyFont="1" applyBorder="1" applyAlignment="1">
      <alignment vertical="center"/>
    </xf>
    <xf numFmtId="3" fontId="28" fillId="0" borderId="46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18" fillId="0" borderId="20" xfId="0" applyFont="1" applyBorder="1" applyAlignment="1">
      <alignment wrapText="1"/>
    </xf>
    <xf numFmtId="0" fontId="18" fillId="0" borderId="47" xfId="0" applyFont="1" applyBorder="1" applyAlignment="1">
      <alignment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8" fillId="0" borderId="7" xfId="0" applyFont="1" applyBorder="1" applyAlignment="1">
      <alignment vertical="center" wrapText="1"/>
    </xf>
    <xf numFmtId="0" fontId="19" fillId="0" borderId="13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0" borderId="49" xfId="0" applyFont="1" applyBorder="1" applyAlignment="1">
      <alignment vertical="center" wrapText="1"/>
    </xf>
    <xf numFmtId="0" fontId="18" fillId="0" borderId="49" xfId="0" applyFont="1" applyBorder="1" applyAlignment="1">
      <alignment wrapText="1"/>
    </xf>
    <xf numFmtId="0" fontId="18" fillId="0" borderId="50" xfId="0" applyFont="1" applyBorder="1" applyAlignment="1">
      <alignment vertical="center" wrapText="1"/>
    </xf>
    <xf numFmtId="0" fontId="10" fillId="3" borderId="46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168" fontId="3" fillId="3" borderId="0" xfId="0" applyNumberFormat="1" applyFont="1" applyFill="1" applyBorder="1" applyAlignment="1">
      <alignment vertical="center"/>
    </xf>
    <xf numFmtId="0" fontId="0" fillId="3" borderId="0" xfId="0" applyFill="1"/>
    <xf numFmtId="0" fontId="18" fillId="0" borderId="0" xfId="0" applyFont="1" applyAlignment="1">
      <alignment horizontal="center" wrapText="1"/>
    </xf>
    <xf numFmtId="0" fontId="19" fillId="0" borderId="13" xfId="0" applyFont="1" applyBorder="1" applyAlignment="1">
      <alignment horizontal="center" vertical="center" wrapText="1"/>
    </xf>
    <xf numFmtId="0" fontId="30" fillId="0" borderId="0" xfId="0" applyFont="1"/>
    <xf numFmtId="0" fontId="18" fillId="0" borderId="0" xfId="0" applyFont="1" applyAlignment="1">
      <alignment horizontal="center" wrapText="1"/>
    </xf>
    <xf numFmtId="0" fontId="18" fillId="0" borderId="7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0" fontId="18" fillId="0" borderId="7" xfId="0" applyFont="1" applyBorder="1" applyAlignment="1">
      <alignment horizontal="center" vertical="top" wrapText="1"/>
    </xf>
    <xf numFmtId="0" fontId="25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left" wrapText="1"/>
    </xf>
    <xf numFmtId="0" fontId="8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0" fillId="0" borderId="54" xfId="0" applyFill="1" applyBorder="1" applyAlignment="1">
      <alignment vertical="center" wrapText="1"/>
    </xf>
    <xf numFmtId="0" fontId="0" fillId="0" borderId="55" xfId="0" applyFill="1" applyBorder="1" applyAlignment="1">
      <alignment vertical="center" wrapText="1"/>
    </xf>
    <xf numFmtId="0" fontId="0" fillId="0" borderId="56" xfId="0" applyFill="1" applyBorder="1" applyAlignment="1">
      <alignment vertical="center" wrapText="1"/>
    </xf>
    <xf numFmtId="0" fontId="12" fillId="0" borderId="17" xfId="0" applyFont="1" applyBorder="1" applyAlignment="1">
      <alignment horizontal="left" vertical="center" wrapText="1" indent="1"/>
    </xf>
    <xf numFmtId="165" fontId="8" fillId="0" borderId="17" xfId="0" applyNumberFormat="1" applyFont="1" applyBorder="1" applyAlignment="1">
      <alignment horizontal="center" vertical="center"/>
    </xf>
    <xf numFmtId="0" fontId="0" fillId="0" borderId="46" xfId="0" applyFill="1" applyBorder="1" applyAlignment="1">
      <alignment vertical="center" wrapText="1"/>
    </xf>
    <xf numFmtId="0" fontId="0" fillId="3" borderId="46" xfId="0" applyFill="1" applyBorder="1" applyAlignment="1">
      <alignment vertical="center" wrapText="1"/>
    </xf>
    <xf numFmtId="0" fontId="0" fillId="0" borderId="18" xfId="0" applyFont="1" applyBorder="1" applyAlignment="1">
      <alignment horizontal="center"/>
    </xf>
    <xf numFmtId="3" fontId="13" fillId="0" borderId="19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15" fillId="0" borderId="22" xfId="0" applyFont="1" applyBorder="1" applyAlignment="1">
      <alignment horizontal="left" indent="1"/>
    </xf>
    <xf numFmtId="0" fontId="11" fillId="0" borderId="21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15" fillId="0" borderId="13" xfId="0" applyNumberFormat="1" applyFont="1" applyBorder="1" applyAlignment="1">
      <alignment horizontal="left" vertical="center" wrapText="1"/>
    </xf>
    <xf numFmtId="0" fontId="15" fillId="0" borderId="0" xfId="0" applyNumberFormat="1" applyFont="1" applyBorder="1" applyAlignment="1">
      <alignment horizontal="left" vertical="center" wrapText="1"/>
    </xf>
    <xf numFmtId="0" fontId="15" fillId="0" borderId="7" xfId="0" applyNumberFormat="1" applyFont="1" applyBorder="1" applyAlignment="1">
      <alignment horizontal="left" vertical="center" wrapText="1"/>
    </xf>
    <xf numFmtId="0" fontId="17" fillId="0" borderId="24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8" xfId="0" applyFont="1" applyBorder="1" applyAlignment="1">
      <alignment horizontal="left" vertical="center"/>
    </xf>
    <xf numFmtId="0" fontId="13" fillId="0" borderId="9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17" xfId="0" applyFont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7" fillId="0" borderId="44" xfId="0" applyFont="1" applyBorder="1" applyAlignment="1">
      <alignment horizontal="left" vertical="center" wrapText="1"/>
    </xf>
    <xf numFmtId="0" fontId="0" fillId="0" borderId="24" xfId="0" applyBorder="1"/>
  </cellXfs>
  <cellStyles count="6">
    <cellStyle name="Encabezado 1" xfId="1"/>
    <cellStyle name="Moneda" xfId="5" builtinId="4"/>
    <cellStyle name="Moneda_AUTORIZACION Y NOTA DE PEDIDO" xfId="2"/>
    <cellStyle name="Neutral 1" xfId="3"/>
    <cellStyle name="Normal" xfId="0" builtinId="0"/>
    <cellStyle name="Normal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IEL/Desktop/Mis%20Documentos/Secretaria%20de%20compras/PAC%202021/Pedidos%20por%20cierre%20de%20FP%20SCA/Nutricion/por%20un%20mes%20ESPE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Autor Gastar"/>
      <sheetName val=" NotaPedido"/>
    </sheetNames>
    <sheetDataSet>
      <sheetData sheetId="0">
        <row r="10">
          <cell r="B10" t="str">
            <v>2.1.1-439.67</v>
          </cell>
        </row>
        <row r="11">
          <cell r="B11" t="str">
            <v>2.1.1-6546.34</v>
          </cell>
        </row>
        <row r="12">
          <cell r="B12" t="str">
            <v>2.1.1-6546.154</v>
          </cell>
        </row>
        <row r="13">
          <cell r="B13" t="str">
            <v>2.1.1-6539.38</v>
          </cell>
        </row>
        <row r="14">
          <cell r="B14" t="str">
            <v>2.1.1-6546.330</v>
          </cell>
        </row>
        <row r="15">
          <cell r="B15" t="str">
            <v>2.1.1-6546.230</v>
          </cell>
        </row>
        <row r="16">
          <cell r="B16" t="str">
            <v>2.1.1-435.38</v>
          </cell>
        </row>
        <row r="17">
          <cell r="B17" t="str">
            <v>2.1.1-435.60</v>
          </cell>
        </row>
        <row r="18">
          <cell r="B18" t="str">
            <v>2.1.1-708.43</v>
          </cell>
        </row>
        <row r="19">
          <cell r="B19" t="str">
            <v>2.1.1-2124.6</v>
          </cell>
        </row>
        <row r="20">
          <cell r="B20" t="str">
            <v>2.1.1-6547.84</v>
          </cell>
        </row>
        <row r="21">
          <cell r="B21" t="str">
            <v>2.1.1-481.38</v>
          </cell>
        </row>
        <row r="22">
          <cell r="B22" t="str">
            <v>2.1.1-6539.30</v>
          </cell>
        </row>
        <row r="23">
          <cell r="B23" t="str">
            <v>2.1.1-6546.207</v>
          </cell>
        </row>
        <row r="24">
          <cell r="B24" t="str">
            <v>2.1.1-6546.177</v>
          </cell>
        </row>
        <row r="25">
          <cell r="B25" t="str">
            <v>2.1.1-541.33</v>
          </cell>
        </row>
        <row r="26">
          <cell r="B26" t="str">
            <v>2.1.1-2615.15</v>
          </cell>
        </row>
        <row r="27">
          <cell r="B27" t="str">
            <v>2.1.1-541.137</v>
          </cell>
        </row>
        <row r="28">
          <cell r="B28" t="str">
            <v>2.1.1-6546.236</v>
          </cell>
        </row>
        <row r="29">
          <cell r="B29" t="str">
            <v>2.1.1-6546.377</v>
          </cell>
        </row>
        <row r="30">
          <cell r="B30" t="str">
            <v>2.1.1-6546.269</v>
          </cell>
        </row>
        <row r="31">
          <cell r="B31" t="str">
            <v>2.1.1-6539.123</v>
          </cell>
        </row>
        <row r="32">
          <cell r="B32" t="str">
            <v>2.1.1-597.41</v>
          </cell>
        </row>
        <row r="33">
          <cell r="B33" t="str">
            <v>2.1.1-597.43</v>
          </cell>
        </row>
        <row r="34">
          <cell r="B34" t="str">
            <v>2.1.1-541.164</v>
          </cell>
        </row>
        <row r="35">
          <cell r="B35" t="str">
            <v>2.1.1-489.91</v>
          </cell>
        </row>
        <row r="36">
          <cell r="B36" t="str">
            <v>2.1.1-489.82</v>
          </cell>
        </row>
        <row r="37">
          <cell r="B37" t="str">
            <v>2.1.1-2113.1</v>
          </cell>
        </row>
        <row r="38">
          <cell r="B38" t="str">
            <v>2.1.1-455.24</v>
          </cell>
        </row>
        <row r="39">
          <cell r="B39" t="str">
            <v>2.1.1-2113.2</v>
          </cell>
        </row>
        <row r="40">
          <cell r="B40" t="str">
            <v>2.1.1-6539.54</v>
          </cell>
        </row>
        <row r="41">
          <cell r="B41" t="str">
            <v>2.1.1-6539.46</v>
          </cell>
        </row>
        <row r="42">
          <cell r="B42" t="str">
            <v>2.1.1-595.2</v>
          </cell>
        </row>
        <row r="43">
          <cell r="B43" t="str">
            <v>2.1.1-595.14</v>
          </cell>
        </row>
        <row r="44">
          <cell r="B44" t="str">
            <v>2.1.1-2868.59</v>
          </cell>
        </row>
        <row r="45">
          <cell r="B45" t="str">
            <v>2.1.1-2868.53</v>
          </cell>
        </row>
        <row r="46">
          <cell r="B46" t="str">
            <v>2.1.1-2868.55</v>
          </cell>
        </row>
        <row r="47">
          <cell r="B47" t="str">
            <v>2.1.1-613.2</v>
          </cell>
        </row>
        <row r="48">
          <cell r="B48" t="str">
            <v>2.1.1-513.9</v>
          </cell>
        </row>
        <row r="49">
          <cell r="B49" t="str">
            <v>2.1.1-705.121</v>
          </cell>
        </row>
        <row r="50">
          <cell r="B50" t="str">
            <v>2.1.1-705.119</v>
          </cell>
        </row>
        <row r="51">
          <cell r="B51" t="str">
            <v>2.1.1-705.90</v>
          </cell>
        </row>
        <row r="52">
          <cell r="B52" t="str">
            <v>2.1.1-705.91</v>
          </cell>
        </row>
        <row r="54">
          <cell r="B54" t="str">
            <v>2.1.1-788.222</v>
          </cell>
        </row>
        <row r="55">
          <cell r="B55" t="str">
            <v>2.1.1-510.3</v>
          </cell>
        </row>
        <row r="56">
          <cell r="B56" t="str">
            <v>2.1.1-510.65</v>
          </cell>
        </row>
        <row r="57">
          <cell r="B57" t="str">
            <v>2.1.1-482.77</v>
          </cell>
        </row>
        <row r="58">
          <cell r="B58" t="str">
            <v>2.1.1-483.33</v>
          </cell>
        </row>
        <row r="59">
          <cell r="B59" t="str">
            <v>2.1.1-969.96</v>
          </cell>
        </row>
        <row r="60">
          <cell r="B60" t="str">
            <v>2.1.1-705.95</v>
          </cell>
        </row>
        <row r="61">
          <cell r="B61" t="str">
            <v>2.1.1-705.105</v>
          </cell>
        </row>
        <row r="62">
          <cell r="B62" t="str">
            <v>2.1.1-705.106</v>
          </cell>
        </row>
        <row r="63">
          <cell r="B63" t="str">
            <v>2.1.1-6547.88</v>
          </cell>
        </row>
        <row r="64">
          <cell r="B64" t="str">
            <v>2.1.1-6546.374</v>
          </cell>
        </row>
        <row r="65">
          <cell r="B65" t="str">
            <v>2.1.1-2116.10</v>
          </cell>
        </row>
        <row r="66">
          <cell r="B66" t="str">
            <v>2.1.1-6539.84</v>
          </cell>
        </row>
        <row r="67">
          <cell r="B67" t="str">
            <v>2.1.1-6539.20</v>
          </cell>
        </row>
        <row r="68">
          <cell r="B68" t="str">
            <v>2.1.1-706.6</v>
          </cell>
        </row>
        <row r="69">
          <cell r="B69" t="str">
            <v>2.1.1-438.83</v>
          </cell>
        </row>
        <row r="70">
          <cell r="B70" t="str">
            <v>2.1.1-541.49</v>
          </cell>
        </row>
        <row r="71">
          <cell r="B71" t="str">
            <v>2.1.1-541.20</v>
          </cell>
        </row>
        <row r="72">
          <cell r="B72" t="str">
            <v>2.1.1-6539.8</v>
          </cell>
        </row>
        <row r="73">
          <cell r="B73" t="str">
            <v>2.1.1-489.181</v>
          </cell>
        </row>
        <row r="74">
          <cell r="B74" t="str">
            <v>2.1.1-489.85</v>
          </cell>
        </row>
        <row r="77">
          <cell r="B77" t="str">
            <v>2.1.1-6546.335</v>
          </cell>
        </row>
        <row r="78">
          <cell r="B78" t="str">
            <v>2.1.1-541.29</v>
          </cell>
        </row>
        <row r="79">
          <cell r="B79" t="str">
            <v>2.1.1-621.20</v>
          </cell>
        </row>
        <row r="80">
          <cell r="B80" t="str">
            <v>2.1.1-6539.32</v>
          </cell>
        </row>
        <row r="81">
          <cell r="B81" t="str">
            <v>2.1.1-6546.133</v>
          </cell>
        </row>
        <row r="82">
          <cell r="B82" t="str">
            <v>2.1.1-489.97</v>
          </cell>
        </row>
        <row r="83">
          <cell r="B83" t="str">
            <v>2.1.1-489.162</v>
          </cell>
        </row>
        <row r="84">
          <cell r="B84" t="str">
            <v>2.1.1-6546.365</v>
          </cell>
        </row>
        <row r="85">
          <cell r="B85" t="str">
            <v>2.1.1-6546.95</v>
          </cell>
        </row>
        <row r="86">
          <cell r="B86" t="str">
            <v>2.1.1-489.190</v>
          </cell>
        </row>
        <row r="87">
          <cell r="B87" t="str">
            <v>2.1.1-542.236</v>
          </cell>
        </row>
        <row r="88">
          <cell r="B88" t="str">
            <v>2.1.1-542.240</v>
          </cell>
        </row>
        <row r="89">
          <cell r="B89" t="str">
            <v>2.1.1-542.225</v>
          </cell>
        </row>
        <row r="90">
          <cell r="B90" t="str">
            <v>2.1.1-707.38</v>
          </cell>
        </row>
        <row r="91">
          <cell r="B91" t="str">
            <v>2.1.1-514.2</v>
          </cell>
        </row>
        <row r="92">
          <cell r="B92" t="str">
            <v>2.1.1-514.15</v>
          </cell>
        </row>
        <row r="93">
          <cell r="B93" t="str">
            <v>2.1.1-2610.1</v>
          </cell>
        </row>
        <row r="94">
          <cell r="B94" t="str">
            <v>2.1.1-2429.4</v>
          </cell>
        </row>
        <row r="95">
          <cell r="B95" t="str">
            <v>2.1.1-511.6</v>
          </cell>
        </row>
        <row r="96">
          <cell r="B96" t="str">
            <v>2.1.1-6546.18</v>
          </cell>
        </row>
        <row r="97">
          <cell r="B97" t="str">
            <v>2.1.1-6546.5</v>
          </cell>
        </row>
        <row r="98">
          <cell r="B98" t="str">
            <v>2.1.1-519.23</v>
          </cell>
        </row>
        <row r="99">
          <cell r="B99" t="str">
            <v>2.1.1-454.25</v>
          </cell>
        </row>
        <row r="100">
          <cell r="B100" t="str">
            <v>2.1.1-456.91</v>
          </cell>
        </row>
        <row r="101">
          <cell r="B101" t="str">
            <v>2.1.1-456.90</v>
          </cell>
        </row>
        <row r="102">
          <cell r="B102" t="str">
            <v>2.1.1-6546.403</v>
          </cell>
        </row>
        <row r="103">
          <cell r="B103" t="str">
            <v>2.1.1-6546.151</v>
          </cell>
        </row>
        <row r="104">
          <cell r="B104" t="str">
            <v>2.1.1-6546.298</v>
          </cell>
        </row>
        <row r="105">
          <cell r="B105" t="str">
            <v>2.1.1-6546.159</v>
          </cell>
        </row>
        <row r="106">
          <cell r="B106" t="str">
            <v>2.1.1-6546.162</v>
          </cell>
        </row>
        <row r="107">
          <cell r="B107" t="str">
            <v>2.1.1-438.30</v>
          </cell>
        </row>
        <row r="108">
          <cell r="B108" t="str">
            <v>2.1.1-438.79</v>
          </cell>
        </row>
        <row r="109">
          <cell r="B109" t="str">
            <v>2.1.1-489.183</v>
          </cell>
        </row>
        <row r="110">
          <cell r="B110" t="str">
            <v>2.1.1-6547.31</v>
          </cell>
        </row>
        <row r="111">
          <cell r="B111" t="str">
            <v>2.1.1-2616.9</v>
          </cell>
        </row>
        <row r="112">
          <cell r="B112" t="str">
            <v>2.1.1-482.63</v>
          </cell>
        </row>
        <row r="113">
          <cell r="B113" t="str">
            <v>2.1.1-5917.8</v>
          </cell>
        </row>
        <row r="114">
          <cell r="B114" t="str">
            <v>2.1.1-4975.2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4"/>
  <sheetViews>
    <sheetView topLeftCell="A70" workbookViewId="0">
      <selection activeCell="B82" sqref="B82"/>
    </sheetView>
  </sheetViews>
  <sheetFormatPr baseColWidth="10" defaultRowHeight="12.75" x14ac:dyDescent="0.2"/>
  <cols>
    <col min="2" max="2" width="14.28515625" customWidth="1"/>
    <col min="5" max="5" width="54.28515625" customWidth="1"/>
  </cols>
  <sheetData>
    <row r="1" spans="1:9" x14ac:dyDescent="0.2">
      <c r="A1" s="54"/>
      <c r="B1" s="54"/>
      <c r="C1" s="53"/>
      <c r="D1" s="54"/>
      <c r="E1" s="80"/>
      <c r="F1" s="54"/>
      <c r="G1" s="54"/>
      <c r="H1" s="81"/>
      <c r="I1" s="54"/>
    </row>
    <row r="2" spans="1:9" ht="27" x14ac:dyDescent="0.35">
      <c r="A2" s="54"/>
      <c r="B2" s="133" t="s">
        <v>170</v>
      </c>
      <c r="C2" s="133"/>
      <c r="D2" s="133"/>
      <c r="E2" s="133"/>
      <c r="F2" s="133"/>
      <c r="G2" s="133"/>
      <c r="H2" s="133"/>
      <c r="I2" s="54"/>
    </row>
    <row r="3" spans="1:9" x14ac:dyDescent="0.2">
      <c r="A3" s="54"/>
      <c r="B3" s="54"/>
      <c r="C3" s="53"/>
      <c r="D3" s="54"/>
      <c r="E3" s="80"/>
      <c r="F3" s="54"/>
      <c r="G3" s="54"/>
      <c r="H3" s="81"/>
      <c r="I3" s="54"/>
    </row>
    <row r="4" spans="1:9" ht="15.75" x14ac:dyDescent="0.25">
      <c r="A4" s="132" t="s">
        <v>171</v>
      </c>
      <c r="B4" s="132"/>
      <c r="C4" s="134" t="s">
        <v>172</v>
      </c>
      <c r="D4" s="134"/>
      <c r="E4" s="134"/>
      <c r="F4" s="82"/>
      <c r="G4" s="83"/>
      <c r="H4" s="84"/>
      <c r="I4" s="54"/>
    </row>
    <row r="5" spans="1:9" ht="15.75" x14ac:dyDescent="0.25">
      <c r="A5" s="132" t="s">
        <v>173</v>
      </c>
      <c r="B5" s="132"/>
      <c r="C5" s="134" t="s">
        <v>174</v>
      </c>
      <c r="D5" s="134"/>
      <c r="E5" s="134"/>
      <c r="F5" s="82"/>
      <c r="G5" s="83"/>
      <c r="H5" s="84"/>
      <c r="I5" s="54"/>
    </row>
    <row r="6" spans="1:9" ht="15.75" x14ac:dyDescent="0.2">
      <c r="A6" s="132" t="s">
        <v>15</v>
      </c>
      <c r="B6" s="132"/>
      <c r="C6" s="85">
        <v>2021</v>
      </c>
      <c r="D6" s="86"/>
      <c r="E6" s="87"/>
      <c r="F6" s="82"/>
      <c r="G6" s="83"/>
      <c r="H6" s="84"/>
      <c r="I6" s="54"/>
    </row>
    <row r="7" spans="1:9" ht="15.75" x14ac:dyDescent="0.2">
      <c r="A7" s="132" t="s">
        <v>175</v>
      </c>
      <c r="B7" s="132"/>
      <c r="C7" s="85">
        <v>1</v>
      </c>
      <c r="D7" s="86"/>
      <c r="E7" s="87"/>
      <c r="F7" s="82"/>
      <c r="G7" s="83"/>
      <c r="H7" s="84"/>
      <c r="I7" s="54"/>
    </row>
    <row r="8" spans="1:9" ht="13.5" thickBot="1" x14ac:dyDescent="0.25">
      <c r="A8" s="54"/>
      <c r="B8" s="82"/>
      <c r="C8" s="88"/>
      <c r="D8" s="82"/>
      <c r="E8" s="89"/>
      <c r="F8" s="82"/>
      <c r="G8" s="83"/>
      <c r="H8" s="84"/>
      <c r="I8" s="54"/>
    </row>
    <row r="9" spans="1:9" ht="38.25" x14ac:dyDescent="0.2">
      <c r="A9" s="90" t="s">
        <v>176</v>
      </c>
      <c r="B9" s="90" t="s">
        <v>177</v>
      </c>
      <c r="C9" s="91" t="s">
        <v>178</v>
      </c>
      <c r="D9" s="92" t="s">
        <v>179</v>
      </c>
      <c r="E9" s="90" t="s">
        <v>180</v>
      </c>
      <c r="F9" s="91" t="s">
        <v>181</v>
      </c>
      <c r="G9" s="93" t="s">
        <v>182</v>
      </c>
      <c r="H9" s="94" t="s">
        <v>183</v>
      </c>
      <c r="I9" s="95" t="s">
        <v>184</v>
      </c>
    </row>
    <row r="10" spans="1:9" ht="36.75" customHeight="1" x14ac:dyDescent="0.2">
      <c r="A10" s="96">
        <f>' NotaPedido'!A12</f>
        <v>1</v>
      </c>
      <c r="B10" s="97" t="str">
        <f>' NotaPedido'!B12</f>
        <v>2.1.1-439.67</v>
      </c>
      <c r="C10" s="98" t="s">
        <v>185</v>
      </c>
      <c r="D10" s="99" t="str">
        <f>LEFT(B10,5)</f>
        <v>2.1.1</v>
      </c>
      <c r="E10" s="100" t="str">
        <f>' NotaPedido'!C12:G12</f>
        <v>ACEITES COMESTIBLES; TIPO: GIRASOL, PRESENTACION: ENVASE X 900 CM3, MATERIAL ENVASE: PLASTICO 1 (PET), ELEM. TRANSPORTE: SIN, MATERIAL ELEM. TRANSPORTE : SIN, LIBRE DE GLUTEN: NO</v>
      </c>
      <c r="F10" s="99" t="str">
        <f>' NotaPedido'!I12</f>
        <v>ENVASE</v>
      </c>
      <c r="G10" s="104">
        <f>' NotaPedido'!K12</f>
        <v>65</v>
      </c>
      <c r="H10" s="101">
        <f>' NotaPedido'!J12</f>
        <v>128</v>
      </c>
      <c r="I10" s="102">
        <f>H10*G10</f>
        <v>8320</v>
      </c>
    </row>
    <row r="11" spans="1:9" ht="36.75" customHeight="1" x14ac:dyDescent="0.2">
      <c r="A11" s="96">
        <f>' NotaPedido'!A13</f>
        <v>2</v>
      </c>
      <c r="B11" s="97" t="str">
        <f>' NotaPedido'!B13</f>
        <v>2.1.1-6546.34</v>
      </c>
      <c r="C11" s="98" t="s">
        <v>185</v>
      </c>
      <c r="D11" s="99" t="str">
        <f t="shared" ref="D11:D106" si="0">LEFT(B11,5)</f>
        <v>2.1.1</v>
      </c>
      <c r="E11" s="100" t="str">
        <f>' NotaPedido'!C13:G13</f>
        <v>VERDURAS Y HORTALIZAS; VARIEDAD: ACELGA, ESTADO: EN HOJA, PRESENTACION: ATADO, PESO: SIN VALOR</v>
      </c>
      <c r="F11" s="99" t="str">
        <f>' NotaPedido'!I13</f>
        <v>ATADO</v>
      </c>
      <c r="G11" s="104">
        <f>' NotaPedido'!K13</f>
        <v>96</v>
      </c>
      <c r="H11" s="101">
        <f>' NotaPedido'!J13</f>
        <v>19</v>
      </c>
      <c r="I11" s="102">
        <f t="shared" ref="I11:I73" si="1">H11*G11</f>
        <v>1824</v>
      </c>
    </row>
    <row r="12" spans="1:9" ht="36.75" customHeight="1" x14ac:dyDescent="0.2">
      <c r="A12" s="96">
        <f>' NotaPedido'!A14</f>
        <v>3</v>
      </c>
      <c r="B12" s="97" t="str">
        <f>' NotaPedido'!B14</f>
        <v>2.1.1-6546.154</v>
      </c>
      <c r="C12" s="98" t="s">
        <v>185</v>
      </c>
      <c r="D12" s="99" t="str">
        <f t="shared" si="0"/>
        <v>2.1.1</v>
      </c>
      <c r="E12" s="100" t="str">
        <f>' NotaPedido'!C14:G14</f>
        <v>VERDURAS Y HORTALIZAS; ESTADO: NATURAL, PESO: SIN VALOR, VARIEDAD: AJO, PRESENTACION: UNIDAD</v>
      </c>
      <c r="F12" s="99" t="s">
        <v>38</v>
      </c>
      <c r="G12" s="104">
        <f>' NotaPedido'!K14</f>
        <v>27</v>
      </c>
      <c r="H12" s="101">
        <f>' NotaPedido'!J14</f>
        <v>42</v>
      </c>
      <c r="I12" s="102">
        <f t="shared" si="1"/>
        <v>1134</v>
      </c>
    </row>
    <row r="13" spans="1:9" ht="36.75" customHeight="1" x14ac:dyDescent="0.2">
      <c r="A13" s="96">
        <f>' NotaPedido'!A15</f>
        <v>4</v>
      </c>
      <c r="B13" s="97" t="str">
        <f>' NotaPedido'!B15</f>
        <v>2.1.1-6539.38</v>
      </c>
      <c r="C13" s="98" t="s">
        <v>185</v>
      </c>
      <c r="D13" s="99" t="str">
        <f t="shared" si="0"/>
        <v>2.1.1</v>
      </c>
      <c r="E13" s="100" t="str">
        <f>' NotaPedido'!C15:G15</f>
        <v>FRUTAS; VARIEDAD: ANANA, PRESENTACION: ENVASE X 850 GR, PESO: 850 GR, ESTADO: CONSERVA</v>
      </c>
      <c r="F13" s="99" t="str">
        <f>' NotaPedido'!I15</f>
        <v>LATA</v>
      </c>
      <c r="G13" s="104">
        <f>' NotaPedido'!K15</f>
        <v>27</v>
      </c>
      <c r="H13" s="101">
        <f>' NotaPedido'!J15</f>
        <v>295</v>
      </c>
      <c r="I13" s="102">
        <f t="shared" si="1"/>
        <v>7965</v>
      </c>
    </row>
    <row r="14" spans="1:9" ht="36.75" customHeight="1" x14ac:dyDescent="0.2">
      <c r="A14" s="96">
        <f>' NotaPedido'!A16</f>
        <v>5</v>
      </c>
      <c r="B14" s="97" t="str">
        <f>' NotaPedido'!B16</f>
        <v>2.1.1-6546.330</v>
      </c>
      <c r="C14" s="98" t="s">
        <v>185</v>
      </c>
      <c r="D14" s="99" t="str">
        <f t="shared" si="0"/>
        <v>2.1.1</v>
      </c>
      <c r="E14" s="100" t="str">
        <f>' NotaPedido'!C16:G16</f>
        <v>VERDURAS Y HORTALIZAS; VARIEDAD: ZAPALLO ANCO, ESTADO: NATURAL, PRESENTACION: UNIDAD, PESO: 1 Kg</v>
      </c>
      <c r="F14" s="99" t="str">
        <f>' NotaPedido'!I16</f>
        <v>KG</v>
      </c>
      <c r="G14" s="104">
        <f>' NotaPedido'!K16</f>
        <v>400</v>
      </c>
      <c r="H14" s="101">
        <f>' NotaPedido'!J16</f>
        <v>35</v>
      </c>
      <c r="I14" s="102">
        <f t="shared" si="1"/>
        <v>14000</v>
      </c>
    </row>
    <row r="15" spans="1:9" ht="36.75" customHeight="1" x14ac:dyDescent="0.2">
      <c r="A15" s="96">
        <f>' NotaPedido'!A17</f>
        <v>6</v>
      </c>
      <c r="B15" s="97" t="str">
        <f>' NotaPedido'!B17</f>
        <v>2.1.1-6546.230</v>
      </c>
      <c r="C15" s="98" t="s">
        <v>185</v>
      </c>
      <c r="D15" s="99" t="str">
        <f t="shared" si="0"/>
        <v>2.1.1</v>
      </c>
      <c r="E15" s="100" t="str">
        <f>' NotaPedido'!C17:G17</f>
        <v>VERDURAS Y HORTALIZAS; VARIEDAD: APIO, ESTADO: NATURAL, PRESENTACION: ATADO, PESO: 800 GR</v>
      </c>
      <c r="F15" s="99" t="str">
        <f>' NotaPedido'!I17</f>
        <v>ATADO</v>
      </c>
      <c r="G15" s="104">
        <f>' NotaPedido'!K17</f>
        <v>13</v>
      </c>
      <c r="H15" s="101">
        <f>' NotaPedido'!J17</f>
        <v>85</v>
      </c>
      <c r="I15" s="102">
        <f t="shared" si="1"/>
        <v>1105</v>
      </c>
    </row>
    <row r="16" spans="1:9" ht="36.75" customHeight="1" x14ac:dyDescent="0.2">
      <c r="A16" s="96">
        <f>' NotaPedido'!A18</f>
        <v>7</v>
      </c>
      <c r="B16" s="97" t="str">
        <f>' NotaPedido'!B18</f>
        <v>2.1.1-435.38</v>
      </c>
      <c r="C16" s="98" t="s">
        <v>185</v>
      </c>
      <c r="D16" s="99" t="str">
        <f t="shared" si="0"/>
        <v>2.1.1</v>
      </c>
      <c r="E16" s="100" t="str">
        <f>' NotaPedido'!C18:G18</f>
        <v>ARROZ; TIPO GRANO: DOBLE, TIPO: BLANCO, PROCESO: PARBOLIZADO, PRESENTACION: ENVASE X 1 Kg, MATERIAL ENVASE: CARTON, CERTIFICADO FORESTAL (GFS): SIN, ELEM. TRANSPORTE: SIN, MATERIAL ELEM. TRANSPORTE: SIN</v>
      </c>
      <c r="F16" s="99" t="str">
        <f>' NotaPedido'!I18</f>
        <v>ENVASE</v>
      </c>
      <c r="G16" s="104">
        <f>' NotaPedido'!K18</f>
        <v>85</v>
      </c>
      <c r="H16" s="101">
        <f>' NotaPedido'!J18</f>
        <v>125</v>
      </c>
      <c r="I16" s="102">
        <f t="shared" si="1"/>
        <v>10625</v>
      </c>
    </row>
    <row r="17" spans="1:9" ht="36.75" customHeight="1" x14ac:dyDescent="0.2">
      <c r="A17" s="96">
        <f>' NotaPedido'!A19</f>
        <v>8</v>
      </c>
      <c r="B17" s="97" t="str">
        <f>' NotaPedido'!B19</f>
        <v>2.1.1-435.60</v>
      </c>
      <c r="C17" s="98" t="s">
        <v>185</v>
      </c>
      <c r="D17" s="99" t="str">
        <f t="shared" si="0"/>
        <v>2.1.1</v>
      </c>
      <c r="E17" s="100" t="str">
        <f>' NotaPedido'!C19:G19</f>
        <v>ARROZ; TIPO GRANO: LARGO-FINO, TIPO: BLANCO, PROCESO: SIN CASCARA, PRESENTACION: BOLSA X 1 Kg, MATERIAL ENVASE: PLASTICO, CERTIFICADO FORESTAL (GFS): SIN, ELEM. TRANSPORTE: SIN, MATERIAL ELEM. TRANSPORTE: SIN, LIBRE DE GLUTEN: SI</v>
      </c>
      <c r="F17" s="99" t="str">
        <f>' NotaPedido'!I19</f>
        <v>ENVASE</v>
      </c>
      <c r="G17" s="104">
        <f>' NotaPedido'!K19</f>
        <v>34</v>
      </c>
      <c r="H17" s="101">
        <f>' NotaPedido'!J19</f>
        <v>73</v>
      </c>
      <c r="I17" s="102">
        <f t="shared" si="1"/>
        <v>2482</v>
      </c>
    </row>
    <row r="18" spans="1:9" ht="36.75" customHeight="1" x14ac:dyDescent="0.2">
      <c r="A18" s="96">
        <f>' NotaPedido'!A20</f>
        <v>9</v>
      </c>
      <c r="B18" s="97" t="str">
        <f>' NotaPedido'!B20</f>
        <v>2.1.1-708.43</v>
      </c>
      <c r="C18" s="98" t="s">
        <v>185</v>
      </c>
      <c r="D18" s="99" t="str">
        <f t="shared" si="0"/>
        <v>2.1.1</v>
      </c>
      <c r="E18" s="100" t="str">
        <f>' NotaPedido'!C20:G20</f>
        <v>CONSERVAS PESCADO Y FRUTOS MAR; TIPO: ATUN, ESTADO: AL NATURAL, PESO: 170 GR, ENVASE: LATA, ELEM. TRANSPORTE: SIN, MATERIAL ELEM. TRANSPORTE: SIN</v>
      </c>
      <c r="F18" s="99" t="str">
        <f>' NotaPedido'!I20</f>
        <v>LATA</v>
      </c>
      <c r="G18" s="104">
        <f>' NotaPedido'!K20</f>
        <v>160</v>
      </c>
      <c r="H18" s="101">
        <f>' NotaPedido'!J20</f>
        <v>99.5</v>
      </c>
      <c r="I18" s="102">
        <f t="shared" si="1"/>
        <v>15920</v>
      </c>
    </row>
    <row r="19" spans="1:9" ht="36.75" customHeight="1" x14ac:dyDescent="0.2">
      <c r="A19" s="96">
        <f>' NotaPedido'!A21</f>
        <v>10</v>
      </c>
      <c r="B19" s="97" t="str">
        <f>' NotaPedido'!B21</f>
        <v>2.1.1-2124.6</v>
      </c>
      <c r="C19" s="98" t="s">
        <v>185</v>
      </c>
      <c r="D19" s="99" t="str">
        <f t="shared" si="0"/>
        <v>2.1.1</v>
      </c>
      <c r="E19" s="100" t="str">
        <f>' NotaPedido'!C21:G21</f>
        <v>AVENAS; TIPO: ARROLLADA, ESTADO: INSTANTANEA, PRESENTACION: ENVASE X 350 GR, PESO: SIN VALOR</v>
      </c>
      <c r="F19" s="99" t="str">
        <f>' NotaPedido'!I21</f>
        <v>ENVASE</v>
      </c>
      <c r="G19" s="104">
        <f>' NotaPedido'!K21</f>
        <v>20</v>
      </c>
      <c r="H19" s="101">
        <f>' NotaPedido'!J21</f>
        <v>123.1</v>
      </c>
      <c r="I19" s="102">
        <f t="shared" si="1"/>
        <v>2462</v>
      </c>
    </row>
    <row r="20" spans="1:9" ht="36.75" customHeight="1" x14ac:dyDescent="0.2">
      <c r="A20" s="96">
        <f>' NotaPedido'!A22</f>
        <v>11</v>
      </c>
      <c r="B20" s="97" t="str">
        <f>' NotaPedido'!B22</f>
        <v>2.1.1-6547.84</v>
      </c>
      <c r="C20" s="98" t="s">
        <v>185</v>
      </c>
      <c r="D20" s="99" t="str">
        <f t="shared" si="0"/>
        <v>2.1.1</v>
      </c>
      <c r="E20" s="100" t="str">
        <f>' NotaPedido'!C22:G22</f>
        <v>LEGUMBRES; VARIEDAD: ARVEJAS, ESTADO: CONSERVA, PRESENTACION: LATA, PESO: 350 GR, MATERIAL ENVASE: METAL, ELEM. TRANSPORTE: SIN, MATERIAL ELEM. TRANSPORTE: SIN, LIBRE DE GLUTEN: NO</v>
      </c>
      <c r="F20" s="99" t="str">
        <f>' NotaPedido'!I22</f>
        <v>LATA</v>
      </c>
      <c r="G20" s="104">
        <f>' NotaPedido'!K22</f>
        <v>32</v>
      </c>
      <c r="H20" s="101">
        <f>' NotaPedido'!J22</f>
        <v>85</v>
      </c>
      <c r="I20" s="102">
        <f t="shared" si="1"/>
        <v>2720</v>
      </c>
    </row>
    <row r="21" spans="1:9" ht="36.75" customHeight="1" x14ac:dyDescent="0.2">
      <c r="A21" s="96">
        <f>' NotaPedido'!A23</f>
        <v>12</v>
      </c>
      <c r="B21" s="97" t="str">
        <f>' NotaPedido'!B23</f>
        <v>2.1.1-481.38</v>
      </c>
      <c r="C21" s="98" t="s">
        <v>185</v>
      </c>
      <c r="D21" s="99" t="str">
        <f t="shared" si="0"/>
        <v>2.1.1</v>
      </c>
      <c r="E21" s="100" t="str">
        <f>' NotaPedido'!C23:G23</f>
        <v>AZUCARES; TIPO: "A" COMUN, ESTADO: MOLIDA, PESO: 1 Kg, MATERIAL ENVASE: PLASTICO, CERTIFICADO FORESTAL (GFS): SIN, ELEM. TRANSPORTE: SIN, MATERIAL ELEM. TRANSPORTE: SIN</v>
      </c>
      <c r="F21" s="99" t="str">
        <f>' NotaPedido'!I23</f>
        <v>ENVASE</v>
      </c>
      <c r="G21" s="104">
        <f>' NotaPedido'!K23</f>
        <v>133</v>
      </c>
      <c r="H21" s="101">
        <f>' NotaPedido'!J23</f>
        <v>55</v>
      </c>
      <c r="I21" s="102">
        <f t="shared" si="1"/>
        <v>7315</v>
      </c>
    </row>
    <row r="22" spans="1:9" ht="36.75" customHeight="1" x14ac:dyDescent="0.2">
      <c r="A22" s="96">
        <f>' NotaPedido'!A24</f>
        <v>13</v>
      </c>
      <c r="B22" s="97" t="str">
        <f>' NotaPedido'!B24</f>
        <v>2.1.1-6539.30</v>
      </c>
      <c r="C22" s="98" t="s">
        <v>185</v>
      </c>
      <c r="D22" s="99" t="str">
        <f t="shared" si="0"/>
        <v>2.1.1</v>
      </c>
      <c r="E22" s="100" t="str">
        <f>' NotaPedido'!C24:G24</f>
        <v>FRUTAS; VARIEDAD: BANANA, PRESENTACION: CAJON, ESTADO: NATURAL, PESO: SIN VALOR</v>
      </c>
      <c r="F22" s="99" t="str">
        <f>' NotaPedido'!I24</f>
        <v>CAJON</v>
      </c>
      <c r="G22" s="104">
        <f>' NotaPedido'!K24</f>
        <v>4</v>
      </c>
      <c r="H22" s="101">
        <f>' NotaPedido'!J24</f>
        <v>1350</v>
      </c>
      <c r="I22" s="102">
        <f t="shared" si="1"/>
        <v>5400</v>
      </c>
    </row>
    <row r="23" spans="1:9" ht="36.75" customHeight="1" x14ac:dyDescent="0.2">
      <c r="A23" s="96">
        <f>' NotaPedido'!A25</f>
        <v>14</v>
      </c>
      <c r="B23" s="97" t="str">
        <f>' NotaPedido'!B25</f>
        <v>2.1.1-6546.207</v>
      </c>
      <c r="C23" s="98" t="s">
        <v>185</v>
      </c>
      <c r="D23" s="99" t="str">
        <f t="shared" si="0"/>
        <v>2.1.1</v>
      </c>
      <c r="E23" s="100" t="str">
        <f>' NotaPedido'!C25:G25</f>
        <v>VERDURAS Y HORTALIZAS; VARIEDAD: BATATA, ESTADO: NATURAL, PRESENTACION: BOLSA, PESO: 10 Kg</v>
      </c>
      <c r="F23" s="99" t="str">
        <f>' NotaPedido'!I25</f>
        <v>BOLSA</v>
      </c>
      <c r="G23" s="104">
        <f>' NotaPedido'!K25</f>
        <v>5</v>
      </c>
      <c r="H23" s="101">
        <f>' NotaPedido'!J25</f>
        <v>330</v>
      </c>
      <c r="I23" s="102">
        <f t="shared" si="1"/>
        <v>1650</v>
      </c>
    </row>
    <row r="24" spans="1:9" ht="36.75" customHeight="1" x14ac:dyDescent="0.2">
      <c r="A24" s="96">
        <f>' NotaPedido'!A26</f>
        <v>15</v>
      </c>
      <c r="B24" s="97" t="str">
        <f>' NotaPedido'!B26</f>
        <v>2.1.1-6546.177</v>
      </c>
      <c r="C24" s="98" t="s">
        <v>185</v>
      </c>
      <c r="D24" s="99" t="str">
        <f t="shared" si="0"/>
        <v>2.1.1</v>
      </c>
      <c r="E24" s="100" t="str">
        <f>' NotaPedido'!C26:G26</f>
        <v>VERDURAS Y HORTALIZAS; VARIEDAD: BERENJENA, ESTADO: NATURAL, PRESENTACION: GRANEL, PESO: SIN VALOR</v>
      </c>
      <c r="F24" s="99" t="s">
        <v>153</v>
      </c>
      <c r="G24" s="104">
        <v>72</v>
      </c>
      <c r="H24" s="101">
        <v>118.75</v>
      </c>
      <c r="I24" s="102">
        <f t="shared" si="1"/>
        <v>8550</v>
      </c>
    </row>
    <row r="25" spans="1:9" ht="36.75" customHeight="1" x14ac:dyDescent="0.2">
      <c r="A25" s="96">
        <f>' NotaPedido'!A27</f>
        <v>16</v>
      </c>
      <c r="B25" s="97" t="str">
        <f>' NotaPedido'!B27</f>
        <v>2.1.1-541.33</v>
      </c>
      <c r="C25" s="98" t="s">
        <v>185</v>
      </c>
      <c r="D25" s="99" t="str">
        <f t="shared" si="0"/>
        <v>2.1.1</v>
      </c>
      <c r="E25" s="100" t="str">
        <f>' NotaPedido'!C27:G27</f>
        <v>CARNES; ESPECIE: VACUNA, CORTE: BOLA DE LOMO, TIPO: VACUNA</v>
      </c>
      <c r="F25" s="99" t="str">
        <f>' NotaPedido'!I27</f>
        <v>KG</v>
      </c>
      <c r="G25" s="104">
        <f>' NotaPedido'!K27</f>
        <v>100</v>
      </c>
      <c r="H25" s="101">
        <f>' NotaPedido'!J27</f>
        <v>643</v>
      </c>
      <c r="I25" s="102">
        <f t="shared" si="1"/>
        <v>64300</v>
      </c>
    </row>
    <row r="26" spans="1:9" ht="36.75" customHeight="1" x14ac:dyDescent="0.2">
      <c r="A26" s="96">
        <f>' NotaPedido'!A28</f>
        <v>17</v>
      </c>
      <c r="B26" s="97" t="str">
        <f>' NotaPedido'!B28</f>
        <v>2.1.1-2615.15</v>
      </c>
      <c r="C26" s="98" t="s">
        <v>185</v>
      </c>
      <c r="D26" s="99" t="str">
        <f t="shared" si="0"/>
        <v>2.1.1</v>
      </c>
      <c r="E26" s="100" t="str">
        <f>' NotaPedido'!C28:G28</f>
        <v>CACAO; TIPO: INSTANTANEO, PRESENTACION: ENVASE X 800 GR, FORMA DE PRESENTACION: POLVO, MATERIAL ENVASE: CARTON, CERTICADO FORESTAL (GFS): CON, LIBRE DE GLUTEN: SI</v>
      </c>
      <c r="F26" s="99" t="str">
        <f>' NotaPedido'!I28</f>
        <v>ENVASE</v>
      </c>
      <c r="G26" s="104">
        <f>' NotaPedido'!K28</f>
        <v>14</v>
      </c>
      <c r="H26" s="101">
        <f>' NotaPedido'!J28</f>
        <v>115</v>
      </c>
      <c r="I26" s="102">
        <f t="shared" si="1"/>
        <v>1610</v>
      </c>
    </row>
    <row r="27" spans="1:9" ht="36.75" customHeight="1" x14ac:dyDescent="0.2">
      <c r="A27" s="96">
        <f>' NotaPedido'!A29</f>
        <v>18</v>
      </c>
      <c r="B27" s="97" t="str">
        <f>' NotaPedido'!B29</f>
        <v>2.1.1-541.137</v>
      </c>
      <c r="C27" s="98" t="s">
        <v>185</v>
      </c>
      <c r="D27" s="99" t="str">
        <f t="shared" si="0"/>
        <v>2.1.1</v>
      </c>
      <c r="E27" s="100" t="str">
        <f>' NotaPedido'!C29:G29</f>
        <v>CARNES; ESPECIE: PORCINA, CORTE: CARRE CONGELADO, TIPO: PORCINA</v>
      </c>
      <c r="F27" s="99" t="str">
        <f>' NotaPedido'!I29</f>
        <v>KG</v>
      </c>
      <c r="G27" s="104">
        <f>' NotaPedido'!K29</f>
        <v>50</v>
      </c>
      <c r="H27" s="101">
        <f>' NotaPedido'!J29</f>
        <v>383.5</v>
      </c>
      <c r="I27" s="102">
        <f t="shared" si="1"/>
        <v>19175</v>
      </c>
    </row>
    <row r="28" spans="1:9" ht="36.75" customHeight="1" x14ac:dyDescent="0.2">
      <c r="A28" s="96">
        <f>' NotaPedido'!A30</f>
        <v>19</v>
      </c>
      <c r="B28" s="97" t="str">
        <f>' NotaPedido'!B30</f>
        <v>2.1.1-6546.236</v>
      </c>
      <c r="C28" s="98" t="s">
        <v>185</v>
      </c>
      <c r="D28" s="99" t="str">
        <f t="shared" si="0"/>
        <v>2.1.1</v>
      </c>
      <c r="E28" s="100" t="str">
        <f>' NotaPedido'!C30:G30</f>
        <v>VERDURAS Y HORTALIZAS; VARIEDAD: CEBOLLA, ESTADO: NATURAL, PRESENTACION: BOLSA, PESO: 20 Kg</v>
      </c>
      <c r="F28" s="99" t="str">
        <f>' NotaPedido'!I30</f>
        <v>BOLSA</v>
      </c>
      <c r="G28" s="104">
        <f>' NotaPedido'!K30</f>
        <v>12</v>
      </c>
      <c r="H28" s="101">
        <f>' NotaPedido'!J30</f>
        <v>1240</v>
      </c>
      <c r="I28" s="102">
        <f t="shared" si="1"/>
        <v>14880</v>
      </c>
    </row>
    <row r="29" spans="1:9" ht="36.75" customHeight="1" x14ac:dyDescent="0.2">
      <c r="A29" s="96">
        <f>' NotaPedido'!A31</f>
        <v>20</v>
      </c>
      <c r="B29" s="97" t="str">
        <f>' NotaPedido'!B31</f>
        <v>2.1.1-6546.377</v>
      </c>
      <c r="C29" s="98" t="s">
        <v>185</v>
      </c>
      <c r="D29" s="99" t="str">
        <f t="shared" si="0"/>
        <v>2.1.1</v>
      </c>
      <c r="E29" s="100" t="str">
        <f>' NotaPedido'!C31:G31</f>
        <v>VERDURAS Y HORTALIZAS; VARIEDAD: CEBOLLA DE VERDEO, ESTADO: NATURAL, PRESENTACION: CAJON, PESO: 10 Kg, ELEM. TRANSPORTE: CAJON, MATERIAL ELEM. TRANSPORTE: CARTON, LIBRE DE GLUTEN: NO</v>
      </c>
      <c r="F29" s="99" t="str">
        <f>' NotaPedido'!I31</f>
        <v>CAJON</v>
      </c>
      <c r="G29" s="104">
        <f>' NotaPedido'!K31</f>
        <v>1</v>
      </c>
      <c r="H29" s="101">
        <f>' NotaPedido'!J31</f>
        <v>450</v>
      </c>
      <c r="I29" s="102">
        <f t="shared" si="1"/>
        <v>450</v>
      </c>
    </row>
    <row r="30" spans="1:9" ht="36.75" customHeight="1" x14ac:dyDescent="0.2">
      <c r="A30" s="96">
        <f>' NotaPedido'!A32</f>
        <v>21</v>
      </c>
      <c r="B30" s="97" t="str">
        <f>' NotaPedido'!B32</f>
        <v>2.1.1-6546.269</v>
      </c>
      <c r="C30" s="98" t="s">
        <v>185</v>
      </c>
      <c r="D30" s="99" t="str">
        <f t="shared" si="0"/>
        <v>2.1.1</v>
      </c>
      <c r="E30" s="100" t="str">
        <f>' NotaPedido'!C32:G32</f>
        <v>VERDURAS Y HORTALIZAS; VARIEDAD: CHOCLO, ESTADO: GRANO, PRESENTACION: LATA, PESO: 350 GR</v>
      </c>
      <c r="F30" s="99" t="str">
        <f>' NotaPedido'!I32</f>
        <v>LATA</v>
      </c>
      <c r="G30" s="104">
        <f>' NotaPedido'!K32</f>
        <v>60</v>
      </c>
      <c r="H30" s="101">
        <f>' NotaPedido'!J32</f>
        <v>80</v>
      </c>
      <c r="I30" s="102">
        <f t="shared" si="1"/>
        <v>4800</v>
      </c>
    </row>
    <row r="31" spans="1:9" ht="36.75" customHeight="1" x14ac:dyDescent="0.2">
      <c r="A31" s="96">
        <f>' NotaPedido'!A33</f>
        <v>22</v>
      </c>
      <c r="B31" s="97" t="str">
        <f>' NotaPedido'!B33</f>
        <v>2.1.1-6539.123</v>
      </c>
      <c r="C31" s="98" t="s">
        <v>185</v>
      </c>
      <c r="D31" s="99" t="str">
        <f t="shared" si="0"/>
        <v>2.1.1</v>
      </c>
      <c r="E31" s="100" t="str">
        <f>' NotaPedido'!C33:G33</f>
        <v>FRUTAS; VARIEDAD: CIRUELA, ESTADO: DESECADA, PRESENTACION: ENVASE X 5 Kg, PESO: 5 Kg</v>
      </c>
      <c r="F31" s="99" t="str">
        <f>' NotaPedido'!I33</f>
        <v>ENVASE</v>
      </c>
      <c r="G31" s="104">
        <f>' NotaPedido'!K33</f>
        <v>1</v>
      </c>
      <c r="H31" s="101">
        <f>' NotaPedido'!J33</f>
        <v>2470</v>
      </c>
      <c r="I31" s="102">
        <f t="shared" si="1"/>
        <v>2470</v>
      </c>
    </row>
    <row r="32" spans="1:9" ht="36.75" customHeight="1" x14ac:dyDescent="0.2">
      <c r="A32" s="96">
        <f>' NotaPedido'!A34</f>
        <v>23</v>
      </c>
      <c r="B32" s="97" t="str">
        <f>' NotaPedido'!B34</f>
        <v>2.1.1-597.41</v>
      </c>
      <c r="C32" s="98" t="s">
        <v>185</v>
      </c>
      <c r="D32" s="99" t="str">
        <f t="shared" si="0"/>
        <v>2.1.1</v>
      </c>
      <c r="E32" s="100" t="str">
        <f>' NotaPedido'!C34:G34</f>
        <v>CONSERVAS DE FRUTAS; VARIEDAD: COCTEL, ENVASE: LATA, PESO: 800 GR, ELEM. TRANSPORTE: SIN, MATERIAL ELEM. TRANSPORTE: SIN, LIBRE DE GLUTEN: NO</v>
      </c>
      <c r="F32" s="99" t="str">
        <f>' NotaPedido'!I34</f>
        <v>LATA</v>
      </c>
      <c r="G32" s="104">
        <f>' NotaPedido'!K34</f>
        <v>13</v>
      </c>
      <c r="H32" s="101">
        <f>' NotaPedido'!J34</f>
        <v>210</v>
      </c>
      <c r="I32" s="102">
        <f t="shared" si="1"/>
        <v>2730</v>
      </c>
    </row>
    <row r="33" spans="1:9" ht="36.75" customHeight="1" x14ac:dyDescent="0.2">
      <c r="A33" s="96">
        <f>' NotaPedido'!A35</f>
        <v>24</v>
      </c>
      <c r="B33" s="97" t="str">
        <f>' NotaPedido'!B35</f>
        <v>2.1.1-597.43</v>
      </c>
      <c r="C33" s="98" t="s">
        <v>185</v>
      </c>
      <c r="D33" s="99" t="str">
        <f t="shared" si="0"/>
        <v>2.1.1</v>
      </c>
      <c r="E33" s="100" t="str">
        <f>' NotaPedido'!C35:G35</f>
        <v>CONSERVAS DE FRUTAS; VARIEDAD: COCTEL, ENVASE: LATA, PESO: 820 GR, ELEM. TRANSPORTE: SIN, MATERIAL ELEM. TRANSPORTE: SIN, LIBRE DE GLUTEN: SI</v>
      </c>
      <c r="F33" s="99" t="str">
        <f>' NotaPedido'!I35</f>
        <v>LATA</v>
      </c>
      <c r="G33" s="104">
        <f>' NotaPedido'!K35</f>
        <v>13</v>
      </c>
      <c r="H33" s="101">
        <f>' NotaPedido'!J35</f>
        <v>210</v>
      </c>
      <c r="I33" s="102">
        <f t="shared" si="1"/>
        <v>2730</v>
      </c>
    </row>
    <row r="34" spans="1:9" ht="36.75" customHeight="1" x14ac:dyDescent="0.2">
      <c r="A34" s="96">
        <f>' NotaPedido'!A36</f>
        <v>25</v>
      </c>
      <c r="B34" s="97" t="str">
        <f>' NotaPedido'!B36</f>
        <v>2.1.1-541.164</v>
      </c>
      <c r="C34" s="98" t="s">
        <v>185</v>
      </c>
      <c r="D34" s="99" t="str">
        <f t="shared" si="0"/>
        <v>2.1.1</v>
      </c>
      <c r="E34" s="100" t="str">
        <f>' NotaPedido'!C36:G36</f>
        <v>CARNES; TIPO: PORCINA, CORTE: COSTELETA</v>
      </c>
      <c r="F34" s="99" t="str">
        <f>' NotaPedido'!I36</f>
        <v>KG</v>
      </c>
      <c r="G34" s="104">
        <f>' NotaPedido'!K36</f>
        <v>67</v>
      </c>
      <c r="H34" s="101">
        <f>' NotaPedido'!J36</f>
        <v>442</v>
      </c>
      <c r="I34" s="102">
        <f t="shared" si="1"/>
        <v>29614</v>
      </c>
    </row>
    <row r="35" spans="1:9" ht="36.75" customHeight="1" x14ac:dyDescent="0.2">
      <c r="A35" s="96">
        <f>' NotaPedido'!A37</f>
        <v>26</v>
      </c>
      <c r="B35" s="97" t="str">
        <f>' NotaPedido'!B37</f>
        <v>2.1.1-489.91</v>
      </c>
      <c r="C35" s="98" t="s">
        <v>185</v>
      </c>
      <c r="D35" s="99" t="str">
        <f t="shared" si="0"/>
        <v>2.1.1</v>
      </c>
      <c r="E35" s="100" t="str">
        <f>' NotaPedido'!C37:G37</f>
        <v>ESPECIAS; TIPO: COMINO, PRESENTACION: SOBRE X 25 GR</v>
      </c>
      <c r="F35" s="99" t="str">
        <f>' NotaPedido'!I37</f>
        <v>SOBRE</v>
      </c>
      <c r="G35" s="104">
        <f>' NotaPedido'!K37</f>
        <v>8</v>
      </c>
      <c r="H35" s="101">
        <f>' NotaPedido'!J37</f>
        <v>36</v>
      </c>
      <c r="I35" s="102">
        <f t="shared" si="1"/>
        <v>288</v>
      </c>
    </row>
    <row r="36" spans="1:9" ht="36.75" customHeight="1" x14ac:dyDescent="0.2">
      <c r="A36" s="96">
        <f>' NotaPedido'!A38</f>
        <v>27</v>
      </c>
      <c r="B36" s="97" t="str">
        <f>' NotaPedido'!B38</f>
        <v>2.1.1-489.82</v>
      </c>
      <c r="C36" s="98" t="s">
        <v>185</v>
      </c>
      <c r="D36" s="99" t="str">
        <f t="shared" si="0"/>
        <v>2.1.1</v>
      </c>
      <c r="E36" s="100" t="str">
        <f>' NotaPedido'!C38:G38</f>
        <v>ESPECIAS; TIPO: ADOBO PARA PIZZA, PRESENTACION: SOBRE X 25 GR</v>
      </c>
      <c r="F36" s="99" t="str">
        <f>' NotaPedido'!I38</f>
        <v>SOBRE</v>
      </c>
      <c r="G36" s="104">
        <f>' NotaPedido'!K38</f>
        <v>20</v>
      </c>
      <c r="H36" s="101">
        <f>' NotaPedido'!J38</f>
        <v>35</v>
      </c>
      <c r="I36" s="102">
        <f t="shared" si="1"/>
        <v>700</v>
      </c>
    </row>
    <row r="37" spans="1:9" ht="36.75" customHeight="1" x14ac:dyDescent="0.2">
      <c r="A37" s="96">
        <f>' NotaPedido'!A39</f>
        <v>28</v>
      </c>
      <c r="B37" s="97" t="str">
        <f>' NotaPedido'!B39</f>
        <v>2.1.1-2113.1</v>
      </c>
      <c r="C37" s="98" t="s">
        <v>185</v>
      </c>
      <c r="D37" s="99" t="str">
        <f t="shared" si="0"/>
        <v>2.1.1</v>
      </c>
      <c r="E37" s="100" t="str">
        <f>' NotaPedido'!C39:G39</f>
        <v>DULCES; TIPO: DE BATATA, PRESENTACION: LATA, PESO: 5</v>
      </c>
      <c r="F37" s="99" t="str">
        <f>' NotaPedido'!I39</f>
        <v>LATA</v>
      </c>
      <c r="G37" s="104">
        <f>' NotaPedido'!K39</f>
        <v>8</v>
      </c>
      <c r="H37" s="101">
        <f>' NotaPedido'!J39</f>
        <v>850</v>
      </c>
      <c r="I37" s="102">
        <f t="shared" si="1"/>
        <v>6800</v>
      </c>
    </row>
    <row r="38" spans="1:9" ht="36.75" customHeight="1" x14ac:dyDescent="0.2">
      <c r="A38" s="96">
        <f>' NotaPedido'!A40</f>
        <v>29</v>
      </c>
      <c r="B38" s="97" t="str">
        <f>' NotaPedido'!B40</f>
        <v>2.1.1-455.24</v>
      </c>
      <c r="C38" s="98" t="s">
        <v>185</v>
      </c>
      <c r="D38" s="99" t="str">
        <f t="shared" si="0"/>
        <v>2.1.1</v>
      </c>
      <c r="E38" s="100" t="str">
        <f>' NotaPedido'!C40:G40</f>
        <v>DULCE DE LECHE; TIPO: COMUN, ENVASE: PLASTICO, CAPACIDAD: 1 Kg, PRESENTACION: ENVASE PLASTICO X 1 Kg</v>
      </c>
      <c r="F38" s="99" t="str">
        <f>' NotaPedido'!I40</f>
        <v>ENVASE</v>
      </c>
      <c r="G38" s="104">
        <f>' NotaPedido'!K40</f>
        <v>7</v>
      </c>
      <c r="H38" s="101">
        <f>' NotaPedido'!J40</f>
        <v>215</v>
      </c>
      <c r="I38" s="102">
        <f t="shared" si="1"/>
        <v>1505</v>
      </c>
    </row>
    <row r="39" spans="1:9" ht="36.75" customHeight="1" x14ac:dyDescent="0.2">
      <c r="A39" s="96">
        <f>' NotaPedido'!A41</f>
        <v>30</v>
      </c>
      <c r="B39" s="97" t="str">
        <f>' NotaPedido'!B41</f>
        <v>2.1.1-2113.2</v>
      </c>
      <c r="C39" s="98" t="s">
        <v>185</v>
      </c>
      <c r="D39" s="99" t="str">
        <f t="shared" si="0"/>
        <v>2.1.1</v>
      </c>
      <c r="E39" s="100" t="str">
        <f>' NotaPedido'!C41:G41</f>
        <v>DULCES; TIPO: DE MEMBRILLO, PRESENTACION: LATA, PESO: 5 Kg</v>
      </c>
      <c r="F39" s="99" t="str">
        <f>' NotaPedido'!I41</f>
        <v>LATA</v>
      </c>
      <c r="G39" s="104">
        <f>' NotaPedido'!K41</f>
        <v>7</v>
      </c>
      <c r="H39" s="101">
        <f>' NotaPedido'!J41</f>
        <v>990</v>
      </c>
      <c r="I39" s="102">
        <f t="shared" si="1"/>
        <v>6930</v>
      </c>
    </row>
    <row r="40" spans="1:9" ht="36.75" customHeight="1" x14ac:dyDescent="0.2">
      <c r="A40" s="96">
        <f>' NotaPedido'!A42</f>
        <v>31</v>
      </c>
      <c r="B40" s="97" t="str">
        <f>' NotaPedido'!B42</f>
        <v>2.1.1-6539.54</v>
      </c>
      <c r="C40" s="98" t="s">
        <v>185</v>
      </c>
      <c r="D40" s="99" t="str">
        <f t="shared" si="0"/>
        <v>2.1.1</v>
      </c>
      <c r="E40" s="100" t="str">
        <f>' NotaPedido'!C42:G42</f>
        <v>FRUTAS; VARIEDAD: DURAZNO, PRESENTACION: ENVASE X 820 GR, ESTADO: NATURAL, PESO: 820 GR</v>
      </c>
      <c r="F40" s="99" t="str">
        <f>' NotaPedido'!I42</f>
        <v>ENVASE</v>
      </c>
      <c r="G40" s="104">
        <f>' NotaPedido'!K42</f>
        <v>20</v>
      </c>
      <c r="H40" s="101">
        <f>' NotaPedido'!J42</f>
        <v>110</v>
      </c>
      <c r="I40" s="102">
        <f t="shared" si="1"/>
        <v>2200</v>
      </c>
    </row>
    <row r="41" spans="1:9" ht="36.75" customHeight="1" x14ac:dyDescent="0.2">
      <c r="A41" s="96">
        <f>' NotaPedido'!A43</f>
        <v>32</v>
      </c>
      <c r="B41" s="97" t="str">
        <f>' NotaPedido'!B43</f>
        <v>2.1.1-6539.46</v>
      </c>
      <c r="C41" s="98" t="s">
        <v>185</v>
      </c>
      <c r="D41" s="99" t="str">
        <f t="shared" si="0"/>
        <v>2.1.1</v>
      </c>
      <c r="E41" s="100" t="str">
        <f>' NotaPedido'!C43:G43</f>
        <v>FRUTAS; VARIEDAD: DURAZNO, ESTADO: CONSERVA, PRESENTACION: ENVASE X 800 GR, PESO: 800 GR</v>
      </c>
      <c r="F41" s="99" t="str">
        <f>' NotaPedido'!I43</f>
        <v>ENVASE</v>
      </c>
      <c r="G41" s="104">
        <f>' NotaPedido'!K43</f>
        <v>15</v>
      </c>
      <c r="H41" s="101">
        <f>' NotaPedido'!J43</f>
        <v>110</v>
      </c>
      <c r="I41" s="102">
        <f t="shared" si="1"/>
        <v>1650</v>
      </c>
    </row>
    <row r="42" spans="1:9" ht="36.75" customHeight="1" x14ac:dyDescent="0.2">
      <c r="A42" s="96">
        <f>' NotaPedido'!A44</f>
        <v>33</v>
      </c>
      <c r="B42" s="97" t="str">
        <f>' NotaPedido'!B44</f>
        <v>2.1.1-595.2</v>
      </c>
      <c r="C42" s="98" t="s">
        <v>185</v>
      </c>
      <c r="D42" s="99" t="str">
        <f t="shared" si="0"/>
        <v>2.1.1</v>
      </c>
      <c r="E42" s="100" t="str">
        <f>' NotaPedido'!C44:G44</f>
        <v>EDULCORANTES; PRESENTACION: LIQUIDO, ENVASE: BOTELLA PLASTICA, CONTENIDO: 500 CM3</v>
      </c>
      <c r="F42" s="99" t="str">
        <f>' NotaPedido'!I44</f>
        <v>BOTELLA</v>
      </c>
      <c r="G42" s="104">
        <f>' NotaPedido'!K44</f>
        <v>4</v>
      </c>
      <c r="H42" s="101">
        <f>' NotaPedido'!J44</f>
        <v>286</v>
      </c>
      <c r="I42" s="102">
        <f t="shared" si="1"/>
        <v>1144</v>
      </c>
    </row>
    <row r="43" spans="1:9" ht="36.75" customHeight="1" x14ac:dyDescent="0.2">
      <c r="A43" s="96">
        <f>' NotaPedido'!A45</f>
        <v>34</v>
      </c>
      <c r="B43" s="97" t="str">
        <f>' NotaPedido'!B45</f>
        <v>2.1.1-595.14</v>
      </c>
      <c r="C43" s="98" t="s">
        <v>185</v>
      </c>
      <c r="D43" s="99" t="str">
        <f t="shared" si="0"/>
        <v>2.1.1</v>
      </c>
      <c r="E43" s="100" t="str">
        <f>' NotaPedido'!C45:G45</f>
        <v>EDULCORANTES; PRESENTACION: POLVO, ENVASE: SOBRE INDIVIDUAL, CONTENIDO: 500 SOBRES DE 1 GR</v>
      </c>
      <c r="F43" s="99" t="str">
        <f>' NotaPedido'!I45</f>
        <v>SOBRE</v>
      </c>
      <c r="G43" s="104">
        <f>' NotaPedido'!K45</f>
        <v>4</v>
      </c>
      <c r="H43" s="101">
        <f>' NotaPedido'!J45</f>
        <v>200</v>
      </c>
      <c r="I43" s="102">
        <f t="shared" si="1"/>
        <v>800</v>
      </c>
    </row>
    <row r="44" spans="1:9" ht="36.75" customHeight="1" x14ac:dyDescent="0.2">
      <c r="A44" s="96">
        <f>' NotaPedido'!A46</f>
        <v>35</v>
      </c>
      <c r="B44" s="97" t="str">
        <f>' NotaPedido'!B46</f>
        <v>2.1.1-2868.59</v>
      </c>
      <c r="C44" s="98" t="s">
        <v>185</v>
      </c>
      <c r="D44" s="99" t="str">
        <f t="shared" si="0"/>
        <v>2.1.1</v>
      </c>
      <c r="E44" s="100" t="str">
        <f>' NotaPedido'!C46:G46</f>
        <v>FIDEOS SECOS; VARIEDAD: MOSTACHOLES, RELLENO: SIN, PRESENTACION: ENVASE X 500 GR, MATERIAL ENVASE: PVC, ELEM. TRANSPORTE: CAJA, MATERIAL ELEM. TRANSPORTE: CARTON, CERTIFICADO FORESTAL (GFS): SIN, LIBRE DE GLUTEN: NO</v>
      </c>
      <c r="F44" s="99" t="str">
        <f>' NotaPedido'!I46</f>
        <v>ENVASE</v>
      </c>
      <c r="G44" s="104">
        <f>' NotaPedido'!K46</f>
        <v>15</v>
      </c>
      <c r="H44" s="101">
        <f>' NotaPedido'!J46</f>
        <v>55</v>
      </c>
      <c r="I44" s="102">
        <f t="shared" si="1"/>
        <v>825</v>
      </c>
    </row>
    <row r="45" spans="1:9" ht="36.75" customHeight="1" x14ac:dyDescent="0.2">
      <c r="A45" s="96">
        <f>' NotaPedido'!A47</f>
        <v>36</v>
      </c>
      <c r="B45" s="97" t="str">
        <f>' NotaPedido'!B47</f>
        <v>2.1.1-2868.53</v>
      </c>
      <c r="C45" s="103" t="s">
        <v>185</v>
      </c>
      <c r="D45" s="99" t="str">
        <f t="shared" si="0"/>
        <v>2.1.1</v>
      </c>
      <c r="E45" s="100" t="str">
        <f>' NotaPedido'!C47:G47</f>
        <v>FIDEOS SECOS; VARIEDAD: TIRABUZON, RELLENO: SIN, PRESENTACION: ENVASE X 500 GR, MATERIAL ENVASE: PLASTICO 1 (PET), ELEM. TRANSPORTE: SIN, MATERIAL ELEM. TRANSPORTE: SIN, CERTIFICADO FORESTAL (GFS): SIN, LIBRE DE GLUTEN: NO</v>
      </c>
      <c r="F45" s="99" t="str">
        <f>' NotaPedido'!I47</f>
        <v>ENVASE</v>
      </c>
      <c r="G45" s="104">
        <f>' NotaPedido'!K47</f>
        <v>40</v>
      </c>
      <c r="H45" s="101">
        <f>' NotaPedido'!J47</f>
        <v>46.25</v>
      </c>
      <c r="I45" s="102">
        <f t="shared" si="1"/>
        <v>1850</v>
      </c>
    </row>
    <row r="46" spans="1:9" ht="36.75" customHeight="1" x14ac:dyDescent="0.2">
      <c r="A46" s="96">
        <f>' NotaPedido'!A48</f>
        <v>37</v>
      </c>
      <c r="B46" s="97" t="str">
        <f>' NotaPedido'!B48</f>
        <v>2.1.1-2868.55</v>
      </c>
      <c r="C46" s="98" t="s">
        <v>185</v>
      </c>
      <c r="D46" s="99" t="str">
        <f t="shared" si="0"/>
        <v>2.1.1</v>
      </c>
      <c r="E46" s="100" t="str">
        <f>' NotaPedido'!C48:G48</f>
        <v>FIDEOS SECOS; VARIEDAD: TALLARIN, RELLENO: SIN, PRESENTACION: ENVASE X 500 GR, MATERIAL ENVASE: PLASTICO 1 (PET), ELEM. TRANSPORTE: SIN, MATERIAL ELEM. TRANSPORTE: SIN, CERTIFICADO FORESTAL (GFS): SIN, LIBRE DE GLUTEN: NO</v>
      </c>
      <c r="F46" s="99" t="str">
        <f>' NotaPedido'!I48</f>
        <v>ENVASE</v>
      </c>
      <c r="G46" s="104">
        <f>' NotaPedido'!K48</f>
        <v>40</v>
      </c>
      <c r="H46" s="101">
        <f>' NotaPedido'!J48</f>
        <v>55</v>
      </c>
      <c r="I46" s="102">
        <f t="shared" si="1"/>
        <v>2200</v>
      </c>
    </row>
    <row r="47" spans="1:9" ht="36.75" customHeight="1" x14ac:dyDescent="0.2">
      <c r="A47" s="96">
        <f>' NotaPedido'!A49</f>
        <v>38</v>
      </c>
      <c r="B47" s="97" t="str">
        <f>' NotaPedido'!B49</f>
        <v>2.1.1-613.2</v>
      </c>
      <c r="C47" s="98" t="s">
        <v>185</v>
      </c>
      <c r="D47" s="99" t="str">
        <f t="shared" si="0"/>
        <v>2.1.1</v>
      </c>
      <c r="E47" s="100" t="str">
        <f>' NotaPedido'!C49:G49</f>
        <v>FECULA DE MAIZ; PESO: 500 GR, ENVASE: CAJA DE CARTON</v>
      </c>
      <c r="F47" s="99" t="str">
        <f>' NotaPedido'!I49</f>
        <v>CAJA</v>
      </c>
      <c r="G47" s="104">
        <f>' NotaPedido'!K49</f>
        <v>5</v>
      </c>
      <c r="H47" s="101">
        <f>' NotaPedido'!J49</f>
        <v>98.5</v>
      </c>
      <c r="I47" s="102">
        <f t="shared" si="1"/>
        <v>492.5</v>
      </c>
    </row>
    <row r="48" spans="1:9" ht="36.75" customHeight="1" x14ac:dyDescent="0.2">
      <c r="A48" s="96">
        <f>' NotaPedido'!A50</f>
        <v>39</v>
      </c>
      <c r="B48" s="97" t="str">
        <f>' NotaPedido'!B50</f>
        <v>2.1.1-513.9</v>
      </c>
      <c r="C48" s="98" t="s">
        <v>185</v>
      </c>
      <c r="D48" s="99" t="str">
        <f t="shared" si="0"/>
        <v>2.1.1</v>
      </c>
      <c r="E48" s="100" t="str">
        <f>' NotaPedido'!C50:G50</f>
        <v>FLANES; PESO: 60 GR, ENVASE: CAJA CARTON, ESTADO PREPARACION: CON COCCION, SABOR: VAINILLA, TIPO: SIN VALOR, PRESENTACION: 60 GR</v>
      </c>
      <c r="F48" s="99" t="str">
        <f>' NotaPedido'!I50</f>
        <v>CAJA</v>
      </c>
      <c r="G48" s="104">
        <f>' NotaPedido'!K50</f>
        <v>16</v>
      </c>
      <c r="H48" s="101">
        <f>' NotaPedido'!J50</f>
        <v>42</v>
      </c>
      <c r="I48" s="102">
        <f t="shared" si="1"/>
        <v>672</v>
      </c>
    </row>
    <row r="49" spans="1:9" ht="36.75" customHeight="1" x14ac:dyDescent="0.2">
      <c r="A49" s="96">
        <f>' NotaPedido'!A51</f>
        <v>40</v>
      </c>
      <c r="B49" s="97" t="str">
        <f>' NotaPedido'!B51</f>
        <v>2.1.1-705.121</v>
      </c>
      <c r="C49" s="98" t="s">
        <v>185</v>
      </c>
      <c r="D49" s="99" t="str">
        <f t="shared" si="0"/>
        <v>2.1.1</v>
      </c>
      <c r="E49" s="100" t="str">
        <f>' NotaPedido'!C51:G51</f>
        <v>LECHE; ESTADO: LIQUIDO, TIPO: PARA PREMATUROS, PROCESO: PASTEURIZADA, AGREGADO: VITAMINAS Y MINERALES, PRESENTACION: ENVASE X 200 CM3, MATERIAL ENVASE: TETRAFILM, ELEM. TRANSPORTE: SIN, MATERIAL ELEM. TRANSPORTE: SIN, CERTIFICADO FORESTAL (GFS): SI, LIBRE DE GLUTEN: SIN VALOR</v>
      </c>
      <c r="F49" s="99" t="str">
        <f>' NotaPedido'!I51</f>
        <v>ENVASE</v>
      </c>
      <c r="G49" s="104">
        <f>' NotaPedido'!K51</f>
        <v>1444</v>
      </c>
      <c r="H49" s="101">
        <f>' NotaPedido'!J51</f>
        <v>398.99</v>
      </c>
      <c r="I49" s="102">
        <f t="shared" si="1"/>
        <v>576141.56000000006</v>
      </c>
    </row>
    <row r="50" spans="1:9" ht="36.75" customHeight="1" x14ac:dyDescent="0.2">
      <c r="A50" s="96">
        <f>' NotaPedido'!A52</f>
        <v>41</v>
      </c>
      <c r="B50" s="97" t="str">
        <f>' NotaPedido'!B52</f>
        <v>2.1.1-705.119</v>
      </c>
      <c r="C50" s="98" t="s">
        <v>185</v>
      </c>
      <c r="D50" s="99" t="str">
        <f t="shared" si="0"/>
        <v>2.1.1</v>
      </c>
      <c r="E50" s="100" t="str">
        <f>' NotaPedido'!C52:G52</f>
        <v>LECHE; ESTADO: LIQUIDO, TIPO: DE INICIO, PROCESO: PASTEURIZADA, AGREGADO: VITAMINAS Y MINERALES, PRESENTACION: ENVASE X 200 CM3, MATERIAL ENVASE: TETRAFILM, ELEM. TRANSPORTE: SIN, MATERIAL ELEM. TRANSPORTE: SIN, CERTIFICADO FORESTAL (GFS): SI, LIBRE DE GLUTEN: SIN VALOR</v>
      </c>
      <c r="F50" s="99" t="str">
        <f>' NotaPedido'!I52</f>
        <v>ENVASE</v>
      </c>
      <c r="G50" s="104">
        <f>' NotaPedido'!K52</f>
        <v>1200</v>
      </c>
      <c r="H50" s="101">
        <f>' NotaPedido'!J52</f>
        <v>62.65</v>
      </c>
      <c r="I50" s="102">
        <f t="shared" si="1"/>
        <v>75180</v>
      </c>
    </row>
    <row r="51" spans="1:9" ht="36.75" customHeight="1" x14ac:dyDescent="0.2">
      <c r="A51" s="96">
        <f>' NotaPedido'!A53</f>
        <v>42</v>
      </c>
      <c r="B51" s="97" t="str">
        <f>' NotaPedido'!B53</f>
        <v>2.1.1-705.90</v>
      </c>
      <c r="C51" s="98" t="s">
        <v>185</v>
      </c>
      <c r="D51" s="99" t="str">
        <f t="shared" si="0"/>
        <v>2.1.1</v>
      </c>
      <c r="E51" s="100" t="str">
        <f>' NotaPedido'!C53:G53</f>
        <v>LECHE; ESTADO: POLVO, TIPO: LACTANTE, PROCESO: PASTEURIZADA, AGREGADO: CASEINATO DE SODIO, PRESENTACION: ENVASE X 400 GR, MATERIAL ENVASE: METAL, ELEM. TRANSPORTE: SIN, MATERIAL ELEM. TRANSPORTE: SIN, CERTIFICADO FORESTAL (GFS): SIN, LIBRE DE GLUTEN: NO</v>
      </c>
      <c r="F51" s="99" t="str">
        <f>' NotaPedido'!I53</f>
        <v>ENVASE</v>
      </c>
      <c r="G51" s="104">
        <f>' NotaPedido'!K53</f>
        <v>4</v>
      </c>
      <c r="H51" s="101">
        <f>' NotaPedido'!J53</f>
        <v>1930</v>
      </c>
      <c r="I51" s="102">
        <f t="shared" si="1"/>
        <v>7720</v>
      </c>
    </row>
    <row r="52" spans="1:9" ht="36.75" customHeight="1" x14ac:dyDescent="0.2">
      <c r="A52" s="96">
        <f>' NotaPedido'!A54</f>
        <v>43</v>
      </c>
      <c r="B52" s="97" t="str">
        <f>' NotaPedido'!B54</f>
        <v>2.1.1-705.91</v>
      </c>
      <c r="C52" s="98" t="s">
        <v>185</v>
      </c>
      <c r="D52" s="99" t="str">
        <f t="shared" si="0"/>
        <v>2.1.1</v>
      </c>
      <c r="E52" s="100" t="str">
        <f>' NotaPedido'!C54:G54</f>
        <v>LECHE; ESTADO: POLVO, TIPO: LACTANTE, PROCESO: PASTEURIZADA, AGREGADO: HIDROL. EXT. PROTEINA DE SUERO, PRESENTACION: ENVASE X 400 GR, MATERIAL ENVASE: METAL, ELEM. TRANSPORTE: SIN, MATERIAL ELEM. TRANSPORTE: SIN, CERTIFICADO FORESTAL (GFS): SIN, LIBRE DE GLUTEN: NO</v>
      </c>
      <c r="F52" s="99" t="str">
        <f>' NotaPedido'!I54</f>
        <v>ENVASE</v>
      </c>
      <c r="G52" s="104">
        <f>' NotaPedido'!K54</f>
        <v>3</v>
      </c>
      <c r="H52" s="101">
        <f>' NotaPedido'!J54</f>
        <v>2837.7</v>
      </c>
      <c r="I52" s="102">
        <f t="shared" si="1"/>
        <v>8513.0999999999985</v>
      </c>
    </row>
    <row r="53" spans="1:9" ht="36.75" customHeight="1" x14ac:dyDescent="0.2">
      <c r="A53" s="96">
        <f>' NotaPedido'!A55</f>
        <v>44</v>
      </c>
      <c r="B53" s="97" t="str">
        <f>' NotaPedido'!B55</f>
        <v>2.1.1-788.222</v>
      </c>
      <c r="C53" s="98" t="s">
        <v>185</v>
      </c>
      <c r="D53" s="99" t="str">
        <f t="shared" si="0"/>
        <v>2.1.1</v>
      </c>
      <c r="E53" s="100" t="str">
        <f>' NotaPedido'!C55:G55</f>
        <v>GALLETITAS; VARIEDAD: SALADA TOSTADA, RELLENO: SIN, PRESENTACION: ENVASE X 140 GR, ELEM. TRANSPORTE: SIN, MATERIAL ELEM. TRANSPORTE: SIN, LIBRE DE GLUTEN: SI</v>
      </c>
      <c r="F53" s="99" t="str">
        <f>' NotaPedido'!I55</f>
        <v>ENVASE</v>
      </c>
      <c r="G53" s="104">
        <f>' NotaPedido'!K55</f>
        <v>1</v>
      </c>
      <c r="H53" s="101">
        <f>' NotaPedido'!J55</f>
        <v>1280</v>
      </c>
      <c r="I53" s="102">
        <f t="shared" si="1"/>
        <v>1280</v>
      </c>
    </row>
    <row r="54" spans="1:9" ht="36.75" customHeight="1" x14ac:dyDescent="0.2">
      <c r="A54" s="96">
        <f>' NotaPedido'!A56</f>
        <v>45</v>
      </c>
      <c r="B54" s="97" t="str">
        <f>' NotaPedido'!B56</f>
        <v>2.1.1-510.3</v>
      </c>
      <c r="C54" s="98" t="s">
        <v>185</v>
      </c>
      <c r="D54" s="99" t="str">
        <f t="shared" si="0"/>
        <v>2.1.1</v>
      </c>
      <c r="E54" s="100" t="str">
        <f>' NotaPedido'!C56:G56</f>
        <v>GELATINAS; TIPO: BAJAS CALORIAS, ENVASE: CAJA DE CARTON, PESO: 30 GR, SABOR: CEREZA</v>
      </c>
      <c r="F54" s="99" t="str">
        <f>' NotaPedido'!I56</f>
        <v>CAJA</v>
      </c>
      <c r="G54" s="104">
        <f>' NotaPedido'!K56</f>
        <v>100</v>
      </c>
      <c r="H54" s="101">
        <f>' NotaPedido'!J56</f>
        <v>58.8</v>
      </c>
      <c r="I54" s="102">
        <f t="shared" si="1"/>
        <v>5880</v>
      </c>
    </row>
    <row r="55" spans="1:9" ht="36.75" customHeight="1" x14ac:dyDescent="0.2">
      <c r="A55" s="96">
        <f>' NotaPedido'!A57</f>
        <v>46</v>
      </c>
      <c r="B55" s="97" t="str">
        <f>' NotaPedido'!B57</f>
        <v>2.1.1-510.65</v>
      </c>
      <c r="C55" s="98" t="s">
        <v>185</v>
      </c>
      <c r="D55" s="99" t="str">
        <f t="shared" si="0"/>
        <v>2.1.1</v>
      </c>
      <c r="E55" s="100" t="str">
        <f>' NotaPedido'!C57:G57</f>
        <v>GELATINAS; TIPO: COMUN, PESO: 50 GR, SABOR: DURAZNO, ENVASE: CAJA DE CARTON, LIBRE DE GLUTEN: NO</v>
      </c>
      <c r="F55" s="99" t="str">
        <f>' NotaPedido'!I57</f>
        <v>CAJA</v>
      </c>
      <c r="G55" s="104">
        <f>' NotaPedido'!K57</f>
        <v>100</v>
      </c>
      <c r="H55" s="101">
        <f>' NotaPedido'!J57</f>
        <v>51.75</v>
      </c>
      <c r="I55" s="102">
        <f t="shared" si="1"/>
        <v>5175</v>
      </c>
    </row>
    <row r="56" spans="1:9" ht="36.75" customHeight="1" x14ac:dyDescent="0.2">
      <c r="A56" s="96">
        <f>' NotaPedido'!A58</f>
        <v>47</v>
      </c>
      <c r="B56" s="97" t="str">
        <f>' NotaPedido'!B58</f>
        <v>2.1.1-482.77</v>
      </c>
      <c r="C56" s="98" t="s">
        <v>185</v>
      </c>
      <c r="D56" s="99" t="str">
        <f t="shared" si="0"/>
        <v>2.1.1</v>
      </c>
      <c r="E56" s="100" t="str">
        <f>' NotaPedido'!C58:G58</f>
        <v>HARINAS; TIPO: DE TRIGO 0000, PRESENTACION: ENVASE X 1 Kg, MATERIAL ENVASE: PAPEL, CERTICADO FORESTAL (GFS): SIN, ELEM. TRANSPORTE: SIN, MATERIAL ELEM. TRANSPORTE: SIN, LIBRE DE GLUTEN: NO</v>
      </c>
      <c r="F56" s="99" t="str">
        <f>' NotaPedido'!I58</f>
        <v>ENVASE</v>
      </c>
      <c r="G56" s="104">
        <f>' NotaPedido'!K58</f>
        <v>100</v>
      </c>
      <c r="H56" s="101">
        <f>' NotaPedido'!J58</f>
        <v>55.5</v>
      </c>
      <c r="I56" s="102">
        <f t="shared" si="1"/>
        <v>5550</v>
      </c>
    </row>
    <row r="57" spans="1:9" ht="36.75" customHeight="1" x14ac:dyDescent="0.2">
      <c r="A57" s="96">
        <f>' NotaPedido'!A59</f>
        <v>48</v>
      </c>
      <c r="B57" s="97" t="str">
        <f>' NotaPedido'!B59</f>
        <v>2.1.1-483.33</v>
      </c>
      <c r="C57" s="98" t="s">
        <v>185</v>
      </c>
      <c r="D57" s="99" t="str">
        <f t="shared" si="0"/>
        <v>2.1.1</v>
      </c>
      <c r="E57" s="100" t="str">
        <f>' NotaPedido'!C59:G59</f>
        <v>HUEVO DE GALLINA; TAMAÑO: MEDIANOS, COLOR: BLANCOS, PRESENTACION: 30</v>
      </c>
      <c r="F57" s="99" t="str">
        <f>' NotaPedido'!I59</f>
        <v>CARTON</v>
      </c>
      <c r="G57" s="104">
        <f>' NotaPedido'!K59</f>
        <v>60</v>
      </c>
      <c r="H57" s="101">
        <f>' NotaPedido'!J59</f>
        <v>275</v>
      </c>
      <c r="I57" s="102">
        <f t="shared" si="1"/>
        <v>16500</v>
      </c>
    </row>
    <row r="58" spans="1:9" ht="36.75" customHeight="1" x14ac:dyDescent="0.2">
      <c r="A58" s="96">
        <f>' NotaPedido'!A60</f>
        <v>49</v>
      </c>
      <c r="B58" s="97" t="str">
        <f>' NotaPedido'!B60</f>
        <v>2.1.1-969.96</v>
      </c>
      <c r="C58" s="98" t="s">
        <v>185</v>
      </c>
      <c r="D58" s="99" t="str">
        <f t="shared" si="0"/>
        <v>2.1.1</v>
      </c>
      <c r="E58" s="100" t="str">
        <f>' NotaPedido'!C60:G60</f>
        <v>FIAMBRES; TIPO: JAMON COCIDO, PRESENTACION: AL VACIO</v>
      </c>
      <c r="F58" s="99" t="str">
        <f>' NotaPedido'!I60</f>
        <v>KG</v>
      </c>
      <c r="G58" s="104">
        <f>' NotaPedido'!K60</f>
        <v>13</v>
      </c>
      <c r="H58" s="101">
        <f>' NotaPedido'!J60</f>
        <v>640</v>
      </c>
      <c r="I58" s="102">
        <f t="shared" si="1"/>
        <v>8320</v>
      </c>
    </row>
    <row r="59" spans="1:9" ht="36.75" customHeight="1" x14ac:dyDescent="0.2">
      <c r="A59" s="96">
        <f>' NotaPedido'!A61</f>
        <v>50</v>
      </c>
      <c r="B59" s="97" t="str">
        <f>' NotaPedido'!B61</f>
        <v>2.1.1-705.95</v>
      </c>
      <c r="C59" s="98" t="s">
        <v>185</v>
      </c>
      <c r="D59" s="99" t="str">
        <f t="shared" si="0"/>
        <v>2.1.1</v>
      </c>
      <c r="E59" s="100" t="str">
        <f>' NotaPedido'!C61:G61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F59" s="99" t="str">
        <f>' NotaPedido'!I61</f>
        <v>ENVASE</v>
      </c>
      <c r="G59" s="104">
        <f>' NotaPedido'!K61</f>
        <v>20</v>
      </c>
      <c r="H59" s="101">
        <f>' NotaPedido'!J61</f>
        <v>327.57</v>
      </c>
      <c r="I59" s="102">
        <f t="shared" si="1"/>
        <v>6551.4</v>
      </c>
    </row>
    <row r="60" spans="1:9" ht="36.75" customHeight="1" x14ac:dyDescent="0.2">
      <c r="A60" s="96">
        <f>' NotaPedido'!A62</f>
        <v>51</v>
      </c>
      <c r="B60" s="97" t="str">
        <f>' NotaPedido'!B62</f>
        <v>2.1.1-705.105</v>
      </c>
      <c r="C60" s="98" t="s">
        <v>185</v>
      </c>
      <c r="D60" s="99" t="str">
        <f t="shared" si="0"/>
        <v>2.1.1</v>
      </c>
      <c r="E60" s="100" t="str">
        <f>' NotaPedido'!C62:G62</f>
        <v>LECHE; ESTADO: LIQUIDO, TIPO: DESCREMADA, PROCESO: PASTEURIZADA, AGREGADO: VITAMINAS Y MINERALES, PRESENTACION: ENVASE X 1 L, MATERIAL ENVASE: CARTON, ELEM. TRANSPORTE: SIN, MATERIAL ELEM. TRANSPORTE: SIN, CERTIFICADO FORESTAL (GFS): SIN, LIBRE DE GLUTEN: SI</v>
      </c>
      <c r="F60" s="99" t="str">
        <f>' NotaPedido'!I62</f>
        <v>ENVASE</v>
      </c>
      <c r="G60" s="104">
        <f>' NotaPedido'!K62</f>
        <v>160</v>
      </c>
      <c r="H60" s="101">
        <f>' NotaPedido'!J62</f>
        <v>100</v>
      </c>
      <c r="I60" s="102">
        <f t="shared" si="1"/>
        <v>16000</v>
      </c>
    </row>
    <row r="61" spans="1:9" ht="36.75" customHeight="1" x14ac:dyDescent="0.2">
      <c r="A61" s="96">
        <f>' NotaPedido'!A63</f>
        <v>52</v>
      </c>
      <c r="B61" s="97" t="str">
        <f>' NotaPedido'!B63</f>
        <v>2.1.1-705.106</v>
      </c>
      <c r="C61" s="98" t="s">
        <v>185</v>
      </c>
      <c r="D61" s="99" t="str">
        <f t="shared" si="0"/>
        <v>2.1.1</v>
      </c>
      <c r="E61" s="100" t="str">
        <f>' NotaPedido'!C63:G63</f>
        <v>LECHE; ESTADO: LIQUIDO, TIPO: ENTERA, PROCESO: LARGA VIDA, AGREGADO: VITAMINAS A Y D, PRESENTACION: ENVASE X 1 L, MATERIAL ENVASE: PLASTICO, ELEM. TRANSPORTE: SIN, MATERIAL ELEM. TRANSPORTE: SIN, CERTIFICADO FORESTAL (GFS): SIN, LIBRE DE GLUTEN: SI</v>
      </c>
      <c r="F61" s="99" t="str">
        <f>' NotaPedido'!I63</f>
        <v>ENVASE</v>
      </c>
      <c r="G61" s="104">
        <f>' NotaPedido'!K63</f>
        <v>160</v>
      </c>
      <c r="H61" s="101">
        <f>' NotaPedido'!J63</f>
        <v>100</v>
      </c>
      <c r="I61" s="102">
        <f t="shared" si="1"/>
        <v>16000</v>
      </c>
    </row>
    <row r="62" spans="1:9" ht="36.75" customHeight="1" x14ac:dyDescent="0.2">
      <c r="A62" s="96">
        <f>' NotaPedido'!A64</f>
        <v>53</v>
      </c>
      <c r="B62" s="97" t="str">
        <f>' NotaPedido'!B64</f>
        <v>2.1.1-6547.88</v>
      </c>
      <c r="C62" s="98" t="s">
        <v>185</v>
      </c>
      <c r="D62" s="99" t="str">
        <f t="shared" si="0"/>
        <v>2.1.1</v>
      </c>
      <c r="E62" s="100" t="str">
        <f>' NotaPedido'!C64:G64</f>
        <v>LEGUMBRES; VARIEDAD: LENTEJA, ESTADO: SECO, PRESENTACION: BOLSA, PESO: 450 GR, MATERIAL ENVASE: PLASTICO, ELEM. TRANSPORTE: SIN, MATERIAL ELEM. TRANSPORTE: SIN, LIBRE DE GLUTEN: SI</v>
      </c>
      <c r="F62" s="99" t="str">
        <f>' NotaPedido'!I64</f>
        <v>ENVASE</v>
      </c>
      <c r="G62" s="104">
        <f>' NotaPedido'!K64</f>
        <v>8</v>
      </c>
      <c r="H62" s="101">
        <f>' NotaPedido'!J64</f>
        <v>115</v>
      </c>
      <c r="I62" s="102">
        <f t="shared" si="1"/>
        <v>920</v>
      </c>
    </row>
    <row r="63" spans="1:9" ht="36.75" customHeight="1" x14ac:dyDescent="0.2">
      <c r="A63" s="96">
        <f>' NotaPedido'!A65</f>
        <v>54</v>
      </c>
      <c r="B63" s="97" t="str">
        <f>' NotaPedido'!B65</f>
        <v>2.1.1-6546.374</v>
      </c>
      <c r="C63" s="98" t="s">
        <v>185</v>
      </c>
      <c r="D63" s="99" t="str">
        <f t="shared" si="0"/>
        <v>2.1.1</v>
      </c>
      <c r="E63" s="100" t="str">
        <f>' NotaPedido'!C65:G65</f>
        <v>VERDURAS Y HORTALIZAS; VARIEDAD: LECHUGA ARREPOLLADA, ESTADO: NATURAL, PRESENTACION: A GRANEL, PESO: 300 GR CADA PLANTA, ELEM. TRANSPORTE: SIN, MATERIAL ELEM. TRANSPORTE: SIN, LIBRE DE GLUTEN: SI</v>
      </c>
      <c r="F63" s="99" t="s">
        <v>153</v>
      </c>
      <c r="G63" s="104">
        <v>40</v>
      </c>
      <c r="H63" s="101">
        <v>42</v>
      </c>
      <c r="I63" s="102">
        <f t="shared" si="1"/>
        <v>1680</v>
      </c>
    </row>
    <row r="64" spans="1:9" ht="36.75" customHeight="1" x14ac:dyDescent="0.2">
      <c r="A64" s="96">
        <f>' NotaPedido'!A66</f>
        <v>55</v>
      </c>
      <c r="B64" s="97" t="str">
        <f>' NotaPedido'!B66</f>
        <v>2.1.1-2116.10</v>
      </c>
      <c r="C64" s="98" t="s">
        <v>185</v>
      </c>
      <c r="D64" s="99" t="str">
        <f t="shared" si="0"/>
        <v>2.1.1</v>
      </c>
      <c r="E64" s="100" t="str">
        <f>' NotaPedido'!C66:G66</f>
        <v>LEVADURAS; TIPO: SECA INSTANTANEA, PRESENTACION: SOBRE, PESO: 20 GR</v>
      </c>
      <c r="F64" s="99" t="str">
        <f>' NotaPedido'!I66</f>
        <v>SOBRE</v>
      </c>
      <c r="G64" s="104">
        <f>' NotaPedido'!K66</f>
        <v>15</v>
      </c>
      <c r="H64" s="101">
        <f>' NotaPedido'!J66</f>
        <v>35</v>
      </c>
      <c r="I64" s="102">
        <f t="shared" si="1"/>
        <v>525</v>
      </c>
    </row>
    <row r="65" spans="1:9" ht="36.75" customHeight="1" x14ac:dyDescent="0.2">
      <c r="A65" s="96">
        <f>' NotaPedido'!A67</f>
        <v>56</v>
      </c>
      <c r="B65" s="97" t="str">
        <f>' NotaPedido'!B67</f>
        <v>2.1.1-6539.84</v>
      </c>
      <c r="C65" s="98" t="s">
        <v>185</v>
      </c>
      <c r="D65" s="99" t="str">
        <f t="shared" si="0"/>
        <v>2.1.1</v>
      </c>
      <c r="E65" s="100" t="str">
        <f>' NotaPedido'!C67:G67</f>
        <v>FRUTAS; VARIEDAD: LIMON, ESTADO: NATURAL, PRESENTACION: CAJON X 1 Kg, PESO: 1 Kg</v>
      </c>
      <c r="F65" s="99" t="str">
        <f>' NotaPedido'!I67</f>
        <v>CAJON</v>
      </c>
      <c r="G65" s="104">
        <f>' NotaPedido'!K67</f>
        <v>15</v>
      </c>
      <c r="H65" s="101">
        <f>' NotaPedido'!J67</f>
        <v>45</v>
      </c>
      <c r="I65" s="102">
        <f t="shared" si="1"/>
        <v>675</v>
      </c>
    </row>
    <row r="66" spans="1:9" ht="36.75" customHeight="1" x14ac:dyDescent="0.2">
      <c r="A66" s="96">
        <f>' NotaPedido'!A68</f>
        <v>57</v>
      </c>
      <c r="B66" s="97" t="str">
        <f>' NotaPedido'!B68</f>
        <v>2.1.1-6539.20</v>
      </c>
      <c r="C66" s="98" t="s">
        <v>185</v>
      </c>
      <c r="D66" s="99" t="str">
        <f t="shared" si="0"/>
        <v>2.1.1</v>
      </c>
      <c r="E66" s="100" t="str">
        <f>' NotaPedido'!C68:G68</f>
        <v>FRUTAS; ESTADO: NATURAL, VARIEDAD: MANZANA RED DELICIOSA, PRESENTACION: CAJON, PESO: SIN VALOR</v>
      </c>
      <c r="F66" s="99" t="str">
        <f>' NotaPedido'!I68</f>
        <v>CAJON</v>
      </c>
      <c r="G66" s="104">
        <f>' NotaPedido'!K68</f>
        <v>8</v>
      </c>
      <c r="H66" s="101">
        <f>' NotaPedido'!J68</f>
        <v>1920</v>
      </c>
      <c r="I66" s="102">
        <f t="shared" si="1"/>
        <v>15360</v>
      </c>
    </row>
    <row r="67" spans="1:9" ht="36.75" customHeight="1" x14ac:dyDescent="0.2">
      <c r="A67" s="96">
        <f>' NotaPedido'!A69</f>
        <v>58</v>
      </c>
      <c r="B67" s="97" t="str">
        <f>' NotaPedido'!B69</f>
        <v>2.1.1-706.6</v>
      </c>
      <c r="C67" s="98" t="s">
        <v>185</v>
      </c>
      <c r="D67" s="99" t="str">
        <f t="shared" si="0"/>
        <v>2.1.1</v>
      </c>
      <c r="E67" s="100" t="str">
        <f>' NotaPedido'!C69:G69</f>
        <v>MATE COCIDO; ENVASE: CAJA CARTON, PRESENTACION: ENSOBRADO, SAQUITOS P/CAJA: 100 UN, PESO X SAQ.: 3 GR</v>
      </c>
      <c r="F67" s="99" t="str">
        <f>' NotaPedido'!I69</f>
        <v>CAJA</v>
      </c>
      <c r="G67" s="104">
        <f>' NotaPedido'!K69</f>
        <v>35</v>
      </c>
      <c r="H67" s="101">
        <f>' NotaPedido'!J69</f>
        <v>108.5</v>
      </c>
      <c r="I67" s="102">
        <f t="shared" si="1"/>
        <v>3797.5</v>
      </c>
    </row>
    <row r="68" spans="1:9" ht="36.75" customHeight="1" x14ac:dyDescent="0.2">
      <c r="A68" s="96">
        <f>' NotaPedido'!A70</f>
        <v>59</v>
      </c>
      <c r="B68" s="97" t="str">
        <f>' NotaPedido'!B70</f>
        <v>2.1.1-438.83</v>
      </c>
      <c r="C68" s="98" t="s">
        <v>185</v>
      </c>
      <c r="D68" s="99" t="str">
        <f t="shared" si="0"/>
        <v>2.1.1</v>
      </c>
      <c r="E68" s="100" t="str">
        <f>' NotaPedido'!C70:G70</f>
        <v>ADEREZOS; TIPO: MAYONESA LIGHT, PRESENTACION: ENVASE X 475 GR, LIBRE DE GLUTEN: SIN VALOR</v>
      </c>
      <c r="F68" s="99" t="str">
        <f>' NotaPedido'!I70</f>
        <v>ENVASE</v>
      </c>
      <c r="G68" s="104">
        <f>' NotaPedido'!K70</f>
        <v>15</v>
      </c>
      <c r="H68" s="101">
        <f>' NotaPedido'!J70</f>
        <v>60</v>
      </c>
      <c r="I68" s="102">
        <f t="shared" si="1"/>
        <v>900</v>
      </c>
    </row>
    <row r="69" spans="1:9" ht="36.75" customHeight="1" x14ac:dyDescent="0.2">
      <c r="A69" s="96">
        <f>' NotaPedido'!A71</f>
        <v>60</v>
      </c>
      <c r="B69" s="97" t="str">
        <f>' NotaPedido'!B71</f>
        <v>2.1.1-541.49</v>
      </c>
      <c r="C69" s="98" t="s">
        <v>185</v>
      </c>
      <c r="D69" s="99" t="str">
        <f t="shared" si="0"/>
        <v>2.1.1</v>
      </c>
      <c r="E69" s="100" t="str">
        <f>' NotaPedido'!C71:G71</f>
        <v>CARNES; ESPECIE: VACUNA, CORTE: NALGA, TIPO: VACUNA</v>
      </c>
      <c r="F69" s="99" t="str">
        <f>' NotaPedido'!I71</f>
        <v>KG</v>
      </c>
      <c r="G69" s="104">
        <f>' NotaPedido'!K71</f>
        <v>216</v>
      </c>
      <c r="H69" s="101">
        <f>' NotaPedido'!J71</f>
        <v>500</v>
      </c>
      <c r="I69" s="102">
        <f t="shared" si="1"/>
        <v>108000</v>
      </c>
    </row>
    <row r="70" spans="1:9" ht="36.75" customHeight="1" x14ac:dyDescent="0.2">
      <c r="A70" s="96">
        <f>' NotaPedido'!A72</f>
        <v>61</v>
      </c>
      <c r="B70" s="97" t="str">
        <f>' NotaPedido'!B72</f>
        <v>2.1.1-541.20</v>
      </c>
      <c r="C70" s="98" t="s">
        <v>185</v>
      </c>
      <c r="D70" s="99" t="str">
        <f t="shared" si="0"/>
        <v>2.1.1</v>
      </c>
      <c r="E70" s="100" t="str">
        <f>' NotaPedido'!C72:G72</f>
        <v>CARNES; CORTE: TAPA DE NALGA, ESPECIE: VACUNA, TIPO: VACUNA</v>
      </c>
      <c r="F70" s="99" t="str">
        <f>' NotaPedido'!I72</f>
        <v>KG</v>
      </c>
      <c r="G70" s="104">
        <f>' NotaPedido'!K72</f>
        <v>35</v>
      </c>
      <c r="H70" s="101">
        <f>' NotaPedido'!J72</f>
        <v>450</v>
      </c>
      <c r="I70" s="102">
        <f t="shared" si="1"/>
        <v>15750</v>
      </c>
    </row>
    <row r="71" spans="1:9" ht="36.75" customHeight="1" x14ac:dyDescent="0.2">
      <c r="A71" s="96">
        <f>' NotaPedido'!A73</f>
        <v>62</v>
      </c>
      <c r="B71" s="97" t="str">
        <f>' NotaPedido'!B73</f>
        <v>2.1.1-6539.8</v>
      </c>
      <c r="C71" s="98" t="s">
        <v>185</v>
      </c>
      <c r="D71" s="99" t="str">
        <f t="shared" si="0"/>
        <v>2.1.1</v>
      </c>
      <c r="E71" s="100" t="str">
        <f>' NotaPedido'!C73:G73</f>
        <v>FRUTAS; VARIEDAD: NARANJA ESPECIAL, ESTADO: NATURAL, PRESENTACION: CAJON, PESO: SIN VALOR</v>
      </c>
      <c r="F71" s="99" t="str">
        <f>' NotaPedido'!I73</f>
        <v>CAJON</v>
      </c>
      <c r="G71" s="104">
        <f>' NotaPedido'!K73</f>
        <v>5</v>
      </c>
      <c r="H71" s="101">
        <f>' NotaPedido'!J73</f>
        <v>30</v>
      </c>
      <c r="I71" s="102">
        <f t="shared" si="1"/>
        <v>150</v>
      </c>
    </row>
    <row r="72" spans="1:9" ht="36.75" customHeight="1" x14ac:dyDescent="0.2">
      <c r="A72" s="96">
        <f>' NotaPedido'!A74</f>
        <v>63</v>
      </c>
      <c r="B72" s="97" t="str">
        <f>' NotaPedido'!B74</f>
        <v>2.1.1-489.181</v>
      </c>
      <c r="C72" s="98" t="s">
        <v>185</v>
      </c>
      <c r="D72" s="99" t="str">
        <f t="shared" si="0"/>
        <v>2.1.1</v>
      </c>
      <c r="E72" s="100" t="str">
        <f>' NotaPedido'!C74:G74</f>
        <v>ESPECIAS; TIPO: NUEZ MOSCADA, PRESENTACION: ENVASE X 25 GR, LIBRE DE GLUTEN: SI</v>
      </c>
      <c r="F72" s="99" t="str">
        <f>' NotaPedido'!I74</f>
        <v>ENVASE</v>
      </c>
      <c r="G72" s="104">
        <f>' NotaPedido'!K74</f>
        <v>7</v>
      </c>
      <c r="H72" s="101">
        <f>' NotaPedido'!J74</f>
        <v>110</v>
      </c>
      <c r="I72" s="102">
        <f t="shared" si="1"/>
        <v>770</v>
      </c>
    </row>
    <row r="73" spans="1:9" ht="36.75" customHeight="1" x14ac:dyDescent="0.2">
      <c r="A73" s="96">
        <f>' NotaPedido'!A75</f>
        <v>64</v>
      </c>
      <c r="B73" s="97" t="str">
        <f>' NotaPedido'!B75</f>
        <v>2.1.1-489.85</v>
      </c>
      <c r="C73" s="98" t="s">
        <v>185</v>
      </c>
      <c r="D73" s="99" t="str">
        <f t="shared" si="0"/>
        <v>2.1.1</v>
      </c>
      <c r="E73" s="100" t="str">
        <f>' NotaPedido'!C75:G75</f>
        <v>ESPECIAS; PRESENTACION: SOBRE X 50 GR, TIPO: OREGANO</v>
      </c>
      <c r="F73" s="99" t="str">
        <f>' NotaPedido'!I75</f>
        <v>SOBRE</v>
      </c>
      <c r="G73" s="104">
        <f>' NotaPedido'!K75</f>
        <v>20</v>
      </c>
      <c r="H73" s="101">
        <f>' NotaPedido'!J75</f>
        <v>54</v>
      </c>
      <c r="I73" s="102">
        <f t="shared" si="1"/>
        <v>1080</v>
      </c>
    </row>
    <row r="74" spans="1:9" ht="36.75" customHeight="1" x14ac:dyDescent="0.2">
      <c r="A74" s="96">
        <f>' NotaPedido'!A76</f>
        <v>65</v>
      </c>
      <c r="B74" s="97" t="str">
        <f>' NotaPedido'!B76</f>
        <v>2.1.1-6546.335</v>
      </c>
      <c r="C74" s="98" t="s">
        <v>185</v>
      </c>
      <c r="D74" s="99" t="str">
        <f t="shared" si="0"/>
        <v>2.1.1</v>
      </c>
      <c r="E74" s="100" t="str">
        <f>' NotaPedido'!C76:G76</f>
        <v>VERDURAS Y HORTALIZAS; VARIEDAD: PAPA BLANCA, ESTADO: NATURAL, PRESENTACION: BOLSA, PESO: 25 Kg</v>
      </c>
      <c r="F74" s="99" t="str">
        <f>' NotaPedido'!I76</f>
        <v>BOLSA</v>
      </c>
      <c r="G74" s="104">
        <f>' NotaPedido'!K76</f>
        <v>16</v>
      </c>
      <c r="H74" s="101">
        <f>' NotaPedido'!J76</f>
        <v>640</v>
      </c>
      <c r="I74" s="102">
        <f t="shared" ref="I74:I111" si="2">H74*G74</f>
        <v>10240</v>
      </c>
    </row>
    <row r="75" spans="1:9" ht="36.75" customHeight="1" x14ac:dyDescent="0.2">
      <c r="A75" s="96">
        <f>' NotaPedido'!A77</f>
        <v>66</v>
      </c>
      <c r="B75" s="97" t="str">
        <f>' NotaPedido'!B77</f>
        <v>2.1.1-541.29</v>
      </c>
      <c r="C75" s="98" t="s">
        <v>185</v>
      </c>
      <c r="D75" s="99" t="str">
        <f t="shared" si="0"/>
        <v>2.1.1</v>
      </c>
      <c r="E75" s="100" t="str">
        <f>' NotaPedido'!C77:G77</f>
        <v>CARNES; CORTE: PECETO, ESPECIE: VACUNA, TIPO: VACUNA</v>
      </c>
      <c r="F75" s="99" t="str">
        <f>' NotaPedido'!I77</f>
        <v>KG</v>
      </c>
      <c r="G75" s="104">
        <f>' NotaPedido'!K77</f>
        <v>100</v>
      </c>
      <c r="H75" s="101">
        <f>' NotaPedido'!J77</f>
        <v>500</v>
      </c>
      <c r="I75" s="102">
        <f t="shared" si="2"/>
        <v>50000</v>
      </c>
    </row>
    <row r="76" spans="1:9" ht="36.75" customHeight="1" x14ac:dyDescent="0.2">
      <c r="A76" s="96">
        <f>' NotaPedido'!A78</f>
        <v>67</v>
      </c>
      <c r="B76" s="97" t="str">
        <f>' NotaPedido'!B78</f>
        <v>2.1.1-621.20</v>
      </c>
      <c r="C76" s="98" t="s">
        <v>185</v>
      </c>
      <c r="D76" s="99" t="str">
        <f t="shared" si="0"/>
        <v>2.1.1</v>
      </c>
      <c r="E76" s="100" t="str">
        <f>' NotaPedido'!C78:G78</f>
        <v>AVES; TIPO: POLLO, PRESENTACION: CAJA X 22 Kg, EVISCERADO: SI, ELEM. TRANSPORTE: SIN, MATERIAL ELEM. TRANSPORTE: SIN, LIBRE DE GLUTEN: SIN VALOR</v>
      </c>
      <c r="F76" s="99" t="str">
        <f>' NotaPedido'!I78</f>
        <v>CAJA</v>
      </c>
      <c r="G76" s="104">
        <f>' NotaPedido'!K78</f>
        <v>30</v>
      </c>
      <c r="H76" s="101">
        <f>' NotaPedido'!J78</f>
        <v>2420</v>
      </c>
      <c r="I76" s="102">
        <f t="shared" si="2"/>
        <v>72600</v>
      </c>
    </row>
    <row r="77" spans="1:9" ht="36.75" customHeight="1" x14ac:dyDescent="0.2">
      <c r="A77" s="96">
        <f>' NotaPedido'!A79</f>
        <v>68</v>
      </c>
      <c r="B77" s="97" t="str">
        <f>' NotaPedido'!B79</f>
        <v>2.1.1-6539.32</v>
      </c>
      <c r="C77" s="98" t="s">
        <v>185</v>
      </c>
      <c r="D77" s="99" t="str">
        <f t="shared" si="0"/>
        <v>2.1.1</v>
      </c>
      <c r="E77" s="100" t="str">
        <f>' NotaPedido'!C79:G79</f>
        <v>FRUTAS; VARIEDAD: PERA AMARILLA, ESTADO: NATURAL, PRESENTACION: CAJON, PESO: SIN VALOR</v>
      </c>
      <c r="F77" s="99" t="str">
        <f>' NotaPedido'!I79</f>
        <v>CAJON</v>
      </c>
      <c r="G77" s="104">
        <f>' NotaPedido'!K79</f>
        <v>9</v>
      </c>
      <c r="H77" s="101">
        <f>' NotaPedido'!J79</f>
        <v>1650</v>
      </c>
      <c r="I77" s="102">
        <f t="shared" si="2"/>
        <v>14850</v>
      </c>
    </row>
    <row r="78" spans="1:9" ht="36.75" customHeight="1" x14ac:dyDescent="0.2">
      <c r="A78" s="96">
        <f>' NotaPedido'!A80</f>
        <v>69</v>
      </c>
      <c r="B78" s="97" t="str">
        <f>' NotaPedido'!B80</f>
        <v>2.1.1-6546.133</v>
      </c>
      <c r="C78" s="98" t="s">
        <v>185</v>
      </c>
      <c r="D78" s="99" t="str">
        <f t="shared" si="0"/>
        <v>2.1.1</v>
      </c>
      <c r="E78" s="100" t="str">
        <f>' NotaPedido'!C80:G80</f>
        <v>VERDURAS Y HORTALIZAS; VARIEDAD: PEREJIL, ESTADO: NATURAL, PRESENTACION: ATADO, PESO: 1 Kg</v>
      </c>
      <c r="F78" s="99" t="str">
        <f>' NotaPedido'!I80</f>
        <v>ATADO</v>
      </c>
      <c r="G78" s="104">
        <f>' NotaPedido'!K80</f>
        <v>16</v>
      </c>
      <c r="H78" s="101">
        <f>' NotaPedido'!J80</f>
        <v>40</v>
      </c>
      <c r="I78" s="102">
        <f t="shared" si="2"/>
        <v>640</v>
      </c>
    </row>
    <row r="79" spans="1:9" ht="36.75" customHeight="1" x14ac:dyDescent="0.2">
      <c r="A79" s="96">
        <f>' NotaPedido'!A81</f>
        <v>70</v>
      </c>
      <c r="B79" s="97" t="str">
        <f>' NotaPedido'!B81</f>
        <v>2.1.1-489.97</v>
      </c>
      <c r="C79" s="98" t="s">
        <v>185</v>
      </c>
      <c r="D79" s="99" t="str">
        <f t="shared" si="0"/>
        <v>2.1.1</v>
      </c>
      <c r="E79" s="100" t="str">
        <f>' NotaPedido'!C81:G81</f>
        <v>ESPECIAS; TIPO: PIMENTON DULCE, PRESENTACION: PAQUETE X 50 GR</v>
      </c>
      <c r="F79" s="99" t="str">
        <f>' NotaPedido'!I81</f>
        <v>PAQUETE</v>
      </c>
      <c r="G79" s="104">
        <f>' NotaPedido'!K81</f>
        <v>20</v>
      </c>
      <c r="H79" s="101">
        <f>' NotaPedido'!J81</f>
        <v>29</v>
      </c>
      <c r="I79" s="102">
        <f t="shared" si="2"/>
        <v>580</v>
      </c>
    </row>
    <row r="80" spans="1:9" ht="36.75" customHeight="1" x14ac:dyDescent="0.2">
      <c r="A80" s="96">
        <f>' NotaPedido'!A82</f>
        <v>71</v>
      </c>
      <c r="B80" s="97" t="str">
        <f>' NotaPedido'!B82</f>
        <v>2.1.1-489.162</v>
      </c>
      <c r="C80" s="98" t="s">
        <v>185</v>
      </c>
      <c r="D80" s="99" t="str">
        <f t="shared" si="0"/>
        <v>2.1.1</v>
      </c>
      <c r="E80" s="100" t="str">
        <f>' NotaPedido'!C82:G82</f>
        <v>ESPECIAS; TIPO: PIMIENTA NEGRA MOLIDA, PRESENTACION: ENVASE X 25 GR</v>
      </c>
      <c r="F80" s="99" t="str">
        <f>' NotaPedido'!I82</f>
        <v>ENVASE</v>
      </c>
      <c r="G80" s="104">
        <f>' NotaPedido'!K82</f>
        <v>5</v>
      </c>
      <c r="H80" s="101">
        <f>' NotaPedido'!J82</f>
        <v>36</v>
      </c>
      <c r="I80" s="102">
        <f t="shared" si="2"/>
        <v>180</v>
      </c>
    </row>
    <row r="81" spans="1:9" ht="36.75" customHeight="1" x14ac:dyDescent="0.2">
      <c r="A81" s="96">
        <f>' NotaPedido'!A83</f>
        <v>72</v>
      </c>
      <c r="B81" s="97" t="str">
        <f>' NotaPedido'!B83</f>
        <v>2.1.1-6546.365</v>
      </c>
      <c r="C81" s="98" t="s">
        <v>185</v>
      </c>
      <c r="D81" s="99" t="str">
        <f t="shared" si="0"/>
        <v>2.1.1</v>
      </c>
      <c r="E81" s="100" t="str">
        <f>' NotaPedido'!C83:G83</f>
        <v>VERDURAS Y HORTALIZAS; VARIEDAD: MORRON ROJO, ESTADO: NATURAL, PRESENTACION: ENVASE X 10 Kg, PESO: 10 Kg, ELEM. TRANSPORTE: CAJON, MATERIAL ELEM. TRANSPORTE: MADERA, LIBRE DE GLUTEN: SI</v>
      </c>
      <c r="F81" s="99" t="str">
        <f>' NotaPedido'!I83</f>
        <v>CAJON</v>
      </c>
      <c r="G81" s="104">
        <f>' NotaPedido'!K83</f>
        <v>8</v>
      </c>
      <c r="H81" s="101">
        <f>' NotaPedido'!J83</f>
        <v>1370</v>
      </c>
      <c r="I81" s="102">
        <f t="shared" si="2"/>
        <v>10960</v>
      </c>
    </row>
    <row r="82" spans="1:9" ht="36.75" customHeight="1" x14ac:dyDescent="0.2">
      <c r="A82" s="96">
        <f>' NotaPedido'!A84</f>
        <v>73</v>
      </c>
      <c r="B82" s="97" t="str">
        <f>' NotaPedido'!B84</f>
        <v>2.1.1-6546.95</v>
      </c>
      <c r="C82" s="98" t="s">
        <v>185</v>
      </c>
      <c r="D82" s="99" t="str">
        <f t="shared" si="0"/>
        <v>2.1.1</v>
      </c>
      <c r="E82" s="100" t="str">
        <f>' NotaPedido'!C84:G84</f>
        <v>VERDURAS Y HORTALIZAS; VARIEDAD: MORRON VERDE, ESTADO: NATURAL, PRESENTACION: GRANEL, PESO: SIN VALOR</v>
      </c>
      <c r="F82" s="99" t="s">
        <v>153</v>
      </c>
      <c r="G82" s="104">
        <v>80</v>
      </c>
      <c r="H82" s="101">
        <v>85</v>
      </c>
      <c r="I82" s="102">
        <f t="shared" si="2"/>
        <v>6800</v>
      </c>
    </row>
    <row r="83" spans="1:9" ht="36.75" customHeight="1" x14ac:dyDescent="0.2">
      <c r="A83" s="96">
        <f>' NotaPedido'!A85</f>
        <v>74</v>
      </c>
      <c r="B83" s="97" t="str">
        <f>' NotaPedido'!B85</f>
        <v>2.1.1-489.190</v>
      </c>
      <c r="C83" s="98" t="s">
        <v>185</v>
      </c>
      <c r="D83" s="99" t="str">
        <f t="shared" si="0"/>
        <v>2.1.1</v>
      </c>
      <c r="E83" s="100" t="str">
        <f>' NotaPedido'!C85:G85</f>
        <v>ESPECIAS; TIPO: PROVENZAL, PRESENTACION: SOBRE X 50 GR, LIBRE DE GLUTEN: SI</v>
      </c>
      <c r="F83" s="99" t="str">
        <f>' NotaPedido'!I85</f>
        <v>SOBRE</v>
      </c>
      <c r="G83" s="104">
        <f>' NotaPedido'!K85</f>
        <v>20</v>
      </c>
      <c r="H83" s="101">
        <f>' NotaPedido'!J85</f>
        <v>50</v>
      </c>
      <c r="I83" s="102">
        <f t="shared" si="2"/>
        <v>1000</v>
      </c>
    </row>
    <row r="84" spans="1:9" ht="36.75" customHeight="1" x14ac:dyDescent="0.2">
      <c r="A84" s="96">
        <f>' NotaPedido'!A86</f>
        <v>75</v>
      </c>
      <c r="B84" s="97" t="str">
        <f>' NotaPedido'!B86</f>
        <v>2.1.1-542.236</v>
      </c>
      <c r="C84" s="98" t="s">
        <v>185</v>
      </c>
      <c r="D84" s="99" t="str">
        <f t="shared" si="0"/>
        <v>2.1.1</v>
      </c>
      <c r="E84" s="100" t="str">
        <f>' NotaPedido'!C86:G86</f>
        <v>QUESOS; TIPO: CREMOSO, PRESENTACION: AL PESO, ELEM. TRANSPORTE: SIN, MATERIAL ELEM. TRANSPORTE: SIN, MATERIAL ENVASE: SIN, CERTIFICADO FORESTAL (GFS): SIN, LIBRE DE GLUTEN: A DEFINIR</v>
      </c>
      <c r="F84" s="99" t="str">
        <f>' NotaPedido'!I86</f>
        <v>KG</v>
      </c>
      <c r="G84" s="104">
        <f>' NotaPedido'!K86</f>
        <v>65</v>
      </c>
      <c r="H84" s="101">
        <f>' NotaPedido'!J86</f>
        <v>400</v>
      </c>
      <c r="I84" s="102">
        <f t="shared" si="2"/>
        <v>26000</v>
      </c>
    </row>
    <row r="85" spans="1:9" ht="36.75" customHeight="1" x14ac:dyDescent="0.2">
      <c r="A85" s="96">
        <f>' NotaPedido'!A87</f>
        <v>76</v>
      </c>
      <c r="B85" s="97" t="str">
        <f>' NotaPedido'!B87</f>
        <v>2.1.1-542.240</v>
      </c>
      <c r="C85" s="98" t="s">
        <v>185</v>
      </c>
      <c r="D85" s="99" t="str">
        <f t="shared" si="0"/>
        <v>2.1.1</v>
      </c>
      <c r="E85" s="100" t="str">
        <f>' NotaPedido'!C87:G87</f>
        <v>QUESOS; TIPO: SARDO, PRESENTACION: HORMA, ELEM. TRANSPORTE: SIN, MATERIAL ELEM. TRANSPORTE: SIN, MATERIAL ENVASE: SIN, CERTIFICADO FORESTAL (GFS): SIN, LIBRE DE GLUTEN: A DEFINIR</v>
      </c>
      <c r="F85" s="99" t="str">
        <f>' NotaPedido'!I87</f>
        <v>HORMA</v>
      </c>
      <c r="G85" s="104">
        <f>' NotaPedido'!K87</f>
        <v>4</v>
      </c>
      <c r="H85" s="101">
        <f>' NotaPedido'!J87</f>
        <v>2075.04</v>
      </c>
      <c r="I85" s="102">
        <f t="shared" si="2"/>
        <v>8300.16</v>
      </c>
    </row>
    <row r="86" spans="1:9" ht="36.75" customHeight="1" x14ac:dyDescent="0.2">
      <c r="A86" s="96">
        <f>' NotaPedido'!A88</f>
        <v>77</v>
      </c>
      <c r="B86" s="97" t="str">
        <f>' NotaPedido'!B88</f>
        <v>2.1.1-542.225</v>
      </c>
      <c r="C86" s="98" t="s">
        <v>185</v>
      </c>
      <c r="D86" s="99" t="str">
        <f t="shared" si="0"/>
        <v>2.1.1</v>
      </c>
      <c r="E86" s="100" t="str">
        <f>' NotaPedido'!C88:G88</f>
        <v>QUESOS; TIPO: TYBO, PRESENTACION: ENVASE X 1 Kg, ELEM. TRANSPORTE: SIN, MATERIAL ELEM. TRANSPORTE: SIN, MATERIAL ENVASE: POLIESTIRENO, CERTIFICADO FORESTAL (GFS): SIN, LIBRE DE GLUTEN: SI</v>
      </c>
      <c r="F86" s="99" t="str">
        <f>' NotaPedido'!I88</f>
        <v>KG</v>
      </c>
      <c r="G86" s="104">
        <f>' NotaPedido'!K88</f>
        <v>15</v>
      </c>
      <c r="H86" s="101">
        <f>' NotaPedido'!J88</f>
        <v>547.5</v>
      </c>
      <c r="I86" s="102">
        <f t="shared" si="2"/>
        <v>8212.5</v>
      </c>
    </row>
    <row r="87" spans="1:9" ht="36.75" customHeight="1" x14ac:dyDescent="0.2">
      <c r="A87" s="96">
        <f>' NotaPedido'!A89</f>
        <v>78</v>
      </c>
      <c r="B87" s="97" t="str">
        <f>' NotaPedido'!B89</f>
        <v>2.1.1-707.38</v>
      </c>
      <c r="C87" s="98" t="s">
        <v>185</v>
      </c>
      <c r="D87" s="99" t="str">
        <f>LEFT(B87,5)</f>
        <v>2.1.1</v>
      </c>
      <c r="E87" s="100" t="str">
        <f>' NotaPedido'!C89:G89</f>
        <v>PASTAS FRESCAS; VARIEDAD: RAVIOL, RELLENO: VERDURA Y POLLO, PRESENTACION: ENVASE X 500 GR</v>
      </c>
      <c r="F87" s="99" t="str">
        <f>' NotaPedido'!I89</f>
        <v>ENVASE</v>
      </c>
      <c r="G87" s="104">
        <f>' NotaPedido'!K89</f>
        <v>26</v>
      </c>
      <c r="H87" s="101">
        <f>' NotaPedido'!J89</f>
        <v>85</v>
      </c>
      <c r="I87" s="102">
        <f t="shared" si="2"/>
        <v>2210</v>
      </c>
    </row>
    <row r="88" spans="1:9" ht="36.75" customHeight="1" x14ac:dyDescent="0.2">
      <c r="A88" s="96">
        <f>' NotaPedido'!A90</f>
        <v>79</v>
      </c>
      <c r="B88" s="97" t="str">
        <f>' NotaPedido'!B90</f>
        <v>2.1.1-514.2</v>
      </c>
      <c r="C88" s="98" t="s">
        <v>185</v>
      </c>
      <c r="D88" s="99" t="str">
        <f t="shared" si="0"/>
        <v>2.1.1</v>
      </c>
      <c r="E88" s="100" t="str">
        <f>' NotaPedido'!C90:G90</f>
        <v>SAL DE MESA; CONSISTENCIA: FINA, PESO: 500 GR, TIPO: SIN VALOR, ENVASE: PAQUETE</v>
      </c>
      <c r="F88" s="99" t="str">
        <f>' NotaPedido'!I90</f>
        <v>PAQUETE</v>
      </c>
      <c r="G88" s="104">
        <f>' NotaPedido'!K90</f>
        <v>40</v>
      </c>
      <c r="H88" s="101">
        <f>' NotaPedido'!J90</f>
        <v>50</v>
      </c>
      <c r="I88" s="102">
        <f t="shared" si="2"/>
        <v>2000</v>
      </c>
    </row>
    <row r="89" spans="1:9" ht="36.75" customHeight="1" x14ac:dyDescent="0.2">
      <c r="A89" s="96">
        <f>' NotaPedido'!A91</f>
        <v>80</v>
      </c>
      <c r="B89" s="97" t="str">
        <f>' NotaPedido'!B91</f>
        <v>2.1.1-514.15</v>
      </c>
      <c r="C89" s="98" t="s">
        <v>185</v>
      </c>
      <c r="D89" s="99" t="str">
        <f t="shared" si="0"/>
        <v>2.1.1</v>
      </c>
      <c r="E89" s="100" t="str">
        <f>' NotaPedido'!C91:G91</f>
        <v>SAL DE MESA; CONSISTENCIA: GRUESA, ENVASE: BOLSA, PESO: 1 Kg, TIPO: SIN VALOR</v>
      </c>
      <c r="F89" s="99" t="str">
        <f>' NotaPedido'!I91</f>
        <v>BOLSA</v>
      </c>
      <c r="G89" s="104">
        <f>' NotaPedido'!K91</f>
        <v>8</v>
      </c>
      <c r="H89" s="101">
        <f>' NotaPedido'!J91</f>
        <v>60</v>
      </c>
      <c r="I89" s="102">
        <f t="shared" si="2"/>
        <v>480</v>
      </c>
    </row>
    <row r="90" spans="1:9" ht="36.75" customHeight="1" x14ac:dyDescent="0.2">
      <c r="A90" s="96">
        <f>' NotaPedido'!A92</f>
        <v>81</v>
      </c>
      <c r="B90" s="97" t="str">
        <f>' NotaPedido'!B92</f>
        <v>2.1.1-2610.1</v>
      </c>
      <c r="C90" s="98" t="s">
        <v>185</v>
      </c>
      <c r="D90" s="99" t="str">
        <f t="shared" si="0"/>
        <v>2.1.1</v>
      </c>
      <c r="E90" s="100" t="str">
        <f>' NotaPedido'!C92:G92</f>
        <v>TAPAS P/EMPANADAS; TIPO: P/HORNO, PRESENTACION: BOLSA X 12</v>
      </c>
      <c r="F90" s="99" t="str">
        <f>' NotaPedido'!I92</f>
        <v>BOLSA</v>
      </c>
      <c r="G90" s="104">
        <f>' NotaPedido'!K92</f>
        <v>65</v>
      </c>
      <c r="H90" s="101">
        <f>' NotaPedido'!J92</f>
        <v>55</v>
      </c>
      <c r="I90" s="102">
        <f t="shared" si="2"/>
        <v>3575</v>
      </c>
    </row>
    <row r="91" spans="1:9" ht="36.75" customHeight="1" x14ac:dyDescent="0.2">
      <c r="A91" s="96">
        <f>' NotaPedido'!A93</f>
        <v>82</v>
      </c>
      <c r="B91" s="97" t="str">
        <f>' NotaPedido'!B93</f>
        <v>2.1.1-2429.4</v>
      </c>
      <c r="C91" s="98" t="s">
        <v>185</v>
      </c>
      <c r="D91" s="99" t="str">
        <f t="shared" si="0"/>
        <v>2.1.1</v>
      </c>
      <c r="E91" s="100" t="str">
        <f>' NotaPedido'!C93:G93</f>
        <v>TAPAS P/TARTAS; TIPO: REDONDA, MASA: HOJALDRE, PRESENTACION: ENVASE X 400 GR</v>
      </c>
      <c r="F91" s="99" t="str">
        <f>' NotaPedido'!I93</f>
        <v>ENVASE</v>
      </c>
      <c r="G91" s="104">
        <f>' NotaPedido'!K93</f>
        <v>40</v>
      </c>
      <c r="H91" s="101">
        <f>' NotaPedido'!J93</f>
        <v>75</v>
      </c>
      <c r="I91" s="102">
        <f t="shared" si="2"/>
        <v>3000</v>
      </c>
    </row>
    <row r="92" spans="1:9" ht="36.75" customHeight="1" x14ac:dyDescent="0.2">
      <c r="A92" s="96">
        <f>' NotaPedido'!A94</f>
        <v>83</v>
      </c>
      <c r="B92" s="97" t="str">
        <f>' NotaPedido'!B94</f>
        <v>2.1.1-511.6</v>
      </c>
      <c r="C92" s="98" t="s">
        <v>185</v>
      </c>
      <c r="D92" s="99" t="str">
        <f t="shared" si="0"/>
        <v>2.1.1</v>
      </c>
      <c r="E92" s="100" t="str">
        <f>' NotaPedido'!C94:G94</f>
        <v>TE; SAQUITOS 2G P/CAJA: 100, PRESENTACION: EN SAQUITOS ENSOBRADOS, PESO: SIN VALOR, TIPO: SIN VALOR</v>
      </c>
      <c r="F92" s="99" t="str">
        <f>' NotaPedido'!I94</f>
        <v>CAJA</v>
      </c>
      <c r="G92" s="104">
        <f>' NotaPedido'!K94</f>
        <v>25</v>
      </c>
      <c r="H92" s="101">
        <f>' NotaPedido'!J94</f>
        <v>83.5</v>
      </c>
      <c r="I92" s="102">
        <f t="shared" si="2"/>
        <v>2087.5</v>
      </c>
    </row>
    <row r="93" spans="1:9" ht="36.75" customHeight="1" x14ac:dyDescent="0.2">
      <c r="A93" s="96">
        <f>' NotaPedido'!A95</f>
        <v>84</v>
      </c>
      <c r="B93" s="97" t="str">
        <f>' NotaPedido'!B95</f>
        <v>2.1.1-6546.18</v>
      </c>
      <c r="C93" s="98" t="s">
        <v>185</v>
      </c>
      <c r="D93" s="99" t="str">
        <f t="shared" si="0"/>
        <v>2.1.1</v>
      </c>
      <c r="E93" s="100" t="str">
        <f>' NotaPedido'!C95:G95</f>
        <v>VERDURAS Y HORTALIZAS; VARIEDAD: TOMATE REDONDO, ESTADO: NATURAL, PRESENTACION: CAJON, PESO: 10 Kg</v>
      </c>
      <c r="F93" s="99" t="s">
        <v>156</v>
      </c>
      <c r="G93" s="104">
        <f>' NotaPedido'!K95</f>
        <v>8</v>
      </c>
      <c r="H93" s="101">
        <f>' NotaPedido'!J95</f>
        <v>900</v>
      </c>
      <c r="I93" s="102">
        <f t="shared" si="2"/>
        <v>7200</v>
      </c>
    </row>
    <row r="94" spans="1:9" ht="36.75" customHeight="1" x14ac:dyDescent="0.2">
      <c r="A94" s="96">
        <f>' NotaPedido'!A96</f>
        <v>85</v>
      </c>
      <c r="B94" s="97" t="str">
        <f>' NotaPedido'!B96</f>
        <v>2.1.1-6546.5</v>
      </c>
      <c r="C94" s="98" t="s">
        <v>185</v>
      </c>
      <c r="D94" s="99" t="str">
        <f t="shared" si="0"/>
        <v>2.1.1</v>
      </c>
      <c r="E94" s="100" t="str">
        <f>' NotaPedido'!C96:G96</f>
        <v>VERDURAS Y HORTALIZAS; PRESENTACION: BOTELLA, VARIEDAD: TOMATE PERITA, ESTADO: TRITURADO, PESO: 970 GR</v>
      </c>
      <c r="F94" s="99" t="str">
        <f>' NotaPedido'!I96</f>
        <v>BOTELLA</v>
      </c>
      <c r="G94" s="104">
        <f>' NotaPedido'!K96</f>
        <v>86</v>
      </c>
      <c r="H94" s="101">
        <f>' NotaPedido'!J96</f>
        <v>110</v>
      </c>
      <c r="I94" s="102">
        <f t="shared" si="2"/>
        <v>9460</v>
      </c>
    </row>
    <row r="95" spans="1:9" ht="36.75" customHeight="1" x14ac:dyDescent="0.2">
      <c r="A95" s="96">
        <f>' NotaPedido'!A97</f>
        <v>86</v>
      </c>
      <c r="B95" s="97" t="str">
        <f>' NotaPedido'!B97</f>
        <v>2.1.1-519.23</v>
      </c>
      <c r="C95" s="98" t="s">
        <v>185</v>
      </c>
      <c r="D95" s="99" t="str">
        <f t="shared" si="0"/>
        <v>2.1.1</v>
      </c>
      <c r="E95" s="100" t="str">
        <f>' NotaPedido'!C97:G97</f>
        <v>VINAGRES; TIPO: MANZANA, PRESENTACION: ENVASE X 1 L, MATERIAL ENVASE: PLASTICO 1 (PET)</v>
      </c>
      <c r="F95" s="99" t="str">
        <f>' NotaPedido'!I97</f>
        <v>ENVASE</v>
      </c>
      <c r="G95" s="104">
        <f>' NotaPedido'!K97</f>
        <v>4</v>
      </c>
      <c r="H95" s="101">
        <f>' NotaPedido'!J97</f>
        <v>108</v>
      </c>
      <c r="I95" s="102">
        <f t="shared" si="2"/>
        <v>432</v>
      </c>
    </row>
    <row r="96" spans="1:9" ht="36.75" customHeight="1" x14ac:dyDescent="0.2">
      <c r="A96" s="96">
        <f>' NotaPedido'!A98</f>
        <v>87</v>
      </c>
      <c r="B96" s="97" t="str">
        <f>' NotaPedido'!B98</f>
        <v>2.1.1-454.25</v>
      </c>
      <c r="C96" s="98" t="s">
        <v>185</v>
      </c>
      <c r="D96" s="99" t="str">
        <f t="shared" si="0"/>
        <v>2.1.1</v>
      </c>
      <c r="E96" s="100" t="str">
        <f>' NotaPedido'!C98:G98</f>
        <v>YERBAS; PALO: CON, PESO: 1 Kg, MATERIAL ENVASE : PAPEL, CERTIFICADO FORESTAL (GFS): CON, ELEM. TRANSPORTE: SIN, MATERIAL ELEM. TRANSPORTE: SIN, LIBRE DE GLUTEN: SI</v>
      </c>
      <c r="F96" s="99" t="str">
        <f>' NotaPedido'!I98</f>
        <v>ENVASE</v>
      </c>
      <c r="G96" s="104">
        <f>' NotaPedido'!K98</f>
        <v>4</v>
      </c>
      <c r="H96" s="101">
        <f>' NotaPedido'!J98</f>
        <v>315</v>
      </c>
      <c r="I96" s="102">
        <f t="shared" si="2"/>
        <v>1260</v>
      </c>
    </row>
    <row r="97" spans="1:9" ht="36.75" customHeight="1" x14ac:dyDescent="0.2">
      <c r="A97" s="96">
        <f>' NotaPedido'!A99</f>
        <v>88</v>
      </c>
      <c r="B97" s="97" t="str">
        <f>' NotaPedido'!B99</f>
        <v>2.1.1-456.91</v>
      </c>
      <c r="C97" s="98" t="s">
        <v>185</v>
      </c>
      <c r="D97" s="99" t="str">
        <f t="shared" si="0"/>
        <v>2.1.1</v>
      </c>
      <c r="E97" s="100" t="str">
        <f>' NotaPedido'!C99:G99</f>
        <v>YOGHURT; TIPO: DESCREMADO, AGREGADO: SIN, CONSISTENCIA: FIRME, SABOR: VAINILLA-FRUTILLA, PRESENTACION: POTE PLASTICO X 190 mL</v>
      </c>
      <c r="F97" s="99" t="s">
        <v>38</v>
      </c>
      <c r="G97" s="104">
        <f>' NotaPedido'!K99</f>
        <v>50</v>
      </c>
      <c r="H97" s="101">
        <f>' NotaPedido'!J99</f>
        <v>59.79</v>
      </c>
      <c r="I97" s="102">
        <f t="shared" si="2"/>
        <v>2989.5</v>
      </c>
    </row>
    <row r="98" spans="1:9" ht="36.75" customHeight="1" x14ac:dyDescent="0.2">
      <c r="A98" s="96">
        <f>' NotaPedido'!A100</f>
        <v>89</v>
      </c>
      <c r="B98" s="97" t="str">
        <f>' NotaPedido'!B100</f>
        <v>2.1.1-456.90</v>
      </c>
      <c r="C98" s="98" t="s">
        <v>185</v>
      </c>
      <c r="D98" s="99" t="str">
        <f t="shared" si="0"/>
        <v>2.1.1</v>
      </c>
      <c r="E98" s="100" t="str">
        <f>' NotaPedido'!C100:G100</f>
        <v>YOGHURT; TIPO: ENTERO, AGREGADO: SIN, CONSISTENCIA: FIRME, SABOR: VAINILLA-FRUTILLA, PRESENTACION: POTE PLASTICO X 190 mL</v>
      </c>
      <c r="F98" s="99" t="s">
        <v>38</v>
      </c>
      <c r="G98" s="104">
        <f>' NotaPedido'!K100</f>
        <v>50</v>
      </c>
      <c r="H98" s="101">
        <f>' NotaPedido'!J100</f>
        <v>59.75</v>
      </c>
      <c r="I98" s="102">
        <f t="shared" si="2"/>
        <v>2987.5</v>
      </c>
    </row>
    <row r="99" spans="1:9" ht="36.75" customHeight="1" x14ac:dyDescent="0.2">
      <c r="A99" s="96">
        <f>' NotaPedido'!A101</f>
        <v>90</v>
      </c>
      <c r="B99" s="97" t="str">
        <f>' NotaPedido'!B101</f>
        <v>2.1.1-6546.403</v>
      </c>
      <c r="C99" s="98" t="s">
        <v>185</v>
      </c>
      <c r="D99" s="99" t="str">
        <f t="shared" si="0"/>
        <v>2.1.1</v>
      </c>
      <c r="E99" s="100" t="str">
        <f>' NotaPedido'!C101:G101</f>
        <v>VERDURAS Y HORTALIZAS; VARIEDAD: ZANAHORIA, ESTADO: NATURAL, PRESENTACION: BOLSA, PESO: NO CORRESPONDE, ELEM. TRANSPORTE: SIN, MATERIAL ELEM. TRANSPORTE: SIN, LIBRE DE GLUTEN: SI, ORGANICO: NO</v>
      </c>
      <c r="F99" s="99" t="str">
        <f>' NotaPedido'!I101</f>
        <v>BOLSA</v>
      </c>
      <c r="G99" s="104">
        <f>' NotaPedido'!K101</f>
        <v>8</v>
      </c>
      <c r="H99" s="101">
        <f>' NotaPedido'!J101</f>
        <v>640</v>
      </c>
      <c r="I99" s="102">
        <f t="shared" si="2"/>
        <v>5120</v>
      </c>
    </row>
    <row r="100" spans="1:9" ht="36.75" customHeight="1" x14ac:dyDescent="0.2">
      <c r="A100" s="96">
        <f>' NotaPedido'!A102</f>
        <v>91</v>
      </c>
      <c r="B100" s="97" t="str">
        <f>' NotaPedido'!B102</f>
        <v>2.1.1-6546.151</v>
      </c>
      <c r="C100" s="98" t="s">
        <v>185</v>
      </c>
      <c r="D100" s="99" t="str">
        <f t="shared" si="0"/>
        <v>2.1.1</v>
      </c>
      <c r="E100" s="100" t="str">
        <f>' NotaPedido'!C102:G102</f>
        <v>VERDURAS Y HORTALIZAS; VARIEDAD: ZAPALLITO REDONDO, ESTADO: NATURAL, PRESENTACION: CAJON, PESO: SIN VALOR</v>
      </c>
      <c r="F100" s="99" t="str">
        <f>' NotaPedido'!I102</f>
        <v>CAJON</v>
      </c>
      <c r="G100" s="104">
        <f>' NotaPedido'!K102</f>
        <v>5</v>
      </c>
      <c r="H100" s="101">
        <f>' NotaPedido'!J102</f>
        <v>650</v>
      </c>
      <c r="I100" s="102">
        <f t="shared" si="2"/>
        <v>3250</v>
      </c>
    </row>
    <row r="101" spans="1:9" ht="36.75" customHeight="1" x14ac:dyDescent="0.2">
      <c r="A101" s="96">
        <f>' NotaPedido'!A103</f>
        <v>92</v>
      </c>
      <c r="B101" s="97" t="str">
        <f>' NotaPedido'!B103</f>
        <v>2.1.1-6546.298</v>
      </c>
      <c r="C101" s="98" t="s">
        <v>185</v>
      </c>
      <c r="D101" s="99" t="str">
        <f t="shared" si="0"/>
        <v>2.1.1</v>
      </c>
      <c r="E101" s="100" t="str">
        <f>' NotaPedido'!C103:G103</f>
        <v>VERDURAS Y HORTALIZAS; VARIEDAD: ZUCHINI, ESTADO: NATURAL, PRESENTACION: CAJON, PESO: 18 Kg</v>
      </c>
      <c r="F101" s="99" t="str">
        <f>' NotaPedido'!I103</f>
        <v>CAJON</v>
      </c>
      <c r="G101" s="104">
        <f>' NotaPedido'!K103</f>
        <v>4</v>
      </c>
      <c r="H101" s="101">
        <f>' NotaPedido'!J103</f>
        <v>990</v>
      </c>
      <c r="I101" s="102">
        <f t="shared" si="2"/>
        <v>3960</v>
      </c>
    </row>
    <row r="102" spans="1:9" ht="36.75" customHeight="1" x14ac:dyDescent="0.2">
      <c r="A102" s="96">
        <f>' NotaPedido'!A104</f>
        <v>93</v>
      </c>
      <c r="B102" s="97" t="str">
        <f>' NotaPedido'!B104</f>
        <v>2.1.1-6546.159</v>
      </c>
      <c r="C102" s="98" t="s">
        <v>185</v>
      </c>
      <c r="D102" s="99" t="str">
        <f t="shared" si="0"/>
        <v>2.1.1</v>
      </c>
      <c r="E102" s="100" t="str">
        <f>' NotaPedido'!C104:G104</f>
        <v>VERDURAS Y HORTALIZAS; VARIEDAD: ZAPALLO CALABAZA, ESTADO: NATURAL, PRESENTACION: BOLSA, PESO: 20 Kg</v>
      </c>
      <c r="F102" s="99" t="str">
        <f>' NotaPedido'!I104</f>
        <v>BOLSA</v>
      </c>
      <c r="G102" s="104">
        <f>' NotaPedido'!K104</f>
        <v>4</v>
      </c>
      <c r="H102" s="101">
        <f>' NotaPedido'!J104</f>
        <v>760</v>
      </c>
      <c r="I102" s="102">
        <f t="shared" si="2"/>
        <v>3040</v>
      </c>
    </row>
    <row r="103" spans="1:9" ht="36.75" customHeight="1" x14ac:dyDescent="0.2">
      <c r="A103" s="96">
        <f>' NotaPedido'!A105</f>
        <v>94</v>
      </c>
      <c r="B103" s="97" t="str">
        <f>' NotaPedido'!B105</f>
        <v>2.1.1-6546.162</v>
      </c>
      <c r="C103" s="98" t="s">
        <v>185</v>
      </c>
      <c r="D103" s="99" t="str">
        <f t="shared" si="0"/>
        <v>2.1.1</v>
      </c>
      <c r="E103" s="100" t="str">
        <f>' NotaPedido'!C105:G105</f>
        <v>VERDURAS Y HORTALIZAS; VARIEDAD: ZAPALLO CRIOLLO, ESTADO: NATURAL, PRESENTACION: UNIDAD, PESO: SIN VALOR</v>
      </c>
      <c r="F103" s="99" t="s">
        <v>153</v>
      </c>
      <c r="G103" s="104">
        <f>' NotaPedido'!K105</f>
        <v>5</v>
      </c>
      <c r="H103" s="101">
        <f>' NotaPedido'!J105</f>
        <v>35</v>
      </c>
      <c r="I103" s="102">
        <f t="shared" si="2"/>
        <v>175</v>
      </c>
    </row>
    <row r="104" spans="1:9" ht="36.75" customHeight="1" x14ac:dyDescent="0.2">
      <c r="A104" s="96">
        <f>' NotaPedido'!A106</f>
        <v>95</v>
      </c>
      <c r="B104" s="97" t="str">
        <f>' NotaPedido'!B106</f>
        <v>2.1.1-438.30</v>
      </c>
      <c r="C104" s="98" t="s">
        <v>185</v>
      </c>
      <c r="D104" s="99" t="str">
        <f t="shared" si="0"/>
        <v>2.1.1</v>
      </c>
      <c r="E104" s="100" t="str">
        <f>' NotaPedido'!C106:G106</f>
        <v>ADEREZOS; TIPO: MOSTAZA, ENVASE: POMO, CONTENIDO: 300 GR, PRESENTACION: ENVASE X 300 GR</v>
      </c>
      <c r="F104" s="99" t="s">
        <v>38</v>
      </c>
      <c r="G104" s="104">
        <f>' NotaPedido'!K106</f>
        <v>13</v>
      </c>
      <c r="H104" s="101">
        <f>' NotaPedido'!J106</f>
        <v>138.33000000000001</v>
      </c>
      <c r="I104" s="102">
        <f t="shared" si="2"/>
        <v>1798.2900000000002</v>
      </c>
    </row>
    <row r="105" spans="1:9" ht="36.75" customHeight="1" x14ac:dyDescent="0.2">
      <c r="A105" s="96">
        <f>' NotaPedido'!A107</f>
        <v>96</v>
      </c>
      <c r="B105" s="97" t="str">
        <f>' NotaPedido'!B107</f>
        <v>2.1.1-438.79</v>
      </c>
      <c r="C105" s="98" t="s">
        <v>185</v>
      </c>
      <c r="D105" s="99" t="str">
        <f t="shared" si="0"/>
        <v>2.1.1</v>
      </c>
      <c r="E105" s="100" t="str">
        <f>' NotaPedido'!C107:G107</f>
        <v>ADEREZOS; TIPO: SALSA DE SOJA, PRESENTACION: ENVASE X 1 L, LIBRE DE GLUTEN: SIN VALOR</v>
      </c>
      <c r="F105" s="99" t="str">
        <f>' NotaPedido'!I107</f>
        <v>ENVASE</v>
      </c>
      <c r="G105" s="104">
        <f>' NotaPedido'!K107</f>
        <v>2</v>
      </c>
      <c r="H105" s="101">
        <f>' NotaPedido'!J107</f>
        <v>315</v>
      </c>
      <c r="I105" s="102">
        <f t="shared" si="2"/>
        <v>630</v>
      </c>
    </row>
    <row r="106" spans="1:9" ht="36.75" customHeight="1" x14ac:dyDescent="0.2">
      <c r="A106" s="96">
        <f>' NotaPedido'!A108</f>
        <v>97</v>
      </c>
      <c r="B106" s="97" t="str">
        <f>' NotaPedido'!B108</f>
        <v>2.1.1-489.183</v>
      </c>
      <c r="C106" s="98" t="s">
        <v>185</v>
      </c>
      <c r="D106" s="99" t="str">
        <f t="shared" si="0"/>
        <v>2.1.1</v>
      </c>
      <c r="E106" s="100" t="str">
        <f>' NotaPedido'!C108:G108</f>
        <v>ESPECIAS; TIPO: PIMIENTA NEGRA, PRESENTACION: ENVASE X 25 GR, LIBRE DE GLUTEN: SI</v>
      </c>
      <c r="F106" s="99" t="str">
        <f>' NotaPedido'!I108</f>
        <v>ENVASE</v>
      </c>
      <c r="G106" s="104">
        <f>' NotaPedido'!K108</f>
        <v>5</v>
      </c>
      <c r="H106" s="101">
        <f>' NotaPedido'!J108</f>
        <v>36</v>
      </c>
      <c r="I106" s="102">
        <f t="shared" si="2"/>
        <v>180</v>
      </c>
    </row>
    <row r="107" spans="1:9" ht="36.75" customHeight="1" x14ac:dyDescent="0.2">
      <c r="A107" s="96">
        <f>' NotaPedido'!A109</f>
        <v>98</v>
      </c>
      <c r="B107" s="97" t="str">
        <f>' NotaPedido'!B109</f>
        <v>2.1.1-6547.31</v>
      </c>
      <c r="C107" s="98" t="s">
        <v>185</v>
      </c>
      <c r="D107" s="99" t="str">
        <f t="shared" ref="D107:D111" si="3">LEFT(B107,5)</f>
        <v>2.1.1</v>
      </c>
      <c r="E107" s="100" t="str">
        <f>' NotaPedido'!C109:G109</f>
        <v>LEGUMBRES; VARIEDAD: POROTO ALUBIA, ESTADO: NATURAL, PRESENTACION: BOLSA PLASTICA, PESO: 500 GR</v>
      </c>
      <c r="F107" s="99" t="str">
        <f>' NotaPedido'!I109</f>
        <v>BOLSA</v>
      </c>
      <c r="G107" s="104">
        <f>' NotaPedido'!K109</f>
        <v>4</v>
      </c>
      <c r="H107" s="101">
        <f>' NotaPedido'!J109</f>
        <v>95.5</v>
      </c>
      <c r="I107" s="102">
        <f t="shared" si="2"/>
        <v>382</v>
      </c>
    </row>
    <row r="108" spans="1:9" ht="36.75" customHeight="1" x14ac:dyDescent="0.2">
      <c r="A108" s="96">
        <f>' NotaPedido'!A110</f>
        <v>99</v>
      </c>
      <c r="B108" s="97" t="str">
        <f>' NotaPedido'!B110</f>
        <v>2.1.1-2616.9</v>
      </c>
      <c r="C108" s="98" t="s">
        <v>185</v>
      </c>
      <c r="D108" s="99" t="str">
        <f t="shared" si="3"/>
        <v>2.1.1</v>
      </c>
      <c r="E108" s="100" t="str">
        <f>' NotaPedido'!C110:G110</f>
        <v>MAIZ; TIPO: BLANCO PISADO, PRESENTACION: ENVASE X 500 GR, FORMA DE PRESENTACION: SIN VALOR</v>
      </c>
      <c r="F108" s="99" t="str">
        <f>' NotaPedido'!I110</f>
        <v>ENVASE</v>
      </c>
      <c r="G108" s="104">
        <f>' NotaPedido'!K110</f>
        <v>4</v>
      </c>
      <c r="H108" s="101">
        <f>' NotaPedido'!J110</f>
        <v>80</v>
      </c>
      <c r="I108" s="102">
        <f t="shared" si="2"/>
        <v>320</v>
      </c>
    </row>
    <row r="109" spans="1:9" ht="36.75" customHeight="1" x14ac:dyDescent="0.2">
      <c r="A109" s="96">
        <f>' NotaPedido'!A111</f>
        <v>100</v>
      </c>
      <c r="B109" s="97" t="str">
        <f>' NotaPedido'!B111</f>
        <v>2.1.1-482.63</v>
      </c>
      <c r="C109" s="98" t="s">
        <v>185</v>
      </c>
      <c r="D109" s="99" t="str">
        <f t="shared" si="3"/>
        <v>2.1.1</v>
      </c>
      <c r="E109" s="100" t="str">
        <f>' NotaPedido'!C111:G111</f>
        <v>HARINAS; TIPO: MAIZ, PRESENTACION: ENVASE X 750 GR, MATERIAL ENVASE: PAPEL, CERTICADO FORESTAL (GFS): SIN, ELEM. TRANSPORTE: SIN, MATERIAL ELEM. TRANSPORTE: SIN</v>
      </c>
      <c r="F109" s="99" t="str">
        <f>' NotaPedido'!I111</f>
        <v>ENVASE</v>
      </c>
      <c r="G109" s="104">
        <f>' NotaPedido'!K111</f>
        <v>3</v>
      </c>
      <c r="H109" s="101">
        <f>' NotaPedido'!J111</f>
        <v>50.02</v>
      </c>
      <c r="I109" s="102">
        <f t="shared" si="2"/>
        <v>150.06</v>
      </c>
    </row>
    <row r="110" spans="1:9" ht="36.75" customHeight="1" x14ac:dyDescent="0.2">
      <c r="A110" s="96">
        <f>' NotaPedido'!A112</f>
        <v>101</v>
      </c>
      <c r="B110" s="97" t="str">
        <f>' NotaPedido'!B112</f>
        <v>2.1.1-5917.8</v>
      </c>
      <c r="C110" s="98" t="s">
        <v>185</v>
      </c>
      <c r="D110" s="99" t="str">
        <f t="shared" si="3"/>
        <v>2.1.1</v>
      </c>
      <c r="E110" s="100" t="str">
        <f>' NotaPedido'!C112:G112</f>
        <v>CEREALES; TIPO: TRIGO BURGOL, PRESENTACION: ENVASE X 1 Kg</v>
      </c>
      <c r="F110" s="99" t="str">
        <f>' NotaPedido'!I112</f>
        <v>ENVASE</v>
      </c>
      <c r="G110" s="104">
        <f>' NotaPedido'!K112</f>
        <v>35</v>
      </c>
      <c r="H110" s="101">
        <f>' NotaPedido'!J112</f>
        <v>95</v>
      </c>
      <c r="I110" s="102">
        <f t="shared" si="2"/>
        <v>3325</v>
      </c>
    </row>
    <row r="111" spans="1:9" ht="36.75" customHeight="1" x14ac:dyDescent="0.2">
      <c r="A111" s="96">
        <f>' NotaPedido'!A113</f>
        <v>102</v>
      </c>
      <c r="B111" s="97" t="str">
        <f>' NotaPedido'!B113</f>
        <v>2.1.1-4975.2</v>
      </c>
      <c r="C111" s="98" t="s">
        <v>185</v>
      </c>
      <c r="D111" s="99" t="str">
        <f t="shared" si="3"/>
        <v>2.1.1</v>
      </c>
      <c r="E111" s="100" t="str">
        <f>' NotaPedido'!C113:G113</f>
        <v>RICOTA; ENVASE: PAQUETE, PESO: 1 Kg, SABOR: SIN</v>
      </c>
      <c r="F111" s="99" t="str">
        <f>' NotaPedido'!I113</f>
        <v>PAQUETE</v>
      </c>
      <c r="G111" s="104">
        <f>' NotaPedido'!K113</f>
        <v>20</v>
      </c>
      <c r="H111" s="101">
        <f>' NotaPedido'!J113</f>
        <v>326</v>
      </c>
      <c r="I111" s="102">
        <f t="shared" si="2"/>
        <v>6520</v>
      </c>
    </row>
    <row r="113" spans="1:6" ht="13.5" thickBot="1" x14ac:dyDescent="0.25">
      <c r="B113" s="123" t="s">
        <v>191</v>
      </c>
      <c r="C113" s="123"/>
      <c r="D113" s="123"/>
    </row>
    <row r="114" spans="1:6" ht="13.5" thickBot="1" x14ac:dyDescent="0.25">
      <c r="A114" s="105" t="s">
        <v>47</v>
      </c>
      <c r="B114" s="106"/>
      <c r="C114" s="106"/>
      <c r="D114" s="105"/>
      <c r="E114" s="105"/>
      <c r="F114" s="105"/>
    </row>
    <row r="115" spans="1:6" ht="25.5" customHeight="1" x14ac:dyDescent="0.2">
      <c r="A115" s="105"/>
      <c r="B115" s="128" t="s">
        <v>192</v>
      </c>
      <c r="C115" s="129"/>
      <c r="D115" s="107"/>
      <c r="E115" s="108"/>
      <c r="F115" s="105"/>
    </row>
    <row r="116" spans="1:6" x14ac:dyDescent="0.2">
      <c r="A116" s="105"/>
      <c r="B116" s="109"/>
      <c r="C116" s="80"/>
      <c r="D116" s="110"/>
      <c r="E116" s="111"/>
      <c r="F116" s="105"/>
    </row>
    <row r="117" spans="1:6" ht="25.5" customHeight="1" x14ac:dyDescent="0.2">
      <c r="A117" s="105"/>
      <c r="B117" s="126" t="s">
        <v>42</v>
      </c>
      <c r="C117" s="127"/>
      <c r="D117" s="110"/>
      <c r="E117" s="111"/>
      <c r="F117" s="105"/>
    </row>
    <row r="118" spans="1:6" ht="12.75" customHeight="1" x14ac:dyDescent="0.2">
      <c r="A118" s="105"/>
      <c r="B118" s="112"/>
      <c r="C118" s="130" t="s">
        <v>193</v>
      </c>
      <c r="D118" s="130"/>
      <c r="E118" s="131"/>
      <c r="F118" s="105"/>
    </row>
    <row r="119" spans="1:6" ht="25.5" customHeight="1" x14ac:dyDescent="0.2">
      <c r="A119" s="105"/>
      <c r="B119" s="126" t="s">
        <v>43</v>
      </c>
      <c r="C119" s="127"/>
      <c r="D119" s="110"/>
      <c r="E119" s="111"/>
      <c r="F119" s="105"/>
    </row>
    <row r="120" spans="1:6" ht="23.25" customHeight="1" x14ac:dyDescent="0.2">
      <c r="A120" s="105"/>
      <c r="B120" s="109"/>
      <c r="C120" s="124" t="s">
        <v>195</v>
      </c>
      <c r="D120" s="124"/>
      <c r="E120" s="125"/>
      <c r="F120" s="105"/>
    </row>
    <row r="121" spans="1:6" x14ac:dyDescent="0.2">
      <c r="A121" s="105"/>
      <c r="B121" s="109"/>
      <c r="C121" s="124"/>
      <c r="D121" s="124"/>
      <c r="E121" s="125"/>
      <c r="F121" s="105"/>
    </row>
    <row r="122" spans="1:6" ht="25.5" customHeight="1" x14ac:dyDescent="0.2">
      <c r="A122" s="105"/>
      <c r="B122" s="126" t="s">
        <v>44</v>
      </c>
      <c r="C122" s="127"/>
      <c r="D122" s="110"/>
      <c r="E122" s="111"/>
      <c r="F122" s="105"/>
    </row>
    <row r="123" spans="1:6" x14ac:dyDescent="0.2">
      <c r="A123" s="105"/>
      <c r="B123" s="109"/>
      <c r="C123" s="124"/>
      <c r="D123" s="124"/>
      <c r="E123" s="125"/>
      <c r="F123" s="105"/>
    </row>
    <row r="124" spans="1:6" x14ac:dyDescent="0.2">
      <c r="A124" s="105"/>
      <c r="B124" s="112" t="s">
        <v>45</v>
      </c>
      <c r="C124" s="55"/>
      <c r="D124" s="79"/>
      <c r="E124" s="56"/>
      <c r="F124" s="105"/>
    </row>
    <row r="125" spans="1:6" x14ac:dyDescent="0.2">
      <c r="A125" s="105"/>
      <c r="B125" s="109"/>
      <c r="C125" s="124"/>
      <c r="D125" s="124"/>
      <c r="E125" s="125"/>
      <c r="F125" s="105"/>
    </row>
    <row r="126" spans="1:6" x14ac:dyDescent="0.2">
      <c r="A126" s="105"/>
      <c r="B126" s="112" t="s">
        <v>46</v>
      </c>
      <c r="C126" s="80"/>
      <c r="D126" s="110"/>
      <c r="E126" s="111"/>
      <c r="F126" s="105"/>
    </row>
    <row r="127" spans="1:6" x14ac:dyDescent="0.2">
      <c r="A127" s="105"/>
      <c r="B127" s="112"/>
      <c r="C127" s="124"/>
      <c r="D127" s="124"/>
      <c r="E127" s="125"/>
      <c r="F127" s="105"/>
    </row>
    <row r="128" spans="1:6" ht="13.5" thickBot="1" x14ac:dyDescent="0.25">
      <c r="A128" s="105"/>
      <c r="B128" s="113"/>
      <c r="C128" s="114"/>
      <c r="D128" s="115"/>
      <c r="E128" s="116"/>
      <c r="F128" s="105"/>
    </row>
    <row r="129" spans="1:6" x14ac:dyDescent="0.2">
      <c r="A129" s="105"/>
      <c r="B129" s="105"/>
      <c r="C129" s="105"/>
      <c r="D129" s="105"/>
      <c r="E129" s="105"/>
      <c r="F129" s="105"/>
    </row>
    <row r="130" spans="1:6" ht="13.5" thickBot="1" x14ac:dyDescent="0.25">
      <c r="A130" s="105"/>
      <c r="B130" s="105"/>
      <c r="C130" s="105"/>
      <c r="D130" s="105"/>
      <c r="E130" s="105"/>
      <c r="F130" s="105"/>
    </row>
    <row r="131" spans="1:6" ht="25.5" customHeight="1" x14ac:dyDescent="0.2">
      <c r="A131" s="105"/>
      <c r="B131" s="128" t="s">
        <v>194</v>
      </c>
      <c r="C131" s="129"/>
      <c r="D131" s="107"/>
      <c r="E131" s="108"/>
      <c r="F131" s="105"/>
    </row>
    <row r="132" spans="1:6" x14ac:dyDescent="0.2">
      <c r="A132" s="105"/>
      <c r="B132" s="109"/>
      <c r="C132" s="80"/>
      <c r="D132" s="110"/>
      <c r="E132" s="111"/>
      <c r="F132" s="105"/>
    </row>
    <row r="133" spans="1:6" ht="25.5" customHeight="1" x14ac:dyDescent="0.2">
      <c r="A133" s="105"/>
      <c r="B133" s="126" t="s">
        <v>42</v>
      </c>
      <c r="C133" s="127"/>
      <c r="D133" s="110"/>
      <c r="E133" s="111"/>
      <c r="F133" s="105"/>
    </row>
    <row r="134" spans="1:6" ht="12.75" customHeight="1" x14ac:dyDescent="0.2">
      <c r="A134" s="105"/>
      <c r="B134" s="112"/>
      <c r="C134" s="130" t="s">
        <v>196</v>
      </c>
      <c r="D134" s="130"/>
      <c r="E134" s="131"/>
      <c r="F134" s="105"/>
    </row>
    <row r="135" spans="1:6" ht="25.5" customHeight="1" x14ac:dyDescent="0.2">
      <c r="A135" s="105"/>
      <c r="B135" s="126" t="s">
        <v>43</v>
      </c>
      <c r="C135" s="127"/>
      <c r="D135" s="110"/>
      <c r="E135" s="111"/>
      <c r="F135" s="105"/>
    </row>
    <row r="136" spans="1:6" ht="24.75" customHeight="1" x14ac:dyDescent="0.2">
      <c r="A136" s="105"/>
      <c r="B136" s="109"/>
      <c r="C136" s="124" t="s">
        <v>195</v>
      </c>
      <c r="D136" s="124"/>
      <c r="E136" s="125"/>
      <c r="F136" s="105"/>
    </row>
    <row r="137" spans="1:6" x14ac:dyDescent="0.2">
      <c r="A137" s="105"/>
      <c r="B137" s="109"/>
      <c r="C137" s="124"/>
      <c r="D137" s="124"/>
      <c r="E137" s="125"/>
      <c r="F137" s="105"/>
    </row>
    <row r="138" spans="1:6" ht="25.5" customHeight="1" x14ac:dyDescent="0.2">
      <c r="A138" s="105"/>
      <c r="B138" s="126" t="s">
        <v>44</v>
      </c>
      <c r="C138" s="127"/>
      <c r="D138" s="110"/>
      <c r="E138" s="111"/>
      <c r="F138" s="105"/>
    </row>
    <row r="139" spans="1:6" x14ac:dyDescent="0.2">
      <c r="A139" s="105"/>
      <c r="B139" s="109"/>
      <c r="C139" s="124"/>
      <c r="D139" s="124"/>
      <c r="E139" s="125"/>
      <c r="F139" s="105"/>
    </row>
    <row r="140" spans="1:6" x14ac:dyDescent="0.2">
      <c r="A140" s="105"/>
      <c r="B140" s="112" t="s">
        <v>45</v>
      </c>
      <c r="C140" s="55"/>
      <c r="D140" s="79"/>
      <c r="E140" s="56"/>
      <c r="F140" s="105"/>
    </row>
    <row r="141" spans="1:6" x14ac:dyDescent="0.2">
      <c r="A141" s="105"/>
      <c r="B141" s="109"/>
      <c r="C141" s="124"/>
      <c r="D141" s="124"/>
      <c r="E141" s="125"/>
      <c r="F141" s="105"/>
    </row>
    <row r="142" spans="1:6" x14ac:dyDescent="0.2">
      <c r="A142" s="105"/>
      <c r="B142" s="112" t="s">
        <v>46</v>
      </c>
      <c r="C142" s="80"/>
      <c r="D142" s="110"/>
      <c r="E142" s="111"/>
      <c r="F142" s="105"/>
    </row>
    <row r="143" spans="1:6" x14ac:dyDescent="0.2">
      <c r="A143" s="105"/>
      <c r="B143" s="112"/>
      <c r="C143" s="124"/>
      <c r="D143" s="124"/>
      <c r="E143" s="125"/>
      <c r="F143" s="105"/>
    </row>
    <row r="144" spans="1:6" ht="13.5" thickBot="1" x14ac:dyDescent="0.25">
      <c r="A144" s="105"/>
      <c r="B144" s="113"/>
      <c r="C144" s="114"/>
      <c r="D144" s="115"/>
      <c r="E144" s="116"/>
      <c r="F144" s="105"/>
    </row>
    <row r="145" spans="1:6" x14ac:dyDescent="0.2">
      <c r="A145" s="105"/>
      <c r="B145" s="105"/>
      <c r="C145" s="105"/>
      <c r="D145" s="105"/>
      <c r="E145" s="105"/>
      <c r="F145" s="105"/>
    </row>
    <row r="146" spans="1:6" ht="13.5" thickBot="1" x14ac:dyDescent="0.25">
      <c r="A146" s="105"/>
      <c r="B146" s="105"/>
      <c r="C146" s="105"/>
      <c r="D146" s="105"/>
      <c r="E146" s="105"/>
      <c r="F146" s="105"/>
    </row>
    <row r="147" spans="1:6" x14ac:dyDescent="0.2">
      <c r="B147" s="128" t="s">
        <v>197</v>
      </c>
      <c r="C147" s="129"/>
      <c r="D147" s="107"/>
      <c r="E147" s="108"/>
    </row>
    <row r="148" spans="1:6" x14ac:dyDescent="0.2">
      <c r="B148" s="109"/>
      <c r="C148" s="80"/>
      <c r="D148" s="110"/>
      <c r="E148" s="111"/>
    </row>
    <row r="149" spans="1:6" x14ac:dyDescent="0.2">
      <c r="B149" s="126" t="s">
        <v>42</v>
      </c>
      <c r="C149" s="127"/>
      <c r="D149" s="110"/>
      <c r="E149" s="111"/>
    </row>
    <row r="150" spans="1:6" x14ac:dyDescent="0.2">
      <c r="B150" s="122"/>
      <c r="C150" s="130" t="s">
        <v>196</v>
      </c>
      <c r="D150" s="130"/>
      <c r="E150" s="131"/>
    </row>
    <row r="151" spans="1:6" x14ac:dyDescent="0.2">
      <c r="B151" s="126" t="s">
        <v>43</v>
      </c>
      <c r="C151" s="127"/>
      <c r="D151" s="110"/>
      <c r="E151" s="111"/>
    </row>
    <row r="152" spans="1:6" x14ac:dyDescent="0.2">
      <c r="B152" s="109"/>
      <c r="C152" s="124" t="s">
        <v>195</v>
      </c>
      <c r="D152" s="124"/>
      <c r="E152" s="125"/>
    </row>
    <row r="153" spans="1:6" x14ac:dyDescent="0.2">
      <c r="B153" s="109"/>
      <c r="C153" s="124"/>
      <c r="D153" s="124"/>
      <c r="E153" s="125"/>
    </row>
    <row r="154" spans="1:6" x14ac:dyDescent="0.2">
      <c r="B154" s="126" t="s">
        <v>44</v>
      </c>
      <c r="C154" s="127"/>
      <c r="D154" s="110"/>
      <c r="E154" s="111"/>
    </row>
    <row r="155" spans="1:6" x14ac:dyDescent="0.2">
      <c r="B155" s="109"/>
      <c r="C155" s="124"/>
      <c r="D155" s="124"/>
      <c r="E155" s="125"/>
    </row>
    <row r="156" spans="1:6" x14ac:dyDescent="0.2">
      <c r="B156" s="122" t="s">
        <v>45</v>
      </c>
      <c r="C156" s="55"/>
      <c r="D156" s="121"/>
      <c r="E156" s="56"/>
    </row>
    <row r="157" spans="1:6" x14ac:dyDescent="0.2">
      <c r="B157" s="109"/>
      <c r="C157" s="124"/>
      <c r="D157" s="124"/>
      <c r="E157" s="125"/>
    </row>
    <row r="158" spans="1:6" x14ac:dyDescent="0.2">
      <c r="B158" s="122" t="s">
        <v>46</v>
      </c>
      <c r="C158" s="80"/>
      <c r="D158" s="110"/>
      <c r="E158" s="111"/>
    </row>
    <row r="159" spans="1:6" x14ac:dyDescent="0.2">
      <c r="B159" s="122"/>
      <c r="C159" s="124"/>
      <c r="D159" s="124"/>
      <c r="E159" s="125"/>
    </row>
    <row r="160" spans="1:6" ht="13.5" thickBot="1" x14ac:dyDescent="0.25">
      <c r="B160" s="113"/>
      <c r="C160" s="114"/>
      <c r="D160" s="115"/>
      <c r="E160" s="116"/>
    </row>
    <row r="162" spans="2:5" ht="13.5" thickBot="1" x14ac:dyDescent="0.25"/>
    <row r="163" spans="2:5" x14ac:dyDescent="0.2">
      <c r="B163" s="128" t="s">
        <v>198</v>
      </c>
      <c r="C163" s="129"/>
      <c r="D163" s="107"/>
      <c r="E163" s="108"/>
    </row>
    <row r="164" spans="2:5" x14ac:dyDescent="0.2">
      <c r="B164" s="109"/>
      <c r="C164" s="80"/>
      <c r="D164" s="110"/>
      <c r="E164" s="111"/>
    </row>
    <row r="165" spans="2:5" x14ac:dyDescent="0.2">
      <c r="B165" s="126" t="s">
        <v>42</v>
      </c>
      <c r="C165" s="127"/>
      <c r="D165" s="110"/>
      <c r="E165" s="111"/>
    </row>
    <row r="166" spans="2:5" x14ac:dyDescent="0.2">
      <c r="B166" s="122"/>
      <c r="C166" s="130" t="s">
        <v>196</v>
      </c>
      <c r="D166" s="130"/>
      <c r="E166" s="131"/>
    </row>
    <row r="167" spans="2:5" x14ac:dyDescent="0.2">
      <c r="B167" s="126" t="s">
        <v>43</v>
      </c>
      <c r="C167" s="127"/>
      <c r="D167" s="110"/>
      <c r="E167" s="111"/>
    </row>
    <row r="168" spans="2:5" x14ac:dyDescent="0.2">
      <c r="B168" s="109"/>
      <c r="C168" s="124" t="s">
        <v>195</v>
      </c>
      <c r="D168" s="124"/>
      <c r="E168" s="125"/>
    </row>
    <row r="169" spans="2:5" x14ac:dyDescent="0.2">
      <c r="B169" s="109"/>
      <c r="C169" s="124"/>
      <c r="D169" s="124"/>
      <c r="E169" s="125"/>
    </row>
    <row r="170" spans="2:5" x14ac:dyDescent="0.2">
      <c r="B170" s="126" t="s">
        <v>44</v>
      </c>
      <c r="C170" s="127"/>
      <c r="D170" s="110"/>
      <c r="E170" s="111"/>
    </row>
    <row r="171" spans="2:5" x14ac:dyDescent="0.2">
      <c r="B171" s="109"/>
      <c r="C171" s="124"/>
      <c r="D171" s="124"/>
      <c r="E171" s="125"/>
    </row>
    <row r="172" spans="2:5" x14ac:dyDescent="0.2">
      <c r="B172" s="122" t="s">
        <v>45</v>
      </c>
      <c r="C172" s="55"/>
      <c r="D172" s="121"/>
      <c r="E172" s="56"/>
    </row>
    <row r="173" spans="2:5" x14ac:dyDescent="0.2">
      <c r="B173" s="109"/>
      <c r="C173" s="124"/>
      <c r="D173" s="124"/>
      <c r="E173" s="125"/>
    </row>
    <row r="174" spans="2:5" x14ac:dyDescent="0.2">
      <c r="B174" s="122" t="s">
        <v>46</v>
      </c>
      <c r="C174" s="80"/>
      <c r="D174" s="110"/>
      <c r="E174" s="111"/>
    </row>
    <row r="175" spans="2:5" x14ac:dyDescent="0.2">
      <c r="B175" s="122"/>
      <c r="C175" s="124"/>
      <c r="D175" s="124"/>
      <c r="E175" s="125"/>
    </row>
    <row r="176" spans="2:5" ht="13.5" thickBot="1" x14ac:dyDescent="0.25">
      <c r="B176" s="113"/>
      <c r="C176" s="114"/>
      <c r="D176" s="115"/>
      <c r="E176" s="116"/>
    </row>
    <row r="178" spans="2:5" ht="13.5" thickBot="1" x14ac:dyDescent="0.25"/>
    <row r="179" spans="2:5" x14ac:dyDescent="0.2">
      <c r="B179" s="128" t="s">
        <v>199</v>
      </c>
      <c r="C179" s="129"/>
      <c r="D179" s="107"/>
      <c r="E179" s="108"/>
    </row>
    <row r="180" spans="2:5" x14ac:dyDescent="0.2">
      <c r="B180" s="109"/>
      <c r="C180" s="80"/>
      <c r="D180" s="110"/>
      <c r="E180" s="111"/>
    </row>
    <row r="181" spans="2:5" x14ac:dyDescent="0.2">
      <c r="B181" s="126" t="s">
        <v>42</v>
      </c>
      <c r="C181" s="127"/>
      <c r="D181" s="110"/>
      <c r="E181" s="111"/>
    </row>
    <row r="182" spans="2:5" x14ac:dyDescent="0.2">
      <c r="B182" s="122"/>
      <c r="C182" s="130" t="s">
        <v>196</v>
      </c>
      <c r="D182" s="130"/>
      <c r="E182" s="131"/>
    </row>
    <row r="183" spans="2:5" x14ac:dyDescent="0.2">
      <c r="B183" s="126" t="s">
        <v>43</v>
      </c>
      <c r="C183" s="127"/>
      <c r="D183" s="110"/>
      <c r="E183" s="111"/>
    </row>
    <row r="184" spans="2:5" x14ac:dyDescent="0.2">
      <c r="B184" s="109"/>
      <c r="C184" s="124" t="s">
        <v>195</v>
      </c>
      <c r="D184" s="124"/>
      <c r="E184" s="125"/>
    </row>
    <row r="185" spans="2:5" x14ac:dyDescent="0.2">
      <c r="B185" s="109"/>
      <c r="C185" s="124"/>
      <c r="D185" s="124"/>
      <c r="E185" s="125"/>
    </row>
    <row r="186" spans="2:5" x14ac:dyDescent="0.2">
      <c r="B186" s="126" t="s">
        <v>44</v>
      </c>
      <c r="C186" s="127"/>
      <c r="D186" s="110"/>
      <c r="E186" s="111"/>
    </row>
    <row r="187" spans="2:5" x14ac:dyDescent="0.2">
      <c r="B187" s="109"/>
      <c r="C187" s="124"/>
      <c r="D187" s="124"/>
      <c r="E187" s="125"/>
    </row>
    <row r="188" spans="2:5" x14ac:dyDescent="0.2">
      <c r="B188" s="122" t="s">
        <v>45</v>
      </c>
      <c r="C188" s="55"/>
      <c r="D188" s="121"/>
      <c r="E188" s="56"/>
    </row>
    <row r="189" spans="2:5" x14ac:dyDescent="0.2">
      <c r="B189" s="109"/>
      <c r="C189" s="124"/>
      <c r="D189" s="124"/>
      <c r="E189" s="125"/>
    </row>
    <row r="190" spans="2:5" x14ac:dyDescent="0.2">
      <c r="B190" s="122" t="s">
        <v>46</v>
      </c>
      <c r="C190" s="80"/>
      <c r="D190" s="110"/>
      <c r="E190" s="111"/>
    </row>
    <row r="191" spans="2:5" x14ac:dyDescent="0.2">
      <c r="B191" s="122"/>
      <c r="C191" s="124"/>
      <c r="D191" s="124"/>
      <c r="E191" s="125"/>
    </row>
    <row r="192" spans="2:5" ht="13.5" thickBot="1" x14ac:dyDescent="0.25">
      <c r="B192" s="113"/>
      <c r="C192" s="114"/>
      <c r="D192" s="115"/>
      <c r="E192" s="116"/>
    </row>
    <row r="194" spans="2:5" ht="13.5" thickBot="1" x14ac:dyDescent="0.25"/>
    <row r="195" spans="2:5" x14ac:dyDescent="0.2">
      <c r="B195" s="128" t="s">
        <v>200</v>
      </c>
      <c r="C195" s="129"/>
      <c r="D195" s="107"/>
      <c r="E195" s="108"/>
    </row>
    <row r="196" spans="2:5" x14ac:dyDescent="0.2">
      <c r="B196" s="109"/>
      <c r="C196" s="80"/>
      <c r="D196" s="110"/>
      <c r="E196" s="111"/>
    </row>
    <row r="197" spans="2:5" x14ac:dyDescent="0.2">
      <c r="B197" s="126" t="s">
        <v>42</v>
      </c>
      <c r="C197" s="127"/>
      <c r="D197" s="110"/>
      <c r="E197" s="111"/>
    </row>
    <row r="198" spans="2:5" x14ac:dyDescent="0.2">
      <c r="B198" s="122"/>
      <c r="C198" s="130" t="s">
        <v>201</v>
      </c>
      <c r="D198" s="130"/>
      <c r="E198" s="131"/>
    </row>
    <row r="199" spans="2:5" x14ac:dyDescent="0.2">
      <c r="B199" s="126" t="s">
        <v>43</v>
      </c>
      <c r="C199" s="127"/>
      <c r="D199" s="110"/>
      <c r="E199" s="111"/>
    </row>
    <row r="200" spans="2:5" x14ac:dyDescent="0.2">
      <c r="B200" s="109"/>
      <c r="C200" s="124" t="s">
        <v>195</v>
      </c>
      <c r="D200" s="124"/>
      <c r="E200" s="125"/>
    </row>
    <row r="201" spans="2:5" x14ac:dyDescent="0.2">
      <c r="B201" s="109"/>
      <c r="C201" s="124"/>
      <c r="D201" s="124"/>
      <c r="E201" s="125"/>
    </row>
    <row r="202" spans="2:5" x14ac:dyDescent="0.2">
      <c r="B202" s="126" t="s">
        <v>44</v>
      </c>
      <c r="C202" s="127"/>
      <c r="D202" s="110"/>
      <c r="E202" s="111"/>
    </row>
    <row r="203" spans="2:5" x14ac:dyDescent="0.2">
      <c r="B203" s="109"/>
      <c r="C203" s="124"/>
      <c r="D203" s="124"/>
      <c r="E203" s="125"/>
    </row>
    <row r="204" spans="2:5" x14ac:dyDescent="0.2">
      <c r="B204" s="122" t="s">
        <v>45</v>
      </c>
      <c r="C204" s="55"/>
      <c r="D204" s="121"/>
      <c r="E204" s="56"/>
    </row>
    <row r="205" spans="2:5" x14ac:dyDescent="0.2">
      <c r="B205" s="109"/>
      <c r="C205" s="124"/>
      <c r="D205" s="124"/>
      <c r="E205" s="125"/>
    </row>
    <row r="206" spans="2:5" x14ac:dyDescent="0.2">
      <c r="B206" s="122" t="s">
        <v>46</v>
      </c>
      <c r="C206" s="80"/>
      <c r="D206" s="110"/>
      <c r="E206" s="111"/>
    </row>
    <row r="207" spans="2:5" x14ac:dyDescent="0.2">
      <c r="B207" s="122"/>
      <c r="C207" s="124"/>
      <c r="D207" s="124"/>
      <c r="E207" s="125"/>
    </row>
    <row r="208" spans="2:5" ht="13.5" thickBot="1" x14ac:dyDescent="0.25">
      <c r="B208" s="113"/>
      <c r="C208" s="114"/>
      <c r="D208" s="115"/>
      <c r="E208" s="116"/>
    </row>
    <row r="210" spans="2:5" ht="13.5" thickBot="1" x14ac:dyDescent="0.25"/>
    <row r="211" spans="2:5" x14ac:dyDescent="0.2">
      <c r="B211" s="128" t="s">
        <v>202</v>
      </c>
      <c r="C211" s="129"/>
      <c r="D211" s="107"/>
      <c r="E211" s="108"/>
    </row>
    <row r="212" spans="2:5" x14ac:dyDescent="0.2">
      <c r="B212" s="109"/>
      <c r="C212" s="80"/>
      <c r="D212" s="110"/>
      <c r="E212" s="111"/>
    </row>
    <row r="213" spans="2:5" x14ac:dyDescent="0.2">
      <c r="B213" s="126" t="s">
        <v>42</v>
      </c>
      <c r="C213" s="127"/>
      <c r="D213" s="110"/>
      <c r="E213" s="111"/>
    </row>
    <row r="214" spans="2:5" ht="12.75" customHeight="1" x14ac:dyDescent="0.2">
      <c r="B214" s="122"/>
      <c r="C214" s="130" t="s">
        <v>196</v>
      </c>
      <c r="D214" s="130"/>
      <c r="E214" s="131"/>
    </row>
    <row r="215" spans="2:5" x14ac:dyDescent="0.2">
      <c r="B215" s="126" t="s">
        <v>43</v>
      </c>
      <c r="C215" s="127"/>
      <c r="D215" s="110"/>
      <c r="E215" s="111"/>
    </row>
    <row r="216" spans="2:5" x14ac:dyDescent="0.2">
      <c r="B216" s="109"/>
      <c r="C216" s="124" t="s">
        <v>195</v>
      </c>
      <c r="D216" s="124"/>
      <c r="E216" s="125"/>
    </row>
    <row r="217" spans="2:5" x14ac:dyDescent="0.2">
      <c r="B217" s="109"/>
      <c r="C217" s="124"/>
      <c r="D217" s="124"/>
      <c r="E217" s="125"/>
    </row>
    <row r="218" spans="2:5" x14ac:dyDescent="0.2">
      <c r="B218" s="126" t="s">
        <v>44</v>
      </c>
      <c r="C218" s="127"/>
      <c r="D218" s="110"/>
      <c r="E218" s="111"/>
    </row>
    <row r="219" spans="2:5" x14ac:dyDescent="0.2">
      <c r="B219" s="109"/>
      <c r="C219" s="124"/>
      <c r="D219" s="124"/>
      <c r="E219" s="125"/>
    </row>
    <row r="220" spans="2:5" x14ac:dyDescent="0.2">
      <c r="B220" s="122" t="s">
        <v>45</v>
      </c>
      <c r="C220" s="55"/>
      <c r="D220" s="121"/>
      <c r="E220" s="56"/>
    </row>
    <row r="221" spans="2:5" x14ac:dyDescent="0.2">
      <c r="B221" s="109"/>
      <c r="C221" s="124"/>
      <c r="D221" s="124"/>
      <c r="E221" s="125"/>
    </row>
    <row r="222" spans="2:5" x14ac:dyDescent="0.2">
      <c r="B222" s="122" t="s">
        <v>46</v>
      </c>
      <c r="C222" s="80"/>
      <c r="D222" s="110"/>
      <c r="E222" s="111"/>
    </row>
    <row r="223" spans="2:5" x14ac:dyDescent="0.2">
      <c r="B223" s="122"/>
      <c r="C223" s="124"/>
      <c r="D223" s="124"/>
      <c r="E223" s="125"/>
    </row>
    <row r="224" spans="2:5" ht="13.5" thickBot="1" x14ac:dyDescent="0.25">
      <c r="B224" s="113"/>
      <c r="C224" s="114"/>
      <c r="D224" s="115"/>
      <c r="E224" s="116"/>
    </row>
  </sheetData>
  <mergeCells count="77">
    <mergeCell ref="C143:E143"/>
    <mergeCell ref="B138:C138"/>
    <mergeCell ref="B135:C135"/>
    <mergeCell ref="B133:C133"/>
    <mergeCell ref="B131:C131"/>
    <mergeCell ref="C139:E139"/>
    <mergeCell ref="C141:E141"/>
    <mergeCell ref="C127:E127"/>
    <mergeCell ref="C134:E134"/>
    <mergeCell ref="C136:E136"/>
    <mergeCell ref="C137:E137"/>
    <mergeCell ref="C125:E125"/>
    <mergeCell ref="A7:B7"/>
    <mergeCell ref="C118:E118"/>
    <mergeCell ref="C120:E120"/>
    <mergeCell ref="C121:E121"/>
    <mergeCell ref="C123:E123"/>
    <mergeCell ref="B119:C119"/>
    <mergeCell ref="B117:C117"/>
    <mergeCell ref="B115:C115"/>
    <mergeCell ref="B122:C122"/>
    <mergeCell ref="A6:B6"/>
    <mergeCell ref="B2:H2"/>
    <mergeCell ref="A4:B4"/>
    <mergeCell ref="C4:E4"/>
    <mergeCell ref="A5:B5"/>
    <mergeCell ref="C5:E5"/>
    <mergeCell ref="B147:C147"/>
    <mergeCell ref="B149:C149"/>
    <mergeCell ref="C150:E150"/>
    <mergeCell ref="B151:C151"/>
    <mergeCell ref="C152:E152"/>
    <mergeCell ref="C153:E153"/>
    <mergeCell ref="B154:C154"/>
    <mergeCell ref="C155:E155"/>
    <mergeCell ref="C157:E157"/>
    <mergeCell ref="C159:E159"/>
    <mergeCell ref="B163:C163"/>
    <mergeCell ref="B165:C165"/>
    <mergeCell ref="C166:E166"/>
    <mergeCell ref="B167:C167"/>
    <mergeCell ref="C168:E168"/>
    <mergeCell ref="C169:E169"/>
    <mergeCell ref="B170:C170"/>
    <mergeCell ref="C171:E171"/>
    <mergeCell ref="C173:E173"/>
    <mergeCell ref="C175:E175"/>
    <mergeCell ref="B179:C179"/>
    <mergeCell ref="B181:C181"/>
    <mergeCell ref="C182:E182"/>
    <mergeCell ref="B183:C183"/>
    <mergeCell ref="C184:E184"/>
    <mergeCell ref="C185:E185"/>
    <mergeCell ref="B186:C186"/>
    <mergeCell ref="C187:E187"/>
    <mergeCell ref="C189:E189"/>
    <mergeCell ref="C191:E191"/>
    <mergeCell ref="B195:C195"/>
    <mergeCell ref="B197:C197"/>
    <mergeCell ref="C198:E198"/>
    <mergeCell ref="B199:C199"/>
    <mergeCell ref="C200:E200"/>
    <mergeCell ref="C201:E201"/>
    <mergeCell ref="B202:C202"/>
    <mergeCell ref="C203:E203"/>
    <mergeCell ref="C205:E205"/>
    <mergeCell ref="C207:E207"/>
    <mergeCell ref="B211:C211"/>
    <mergeCell ref="B213:C213"/>
    <mergeCell ref="C214:E214"/>
    <mergeCell ref="B215:C215"/>
    <mergeCell ref="C216:E216"/>
    <mergeCell ref="C217:E217"/>
    <mergeCell ref="B218:C218"/>
    <mergeCell ref="C219:E219"/>
    <mergeCell ref="C221:E221"/>
    <mergeCell ref="C223:E22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15"/>
  <sheetViews>
    <sheetView tabSelected="1" topLeftCell="A85" zoomScaleNormal="100" workbookViewId="0">
      <selection activeCell="I106" sqref="I106"/>
    </sheetView>
  </sheetViews>
  <sheetFormatPr baseColWidth="10" defaultColWidth="9.140625" defaultRowHeight="12.75" x14ac:dyDescent="0.2"/>
  <cols>
    <col min="1" max="1" width="5.5703125" style="1" customWidth="1"/>
    <col min="2" max="2" width="21" style="1" customWidth="1"/>
    <col min="3" max="3" width="38.28515625" style="1" customWidth="1"/>
    <col min="4" max="4" width="14.7109375" style="1" customWidth="1"/>
    <col min="5" max="5" width="89" style="1" customWidth="1"/>
    <col min="6" max="6" width="4.7109375" style="1" customWidth="1"/>
    <col min="7" max="7" width="10.7109375" style="1" hidden="1" customWidth="1"/>
    <col min="8" max="8" width="9.28515625" style="1" customWidth="1"/>
    <col min="9" max="9" width="15.5703125" style="1" customWidth="1"/>
    <col min="10" max="10" width="14.7109375" style="77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5" ht="27" customHeight="1" x14ac:dyDescent="0.2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71" t="s">
        <v>1</v>
      </c>
      <c r="K1" s="2" t="s">
        <v>164</v>
      </c>
    </row>
    <row r="2" spans="1:15" ht="18.75" customHeight="1" x14ac:dyDescent="0.2">
      <c r="A2" s="3"/>
      <c r="B2" s="4"/>
      <c r="C2" s="4"/>
      <c r="D2" s="5"/>
      <c r="E2" s="5"/>
      <c r="F2" s="5"/>
      <c r="G2" s="5"/>
      <c r="H2" s="5"/>
      <c r="I2" s="5"/>
      <c r="J2" s="72"/>
      <c r="K2" s="6"/>
    </row>
    <row r="3" spans="1:15" ht="18.75" customHeight="1" x14ac:dyDescent="0.2">
      <c r="A3" s="144" t="s">
        <v>2</v>
      </c>
      <c r="B3" s="144"/>
      <c r="C3" s="144"/>
      <c r="D3" s="136" t="s">
        <v>39</v>
      </c>
      <c r="E3" s="136"/>
      <c r="F3" s="136"/>
      <c r="G3" s="136"/>
      <c r="H3" s="136"/>
      <c r="I3" s="136"/>
      <c r="J3" s="136"/>
      <c r="K3" s="136"/>
    </row>
    <row r="4" spans="1:15" ht="18.75" customHeight="1" x14ac:dyDescent="0.2">
      <c r="A4" s="135" t="s">
        <v>3</v>
      </c>
      <c r="B4" s="135"/>
      <c r="C4" s="135"/>
      <c r="D4" s="136" t="s">
        <v>40</v>
      </c>
      <c r="E4" s="136"/>
      <c r="F4" s="136"/>
      <c r="G4" s="136"/>
      <c r="H4" s="136"/>
      <c r="I4" s="136"/>
      <c r="J4" s="136"/>
      <c r="K4" s="136"/>
    </row>
    <row r="5" spans="1:15" ht="18.75" customHeight="1" x14ac:dyDescent="0.2">
      <c r="A5" s="135" t="s">
        <v>4</v>
      </c>
      <c r="B5" s="135"/>
      <c r="C5" s="135"/>
      <c r="D5" s="136" t="s">
        <v>169</v>
      </c>
      <c r="E5" s="136"/>
      <c r="F5" s="136"/>
      <c r="G5" s="136"/>
      <c r="H5" s="136"/>
      <c r="I5" s="136"/>
      <c r="J5" s="136"/>
      <c r="K5" s="136"/>
    </row>
    <row r="6" spans="1:15" ht="16.5" customHeight="1" x14ac:dyDescent="0.2">
      <c r="A6" s="144" t="s">
        <v>5</v>
      </c>
      <c r="B6" s="144"/>
      <c r="C6" s="144"/>
      <c r="D6" s="136" t="s">
        <v>168</v>
      </c>
      <c r="E6" s="136"/>
      <c r="F6" s="136"/>
      <c r="G6" s="136"/>
      <c r="H6" s="136"/>
      <c r="I6" s="136"/>
      <c r="J6" s="136"/>
      <c r="K6" s="136"/>
    </row>
    <row r="7" spans="1:15" ht="16.5" customHeight="1" x14ac:dyDescent="0.2">
      <c r="A7" s="135" t="s">
        <v>6</v>
      </c>
      <c r="B7" s="135"/>
      <c r="C7" s="135"/>
      <c r="D7" s="136" t="s">
        <v>41</v>
      </c>
      <c r="E7" s="136"/>
      <c r="F7" s="136"/>
      <c r="G7" s="136"/>
      <c r="H7" s="136"/>
      <c r="I7" s="136"/>
      <c r="J7" s="136"/>
      <c r="K7" s="136"/>
    </row>
    <row r="8" spans="1:15" ht="16.5" customHeight="1" x14ac:dyDescent="0.2">
      <c r="A8" s="137" t="s">
        <v>7</v>
      </c>
      <c r="B8" s="137"/>
      <c r="C8" s="137"/>
      <c r="D8" s="138" t="s">
        <v>167</v>
      </c>
      <c r="E8" s="138"/>
      <c r="F8" s="138"/>
      <c r="G8" s="138"/>
      <c r="H8" s="138"/>
      <c r="I8" s="138"/>
      <c r="J8" s="138"/>
      <c r="K8" s="138"/>
    </row>
    <row r="9" spans="1:15" ht="15.75" x14ac:dyDescent="0.2">
      <c r="A9" s="7"/>
      <c r="B9" s="8"/>
      <c r="C9" s="8"/>
      <c r="D9" s="9"/>
      <c r="E9" s="9"/>
      <c r="F9" s="9"/>
      <c r="G9" s="9"/>
      <c r="H9" s="9"/>
      <c r="I9" s="9"/>
      <c r="J9" s="73"/>
      <c r="K9" s="10"/>
    </row>
    <row r="10" spans="1:15" ht="18.75" customHeight="1" x14ac:dyDescent="0.2">
      <c r="A10" s="139" t="s">
        <v>8</v>
      </c>
      <c r="B10" s="140" t="s">
        <v>9</v>
      </c>
      <c r="C10" s="140" t="s">
        <v>10</v>
      </c>
      <c r="D10" s="140"/>
      <c r="E10" s="140"/>
      <c r="F10" s="140"/>
      <c r="G10" s="140"/>
      <c r="H10" s="140" t="s">
        <v>11</v>
      </c>
      <c r="I10" s="140" t="s">
        <v>12</v>
      </c>
      <c r="J10" s="141" t="s">
        <v>13</v>
      </c>
      <c r="K10" s="142" t="s">
        <v>14</v>
      </c>
    </row>
    <row r="11" spans="1:15" ht="24" customHeight="1" x14ac:dyDescent="0.2">
      <c r="A11" s="139"/>
      <c r="B11" s="140"/>
      <c r="C11" s="140"/>
      <c r="D11" s="140"/>
      <c r="E11" s="140"/>
      <c r="F11" s="140"/>
      <c r="G11" s="140"/>
      <c r="H11" s="140"/>
      <c r="I11" s="140"/>
      <c r="J11" s="141"/>
      <c r="K11" s="142"/>
    </row>
    <row r="12" spans="1:15" ht="24" customHeight="1" x14ac:dyDescent="0.2">
      <c r="A12" s="52">
        <v>1</v>
      </c>
      <c r="B12" s="51" t="str">
        <f>'[1]Necesidades Trimestrales'!B10</f>
        <v>2.1.1-439.67</v>
      </c>
      <c r="C12" s="145" t="s">
        <v>49</v>
      </c>
      <c r="D12" s="146" t="s">
        <v>49</v>
      </c>
      <c r="E12" s="146" t="s">
        <v>49</v>
      </c>
      <c r="F12" s="146" t="s">
        <v>49</v>
      </c>
      <c r="G12" s="147" t="s">
        <v>49</v>
      </c>
      <c r="H12" s="58" t="s">
        <v>165</v>
      </c>
      <c r="I12" s="63" t="s">
        <v>166</v>
      </c>
      <c r="J12" s="74">
        <v>128</v>
      </c>
      <c r="K12" s="60">
        <v>65</v>
      </c>
      <c r="O12" s="78"/>
    </row>
    <row r="13" spans="1:15" ht="24" customHeight="1" x14ac:dyDescent="0.2">
      <c r="A13" s="52">
        <v>2</v>
      </c>
      <c r="B13" s="48" t="str">
        <f>'[1]Necesidades Trimestrales'!B11</f>
        <v>2.1.1-6546.34</v>
      </c>
      <c r="C13" s="150" t="s">
        <v>50</v>
      </c>
      <c r="D13" s="150" t="s">
        <v>50</v>
      </c>
      <c r="E13" s="150" t="s">
        <v>50</v>
      </c>
      <c r="F13" s="150" t="s">
        <v>50</v>
      </c>
      <c r="G13" s="150" t="s">
        <v>50</v>
      </c>
      <c r="H13" s="58" t="s">
        <v>165</v>
      </c>
      <c r="I13" s="59" t="s">
        <v>151</v>
      </c>
      <c r="J13" s="75">
        <v>19</v>
      </c>
      <c r="K13" s="60">
        <v>96</v>
      </c>
      <c r="O13" s="78"/>
    </row>
    <row r="14" spans="1:15" ht="24" customHeight="1" x14ac:dyDescent="0.2">
      <c r="A14" s="52">
        <v>3</v>
      </c>
      <c r="B14" s="61" t="str">
        <f>'[1]Necesidades Trimestrales'!B12</f>
        <v>2.1.1-6546.154</v>
      </c>
      <c r="C14" s="150" t="s">
        <v>51</v>
      </c>
      <c r="D14" s="150" t="s">
        <v>51</v>
      </c>
      <c r="E14" s="150" t="s">
        <v>51</v>
      </c>
      <c r="F14" s="150" t="s">
        <v>51</v>
      </c>
      <c r="G14" s="150" t="s">
        <v>51</v>
      </c>
      <c r="H14" s="58" t="s">
        <v>165</v>
      </c>
      <c r="I14" s="59" t="s">
        <v>38</v>
      </c>
      <c r="J14" s="75">
        <v>42</v>
      </c>
      <c r="K14" s="60">
        <v>27</v>
      </c>
      <c r="O14" s="78"/>
    </row>
    <row r="15" spans="1:15" ht="24" customHeight="1" x14ac:dyDescent="0.2">
      <c r="A15" s="52">
        <v>4</v>
      </c>
      <c r="B15" s="61" t="str">
        <f>'[1]Necesidades Trimestrales'!B13</f>
        <v>2.1.1-6539.38</v>
      </c>
      <c r="C15" s="150" t="s">
        <v>52</v>
      </c>
      <c r="D15" s="150" t="s">
        <v>52</v>
      </c>
      <c r="E15" s="150" t="s">
        <v>52</v>
      </c>
      <c r="F15" s="150" t="s">
        <v>52</v>
      </c>
      <c r="G15" s="150" t="s">
        <v>52</v>
      </c>
      <c r="H15" s="58" t="s">
        <v>165</v>
      </c>
      <c r="I15" s="59" t="s">
        <v>152</v>
      </c>
      <c r="J15" s="75">
        <v>295</v>
      </c>
      <c r="K15" s="60">
        <v>27</v>
      </c>
      <c r="O15" s="78"/>
    </row>
    <row r="16" spans="1:15" ht="24" customHeight="1" x14ac:dyDescent="0.2">
      <c r="A16" s="52">
        <v>5</v>
      </c>
      <c r="B16" s="61" t="str">
        <f>'[1]Necesidades Trimestrales'!B14</f>
        <v>2.1.1-6546.330</v>
      </c>
      <c r="C16" s="150" t="s">
        <v>53</v>
      </c>
      <c r="D16" s="150" t="s">
        <v>53</v>
      </c>
      <c r="E16" s="150" t="s">
        <v>53</v>
      </c>
      <c r="F16" s="150" t="s">
        <v>53</v>
      </c>
      <c r="G16" s="150" t="s">
        <v>53</v>
      </c>
      <c r="H16" s="58" t="s">
        <v>165</v>
      </c>
      <c r="I16" s="59" t="s">
        <v>153</v>
      </c>
      <c r="J16" s="75">
        <v>35</v>
      </c>
      <c r="K16" s="60">
        <v>400</v>
      </c>
      <c r="O16" s="78"/>
    </row>
    <row r="17" spans="1:15" ht="24" customHeight="1" x14ac:dyDescent="0.2">
      <c r="A17" s="52">
        <v>6</v>
      </c>
      <c r="B17" s="61" t="str">
        <f>'[1]Necesidades Trimestrales'!B15</f>
        <v>2.1.1-6546.230</v>
      </c>
      <c r="C17" s="150" t="s">
        <v>54</v>
      </c>
      <c r="D17" s="150" t="s">
        <v>54</v>
      </c>
      <c r="E17" s="150" t="s">
        <v>54</v>
      </c>
      <c r="F17" s="150" t="s">
        <v>54</v>
      </c>
      <c r="G17" s="150" t="s">
        <v>54</v>
      </c>
      <c r="H17" s="58" t="s">
        <v>165</v>
      </c>
      <c r="I17" s="59" t="s">
        <v>151</v>
      </c>
      <c r="J17" s="75">
        <v>85</v>
      </c>
      <c r="K17" s="60">
        <v>13</v>
      </c>
      <c r="O17" s="78"/>
    </row>
    <row r="18" spans="1:15" ht="24" customHeight="1" x14ac:dyDescent="0.2">
      <c r="A18" s="52">
        <v>7</v>
      </c>
      <c r="B18" s="61" t="str">
        <f>'[1]Necesidades Trimestrales'!B16</f>
        <v>2.1.1-435.38</v>
      </c>
      <c r="C18" s="150" t="s">
        <v>55</v>
      </c>
      <c r="D18" s="150" t="s">
        <v>55</v>
      </c>
      <c r="E18" s="150" t="s">
        <v>55</v>
      </c>
      <c r="F18" s="150" t="s">
        <v>55</v>
      </c>
      <c r="G18" s="150" t="s">
        <v>55</v>
      </c>
      <c r="H18" s="58" t="s">
        <v>165</v>
      </c>
      <c r="I18" s="59" t="s">
        <v>166</v>
      </c>
      <c r="J18" s="75">
        <v>125</v>
      </c>
      <c r="K18" s="60">
        <v>85</v>
      </c>
      <c r="O18" s="78"/>
    </row>
    <row r="19" spans="1:15" ht="24" customHeight="1" x14ac:dyDescent="0.2">
      <c r="A19" s="52">
        <v>8</v>
      </c>
      <c r="B19" s="49" t="str">
        <f>'[1]Necesidades Trimestrales'!B17</f>
        <v>2.1.1-435.60</v>
      </c>
      <c r="C19" s="150" t="s">
        <v>56</v>
      </c>
      <c r="D19" s="150" t="s">
        <v>56</v>
      </c>
      <c r="E19" s="150" t="s">
        <v>56</v>
      </c>
      <c r="F19" s="150" t="s">
        <v>56</v>
      </c>
      <c r="G19" s="150" t="s">
        <v>56</v>
      </c>
      <c r="H19" s="58" t="s">
        <v>165</v>
      </c>
      <c r="I19" s="59" t="s">
        <v>166</v>
      </c>
      <c r="J19" s="75">
        <v>73</v>
      </c>
      <c r="K19" s="60">
        <v>34</v>
      </c>
      <c r="O19" s="78"/>
    </row>
    <row r="20" spans="1:15" ht="24" customHeight="1" x14ac:dyDescent="0.2">
      <c r="A20" s="52">
        <v>9</v>
      </c>
      <c r="B20" s="61" t="str">
        <f>'[1]Necesidades Trimestrales'!B18</f>
        <v>2.1.1-708.43</v>
      </c>
      <c r="C20" s="150" t="s">
        <v>57</v>
      </c>
      <c r="D20" s="150" t="s">
        <v>57</v>
      </c>
      <c r="E20" s="150" t="s">
        <v>57</v>
      </c>
      <c r="F20" s="150" t="s">
        <v>57</v>
      </c>
      <c r="G20" s="150" t="s">
        <v>57</v>
      </c>
      <c r="H20" s="58" t="s">
        <v>165</v>
      </c>
      <c r="I20" s="59" t="s">
        <v>152</v>
      </c>
      <c r="J20" s="75">
        <v>99.5</v>
      </c>
      <c r="K20" s="60">
        <v>160</v>
      </c>
      <c r="O20" s="78"/>
    </row>
    <row r="21" spans="1:15" ht="24" customHeight="1" x14ac:dyDescent="0.2">
      <c r="A21" s="52">
        <v>10</v>
      </c>
      <c r="B21" s="61" t="str">
        <f>'[1]Necesidades Trimestrales'!B19</f>
        <v>2.1.1-2124.6</v>
      </c>
      <c r="C21" s="150" t="s">
        <v>58</v>
      </c>
      <c r="D21" s="150" t="s">
        <v>58</v>
      </c>
      <c r="E21" s="150" t="s">
        <v>58</v>
      </c>
      <c r="F21" s="150" t="s">
        <v>58</v>
      </c>
      <c r="G21" s="150" t="s">
        <v>58</v>
      </c>
      <c r="H21" s="58" t="s">
        <v>165</v>
      </c>
      <c r="I21" s="59" t="s">
        <v>166</v>
      </c>
      <c r="J21" s="75">
        <v>123.1</v>
      </c>
      <c r="K21" s="60">
        <v>20</v>
      </c>
      <c r="O21" s="78"/>
    </row>
    <row r="22" spans="1:15" ht="24" customHeight="1" x14ac:dyDescent="0.2">
      <c r="A22" s="52">
        <v>11</v>
      </c>
      <c r="B22" s="61" t="str">
        <f>'[1]Necesidades Trimestrales'!B20</f>
        <v>2.1.1-6547.84</v>
      </c>
      <c r="C22" s="150" t="s">
        <v>59</v>
      </c>
      <c r="D22" s="150" t="s">
        <v>59</v>
      </c>
      <c r="E22" s="150" t="s">
        <v>59</v>
      </c>
      <c r="F22" s="150" t="s">
        <v>59</v>
      </c>
      <c r="G22" s="150" t="s">
        <v>59</v>
      </c>
      <c r="H22" s="58" t="s">
        <v>165</v>
      </c>
      <c r="I22" s="59" t="s">
        <v>152</v>
      </c>
      <c r="J22" s="75">
        <v>85</v>
      </c>
      <c r="K22" s="60">
        <v>32</v>
      </c>
      <c r="O22" s="78"/>
    </row>
    <row r="23" spans="1:15" ht="24" customHeight="1" x14ac:dyDescent="0.2">
      <c r="A23" s="52">
        <v>12</v>
      </c>
      <c r="B23" s="50" t="str">
        <f>'[1]Necesidades Trimestrales'!B21</f>
        <v>2.1.1-481.38</v>
      </c>
      <c r="C23" s="150" t="s">
        <v>60</v>
      </c>
      <c r="D23" s="150" t="s">
        <v>60</v>
      </c>
      <c r="E23" s="150" t="s">
        <v>60</v>
      </c>
      <c r="F23" s="150" t="s">
        <v>60</v>
      </c>
      <c r="G23" s="150" t="s">
        <v>60</v>
      </c>
      <c r="H23" s="58" t="s">
        <v>165</v>
      </c>
      <c r="I23" s="59" t="s">
        <v>166</v>
      </c>
      <c r="J23" s="75">
        <v>55</v>
      </c>
      <c r="K23" s="60">
        <v>133</v>
      </c>
      <c r="O23" s="78"/>
    </row>
    <row r="24" spans="1:15" ht="24" customHeight="1" x14ac:dyDescent="0.2">
      <c r="A24" s="52">
        <v>13</v>
      </c>
      <c r="B24" s="49" t="str">
        <f>'[1]Necesidades Trimestrales'!B22</f>
        <v>2.1.1-6539.30</v>
      </c>
      <c r="C24" s="150" t="s">
        <v>61</v>
      </c>
      <c r="D24" s="150" t="s">
        <v>61</v>
      </c>
      <c r="E24" s="150" t="s">
        <v>61</v>
      </c>
      <c r="F24" s="150" t="s">
        <v>61</v>
      </c>
      <c r="G24" s="150" t="s">
        <v>61</v>
      </c>
      <c r="H24" s="58" t="s">
        <v>165</v>
      </c>
      <c r="I24" s="59" t="s">
        <v>156</v>
      </c>
      <c r="J24" s="75">
        <v>1350</v>
      </c>
      <c r="K24" s="60">
        <v>4</v>
      </c>
      <c r="O24" s="78"/>
    </row>
    <row r="25" spans="1:15" ht="24" customHeight="1" x14ac:dyDescent="0.2">
      <c r="A25" s="52">
        <v>14</v>
      </c>
      <c r="B25" s="66" t="str">
        <f>'[1]Necesidades Trimestrales'!B23</f>
        <v>2.1.1-6546.207</v>
      </c>
      <c r="C25" s="151" t="s">
        <v>62</v>
      </c>
      <c r="D25" s="151" t="s">
        <v>62</v>
      </c>
      <c r="E25" s="151" t="s">
        <v>62</v>
      </c>
      <c r="F25" s="151" t="s">
        <v>62</v>
      </c>
      <c r="G25" s="151" t="s">
        <v>62</v>
      </c>
      <c r="H25" s="58" t="s">
        <v>165</v>
      </c>
      <c r="I25" s="63" t="s">
        <v>157</v>
      </c>
      <c r="J25" s="75">
        <v>330</v>
      </c>
      <c r="K25" s="64">
        <v>5</v>
      </c>
      <c r="O25" s="78"/>
    </row>
    <row r="26" spans="1:15" ht="24" customHeight="1" x14ac:dyDescent="0.2">
      <c r="A26" s="52">
        <v>15</v>
      </c>
      <c r="B26" s="61" t="str">
        <f>'[1]Necesidades Trimestrales'!B24</f>
        <v>2.1.1-6546.177</v>
      </c>
      <c r="C26" s="150" t="s">
        <v>63</v>
      </c>
      <c r="D26" s="150" t="s">
        <v>63</v>
      </c>
      <c r="E26" s="150" t="s">
        <v>63</v>
      </c>
      <c r="F26" s="150" t="s">
        <v>63</v>
      </c>
      <c r="G26" s="150" t="s">
        <v>63</v>
      </c>
      <c r="H26" s="58" t="s">
        <v>165</v>
      </c>
      <c r="I26" s="59" t="s">
        <v>153</v>
      </c>
      <c r="J26" s="75">
        <v>118.75</v>
      </c>
      <c r="K26" s="60">
        <v>72</v>
      </c>
      <c r="O26" s="78"/>
    </row>
    <row r="27" spans="1:15" ht="24" customHeight="1" x14ac:dyDescent="0.2">
      <c r="A27" s="52">
        <v>16</v>
      </c>
      <c r="B27" s="61" t="str">
        <f>'[1]Necesidades Trimestrales'!B25</f>
        <v>2.1.1-541.33</v>
      </c>
      <c r="C27" s="150" t="s">
        <v>64</v>
      </c>
      <c r="D27" s="150" t="s">
        <v>64</v>
      </c>
      <c r="E27" s="150" t="s">
        <v>64</v>
      </c>
      <c r="F27" s="150" t="s">
        <v>64</v>
      </c>
      <c r="G27" s="150" t="s">
        <v>64</v>
      </c>
      <c r="H27" s="58" t="s">
        <v>165</v>
      </c>
      <c r="I27" s="59" t="s">
        <v>153</v>
      </c>
      <c r="J27" s="75">
        <v>643</v>
      </c>
      <c r="K27" s="60">
        <v>100</v>
      </c>
      <c r="O27" s="78"/>
    </row>
    <row r="28" spans="1:15" ht="24" customHeight="1" x14ac:dyDescent="0.2">
      <c r="A28" s="52">
        <v>17</v>
      </c>
      <c r="B28" s="51" t="str">
        <f>'[1]Necesidades Trimestrales'!B26</f>
        <v>2.1.1-2615.15</v>
      </c>
      <c r="C28" s="150" t="s">
        <v>65</v>
      </c>
      <c r="D28" s="150" t="s">
        <v>65</v>
      </c>
      <c r="E28" s="150" t="s">
        <v>65</v>
      </c>
      <c r="F28" s="150" t="s">
        <v>65</v>
      </c>
      <c r="G28" s="150" t="s">
        <v>65</v>
      </c>
      <c r="H28" s="58" t="s">
        <v>165</v>
      </c>
      <c r="I28" s="59" t="s">
        <v>166</v>
      </c>
      <c r="J28" s="75">
        <v>115</v>
      </c>
      <c r="K28" s="60">
        <v>14</v>
      </c>
      <c r="O28" s="78"/>
    </row>
    <row r="29" spans="1:15" ht="24" customHeight="1" x14ac:dyDescent="0.2">
      <c r="A29" s="52">
        <v>18</v>
      </c>
      <c r="B29" s="49" t="str">
        <f>'[1]Necesidades Trimestrales'!B27</f>
        <v>2.1.1-541.137</v>
      </c>
      <c r="C29" s="150" t="s">
        <v>66</v>
      </c>
      <c r="D29" s="150" t="s">
        <v>66</v>
      </c>
      <c r="E29" s="150" t="s">
        <v>66</v>
      </c>
      <c r="F29" s="150" t="s">
        <v>66</v>
      </c>
      <c r="G29" s="150" t="s">
        <v>66</v>
      </c>
      <c r="H29" s="58" t="s">
        <v>165</v>
      </c>
      <c r="I29" s="59" t="s">
        <v>153</v>
      </c>
      <c r="J29" s="75">
        <v>383.5</v>
      </c>
      <c r="K29" s="60">
        <v>50</v>
      </c>
      <c r="O29" s="78"/>
    </row>
    <row r="30" spans="1:15" ht="24" customHeight="1" x14ac:dyDescent="0.2">
      <c r="A30" s="52">
        <v>19</v>
      </c>
      <c r="B30" s="61" t="str">
        <f>'[1]Necesidades Trimestrales'!B28</f>
        <v>2.1.1-6546.236</v>
      </c>
      <c r="C30" s="150" t="s">
        <v>67</v>
      </c>
      <c r="D30" s="150" t="s">
        <v>67</v>
      </c>
      <c r="E30" s="150" t="s">
        <v>67</v>
      </c>
      <c r="F30" s="150" t="s">
        <v>67</v>
      </c>
      <c r="G30" s="150" t="s">
        <v>67</v>
      </c>
      <c r="H30" s="58" t="s">
        <v>165</v>
      </c>
      <c r="I30" s="59" t="s">
        <v>157</v>
      </c>
      <c r="J30" s="75">
        <v>1240</v>
      </c>
      <c r="K30" s="60">
        <v>12</v>
      </c>
      <c r="O30" s="78"/>
    </row>
    <row r="31" spans="1:15" ht="24" customHeight="1" x14ac:dyDescent="0.2">
      <c r="A31" s="52">
        <v>20</v>
      </c>
      <c r="B31" s="61" t="str">
        <f>'[1]Necesidades Trimestrales'!B29</f>
        <v>2.1.1-6546.377</v>
      </c>
      <c r="C31" s="150" t="s">
        <v>68</v>
      </c>
      <c r="D31" s="150" t="s">
        <v>68</v>
      </c>
      <c r="E31" s="150" t="s">
        <v>68</v>
      </c>
      <c r="F31" s="150" t="s">
        <v>68</v>
      </c>
      <c r="G31" s="150" t="s">
        <v>68</v>
      </c>
      <c r="H31" s="58" t="s">
        <v>165</v>
      </c>
      <c r="I31" s="59" t="s">
        <v>156</v>
      </c>
      <c r="J31" s="75">
        <v>450</v>
      </c>
      <c r="K31" s="60">
        <v>1</v>
      </c>
      <c r="O31" s="78"/>
    </row>
    <row r="32" spans="1:15" ht="24" customHeight="1" x14ac:dyDescent="0.2">
      <c r="A32" s="52">
        <v>21</v>
      </c>
      <c r="B32" s="61" t="str">
        <f>'[1]Necesidades Trimestrales'!B30</f>
        <v>2.1.1-6546.269</v>
      </c>
      <c r="C32" s="150" t="s">
        <v>69</v>
      </c>
      <c r="D32" s="150" t="s">
        <v>69</v>
      </c>
      <c r="E32" s="150" t="s">
        <v>69</v>
      </c>
      <c r="F32" s="150" t="s">
        <v>69</v>
      </c>
      <c r="G32" s="150" t="s">
        <v>69</v>
      </c>
      <c r="H32" s="58" t="s">
        <v>165</v>
      </c>
      <c r="I32" s="59" t="s">
        <v>152</v>
      </c>
      <c r="J32" s="75">
        <v>80</v>
      </c>
      <c r="K32" s="60">
        <v>60</v>
      </c>
      <c r="O32" s="78"/>
    </row>
    <row r="33" spans="1:15" ht="24" customHeight="1" x14ac:dyDescent="0.2">
      <c r="A33" s="52">
        <v>22</v>
      </c>
      <c r="B33" s="49" t="str">
        <f>'[1]Necesidades Trimestrales'!B31</f>
        <v>2.1.1-6539.123</v>
      </c>
      <c r="C33" s="150" t="s">
        <v>70</v>
      </c>
      <c r="D33" s="150" t="s">
        <v>70</v>
      </c>
      <c r="E33" s="150" t="s">
        <v>70</v>
      </c>
      <c r="F33" s="150" t="s">
        <v>70</v>
      </c>
      <c r="G33" s="150" t="s">
        <v>70</v>
      </c>
      <c r="H33" s="58" t="s">
        <v>165</v>
      </c>
      <c r="I33" s="59" t="s">
        <v>166</v>
      </c>
      <c r="J33" s="75">
        <v>2470</v>
      </c>
      <c r="K33" s="60">
        <v>1</v>
      </c>
      <c r="O33" s="78"/>
    </row>
    <row r="34" spans="1:15" ht="24" customHeight="1" x14ac:dyDescent="0.2">
      <c r="A34" s="52">
        <v>23</v>
      </c>
      <c r="B34" s="61" t="str">
        <f>'[1]Necesidades Trimestrales'!B32</f>
        <v>2.1.1-597.41</v>
      </c>
      <c r="C34" s="150" t="s">
        <v>71</v>
      </c>
      <c r="D34" s="150" t="s">
        <v>71</v>
      </c>
      <c r="E34" s="150" t="s">
        <v>71</v>
      </c>
      <c r="F34" s="150" t="s">
        <v>71</v>
      </c>
      <c r="G34" s="150" t="s">
        <v>71</v>
      </c>
      <c r="H34" s="58" t="s">
        <v>165</v>
      </c>
      <c r="I34" s="59" t="s">
        <v>152</v>
      </c>
      <c r="J34" s="75">
        <v>210</v>
      </c>
      <c r="K34" s="60">
        <v>13</v>
      </c>
      <c r="O34" s="78"/>
    </row>
    <row r="35" spans="1:15" ht="24" customHeight="1" x14ac:dyDescent="0.2">
      <c r="A35" s="52">
        <v>24</v>
      </c>
      <c r="B35" s="61" t="str">
        <f>'[1]Necesidades Trimestrales'!B33</f>
        <v>2.1.1-597.43</v>
      </c>
      <c r="C35" s="150" t="s">
        <v>72</v>
      </c>
      <c r="D35" s="150" t="s">
        <v>72</v>
      </c>
      <c r="E35" s="150" t="s">
        <v>72</v>
      </c>
      <c r="F35" s="150" t="s">
        <v>72</v>
      </c>
      <c r="G35" s="150" t="s">
        <v>72</v>
      </c>
      <c r="H35" s="58" t="s">
        <v>165</v>
      </c>
      <c r="I35" s="59" t="s">
        <v>152</v>
      </c>
      <c r="J35" s="75">
        <v>210</v>
      </c>
      <c r="K35" s="60">
        <v>13</v>
      </c>
      <c r="O35" s="78"/>
    </row>
    <row r="36" spans="1:15" ht="24" customHeight="1" x14ac:dyDescent="0.2">
      <c r="A36" s="52">
        <v>25</v>
      </c>
      <c r="B36" s="61" t="str">
        <f>'[1]Necesidades Trimestrales'!B34</f>
        <v>2.1.1-541.164</v>
      </c>
      <c r="C36" s="150" t="s">
        <v>73</v>
      </c>
      <c r="D36" s="150" t="s">
        <v>73</v>
      </c>
      <c r="E36" s="150" t="s">
        <v>73</v>
      </c>
      <c r="F36" s="150" t="s">
        <v>73</v>
      </c>
      <c r="G36" s="150" t="s">
        <v>73</v>
      </c>
      <c r="H36" s="58" t="s">
        <v>165</v>
      </c>
      <c r="I36" s="59" t="s">
        <v>153</v>
      </c>
      <c r="J36" s="75">
        <v>442</v>
      </c>
      <c r="K36" s="60">
        <v>67</v>
      </c>
      <c r="O36" s="78"/>
    </row>
    <row r="37" spans="1:15" ht="24" customHeight="1" x14ac:dyDescent="0.2">
      <c r="A37" s="52">
        <v>26</v>
      </c>
      <c r="B37" s="50" t="str">
        <f>'[1]Necesidades Trimestrales'!B35</f>
        <v>2.1.1-489.91</v>
      </c>
      <c r="C37" s="150" t="s">
        <v>74</v>
      </c>
      <c r="D37" s="150" t="s">
        <v>74</v>
      </c>
      <c r="E37" s="150" t="s">
        <v>74</v>
      </c>
      <c r="F37" s="150" t="s">
        <v>74</v>
      </c>
      <c r="G37" s="150" t="s">
        <v>74</v>
      </c>
      <c r="H37" s="58" t="s">
        <v>165</v>
      </c>
      <c r="I37" s="59" t="s">
        <v>158</v>
      </c>
      <c r="J37" s="75">
        <v>36</v>
      </c>
      <c r="K37" s="60">
        <v>8</v>
      </c>
      <c r="O37" s="78"/>
    </row>
    <row r="38" spans="1:15" ht="24" customHeight="1" x14ac:dyDescent="0.2">
      <c r="A38" s="52">
        <v>27</v>
      </c>
      <c r="B38" s="49" t="str">
        <f>'[1]Necesidades Trimestrales'!B36</f>
        <v>2.1.1-489.82</v>
      </c>
      <c r="C38" s="150" t="s">
        <v>75</v>
      </c>
      <c r="D38" s="150" t="s">
        <v>75</v>
      </c>
      <c r="E38" s="150" t="s">
        <v>75</v>
      </c>
      <c r="F38" s="150" t="s">
        <v>75</v>
      </c>
      <c r="G38" s="150" t="s">
        <v>75</v>
      </c>
      <c r="H38" s="58" t="s">
        <v>165</v>
      </c>
      <c r="I38" s="59" t="s">
        <v>158</v>
      </c>
      <c r="J38" s="75">
        <v>35</v>
      </c>
      <c r="K38" s="60">
        <v>20</v>
      </c>
      <c r="O38" s="78"/>
    </row>
    <row r="39" spans="1:15" ht="24" customHeight="1" x14ac:dyDescent="0.2">
      <c r="A39" s="52">
        <v>28</v>
      </c>
      <c r="B39" s="66" t="str">
        <f>'[1]Necesidades Trimestrales'!B37</f>
        <v>2.1.1-2113.1</v>
      </c>
      <c r="C39" s="151" t="s">
        <v>76</v>
      </c>
      <c r="D39" s="151" t="s">
        <v>76</v>
      </c>
      <c r="E39" s="151" t="s">
        <v>76</v>
      </c>
      <c r="F39" s="151" t="s">
        <v>76</v>
      </c>
      <c r="G39" s="151" t="s">
        <v>76</v>
      </c>
      <c r="H39" s="58" t="s">
        <v>165</v>
      </c>
      <c r="I39" s="63" t="s">
        <v>152</v>
      </c>
      <c r="J39" s="75">
        <v>850</v>
      </c>
      <c r="K39" s="64">
        <v>8</v>
      </c>
      <c r="O39" s="78"/>
    </row>
    <row r="40" spans="1:15" ht="24" customHeight="1" x14ac:dyDescent="0.2">
      <c r="A40" s="52">
        <v>29</v>
      </c>
      <c r="B40" s="61" t="str">
        <f>'[1]Necesidades Trimestrales'!B38</f>
        <v>2.1.1-455.24</v>
      </c>
      <c r="C40" s="150" t="s">
        <v>77</v>
      </c>
      <c r="D40" s="150" t="s">
        <v>77</v>
      </c>
      <c r="E40" s="150" t="s">
        <v>77</v>
      </c>
      <c r="F40" s="150" t="s">
        <v>77</v>
      </c>
      <c r="G40" s="150" t="s">
        <v>77</v>
      </c>
      <c r="H40" s="58" t="s">
        <v>165</v>
      </c>
      <c r="I40" s="59" t="s">
        <v>166</v>
      </c>
      <c r="J40" s="75">
        <v>215</v>
      </c>
      <c r="K40" s="60">
        <v>7</v>
      </c>
      <c r="O40" s="78"/>
    </row>
    <row r="41" spans="1:15" ht="24" customHeight="1" x14ac:dyDescent="0.2">
      <c r="A41" s="52">
        <v>30</v>
      </c>
      <c r="B41" s="61" t="str">
        <f>'[1]Necesidades Trimestrales'!B39</f>
        <v>2.1.1-2113.2</v>
      </c>
      <c r="C41" s="150" t="s">
        <v>78</v>
      </c>
      <c r="D41" s="150" t="s">
        <v>78</v>
      </c>
      <c r="E41" s="150" t="s">
        <v>78</v>
      </c>
      <c r="F41" s="150" t="s">
        <v>78</v>
      </c>
      <c r="G41" s="150" t="s">
        <v>78</v>
      </c>
      <c r="H41" s="58" t="s">
        <v>165</v>
      </c>
      <c r="I41" s="59" t="s">
        <v>152</v>
      </c>
      <c r="J41" s="75">
        <v>990</v>
      </c>
      <c r="K41" s="60">
        <v>7</v>
      </c>
      <c r="O41" s="78"/>
    </row>
    <row r="42" spans="1:15" ht="24" customHeight="1" x14ac:dyDescent="0.2">
      <c r="A42" s="52">
        <v>31</v>
      </c>
      <c r="B42" s="51" t="str">
        <f>'[1]Necesidades Trimestrales'!B40</f>
        <v>2.1.1-6539.54</v>
      </c>
      <c r="C42" s="150" t="s">
        <v>79</v>
      </c>
      <c r="D42" s="150" t="s">
        <v>79</v>
      </c>
      <c r="E42" s="150" t="s">
        <v>79</v>
      </c>
      <c r="F42" s="150" t="s">
        <v>79</v>
      </c>
      <c r="G42" s="150" t="s">
        <v>79</v>
      </c>
      <c r="H42" s="58" t="s">
        <v>165</v>
      </c>
      <c r="I42" s="59" t="s">
        <v>166</v>
      </c>
      <c r="J42" s="75">
        <v>110</v>
      </c>
      <c r="K42" s="60">
        <v>20</v>
      </c>
      <c r="O42" s="78"/>
    </row>
    <row r="43" spans="1:15" ht="24" customHeight="1" x14ac:dyDescent="0.2">
      <c r="A43" s="52">
        <v>32</v>
      </c>
      <c r="B43" s="49" t="str">
        <f>'[1]Necesidades Trimestrales'!B41</f>
        <v>2.1.1-6539.46</v>
      </c>
      <c r="C43" s="150" t="s">
        <v>80</v>
      </c>
      <c r="D43" s="150" t="s">
        <v>80</v>
      </c>
      <c r="E43" s="150" t="s">
        <v>80</v>
      </c>
      <c r="F43" s="150" t="s">
        <v>80</v>
      </c>
      <c r="G43" s="150" t="s">
        <v>80</v>
      </c>
      <c r="H43" s="58" t="s">
        <v>165</v>
      </c>
      <c r="I43" s="59" t="s">
        <v>166</v>
      </c>
      <c r="J43" s="75">
        <v>110</v>
      </c>
      <c r="K43" s="60">
        <v>15</v>
      </c>
      <c r="O43" s="78"/>
    </row>
    <row r="44" spans="1:15" ht="24" customHeight="1" x14ac:dyDescent="0.2">
      <c r="A44" s="52">
        <v>33</v>
      </c>
      <c r="B44" s="49" t="str">
        <f>'[1]Necesidades Trimestrales'!B42</f>
        <v>2.1.1-595.2</v>
      </c>
      <c r="C44" s="150" t="s">
        <v>81</v>
      </c>
      <c r="D44" s="150" t="s">
        <v>81</v>
      </c>
      <c r="E44" s="150" t="s">
        <v>81</v>
      </c>
      <c r="F44" s="150" t="s">
        <v>81</v>
      </c>
      <c r="G44" s="150" t="s">
        <v>81</v>
      </c>
      <c r="H44" s="58" t="s">
        <v>165</v>
      </c>
      <c r="I44" s="59" t="s">
        <v>159</v>
      </c>
      <c r="J44" s="75">
        <v>286</v>
      </c>
      <c r="K44" s="60">
        <v>4</v>
      </c>
      <c r="O44" s="78"/>
    </row>
    <row r="45" spans="1:15" ht="24" customHeight="1" x14ac:dyDescent="0.2">
      <c r="A45" s="52">
        <v>34</v>
      </c>
      <c r="B45" s="49" t="str">
        <f>'[1]Necesidades Trimestrales'!B43</f>
        <v>2.1.1-595.14</v>
      </c>
      <c r="C45" s="150" t="s">
        <v>82</v>
      </c>
      <c r="D45" s="150" t="s">
        <v>82</v>
      </c>
      <c r="E45" s="150" t="s">
        <v>82</v>
      </c>
      <c r="F45" s="150" t="s">
        <v>82</v>
      </c>
      <c r="G45" s="150" t="s">
        <v>82</v>
      </c>
      <c r="H45" s="58" t="s">
        <v>165</v>
      </c>
      <c r="I45" s="59" t="s">
        <v>158</v>
      </c>
      <c r="J45" s="75">
        <v>200</v>
      </c>
      <c r="K45" s="60">
        <v>4</v>
      </c>
      <c r="O45" s="78"/>
    </row>
    <row r="46" spans="1:15" ht="24" customHeight="1" x14ac:dyDescent="0.2">
      <c r="A46" s="52">
        <v>35</v>
      </c>
      <c r="B46" s="51" t="str">
        <f>'[1]Necesidades Trimestrales'!B44</f>
        <v>2.1.1-2868.59</v>
      </c>
      <c r="C46" s="150" t="s">
        <v>83</v>
      </c>
      <c r="D46" s="150" t="s">
        <v>83</v>
      </c>
      <c r="E46" s="150" t="s">
        <v>83</v>
      </c>
      <c r="F46" s="150" t="s">
        <v>83</v>
      </c>
      <c r="G46" s="150" t="s">
        <v>83</v>
      </c>
      <c r="H46" s="58" t="s">
        <v>165</v>
      </c>
      <c r="I46" s="59" t="s">
        <v>166</v>
      </c>
      <c r="J46" s="75">
        <v>55</v>
      </c>
      <c r="K46" s="60">
        <v>15</v>
      </c>
      <c r="O46" s="78"/>
    </row>
    <row r="47" spans="1:15" ht="24" customHeight="1" x14ac:dyDescent="0.2">
      <c r="A47" s="52">
        <v>36</v>
      </c>
      <c r="B47" s="51" t="str">
        <f>'[1]Necesidades Trimestrales'!B45</f>
        <v>2.1.1-2868.53</v>
      </c>
      <c r="C47" s="150" t="s">
        <v>84</v>
      </c>
      <c r="D47" s="150" t="s">
        <v>84</v>
      </c>
      <c r="E47" s="150" t="s">
        <v>84</v>
      </c>
      <c r="F47" s="150" t="s">
        <v>84</v>
      </c>
      <c r="G47" s="150" t="s">
        <v>84</v>
      </c>
      <c r="H47" s="58" t="s">
        <v>165</v>
      </c>
      <c r="I47" s="59" t="s">
        <v>166</v>
      </c>
      <c r="J47" s="75">
        <v>46.25</v>
      </c>
      <c r="K47" s="60">
        <v>40</v>
      </c>
      <c r="O47" s="78"/>
    </row>
    <row r="48" spans="1:15" ht="24" customHeight="1" x14ac:dyDescent="0.2">
      <c r="A48" s="52">
        <v>37</v>
      </c>
      <c r="B48" s="62" t="str">
        <f>'[1]Necesidades Trimestrales'!B46</f>
        <v>2.1.1-2868.55</v>
      </c>
      <c r="C48" s="150" t="s">
        <v>85</v>
      </c>
      <c r="D48" s="150" t="s">
        <v>85</v>
      </c>
      <c r="E48" s="150" t="s">
        <v>85</v>
      </c>
      <c r="F48" s="150" t="s">
        <v>85</v>
      </c>
      <c r="G48" s="150" t="s">
        <v>85</v>
      </c>
      <c r="H48" s="58" t="s">
        <v>165</v>
      </c>
      <c r="I48" s="59" t="s">
        <v>166</v>
      </c>
      <c r="J48" s="75">
        <v>55</v>
      </c>
      <c r="K48" s="60">
        <v>40</v>
      </c>
      <c r="O48" s="78"/>
    </row>
    <row r="49" spans="1:1024" ht="24" customHeight="1" x14ac:dyDescent="0.2">
      <c r="A49" s="52">
        <v>38</v>
      </c>
      <c r="B49" s="50" t="str">
        <f>'[1]Necesidades Trimestrales'!B47</f>
        <v>2.1.1-613.2</v>
      </c>
      <c r="C49" s="150" t="s">
        <v>86</v>
      </c>
      <c r="D49" s="150" t="s">
        <v>86</v>
      </c>
      <c r="E49" s="150" t="s">
        <v>86</v>
      </c>
      <c r="F49" s="150" t="s">
        <v>86</v>
      </c>
      <c r="G49" s="150" t="s">
        <v>86</v>
      </c>
      <c r="H49" s="58" t="s">
        <v>165</v>
      </c>
      <c r="I49" s="59" t="s">
        <v>155</v>
      </c>
      <c r="J49" s="75">
        <v>98.5</v>
      </c>
      <c r="K49" s="60">
        <v>5</v>
      </c>
      <c r="O49" s="78"/>
    </row>
    <row r="50" spans="1:1024" ht="24" customHeight="1" x14ac:dyDescent="0.2">
      <c r="A50" s="52">
        <v>39</v>
      </c>
      <c r="B50" s="50" t="str">
        <f>'[1]Necesidades Trimestrales'!B48</f>
        <v>2.1.1-513.9</v>
      </c>
      <c r="C50" s="150" t="s">
        <v>87</v>
      </c>
      <c r="D50" s="150" t="s">
        <v>87</v>
      </c>
      <c r="E50" s="150" t="s">
        <v>87</v>
      </c>
      <c r="F50" s="150" t="s">
        <v>87</v>
      </c>
      <c r="G50" s="150" t="s">
        <v>87</v>
      </c>
      <c r="H50" s="58" t="s">
        <v>165</v>
      </c>
      <c r="I50" s="59" t="s">
        <v>155</v>
      </c>
      <c r="J50" s="75">
        <v>42</v>
      </c>
      <c r="K50" s="60">
        <v>16</v>
      </c>
      <c r="O50" s="78"/>
    </row>
    <row r="51" spans="1:1024" ht="42.75" customHeight="1" x14ac:dyDescent="0.2">
      <c r="A51" s="52">
        <v>40</v>
      </c>
      <c r="B51" s="48" t="str">
        <f>'[1]Necesidades Trimestrales'!B49</f>
        <v>2.1.1-705.121</v>
      </c>
      <c r="C51" s="150" t="s">
        <v>88</v>
      </c>
      <c r="D51" s="150" t="s">
        <v>88</v>
      </c>
      <c r="E51" s="150" t="s">
        <v>88</v>
      </c>
      <c r="F51" s="150" t="s">
        <v>88</v>
      </c>
      <c r="G51" s="150" t="s">
        <v>88</v>
      </c>
      <c r="H51" s="58" t="s">
        <v>165</v>
      </c>
      <c r="I51" s="59" t="s">
        <v>166</v>
      </c>
      <c r="J51" s="75">
        <v>398.99</v>
      </c>
      <c r="K51" s="60">
        <v>1444</v>
      </c>
      <c r="O51" s="78"/>
    </row>
    <row r="52" spans="1:1024" ht="34.5" customHeight="1" x14ac:dyDescent="0.2">
      <c r="A52" s="52">
        <v>41</v>
      </c>
      <c r="B52" s="48" t="str">
        <f>'[1]Necesidades Trimestrales'!B50</f>
        <v>2.1.1-705.119</v>
      </c>
      <c r="C52" s="150" t="s">
        <v>89</v>
      </c>
      <c r="D52" s="150" t="s">
        <v>89</v>
      </c>
      <c r="E52" s="150" t="s">
        <v>89</v>
      </c>
      <c r="F52" s="150" t="s">
        <v>89</v>
      </c>
      <c r="G52" s="150" t="s">
        <v>89</v>
      </c>
      <c r="H52" s="58" t="s">
        <v>165</v>
      </c>
      <c r="I52" s="59" t="s">
        <v>166</v>
      </c>
      <c r="J52" s="75">
        <v>62.65</v>
      </c>
      <c r="K52" s="60">
        <v>1200</v>
      </c>
      <c r="O52" s="78"/>
    </row>
    <row r="53" spans="1:1024" ht="34.5" customHeight="1" x14ac:dyDescent="0.2">
      <c r="A53" s="52">
        <v>42</v>
      </c>
      <c r="B53" s="48" t="str">
        <f>'[1]Necesidades Trimestrales'!B51</f>
        <v>2.1.1-705.90</v>
      </c>
      <c r="C53" s="150" t="s">
        <v>90</v>
      </c>
      <c r="D53" s="150" t="s">
        <v>90</v>
      </c>
      <c r="E53" s="150" t="s">
        <v>90</v>
      </c>
      <c r="F53" s="150" t="s">
        <v>90</v>
      </c>
      <c r="G53" s="150" t="s">
        <v>90</v>
      </c>
      <c r="H53" s="58" t="s">
        <v>165</v>
      </c>
      <c r="I53" s="59" t="s">
        <v>166</v>
      </c>
      <c r="J53" s="75">
        <v>1930</v>
      </c>
      <c r="K53" s="60">
        <v>4</v>
      </c>
      <c r="O53" s="78"/>
    </row>
    <row r="54" spans="1:1024" ht="29.25" customHeight="1" x14ac:dyDescent="0.2">
      <c r="A54" s="52">
        <v>43</v>
      </c>
      <c r="B54" s="50" t="str">
        <f>'[1]Necesidades Trimestrales'!B52</f>
        <v>2.1.1-705.91</v>
      </c>
      <c r="C54" s="150" t="s">
        <v>91</v>
      </c>
      <c r="D54" s="150" t="s">
        <v>91</v>
      </c>
      <c r="E54" s="150" t="s">
        <v>91</v>
      </c>
      <c r="F54" s="150" t="s">
        <v>91</v>
      </c>
      <c r="G54" s="150" t="s">
        <v>91</v>
      </c>
      <c r="H54" s="58" t="s">
        <v>165</v>
      </c>
      <c r="I54" s="59" t="s">
        <v>166</v>
      </c>
      <c r="J54" s="75">
        <v>2837.7</v>
      </c>
      <c r="K54" s="60">
        <v>3</v>
      </c>
      <c r="O54" s="78"/>
    </row>
    <row r="55" spans="1:1024" s="120" customFormat="1" ht="24" customHeight="1" x14ac:dyDescent="0.2">
      <c r="A55" s="117">
        <v>44</v>
      </c>
      <c r="B55" s="49" t="str">
        <f>'[1]Necesidades Trimestrales'!B54</f>
        <v>2.1.1-788.222</v>
      </c>
      <c r="C55" s="151" t="s">
        <v>92</v>
      </c>
      <c r="D55" s="151" t="s">
        <v>92</v>
      </c>
      <c r="E55" s="151" t="s">
        <v>92</v>
      </c>
      <c r="F55" s="151" t="s">
        <v>92</v>
      </c>
      <c r="G55" s="151" t="s">
        <v>92</v>
      </c>
      <c r="H55" s="118" t="s">
        <v>165</v>
      </c>
      <c r="I55" s="63" t="s">
        <v>166</v>
      </c>
      <c r="J55" s="75">
        <v>1280</v>
      </c>
      <c r="K55" s="64">
        <v>1</v>
      </c>
      <c r="L55" s="77"/>
      <c r="M55" s="77"/>
      <c r="N55" s="77"/>
      <c r="O55" s="119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  <c r="CL55" s="77"/>
      <c r="CM55" s="77"/>
      <c r="CN55" s="77"/>
      <c r="CO55" s="77"/>
      <c r="CP55" s="77"/>
      <c r="CQ55" s="77"/>
      <c r="CR55" s="77"/>
      <c r="CS55" s="77"/>
      <c r="CT55" s="77"/>
      <c r="CU55" s="77"/>
      <c r="CV55" s="77"/>
      <c r="CW55" s="77"/>
      <c r="CX55" s="77"/>
      <c r="CY55" s="77"/>
      <c r="CZ55" s="77"/>
      <c r="DA55" s="77"/>
      <c r="DB55" s="77"/>
      <c r="DC55" s="77"/>
      <c r="DD55" s="77"/>
      <c r="DE55" s="77"/>
      <c r="DF55" s="77"/>
      <c r="DG55" s="77"/>
      <c r="DH55" s="77"/>
      <c r="DI55" s="77"/>
      <c r="DJ55" s="77"/>
      <c r="DK55" s="77"/>
      <c r="DL55" s="77"/>
      <c r="DM55" s="77"/>
      <c r="DN55" s="77"/>
      <c r="DO55" s="77"/>
      <c r="DP55" s="77"/>
      <c r="DQ55" s="77"/>
      <c r="DR55" s="77"/>
      <c r="DS55" s="77"/>
      <c r="DT55" s="77"/>
      <c r="DU55" s="77"/>
      <c r="DV55" s="77"/>
      <c r="DW55" s="77"/>
      <c r="DX55" s="77"/>
      <c r="DY55" s="77"/>
      <c r="DZ55" s="77"/>
      <c r="EA55" s="77"/>
      <c r="EB55" s="77"/>
      <c r="EC55" s="77"/>
      <c r="ED55" s="77"/>
      <c r="EE55" s="77"/>
      <c r="EF55" s="77"/>
      <c r="EG55" s="77"/>
      <c r="EH55" s="77"/>
      <c r="EI55" s="77"/>
      <c r="EJ55" s="77"/>
      <c r="EK55" s="77"/>
      <c r="EL55" s="77"/>
      <c r="EM55" s="77"/>
      <c r="EN55" s="77"/>
      <c r="EO55" s="77"/>
      <c r="EP55" s="77"/>
      <c r="EQ55" s="77"/>
      <c r="ER55" s="77"/>
      <c r="ES55" s="77"/>
      <c r="ET55" s="77"/>
      <c r="EU55" s="77"/>
      <c r="EV55" s="77"/>
      <c r="EW55" s="77"/>
      <c r="EX55" s="77"/>
      <c r="EY55" s="77"/>
      <c r="EZ55" s="77"/>
      <c r="FA55" s="77"/>
      <c r="FB55" s="77"/>
      <c r="FC55" s="77"/>
      <c r="FD55" s="77"/>
      <c r="FE55" s="77"/>
      <c r="FF55" s="77"/>
      <c r="FG55" s="77"/>
      <c r="FH55" s="77"/>
      <c r="FI55" s="77"/>
      <c r="FJ55" s="77"/>
      <c r="FK55" s="77"/>
      <c r="FL55" s="77"/>
      <c r="FM55" s="77"/>
      <c r="FN55" s="77"/>
      <c r="FO55" s="77"/>
      <c r="FP55" s="77"/>
      <c r="FQ55" s="77"/>
      <c r="FR55" s="77"/>
      <c r="FS55" s="77"/>
      <c r="FT55" s="77"/>
      <c r="FU55" s="77"/>
      <c r="FV55" s="77"/>
      <c r="FW55" s="77"/>
      <c r="FX55" s="77"/>
      <c r="FY55" s="77"/>
      <c r="FZ55" s="77"/>
      <c r="GA55" s="77"/>
      <c r="GB55" s="77"/>
      <c r="GC55" s="77"/>
      <c r="GD55" s="77"/>
      <c r="GE55" s="77"/>
      <c r="GF55" s="77"/>
      <c r="GG55" s="77"/>
      <c r="GH55" s="77"/>
      <c r="GI55" s="77"/>
      <c r="GJ55" s="77"/>
      <c r="GK55" s="77"/>
      <c r="GL55" s="77"/>
      <c r="GM55" s="77"/>
      <c r="GN55" s="77"/>
      <c r="GO55" s="77"/>
      <c r="GP55" s="77"/>
      <c r="GQ55" s="77"/>
      <c r="GR55" s="77"/>
      <c r="GS55" s="77"/>
      <c r="GT55" s="77"/>
      <c r="GU55" s="77"/>
      <c r="GV55" s="77"/>
      <c r="GW55" s="77"/>
      <c r="GX55" s="77"/>
      <c r="GY55" s="77"/>
      <c r="GZ55" s="77"/>
      <c r="HA55" s="77"/>
      <c r="HB55" s="77"/>
      <c r="HC55" s="77"/>
      <c r="HD55" s="77"/>
      <c r="HE55" s="77"/>
      <c r="HF55" s="77"/>
      <c r="HG55" s="77"/>
      <c r="HH55" s="77"/>
      <c r="HI55" s="77"/>
      <c r="HJ55" s="77"/>
      <c r="HK55" s="77"/>
      <c r="HL55" s="77"/>
      <c r="HM55" s="77"/>
      <c r="HN55" s="77"/>
      <c r="HO55" s="77"/>
      <c r="HP55" s="77"/>
      <c r="HQ55" s="77"/>
      <c r="HR55" s="77"/>
      <c r="HS55" s="77"/>
      <c r="HT55" s="77"/>
      <c r="HU55" s="77"/>
      <c r="HV55" s="77"/>
      <c r="HW55" s="77"/>
      <c r="HX55" s="77"/>
      <c r="HY55" s="77"/>
      <c r="HZ55" s="77"/>
      <c r="IA55" s="77"/>
      <c r="IB55" s="77"/>
      <c r="IC55" s="77"/>
      <c r="ID55" s="77"/>
      <c r="IE55" s="77"/>
      <c r="IF55" s="77"/>
      <c r="IG55" s="77"/>
      <c r="IH55" s="77"/>
      <c r="II55" s="77"/>
      <c r="IJ55" s="77"/>
      <c r="IK55" s="77"/>
      <c r="IL55" s="77"/>
      <c r="IM55" s="77"/>
      <c r="IN55" s="77"/>
      <c r="IO55" s="77"/>
      <c r="IP55" s="77"/>
      <c r="IQ55" s="77"/>
      <c r="IR55" s="77"/>
      <c r="IS55" s="77"/>
      <c r="IT55" s="77"/>
      <c r="IU55" s="77"/>
      <c r="IV55" s="77"/>
      <c r="IW55" s="77"/>
      <c r="IX55" s="77"/>
      <c r="IY55" s="77"/>
      <c r="IZ55" s="77"/>
      <c r="JA55" s="77"/>
      <c r="JB55" s="77"/>
      <c r="JC55" s="77"/>
      <c r="JD55" s="77"/>
      <c r="JE55" s="77"/>
      <c r="JF55" s="77"/>
      <c r="JG55" s="77"/>
      <c r="JH55" s="77"/>
      <c r="JI55" s="77"/>
      <c r="JJ55" s="77"/>
      <c r="JK55" s="77"/>
      <c r="JL55" s="77"/>
      <c r="JM55" s="77"/>
      <c r="JN55" s="77"/>
      <c r="JO55" s="77"/>
      <c r="JP55" s="77"/>
      <c r="JQ55" s="77"/>
      <c r="JR55" s="77"/>
      <c r="JS55" s="77"/>
      <c r="JT55" s="77"/>
      <c r="JU55" s="77"/>
      <c r="JV55" s="77"/>
      <c r="JW55" s="77"/>
      <c r="JX55" s="77"/>
      <c r="JY55" s="77"/>
      <c r="JZ55" s="77"/>
      <c r="KA55" s="77"/>
      <c r="KB55" s="77"/>
      <c r="KC55" s="77"/>
      <c r="KD55" s="77"/>
      <c r="KE55" s="77"/>
      <c r="KF55" s="77"/>
      <c r="KG55" s="77"/>
      <c r="KH55" s="77"/>
      <c r="KI55" s="77"/>
      <c r="KJ55" s="77"/>
      <c r="KK55" s="77"/>
      <c r="KL55" s="77"/>
      <c r="KM55" s="77"/>
      <c r="KN55" s="77"/>
      <c r="KO55" s="77"/>
      <c r="KP55" s="77"/>
      <c r="KQ55" s="77"/>
      <c r="KR55" s="77"/>
      <c r="KS55" s="77"/>
      <c r="KT55" s="77"/>
      <c r="KU55" s="77"/>
      <c r="KV55" s="77"/>
      <c r="KW55" s="77"/>
      <c r="KX55" s="77"/>
      <c r="KY55" s="77"/>
      <c r="KZ55" s="77"/>
      <c r="LA55" s="77"/>
      <c r="LB55" s="77"/>
      <c r="LC55" s="77"/>
      <c r="LD55" s="77"/>
      <c r="LE55" s="77"/>
      <c r="LF55" s="77"/>
      <c r="LG55" s="77"/>
      <c r="LH55" s="77"/>
      <c r="LI55" s="77"/>
      <c r="LJ55" s="77"/>
      <c r="LK55" s="77"/>
      <c r="LL55" s="77"/>
      <c r="LM55" s="77"/>
      <c r="LN55" s="77"/>
      <c r="LO55" s="77"/>
      <c r="LP55" s="77"/>
      <c r="LQ55" s="77"/>
      <c r="LR55" s="77"/>
      <c r="LS55" s="77"/>
      <c r="LT55" s="77"/>
      <c r="LU55" s="77"/>
      <c r="LV55" s="77"/>
      <c r="LW55" s="77"/>
      <c r="LX55" s="77"/>
      <c r="LY55" s="77"/>
      <c r="LZ55" s="77"/>
      <c r="MA55" s="77"/>
      <c r="MB55" s="77"/>
      <c r="MC55" s="77"/>
      <c r="MD55" s="77"/>
      <c r="ME55" s="77"/>
      <c r="MF55" s="77"/>
      <c r="MG55" s="77"/>
      <c r="MH55" s="77"/>
      <c r="MI55" s="77"/>
      <c r="MJ55" s="77"/>
      <c r="MK55" s="77"/>
      <c r="ML55" s="77"/>
      <c r="MM55" s="77"/>
      <c r="MN55" s="77"/>
      <c r="MO55" s="77"/>
      <c r="MP55" s="77"/>
      <c r="MQ55" s="77"/>
      <c r="MR55" s="77"/>
      <c r="MS55" s="77"/>
      <c r="MT55" s="77"/>
      <c r="MU55" s="77"/>
      <c r="MV55" s="77"/>
      <c r="MW55" s="77"/>
      <c r="MX55" s="77"/>
      <c r="MY55" s="77"/>
      <c r="MZ55" s="77"/>
      <c r="NA55" s="77"/>
      <c r="NB55" s="77"/>
      <c r="NC55" s="77"/>
      <c r="ND55" s="77"/>
      <c r="NE55" s="77"/>
      <c r="NF55" s="77"/>
      <c r="NG55" s="77"/>
      <c r="NH55" s="77"/>
      <c r="NI55" s="77"/>
      <c r="NJ55" s="77"/>
      <c r="NK55" s="77"/>
      <c r="NL55" s="77"/>
      <c r="NM55" s="77"/>
      <c r="NN55" s="77"/>
      <c r="NO55" s="77"/>
      <c r="NP55" s="77"/>
      <c r="NQ55" s="77"/>
      <c r="NR55" s="77"/>
      <c r="NS55" s="77"/>
      <c r="NT55" s="77"/>
      <c r="NU55" s="77"/>
      <c r="NV55" s="77"/>
      <c r="NW55" s="77"/>
      <c r="NX55" s="77"/>
      <c r="NY55" s="77"/>
      <c r="NZ55" s="77"/>
      <c r="OA55" s="77"/>
      <c r="OB55" s="77"/>
      <c r="OC55" s="77"/>
      <c r="OD55" s="77"/>
      <c r="OE55" s="77"/>
      <c r="OF55" s="77"/>
      <c r="OG55" s="77"/>
      <c r="OH55" s="77"/>
      <c r="OI55" s="77"/>
      <c r="OJ55" s="77"/>
      <c r="OK55" s="77"/>
      <c r="OL55" s="77"/>
      <c r="OM55" s="77"/>
      <c r="ON55" s="77"/>
      <c r="OO55" s="77"/>
      <c r="OP55" s="77"/>
      <c r="OQ55" s="77"/>
      <c r="OR55" s="77"/>
      <c r="OS55" s="77"/>
      <c r="OT55" s="77"/>
      <c r="OU55" s="77"/>
      <c r="OV55" s="77"/>
      <c r="OW55" s="77"/>
      <c r="OX55" s="77"/>
      <c r="OY55" s="77"/>
      <c r="OZ55" s="77"/>
      <c r="PA55" s="77"/>
      <c r="PB55" s="77"/>
      <c r="PC55" s="77"/>
      <c r="PD55" s="77"/>
      <c r="PE55" s="77"/>
      <c r="PF55" s="77"/>
      <c r="PG55" s="77"/>
      <c r="PH55" s="77"/>
      <c r="PI55" s="77"/>
      <c r="PJ55" s="77"/>
      <c r="PK55" s="77"/>
      <c r="PL55" s="77"/>
      <c r="PM55" s="77"/>
      <c r="PN55" s="77"/>
      <c r="PO55" s="77"/>
      <c r="PP55" s="77"/>
      <c r="PQ55" s="77"/>
      <c r="PR55" s="77"/>
      <c r="PS55" s="77"/>
      <c r="PT55" s="77"/>
      <c r="PU55" s="77"/>
      <c r="PV55" s="77"/>
      <c r="PW55" s="77"/>
      <c r="PX55" s="77"/>
      <c r="PY55" s="77"/>
      <c r="PZ55" s="77"/>
      <c r="QA55" s="77"/>
      <c r="QB55" s="77"/>
      <c r="QC55" s="77"/>
      <c r="QD55" s="77"/>
      <c r="QE55" s="77"/>
      <c r="QF55" s="77"/>
      <c r="QG55" s="77"/>
      <c r="QH55" s="77"/>
      <c r="QI55" s="77"/>
      <c r="QJ55" s="77"/>
      <c r="QK55" s="77"/>
      <c r="QL55" s="77"/>
      <c r="QM55" s="77"/>
      <c r="QN55" s="77"/>
      <c r="QO55" s="77"/>
      <c r="QP55" s="77"/>
      <c r="QQ55" s="77"/>
      <c r="QR55" s="77"/>
      <c r="QS55" s="77"/>
      <c r="QT55" s="77"/>
      <c r="QU55" s="77"/>
      <c r="QV55" s="77"/>
      <c r="QW55" s="77"/>
      <c r="QX55" s="77"/>
      <c r="QY55" s="77"/>
      <c r="QZ55" s="77"/>
      <c r="RA55" s="77"/>
      <c r="RB55" s="77"/>
      <c r="RC55" s="77"/>
      <c r="RD55" s="77"/>
      <c r="RE55" s="77"/>
      <c r="RF55" s="77"/>
      <c r="RG55" s="77"/>
      <c r="RH55" s="77"/>
      <c r="RI55" s="77"/>
      <c r="RJ55" s="77"/>
      <c r="RK55" s="77"/>
      <c r="RL55" s="77"/>
      <c r="RM55" s="77"/>
      <c r="RN55" s="77"/>
      <c r="RO55" s="77"/>
      <c r="RP55" s="77"/>
      <c r="RQ55" s="77"/>
      <c r="RR55" s="77"/>
      <c r="RS55" s="77"/>
      <c r="RT55" s="77"/>
      <c r="RU55" s="77"/>
      <c r="RV55" s="77"/>
      <c r="RW55" s="77"/>
      <c r="RX55" s="77"/>
      <c r="RY55" s="77"/>
      <c r="RZ55" s="77"/>
      <c r="SA55" s="77"/>
      <c r="SB55" s="77"/>
      <c r="SC55" s="77"/>
      <c r="SD55" s="77"/>
      <c r="SE55" s="77"/>
      <c r="SF55" s="77"/>
      <c r="SG55" s="77"/>
      <c r="SH55" s="77"/>
      <c r="SI55" s="77"/>
      <c r="SJ55" s="77"/>
      <c r="SK55" s="77"/>
      <c r="SL55" s="77"/>
      <c r="SM55" s="77"/>
      <c r="SN55" s="77"/>
      <c r="SO55" s="77"/>
      <c r="SP55" s="77"/>
      <c r="SQ55" s="77"/>
      <c r="SR55" s="77"/>
      <c r="SS55" s="77"/>
      <c r="ST55" s="77"/>
      <c r="SU55" s="77"/>
      <c r="SV55" s="77"/>
      <c r="SW55" s="77"/>
      <c r="SX55" s="77"/>
      <c r="SY55" s="77"/>
      <c r="SZ55" s="77"/>
      <c r="TA55" s="77"/>
      <c r="TB55" s="77"/>
      <c r="TC55" s="77"/>
      <c r="TD55" s="77"/>
      <c r="TE55" s="77"/>
      <c r="TF55" s="77"/>
      <c r="TG55" s="77"/>
      <c r="TH55" s="77"/>
      <c r="TI55" s="77"/>
      <c r="TJ55" s="77"/>
      <c r="TK55" s="77"/>
      <c r="TL55" s="77"/>
      <c r="TM55" s="77"/>
      <c r="TN55" s="77"/>
      <c r="TO55" s="77"/>
      <c r="TP55" s="77"/>
      <c r="TQ55" s="77"/>
      <c r="TR55" s="77"/>
      <c r="TS55" s="77"/>
      <c r="TT55" s="77"/>
      <c r="TU55" s="77"/>
      <c r="TV55" s="77"/>
      <c r="TW55" s="77"/>
      <c r="TX55" s="77"/>
      <c r="TY55" s="77"/>
      <c r="TZ55" s="77"/>
      <c r="UA55" s="77"/>
      <c r="UB55" s="77"/>
      <c r="UC55" s="77"/>
      <c r="UD55" s="77"/>
      <c r="UE55" s="77"/>
      <c r="UF55" s="77"/>
      <c r="UG55" s="77"/>
      <c r="UH55" s="77"/>
      <c r="UI55" s="77"/>
      <c r="UJ55" s="77"/>
      <c r="UK55" s="77"/>
      <c r="UL55" s="77"/>
      <c r="UM55" s="77"/>
      <c r="UN55" s="77"/>
      <c r="UO55" s="77"/>
      <c r="UP55" s="77"/>
      <c r="UQ55" s="77"/>
      <c r="UR55" s="77"/>
      <c r="US55" s="77"/>
      <c r="UT55" s="77"/>
      <c r="UU55" s="77"/>
      <c r="UV55" s="77"/>
      <c r="UW55" s="77"/>
      <c r="UX55" s="77"/>
      <c r="UY55" s="77"/>
      <c r="UZ55" s="77"/>
      <c r="VA55" s="77"/>
      <c r="VB55" s="77"/>
      <c r="VC55" s="77"/>
      <c r="VD55" s="77"/>
      <c r="VE55" s="77"/>
      <c r="VF55" s="77"/>
      <c r="VG55" s="77"/>
      <c r="VH55" s="77"/>
      <c r="VI55" s="77"/>
      <c r="VJ55" s="77"/>
      <c r="VK55" s="77"/>
      <c r="VL55" s="77"/>
      <c r="VM55" s="77"/>
      <c r="VN55" s="77"/>
      <c r="VO55" s="77"/>
      <c r="VP55" s="77"/>
      <c r="VQ55" s="77"/>
      <c r="VR55" s="77"/>
      <c r="VS55" s="77"/>
      <c r="VT55" s="77"/>
      <c r="VU55" s="77"/>
      <c r="VV55" s="77"/>
      <c r="VW55" s="77"/>
      <c r="VX55" s="77"/>
      <c r="VY55" s="77"/>
      <c r="VZ55" s="77"/>
      <c r="WA55" s="77"/>
      <c r="WB55" s="77"/>
      <c r="WC55" s="77"/>
      <c r="WD55" s="77"/>
      <c r="WE55" s="77"/>
      <c r="WF55" s="77"/>
      <c r="WG55" s="77"/>
      <c r="WH55" s="77"/>
      <c r="WI55" s="77"/>
      <c r="WJ55" s="77"/>
      <c r="WK55" s="77"/>
      <c r="WL55" s="77"/>
      <c r="WM55" s="77"/>
      <c r="WN55" s="77"/>
      <c r="WO55" s="77"/>
      <c r="WP55" s="77"/>
      <c r="WQ55" s="77"/>
      <c r="WR55" s="77"/>
      <c r="WS55" s="77"/>
      <c r="WT55" s="77"/>
      <c r="WU55" s="77"/>
      <c r="WV55" s="77"/>
      <c r="WW55" s="77"/>
      <c r="WX55" s="77"/>
      <c r="WY55" s="77"/>
      <c r="WZ55" s="77"/>
      <c r="XA55" s="77"/>
      <c r="XB55" s="77"/>
      <c r="XC55" s="77"/>
      <c r="XD55" s="77"/>
      <c r="XE55" s="77"/>
      <c r="XF55" s="77"/>
      <c r="XG55" s="77"/>
      <c r="XH55" s="77"/>
      <c r="XI55" s="77"/>
      <c r="XJ55" s="77"/>
      <c r="XK55" s="77"/>
      <c r="XL55" s="77"/>
      <c r="XM55" s="77"/>
      <c r="XN55" s="77"/>
      <c r="XO55" s="77"/>
      <c r="XP55" s="77"/>
      <c r="XQ55" s="77"/>
      <c r="XR55" s="77"/>
      <c r="XS55" s="77"/>
      <c r="XT55" s="77"/>
      <c r="XU55" s="77"/>
      <c r="XV55" s="77"/>
      <c r="XW55" s="77"/>
      <c r="XX55" s="77"/>
      <c r="XY55" s="77"/>
      <c r="XZ55" s="77"/>
      <c r="YA55" s="77"/>
      <c r="YB55" s="77"/>
      <c r="YC55" s="77"/>
      <c r="YD55" s="77"/>
      <c r="YE55" s="77"/>
      <c r="YF55" s="77"/>
      <c r="YG55" s="77"/>
      <c r="YH55" s="77"/>
      <c r="YI55" s="77"/>
      <c r="YJ55" s="77"/>
      <c r="YK55" s="77"/>
      <c r="YL55" s="77"/>
      <c r="YM55" s="77"/>
      <c r="YN55" s="77"/>
      <c r="YO55" s="77"/>
      <c r="YP55" s="77"/>
      <c r="YQ55" s="77"/>
      <c r="YR55" s="77"/>
      <c r="YS55" s="77"/>
      <c r="YT55" s="77"/>
      <c r="YU55" s="77"/>
      <c r="YV55" s="77"/>
      <c r="YW55" s="77"/>
      <c r="YX55" s="77"/>
      <c r="YY55" s="77"/>
      <c r="YZ55" s="77"/>
      <c r="ZA55" s="77"/>
      <c r="ZB55" s="77"/>
      <c r="ZC55" s="77"/>
      <c r="ZD55" s="77"/>
      <c r="ZE55" s="77"/>
      <c r="ZF55" s="77"/>
      <c r="ZG55" s="77"/>
      <c r="ZH55" s="77"/>
      <c r="ZI55" s="77"/>
      <c r="ZJ55" s="77"/>
      <c r="ZK55" s="77"/>
      <c r="ZL55" s="77"/>
      <c r="ZM55" s="77"/>
      <c r="ZN55" s="77"/>
      <c r="ZO55" s="77"/>
      <c r="ZP55" s="77"/>
      <c r="ZQ55" s="77"/>
      <c r="ZR55" s="77"/>
      <c r="ZS55" s="77"/>
      <c r="ZT55" s="77"/>
      <c r="ZU55" s="77"/>
      <c r="ZV55" s="77"/>
      <c r="ZW55" s="77"/>
      <c r="ZX55" s="77"/>
      <c r="ZY55" s="77"/>
      <c r="ZZ55" s="77"/>
      <c r="AAA55" s="77"/>
      <c r="AAB55" s="77"/>
      <c r="AAC55" s="77"/>
      <c r="AAD55" s="77"/>
      <c r="AAE55" s="77"/>
      <c r="AAF55" s="77"/>
      <c r="AAG55" s="77"/>
      <c r="AAH55" s="77"/>
      <c r="AAI55" s="77"/>
      <c r="AAJ55" s="77"/>
      <c r="AAK55" s="77"/>
      <c r="AAL55" s="77"/>
      <c r="AAM55" s="77"/>
      <c r="AAN55" s="77"/>
      <c r="AAO55" s="77"/>
      <c r="AAP55" s="77"/>
      <c r="AAQ55" s="77"/>
      <c r="AAR55" s="77"/>
      <c r="AAS55" s="77"/>
      <c r="AAT55" s="77"/>
      <c r="AAU55" s="77"/>
      <c r="AAV55" s="77"/>
      <c r="AAW55" s="77"/>
      <c r="AAX55" s="77"/>
      <c r="AAY55" s="77"/>
      <c r="AAZ55" s="77"/>
      <c r="ABA55" s="77"/>
      <c r="ABB55" s="77"/>
      <c r="ABC55" s="77"/>
      <c r="ABD55" s="77"/>
      <c r="ABE55" s="77"/>
      <c r="ABF55" s="77"/>
      <c r="ABG55" s="77"/>
      <c r="ABH55" s="77"/>
      <c r="ABI55" s="77"/>
      <c r="ABJ55" s="77"/>
      <c r="ABK55" s="77"/>
      <c r="ABL55" s="77"/>
      <c r="ABM55" s="77"/>
      <c r="ABN55" s="77"/>
      <c r="ABO55" s="77"/>
      <c r="ABP55" s="77"/>
      <c r="ABQ55" s="77"/>
      <c r="ABR55" s="77"/>
      <c r="ABS55" s="77"/>
      <c r="ABT55" s="77"/>
      <c r="ABU55" s="77"/>
      <c r="ABV55" s="77"/>
      <c r="ABW55" s="77"/>
      <c r="ABX55" s="77"/>
      <c r="ABY55" s="77"/>
      <c r="ABZ55" s="77"/>
      <c r="ACA55" s="77"/>
      <c r="ACB55" s="77"/>
      <c r="ACC55" s="77"/>
      <c r="ACD55" s="77"/>
      <c r="ACE55" s="77"/>
      <c r="ACF55" s="77"/>
      <c r="ACG55" s="77"/>
      <c r="ACH55" s="77"/>
      <c r="ACI55" s="77"/>
      <c r="ACJ55" s="77"/>
      <c r="ACK55" s="77"/>
      <c r="ACL55" s="77"/>
      <c r="ACM55" s="77"/>
      <c r="ACN55" s="77"/>
      <c r="ACO55" s="77"/>
      <c r="ACP55" s="77"/>
      <c r="ACQ55" s="77"/>
      <c r="ACR55" s="77"/>
      <c r="ACS55" s="77"/>
      <c r="ACT55" s="77"/>
      <c r="ACU55" s="77"/>
      <c r="ACV55" s="77"/>
      <c r="ACW55" s="77"/>
      <c r="ACX55" s="77"/>
      <c r="ACY55" s="77"/>
      <c r="ACZ55" s="77"/>
      <c r="ADA55" s="77"/>
      <c r="ADB55" s="77"/>
      <c r="ADC55" s="77"/>
      <c r="ADD55" s="77"/>
      <c r="ADE55" s="77"/>
      <c r="ADF55" s="77"/>
      <c r="ADG55" s="77"/>
      <c r="ADH55" s="77"/>
      <c r="ADI55" s="77"/>
      <c r="ADJ55" s="77"/>
      <c r="ADK55" s="77"/>
      <c r="ADL55" s="77"/>
      <c r="ADM55" s="77"/>
      <c r="ADN55" s="77"/>
      <c r="ADO55" s="77"/>
      <c r="ADP55" s="77"/>
      <c r="ADQ55" s="77"/>
      <c r="ADR55" s="77"/>
      <c r="ADS55" s="77"/>
      <c r="ADT55" s="77"/>
      <c r="ADU55" s="77"/>
      <c r="ADV55" s="77"/>
      <c r="ADW55" s="77"/>
      <c r="ADX55" s="77"/>
      <c r="ADY55" s="77"/>
      <c r="ADZ55" s="77"/>
      <c r="AEA55" s="77"/>
      <c r="AEB55" s="77"/>
      <c r="AEC55" s="77"/>
      <c r="AED55" s="77"/>
      <c r="AEE55" s="77"/>
      <c r="AEF55" s="77"/>
      <c r="AEG55" s="77"/>
      <c r="AEH55" s="77"/>
      <c r="AEI55" s="77"/>
      <c r="AEJ55" s="77"/>
      <c r="AEK55" s="77"/>
      <c r="AEL55" s="77"/>
      <c r="AEM55" s="77"/>
      <c r="AEN55" s="77"/>
      <c r="AEO55" s="77"/>
      <c r="AEP55" s="77"/>
      <c r="AEQ55" s="77"/>
      <c r="AER55" s="77"/>
      <c r="AES55" s="77"/>
      <c r="AET55" s="77"/>
      <c r="AEU55" s="77"/>
      <c r="AEV55" s="77"/>
      <c r="AEW55" s="77"/>
      <c r="AEX55" s="77"/>
      <c r="AEY55" s="77"/>
      <c r="AEZ55" s="77"/>
      <c r="AFA55" s="77"/>
      <c r="AFB55" s="77"/>
      <c r="AFC55" s="77"/>
      <c r="AFD55" s="77"/>
      <c r="AFE55" s="77"/>
      <c r="AFF55" s="77"/>
      <c r="AFG55" s="77"/>
      <c r="AFH55" s="77"/>
      <c r="AFI55" s="77"/>
      <c r="AFJ55" s="77"/>
      <c r="AFK55" s="77"/>
      <c r="AFL55" s="77"/>
      <c r="AFM55" s="77"/>
      <c r="AFN55" s="77"/>
      <c r="AFO55" s="77"/>
      <c r="AFP55" s="77"/>
      <c r="AFQ55" s="77"/>
      <c r="AFR55" s="77"/>
      <c r="AFS55" s="77"/>
      <c r="AFT55" s="77"/>
      <c r="AFU55" s="77"/>
      <c r="AFV55" s="77"/>
      <c r="AFW55" s="77"/>
      <c r="AFX55" s="77"/>
      <c r="AFY55" s="77"/>
      <c r="AFZ55" s="77"/>
      <c r="AGA55" s="77"/>
      <c r="AGB55" s="77"/>
      <c r="AGC55" s="77"/>
      <c r="AGD55" s="77"/>
      <c r="AGE55" s="77"/>
      <c r="AGF55" s="77"/>
      <c r="AGG55" s="77"/>
      <c r="AGH55" s="77"/>
      <c r="AGI55" s="77"/>
      <c r="AGJ55" s="77"/>
      <c r="AGK55" s="77"/>
      <c r="AGL55" s="77"/>
      <c r="AGM55" s="77"/>
      <c r="AGN55" s="77"/>
      <c r="AGO55" s="77"/>
      <c r="AGP55" s="77"/>
      <c r="AGQ55" s="77"/>
      <c r="AGR55" s="77"/>
      <c r="AGS55" s="77"/>
      <c r="AGT55" s="77"/>
      <c r="AGU55" s="77"/>
      <c r="AGV55" s="77"/>
      <c r="AGW55" s="77"/>
      <c r="AGX55" s="77"/>
      <c r="AGY55" s="77"/>
      <c r="AGZ55" s="77"/>
      <c r="AHA55" s="77"/>
      <c r="AHB55" s="77"/>
      <c r="AHC55" s="77"/>
      <c r="AHD55" s="77"/>
      <c r="AHE55" s="77"/>
      <c r="AHF55" s="77"/>
      <c r="AHG55" s="77"/>
      <c r="AHH55" s="77"/>
      <c r="AHI55" s="77"/>
      <c r="AHJ55" s="77"/>
      <c r="AHK55" s="77"/>
      <c r="AHL55" s="77"/>
      <c r="AHM55" s="77"/>
      <c r="AHN55" s="77"/>
      <c r="AHO55" s="77"/>
      <c r="AHP55" s="77"/>
      <c r="AHQ55" s="77"/>
      <c r="AHR55" s="77"/>
      <c r="AHS55" s="77"/>
      <c r="AHT55" s="77"/>
      <c r="AHU55" s="77"/>
      <c r="AHV55" s="77"/>
      <c r="AHW55" s="77"/>
      <c r="AHX55" s="77"/>
      <c r="AHY55" s="77"/>
      <c r="AHZ55" s="77"/>
      <c r="AIA55" s="77"/>
      <c r="AIB55" s="77"/>
      <c r="AIC55" s="77"/>
      <c r="AID55" s="77"/>
      <c r="AIE55" s="77"/>
      <c r="AIF55" s="77"/>
      <c r="AIG55" s="77"/>
      <c r="AIH55" s="77"/>
      <c r="AII55" s="77"/>
      <c r="AIJ55" s="77"/>
      <c r="AIK55" s="77"/>
      <c r="AIL55" s="77"/>
      <c r="AIM55" s="77"/>
      <c r="AIN55" s="77"/>
      <c r="AIO55" s="77"/>
      <c r="AIP55" s="77"/>
      <c r="AIQ55" s="77"/>
      <c r="AIR55" s="77"/>
      <c r="AIS55" s="77"/>
      <c r="AIT55" s="77"/>
      <c r="AIU55" s="77"/>
      <c r="AIV55" s="77"/>
      <c r="AIW55" s="77"/>
      <c r="AIX55" s="77"/>
      <c r="AIY55" s="77"/>
      <c r="AIZ55" s="77"/>
      <c r="AJA55" s="77"/>
      <c r="AJB55" s="77"/>
      <c r="AJC55" s="77"/>
      <c r="AJD55" s="77"/>
      <c r="AJE55" s="77"/>
      <c r="AJF55" s="77"/>
      <c r="AJG55" s="77"/>
      <c r="AJH55" s="77"/>
      <c r="AJI55" s="77"/>
      <c r="AJJ55" s="77"/>
      <c r="AJK55" s="77"/>
      <c r="AJL55" s="77"/>
      <c r="AJM55" s="77"/>
      <c r="AJN55" s="77"/>
      <c r="AJO55" s="77"/>
      <c r="AJP55" s="77"/>
      <c r="AJQ55" s="77"/>
      <c r="AJR55" s="77"/>
      <c r="AJS55" s="77"/>
      <c r="AJT55" s="77"/>
      <c r="AJU55" s="77"/>
      <c r="AJV55" s="77"/>
      <c r="AJW55" s="77"/>
      <c r="AJX55" s="77"/>
      <c r="AJY55" s="77"/>
      <c r="AJZ55" s="77"/>
      <c r="AKA55" s="77"/>
      <c r="AKB55" s="77"/>
      <c r="AKC55" s="77"/>
      <c r="AKD55" s="77"/>
      <c r="AKE55" s="77"/>
      <c r="AKF55" s="77"/>
      <c r="AKG55" s="77"/>
      <c r="AKH55" s="77"/>
      <c r="AKI55" s="77"/>
      <c r="AKJ55" s="77"/>
      <c r="AKK55" s="77"/>
      <c r="AKL55" s="77"/>
      <c r="AKM55" s="77"/>
      <c r="AKN55" s="77"/>
      <c r="AKO55" s="77"/>
      <c r="AKP55" s="77"/>
      <c r="AKQ55" s="77"/>
      <c r="AKR55" s="77"/>
      <c r="AKS55" s="77"/>
      <c r="AKT55" s="77"/>
      <c r="AKU55" s="77"/>
      <c r="AKV55" s="77"/>
      <c r="AKW55" s="77"/>
      <c r="AKX55" s="77"/>
      <c r="AKY55" s="77"/>
      <c r="AKZ55" s="77"/>
      <c r="ALA55" s="77"/>
      <c r="ALB55" s="77"/>
      <c r="ALC55" s="77"/>
      <c r="ALD55" s="77"/>
      <c r="ALE55" s="77"/>
      <c r="ALF55" s="77"/>
      <c r="ALG55" s="77"/>
      <c r="ALH55" s="77"/>
      <c r="ALI55" s="77"/>
      <c r="ALJ55" s="77"/>
      <c r="ALK55" s="77"/>
      <c r="ALL55" s="77"/>
      <c r="ALM55" s="77"/>
      <c r="ALN55" s="77"/>
      <c r="ALO55" s="77"/>
      <c r="ALP55" s="77"/>
      <c r="ALQ55" s="77"/>
      <c r="ALR55" s="77"/>
      <c r="ALS55" s="77"/>
      <c r="ALT55" s="77"/>
      <c r="ALU55" s="77"/>
      <c r="ALV55" s="77"/>
      <c r="ALW55" s="77"/>
      <c r="ALX55" s="77"/>
      <c r="ALY55" s="77"/>
      <c r="ALZ55" s="77"/>
      <c r="AMA55" s="77"/>
      <c r="AMB55" s="77"/>
      <c r="AMC55" s="77"/>
      <c r="AMD55" s="77"/>
      <c r="AME55" s="77"/>
      <c r="AMF55" s="77"/>
      <c r="AMG55" s="77"/>
      <c r="AMH55" s="77"/>
      <c r="AMI55" s="77"/>
      <c r="AMJ55" s="77"/>
    </row>
    <row r="56" spans="1:1024" ht="24" customHeight="1" x14ac:dyDescent="0.2">
      <c r="A56" s="52">
        <v>45</v>
      </c>
      <c r="B56" s="51" t="str">
        <f>'[1]Necesidades Trimestrales'!B55</f>
        <v>2.1.1-510.3</v>
      </c>
      <c r="C56" s="150" t="s">
        <v>93</v>
      </c>
      <c r="D56" s="150" t="s">
        <v>93</v>
      </c>
      <c r="E56" s="150" t="s">
        <v>93</v>
      </c>
      <c r="F56" s="150" t="s">
        <v>93</v>
      </c>
      <c r="G56" s="150" t="s">
        <v>93</v>
      </c>
      <c r="H56" s="58" t="s">
        <v>165</v>
      </c>
      <c r="I56" s="59" t="s">
        <v>155</v>
      </c>
      <c r="J56" s="75">
        <v>58.8</v>
      </c>
      <c r="K56" s="60">
        <v>100</v>
      </c>
      <c r="O56" s="78"/>
    </row>
    <row r="57" spans="1:1024" ht="24" customHeight="1" x14ac:dyDescent="0.2">
      <c r="A57" s="52">
        <v>46</v>
      </c>
      <c r="B57" s="51" t="str">
        <f>'[1]Necesidades Trimestrales'!B56</f>
        <v>2.1.1-510.65</v>
      </c>
      <c r="C57" s="150" t="s">
        <v>94</v>
      </c>
      <c r="D57" s="150" t="s">
        <v>94</v>
      </c>
      <c r="E57" s="150" t="s">
        <v>94</v>
      </c>
      <c r="F57" s="150" t="s">
        <v>94</v>
      </c>
      <c r="G57" s="150" t="s">
        <v>94</v>
      </c>
      <c r="H57" s="58" t="s">
        <v>165</v>
      </c>
      <c r="I57" s="59" t="s">
        <v>155</v>
      </c>
      <c r="J57" s="75">
        <v>51.75</v>
      </c>
      <c r="K57" s="60">
        <v>100</v>
      </c>
      <c r="O57" s="78"/>
    </row>
    <row r="58" spans="1:1024" ht="24" customHeight="1" x14ac:dyDescent="0.2">
      <c r="A58" s="52">
        <v>47</v>
      </c>
      <c r="B58" s="51" t="str">
        <f>'[1]Necesidades Trimestrales'!B57</f>
        <v>2.1.1-482.77</v>
      </c>
      <c r="C58" s="150" t="s">
        <v>95</v>
      </c>
      <c r="D58" s="150" t="s">
        <v>95</v>
      </c>
      <c r="E58" s="150" t="s">
        <v>95</v>
      </c>
      <c r="F58" s="150" t="s">
        <v>95</v>
      </c>
      <c r="G58" s="150" t="s">
        <v>95</v>
      </c>
      <c r="H58" s="58" t="s">
        <v>165</v>
      </c>
      <c r="I58" s="59" t="s">
        <v>166</v>
      </c>
      <c r="J58" s="75">
        <v>55.5</v>
      </c>
      <c r="K58" s="60">
        <v>100</v>
      </c>
      <c r="O58" s="78"/>
    </row>
    <row r="59" spans="1:1024" ht="24" customHeight="1" x14ac:dyDescent="0.2">
      <c r="A59" s="52">
        <v>48</v>
      </c>
      <c r="B59" s="51" t="str">
        <f>'[1]Necesidades Trimestrales'!B58</f>
        <v>2.1.1-483.33</v>
      </c>
      <c r="C59" s="150" t="s">
        <v>96</v>
      </c>
      <c r="D59" s="150" t="s">
        <v>96</v>
      </c>
      <c r="E59" s="150" t="s">
        <v>96</v>
      </c>
      <c r="F59" s="150" t="s">
        <v>96</v>
      </c>
      <c r="G59" s="150" t="s">
        <v>96</v>
      </c>
      <c r="H59" s="58" t="s">
        <v>165</v>
      </c>
      <c r="I59" s="59" t="s">
        <v>160</v>
      </c>
      <c r="J59" s="75">
        <v>275</v>
      </c>
      <c r="K59" s="60">
        <v>60</v>
      </c>
      <c r="O59" s="78"/>
    </row>
    <row r="60" spans="1:1024" ht="24" customHeight="1" x14ac:dyDescent="0.2">
      <c r="A60" s="52">
        <v>49</v>
      </c>
      <c r="B60" s="51" t="str">
        <f>'[1]Necesidades Trimestrales'!B59</f>
        <v>2.1.1-969.96</v>
      </c>
      <c r="C60" s="150" t="s">
        <v>97</v>
      </c>
      <c r="D60" s="150" t="s">
        <v>97</v>
      </c>
      <c r="E60" s="150" t="s">
        <v>97</v>
      </c>
      <c r="F60" s="150" t="s">
        <v>97</v>
      </c>
      <c r="G60" s="150" t="s">
        <v>97</v>
      </c>
      <c r="H60" s="58" t="s">
        <v>165</v>
      </c>
      <c r="I60" s="59" t="s">
        <v>153</v>
      </c>
      <c r="J60" s="75">
        <v>640</v>
      </c>
      <c r="K60" s="60">
        <v>13</v>
      </c>
      <c r="O60" s="78"/>
    </row>
    <row r="61" spans="1:1024" ht="24" customHeight="1" x14ac:dyDescent="0.2">
      <c r="A61" s="52">
        <v>50</v>
      </c>
      <c r="B61" s="51" t="str">
        <f>'[1]Necesidades Trimestrales'!B60</f>
        <v>2.1.1-705.95</v>
      </c>
      <c r="C61" s="150" t="s">
        <v>98</v>
      </c>
      <c r="D61" s="150" t="s">
        <v>98</v>
      </c>
      <c r="E61" s="150" t="s">
        <v>98</v>
      </c>
      <c r="F61" s="150" t="s">
        <v>98</v>
      </c>
      <c r="G61" s="150" t="s">
        <v>98</v>
      </c>
      <c r="H61" s="58" t="s">
        <v>165</v>
      </c>
      <c r="I61" s="59" t="s">
        <v>166</v>
      </c>
      <c r="J61" s="75">
        <v>327.57</v>
      </c>
      <c r="K61" s="60">
        <v>20</v>
      </c>
      <c r="O61" s="78"/>
    </row>
    <row r="62" spans="1:1024" ht="24" customHeight="1" x14ac:dyDescent="0.2">
      <c r="A62" s="52">
        <v>51</v>
      </c>
      <c r="B62" s="51" t="str">
        <f>'[1]Necesidades Trimestrales'!B61</f>
        <v>2.1.1-705.105</v>
      </c>
      <c r="C62" s="150" t="s">
        <v>99</v>
      </c>
      <c r="D62" s="150" t="s">
        <v>99</v>
      </c>
      <c r="E62" s="150" t="s">
        <v>99</v>
      </c>
      <c r="F62" s="150" t="s">
        <v>99</v>
      </c>
      <c r="G62" s="150" t="s">
        <v>99</v>
      </c>
      <c r="H62" s="58" t="s">
        <v>165</v>
      </c>
      <c r="I62" s="59" t="s">
        <v>166</v>
      </c>
      <c r="J62" s="75">
        <v>100</v>
      </c>
      <c r="K62" s="60">
        <v>160</v>
      </c>
      <c r="O62" s="78"/>
    </row>
    <row r="63" spans="1:1024" ht="24" customHeight="1" x14ac:dyDescent="0.2">
      <c r="A63" s="52">
        <v>52</v>
      </c>
      <c r="B63" s="62" t="str">
        <f>'[1]Necesidades Trimestrales'!B62</f>
        <v>2.1.1-705.106</v>
      </c>
      <c r="C63" s="150" t="s">
        <v>100</v>
      </c>
      <c r="D63" s="150" t="s">
        <v>100</v>
      </c>
      <c r="E63" s="150" t="s">
        <v>100</v>
      </c>
      <c r="F63" s="150" t="s">
        <v>100</v>
      </c>
      <c r="G63" s="150" t="s">
        <v>100</v>
      </c>
      <c r="H63" s="58" t="s">
        <v>165</v>
      </c>
      <c r="I63" s="59" t="s">
        <v>166</v>
      </c>
      <c r="J63" s="75">
        <v>100</v>
      </c>
      <c r="K63" s="60">
        <v>160</v>
      </c>
      <c r="O63" s="78"/>
    </row>
    <row r="64" spans="1:1024" ht="24" customHeight="1" x14ac:dyDescent="0.2">
      <c r="A64" s="52">
        <v>53</v>
      </c>
      <c r="B64" s="62" t="str">
        <f>'[1]Necesidades Trimestrales'!B63</f>
        <v>2.1.1-6547.88</v>
      </c>
      <c r="C64" s="150" t="s">
        <v>101</v>
      </c>
      <c r="D64" s="150" t="s">
        <v>101</v>
      </c>
      <c r="E64" s="150" t="s">
        <v>101</v>
      </c>
      <c r="F64" s="150" t="s">
        <v>101</v>
      </c>
      <c r="G64" s="150" t="s">
        <v>101</v>
      </c>
      <c r="H64" s="58" t="s">
        <v>165</v>
      </c>
      <c r="I64" s="59" t="s">
        <v>166</v>
      </c>
      <c r="J64" s="75">
        <v>115</v>
      </c>
      <c r="K64" s="60">
        <v>8</v>
      </c>
      <c r="O64" s="78"/>
    </row>
    <row r="65" spans="1:15" ht="24" customHeight="1" x14ac:dyDescent="0.2">
      <c r="A65" s="52">
        <v>54</v>
      </c>
      <c r="B65" s="62" t="str">
        <f>'[1]Necesidades Trimestrales'!B64</f>
        <v>2.1.1-6546.374</v>
      </c>
      <c r="C65" s="150" t="s">
        <v>102</v>
      </c>
      <c r="D65" s="150" t="s">
        <v>102</v>
      </c>
      <c r="E65" s="150" t="s">
        <v>102</v>
      </c>
      <c r="F65" s="150" t="s">
        <v>102</v>
      </c>
      <c r="G65" s="150" t="s">
        <v>102</v>
      </c>
      <c r="H65" s="58" t="s">
        <v>165</v>
      </c>
      <c r="I65" s="59" t="s">
        <v>153</v>
      </c>
      <c r="J65" s="75">
        <v>42</v>
      </c>
      <c r="K65" s="60">
        <v>40</v>
      </c>
      <c r="O65" s="78"/>
    </row>
    <row r="66" spans="1:15" ht="24" customHeight="1" x14ac:dyDescent="0.2">
      <c r="A66" s="52">
        <v>55</v>
      </c>
      <c r="B66" s="62" t="str">
        <f>'[1]Necesidades Trimestrales'!B65</f>
        <v>2.1.1-2116.10</v>
      </c>
      <c r="C66" s="150" t="s">
        <v>103</v>
      </c>
      <c r="D66" s="150" t="s">
        <v>103</v>
      </c>
      <c r="E66" s="150" t="s">
        <v>103</v>
      </c>
      <c r="F66" s="150" t="s">
        <v>103</v>
      </c>
      <c r="G66" s="150" t="s">
        <v>103</v>
      </c>
      <c r="H66" s="58" t="s">
        <v>165</v>
      </c>
      <c r="I66" s="59" t="s">
        <v>158</v>
      </c>
      <c r="J66" s="75">
        <v>35</v>
      </c>
      <c r="K66" s="60">
        <v>15</v>
      </c>
      <c r="O66" s="78"/>
    </row>
    <row r="67" spans="1:15" ht="24" customHeight="1" x14ac:dyDescent="0.2">
      <c r="A67" s="52">
        <v>56</v>
      </c>
      <c r="B67" s="61" t="str">
        <f>'[1]Necesidades Trimestrales'!B66</f>
        <v>2.1.1-6539.84</v>
      </c>
      <c r="C67" s="150" t="s">
        <v>104</v>
      </c>
      <c r="D67" s="150" t="s">
        <v>104</v>
      </c>
      <c r="E67" s="150" t="s">
        <v>104</v>
      </c>
      <c r="F67" s="150" t="s">
        <v>104</v>
      </c>
      <c r="G67" s="150" t="s">
        <v>104</v>
      </c>
      <c r="H67" s="58" t="s">
        <v>165</v>
      </c>
      <c r="I67" s="59" t="s">
        <v>156</v>
      </c>
      <c r="J67" s="75">
        <v>45</v>
      </c>
      <c r="K67" s="60">
        <v>15</v>
      </c>
      <c r="O67" s="78"/>
    </row>
    <row r="68" spans="1:15" ht="24" customHeight="1" x14ac:dyDescent="0.2">
      <c r="A68" s="52">
        <v>57</v>
      </c>
      <c r="B68" s="61" t="str">
        <f>'[1]Necesidades Trimestrales'!B67</f>
        <v>2.1.1-6539.20</v>
      </c>
      <c r="C68" s="150" t="s">
        <v>105</v>
      </c>
      <c r="D68" s="150" t="s">
        <v>105</v>
      </c>
      <c r="E68" s="150" t="s">
        <v>105</v>
      </c>
      <c r="F68" s="150" t="s">
        <v>105</v>
      </c>
      <c r="G68" s="150" t="s">
        <v>105</v>
      </c>
      <c r="H68" s="58" t="s">
        <v>165</v>
      </c>
      <c r="I68" s="59" t="s">
        <v>156</v>
      </c>
      <c r="J68" s="75">
        <v>1920</v>
      </c>
      <c r="K68" s="60">
        <v>8</v>
      </c>
      <c r="O68" s="78"/>
    </row>
    <row r="69" spans="1:15" ht="24" customHeight="1" x14ac:dyDescent="0.2">
      <c r="A69" s="52">
        <v>58</v>
      </c>
      <c r="B69" s="62" t="str">
        <f>'[1]Necesidades Trimestrales'!B68</f>
        <v>2.1.1-706.6</v>
      </c>
      <c r="C69" s="150" t="s">
        <v>106</v>
      </c>
      <c r="D69" s="150" t="s">
        <v>106</v>
      </c>
      <c r="E69" s="150" t="s">
        <v>106</v>
      </c>
      <c r="F69" s="150" t="s">
        <v>106</v>
      </c>
      <c r="G69" s="150" t="s">
        <v>106</v>
      </c>
      <c r="H69" s="58" t="s">
        <v>165</v>
      </c>
      <c r="I69" s="59" t="s">
        <v>155</v>
      </c>
      <c r="J69" s="75">
        <v>108.5</v>
      </c>
      <c r="K69" s="60">
        <v>35</v>
      </c>
      <c r="O69" s="78"/>
    </row>
    <row r="70" spans="1:15" ht="24" customHeight="1" x14ac:dyDescent="0.2">
      <c r="A70" s="52">
        <v>59</v>
      </c>
      <c r="B70" s="48" t="str">
        <f>'[1]Necesidades Trimestrales'!B69</f>
        <v>2.1.1-438.83</v>
      </c>
      <c r="C70" s="150" t="s">
        <v>107</v>
      </c>
      <c r="D70" s="150" t="s">
        <v>107</v>
      </c>
      <c r="E70" s="150" t="s">
        <v>107</v>
      </c>
      <c r="F70" s="150" t="s">
        <v>107</v>
      </c>
      <c r="G70" s="150" t="s">
        <v>107</v>
      </c>
      <c r="H70" s="58" t="s">
        <v>165</v>
      </c>
      <c r="I70" s="59" t="s">
        <v>166</v>
      </c>
      <c r="J70" s="75">
        <v>60</v>
      </c>
      <c r="K70" s="60">
        <v>15</v>
      </c>
      <c r="O70" s="78"/>
    </row>
    <row r="71" spans="1:15" ht="24" customHeight="1" x14ac:dyDescent="0.2">
      <c r="A71" s="52">
        <v>60</v>
      </c>
      <c r="B71" s="61" t="str">
        <f>'[1]Necesidades Trimestrales'!B70</f>
        <v>2.1.1-541.49</v>
      </c>
      <c r="C71" s="150" t="s">
        <v>108</v>
      </c>
      <c r="D71" s="150" t="s">
        <v>108</v>
      </c>
      <c r="E71" s="150" t="s">
        <v>108</v>
      </c>
      <c r="F71" s="150" t="s">
        <v>108</v>
      </c>
      <c r="G71" s="150" t="s">
        <v>108</v>
      </c>
      <c r="H71" s="58" t="s">
        <v>165</v>
      </c>
      <c r="I71" s="59" t="s">
        <v>153</v>
      </c>
      <c r="J71" s="75">
        <v>500</v>
      </c>
      <c r="K71" s="60">
        <v>216</v>
      </c>
      <c r="O71" s="78"/>
    </row>
    <row r="72" spans="1:15" ht="24" customHeight="1" x14ac:dyDescent="0.2">
      <c r="A72" s="52">
        <v>61</v>
      </c>
      <c r="B72" s="61" t="str">
        <f>'[1]Necesidades Trimestrales'!B71</f>
        <v>2.1.1-541.20</v>
      </c>
      <c r="C72" s="150" t="s">
        <v>109</v>
      </c>
      <c r="D72" s="150" t="s">
        <v>109</v>
      </c>
      <c r="E72" s="150" t="s">
        <v>109</v>
      </c>
      <c r="F72" s="150" t="s">
        <v>109</v>
      </c>
      <c r="G72" s="150" t="s">
        <v>109</v>
      </c>
      <c r="H72" s="58" t="s">
        <v>165</v>
      </c>
      <c r="I72" s="59" t="s">
        <v>153</v>
      </c>
      <c r="J72" s="75">
        <v>450</v>
      </c>
      <c r="K72" s="60">
        <v>35</v>
      </c>
      <c r="O72" s="78"/>
    </row>
    <row r="73" spans="1:15" ht="24" customHeight="1" x14ac:dyDescent="0.2">
      <c r="A73" s="52">
        <v>62</v>
      </c>
      <c r="B73" s="61" t="str">
        <f>'[1]Necesidades Trimestrales'!B72</f>
        <v>2.1.1-6539.8</v>
      </c>
      <c r="C73" s="150" t="s">
        <v>110</v>
      </c>
      <c r="D73" s="150" t="s">
        <v>110</v>
      </c>
      <c r="E73" s="150" t="s">
        <v>110</v>
      </c>
      <c r="F73" s="150" t="s">
        <v>110</v>
      </c>
      <c r="G73" s="150" t="s">
        <v>110</v>
      </c>
      <c r="H73" s="58" t="s">
        <v>165</v>
      </c>
      <c r="I73" s="59" t="s">
        <v>156</v>
      </c>
      <c r="J73" s="75">
        <v>30</v>
      </c>
      <c r="K73" s="60">
        <v>5</v>
      </c>
      <c r="O73" s="78"/>
    </row>
    <row r="74" spans="1:15" ht="24" customHeight="1" x14ac:dyDescent="0.2">
      <c r="A74" s="52">
        <v>63</v>
      </c>
      <c r="B74" s="61" t="str">
        <f>'[1]Necesidades Trimestrales'!B73</f>
        <v>2.1.1-489.181</v>
      </c>
      <c r="C74" s="150" t="s">
        <v>111</v>
      </c>
      <c r="D74" s="150" t="s">
        <v>111</v>
      </c>
      <c r="E74" s="150" t="s">
        <v>111</v>
      </c>
      <c r="F74" s="150" t="s">
        <v>111</v>
      </c>
      <c r="G74" s="150" t="s">
        <v>111</v>
      </c>
      <c r="H74" s="58" t="s">
        <v>165</v>
      </c>
      <c r="I74" s="59" t="s">
        <v>166</v>
      </c>
      <c r="J74" s="75">
        <v>110</v>
      </c>
      <c r="K74" s="60">
        <v>7</v>
      </c>
      <c r="O74" s="78"/>
    </row>
    <row r="75" spans="1:15" ht="24" customHeight="1" x14ac:dyDescent="0.2">
      <c r="A75" s="52">
        <v>64</v>
      </c>
      <c r="B75" s="62" t="str">
        <f>'[1]Necesidades Trimestrales'!B74</f>
        <v>2.1.1-489.85</v>
      </c>
      <c r="C75" s="150" t="s">
        <v>112</v>
      </c>
      <c r="D75" s="150" t="s">
        <v>112</v>
      </c>
      <c r="E75" s="150" t="s">
        <v>112</v>
      </c>
      <c r="F75" s="150" t="s">
        <v>112</v>
      </c>
      <c r="G75" s="150" t="s">
        <v>112</v>
      </c>
      <c r="H75" s="58" t="s">
        <v>165</v>
      </c>
      <c r="I75" s="59" t="s">
        <v>158</v>
      </c>
      <c r="J75" s="75">
        <v>54</v>
      </c>
      <c r="K75" s="60">
        <v>20</v>
      </c>
      <c r="O75" s="78"/>
    </row>
    <row r="76" spans="1:15" ht="24" customHeight="1" x14ac:dyDescent="0.2">
      <c r="A76" s="52">
        <v>65</v>
      </c>
      <c r="B76" s="62" t="str">
        <f>'[1]Necesidades Trimestrales'!B77</f>
        <v>2.1.1-6546.335</v>
      </c>
      <c r="C76" s="150" t="s">
        <v>113</v>
      </c>
      <c r="D76" s="150" t="s">
        <v>113</v>
      </c>
      <c r="E76" s="150" t="s">
        <v>113</v>
      </c>
      <c r="F76" s="150" t="s">
        <v>113</v>
      </c>
      <c r="G76" s="150" t="s">
        <v>113</v>
      </c>
      <c r="H76" s="58" t="s">
        <v>165</v>
      </c>
      <c r="I76" s="59" t="s">
        <v>157</v>
      </c>
      <c r="J76" s="75">
        <f>32*20</f>
        <v>640</v>
      </c>
      <c r="K76" s="60">
        <v>16</v>
      </c>
      <c r="O76" s="78"/>
    </row>
    <row r="77" spans="1:15" ht="24" customHeight="1" x14ac:dyDescent="0.2">
      <c r="A77" s="52">
        <v>66</v>
      </c>
      <c r="B77" s="62" t="str">
        <f>'[1]Necesidades Trimestrales'!B78</f>
        <v>2.1.1-541.29</v>
      </c>
      <c r="C77" s="150" t="s">
        <v>114</v>
      </c>
      <c r="D77" s="150" t="s">
        <v>114</v>
      </c>
      <c r="E77" s="150" t="s">
        <v>114</v>
      </c>
      <c r="F77" s="150" t="s">
        <v>114</v>
      </c>
      <c r="G77" s="150" t="s">
        <v>114</v>
      </c>
      <c r="H77" s="58" t="s">
        <v>165</v>
      </c>
      <c r="I77" s="59" t="s">
        <v>153</v>
      </c>
      <c r="J77" s="75">
        <v>500</v>
      </c>
      <c r="K77" s="60">
        <v>100</v>
      </c>
      <c r="O77" s="78"/>
    </row>
    <row r="78" spans="1:15" ht="24" customHeight="1" x14ac:dyDescent="0.2">
      <c r="A78" s="52">
        <v>67</v>
      </c>
      <c r="B78" s="62" t="str">
        <f>'[1]Necesidades Trimestrales'!B79</f>
        <v>2.1.1-621.20</v>
      </c>
      <c r="C78" s="150" t="s">
        <v>115</v>
      </c>
      <c r="D78" s="150" t="s">
        <v>115</v>
      </c>
      <c r="E78" s="150" t="s">
        <v>115</v>
      </c>
      <c r="F78" s="150" t="s">
        <v>115</v>
      </c>
      <c r="G78" s="150" t="s">
        <v>115</v>
      </c>
      <c r="H78" s="58" t="s">
        <v>165</v>
      </c>
      <c r="I78" s="59" t="s">
        <v>155</v>
      </c>
      <c r="J78" s="75">
        <v>2420</v>
      </c>
      <c r="K78" s="60">
        <v>30</v>
      </c>
      <c r="O78" s="78"/>
    </row>
    <row r="79" spans="1:15" ht="24" customHeight="1" x14ac:dyDescent="0.2">
      <c r="A79" s="52">
        <v>68</v>
      </c>
      <c r="B79" s="62" t="str">
        <f>'[1]Necesidades Trimestrales'!B80</f>
        <v>2.1.1-6539.32</v>
      </c>
      <c r="C79" s="150" t="s">
        <v>116</v>
      </c>
      <c r="D79" s="150" t="s">
        <v>116</v>
      </c>
      <c r="E79" s="150" t="s">
        <v>116</v>
      </c>
      <c r="F79" s="150" t="s">
        <v>116</v>
      </c>
      <c r="G79" s="150" t="s">
        <v>116</v>
      </c>
      <c r="H79" s="58" t="s">
        <v>165</v>
      </c>
      <c r="I79" s="59" t="s">
        <v>156</v>
      </c>
      <c r="J79" s="75">
        <v>1650</v>
      </c>
      <c r="K79" s="60">
        <v>9</v>
      </c>
      <c r="O79" s="78"/>
    </row>
    <row r="80" spans="1:15" ht="24" customHeight="1" x14ac:dyDescent="0.2">
      <c r="A80" s="52">
        <v>69</v>
      </c>
      <c r="B80" s="62" t="str">
        <f>'[1]Necesidades Trimestrales'!B81</f>
        <v>2.1.1-6546.133</v>
      </c>
      <c r="C80" s="150" t="s">
        <v>117</v>
      </c>
      <c r="D80" s="150" t="s">
        <v>117</v>
      </c>
      <c r="E80" s="150" t="s">
        <v>117</v>
      </c>
      <c r="F80" s="150" t="s">
        <v>117</v>
      </c>
      <c r="G80" s="150" t="s">
        <v>117</v>
      </c>
      <c r="H80" s="58" t="s">
        <v>165</v>
      </c>
      <c r="I80" s="59" t="s">
        <v>151</v>
      </c>
      <c r="J80" s="75">
        <v>40</v>
      </c>
      <c r="K80" s="60">
        <v>16</v>
      </c>
      <c r="O80" s="78"/>
    </row>
    <row r="81" spans="1:15" ht="24" customHeight="1" x14ac:dyDescent="0.2">
      <c r="A81" s="52">
        <v>70</v>
      </c>
      <c r="B81" s="61" t="str">
        <f>'[1]Necesidades Trimestrales'!B82</f>
        <v>2.1.1-489.97</v>
      </c>
      <c r="C81" s="150" t="s">
        <v>118</v>
      </c>
      <c r="D81" s="150" t="s">
        <v>118</v>
      </c>
      <c r="E81" s="150" t="s">
        <v>118</v>
      </c>
      <c r="F81" s="150" t="s">
        <v>118</v>
      </c>
      <c r="G81" s="150" t="s">
        <v>118</v>
      </c>
      <c r="H81" s="58" t="s">
        <v>165</v>
      </c>
      <c r="I81" s="59" t="s">
        <v>154</v>
      </c>
      <c r="J81" s="75">
        <v>29</v>
      </c>
      <c r="K81" s="60">
        <v>20</v>
      </c>
      <c r="O81" s="78"/>
    </row>
    <row r="82" spans="1:15" ht="24" customHeight="1" x14ac:dyDescent="0.2">
      <c r="A82" s="52">
        <v>71</v>
      </c>
      <c r="B82" s="62" t="str">
        <f>'[1]Necesidades Trimestrales'!B83</f>
        <v>2.1.1-489.162</v>
      </c>
      <c r="C82" s="150" t="s">
        <v>119</v>
      </c>
      <c r="D82" s="150" t="s">
        <v>119</v>
      </c>
      <c r="E82" s="150" t="s">
        <v>119</v>
      </c>
      <c r="F82" s="150" t="s">
        <v>119</v>
      </c>
      <c r="G82" s="150" t="s">
        <v>119</v>
      </c>
      <c r="H82" s="58" t="s">
        <v>165</v>
      </c>
      <c r="I82" s="59" t="s">
        <v>166</v>
      </c>
      <c r="J82" s="76">
        <v>36</v>
      </c>
      <c r="K82" s="60">
        <v>5</v>
      </c>
      <c r="O82" s="78"/>
    </row>
    <row r="83" spans="1:15" ht="24" customHeight="1" x14ac:dyDescent="0.2">
      <c r="A83" s="52">
        <v>72</v>
      </c>
      <c r="B83" s="61" t="str">
        <f>'[1]Necesidades Trimestrales'!B84</f>
        <v>2.1.1-6546.365</v>
      </c>
      <c r="C83" s="150" t="s">
        <v>120</v>
      </c>
      <c r="D83" s="150" t="s">
        <v>120</v>
      </c>
      <c r="E83" s="150" t="s">
        <v>120</v>
      </c>
      <c r="F83" s="150" t="s">
        <v>120</v>
      </c>
      <c r="G83" s="150" t="s">
        <v>120</v>
      </c>
      <c r="H83" s="58" t="s">
        <v>165</v>
      </c>
      <c r="I83" s="59" t="s">
        <v>156</v>
      </c>
      <c r="J83" s="75">
        <v>1370</v>
      </c>
      <c r="K83" s="60">
        <v>8</v>
      </c>
      <c r="O83" s="78"/>
    </row>
    <row r="84" spans="1:15" ht="24" customHeight="1" x14ac:dyDescent="0.2">
      <c r="A84" s="52">
        <v>73</v>
      </c>
      <c r="B84" s="48" t="str">
        <f>'[1]Necesidades Trimestrales'!B85</f>
        <v>2.1.1-6546.95</v>
      </c>
      <c r="C84" s="150" t="s">
        <v>121</v>
      </c>
      <c r="D84" s="150" t="s">
        <v>121</v>
      </c>
      <c r="E84" s="150" t="s">
        <v>121</v>
      </c>
      <c r="F84" s="150" t="s">
        <v>121</v>
      </c>
      <c r="G84" s="150" t="s">
        <v>121</v>
      </c>
      <c r="H84" s="58" t="s">
        <v>165</v>
      </c>
      <c r="I84" s="59" t="s">
        <v>153</v>
      </c>
      <c r="J84" s="75">
        <v>85</v>
      </c>
      <c r="K84" s="60">
        <v>80</v>
      </c>
      <c r="O84" s="78"/>
    </row>
    <row r="85" spans="1:15" ht="24" customHeight="1" x14ac:dyDescent="0.2">
      <c r="A85" s="52">
        <v>74</v>
      </c>
      <c r="B85" s="48" t="str">
        <f>'[1]Necesidades Trimestrales'!B86</f>
        <v>2.1.1-489.190</v>
      </c>
      <c r="C85" s="150" t="s">
        <v>122</v>
      </c>
      <c r="D85" s="150" t="s">
        <v>122</v>
      </c>
      <c r="E85" s="150" t="s">
        <v>122</v>
      </c>
      <c r="F85" s="150" t="s">
        <v>122</v>
      </c>
      <c r="G85" s="150" t="s">
        <v>122</v>
      </c>
      <c r="H85" s="58" t="s">
        <v>165</v>
      </c>
      <c r="I85" s="59" t="s">
        <v>158</v>
      </c>
      <c r="J85" s="75">
        <v>50</v>
      </c>
      <c r="K85" s="60">
        <v>20</v>
      </c>
      <c r="O85" s="78"/>
    </row>
    <row r="86" spans="1:15" ht="24" customHeight="1" x14ac:dyDescent="0.2">
      <c r="A86" s="52">
        <v>75</v>
      </c>
      <c r="B86" s="61" t="str">
        <f>'[1]Necesidades Trimestrales'!B87</f>
        <v>2.1.1-542.236</v>
      </c>
      <c r="C86" s="150" t="s">
        <v>123</v>
      </c>
      <c r="D86" s="150" t="s">
        <v>123</v>
      </c>
      <c r="E86" s="150" t="s">
        <v>123</v>
      </c>
      <c r="F86" s="150" t="s">
        <v>123</v>
      </c>
      <c r="G86" s="150" t="s">
        <v>123</v>
      </c>
      <c r="H86" s="58" t="s">
        <v>165</v>
      </c>
      <c r="I86" s="59" t="s">
        <v>153</v>
      </c>
      <c r="J86" s="75">
        <v>400</v>
      </c>
      <c r="K86" s="60">
        <v>65</v>
      </c>
      <c r="O86" s="78"/>
    </row>
    <row r="87" spans="1:15" ht="24" customHeight="1" x14ac:dyDescent="0.2">
      <c r="A87" s="52">
        <v>76</v>
      </c>
      <c r="B87" s="61" t="str">
        <f>'[1]Necesidades Trimestrales'!B88</f>
        <v>2.1.1-542.240</v>
      </c>
      <c r="C87" s="150" t="s">
        <v>124</v>
      </c>
      <c r="D87" s="150" t="s">
        <v>124</v>
      </c>
      <c r="E87" s="150" t="s">
        <v>124</v>
      </c>
      <c r="F87" s="150" t="s">
        <v>124</v>
      </c>
      <c r="G87" s="150" t="s">
        <v>124</v>
      </c>
      <c r="H87" s="58" t="s">
        <v>165</v>
      </c>
      <c r="I87" s="59" t="s">
        <v>161</v>
      </c>
      <c r="J87" s="75">
        <f>518.76*4</f>
        <v>2075.04</v>
      </c>
      <c r="K87" s="60">
        <v>4</v>
      </c>
      <c r="O87" s="78"/>
    </row>
    <row r="88" spans="1:15" ht="24" customHeight="1" x14ac:dyDescent="0.2">
      <c r="A88" s="52">
        <v>77</v>
      </c>
      <c r="B88" s="61" t="str">
        <f>'[1]Necesidades Trimestrales'!B89</f>
        <v>2.1.1-542.225</v>
      </c>
      <c r="C88" s="150" t="s">
        <v>125</v>
      </c>
      <c r="D88" s="150" t="s">
        <v>125</v>
      </c>
      <c r="E88" s="150" t="s">
        <v>125</v>
      </c>
      <c r="F88" s="150" t="s">
        <v>125</v>
      </c>
      <c r="G88" s="150" t="s">
        <v>125</v>
      </c>
      <c r="H88" s="58" t="s">
        <v>165</v>
      </c>
      <c r="I88" s="59" t="s">
        <v>153</v>
      </c>
      <c r="J88" s="75">
        <v>547.5</v>
      </c>
      <c r="K88" s="60">
        <v>15</v>
      </c>
      <c r="O88" s="78"/>
    </row>
    <row r="89" spans="1:15" ht="24" customHeight="1" x14ac:dyDescent="0.2">
      <c r="A89" s="52">
        <v>78</v>
      </c>
      <c r="B89" s="61" t="str">
        <f>'[1]Necesidades Trimestrales'!B90</f>
        <v>2.1.1-707.38</v>
      </c>
      <c r="C89" s="150" t="s">
        <v>126</v>
      </c>
      <c r="D89" s="150" t="s">
        <v>126</v>
      </c>
      <c r="E89" s="150" t="s">
        <v>126</v>
      </c>
      <c r="F89" s="150" t="s">
        <v>126</v>
      </c>
      <c r="G89" s="150" t="s">
        <v>126</v>
      </c>
      <c r="H89" s="58" t="s">
        <v>165</v>
      </c>
      <c r="I89" s="59" t="s">
        <v>166</v>
      </c>
      <c r="J89" s="75">
        <v>85</v>
      </c>
      <c r="K89" s="60">
        <v>26</v>
      </c>
      <c r="O89" s="78"/>
    </row>
    <row r="90" spans="1:15" ht="24" customHeight="1" x14ac:dyDescent="0.2">
      <c r="A90" s="52">
        <v>79</v>
      </c>
      <c r="B90" s="62" t="str">
        <f>'[1]Necesidades Trimestrales'!B91</f>
        <v>2.1.1-514.2</v>
      </c>
      <c r="C90" s="150" t="s">
        <v>127</v>
      </c>
      <c r="D90" s="150" t="s">
        <v>127</v>
      </c>
      <c r="E90" s="150" t="s">
        <v>127</v>
      </c>
      <c r="F90" s="150" t="s">
        <v>127</v>
      </c>
      <c r="G90" s="150" t="s">
        <v>127</v>
      </c>
      <c r="H90" s="58" t="s">
        <v>165</v>
      </c>
      <c r="I90" s="59" t="s">
        <v>154</v>
      </c>
      <c r="J90" s="75">
        <v>50</v>
      </c>
      <c r="K90" s="60">
        <v>40</v>
      </c>
      <c r="O90" s="78"/>
    </row>
    <row r="91" spans="1:15" ht="24" customHeight="1" x14ac:dyDescent="0.2">
      <c r="A91" s="52">
        <v>80</v>
      </c>
      <c r="B91" s="62" t="str">
        <f>'[1]Necesidades Trimestrales'!B92</f>
        <v>2.1.1-514.15</v>
      </c>
      <c r="C91" s="150" t="s">
        <v>128</v>
      </c>
      <c r="D91" s="150" t="s">
        <v>128</v>
      </c>
      <c r="E91" s="150" t="s">
        <v>128</v>
      </c>
      <c r="F91" s="150" t="s">
        <v>128</v>
      </c>
      <c r="G91" s="150" t="s">
        <v>128</v>
      </c>
      <c r="H91" s="58" t="s">
        <v>165</v>
      </c>
      <c r="I91" s="59" t="s">
        <v>157</v>
      </c>
      <c r="J91" s="75">
        <v>60</v>
      </c>
      <c r="K91" s="60">
        <v>8</v>
      </c>
      <c r="O91" s="78"/>
    </row>
    <row r="92" spans="1:15" ht="24" customHeight="1" x14ac:dyDescent="0.2">
      <c r="A92" s="52">
        <v>81</v>
      </c>
      <c r="B92" s="61" t="str">
        <f>'[1]Necesidades Trimestrales'!B93</f>
        <v>2.1.1-2610.1</v>
      </c>
      <c r="C92" s="150" t="s">
        <v>129</v>
      </c>
      <c r="D92" s="150" t="s">
        <v>129</v>
      </c>
      <c r="E92" s="150" t="s">
        <v>129</v>
      </c>
      <c r="F92" s="150" t="s">
        <v>129</v>
      </c>
      <c r="G92" s="150" t="s">
        <v>129</v>
      </c>
      <c r="H92" s="58" t="s">
        <v>165</v>
      </c>
      <c r="I92" s="59" t="s">
        <v>157</v>
      </c>
      <c r="J92" s="75">
        <v>55</v>
      </c>
      <c r="K92" s="60">
        <v>65</v>
      </c>
      <c r="O92" s="78"/>
    </row>
    <row r="93" spans="1:15" ht="24" customHeight="1" x14ac:dyDescent="0.2">
      <c r="A93" s="52">
        <v>82</v>
      </c>
      <c r="B93" s="62" t="str">
        <f>'[1]Necesidades Trimestrales'!B94</f>
        <v>2.1.1-2429.4</v>
      </c>
      <c r="C93" s="150" t="s">
        <v>130</v>
      </c>
      <c r="D93" s="150" t="s">
        <v>130</v>
      </c>
      <c r="E93" s="150" t="s">
        <v>130</v>
      </c>
      <c r="F93" s="150" t="s">
        <v>130</v>
      </c>
      <c r="G93" s="150" t="s">
        <v>130</v>
      </c>
      <c r="H93" s="58" t="s">
        <v>165</v>
      </c>
      <c r="I93" s="59" t="s">
        <v>166</v>
      </c>
      <c r="J93" s="75">
        <v>75</v>
      </c>
      <c r="K93" s="60">
        <v>40</v>
      </c>
      <c r="O93" s="78"/>
    </row>
    <row r="94" spans="1:15" ht="24" customHeight="1" x14ac:dyDescent="0.2">
      <c r="A94" s="52">
        <v>83</v>
      </c>
      <c r="B94" s="62" t="str">
        <f>'[1]Necesidades Trimestrales'!B95</f>
        <v>2.1.1-511.6</v>
      </c>
      <c r="C94" s="150" t="s">
        <v>131</v>
      </c>
      <c r="D94" s="150" t="s">
        <v>131</v>
      </c>
      <c r="E94" s="150" t="s">
        <v>131</v>
      </c>
      <c r="F94" s="150" t="s">
        <v>131</v>
      </c>
      <c r="G94" s="150" t="s">
        <v>131</v>
      </c>
      <c r="H94" s="58" t="s">
        <v>165</v>
      </c>
      <c r="I94" s="59" t="s">
        <v>155</v>
      </c>
      <c r="J94" s="75">
        <v>83.5</v>
      </c>
      <c r="K94" s="60">
        <v>25</v>
      </c>
      <c r="O94" s="78"/>
    </row>
    <row r="95" spans="1:15" ht="24" customHeight="1" x14ac:dyDescent="0.2">
      <c r="A95" s="52">
        <v>84</v>
      </c>
      <c r="B95" s="62" t="str">
        <f>'[1]Necesidades Trimestrales'!B96</f>
        <v>2.1.1-6546.18</v>
      </c>
      <c r="C95" s="150" t="s">
        <v>132</v>
      </c>
      <c r="D95" s="150" t="s">
        <v>132</v>
      </c>
      <c r="E95" s="150" t="s">
        <v>132</v>
      </c>
      <c r="F95" s="150" t="s">
        <v>132</v>
      </c>
      <c r="G95" s="150" t="s">
        <v>132</v>
      </c>
      <c r="H95" s="58" t="s">
        <v>165</v>
      </c>
      <c r="I95" s="59" t="s">
        <v>153</v>
      </c>
      <c r="J95" s="75">
        <v>900</v>
      </c>
      <c r="K95" s="60">
        <v>8</v>
      </c>
      <c r="O95" s="78"/>
    </row>
    <row r="96" spans="1:15" ht="24" customHeight="1" x14ac:dyDescent="0.2">
      <c r="A96" s="52">
        <v>85</v>
      </c>
      <c r="B96" s="62" t="str">
        <f>'[1]Necesidades Trimestrales'!B97</f>
        <v>2.1.1-6546.5</v>
      </c>
      <c r="C96" s="150" t="s">
        <v>133</v>
      </c>
      <c r="D96" s="150" t="s">
        <v>133</v>
      </c>
      <c r="E96" s="150" t="s">
        <v>133</v>
      </c>
      <c r="F96" s="150" t="s">
        <v>133</v>
      </c>
      <c r="G96" s="150" t="s">
        <v>133</v>
      </c>
      <c r="H96" s="58" t="s">
        <v>165</v>
      </c>
      <c r="I96" s="59" t="s">
        <v>159</v>
      </c>
      <c r="J96" s="75">
        <v>110</v>
      </c>
      <c r="K96" s="60">
        <v>86</v>
      </c>
      <c r="O96" s="78"/>
    </row>
    <row r="97" spans="1:15" ht="24" customHeight="1" x14ac:dyDescent="0.2">
      <c r="A97" s="52">
        <v>86</v>
      </c>
      <c r="B97" s="62" t="str">
        <f>'[1]Necesidades Trimestrales'!B98</f>
        <v>2.1.1-519.23</v>
      </c>
      <c r="C97" s="150" t="s">
        <v>134</v>
      </c>
      <c r="D97" s="150" t="s">
        <v>134</v>
      </c>
      <c r="E97" s="150" t="s">
        <v>134</v>
      </c>
      <c r="F97" s="150" t="s">
        <v>134</v>
      </c>
      <c r="G97" s="150" t="s">
        <v>134</v>
      </c>
      <c r="H97" s="58" t="s">
        <v>165</v>
      </c>
      <c r="I97" s="59" t="s">
        <v>166</v>
      </c>
      <c r="J97" s="75">
        <v>108</v>
      </c>
      <c r="K97" s="60">
        <v>4</v>
      </c>
      <c r="O97" s="78"/>
    </row>
    <row r="98" spans="1:15" ht="24" customHeight="1" x14ac:dyDescent="0.2">
      <c r="A98" s="52">
        <v>87</v>
      </c>
      <c r="B98" s="61" t="str">
        <f>'[1]Necesidades Trimestrales'!B99</f>
        <v>2.1.1-454.25</v>
      </c>
      <c r="C98" s="150" t="s">
        <v>135</v>
      </c>
      <c r="D98" s="150" t="s">
        <v>135</v>
      </c>
      <c r="E98" s="150" t="s">
        <v>135</v>
      </c>
      <c r="F98" s="150" t="s">
        <v>135</v>
      </c>
      <c r="G98" s="150" t="s">
        <v>135</v>
      </c>
      <c r="H98" s="58" t="s">
        <v>165</v>
      </c>
      <c r="I98" s="59" t="s">
        <v>166</v>
      </c>
      <c r="J98" s="75">
        <v>315</v>
      </c>
      <c r="K98" s="60">
        <v>4</v>
      </c>
      <c r="O98" s="78"/>
    </row>
    <row r="99" spans="1:15" ht="24" customHeight="1" x14ac:dyDescent="0.2">
      <c r="A99" s="52">
        <v>88</v>
      </c>
      <c r="B99" s="62" t="str">
        <f>'[1]Necesidades Trimestrales'!B100</f>
        <v>2.1.1-456.91</v>
      </c>
      <c r="C99" s="150" t="s">
        <v>136</v>
      </c>
      <c r="D99" s="150" t="s">
        <v>136</v>
      </c>
      <c r="E99" s="150" t="s">
        <v>136</v>
      </c>
      <c r="F99" s="150" t="s">
        <v>136</v>
      </c>
      <c r="G99" s="150" t="s">
        <v>136</v>
      </c>
      <c r="H99" s="58" t="s">
        <v>165</v>
      </c>
      <c r="I99" s="59" t="s">
        <v>38</v>
      </c>
      <c r="J99" s="75">
        <v>59.79</v>
      </c>
      <c r="K99" s="60">
        <v>50</v>
      </c>
      <c r="O99" s="78"/>
    </row>
    <row r="100" spans="1:15" ht="24" customHeight="1" x14ac:dyDescent="0.2">
      <c r="A100" s="52">
        <v>89</v>
      </c>
      <c r="B100" s="61" t="str">
        <f>'[1]Necesidades Trimestrales'!B101</f>
        <v>2.1.1-456.90</v>
      </c>
      <c r="C100" s="150" t="s">
        <v>137</v>
      </c>
      <c r="D100" s="150" t="s">
        <v>137</v>
      </c>
      <c r="E100" s="150" t="s">
        <v>137</v>
      </c>
      <c r="F100" s="150" t="s">
        <v>137</v>
      </c>
      <c r="G100" s="150" t="s">
        <v>137</v>
      </c>
      <c r="H100" s="58" t="s">
        <v>165</v>
      </c>
      <c r="I100" s="59" t="s">
        <v>38</v>
      </c>
      <c r="J100" s="75">
        <v>59.75</v>
      </c>
      <c r="K100" s="60">
        <v>50</v>
      </c>
      <c r="O100" s="78"/>
    </row>
    <row r="101" spans="1:15" ht="24" customHeight="1" x14ac:dyDescent="0.2">
      <c r="A101" s="52">
        <v>90</v>
      </c>
      <c r="B101" s="48" t="str">
        <f>'[1]Necesidades Trimestrales'!B102</f>
        <v>2.1.1-6546.403</v>
      </c>
      <c r="C101" s="150" t="s">
        <v>138</v>
      </c>
      <c r="D101" s="150" t="s">
        <v>138</v>
      </c>
      <c r="E101" s="150" t="s">
        <v>138</v>
      </c>
      <c r="F101" s="150" t="s">
        <v>138</v>
      </c>
      <c r="G101" s="150" t="s">
        <v>138</v>
      </c>
      <c r="H101" s="58" t="s">
        <v>165</v>
      </c>
      <c r="I101" s="59" t="s">
        <v>157</v>
      </c>
      <c r="J101" s="75">
        <v>640</v>
      </c>
      <c r="K101" s="60">
        <v>8</v>
      </c>
      <c r="O101" s="78"/>
    </row>
    <row r="102" spans="1:15" ht="24" customHeight="1" x14ac:dyDescent="0.2">
      <c r="A102" s="52">
        <v>91</v>
      </c>
      <c r="B102" s="48" t="str">
        <f>'[1]Necesidades Trimestrales'!B103</f>
        <v>2.1.1-6546.151</v>
      </c>
      <c r="C102" s="150" t="s">
        <v>139</v>
      </c>
      <c r="D102" s="150" t="s">
        <v>139</v>
      </c>
      <c r="E102" s="150" t="s">
        <v>139</v>
      </c>
      <c r="F102" s="150" t="s">
        <v>139</v>
      </c>
      <c r="G102" s="150" t="s">
        <v>139</v>
      </c>
      <c r="H102" s="58" t="s">
        <v>165</v>
      </c>
      <c r="I102" s="59" t="s">
        <v>156</v>
      </c>
      <c r="J102" s="75">
        <v>650</v>
      </c>
      <c r="K102" s="60">
        <v>5</v>
      </c>
      <c r="O102" s="78"/>
    </row>
    <row r="103" spans="1:15" ht="24" customHeight="1" x14ac:dyDescent="0.2">
      <c r="A103" s="52">
        <v>92</v>
      </c>
      <c r="B103" s="61" t="str">
        <f>'[1]Necesidades Trimestrales'!B104</f>
        <v>2.1.1-6546.298</v>
      </c>
      <c r="C103" s="150" t="s">
        <v>140</v>
      </c>
      <c r="D103" s="150" t="s">
        <v>140</v>
      </c>
      <c r="E103" s="150" t="s">
        <v>140</v>
      </c>
      <c r="F103" s="150" t="s">
        <v>140</v>
      </c>
      <c r="G103" s="150" t="s">
        <v>140</v>
      </c>
      <c r="H103" s="58" t="s">
        <v>165</v>
      </c>
      <c r="I103" s="59" t="s">
        <v>156</v>
      </c>
      <c r="J103" s="75">
        <v>990</v>
      </c>
      <c r="K103" s="60">
        <v>4</v>
      </c>
      <c r="O103" s="78"/>
    </row>
    <row r="104" spans="1:15" ht="24" customHeight="1" x14ac:dyDescent="0.2">
      <c r="A104" s="52">
        <v>93</v>
      </c>
      <c r="B104" s="62" t="str">
        <f>'[1]Necesidades Trimestrales'!B105</f>
        <v>2.1.1-6546.159</v>
      </c>
      <c r="C104" s="150" t="s">
        <v>141</v>
      </c>
      <c r="D104" s="150" t="s">
        <v>141</v>
      </c>
      <c r="E104" s="150" t="s">
        <v>141</v>
      </c>
      <c r="F104" s="150" t="s">
        <v>141</v>
      </c>
      <c r="G104" s="150" t="s">
        <v>141</v>
      </c>
      <c r="H104" s="58" t="s">
        <v>165</v>
      </c>
      <c r="I104" s="59" t="s">
        <v>157</v>
      </c>
      <c r="J104" s="75">
        <v>760</v>
      </c>
      <c r="K104" s="60">
        <v>4</v>
      </c>
      <c r="O104" s="78"/>
    </row>
    <row r="105" spans="1:15" ht="24" customHeight="1" x14ac:dyDescent="0.2">
      <c r="A105" s="52">
        <v>94</v>
      </c>
      <c r="B105" s="61" t="str">
        <f>'[1]Necesidades Trimestrales'!B106</f>
        <v>2.1.1-6546.162</v>
      </c>
      <c r="C105" s="150" t="s">
        <v>142</v>
      </c>
      <c r="D105" s="150" t="s">
        <v>142</v>
      </c>
      <c r="E105" s="150" t="s">
        <v>142</v>
      </c>
      <c r="F105" s="150" t="s">
        <v>142</v>
      </c>
      <c r="G105" s="150" t="s">
        <v>142</v>
      </c>
      <c r="H105" s="58" t="s">
        <v>165</v>
      </c>
      <c r="I105" s="59" t="s">
        <v>38</v>
      </c>
      <c r="J105" s="75">
        <v>35</v>
      </c>
      <c r="K105" s="60">
        <v>5</v>
      </c>
      <c r="O105" s="78"/>
    </row>
    <row r="106" spans="1:15" ht="24" customHeight="1" x14ac:dyDescent="0.2">
      <c r="A106" s="52">
        <v>95</v>
      </c>
      <c r="B106" s="61" t="str">
        <f>'[1]Necesidades Trimestrales'!B107</f>
        <v>2.1.1-438.30</v>
      </c>
      <c r="C106" s="150" t="s">
        <v>143</v>
      </c>
      <c r="D106" s="150" t="s">
        <v>143</v>
      </c>
      <c r="E106" s="150" t="s">
        <v>143</v>
      </c>
      <c r="F106" s="150" t="s">
        <v>143</v>
      </c>
      <c r="G106" s="150" t="s">
        <v>143</v>
      </c>
      <c r="H106" s="58" t="s">
        <v>165</v>
      </c>
      <c r="I106" s="59" t="s">
        <v>38</v>
      </c>
      <c r="J106" s="75">
        <v>138.33000000000001</v>
      </c>
      <c r="K106" s="60">
        <v>13</v>
      </c>
      <c r="O106" s="78"/>
    </row>
    <row r="107" spans="1:15" ht="24" customHeight="1" x14ac:dyDescent="0.2">
      <c r="A107" s="52">
        <v>96</v>
      </c>
      <c r="B107" s="61" t="str">
        <f>'[1]Necesidades Trimestrales'!B108</f>
        <v>2.1.1-438.79</v>
      </c>
      <c r="C107" s="150" t="s">
        <v>144</v>
      </c>
      <c r="D107" s="150" t="s">
        <v>144</v>
      </c>
      <c r="E107" s="150" t="s">
        <v>144</v>
      </c>
      <c r="F107" s="150" t="s">
        <v>144</v>
      </c>
      <c r="G107" s="150" t="s">
        <v>144</v>
      </c>
      <c r="H107" s="58" t="s">
        <v>165</v>
      </c>
      <c r="I107" s="59" t="s">
        <v>166</v>
      </c>
      <c r="J107" s="75">
        <v>315</v>
      </c>
      <c r="K107" s="60">
        <v>2</v>
      </c>
      <c r="O107" s="78"/>
    </row>
    <row r="108" spans="1:15" ht="24" customHeight="1" x14ac:dyDescent="0.2">
      <c r="A108" s="52">
        <v>97</v>
      </c>
      <c r="B108" s="61" t="str">
        <f>'[1]Necesidades Trimestrales'!B109</f>
        <v>2.1.1-489.183</v>
      </c>
      <c r="C108" s="150" t="s">
        <v>145</v>
      </c>
      <c r="D108" s="150" t="s">
        <v>145</v>
      </c>
      <c r="E108" s="150" t="s">
        <v>145</v>
      </c>
      <c r="F108" s="150" t="s">
        <v>145</v>
      </c>
      <c r="G108" s="150" t="s">
        <v>145</v>
      </c>
      <c r="H108" s="58" t="s">
        <v>165</v>
      </c>
      <c r="I108" s="59" t="s">
        <v>166</v>
      </c>
      <c r="J108" s="75">
        <v>36</v>
      </c>
      <c r="K108" s="60">
        <v>5</v>
      </c>
      <c r="O108" s="78"/>
    </row>
    <row r="109" spans="1:15" ht="24" customHeight="1" x14ac:dyDescent="0.2">
      <c r="A109" s="52">
        <v>98</v>
      </c>
      <c r="B109" s="62" t="str">
        <f>'[1]Necesidades Trimestrales'!B110</f>
        <v>2.1.1-6547.31</v>
      </c>
      <c r="C109" s="150" t="s">
        <v>146</v>
      </c>
      <c r="D109" s="150" t="s">
        <v>146</v>
      </c>
      <c r="E109" s="150" t="s">
        <v>146</v>
      </c>
      <c r="F109" s="150" t="s">
        <v>146</v>
      </c>
      <c r="G109" s="150" t="s">
        <v>146</v>
      </c>
      <c r="H109" s="58" t="s">
        <v>165</v>
      </c>
      <c r="I109" s="59" t="s">
        <v>157</v>
      </c>
      <c r="J109" s="75">
        <v>95.5</v>
      </c>
      <c r="K109" s="60">
        <v>4</v>
      </c>
      <c r="O109" s="78"/>
    </row>
    <row r="110" spans="1:15" ht="24" customHeight="1" x14ac:dyDescent="0.2">
      <c r="A110" s="52">
        <v>99</v>
      </c>
      <c r="B110" s="62" t="str">
        <f>'[1]Necesidades Trimestrales'!B111</f>
        <v>2.1.1-2616.9</v>
      </c>
      <c r="C110" s="150" t="s">
        <v>147</v>
      </c>
      <c r="D110" s="150" t="s">
        <v>147</v>
      </c>
      <c r="E110" s="150" t="s">
        <v>147</v>
      </c>
      <c r="F110" s="150" t="s">
        <v>147</v>
      </c>
      <c r="G110" s="150" t="s">
        <v>147</v>
      </c>
      <c r="H110" s="58" t="s">
        <v>165</v>
      </c>
      <c r="I110" s="59" t="s">
        <v>166</v>
      </c>
      <c r="J110" s="75">
        <v>80</v>
      </c>
      <c r="K110" s="60">
        <v>4</v>
      </c>
      <c r="O110" s="78"/>
    </row>
    <row r="111" spans="1:15" ht="24" customHeight="1" x14ac:dyDescent="0.2">
      <c r="A111" s="52">
        <v>100</v>
      </c>
      <c r="B111" s="61" t="str">
        <f>'[1]Necesidades Trimestrales'!B112</f>
        <v>2.1.1-482.63</v>
      </c>
      <c r="C111" s="150" t="s">
        <v>148</v>
      </c>
      <c r="D111" s="150" t="s">
        <v>148</v>
      </c>
      <c r="E111" s="150" t="s">
        <v>148</v>
      </c>
      <c r="F111" s="150" t="s">
        <v>148</v>
      </c>
      <c r="G111" s="150" t="s">
        <v>148</v>
      </c>
      <c r="H111" s="58" t="s">
        <v>165</v>
      </c>
      <c r="I111" s="59" t="s">
        <v>166</v>
      </c>
      <c r="J111" s="75">
        <v>50.02</v>
      </c>
      <c r="K111" s="60">
        <v>3</v>
      </c>
      <c r="O111" s="78"/>
    </row>
    <row r="112" spans="1:15" ht="24" customHeight="1" x14ac:dyDescent="0.2">
      <c r="A112" s="52">
        <v>101</v>
      </c>
      <c r="B112" s="62" t="str">
        <f>'[1]Necesidades Trimestrales'!B113</f>
        <v>2.1.1-5917.8</v>
      </c>
      <c r="C112" s="150" t="s">
        <v>149</v>
      </c>
      <c r="D112" s="150" t="s">
        <v>149</v>
      </c>
      <c r="E112" s="150" t="s">
        <v>149</v>
      </c>
      <c r="F112" s="150" t="s">
        <v>149</v>
      </c>
      <c r="G112" s="150" t="s">
        <v>149</v>
      </c>
      <c r="H112" s="58" t="s">
        <v>165</v>
      </c>
      <c r="I112" s="59" t="s">
        <v>166</v>
      </c>
      <c r="J112" s="75">
        <v>95</v>
      </c>
      <c r="K112" s="60">
        <v>35</v>
      </c>
      <c r="O112" s="78"/>
    </row>
    <row r="113" spans="1:15" ht="24" customHeight="1" x14ac:dyDescent="0.2">
      <c r="A113" s="52">
        <v>102</v>
      </c>
      <c r="B113" s="62" t="str">
        <f>'[1]Necesidades Trimestrales'!B114</f>
        <v>2.1.1-4975.2</v>
      </c>
      <c r="C113" s="150" t="s">
        <v>150</v>
      </c>
      <c r="D113" s="150" t="s">
        <v>150</v>
      </c>
      <c r="E113" s="150" t="s">
        <v>150</v>
      </c>
      <c r="F113" s="150" t="s">
        <v>150</v>
      </c>
      <c r="G113" s="150" t="s">
        <v>150</v>
      </c>
      <c r="H113" s="58" t="s">
        <v>165</v>
      </c>
      <c r="I113" s="59" t="s">
        <v>154</v>
      </c>
      <c r="J113" s="75">
        <v>326</v>
      </c>
      <c r="K113" s="60">
        <v>20</v>
      </c>
      <c r="O113" s="78"/>
    </row>
    <row r="114" spans="1:15" ht="25.5" customHeight="1" thickBot="1" x14ac:dyDescent="0.25">
      <c r="A114" s="148" t="s">
        <v>187</v>
      </c>
      <c r="B114" s="148"/>
      <c r="C114" s="148"/>
      <c r="D114" s="148"/>
      <c r="E114" s="148"/>
      <c r="F114" s="148"/>
      <c r="G114" s="148"/>
      <c r="H114" s="148"/>
      <c r="I114" s="148"/>
      <c r="J114" s="149">
        <f>SUMPRODUCT(J12:J113*K12:K113)</f>
        <v>1437600.57</v>
      </c>
      <c r="K114" s="149"/>
    </row>
    <row r="115" spans="1:15" ht="11.25" customHeight="1" x14ac:dyDescent="0.2">
      <c r="A115" s="1" t="s">
        <v>47</v>
      </c>
      <c r="B115" s="57"/>
      <c r="C115" s="57"/>
    </row>
  </sheetData>
  <mergeCells count="124">
    <mergeCell ref="C50:G50"/>
    <mergeCell ref="C51:G51"/>
    <mergeCell ref="C52:G52"/>
    <mergeCell ref="C53:G53"/>
    <mergeCell ref="C36:G36"/>
    <mergeCell ref="C37:G37"/>
    <mergeCell ref="C38:G38"/>
    <mergeCell ref="C39:G39"/>
    <mergeCell ref="C85:G85"/>
    <mergeCell ref="C86:G86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55:G55"/>
    <mergeCell ref="C56:G56"/>
    <mergeCell ref="C57:G57"/>
    <mergeCell ref="C58:G58"/>
    <mergeCell ref="C59:G59"/>
    <mergeCell ref="C54:G54"/>
    <mergeCell ref="C45:G45"/>
    <mergeCell ref="C46:G46"/>
    <mergeCell ref="C47:G47"/>
    <mergeCell ref="C48:G48"/>
    <mergeCell ref="C109:G109"/>
    <mergeCell ref="C110:G110"/>
    <mergeCell ref="C111:G111"/>
    <mergeCell ref="C112:G112"/>
    <mergeCell ref="C113:G113"/>
    <mergeCell ref="C64:G64"/>
    <mergeCell ref="C65:G65"/>
    <mergeCell ref="C66:G66"/>
    <mergeCell ref="C67:G67"/>
    <mergeCell ref="C68:G68"/>
    <mergeCell ref="C69:G69"/>
    <mergeCell ref="C70:G70"/>
    <mergeCell ref="C71:G71"/>
    <mergeCell ref="C106:G106"/>
    <mergeCell ref="C107:G107"/>
    <mergeCell ref="C87:G87"/>
    <mergeCell ref="C88:G88"/>
    <mergeCell ref="C89:G89"/>
    <mergeCell ref="C90:G90"/>
    <mergeCell ref="C91:G91"/>
    <mergeCell ref="C92:G92"/>
    <mergeCell ref="C93:G93"/>
    <mergeCell ref="C94:G94"/>
    <mergeCell ref="C103:G103"/>
    <mergeCell ref="C108:G108"/>
    <mergeCell ref="C104:G104"/>
    <mergeCell ref="C105:G105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98:G98"/>
    <mergeCell ref="C99:G99"/>
    <mergeCell ref="C100:G100"/>
    <mergeCell ref="C101:G101"/>
    <mergeCell ref="C102:G102"/>
    <mergeCell ref="C95:G95"/>
    <mergeCell ref="C96:G96"/>
    <mergeCell ref="C97:G97"/>
    <mergeCell ref="C83:G83"/>
    <mergeCell ref="C84:G84"/>
    <mergeCell ref="C12:G12"/>
    <mergeCell ref="A114:I114"/>
    <mergeCell ref="J114:K114"/>
    <mergeCell ref="C13:G13"/>
    <mergeCell ref="C30:G30"/>
    <mergeCell ref="C31:G31"/>
    <mergeCell ref="C32:G32"/>
    <mergeCell ref="C33:G33"/>
    <mergeCell ref="C34:G34"/>
    <mergeCell ref="C14:G14"/>
    <mergeCell ref="C15:G15"/>
    <mergeCell ref="C40:G40"/>
    <mergeCell ref="C41:G41"/>
    <mergeCell ref="C42:G42"/>
    <mergeCell ref="C43:G43"/>
    <mergeCell ref="C44:G44"/>
    <mergeCell ref="C60:G60"/>
    <mergeCell ref="C61:G61"/>
    <mergeCell ref="C62:G62"/>
    <mergeCell ref="C63:G63"/>
    <mergeCell ref="C35:G35"/>
    <mergeCell ref="C28:G28"/>
    <mergeCell ref="C29:G29"/>
    <mergeCell ref="C49:G49"/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honeticPr fontId="20" type="noConversion"/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opLeftCell="A13" zoomScale="130" zoomScaleNormal="130" workbookViewId="0">
      <selection activeCell="I20" sqref="I20"/>
    </sheetView>
  </sheetViews>
  <sheetFormatPr baseColWidth="10" defaultColWidth="11" defaultRowHeight="12.75" x14ac:dyDescent="0.2"/>
  <cols>
    <col min="1" max="5" width="4.42578125" customWidth="1"/>
    <col min="6" max="6" width="6.42578125" customWidth="1"/>
    <col min="7" max="7" width="4.42578125" style="11" customWidth="1"/>
    <col min="8" max="14" width="4.42578125" customWidth="1"/>
    <col min="15" max="15" width="14.85546875" customWidth="1"/>
    <col min="16" max="16" width="22.5703125" customWidth="1"/>
    <col min="17" max="17" width="24.5703125" customWidth="1"/>
  </cols>
  <sheetData>
    <row r="1" spans="1:17" ht="15.75" customHeight="1" x14ac:dyDescent="0.25">
      <c r="A1" s="152" t="s">
        <v>15</v>
      </c>
      <c r="B1" s="152"/>
      <c r="C1" s="152"/>
      <c r="D1" s="153"/>
      <c r="E1" s="153"/>
      <c r="F1" s="12"/>
      <c r="G1" s="12"/>
      <c r="H1" s="13"/>
      <c r="I1" s="13"/>
      <c r="J1" s="13"/>
      <c r="K1" s="13"/>
      <c r="L1" s="13"/>
      <c r="M1" s="13"/>
      <c r="N1" s="13"/>
      <c r="O1" s="14"/>
      <c r="P1" s="154" t="s">
        <v>16</v>
      </c>
      <c r="Q1" s="154"/>
    </row>
    <row r="2" spans="1:17" ht="15.75" customHeight="1" x14ac:dyDescent="0.2">
      <c r="A2" s="15"/>
      <c r="B2" s="16"/>
      <c r="C2" s="16"/>
      <c r="D2" s="16"/>
      <c r="E2" s="16"/>
      <c r="F2" s="16"/>
      <c r="G2" s="17"/>
      <c r="H2" s="18"/>
      <c r="I2" s="18"/>
      <c r="J2" s="18"/>
      <c r="K2" s="18"/>
      <c r="L2" s="18"/>
      <c r="M2" s="18"/>
      <c r="N2" s="18"/>
      <c r="O2" s="16"/>
      <c r="P2" s="154"/>
      <c r="Q2" s="154"/>
    </row>
    <row r="3" spans="1:17" x14ac:dyDescent="0.2">
      <c r="A3" s="15"/>
      <c r="B3" s="16"/>
      <c r="C3" s="16"/>
      <c r="D3" s="16"/>
      <c r="E3" s="16"/>
      <c r="F3" s="16"/>
      <c r="G3" s="17"/>
      <c r="H3" s="16"/>
      <c r="I3" s="16"/>
      <c r="J3" s="16"/>
      <c r="K3" s="16"/>
      <c r="L3" s="16"/>
      <c r="M3" s="16"/>
      <c r="N3" s="16"/>
      <c r="O3" s="16"/>
      <c r="P3" s="16"/>
      <c r="Q3" s="19"/>
    </row>
    <row r="4" spans="1:17" s="20" customFormat="1" ht="18" customHeight="1" x14ac:dyDescent="0.2">
      <c r="A4" s="155" t="s">
        <v>17</v>
      </c>
      <c r="B4" s="155"/>
      <c r="C4" s="155"/>
      <c r="D4" s="155"/>
      <c r="E4" s="155"/>
      <c r="F4" s="155"/>
      <c r="G4" s="156" t="s">
        <v>39</v>
      </c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s="20" customFormat="1" ht="18" customHeight="1" x14ac:dyDescent="0.2">
      <c r="A5" s="157" t="s">
        <v>3</v>
      </c>
      <c r="B5" s="157"/>
      <c r="C5" s="157"/>
      <c r="D5" s="157"/>
      <c r="E5" s="157"/>
      <c r="F5" s="157"/>
      <c r="G5" s="156" t="s">
        <v>40</v>
      </c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7" s="20" customFormat="1" ht="18" customHeight="1" x14ac:dyDescent="0.2">
      <c r="A6" s="157" t="s">
        <v>4</v>
      </c>
      <c r="B6" s="157"/>
      <c r="C6" s="157"/>
      <c r="D6" s="157"/>
      <c r="E6" s="157"/>
      <c r="F6" s="157"/>
      <c r="G6" s="156" t="s">
        <v>48</v>
      </c>
      <c r="H6" s="156"/>
      <c r="I6" s="156"/>
      <c r="J6" s="156"/>
      <c r="K6" s="156"/>
      <c r="L6" s="156"/>
      <c r="M6" s="156"/>
      <c r="N6" s="156"/>
      <c r="O6" s="156"/>
      <c r="P6" s="156"/>
      <c r="Q6" s="156"/>
    </row>
    <row r="7" spans="1:17" s="20" customFormat="1" ht="18" customHeight="1" x14ac:dyDescent="0.2">
      <c r="A7" s="157" t="s">
        <v>5</v>
      </c>
      <c r="B7" s="157"/>
      <c r="C7" s="157"/>
      <c r="D7" s="157"/>
      <c r="E7" s="157"/>
      <c r="F7" s="157"/>
      <c r="G7" s="156" t="s">
        <v>189</v>
      </c>
      <c r="H7" s="156"/>
      <c r="I7" s="156"/>
      <c r="J7" s="156"/>
      <c r="K7" s="156"/>
      <c r="L7" s="156"/>
      <c r="M7" s="156"/>
      <c r="N7" s="156"/>
      <c r="O7" s="156"/>
      <c r="P7" s="156"/>
      <c r="Q7" s="156"/>
    </row>
    <row r="8" spans="1:17" ht="18" customHeight="1" x14ac:dyDescent="0.2">
      <c r="A8" s="158" t="s">
        <v>18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</row>
    <row r="9" spans="1:17" ht="18" customHeight="1" x14ac:dyDescent="0.2">
      <c r="A9" s="159" t="s">
        <v>19</v>
      </c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</row>
    <row r="10" spans="1:17" ht="66" customHeight="1" x14ac:dyDescent="0.2">
      <c r="A10" s="160" t="s">
        <v>190</v>
      </c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2"/>
    </row>
    <row r="11" spans="1:17" ht="9" customHeight="1" x14ac:dyDescent="0.2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customHeight="1" x14ac:dyDescent="0.2">
      <c r="A12" s="163" t="s">
        <v>20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</row>
    <row r="13" spans="1:17" ht="15.75" customHeight="1" x14ac:dyDescent="0.2">
      <c r="A13" s="164" t="s">
        <v>21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5" t="s">
        <v>22</v>
      </c>
      <c r="P13" s="165"/>
      <c r="Q13" s="166" t="s">
        <v>23</v>
      </c>
    </row>
    <row r="14" spans="1:17" ht="15.75" customHeight="1" x14ac:dyDescent="0.2">
      <c r="A14" s="25" t="s">
        <v>24</v>
      </c>
      <c r="B14" s="26" t="s">
        <v>25</v>
      </c>
      <c r="C14" s="26" t="s">
        <v>26</v>
      </c>
      <c r="D14" s="26" t="s">
        <v>27</v>
      </c>
      <c r="E14" s="26" t="s">
        <v>28</v>
      </c>
      <c r="F14" s="26" t="s">
        <v>29</v>
      </c>
      <c r="G14" s="27" t="s">
        <v>30</v>
      </c>
      <c r="H14" s="26" t="s">
        <v>31</v>
      </c>
      <c r="I14" s="26" t="s">
        <v>32</v>
      </c>
      <c r="J14" s="26" t="s">
        <v>33</v>
      </c>
      <c r="K14" s="26" t="s">
        <v>33</v>
      </c>
      <c r="L14" s="26" t="s">
        <v>34</v>
      </c>
      <c r="M14" s="28" t="s">
        <v>35</v>
      </c>
      <c r="N14" s="29" t="s">
        <v>36</v>
      </c>
      <c r="O14" s="165"/>
      <c r="P14" s="165"/>
      <c r="Q14" s="166"/>
    </row>
    <row r="15" spans="1:17" ht="17.25" customHeight="1" x14ac:dyDescent="0.2">
      <c r="A15" s="68">
        <v>42</v>
      </c>
      <c r="B15" s="69"/>
      <c r="C15" s="69"/>
      <c r="D15" s="69">
        <v>2</v>
      </c>
      <c r="E15" s="69"/>
      <c r="F15" s="69">
        <v>4901</v>
      </c>
      <c r="G15" s="69">
        <v>3</v>
      </c>
      <c r="H15" s="69">
        <v>1</v>
      </c>
      <c r="I15" s="30">
        <v>2</v>
      </c>
      <c r="J15" s="30">
        <v>1</v>
      </c>
      <c r="K15" s="30">
        <v>1</v>
      </c>
      <c r="L15" s="30"/>
      <c r="M15" s="31">
        <v>1</v>
      </c>
      <c r="N15" s="30" t="s">
        <v>186</v>
      </c>
      <c r="O15" s="167" t="s">
        <v>162</v>
      </c>
      <c r="P15" s="167"/>
      <c r="Q15" s="32">
        <v>1437600.57</v>
      </c>
    </row>
    <row r="16" spans="1:17" ht="17.25" customHeight="1" x14ac:dyDescent="0.2">
      <c r="A16" s="70"/>
      <c r="B16" s="70"/>
      <c r="C16" s="70"/>
      <c r="D16" s="70"/>
      <c r="E16" s="70"/>
      <c r="F16" s="70"/>
      <c r="G16" s="70"/>
      <c r="H16" s="70"/>
      <c r="I16" s="67"/>
      <c r="J16" s="34"/>
      <c r="K16" s="34"/>
      <c r="L16" s="34"/>
      <c r="M16" s="35"/>
      <c r="N16" s="36"/>
      <c r="O16" s="168"/>
      <c r="P16" s="168"/>
      <c r="Q16" s="37"/>
    </row>
    <row r="17" spans="1:18" ht="17.25" customHeight="1" x14ac:dyDescent="0.2">
      <c r="A17" s="33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5"/>
      <c r="N17" s="36"/>
      <c r="O17" s="169"/>
      <c r="P17" s="169"/>
      <c r="Q17" s="37"/>
    </row>
    <row r="18" spans="1:18" ht="17.25" customHeight="1" x14ac:dyDescent="0.2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5"/>
      <c r="N18" s="65"/>
      <c r="O18" s="169"/>
      <c r="P18" s="169"/>
      <c r="Q18" s="37"/>
    </row>
    <row r="19" spans="1:18" ht="17.25" customHeight="1" x14ac:dyDescent="0.2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5"/>
      <c r="N19" s="36"/>
      <c r="O19" s="168"/>
      <c r="P19" s="168"/>
      <c r="Q19" s="37"/>
    </row>
    <row r="20" spans="1:18" ht="17.25" customHeight="1" x14ac:dyDescent="0.2">
      <c r="A20" s="33"/>
      <c r="B20" s="34"/>
      <c r="C20" s="34"/>
      <c r="D20" s="34"/>
      <c r="E20" s="34"/>
      <c r="F20" s="36"/>
      <c r="G20" s="34"/>
      <c r="H20" s="34"/>
      <c r="I20" s="34"/>
      <c r="J20" s="34"/>
      <c r="K20" s="34"/>
      <c r="L20" s="34"/>
      <c r="M20" s="35"/>
      <c r="N20" s="36"/>
      <c r="O20" s="170"/>
      <c r="P20" s="170"/>
      <c r="Q20" s="37"/>
    </row>
    <row r="21" spans="1:18" ht="17.25" customHeight="1" x14ac:dyDescent="0.2">
      <c r="A21" s="33"/>
      <c r="B21" s="34"/>
      <c r="C21" s="34"/>
      <c r="D21" s="34"/>
      <c r="E21" s="34"/>
      <c r="F21" s="36"/>
      <c r="G21" s="34"/>
      <c r="H21" s="34"/>
      <c r="I21" s="34"/>
      <c r="J21" s="34"/>
      <c r="K21" s="34"/>
      <c r="L21" s="34"/>
      <c r="M21" s="35"/>
      <c r="N21" s="36"/>
      <c r="O21" s="170"/>
      <c r="P21" s="170"/>
      <c r="Q21" s="37"/>
    </row>
    <row r="22" spans="1:18" ht="17.25" customHeight="1" x14ac:dyDescent="0.2">
      <c r="A22" s="38"/>
      <c r="B22" s="39"/>
      <c r="C22" s="39"/>
      <c r="D22" s="39"/>
      <c r="E22" s="39"/>
      <c r="F22" s="40"/>
      <c r="G22" s="39"/>
      <c r="H22" s="39"/>
      <c r="I22" s="39"/>
      <c r="J22" s="39"/>
      <c r="K22" s="39"/>
      <c r="L22" s="39"/>
      <c r="M22" s="41"/>
      <c r="N22" s="42"/>
      <c r="O22" s="174"/>
      <c r="P22" s="174"/>
      <c r="Q22" s="37"/>
      <c r="R22" s="16"/>
    </row>
    <row r="23" spans="1:18" ht="17.25" customHeight="1" x14ac:dyDescent="0.2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5"/>
      <c r="N23" s="44"/>
      <c r="O23" s="175"/>
      <c r="P23" s="175"/>
      <c r="Q23" s="46"/>
    </row>
    <row r="24" spans="1:18" ht="20.25" customHeight="1" x14ac:dyDescent="0.2">
      <c r="A24" s="176" t="s">
        <v>188</v>
      </c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47">
        <f>SUM(Q15:Q23)</f>
        <v>1437600.57</v>
      </c>
    </row>
    <row r="25" spans="1:18" ht="18" customHeight="1" x14ac:dyDescent="0.2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</row>
    <row r="26" spans="1:18" ht="17.25" customHeight="1" x14ac:dyDescent="0.2">
      <c r="A26" s="171" t="s">
        <v>37</v>
      </c>
      <c r="B26" s="171"/>
      <c r="C26" s="171"/>
      <c r="D26" s="171"/>
      <c r="E26" s="171"/>
      <c r="F26" s="171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</row>
    <row r="27" spans="1:18" ht="18" customHeight="1" x14ac:dyDescent="0.2">
      <c r="A27" s="173" t="s">
        <v>163</v>
      </c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</row>
    <row r="28" spans="1:18" ht="30" customHeight="1" x14ac:dyDescent="0.2">
      <c r="A28" s="173"/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</row>
  </sheetData>
  <mergeCells count="32">
    <mergeCell ref="O20:P20"/>
    <mergeCell ref="A26:F26"/>
    <mergeCell ref="G26:Q26"/>
    <mergeCell ref="A27:Q28"/>
    <mergeCell ref="O21:P21"/>
    <mergeCell ref="O22:P22"/>
    <mergeCell ref="O23:P23"/>
    <mergeCell ref="A24:P24"/>
    <mergeCell ref="A25:Q25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Nececidades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farce</dc:creator>
  <dc:description/>
  <cp:lastModifiedBy>ARIEL</cp:lastModifiedBy>
  <cp:revision>3</cp:revision>
  <cp:lastPrinted>2020-07-21T14:18:42Z</cp:lastPrinted>
  <dcterms:created xsi:type="dcterms:W3CDTF">2020-07-17T23:44:49Z</dcterms:created>
  <dcterms:modified xsi:type="dcterms:W3CDTF">2020-12-22T13:29:20Z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