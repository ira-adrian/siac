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Trimestrales'!$A$9:$I$19</definedName>
    <definedName name="_xlnm.Print_Area" localSheetId="1">' NotaPedido'!$A$1:$K$43</definedName>
    <definedName name="_xlnm.Print_Area" localSheetId="2">'Autor Gastar'!$A$1:$Q$25</definedName>
    <definedName name="_xlnm.Print_Area" localSheetId="0">'Necesidades Trimestrales'!$E$9:$E$19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3" i="2" l="1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F37" i="1"/>
  <c r="F36" i="1"/>
  <c r="F14" i="1"/>
  <c r="I10" i="1" l="1"/>
  <c r="C12" i="2"/>
  <c r="K12" i="2"/>
  <c r="J12" i="2"/>
  <c r="I12" i="2"/>
  <c r="C14" i="2" l="1"/>
  <c r="C15" i="2" l="1"/>
  <c r="C16" i="2"/>
  <c r="C17" i="2"/>
  <c r="C18" i="2"/>
  <c r="C19" i="2"/>
  <c r="C20" i="2"/>
  <c r="C21" i="2"/>
  <c r="I14" i="2"/>
  <c r="I15" i="2"/>
  <c r="I16" i="2"/>
  <c r="I17" i="2"/>
  <c r="I18" i="2"/>
  <c r="I19" i="2"/>
  <c r="I20" i="2"/>
  <c r="I21" i="2"/>
  <c r="K14" i="2"/>
  <c r="K15" i="2"/>
  <c r="K16" i="2"/>
  <c r="K17" i="2"/>
  <c r="K18" i="2"/>
  <c r="K19" i="2"/>
  <c r="K20" i="2"/>
  <c r="K21" i="2"/>
  <c r="J14" i="2"/>
  <c r="J15" i="2"/>
  <c r="J16" i="2"/>
  <c r="J17" i="2"/>
  <c r="J18" i="2"/>
  <c r="J19" i="2"/>
  <c r="J20" i="2"/>
  <c r="J21" i="2"/>
  <c r="I12" i="1"/>
  <c r="I13" i="1"/>
  <c r="I14" i="1"/>
  <c r="I15" i="1"/>
  <c r="I16" i="1"/>
  <c r="I17" i="1"/>
  <c r="I18" i="1"/>
  <c r="I19" i="1"/>
  <c r="I11" i="1"/>
  <c r="A10" i="3" l="1"/>
  <c r="G6" i="3" l="1"/>
  <c r="D3" i="2"/>
  <c r="G4" i="3" s="1"/>
  <c r="D4" i="2"/>
  <c r="G5" i="3" s="1"/>
  <c r="D1" i="3" l="1"/>
  <c r="K13" i="2"/>
  <c r="J13" i="2"/>
  <c r="I13" i="2"/>
  <c r="C13" i="2"/>
  <c r="Q21" i="3" l="1"/>
</calcChain>
</file>

<file path=xl/sharedStrings.xml><?xml version="1.0" encoding="utf-8"?>
<sst xmlns="http://schemas.openxmlformats.org/spreadsheetml/2006/main" count="196" uniqueCount="107">
  <si>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</si>
  <si>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</si>
  <si>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</si>
  <si>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</si>
  <si>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</si>
  <si>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</si>
  <si>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</si>
  <si>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</si>
  <si>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</si>
  <si>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</si>
  <si>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</si>
  <si>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</si>
  <si>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</si>
  <si>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</si>
  <si>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</si>
  <si>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</si>
  <si>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</si>
  <si>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</si>
  <si>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</si>
  <si>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</si>
  <si>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</si>
  <si>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</si>
  <si>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</si>
  <si>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</si>
  <si>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</si>
  <si>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</si>
  <si>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</si>
  <si>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</si>
  <si>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</si>
  <si>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</si>
  <si>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</si>
  <si>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</si>
  <si>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</si>
  <si>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</si>
  <si>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</si>
  <si>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</si>
  <si>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</si>
  <si>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</si>
  <si>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</si>
  <si>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</si>
  <si>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</si>
  <si>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</si>
  <si>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</si>
  <si>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</si>
  <si>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</si>
  <si>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</si>
  <si>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</si>
  <si>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</si>
  <si>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</si>
  <si>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</si>
  <si>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</si>
  <si>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</si>
  <si>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</si>
  <si>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</si>
  <si>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</si>
  <si>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</si>
  <si>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</si>
  <si>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</si>
  <si>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SULFADIACINA DE PLATA + VITAMINA A  + LIDOCAINA CREMA  X 100 GRS</t>
  </si>
  <si>
    <t>APOSITO HIDROCOLOIDE CUADRADO 10 X 10 CM</t>
  </si>
  <si>
    <t>APOSITO HIDROCOLIDE OVALADO 14 X 17 CM</t>
  </si>
  <si>
    <t>METILPREDNISOLONA 500 MG FCO AMPOLLA</t>
  </si>
  <si>
    <t>Terapia Dermatologica - Sistema Genitourinario y Hormonas Sexuales - Hormonas Sistemicas</t>
  </si>
  <si>
    <t>Para la adquisición de Insumos relacionados a Terapia Dermatologica - Sistema Genitourinario y Hormonas Sexuales - Hormonas Sistemicas destinados al Servicio de Farmacia del Hospital Interzonal de Niños Eva Peron, para el normal funcionamiento del organismo.</t>
  </si>
  <si>
    <t>PROD. MEDICO/FARMACEUTICOS/LAB</t>
  </si>
  <si>
    <t>UNIDAD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</si>
  <si>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</si>
  <si>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</si>
  <si>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 xml:space="preserve">ACETIL CISTEINA 600 MG TABLETAS  EFERVESCENTE  </t>
  </si>
  <si>
    <t>TABLETAS</t>
  </si>
  <si>
    <t>ACIDO FUSIDICO 2% CREMA x 15 grs</t>
  </si>
  <si>
    <t>ENVASE</t>
  </si>
  <si>
    <t>AMINIFILINA 240 MG AMPOLLA X 10 ML</t>
  </si>
  <si>
    <t>AMPOLLA</t>
  </si>
  <si>
    <t>BETAMETASONA 0,05 % CREMA x 15 grs</t>
  </si>
  <si>
    <t>BUDESONIDE AEROSOL 200 MCG/PUFF ( 100 DOSIS )</t>
  </si>
  <si>
    <t>BUDESONIDE SOLUCION PARA NEBULIZAR DE 20 ML</t>
  </si>
  <si>
    <t>CLOTRIMAZOL 1% CREMA x 20 grs</t>
  </si>
  <si>
    <t>DESMOPRESIN 15 mcg/1 ML AMPOLLA</t>
  </si>
  <si>
    <t>DESMOPRESIN SPRAY NASAL 10 mcg /dosis</t>
  </si>
  <si>
    <t>DEXAMETASONA 8 MG AMPOLLA x 2 ml</t>
  </si>
  <si>
    <t>DEXAMETASONA 8 MG COMPRIMIDO</t>
  </si>
  <si>
    <t>COMPRIMIDO</t>
  </si>
  <si>
    <t>DIFENHIDRAMINA 0,25% JARABE</t>
  </si>
  <si>
    <t>FRASCO</t>
  </si>
  <si>
    <t>DIFENHIDRAMINA 50MG COMPRIMIDOS</t>
  </si>
  <si>
    <t>DIFENILHIDRAMINA 10MG AMPOLLA x 5 ml</t>
  </si>
  <si>
    <t>HIDROCORTISONA 1% CREMA</t>
  </si>
  <si>
    <t>HIDROCORTISONA 100 MG FCO AMPOLLA</t>
  </si>
  <si>
    <t>HIDROCORTISONA 500 MG FCO AMPOLLA</t>
  </si>
  <si>
    <t>IPRATROPIO AEROSOL x 250 DOSIS</t>
  </si>
  <si>
    <t>IPRATROPIO SOLUCION PARA NEBULIZAR 0,1%GOTAS x 20 ml</t>
  </si>
  <si>
    <t>GOTERO</t>
  </si>
  <si>
    <t>MEPREDNISONA 4MG COMPRIMIDO</t>
  </si>
  <si>
    <t>MEPREDNISONA GOTAS x 20 ml</t>
  </si>
  <si>
    <t>METILPREDNISONA 40 MG COMPRIMIDO</t>
  </si>
  <si>
    <t>METILPREDNISONA 8MG COMPRIMIDO</t>
  </si>
  <si>
    <t>PASTA AL AGUA X 30 GRS</t>
  </si>
  <si>
    <t>PASTA LASSAR X 30 GRS</t>
  </si>
  <si>
    <t>SALBUTAMOL AEROSOL CON  AEROCAMARA x 250 dosis</t>
  </si>
  <si>
    <t>SALBUTAMOL GOTAS x 20 ml</t>
  </si>
  <si>
    <r>
      <t>Mantenimiento de Oferta</t>
    </r>
    <r>
      <rPr>
        <sz val="10"/>
        <rFont val="Times New Roman"/>
        <family val="1"/>
      </rPr>
      <t xml:space="preserve">: 45 dias habiles </t>
    </r>
  </si>
  <si>
    <t>Costo total estimado: Dos Millones Novecientos Veintiun Mil Quinientos Veintidos Con 50/100.</t>
  </si>
  <si>
    <t>Cuatrimestral</t>
  </si>
  <si>
    <t>005/2022</t>
  </si>
  <si>
    <t>TOTAL DE PESOS: DOS MILLONES NOVECIENTOS VENTIUN MIL QUINIENTOS VEINTIDOS CON 50/100.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</si>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</sst>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&quot;$&quot;\ * #,##0.00_-;\-&quot;$&quot;\ * #,##0.00_-;_-&quot;$&quot;\ * &quot;-&quot;??_-;_-@_-"/>
  </numFmts>
  <fonts count="2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rgb="FF333333"/>
      <name val="Times New Roman"/>
      <family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5" fillId="0" borderId="0"/>
    <xf numFmtId="43" fontId="1" fillId="0" borderId="0" applyFont="0" applyFill="0" applyBorder="0" applyAlignment="0" applyProtection="0"/>
  </cellStyleXfs>
  <cellXfs count="174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0" xfId="0" applyFont="1" applyBorder="1"/>
    <xf numFmtId="166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4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7" fontId="16" fillId="0" borderId="0" xfId="0" applyNumberFormat="1" applyFont="1"/>
    <xf numFmtId="169" fontId="21" fillId="0" borderId="0" xfId="0" applyNumberFormat="1" applyFont="1"/>
    <xf numFmtId="169" fontId="22" fillId="0" borderId="0" xfId="0" applyNumberFormat="1" applyFont="1" applyAlignment="1">
      <alignment horizontal="left" wrapText="1"/>
    </xf>
    <xf numFmtId="167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169" fontId="21" fillId="0" borderId="0" xfId="0" applyNumberFormat="1" applyFont="1" applyFill="1"/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6" fontId="0" fillId="0" borderId="53" xfId="3" applyNumberFormat="1" applyFont="1" applyBorder="1" applyAlignment="1" applyProtection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0" fillId="0" borderId="56" xfId="0" applyBorder="1"/>
    <xf numFmtId="0" fontId="21" fillId="0" borderId="57" xfId="0" applyFont="1" applyBorder="1" applyAlignment="1">
      <alignment horizontal="center" vertical="center"/>
    </xf>
    <xf numFmtId="166" fontId="21" fillId="4" borderId="58" xfId="1" applyNumberFormat="1" applyFont="1" applyFill="1" applyBorder="1" applyAlignment="1" applyProtection="1">
      <alignment horizontal="right" vertical="center" wrapText="1"/>
    </xf>
    <xf numFmtId="0" fontId="5" fillId="3" borderId="57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left" vertical="center"/>
    </xf>
    <xf numFmtId="3" fontId="5" fillId="3" borderId="58" xfId="0" applyNumberFormat="1" applyFont="1" applyFill="1" applyBorder="1" applyAlignment="1">
      <alignment horizontal="center" vertical="center"/>
    </xf>
    <xf numFmtId="166" fontId="5" fillId="3" borderId="56" xfId="1" applyNumberFormat="1" applyFont="1" applyFill="1" applyBorder="1" applyAlignment="1" applyProtection="1">
      <alignment horizontal="right" vertical="center" wrapText="1"/>
    </xf>
    <xf numFmtId="0" fontId="5" fillId="4" borderId="56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169" fontId="25" fillId="0" borderId="16" xfId="0" applyNumberFormat="1" applyFont="1" applyBorder="1" applyAlignment="1">
      <alignment horizontal="center" vertical="center" wrapText="1"/>
    </xf>
    <xf numFmtId="166" fontId="14" fillId="3" borderId="38" xfId="0" applyNumberFormat="1" applyFont="1" applyFill="1" applyBorder="1" applyAlignment="1">
      <alignment horizontal="center" vertical="center"/>
    </xf>
    <xf numFmtId="0" fontId="5" fillId="3" borderId="61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left" vertical="center"/>
    </xf>
    <xf numFmtId="0" fontId="5" fillId="4" borderId="60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center" vertical="center" wrapText="1"/>
    </xf>
    <xf numFmtId="166" fontId="5" fillId="3" borderId="60" xfId="1" applyNumberFormat="1" applyFont="1" applyFill="1" applyBorder="1" applyAlignment="1" applyProtection="1">
      <alignment horizontal="right" vertical="center" wrapText="1"/>
    </xf>
    <xf numFmtId="3" fontId="5" fillId="3" borderId="62" xfId="0" applyNumberFormat="1" applyFont="1" applyFill="1" applyBorder="1" applyAlignment="1">
      <alignment horizontal="center" vertical="center"/>
    </xf>
    <xf numFmtId="0" fontId="19" fillId="0" borderId="56" xfId="0" applyFont="1" applyBorder="1" applyAlignment="1">
      <alignment vertical="center" wrapText="1"/>
    </xf>
    <xf numFmtId="0" fontId="27" fillId="0" borderId="56" xfId="0" applyFont="1" applyFill="1" applyBorder="1" applyAlignment="1">
      <alignment horizontal="center" vertical="center" wrapText="1"/>
    </xf>
    <xf numFmtId="0" fontId="21" fillId="0" borderId="63" xfId="0" applyFont="1" applyBorder="1" applyAlignment="1">
      <alignment horizontal="center" vertical="center"/>
    </xf>
    <xf numFmtId="0" fontId="0" fillId="0" borderId="64" xfId="0" applyBorder="1"/>
    <xf numFmtId="0" fontId="19" fillId="0" borderId="64" xfId="0" applyFont="1" applyBorder="1" applyAlignment="1">
      <alignment vertical="center" wrapText="1"/>
    </xf>
    <xf numFmtId="166" fontId="21" fillId="4" borderId="65" xfId="1" applyNumberFormat="1" applyFont="1" applyFill="1" applyBorder="1" applyAlignment="1" applyProtection="1">
      <alignment horizontal="right" vertical="center" wrapText="1"/>
    </xf>
    <xf numFmtId="0" fontId="23" fillId="0" borderId="4" xfId="0" applyFont="1" applyBorder="1" applyAlignment="1">
      <alignment horizontal="left" indent="3"/>
    </xf>
    <xf numFmtId="0" fontId="16" fillId="0" borderId="0" xfId="0" applyFont="1" applyBorder="1" applyAlignment="1">
      <alignment horizontal="left" indent="3"/>
    </xf>
    <xf numFmtId="0" fontId="16" fillId="0" borderId="7" xfId="0" applyFont="1" applyFill="1" applyBorder="1"/>
    <xf numFmtId="0" fontId="23" fillId="0" borderId="9" xfId="0" applyFont="1" applyBorder="1" applyAlignment="1"/>
    <xf numFmtId="0" fontId="16" fillId="0" borderId="10" xfId="0" applyFont="1" applyBorder="1" applyAlignment="1">
      <alignment horizontal="center" wrapText="1"/>
    </xf>
    <xf numFmtId="0" fontId="16" fillId="0" borderId="10" xfId="0" applyFont="1" applyFill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5" fillId="3" borderId="56" xfId="0" applyFont="1" applyFill="1" applyBorder="1" applyAlignment="1">
      <alignment horizontal="left" wrapText="1"/>
    </xf>
    <xf numFmtId="0" fontId="15" fillId="3" borderId="56" xfId="0" applyFont="1" applyFill="1" applyBorder="1" applyAlignment="1">
      <alignment horizontal="center" vertical="center"/>
    </xf>
    <xf numFmtId="3" fontId="15" fillId="3" borderId="56" xfId="0" applyNumberFormat="1" applyFont="1" applyFill="1" applyBorder="1" applyAlignment="1">
      <alignment horizontal="center" vertical="center"/>
    </xf>
    <xf numFmtId="170" fontId="15" fillId="3" borderId="56" xfId="1" applyNumberFormat="1" applyFont="1" applyFill="1" applyBorder="1" applyAlignment="1">
      <alignment horizontal="center"/>
    </xf>
    <xf numFmtId="0" fontId="28" fillId="3" borderId="56" xfId="0" applyFont="1" applyFill="1" applyBorder="1" applyAlignment="1">
      <alignment horizontal="left" wrapText="1"/>
    </xf>
    <xf numFmtId="0" fontId="0" fillId="3" borderId="56" xfId="0" applyFill="1" applyBorder="1" applyAlignment="1">
      <alignment horizontal="left" wrapText="1"/>
    </xf>
    <xf numFmtId="170" fontId="15" fillId="3" borderId="56" xfId="1" applyNumberFormat="1" applyFont="1" applyFill="1" applyBorder="1" applyAlignment="1">
      <alignment horizontal="right" vertical="center" indent="2"/>
    </xf>
    <xf numFmtId="3" fontId="15" fillId="3" borderId="56" xfId="5" applyNumberFormat="1" applyFont="1" applyFill="1" applyBorder="1" applyAlignment="1">
      <alignment horizontal="center" vertical="center"/>
    </xf>
    <xf numFmtId="3" fontId="15" fillId="3" borderId="56" xfId="1" applyNumberFormat="1" applyFont="1" applyFill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0" fillId="0" borderId="2" xfId="0" applyBorder="1"/>
    <xf numFmtId="0" fontId="19" fillId="0" borderId="2" xfId="0" applyFont="1" applyBorder="1" applyAlignment="1">
      <alignment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left" wrapText="1"/>
    </xf>
    <xf numFmtId="0" fontId="15" fillId="3" borderId="2" xfId="0" applyFont="1" applyFill="1" applyBorder="1" applyAlignment="1">
      <alignment horizontal="center" vertical="center"/>
    </xf>
    <xf numFmtId="3" fontId="15" fillId="3" borderId="2" xfId="0" applyNumberFormat="1" applyFont="1" applyFill="1" applyBorder="1" applyAlignment="1">
      <alignment horizontal="center" vertical="center"/>
    </xf>
    <xf numFmtId="170" fontId="15" fillId="3" borderId="2" xfId="1" applyNumberFormat="1" applyFont="1" applyFill="1" applyBorder="1" applyAlignment="1">
      <alignment horizontal="center"/>
    </xf>
    <xf numFmtId="166" fontId="21" fillId="4" borderId="3" xfId="1" applyNumberFormat="1" applyFont="1" applyFill="1" applyBorder="1" applyAlignment="1" applyProtection="1">
      <alignment horizontal="right" vertical="center" wrapText="1"/>
    </xf>
    <xf numFmtId="0" fontId="27" fillId="0" borderId="64" xfId="0" applyFont="1" applyFill="1" applyBorder="1" applyAlignment="1">
      <alignment horizontal="center" vertical="center" wrapText="1"/>
    </xf>
    <xf numFmtId="0" fontId="15" fillId="3" borderId="64" xfId="0" applyFont="1" applyFill="1" applyBorder="1" applyAlignment="1">
      <alignment horizontal="center" vertical="center"/>
    </xf>
    <xf numFmtId="3" fontId="15" fillId="3" borderId="64" xfId="1" applyNumberFormat="1" applyFont="1" applyFill="1" applyBorder="1" applyAlignment="1">
      <alignment horizontal="center" vertical="center"/>
    </xf>
    <xf numFmtId="170" fontId="15" fillId="3" borderId="64" xfId="1" applyNumberFormat="1" applyFont="1" applyFill="1" applyBorder="1" applyAlignment="1">
      <alignment horizontal="right" vertical="center" indent="2"/>
    </xf>
    <xf numFmtId="0" fontId="0" fillId="3" borderId="56" xfId="0" applyFill="1" applyBorder="1" applyAlignment="1">
      <alignment wrapText="1"/>
    </xf>
    <xf numFmtId="0" fontId="28" fillId="3" borderId="56" xfId="0" applyFont="1" applyFill="1" applyBorder="1" applyAlignment="1">
      <alignment wrapText="1"/>
    </xf>
    <xf numFmtId="0" fontId="0" fillId="3" borderId="64" xfId="0" applyFill="1" applyBorder="1" applyAlignment="1">
      <alignment wrapText="1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7" fillId="3" borderId="16" xfId="0" applyFont="1" applyFill="1" applyBorder="1" applyAlignment="1">
      <alignment horizontal="left" vertical="center" wrapText="1" indent="1"/>
    </xf>
    <xf numFmtId="167" fontId="8" fillId="3" borderId="16" xfId="0" applyNumberFormat="1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left" vertical="center" wrapText="1"/>
    </xf>
    <xf numFmtId="0" fontId="5" fillId="3" borderId="59" xfId="0" applyFont="1" applyFill="1" applyBorder="1" applyAlignment="1">
      <alignment horizontal="left" vertical="center" wrapText="1"/>
    </xf>
    <xf numFmtId="0" fontId="5" fillId="3" borderId="56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0" fillId="3" borderId="38" xfId="0" applyFont="1" applyFill="1" applyBorder="1" applyAlignment="1">
      <alignment horizontal="left" vertical="center" wrapText="1"/>
    </xf>
    <xf numFmtId="0" fontId="0" fillId="0" borderId="23" xfId="0" applyBorder="1"/>
    <xf numFmtId="0" fontId="26" fillId="0" borderId="30" xfId="0" applyFont="1" applyFill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indent="1"/>
    </xf>
    <xf numFmtId="0" fontId="13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</cellXfs>
  <cellStyles count="7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%20unidad/COMPARTIDA/DIRECCION%20DE%20PLANIFICACION/VADEMECUM/PROGRAMACION%204TO%20TRIMESTRE/MEDICAMENTOS/Modelo%20Nec.%20Trim.,%20NP%20y%20APG%20TD%20GENITO%20HORMON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>
        <row r="10">
          <cell r="E10" t="str">
            <v>ESTRADIOL COMPRIMIDOS 1 MG x 28 UNIDADES</v>
          </cell>
          <cell r="F10" t="str">
            <v>CAJA</v>
          </cell>
        </row>
        <row r="11">
          <cell r="E11" t="str">
            <v>ACETATO DE CIPROTERONA 50 MG COMPRIMIDO X 50 UNIDADES</v>
          </cell>
          <cell r="F11" t="str">
            <v>CAJA</v>
          </cell>
        </row>
        <row r="12">
          <cell r="E12" t="str">
            <v>ACICLOVIR 5% CREMA X 10 GRAMOS</v>
          </cell>
          <cell r="F12" t="str">
            <v>UNIDAD</v>
          </cell>
        </row>
        <row r="13">
          <cell r="E13" t="str">
            <v>ACIDO FUSIDICO 2% CREMA x 15 grs</v>
          </cell>
          <cell r="F13" t="str">
            <v>UNIDAD</v>
          </cell>
        </row>
        <row r="14">
          <cell r="E14" t="str">
            <v>AGUA D´ALIBOUR solucion x 200 ml</v>
          </cell>
          <cell r="F14" t="str">
            <v>UNIDAD</v>
          </cell>
        </row>
        <row r="15">
          <cell r="E15" t="str">
            <v>APOSITO HIDROCOLOIDE OVALADO 14 X 17 CM</v>
          </cell>
          <cell r="F15" t="str">
            <v>UNIDAD</v>
          </cell>
        </row>
        <row r="16">
          <cell r="E16" t="str">
            <v>APOSITO HIDROCOLOIDE CUADRADO 10 X 10 CM</v>
          </cell>
          <cell r="F16" t="str">
            <v>UNIDAD</v>
          </cell>
        </row>
        <row r="17">
          <cell r="E17" t="str">
            <v>APOSITO HIDROCOLOIDE FINO 7 X 9 CM</v>
          </cell>
          <cell r="F17" t="str">
            <v>UNIDAD</v>
          </cell>
        </row>
        <row r="18">
          <cell r="E18" t="str">
            <v>ATOSIBAN  6,75 MG 0,9 ML DE SOLUCION FRASCO AMPOLLA</v>
          </cell>
          <cell r="F18" t="str">
            <v>UNIDAD</v>
          </cell>
        </row>
        <row r="19">
          <cell r="E19" t="str">
            <v>ATOSIBAN  37,5 MG 5 ML DE SOLUCION FRASCO AMPOLLA</v>
          </cell>
          <cell r="F19" t="str">
            <v>UNIDAD</v>
          </cell>
        </row>
        <row r="20">
          <cell r="E20" t="str">
            <v>BACITRACINA + NEOMICINA+ POLIMIXINA B APOSITOS 23 X 14</v>
          </cell>
          <cell r="F20" t="str">
            <v>UNIDAD</v>
          </cell>
        </row>
        <row r="21">
          <cell r="E21" t="str">
            <v>BACITRACINA + NEOMICINA+ POLIMIXINA B APOSITOS 7CM X 9CM</v>
          </cell>
          <cell r="F21" t="str">
            <v>UNIDAD</v>
          </cell>
        </row>
        <row r="22">
          <cell r="E22" t="str">
            <v>BETAMETASONA 0,05 % CREMA x 15 GRS</v>
          </cell>
          <cell r="F22" t="str">
            <v>UNIDAD</v>
          </cell>
        </row>
        <row r="23">
          <cell r="E23" t="str">
            <v>CARBEGOLINA 0,5 MG  x 8 COMPRIMIDO</v>
          </cell>
          <cell r="F23" t="str">
            <v>CAJA</v>
          </cell>
        </row>
        <row r="24">
          <cell r="E24" t="str">
            <v xml:space="preserve">CARBETOCINA 100 MCG/ ML  AMPOLLA </v>
          </cell>
          <cell r="F24" t="str">
            <v>UNIDAD</v>
          </cell>
        </row>
        <row r="25">
          <cell r="E25" t="str">
            <v>CLOMIFENO CITRATO 50 MG COMPRIMIDO</v>
          </cell>
          <cell r="F25" t="str">
            <v>UNIDAD</v>
          </cell>
        </row>
        <row r="26">
          <cell r="E26" t="str">
            <v>DESMOPRESIN 4 MG/ML AMPOLLA X 10 UNIDADES</v>
          </cell>
          <cell r="F26" t="str">
            <v>CAJA</v>
          </cell>
        </row>
        <row r="27">
          <cell r="E27" t="str">
            <v>DESMOPRESIN SPRAY NASAL X 5 ML</v>
          </cell>
          <cell r="F27" t="str">
            <v>UNIDAD</v>
          </cell>
        </row>
        <row r="28">
          <cell r="E28" t="str">
            <v>ERGONOVINA AMPOLLA</v>
          </cell>
          <cell r="F28" t="str">
            <v>UNIDAD</v>
          </cell>
        </row>
        <row r="29">
          <cell r="E29" t="str">
            <v>ESTRADIOL GEL 0,06 % X 80 GRS</v>
          </cell>
          <cell r="F29" t="str">
            <v>UNIDAD</v>
          </cell>
        </row>
        <row r="30">
          <cell r="E30" t="str">
            <v>FINASTERIDE 5 MG COMPRIMIDO</v>
          </cell>
          <cell r="F30" t="str">
            <v>UNIDAD</v>
          </cell>
        </row>
        <row r="31">
          <cell r="E31" t="str">
            <v>GONADOTROFINA CORIONICA HUMANA JERINGA PRELLENADA 250 MCG/0,5 ML VIAL 5000 UI</v>
          </cell>
          <cell r="F31" t="str">
            <v>UNIDAD</v>
          </cell>
        </row>
        <row r="32">
          <cell r="E32" t="str">
            <v>HIDROCORTISONA 1% CREMA</v>
          </cell>
          <cell r="F32" t="str">
            <v>UNIDAD</v>
          </cell>
        </row>
        <row r="33">
          <cell r="E33" t="str">
            <v>HORMONA FOLICULOESTIMULANTE ( FSH = UROFOLITROPINA ) JERINGA PRELLENA 75 UI</v>
          </cell>
          <cell r="F33" t="str">
            <v>UNIDAD</v>
          </cell>
        </row>
        <row r="34">
          <cell r="E34" t="str">
            <v xml:space="preserve">ISOXSUPRINA 10 MG/ 2 ML. AMPOLLA </v>
          </cell>
          <cell r="F34" t="str">
            <v>UNIDAD</v>
          </cell>
        </row>
        <row r="35">
          <cell r="E35" t="str">
            <v>KETOCONAZOL 2% CREMA X 15 GRS</v>
          </cell>
          <cell r="F35" t="str">
            <v>UNIDAD</v>
          </cell>
        </row>
        <row r="36">
          <cell r="E36" t="str">
            <v>LEVONORGESTREL 0,75 MG ( anticonseptivo de emergencia )</v>
          </cell>
          <cell r="F36" t="str">
            <v>UNIDAD</v>
          </cell>
        </row>
        <row r="37">
          <cell r="E37" t="str">
            <v>LEVOTIROXINA 100 MG COMPRIMIDOS X 50</v>
          </cell>
          <cell r="F37" t="str">
            <v>CAJA</v>
          </cell>
        </row>
        <row r="38">
          <cell r="E38" t="str">
            <v>LEVOTIROXINA 25 MG COMPRIMIDOS X 50</v>
          </cell>
          <cell r="F38" t="str">
            <v>CAJA</v>
          </cell>
        </row>
        <row r="39">
          <cell r="E39" t="str">
            <v>LEVOTIROXINA 75 MG COMPRIMIDOS X 50</v>
          </cell>
          <cell r="F39" t="str">
            <v>CAJA</v>
          </cell>
        </row>
        <row r="40">
          <cell r="E40" t="str">
            <v>LINIMENTO OLEOCALCAREO ENVASE X 250 ML</v>
          </cell>
          <cell r="F40" t="str">
            <v>UNIDAD</v>
          </cell>
        </row>
        <row r="41">
          <cell r="E41" t="str">
            <v>METRONIDAZOL OVULOS VAGINALES</v>
          </cell>
          <cell r="F41" t="str">
            <v>UNIDAD</v>
          </cell>
        </row>
        <row r="42">
          <cell r="E42" t="str">
            <v>MEDROXIPROGESTERONA ACETATO 150 MG (AMP POR 1 ML)</v>
          </cell>
          <cell r="F42" t="str">
            <v>UNIDAD</v>
          </cell>
        </row>
        <row r="43">
          <cell r="E43" t="str">
            <v>MISOPROSTOL 200 MG COMPRIMIDOS VAGINALES</v>
          </cell>
          <cell r="F43" t="str">
            <v>UNIDAD</v>
          </cell>
        </row>
        <row r="44">
          <cell r="E44" t="str">
            <v>MISOPROSTOL 25 MG COMPRIMIDOS</v>
          </cell>
          <cell r="F44" t="str">
            <v>UNIDAD</v>
          </cell>
        </row>
        <row r="45">
          <cell r="E45" t="str">
            <v>NISTATINA COMP VAGINALES</v>
          </cell>
          <cell r="F45" t="str">
            <v>UNIDAD</v>
          </cell>
        </row>
        <row r="46">
          <cell r="E46" t="str">
            <v>NITROFURAZONA 0,2 % APOSITOS  X 20</v>
          </cell>
          <cell r="F46" t="str">
            <v>CAJA</v>
          </cell>
        </row>
        <row r="47">
          <cell r="E47" t="str">
            <v>OCTREOTIDA VIAL 1 MG AMPOLLA</v>
          </cell>
          <cell r="F47" t="str">
            <v>UNIDAD</v>
          </cell>
        </row>
        <row r="48">
          <cell r="E48" t="str">
            <v>OXITOCINA 10 UI INYECTABLE</v>
          </cell>
          <cell r="F48" t="str">
            <v>UNIDAD</v>
          </cell>
        </row>
        <row r="49">
          <cell r="E49" t="str">
            <v>PASTA AL AGUA X 30 GRS</v>
          </cell>
          <cell r="F49" t="str">
            <v>UNIDAD</v>
          </cell>
        </row>
        <row r="50">
          <cell r="E50" t="str">
            <v>PASTA LASSAR X 30 GRS</v>
          </cell>
          <cell r="F50" t="str">
            <v>UNIDAD</v>
          </cell>
        </row>
        <row r="51">
          <cell r="E51" t="str">
            <v>PROGESTERONA MICRONIZADA 200 MG CAPSULAS</v>
          </cell>
          <cell r="F51" t="str">
            <v>UNIDAD</v>
          </cell>
        </row>
        <row r="52">
          <cell r="E52" t="str">
            <v>SULFADIAZINA DE PLATA + VITAMINA A  + LIDOCAINA CREMA  X 100 GRS</v>
          </cell>
          <cell r="F52" t="str">
            <v>UNIDAD</v>
          </cell>
        </row>
        <row r="53">
          <cell r="E53" t="str">
            <v>TESTOSTERONA GEL 1% SOBRE X 30</v>
          </cell>
          <cell r="F53" t="str">
            <v>CAJA</v>
          </cell>
        </row>
        <row r="54">
          <cell r="E54" t="str">
            <v>UNDECANOATO DE TESTOSTERONA 1000 MG/4ML SOLUCION INYECTABLE</v>
          </cell>
          <cell r="F54" t="str">
            <v>UNIDAD</v>
          </cell>
        </row>
        <row r="55">
          <cell r="E55" t="str">
            <v>VALERATO DE ESTRADIOL 2MG COMPRIMIDO</v>
          </cell>
          <cell r="F55" t="str">
            <v>UNIDAD</v>
          </cell>
        </row>
        <row r="56">
          <cell r="E56" t="str">
            <v xml:space="preserve">VASELINA SOLIDA X 1KG </v>
          </cell>
          <cell r="F56" t="str">
            <v>UNIDAD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50"/>
  <sheetViews>
    <sheetView tabSelected="1" zoomScale="93" zoomScaleNormal="93" workbookViewId="0">
      <selection activeCell="E6" sqref="E6"/>
    </sheetView>
  </sheetViews>
  <sheetFormatPr baseColWidth="10" defaultColWidth="11" defaultRowHeight="12.75" x14ac:dyDescent="0.2"/>
  <cols>
    <col min="1" max="1" width="8.42578125" style="25" customWidth="1"/>
    <col min="2" max="2" width="10" style="25" customWidth="1"/>
    <col min="3" max="3" width="30.140625" style="25" customWidth="1"/>
    <col min="4" max="4" width="8.42578125" style="25" customWidth="1"/>
    <col min="5" max="5" width="57.7109375" style="25" customWidth="1"/>
    <col min="6" max="6" width="14.42578125" style="25" customWidth="1"/>
    <col min="7" max="7" width="10.85546875" style="25" customWidth="1"/>
    <col min="8" max="8" width="15.7109375" style="50" customWidth="1"/>
    <col min="9" max="9" width="18.5703125" style="25" customWidth="1"/>
    <col min="10" max="11" width="11" style="25"/>
    <col min="12" max="12" width="13.140625" style="25" customWidth="1"/>
    <col min="13" max="16384" width="11" style="25"/>
  </cols>
  <sheetData>
    <row r="2" spans="1:10" ht="27" x14ac:dyDescent="0.35">
      <c r="B2" s="126" t="s">
        <v>0</v>
      </c>
      <c r="C2" s="126"/>
      <c r="D2" s="126"/>
      <c r="E2" s="126"/>
      <c r="F2" s="126"/>
      <c r="G2" s="126"/>
      <c r="H2" s="126"/>
    </row>
    <row r="3" spans="1:10" ht="12" customHeight="1" x14ac:dyDescent="0.2"/>
    <row r="4" spans="1:10" ht="18" customHeight="1" x14ac:dyDescent="0.25">
      <c r="A4" s="125" t="s">
        <v>1</v>
      </c>
      <c r="B4" s="125"/>
      <c r="C4" s="127" t="s">
        <v>52</v>
      </c>
      <c r="D4" s="127"/>
      <c r="E4" s="127"/>
      <c r="F4" s="26"/>
      <c r="G4" s="27"/>
      <c r="H4" s="51"/>
    </row>
    <row r="5" spans="1:10" ht="18" customHeight="1" x14ac:dyDescent="0.25">
      <c r="A5" s="125" t="s">
        <v>2</v>
      </c>
      <c r="B5" s="125"/>
      <c r="C5" s="127" t="s">
        <v>51</v>
      </c>
      <c r="D5" s="127"/>
      <c r="E5" s="127"/>
      <c r="F5" s="26"/>
      <c r="G5" s="27" t="s">
        <v>55</v>
      </c>
      <c r="H5" s="51"/>
    </row>
    <row r="6" spans="1:10" ht="16.5" customHeight="1" x14ac:dyDescent="0.25">
      <c r="A6" s="125" t="s">
        <v>3</v>
      </c>
      <c r="B6" s="125"/>
      <c r="C6" s="41">
        <v>2022</v>
      </c>
      <c r="D6" s="42"/>
      <c r="E6" s="42"/>
      <c r="F6" s="26"/>
      <c r="G6" s="27"/>
      <c r="H6" s="51"/>
    </row>
    <row r="7" spans="1:10" ht="16.5" customHeight="1" x14ac:dyDescent="0.25">
      <c r="A7" s="125" t="s">
        <v>4</v>
      </c>
      <c r="B7" s="125"/>
      <c r="C7" s="41">
        <v>1</v>
      </c>
      <c r="D7" s="42"/>
      <c r="E7" s="42"/>
      <c r="F7" s="26"/>
      <c r="G7" s="27"/>
      <c r="H7" s="51"/>
    </row>
    <row r="8" spans="1:10" ht="13.5" thickBot="1" x14ac:dyDescent="0.25">
      <c r="B8" s="26"/>
      <c r="C8" s="27"/>
      <c r="D8" s="26"/>
      <c r="E8" s="26"/>
      <c r="F8" s="26"/>
      <c r="G8" s="27"/>
      <c r="H8" s="51"/>
      <c r="J8" s="49"/>
    </row>
    <row r="9" spans="1:10" ht="36.75" thickBot="1" x14ac:dyDescent="0.25">
      <c r="A9" s="75" t="s">
        <v>5</v>
      </c>
      <c r="B9" s="75" t="s">
        <v>6</v>
      </c>
      <c r="C9" s="75" t="s">
        <v>7</v>
      </c>
      <c r="D9" s="75" t="s">
        <v>8</v>
      </c>
      <c r="E9" s="75" t="s">
        <v>9</v>
      </c>
      <c r="F9" s="75" t="s">
        <v>10</v>
      </c>
      <c r="G9" s="75" t="s">
        <v>11</v>
      </c>
      <c r="H9" s="76" t="s">
        <v>12</v>
      </c>
      <c r="I9" s="75" t="s">
        <v>13</v>
      </c>
    </row>
    <row r="10" spans="1:10" ht="25.5" x14ac:dyDescent="0.2">
      <c r="A10" s="106">
        <v>1</v>
      </c>
      <c r="B10" s="107"/>
      <c r="C10" s="108" t="s">
        <v>64</v>
      </c>
      <c r="D10" s="109">
        <v>252</v>
      </c>
      <c r="E10" s="110" t="s">
        <v>68</v>
      </c>
      <c r="F10" s="111" t="s">
        <v>69</v>
      </c>
      <c r="G10" s="112">
        <v>50</v>
      </c>
      <c r="H10" s="113">
        <v>38</v>
      </c>
      <c r="I10" s="114">
        <f>+G10*H10</f>
        <v>1900</v>
      </c>
    </row>
    <row r="11" spans="1:10" ht="25.5" x14ac:dyDescent="0.2">
      <c r="A11" s="67">
        <v>2</v>
      </c>
      <c r="B11" s="66"/>
      <c r="C11" s="84" t="s">
        <v>64</v>
      </c>
      <c r="D11" s="85">
        <v>252</v>
      </c>
      <c r="E11" s="119" t="s">
        <v>70</v>
      </c>
      <c r="F11" s="98" t="s">
        <v>71</v>
      </c>
      <c r="G11" s="99">
        <v>10</v>
      </c>
      <c r="H11" s="100">
        <v>395.25</v>
      </c>
      <c r="I11" s="68">
        <f>+G11*H11</f>
        <v>3952.5</v>
      </c>
    </row>
    <row r="12" spans="1:10" ht="25.5" x14ac:dyDescent="0.2">
      <c r="A12" s="67">
        <v>3</v>
      </c>
      <c r="B12" s="66"/>
      <c r="C12" s="84" t="s">
        <v>64</v>
      </c>
      <c r="D12" s="85">
        <v>252</v>
      </c>
      <c r="E12" s="97" t="s">
        <v>72</v>
      </c>
      <c r="F12" s="98" t="s">
        <v>73</v>
      </c>
      <c r="G12" s="99">
        <v>100</v>
      </c>
      <c r="H12" s="100">
        <v>98</v>
      </c>
      <c r="I12" s="68">
        <f t="shared" ref="I12:I40" si="0">+G12*H12</f>
        <v>9800</v>
      </c>
    </row>
    <row r="13" spans="1:10" ht="25.5" x14ac:dyDescent="0.2">
      <c r="A13" s="67">
        <v>4</v>
      </c>
      <c r="B13" s="66"/>
      <c r="C13" s="84" t="s">
        <v>64</v>
      </c>
      <c r="D13" s="85">
        <v>252</v>
      </c>
      <c r="E13" s="119" t="s">
        <v>60</v>
      </c>
      <c r="F13" s="98" t="s">
        <v>65</v>
      </c>
      <c r="G13" s="99">
        <v>100</v>
      </c>
      <c r="H13" s="100">
        <v>1364</v>
      </c>
      <c r="I13" s="68">
        <f t="shared" si="0"/>
        <v>136400</v>
      </c>
    </row>
    <row r="14" spans="1:10" ht="25.5" x14ac:dyDescent="0.2">
      <c r="A14" s="67">
        <v>5</v>
      </c>
      <c r="B14" s="66"/>
      <c r="C14" s="84" t="s">
        <v>64</v>
      </c>
      <c r="D14" s="85">
        <v>252</v>
      </c>
      <c r="E14" s="119" t="s">
        <v>59</v>
      </c>
      <c r="F14" s="98" t="str">
        <f>+VLOOKUP(E14,'[1]Necesidades Trimestrales'!$E$10:$F$56,2,0)</f>
        <v>UNIDAD</v>
      </c>
      <c r="G14" s="99">
        <v>100</v>
      </c>
      <c r="H14" s="100">
        <v>551.29999999999995</v>
      </c>
      <c r="I14" s="68">
        <f t="shared" si="0"/>
        <v>55129.999999999993</v>
      </c>
    </row>
    <row r="15" spans="1:10" ht="25.5" x14ac:dyDescent="0.2">
      <c r="A15" s="67">
        <v>6</v>
      </c>
      <c r="B15" s="66"/>
      <c r="C15" s="84" t="s">
        <v>64</v>
      </c>
      <c r="D15" s="85">
        <v>252</v>
      </c>
      <c r="E15" s="119" t="s">
        <v>74</v>
      </c>
      <c r="F15" s="98" t="s">
        <v>71</v>
      </c>
      <c r="G15" s="99">
        <v>10</v>
      </c>
      <c r="H15" s="100">
        <v>185.62</v>
      </c>
      <c r="I15" s="68">
        <f t="shared" si="0"/>
        <v>1856.2</v>
      </c>
    </row>
    <row r="16" spans="1:10" ht="25.5" x14ac:dyDescent="0.2">
      <c r="A16" s="67">
        <v>7</v>
      </c>
      <c r="B16" s="66"/>
      <c r="C16" s="84" t="s">
        <v>64</v>
      </c>
      <c r="D16" s="85">
        <v>252</v>
      </c>
      <c r="E16" s="97" t="s">
        <v>75</v>
      </c>
      <c r="F16" s="98" t="s">
        <v>65</v>
      </c>
      <c r="G16" s="99">
        <v>300</v>
      </c>
      <c r="H16" s="100">
        <v>780</v>
      </c>
      <c r="I16" s="68">
        <f t="shared" si="0"/>
        <v>234000</v>
      </c>
    </row>
    <row r="17" spans="1:9" ht="25.5" x14ac:dyDescent="0.2">
      <c r="A17" s="67">
        <v>8</v>
      </c>
      <c r="B17" s="66"/>
      <c r="C17" s="84" t="s">
        <v>64</v>
      </c>
      <c r="D17" s="85">
        <v>252</v>
      </c>
      <c r="E17" s="97" t="s">
        <v>76</v>
      </c>
      <c r="F17" s="98" t="s">
        <v>71</v>
      </c>
      <c r="G17" s="99">
        <v>300</v>
      </c>
      <c r="H17" s="100">
        <v>215</v>
      </c>
      <c r="I17" s="68">
        <f t="shared" si="0"/>
        <v>64500</v>
      </c>
    </row>
    <row r="18" spans="1:9" ht="25.5" x14ac:dyDescent="0.2">
      <c r="A18" s="67">
        <v>9</v>
      </c>
      <c r="B18" s="66"/>
      <c r="C18" s="84" t="s">
        <v>64</v>
      </c>
      <c r="D18" s="85">
        <v>252</v>
      </c>
      <c r="E18" s="120" t="s">
        <v>77</v>
      </c>
      <c r="F18" s="98" t="s">
        <v>71</v>
      </c>
      <c r="G18" s="99">
        <v>10</v>
      </c>
      <c r="H18" s="100">
        <v>180</v>
      </c>
      <c r="I18" s="68">
        <f t="shared" si="0"/>
        <v>1800</v>
      </c>
    </row>
    <row r="19" spans="1:9" ht="25.5" x14ac:dyDescent="0.2">
      <c r="A19" s="67">
        <v>10</v>
      </c>
      <c r="B19" s="66"/>
      <c r="C19" s="84" t="s">
        <v>64</v>
      </c>
      <c r="D19" s="85">
        <v>252</v>
      </c>
      <c r="E19" s="97" t="s">
        <v>78</v>
      </c>
      <c r="F19" s="98" t="s">
        <v>73</v>
      </c>
      <c r="G19" s="99">
        <v>40</v>
      </c>
      <c r="H19" s="100">
        <v>1125.7</v>
      </c>
      <c r="I19" s="68">
        <f t="shared" si="0"/>
        <v>45028</v>
      </c>
    </row>
    <row r="20" spans="1:9" ht="25.5" x14ac:dyDescent="0.2">
      <c r="A20" s="67">
        <v>11</v>
      </c>
      <c r="B20" s="66"/>
      <c r="C20" s="84" t="s">
        <v>64</v>
      </c>
      <c r="D20" s="85">
        <v>252</v>
      </c>
      <c r="E20" s="101" t="s">
        <v>79</v>
      </c>
      <c r="F20" s="98" t="s">
        <v>65</v>
      </c>
      <c r="G20" s="99">
        <v>10</v>
      </c>
      <c r="H20" s="100">
        <v>7018.41</v>
      </c>
      <c r="I20" s="68">
        <f t="shared" si="0"/>
        <v>70184.100000000006</v>
      </c>
    </row>
    <row r="21" spans="1:9" ht="25.5" x14ac:dyDescent="0.2">
      <c r="A21" s="67">
        <v>12</v>
      </c>
      <c r="B21" s="66"/>
      <c r="C21" s="84" t="s">
        <v>64</v>
      </c>
      <c r="D21" s="85">
        <v>252</v>
      </c>
      <c r="E21" s="97" t="s">
        <v>80</v>
      </c>
      <c r="F21" s="98" t="s">
        <v>73</v>
      </c>
      <c r="G21" s="99">
        <v>5000</v>
      </c>
      <c r="H21" s="100">
        <v>62</v>
      </c>
      <c r="I21" s="68">
        <f t="shared" si="0"/>
        <v>310000</v>
      </c>
    </row>
    <row r="22" spans="1:9" ht="25.5" x14ac:dyDescent="0.2">
      <c r="A22" s="67">
        <v>13</v>
      </c>
      <c r="B22" s="66"/>
      <c r="C22" s="84" t="s">
        <v>64</v>
      </c>
      <c r="D22" s="85">
        <v>252</v>
      </c>
      <c r="E22" s="97" t="s">
        <v>81</v>
      </c>
      <c r="F22" s="98" t="s">
        <v>82</v>
      </c>
      <c r="G22" s="99">
        <v>200</v>
      </c>
      <c r="H22" s="100">
        <v>5.4</v>
      </c>
      <c r="I22" s="68">
        <f t="shared" si="0"/>
        <v>1080</v>
      </c>
    </row>
    <row r="23" spans="1:9" ht="25.5" x14ac:dyDescent="0.2">
      <c r="A23" s="67">
        <v>14</v>
      </c>
      <c r="B23" s="66"/>
      <c r="C23" s="84" t="s">
        <v>64</v>
      </c>
      <c r="D23" s="85">
        <v>252</v>
      </c>
      <c r="E23" s="97" t="s">
        <v>83</v>
      </c>
      <c r="F23" s="98" t="s">
        <v>84</v>
      </c>
      <c r="G23" s="99">
        <v>1500</v>
      </c>
      <c r="H23" s="100">
        <v>168</v>
      </c>
      <c r="I23" s="68">
        <f t="shared" si="0"/>
        <v>252000</v>
      </c>
    </row>
    <row r="24" spans="1:9" ht="25.5" x14ac:dyDescent="0.2">
      <c r="A24" s="67">
        <v>15</v>
      </c>
      <c r="B24" s="66"/>
      <c r="C24" s="84" t="s">
        <v>64</v>
      </c>
      <c r="D24" s="85">
        <v>252</v>
      </c>
      <c r="E24" s="97" t="s">
        <v>85</v>
      </c>
      <c r="F24" s="98" t="s">
        <v>82</v>
      </c>
      <c r="G24" s="99">
        <v>200</v>
      </c>
      <c r="H24" s="100">
        <v>12</v>
      </c>
      <c r="I24" s="68">
        <f t="shared" si="0"/>
        <v>2400</v>
      </c>
    </row>
    <row r="25" spans="1:9" ht="25.5" x14ac:dyDescent="0.2">
      <c r="A25" s="67">
        <v>16</v>
      </c>
      <c r="B25" s="66"/>
      <c r="C25" s="84" t="s">
        <v>64</v>
      </c>
      <c r="D25" s="85">
        <v>252</v>
      </c>
      <c r="E25" s="97" t="s">
        <v>86</v>
      </c>
      <c r="F25" s="98" t="s">
        <v>73</v>
      </c>
      <c r="G25" s="99">
        <v>4000</v>
      </c>
      <c r="H25" s="100">
        <v>55</v>
      </c>
      <c r="I25" s="68">
        <f t="shared" si="0"/>
        <v>220000</v>
      </c>
    </row>
    <row r="26" spans="1:9" ht="25.5" x14ac:dyDescent="0.2">
      <c r="A26" s="67">
        <v>17</v>
      </c>
      <c r="B26" s="66"/>
      <c r="C26" s="84" t="s">
        <v>64</v>
      </c>
      <c r="D26" s="85">
        <v>252</v>
      </c>
      <c r="E26" s="102" t="s">
        <v>87</v>
      </c>
      <c r="F26" s="98" t="s">
        <v>71</v>
      </c>
      <c r="G26" s="99">
        <v>10</v>
      </c>
      <c r="H26" s="100">
        <v>246.72</v>
      </c>
      <c r="I26" s="68">
        <f t="shared" si="0"/>
        <v>2467.1999999999998</v>
      </c>
    </row>
    <row r="27" spans="1:9" ht="25.5" x14ac:dyDescent="0.2">
      <c r="A27" s="67">
        <v>18</v>
      </c>
      <c r="B27" s="66"/>
      <c r="C27" s="84" t="s">
        <v>64</v>
      </c>
      <c r="D27" s="85">
        <v>252</v>
      </c>
      <c r="E27" s="97" t="s">
        <v>88</v>
      </c>
      <c r="F27" s="98" t="s">
        <v>73</v>
      </c>
      <c r="G27" s="99">
        <v>1000</v>
      </c>
      <c r="H27" s="100">
        <v>172.5</v>
      </c>
      <c r="I27" s="68">
        <f t="shared" si="0"/>
        <v>172500</v>
      </c>
    </row>
    <row r="28" spans="1:9" ht="25.5" x14ac:dyDescent="0.2">
      <c r="A28" s="67">
        <v>19</v>
      </c>
      <c r="B28" s="66"/>
      <c r="C28" s="84" t="s">
        <v>64</v>
      </c>
      <c r="D28" s="85">
        <v>252</v>
      </c>
      <c r="E28" s="97" t="s">
        <v>89</v>
      </c>
      <c r="F28" s="98" t="s">
        <v>73</v>
      </c>
      <c r="G28" s="99">
        <v>1000</v>
      </c>
      <c r="H28" s="100">
        <v>222</v>
      </c>
      <c r="I28" s="68">
        <f t="shared" si="0"/>
        <v>222000</v>
      </c>
    </row>
    <row r="29" spans="1:9" ht="25.5" x14ac:dyDescent="0.2">
      <c r="A29" s="67">
        <v>20</v>
      </c>
      <c r="B29" s="66"/>
      <c r="C29" s="84" t="s">
        <v>64</v>
      </c>
      <c r="D29" s="85">
        <v>252</v>
      </c>
      <c r="E29" s="97" t="s">
        <v>90</v>
      </c>
      <c r="F29" s="98" t="s">
        <v>65</v>
      </c>
      <c r="G29" s="99">
        <v>10</v>
      </c>
      <c r="H29" s="100">
        <v>860</v>
      </c>
      <c r="I29" s="68">
        <f t="shared" si="0"/>
        <v>8600</v>
      </c>
    </row>
    <row r="30" spans="1:9" ht="25.5" x14ac:dyDescent="0.2">
      <c r="A30" s="67">
        <v>21</v>
      </c>
      <c r="B30" s="66"/>
      <c r="C30" s="84" t="s">
        <v>64</v>
      </c>
      <c r="D30" s="85">
        <v>252</v>
      </c>
      <c r="E30" s="97" t="s">
        <v>91</v>
      </c>
      <c r="F30" s="98" t="s">
        <v>92</v>
      </c>
      <c r="G30" s="99">
        <v>500</v>
      </c>
      <c r="H30" s="100">
        <v>110</v>
      </c>
      <c r="I30" s="68">
        <f t="shared" si="0"/>
        <v>55000</v>
      </c>
    </row>
    <row r="31" spans="1:9" ht="25.5" x14ac:dyDescent="0.2">
      <c r="A31" s="67">
        <v>22</v>
      </c>
      <c r="B31" s="66"/>
      <c r="C31" s="84" t="s">
        <v>64</v>
      </c>
      <c r="D31" s="85">
        <v>252</v>
      </c>
      <c r="E31" s="97" t="s">
        <v>93</v>
      </c>
      <c r="F31" s="98" t="s">
        <v>82</v>
      </c>
      <c r="G31" s="99">
        <v>1000</v>
      </c>
      <c r="H31" s="100">
        <v>34.93</v>
      </c>
      <c r="I31" s="68">
        <f t="shared" si="0"/>
        <v>34930</v>
      </c>
    </row>
    <row r="32" spans="1:9" ht="25.5" x14ac:dyDescent="0.2">
      <c r="A32" s="67">
        <v>23</v>
      </c>
      <c r="B32" s="66"/>
      <c r="C32" s="84" t="s">
        <v>64</v>
      </c>
      <c r="D32" s="85">
        <v>252</v>
      </c>
      <c r="E32" s="97" t="s">
        <v>94</v>
      </c>
      <c r="F32" s="98" t="s">
        <v>92</v>
      </c>
      <c r="G32" s="99">
        <v>500</v>
      </c>
      <c r="H32" s="103">
        <v>279.34500000000003</v>
      </c>
      <c r="I32" s="68">
        <f t="shared" si="0"/>
        <v>139672.5</v>
      </c>
    </row>
    <row r="33" spans="1:9" ht="25.5" x14ac:dyDescent="0.2">
      <c r="A33" s="67">
        <v>24</v>
      </c>
      <c r="B33" s="66"/>
      <c r="C33" s="84" t="s">
        <v>64</v>
      </c>
      <c r="D33" s="85">
        <v>252</v>
      </c>
      <c r="E33" s="97" t="s">
        <v>61</v>
      </c>
      <c r="F33" s="98" t="s">
        <v>73</v>
      </c>
      <c r="G33" s="99">
        <v>200</v>
      </c>
      <c r="H33" s="103">
        <v>1183</v>
      </c>
      <c r="I33" s="68">
        <f t="shared" si="0"/>
        <v>236600</v>
      </c>
    </row>
    <row r="34" spans="1:9" ht="25.5" x14ac:dyDescent="0.2">
      <c r="A34" s="67">
        <v>25</v>
      </c>
      <c r="B34" s="66"/>
      <c r="C34" s="84" t="s">
        <v>64</v>
      </c>
      <c r="D34" s="85">
        <v>252</v>
      </c>
      <c r="E34" s="97" t="s">
        <v>95</v>
      </c>
      <c r="F34" s="98" t="s">
        <v>82</v>
      </c>
      <c r="G34" s="99">
        <v>1000</v>
      </c>
      <c r="H34" s="103">
        <v>70.2</v>
      </c>
      <c r="I34" s="68">
        <f t="shared" si="0"/>
        <v>70200</v>
      </c>
    </row>
    <row r="35" spans="1:9" ht="25.5" x14ac:dyDescent="0.2">
      <c r="A35" s="67">
        <v>26</v>
      </c>
      <c r="B35" s="66"/>
      <c r="C35" s="84" t="s">
        <v>64</v>
      </c>
      <c r="D35" s="85">
        <v>252</v>
      </c>
      <c r="E35" s="97" t="s">
        <v>96</v>
      </c>
      <c r="F35" s="98" t="s">
        <v>82</v>
      </c>
      <c r="G35" s="99">
        <v>1000</v>
      </c>
      <c r="H35" s="103">
        <v>17.350000000000001</v>
      </c>
      <c r="I35" s="68">
        <f t="shared" si="0"/>
        <v>17350</v>
      </c>
    </row>
    <row r="36" spans="1:9" ht="25.5" x14ac:dyDescent="0.2">
      <c r="A36" s="67">
        <v>27</v>
      </c>
      <c r="B36" s="66"/>
      <c r="C36" s="84" t="s">
        <v>64</v>
      </c>
      <c r="D36" s="85">
        <v>252</v>
      </c>
      <c r="E36" s="97" t="s">
        <v>97</v>
      </c>
      <c r="F36" s="98" t="str">
        <f>+VLOOKUP(E36,'[1]Necesidades Trimestrales'!$E$10:$F$56,2,0)</f>
        <v>UNIDAD</v>
      </c>
      <c r="G36" s="104">
        <v>10</v>
      </c>
      <c r="H36" s="103">
        <v>355.32</v>
      </c>
      <c r="I36" s="68">
        <f t="shared" si="0"/>
        <v>3553.2</v>
      </c>
    </row>
    <row r="37" spans="1:9" ht="25.5" x14ac:dyDescent="0.2">
      <c r="A37" s="67">
        <v>28</v>
      </c>
      <c r="B37" s="66"/>
      <c r="C37" s="84" t="s">
        <v>64</v>
      </c>
      <c r="D37" s="85">
        <v>252</v>
      </c>
      <c r="E37" s="119" t="s">
        <v>98</v>
      </c>
      <c r="F37" s="98" t="str">
        <f>+VLOOKUP(E37,'[1]Necesidades Trimestrales'!$E$10:$F$56,2,0)</f>
        <v>UNIDAD</v>
      </c>
      <c r="G37" s="104">
        <v>10</v>
      </c>
      <c r="H37" s="103">
        <v>236.88</v>
      </c>
      <c r="I37" s="68">
        <f t="shared" si="0"/>
        <v>2368.8000000000002</v>
      </c>
    </row>
    <row r="38" spans="1:9" ht="25.5" x14ac:dyDescent="0.2">
      <c r="A38" s="67">
        <v>29</v>
      </c>
      <c r="B38" s="66"/>
      <c r="C38" s="84" t="s">
        <v>64</v>
      </c>
      <c r="D38" s="85">
        <v>252</v>
      </c>
      <c r="E38" s="97" t="s">
        <v>99</v>
      </c>
      <c r="F38" s="98" t="s">
        <v>65</v>
      </c>
      <c r="G38" s="105">
        <v>500</v>
      </c>
      <c r="H38" s="103">
        <v>580</v>
      </c>
      <c r="I38" s="68">
        <f t="shared" si="0"/>
        <v>290000</v>
      </c>
    </row>
    <row r="39" spans="1:9" ht="25.5" x14ac:dyDescent="0.2">
      <c r="A39" s="67">
        <v>30</v>
      </c>
      <c r="B39" s="66"/>
      <c r="C39" s="84" t="s">
        <v>64</v>
      </c>
      <c r="D39" s="85">
        <v>252</v>
      </c>
      <c r="E39" s="97" t="s">
        <v>100</v>
      </c>
      <c r="F39" s="98" t="s">
        <v>92</v>
      </c>
      <c r="G39" s="105">
        <v>500</v>
      </c>
      <c r="H39" s="103">
        <v>115</v>
      </c>
      <c r="I39" s="68">
        <f t="shared" si="0"/>
        <v>57500</v>
      </c>
    </row>
    <row r="40" spans="1:9" ht="33.75" customHeight="1" thickBot="1" x14ac:dyDescent="0.25">
      <c r="A40" s="86">
        <v>31</v>
      </c>
      <c r="B40" s="87"/>
      <c r="C40" s="88" t="s">
        <v>64</v>
      </c>
      <c r="D40" s="115">
        <v>252</v>
      </c>
      <c r="E40" s="121" t="s">
        <v>58</v>
      </c>
      <c r="F40" s="116" t="s">
        <v>71</v>
      </c>
      <c r="G40" s="117">
        <v>150</v>
      </c>
      <c r="H40" s="118">
        <v>1325</v>
      </c>
      <c r="I40" s="89">
        <f t="shared" si="0"/>
        <v>198750</v>
      </c>
    </row>
    <row r="41" spans="1:9" ht="13.5" thickBot="1" x14ac:dyDescent="0.25">
      <c r="I41" s="32"/>
    </row>
    <row r="42" spans="1:9" x14ac:dyDescent="0.2">
      <c r="C42" s="90" t="s">
        <v>66</v>
      </c>
      <c r="D42" s="28"/>
      <c r="E42" s="28"/>
      <c r="F42" s="29"/>
    </row>
    <row r="43" spans="1:9" ht="12" customHeight="1" x14ac:dyDescent="0.2">
      <c r="C43" s="122" t="s">
        <v>67</v>
      </c>
      <c r="D43" s="123"/>
      <c r="E43" s="123"/>
      <c r="F43" s="124"/>
      <c r="G43" s="30"/>
    </row>
    <row r="44" spans="1:9" ht="29.25" customHeight="1" x14ac:dyDescent="0.2">
      <c r="C44" s="122"/>
      <c r="D44" s="123"/>
      <c r="E44" s="123"/>
      <c r="F44" s="124"/>
      <c r="G44" s="30"/>
    </row>
    <row r="45" spans="1:9" x14ac:dyDescent="0.2">
      <c r="C45" s="122" t="s">
        <v>106</v>
      </c>
      <c r="D45" s="123"/>
      <c r="E45" s="123"/>
      <c r="F45" s="124"/>
      <c r="G45" s="30"/>
    </row>
    <row r="46" spans="1:9" s="53" customFormat="1" ht="13.5" thickBot="1" x14ac:dyDescent="0.25">
      <c r="B46" s="25"/>
      <c r="C46" s="93" t="s">
        <v>101</v>
      </c>
      <c r="D46" s="94"/>
      <c r="E46" s="95"/>
      <c r="F46" s="96"/>
      <c r="G46" s="92"/>
      <c r="H46" s="54"/>
    </row>
    <row r="47" spans="1:9" x14ac:dyDescent="0.2">
      <c r="B47" s="91"/>
      <c r="C47" s="31"/>
      <c r="D47" s="31"/>
      <c r="E47" s="31"/>
      <c r="F47" s="31"/>
      <c r="G47" s="31"/>
    </row>
    <row r="48" spans="1:9" ht="12" customHeight="1" x14ac:dyDescent="0.2"/>
    <row r="50" spans="5:5" x14ac:dyDescent="0.2">
      <c r="E50" s="25" t="s">
        <v>55</v>
      </c>
    </row>
  </sheetData>
  <autoFilter ref="A9:I19"/>
  <mergeCells count="9">
    <mergeCell ref="C43:F44"/>
    <mergeCell ref="C45:F45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3"/>
  <sheetViews>
    <sheetView topLeftCell="A40" zoomScale="80" zoomScaleNormal="80" workbookViewId="0">
      <selection activeCell="K2" sqref="K2"/>
    </sheetView>
  </sheetViews>
  <sheetFormatPr baseColWidth="10" defaultColWidth="9.140625" defaultRowHeight="12.75" x14ac:dyDescent="0.2"/>
  <cols>
    <col min="1" max="1" width="5.5703125" style="35" customWidth="1"/>
    <col min="2" max="2" width="15.140625" style="35" customWidth="1"/>
    <col min="3" max="3" width="14.140625" style="35" customWidth="1"/>
    <col min="4" max="4" width="26" style="35" customWidth="1"/>
    <col min="5" max="5" width="8" style="35" customWidth="1"/>
    <col min="6" max="6" width="7.85546875" style="35" customWidth="1"/>
    <col min="7" max="7" width="48.5703125" style="35" customWidth="1"/>
    <col min="8" max="8" width="9.28515625" style="35" customWidth="1"/>
    <col min="9" max="9" width="15.5703125" style="35" customWidth="1"/>
    <col min="10" max="10" width="14.7109375" style="35" customWidth="1"/>
    <col min="11" max="11" width="15.5703125" style="35" customWidth="1"/>
    <col min="12" max="13" width="5.85546875" style="35" customWidth="1"/>
    <col min="14" max="14" width="14.140625" style="35" customWidth="1"/>
    <col min="15" max="15" width="12.5703125" style="35" customWidth="1"/>
    <col min="16" max="1024" width="9.140625" style="35"/>
    <col min="1025" max="16384" width="9.140625" style="36"/>
  </cols>
  <sheetData>
    <row r="1" spans="1:11" ht="18" customHeight="1" x14ac:dyDescent="0.2">
      <c r="A1" s="138" t="s">
        <v>14</v>
      </c>
      <c r="B1" s="138"/>
      <c r="C1" s="138"/>
      <c r="D1" s="138"/>
      <c r="E1" s="138"/>
      <c r="F1" s="138"/>
      <c r="G1" s="138"/>
      <c r="H1" s="138"/>
      <c r="I1" s="138"/>
      <c r="J1" s="33" t="s">
        <v>15</v>
      </c>
      <c r="K1" s="34" t="s">
        <v>104</v>
      </c>
    </row>
    <row r="2" spans="1:11" ht="18.75" customHeight="1" thickBot="1" x14ac:dyDescent="0.25">
      <c r="A2" s="37"/>
      <c r="B2" s="37"/>
      <c r="C2" s="37"/>
      <c r="D2" s="38"/>
      <c r="E2" s="38"/>
      <c r="F2" s="38"/>
      <c r="G2" s="38"/>
      <c r="H2" s="38"/>
      <c r="I2" s="38"/>
      <c r="J2" s="38"/>
      <c r="K2" s="38"/>
    </row>
    <row r="3" spans="1:11" ht="18.75" customHeight="1" thickBot="1" x14ac:dyDescent="0.25">
      <c r="A3" s="139" t="s">
        <v>48</v>
      </c>
      <c r="B3" s="139"/>
      <c r="C3" s="139"/>
      <c r="D3" s="128" t="str">
        <f>'Necesidades Trimestrales'!C4</f>
        <v>040 - Ministerio de Salud</v>
      </c>
      <c r="E3" s="128"/>
      <c r="F3" s="128"/>
      <c r="G3" s="128"/>
      <c r="H3" s="128"/>
      <c r="I3" s="128"/>
      <c r="J3" s="128"/>
      <c r="K3" s="128"/>
    </row>
    <row r="4" spans="1:11" ht="18.75" customHeight="1" thickBot="1" x14ac:dyDescent="0.25">
      <c r="A4" s="140" t="s">
        <v>49</v>
      </c>
      <c r="B4" s="140"/>
      <c r="C4" s="140"/>
      <c r="D4" s="128" t="str">
        <f>'Necesidades Trimestrales'!C5</f>
        <v>024 - Hospital Interzonal de Niños</v>
      </c>
      <c r="E4" s="128"/>
      <c r="F4" s="128"/>
      <c r="G4" s="128"/>
      <c r="H4" s="128"/>
      <c r="I4" s="128"/>
      <c r="J4" s="128"/>
      <c r="K4" s="128"/>
    </row>
    <row r="5" spans="1:11" ht="18.75" customHeight="1" thickBot="1" x14ac:dyDescent="0.25">
      <c r="A5" s="140" t="s">
        <v>27</v>
      </c>
      <c r="B5" s="140"/>
      <c r="C5" s="140"/>
      <c r="D5" s="128" t="s">
        <v>51</v>
      </c>
      <c r="E5" s="128"/>
      <c r="F5" s="128"/>
      <c r="G5" s="128"/>
      <c r="H5" s="128"/>
      <c r="I5" s="128"/>
      <c r="J5" s="128"/>
      <c r="K5" s="128"/>
    </row>
    <row r="6" spans="1:11" ht="16.5" customHeight="1" thickBot="1" x14ac:dyDescent="0.25">
      <c r="A6" s="139" t="s">
        <v>50</v>
      </c>
      <c r="B6" s="139"/>
      <c r="C6" s="139"/>
      <c r="D6" s="128" t="s">
        <v>57</v>
      </c>
      <c r="E6" s="128"/>
      <c r="F6" s="128"/>
      <c r="G6" s="128"/>
      <c r="H6" s="128"/>
      <c r="I6" s="128"/>
      <c r="J6" s="128"/>
      <c r="K6" s="128"/>
    </row>
    <row r="7" spans="1:11" ht="16.5" customHeight="1" x14ac:dyDescent="0.2">
      <c r="A7" s="140" t="s">
        <v>16</v>
      </c>
      <c r="B7" s="140"/>
      <c r="C7" s="140"/>
      <c r="D7" s="128" t="s">
        <v>103</v>
      </c>
      <c r="E7" s="128"/>
      <c r="F7" s="128"/>
      <c r="G7" s="128"/>
      <c r="H7" s="128"/>
      <c r="I7" s="128"/>
      <c r="J7" s="128"/>
      <c r="K7" s="128"/>
    </row>
    <row r="8" spans="1:11" ht="16.5" customHeight="1" x14ac:dyDescent="0.2">
      <c r="A8" s="133" t="s">
        <v>17</v>
      </c>
      <c r="B8" s="133"/>
      <c r="C8" s="133"/>
      <c r="D8" s="134" t="s">
        <v>62</v>
      </c>
      <c r="E8" s="134"/>
      <c r="F8" s="134"/>
      <c r="G8" s="134"/>
      <c r="H8" s="134"/>
      <c r="I8" s="134"/>
      <c r="J8" s="134"/>
      <c r="K8" s="134"/>
    </row>
    <row r="9" spans="1:11" ht="15.75" x14ac:dyDescent="0.2">
      <c r="A9" s="39"/>
      <c r="B9" s="39"/>
      <c r="C9" s="39"/>
      <c r="D9" s="40"/>
      <c r="E9" s="40"/>
      <c r="F9" s="40"/>
      <c r="G9" s="40"/>
      <c r="H9" s="40"/>
      <c r="I9" s="40"/>
      <c r="J9" s="40"/>
      <c r="K9" s="40"/>
    </row>
    <row r="10" spans="1:11" ht="18.75" customHeight="1" x14ac:dyDescent="0.2">
      <c r="A10" s="135" t="s">
        <v>18</v>
      </c>
      <c r="B10" s="136" t="s">
        <v>19</v>
      </c>
      <c r="C10" s="136" t="s">
        <v>20</v>
      </c>
      <c r="D10" s="136"/>
      <c r="E10" s="136"/>
      <c r="F10" s="136"/>
      <c r="G10" s="136"/>
      <c r="H10" s="136" t="s">
        <v>21</v>
      </c>
      <c r="I10" s="136" t="s">
        <v>22</v>
      </c>
      <c r="J10" s="136" t="s">
        <v>23</v>
      </c>
      <c r="K10" s="141" t="s">
        <v>24</v>
      </c>
    </row>
    <row r="11" spans="1:11" ht="24" customHeight="1" thickBot="1" x14ac:dyDescent="0.25">
      <c r="A11" s="135"/>
      <c r="B11" s="136"/>
      <c r="C11" s="136"/>
      <c r="D11" s="136"/>
      <c r="E11" s="136"/>
      <c r="F11" s="136"/>
      <c r="G11" s="136"/>
      <c r="H11" s="136"/>
      <c r="I11" s="136"/>
      <c r="J11" s="136"/>
      <c r="K11" s="141"/>
    </row>
    <row r="12" spans="1:11" ht="24" customHeight="1" x14ac:dyDescent="0.2">
      <c r="A12" s="43">
        <v>1</v>
      </c>
      <c r="B12" s="44"/>
      <c r="C12" s="137" t="str">
        <f>'Necesidades Trimestrales'!E10</f>
        <v xml:space="preserve">ACETIL CISTEINA 600 MG TABLETAS  EFERVESCENTE  </v>
      </c>
      <c r="D12" s="137"/>
      <c r="E12" s="137"/>
      <c r="F12" s="137"/>
      <c r="G12" s="137"/>
      <c r="H12" s="45" t="s">
        <v>54</v>
      </c>
      <c r="I12" s="46" t="str">
        <f>'Necesidades Trimestrales'!F10</f>
        <v>TABLETAS</v>
      </c>
      <c r="J12" s="47">
        <f>'Necesidades Trimestrales'!H10</f>
        <v>38</v>
      </c>
      <c r="K12" s="48">
        <f>'Necesidades Trimestrales'!G10</f>
        <v>50</v>
      </c>
    </row>
    <row r="13" spans="1:11" ht="27.75" customHeight="1" x14ac:dyDescent="0.2">
      <c r="A13" s="78">
        <v>2</v>
      </c>
      <c r="B13" s="79"/>
      <c r="C13" s="130" t="str">
        <f>'Necesidades Trimestrales'!E11</f>
        <v>ACIDO FUSIDICO 2% CREMA x 15 grs</v>
      </c>
      <c r="D13" s="130"/>
      <c r="E13" s="130"/>
      <c r="F13" s="130"/>
      <c r="G13" s="130"/>
      <c r="H13" s="80" t="s">
        <v>54</v>
      </c>
      <c r="I13" s="81" t="str">
        <f>'Necesidades Trimestrales'!F11</f>
        <v>ENVASE</v>
      </c>
      <c r="J13" s="82">
        <f>'Necesidades Trimestrales'!H11</f>
        <v>395.25</v>
      </c>
      <c r="K13" s="83">
        <f>'Necesidades Trimestrales'!G11</f>
        <v>10</v>
      </c>
    </row>
    <row r="14" spans="1:11" ht="27.75" customHeight="1" x14ac:dyDescent="0.2">
      <c r="A14" s="69">
        <v>3</v>
      </c>
      <c r="B14" s="70"/>
      <c r="C14" s="131" t="str">
        <f>'Necesidades Trimestrales'!E12</f>
        <v>AMINIFILINA 240 MG AMPOLLA X 10 ML</v>
      </c>
      <c r="D14" s="131"/>
      <c r="E14" s="131"/>
      <c r="F14" s="131"/>
      <c r="G14" s="131"/>
      <c r="H14" s="73" t="s">
        <v>54</v>
      </c>
      <c r="I14" s="74" t="str">
        <f>'Necesidades Trimestrales'!F12</f>
        <v>AMPOLLA</v>
      </c>
      <c r="J14" s="72">
        <f>'Necesidades Trimestrales'!H12</f>
        <v>98</v>
      </c>
      <c r="K14" s="71">
        <f>'Necesidades Trimestrales'!G12</f>
        <v>100</v>
      </c>
    </row>
    <row r="15" spans="1:11" ht="27.75" customHeight="1" x14ac:dyDescent="0.2">
      <c r="A15" s="78">
        <v>4</v>
      </c>
      <c r="B15" s="70"/>
      <c r="C15" s="132" t="str">
        <f>'Necesidades Trimestrales'!E13</f>
        <v>APOSITO HIDROCOLIDE OVALADO 14 X 17 CM</v>
      </c>
      <c r="D15" s="132"/>
      <c r="E15" s="132"/>
      <c r="F15" s="132"/>
      <c r="G15" s="132"/>
      <c r="H15" s="73" t="s">
        <v>54</v>
      </c>
      <c r="I15" s="74" t="str">
        <f>'Necesidades Trimestrales'!F13</f>
        <v>UNIDAD</v>
      </c>
      <c r="J15" s="72">
        <f>'Necesidades Trimestrales'!H13</f>
        <v>1364</v>
      </c>
      <c r="K15" s="71">
        <f>'Necesidades Trimestrales'!G13</f>
        <v>100</v>
      </c>
    </row>
    <row r="16" spans="1:11" ht="27.75" customHeight="1" x14ac:dyDescent="0.2">
      <c r="A16" s="69">
        <v>5</v>
      </c>
      <c r="B16" s="70"/>
      <c r="C16" s="132" t="str">
        <f>'Necesidades Trimestrales'!E14</f>
        <v>APOSITO HIDROCOLOIDE CUADRADO 10 X 10 CM</v>
      </c>
      <c r="D16" s="132"/>
      <c r="E16" s="132"/>
      <c r="F16" s="132"/>
      <c r="G16" s="132"/>
      <c r="H16" s="73" t="s">
        <v>54</v>
      </c>
      <c r="I16" s="74" t="str">
        <f>'Necesidades Trimestrales'!F14</f>
        <v>UNIDAD</v>
      </c>
      <c r="J16" s="72">
        <f>'Necesidades Trimestrales'!H14</f>
        <v>551.29999999999995</v>
      </c>
      <c r="K16" s="71">
        <f>'Necesidades Trimestrales'!G14</f>
        <v>100</v>
      </c>
    </row>
    <row r="17" spans="1:11" ht="27.75" customHeight="1" x14ac:dyDescent="0.2">
      <c r="A17" s="78">
        <v>6</v>
      </c>
      <c r="B17" s="70"/>
      <c r="C17" s="132" t="str">
        <f>'Necesidades Trimestrales'!E15</f>
        <v>BETAMETASONA 0,05 % CREMA x 15 grs</v>
      </c>
      <c r="D17" s="132"/>
      <c r="E17" s="132"/>
      <c r="F17" s="132"/>
      <c r="G17" s="132"/>
      <c r="H17" s="73" t="s">
        <v>54</v>
      </c>
      <c r="I17" s="74" t="str">
        <f>'Necesidades Trimestrales'!F15</f>
        <v>ENVASE</v>
      </c>
      <c r="J17" s="72">
        <f>'Necesidades Trimestrales'!H15</f>
        <v>185.62</v>
      </c>
      <c r="K17" s="71">
        <f>'Necesidades Trimestrales'!G15</f>
        <v>10</v>
      </c>
    </row>
    <row r="18" spans="1:11" ht="27.75" customHeight="1" x14ac:dyDescent="0.2">
      <c r="A18" s="69">
        <v>7</v>
      </c>
      <c r="B18" s="70"/>
      <c r="C18" s="132" t="str">
        <f>'Necesidades Trimestrales'!E16</f>
        <v>BUDESONIDE AEROSOL 200 MCG/PUFF ( 100 DOSIS )</v>
      </c>
      <c r="D18" s="132"/>
      <c r="E18" s="132"/>
      <c r="F18" s="132"/>
      <c r="G18" s="132"/>
      <c r="H18" s="73" t="s">
        <v>54</v>
      </c>
      <c r="I18" s="74" t="str">
        <f>'Necesidades Trimestrales'!F16</f>
        <v>UNIDAD</v>
      </c>
      <c r="J18" s="72">
        <f>'Necesidades Trimestrales'!H16</f>
        <v>780</v>
      </c>
      <c r="K18" s="71">
        <f>'Necesidades Trimestrales'!G16</f>
        <v>300</v>
      </c>
    </row>
    <row r="19" spans="1:11" ht="27.75" customHeight="1" x14ac:dyDescent="0.2">
      <c r="A19" s="78">
        <v>8</v>
      </c>
      <c r="B19" s="70"/>
      <c r="C19" s="132" t="str">
        <f>'Necesidades Trimestrales'!E17</f>
        <v>BUDESONIDE SOLUCION PARA NEBULIZAR DE 20 ML</v>
      </c>
      <c r="D19" s="132"/>
      <c r="E19" s="132"/>
      <c r="F19" s="132"/>
      <c r="G19" s="132"/>
      <c r="H19" s="73" t="s">
        <v>54</v>
      </c>
      <c r="I19" s="74" t="str">
        <f>'Necesidades Trimestrales'!F17</f>
        <v>ENVASE</v>
      </c>
      <c r="J19" s="72">
        <f>'Necesidades Trimestrales'!H17</f>
        <v>215</v>
      </c>
      <c r="K19" s="71">
        <f>'Necesidades Trimestrales'!G17</f>
        <v>300</v>
      </c>
    </row>
    <row r="20" spans="1:11" ht="27.75" customHeight="1" x14ac:dyDescent="0.2">
      <c r="A20" s="69">
        <v>9</v>
      </c>
      <c r="B20" s="70"/>
      <c r="C20" s="132" t="str">
        <f>'Necesidades Trimestrales'!E18</f>
        <v>CLOTRIMAZOL 1% CREMA x 20 grs</v>
      </c>
      <c r="D20" s="132"/>
      <c r="E20" s="132"/>
      <c r="F20" s="132"/>
      <c r="G20" s="132"/>
      <c r="H20" s="73" t="s">
        <v>54</v>
      </c>
      <c r="I20" s="74" t="str">
        <f>'Necesidades Trimestrales'!F18</f>
        <v>ENVASE</v>
      </c>
      <c r="J20" s="72">
        <f>'Necesidades Trimestrales'!H18</f>
        <v>180</v>
      </c>
      <c r="K20" s="71">
        <f>'Necesidades Trimestrales'!G18</f>
        <v>10</v>
      </c>
    </row>
    <row r="21" spans="1:11" ht="27.75" customHeight="1" x14ac:dyDescent="0.2">
      <c r="A21" s="78">
        <v>10</v>
      </c>
      <c r="B21" s="70"/>
      <c r="C21" s="132" t="str">
        <f>'Necesidades Trimestrales'!E19</f>
        <v>DESMOPRESIN 15 mcg/1 ML AMPOLLA</v>
      </c>
      <c r="D21" s="132"/>
      <c r="E21" s="132"/>
      <c r="F21" s="132"/>
      <c r="G21" s="132"/>
      <c r="H21" s="73" t="s">
        <v>54</v>
      </c>
      <c r="I21" s="74" t="str">
        <f>'Necesidades Trimestrales'!F19</f>
        <v>AMPOLLA</v>
      </c>
      <c r="J21" s="72">
        <f>'Necesidades Trimestrales'!H19</f>
        <v>1125.7</v>
      </c>
      <c r="K21" s="71">
        <f>'Necesidades Trimestrales'!G19</f>
        <v>40</v>
      </c>
    </row>
    <row r="22" spans="1:11" ht="27.75" customHeight="1" x14ac:dyDescent="0.2">
      <c r="A22" s="69">
        <v>11</v>
      </c>
      <c r="B22" s="70"/>
      <c r="C22" s="132" t="str">
        <f>'Necesidades Trimestrales'!E20</f>
        <v>DESMOPRESIN SPRAY NASAL 10 mcg /dosis</v>
      </c>
      <c r="D22" s="132"/>
      <c r="E22" s="132"/>
      <c r="F22" s="132"/>
      <c r="G22" s="132"/>
      <c r="H22" s="73" t="s">
        <v>54</v>
      </c>
      <c r="I22" s="74" t="str">
        <f>'Necesidades Trimestrales'!F20</f>
        <v>UNIDAD</v>
      </c>
      <c r="J22" s="72">
        <f>'Necesidades Trimestrales'!H20</f>
        <v>7018.41</v>
      </c>
      <c r="K22" s="71">
        <f>'Necesidades Trimestrales'!G20</f>
        <v>10</v>
      </c>
    </row>
    <row r="23" spans="1:11" ht="27.75" customHeight="1" x14ac:dyDescent="0.2">
      <c r="A23" s="78">
        <v>12</v>
      </c>
      <c r="B23" s="70"/>
      <c r="C23" s="132" t="str">
        <f>'Necesidades Trimestrales'!E21</f>
        <v>DEXAMETASONA 8 MG AMPOLLA x 2 ml</v>
      </c>
      <c r="D23" s="132"/>
      <c r="E23" s="132"/>
      <c r="F23" s="132"/>
      <c r="G23" s="132"/>
      <c r="H23" s="73" t="s">
        <v>54</v>
      </c>
      <c r="I23" s="74" t="str">
        <f>'Necesidades Trimestrales'!F21</f>
        <v>AMPOLLA</v>
      </c>
      <c r="J23" s="72">
        <f>'Necesidades Trimestrales'!H21</f>
        <v>62</v>
      </c>
      <c r="K23" s="71">
        <f>'Necesidades Trimestrales'!G21</f>
        <v>5000</v>
      </c>
    </row>
    <row r="24" spans="1:11" ht="27.75" customHeight="1" x14ac:dyDescent="0.2">
      <c r="A24" s="69">
        <v>13</v>
      </c>
      <c r="B24" s="70"/>
      <c r="C24" s="132" t="str">
        <f>'Necesidades Trimestrales'!E22</f>
        <v>DEXAMETASONA 8 MG COMPRIMIDO</v>
      </c>
      <c r="D24" s="132"/>
      <c r="E24" s="132"/>
      <c r="F24" s="132"/>
      <c r="G24" s="132"/>
      <c r="H24" s="73" t="s">
        <v>54</v>
      </c>
      <c r="I24" s="74" t="str">
        <f>'Necesidades Trimestrales'!F22</f>
        <v>COMPRIMIDO</v>
      </c>
      <c r="J24" s="72">
        <f>'Necesidades Trimestrales'!H22</f>
        <v>5.4</v>
      </c>
      <c r="K24" s="71">
        <f>'Necesidades Trimestrales'!G22</f>
        <v>200</v>
      </c>
    </row>
    <row r="25" spans="1:11" ht="27.75" customHeight="1" x14ac:dyDescent="0.2">
      <c r="A25" s="78">
        <v>14</v>
      </c>
      <c r="B25" s="70"/>
      <c r="C25" s="132" t="str">
        <f>'Necesidades Trimestrales'!E23</f>
        <v>DIFENHIDRAMINA 0,25% JARABE</v>
      </c>
      <c r="D25" s="132"/>
      <c r="E25" s="132"/>
      <c r="F25" s="132"/>
      <c r="G25" s="132"/>
      <c r="H25" s="73" t="s">
        <v>54</v>
      </c>
      <c r="I25" s="74" t="str">
        <f>'Necesidades Trimestrales'!F23</f>
        <v>FRASCO</v>
      </c>
      <c r="J25" s="72">
        <f>'Necesidades Trimestrales'!H23</f>
        <v>168</v>
      </c>
      <c r="K25" s="71">
        <f>'Necesidades Trimestrales'!G23</f>
        <v>1500</v>
      </c>
    </row>
    <row r="26" spans="1:11" ht="27.75" customHeight="1" x14ac:dyDescent="0.2">
      <c r="A26" s="69">
        <v>15</v>
      </c>
      <c r="B26" s="70"/>
      <c r="C26" s="132" t="str">
        <f>'Necesidades Trimestrales'!E24</f>
        <v>DIFENHIDRAMINA 50MG COMPRIMIDOS</v>
      </c>
      <c r="D26" s="132"/>
      <c r="E26" s="132"/>
      <c r="F26" s="132"/>
      <c r="G26" s="132"/>
      <c r="H26" s="73" t="s">
        <v>54</v>
      </c>
      <c r="I26" s="74" t="str">
        <f>'Necesidades Trimestrales'!F24</f>
        <v>COMPRIMIDO</v>
      </c>
      <c r="J26" s="72">
        <f>'Necesidades Trimestrales'!H24</f>
        <v>12</v>
      </c>
      <c r="K26" s="71">
        <f>'Necesidades Trimestrales'!G24</f>
        <v>200</v>
      </c>
    </row>
    <row r="27" spans="1:11" ht="27.75" customHeight="1" x14ac:dyDescent="0.2">
      <c r="A27" s="78">
        <v>16</v>
      </c>
      <c r="B27" s="70"/>
      <c r="C27" s="132" t="str">
        <f>'Necesidades Trimestrales'!E25</f>
        <v>DIFENILHIDRAMINA 10MG AMPOLLA x 5 ml</v>
      </c>
      <c r="D27" s="132"/>
      <c r="E27" s="132"/>
      <c r="F27" s="132"/>
      <c r="G27" s="132"/>
      <c r="H27" s="73" t="s">
        <v>54</v>
      </c>
      <c r="I27" s="74" t="str">
        <f>'Necesidades Trimestrales'!F25</f>
        <v>AMPOLLA</v>
      </c>
      <c r="J27" s="72">
        <f>'Necesidades Trimestrales'!H25</f>
        <v>55</v>
      </c>
      <c r="K27" s="71">
        <f>'Necesidades Trimestrales'!G25</f>
        <v>4000</v>
      </c>
    </row>
    <row r="28" spans="1:11" ht="27.75" customHeight="1" x14ac:dyDescent="0.2">
      <c r="A28" s="69">
        <v>17</v>
      </c>
      <c r="B28" s="70"/>
      <c r="C28" s="132" t="str">
        <f>'Necesidades Trimestrales'!E26</f>
        <v>HIDROCORTISONA 1% CREMA</v>
      </c>
      <c r="D28" s="132"/>
      <c r="E28" s="132"/>
      <c r="F28" s="132"/>
      <c r="G28" s="132"/>
      <c r="H28" s="73" t="s">
        <v>54</v>
      </c>
      <c r="I28" s="74" t="str">
        <f>'Necesidades Trimestrales'!F26</f>
        <v>ENVASE</v>
      </c>
      <c r="J28" s="72">
        <f>'Necesidades Trimestrales'!H26</f>
        <v>246.72</v>
      </c>
      <c r="K28" s="71">
        <f>'Necesidades Trimestrales'!G26</f>
        <v>10</v>
      </c>
    </row>
    <row r="29" spans="1:11" ht="27.75" customHeight="1" x14ac:dyDescent="0.2">
      <c r="A29" s="78">
        <v>18</v>
      </c>
      <c r="B29" s="70"/>
      <c r="C29" s="132" t="str">
        <f>'Necesidades Trimestrales'!E27</f>
        <v>HIDROCORTISONA 100 MG FCO AMPOLLA</v>
      </c>
      <c r="D29" s="132"/>
      <c r="E29" s="132"/>
      <c r="F29" s="132"/>
      <c r="G29" s="132"/>
      <c r="H29" s="73" t="s">
        <v>54</v>
      </c>
      <c r="I29" s="74" t="str">
        <f>'Necesidades Trimestrales'!F27</f>
        <v>AMPOLLA</v>
      </c>
      <c r="J29" s="72">
        <f>'Necesidades Trimestrales'!H27</f>
        <v>172.5</v>
      </c>
      <c r="K29" s="71">
        <f>'Necesidades Trimestrales'!G27</f>
        <v>1000</v>
      </c>
    </row>
    <row r="30" spans="1:11" ht="27.75" customHeight="1" x14ac:dyDescent="0.2">
      <c r="A30" s="69">
        <v>19</v>
      </c>
      <c r="B30" s="70"/>
      <c r="C30" s="132" t="str">
        <f>'Necesidades Trimestrales'!E28</f>
        <v>HIDROCORTISONA 500 MG FCO AMPOLLA</v>
      </c>
      <c r="D30" s="132"/>
      <c r="E30" s="132"/>
      <c r="F30" s="132"/>
      <c r="G30" s="132"/>
      <c r="H30" s="73" t="s">
        <v>54</v>
      </c>
      <c r="I30" s="74" t="str">
        <f>'Necesidades Trimestrales'!F28</f>
        <v>AMPOLLA</v>
      </c>
      <c r="J30" s="72">
        <f>'Necesidades Trimestrales'!H28</f>
        <v>222</v>
      </c>
      <c r="K30" s="71">
        <f>'Necesidades Trimestrales'!G28</f>
        <v>1000</v>
      </c>
    </row>
    <row r="31" spans="1:11" ht="27.75" customHeight="1" x14ac:dyDescent="0.2">
      <c r="A31" s="78">
        <v>20</v>
      </c>
      <c r="B31" s="70"/>
      <c r="C31" s="132" t="str">
        <f>'Necesidades Trimestrales'!E29</f>
        <v>IPRATROPIO AEROSOL x 250 DOSIS</v>
      </c>
      <c r="D31" s="132"/>
      <c r="E31" s="132"/>
      <c r="F31" s="132"/>
      <c r="G31" s="132"/>
      <c r="H31" s="73" t="s">
        <v>54</v>
      </c>
      <c r="I31" s="74" t="str">
        <f>'Necesidades Trimestrales'!F29</f>
        <v>UNIDAD</v>
      </c>
      <c r="J31" s="72">
        <f>'Necesidades Trimestrales'!H29</f>
        <v>860</v>
      </c>
      <c r="K31" s="71">
        <f>'Necesidades Trimestrales'!G29</f>
        <v>10</v>
      </c>
    </row>
    <row r="32" spans="1:11" ht="27.75" customHeight="1" x14ac:dyDescent="0.2">
      <c r="A32" s="69">
        <v>21</v>
      </c>
      <c r="B32" s="70"/>
      <c r="C32" s="132" t="str">
        <f>'Necesidades Trimestrales'!E30</f>
        <v>IPRATROPIO SOLUCION PARA NEBULIZAR 0,1%GOTAS x 20 ml</v>
      </c>
      <c r="D32" s="132"/>
      <c r="E32" s="132"/>
      <c r="F32" s="132"/>
      <c r="G32" s="132"/>
      <c r="H32" s="73" t="s">
        <v>54</v>
      </c>
      <c r="I32" s="74" t="str">
        <f>'Necesidades Trimestrales'!F30</f>
        <v>GOTERO</v>
      </c>
      <c r="J32" s="72">
        <f>'Necesidades Trimestrales'!H30</f>
        <v>110</v>
      </c>
      <c r="K32" s="71">
        <f>'Necesidades Trimestrales'!G30</f>
        <v>500</v>
      </c>
    </row>
    <row r="33" spans="1:14" ht="27.75" customHeight="1" x14ac:dyDescent="0.2">
      <c r="A33" s="78">
        <v>22</v>
      </c>
      <c r="B33" s="70"/>
      <c r="C33" s="132" t="str">
        <f>'Necesidades Trimestrales'!E31</f>
        <v>MEPREDNISONA 4MG COMPRIMIDO</v>
      </c>
      <c r="D33" s="132"/>
      <c r="E33" s="132"/>
      <c r="F33" s="132"/>
      <c r="G33" s="132"/>
      <c r="H33" s="73" t="s">
        <v>54</v>
      </c>
      <c r="I33" s="74" t="str">
        <f>'Necesidades Trimestrales'!F31</f>
        <v>COMPRIMIDO</v>
      </c>
      <c r="J33" s="72">
        <f>'Necesidades Trimestrales'!H31</f>
        <v>34.93</v>
      </c>
      <c r="K33" s="71">
        <f>'Necesidades Trimestrales'!G31</f>
        <v>1000</v>
      </c>
    </row>
    <row r="34" spans="1:14" ht="27.75" customHeight="1" x14ac:dyDescent="0.2">
      <c r="A34" s="69">
        <v>23</v>
      </c>
      <c r="B34" s="70"/>
      <c r="C34" s="132" t="str">
        <f>'Necesidades Trimestrales'!E32</f>
        <v>MEPREDNISONA GOTAS x 20 ml</v>
      </c>
      <c r="D34" s="132"/>
      <c r="E34" s="132"/>
      <c r="F34" s="132"/>
      <c r="G34" s="132"/>
      <c r="H34" s="73" t="s">
        <v>54</v>
      </c>
      <c r="I34" s="74" t="str">
        <f>'Necesidades Trimestrales'!F32</f>
        <v>GOTERO</v>
      </c>
      <c r="J34" s="72">
        <f>'Necesidades Trimestrales'!H32</f>
        <v>279.34500000000003</v>
      </c>
      <c r="K34" s="71">
        <f>'Necesidades Trimestrales'!G32</f>
        <v>500</v>
      </c>
    </row>
    <row r="35" spans="1:14" ht="27.75" customHeight="1" x14ac:dyDescent="0.2">
      <c r="A35" s="78">
        <v>24</v>
      </c>
      <c r="B35" s="70"/>
      <c r="C35" s="132" t="str">
        <f>'Necesidades Trimestrales'!E33</f>
        <v>METILPREDNISOLONA 500 MG FCO AMPOLLA</v>
      </c>
      <c r="D35" s="132"/>
      <c r="E35" s="132"/>
      <c r="F35" s="132"/>
      <c r="G35" s="132"/>
      <c r="H35" s="73" t="s">
        <v>54</v>
      </c>
      <c r="I35" s="74" t="str">
        <f>'Necesidades Trimestrales'!F33</f>
        <v>AMPOLLA</v>
      </c>
      <c r="J35" s="72">
        <f>'Necesidades Trimestrales'!H33</f>
        <v>1183</v>
      </c>
      <c r="K35" s="71">
        <f>'Necesidades Trimestrales'!G33</f>
        <v>200</v>
      </c>
    </row>
    <row r="36" spans="1:14" ht="27.75" customHeight="1" x14ac:dyDescent="0.2">
      <c r="A36" s="69">
        <v>25</v>
      </c>
      <c r="B36" s="70"/>
      <c r="C36" s="132" t="str">
        <f>'Necesidades Trimestrales'!E34</f>
        <v>METILPREDNISONA 40 MG COMPRIMIDO</v>
      </c>
      <c r="D36" s="132"/>
      <c r="E36" s="132"/>
      <c r="F36" s="132"/>
      <c r="G36" s="132"/>
      <c r="H36" s="73" t="s">
        <v>54</v>
      </c>
      <c r="I36" s="74" t="str">
        <f>'Necesidades Trimestrales'!F34</f>
        <v>COMPRIMIDO</v>
      </c>
      <c r="J36" s="72">
        <f>'Necesidades Trimestrales'!H34</f>
        <v>70.2</v>
      </c>
      <c r="K36" s="71">
        <f>'Necesidades Trimestrales'!G34</f>
        <v>1000</v>
      </c>
    </row>
    <row r="37" spans="1:14" ht="27.75" customHeight="1" x14ac:dyDescent="0.2">
      <c r="A37" s="78">
        <v>26</v>
      </c>
      <c r="B37" s="70"/>
      <c r="C37" s="132" t="str">
        <f>'Necesidades Trimestrales'!E35</f>
        <v>METILPREDNISONA 8MG COMPRIMIDO</v>
      </c>
      <c r="D37" s="132"/>
      <c r="E37" s="132"/>
      <c r="F37" s="132"/>
      <c r="G37" s="132"/>
      <c r="H37" s="73" t="s">
        <v>54</v>
      </c>
      <c r="I37" s="74" t="str">
        <f>'Necesidades Trimestrales'!F35</f>
        <v>COMPRIMIDO</v>
      </c>
      <c r="J37" s="72">
        <f>'Necesidades Trimestrales'!H35</f>
        <v>17.350000000000001</v>
      </c>
      <c r="K37" s="71">
        <f>'Necesidades Trimestrales'!G35</f>
        <v>1000</v>
      </c>
    </row>
    <row r="38" spans="1:14" ht="27.75" customHeight="1" x14ac:dyDescent="0.2">
      <c r="A38" s="69">
        <v>27</v>
      </c>
      <c r="B38" s="70"/>
      <c r="C38" s="132" t="str">
        <f>'Necesidades Trimestrales'!E36</f>
        <v>PASTA AL AGUA X 30 GRS</v>
      </c>
      <c r="D38" s="132"/>
      <c r="E38" s="132"/>
      <c r="F38" s="132"/>
      <c r="G38" s="132"/>
      <c r="H38" s="73" t="s">
        <v>54</v>
      </c>
      <c r="I38" s="74" t="str">
        <f>'Necesidades Trimestrales'!F36</f>
        <v>UNIDAD</v>
      </c>
      <c r="J38" s="72">
        <f>'Necesidades Trimestrales'!H36</f>
        <v>355.32</v>
      </c>
      <c r="K38" s="71">
        <f>'Necesidades Trimestrales'!G36</f>
        <v>10</v>
      </c>
    </row>
    <row r="39" spans="1:14" ht="27.75" customHeight="1" x14ac:dyDescent="0.2">
      <c r="A39" s="78">
        <v>28</v>
      </c>
      <c r="B39" s="70"/>
      <c r="C39" s="132" t="str">
        <f>'Necesidades Trimestrales'!E37</f>
        <v>PASTA LASSAR X 30 GRS</v>
      </c>
      <c r="D39" s="132"/>
      <c r="E39" s="132"/>
      <c r="F39" s="132"/>
      <c r="G39" s="132"/>
      <c r="H39" s="73" t="s">
        <v>54</v>
      </c>
      <c r="I39" s="74" t="str">
        <f>'Necesidades Trimestrales'!F37</f>
        <v>UNIDAD</v>
      </c>
      <c r="J39" s="72">
        <f>'Necesidades Trimestrales'!H37</f>
        <v>236.88</v>
      </c>
      <c r="K39" s="71">
        <f>'Necesidades Trimestrales'!G37</f>
        <v>10</v>
      </c>
    </row>
    <row r="40" spans="1:14" ht="27.75" customHeight="1" x14ac:dyDescent="0.2">
      <c r="A40" s="69">
        <v>29</v>
      </c>
      <c r="B40" s="70"/>
      <c r="C40" s="132" t="str">
        <f>'Necesidades Trimestrales'!E38</f>
        <v>SALBUTAMOL AEROSOL CON  AEROCAMARA x 250 dosis</v>
      </c>
      <c r="D40" s="132"/>
      <c r="E40" s="132"/>
      <c r="F40" s="132"/>
      <c r="G40" s="132"/>
      <c r="H40" s="73" t="s">
        <v>54</v>
      </c>
      <c r="I40" s="74" t="str">
        <f>'Necesidades Trimestrales'!F38</f>
        <v>UNIDAD</v>
      </c>
      <c r="J40" s="72">
        <f>'Necesidades Trimestrales'!H38</f>
        <v>580</v>
      </c>
      <c r="K40" s="71">
        <f>'Necesidades Trimestrales'!G38</f>
        <v>500</v>
      </c>
    </row>
    <row r="41" spans="1:14" ht="27.75" customHeight="1" x14ac:dyDescent="0.2">
      <c r="A41" s="78">
        <v>30</v>
      </c>
      <c r="B41" s="70"/>
      <c r="C41" s="132" t="str">
        <f>'Necesidades Trimestrales'!E39</f>
        <v>SALBUTAMOL GOTAS x 20 ml</v>
      </c>
      <c r="D41" s="132"/>
      <c r="E41" s="132"/>
      <c r="F41" s="132"/>
      <c r="G41" s="132"/>
      <c r="H41" s="73" t="s">
        <v>54</v>
      </c>
      <c r="I41" s="74" t="str">
        <f>'Necesidades Trimestrales'!F39</f>
        <v>GOTERO</v>
      </c>
      <c r="J41" s="72">
        <f>'Necesidades Trimestrales'!H39</f>
        <v>115</v>
      </c>
      <c r="K41" s="71">
        <f>'Necesidades Trimestrales'!G39</f>
        <v>500</v>
      </c>
    </row>
    <row r="42" spans="1:14" ht="27.75" customHeight="1" thickBot="1" x14ac:dyDescent="0.25">
      <c r="A42" s="69">
        <v>31</v>
      </c>
      <c r="B42" s="70"/>
      <c r="C42" s="132" t="str">
        <f>'Necesidades Trimestrales'!E40</f>
        <v>SULFADIACINA DE PLATA + VITAMINA A  + LIDOCAINA CREMA  X 100 GRS</v>
      </c>
      <c r="D42" s="132"/>
      <c r="E42" s="132"/>
      <c r="F42" s="132"/>
      <c r="G42" s="132"/>
      <c r="H42" s="73" t="s">
        <v>54</v>
      </c>
      <c r="I42" s="74" t="str">
        <f>'Necesidades Trimestrales'!F40</f>
        <v>ENVASE</v>
      </c>
      <c r="J42" s="72">
        <f>'Necesidades Trimestrales'!H40</f>
        <v>1325</v>
      </c>
      <c r="K42" s="71">
        <f>'Necesidades Trimestrales'!G40</f>
        <v>150</v>
      </c>
    </row>
    <row r="43" spans="1:14" ht="20.25" customHeight="1" thickBot="1" x14ac:dyDescent="0.25">
      <c r="A43" s="128" t="s">
        <v>102</v>
      </c>
      <c r="B43" s="128"/>
      <c r="C43" s="128"/>
      <c r="D43" s="128"/>
      <c r="E43" s="128"/>
      <c r="F43" s="128"/>
      <c r="G43" s="128"/>
      <c r="H43" s="128"/>
      <c r="I43" s="128"/>
      <c r="J43" s="129">
        <f>SUMPRODUCT(J12:J42,K12:K42)</f>
        <v>2921522.5</v>
      </c>
      <c r="K43" s="129"/>
      <c r="N43" s="52"/>
    </row>
  </sheetData>
  <mergeCells count="53">
    <mergeCell ref="C42:G42"/>
    <mergeCell ref="C37:G37"/>
    <mergeCell ref="C38:G38"/>
    <mergeCell ref="C39:G39"/>
    <mergeCell ref="C40:G40"/>
    <mergeCell ref="C41:G41"/>
    <mergeCell ref="C32:G32"/>
    <mergeCell ref="C33:G33"/>
    <mergeCell ref="C34:G34"/>
    <mergeCell ref="C35:G35"/>
    <mergeCell ref="C36:G36"/>
    <mergeCell ref="C27:G27"/>
    <mergeCell ref="C28:G28"/>
    <mergeCell ref="C29:G29"/>
    <mergeCell ref="C30:G30"/>
    <mergeCell ref="C31:G31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H10:H11"/>
    <mergeCell ref="I10:I11"/>
    <mergeCell ref="J10:J11"/>
    <mergeCell ref="K10:K11"/>
    <mergeCell ref="A8:C8"/>
    <mergeCell ref="D8:K8"/>
    <mergeCell ref="A10:A11"/>
    <mergeCell ref="B10:B11"/>
    <mergeCell ref="C10:G11"/>
    <mergeCell ref="A43:I43"/>
    <mergeCell ref="J43:K43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13" zoomScale="130" zoomScaleNormal="130" workbookViewId="0">
      <selection activeCell="O17" sqref="O17:P1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70" t="s">
        <v>3</v>
      </c>
      <c r="B1" s="170"/>
      <c r="C1" s="170"/>
      <c r="D1" s="171">
        <f>'Necesidades Trimestrales'!C6</f>
        <v>2022</v>
      </c>
      <c r="E1" s="171"/>
      <c r="F1" s="3"/>
      <c r="G1" s="3"/>
      <c r="H1" s="4"/>
      <c r="I1" s="4"/>
      <c r="J1" s="4"/>
      <c r="K1" s="4"/>
      <c r="L1" s="4"/>
      <c r="M1" s="4"/>
      <c r="N1" s="4"/>
      <c r="P1" s="172" t="s">
        <v>25</v>
      </c>
      <c r="Q1" s="172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72"/>
      <c r="Q2" s="172"/>
    </row>
    <row r="4" spans="1:17" s="5" customFormat="1" ht="18" customHeight="1" thickBot="1" x14ac:dyDescent="0.25">
      <c r="A4" s="173" t="s">
        <v>26</v>
      </c>
      <c r="B4" s="173"/>
      <c r="C4" s="173"/>
      <c r="D4" s="173"/>
      <c r="E4" s="173"/>
      <c r="F4" s="173"/>
      <c r="G4" s="168" t="str">
        <f>' NotaPedido'!D3</f>
        <v>040 - Ministerio de Salud</v>
      </c>
      <c r="H4" s="168"/>
      <c r="I4" s="168"/>
      <c r="J4" s="168"/>
      <c r="K4" s="168"/>
      <c r="L4" s="168"/>
      <c r="M4" s="168"/>
      <c r="N4" s="168"/>
      <c r="O4" s="168"/>
      <c r="P4" s="168"/>
      <c r="Q4" s="168"/>
    </row>
    <row r="5" spans="1:17" s="5" customFormat="1" ht="18" customHeight="1" thickBot="1" x14ac:dyDescent="0.25">
      <c r="A5" s="165" t="s">
        <v>49</v>
      </c>
      <c r="B5" s="166"/>
      <c r="C5" s="166"/>
      <c r="D5" s="166"/>
      <c r="E5" s="166"/>
      <c r="F5" s="167"/>
      <c r="G5" s="168" t="str">
        <f>' NotaPedido'!D4</f>
        <v>024 - Hospital Interzonal de Niños</v>
      </c>
      <c r="H5" s="168"/>
      <c r="I5" s="168"/>
      <c r="J5" s="168"/>
      <c r="K5" s="168"/>
      <c r="L5" s="168"/>
      <c r="M5" s="168"/>
      <c r="N5" s="168"/>
      <c r="O5" s="168"/>
      <c r="P5" s="168"/>
      <c r="Q5" s="168"/>
    </row>
    <row r="6" spans="1:17" s="5" customFormat="1" ht="18" customHeight="1" thickBot="1" x14ac:dyDescent="0.25">
      <c r="A6" s="165" t="s">
        <v>27</v>
      </c>
      <c r="B6" s="166"/>
      <c r="C6" s="166"/>
      <c r="D6" s="166"/>
      <c r="E6" s="166"/>
      <c r="F6" s="167"/>
      <c r="G6" s="168" t="str">
        <f>' NotaPedido'!D5</f>
        <v>024 - Hospital Interzonal de Niños</v>
      </c>
      <c r="H6" s="168"/>
      <c r="I6" s="168"/>
      <c r="J6" s="168"/>
      <c r="K6" s="168"/>
      <c r="L6" s="168"/>
      <c r="M6" s="168"/>
      <c r="N6" s="168"/>
      <c r="O6" s="168"/>
      <c r="P6" s="168"/>
      <c r="Q6" s="168"/>
    </row>
    <row r="7" spans="1:17" s="5" customFormat="1" ht="18" customHeight="1" thickBot="1" x14ac:dyDescent="0.25">
      <c r="A7" s="165" t="s">
        <v>50</v>
      </c>
      <c r="B7" s="166"/>
      <c r="C7" s="166"/>
      <c r="D7" s="166"/>
      <c r="E7" s="166"/>
      <c r="F7" s="167"/>
      <c r="G7" s="168" t="s">
        <v>57</v>
      </c>
      <c r="H7" s="168"/>
      <c r="I7" s="168"/>
      <c r="J7" s="168"/>
      <c r="K7" s="168"/>
      <c r="L7" s="168"/>
      <c r="M7" s="168"/>
      <c r="N7" s="168"/>
      <c r="O7" s="168"/>
      <c r="P7" s="168"/>
      <c r="Q7" s="168"/>
    </row>
    <row r="8" spans="1:17" ht="18" customHeight="1" thickBot="1" x14ac:dyDescent="0.25">
      <c r="A8" s="169" t="s">
        <v>28</v>
      </c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</row>
    <row r="9" spans="1:17" ht="18" customHeight="1" x14ac:dyDescent="0.2">
      <c r="A9" s="154" t="s">
        <v>29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"/>
      <c r="P9" s="1"/>
      <c r="Q9" s="6"/>
    </row>
    <row r="10" spans="1:17" ht="54.75" customHeight="1" x14ac:dyDescent="0.2">
      <c r="A10" s="15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005/2022,  afectando la erogación resultante a los créditos presupuestarios aprobados a favor de esta Unidad Ejecutora, conforme al siguiente detalle: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56" t="s">
        <v>30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</row>
    <row r="13" spans="1:17" ht="15.75" customHeight="1" thickBot="1" x14ac:dyDescent="0.25">
      <c r="A13" s="157" t="s">
        <v>31</v>
      </c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9" t="s">
        <v>32</v>
      </c>
      <c r="P13" s="160"/>
      <c r="Q13" s="163" t="s">
        <v>33</v>
      </c>
    </row>
    <row r="14" spans="1:17" ht="15.75" customHeight="1" thickBot="1" x14ac:dyDescent="0.25">
      <c r="A14" s="59" t="s">
        <v>34</v>
      </c>
      <c r="B14" s="60" t="s">
        <v>35</v>
      </c>
      <c r="C14" s="60" t="s">
        <v>36</v>
      </c>
      <c r="D14" s="60" t="s">
        <v>37</v>
      </c>
      <c r="E14" s="60" t="s">
        <v>38</v>
      </c>
      <c r="F14" s="60" t="s">
        <v>39</v>
      </c>
      <c r="G14" s="61" t="s">
        <v>40</v>
      </c>
      <c r="H14" s="60" t="s">
        <v>41</v>
      </c>
      <c r="I14" s="60" t="s">
        <v>42</v>
      </c>
      <c r="J14" s="60" t="s">
        <v>43</v>
      </c>
      <c r="K14" s="60" t="s">
        <v>43</v>
      </c>
      <c r="L14" s="60" t="s">
        <v>44</v>
      </c>
      <c r="M14" s="62" t="s">
        <v>45</v>
      </c>
      <c r="N14" s="63" t="s">
        <v>46</v>
      </c>
      <c r="O14" s="161"/>
      <c r="P14" s="162"/>
      <c r="Q14" s="164"/>
    </row>
    <row r="15" spans="1:17" ht="26.25" customHeight="1" x14ac:dyDescent="0.2">
      <c r="A15" s="55">
        <v>36</v>
      </c>
      <c r="B15" s="56"/>
      <c r="C15" s="56"/>
      <c r="D15" s="56">
        <v>1</v>
      </c>
      <c r="E15" s="56"/>
      <c r="F15" s="56">
        <v>4901</v>
      </c>
      <c r="G15" s="56">
        <v>3</v>
      </c>
      <c r="H15" s="56">
        <v>310</v>
      </c>
      <c r="I15" s="56">
        <v>2</v>
      </c>
      <c r="J15" s="56">
        <v>5</v>
      </c>
      <c r="K15" s="56">
        <v>2</v>
      </c>
      <c r="L15" s="56"/>
      <c r="M15" s="57">
        <v>1</v>
      </c>
      <c r="N15" s="58" t="s">
        <v>53</v>
      </c>
      <c r="O15" s="148" t="s">
        <v>56</v>
      </c>
      <c r="P15" s="148"/>
      <c r="Q15" s="64">
        <v>2921522.5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5"/>
      <c r="O16" s="149"/>
      <c r="P16" s="143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43"/>
      <c r="P17" s="143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43"/>
      <c r="P18" s="143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44"/>
      <c r="P19" s="144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45"/>
      <c r="P20" s="145"/>
      <c r="Q20" s="24"/>
    </row>
    <row r="21" spans="1:18" ht="29.25" customHeight="1" x14ac:dyDescent="0.2">
      <c r="A21" s="146" t="s">
        <v>105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77">
        <f>SUM(Q15:Q20)</f>
        <v>2921522.5</v>
      </c>
    </row>
    <row r="22" spans="1:18" ht="18" customHeight="1" thickBot="1" x14ac:dyDescent="0.25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</row>
    <row r="23" spans="1:18" ht="17.25" customHeight="1" thickBot="1" x14ac:dyDescent="0.25">
      <c r="A23" s="150" t="s">
        <v>47</v>
      </c>
      <c r="B23" s="151"/>
      <c r="C23" s="151"/>
      <c r="D23" s="151"/>
      <c r="E23" s="151"/>
      <c r="F23" s="152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</row>
    <row r="24" spans="1:18" ht="18" customHeight="1" thickBot="1" x14ac:dyDescent="0.25">
      <c r="A24" s="142" t="s">
        <v>63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</row>
    <row r="25" spans="1:18" ht="26.25" customHeight="1" x14ac:dyDescent="0.2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2022-01-20T16:12:43Z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