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ENDRIVE 2\Secretaria\TAREAS\Secretaria de Estado de Gabinete\Adq.Tractor y Desmalezadora\NOTA 3\"/>
    </mc:Choice>
  </mc:AlternateContent>
  <xr:revisionPtr revIDLastSave="0" documentId="13_ncr:1_{389EF7BF-E9AD-43E4-AF16-A6922279B94C}" xr6:coauthVersionLast="46" xr6:coauthVersionMax="46" xr10:uidLastSave="{00000000-0000-0000-0000-000000000000}"/>
  <bookViews>
    <workbookView xWindow="-120" yWindow="-120" windowWidth="20730" windowHeight="11160" xr2:uid="{73B217AB-0585-4449-9812-6ABF09E9D1CB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8" i="1" l="1"/>
  <c r="I6" i="1"/>
  <c r="D6" i="1"/>
  <c r="A6" i="1"/>
  <c r="I5" i="1"/>
  <c r="D5" i="1"/>
</calcChain>
</file>

<file path=xl/sharedStrings.xml><?xml version="1.0" encoding="utf-8"?>
<sst xmlns="http://schemas.openxmlformats.org/spreadsheetml/2006/main" count="31" uniqueCount="29">
  <si>
    <t>ID</t>
  </si>
  <si>
    <t>CODIGO ITEM</t>
  </si>
  <si>
    <t>RUBRO DE COMPRA</t>
  </si>
  <si>
    <t xml:space="preserve">I.P.P. </t>
  </si>
  <si>
    <t>UNIDAD DE MEDIDA</t>
  </si>
  <si>
    <t>CANTIDAD</t>
  </si>
  <si>
    <t>PRECIO UNITARIO ESTIMADO</t>
  </si>
  <si>
    <t xml:space="preserve">IMPORTE TOTAL ESTIMADO </t>
  </si>
  <si>
    <t>4.3.2-94.87</t>
  </si>
  <si>
    <t>EQUIPOS</t>
  </si>
  <si>
    <t>TRACTORES DE BAJA POTENCIA; POTENCIA: 28,3 HP, MOTOR: DIESEL, N° CILINDROS-DESPLAZ.: 3, TRACCION: 4 X 2</t>
  </si>
  <si>
    <t>UNIDAD</t>
  </si>
  <si>
    <t>4.3.9-3788.25</t>
  </si>
  <si>
    <t>DESMALEZADORAS; TIPO: LEVANTE, ANCHO DE CORTE: 1,50 M, ALTURA: 0,025 A 0,4 M, ACCESORIO: 2 CUCHILLAS</t>
  </si>
  <si>
    <t>control suma</t>
  </si>
  <si>
    <t>Especificidades Item N° 1:</t>
  </si>
  <si>
    <t>Especificidades Item N° 2:</t>
  </si>
  <si>
    <t>con 8 + 2 velocidades como mínimo, embrage de 2 etapas, filtro de aire interno y silenciador horizontal. Con techo y jaula antivuelco. Rodado mínimo 5.0 - 16/9.2 - 24.-</t>
  </si>
  <si>
    <t>Cuchillas en acero templado de doble filo o de idénticas características. Carcasa de chapa de acero plegable en una sola pieza. Bastidor extra-reforzado integrado a la carcasa. Sistema de acoplamiento cardánico con embague.</t>
  </si>
  <si>
    <t>DESCRIPCION S/NEC.TRIMESTRALES Y Npe N° 01/2021</t>
  </si>
  <si>
    <t>Plazo y Lugar de entrega:</t>
  </si>
  <si>
    <t>Calidad Minima esperada:</t>
  </si>
  <si>
    <t>Mantenimiento:</t>
  </si>
  <si>
    <t>Garantia:</t>
  </si>
  <si>
    <r>
      <rPr>
        <b/>
        <sz val="9"/>
        <color theme="1"/>
        <rFont val="Calibri"/>
        <family val="2"/>
        <scheme val="minor"/>
      </rPr>
      <t>Entrega:</t>
    </r>
    <r>
      <rPr>
        <sz val="9"/>
        <color theme="1"/>
        <rFont val="Calibri"/>
        <family val="2"/>
        <scheme val="minor"/>
      </rPr>
      <t xml:space="preserve"> 2 (dos) días - </t>
    </r>
    <r>
      <rPr>
        <b/>
        <sz val="9"/>
        <color theme="1"/>
        <rFont val="Calibri"/>
        <family val="2"/>
        <scheme val="minor"/>
      </rPr>
      <t>Lugar:</t>
    </r>
    <r>
      <rPr>
        <sz val="9"/>
        <color theme="1"/>
        <rFont val="Calibri"/>
        <family val="2"/>
        <scheme val="minor"/>
      </rPr>
      <t xml:space="preserve"> Casa de Gobierno, sito en Avda. Pte. Castillo esq. María Hayde de Varela de esta ciudad capital.</t>
    </r>
  </si>
  <si>
    <t>que cumpla con todo lo solicitado en forma íntegra.</t>
  </si>
  <si>
    <t>30 dias</t>
  </si>
  <si>
    <t>como mínimo 12 (doce) meses.</t>
  </si>
  <si>
    <r>
      <t xml:space="preserve">NO-2021-00218072-CAT-SEG </t>
    </r>
    <r>
      <rPr>
        <b/>
        <sz val="14"/>
        <color theme="1"/>
        <rFont val="Calibri"/>
        <family val="2"/>
        <scheme val="minor"/>
      </rPr>
      <t>(Adq.Tractor y Desmalezadora-Sec.de Estado de Gabinete)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</si>
</sst>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&quot;$&quot;\ #,##0.00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Times New Roman"/>
      <family val="1"/>
    </font>
    <font>
      <sz val="11"/>
      <name val="Times New Roman"/>
      <family val="1"/>
    </font>
    <font>
      <sz val="10"/>
      <name val="Times New Roman"/>
      <family val="1"/>
    </font>
    <font>
      <sz val="11"/>
      <color rgb="FF000000"/>
      <name val="Times New Roman"/>
      <family val="1"/>
    </font>
    <font>
      <sz val="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9"/>
      <color theme="1"/>
      <name val="Calibri"/>
      <family val="2"/>
      <scheme val="minor"/>
    </font>
    <font>
      <u/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</fills>
  <borders count="30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indexed="64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7">
    <xf numFmtId="0" fontId="0" fillId="0" borderId="0" xfId="0"/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left" vertical="center" wrapText="1"/>
    </xf>
    <xf numFmtId="0" fontId="6" fillId="0" borderId="9" xfId="0" applyFont="1" applyBorder="1" applyAlignment="1">
      <alignment horizontal="center" vertical="center" wrapText="1"/>
    </xf>
    <xf numFmtId="1" fontId="4" fillId="0" borderId="5" xfId="0" applyNumberFormat="1" applyFont="1" applyBorder="1" applyAlignment="1">
      <alignment horizontal="center" vertical="center" wrapText="1"/>
    </xf>
    <xf numFmtId="164" fontId="4" fillId="0" borderId="8" xfId="1" applyNumberFormat="1" applyFont="1" applyFill="1" applyBorder="1" applyAlignment="1" applyProtection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left" vertical="center" wrapText="1"/>
    </xf>
    <xf numFmtId="0" fontId="6" fillId="0" borderId="13" xfId="0" applyFont="1" applyBorder="1" applyAlignment="1">
      <alignment horizontal="center" vertical="center" wrapText="1"/>
    </xf>
    <xf numFmtId="1" fontId="6" fillId="0" borderId="10" xfId="0" applyNumberFormat="1" applyFont="1" applyBorder="1" applyAlignment="1">
      <alignment horizontal="center" vertical="center" wrapText="1"/>
    </xf>
    <xf numFmtId="164" fontId="6" fillId="0" borderId="12" xfId="0" applyNumberFormat="1" applyFont="1" applyBorder="1" applyAlignment="1">
      <alignment horizontal="center" vertical="center" wrapText="1"/>
    </xf>
    <xf numFmtId="44" fontId="2" fillId="2" borderId="14" xfId="1" applyFont="1" applyFill="1" applyBorder="1"/>
    <xf numFmtId="0" fontId="2" fillId="0" borderId="0" xfId="0" applyFont="1"/>
    <xf numFmtId="0" fontId="7" fillId="0" borderId="0" xfId="0" applyFont="1" applyAlignment="1">
      <alignment wrapText="1"/>
    </xf>
    <xf numFmtId="164" fontId="4" fillId="0" borderId="15" xfId="1" applyNumberFormat="1" applyFont="1" applyBorder="1" applyAlignment="1" applyProtection="1">
      <alignment horizontal="center" vertical="center" wrapText="1"/>
    </xf>
    <xf numFmtId="164" fontId="4" fillId="0" borderId="11" xfId="1" applyNumberFormat="1" applyFont="1" applyBorder="1" applyAlignment="1" applyProtection="1">
      <alignment horizontal="center" vertical="center" wrapText="1"/>
    </xf>
    <xf numFmtId="0" fontId="7" fillId="0" borderId="21" xfId="0" applyFont="1" applyBorder="1" applyAlignment="1">
      <alignment wrapText="1"/>
    </xf>
    <xf numFmtId="0" fontId="7" fillId="0" borderId="23" xfId="0" applyFont="1" applyBorder="1" applyAlignment="1">
      <alignment wrapText="1"/>
    </xf>
    <xf numFmtId="0" fontId="9" fillId="0" borderId="0" xfId="0" applyFont="1"/>
    <xf numFmtId="0" fontId="10" fillId="0" borderId="0" xfId="0" applyFont="1" applyAlignment="1">
      <alignment wrapText="1"/>
    </xf>
    <xf numFmtId="0" fontId="10" fillId="0" borderId="17" xfId="0" applyFont="1" applyBorder="1" applyAlignment="1">
      <alignment wrapText="1"/>
    </xf>
    <xf numFmtId="0" fontId="0" fillId="0" borderId="25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26" xfId="0" applyBorder="1"/>
    <xf numFmtId="0" fontId="10" fillId="0" borderId="28" xfId="0" applyFont="1" applyBorder="1" applyAlignment="1">
      <alignment vertical="center"/>
    </xf>
    <xf numFmtId="0" fontId="10" fillId="0" borderId="28" xfId="0" applyFont="1" applyBorder="1"/>
    <xf numFmtId="0" fontId="10" fillId="0" borderId="19" xfId="0" applyFont="1" applyBorder="1"/>
    <xf numFmtId="0" fontId="12" fillId="0" borderId="16" xfId="0" applyFont="1" applyBorder="1" applyAlignment="1">
      <alignment horizontal="center" wrapText="1"/>
    </xf>
    <xf numFmtId="0" fontId="12" fillId="0" borderId="24" xfId="0" applyFont="1" applyBorder="1" applyAlignment="1">
      <alignment horizontal="center" wrapText="1"/>
    </xf>
    <xf numFmtId="0" fontId="12" fillId="0" borderId="27" xfId="0" applyFont="1" applyBorder="1" applyAlignment="1">
      <alignment horizontal="center" wrapText="1"/>
    </xf>
    <xf numFmtId="0" fontId="12" fillId="0" borderId="14" xfId="0" applyFont="1" applyBorder="1" applyAlignment="1">
      <alignment horizontal="center" wrapText="1"/>
    </xf>
    <xf numFmtId="0" fontId="12" fillId="0" borderId="27" xfId="0" applyFont="1" applyBorder="1" applyAlignment="1">
      <alignment horizontal="center"/>
    </xf>
    <xf numFmtId="0" fontId="12" fillId="0" borderId="14" xfId="0" applyFont="1" applyBorder="1" applyAlignment="1">
      <alignment horizontal="center"/>
    </xf>
    <xf numFmtId="0" fontId="12" fillId="0" borderId="18" xfId="0" applyFont="1" applyBorder="1" applyAlignment="1">
      <alignment horizontal="center"/>
    </xf>
    <xf numFmtId="0" fontId="12" fillId="0" borderId="29" xfId="0" applyFont="1" applyBorder="1" applyAlignment="1">
      <alignment horizontal="center"/>
    </xf>
    <xf numFmtId="0" fontId="13" fillId="0" borderId="22" xfId="0" applyFont="1" applyBorder="1" applyAlignment="1">
      <alignment vertical="center" wrapText="1"/>
    </xf>
    <xf numFmtId="0" fontId="13" fillId="0" borderId="20" xfId="0" applyFont="1" applyBorder="1" applyAlignment="1">
      <alignment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180974</xdr:colOff>
      <xdr:row>16</xdr:row>
      <xdr:rowOff>190499</xdr:rowOff>
    </xdr:from>
    <xdr:to>
      <xdr:col>5</xdr:col>
      <xdr:colOff>219075</xdr:colOff>
      <xdr:row>71</xdr:row>
      <xdr:rowOff>122432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5C9A9E7-87E1-463F-9BFF-7492902105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974" y="4838699"/>
          <a:ext cx="7343776" cy="104094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2A073-854D-46E1-ABCC-148F2AB1D946}">
  <dimension ref="A2:M15"/>
  <sheetViews>
    <sheetView tabSelected="1" workbookViewId="0">
      <selection activeCell="B1" sqref="B1"/>
    </sheetView>
  </sheetViews>
  <sheetFormatPr baseColWidth="10" defaultRowHeight="15" x14ac:dyDescent="0.25"/>
  <cols>
    <col min="1" max="1" width="3" customWidth="1"/>
    <col min="2" max="2" width="13.140625" customWidth="1"/>
    <col min="3" max="3" width="12.7109375" customWidth="1"/>
    <col min="4" max="4" width="6.5703125" customWidth="1"/>
    <col min="5" max="5" width="74.140625" customWidth="1"/>
    <col min="6" max="7" width="10.42578125" customWidth="1"/>
    <col min="8" max="8" width="13.85546875" customWidth="1"/>
    <col min="9" max="9" width="18.140625" customWidth="1"/>
    <col min="10" max="10" width="15.7109375" customWidth="1"/>
    <col min="11" max="11" width="34.42578125" customWidth="1"/>
  </cols>
  <sheetData>
    <row r="2" spans="1:13" ht="18.75" x14ac:dyDescent="0.3">
      <c r="B2" s="24" t="s">
        <v>28</v>
      </c>
    </row>
    <row r="3" spans="1:13" ht="15.75" thickBot="1" x14ac:dyDescent="0.3"/>
    <row r="4" spans="1:13" ht="39" thickBot="1" x14ac:dyDescent="0.3">
      <c r="A4" s="43" t="s">
        <v>0</v>
      </c>
      <c r="B4" s="44" t="s">
        <v>1</v>
      </c>
      <c r="C4" s="43" t="s">
        <v>2</v>
      </c>
      <c r="D4" s="44" t="s">
        <v>3</v>
      </c>
      <c r="E4" s="43" t="s">
        <v>19</v>
      </c>
      <c r="F4" s="44" t="s">
        <v>4</v>
      </c>
      <c r="G4" s="45" t="s">
        <v>5</v>
      </c>
      <c r="H4" s="46" t="s">
        <v>6</v>
      </c>
      <c r="I4" s="45" t="s">
        <v>7</v>
      </c>
    </row>
    <row r="5" spans="1:13" ht="46.5" thickBot="1" x14ac:dyDescent="0.3">
      <c r="A5" s="1">
        <v>1</v>
      </c>
      <c r="B5" s="2" t="s">
        <v>8</v>
      </c>
      <c r="C5" s="3" t="s">
        <v>9</v>
      </c>
      <c r="D5" s="4" t="str">
        <f>LEFT(B5,5)</f>
        <v>4.3.2</v>
      </c>
      <c r="E5" s="5" t="s">
        <v>10</v>
      </c>
      <c r="F5" s="6" t="s">
        <v>11</v>
      </c>
      <c r="G5" s="7">
        <v>1</v>
      </c>
      <c r="H5" s="8">
        <v>1635000</v>
      </c>
      <c r="I5" s="20">
        <f>G5*H5</f>
        <v>1635000</v>
      </c>
      <c r="J5" s="41" t="s">
        <v>15</v>
      </c>
      <c r="K5" s="23" t="s">
        <v>17</v>
      </c>
      <c r="L5" s="19"/>
      <c r="M5" s="19"/>
    </row>
    <row r="6" spans="1:13" ht="57.75" thickBot="1" x14ac:dyDescent="0.3">
      <c r="A6" s="9">
        <f>A5+1</f>
        <v>2</v>
      </c>
      <c r="B6" s="10" t="s">
        <v>12</v>
      </c>
      <c r="C6" s="11" t="s">
        <v>9</v>
      </c>
      <c r="D6" s="12" t="str">
        <f t="shared" ref="D6" si="0">LEFT(B6,5)</f>
        <v>4.3.9</v>
      </c>
      <c r="E6" s="13" t="s">
        <v>13</v>
      </c>
      <c r="F6" s="14" t="s">
        <v>11</v>
      </c>
      <c r="G6" s="15">
        <v>1</v>
      </c>
      <c r="H6" s="16">
        <v>235000</v>
      </c>
      <c r="I6" s="21">
        <f t="shared" ref="I6" si="1">G6*H6</f>
        <v>235000</v>
      </c>
      <c r="J6" s="42" t="s">
        <v>16</v>
      </c>
      <c r="K6" s="22" t="s">
        <v>18</v>
      </c>
      <c r="L6" s="19"/>
      <c r="M6" s="19"/>
    </row>
    <row r="8" spans="1:13" ht="15.75" thickBot="1" x14ac:dyDescent="0.3">
      <c r="H8" s="18" t="s">
        <v>14</v>
      </c>
      <c r="I8" s="17">
        <f>SUMPRODUCT(G5:G6*H5:H6)</f>
        <v>1870000</v>
      </c>
    </row>
    <row r="9" spans="1:13" ht="26.25" customHeight="1" x14ac:dyDescent="0.25">
      <c r="C9" s="33" t="s">
        <v>20</v>
      </c>
      <c r="D9" s="34"/>
      <c r="E9" s="26" t="s">
        <v>24</v>
      </c>
      <c r="F9" s="25"/>
      <c r="G9" s="25"/>
    </row>
    <row r="10" spans="1:13" x14ac:dyDescent="0.25">
      <c r="C10" s="27"/>
      <c r="D10" s="28"/>
      <c r="E10" s="29"/>
    </row>
    <row r="11" spans="1:13" ht="27" customHeight="1" x14ac:dyDescent="0.25">
      <c r="C11" s="35" t="s">
        <v>21</v>
      </c>
      <c r="D11" s="36"/>
      <c r="E11" s="30" t="s">
        <v>25</v>
      </c>
    </row>
    <row r="12" spans="1:13" x14ac:dyDescent="0.25">
      <c r="C12" s="27"/>
      <c r="D12" s="28"/>
      <c r="E12" s="29"/>
    </row>
    <row r="13" spans="1:13" x14ac:dyDescent="0.25">
      <c r="C13" s="37" t="s">
        <v>22</v>
      </c>
      <c r="D13" s="38"/>
      <c r="E13" s="31" t="s">
        <v>26</v>
      </c>
    </row>
    <row r="14" spans="1:13" x14ac:dyDescent="0.25">
      <c r="C14" s="27"/>
      <c r="D14" s="28"/>
      <c r="E14" s="29"/>
    </row>
    <row r="15" spans="1:13" ht="15.75" thickBot="1" x14ac:dyDescent="0.3">
      <c r="C15" s="39" t="s">
        <v>23</v>
      </c>
      <c r="D15" s="40"/>
      <c r="E15" s="32" t="s">
        <v>27</v>
      </c>
    </row>
  </sheetData>
  <mergeCells count="4">
    <mergeCell ref="C9:D9"/>
    <mergeCell ref="C11:D11"/>
    <mergeCell ref="C13:D13"/>
    <mergeCell ref="C15:D15"/>
  </mergeCells>
  <pageMargins left="0.7" right="0.7" top="0.75" bottom="0.75" header="0.3" footer="0.3"/>
  <pageSetup paperSize="5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2021-03-23T12:06:27Z</dcterms:created>
  <dcterms:modified xsi:type="dcterms:W3CDTF">2021-03-23T12:21:03Z</dcterms:modified>
</cp:coreProperties>
</file>