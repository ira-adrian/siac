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HNEP\REACTIVOS\corregido\"/>
    </mc:Choice>
  </mc:AlternateContent>
  <xr:revisionPtr revIDLastSave="0" documentId="8_{72592749-7FA5-444E-8E39-76C21110D7CB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Trimestrales'!$A$9:$I$87</definedName>
    <definedName name="_xlnm.Print_Area" localSheetId="1">' NotaPedido'!$A$1:$K$243</definedName>
    <definedName name="_xlnm.Print_Area" localSheetId="2">'Autor Gastar'!$A$1:$Q$25</definedName>
    <definedName name="_xlnm.Print_Area" localSheetId="0">'Necesidades Trimestrales'!$E$9:$E$87</definedName>
  </definedNames>
  <calcPr calcId="181029"/>
</workbook>
</file>

<file path=xl/calcChain.xml><?xml version="1.0" encoding="utf-8"?>
<calcChain xmlns="http://schemas.openxmlformats.org/spreadsheetml/2006/main">
  <c r="K236" i="2" l="1"/>
  <c r="K237" i="2"/>
  <c r="K238" i="2"/>
  <c r="K239" i="2"/>
  <c r="K240" i="2"/>
  <c r="K241" i="2"/>
  <c r="K242" i="2"/>
  <c r="J236" i="2"/>
  <c r="J237" i="2"/>
  <c r="J238" i="2"/>
  <c r="J239" i="2"/>
  <c r="J240" i="2"/>
  <c r="J241" i="2"/>
  <c r="J242" i="2"/>
  <c r="I236" i="2"/>
  <c r="I237" i="2"/>
  <c r="I238" i="2"/>
  <c r="I239" i="2"/>
  <c r="I240" i="2"/>
  <c r="I241" i="2"/>
  <c r="I242" i="2"/>
  <c r="C236" i="2"/>
  <c r="C237" i="2"/>
  <c r="C238" i="2"/>
  <c r="C239" i="2"/>
  <c r="C240" i="2"/>
  <c r="C241" i="2"/>
  <c r="C242" i="2"/>
  <c r="I234" i="1"/>
  <c r="I235" i="1"/>
  <c r="I236" i="1"/>
  <c r="I237" i="1"/>
  <c r="I238" i="1"/>
  <c r="I239" i="1"/>
  <c r="I240" i="1"/>
  <c r="I163" i="1" l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K108" i="2" l="1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C229" i="2"/>
  <c r="C230" i="2"/>
  <c r="C231" i="2"/>
  <c r="C232" i="2"/>
  <c r="C233" i="2"/>
  <c r="C234" i="2"/>
  <c r="C235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01" i="2"/>
  <c r="C202" i="2"/>
  <c r="C203" i="2"/>
  <c r="C197" i="2"/>
  <c r="C198" i="2"/>
  <c r="C199" i="2"/>
  <c r="C200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K87" i="2" l="1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97" i="2"/>
  <c r="C98" i="2"/>
  <c r="C99" i="2"/>
  <c r="C100" i="2"/>
  <c r="C101" i="2"/>
  <c r="C102" i="2"/>
  <c r="C103" i="2"/>
  <c r="C91" i="2"/>
  <c r="C92" i="2"/>
  <c r="C93" i="2"/>
  <c r="C94" i="2"/>
  <c r="C95" i="2"/>
  <c r="C96" i="2"/>
  <c r="C90" i="2"/>
  <c r="C89" i="2"/>
  <c r="C88" i="2"/>
  <c r="C87" i="2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 l="1"/>
  <c r="I97" i="1"/>
  <c r="I96" i="1"/>
  <c r="I95" i="1"/>
  <c r="I94" i="1"/>
  <c r="I93" i="1"/>
  <c r="I92" i="1"/>
  <c r="I91" i="1"/>
  <c r="I90" i="1"/>
  <c r="I89" i="1"/>
  <c r="I88" i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13" i="2"/>
  <c r="I13" i="2"/>
  <c r="J13" i="2"/>
  <c r="K13" i="2"/>
  <c r="K12" i="2"/>
  <c r="J12" i="2"/>
  <c r="I12" i="2"/>
  <c r="C1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11" i="1"/>
  <c r="I10" i="1"/>
  <c r="J243" i="2" l="1"/>
  <c r="A10" i="3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<sst xmlns="http://schemas.openxmlformats.org/spreadsheetml/2006/main" count="999" uniqueCount="312">
  <si>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</si>
  <si>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</si>
  <si>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</si>
  <si>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</si>
  <si>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</si>
  <si>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</si>
  <si>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</si>
  <si>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</si>
  <si>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</si>
  <si>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</si>
  <si>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</si>
  <si>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</si>
  <si>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</si>
  <si>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</si>
  <si>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</si>
  <si>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</si>
  <si>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</si>
  <si>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</si>
  <si>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</si>
  <si>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</si>
  <si>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</si>
  <si>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</si>
  <si>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</si>
  <si>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</si>
  <si>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</si>
  <si>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</si>
  <si>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</si>
  <si>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</si>
  <si>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</si>
  <si>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</si>
  <si>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</si>
  <si>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</si>
  <si>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</si>
  <si>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</si>
  <si>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</si>
  <si>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</si>
  <si>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</si>
  <si>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</si>
  <si>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</si>
  <si>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</si>
  <si>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</si>
  <si>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</si>
  <si>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</si>
  <si>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</si>
  <si>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</si>
  <si>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</si>
  <si>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</si>
  <si>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</si>
  <si>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</si>
  <si>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</si>
  <si>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</si>
  <si>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</si>
  <si>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</si>
  <si>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</si>
  <si>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</si>
  <si>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</si>
  <si>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</si>
  <si>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</si>
  <si>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</si>
  <si>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</si>
  <si>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</si>
  <si>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</si>
  <si>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</si>
  <si>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CASSETTE</t>
  </si>
  <si>
    <t>ANTI-TPO COBAS ROCHE</t>
  </si>
  <si>
    <t>ANTI-TG COBAS ROCHE</t>
  </si>
  <si>
    <t>CORTISOL COBAS ROCHE</t>
  </si>
  <si>
    <t>ALFA FETO PROTEINA COBAS ROCHE</t>
  </si>
  <si>
    <t>IGE  COBAS ROCHE</t>
  </si>
  <si>
    <t>IGE CALSET COBAS ROCHE</t>
  </si>
  <si>
    <t>HIV COMBI PT</t>
  </si>
  <si>
    <t>ELECSYS SYPHILIS (TREPONEMICO)</t>
  </si>
  <si>
    <t>SENSOR GLU/LAC</t>
  </si>
  <si>
    <t>IGG COBAS ROCHE C311</t>
  </si>
  <si>
    <t>Reactivos</t>
  </si>
  <si>
    <t>Para la adquisición de Reactivos destinados al Servicio de Laboratorio del Hospital Interzonal de Niños Eva Peron, para el normal funcionamiento del organismo.</t>
  </si>
  <si>
    <t>PAQUETE</t>
  </si>
  <si>
    <t>FRASCOS BACT/ALERT PF FAN PEDIATRICOS- TIPO BIOMERIEUX</t>
  </si>
  <si>
    <t>FRASCO</t>
  </si>
  <si>
    <t>TARJETAS PARA VITEK 2C X 20 U -TIPO BIOMERIEUX</t>
  </si>
  <si>
    <t>GEN BOX MICROAER X 10 SOBRES-TIPO BIOMERIEUX</t>
  </si>
  <si>
    <t>MYCOLINE TIPO BIOMERIEUX</t>
  </si>
  <si>
    <t>PROBE CLEANSER MINDRAY</t>
  </si>
  <si>
    <t>EZ CLEANSER MINDRAY</t>
  </si>
  <si>
    <t>EQUIPO</t>
  </si>
  <si>
    <t>PACK DIESTRO</t>
  </si>
  <si>
    <t>DETERGENTE P/CONTADOR MINDRAY BC3000 PLUS X 5 L</t>
  </si>
  <si>
    <t>LISANTE P/CONTADOR MINDRAY BC3000 PLUS X 1 L</t>
  </si>
  <si>
    <t>TUBOS TAPA CELESTE X 1ML</t>
  </si>
  <si>
    <t>CONTROL DE CALIDAD P/BC 3000 PLUS MINDRAY 3 NIVELES</t>
  </si>
  <si>
    <t>SUPLEMENTO CRHOMAGAR KPC P/5000ML</t>
  </si>
  <si>
    <t>2010 ASSAY CUP</t>
  </si>
  <si>
    <t>2010 ASSAY TIP</t>
  </si>
  <si>
    <t>ACEITE DE INMERSIÓN : X 100 ML</t>
  </si>
  <si>
    <t>AGAR C.L.D.E:  X 500 GR</t>
  </si>
  <si>
    <t>AGAR LEVINE: X 500 GR</t>
  </si>
  <si>
    <t>ALBUMINA COBAS C-311 ROCHE  X 300 DET</t>
  </si>
  <si>
    <t>ALFA FETO PROTEINA CALIBRADOR COBAS ROCHE</t>
  </si>
  <si>
    <t>AMICACINA 30 µGR, ESTADO: DISCO, CALIDAD: PRO ANALISIS, PRESENTACION: ENVASE X 50 UN</t>
  </si>
  <si>
    <t>AMILASA TOTAL COBAS C-311 ROCHE  X 300 DET</t>
  </si>
  <si>
    <t>ANTI HBV CORE ROCHE E411</t>
  </si>
  <si>
    <t>ANTI HCV ROCHE E411</t>
  </si>
  <si>
    <t>CALCIO COBAS C-311 ROCHE  X 300 DET</t>
  </si>
  <si>
    <t xml:space="preserve">CALIBRADOR  PROLACTINA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</si>
  <si>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</si>
  <si>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</si>
  <si>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</si>
  <si>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</si>
  <si>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</si>
  <si>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</si>
  <si>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</si>
  <si>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</si>
  <si>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</si>
  <si>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</si>
  <si>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</si>
  <si>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</si>
  <si>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CFAS HBA1C CALIBRATOR,</t>
  </si>
  <si>
    <t>CFAS LIPIDOS  P/ COBAS C311</t>
  </si>
  <si>
    <t>CFAS PROTEINAS  P/ COBAS C311</t>
  </si>
  <si>
    <t>CHROM ID CPS COD 35131  X 10 U - BIOMERIEUX</t>
  </si>
  <si>
    <t>CHROM ID O157 H7 REF 42605 X 6 X 200 ML - BIOMERIEUX</t>
  </si>
  <si>
    <t>CHROM SUPLEMENTO O 157 H7 X 6U - BIOMERIEUX</t>
  </si>
  <si>
    <t>CIM PARA VANCOMICINA X 30 TIRAS</t>
  </si>
  <si>
    <t xml:space="preserve">CK-MB  COBAS  C-311 ROCHE  X 100 DET </t>
  </si>
  <si>
    <t>CLEAN CELL COBAS E411</t>
  </si>
  <si>
    <t>COLESTEROL LDL-C GEN.3</t>
  </si>
  <si>
    <t>CONTROL POSITIVO ANA PATRÓN CENTROMERICO- ALTERNATIVA</t>
  </si>
  <si>
    <t>CONTROL POSITIVO ANA PATRÓN HOMOGÉNEO- ALTERNATIVA</t>
  </si>
  <si>
    <t>CONTROL POSITIVO ANTICUERPOS AMA ( ANTI MITOCONDRIAL )ALTERNATIVA</t>
  </si>
  <si>
    <t>CONTROL POSITIVO ANTICUERPOS LKM ( ANTI MICROSOMAL )ALTERNATIVA</t>
  </si>
  <si>
    <t>CONTROL POSITIVO DNA- (X0.5ML)  ALTERNATIVA</t>
  </si>
  <si>
    <t>CONTROL POSITIVO ENDOMISIO IG G -ALTERNATIVA</t>
  </si>
  <si>
    <t xml:space="preserve">CONTROL POSITIVO SÍFILIS-  ALTERNATIVA </t>
  </si>
  <si>
    <t>CONTROL POSITIVO TOXOPLASMOSIS IG M</t>
  </si>
  <si>
    <t>CREATININA JAFFE COBAS C-311 ROCHE  X 700 DET</t>
  </si>
  <si>
    <t>DCM BRIT - DISCOS COMBINADOS - BRITANIA</t>
  </si>
  <si>
    <t>DILUYENTE PARA CONTADOR HEMATOLOGICO MINDRAY BC-3000 PLUS  X 20 LITROS</t>
  </si>
  <si>
    <t>DISCO AMPICILINA/SULBACTAM X 50 U - BRITANIA</t>
  </si>
  <si>
    <t>DISCO CEFTAZIDIMA 30 µGR, ESTADO: DISCO, CALIDAD: PRO ANALISIS, PRESENTACION: ENVASE X 50 UN</t>
  </si>
  <si>
    <t>DISCO MEROPENEM 10 µGR, ESTADO: DISCO, CALIDAD: PRO ANALISIS, PRESENTACION: ENVASE X 50 UN</t>
  </si>
  <si>
    <t>DISCO OXACILINA 1 µGR, ESTADO: DISCO, CALIDAD: PRO ANALISIS, PRESENTACION: ENVASE X 50 UN</t>
  </si>
  <si>
    <t>DISCO OXIDASA DISCOS X  25 U</t>
  </si>
  <si>
    <t>DISCOS CEFOTAXIMA/CLAVULÀNICO 30/10X 50T/BRITANIA Y/OLIOFILCHEM</t>
  </si>
  <si>
    <t>DISCOS DE CEFOXITINA 30 UG. X 50 T/LIOFILCHEM Y/O BRITANIA</t>
  </si>
  <si>
    <t>DISCOS DE CEFPODOXIMA X 50 U - BRITANIA</t>
  </si>
  <si>
    <t>DISCOS DE CEFTAZIDIMA/ AVIBACTAM X 50 U BRITANIA</t>
  </si>
  <si>
    <t>DISCOS DE CEFTOLOZANO/TAZOBACTAM X 50 U - BRITANIA</t>
  </si>
  <si>
    <t>DISCOS DE CIPROFLOXACINA X 5 UG X 50 T/BRITANIA Y/O LIOFILCHEM</t>
  </si>
  <si>
    <t>DISCOS DE CLINDAMICINA 2 UG.  X 50 T/BRITANIA Y/O LIOFILCHEM</t>
  </si>
  <si>
    <t>DISCOS DE EDTA/SMA X 50  BRITANIA</t>
  </si>
  <si>
    <t>DISCOS DE ERTAPENEM 10 UG X 50 T/BRITANIA Y/O LIOFILCHEM</t>
  </si>
  <si>
    <t>DISCOS DE GENTAMICINA X 10 UG. X 50 T/BRITANIA</t>
  </si>
  <si>
    <t>DISCOS DE TMS 25 UG X 50 T/LIOFILCHEM Y/O BRITANIA</t>
  </si>
  <si>
    <t>DISCOS PIPERACILINA/TAZOBACTAM 100/10 T/LIOFILCHEM Y/O BRITANIA</t>
  </si>
  <si>
    <t>ECOTERGENT  X 60 ML COBAS C-311 ROCHE</t>
  </si>
  <si>
    <t>ENA KIT- DETERMINACIONES INDIVIDUALES (8 AC )(ELISA)– ALTERNATIVA</t>
  </si>
  <si>
    <t>ENA KIT SCREENING (ELISA)–   ALTERNATIVA</t>
  </si>
  <si>
    <t>EQUIPO D° ULTRA 8 DFA RESPIRATORY VIRUS SCREENING &amp; IDENTIFICACION,DIAGNOSTIC HYBRIDS,INC.O ALTERNATIVA</t>
  </si>
  <si>
    <t>EQUIPO DE COLORACIÓN ZIEHL NEELSEN</t>
  </si>
  <si>
    <t>FOSFORO COBAS C-311 ROCHE  X 250 DET</t>
  </si>
  <si>
    <t>HCG+BETA II  PARA COBAS E411</t>
  </si>
  <si>
    <t>HEMOLISANTE P/COBAS C311 HBAIC2</t>
  </si>
  <si>
    <t>HIERRO COBAS C-311 ROCHE  X 200 DET</t>
  </si>
  <si>
    <t>IGM P/ COBAS C311</t>
  </si>
  <si>
    <t>IMPRONTA  ANA HEP- 2 (X 12 POCILLOS) -  ALTERNATIVA</t>
  </si>
  <si>
    <t>IMPRONTAS  DNA ”CRITHIDIA LUCILIAE” (X 7 POCILLOS) – ALTERNATIVA</t>
  </si>
  <si>
    <t>IMPRONTAS ESÓFAGO DE MONO  (X 8 ÁREAS) - ALTERNATIVA</t>
  </si>
  <si>
    <t>IMPRONTAS HÍGADO- RIÑÓN- ESTOMAGO DE RATA  (X 6 ÁREAS ) ALTERNATIVA</t>
  </si>
  <si>
    <t>JERINGAS P/GASES EN SANGRE C/HEPARINA DE LITIO X 3ML TIPO BD X 200U</t>
  </si>
  <si>
    <t>KIT ERITROSEDIMENTACION X 100 C/PIPETA+TUBO</t>
  </si>
  <si>
    <t>BOTELLA</t>
  </si>
  <si>
    <t>MAGNESIO COBAS C-311 ROCHE  X 175 DET</t>
  </si>
  <si>
    <t>MAY GRUNWUALD X 1 LTS.</t>
  </si>
  <si>
    <t>NAOH - D CASSETTE P/COBAS C311</t>
  </si>
  <si>
    <t>PRECICONTROL  HBC1 NORM P/COBAS C311</t>
  </si>
  <si>
    <t>PRECICONTROL  HBC1 PATH P/COBAS C311</t>
  </si>
  <si>
    <t>PRECICONTROL THYRO P COBAS E 411</t>
  </si>
  <si>
    <t>PRECICONTROL UNIVERSAL P COBAS E 411</t>
  </si>
  <si>
    <t>PRO CELL COBAS E-411N ROCHE X 2 L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</si>
  <si>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</si>
  <si>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</si>
  <si>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</si>
  <si>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</si>
  <si>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</si>
  <si>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</si>
  <si>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</si>
  <si>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</si>
  <si>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</si>
  <si>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</si>
  <si>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S2 FLUID PACK P/COBAS 221</t>
  </si>
  <si>
    <t>S3 FLUID PACK P/COBAS 221</t>
  </si>
  <si>
    <t>SALMONELLA SHIGELLA AGAR X 500 GR T/ BRITANIA</t>
  </si>
  <si>
    <t>SMS CASSETTE P/COBAS C311</t>
  </si>
  <si>
    <t>SORBENT PARA FTA-ABS SÍFILIS- ALTERNATIVA</t>
  </si>
  <si>
    <t>SORBENT PARA IG G –  ALTERNATIVA</t>
  </si>
  <si>
    <t>SYSWASH PARA COBAS E411</t>
  </si>
  <si>
    <t>TUBOS TAPA LILA X 1ML C/EDTA</t>
  </si>
  <si>
    <t>TUBOS TAPA ROJA X 4ML TIPO VACUTAINER</t>
  </si>
  <si>
    <t>U/CSF PROTEINA URINARIA COBAS C-311 ROCHE X 150 DET</t>
  </si>
  <si>
    <t>UREA  COBAS C-311 ROCHE X 500 DET</t>
  </si>
  <si>
    <t>PLACAS AGAR COLUMBIA SANGRE OVINA X 10 UNID.  BIOMERIEUX-BRITANIA</t>
  </si>
  <si>
    <t>POLIVITEX AGAR CHOCOLATE X 10 - BIOMERIEUX-BRITANIA</t>
  </si>
  <si>
    <t>GIEMSA X 1L</t>
  </si>
  <si>
    <t>S1 RINSE SOLUTION COBAS B221 2PC</t>
  </si>
  <si>
    <t>FOSFATASA ALCALINA LARGE (IFCC) X 400 DET ROCHE</t>
  </si>
  <si>
    <t>AST/GOT IFCC ROCHE C311</t>
  </si>
  <si>
    <t>ALT/GPT IFCCROCHE C311</t>
  </si>
  <si>
    <t>ÁDICO ÚRICO ROCHE C311</t>
  </si>
  <si>
    <t>COMBITROL PLUS B LEVEL 1 30PCS</t>
  </si>
  <si>
    <t>COMBITROL PLUS B LEVEL 2 30PCS</t>
  </si>
  <si>
    <t xml:space="preserve">COMBITROL PLUS B LEVEL 3 30PCS </t>
  </si>
  <si>
    <t>BILIRRUBINA DIRECTA gen2</t>
  </si>
  <si>
    <t>CRPL3 / C-Reactive Protein Gen.3 Cobas</t>
  </si>
  <si>
    <t>NaOH-D/Basic Wash 2 X 1800 ml</t>
  </si>
  <si>
    <t>TRIGLICERIDOS roche c311</t>
  </si>
  <si>
    <t>FERRITINA  GEN. 2 ROCHE E411 X 200DET</t>
  </si>
  <si>
    <t>FERRITINA  CALSET GEN. 2 ROCHE E 411</t>
  </si>
  <si>
    <t>Dímero D Gen 2 ROCHE C311</t>
  </si>
  <si>
    <t>AGAR BASE COLUMBIA, ESTADO: SOLIDO, PRESENTACION: ENVASE X 500 GR</t>
  </si>
  <si>
    <t>AGAR BILIS ESCULINA, ESTADO: SOLIDO, PRESENTACION: ENVASE X 100 GR</t>
  </si>
  <si>
    <t>AGAR CITRATO DE SIMMONS, ESTADO: SOLIDO, PRESENTACION: ENVASE X 100 GR</t>
  </si>
  <si>
    <t>AGAR CROMOGENICO P/CANDIDA, ESTADO: SOLIDO, PRESENTACION: ENVASE X 47,7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</si>
  <si>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</si>
  <si>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</si>
  <si>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</si>
  <si>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</si>
  <si>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SABOURAUD GLUCOSA, ESTADO: SOLIDO, PRESENTACION: ENVASE X 100 GR</t>
  </si>
  <si>
    <t>AGAR SALMONELLA- SHIGELLA, ESTADO: SOLIDO, PRESENTACION: ENVASE X 100 GR</t>
  </si>
  <si>
    <t>AGAR SIM, ESTADO: SOLIDO, PRESENTACION: ENVASE X 100 GR</t>
  </si>
  <si>
    <t>DECOLORANTE PARA GRAM, ESTADO: LÍQUIDO, PRESENTACIÓN: ENVASE POR 100 ML</t>
  </si>
  <si>
    <t>DISCO CEFEPIME 30 µGR, ESTADO: DISCO, CALIDAD: PRO ANALISIS, PRESENTACION: ENVASE X 50 UN</t>
  </si>
  <si>
    <t>DISCO NITROCEFIN, ESTADO: DISCO, PRESENTACION: ENVASE X 50 UN</t>
  </si>
  <si>
    <t>HIDROXIDO DE SODIO, ESTADO: LIQUIDO, CALIDAD: PRO ANALISIS, CONCENTRACION/PUREZA: 1 N, PRESENTACION: ENVASE X 1 L</t>
  </si>
  <si>
    <t xml:space="preserve">BOTELLA </t>
  </si>
  <si>
    <t>FUCSINA BASICA, ESTADO: SOLIDO, CALIDAD: PRO ANALISIS, PRESENTACION: ENVASE X 25 GR</t>
  </si>
  <si>
    <t>TIRAS PARA ORINA URINE STRIP X 100U</t>
  </si>
  <si>
    <t>DIMERO D GEN 2 COMTROL I/II</t>
  </si>
  <si>
    <t>CELLPACK 20 L SYSMEX XS 1000</t>
  </si>
  <si>
    <t>STROMATOLYZER-4DL SYSMEX XS 1000</t>
  </si>
  <si>
    <t>STROMATOLYZER-4DS SYSMEX XS 1000</t>
  </si>
  <si>
    <t>SULFOLYZER 5L SYSMEX XS 1000</t>
  </si>
  <si>
    <t>CONTROL E-CHECK(XE) SYSMEX XS 1000</t>
  </si>
  <si>
    <t>COLESTEROL COBAS C311</t>
  </si>
  <si>
    <t>PROTEINA TOTAL COBAS C311</t>
  </si>
  <si>
    <t>CK NAC COBAS C311</t>
  </si>
  <si>
    <t>COLESTEROL HDL GEN4 COBAS C311</t>
  </si>
  <si>
    <t>GLUCOSA HEXOKINASA 800 COBAS C311</t>
  </si>
  <si>
    <t>TROMBOPLASTINA-S 10X4 ML HEMOMEDICA</t>
  </si>
  <si>
    <t>HbA1C TQ GEN3 150 TEST COBAS C311</t>
  </si>
  <si>
    <t>APTT-P 10X4ML HEMOMEDICA</t>
  </si>
  <si>
    <t>CFAS MULTICALIBRADOR COBAS C311 12X3ML</t>
  </si>
  <si>
    <t>PRECICONTROL CLINCHEM MULTI 1 QCS 20X5ML</t>
  </si>
  <si>
    <t>PRECICONTROL CLINCHEM MULTI 2 QCS 20X5ML</t>
  </si>
  <si>
    <t>REACTIVO TSH  COBAS E-411 ROCHE X 200 DET</t>
  </si>
  <si>
    <t>FOSFATO DE SODIO (Na2HPO4) (10mM)</t>
  </si>
  <si>
    <t>KIT IFI HIDATIDOSIS</t>
  </si>
  <si>
    <t>SUERO ANTI Ig-G HUMANO EN CABRA MARCADO CON FLUORESCEINA (URGENTE)</t>
  </si>
  <si>
    <t>SUERO ANTI Ig-M HUMANO EN CABRA MARCADO CON FLUORESCEINA</t>
  </si>
  <si>
    <t>SUERO ANTI Ig-A HUMANO EN CABRA MARCADO CON FLUORESCEINA</t>
  </si>
  <si>
    <t>ACID WASH SOLUTION 2 X 1800 ML P/COBAS C311</t>
  </si>
  <si>
    <t>ANCA-C (etanol) KITS (IFI)-  ALTERNATIVA</t>
  </si>
  <si>
    <t>CA- MICRO ELECTRODE</t>
  </si>
  <si>
    <t>CL- MICRO ELECTRODE</t>
  </si>
  <si>
    <t>CRHOMAGAR ORIENTACION P/5000 ML</t>
  </si>
  <si>
    <t>DISCO FOSFOMICINA 200 UG X 50 U</t>
  </si>
  <si>
    <t>DISCO IMIPENEM 10 µGR, ESTADO: DISCO, CALIDAD: PRO ANALISIS, PRESENTACION: ENVASE X 50 UN</t>
  </si>
  <si>
    <t>DISCO LEVOFLOXACINA 5 µGR DISCO X 50 UN</t>
  </si>
  <si>
    <t>DPG- Ig G ( AC ANTI PÉPTIDO DEAMINADOS DE GLIADINA- (ELISA) ALTERNATIVA</t>
  </si>
  <si>
    <t>IGA COBAS ROCHE C311</t>
  </si>
  <si>
    <t>K- MICRO ELECTRODE</t>
  </si>
  <si>
    <t>KIT ELISA- ANTITRANSGLUTAMINASA Ig  A ORGENTEC O ALTERNATIVA</t>
  </si>
  <si>
    <t>MICROTUBO C/EDTA K2 TIPO BD x 200u</t>
  </si>
  <si>
    <t>NA- MICRO ELECTRODE</t>
  </si>
  <si>
    <t xml:space="preserve">PANEL DE DROGAS DE ABUSO X 5DET X 25 U </t>
  </si>
  <si>
    <t>PCO2- MICRO ELECTRODE</t>
  </si>
  <si>
    <t>PH- MICRO ELECTRODE</t>
  </si>
  <si>
    <t>PO2- MICRO ELECTRODE</t>
  </si>
  <si>
    <t>REFERENCE CONTACT (RCON)</t>
  </si>
  <si>
    <t>REFERENCE MICRO ELECTRODE</t>
  </si>
  <si>
    <t>caja</t>
  </si>
  <si>
    <t>SMS (Selective Mode Solution)/ Acid Wash  (sólo c311) 12x70ml ROCHE C311</t>
  </si>
  <si>
    <t>MICROELECTRODE DUMMY</t>
  </si>
  <si>
    <t xml:space="preserve">FOSFATO DE POTASIO (KHHPO4)  (2mM) </t>
  </si>
  <si>
    <t>PORTAOBJETOS IMPRESOS CON TINTA VITRIFICABLE POR 12 o 15 AREAS caja x 100 U</t>
  </si>
  <si>
    <t>KIT ANTI PROTEINA CITRULINADAS - TIPO BIOSYSTEM O ALTERNATIVA</t>
  </si>
  <si>
    <t>LIA - LIVER (DIAGNOSTICO HUMANO) 6 ANTICUERPOS X 24 DETERMINACIONES</t>
  </si>
  <si>
    <t>LIA - VASCULITIS (DIAGNOSTICO HUMANO)</t>
  </si>
  <si>
    <t xml:space="preserve">Medio Thayer Martin con suplemento , frascos </t>
  </si>
  <si>
    <t>frasco</t>
  </si>
  <si>
    <t>CHAGAS ELISA RECOMBINATE V.3,0 WIENNER 96 DT</t>
  </si>
  <si>
    <t>CHAGAS HAI X 96 DET. TIPO POLYCHACO</t>
  </si>
  <si>
    <t>EPSTEIN BARR IGG ELISA</t>
  </si>
  <si>
    <t>EPSTEIN BARR IGM ELISA</t>
  </si>
  <si>
    <t>TPHA HAI SIFILIS TREPONEMICO BIOSYSTEMS</t>
  </si>
  <si>
    <t>REACTIVO CMV IGM COBAS E-411 ROCHE</t>
  </si>
  <si>
    <t>Agar tripteina soya, estado solido, presentacion x500gr</t>
  </si>
  <si>
    <t>Frasco</t>
  </si>
  <si>
    <t>Stonebrick medio 1 x 3 tubos - Britania</t>
  </si>
  <si>
    <t>Caja</t>
  </si>
  <si>
    <t>Stonebrick acidificado y enriquecido medio 1 x 3 tubos - Britania</t>
  </si>
  <si>
    <t>Lowestein Jensen Medio 1 x 3 tubos - Britania</t>
  </si>
  <si>
    <t>Lowestein Jensen Acidificado Medio 1 x 3 tubos - Britania</t>
  </si>
  <si>
    <t>Precicontrol CMV IgM 16x 1 ml cobas roche</t>
  </si>
  <si>
    <t>NACL 9% SI Gen 2 cobas roche</t>
  </si>
  <si>
    <t>cassette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</si>
  <si>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</si>
  <si>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013/2022</t>
  </si>
  <si>
    <t>CLOT CATCHER X 250 UNIDADES</t>
  </si>
  <si>
    <t>DILUYENTE UNIVERSAL  X 2 UNID. X 16 ML.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</si>
  <si>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habiles de notificada la Orden de Compra</t>
    </r>
  </si>
  <si>
    <t>Costo total estimado: Diez Millones Quinientos Cincuenta y Siete Mil Cuatrocientos Setenta y Siete Con 04/100.</t>
  </si>
  <si>
    <t>TOTAL DE PESOS: DIEZ MILLONES QUINIENTOS CINCUENTA Y SIETE MIL CUATROCIENTOS SESENTA Y SIETE CON 04/100.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</si>
</sst>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3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name val="Imago"/>
    </font>
    <font>
      <sz val="10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  <xf numFmtId="0" fontId="16" fillId="0" borderId="0"/>
  </cellStyleXfs>
  <cellXfs count="19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6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166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6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9" fontId="26" fillId="0" borderId="16" xfId="0" applyNumberFormat="1" applyFont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left" indent="3"/>
    </xf>
    <xf numFmtId="0" fontId="22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0" fillId="3" borderId="60" xfId="0" applyFill="1" applyBorder="1"/>
    <xf numFmtId="166" fontId="22" fillId="4" borderId="61" xfId="1" applyNumberFormat="1" applyFont="1" applyFill="1" applyBorder="1" applyAlignment="1" applyProtection="1">
      <alignment horizontal="right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/>
    </xf>
    <xf numFmtId="0" fontId="0" fillId="3" borderId="2" xfId="0" applyFill="1" applyBorder="1"/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wrapText="1"/>
    </xf>
    <xf numFmtId="0" fontId="20" fillId="0" borderId="56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 wrapText="1"/>
    </xf>
    <xf numFmtId="0" fontId="27" fillId="3" borderId="56" xfId="0" applyFont="1" applyFill="1" applyBorder="1" applyAlignment="1">
      <alignment wrapText="1"/>
    </xf>
    <xf numFmtId="3" fontId="27" fillId="3" borderId="56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/>
    </xf>
    <xf numFmtId="0" fontId="20" fillId="0" borderId="63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27" fillId="3" borderId="56" xfId="5" applyFont="1" applyFill="1" applyBorder="1" applyAlignment="1">
      <alignment wrapText="1"/>
    </xf>
    <xf numFmtId="3" fontId="27" fillId="3" borderId="56" xfId="5" applyNumberFormat="1" applyFont="1" applyFill="1" applyBorder="1" applyAlignment="1">
      <alignment horizontal="center" vertical="center"/>
    </xf>
    <xf numFmtId="3" fontId="27" fillId="3" borderId="56" xfId="1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left" wrapText="1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70" fontId="27" fillId="3" borderId="2" xfId="1" applyNumberFormat="1" applyFont="1" applyFill="1" applyBorder="1" applyAlignment="1">
      <alignment horizontal="center" wrapText="1"/>
    </xf>
    <xf numFmtId="170" fontId="27" fillId="3" borderId="56" xfId="1" applyNumberFormat="1" applyFont="1" applyFill="1" applyBorder="1" applyAlignment="1">
      <alignment horizontal="center" wrapText="1"/>
    </xf>
    <xf numFmtId="0" fontId="27" fillId="3" borderId="56" xfId="0" applyFont="1" applyFill="1" applyBorder="1" applyAlignment="1">
      <alignment vertical="center" wrapText="1"/>
    </xf>
    <xf numFmtId="170" fontId="27" fillId="3" borderId="56" xfId="1" applyNumberFormat="1" applyFont="1" applyFill="1" applyBorder="1" applyAlignment="1">
      <alignment horizontal="center" vertical="center" wrapText="1"/>
    </xf>
    <xf numFmtId="0" fontId="27" fillId="3" borderId="56" xfId="5" applyFont="1" applyFill="1" applyBorder="1" applyAlignment="1">
      <alignment horizontal="center" vertical="center" wrapText="1"/>
    </xf>
    <xf numFmtId="170" fontId="27" fillId="3" borderId="56" xfId="1" applyNumberFormat="1" applyFont="1" applyFill="1" applyBorder="1" applyAlignment="1">
      <alignment horizontal="right" vertical="center" wrapText="1"/>
    </xf>
    <xf numFmtId="170" fontId="27" fillId="3" borderId="56" xfId="0" applyNumberFormat="1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center" vertical="center" wrapText="1"/>
    </xf>
    <xf numFmtId="0" fontId="28" fillId="3" borderId="56" xfId="5" applyFont="1" applyFill="1" applyBorder="1" applyAlignment="1">
      <alignment wrapText="1"/>
    </xf>
    <xf numFmtId="170" fontId="27" fillId="3" borderId="56" xfId="0" applyNumberFormat="1" applyFont="1" applyFill="1" applyBorder="1" applyAlignment="1">
      <alignment horizontal="center" vertical="center"/>
    </xf>
    <xf numFmtId="0" fontId="29" fillId="3" borderId="56" xfId="0" applyFont="1" applyFill="1" applyBorder="1" applyAlignment="1">
      <alignment wrapText="1"/>
    </xf>
    <xf numFmtId="3" fontId="27" fillId="3" borderId="56" xfId="0" applyNumberFormat="1" applyFont="1" applyFill="1" applyBorder="1" applyAlignment="1">
      <alignment horizontal="center" vertical="center" wrapText="1"/>
    </xf>
    <xf numFmtId="0" fontId="30" fillId="3" borderId="56" xfId="0" applyFont="1" applyFill="1" applyBorder="1" applyAlignment="1">
      <alignment wrapText="1"/>
    </xf>
    <xf numFmtId="0" fontId="30" fillId="3" borderId="56" xfId="0" applyFont="1" applyFill="1" applyBorder="1" applyAlignment="1">
      <alignment horizontal="center" vertical="center" wrapText="1"/>
    </xf>
    <xf numFmtId="170" fontId="27" fillId="3" borderId="56" xfId="0" applyNumberFormat="1" applyFont="1" applyFill="1" applyBorder="1"/>
    <xf numFmtId="0" fontId="30" fillId="3" borderId="56" xfId="0" applyFont="1" applyFill="1" applyBorder="1" applyAlignment="1">
      <alignment horizontal="center" wrapText="1"/>
    </xf>
    <xf numFmtId="170" fontId="27" fillId="3" borderId="56" xfId="1" applyNumberFormat="1" applyFont="1" applyFill="1" applyBorder="1"/>
    <xf numFmtId="170" fontId="27" fillId="3" borderId="56" xfId="0" applyNumberFormat="1" applyFont="1" applyFill="1" applyBorder="1" applyAlignment="1">
      <alignment vertical="center"/>
    </xf>
    <xf numFmtId="170" fontId="30" fillId="3" borderId="56" xfId="0" applyNumberFormat="1" applyFont="1" applyFill="1" applyBorder="1" applyAlignment="1">
      <alignment vertical="center" wrapText="1"/>
    </xf>
    <xf numFmtId="170" fontId="30" fillId="3" borderId="56" xfId="0" applyNumberFormat="1" applyFont="1" applyFill="1" applyBorder="1" applyAlignment="1">
      <alignment wrapText="1"/>
    </xf>
    <xf numFmtId="0" fontId="16" fillId="3" borderId="56" xfId="0" applyFont="1" applyFill="1" applyBorder="1" applyAlignment="1">
      <alignment wrapText="1"/>
    </xf>
    <xf numFmtId="0" fontId="16" fillId="3" borderId="56" xfId="0" applyFont="1" applyFill="1" applyBorder="1" applyAlignment="1">
      <alignment horizontal="center" vertical="center"/>
    </xf>
    <xf numFmtId="0" fontId="27" fillId="3" borderId="64" xfId="0" applyFont="1" applyFill="1" applyBorder="1" applyAlignment="1">
      <alignment horizontal="center" vertical="center" wrapText="1"/>
    </xf>
    <xf numFmtId="3" fontId="27" fillId="3" borderId="64" xfId="0" applyNumberFormat="1" applyFont="1" applyFill="1" applyBorder="1" applyAlignment="1">
      <alignment horizontal="center" vertical="center"/>
    </xf>
    <xf numFmtId="0" fontId="27" fillId="3" borderId="64" xfId="0" applyFont="1" applyFill="1" applyBorder="1" applyAlignment="1">
      <alignment wrapText="1"/>
    </xf>
    <xf numFmtId="169" fontId="27" fillId="3" borderId="56" xfId="0" applyNumberFormat="1" applyFont="1" applyFill="1" applyBorder="1"/>
    <xf numFmtId="170" fontId="27" fillId="3" borderId="64" xfId="0" applyNumberFormat="1" applyFont="1" applyFill="1" applyBorder="1" applyAlignment="1">
      <alignment horizontal="center" vertical="center" wrapText="1"/>
    </xf>
    <xf numFmtId="0" fontId="22" fillId="3" borderId="65" xfId="0" applyFont="1" applyFill="1" applyBorder="1" applyAlignment="1">
      <alignment horizontal="center" vertical="center"/>
    </xf>
    <xf numFmtId="0" fontId="0" fillId="3" borderId="64" xfId="0" applyFill="1" applyBorder="1"/>
    <xf numFmtId="0" fontId="20" fillId="0" borderId="64" xfId="0" applyFont="1" applyBorder="1" applyAlignment="1">
      <alignment horizontal="center" vertical="center" wrapText="1"/>
    </xf>
    <xf numFmtId="0" fontId="20" fillId="0" borderId="66" xfId="0" applyFont="1" applyFill="1" applyBorder="1" applyAlignment="1">
      <alignment horizontal="center" vertical="center" wrapText="1"/>
    </xf>
    <xf numFmtId="166" fontId="22" fillId="4" borderId="67" xfId="1" applyNumberFormat="1" applyFont="1" applyFill="1" applyBorder="1" applyAlignment="1" applyProtection="1">
      <alignment horizontal="righ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59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167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2" xfId="8" xr:uid="{00000000-0005-0000-0000-000006000000}"/>
    <cellStyle name="Normal 2 3" xfId="5" xr:uid="{00000000-0005-0000-0000-000007000000}"/>
    <cellStyle name="Normal 3" xfId="7" xr:uid="{00000000-0005-0000-0000-000008000000}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46"/>
  <sheetViews>
    <sheetView tabSelected="1" zoomScaleNormal="100" workbookViewId="0">
      <selection activeCell="B243" sqref="B243:E244"/>
    </sheetView>
  </sheetViews>
  <sheetFormatPr baseColWidth="10" defaultColWidth="11" defaultRowHeight="12.75"/>
  <cols>
    <col min="1" max="1" width="6.42578125" style="26" customWidth="1"/>
    <col min="2" max="2" width="11.28515625" style="26" customWidth="1"/>
    <col min="3" max="3" width="17" style="26" customWidth="1"/>
    <col min="4" max="4" width="8.42578125" style="26" customWidth="1"/>
    <col min="5" max="5" width="70.140625" style="26" customWidth="1"/>
    <col min="6" max="6" width="12.85546875" style="26" customWidth="1"/>
    <col min="7" max="7" width="12.42578125" style="26" customWidth="1"/>
    <col min="8" max="8" width="15.2851562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>
      <c r="B2" s="144" t="s">
        <v>0</v>
      </c>
      <c r="C2" s="144"/>
      <c r="D2" s="144"/>
      <c r="E2" s="144"/>
      <c r="F2" s="144"/>
      <c r="G2" s="144"/>
      <c r="H2" s="144"/>
    </row>
    <row r="3" spans="1:10" ht="12" customHeight="1"/>
    <row r="4" spans="1:10" ht="18" customHeight="1">
      <c r="A4" s="143" t="s">
        <v>1</v>
      </c>
      <c r="B4" s="143"/>
      <c r="C4" s="145" t="s">
        <v>52</v>
      </c>
      <c r="D4" s="145"/>
      <c r="E4" s="145"/>
      <c r="F4" s="27"/>
      <c r="G4" s="28"/>
      <c r="H4" s="52"/>
    </row>
    <row r="5" spans="1:10" ht="18" customHeight="1">
      <c r="A5" s="143" t="s">
        <v>2</v>
      </c>
      <c r="B5" s="143"/>
      <c r="C5" s="145" t="s">
        <v>51</v>
      </c>
      <c r="D5" s="145"/>
      <c r="E5" s="145"/>
      <c r="F5" s="27"/>
      <c r="G5" s="28" t="s">
        <v>55</v>
      </c>
      <c r="H5" s="52"/>
    </row>
    <row r="6" spans="1:10" ht="16.5" customHeight="1">
      <c r="A6" s="143" t="s">
        <v>3</v>
      </c>
      <c r="B6" s="143"/>
      <c r="C6" s="42">
        <v>2022</v>
      </c>
      <c r="D6" s="43"/>
      <c r="E6" s="43"/>
      <c r="F6" s="27"/>
      <c r="G6" s="28"/>
      <c r="H6" s="52"/>
    </row>
    <row r="7" spans="1:10" ht="16.5" customHeight="1">
      <c r="A7" s="143" t="s">
        <v>4</v>
      </c>
      <c r="B7" s="143"/>
      <c r="C7" s="42">
        <v>1</v>
      </c>
      <c r="D7" s="43"/>
      <c r="E7" s="43"/>
      <c r="F7" s="27"/>
      <c r="G7" s="28"/>
      <c r="H7" s="52"/>
    </row>
    <row r="8" spans="1:10" ht="13.5" thickBot="1">
      <c r="B8" s="27"/>
      <c r="C8" s="28"/>
      <c r="D8" s="27"/>
      <c r="E8" s="27"/>
      <c r="F8" s="27"/>
      <c r="G8" s="28"/>
      <c r="H8" s="52"/>
      <c r="J8" s="50"/>
    </row>
    <row r="9" spans="1:10" ht="36.75" thickBot="1">
      <c r="A9" s="72" t="s">
        <v>5</v>
      </c>
      <c r="B9" s="72" t="s">
        <v>6</v>
      </c>
      <c r="C9" s="72" t="s">
        <v>7</v>
      </c>
      <c r="D9" s="72" t="s">
        <v>8</v>
      </c>
      <c r="E9" s="72" t="s">
        <v>9</v>
      </c>
      <c r="F9" s="72" t="s">
        <v>10</v>
      </c>
      <c r="G9" s="72" t="s">
        <v>11</v>
      </c>
      <c r="H9" s="73" t="s">
        <v>12</v>
      </c>
      <c r="I9" s="72" t="s">
        <v>13</v>
      </c>
    </row>
    <row r="10" spans="1:10">
      <c r="A10" s="85">
        <v>1</v>
      </c>
      <c r="B10" s="86"/>
      <c r="C10" s="90" t="s">
        <v>60</v>
      </c>
      <c r="D10" s="91">
        <v>251</v>
      </c>
      <c r="E10" s="92" t="s">
        <v>91</v>
      </c>
      <c r="F10" s="106" t="s">
        <v>58</v>
      </c>
      <c r="G10" s="107">
        <v>6</v>
      </c>
      <c r="H10" s="108">
        <v>33494</v>
      </c>
      <c r="I10" s="87">
        <f>G10*H10</f>
        <v>200964</v>
      </c>
    </row>
    <row r="11" spans="1:10">
      <c r="A11" s="76">
        <v>2</v>
      </c>
      <c r="B11" s="77"/>
      <c r="C11" s="93" t="s">
        <v>60</v>
      </c>
      <c r="D11" s="94">
        <v>251</v>
      </c>
      <c r="E11" s="95" t="s">
        <v>92</v>
      </c>
      <c r="F11" s="104" t="s">
        <v>58</v>
      </c>
      <c r="G11" s="96">
        <v>6</v>
      </c>
      <c r="H11" s="109">
        <v>24885</v>
      </c>
      <c r="I11" s="65">
        <f>G11*H11</f>
        <v>149310</v>
      </c>
    </row>
    <row r="12" spans="1:10">
      <c r="A12" s="76">
        <v>3</v>
      </c>
      <c r="B12" s="77"/>
      <c r="C12" s="97" t="s">
        <v>60</v>
      </c>
      <c r="D12" s="94">
        <v>251</v>
      </c>
      <c r="E12" s="95" t="s">
        <v>93</v>
      </c>
      <c r="F12" s="104" t="s">
        <v>78</v>
      </c>
      <c r="G12" s="96">
        <v>2</v>
      </c>
      <c r="H12" s="109">
        <v>792.55</v>
      </c>
      <c r="I12" s="65">
        <f t="shared" ref="I12:I75" si="0">G12*H12</f>
        <v>1585.1</v>
      </c>
    </row>
    <row r="13" spans="1:10">
      <c r="A13" s="76">
        <v>4</v>
      </c>
      <c r="B13" s="77"/>
      <c r="C13" s="97" t="s">
        <v>60</v>
      </c>
      <c r="D13" s="94">
        <v>251</v>
      </c>
      <c r="E13" s="95" t="s">
        <v>259</v>
      </c>
      <c r="F13" s="104" t="s">
        <v>58</v>
      </c>
      <c r="G13" s="96">
        <v>1</v>
      </c>
      <c r="H13" s="109">
        <v>41462</v>
      </c>
      <c r="I13" s="65">
        <f t="shared" si="0"/>
        <v>41462</v>
      </c>
    </row>
    <row r="14" spans="1:10">
      <c r="A14" s="76">
        <v>5</v>
      </c>
      <c r="B14" s="77"/>
      <c r="C14" s="93" t="s">
        <v>60</v>
      </c>
      <c r="D14" s="94">
        <v>251</v>
      </c>
      <c r="E14" s="103" t="s">
        <v>207</v>
      </c>
      <c r="F14" s="104" t="s">
        <v>63</v>
      </c>
      <c r="G14" s="96">
        <v>1</v>
      </c>
      <c r="H14" s="114">
        <v>6698</v>
      </c>
      <c r="I14" s="65">
        <f t="shared" si="0"/>
        <v>6698</v>
      </c>
    </row>
    <row r="15" spans="1:10">
      <c r="A15" s="76">
        <v>6</v>
      </c>
      <c r="B15" s="77"/>
      <c r="C15" s="93" t="s">
        <v>60</v>
      </c>
      <c r="D15" s="94">
        <v>251</v>
      </c>
      <c r="E15" s="105" t="s">
        <v>218</v>
      </c>
      <c r="F15" s="104" t="s">
        <v>78</v>
      </c>
      <c r="G15" s="96">
        <v>1</v>
      </c>
      <c r="H15" s="117">
        <v>8828</v>
      </c>
      <c r="I15" s="65">
        <f t="shared" si="0"/>
        <v>8828</v>
      </c>
    </row>
    <row r="16" spans="1:10">
      <c r="A16" s="76">
        <v>7</v>
      </c>
      <c r="B16" s="77"/>
      <c r="C16" s="97" t="s">
        <v>60</v>
      </c>
      <c r="D16" s="94">
        <v>251</v>
      </c>
      <c r="E16" s="105" t="s">
        <v>219</v>
      </c>
      <c r="F16" s="104" t="s">
        <v>78</v>
      </c>
      <c r="G16" s="96">
        <v>1</v>
      </c>
      <c r="H16" s="117">
        <v>12047</v>
      </c>
      <c r="I16" s="65">
        <f t="shared" si="0"/>
        <v>12047</v>
      </c>
    </row>
    <row r="17" spans="1:9">
      <c r="A17" s="76">
        <v>8</v>
      </c>
      <c r="B17" s="77"/>
      <c r="C17" s="97" t="s">
        <v>60</v>
      </c>
      <c r="D17" s="98">
        <v>251</v>
      </c>
      <c r="E17" s="95" t="s">
        <v>94</v>
      </c>
      <c r="F17" s="104" t="s">
        <v>78</v>
      </c>
      <c r="G17" s="96">
        <v>3</v>
      </c>
      <c r="H17" s="109">
        <v>8022.3</v>
      </c>
      <c r="I17" s="65">
        <f t="shared" si="0"/>
        <v>24066.9</v>
      </c>
    </row>
    <row r="18" spans="1:9" ht="24">
      <c r="A18" s="76">
        <v>9</v>
      </c>
      <c r="B18" s="77"/>
      <c r="C18" s="97" t="s">
        <v>60</v>
      </c>
      <c r="D18" s="94">
        <v>251</v>
      </c>
      <c r="E18" s="105" t="s">
        <v>220</v>
      </c>
      <c r="F18" s="104" t="s">
        <v>78</v>
      </c>
      <c r="G18" s="96">
        <v>1</v>
      </c>
      <c r="H18" s="117">
        <v>3515</v>
      </c>
      <c r="I18" s="65">
        <f t="shared" si="0"/>
        <v>3515</v>
      </c>
    </row>
    <row r="19" spans="1:9" ht="24">
      <c r="A19" s="76">
        <v>10</v>
      </c>
      <c r="B19" s="77"/>
      <c r="C19" s="97" t="s">
        <v>60</v>
      </c>
      <c r="D19" s="98">
        <v>251</v>
      </c>
      <c r="E19" s="105" t="s">
        <v>221</v>
      </c>
      <c r="F19" s="104" t="s">
        <v>78</v>
      </c>
      <c r="G19" s="96">
        <v>1</v>
      </c>
      <c r="H19" s="117">
        <v>47896</v>
      </c>
      <c r="I19" s="65">
        <f t="shared" si="0"/>
        <v>47896</v>
      </c>
    </row>
    <row r="20" spans="1:9" ht="24">
      <c r="A20" s="76">
        <v>11</v>
      </c>
      <c r="B20" s="77"/>
      <c r="C20" s="84" t="s">
        <v>60</v>
      </c>
      <c r="D20" s="94">
        <v>251</v>
      </c>
      <c r="E20" s="105" t="s">
        <v>222</v>
      </c>
      <c r="F20" s="104" t="s">
        <v>78</v>
      </c>
      <c r="G20" s="96">
        <v>1</v>
      </c>
      <c r="H20" s="117">
        <v>2644</v>
      </c>
      <c r="I20" s="65">
        <f t="shared" si="0"/>
        <v>2644</v>
      </c>
    </row>
    <row r="21" spans="1:9">
      <c r="A21" s="76">
        <v>12</v>
      </c>
      <c r="B21" s="77"/>
      <c r="C21" s="84" t="s">
        <v>60</v>
      </c>
      <c r="D21" s="94">
        <v>251</v>
      </c>
      <c r="E21" s="95" t="s">
        <v>95</v>
      </c>
      <c r="F21" s="104" t="s">
        <v>78</v>
      </c>
      <c r="G21" s="96">
        <v>1</v>
      </c>
      <c r="H21" s="109">
        <v>8085.22</v>
      </c>
      <c r="I21" s="65">
        <f t="shared" si="0"/>
        <v>8085.22</v>
      </c>
    </row>
    <row r="22" spans="1:9">
      <c r="A22" s="76">
        <v>13</v>
      </c>
      <c r="B22" s="77"/>
      <c r="C22" s="97" t="s">
        <v>60</v>
      </c>
      <c r="D22" s="94">
        <v>251</v>
      </c>
      <c r="E22" s="105" t="s">
        <v>223</v>
      </c>
      <c r="F22" s="104" t="s">
        <v>78</v>
      </c>
      <c r="G22" s="96">
        <v>1</v>
      </c>
      <c r="H22" s="117">
        <v>4954</v>
      </c>
      <c r="I22" s="65">
        <f t="shared" si="0"/>
        <v>4954</v>
      </c>
    </row>
    <row r="23" spans="1:9">
      <c r="A23" s="76">
        <v>14</v>
      </c>
      <c r="B23" s="77"/>
      <c r="C23" s="88" t="s">
        <v>60</v>
      </c>
      <c r="D23" s="99">
        <v>251</v>
      </c>
      <c r="E23" s="105" t="s">
        <v>224</v>
      </c>
      <c r="F23" s="104" t="s">
        <v>78</v>
      </c>
      <c r="G23" s="96">
        <v>1</v>
      </c>
      <c r="H23" s="117">
        <v>1767</v>
      </c>
      <c r="I23" s="65">
        <f t="shared" si="0"/>
        <v>1767</v>
      </c>
    </row>
    <row r="24" spans="1:9">
      <c r="A24" s="76">
        <v>15</v>
      </c>
      <c r="B24" s="77"/>
      <c r="C24" s="93" t="s">
        <v>60</v>
      </c>
      <c r="D24" s="94">
        <v>251</v>
      </c>
      <c r="E24" s="105" t="s">
        <v>225</v>
      </c>
      <c r="F24" s="104" t="s">
        <v>78</v>
      </c>
      <c r="G24" s="96">
        <v>1</v>
      </c>
      <c r="H24" s="117">
        <v>11418</v>
      </c>
      <c r="I24" s="65">
        <f t="shared" si="0"/>
        <v>11418</v>
      </c>
    </row>
    <row r="25" spans="1:9" ht="24">
      <c r="A25" s="76">
        <v>16</v>
      </c>
      <c r="B25" s="77"/>
      <c r="C25" s="97" t="s">
        <v>60</v>
      </c>
      <c r="D25" s="98">
        <v>251</v>
      </c>
      <c r="E25" s="105" t="s">
        <v>226</v>
      </c>
      <c r="F25" s="104" t="s">
        <v>78</v>
      </c>
      <c r="G25" s="96">
        <v>1</v>
      </c>
      <c r="H25" s="117">
        <v>2092</v>
      </c>
      <c r="I25" s="65">
        <f t="shared" si="0"/>
        <v>2092</v>
      </c>
    </row>
    <row r="26" spans="1:9" ht="24">
      <c r="A26" s="76">
        <v>17</v>
      </c>
      <c r="B26" s="77"/>
      <c r="C26" s="84" t="s">
        <v>60</v>
      </c>
      <c r="D26" s="94">
        <v>251</v>
      </c>
      <c r="E26" s="105" t="s">
        <v>227</v>
      </c>
      <c r="F26" s="104" t="s">
        <v>78</v>
      </c>
      <c r="G26" s="96">
        <v>1</v>
      </c>
      <c r="H26" s="114">
        <v>4022.1</v>
      </c>
      <c r="I26" s="65">
        <f t="shared" si="0"/>
        <v>4022.1</v>
      </c>
    </row>
    <row r="27" spans="1:9">
      <c r="A27" s="76">
        <v>18</v>
      </c>
      <c r="B27" s="77"/>
      <c r="C27" s="97" t="s">
        <v>60</v>
      </c>
      <c r="D27" s="94">
        <v>251</v>
      </c>
      <c r="E27" s="105" t="s">
        <v>228</v>
      </c>
      <c r="F27" s="104" t="s">
        <v>78</v>
      </c>
      <c r="G27" s="96">
        <v>1</v>
      </c>
      <c r="H27" s="114">
        <v>6441.26</v>
      </c>
      <c r="I27" s="65">
        <f t="shared" si="0"/>
        <v>6441.26</v>
      </c>
    </row>
    <row r="28" spans="1:9">
      <c r="A28" s="76">
        <v>19</v>
      </c>
      <c r="B28" s="77"/>
      <c r="C28" s="84" t="s">
        <v>60</v>
      </c>
      <c r="D28" s="94">
        <v>251</v>
      </c>
      <c r="E28" s="128" t="s">
        <v>295</v>
      </c>
      <c r="F28" s="129" t="s">
        <v>296</v>
      </c>
      <c r="G28" s="129">
        <v>2</v>
      </c>
      <c r="H28" s="122">
        <v>4200</v>
      </c>
      <c r="I28" s="65">
        <f t="shared" si="0"/>
        <v>8400</v>
      </c>
    </row>
    <row r="29" spans="1:9">
      <c r="A29" s="76">
        <v>20</v>
      </c>
      <c r="B29" s="77"/>
      <c r="C29" s="97" t="s">
        <v>60</v>
      </c>
      <c r="D29" s="94">
        <v>251</v>
      </c>
      <c r="E29" s="95" t="s">
        <v>96</v>
      </c>
      <c r="F29" s="104" t="s">
        <v>63</v>
      </c>
      <c r="G29" s="96">
        <v>1</v>
      </c>
      <c r="H29" s="109">
        <v>2452</v>
      </c>
      <c r="I29" s="65">
        <f t="shared" si="0"/>
        <v>2452</v>
      </c>
    </row>
    <row r="30" spans="1:9">
      <c r="A30" s="76">
        <v>21</v>
      </c>
      <c r="B30" s="77"/>
      <c r="C30" s="88" t="s">
        <v>60</v>
      </c>
      <c r="D30" s="99">
        <v>251</v>
      </c>
      <c r="E30" s="95" t="s">
        <v>97</v>
      </c>
      <c r="F30" s="104" t="s">
        <v>58</v>
      </c>
      <c r="G30" s="96">
        <v>1</v>
      </c>
      <c r="H30" s="109">
        <v>15611</v>
      </c>
      <c r="I30" s="65">
        <f t="shared" si="0"/>
        <v>15611</v>
      </c>
    </row>
    <row r="31" spans="1:9">
      <c r="A31" s="76">
        <v>22</v>
      </c>
      <c r="B31" s="77"/>
      <c r="C31" s="93" t="s">
        <v>60</v>
      </c>
      <c r="D31" s="94">
        <v>251</v>
      </c>
      <c r="E31" s="95" t="s">
        <v>67</v>
      </c>
      <c r="F31" s="104" t="s">
        <v>63</v>
      </c>
      <c r="G31" s="96">
        <v>2</v>
      </c>
      <c r="H31" s="109">
        <v>27019</v>
      </c>
      <c r="I31" s="65">
        <f t="shared" si="0"/>
        <v>54038</v>
      </c>
    </row>
    <row r="32" spans="1:9">
      <c r="A32" s="76">
        <v>23</v>
      </c>
      <c r="B32" s="77"/>
      <c r="C32" s="84" t="s">
        <v>60</v>
      </c>
      <c r="D32" s="94">
        <v>251</v>
      </c>
      <c r="E32" s="95" t="s">
        <v>206</v>
      </c>
      <c r="F32" s="104" t="s">
        <v>63</v>
      </c>
      <c r="G32" s="96">
        <v>6</v>
      </c>
      <c r="H32" s="114">
        <v>10621</v>
      </c>
      <c r="I32" s="65">
        <f t="shared" si="0"/>
        <v>63726</v>
      </c>
    </row>
    <row r="33" spans="1:9" ht="24">
      <c r="A33" s="76">
        <v>24</v>
      </c>
      <c r="B33" s="77"/>
      <c r="C33" s="97" t="s">
        <v>60</v>
      </c>
      <c r="D33" s="98">
        <v>251</v>
      </c>
      <c r="E33" s="95" t="s">
        <v>98</v>
      </c>
      <c r="F33" s="104" t="s">
        <v>78</v>
      </c>
      <c r="G33" s="96">
        <v>2</v>
      </c>
      <c r="H33" s="109">
        <v>532.4</v>
      </c>
      <c r="I33" s="65">
        <f t="shared" si="0"/>
        <v>1064.8</v>
      </c>
    </row>
    <row r="34" spans="1:9">
      <c r="A34" s="76">
        <v>25</v>
      </c>
      <c r="B34" s="77"/>
      <c r="C34" s="93" t="s">
        <v>60</v>
      </c>
      <c r="D34" s="94">
        <v>251</v>
      </c>
      <c r="E34" s="95" t="s">
        <v>99</v>
      </c>
      <c r="F34" s="104" t="s">
        <v>63</v>
      </c>
      <c r="G34" s="96">
        <v>2</v>
      </c>
      <c r="H34" s="109">
        <v>12671</v>
      </c>
      <c r="I34" s="65">
        <f t="shared" si="0"/>
        <v>25342</v>
      </c>
    </row>
    <row r="35" spans="1:9">
      <c r="A35" s="76">
        <v>26</v>
      </c>
      <c r="B35" s="77"/>
      <c r="C35" s="97" t="s">
        <v>60</v>
      </c>
      <c r="D35" s="94">
        <v>251</v>
      </c>
      <c r="E35" s="95" t="s">
        <v>260</v>
      </c>
      <c r="F35" s="104" t="s">
        <v>58</v>
      </c>
      <c r="G35" s="96">
        <v>3</v>
      </c>
      <c r="H35" s="109">
        <v>30000</v>
      </c>
      <c r="I35" s="65">
        <f t="shared" si="0"/>
        <v>90000</v>
      </c>
    </row>
    <row r="36" spans="1:9">
      <c r="A36" s="76">
        <v>27</v>
      </c>
      <c r="B36" s="77"/>
      <c r="C36" s="97" t="s">
        <v>60</v>
      </c>
      <c r="D36" s="94">
        <v>251</v>
      </c>
      <c r="E36" s="95" t="s">
        <v>100</v>
      </c>
      <c r="F36" s="104" t="s">
        <v>63</v>
      </c>
      <c r="G36" s="96">
        <v>1</v>
      </c>
      <c r="H36" s="109">
        <v>36011</v>
      </c>
      <c r="I36" s="65">
        <f t="shared" si="0"/>
        <v>36011</v>
      </c>
    </row>
    <row r="37" spans="1:9">
      <c r="A37" s="76">
        <v>28</v>
      </c>
      <c r="B37" s="77"/>
      <c r="C37" s="97" t="s">
        <v>60</v>
      </c>
      <c r="D37" s="98">
        <v>251</v>
      </c>
      <c r="E37" s="95" t="s">
        <v>101</v>
      </c>
      <c r="F37" s="104" t="s">
        <v>63</v>
      </c>
      <c r="G37" s="96">
        <v>5</v>
      </c>
      <c r="H37" s="109">
        <v>81200</v>
      </c>
      <c r="I37" s="65">
        <f t="shared" si="0"/>
        <v>406000</v>
      </c>
    </row>
    <row r="38" spans="1:9">
      <c r="A38" s="76">
        <v>29</v>
      </c>
      <c r="B38" s="77"/>
      <c r="C38" s="84" t="s">
        <v>60</v>
      </c>
      <c r="D38" s="94">
        <v>251</v>
      </c>
      <c r="E38" s="95" t="s">
        <v>65</v>
      </c>
      <c r="F38" s="104" t="s">
        <v>63</v>
      </c>
      <c r="G38" s="96">
        <v>3</v>
      </c>
      <c r="H38" s="109">
        <v>27872</v>
      </c>
      <c r="I38" s="65">
        <f t="shared" si="0"/>
        <v>83616</v>
      </c>
    </row>
    <row r="39" spans="1:9">
      <c r="A39" s="76">
        <v>30</v>
      </c>
      <c r="B39" s="77"/>
      <c r="C39" s="97" t="s">
        <v>60</v>
      </c>
      <c r="D39" s="94">
        <v>251</v>
      </c>
      <c r="E39" s="95" t="s">
        <v>64</v>
      </c>
      <c r="F39" s="104" t="s">
        <v>63</v>
      </c>
      <c r="G39" s="96">
        <v>4</v>
      </c>
      <c r="H39" s="109">
        <v>27872</v>
      </c>
      <c r="I39" s="65">
        <f t="shared" si="0"/>
        <v>111488</v>
      </c>
    </row>
    <row r="40" spans="1:9">
      <c r="A40" s="76">
        <v>31</v>
      </c>
      <c r="B40" s="77"/>
      <c r="C40" s="84" t="s">
        <v>60</v>
      </c>
      <c r="D40" s="94">
        <v>251</v>
      </c>
      <c r="E40" s="105" t="s">
        <v>249</v>
      </c>
      <c r="F40" s="104" t="s">
        <v>58</v>
      </c>
      <c r="G40" s="119">
        <v>3</v>
      </c>
      <c r="H40" s="114">
        <v>9491</v>
      </c>
      <c r="I40" s="65">
        <f t="shared" si="0"/>
        <v>28473</v>
      </c>
    </row>
    <row r="41" spans="1:9">
      <c r="A41" s="76">
        <v>32</v>
      </c>
      <c r="B41" s="77"/>
      <c r="C41" s="97" t="s">
        <v>60</v>
      </c>
      <c r="D41" s="98">
        <v>251</v>
      </c>
      <c r="E41" s="103" t="s">
        <v>205</v>
      </c>
      <c r="F41" s="104" t="s">
        <v>63</v>
      </c>
      <c r="G41" s="96">
        <v>6</v>
      </c>
      <c r="H41" s="114">
        <v>10621</v>
      </c>
      <c r="I41" s="65">
        <f t="shared" si="0"/>
        <v>63726</v>
      </c>
    </row>
    <row r="42" spans="1:9">
      <c r="A42" s="76">
        <v>33</v>
      </c>
      <c r="B42" s="77"/>
      <c r="C42" s="84" t="s">
        <v>60</v>
      </c>
      <c r="D42" s="94">
        <v>251</v>
      </c>
      <c r="E42" s="95" t="s">
        <v>211</v>
      </c>
      <c r="F42" s="104" t="s">
        <v>63</v>
      </c>
      <c r="G42" s="96">
        <v>1</v>
      </c>
      <c r="H42" s="114">
        <v>4920</v>
      </c>
      <c r="I42" s="65">
        <f t="shared" si="0"/>
        <v>4920</v>
      </c>
    </row>
    <row r="43" spans="1:9">
      <c r="A43" s="76">
        <v>34</v>
      </c>
      <c r="B43" s="77"/>
      <c r="C43" s="88" t="s">
        <v>60</v>
      </c>
      <c r="D43" s="99">
        <v>251</v>
      </c>
      <c r="E43" s="95" t="s">
        <v>261</v>
      </c>
      <c r="F43" s="104" t="s">
        <v>58</v>
      </c>
      <c r="G43" s="96">
        <v>1</v>
      </c>
      <c r="H43" s="109">
        <v>15503</v>
      </c>
      <c r="I43" s="65">
        <f t="shared" si="0"/>
        <v>15503</v>
      </c>
    </row>
    <row r="44" spans="1:9">
      <c r="A44" s="76">
        <v>35</v>
      </c>
      <c r="B44" s="77"/>
      <c r="C44" s="93" t="s">
        <v>60</v>
      </c>
      <c r="D44" s="94">
        <v>251</v>
      </c>
      <c r="E44" s="95" t="s">
        <v>102</v>
      </c>
      <c r="F44" s="104" t="s">
        <v>63</v>
      </c>
      <c r="G44" s="96">
        <v>2</v>
      </c>
      <c r="H44" s="109">
        <v>5050</v>
      </c>
      <c r="I44" s="65">
        <f t="shared" si="0"/>
        <v>10100</v>
      </c>
    </row>
    <row r="45" spans="1:9">
      <c r="A45" s="76">
        <v>36</v>
      </c>
      <c r="B45" s="77"/>
      <c r="C45" s="97" t="s">
        <v>60</v>
      </c>
      <c r="D45" s="98">
        <v>251</v>
      </c>
      <c r="E45" s="110" t="s">
        <v>103</v>
      </c>
      <c r="F45" s="104" t="s">
        <v>58</v>
      </c>
      <c r="G45" s="96">
        <v>1</v>
      </c>
      <c r="H45" s="111">
        <v>15611</v>
      </c>
      <c r="I45" s="65">
        <f t="shared" si="0"/>
        <v>15611</v>
      </c>
    </row>
    <row r="46" spans="1:9">
      <c r="A46" s="76">
        <v>37</v>
      </c>
      <c r="B46" s="77"/>
      <c r="C46" s="84" t="s">
        <v>60</v>
      </c>
      <c r="D46" s="94">
        <v>251</v>
      </c>
      <c r="E46" s="95" t="s">
        <v>104</v>
      </c>
      <c r="F46" s="104" t="s">
        <v>58</v>
      </c>
      <c r="G46" s="96">
        <v>1</v>
      </c>
      <c r="H46" s="111">
        <v>20282</v>
      </c>
      <c r="I46" s="65">
        <f t="shared" si="0"/>
        <v>20282</v>
      </c>
    </row>
    <row r="47" spans="1:9">
      <c r="A47" s="76">
        <v>38</v>
      </c>
      <c r="B47" s="77"/>
      <c r="C47" s="93" t="s">
        <v>60</v>
      </c>
      <c r="D47" s="94">
        <v>251</v>
      </c>
      <c r="E47" s="95" t="s">
        <v>105</v>
      </c>
      <c r="F47" s="104" t="s">
        <v>58</v>
      </c>
      <c r="G47" s="96">
        <v>1</v>
      </c>
      <c r="H47" s="111">
        <v>18627</v>
      </c>
      <c r="I47" s="65">
        <f t="shared" si="0"/>
        <v>18627</v>
      </c>
    </row>
    <row r="48" spans="1:9">
      <c r="A48" s="76">
        <v>39</v>
      </c>
      <c r="B48" s="77"/>
      <c r="C48" s="97" t="s">
        <v>60</v>
      </c>
      <c r="D48" s="94">
        <v>251</v>
      </c>
      <c r="E48" s="95" t="s">
        <v>106</v>
      </c>
      <c r="F48" s="104" t="s">
        <v>58</v>
      </c>
      <c r="G48" s="96">
        <v>1</v>
      </c>
      <c r="H48" s="111">
        <v>20282</v>
      </c>
      <c r="I48" s="65">
        <f t="shared" si="0"/>
        <v>20282</v>
      </c>
    </row>
    <row r="49" spans="1:9">
      <c r="A49" s="76">
        <v>40</v>
      </c>
      <c r="B49" s="77"/>
      <c r="C49" s="97" t="s">
        <v>60</v>
      </c>
      <c r="D49" s="94">
        <v>251</v>
      </c>
      <c r="E49" s="95" t="s">
        <v>107</v>
      </c>
      <c r="F49" s="104" t="s">
        <v>58</v>
      </c>
      <c r="G49" s="96">
        <v>1</v>
      </c>
      <c r="H49" s="111">
        <v>20282</v>
      </c>
      <c r="I49" s="65">
        <f t="shared" si="0"/>
        <v>20282</v>
      </c>
    </row>
    <row r="50" spans="1:9">
      <c r="A50" s="76">
        <v>41</v>
      </c>
      <c r="B50" s="77"/>
      <c r="C50" s="97" t="s">
        <v>60</v>
      </c>
      <c r="D50" s="98">
        <v>251</v>
      </c>
      <c r="E50" s="95" t="s">
        <v>108</v>
      </c>
      <c r="F50" s="104" t="s">
        <v>58</v>
      </c>
      <c r="G50" s="96">
        <v>1</v>
      </c>
      <c r="H50" s="111">
        <v>15611</v>
      </c>
      <c r="I50" s="65">
        <f t="shared" si="0"/>
        <v>15611</v>
      </c>
    </row>
    <row r="51" spans="1:9">
      <c r="A51" s="76">
        <v>42</v>
      </c>
      <c r="B51" s="77"/>
      <c r="C51" s="97" t="s">
        <v>60</v>
      </c>
      <c r="D51" s="98">
        <v>251</v>
      </c>
      <c r="E51" s="95" t="s">
        <v>109</v>
      </c>
      <c r="F51" s="104" t="s">
        <v>58</v>
      </c>
      <c r="G51" s="96">
        <v>1</v>
      </c>
      <c r="H51" s="109">
        <v>14996</v>
      </c>
      <c r="I51" s="65">
        <f t="shared" si="0"/>
        <v>14996</v>
      </c>
    </row>
    <row r="52" spans="1:9">
      <c r="A52" s="76">
        <v>43</v>
      </c>
      <c r="B52" s="77"/>
      <c r="C52" s="93" t="s">
        <v>60</v>
      </c>
      <c r="D52" s="94">
        <v>251</v>
      </c>
      <c r="E52" s="95" t="s">
        <v>110</v>
      </c>
      <c r="F52" s="104" t="s">
        <v>58</v>
      </c>
      <c r="G52" s="96">
        <v>1</v>
      </c>
      <c r="H52" s="109">
        <v>15611</v>
      </c>
      <c r="I52" s="65">
        <f t="shared" si="0"/>
        <v>15611</v>
      </c>
    </row>
    <row r="53" spans="1:9">
      <c r="A53" s="76">
        <v>44</v>
      </c>
      <c r="B53" s="77"/>
      <c r="C53" s="97" t="s">
        <v>60</v>
      </c>
      <c r="D53" s="94">
        <v>251</v>
      </c>
      <c r="E53" s="95" t="s">
        <v>111</v>
      </c>
      <c r="F53" s="104" t="s">
        <v>58</v>
      </c>
      <c r="G53" s="96">
        <v>1</v>
      </c>
      <c r="H53" s="111">
        <v>14350</v>
      </c>
      <c r="I53" s="65">
        <f t="shared" si="0"/>
        <v>14350</v>
      </c>
    </row>
    <row r="54" spans="1:9">
      <c r="A54" s="76">
        <v>45</v>
      </c>
      <c r="B54" s="77"/>
      <c r="C54" s="97" t="s">
        <v>60</v>
      </c>
      <c r="D54" s="94">
        <v>251</v>
      </c>
      <c r="E54" s="95" t="s">
        <v>112</v>
      </c>
      <c r="F54" s="104" t="s">
        <v>58</v>
      </c>
      <c r="G54" s="96">
        <v>1</v>
      </c>
      <c r="H54" s="109">
        <v>15611</v>
      </c>
      <c r="I54" s="65">
        <f t="shared" si="0"/>
        <v>15611</v>
      </c>
    </row>
    <row r="55" spans="1:9">
      <c r="A55" s="76">
        <v>46</v>
      </c>
      <c r="B55" s="77"/>
      <c r="C55" s="97" t="s">
        <v>60</v>
      </c>
      <c r="D55" s="98">
        <v>251</v>
      </c>
      <c r="E55" s="95" t="s">
        <v>113</v>
      </c>
      <c r="F55" s="104" t="s">
        <v>58</v>
      </c>
      <c r="G55" s="96">
        <v>1</v>
      </c>
      <c r="H55" s="109">
        <v>14996</v>
      </c>
      <c r="I55" s="65">
        <f t="shared" si="0"/>
        <v>14996</v>
      </c>
    </row>
    <row r="56" spans="1:9">
      <c r="A56" s="76">
        <v>47</v>
      </c>
      <c r="B56" s="77"/>
      <c r="C56" s="84" t="s">
        <v>60</v>
      </c>
      <c r="D56" s="94">
        <v>251</v>
      </c>
      <c r="E56" s="95" t="s">
        <v>114</v>
      </c>
      <c r="F56" s="104" t="s">
        <v>63</v>
      </c>
      <c r="G56" s="96">
        <v>1</v>
      </c>
      <c r="H56" s="109">
        <v>14996</v>
      </c>
      <c r="I56" s="65">
        <f t="shared" si="0"/>
        <v>14996</v>
      </c>
    </row>
    <row r="57" spans="1:9">
      <c r="A57" s="76">
        <v>48</v>
      </c>
      <c r="B57" s="77"/>
      <c r="C57" s="97" t="s">
        <v>60</v>
      </c>
      <c r="D57" s="94">
        <v>251</v>
      </c>
      <c r="E57" s="95" t="s">
        <v>115</v>
      </c>
      <c r="F57" s="104" t="s">
        <v>58</v>
      </c>
      <c r="G57" s="96">
        <v>1</v>
      </c>
      <c r="H57" s="109">
        <v>11686</v>
      </c>
      <c r="I57" s="65">
        <f t="shared" si="0"/>
        <v>11686</v>
      </c>
    </row>
    <row r="58" spans="1:9">
      <c r="A58" s="76">
        <v>49</v>
      </c>
      <c r="B58" s="77"/>
      <c r="C58" s="84" t="s">
        <v>60</v>
      </c>
      <c r="D58" s="94">
        <v>251</v>
      </c>
      <c r="E58" s="95" t="s">
        <v>237</v>
      </c>
      <c r="F58" s="104" t="s">
        <v>58</v>
      </c>
      <c r="G58" s="96">
        <v>5</v>
      </c>
      <c r="H58" s="114">
        <v>7932</v>
      </c>
      <c r="I58" s="65">
        <f t="shared" si="0"/>
        <v>39660</v>
      </c>
    </row>
    <row r="59" spans="1:9">
      <c r="A59" s="76">
        <v>50</v>
      </c>
      <c r="B59" s="77"/>
      <c r="C59" s="88" t="s">
        <v>60</v>
      </c>
      <c r="D59" s="99">
        <v>251</v>
      </c>
      <c r="E59" s="95" t="s">
        <v>116</v>
      </c>
      <c r="F59" s="104" t="s">
        <v>58</v>
      </c>
      <c r="G59" s="96">
        <v>1</v>
      </c>
      <c r="H59" s="109">
        <v>26264</v>
      </c>
      <c r="I59" s="65">
        <f t="shared" si="0"/>
        <v>26264</v>
      </c>
    </row>
    <row r="60" spans="1:9">
      <c r="A60" s="76">
        <v>51</v>
      </c>
      <c r="B60" s="77"/>
      <c r="C60" s="93" t="s">
        <v>60</v>
      </c>
      <c r="D60" s="94">
        <v>251</v>
      </c>
      <c r="E60" s="95" t="s">
        <v>117</v>
      </c>
      <c r="F60" s="104" t="s">
        <v>58</v>
      </c>
      <c r="G60" s="96">
        <v>1</v>
      </c>
      <c r="H60" s="109">
        <v>43337</v>
      </c>
      <c r="I60" s="65">
        <f t="shared" si="0"/>
        <v>43337</v>
      </c>
    </row>
    <row r="61" spans="1:9">
      <c r="A61" s="76">
        <v>52</v>
      </c>
      <c r="B61" s="77"/>
      <c r="C61" s="84" t="s">
        <v>60</v>
      </c>
      <c r="D61" s="94">
        <v>251</v>
      </c>
      <c r="E61" s="105" t="s">
        <v>250</v>
      </c>
      <c r="F61" s="104" t="s">
        <v>58</v>
      </c>
      <c r="G61" s="119">
        <v>1</v>
      </c>
      <c r="H61" s="114">
        <v>9735</v>
      </c>
      <c r="I61" s="65">
        <f t="shared" si="0"/>
        <v>9735</v>
      </c>
    </row>
    <row r="62" spans="1:9">
      <c r="A62" s="76">
        <v>53</v>
      </c>
      <c r="B62" s="77"/>
      <c r="C62" s="97" t="s">
        <v>60</v>
      </c>
      <c r="D62" s="98">
        <v>251</v>
      </c>
      <c r="E62" s="95" t="s">
        <v>118</v>
      </c>
      <c r="F62" s="104" t="s">
        <v>58</v>
      </c>
      <c r="G62" s="96">
        <v>1</v>
      </c>
      <c r="H62" s="109">
        <v>28784</v>
      </c>
      <c r="I62" s="65">
        <f t="shared" si="0"/>
        <v>28784</v>
      </c>
    </row>
    <row r="63" spans="1:9">
      <c r="A63" s="76">
        <v>54</v>
      </c>
      <c r="B63" s="77"/>
      <c r="C63" s="84" t="s">
        <v>60</v>
      </c>
      <c r="D63" s="94">
        <v>251</v>
      </c>
      <c r="E63" s="103" t="s">
        <v>289</v>
      </c>
      <c r="F63" s="104" t="s">
        <v>58</v>
      </c>
      <c r="G63" s="96">
        <v>3</v>
      </c>
      <c r="H63" s="117">
        <v>13623</v>
      </c>
      <c r="I63" s="65">
        <f t="shared" si="0"/>
        <v>40869</v>
      </c>
    </row>
    <row r="64" spans="1:9">
      <c r="A64" s="76">
        <v>55</v>
      </c>
      <c r="B64" s="77"/>
      <c r="C64" s="84" t="s">
        <v>60</v>
      </c>
      <c r="D64" s="94">
        <v>251</v>
      </c>
      <c r="E64" s="103" t="s">
        <v>290</v>
      </c>
      <c r="F64" s="104" t="s">
        <v>58</v>
      </c>
      <c r="G64" s="96">
        <v>2</v>
      </c>
      <c r="H64" s="117">
        <v>14470</v>
      </c>
      <c r="I64" s="65">
        <f t="shared" si="0"/>
        <v>28940</v>
      </c>
    </row>
    <row r="65" spans="1:9">
      <c r="A65" s="76">
        <v>56</v>
      </c>
      <c r="B65" s="77"/>
      <c r="C65" s="84" t="s">
        <v>60</v>
      </c>
      <c r="D65" s="94">
        <v>251</v>
      </c>
      <c r="E65" s="95" t="s">
        <v>119</v>
      </c>
      <c r="F65" s="104" t="s">
        <v>76</v>
      </c>
      <c r="G65" s="96">
        <v>12</v>
      </c>
      <c r="H65" s="109">
        <v>1600</v>
      </c>
      <c r="I65" s="65">
        <f t="shared" si="0"/>
        <v>19200</v>
      </c>
    </row>
    <row r="66" spans="1:9">
      <c r="A66" s="76">
        <v>57</v>
      </c>
      <c r="B66" s="77"/>
      <c r="C66" s="93" t="s">
        <v>60</v>
      </c>
      <c r="D66" s="94">
        <v>251</v>
      </c>
      <c r="E66" s="95" t="s">
        <v>120</v>
      </c>
      <c r="F66" s="104" t="s">
        <v>58</v>
      </c>
      <c r="G66" s="96">
        <v>3</v>
      </c>
      <c r="H66" s="109">
        <v>11672</v>
      </c>
      <c r="I66" s="65">
        <f t="shared" si="0"/>
        <v>35016</v>
      </c>
    </row>
    <row r="67" spans="1:9">
      <c r="A67" s="76">
        <v>58</v>
      </c>
      <c r="B67" s="77"/>
      <c r="C67" s="97" t="s">
        <v>60</v>
      </c>
      <c r="D67" s="94">
        <v>251</v>
      </c>
      <c r="E67" s="95" t="s">
        <v>121</v>
      </c>
      <c r="F67" s="104" t="s">
        <v>58</v>
      </c>
      <c r="G67" s="96">
        <v>3</v>
      </c>
      <c r="H67" s="109">
        <v>1800</v>
      </c>
      <c r="I67" s="65">
        <f t="shared" si="0"/>
        <v>5400</v>
      </c>
    </row>
    <row r="68" spans="1:9">
      <c r="A68" s="76">
        <v>59</v>
      </c>
      <c r="B68" s="77"/>
      <c r="C68" s="97" t="s">
        <v>60</v>
      </c>
      <c r="D68" s="94">
        <v>251</v>
      </c>
      <c r="E68" s="95" t="s">
        <v>122</v>
      </c>
      <c r="F68" s="104" t="s">
        <v>58</v>
      </c>
      <c r="G68" s="96">
        <v>1</v>
      </c>
      <c r="H68" s="109">
        <v>30652</v>
      </c>
      <c r="I68" s="65">
        <f t="shared" si="0"/>
        <v>30652</v>
      </c>
    </row>
    <row r="69" spans="1:9">
      <c r="A69" s="76">
        <v>60</v>
      </c>
      <c r="B69" s="77"/>
      <c r="C69" s="84" t="s">
        <v>60</v>
      </c>
      <c r="D69" s="94">
        <v>251</v>
      </c>
      <c r="E69" s="118" t="s">
        <v>244</v>
      </c>
      <c r="F69" s="104" t="s">
        <v>63</v>
      </c>
      <c r="G69" s="89">
        <v>1</v>
      </c>
      <c r="H69" s="114">
        <v>4204</v>
      </c>
      <c r="I69" s="65">
        <f t="shared" si="0"/>
        <v>4204</v>
      </c>
    </row>
    <row r="70" spans="1:9">
      <c r="A70" s="76">
        <v>61</v>
      </c>
      <c r="B70" s="77"/>
      <c r="C70" s="97" t="s">
        <v>60</v>
      </c>
      <c r="D70" s="98">
        <v>251</v>
      </c>
      <c r="E70" s="100" t="s">
        <v>123</v>
      </c>
      <c r="F70" s="112" t="s">
        <v>63</v>
      </c>
      <c r="G70" s="96">
        <v>1</v>
      </c>
      <c r="H70" s="113">
        <v>6358</v>
      </c>
      <c r="I70" s="65">
        <f t="shared" si="0"/>
        <v>6358</v>
      </c>
    </row>
    <row r="71" spans="1:9">
      <c r="A71" s="76">
        <v>62</v>
      </c>
      <c r="B71" s="77"/>
      <c r="C71" s="97" t="s">
        <v>60</v>
      </c>
      <c r="D71" s="98">
        <v>251</v>
      </c>
      <c r="E71" s="100" t="s">
        <v>262</v>
      </c>
      <c r="F71" s="112" t="s">
        <v>58</v>
      </c>
      <c r="G71" s="101">
        <v>1</v>
      </c>
      <c r="H71" s="113">
        <v>15503</v>
      </c>
      <c r="I71" s="65">
        <f t="shared" si="0"/>
        <v>15503</v>
      </c>
    </row>
    <row r="72" spans="1:9">
      <c r="A72" s="76">
        <v>63</v>
      </c>
      <c r="B72" s="77"/>
      <c r="C72" s="93" t="s">
        <v>60</v>
      </c>
      <c r="D72" s="94">
        <v>251</v>
      </c>
      <c r="E72" s="100" t="s">
        <v>124</v>
      </c>
      <c r="F72" s="112" t="s">
        <v>58</v>
      </c>
      <c r="G72" s="101">
        <v>6</v>
      </c>
      <c r="H72" s="113">
        <v>12493</v>
      </c>
      <c r="I72" s="65">
        <f t="shared" si="0"/>
        <v>74958</v>
      </c>
    </row>
    <row r="73" spans="1:9">
      <c r="A73" s="76">
        <v>64</v>
      </c>
      <c r="B73" s="77"/>
      <c r="C73" s="97" t="s">
        <v>60</v>
      </c>
      <c r="D73" s="94">
        <v>251</v>
      </c>
      <c r="E73" s="100" t="s">
        <v>307</v>
      </c>
      <c r="F73" s="112" t="s">
        <v>58</v>
      </c>
      <c r="G73" s="101">
        <v>2</v>
      </c>
      <c r="H73" s="113">
        <v>2121</v>
      </c>
      <c r="I73" s="65">
        <f t="shared" si="0"/>
        <v>4242</v>
      </c>
    </row>
    <row r="74" spans="1:9">
      <c r="A74" s="76">
        <v>65</v>
      </c>
      <c r="B74" s="77"/>
      <c r="C74" s="84" t="s">
        <v>60</v>
      </c>
      <c r="D74" s="94">
        <v>251</v>
      </c>
      <c r="E74" s="105" t="s">
        <v>242</v>
      </c>
      <c r="F74" s="104" t="s">
        <v>63</v>
      </c>
      <c r="G74" s="89">
        <v>5</v>
      </c>
      <c r="H74" s="114">
        <v>5050</v>
      </c>
      <c r="I74" s="65">
        <f t="shared" si="0"/>
        <v>25250</v>
      </c>
    </row>
    <row r="75" spans="1:9">
      <c r="A75" s="76">
        <v>66</v>
      </c>
      <c r="B75" s="77"/>
      <c r="C75" s="84" t="s">
        <v>60</v>
      </c>
      <c r="D75" s="94">
        <v>251</v>
      </c>
      <c r="E75" s="105" t="s">
        <v>245</v>
      </c>
      <c r="F75" s="104" t="s">
        <v>63</v>
      </c>
      <c r="G75" s="89">
        <v>1</v>
      </c>
      <c r="H75" s="114">
        <v>22148</v>
      </c>
      <c r="I75" s="65">
        <f t="shared" si="0"/>
        <v>22148</v>
      </c>
    </row>
    <row r="76" spans="1:9">
      <c r="A76" s="76">
        <v>67</v>
      </c>
      <c r="B76" s="77"/>
      <c r="C76" s="97" t="s">
        <v>60</v>
      </c>
      <c r="D76" s="94">
        <v>251</v>
      </c>
      <c r="E76" s="100" t="s">
        <v>125</v>
      </c>
      <c r="F76" s="112" t="s">
        <v>63</v>
      </c>
      <c r="G76" s="101">
        <v>2</v>
      </c>
      <c r="H76" s="113">
        <v>19934</v>
      </c>
      <c r="I76" s="65">
        <f t="shared" ref="I76:I87" si="1">G76*H76</f>
        <v>39868</v>
      </c>
    </row>
    <row r="77" spans="1:9">
      <c r="A77" s="76">
        <v>68</v>
      </c>
      <c r="B77" s="77"/>
      <c r="C77" s="97" t="s">
        <v>60</v>
      </c>
      <c r="D77" s="94">
        <v>251</v>
      </c>
      <c r="E77" s="116" t="s">
        <v>208</v>
      </c>
      <c r="F77" s="104" t="s">
        <v>58</v>
      </c>
      <c r="G77" s="96">
        <v>1</v>
      </c>
      <c r="H77" s="114">
        <v>26023</v>
      </c>
      <c r="I77" s="65">
        <f t="shared" si="1"/>
        <v>26023</v>
      </c>
    </row>
    <row r="78" spans="1:9">
      <c r="A78" s="76">
        <v>69</v>
      </c>
      <c r="B78" s="77"/>
      <c r="C78" s="97" t="s">
        <v>60</v>
      </c>
      <c r="D78" s="94">
        <v>251</v>
      </c>
      <c r="E78" s="116" t="s">
        <v>209</v>
      </c>
      <c r="F78" s="104" t="s">
        <v>58</v>
      </c>
      <c r="G78" s="96">
        <v>1</v>
      </c>
      <c r="H78" s="114">
        <v>26023</v>
      </c>
      <c r="I78" s="65">
        <f t="shared" si="1"/>
        <v>26023</v>
      </c>
    </row>
    <row r="79" spans="1:9">
      <c r="A79" s="76">
        <v>70</v>
      </c>
      <c r="B79" s="77"/>
      <c r="C79" s="97" t="s">
        <v>60</v>
      </c>
      <c r="D79" s="98">
        <v>251</v>
      </c>
      <c r="E79" s="116" t="s">
        <v>210</v>
      </c>
      <c r="F79" s="104" t="s">
        <v>58</v>
      </c>
      <c r="G79" s="96">
        <v>1</v>
      </c>
      <c r="H79" s="114">
        <v>26023</v>
      </c>
      <c r="I79" s="65">
        <f t="shared" si="1"/>
        <v>26023</v>
      </c>
    </row>
    <row r="80" spans="1:9">
      <c r="A80" s="76">
        <v>71</v>
      </c>
      <c r="B80" s="77"/>
      <c r="C80" s="97" t="s">
        <v>60</v>
      </c>
      <c r="D80" s="98">
        <v>251</v>
      </c>
      <c r="E80" s="100" t="s">
        <v>89</v>
      </c>
      <c r="F80" s="112" t="s">
        <v>58</v>
      </c>
      <c r="G80" s="101">
        <v>2</v>
      </c>
      <c r="H80" s="113">
        <v>6542</v>
      </c>
      <c r="I80" s="65">
        <f t="shared" si="1"/>
        <v>13084</v>
      </c>
    </row>
    <row r="81" spans="1:9">
      <c r="A81" s="76">
        <v>72</v>
      </c>
      <c r="B81" s="77"/>
      <c r="C81" s="84" t="s">
        <v>60</v>
      </c>
      <c r="D81" s="94">
        <v>251</v>
      </c>
      <c r="E81" s="105" t="s">
        <v>241</v>
      </c>
      <c r="F81" s="104" t="s">
        <v>58</v>
      </c>
      <c r="G81" s="89">
        <v>5</v>
      </c>
      <c r="H81" s="114">
        <v>70888</v>
      </c>
      <c r="I81" s="65">
        <f t="shared" si="1"/>
        <v>354440</v>
      </c>
    </row>
    <row r="82" spans="1:9">
      <c r="A82" s="76">
        <v>73</v>
      </c>
      <c r="B82" s="77"/>
      <c r="C82" s="84" t="s">
        <v>60</v>
      </c>
      <c r="D82" s="94">
        <v>251</v>
      </c>
      <c r="E82" s="100" t="s">
        <v>126</v>
      </c>
      <c r="F82" s="112" t="s">
        <v>78</v>
      </c>
      <c r="G82" s="101">
        <v>1</v>
      </c>
      <c r="H82" s="113">
        <v>7491</v>
      </c>
      <c r="I82" s="65">
        <f t="shared" si="1"/>
        <v>7491</v>
      </c>
    </row>
    <row r="83" spans="1:9">
      <c r="A83" s="76">
        <v>74</v>
      </c>
      <c r="B83" s="77"/>
      <c r="C83" s="97" t="s">
        <v>60</v>
      </c>
      <c r="D83" s="94">
        <v>251</v>
      </c>
      <c r="E83" s="100" t="s">
        <v>127</v>
      </c>
      <c r="F83" s="112" t="s">
        <v>78</v>
      </c>
      <c r="G83" s="101">
        <v>1</v>
      </c>
      <c r="H83" s="113">
        <v>7491</v>
      </c>
      <c r="I83" s="65">
        <f t="shared" si="1"/>
        <v>7491</v>
      </c>
    </row>
    <row r="84" spans="1:9">
      <c r="A84" s="76">
        <v>75</v>
      </c>
      <c r="B84" s="77"/>
      <c r="C84" s="88" t="s">
        <v>60</v>
      </c>
      <c r="D84" s="99">
        <v>251</v>
      </c>
      <c r="E84" s="100" t="s">
        <v>128</v>
      </c>
      <c r="F84" s="112" t="s">
        <v>78</v>
      </c>
      <c r="G84" s="101">
        <v>1</v>
      </c>
      <c r="H84" s="113">
        <v>7491</v>
      </c>
      <c r="I84" s="65">
        <f t="shared" si="1"/>
        <v>7491</v>
      </c>
    </row>
    <row r="85" spans="1:9">
      <c r="A85" s="76">
        <v>76</v>
      </c>
      <c r="B85" s="77"/>
      <c r="C85" s="93" t="s">
        <v>60</v>
      </c>
      <c r="D85" s="94">
        <v>251</v>
      </c>
      <c r="E85" s="100" t="s">
        <v>129</v>
      </c>
      <c r="F85" s="112" t="s">
        <v>78</v>
      </c>
      <c r="G85" s="101">
        <v>1</v>
      </c>
      <c r="H85" s="113">
        <v>5414</v>
      </c>
      <c r="I85" s="65">
        <f t="shared" si="1"/>
        <v>5414</v>
      </c>
    </row>
    <row r="86" spans="1:9">
      <c r="A86" s="76">
        <v>77</v>
      </c>
      <c r="B86" s="77"/>
      <c r="C86" s="97" t="s">
        <v>60</v>
      </c>
      <c r="D86" s="98">
        <v>251</v>
      </c>
      <c r="E86" s="100" t="s">
        <v>130</v>
      </c>
      <c r="F86" s="112" t="s">
        <v>78</v>
      </c>
      <c r="G86" s="101">
        <v>1</v>
      </c>
      <c r="H86" s="113">
        <v>8500</v>
      </c>
      <c r="I86" s="65">
        <f t="shared" si="1"/>
        <v>8500</v>
      </c>
    </row>
    <row r="87" spans="1:9">
      <c r="A87" s="76">
        <v>78</v>
      </c>
      <c r="B87" s="77"/>
      <c r="C87" s="84" t="s">
        <v>60</v>
      </c>
      <c r="D87" s="94">
        <v>251</v>
      </c>
      <c r="E87" s="100" t="s">
        <v>131</v>
      </c>
      <c r="F87" s="112" t="s">
        <v>78</v>
      </c>
      <c r="G87" s="101">
        <v>1</v>
      </c>
      <c r="H87" s="113">
        <v>8000</v>
      </c>
      <c r="I87" s="65">
        <f t="shared" si="1"/>
        <v>8000</v>
      </c>
    </row>
    <row r="88" spans="1:9">
      <c r="A88" s="76">
        <v>79</v>
      </c>
      <c r="B88" s="82"/>
      <c r="C88" s="93" t="s">
        <v>60</v>
      </c>
      <c r="D88" s="94">
        <v>251</v>
      </c>
      <c r="E88" s="100" t="s">
        <v>132</v>
      </c>
      <c r="F88" s="112" t="s">
        <v>78</v>
      </c>
      <c r="G88" s="101">
        <v>1</v>
      </c>
      <c r="H88" s="113">
        <v>8156</v>
      </c>
      <c r="I88" s="83">
        <f>G88*H88</f>
        <v>8156</v>
      </c>
    </row>
    <row r="89" spans="1:9">
      <c r="A89" s="76">
        <v>80</v>
      </c>
      <c r="B89" s="77"/>
      <c r="C89" s="97" t="s">
        <v>60</v>
      </c>
      <c r="D89" s="94">
        <v>251</v>
      </c>
      <c r="E89" s="100" t="s">
        <v>133</v>
      </c>
      <c r="F89" s="112" t="s">
        <v>78</v>
      </c>
      <c r="G89" s="101">
        <v>1</v>
      </c>
      <c r="H89" s="113">
        <v>8156</v>
      </c>
      <c r="I89" s="65">
        <f>G89*H89</f>
        <v>8156</v>
      </c>
    </row>
    <row r="90" spans="1:9" ht="13.5" customHeight="1">
      <c r="A90" s="76">
        <v>81</v>
      </c>
      <c r="B90" s="77"/>
      <c r="C90" s="97" t="s">
        <v>60</v>
      </c>
      <c r="D90" s="94">
        <v>251</v>
      </c>
      <c r="E90" s="100" t="s">
        <v>66</v>
      </c>
      <c r="F90" s="112" t="s">
        <v>63</v>
      </c>
      <c r="G90" s="101">
        <v>2</v>
      </c>
      <c r="H90" s="113">
        <v>21413</v>
      </c>
      <c r="I90" s="65">
        <f t="shared" ref="I90:I98" si="2">G90*H90</f>
        <v>42826</v>
      </c>
    </row>
    <row r="91" spans="1:9" ht="25.5" customHeight="1">
      <c r="A91" s="76">
        <v>82</v>
      </c>
      <c r="B91" s="77"/>
      <c r="C91" s="97" t="s">
        <v>60</v>
      </c>
      <c r="D91" s="98">
        <v>251</v>
      </c>
      <c r="E91" s="100" t="s">
        <v>134</v>
      </c>
      <c r="F91" s="112" t="s">
        <v>63</v>
      </c>
      <c r="G91" s="101">
        <v>8</v>
      </c>
      <c r="H91" s="113">
        <v>5539</v>
      </c>
      <c r="I91" s="65">
        <f t="shared" si="2"/>
        <v>44312</v>
      </c>
    </row>
    <row r="92" spans="1:9" ht="13.5" customHeight="1">
      <c r="A92" s="76">
        <v>83</v>
      </c>
      <c r="B92" s="77"/>
      <c r="C92" s="84" t="s">
        <v>60</v>
      </c>
      <c r="D92" s="94">
        <v>251</v>
      </c>
      <c r="E92" s="100" t="s">
        <v>263</v>
      </c>
      <c r="F92" s="112" t="s">
        <v>78</v>
      </c>
      <c r="G92" s="102">
        <v>1</v>
      </c>
      <c r="H92" s="113">
        <v>41702</v>
      </c>
      <c r="I92" s="65">
        <f t="shared" si="2"/>
        <v>41702</v>
      </c>
    </row>
    <row r="93" spans="1:9">
      <c r="A93" s="76">
        <v>84</v>
      </c>
      <c r="B93" s="77"/>
      <c r="C93" s="97" t="s">
        <v>60</v>
      </c>
      <c r="D93" s="94">
        <v>251</v>
      </c>
      <c r="E93" s="95" t="s">
        <v>212</v>
      </c>
      <c r="F93" s="104" t="s">
        <v>63</v>
      </c>
      <c r="G93" s="96">
        <v>6</v>
      </c>
      <c r="H93" s="114">
        <v>45648</v>
      </c>
      <c r="I93" s="65">
        <f t="shared" si="2"/>
        <v>273888</v>
      </c>
    </row>
    <row r="94" spans="1:9" ht="12" customHeight="1">
      <c r="A94" s="76">
        <v>85</v>
      </c>
      <c r="B94" s="77"/>
      <c r="C94" s="97" t="s">
        <v>60</v>
      </c>
      <c r="D94" s="94">
        <v>251</v>
      </c>
      <c r="E94" s="100" t="s">
        <v>135</v>
      </c>
      <c r="F94" s="112" t="s">
        <v>84</v>
      </c>
      <c r="G94" s="102">
        <v>1</v>
      </c>
      <c r="H94" s="113">
        <v>6000</v>
      </c>
      <c r="I94" s="65">
        <f t="shared" si="2"/>
        <v>6000</v>
      </c>
    </row>
    <row r="95" spans="1:9" ht="24">
      <c r="A95" s="76">
        <v>86</v>
      </c>
      <c r="B95" s="77"/>
      <c r="C95" s="84" t="s">
        <v>60</v>
      </c>
      <c r="D95" s="94">
        <v>251</v>
      </c>
      <c r="E95" s="105" t="s">
        <v>229</v>
      </c>
      <c r="F95" s="104" t="s">
        <v>58</v>
      </c>
      <c r="G95" s="96">
        <v>5</v>
      </c>
      <c r="H95" s="114">
        <v>2566.12</v>
      </c>
      <c r="I95" s="65">
        <f t="shared" si="2"/>
        <v>12830.599999999999</v>
      </c>
    </row>
    <row r="96" spans="1:9">
      <c r="A96" s="76">
        <v>87</v>
      </c>
      <c r="B96" s="77"/>
      <c r="C96" s="88" t="s">
        <v>60</v>
      </c>
      <c r="D96" s="99">
        <v>251</v>
      </c>
      <c r="E96" s="100" t="s">
        <v>86</v>
      </c>
      <c r="F96" s="112" t="s">
        <v>58</v>
      </c>
      <c r="G96" s="102">
        <v>10</v>
      </c>
      <c r="H96" s="113">
        <v>5853</v>
      </c>
      <c r="I96" s="65">
        <f t="shared" si="2"/>
        <v>58530</v>
      </c>
    </row>
    <row r="97" spans="1:9" ht="24">
      <c r="A97" s="76">
        <v>88</v>
      </c>
      <c r="B97" s="77"/>
      <c r="C97" s="93" t="s">
        <v>60</v>
      </c>
      <c r="D97" s="94">
        <v>251</v>
      </c>
      <c r="E97" s="100" t="s">
        <v>136</v>
      </c>
      <c r="F97" s="112" t="s">
        <v>58</v>
      </c>
      <c r="G97" s="102">
        <v>10</v>
      </c>
      <c r="H97" s="113">
        <v>6345</v>
      </c>
      <c r="I97" s="65">
        <f t="shared" si="2"/>
        <v>63450</v>
      </c>
    </row>
    <row r="98" spans="1:9">
      <c r="A98" s="76">
        <v>89</v>
      </c>
      <c r="B98" s="77"/>
      <c r="C98" s="97" t="s">
        <v>60</v>
      </c>
      <c r="D98" s="98">
        <v>251</v>
      </c>
      <c r="E98" s="100" t="s">
        <v>308</v>
      </c>
      <c r="F98" s="112" t="s">
        <v>58</v>
      </c>
      <c r="G98" s="102">
        <v>3</v>
      </c>
      <c r="H98" s="113">
        <v>21254</v>
      </c>
      <c r="I98" s="65">
        <f t="shared" si="2"/>
        <v>63762</v>
      </c>
    </row>
    <row r="99" spans="1:9">
      <c r="A99" s="76">
        <v>90</v>
      </c>
      <c r="B99" s="77"/>
      <c r="C99" s="84" t="s">
        <v>60</v>
      </c>
      <c r="D99" s="94">
        <v>251</v>
      </c>
      <c r="E99" s="105" t="s">
        <v>236</v>
      </c>
      <c r="F99" s="104" t="s">
        <v>58</v>
      </c>
      <c r="G99" s="96">
        <v>1</v>
      </c>
      <c r="H99" s="114">
        <v>24117</v>
      </c>
      <c r="I99" s="65">
        <f>G99*H99</f>
        <v>24117</v>
      </c>
    </row>
    <row r="100" spans="1:9">
      <c r="A100" s="76">
        <v>91</v>
      </c>
      <c r="B100" s="77"/>
      <c r="C100" s="84" t="s">
        <v>60</v>
      </c>
      <c r="D100" s="94">
        <v>251</v>
      </c>
      <c r="E100" s="95" t="s">
        <v>217</v>
      </c>
      <c r="F100" s="104" t="s">
        <v>63</v>
      </c>
      <c r="G100" s="96">
        <v>1</v>
      </c>
      <c r="H100" s="114">
        <v>91773</v>
      </c>
      <c r="I100" s="65">
        <f t="shared" ref="I100:I160" si="3">G100*H100</f>
        <v>91773</v>
      </c>
    </row>
    <row r="101" spans="1:9">
      <c r="A101" s="76">
        <v>92</v>
      </c>
      <c r="B101" s="77"/>
      <c r="C101" s="84" t="s">
        <v>60</v>
      </c>
      <c r="D101" s="94">
        <v>251</v>
      </c>
      <c r="E101" s="100" t="s">
        <v>137</v>
      </c>
      <c r="F101" s="112" t="s">
        <v>78</v>
      </c>
      <c r="G101" s="102">
        <v>1</v>
      </c>
      <c r="H101" s="113">
        <v>532.4</v>
      </c>
      <c r="I101" s="65">
        <f t="shared" si="3"/>
        <v>532.4</v>
      </c>
    </row>
    <row r="102" spans="1:9" ht="24">
      <c r="A102" s="76">
        <v>93</v>
      </c>
      <c r="B102" s="77"/>
      <c r="C102" s="93" t="s">
        <v>60</v>
      </c>
      <c r="D102" s="94">
        <v>251</v>
      </c>
      <c r="E102" s="105" t="s">
        <v>230</v>
      </c>
      <c r="F102" s="104" t="s">
        <v>78</v>
      </c>
      <c r="G102" s="89">
        <v>3</v>
      </c>
      <c r="H102" s="114">
        <v>790.49</v>
      </c>
      <c r="I102" s="65">
        <f t="shared" si="3"/>
        <v>2371.4700000000003</v>
      </c>
    </row>
    <row r="103" spans="1:9" ht="24">
      <c r="A103" s="76">
        <v>94</v>
      </c>
      <c r="B103" s="77"/>
      <c r="C103" s="97" t="s">
        <v>60</v>
      </c>
      <c r="D103" s="94">
        <v>251</v>
      </c>
      <c r="E103" s="100" t="s">
        <v>138</v>
      </c>
      <c r="F103" s="112" t="s">
        <v>78</v>
      </c>
      <c r="G103" s="102">
        <v>5</v>
      </c>
      <c r="H103" s="113">
        <v>532.4</v>
      </c>
      <c r="I103" s="65">
        <f t="shared" si="3"/>
        <v>2662</v>
      </c>
    </row>
    <row r="104" spans="1:9">
      <c r="A104" s="76">
        <v>95</v>
      </c>
      <c r="B104" s="77"/>
      <c r="C104" s="84" t="s">
        <v>60</v>
      </c>
      <c r="D104" s="94">
        <v>251</v>
      </c>
      <c r="E104" s="95" t="s">
        <v>264</v>
      </c>
      <c r="F104" s="104" t="s">
        <v>78</v>
      </c>
      <c r="G104" s="102">
        <v>1</v>
      </c>
      <c r="H104" s="114">
        <v>532.4</v>
      </c>
      <c r="I104" s="65">
        <f t="shared" si="3"/>
        <v>532.4</v>
      </c>
    </row>
    <row r="105" spans="1:9" ht="24">
      <c r="A105" s="76">
        <v>96</v>
      </c>
      <c r="B105" s="77"/>
      <c r="C105" s="93" t="s">
        <v>60</v>
      </c>
      <c r="D105" s="94">
        <v>251</v>
      </c>
      <c r="E105" s="95" t="s">
        <v>265</v>
      </c>
      <c r="F105" s="104" t="s">
        <v>78</v>
      </c>
      <c r="G105" s="96">
        <v>1</v>
      </c>
      <c r="H105" s="114">
        <v>650</v>
      </c>
      <c r="I105" s="65">
        <f t="shared" si="3"/>
        <v>650</v>
      </c>
    </row>
    <row r="106" spans="1:9">
      <c r="A106" s="76">
        <v>97</v>
      </c>
      <c r="B106" s="77"/>
      <c r="C106" s="97" t="s">
        <v>60</v>
      </c>
      <c r="D106" s="94">
        <v>251</v>
      </c>
      <c r="E106" s="95" t="s">
        <v>266</v>
      </c>
      <c r="F106" s="104" t="s">
        <v>78</v>
      </c>
      <c r="G106" s="96">
        <v>1</v>
      </c>
      <c r="H106" s="114">
        <v>810.7</v>
      </c>
      <c r="I106" s="65">
        <f t="shared" si="3"/>
        <v>810.7</v>
      </c>
    </row>
    <row r="107" spans="1:9" ht="24">
      <c r="A107" s="76">
        <v>98</v>
      </c>
      <c r="B107" s="77"/>
      <c r="C107" s="97" t="s">
        <v>60</v>
      </c>
      <c r="D107" s="94">
        <v>251</v>
      </c>
      <c r="E107" s="95" t="s">
        <v>139</v>
      </c>
      <c r="F107" s="104" t="s">
        <v>78</v>
      </c>
      <c r="G107" s="96">
        <v>2</v>
      </c>
      <c r="H107" s="111">
        <v>532.4</v>
      </c>
      <c r="I107" s="65">
        <f t="shared" si="3"/>
        <v>1064.8</v>
      </c>
    </row>
    <row r="108" spans="1:9">
      <c r="A108" s="76">
        <v>99</v>
      </c>
      <c r="B108" s="77"/>
      <c r="C108" s="97" t="s">
        <v>60</v>
      </c>
      <c r="D108" s="94">
        <v>251</v>
      </c>
      <c r="E108" s="105" t="s">
        <v>231</v>
      </c>
      <c r="F108" s="104" t="s">
        <v>78</v>
      </c>
      <c r="G108" s="96">
        <v>1</v>
      </c>
      <c r="H108" s="114">
        <v>790.49</v>
      </c>
      <c r="I108" s="65">
        <f t="shared" si="3"/>
        <v>790.49</v>
      </c>
    </row>
    <row r="109" spans="1:9" ht="24">
      <c r="A109" s="76">
        <v>100</v>
      </c>
      <c r="B109" s="77"/>
      <c r="C109" s="97" t="s">
        <v>60</v>
      </c>
      <c r="D109" s="98">
        <v>251</v>
      </c>
      <c r="E109" s="95" t="s">
        <v>140</v>
      </c>
      <c r="F109" s="104" t="s">
        <v>78</v>
      </c>
      <c r="G109" s="96">
        <v>1</v>
      </c>
      <c r="H109" s="111">
        <v>532.4</v>
      </c>
      <c r="I109" s="65">
        <f t="shared" si="3"/>
        <v>532.4</v>
      </c>
    </row>
    <row r="110" spans="1:9">
      <c r="A110" s="76">
        <v>101</v>
      </c>
      <c r="B110" s="77"/>
      <c r="C110" s="84" t="s">
        <v>60</v>
      </c>
      <c r="D110" s="94">
        <v>251</v>
      </c>
      <c r="E110" s="95" t="s">
        <v>141</v>
      </c>
      <c r="F110" s="104" t="s">
        <v>78</v>
      </c>
      <c r="G110" s="96">
        <v>2</v>
      </c>
      <c r="H110" s="111">
        <v>1350</v>
      </c>
      <c r="I110" s="65">
        <f t="shared" si="3"/>
        <v>2700</v>
      </c>
    </row>
    <row r="111" spans="1:9">
      <c r="A111" s="76">
        <v>102</v>
      </c>
      <c r="B111" s="77"/>
      <c r="C111" s="97" t="s">
        <v>60</v>
      </c>
      <c r="D111" s="94">
        <v>251</v>
      </c>
      <c r="E111" s="95" t="s">
        <v>142</v>
      </c>
      <c r="F111" s="104" t="s">
        <v>78</v>
      </c>
      <c r="G111" s="96">
        <v>1</v>
      </c>
      <c r="H111" s="111">
        <v>3194.4</v>
      </c>
      <c r="I111" s="65">
        <f t="shared" si="3"/>
        <v>3194.4</v>
      </c>
    </row>
    <row r="112" spans="1:9">
      <c r="A112" s="76">
        <v>103</v>
      </c>
      <c r="B112" s="77"/>
      <c r="C112" s="88" t="s">
        <v>60</v>
      </c>
      <c r="D112" s="99">
        <v>251</v>
      </c>
      <c r="E112" s="95" t="s">
        <v>143</v>
      </c>
      <c r="F112" s="104" t="s">
        <v>78</v>
      </c>
      <c r="G112" s="96">
        <v>1</v>
      </c>
      <c r="H112" s="111">
        <v>532.4</v>
      </c>
      <c r="I112" s="65">
        <f t="shared" si="3"/>
        <v>532.4</v>
      </c>
    </row>
    <row r="113" spans="1:9">
      <c r="A113" s="76">
        <v>104</v>
      </c>
      <c r="B113" s="77"/>
      <c r="C113" s="93" t="s">
        <v>60</v>
      </c>
      <c r="D113" s="94">
        <v>251</v>
      </c>
      <c r="E113" s="95" t="s">
        <v>144</v>
      </c>
      <c r="F113" s="104" t="s">
        <v>78</v>
      </c>
      <c r="G113" s="96">
        <v>2</v>
      </c>
      <c r="H113" s="111">
        <v>532.4</v>
      </c>
      <c r="I113" s="65">
        <f t="shared" si="3"/>
        <v>1064.8</v>
      </c>
    </row>
    <row r="114" spans="1:9">
      <c r="A114" s="76">
        <v>105</v>
      </c>
      <c r="B114" s="77"/>
      <c r="C114" s="97" t="s">
        <v>60</v>
      </c>
      <c r="D114" s="98">
        <v>251</v>
      </c>
      <c r="E114" s="95" t="s">
        <v>145</v>
      </c>
      <c r="F114" s="104" t="s">
        <v>78</v>
      </c>
      <c r="G114" s="96">
        <v>1</v>
      </c>
      <c r="H114" s="111">
        <v>532.4</v>
      </c>
      <c r="I114" s="65">
        <f t="shared" si="3"/>
        <v>532.4</v>
      </c>
    </row>
    <row r="115" spans="1:9">
      <c r="A115" s="76">
        <v>106</v>
      </c>
      <c r="B115" s="77"/>
      <c r="C115" s="84" t="s">
        <v>60</v>
      </c>
      <c r="D115" s="94">
        <v>251</v>
      </c>
      <c r="E115" s="100" t="s">
        <v>146</v>
      </c>
      <c r="F115" s="112" t="s">
        <v>78</v>
      </c>
      <c r="G115" s="96">
        <v>1</v>
      </c>
      <c r="H115" s="111">
        <v>532.4</v>
      </c>
      <c r="I115" s="65">
        <f t="shared" si="3"/>
        <v>532.4</v>
      </c>
    </row>
    <row r="116" spans="1:9">
      <c r="A116" s="76">
        <v>107</v>
      </c>
      <c r="B116" s="77"/>
      <c r="C116" s="97" t="s">
        <v>60</v>
      </c>
      <c r="D116" s="94">
        <v>251</v>
      </c>
      <c r="E116" s="100" t="s">
        <v>147</v>
      </c>
      <c r="F116" s="112" t="s">
        <v>78</v>
      </c>
      <c r="G116" s="96">
        <v>3</v>
      </c>
      <c r="H116" s="111">
        <v>532.4</v>
      </c>
      <c r="I116" s="65">
        <f t="shared" si="3"/>
        <v>1597.1999999999998</v>
      </c>
    </row>
    <row r="117" spans="1:9">
      <c r="A117" s="76">
        <v>108</v>
      </c>
      <c r="B117" s="77"/>
      <c r="C117" s="88" t="s">
        <v>60</v>
      </c>
      <c r="D117" s="99">
        <v>251</v>
      </c>
      <c r="E117" s="95" t="s">
        <v>148</v>
      </c>
      <c r="F117" s="104" t="s">
        <v>78</v>
      </c>
      <c r="G117" s="96">
        <v>1</v>
      </c>
      <c r="H117" s="111">
        <v>532.4</v>
      </c>
      <c r="I117" s="65">
        <f t="shared" si="3"/>
        <v>532.4</v>
      </c>
    </row>
    <row r="118" spans="1:9">
      <c r="A118" s="76">
        <v>109</v>
      </c>
      <c r="B118" s="77"/>
      <c r="C118" s="93" t="s">
        <v>60</v>
      </c>
      <c r="D118" s="94">
        <v>251</v>
      </c>
      <c r="E118" s="95" t="s">
        <v>149</v>
      </c>
      <c r="F118" s="104" t="s">
        <v>78</v>
      </c>
      <c r="G118" s="96">
        <v>2</v>
      </c>
      <c r="H118" s="111">
        <v>2153.8000000000002</v>
      </c>
      <c r="I118" s="65">
        <f t="shared" si="3"/>
        <v>4307.6000000000004</v>
      </c>
    </row>
    <row r="119" spans="1:9">
      <c r="A119" s="76">
        <v>110</v>
      </c>
      <c r="B119" s="77"/>
      <c r="C119" s="97" t="s">
        <v>60</v>
      </c>
      <c r="D119" s="94">
        <v>251</v>
      </c>
      <c r="E119" s="95" t="s">
        <v>150</v>
      </c>
      <c r="F119" s="104" t="s">
        <v>78</v>
      </c>
      <c r="G119" s="96">
        <v>2</v>
      </c>
      <c r="H119" s="111">
        <v>822.8</v>
      </c>
      <c r="I119" s="65">
        <f t="shared" si="3"/>
        <v>1645.6</v>
      </c>
    </row>
    <row r="120" spans="1:9">
      <c r="A120" s="76">
        <v>111</v>
      </c>
      <c r="B120" s="77"/>
      <c r="C120" s="97" t="s">
        <v>60</v>
      </c>
      <c r="D120" s="94">
        <v>251</v>
      </c>
      <c r="E120" s="95" t="s">
        <v>151</v>
      </c>
      <c r="F120" s="104" t="s">
        <v>78</v>
      </c>
      <c r="G120" s="96">
        <v>1</v>
      </c>
      <c r="H120" s="111">
        <v>532</v>
      </c>
      <c r="I120" s="65">
        <f t="shared" si="3"/>
        <v>532</v>
      </c>
    </row>
    <row r="121" spans="1:9">
      <c r="A121" s="76">
        <v>112</v>
      </c>
      <c r="B121" s="77"/>
      <c r="C121" s="97" t="s">
        <v>60</v>
      </c>
      <c r="D121" s="98">
        <v>251</v>
      </c>
      <c r="E121" s="95" t="s">
        <v>152</v>
      </c>
      <c r="F121" s="104" t="s">
        <v>78</v>
      </c>
      <c r="G121" s="96">
        <v>5</v>
      </c>
      <c r="H121" s="111">
        <v>500</v>
      </c>
      <c r="I121" s="65">
        <f t="shared" si="3"/>
        <v>2500</v>
      </c>
    </row>
    <row r="122" spans="1:9">
      <c r="A122" s="76">
        <v>113</v>
      </c>
      <c r="B122" s="77"/>
      <c r="C122" s="84" t="s">
        <v>60</v>
      </c>
      <c r="D122" s="94">
        <v>251</v>
      </c>
      <c r="E122" s="95" t="s">
        <v>153</v>
      </c>
      <c r="F122" s="104" t="s">
        <v>78</v>
      </c>
      <c r="G122" s="96">
        <v>2</v>
      </c>
      <c r="H122" s="111">
        <v>532.4</v>
      </c>
      <c r="I122" s="65">
        <f t="shared" si="3"/>
        <v>1064.8</v>
      </c>
    </row>
    <row r="123" spans="1:9">
      <c r="A123" s="76">
        <v>114</v>
      </c>
      <c r="B123" s="77"/>
      <c r="C123" s="97" t="s">
        <v>60</v>
      </c>
      <c r="D123" s="94">
        <v>251</v>
      </c>
      <c r="E123" s="95" t="s">
        <v>267</v>
      </c>
      <c r="F123" s="104" t="s">
        <v>58</v>
      </c>
      <c r="G123" s="96">
        <v>2</v>
      </c>
      <c r="H123" s="111">
        <v>28501</v>
      </c>
      <c r="I123" s="65">
        <f t="shared" si="3"/>
        <v>57002</v>
      </c>
    </row>
    <row r="124" spans="1:9">
      <c r="A124" s="76">
        <v>115</v>
      </c>
      <c r="B124" s="77"/>
      <c r="C124" s="88" t="s">
        <v>60</v>
      </c>
      <c r="D124" s="99">
        <v>251</v>
      </c>
      <c r="E124" s="95" t="s">
        <v>154</v>
      </c>
      <c r="F124" s="104" t="s">
        <v>63</v>
      </c>
      <c r="G124" s="96">
        <v>12</v>
      </c>
      <c r="H124" s="111">
        <v>7054</v>
      </c>
      <c r="I124" s="65">
        <f t="shared" si="3"/>
        <v>84648</v>
      </c>
    </row>
    <row r="125" spans="1:9">
      <c r="A125" s="76">
        <v>116</v>
      </c>
      <c r="B125" s="77"/>
      <c r="C125" s="93" t="s">
        <v>60</v>
      </c>
      <c r="D125" s="94">
        <v>251</v>
      </c>
      <c r="E125" s="95" t="s">
        <v>71</v>
      </c>
      <c r="F125" s="104" t="s">
        <v>63</v>
      </c>
      <c r="G125" s="96">
        <v>1</v>
      </c>
      <c r="H125" s="111">
        <v>38299</v>
      </c>
      <c r="I125" s="65">
        <f t="shared" si="3"/>
        <v>38299</v>
      </c>
    </row>
    <row r="126" spans="1:9">
      <c r="A126" s="76">
        <v>117</v>
      </c>
      <c r="B126" s="77"/>
      <c r="C126" s="97" t="s">
        <v>60</v>
      </c>
      <c r="D126" s="98">
        <v>251</v>
      </c>
      <c r="E126" s="95" t="s">
        <v>155</v>
      </c>
      <c r="F126" s="104" t="s">
        <v>58</v>
      </c>
      <c r="G126" s="96">
        <v>1</v>
      </c>
      <c r="H126" s="111">
        <v>45800</v>
      </c>
      <c r="I126" s="65">
        <f t="shared" si="3"/>
        <v>45800</v>
      </c>
    </row>
    <row r="127" spans="1:9">
      <c r="A127" s="76">
        <v>118</v>
      </c>
      <c r="B127" s="77"/>
      <c r="C127" s="93" t="s">
        <v>60</v>
      </c>
      <c r="D127" s="94">
        <v>251</v>
      </c>
      <c r="E127" s="95" t="s">
        <v>156</v>
      </c>
      <c r="F127" s="104" t="s">
        <v>58</v>
      </c>
      <c r="G127" s="96">
        <v>1</v>
      </c>
      <c r="H127" s="111">
        <v>26605</v>
      </c>
      <c r="I127" s="65">
        <f t="shared" si="3"/>
        <v>26605</v>
      </c>
    </row>
    <row r="128" spans="1:9">
      <c r="A128" s="76">
        <v>119</v>
      </c>
      <c r="B128" s="77"/>
      <c r="C128" s="84" t="s">
        <v>60</v>
      </c>
      <c r="D128" s="94">
        <v>251</v>
      </c>
      <c r="E128" s="103" t="s">
        <v>291</v>
      </c>
      <c r="F128" s="104" t="s">
        <v>58</v>
      </c>
      <c r="G128" s="96">
        <v>1</v>
      </c>
      <c r="H128" s="117">
        <v>28776.9</v>
      </c>
      <c r="I128" s="65">
        <f t="shared" si="3"/>
        <v>28776.9</v>
      </c>
    </row>
    <row r="129" spans="1:9">
      <c r="A129" s="76">
        <v>120</v>
      </c>
      <c r="B129" s="77"/>
      <c r="C129" s="84" t="s">
        <v>60</v>
      </c>
      <c r="D129" s="94">
        <v>251</v>
      </c>
      <c r="E129" s="103" t="s">
        <v>292</v>
      </c>
      <c r="F129" s="104" t="s">
        <v>58</v>
      </c>
      <c r="G129" s="96">
        <v>1</v>
      </c>
      <c r="H129" s="117">
        <v>32330.6</v>
      </c>
      <c r="I129" s="65">
        <f t="shared" si="3"/>
        <v>32330.6</v>
      </c>
    </row>
    <row r="130" spans="1:9" ht="24">
      <c r="A130" s="76">
        <v>121</v>
      </c>
      <c r="B130" s="77"/>
      <c r="C130" s="97" t="s">
        <v>60</v>
      </c>
      <c r="D130" s="94">
        <v>251</v>
      </c>
      <c r="E130" s="95" t="s">
        <v>157</v>
      </c>
      <c r="F130" s="104" t="s">
        <v>58</v>
      </c>
      <c r="G130" s="96">
        <v>1</v>
      </c>
      <c r="H130" s="111">
        <v>210397</v>
      </c>
      <c r="I130" s="65">
        <f t="shared" si="3"/>
        <v>210397</v>
      </c>
    </row>
    <row r="131" spans="1:9">
      <c r="A131" s="76">
        <v>122</v>
      </c>
      <c r="B131" s="77"/>
      <c r="C131" s="97" t="s">
        <v>60</v>
      </c>
      <c r="D131" s="94">
        <v>251</v>
      </c>
      <c r="E131" s="95" t="s">
        <v>158</v>
      </c>
      <c r="F131" s="104" t="s">
        <v>84</v>
      </c>
      <c r="G131" s="96">
        <v>3</v>
      </c>
      <c r="H131" s="111">
        <v>1950</v>
      </c>
      <c r="I131" s="65">
        <f t="shared" si="3"/>
        <v>5850</v>
      </c>
    </row>
    <row r="132" spans="1:9">
      <c r="A132" s="76">
        <v>123</v>
      </c>
      <c r="B132" s="77"/>
      <c r="C132" s="97" t="s">
        <v>60</v>
      </c>
      <c r="D132" s="98">
        <v>251</v>
      </c>
      <c r="E132" s="95" t="s">
        <v>83</v>
      </c>
      <c r="F132" s="104" t="s">
        <v>58</v>
      </c>
      <c r="G132" s="96">
        <v>3</v>
      </c>
      <c r="H132" s="111">
        <v>4843</v>
      </c>
      <c r="I132" s="65">
        <f t="shared" si="3"/>
        <v>14529</v>
      </c>
    </row>
    <row r="133" spans="1:9">
      <c r="A133" s="76">
        <v>124</v>
      </c>
      <c r="B133" s="77"/>
      <c r="C133" s="97" t="s">
        <v>60</v>
      </c>
      <c r="D133" s="94">
        <v>251</v>
      </c>
      <c r="E133" s="116" t="s">
        <v>216</v>
      </c>
      <c r="F133" s="104" t="s">
        <v>58</v>
      </c>
      <c r="G133" s="96">
        <v>1</v>
      </c>
      <c r="H133" s="114">
        <v>15611</v>
      </c>
      <c r="I133" s="65">
        <f t="shared" si="3"/>
        <v>15611</v>
      </c>
    </row>
    <row r="134" spans="1:9">
      <c r="A134" s="76">
        <v>125</v>
      </c>
      <c r="B134" s="77"/>
      <c r="C134" s="84" t="s">
        <v>60</v>
      </c>
      <c r="D134" s="94">
        <v>251</v>
      </c>
      <c r="E134" s="116" t="s">
        <v>215</v>
      </c>
      <c r="F134" s="104" t="s">
        <v>63</v>
      </c>
      <c r="G134" s="96">
        <v>2</v>
      </c>
      <c r="H134" s="114">
        <v>50321</v>
      </c>
      <c r="I134" s="65">
        <f t="shared" si="3"/>
        <v>100642</v>
      </c>
    </row>
    <row r="135" spans="1:9">
      <c r="A135" s="76">
        <v>126</v>
      </c>
      <c r="B135" s="77"/>
      <c r="C135" s="93" t="s">
        <v>60</v>
      </c>
      <c r="D135" s="94">
        <v>251</v>
      </c>
      <c r="E135" s="105" t="s">
        <v>204</v>
      </c>
      <c r="F135" s="104" t="s">
        <v>63</v>
      </c>
      <c r="G135" s="96">
        <v>6</v>
      </c>
      <c r="H135" s="114">
        <v>10621</v>
      </c>
      <c r="I135" s="65">
        <f t="shared" si="3"/>
        <v>63726</v>
      </c>
    </row>
    <row r="136" spans="1:9">
      <c r="A136" s="76">
        <v>127</v>
      </c>
      <c r="B136" s="77"/>
      <c r="C136" s="84" t="s">
        <v>60</v>
      </c>
      <c r="D136" s="94">
        <v>251</v>
      </c>
      <c r="E136" s="120" t="s">
        <v>282</v>
      </c>
      <c r="F136" s="121" t="s">
        <v>78</v>
      </c>
      <c r="G136" s="121">
        <v>1</v>
      </c>
      <c r="H136" s="122">
        <v>4568</v>
      </c>
      <c r="I136" s="65">
        <f t="shared" si="3"/>
        <v>4568</v>
      </c>
    </row>
    <row r="137" spans="1:9">
      <c r="A137" s="76">
        <v>128</v>
      </c>
      <c r="B137" s="77"/>
      <c r="C137" s="84" t="s">
        <v>60</v>
      </c>
      <c r="D137" s="94">
        <v>251</v>
      </c>
      <c r="E137" s="120" t="s">
        <v>254</v>
      </c>
      <c r="F137" s="121" t="s">
        <v>78</v>
      </c>
      <c r="G137" s="121">
        <v>1</v>
      </c>
      <c r="H137" s="122">
        <v>4524</v>
      </c>
      <c r="I137" s="65">
        <f t="shared" si="3"/>
        <v>4524</v>
      </c>
    </row>
    <row r="138" spans="1:9">
      <c r="A138" s="76">
        <v>129</v>
      </c>
      <c r="B138" s="77"/>
      <c r="C138" s="84" t="s">
        <v>60</v>
      </c>
      <c r="D138" s="94">
        <v>251</v>
      </c>
      <c r="E138" s="95" t="s">
        <v>159</v>
      </c>
      <c r="F138" s="104" t="s">
        <v>63</v>
      </c>
      <c r="G138" s="96">
        <v>2</v>
      </c>
      <c r="H138" s="111">
        <v>3259</v>
      </c>
      <c r="I138" s="65">
        <f t="shared" si="3"/>
        <v>6518</v>
      </c>
    </row>
    <row r="139" spans="1:9">
      <c r="A139" s="76">
        <v>130</v>
      </c>
      <c r="B139" s="77"/>
      <c r="C139" s="97" t="s">
        <v>60</v>
      </c>
      <c r="D139" s="94">
        <v>251</v>
      </c>
      <c r="E139" s="95" t="s">
        <v>77</v>
      </c>
      <c r="F139" s="104" t="s">
        <v>78</v>
      </c>
      <c r="G139" s="96">
        <v>450</v>
      </c>
      <c r="H139" s="111">
        <v>764</v>
      </c>
      <c r="I139" s="65">
        <f t="shared" si="3"/>
        <v>343800</v>
      </c>
    </row>
    <row r="140" spans="1:9" ht="24">
      <c r="A140" s="76">
        <v>131</v>
      </c>
      <c r="B140" s="77"/>
      <c r="C140" s="97" t="s">
        <v>60</v>
      </c>
      <c r="D140" s="98">
        <v>251</v>
      </c>
      <c r="E140" s="105" t="s">
        <v>234</v>
      </c>
      <c r="F140" s="104" t="s">
        <v>78</v>
      </c>
      <c r="G140" s="96">
        <v>1</v>
      </c>
      <c r="H140" s="114">
        <v>950</v>
      </c>
      <c r="I140" s="65">
        <f t="shared" si="3"/>
        <v>950</v>
      </c>
    </row>
    <row r="141" spans="1:9">
      <c r="A141" s="76">
        <v>132</v>
      </c>
      <c r="B141" s="77"/>
      <c r="C141" s="88" t="s">
        <v>60</v>
      </c>
      <c r="D141" s="99">
        <v>251</v>
      </c>
      <c r="E141" s="110" t="s">
        <v>80</v>
      </c>
      <c r="F141" s="104" t="s">
        <v>58</v>
      </c>
      <c r="G141" s="96">
        <v>2</v>
      </c>
      <c r="H141" s="111">
        <v>5235</v>
      </c>
      <c r="I141" s="65">
        <f t="shared" si="3"/>
        <v>10470</v>
      </c>
    </row>
    <row r="142" spans="1:9">
      <c r="A142" s="76">
        <v>133</v>
      </c>
      <c r="B142" s="77"/>
      <c r="C142" s="97" t="s">
        <v>60</v>
      </c>
      <c r="D142" s="94">
        <v>251</v>
      </c>
      <c r="E142" s="103" t="s">
        <v>202</v>
      </c>
      <c r="F142" s="104" t="s">
        <v>170</v>
      </c>
      <c r="G142" s="96">
        <v>5</v>
      </c>
      <c r="H142" s="114">
        <v>4056.01</v>
      </c>
      <c r="I142" s="65">
        <f t="shared" si="3"/>
        <v>20280.050000000003</v>
      </c>
    </row>
    <row r="143" spans="1:9">
      <c r="A143" s="76">
        <v>134</v>
      </c>
      <c r="B143" s="77"/>
      <c r="C143" s="84" t="s">
        <v>60</v>
      </c>
      <c r="D143" s="94">
        <v>251</v>
      </c>
      <c r="E143" s="105" t="s">
        <v>246</v>
      </c>
      <c r="F143" s="104" t="s">
        <v>63</v>
      </c>
      <c r="G143" s="89">
        <v>5</v>
      </c>
      <c r="H143" s="114">
        <v>11066</v>
      </c>
      <c r="I143" s="65">
        <f t="shared" si="3"/>
        <v>55330</v>
      </c>
    </row>
    <row r="144" spans="1:9">
      <c r="A144" s="76">
        <v>135</v>
      </c>
      <c r="B144" s="77"/>
      <c r="C144" s="84" t="s">
        <v>60</v>
      </c>
      <c r="D144" s="94">
        <v>251</v>
      </c>
      <c r="E144" s="105" t="s">
        <v>248</v>
      </c>
      <c r="F144" s="104" t="s">
        <v>63</v>
      </c>
      <c r="G144" s="119">
        <v>2</v>
      </c>
      <c r="H144" s="114">
        <v>23534</v>
      </c>
      <c r="I144" s="65">
        <f t="shared" si="3"/>
        <v>47068</v>
      </c>
    </row>
    <row r="145" spans="1:9">
      <c r="A145" s="76">
        <v>136</v>
      </c>
      <c r="B145" s="77"/>
      <c r="C145" s="93" t="s">
        <v>60</v>
      </c>
      <c r="D145" s="94">
        <v>251</v>
      </c>
      <c r="E145" s="95" t="s">
        <v>160</v>
      </c>
      <c r="F145" s="104" t="s">
        <v>63</v>
      </c>
      <c r="G145" s="96">
        <v>4</v>
      </c>
      <c r="H145" s="111">
        <v>22210</v>
      </c>
      <c r="I145" s="65">
        <f t="shared" si="3"/>
        <v>88840</v>
      </c>
    </row>
    <row r="146" spans="1:9">
      <c r="A146" s="76">
        <v>137</v>
      </c>
      <c r="B146" s="77"/>
      <c r="C146" s="97" t="s">
        <v>60</v>
      </c>
      <c r="D146" s="98">
        <v>251</v>
      </c>
      <c r="E146" s="95" t="s">
        <v>161</v>
      </c>
      <c r="F146" s="104" t="s">
        <v>63</v>
      </c>
      <c r="G146" s="96">
        <v>3</v>
      </c>
      <c r="H146" s="111">
        <v>3775</v>
      </c>
      <c r="I146" s="65">
        <f t="shared" si="3"/>
        <v>11325</v>
      </c>
    </row>
    <row r="147" spans="1:9" ht="24">
      <c r="A147" s="76">
        <v>138</v>
      </c>
      <c r="B147" s="77"/>
      <c r="C147" s="97" t="s">
        <v>60</v>
      </c>
      <c r="D147" s="94">
        <v>251</v>
      </c>
      <c r="E147" s="105" t="s">
        <v>232</v>
      </c>
      <c r="F147" s="104" t="s">
        <v>233</v>
      </c>
      <c r="G147" s="96">
        <v>1</v>
      </c>
      <c r="H147" s="114">
        <v>1204.5</v>
      </c>
      <c r="I147" s="65">
        <f t="shared" si="3"/>
        <v>1204.5</v>
      </c>
    </row>
    <row r="148" spans="1:9">
      <c r="A148" s="76">
        <v>139</v>
      </c>
      <c r="B148" s="77"/>
      <c r="C148" s="84" t="s">
        <v>60</v>
      </c>
      <c r="D148" s="94">
        <v>251</v>
      </c>
      <c r="E148" s="95" t="s">
        <v>162</v>
      </c>
      <c r="F148" s="104" t="s">
        <v>63</v>
      </c>
      <c r="G148" s="96">
        <v>1</v>
      </c>
      <c r="H148" s="111">
        <v>1742</v>
      </c>
      <c r="I148" s="65">
        <f t="shared" si="3"/>
        <v>1742</v>
      </c>
    </row>
    <row r="149" spans="1:9">
      <c r="A149" s="76">
        <v>140</v>
      </c>
      <c r="B149" s="77"/>
      <c r="C149" s="93" t="s">
        <v>60</v>
      </c>
      <c r="D149" s="94">
        <v>251</v>
      </c>
      <c r="E149" s="95" t="s">
        <v>70</v>
      </c>
      <c r="F149" s="104" t="s">
        <v>63</v>
      </c>
      <c r="G149" s="96">
        <v>3</v>
      </c>
      <c r="H149" s="111">
        <v>23968</v>
      </c>
      <c r="I149" s="65">
        <f t="shared" si="3"/>
        <v>71904</v>
      </c>
    </row>
    <row r="150" spans="1:9">
      <c r="A150" s="76">
        <v>141</v>
      </c>
      <c r="B150" s="77"/>
      <c r="C150" s="97" t="s">
        <v>60</v>
      </c>
      <c r="D150" s="94">
        <v>251</v>
      </c>
      <c r="E150" s="95" t="s">
        <v>268</v>
      </c>
      <c r="F150" s="104" t="s">
        <v>63</v>
      </c>
      <c r="G150" s="96">
        <v>3</v>
      </c>
      <c r="H150" s="111">
        <v>16190</v>
      </c>
      <c r="I150" s="65">
        <f t="shared" si="3"/>
        <v>48570</v>
      </c>
    </row>
    <row r="151" spans="1:9">
      <c r="A151" s="76">
        <v>142</v>
      </c>
      <c r="B151" s="77"/>
      <c r="C151" s="97" t="s">
        <v>60</v>
      </c>
      <c r="D151" s="94">
        <v>251</v>
      </c>
      <c r="E151" s="95" t="s">
        <v>68</v>
      </c>
      <c r="F151" s="104" t="s">
        <v>63</v>
      </c>
      <c r="G151" s="96">
        <v>4</v>
      </c>
      <c r="H151" s="111">
        <v>21608</v>
      </c>
      <c r="I151" s="65">
        <f t="shared" si="3"/>
        <v>86432</v>
      </c>
    </row>
    <row r="152" spans="1:9">
      <c r="A152" s="76">
        <v>143</v>
      </c>
      <c r="B152" s="77"/>
      <c r="C152" s="97" t="s">
        <v>60</v>
      </c>
      <c r="D152" s="98">
        <v>251</v>
      </c>
      <c r="E152" s="95" t="s">
        <v>69</v>
      </c>
      <c r="F152" s="104" t="s">
        <v>63</v>
      </c>
      <c r="G152" s="96">
        <v>1</v>
      </c>
      <c r="H152" s="111">
        <v>15611</v>
      </c>
      <c r="I152" s="65">
        <f t="shared" si="3"/>
        <v>15611</v>
      </c>
    </row>
    <row r="153" spans="1:9">
      <c r="A153" s="76">
        <v>144</v>
      </c>
      <c r="B153" s="77"/>
      <c r="C153" s="97" t="s">
        <v>60</v>
      </c>
      <c r="D153" s="98">
        <v>251</v>
      </c>
      <c r="E153" s="95" t="s">
        <v>73</v>
      </c>
      <c r="F153" s="104" t="s">
        <v>63</v>
      </c>
      <c r="G153" s="96">
        <v>2</v>
      </c>
      <c r="H153" s="111">
        <v>23265</v>
      </c>
      <c r="I153" s="65">
        <f t="shared" si="3"/>
        <v>46530</v>
      </c>
    </row>
    <row r="154" spans="1:9">
      <c r="A154" s="76">
        <v>145</v>
      </c>
      <c r="B154" s="77"/>
      <c r="C154" s="93" t="s">
        <v>60</v>
      </c>
      <c r="D154" s="94">
        <v>251</v>
      </c>
      <c r="E154" s="95" t="s">
        <v>163</v>
      </c>
      <c r="F154" s="104" t="s">
        <v>63</v>
      </c>
      <c r="G154" s="96">
        <v>1</v>
      </c>
      <c r="H154" s="111">
        <v>23265</v>
      </c>
      <c r="I154" s="65">
        <f t="shared" si="3"/>
        <v>23265</v>
      </c>
    </row>
    <row r="155" spans="1:9">
      <c r="A155" s="76">
        <v>146</v>
      </c>
      <c r="B155" s="77"/>
      <c r="C155" s="97" t="s">
        <v>60</v>
      </c>
      <c r="D155" s="94">
        <v>251</v>
      </c>
      <c r="E155" s="95" t="s">
        <v>164</v>
      </c>
      <c r="F155" s="104" t="s">
        <v>56</v>
      </c>
      <c r="G155" s="96">
        <v>5</v>
      </c>
      <c r="H155" s="111">
        <v>1757</v>
      </c>
      <c r="I155" s="65">
        <f t="shared" si="3"/>
        <v>8785</v>
      </c>
    </row>
    <row r="156" spans="1:9">
      <c r="A156" s="76">
        <v>147</v>
      </c>
      <c r="B156" s="77"/>
      <c r="C156" s="97" t="s">
        <v>60</v>
      </c>
      <c r="D156" s="94">
        <v>251</v>
      </c>
      <c r="E156" s="95" t="s">
        <v>165</v>
      </c>
      <c r="F156" s="104" t="s">
        <v>56</v>
      </c>
      <c r="G156" s="96">
        <v>5</v>
      </c>
      <c r="H156" s="111">
        <v>1533</v>
      </c>
      <c r="I156" s="65">
        <f t="shared" si="3"/>
        <v>7665</v>
      </c>
    </row>
    <row r="157" spans="1:9">
      <c r="A157" s="76">
        <v>148</v>
      </c>
      <c r="B157" s="77"/>
      <c r="C157" s="97" t="s">
        <v>60</v>
      </c>
      <c r="D157" s="98">
        <v>251</v>
      </c>
      <c r="E157" s="95" t="s">
        <v>166</v>
      </c>
      <c r="F157" s="104" t="s">
        <v>56</v>
      </c>
      <c r="G157" s="96">
        <v>5</v>
      </c>
      <c r="H157" s="111">
        <v>3138</v>
      </c>
      <c r="I157" s="65">
        <f t="shared" si="3"/>
        <v>15690</v>
      </c>
    </row>
    <row r="158" spans="1:9">
      <c r="A158" s="76">
        <v>149</v>
      </c>
      <c r="B158" s="77"/>
      <c r="C158" s="84" t="s">
        <v>60</v>
      </c>
      <c r="D158" s="94">
        <v>251</v>
      </c>
      <c r="E158" s="95" t="s">
        <v>167</v>
      </c>
      <c r="F158" s="104" t="s">
        <v>56</v>
      </c>
      <c r="G158" s="96">
        <v>5</v>
      </c>
      <c r="H158" s="111">
        <v>3138</v>
      </c>
      <c r="I158" s="65">
        <f t="shared" si="3"/>
        <v>15690</v>
      </c>
    </row>
    <row r="159" spans="1:9">
      <c r="A159" s="76">
        <v>150</v>
      </c>
      <c r="B159" s="77"/>
      <c r="C159" s="97" t="s">
        <v>60</v>
      </c>
      <c r="D159" s="94">
        <v>251</v>
      </c>
      <c r="E159" s="95" t="s">
        <v>168</v>
      </c>
      <c r="F159" s="104" t="s">
        <v>58</v>
      </c>
      <c r="G159" s="96">
        <v>5</v>
      </c>
      <c r="H159" s="111">
        <v>6764</v>
      </c>
      <c r="I159" s="65">
        <f t="shared" si="3"/>
        <v>33820</v>
      </c>
    </row>
    <row r="160" spans="1:9">
      <c r="A160" s="76">
        <v>151</v>
      </c>
      <c r="B160" s="77"/>
      <c r="C160" s="88" t="s">
        <v>60</v>
      </c>
      <c r="D160" s="99">
        <v>251</v>
      </c>
      <c r="E160" s="95" t="s">
        <v>269</v>
      </c>
      <c r="F160" s="104" t="s">
        <v>58</v>
      </c>
      <c r="G160" s="96">
        <v>1</v>
      </c>
      <c r="H160" s="111">
        <v>15503</v>
      </c>
      <c r="I160" s="65">
        <f t="shared" si="3"/>
        <v>15503</v>
      </c>
    </row>
    <row r="161" spans="1:9">
      <c r="A161" s="76">
        <v>152</v>
      </c>
      <c r="B161" s="77"/>
      <c r="C161" s="84" t="s">
        <v>60</v>
      </c>
      <c r="D161" s="94">
        <v>251</v>
      </c>
      <c r="E161" s="120" t="s">
        <v>284</v>
      </c>
      <c r="F161" s="121" t="s">
        <v>58</v>
      </c>
      <c r="G161" s="121">
        <v>1</v>
      </c>
      <c r="H161" s="126">
        <v>99476</v>
      </c>
      <c r="I161" s="65">
        <f t="shared" ref="I161:I234" si="4">G161*H161</f>
        <v>99476</v>
      </c>
    </row>
    <row r="162" spans="1:9">
      <c r="A162" s="76">
        <v>153</v>
      </c>
      <c r="B162" s="77"/>
      <c r="C162" s="93" t="s">
        <v>60</v>
      </c>
      <c r="D162" s="94">
        <v>251</v>
      </c>
      <c r="E162" s="100" t="s">
        <v>270</v>
      </c>
      <c r="F162" s="112" t="s">
        <v>58</v>
      </c>
      <c r="G162" s="96">
        <v>2</v>
      </c>
      <c r="H162" s="111">
        <v>23470</v>
      </c>
      <c r="I162" s="65">
        <f t="shared" si="4"/>
        <v>46940</v>
      </c>
    </row>
    <row r="163" spans="1:9">
      <c r="A163" s="76">
        <v>154</v>
      </c>
      <c r="B163" s="77"/>
      <c r="C163" s="97" t="s">
        <v>60</v>
      </c>
      <c r="D163" s="98">
        <v>251</v>
      </c>
      <c r="E163" s="100" t="s">
        <v>169</v>
      </c>
      <c r="F163" s="112" t="s">
        <v>58</v>
      </c>
      <c r="G163" s="96">
        <v>3</v>
      </c>
      <c r="H163" s="111">
        <v>3184</v>
      </c>
      <c r="I163" s="65">
        <f t="shared" si="4"/>
        <v>9552</v>
      </c>
    </row>
    <row r="164" spans="1:9">
      <c r="A164" s="76">
        <v>155</v>
      </c>
      <c r="B164" s="77"/>
      <c r="C164" s="84" t="s">
        <v>60</v>
      </c>
      <c r="D164" s="94">
        <v>251</v>
      </c>
      <c r="E164" s="120" t="s">
        <v>255</v>
      </c>
      <c r="F164" s="121" t="s">
        <v>58</v>
      </c>
      <c r="G164" s="123">
        <v>1</v>
      </c>
      <c r="H164" s="124">
        <v>56049</v>
      </c>
      <c r="I164" s="65">
        <f t="shared" si="4"/>
        <v>56049</v>
      </c>
    </row>
    <row r="165" spans="1:9">
      <c r="A165" s="76">
        <v>156</v>
      </c>
      <c r="B165" s="77"/>
      <c r="C165" s="84" t="s">
        <v>60</v>
      </c>
      <c r="D165" s="94">
        <v>251</v>
      </c>
      <c r="E165" s="120" t="s">
        <v>285</v>
      </c>
      <c r="F165" s="121" t="s">
        <v>58</v>
      </c>
      <c r="G165" s="121">
        <v>1</v>
      </c>
      <c r="H165" s="126">
        <v>73156</v>
      </c>
      <c r="I165" s="65">
        <f t="shared" si="4"/>
        <v>73156</v>
      </c>
    </row>
    <row r="166" spans="1:9">
      <c r="A166" s="76">
        <v>157</v>
      </c>
      <c r="B166" s="77"/>
      <c r="C166" s="84" t="s">
        <v>60</v>
      </c>
      <c r="D166" s="94">
        <v>251</v>
      </c>
      <c r="E166" s="120" t="s">
        <v>286</v>
      </c>
      <c r="F166" s="121" t="s">
        <v>58</v>
      </c>
      <c r="G166" s="121">
        <v>1</v>
      </c>
      <c r="H166" s="127">
        <v>86303</v>
      </c>
      <c r="I166" s="65">
        <f t="shared" si="4"/>
        <v>86303</v>
      </c>
    </row>
    <row r="167" spans="1:9">
      <c r="A167" s="76">
        <v>158</v>
      </c>
      <c r="B167" s="77"/>
      <c r="C167" s="84" t="s">
        <v>60</v>
      </c>
      <c r="D167" s="94">
        <v>251</v>
      </c>
      <c r="E167" s="100" t="s">
        <v>87</v>
      </c>
      <c r="F167" s="112" t="s">
        <v>170</v>
      </c>
      <c r="G167" s="96">
        <v>10</v>
      </c>
      <c r="H167" s="111">
        <v>7331</v>
      </c>
      <c r="I167" s="65">
        <f t="shared" si="4"/>
        <v>73310</v>
      </c>
    </row>
    <row r="168" spans="1:9">
      <c r="A168" s="76">
        <v>159</v>
      </c>
      <c r="B168" s="77"/>
      <c r="C168" s="84" t="s">
        <v>60</v>
      </c>
      <c r="D168" s="94">
        <v>251</v>
      </c>
      <c r="E168" s="128" t="s">
        <v>301</v>
      </c>
      <c r="F168" s="129" t="s">
        <v>298</v>
      </c>
      <c r="G168" s="129">
        <v>5</v>
      </c>
      <c r="H168" s="122">
        <v>1600</v>
      </c>
      <c r="I168" s="65">
        <f t="shared" si="4"/>
        <v>8000</v>
      </c>
    </row>
    <row r="169" spans="1:9">
      <c r="A169" s="76">
        <v>160</v>
      </c>
      <c r="B169" s="77"/>
      <c r="C169" s="84" t="s">
        <v>60</v>
      </c>
      <c r="D169" s="94">
        <v>251</v>
      </c>
      <c r="E169" s="128" t="s">
        <v>300</v>
      </c>
      <c r="F169" s="129" t="s">
        <v>298</v>
      </c>
      <c r="G169" s="129">
        <v>5</v>
      </c>
      <c r="H169" s="122">
        <v>1100</v>
      </c>
      <c r="I169" s="65">
        <f t="shared" si="4"/>
        <v>5500</v>
      </c>
    </row>
    <row r="170" spans="1:9">
      <c r="A170" s="76">
        <v>161</v>
      </c>
      <c r="B170" s="77"/>
      <c r="C170" s="93" t="s">
        <v>60</v>
      </c>
      <c r="D170" s="94">
        <v>251</v>
      </c>
      <c r="E170" s="100" t="s">
        <v>171</v>
      </c>
      <c r="F170" s="104" t="s">
        <v>63</v>
      </c>
      <c r="G170" s="96">
        <v>1</v>
      </c>
      <c r="H170" s="111">
        <v>5539</v>
      </c>
      <c r="I170" s="65">
        <f t="shared" si="4"/>
        <v>5539</v>
      </c>
    </row>
    <row r="171" spans="1:9">
      <c r="A171" s="76">
        <v>162</v>
      </c>
      <c r="B171" s="77"/>
      <c r="C171" s="97" t="s">
        <v>60</v>
      </c>
      <c r="D171" s="94">
        <v>251</v>
      </c>
      <c r="E171" s="100" t="s">
        <v>172</v>
      </c>
      <c r="F171" s="112" t="s">
        <v>170</v>
      </c>
      <c r="G171" s="96">
        <v>4</v>
      </c>
      <c r="H171" s="111">
        <v>2605</v>
      </c>
      <c r="I171" s="65">
        <f t="shared" si="4"/>
        <v>10420</v>
      </c>
    </row>
    <row r="172" spans="1:9">
      <c r="A172" s="76">
        <v>163</v>
      </c>
      <c r="B172" s="77"/>
      <c r="C172" s="84" t="s">
        <v>60</v>
      </c>
      <c r="D172" s="94">
        <v>251</v>
      </c>
      <c r="E172" s="128" t="s">
        <v>287</v>
      </c>
      <c r="F172" s="115" t="s">
        <v>288</v>
      </c>
      <c r="G172" s="115">
        <v>12</v>
      </c>
      <c r="H172" s="122">
        <v>3136</v>
      </c>
      <c r="I172" s="65">
        <f t="shared" si="4"/>
        <v>37632</v>
      </c>
    </row>
    <row r="173" spans="1:9">
      <c r="A173" s="76">
        <v>164</v>
      </c>
      <c r="B173" s="77"/>
      <c r="C173" s="93" t="s">
        <v>60</v>
      </c>
      <c r="D173" s="94">
        <v>251</v>
      </c>
      <c r="E173" s="105" t="s">
        <v>281</v>
      </c>
      <c r="F173" s="104" t="s">
        <v>58</v>
      </c>
      <c r="G173" s="96">
        <v>1</v>
      </c>
      <c r="H173" s="114">
        <v>5103</v>
      </c>
      <c r="I173" s="65">
        <f t="shared" si="4"/>
        <v>5103</v>
      </c>
    </row>
    <row r="174" spans="1:9">
      <c r="A174" s="76">
        <v>165</v>
      </c>
      <c r="B174" s="77"/>
      <c r="C174" s="97" t="s">
        <v>60</v>
      </c>
      <c r="D174" s="98">
        <v>251</v>
      </c>
      <c r="E174" s="100" t="s">
        <v>271</v>
      </c>
      <c r="F174" s="112" t="s">
        <v>58</v>
      </c>
      <c r="G174" s="96">
        <v>4</v>
      </c>
      <c r="H174" s="111">
        <v>6990</v>
      </c>
      <c r="I174" s="65">
        <f t="shared" si="4"/>
        <v>27960</v>
      </c>
    </row>
    <row r="175" spans="1:9">
      <c r="A175" s="76">
        <v>166</v>
      </c>
      <c r="B175" s="77"/>
      <c r="C175" s="97" t="s">
        <v>60</v>
      </c>
      <c r="D175" s="98">
        <v>251</v>
      </c>
      <c r="E175" s="100" t="s">
        <v>81</v>
      </c>
      <c r="F175" s="112" t="s">
        <v>58</v>
      </c>
      <c r="G175" s="96">
        <v>5</v>
      </c>
      <c r="H175" s="111">
        <v>4374</v>
      </c>
      <c r="I175" s="65">
        <f t="shared" si="4"/>
        <v>21870</v>
      </c>
    </row>
    <row r="176" spans="1:9">
      <c r="A176" s="76">
        <v>167</v>
      </c>
      <c r="B176" s="77"/>
      <c r="C176" s="93" t="s">
        <v>60</v>
      </c>
      <c r="D176" s="94">
        <v>251</v>
      </c>
      <c r="E176" s="100" t="s">
        <v>272</v>
      </c>
      <c r="F176" s="112" t="s">
        <v>58</v>
      </c>
      <c r="G176" s="96">
        <v>1</v>
      </c>
      <c r="H176" s="111">
        <v>15503</v>
      </c>
      <c r="I176" s="65">
        <f t="shared" si="4"/>
        <v>15503</v>
      </c>
    </row>
    <row r="177" spans="1:9">
      <c r="A177" s="76">
        <v>168</v>
      </c>
      <c r="B177" s="77"/>
      <c r="C177" s="84" t="s">
        <v>60</v>
      </c>
      <c r="D177" s="94">
        <v>251</v>
      </c>
      <c r="E177" s="103" t="s">
        <v>303</v>
      </c>
      <c r="F177" s="104" t="s">
        <v>304</v>
      </c>
      <c r="G177" s="96">
        <v>2</v>
      </c>
      <c r="H177" s="133">
        <v>4204</v>
      </c>
      <c r="I177" s="65">
        <f t="shared" si="4"/>
        <v>8408</v>
      </c>
    </row>
    <row r="178" spans="1:9">
      <c r="A178" s="76">
        <v>169</v>
      </c>
      <c r="B178" s="77"/>
      <c r="C178" s="97" t="s">
        <v>60</v>
      </c>
      <c r="D178" s="94">
        <v>251</v>
      </c>
      <c r="E178" s="100" t="s">
        <v>173</v>
      </c>
      <c r="F178" s="112" t="s">
        <v>63</v>
      </c>
      <c r="G178" s="96">
        <v>12</v>
      </c>
      <c r="H178" s="111">
        <v>1328</v>
      </c>
      <c r="I178" s="65">
        <f t="shared" si="4"/>
        <v>15936</v>
      </c>
    </row>
    <row r="179" spans="1:9">
      <c r="A179" s="76">
        <v>170</v>
      </c>
      <c r="B179" s="77"/>
      <c r="C179" s="88" t="s">
        <v>60</v>
      </c>
      <c r="D179" s="99">
        <v>251</v>
      </c>
      <c r="E179" s="95" t="s">
        <v>213</v>
      </c>
      <c r="F179" s="104" t="s">
        <v>279</v>
      </c>
      <c r="G179" s="96">
        <v>5</v>
      </c>
      <c r="H179" s="114">
        <v>5922</v>
      </c>
      <c r="I179" s="65">
        <f t="shared" si="4"/>
        <v>29610</v>
      </c>
    </row>
    <row r="180" spans="1:9">
      <c r="A180" s="76">
        <v>171</v>
      </c>
      <c r="B180" s="77"/>
      <c r="C180" s="97" t="s">
        <v>60</v>
      </c>
      <c r="D180" s="94">
        <v>251</v>
      </c>
      <c r="E180" s="100" t="s">
        <v>85</v>
      </c>
      <c r="F180" s="112" t="s">
        <v>58</v>
      </c>
      <c r="G180" s="96">
        <v>3</v>
      </c>
      <c r="H180" s="111">
        <v>19335.8</v>
      </c>
      <c r="I180" s="65">
        <f t="shared" si="4"/>
        <v>58007.399999999994</v>
      </c>
    </row>
    <row r="181" spans="1:9">
      <c r="A181" s="76">
        <v>172</v>
      </c>
      <c r="B181" s="77"/>
      <c r="C181" s="97" t="s">
        <v>60</v>
      </c>
      <c r="D181" s="98">
        <v>251</v>
      </c>
      <c r="E181" s="100" t="s">
        <v>273</v>
      </c>
      <c r="F181" s="112" t="s">
        <v>58</v>
      </c>
      <c r="G181" s="96">
        <v>2</v>
      </c>
      <c r="H181" s="111">
        <v>16241</v>
      </c>
      <c r="I181" s="65">
        <f t="shared" si="4"/>
        <v>32482</v>
      </c>
    </row>
    <row r="182" spans="1:9">
      <c r="A182" s="76">
        <v>173</v>
      </c>
      <c r="B182" s="77"/>
      <c r="C182" s="84" t="s">
        <v>60</v>
      </c>
      <c r="D182" s="94">
        <v>251</v>
      </c>
      <c r="E182" s="100" t="s">
        <v>274</v>
      </c>
      <c r="F182" s="112" t="s">
        <v>58</v>
      </c>
      <c r="G182" s="96">
        <v>1</v>
      </c>
      <c r="H182" s="111">
        <v>61961</v>
      </c>
      <c r="I182" s="65">
        <f t="shared" si="4"/>
        <v>61961</v>
      </c>
    </row>
    <row r="183" spans="1:9">
      <c r="A183" s="76">
        <v>174</v>
      </c>
      <c r="B183" s="77"/>
      <c r="C183" s="97" t="s">
        <v>60</v>
      </c>
      <c r="D183" s="94">
        <v>251</v>
      </c>
      <c r="E183" s="103" t="s">
        <v>275</v>
      </c>
      <c r="F183" s="104" t="s">
        <v>58</v>
      </c>
      <c r="G183" s="96">
        <v>1</v>
      </c>
      <c r="H183" s="114">
        <v>25865</v>
      </c>
      <c r="I183" s="65">
        <f t="shared" si="4"/>
        <v>25865</v>
      </c>
    </row>
    <row r="184" spans="1:9">
      <c r="A184" s="76">
        <v>175</v>
      </c>
      <c r="B184" s="77"/>
      <c r="C184" s="88" t="s">
        <v>60</v>
      </c>
      <c r="D184" s="99">
        <v>251</v>
      </c>
      <c r="E184" s="103" t="s">
        <v>200</v>
      </c>
      <c r="F184" s="104" t="s">
        <v>76</v>
      </c>
      <c r="G184" s="96">
        <v>12</v>
      </c>
      <c r="H184" s="114">
        <v>1488</v>
      </c>
      <c r="I184" s="65">
        <f t="shared" si="4"/>
        <v>17856</v>
      </c>
    </row>
    <row r="185" spans="1:9">
      <c r="A185" s="76">
        <v>176</v>
      </c>
      <c r="B185" s="77"/>
      <c r="C185" s="93" t="s">
        <v>60</v>
      </c>
      <c r="D185" s="94">
        <v>251</v>
      </c>
      <c r="E185" s="103" t="s">
        <v>276</v>
      </c>
      <c r="F185" s="104" t="s">
        <v>58</v>
      </c>
      <c r="G185" s="96">
        <v>1</v>
      </c>
      <c r="H185" s="114">
        <v>58870</v>
      </c>
      <c r="I185" s="65">
        <f t="shared" si="4"/>
        <v>58870</v>
      </c>
    </row>
    <row r="186" spans="1:9">
      <c r="A186" s="76">
        <v>177</v>
      </c>
      <c r="B186" s="77"/>
      <c r="C186" s="97" t="s">
        <v>60</v>
      </c>
      <c r="D186" s="98">
        <v>251</v>
      </c>
      <c r="E186" s="105" t="s">
        <v>201</v>
      </c>
      <c r="F186" s="104" t="s">
        <v>76</v>
      </c>
      <c r="G186" s="96">
        <v>12</v>
      </c>
      <c r="H186" s="114">
        <v>1760</v>
      </c>
      <c r="I186" s="65">
        <f t="shared" si="4"/>
        <v>21120</v>
      </c>
    </row>
    <row r="187" spans="1:9">
      <c r="A187" s="76">
        <v>178</v>
      </c>
      <c r="B187" s="77"/>
      <c r="C187" s="84" t="s">
        <v>60</v>
      </c>
      <c r="D187" s="94">
        <v>251</v>
      </c>
      <c r="E187" s="120" t="s">
        <v>283</v>
      </c>
      <c r="F187" s="121" t="s">
        <v>279</v>
      </c>
      <c r="G187" s="121">
        <v>3</v>
      </c>
      <c r="H187" s="125">
        <v>22250</v>
      </c>
      <c r="I187" s="65">
        <f t="shared" si="4"/>
        <v>66750</v>
      </c>
    </row>
    <row r="188" spans="1:9">
      <c r="A188" s="76">
        <v>179</v>
      </c>
      <c r="B188" s="77"/>
      <c r="C188" s="84" t="s">
        <v>60</v>
      </c>
      <c r="D188" s="94">
        <v>251</v>
      </c>
      <c r="E188" s="103" t="s">
        <v>174</v>
      </c>
      <c r="F188" s="104" t="s">
        <v>58</v>
      </c>
      <c r="G188" s="96">
        <v>1</v>
      </c>
      <c r="H188" s="114">
        <v>14392</v>
      </c>
      <c r="I188" s="65">
        <f t="shared" si="4"/>
        <v>14392</v>
      </c>
    </row>
    <row r="189" spans="1:9">
      <c r="A189" s="76">
        <v>180</v>
      </c>
      <c r="B189" s="77"/>
      <c r="C189" s="93" t="s">
        <v>60</v>
      </c>
      <c r="D189" s="94">
        <v>251</v>
      </c>
      <c r="E189" s="103" t="s">
        <v>175</v>
      </c>
      <c r="F189" s="104" t="s">
        <v>58</v>
      </c>
      <c r="G189" s="96">
        <v>1</v>
      </c>
      <c r="H189" s="114">
        <v>17614</v>
      </c>
      <c r="I189" s="65">
        <f t="shared" si="4"/>
        <v>17614</v>
      </c>
    </row>
    <row r="190" spans="1:9">
      <c r="A190" s="76">
        <v>181</v>
      </c>
      <c r="B190" s="77"/>
      <c r="C190" s="84" t="s">
        <v>60</v>
      </c>
      <c r="D190" s="94">
        <v>251</v>
      </c>
      <c r="E190" s="105" t="s">
        <v>251</v>
      </c>
      <c r="F190" s="104" t="s">
        <v>58</v>
      </c>
      <c r="G190" s="119">
        <v>1</v>
      </c>
      <c r="H190" s="114">
        <v>70557</v>
      </c>
      <c r="I190" s="65">
        <f t="shared" si="4"/>
        <v>70557</v>
      </c>
    </row>
    <row r="191" spans="1:9">
      <c r="A191" s="76">
        <v>182</v>
      </c>
      <c r="B191" s="77"/>
      <c r="C191" s="84" t="s">
        <v>60</v>
      </c>
      <c r="D191" s="94">
        <v>251</v>
      </c>
      <c r="E191" s="105" t="s">
        <v>252</v>
      </c>
      <c r="F191" s="104" t="s">
        <v>58</v>
      </c>
      <c r="G191" s="119">
        <v>1</v>
      </c>
      <c r="H191" s="114">
        <v>70557</v>
      </c>
      <c r="I191" s="65">
        <f t="shared" si="4"/>
        <v>70557</v>
      </c>
    </row>
    <row r="192" spans="1:9">
      <c r="A192" s="76">
        <v>183</v>
      </c>
      <c r="B192" s="77"/>
      <c r="C192" s="84" t="s">
        <v>60</v>
      </c>
      <c r="D192" s="94">
        <v>251</v>
      </c>
      <c r="E192" s="128" t="s">
        <v>302</v>
      </c>
      <c r="F192" s="129" t="s">
        <v>298</v>
      </c>
      <c r="G192" s="129">
        <v>1</v>
      </c>
      <c r="H192" s="122">
        <v>39500</v>
      </c>
      <c r="I192" s="65">
        <f t="shared" si="4"/>
        <v>39500</v>
      </c>
    </row>
    <row r="193" spans="1:9">
      <c r="A193" s="76">
        <v>184</v>
      </c>
      <c r="B193" s="77"/>
      <c r="C193" s="97" t="s">
        <v>60</v>
      </c>
      <c r="D193" s="94">
        <v>251</v>
      </c>
      <c r="E193" s="103" t="s">
        <v>176</v>
      </c>
      <c r="F193" s="104" t="s">
        <v>58</v>
      </c>
      <c r="G193" s="96">
        <v>2</v>
      </c>
      <c r="H193" s="114">
        <v>65988</v>
      </c>
      <c r="I193" s="65">
        <f t="shared" si="4"/>
        <v>131976</v>
      </c>
    </row>
    <row r="194" spans="1:9">
      <c r="A194" s="76">
        <v>185</v>
      </c>
      <c r="B194" s="77"/>
      <c r="C194" s="97" t="s">
        <v>60</v>
      </c>
      <c r="D194" s="94">
        <v>251</v>
      </c>
      <c r="E194" s="103" t="s">
        <v>177</v>
      </c>
      <c r="F194" s="104" t="s">
        <v>58</v>
      </c>
      <c r="G194" s="96">
        <v>4</v>
      </c>
      <c r="H194" s="114">
        <v>14038</v>
      </c>
      <c r="I194" s="65">
        <f t="shared" si="4"/>
        <v>56152</v>
      </c>
    </row>
    <row r="195" spans="1:9">
      <c r="A195" s="76">
        <v>186</v>
      </c>
      <c r="B195" s="77"/>
      <c r="C195" s="97" t="s">
        <v>60</v>
      </c>
      <c r="D195" s="98">
        <v>251</v>
      </c>
      <c r="E195" s="103" t="s">
        <v>178</v>
      </c>
      <c r="F195" s="104" t="s">
        <v>58</v>
      </c>
      <c r="G195" s="96">
        <v>6</v>
      </c>
      <c r="H195" s="114">
        <v>13972</v>
      </c>
      <c r="I195" s="65">
        <f t="shared" si="4"/>
        <v>83832</v>
      </c>
    </row>
    <row r="196" spans="1:9">
      <c r="A196" s="76">
        <v>187</v>
      </c>
      <c r="B196" s="77"/>
      <c r="C196" s="84" t="s">
        <v>60</v>
      </c>
      <c r="D196" s="94">
        <v>251</v>
      </c>
      <c r="E196" s="103" t="s">
        <v>82</v>
      </c>
      <c r="F196" s="104" t="s">
        <v>58</v>
      </c>
      <c r="G196" s="96">
        <v>6</v>
      </c>
      <c r="H196" s="114">
        <v>867</v>
      </c>
      <c r="I196" s="65">
        <f t="shared" si="4"/>
        <v>5202</v>
      </c>
    </row>
    <row r="197" spans="1:9">
      <c r="A197" s="76">
        <v>188</v>
      </c>
      <c r="B197" s="77"/>
      <c r="C197" s="84" t="s">
        <v>60</v>
      </c>
      <c r="D197" s="94">
        <v>251</v>
      </c>
      <c r="E197" s="105" t="s">
        <v>243</v>
      </c>
      <c r="F197" s="104" t="s">
        <v>63</v>
      </c>
      <c r="G197" s="89">
        <v>6</v>
      </c>
      <c r="H197" s="114">
        <v>2120</v>
      </c>
      <c r="I197" s="65">
        <f t="shared" si="4"/>
        <v>12720</v>
      </c>
    </row>
    <row r="198" spans="1:9">
      <c r="A198" s="76">
        <v>189</v>
      </c>
      <c r="B198" s="77"/>
      <c r="C198" s="97" t="s">
        <v>60</v>
      </c>
      <c r="D198" s="94">
        <v>251</v>
      </c>
      <c r="E198" s="103" t="s">
        <v>179</v>
      </c>
      <c r="F198" s="104" t="s">
        <v>63</v>
      </c>
      <c r="G198" s="96">
        <v>5</v>
      </c>
      <c r="H198" s="114">
        <v>23953</v>
      </c>
      <c r="I198" s="65">
        <f t="shared" si="4"/>
        <v>119765</v>
      </c>
    </row>
    <row r="199" spans="1:9">
      <c r="A199" s="76">
        <v>190</v>
      </c>
      <c r="B199" s="77"/>
      <c r="C199" s="84" t="s">
        <v>60</v>
      </c>
      <c r="D199" s="94">
        <v>251</v>
      </c>
      <c r="E199" s="103" t="s">
        <v>294</v>
      </c>
      <c r="F199" s="104" t="s">
        <v>63</v>
      </c>
      <c r="G199" s="96">
        <v>2</v>
      </c>
      <c r="H199" s="117">
        <v>88722</v>
      </c>
      <c r="I199" s="65">
        <f t="shared" si="4"/>
        <v>177444</v>
      </c>
    </row>
    <row r="200" spans="1:9">
      <c r="A200" s="76">
        <v>191</v>
      </c>
      <c r="B200" s="77"/>
      <c r="C200" s="88" t="s">
        <v>60</v>
      </c>
      <c r="D200" s="99">
        <v>251</v>
      </c>
      <c r="E200" s="103" t="s">
        <v>180</v>
      </c>
      <c r="F200" s="104" t="s">
        <v>63</v>
      </c>
      <c r="G200" s="96">
        <v>2</v>
      </c>
      <c r="H200" s="114">
        <v>24647</v>
      </c>
      <c r="I200" s="65">
        <f t="shared" si="4"/>
        <v>49294</v>
      </c>
    </row>
    <row r="201" spans="1:9">
      <c r="A201" s="76">
        <v>192</v>
      </c>
      <c r="B201" s="77"/>
      <c r="C201" s="93" t="s">
        <v>60</v>
      </c>
      <c r="D201" s="94">
        <v>251</v>
      </c>
      <c r="E201" s="105" t="s">
        <v>181</v>
      </c>
      <c r="F201" s="104" t="s">
        <v>63</v>
      </c>
      <c r="G201" s="96">
        <v>2</v>
      </c>
      <c r="H201" s="114">
        <v>22210</v>
      </c>
      <c r="I201" s="65">
        <f t="shared" si="4"/>
        <v>44420</v>
      </c>
    </row>
    <row r="202" spans="1:9">
      <c r="A202" s="76">
        <v>193</v>
      </c>
      <c r="B202" s="77"/>
      <c r="C202" s="97" t="s">
        <v>60</v>
      </c>
      <c r="D202" s="98">
        <v>251</v>
      </c>
      <c r="E202" s="103" t="s">
        <v>182</v>
      </c>
      <c r="F202" s="104" t="s">
        <v>63</v>
      </c>
      <c r="G202" s="96">
        <v>5</v>
      </c>
      <c r="H202" s="114">
        <v>28621</v>
      </c>
      <c r="I202" s="65">
        <f t="shared" si="4"/>
        <v>143105</v>
      </c>
    </row>
    <row r="203" spans="1:9">
      <c r="A203" s="76">
        <v>194</v>
      </c>
      <c r="B203" s="77"/>
      <c r="C203" s="84" t="s">
        <v>60</v>
      </c>
      <c r="D203" s="94">
        <v>251</v>
      </c>
      <c r="E203" s="103" t="s">
        <v>183</v>
      </c>
      <c r="F203" s="104" t="s">
        <v>63</v>
      </c>
      <c r="G203" s="96">
        <v>2</v>
      </c>
      <c r="H203" s="114">
        <v>22210</v>
      </c>
      <c r="I203" s="65">
        <f t="shared" si="4"/>
        <v>44420</v>
      </c>
    </row>
    <row r="204" spans="1:9">
      <c r="A204" s="76">
        <v>195</v>
      </c>
      <c r="B204" s="77"/>
      <c r="C204" s="97" t="s">
        <v>60</v>
      </c>
      <c r="D204" s="94">
        <v>251</v>
      </c>
      <c r="E204" s="103" t="s">
        <v>184</v>
      </c>
      <c r="F204" s="104" t="s">
        <v>63</v>
      </c>
      <c r="G204" s="96">
        <v>2</v>
      </c>
      <c r="H204" s="114">
        <v>22210</v>
      </c>
      <c r="I204" s="65">
        <f t="shared" si="4"/>
        <v>44420</v>
      </c>
    </row>
    <row r="205" spans="1:9">
      <c r="A205" s="76">
        <v>196</v>
      </c>
      <c r="B205" s="77"/>
      <c r="C205" s="84" t="s">
        <v>60</v>
      </c>
      <c r="D205" s="94">
        <v>251</v>
      </c>
      <c r="E205" s="103" t="s">
        <v>185</v>
      </c>
      <c r="F205" s="104" t="s">
        <v>63</v>
      </c>
      <c r="G205" s="96">
        <v>4</v>
      </c>
      <c r="H205" s="114">
        <v>25576</v>
      </c>
      <c r="I205" s="65">
        <f t="shared" si="4"/>
        <v>102304</v>
      </c>
    </row>
    <row r="206" spans="1:9">
      <c r="A206" s="76">
        <v>197</v>
      </c>
      <c r="B206" s="77"/>
      <c r="C206" s="93" t="s">
        <v>60</v>
      </c>
      <c r="D206" s="94">
        <v>251</v>
      </c>
      <c r="E206" s="105" t="s">
        <v>186</v>
      </c>
      <c r="F206" s="104" t="s">
        <v>63</v>
      </c>
      <c r="G206" s="96">
        <v>5</v>
      </c>
      <c r="H206" s="114">
        <v>31226</v>
      </c>
      <c r="I206" s="65">
        <f t="shared" si="4"/>
        <v>156130</v>
      </c>
    </row>
    <row r="207" spans="1:9">
      <c r="A207" s="76">
        <v>198</v>
      </c>
      <c r="B207" s="77"/>
      <c r="C207" s="97" t="s">
        <v>60</v>
      </c>
      <c r="D207" s="94">
        <v>251</v>
      </c>
      <c r="E207" s="103" t="s">
        <v>187</v>
      </c>
      <c r="F207" s="104" t="s">
        <v>63</v>
      </c>
      <c r="G207" s="96">
        <v>4</v>
      </c>
      <c r="H207" s="114">
        <v>25576</v>
      </c>
      <c r="I207" s="65">
        <f t="shared" si="4"/>
        <v>102304</v>
      </c>
    </row>
    <row r="208" spans="1:9">
      <c r="A208" s="76">
        <v>199</v>
      </c>
      <c r="B208" s="77"/>
      <c r="C208" s="84" t="s">
        <v>60</v>
      </c>
      <c r="D208" s="94">
        <v>251</v>
      </c>
      <c r="E208" s="103" t="s">
        <v>253</v>
      </c>
      <c r="F208" s="104" t="s">
        <v>63</v>
      </c>
      <c r="G208" s="119">
        <v>5</v>
      </c>
      <c r="H208" s="114">
        <v>24383</v>
      </c>
      <c r="I208" s="65">
        <f t="shared" si="4"/>
        <v>121915</v>
      </c>
    </row>
    <row r="209" spans="1:9">
      <c r="A209" s="76">
        <v>200</v>
      </c>
      <c r="B209" s="77"/>
      <c r="C209" s="97" t="s">
        <v>60</v>
      </c>
      <c r="D209" s="94">
        <v>251</v>
      </c>
      <c r="E209" s="103" t="s">
        <v>277</v>
      </c>
      <c r="F209" s="104" t="s">
        <v>58</v>
      </c>
      <c r="G209" s="96">
        <v>1</v>
      </c>
      <c r="H209" s="114">
        <v>32620</v>
      </c>
      <c r="I209" s="65">
        <f t="shared" si="4"/>
        <v>32620</v>
      </c>
    </row>
    <row r="210" spans="1:9">
      <c r="A210" s="76">
        <v>201</v>
      </c>
      <c r="B210" s="77"/>
      <c r="C210" s="97" t="s">
        <v>60</v>
      </c>
      <c r="D210" s="98">
        <v>251</v>
      </c>
      <c r="E210" s="103" t="s">
        <v>278</v>
      </c>
      <c r="F210" s="104" t="s">
        <v>279</v>
      </c>
      <c r="G210" s="96">
        <v>1</v>
      </c>
      <c r="H210" s="114">
        <v>28916</v>
      </c>
      <c r="I210" s="65">
        <f t="shared" si="4"/>
        <v>28916</v>
      </c>
    </row>
    <row r="211" spans="1:9">
      <c r="A211" s="76">
        <v>202</v>
      </c>
      <c r="B211" s="77"/>
      <c r="C211" s="84" t="s">
        <v>60</v>
      </c>
      <c r="D211" s="94">
        <v>251</v>
      </c>
      <c r="E211" s="103" t="s">
        <v>188</v>
      </c>
      <c r="F211" s="104" t="s">
        <v>58</v>
      </c>
      <c r="G211" s="96">
        <v>1</v>
      </c>
      <c r="H211" s="114">
        <v>57000</v>
      </c>
      <c r="I211" s="65">
        <f t="shared" si="4"/>
        <v>57000</v>
      </c>
    </row>
    <row r="212" spans="1:9">
      <c r="A212" s="76">
        <v>203</v>
      </c>
      <c r="B212" s="77"/>
      <c r="C212" s="88" t="s">
        <v>60</v>
      </c>
      <c r="D212" s="99">
        <v>251</v>
      </c>
      <c r="E212" s="103" t="s">
        <v>203</v>
      </c>
      <c r="F212" s="104" t="s">
        <v>58</v>
      </c>
      <c r="G212" s="96">
        <v>6</v>
      </c>
      <c r="H212" s="114">
        <v>37305</v>
      </c>
      <c r="I212" s="65">
        <f t="shared" si="4"/>
        <v>223830</v>
      </c>
    </row>
    <row r="213" spans="1:9">
      <c r="A213" s="76">
        <v>204</v>
      </c>
      <c r="B213" s="77"/>
      <c r="C213" s="97" t="s">
        <v>60</v>
      </c>
      <c r="D213" s="94">
        <v>251</v>
      </c>
      <c r="E213" s="103" t="s">
        <v>189</v>
      </c>
      <c r="F213" s="104" t="s">
        <v>58</v>
      </c>
      <c r="G213" s="96">
        <v>6</v>
      </c>
      <c r="H213" s="114">
        <v>61165</v>
      </c>
      <c r="I213" s="65">
        <f t="shared" si="4"/>
        <v>366990</v>
      </c>
    </row>
    <row r="214" spans="1:9">
      <c r="A214" s="76">
        <v>205</v>
      </c>
      <c r="B214" s="77"/>
      <c r="C214" s="88" t="s">
        <v>60</v>
      </c>
      <c r="D214" s="99">
        <v>251</v>
      </c>
      <c r="E214" s="103" t="s">
        <v>190</v>
      </c>
      <c r="F214" s="104" t="s">
        <v>58</v>
      </c>
      <c r="G214" s="96">
        <v>5</v>
      </c>
      <c r="H214" s="114">
        <v>81157</v>
      </c>
      <c r="I214" s="65">
        <f t="shared" si="4"/>
        <v>405785</v>
      </c>
    </row>
    <row r="215" spans="1:9">
      <c r="A215" s="76">
        <v>206</v>
      </c>
      <c r="B215" s="77"/>
      <c r="C215" s="93" t="s">
        <v>60</v>
      </c>
      <c r="D215" s="94">
        <v>251</v>
      </c>
      <c r="E215" s="103" t="s">
        <v>191</v>
      </c>
      <c r="F215" s="104" t="s">
        <v>78</v>
      </c>
      <c r="G215" s="96">
        <v>1</v>
      </c>
      <c r="H215" s="114">
        <v>3320</v>
      </c>
      <c r="I215" s="65">
        <f t="shared" si="4"/>
        <v>3320</v>
      </c>
    </row>
    <row r="216" spans="1:9">
      <c r="A216" s="76">
        <v>207</v>
      </c>
      <c r="B216" s="77"/>
      <c r="C216" s="97" t="s">
        <v>60</v>
      </c>
      <c r="D216" s="98">
        <v>251</v>
      </c>
      <c r="E216" s="103" t="s">
        <v>72</v>
      </c>
      <c r="F216" s="104" t="s">
        <v>58</v>
      </c>
      <c r="G216" s="96">
        <v>4</v>
      </c>
      <c r="H216" s="114">
        <v>16709</v>
      </c>
      <c r="I216" s="65">
        <f t="shared" si="4"/>
        <v>66836</v>
      </c>
    </row>
    <row r="217" spans="1:9">
      <c r="A217" s="76">
        <v>208</v>
      </c>
      <c r="B217" s="77"/>
      <c r="C217" s="84" t="s">
        <v>60</v>
      </c>
      <c r="D217" s="94">
        <v>251</v>
      </c>
      <c r="E217" s="103" t="s">
        <v>280</v>
      </c>
      <c r="F217" s="115" t="s">
        <v>279</v>
      </c>
      <c r="G217" s="96">
        <v>1</v>
      </c>
      <c r="H217" s="114">
        <v>9410</v>
      </c>
      <c r="I217" s="65">
        <f t="shared" si="4"/>
        <v>9410</v>
      </c>
    </row>
    <row r="218" spans="1:9">
      <c r="A218" s="76">
        <v>209</v>
      </c>
      <c r="B218" s="77"/>
      <c r="C218" s="84" t="s">
        <v>60</v>
      </c>
      <c r="D218" s="94">
        <v>251</v>
      </c>
      <c r="E218" s="103" t="s">
        <v>192</v>
      </c>
      <c r="F218" s="104" t="s">
        <v>63</v>
      </c>
      <c r="G218" s="96">
        <v>12</v>
      </c>
      <c r="H218" s="114">
        <v>1328</v>
      </c>
      <c r="I218" s="65">
        <f t="shared" si="4"/>
        <v>15936</v>
      </c>
    </row>
    <row r="219" spans="1:9">
      <c r="A219" s="76">
        <v>210</v>
      </c>
      <c r="B219" s="77"/>
      <c r="C219" s="97" t="s">
        <v>60</v>
      </c>
      <c r="D219" s="94">
        <v>251</v>
      </c>
      <c r="E219" s="95" t="s">
        <v>193</v>
      </c>
      <c r="F219" s="104" t="s">
        <v>78</v>
      </c>
      <c r="G219" s="96">
        <v>1</v>
      </c>
      <c r="H219" s="114">
        <v>8500</v>
      </c>
      <c r="I219" s="65">
        <f t="shared" si="4"/>
        <v>8500</v>
      </c>
    </row>
    <row r="220" spans="1:9">
      <c r="A220" s="76">
        <v>211</v>
      </c>
      <c r="B220" s="77"/>
      <c r="C220" s="93" t="s">
        <v>60</v>
      </c>
      <c r="D220" s="94">
        <v>251</v>
      </c>
      <c r="E220" s="95" t="s">
        <v>194</v>
      </c>
      <c r="F220" s="104" t="s">
        <v>78</v>
      </c>
      <c r="G220" s="96">
        <v>1</v>
      </c>
      <c r="H220" s="114">
        <v>7000</v>
      </c>
      <c r="I220" s="65">
        <f t="shared" si="4"/>
        <v>7000</v>
      </c>
    </row>
    <row r="221" spans="1:9">
      <c r="A221" s="76">
        <v>212</v>
      </c>
      <c r="B221" s="77"/>
      <c r="C221" s="84" t="s">
        <v>60</v>
      </c>
      <c r="D221" s="94">
        <v>251</v>
      </c>
      <c r="E221" s="128" t="s">
        <v>299</v>
      </c>
      <c r="F221" s="129" t="s">
        <v>298</v>
      </c>
      <c r="G221" s="129">
        <v>5</v>
      </c>
      <c r="H221" s="122">
        <v>1600</v>
      </c>
      <c r="I221" s="65">
        <f t="shared" si="4"/>
        <v>8000</v>
      </c>
    </row>
    <row r="222" spans="1:9">
      <c r="A222" s="76">
        <v>213</v>
      </c>
      <c r="B222" s="77"/>
      <c r="C222" s="84" t="s">
        <v>60</v>
      </c>
      <c r="D222" s="94">
        <v>251</v>
      </c>
      <c r="E222" s="128" t="s">
        <v>297</v>
      </c>
      <c r="F222" s="129" t="s">
        <v>298</v>
      </c>
      <c r="G222" s="129">
        <v>5</v>
      </c>
      <c r="H222" s="122">
        <v>1200</v>
      </c>
      <c r="I222" s="65">
        <f t="shared" si="4"/>
        <v>6000</v>
      </c>
    </row>
    <row r="223" spans="1:9">
      <c r="A223" s="76">
        <v>214</v>
      </c>
      <c r="B223" s="77"/>
      <c r="C223" s="84" t="s">
        <v>60</v>
      </c>
      <c r="D223" s="94">
        <v>251</v>
      </c>
      <c r="E223" s="95" t="s">
        <v>238</v>
      </c>
      <c r="F223" s="104" t="s">
        <v>58</v>
      </c>
      <c r="G223" s="89">
        <v>2</v>
      </c>
      <c r="H223" s="114">
        <v>22919</v>
      </c>
      <c r="I223" s="65">
        <f t="shared" si="4"/>
        <v>45838</v>
      </c>
    </row>
    <row r="224" spans="1:9">
      <c r="A224" s="76">
        <v>215</v>
      </c>
      <c r="B224" s="77"/>
      <c r="C224" s="84" t="s">
        <v>60</v>
      </c>
      <c r="D224" s="94">
        <v>251</v>
      </c>
      <c r="E224" s="105" t="s">
        <v>239</v>
      </c>
      <c r="F224" s="104" t="s">
        <v>58</v>
      </c>
      <c r="G224" s="89">
        <v>10</v>
      </c>
      <c r="H224" s="114">
        <v>66595</v>
      </c>
      <c r="I224" s="65">
        <f t="shared" si="4"/>
        <v>665950</v>
      </c>
    </row>
    <row r="225" spans="1:9">
      <c r="A225" s="76">
        <v>216</v>
      </c>
      <c r="B225" s="77"/>
      <c r="C225" s="84" t="s">
        <v>60</v>
      </c>
      <c r="D225" s="94">
        <v>251</v>
      </c>
      <c r="E225" s="120" t="s">
        <v>258</v>
      </c>
      <c r="F225" s="121" t="s">
        <v>78</v>
      </c>
      <c r="G225" s="121">
        <v>1</v>
      </c>
      <c r="H225" s="122">
        <v>6854.65</v>
      </c>
      <c r="I225" s="65">
        <f t="shared" si="4"/>
        <v>6854.65</v>
      </c>
    </row>
    <row r="226" spans="1:9">
      <c r="A226" s="76">
        <v>217</v>
      </c>
      <c r="B226" s="77"/>
      <c r="C226" s="84" t="s">
        <v>60</v>
      </c>
      <c r="D226" s="94">
        <v>251</v>
      </c>
      <c r="E226" s="120" t="s">
        <v>256</v>
      </c>
      <c r="F226" s="121" t="s">
        <v>78</v>
      </c>
      <c r="G226" s="121">
        <v>1</v>
      </c>
      <c r="H226" s="125">
        <v>6854.65</v>
      </c>
      <c r="I226" s="65">
        <f t="shared" si="4"/>
        <v>6854.65</v>
      </c>
    </row>
    <row r="227" spans="1:9">
      <c r="A227" s="76">
        <v>218</v>
      </c>
      <c r="B227" s="77"/>
      <c r="C227" s="84" t="s">
        <v>60</v>
      </c>
      <c r="D227" s="94">
        <v>251</v>
      </c>
      <c r="E227" s="120" t="s">
        <v>257</v>
      </c>
      <c r="F227" s="121" t="s">
        <v>78</v>
      </c>
      <c r="G227" s="121">
        <v>1</v>
      </c>
      <c r="H227" s="125">
        <v>6854.65</v>
      </c>
      <c r="I227" s="65">
        <f t="shared" si="4"/>
        <v>6854.65</v>
      </c>
    </row>
    <row r="228" spans="1:9">
      <c r="A228" s="76">
        <v>219</v>
      </c>
      <c r="B228" s="77"/>
      <c r="C228" s="84" t="s">
        <v>60</v>
      </c>
      <c r="D228" s="94">
        <v>251</v>
      </c>
      <c r="E228" s="118" t="s">
        <v>240</v>
      </c>
      <c r="F228" s="104" t="s">
        <v>58</v>
      </c>
      <c r="G228" s="89">
        <v>5</v>
      </c>
      <c r="H228" s="114">
        <v>42614</v>
      </c>
      <c r="I228" s="65">
        <f t="shared" si="4"/>
        <v>213070</v>
      </c>
    </row>
    <row r="229" spans="1:9">
      <c r="A229" s="76">
        <v>220</v>
      </c>
      <c r="B229" s="77"/>
      <c r="C229" s="97" t="s">
        <v>60</v>
      </c>
      <c r="D229" s="94">
        <v>251</v>
      </c>
      <c r="E229" s="95" t="s">
        <v>90</v>
      </c>
      <c r="F229" s="104" t="s">
        <v>78</v>
      </c>
      <c r="G229" s="96">
        <v>1</v>
      </c>
      <c r="H229" s="114">
        <v>25273</v>
      </c>
      <c r="I229" s="65">
        <f t="shared" si="4"/>
        <v>25273</v>
      </c>
    </row>
    <row r="230" spans="1:9">
      <c r="A230" s="76">
        <v>221</v>
      </c>
      <c r="B230" s="77"/>
      <c r="C230" s="97" t="s">
        <v>60</v>
      </c>
      <c r="D230" s="94">
        <v>251</v>
      </c>
      <c r="E230" s="95" t="s">
        <v>195</v>
      </c>
      <c r="F230" s="104" t="s">
        <v>58</v>
      </c>
      <c r="G230" s="96">
        <v>4</v>
      </c>
      <c r="H230" s="114">
        <v>8105</v>
      </c>
      <c r="I230" s="65">
        <f t="shared" si="4"/>
        <v>32420</v>
      </c>
    </row>
    <row r="231" spans="1:9">
      <c r="A231" s="76">
        <v>222</v>
      </c>
      <c r="B231" s="77"/>
      <c r="C231" s="97" t="s">
        <v>60</v>
      </c>
      <c r="D231" s="98">
        <v>251</v>
      </c>
      <c r="E231" s="95" t="s">
        <v>79</v>
      </c>
      <c r="F231" s="104" t="s">
        <v>58</v>
      </c>
      <c r="G231" s="96">
        <v>12</v>
      </c>
      <c r="H231" s="114">
        <v>13731</v>
      </c>
      <c r="I231" s="65">
        <f t="shared" si="4"/>
        <v>164772</v>
      </c>
    </row>
    <row r="232" spans="1:9">
      <c r="A232" s="76">
        <v>223</v>
      </c>
      <c r="B232" s="77"/>
      <c r="C232" s="84" t="s">
        <v>60</v>
      </c>
      <c r="D232" s="94">
        <v>251</v>
      </c>
      <c r="E232" s="95" t="s">
        <v>235</v>
      </c>
      <c r="F232" s="104" t="s">
        <v>58</v>
      </c>
      <c r="G232" s="96">
        <v>20</v>
      </c>
      <c r="H232" s="114">
        <v>1415</v>
      </c>
      <c r="I232" s="65">
        <f t="shared" si="4"/>
        <v>28300</v>
      </c>
    </row>
    <row r="233" spans="1:9">
      <c r="A233" s="76">
        <v>224</v>
      </c>
      <c r="B233" s="77"/>
      <c r="C233" s="84" t="s">
        <v>60</v>
      </c>
      <c r="D233" s="94">
        <v>251</v>
      </c>
      <c r="E233" s="103" t="s">
        <v>293</v>
      </c>
      <c r="F233" s="104" t="s">
        <v>58</v>
      </c>
      <c r="G233" s="96">
        <v>2</v>
      </c>
      <c r="H233" s="117">
        <v>20380</v>
      </c>
      <c r="I233" s="65">
        <f t="shared" si="4"/>
        <v>40760</v>
      </c>
    </row>
    <row r="234" spans="1:9">
      <c r="A234" s="76">
        <v>225</v>
      </c>
      <c r="B234" s="77"/>
      <c r="C234" s="97" t="s">
        <v>60</v>
      </c>
      <c r="D234" s="98">
        <v>251</v>
      </c>
      <c r="E234" s="95" t="s">
        <v>214</v>
      </c>
      <c r="F234" s="104" t="s">
        <v>63</v>
      </c>
      <c r="G234" s="96">
        <v>2</v>
      </c>
      <c r="H234" s="114">
        <v>4448</v>
      </c>
      <c r="I234" s="65">
        <f t="shared" si="4"/>
        <v>8896</v>
      </c>
    </row>
    <row r="235" spans="1:9">
      <c r="A235" s="76">
        <v>226</v>
      </c>
      <c r="B235" s="77"/>
      <c r="C235" s="84" t="s">
        <v>60</v>
      </c>
      <c r="D235" s="94">
        <v>251</v>
      </c>
      <c r="E235" s="105" t="s">
        <v>247</v>
      </c>
      <c r="F235" s="104" t="s">
        <v>58</v>
      </c>
      <c r="G235" s="89">
        <v>5</v>
      </c>
      <c r="H235" s="114">
        <v>9529</v>
      </c>
      <c r="I235" s="65">
        <f t="shared" ref="I235:I240" si="5">G235*H235</f>
        <v>47645</v>
      </c>
    </row>
    <row r="236" spans="1:9">
      <c r="A236" s="76">
        <v>227</v>
      </c>
      <c r="B236" s="77"/>
      <c r="C236" s="97" t="s">
        <v>60</v>
      </c>
      <c r="D236" s="98">
        <v>251</v>
      </c>
      <c r="E236" s="95" t="s">
        <v>88</v>
      </c>
      <c r="F236" s="104" t="s">
        <v>56</v>
      </c>
      <c r="G236" s="96">
        <v>1000</v>
      </c>
      <c r="H236" s="114">
        <v>11</v>
      </c>
      <c r="I236" s="65">
        <f t="shared" si="5"/>
        <v>11000</v>
      </c>
    </row>
    <row r="237" spans="1:9">
      <c r="A237" s="76">
        <v>228</v>
      </c>
      <c r="B237" s="77"/>
      <c r="C237" s="93" t="s">
        <v>60</v>
      </c>
      <c r="D237" s="94">
        <v>251</v>
      </c>
      <c r="E237" s="95" t="s">
        <v>196</v>
      </c>
      <c r="F237" s="104" t="s">
        <v>56</v>
      </c>
      <c r="G237" s="96">
        <v>4000</v>
      </c>
      <c r="H237" s="114">
        <v>11</v>
      </c>
      <c r="I237" s="65">
        <f t="shared" si="5"/>
        <v>44000</v>
      </c>
    </row>
    <row r="238" spans="1:9">
      <c r="A238" s="76">
        <v>229</v>
      </c>
      <c r="B238" s="77"/>
      <c r="C238" s="97" t="s">
        <v>60</v>
      </c>
      <c r="D238" s="94">
        <v>251</v>
      </c>
      <c r="E238" s="95" t="s">
        <v>197</v>
      </c>
      <c r="F238" s="104" t="s">
        <v>56</v>
      </c>
      <c r="G238" s="96">
        <v>4000</v>
      </c>
      <c r="H238" s="114">
        <v>18</v>
      </c>
      <c r="I238" s="65">
        <f t="shared" si="5"/>
        <v>72000</v>
      </c>
    </row>
    <row r="239" spans="1:9">
      <c r="A239" s="76">
        <v>230</v>
      </c>
      <c r="B239" s="77"/>
      <c r="C239" s="97" t="s">
        <v>60</v>
      </c>
      <c r="D239" s="94">
        <v>251</v>
      </c>
      <c r="E239" s="110" t="s">
        <v>198</v>
      </c>
      <c r="F239" s="104" t="s">
        <v>63</v>
      </c>
      <c r="G239" s="96">
        <v>1</v>
      </c>
      <c r="H239" s="114">
        <v>7221</v>
      </c>
      <c r="I239" s="65">
        <f t="shared" si="5"/>
        <v>7221</v>
      </c>
    </row>
    <row r="240" spans="1:9" ht="13.5" thickBot="1">
      <c r="A240" s="135">
        <v>231</v>
      </c>
      <c r="B240" s="136"/>
      <c r="C240" s="137" t="s">
        <v>60</v>
      </c>
      <c r="D240" s="138">
        <v>251</v>
      </c>
      <c r="E240" s="132" t="s">
        <v>199</v>
      </c>
      <c r="F240" s="130" t="s">
        <v>63</v>
      </c>
      <c r="G240" s="131">
        <v>8</v>
      </c>
      <c r="H240" s="134">
        <v>7544</v>
      </c>
      <c r="I240" s="139">
        <f t="shared" si="5"/>
        <v>60352</v>
      </c>
    </row>
    <row r="241" spans="2:9" ht="13.5" thickBot="1">
      <c r="I241" s="33"/>
    </row>
    <row r="242" spans="2:9">
      <c r="B242" s="75" t="s">
        <v>57</v>
      </c>
      <c r="C242" s="29"/>
      <c r="D242" s="29"/>
      <c r="E242" s="30"/>
      <c r="I242" s="33"/>
    </row>
    <row r="243" spans="2:9">
      <c r="B243" s="140" t="s">
        <v>59</v>
      </c>
      <c r="C243" s="141"/>
      <c r="D243" s="141"/>
      <c r="E243" s="142"/>
    </row>
    <row r="244" spans="2:9" ht="24" customHeight="1">
      <c r="B244" s="140"/>
      <c r="C244" s="141"/>
      <c r="D244" s="141"/>
      <c r="E244" s="142"/>
      <c r="F244" s="31"/>
      <c r="G244" s="32"/>
    </row>
    <row r="245" spans="2:9">
      <c r="B245" s="140" t="s">
        <v>309</v>
      </c>
      <c r="C245" s="141"/>
      <c r="D245" s="141"/>
      <c r="E245" s="142"/>
      <c r="F245" s="31"/>
      <c r="G245" s="32"/>
    </row>
    <row r="246" spans="2:9" ht="16.5" customHeight="1" thickBot="1">
      <c r="B246" s="78" t="s">
        <v>305</v>
      </c>
      <c r="C246" s="79"/>
      <c r="D246" s="80"/>
      <c r="E246" s="81"/>
      <c r="F246" s="31"/>
      <c r="G246" s="32"/>
    </row>
  </sheetData>
  <autoFilter ref="A9:I87" xr:uid="{00000000-0009-0000-0000-000000000000}"/>
  <sortState xmlns:xlrd2="http://schemas.microsoft.com/office/spreadsheetml/2017/richdata2" ref="A10:H242">
    <sortCondition ref="E10:E242"/>
  </sortState>
  <mergeCells count="9">
    <mergeCell ref="B243:E244"/>
    <mergeCell ref="B245:E245"/>
    <mergeCell ref="A6:B6"/>
    <mergeCell ref="A7:B7"/>
    <mergeCell ref="B2:H2"/>
    <mergeCell ref="A4:B4"/>
    <mergeCell ref="C4:E4"/>
    <mergeCell ref="A5:B5"/>
    <mergeCell ref="C5:E5"/>
  </mergeCells>
  <conditionalFormatting sqref="E128:E152 E171:E173">
    <cfRule type="cellIs" dxfId="68" priority="60" operator="equal">
      <formula>"duplicado"</formula>
    </cfRule>
  </conditionalFormatting>
  <conditionalFormatting sqref="E153:E154">
    <cfRule type="cellIs" dxfId="67" priority="56" operator="equal">
      <formula>"duplicado"</formula>
    </cfRule>
  </conditionalFormatting>
  <conditionalFormatting sqref="E153:E154">
    <cfRule type="duplicateValues" dxfId="66" priority="53"/>
    <cfRule type="duplicateValues" dxfId="65" priority="54"/>
    <cfRule type="cellIs" dxfId="64" priority="55" operator="equal">
      <formula>"calibra"</formula>
    </cfRule>
  </conditionalFormatting>
  <conditionalFormatting sqref="E153:E154">
    <cfRule type="duplicateValues" dxfId="63" priority="57"/>
    <cfRule type="duplicateValues" dxfId="62" priority="58"/>
    <cfRule type="cellIs" dxfId="61" priority="59" operator="equal">
      <formula>"calibra"</formula>
    </cfRule>
  </conditionalFormatting>
  <conditionalFormatting sqref="E140 E131:E132 E136:E137 E144:E152 E142">
    <cfRule type="duplicateValues" dxfId="60" priority="61"/>
    <cfRule type="duplicateValues" dxfId="59" priority="62"/>
    <cfRule type="cellIs" dxfId="58" priority="63" operator="equal">
      <formula>"calibra"</formula>
    </cfRule>
  </conditionalFormatting>
  <conditionalFormatting sqref="E144:E152 E131:E132 E136:E137 E140 E142">
    <cfRule type="duplicateValues" dxfId="57" priority="64"/>
    <cfRule type="duplicateValues" dxfId="56" priority="65"/>
    <cfRule type="cellIs" dxfId="55" priority="66" operator="equal">
      <formula>"calibra"</formula>
    </cfRule>
  </conditionalFormatting>
  <conditionalFormatting sqref="E166:E169">
    <cfRule type="cellIs" dxfId="54" priority="46" operator="equal">
      <formula>"duplicado"</formula>
    </cfRule>
  </conditionalFormatting>
  <conditionalFormatting sqref="E166 E172:E173">
    <cfRule type="duplicateValues" dxfId="53" priority="47"/>
    <cfRule type="duplicateValues" dxfId="52" priority="48"/>
    <cfRule type="cellIs" dxfId="51" priority="49" operator="equal">
      <formula>"calibra"</formula>
    </cfRule>
  </conditionalFormatting>
  <conditionalFormatting sqref="E128:E152">
    <cfRule type="duplicateValues" dxfId="50" priority="67"/>
    <cfRule type="duplicateValues" dxfId="49" priority="68"/>
    <cfRule type="cellIs" dxfId="48" priority="69" operator="equal">
      <formula>"calibra"</formula>
    </cfRule>
  </conditionalFormatting>
  <conditionalFormatting sqref="E177">
    <cfRule type="cellIs" dxfId="47" priority="36" operator="equal">
      <formula>"duplicado"</formula>
    </cfRule>
  </conditionalFormatting>
  <conditionalFormatting sqref="E177">
    <cfRule type="duplicateValues" dxfId="46" priority="37"/>
    <cfRule type="duplicateValues" dxfId="45" priority="38"/>
    <cfRule type="cellIs" dxfId="44" priority="39" operator="equal">
      <formula>"calibra"</formula>
    </cfRule>
  </conditionalFormatting>
  <conditionalFormatting sqref="E177">
    <cfRule type="duplicateValues" dxfId="43" priority="40"/>
    <cfRule type="duplicateValues" dxfId="42" priority="41"/>
    <cfRule type="cellIs" dxfId="41" priority="42" operator="equal">
      <formula>"calibra"</formula>
    </cfRule>
  </conditionalFormatting>
  <conditionalFormatting sqref="E177">
    <cfRule type="duplicateValues" dxfId="40" priority="43"/>
    <cfRule type="duplicateValues" dxfId="39" priority="44"/>
    <cfRule type="cellIs" dxfId="38" priority="45" operator="equal">
      <formula>"calibra"</formula>
    </cfRule>
  </conditionalFormatting>
  <conditionalFormatting sqref="E179">
    <cfRule type="cellIs" dxfId="37" priority="29" operator="equal">
      <formula>"duplicado"</formula>
    </cfRule>
  </conditionalFormatting>
  <conditionalFormatting sqref="E180">
    <cfRule type="cellIs" dxfId="36" priority="25" operator="equal">
      <formula>"duplicado"</formula>
    </cfRule>
  </conditionalFormatting>
  <conditionalFormatting sqref="E180">
    <cfRule type="duplicateValues" dxfId="35" priority="22"/>
    <cfRule type="duplicateValues" dxfId="34" priority="23"/>
    <cfRule type="cellIs" dxfId="33" priority="24" operator="equal">
      <formula>"calibra"</formula>
    </cfRule>
  </conditionalFormatting>
  <conditionalFormatting sqref="E180">
    <cfRule type="duplicateValues" dxfId="32" priority="26"/>
    <cfRule type="duplicateValues" dxfId="31" priority="27"/>
    <cfRule type="cellIs" dxfId="30" priority="28" operator="equal">
      <formula>"calibra"</formula>
    </cfRule>
  </conditionalFormatting>
  <conditionalFormatting sqref="E179">
    <cfRule type="duplicateValues" dxfId="29" priority="30"/>
    <cfRule type="duplicateValues" dxfId="28" priority="31"/>
    <cfRule type="cellIs" dxfId="27" priority="32" operator="equal">
      <formula>"calibra"</formula>
    </cfRule>
  </conditionalFormatting>
  <conditionalFormatting sqref="E179">
    <cfRule type="duplicateValues" dxfId="26" priority="33"/>
    <cfRule type="duplicateValues" dxfId="25" priority="34"/>
    <cfRule type="cellIs" dxfId="24" priority="35" operator="equal">
      <formula>"calibra"</formula>
    </cfRule>
  </conditionalFormatting>
  <conditionalFormatting sqref="E216">
    <cfRule type="cellIs" dxfId="23" priority="12" operator="equal">
      <formula>"duplicado"</formula>
    </cfRule>
  </conditionalFormatting>
  <conditionalFormatting sqref="E216">
    <cfRule type="duplicateValues" dxfId="22" priority="13"/>
    <cfRule type="duplicateValues" dxfId="21" priority="14"/>
    <cfRule type="cellIs" dxfId="20" priority="15" operator="equal">
      <formula>"calibra"</formula>
    </cfRule>
  </conditionalFormatting>
  <conditionalFormatting sqref="E216">
    <cfRule type="duplicateValues" dxfId="19" priority="16"/>
    <cfRule type="duplicateValues" dxfId="18" priority="17"/>
    <cfRule type="cellIs" dxfId="17" priority="18" operator="equal">
      <formula>"calibra"</formula>
    </cfRule>
  </conditionalFormatting>
  <conditionalFormatting sqref="E216">
    <cfRule type="duplicateValues" dxfId="16" priority="19"/>
    <cfRule type="duplicateValues" dxfId="15" priority="20"/>
    <cfRule type="cellIs" dxfId="14" priority="21" operator="equal">
      <formula>"calibra"</formula>
    </cfRule>
  </conditionalFormatting>
  <conditionalFormatting sqref="E228:E233">
    <cfRule type="cellIs" dxfId="13" priority="5" operator="equal">
      <formula>"duplicado"</formula>
    </cfRule>
  </conditionalFormatting>
  <conditionalFormatting sqref="E228">
    <cfRule type="duplicateValues" dxfId="12" priority="6"/>
    <cfRule type="duplicateValues" dxfId="11" priority="7"/>
    <cfRule type="cellIs" dxfId="10" priority="8" operator="equal">
      <formula>"calibra"</formula>
    </cfRule>
  </conditionalFormatting>
  <conditionalFormatting sqref="E228:E233">
    <cfRule type="duplicateValues" dxfId="9" priority="9"/>
    <cfRule type="duplicateValues" dxfId="8" priority="10"/>
    <cfRule type="cellIs" dxfId="7" priority="11" operator="equal">
      <formula>"calibra"</formula>
    </cfRule>
  </conditionalFormatting>
  <conditionalFormatting sqref="E240">
    <cfRule type="cellIs" dxfId="6" priority="4" operator="equal">
      <formula>"duplicado"</formula>
    </cfRule>
  </conditionalFormatting>
  <conditionalFormatting sqref="E240">
    <cfRule type="duplicateValues" dxfId="5" priority="1"/>
    <cfRule type="duplicateValues" dxfId="4" priority="2"/>
    <cfRule type="cellIs" dxfId="3" priority="3" operator="equal">
      <formula>"calibra"</formula>
    </cfRule>
  </conditionalFormatting>
  <conditionalFormatting sqref="E166:E169 E171:E173">
    <cfRule type="duplicateValues" dxfId="2" priority="78"/>
    <cfRule type="duplicateValues" dxfId="1" priority="79"/>
    <cfRule type="cellIs" dxfId="0" priority="80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45"/>
  <sheetViews>
    <sheetView topLeftCell="A229" zoomScale="80" zoomScaleNormal="80" workbookViewId="0">
      <selection activeCell="J246" sqref="J246"/>
    </sheetView>
  </sheetViews>
  <sheetFormatPr baseColWidth="10" defaultColWidth="9.140625" defaultRowHeight="12.75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9.570312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>
      <c r="A1" s="147" t="s">
        <v>14</v>
      </c>
      <c r="B1" s="147"/>
      <c r="C1" s="147"/>
      <c r="D1" s="147"/>
      <c r="E1" s="147"/>
      <c r="F1" s="147"/>
      <c r="G1" s="147"/>
      <c r="H1" s="147"/>
      <c r="I1" s="147"/>
      <c r="J1" s="34" t="s">
        <v>15</v>
      </c>
      <c r="K1" s="35" t="s">
        <v>306</v>
      </c>
    </row>
    <row r="2" spans="1:11" ht="18.75" customHeight="1" thickBot="1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>
      <c r="A3" s="148" t="s">
        <v>48</v>
      </c>
      <c r="B3" s="148"/>
      <c r="C3" s="148"/>
      <c r="D3" s="149" t="str">
        <f>'Necesidades Trimestrales'!C4</f>
        <v>040 - Ministerio de Salud</v>
      </c>
      <c r="E3" s="149"/>
      <c r="F3" s="149"/>
      <c r="G3" s="149"/>
      <c r="H3" s="149"/>
      <c r="I3" s="149"/>
      <c r="J3" s="149"/>
      <c r="K3" s="149"/>
    </row>
    <row r="4" spans="1:11" ht="18.75" customHeight="1" thickBot="1">
      <c r="A4" s="150" t="s">
        <v>49</v>
      </c>
      <c r="B4" s="150"/>
      <c r="C4" s="150"/>
      <c r="D4" s="149" t="str">
        <f>'Necesidades Trimestrales'!C5</f>
        <v>024 - Hospital Interzonal de Niños</v>
      </c>
      <c r="E4" s="149"/>
      <c r="F4" s="149"/>
      <c r="G4" s="149"/>
      <c r="H4" s="149"/>
      <c r="I4" s="149"/>
      <c r="J4" s="149"/>
      <c r="K4" s="149"/>
    </row>
    <row r="5" spans="1:11" ht="18.75" customHeight="1" thickBot="1">
      <c r="A5" s="150" t="s">
        <v>27</v>
      </c>
      <c r="B5" s="150"/>
      <c r="C5" s="150"/>
      <c r="D5" s="149" t="s">
        <v>51</v>
      </c>
      <c r="E5" s="149"/>
      <c r="F5" s="149"/>
      <c r="G5" s="149"/>
      <c r="H5" s="149"/>
      <c r="I5" s="149"/>
      <c r="J5" s="149"/>
      <c r="K5" s="149"/>
    </row>
    <row r="6" spans="1:11" ht="16.5" customHeight="1" thickBot="1">
      <c r="A6" s="148" t="s">
        <v>50</v>
      </c>
      <c r="B6" s="148"/>
      <c r="C6" s="148"/>
      <c r="D6" s="149" t="s">
        <v>61</v>
      </c>
      <c r="E6" s="149"/>
      <c r="F6" s="149"/>
      <c r="G6" s="149"/>
      <c r="H6" s="149"/>
      <c r="I6" s="149"/>
      <c r="J6" s="149"/>
      <c r="K6" s="149"/>
    </row>
    <row r="7" spans="1:11" ht="16.5" customHeight="1">
      <c r="A7" s="150" t="s">
        <v>16</v>
      </c>
      <c r="B7" s="150"/>
      <c r="C7" s="150"/>
      <c r="D7" s="149" t="str">
        <f>'Necesidades Trimestrales'!C7 &amp; "° Trimestre - Año " &amp; 'Necesidades Trimestrales'!C6</f>
        <v>1° Trimestre - Año 2022</v>
      </c>
      <c r="E7" s="149"/>
      <c r="F7" s="149"/>
      <c r="G7" s="149"/>
      <c r="H7" s="149"/>
      <c r="I7" s="149"/>
      <c r="J7" s="149"/>
      <c r="K7" s="149"/>
    </row>
    <row r="8" spans="1:11" ht="16.5" customHeight="1">
      <c r="A8" s="155" t="s">
        <v>17</v>
      </c>
      <c r="B8" s="155"/>
      <c r="C8" s="155"/>
      <c r="D8" s="151" t="s">
        <v>74</v>
      </c>
      <c r="E8" s="151"/>
      <c r="F8" s="151"/>
      <c r="G8" s="151"/>
      <c r="H8" s="151"/>
      <c r="I8" s="151"/>
      <c r="J8" s="151"/>
      <c r="K8" s="151"/>
    </row>
    <row r="9" spans="1:11" ht="15.75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>
      <c r="A10" s="152" t="s">
        <v>18</v>
      </c>
      <c r="B10" s="153" t="s">
        <v>19</v>
      </c>
      <c r="C10" s="153" t="s">
        <v>20</v>
      </c>
      <c r="D10" s="153"/>
      <c r="E10" s="153"/>
      <c r="F10" s="153"/>
      <c r="G10" s="153"/>
      <c r="H10" s="153" t="s">
        <v>21</v>
      </c>
      <c r="I10" s="153" t="s">
        <v>22</v>
      </c>
      <c r="J10" s="153" t="s">
        <v>23</v>
      </c>
      <c r="K10" s="154" t="s">
        <v>24</v>
      </c>
    </row>
    <row r="11" spans="1:11" ht="24" customHeight="1" thickBot="1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54"/>
    </row>
    <row r="12" spans="1:11" ht="27.75" customHeight="1">
      <c r="A12" s="44">
        <v>1</v>
      </c>
      <c r="B12" s="45"/>
      <c r="C12" s="157" t="str">
        <f>'Necesidades Trimestrales'!E10</f>
        <v>2010 ASSAY CUP</v>
      </c>
      <c r="D12" s="157"/>
      <c r="E12" s="157"/>
      <c r="F12" s="157"/>
      <c r="G12" s="157"/>
      <c r="H12" s="46" t="s">
        <v>54</v>
      </c>
      <c r="I12" s="47" t="str">
        <f>'Necesidades Trimestrales'!F10</f>
        <v>CAJA</v>
      </c>
      <c r="J12" s="48">
        <f>'Necesidades Trimestrales'!H10</f>
        <v>33494</v>
      </c>
      <c r="K12" s="49">
        <f>'Necesidades Trimestrales'!G10</f>
        <v>6</v>
      </c>
    </row>
    <row r="13" spans="1:11" ht="27.75" customHeight="1">
      <c r="A13" s="66">
        <v>2</v>
      </c>
      <c r="B13" s="67"/>
      <c r="C13" s="146" t="str">
        <f>'Necesidades Trimestrales'!E11</f>
        <v>2010 ASSAY TIP</v>
      </c>
      <c r="D13" s="146"/>
      <c r="E13" s="146"/>
      <c r="F13" s="146"/>
      <c r="G13" s="146"/>
      <c r="H13" s="70" t="s">
        <v>54</v>
      </c>
      <c r="I13" s="71" t="str">
        <f>'Necesidades Trimestrales'!F11</f>
        <v>CAJA</v>
      </c>
      <c r="J13" s="69">
        <f>'Necesidades Trimestrales'!H11</f>
        <v>24885</v>
      </c>
      <c r="K13" s="68">
        <f>'Necesidades Trimestrales'!G11</f>
        <v>6</v>
      </c>
    </row>
    <row r="14" spans="1:11" ht="27.75" customHeight="1">
      <c r="A14" s="66">
        <v>3</v>
      </c>
      <c r="B14" s="67"/>
      <c r="C14" s="146" t="str">
        <f>'Necesidades Trimestrales'!E12</f>
        <v>ACEITE DE INMERSIÓN : X 100 ML</v>
      </c>
      <c r="D14" s="146"/>
      <c r="E14" s="146"/>
      <c r="F14" s="146"/>
      <c r="G14" s="146"/>
      <c r="H14" s="70" t="s">
        <v>54</v>
      </c>
      <c r="I14" s="71" t="str">
        <f>'Necesidades Trimestrales'!F12</f>
        <v>FRASCO</v>
      </c>
      <c r="J14" s="69">
        <f>'Necesidades Trimestrales'!H12</f>
        <v>792.55</v>
      </c>
      <c r="K14" s="68">
        <f>'Necesidades Trimestrales'!G12</f>
        <v>2</v>
      </c>
    </row>
    <row r="15" spans="1:11" ht="27.75" customHeight="1">
      <c r="A15" s="66">
        <v>4</v>
      </c>
      <c r="B15" s="67"/>
      <c r="C15" s="146" t="str">
        <f>'Necesidades Trimestrales'!E13</f>
        <v>ACID WASH SOLUTION 2 X 1800 ML P/COBAS C311</v>
      </c>
      <c r="D15" s="146"/>
      <c r="E15" s="146"/>
      <c r="F15" s="146"/>
      <c r="G15" s="146"/>
      <c r="H15" s="70" t="s">
        <v>54</v>
      </c>
      <c r="I15" s="71" t="str">
        <f>'Necesidades Trimestrales'!F13</f>
        <v>CAJA</v>
      </c>
      <c r="J15" s="69">
        <f>'Necesidades Trimestrales'!H13</f>
        <v>41462</v>
      </c>
      <c r="K15" s="68">
        <f>'Necesidades Trimestrales'!G13</f>
        <v>1</v>
      </c>
    </row>
    <row r="16" spans="1:11" ht="27.75" customHeight="1">
      <c r="A16" s="66">
        <v>5</v>
      </c>
      <c r="B16" s="67"/>
      <c r="C16" s="146" t="str">
        <f>'Necesidades Trimestrales'!E14</f>
        <v>ÁDICO ÚRICO ROCHE C311</v>
      </c>
      <c r="D16" s="146"/>
      <c r="E16" s="146"/>
      <c r="F16" s="146"/>
      <c r="G16" s="146"/>
      <c r="H16" s="70" t="s">
        <v>54</v>
      </c>
      <c r="I16" s="71" t="str">
        <f>'Necesidades Trimestrales'!F14</f>
        <v>CASSETTE</v>
      </c>
      <c r="J16" s="69">
        <f>'Necesidades Trimestrales'!H14</f>
        <v>6698</v>
      </c>
      <c r="K16" s="68">
        <f>'Necesidades Trimestrales'!G14</f>
        <v>1</v>
      </c>
    </row>
    <row r="17" spans="1:11" ht="27.75" customHeight="1">
      <c r="A17" s="66">
        <v>6</v>
      </c>
      <c r="B17" s="67"/>
      <c r="C17" s="146" t="str">
        <f>'Necesidades Trimestrales'!E15</f>
        <v>AGAR BASE COLUMBIA, ESTADO: SOLIDO, PRESENTACION: ENVASE X 500 GR</v>
      </c>
      <c r="D17" s="146"/>
      <c r="E17" s="146"/>
      <c r="F17" s="146"/>
      <c r="G17" s="146"/>
      <c r="H17" s="70" t="s">
        <v>54</v>
      </c>
      <c r="I17" s="71" t="str">
        <f>'Necesidades Trimestrales'!F15</f>
        <v>FRASCO</v>
      </c>
      <c r="J17" s="69">
        <f>'Necesidades Trimestrales'!H15</f>
        <v>8828</v>
      </c>
      <c r="K17" s="68">
        <f>'Necesidades Trimestrales'!G15</f>
        <v>1</v>
      </c>
    </row>
    <row r="18" spans="1:11" ht="27.75" customHeight="1">
      <c r="A18" s="66">
        <v>7</v>
      </c>
      <c r="B18" s="67"/>
      <c r="C18" s="146" t="str">
        <f>'Necesidades Trimestrales'!E16</f>
        <v>AGAR BILIS ESCULINA, ESTADO: SOLIDO, PRESENTACION: ENVASE X 100 GR</v>
      </c>
      <c r="D18" s="146"/>
      <c r="E18" s="146"/>
      <c r="F18" s="146"/>
      <c r="G18" s="146"/>
      <c r="H18" s="70" t="s">
        <v>54</v>
      </c>
      <c r="I18" s="71" t="str">
        <f>'Necesidades Trimestrales'!F16</f>
        <v>FRASCO</v>
      </c>
      <c r="J18" s="69">
        <f>'Necesidades Trimestrales'!H16</f>
        <v>12047</v>
      </c>
      <c r="K18" s="68">
        <f>'Necesidades Trimestrales'!G16</f>
        <v>1</v>
      </c>
    </row>
    <row r="19" spans="1:11" ht="27.75" customHeight="1">
      <c r="A19" s="66">
        <v>8</v>
      </c>
      <c r="B19" s="67"/>
      <c r="C19" s="146" t="str">
        <f>'Necesidades Trimestrales'!E17</f>
        <v>AGAR C.L.D.E:  X 500 GR</v>
      </c>
      <c r="D19" s="146"/>
      <c r="E19" s="146"/>
      <c r="F19" s="146"/>
      <c r="G19" s="146"/>
      <c r="H19" s="70" t="s">
        <v>54</v>
      </c>
      <c r="I19" s="71" t="str">
        <f>'Necesidades Trimestrales'!F17</f>
        <v>FRASCO</v>
      </c>
      <c r="J19" s="69">
        <f>'Necesidades Trimestrales'!H17</f>
        <v>8022.3</v>
      </c>
      <c r="K19" s="68">
        <f>'Necesidades Trimestrales'!G17</f>
        <v>3</v>
      </c>
    </row>
    <row r="20" spans="1:11" ht="27.75" customHeight="1">
      <c r="A20" s="66">
        <v>9</v>
      </c>
      <c r="B20" s="67"/>
      <c r="C20" s="146" t="str">
        <f>'Necesidades Trimestrales'!E18</f>
        <v>AGAR CITRATO DE SIMMONS, ESTADO: SOLIDO, PRESENTACION: ENVASE X 100 GR</v>
      </c>
      <c r="D20" s="146"/>
      <c r="E20" s="146"/>
      <c r="F20" s="146"/>
      <c r="G20" s="146"/>
      <c r="H20" s="70" t="s">
        <v>54</v>
      </c>
      <c r="I20" s="71" t="str">
        <f>'Necesidades Trimestrales'!F18</f>
        <v>FRASCO</v>
      </c>
      <c r="J20" s="69">
        <f>'Necesidades Trimestrales'!H18</f>
        <v>3515</v>
      </c>
      <c r="K20" s="68">
        <f>'Necesidades Trimestrales'!G18</f>
        <v>1</v>
      </c>
    </row>
    <row r="21" spans="1:11" ht="27.75" customHeight="1">
      <c r="A21" s="66">
        <v>10</v>
      </c>
      <c r="B21" s="67"/>
      <c r="C21" s="146" t="str">
        <f>'Necesidades Trimestrales'!E19</f>
        <v>AGAR CROMOGENICO P/CANDIDA, ESTADO: SOLIDO, PRESENTACION: ENVASE X 47,7 GR</v>
      </c>
      <c r="D21" s="146"/>
      <c r="E21" s="146"/>
      <c r="F21" s="146"/>
      <c r="G21" s="146"/>
      <c r="H21" s="70" t="s">
        <v>54</v>
      </c>
      <c r="I21" s="71" t="str">
        <f>'Necesidades Trimestrales'!F19</f>
        <v>FRASCO</v>
      </c>
      <c r="J21" s="69">
        <f>'Necesidades Trimestrales'!H19</f>
        <v>47896</v>
      </c>
      <c r="K21" s="68">
        <f>'Necesidades Trimestrales'!G19</f>
        <v>1</v>
      </c>
    </row>
    <row r="22" spans="1:11" ht="26.25" customHeight="1">
      <c r="A22" s="66">
        <v>11</v>
      </c>
      <c r="B22" s="67"/>
      <c r="C22" s="146" t="str">
        <f>'Necesidades Trimestrales'!E20</f>
        <v>AGAR HIERRO TRIPLE AZUCAR, ESTADO: SOLIDO, PRESENTACION: ENVASE X 100 GR</v>
      </c>
      <c r="D22" s="146"/>
      <c r="E22" s="146"/>
      <c r="F22" s="146"/>
      <c r="G22" s="146"/>
      <c r="H22" s="70" t="s">
        <v>54</v>
      </c>
      <c r="I22" s="71" t="str">
        <f>'Necesidades Trimestrales'!F20</f>
        <v>FRASCO</v>
      </c>
      <c r="J22" s="69">
        <f>'Necesidades Trimestrales'!H20</f>
        <v>2644</v>
      </c>
      <c r="K22" s="68">
        <f>'Necesidades Trimestrales'!G20</f>
        <v>1</v>
      </c>
    </row>
    <row r="23" spans="1:11" ht="27.75" customHeight="1">
      <c r="A23" s="66">
        <v>12</v>
      </c>
      <c r="B23" s="67"/>
      <c r="C23" s="146" t="str">
        <f>'Necesidades Trimestrales'!E21</f>
        <v>AGAR LEVINE: X 500 GR</v>
      </c>
      <c r="D23" s="146"/>
      <c r="E23" s="146"/>
      <c r="F23" s="146"/>
      <c r="G23" s="146"/>
      <c r="H23" s="70" t="s">
        <v>54</v>
      </c>
      <c r="I23" s="71" t="str">
        <f>'Necesidades Trimestrales'!F21</f>
        <v>FRASCO</v>
      </c>
      <c r="J23" s="69">
        <f>'Necesidades Trimestrales'!H21</f>
        <v>8085.22</v>
      </c>
      <c r="K23" s="68">
        <f>'Necesidades Trimestrales'!G21</f>
        <v>1</v>
      </c>
    </row>
    <row r="24" spans="1:11" ht="27.75" customHeight="1">
      <c r="A24" s="66">
        <v>13</v>
      </c>
      <c r="B24" s="67"/>
      <c r="C24" s="146" t="str">
        <f>'Necesidades Trimestrales'!E22</f>
        <v>AGAR LISINA HIERRO, ESTADO: SOLIDO, PRESENTACION: ENVASE X 100 GR</v>
      </c>
      <c r="D24" s="146"/>
      <c r="E24" s="146"/>
      <c r="F24" s="146"/>
      <c r="G24" s="146"/>
      <c r="H24" s="70" t="s">
        <v>54</v>
      </c>
      <c r="I24" s="71" t="str">
        <f>'Necesidades Trimestrales'!F22</f>
        <v>FRASCO</v>
      </c>
      <c r="J24" s="69">
        <f>'Necesidades Trimestrales'!H22</f>
        <v>4954</v>
      </c>
      <c r="K24" s="68">
        <f>'Necesidades Trimestrales'!G22</f>
        <v>1</v>
      </c>
    </row>
    <row r="25" spans="1:11" ht="27.75" customHeight="1">
      <c r="A25" s="66">
        <v>14</v>
      </c>
      <c r="B25" s="67"/>
      <c r="C25" s="146" t="str">
        <f>'Necesidades Trimestrales'!E23</f>
        <v>AGAR MANITOL SALADO, ESTADO: SOLIDO, PRESENTACION: ENVASE X 100 GR</v>
      </c>
      <c r="D25" s="146"/>
      <c r="E25" s="146"/>
      <c r="F25" s="146"/>
      <c r="G25" s="146"/>
      <c r="H25" s="70" t="s">
        <v>54</v>
      </c>
      <c r="I25" s="71" t="str">
        <f>'Necesidades Trimestrales'!F23</f>
        <v>FRASCO</v>
      </c>
      <c r="J25" s="69">
        <f>'Necesidades Trimestrales'!H23</f>
        <v>1767</v>
      </c>
      <c r="K25" s="68">
        <f>'Necesidades Trimestrales'!G23</f>
        <v>1</v>
      </c>
    </row>
    <row r="26" spans="1:11" ht="27.75" customHeight="1">
      <c r="A26" s="66">
        <v>15</v>
      </c>
      <c r="B26" s="67"/>
      <c r="C26" s="146" t="str">
        <f>'Necesidades Trimestrales'!E24</f>
        <v>AGAR MULLER HILTON, ESTADO: SOLIDO, PRESENTACION: ENVASE X 500 GR</v>
      </c>
      <c r="D26" s="146"/>
      <c r="E26" s="146"/>
      <c r="F26" s="146"/>
      <c r="G26" s="146"/>
      <c r="H26" s="70" t="s">
        <v>54</v>
      </c>
      <c r="I26" s="71" t="str">
        <f>'Necesidades Trimestrales'!F24</f>
        <v>FRASCO</v>
      </c>
      <c r="J26" s="69">
        <f>'Necesidades Trimestrales'!H24</f>
        <v>11418</v>
      </c>
      <c r="K26" s="68">
        <f>'Necesidades Trimestrales'!G24</f>
        <v>1</v>
      </c>
    </row>
    <row r="27" spans="1:11" ht="27.75" customHeight="1">
      <c r="A27" s="66">
        <v>16</v>
      </c>
      <c r="B27" s="67"/>
      <c r="C27" s="146" t="str">
        <f>'Necesidades Trimestrales'!E25</f>
        <v>AGAR SABOURAUD GLUCOSA, ESTADO: SOLIDO, PRESENTACION: ENVASE X 100 GR</v>
      </c>
      <c r="D27" s="146"/>
      <c r="E27" s="146"/>
      <c r="F27" s="146"/>
      <c r="G27" s="146"/>
      <c r="H27" s="70" t="s">
        <v>54</v>
      </c>
      <c r="I27" s="71" t="str">
        <f>'Necesidades Trimestrales'!F25</f>
        <v>FRASCO</v>
      </c>
      <c r="J27" s="69">
        <f>'Necesidades Trimestrales'!H25</f>
        <v>2092</v>
      </c>
      <c r="K27" s="68">
        <f>'Necesidades Trimestrales'!G25</f>
        <v>1</v>
      </c>
    </row>
    <row r="28" spans="1:11" ht="27.75" customHeight="1">
      <c r="A28" s="66">
        <v>17</v>
      </c>
      <c r="B28" s="67"/>
      <c r="C28" s="146" t="str">
        <f>'Necesidades Trimestrales'!E26</f>
        <v>AGAR SALMONELLA- SHIGELLA, ESTADO: SOLIDO, PRESENTACION: ENVASE X 100 GR</v>
      </c>
      <c r="D28" s="146"/>
      <c r="E28" s="146"/>
      <c r="F28" s="146"/>
      <c r="G28" s="146"/>
      <c r="H28" s="70" t="s">
        <v>54</v>
      </c>
      <c r="I28" s="71" t="str">
        <f>'Necesidades Trimestrales'!F26</f>
        <v>FRASCO</v>
      </c>
      <c r="J28" s="69">
        <f>'Necesidades Trimestrales'!H26</f>
        <v>4022.1</v>
      </c>
      <c r="K28" s="68">
        <f>'Necesidades Trimestrales'!G26</f>
        <v>1</v>
      </c>
    </row>
    <row r="29" spans="1:11" ht="27.75" customHeight="1">
      <c r="A29" s="66">
        <v>18</v>
      </c>
      <c r="B29" s="67"/>
      <c r="C29" s="146" t="str">
        <f>'Necesidades Trimestrales'!E27</f>
        <v>AGAR SIM, ESTADO: SOLIDO, PRESENTACION: ENVASE X 100 GR</v>
      </c>
      <c r="D29" s="146"/>
      <c r="E29" s="146"/>
      <c r="F29" s="146"/>
      <c r="G29" s="146"/>
      <c r="H29" s="70" t="s">
        <v>54</v>
      </c>
      <c r="I29" s="71" t="str">
        <f>'Necesidades Trimestrales'!F27</f>
        <v>FRASCO</v>
      </c>
      <c r="J29" s="69">
        <f>'Necesidades Trimestrales'!H27</f>
        <v>6441.26</v>
      </c>
      <c r="K29" s="68">
        <f>'Necesidades Trimestrales'!G27</f>
        <v>1</v>
      </c>
    </row>
    <row r="30" spans="1:11" ht="27.75" customHeight="1">
      <c r="A30" s="66">
        <v>19</v>
      </c>
      <c r="B30" s="67"/>
      <c r="C30" s="146" t="str">
        <f>'Necesidades Trimestrales'!E28</f>
        <v>Agar tripteina soya, estado solido, presentacion x500gr</v>
      </c>
      <c r="D30" s="146"/>
      <c r="E30" s="146"/>
      <c r="F30" s="146"/>
      <c r="G30" s="146"/>
      <c r="H30" s="70" t="s">
        <v>54</v>
      </c>
      <c r="I30" s="71" t="str">
        <f>'Necesidades Trimestrales'!F28</f>
        <v>Frasco</v>
      </c>
      <c r="J30" s="69">
        <f>'Necesidades Trimestrales'!H28</f>
        <v>4200</v>
      </c>
      <c r="K30" s="68">
        <f>'Necesidades Trimestrales'!G28</f>
        <v>2</v>
      </c>
    </row>
    <row r="31" spans="1:11" ht="27.75" customHeight="1">
      <c r="A31" s="66">
        <v>20</v>
      </c>
      <c r="B31" s="67"/>
      <c r="C31" s="146" t="str">
        <f>'Necesidades Trimestrales'!E29</f>
        <v>ALBUMINA COBAS C-311 ROCHE  X 300 DET</v>
      </c>
      <c r="D31" s="146"/>
      <c r="E31" s="146"/>
      <c r="F31" s="146"/>
      <c r="G31" s="146"/>
      <c r="H31" s="70" t="s">
        <v>54</v>
      </c>
      <c r="I31" s="71" t="str">
        <f>'Necesidades Trimestrales'!F29</f>
        <v>CASSETTE</v>
      </c>
      <c r="J31" s="69">
        <f>'Necesidades Trimestrales'!H29</f>
        <v>2452</v>
      </c>
      <c r="K31" s="68">
        <f>'Necesidades Trimestrales'!G29</f>
        <v>1</v>
      </c>
    </row>
    <row r="32" spans="1:11" ht="27.75" customHeight="1">
      <c r="A32" s="66">
        <v>21</v>
      </c>
      <c r="B32" s="74"/>
      <c r="C32" s="146" t="str">
        <f>'Necesidades Trimestrales'!E30</f>
        <v>ALFA FETO PROTEINA CALIBRADOR COBAS ROCHE</v>
      </c>
      <c r="D32" s="146"/>
      <c r="E32" s="146"/>
      <c r="F32" s="146"/>
      <c r="G32" s="146"/>
      <c r="H32" s="70" t="s">
        <v>54</v>
      </c>
      <c r="I32" s="71" t="str">
        <f>'Necesidades Trimestrales'!F30</f>
        <v>CAJA</v>
      </c>
      <c r="J32" s="69">
        <f>'Necesidades Trimestrales'!H30</f>
        <v>15611</v>
      </c>
      <c r="K32" s="68">
        <f>'Necesidades Trimestrales'!G30</f>
        <v>1</v>
      </c>
    </row>
    <row r="33" spans="1:14" ht="27.75" customHeight="1">
      <c r="A33" s="66">
        <v>22</v>
      </c>
      <c r="B33" s="74"/>
      <c r="C33" s="146" t="str">
        <f>'Necesidades Trimestrales'!E31</f>
        <v>ALFA FETO PROTEINA COBAS ROCHE</v>
      </c>
      <c r="D33" s="146"/>
      <c r="E33" s="146"/>
      <c r="F33" s="146"/>
      <c r="G33" s="146"/>
      <c r="H33" s="70" t="s">
        <v>54</v>
      </c>
      <c r="I33" s="71" t="str">
        <f>'Necesidades Trimestrales'!F31</f>
        <v>CASSETTE</v>
      </c>
      <c r="J33" s="69">
        <f>'Necesidades Trimestrales'!H31</f>
        <v>27019</v>
      </c>
      <c r="K33" s="68">
        <f>'Necesidades Trimestrales'!G31</f>
        <v>2</v>
      </c>
    </row>
    <row r="34" spans="1:14" ht="27.75" customHeight="1">
      <c r="A34" s="66">
        <v>23</v>
      </c>
      <c r="B34" s="74"/>
      <c r="C34" s="146" t="str">
        <f>'Necesidades Trimestrales'!E32</f>
        <v>ALT/GPT IFCCROCHE C311</v>
      </c>
      <c r="D34" s="146"/>
      <c r="E34" s="146"/>
      <c r="F34" s="146"/>
      <c r="G34" s="146"/>
      <c r="H34" s="70" t="s">
        <v>54</v>
      </c>
      <c r="I34" s="71" t="str">
        <f>'Necesidades Trimestrales'!F32</f>
        <v>CASSETTE</v>
      </c>
      <c r="J34" s="69">
        <f>'Necesidades Trimestrales'!H32</f>
        <v>10621</v>
      </c>
      <c r="K34" s="68">
        <f>'Necesidades Trimestrales'!G32</f>
        <v>6</v>
      </c>
    </row>
    <row r="35" spans="1:14" ht="27.75" customHeight="1">
      <c r="A35" s="66">
        <v>24</v>
      </c>
      <c r="B35" s="74"/>
      <c r="C35" s="146" t="str">
        <f>'Necesidades Trimestrales'!E33</f>
        <v>AMICACINA 30 µGR, ESTADO: DISCO, CALIDAD: PRO ANALISIS, PRESENTACION: ENVASE X 50 UN</v>
      </c>
      <c r="D35" s="146"/>
      <c r="E35" s="146"/>
      <c r="F35" s="146"/>
      <c r="G35" s="146"/>
      <c r="H35" s="70" t="s">
        <v>54</v>
      </c>
      <c r="I35" s="71" t="str">
        <f>'Necesidades Trimestrales'!F33</f>
        <v>FRASCO</v>
      </c>
      <c r="J35" s="69">
        <f>'Necesidades Trimestrales'!H33</f>
        <v>532.4</v>
      </c>
      <c r="K35" s="68">
        <f>'Necesidades Trimestrales'!G33</f>
        <v>2</v>
      </c>
    </row>
    <row r="36" spans="1:14" ht="27.75" customHeight="1">
      <c r="A36" s="66">
        <v>25</v>
      </c>
      <c r="B36" s="74"/>
      <c r="C36" s="146" t="str">
        <f>'Necesidades Trimestrales'!E34</f>
        <v>AMILASA TOTAL COBAS C-311 ROCHE  X 300 DET</v>
      </c>
      <c r="D36" s="146"/>
      <c r="E36" s="146"/>
      <c r="F36" s="146"/>
      <c r="G36" s="146"/>
      <c r="H36" s="70" t="s">
        <v>54</v>
      </c>
      <c r="I36" s="71" t="str">
        <f>'Necesidades Trimestrales'!F34</f>
        <v>CASSETTE</v>
      </c>
      <c r="J36" s="69">
        <f>'Necesidades Trimestrales'!H34</f>
        <v>12671</v>
      </c>
      <c r="K36" s="68">
        <f>'Necesidades Trimestrales'!G34</f>
        <v>2</v>
      </c>
    </row>
    <row r="37" spans="1:14" ht="27.75" customHeight="1">
      <c r="A37" s="66">
        <v>26</v>
      </c>
      <c r="B37" s="74"/>
      <c r="C37" s="146" t="str">
        <f>'Necesidades Trimestrales'!E35</f>
        <v>ANCA-C (etanol) KITS (IFI)-  ALTERNATIVA</v>
      </c>
      <c r="D37" s="146"/>
      <c r="E37" s="146"/>
      <c r="F37" s="146"/>
      <c r="G37" s="146"/>
      <c r="H37" s="70" t="s">
        <v>54</v>
      </c>
      <c r="I37" s="71" t="str">
        <f>'Necesidades Trimestrales'!F35</f>
        <v>CAJA</v>
      </c>
      <c r="J37" s="69">
        <f>'Necesidades Trimestrales'!H35</f>
        <v>30000</v>
      </c>
      <c r="K37" s="68">
        <f>'Necesidades Trimestrales'!G35</f>
        <v>3</v>
      </c>
    </row>
    <row r="38" spans="1:14" ht="27.75" customHeight="1">
      <c r="A38" s="66">
        <v>27</v>
      </c>
      <c r="B38" s="74"/>
      <c r="C38" s="146" t="str">
        <f>'Necesidades Trimestrales'!E36</f>
        <v>ANTI HBV CORE ROCHE E411</v>
      </c>
      <c r="D38" s="146"/>
      <c r="E38" s="146"/>
      <c r="F38" s="146"/>
      <c r="G38" s="146"/>
      <c r="H38" s="70" t="s">
        <v>54</v>
      </c>
      <c r="I38" s="71" t="str">
        <f>'Necesidades Trimestrales'!F36</f>
        <v>CASSETTE</v>
      </c>
      <c r="J38" s="69">
        <f>'Necesidades Trimestrales'!H36</f>
        <v>36011</v>
      </c>
      <c r="K38" s="68">
        <f>'Necesidades Trimestrales'!G36</f>
        <v>1</v>
      </c>
    </row>
    <row r="39" spans="1:14" ht="27.75" customHeight="1">
      <c r="A39" s="66">
        <v>28</v>
      </c>
      <c r="B39" s="74"/>
      <c r="C39" s="146" t="str">
        <f>'Necesidades Trimestrales'!E37</f>
        <v>ANTI HCV ROCHE E411</v>
      </c>
      <c r="D39" s="146"/>
      <c r="E39" s="146"/>
      <c r="F39" s="146"/>
      <c r="G39" s="146"/>
      <c r="H39" s="70" t="s">
        <v>54</v>
      </c>
      <c r="I39" s="71" t="str">
        <f>'Necesidades Trimestrales'!F37</f>
        <v>CASSETTE</v>
      </c>
      <c r="J39" s="69">
        <f>'Necesidades Trimestrales'!H37</f>
        <v>81200</v>
      </c>
      <c r="K39" s="68">
        <f>'Necesidades Trimestrales'!G37</f>
        <v>5</v>
      </c>
    </row>
    <row r="40" spans="1:14" ht="27.75" customHeight="1">
      <c r="A40" s="66">
        <v>29</v>
      </c>
      <c r="B40" s="74"/>
      <c r="C40" s="146" t="str">
        <f>'Necesidades Trimestrales'!E38</f>
        <v>ANTI-TG COBAS ROCHE</v>
      </c>
      <c r="D40" s="146"/>
      <c r="E40" s="146"/>
      <c r="F40" s="146"/>
      <c r="G40" s="146"/>
      <c r="H40" s="70" t="s">
        <v>54</v>
      </c>
      <c r="I40" s="71" t="str">
        <f>'Necesidades Trimestrales'!F38</f>
        <v>CASSETTE</v>
      </c>
      <c r="J40" s="69">
        <f>'Necesidades Trimestrales'!H38</f>
        <v>27872</v>
      </c>
      <c r="K40" s="68">
        <f>'Necesidades Trimestrales'!G38</f>
        <v>3</v>
      </c>
    </row>
    <row r="41" spans="1:14" ht="27.75" customHeight="1">
      <c r="A41" s="66">
        <v>30</v>
      </c>
      <c r="B41" s="74"/>
      <c r="C41" s="146" t="str">
        <f>'Necesidades Trimestrales'!E39</f>
        <v>ANTI-TPO COBAS ROCHE</v>
      </c>
      <c r="D41" s="146"/>
      <c r="E41" s="146"/>
      <c r="F41" s="146"/>
      <c r="G41" s="146"/>
      <c r="H41" s="70" t="s">
        <v>54</v>
      </c>
      <c r="I41" s="71" t="str">
        <f>'Necesidades Trimestrales'!F39</f>
        <v>CASSETTE</v>
      </c>
      <c r="J41" s="69">
        <f>'Necesidades Trimestrales'!H39</f>
        <v>27872</v>
      </c>
      <c r="K41" s="68">
        <f>'Necesidades Trimestrales'!G39</f>
        <v>4</v>
      </c>
    </row>
    <row r="42" spans="1:14" ht="27.75" customHeight="1">
      <c r="A42" s="66">
        <v>31</v>
      </c>
      <c r="B42" s="74"/>
      <c r="C42" s="146" t="str">
        <f>'Necesidades Trimestrales'!E40</f>
        <v>APTT-P 10X4ML HEMOMEDICA</v>
      </c>
      <c r="D42" s="146"/>
      <c r="E42" s="146"/>
      <c r="F42" s="146"/>
      <c r="G42" s="146"/>
      <c r="H42" s="70" t="s">
        <v>54</v>
      </c>
      <c r="I42" s="71" t="str">
        <f>'Necesidades Trimestrales'!F40</f>
        <v>CAJA</v>
      </c>
      <c r="J42" s="69">
        <f>'Necesidades Trimestrales'!H40</f>
        <v>9491</v>
      </c>
      <c r="K42" s="68">
        <f>'Necesidades Trimestrales'!G40</f>
        <v>3</v>
      </c>
    </row>
    <row r="43" spans="1:14" ht="27.75" customHeight="1">
      <c r="A43" s="66">
        <v>32</v>
      </c>
      <c r="B43" s="74"/>
      <c r="C43" s="146" t="str">
        <f>'Necesidades Trimestrales'!E41</f>
        <v>AST/GOT IFCC ROCHE C311</v>
      </c>
      <c r="D43" s="146"/>
      <c r="E43" s="146"/>
      <c r="F43" s="146"/>
      <c r="G43" s="146"/>
      <c r="H43" s="70" t="s">
        <v>54</v>
      </c>
      <c r="I43" s="71" t="str">
        <f>'Necesidades Trimestrales'!F41</f>
        <v>CASSETTE</v>
      </c>
      <c r="J43" s="69">
        <f>'Necesidades Trimestrales'!H41</f>
        <v>10621</v>
      </c>
      <c r="K43" s="68">
        <f>'Necesidades Trimestrales'!G41</f>
        <v>6</v>
      </c>
    </row>
    <row r="44" spans="1:14" ht="27.75" customHeight="1">
      <c r="A44" s="66">
        <v>33</v>
      </c>
      <c r="B44" s="74"/>
      <c r="C44" s="146" t="str">
        <f>'Necesidades Trimestrales'!E42</f>
        <v>BILIRRUBINA DIRECTA gen2</v>
      </c>
      <c r="D44" s="146"/>
      <c r="E44" s="146"/>
      <c r="F44" s="146"/>
      <c r="G44" s="146"/>
      <c r="H44" s="70" t="s">
        <v>54</v>
      </c>
      <c r="I44" s="71" t="str">
        <f>'Necesidades Trimestrales'!F42</f>
        <v>CASSETTE</v>
      </c>
      <c r="J44" s="69">
        <f>'Necesidades Trimestrales'!H42</f>
        <v>4920</v>
      </c>
      <c r="K44" s="68">
        <f>'Necesidades Trimestrales'!G42</f>
        <v>1</v>
      </c>
    </row>
    <row r="45" spans="1:14" ht="27.75" customHeight="1">
      <c r="A45" s="66">
        <v>34</v>
      </c>
      <c r="B45" s="74"/>
      <c r="C45" s="146" t="str">
        <f>'Necesidades Trimestrales'!E43</f>
        <v>CA- MICRO ELECTRODE</v>
      </c>
      <c r="D45" s="146"/>
      <c r="E45" s="146"/>
      <c r="F45" s="146"/>
      <c r="G45" s="146"/>
      <c r="H45" s="70" t="s">
        <v>54</v>
      </c>
      <c r="I45" s="71" t="str">
        <f>'Necesidades Trimestrales'!F43</f>
        <v>CAJA</v>
      </c>
      <c r="J45" s="69">
        <f>'Necesidades Trimestrales'!H43</f>
        <v>15503</v>
      </c>
      <c r="K45" s="68">
        <f>'Necesidades Trimestrales'!G43</f>
        <v>1</v>
      </c>
    </row>
    <row r="46" spans="1:14" ht="27.75" customHeight="1">
      <c r="A46" s="66">
        <v>35</v>
      </c>
      <c r="B46" s="74"/>
      <c r="C46" s="146" t="str">
        <f>'Necesidades Trimestrales'!E44</f>
        <v>CALCIO COBAS C-311 ROCHE  X 300 DET</v>
      </c>
      <c r="D46" s="146"/>
      <c r="E46" s="146"/>
      <c r="F46" s="146"/>
      <c r="G46" s="146"/>
      <c r="H46" s="70" t="s">
        <v>54</v>
      </c>
      <c r="I46" s="71" t="str">
        <f>'Necesidades Trimestrales'!F44</f>
        <v>CASSETTE</v>
      </c>
      <c r="J46" s="69">
        <f>'Necesidades Trimestrales'!H44</f>
        <v>5050</v>
      </c>
      <c r="K46" s="68">
        <f>'Necesidades Trimestrales'!G44</f>
        <v>2</v>
      </c>
    </row>
    <row r="47" spans="1:14" ht="27.75" customHeight="1">
      <c r="A47" s="66">
        <v>36</v>
      </c>
      <c r="B47" s="74"/>
      <c r="C47" s="146" t="str">
        <f>'Necesidades Trimestrales'!E45</f>
        <v xml:space="preserve">CALIBRADOR  PROLACTINA X  10 CAL  COBAS E-411 ROCHE </v>
      </c>
      <c r="D47" s="146"/>
      <c r="E47" s="146"/>
      <c r="F47" s="146"/>
      <c r="G47" s="146"/>
      <c r="H47" s="70" t="s">
        <v>54</v>
      </c>
      <c r="I47" s="71" t="str">
        <f>'Necesidades Trimestrales'!F45</f>
        <v>CAJA</v>
      </c>
      <c r="J47" s="69">
        <f>'Necesidades Trimestrales'!H45</f>
        <v>15611</v>
      </c>
      <c r="K47" s="68">
        <f>'Necesidades Trimestrales'!G45</f>
        <v>1</v>
      </c>
      <c r="N47" s="36" t="s">
        <v>55</v>
      </c>
    </row>
    <row r="48" spans="1:14" ht="27.75" customHeight="1">
      <c r="A48" s="66">
        <v>37</v>
      </c>
      <c r="B48" s="74"/>
      <c r="C48" s="146" t="str">
        <f>'Necesidades Trimestrales'!E46</f>
        <v>CALIBRADOR ( CALSET) ANTI TPO X 10 CAL COBAS E-411 ROCHE</v>
      </c>
      <c r="D48" s="146"/>
      <c r="E48" s="146"/>
      <c r="F48" s="146"/>
      <c r="G48" s="146"/>
      <c r="H48" s="70" t="s">
        <v>54</v>
      </c>
      <c r="I48" s="71" t="str">
        <f>'Necesidades Trimestrales'!F46</f>
        <v>CAJA</v>
      </c>
      <c r="J48" s="69">
        <f>'Necesidades Trimestrales'!H46</f>
        <v>20282</v>
      </c>
      <c r="K48" s="68">
        <f>'Necesidades Trimestrales'!G46</f>
        <v>1</v>
      </c>
    </row>
    <row r="49" spans="1:11" ht="27.75" customHeight="1">
      <c r="A49" s="66">
        <v>38</v>
      </c>
      <c r="B49" s="74"/>
      <c r="C49" s="146" t="str">
        <f>'Necesidades Trimestrales'!E47</f>
        <v>CALIBRADOR ( CALSET) CORTISOL X 10 CAL COBAS E-411 ROCHE</v>
      </c>
      <c r="D49" s="146"/>
      <c r="E49" s="146"/>
      <c r="F49" s="146"/>
      <c r="G49" s="146"/>
      <c r="H49" s="70" t="s">
        <v>54</v>
      </c>
      <c r="I49" s="71" t="str">
        <f>'Necesidades Trimestrales'!F47</f>
        <v>CAJA</v>
      </c>
      <c r="J49" s="69">
        <f>'Necesidades Trimestrales'!H47</f>
        <v>18627</v>
      </c>
      <c r="K49" s="68">
        <f>'Necesidades Trimestrales'!G47</f>
        <v>1</v>
      </c>
    </row>
    <row r="50" spans="1:11" ht="27.75" customHeight="1">
      <c r="A50" s="66">
        <v>39</v>
      </c>
      <c r="B50" s="74"/>
      <c r="C50" s="146" t="str">
        <f>'Necesidades Trimestrales'!E48</f>
        <v>CALIBRADOR (CALSET) ANTI TIROGLOBULINA P COBAS E411</v>
      </c>
      <c r="D50" s="146"/>
      <c r="E50" s="146"/>
      <c r="F50" s="146"/>
      <c r="G50" s="146"/>
      <c r="H50" s="70" t="s">
        <v>54</v>
      </c>
      <c r="I50" s="71" t="str">
        <f>'Necesidades Trimestrales'!F48</f>
        <v>CAJA</v>
      </c>
      <c r="J50" s="69">
        <f>'Necesidades Trimestrales'!H48</f>
        <v>20282</v>
      </c>
      <c r="K50" s="68">
        <f>'Necesidades Trimestrales'!G48</f>
        <v>1</v>
      </c>
    </row>
    <row r="51" spans="1:11" ht="27.75" customHeight="1">
      <c r="A51" s="66">
        <v>40</v>
      </c>
      <c r="B51" s="74"/>
      <c r="C51" s="146" t="str">
        <f>'Necesidades Trimestrales'!E49</f>
        <v>CALIBRADOR (CALSET) ESTRADIOL X 10 CAL COBAS E-411 ROCHE</v>
      </c>
      <c r="D51" s="146"/>
      <c r="E51" s="146"/>
      <c r="F51" s="146"/>
      <c r="G51" s="146"/>
      <c r="H51" s="70" t="s">
        <v>54</v>
      </c>
      <c r="I51" s="71" t="str">
        <f>'Necesidades Trimestrales'!F49</f>
        <v>CAJA</v>
      </c>
      <c r="J51" s="69">
        <f>'Necesidades Trimestrales'!H49</f>
        <v>20282</v>
      </c>
      <c r="K51" s="68">
        <f>'Necesidades Trimestrales'!G49</f>
        <v>1</v>
      </c>
    </row>
    <row r="52" spans="1:11" ht="27.75" customHeight="1">
      <c r="A52" s="66">
        <v>41</v>
      </c>
      <c r="B52" s="74"/>
      <c r="C52" s="146" t="str">
        <f>'Necesidades Trimestrales'!E50</f>
        <v>CALIBRADOR (CALSET) FSH  X 10 CAL COBAS E-411 ROCHE</v>
      </c>
      <c r="D52" s="146"/>
      <c r="E52" s="146"/>
      <c r="F52" s="146"/>
      <c r="G52" s="146"/>
      <c r="H52" s="70" t="s">
        <v>54</v>
      </c>
      <c r="I52" s="71" t="str">
        <f>'Necesidades Trimestrales'!F50</f>
        <v>CAJA</v>
      </c>
      <c r="J52" s="69">
        <f>'Necesidades Trimestrales'!H50</f>
        <v>15611</v>
      </c>
      <c r="K52" s="68">
        <f>'Necesidades Trimestrales'!G50</f>
        <v>1</v>
      </c>
    </row>
    <row r="53" spans="1:11" ht="27.75" customHeight="1">
      <c r="A53" s="66">
        <v>42</v>
      </c>
      <c r="B53" s="74"/>
      <c r="C53" s="146" t="str">
        <f>'Necesidades Trimestrales'!E51</f>
        <v xml:space="preserve">CALIBRADOR FT4 X 10 CAL COBAS E-411 ROCHE </v>
      </c>
      <c r="D53" s="146"/>
      <c r="E53" s="146"/>
      <c r="F53" s="146"/>
      <c r="G53" s="146"/>
      <c r="H53" s="70" t="s">
        <v>54</v>
      </c>
      <c r="I53" s="71" t="str">
        <f>'Necesidades Trimestrales'!F51</f>
        <v>CAJA</v>
      </c>
      <c r="J53" s="69">
        <f>'Necesidades Trimestrales'!H51</f>
        <v>14996</v>
      </c>
      <c r="K53" s="68">
        <f>'Necesidades Trimestrales'!G51</f>
        <v>1</v>
      </c>
    </row>
    <row r="54" spans="1:11" ht="27.75" customHeight="1">
      <c r="A54" s="66">
        <v>43</v>
      </c>
      <c r="B54" s="74"/>
      <c r="C54" s="146" t="str">
        <f>'Necesidades Trimestrales'!E52</f>
        <v>CALIBRADOR HCG+BETA II CALSET PARA COBAS E411</v>
      </c>
      <c r="D54" s="146"/>
      <c r="E54" s="146"/>
      <c r="F54" s="146"/>
      <c r="G54" s="146"/>
      <c r="H54" s="70" t="s">
        <v>54</v>
      </c>
      <c r="I54" s="71" t="str">
        <f>'Necesidades Trimestrales'!F52</f>
        <v>CAJA</v>
      </c>
      <c r="J54" s="69">
        <f>'Necesidades Trimestrales'!H52</f>
        <v>15611</v>
      </c>
      <c r="K54" s="68">
        <f>'Necesidades Trimestrales'!G52</f>
        <v>1</v>
      </c>
    </row>
    <row r="55" spans="1:11" ht="27.75" customHeight="1">
      <c r="A55" s="66">
        <v>44</v>
      </c>
      <c r="B55" s="74"/>
      <c r="C55" s="146" t="str">
        <f>'Necesidades Trimestrales'!E53</f>
        <v>CALIBRADOR PARA INSULINA X 10 CAL COBAS E-411 ROCHE</v>
      </c>
      <c r="D55" s="146"/>
      <c r="E55" s="146"/>
      <c r="F55" s="146"/>
      <c r="G55" s="146"/>
      <c r="H55" s="70" t="s">
        <v>54</v>
      </c>
      <c r="I55" s="71" t="str">
        <f>'Necesidades Trimestrales'!F53</f>
        <v>CAJA</v>
      </c>
      <c r="J55" s="69">
        <f>'Necesidades Trimestrales'!H53</f>
        <v>14350</v>
      </c>
      <c r="K55" s="68">
        <f>'Necesidades Trimestrales'!G53</f>
        <v>1</v>
      </c>
    </row>
    <row r="56" spans="1:11" ht="27.75" customHeight="1">
      <c r="A56" s="66">
        <v>45</v>
      </c>
      <c r="B56" s="74"/>
      <c r="C56" s="146" t="str">
        <f>'Necesidades Trimestrales'!E54</f>
        <v>CALIBRADOR PARA LH  X 10  CAL COBAS E-411 ROCHE</v>
      </c>
      <c r="D56" s="146"/>
      <c r="E56" s="146"/>
      <c r="F56" s="146"/>
      <c r="G56" s="146"/>
      <c r="H56" s="70" t="s">
        <v>54</v>
      </c>
      <c r="I56" s="71" t="str">
        <f>'Necesidades Trimestrales'!F54</f>
        <v>CAJA</v>
      </c>
      <c r="J56" s="69">
        <f>'Necesidades Trimestrales'!H54</f>
        <v>15611</v>
      </c>
      <c r="K56" s="68">
        <f>'Necesidades Trimestrales'!G54</f>
        <v>1</v>
      </c>
    </row>
    <row r="57" spans="1:11" ht="27.75" customHeight="1">
      <c r="A57" s="66">
        <v>46</v>
      </c>
      <c r="B57" s="74"/>
      <c r="C57" s="146" t="str">
        <f>'Necesidades Trimestrales'!E55</f>
        <v>CALIBRADOR T3 TOTAL X 10 CAL  COBAS E-411 ROCHE</v>
      </c>
      <c r="D57" s="146"/>
      <c r="E57" s="146"/>
      <c r="F57" s="146"/>
      <c r="G57" s="146"/>
      <c r="H57" s="70" t="s">
        <v>54</v>
      </c>
      <c r="I57" s="71" t="str">
        <f>'Necesidades Trimestrales'!F55</f>
        <v>CAJA</v>
      </c>
      <c r="J57" s="69">
        <f>'Necesidades Trimestrales'!H55</f>
        <v>14996</v>
      </c>
      <c r="K57" s="68">
        <f>'Necesidades Trimestrales'!G55</f>
        <v>1</v>
      </c>
    </row>
    <row r="58" spans="1:11" ht="27.75" customHeight="1">
      <c r="A58" s="66">
        <v>47</v>
      </c>
      <c r="B58" s="74"/>
      <c r="C58" s="146" t="str">
        <f>'Necesidades Trimestrales'!E56</f>
        <v>CALIBRADOR T4 TOTAL X 10 CAL  COBAS E-411 ROCHE</v>
      </c>
      <c r="D58" s="146"/>
      <c r="E58" s="146"/>
      <c r="F58" s="146"/>
      <c r="G58" s="146"/>
      <c r="H58" s="70" t="s">
        <v>54</v>
      </c>
      <c r="I58" s="71" t="str">
        <f>'Necesidades Trimestrales'!F56</f>
        <v>CASSETTE</v>
      </c>
      <c r="J58" s="69">
        <f>'Necesidades Trimestrales'!H56</f>
        <v>14996</v>
      </c>
      <c r="K58" s="68">
        <f>'Necesidades Trimestrales'!G56</f>
        <v>1</v>
      </c>
    </row>
    <row r="59" spans="1:11" ht="27.75" customHeight="1">
      <c r="A59" s="66">
        <v>48</v>
      </c>
      <c r="B59" s="74"/>
      <c r="C59" s="146" t="str">
        <f>'Necesidades Trimestrales'!E57</f>
        <v>CALIBRADOR TSH  X 10 CAL COBAS E-411  ROCHE</v>
      </c>
      <c r="D59" s="146"/>
      <c r="E59" s="146"/>
      <c r="F59" s="146"/>
      <c r="G59" s="146"/>
      <c r="H59" s="70" t="s">
        <v>54</v>
      </c>
      <c r="I59" s="71" t="str">
        <f>'Necesidades Trimestrales'!F57</f>
        <v>CAJA</v>
      </c>
      <c r="J59" s="69">
        <f>'Necesidades Trimestrales'!H57</f>
        <v>11686</v>
      </c>
      <c r="K59" s="68">
        <f>'Necesidades Trimestrales'!G57</f>
        <v>1</v>
      </c>
    </row>
    <row r="60" spans="1:11" ht="27.75" customHeight="1">
      <c r="A60" s="66">
        <v>49</v>
      </c>
      <c r="B60" s="74"/>
      <c r="C60" s="146" t="str">
        <f>'Necesidades Trimestrales'!E58</f>
        <v>CELLPACK 20 L SYSMEX XS 1000</v>
      </c>
      <c r="D60" s="146"/>
      <c r="E60" s="146"/>
      <c r="F60" s="146"/>
      <c r="G60" s="146"/>
      <c r="H60" s="70" t="s">
        <v>54</v>
      </c>
      <c r="I60" s="71" t="str">
        <f>'Necesidades Trimestrales'!F58</f>
        <v>CAJA</v>
      </c>
      <c r="J60" s="69">
        <f>'Necesidades Trimestrales'!H58</f>
        <v>7932</v>
      </c>
      <c r="K60" s="68">
        <f>'Necesidades Trimestrales'!G58</f>
        <v>5</v>
      </c>
    </row>
    <row r="61" spans="1:11" ht="27.75" customHeight="1">
      <c r="A61" s="66">
        <v>50</v>
      </c>
      <c r="B61" s="74"/>
      <c r="C61" s="146" t="str">
        <f>'Necesidades Trimestrales'!E59</f>
        <v>CFAS HBA1C CALIBRATOR,</v>
      </c>
      <c r="D61" s="146"/>
      <c r="E61" s="146"/>
      <c r="F61" s="146"/>
      <c r="G61" s="146"/>
      <c r="H61" s="70" t="s">
        <v>54</v>
      </c>
      <c r="I61" s="71" t="str">
        <f>'Necesidades Trimestrales'!F59</f>
        <v>CAJA</v>
      </c>
      <c r="J61" s="69">
        <f>'Necesidades Trimestrales'!H59</f>
        <v>26264</v>
      </c>
      <c r="K61" s="68">
        <f>'Necesidades Trimestrales'!G59</f>
        <v>1</v>
      </c>
    </row>
    <row r="62" spans="1:11" ht="27.75" customHeight="1">
      <c r="A62" s="66">
        <v>51</v>
      </c>
      <c r="B62" s="74"/>
      <c r="C62" s="146" t="str">
        <f>'Necesidades Trimestrales'!E60</f>
        <v>CFAS LIPIDOS  P/ COBAS C311</v>
      </c>
      <c r="D62" s="146"/>
      <c r="E62" s="146"/>
      <c r="F62" s="146"/>
      <c r="G62" s="146"/>
      <c r="H62" s="70" t="s">
        <v>54</v>
      </c>
      <c r="I62" s="71" t="str">
        <f>'Necesidades Trimestrales'!F60</f>
        <v>CAJA</v>
      </c>
      <c r="J62" s="69">
        <f>'Necesidades Trimestrales'!H60</f>
        <v>43337</v>
      </c>
      <c r="K62" s="68">
        <f>'Necesidades Trimestrales'!G60</f>
        <v>1</v>
      </c>
    </row>
    <row r="63" spans="1:11" ht="27.75" customHeight="1">
      <c r="A63" s="66">
        <v>52</v>
      </c>
      <c r="B63" s="74"/>
      <c r="C63" s="146" t="str">
        <f>'Necesidades Trimestrales'!E61</f>
        <v>CFAS MULTICALIBRADOR COBAS C311 12X3ML</v>
      </c>
      <c r="D63" s="146"/>
      <c r="E63" s="146"/>
      <c r="F63" s="146"/>
      <c r="G63" s="146"/>
      <c r="H63" s="70" t="s">
        <v>54</v>
      </c>
      <c r="I63" s="71" t="str">
        <f>'Necesidades Trimestrales'!F61</f>
        <v>CAJA</v>
      </c>
      <c r="J63" s="69">
        <f>'Necesidades Trimestrales'!H61</f>
        <v>9735</v>
      </c>
      <c r="K63" s="68">
        <f>'Necesidades Trimestrales'!G61</f>
        <v>1</v>
      </c>
    </row>
    <row r="64" spans="1:11" ht="27.75" customHeight="1">
      <c r="A64" s="66">
        <v>53</v>
      </c>
      <c r="B64" s="74"/>
      <c r="C64" s="146" t="str">
        <f>'Necesidades Trimestrales'!E62</f>
        <v>CFAS PROTEINAS  P/ COBAS C311</v>
      </c>
      <c r="D64" s="146"/>
      <c r="E64" s="146"/>
      <c r="F64" s="146"/>
      <c r="G64" s="146"/>
      <c r="H64" s="70" t="s">
        <v>54</v>
      </c>
      <c r="I64" s="71" t="str">
        <f>'Necesidades Trimestrales'!F62</f>
        <v>CAJA</v>
      </c>
      <c r="J64" s="69">
        <f>'Necesidades Trimestrales'!H62</f>
        <v>28784</v>
      </c>
      <c r="K64" s="68">
        <f>'Necesidades Trimestrales'!G62</f>
        <v>1</v>
      </c>
    </row>
    <row r="65" spans="1:15" ht="27.75" customHeight="1">
      <c r="A65" s="66">
        <v>54</v>
      </c>
      <c r="B65" s="74"/>
      <c r="C65" s="146" t="str">
        <f>'Necesidades Trimestrales'!E63</f>
        <v>CHAGAS ELISA RECOMBINATE V.3,0 WIENNER 96 DT</v>
      </c>
      <c r="D65" s="146"/>
      <c r="E65" s="146"/>
      <c r="F65" s="146"/>
      <c r="G65" s="146"/>
      <c r="H65" s="70" t="s">
        <v>54</v>
      </c>
      <c r="I65" s="71" t="str">
        <f>'Necesidades Trimestrales'!F63</f>
        <v>CAJA</v>
      </c>
      <c r="J65" s="69">
        <f>'Necesidades Trimestrales'!H63</f>
        <v>13623</v>
      </c>
      <c r="K65" s="68">
        <f>'Necesidades Trimestrales'!G63</f>
        <v>3</v>
      </c>
    </row>
    <row r="66" spans="1:15" ht="27.75" customHeight="1">
      <c r="A66" s="66">
        <v>55</v>
      </c>
      <c r="B66" s="74"/>
      <c r="C66" s="146" t="str">
        <f>'Necesidades Trimestrales'!E64</f>
        <v>CHAGAS HAI X 96 DET. TIPO POLYCHACO</v>
      </c>
      <c r="D66" s="146"/>
      <c r="E66" s="146"/>
      <c r="F66" s="146"/>
      <c r="G66" s="146"/>
      <c r="H66" s="70" t="s">
        <v>54</v>
      </c>
      <c r="I66" s="71" t="str">
        <f>'Necesidades Trimestrales'!F64</f>
        <v>CAJA</v>
      </c>
      <c r="J66" s="69">
        <f>'Necesidades Trimestrales'!H64</f>
        <v>14470</v>
      </c>
      <c r="K66" s="68">
        <f>'Necesidades Trimestrales'!G64</f>
        <v>2</v>
      </c>
    </row>
    <row r="67" spans="1:15" ht="27.75" customHeight="1">
      <c r="A67" s="66">
        <v>56</v>
      </c>
      <c r="B67" s="74"/>
      <c r="C67" s="146" t="str">
        <f>'Necesidades Trimestrales'!E65</f>
        <v>CHROM ID CPS COD 35131  X 10 U - BIOMERIEUX</v>
      </c>
      <c r="D67" s="146"/>
      <c r="E67" s="146"/>
      <c r="F67" s="146"/>
      <c r="G67" s="146"/>
      <c r="H67" s="70" t="s">
        <v>54</v>
      </c>
      <c r="I67" s="71" t="str">
        <f>'Necesidades Trimestrales'!F65</f>
        <v>PAQUETE</v>
      </c>
      <c r="J67" s="69">
        <f>'Necesidades Trimestrales'!H65</f>
        <v>1600</v>
      </c>
      <c r="K67" s="68">
        <f>'Necesidades Trimestrales'!G65</f>
        <v>12</v>
      </c>
    </row>
    <row r="68" spans="1:15" ht="27.75" customHeight="1">
      <c r="A68" s="66">
        <v>57</v>
      </c>
      <c r="B68" s="74"/>
      <c r="C68" s="146" t="str">
        <f>'Necesidades Trimestrales'!E66</f>
        <v>CHROM ID O157 H7 REF 42605 X 6 X 200 ML - BIOMERIEUX</v>
      </c>
      <c r="D68" s="146"/>
      <c r="E68" s="146"/>
      <c r="F68" s="146"/>
      <c r="G68" s="146"/>
      <c r="H68" s="70" t="s">
        <v>54</v>
      </c>
      <c r="I68" s="71" t="str">
        <f>'Necesidades Trimestrales'!F66</f>
        <v>CAJA</v>
      </c>
      <c r="J68" s="69">
        <f>'Necesidades Trimestrales'!H66</f>
        <v>11672</v>
      </c>
      <c r="K68" s="68">
        <f>'Necesidades Trimestrales'!G66</f>
        <v>3</v>
      </c>
    </row>
    <row r="69" spans="1:15" ht="27.75" customHeight="1">
      <c r="A69" s="66">
        <v>58</v>
      </c>
      <c r="B69" s="74"/>
      <c r="C69" s="146" t="str">
        <f>'Necesidades Trimestrales'!E67</f>
        <v>CHROM SUPLEMENTO O 157 H7 X 6U - BIOMERIEUX</v>
      </c>
      <c r="D69" s="146"/>
      <c r="E69" s="146"/>
      <c r="F69" s="146"/>
      <c r="G69" s="146"/>
      <c r="H69" s="70" t="s">
        <v>54</v>
      </c>
      <c r="I69" s="71" t="str">
        <f>'Necesidades Trimestrales'!F67</f>
        <v>CAJA</v>
      </c>
      <c r="J69" s="69">
        <f>'Necesidades Trimestrales'!H67</f>
        <v>1800</v>
      </c>
      <c r="K69" s="68">
        <f>'Necesidades Trimestrales'!G67</f>
        <v>3</v>
      </c>
    </row>
    <row r="70" spans="1:15" ht="27.75" customHeight="1">
      <c r="A70" s="66">
        <v>59</v>
      </c>
      <c r="B70" s="74"/>
      <c r="C70" s="146" t="str">
        <f>'Necesidades Trimestrales'!E68</f>
        <v>CIM PARA VANCOMICINA X 30 TIRAS</v>
      </c>
      <c r="D70" s="146"/>
      <c r="E70" s="146"/>
      <c r="F70" s="146"/>
      <c r="G70" s="146"/>
      <c r="H70" s="70" t="s">
        <v>54</v>
      </c>
      <c r="I70" s="71" t="str">
        <f>'Necesidades Trimestrales'!F68</f>
        <v>CAJA</v>
      </c>
      <c r="J70" s="69">
        <f>'Necesidades Trimestrales'!H68</f>
        <v>30652</v>
      </c>
      <c r="K70" s="68">
        <f>'Necesidades Trimestrales'!G68</f>
        <v>1</v>
      </c>
    </row>
    <row r="71" spans="1:15" ht="27.75" customHeight="1">
      <c r="A71" s="66">
        <v>60</v>
      </c>
      <c r="B71" s="74"/>
      <c r="C71" s="146" t="str">
        <f>'Necesidades Trimestrales'!E69</f>
        <v>CK NAC COBAS C311</v>
      </c>
      <c r="D71" s="146"/>
      <c r="E71" s="146"/>
      <c r="F71" s="146"/>
      <c r="G71" s="146"/>
      <c r="H71" s="70" t="s">
        <v>54</v>
      </c>
      <c r="I71" s="71" t="str">
        <f>'Necesidades Trimestrales'!F69</f>
        <v>CASSETTE</v>
      </c>
      <c r="J71" s="69">
        <f>'Necesidades Trimestrales'!H69</f>
        <v>4204</v>
      </c>
      <c r="K71" s="68">
        <f>'Necesidades Trimestrales'!G69</f>
        <v>1</v>
      </c>
    </row>
    <row r="72" spans="1:15" ht="27.75" customHeight="1">
      <c r="A72" s="66">
        <v>61</v>
      </c>
      <c r="B72" s="74"/>
      <c r="C72" s="146" t="str">
        <f>'Necesidades Trimestrales'!E70</f>
        <v xml:space="preserve">CK-MB  COBAS  C-311 ROCHE  X 100 DET </v>
      </c>
      <c r="D72" s="146"/>
      <c r="E72" s="146"/>
      <c r="F72" s="146"/>
      <c r="G72" s="146"/>
      <c r="H72" s="70" t="s">
        <v>54</v>
      </c>
      <c r="I72" s="71" t="str">
        <f>'Necesidades Trimestrales'!F70</f>
        <v>CASSETTE</v>
      </c>
      <c r="J72" s="69">
        <f>'Necesidades Trimestrales'!H70</f>
        <v>6358</v>
      </c>
      <c r="K72" s="68">
        <f>'Necesidades Trimestrales'!G70</f>
        <v>1</v>
      </c>
    </row>
    <row r="73" spans="1:15" ht="27.75" customHeight="1">
      <c r="A73" s="66">
        <v>62</v>
      </c>
      <c r="B73" s="74"/>
      <c r="C73" s="146" t="str">
        <f>'Necesidades Trimestrales'!E71</f>
        <v>CL- MICRO ELECTRODE</v>
      </c>
      <c r="D73" s="146"/>
      <c r="E73" s="146"/>
      <c r="F73" s="146"/>
      <c r="G73" s="146"/>
      <c r="H73" s="70" t="s">
        <v>54</v>
      </c>
      <c r="I73" s="71" t="str">
        <f>'Necesidades Trimestrales'!F71</f>
        <v>CAJA</v>
      </c>
      <c r="J73" s="69">
        <f>'Necesidades Trimestrales'!H71</f>
        <v>15503</v>
      </c>
      <c r="K73" s="68">
        <f>'Necesidades Trimestrales'!G71</f>
        <v>1</v>
      </c>
    </row>
    <row r="74" spans="1:15" ht="27.75" customHeight="1">
      <c r="A74" s="66">
        <v>63</v>
      </c>
      <c r="B74" s="74"/>
      <c r="C74" s="146" t="str">
        <f>'Necesidades Trimestrales'!E72</f>
        <v>CLEAN CELL COBAS E411</v>
      </c>
      <c r="D74" s="146"/>
      <c r="E74" s="146"/>
      <c r="F74" s="146"/>
      <c r="G74" s="146"/>
      <c r="H74" s="70" t="s">
        <v>54</v>
      </c>
      <c r="I74" s="71" t="str">
        <f>'Necesidades Trimestrales'!F72</f>
        <v>CAJA</v>
      </c>
      <c r="J74" s="69">
        <f>'Necesidades Trimestrales'!H72</f>
        <v>12493</v>
      </c>
      <c r="K74" s="68">
        <f>'Necesidades Trimestrales'!G72</f>
        <v>6</v>
      </c>
    </row>
    <row r="75" spans="1:15" ht="27.75" customHeight="1">
      <c r="A75" s="66">
        <v>64</v>
      </c>
      <c r="B75" s="74"/>
      <c r="C75" s="146" t="str">
        <f>'Necesidades Trimestrales'!E73</f>
        <v>CLOT CATCHER X 250 UNIDADES</v>
      </c>
      <c r="D75" s="146"/>
      <c r="E75" s="146"/>
      <c r="F75" s="146"/>
      <c r="G75" s="146"/>
      <c r="H75" s="70" t="s">
        <v>54</v>
      </c>
      <c r="I75" s="71" t="str">
        <f>'Necesidades Trimestrales'!F73</f>
        <v>CAJA</v>
      </c>
      <c r="J75" s="69">
        <f>'Necesidades Trimestrales'!H73</f>
        <v>2121</v>
      </c>
      <c r="K75" s="68">
        <f>'Necesidades Trimestrales'!G73</f>
        <v>2</v>
      </c>
      <c r="O75" s="36" t="s">
        <v>55</v>
      </c>
    </row>
    <row r="76" spans="1:15" ht="27.75" customHeight="1">
      <c r="A76" s="66">
        <v>65</v>
      </c>
      <c r="B76" s="74"/>
      <c r="C76" s="146" t="str">
        <f>'Necesidades Trimestrales'!E74</f>
        <v>COLESTEROL COBAS C311</v>
      </c>
      <c r="D76" s="146"/>
      <c r="E76" s="146"/>
      <c r="F76" s="146"/>
      <c r="G76" s="146"/>
      <c r="H76" s="70" t="s">
        <v>54</v>
      </c>
      <c r="I76" s="71" t="str">
        <f>'Necesidades Trimestrales'!F74</f>
        <v>CASSETTE</v>
      </c>
      <c r="J76" s="69">
        <f>'Necesidades Trimestrales'!H74</f>
        <v>5050</v>
      </c>
      <c r="K76" s="68">
        <f>'Necesidades Trimestrales'!G74</f>
        <v>5</v>
      </c>
    </row>
    <row r="77" spans="1:15" ht="27.75" customHeight="1">
      <c r="A77" s="66">
        <v>66</v>
      </c>
      <c r="B77" s="74"/>
      <c r="C77" s="146" t="str">
        <f>'Necesidades Trimestrales'!E75</f>
        <v>COLESTEROL HDL GEN4 COBAS C311</v>
      </c>
      <c r="D77" s="146"/>
      <c r="E77" s="146"/>
      <c r="F77" s="146"/>
      <c r="G77" s="146"/>
      <c r="H77" s="70" t="s">
        <v>54</v>
      </c>
      <c r="I77" s="71" t="str">
        <f>'Necesidades Trimestrales'!F75</f>
        <v>CASSETTE</v>
      </c>
      <c r="J77" s="69">
        <f>'Necesidades Trimestrales'!H75</f>
        <v>22148</v>
      </c>
      <c r="K77" s="68">
        <f>'Necesidades Trimestrales'!G75</f>
        <v>1</v>
      </c>
    </row>
    <row r="78" spans="1:15" ht="27.75" customHeight="1">
      <c r="A78" s="66">
        <v>67</v>
      </c>
      <c r="B78" s="74"/>
      <c r="C78" s="146" t="str">
        <f>'Necesidades Trimestrales'!E76</f>
        <v>COLESTEROL LDL-C GEN.3</v>
      </c>
      <c r="D78" s="146"/>
      <c r="E78" s="146"/>
      <c r="F78" s="146"/>
      <c r="G78" s="146"/>
      <c r="H78" s="70" t="s">
        <v>54</v>
      </c>
      <c r="I78" s="71" t="str">
        <f>'Necesidades Trimestrales'!F76</f>
        <v>CASSETTE</v>
      </c>
      <c r="J78" s="69">
        <f>'Necesidades Trimestrales'!H76</f>
        <v>19934</v>
      </c>
      <c r="K78" s="68">
        <f>'Necesidades Trimestrales'!G76</f>
        <v>2</v>
      </c>
    </row>
    <row r="79" spans="1:15" ht="27.75" customHeight="1">
      <c r="A79" s="66">
        <v>68</v>
      </c>
      <c r="B79" s="74"/>
      <c r="C79" s="146" t="str">
        <f>'Necesidades Trimestrales'!E77</f>
        <v>COMBITROL PLUS B LEVEL 1 30PCS</v>
      </c>
      <c r="D79" s="146"/>
      <c r="E79" s="146"/>
      <c r="F79" s="146"/>
      <c r="G79" s="146"/>
      <c r="H79" s="70" t="s">
        <v>54</v>
      </c>
      <c r="I79" s="71" t="str">
        <f>'Necesidades Trimestrales'!F77</f>
        <v>CAJA</v>
      </c>
      <c r="J79" s="69">
        <f>'Necesidades Trimestrales'!H77</f>
        <v>26023</v>
      </c>
      <c r="K79" s="68">
        <f>'Necesidades Trimestrales'!G77</f>
        <v>1</v>
      </c>
    </row>
    <row r="80" spans="1:15" ht="27.75" customHeight="1">
      <c r="A80" s="66">
        <v>69</v>
      </c>
      <c r="B80" s="74"/>
      <c r="C80" s="146" t="str">
        <f>'Necesidades Trimestrales'!E78</f>
        <v>COMBITROL PLUS B LEVEL 2 30PCS</v>
      </c>
      <c r="D80" s="146"/>
      <c r="E80" s="146"/>
      <c r="F80" s="146"/>
      <c r="G80" s="146"/>
      <c r="H80" s="70" t="s">
        <v>54</v>
      </c>
      <c r="I80" s="71" t="str">
        <f>'Necesidades Trimestrales'!F78</f>
        <v>CAJA</v>
      </c>
      <c r="J80" s="69">
        <f>'Necesidades Trimestrales'!H78</f>
        <v>26023</v>
      </c>
      <c r="K80" s="68">
        <f>'Necesidades Trimestrales'!G78</f>
        <v>1</v>
      </c>
    </row>
    <row r="81" spans="1:11" ht="27.75" customHeight="1">
      <c r="A81" s="66">
        <v>70</v>
      </c>
      <c r="B81" s="74"/>
      <c r="C81" s="146" t="str">
        <f>'Necesidades Trimestrales'!E79</f>
        <v xml:space="preserve">COMBITROL PLUS B LEVEL 3 30PCS </v>
      </c>
      <c r="D81" s="146"/>
      <c r="E81" s="146"/>
      <c r="F81" s="146"/>
      <c r="G81" s="146"/>
      <c r="H81" s="70" t="s">
        <v>54</v>
      </c>
      <c r="I81" s="71" t="str">
        <f>'Necesidades Trimestrales'!F79</f>
        <v>CAJA</v>
      </c>
      <c r="J81" s="69">
        <f>'Necesidades Trimestrales'!H79</f>
        <v>26023</v>
      </c>
      <c r="K81" s="68">
        <f>'Necesidades Trimestrales'!G79</f>
        <v>1</v>
      </c>
    </row>
    <row r="82" spans="1:11" ht="27.75" customHeight="1">
      <c r="A82" s="66">
        <v>71</v>
      </c>
      <c r="B82" s="74"/>
      <c r="C82" s="146" t="str">
        <f>'Necesidades Trimestrales'!E80</f>
        <v>CONTROL DE CALIDAD P/BC 3000 PLUS MINDRAY 3 NIVELES</v>
      </c>
      <c r="D82" s="146"/>
      <c r="E82" s="146"/>
      <c r="F82" s="146"/>
      <c r="G82" s="146"/>
      <c r="H82" s="70" t="s">
        <v>54</v>
      </c>
      <c r="I82" s="71" t="str">
        <f>'Necesidades Trimestrales'!F80</f>
        <v>CAJA</v>
      </c>
      <c r="J82" s="69">
        <f>'Necesidades Trimestrales'!H80</f>
        <v>6542</v>
      </c>
      <c r="K82" s="68">
        <f>'Necesidades Trimestrales'!G80</f>
        <v>2</v>
      </c>
    </row>
    <row r="83" spans="1:11" ht="27.75" customHeight="1">
      <c r="A83" s="66">
        <v>72</v>
      </c>
      <c r="B83" s="74"/>
      <c r="C83" s="146" t="str">
        <f>'Necesidades Trimestrales'!E81</f>
        <v>CONTROL E-CHECK(XE) SYSMEX XS 1000</v>
      </c>
      <c r="D83" s="146"/>
      <c r="E83" s="146"/>
      <c r="F83" s="146"/>
      <c r="G83" s="146"/>
      <c r="H83" s="70" t="s">
        <v>54</v>
      </c>
      <c r="I83" s="71" t="str">
        <f>'Necesidades Trimestrales'!F81</f>
        <v>CAJA</v>
      </c>
      <c r="J83" s="69">
        <f>'Necesidades Trimestrales'!H81</f>
        <v>70888</v>
      </c>
      <c r="K83" s="68">
        <f>'Necesidades Trimestrales'!G81</f>
        <v>5</v>
      </c>
    </row>
    <row r="84" spans="1:11" ht="27.75" customHeight="1">
      <c r="A84" s="66">
        <v>73</v>
      </c>
      <c r="B84" s="74"/>
      <c r="C84" s="146" t="str">
        <f>'Necesidades Trimestrales'!E82</f>
        <v>CONTROL POSITIVO ANA PATRÓN CENTROMERICO- ALTERNATIVA</v>
      </c>
      <c r="D84" s="146"/>
      <c r="E84" s="146"/>
      <c r="F84" s="146"/>
      <c r="G84" s="146"/>
      <c r="H84" s="70" t="s">
        <v>54</v>
      </c>
      <c r="I84" s="71" t="str">
        <f>'Necesidades Trimestrales'!F82</f>
        <v>FRASCO</v>
      </c>
      <c r="J84" s="69">
        <f>'Necesidades Trimestrales'!H82</f>
        <v>7491</v>
      </c>
      <c r="K84" s="68">
        <f>'Necesidades Trimestrales'!G82</f>
        <v>1</v>
      </c>
    </row>
    <row r="85" spans="1:11" ht="27.75" customHeight="1">
      <c r="A85" s="66">
        <v>74</v>
      </c>
      <c r="B85" s="74"/>
      <c r="C85" s="146" t="str">
        <f>'Necesidades Trimestrales'!E83</f>
        <v>CONTROL POSITIVO ANA PATRÓN HOMOGÉNEO- ALTERNATIVA</v>
      </c>
      <c r="D85" s="146"/>
      <c r="E85" s="146"/>
      <c r="F85" s="146"/>
      <c r="G85" s="146"/>
      <c r="H85" s="70" t="s">
        <v>54</v>
      </c>
      <c r="I85" s="71" t="str">
        <f>'Necesidades Trimestrales'!F83</f>
        <v>FRASCO</v>
      </c>
      <c r="J85" s="69">
        <f>'Necesidades Trimestrales'!H83</f>
        <v>7491</v>
      </c>
      <c r="K85" s="68">
        <f>'Necesidades Trimestrales'!G83</f>
        <v>1</v>
      </c>
    </row>
    <row r="86" spans="1:11" ht="27.75" customHeight="1">
      <c r="A86" s="66">
        <v>75</v>
      </c>
      <c r="B86" s="74"/>
      <c r="C86" s="146" t="str">
        <f>'Necesidades Trimestrales'!E84</f>
        <v>CONTROL POSITIVO ANTICUERPOS AMA ( ANTI MITOCONDRIAL )ALTERNATIVA</v>
      </c>
      <c r="D86" s="146"/>
      <c r="E86" s="146"/>
      <c r="F86" s="146"/>
      <c r="G86" s="146"/>
      <c r="H86" s="70" t="s">
        <v>54</v>
      </c>
      <c r="I86" s="71" t="str">
        <f>'Necesidades Trimestrales'!F84</f>
        <v>FRASCO</v>
      </c>
      <c r="J86" s="69">
        <f>'Necesidades Trimestrales'!H84</f>
        <v>7491</v>
      </c>
      <c r="K86" s="68">
        <f>'Necesidades Trimestrales'!G84</f>
        <v>1</v>
      </c>
    </row>
    <row r="87" spans="1:11" ht="27.75" customHeight="1">
      <c r="A87" s="66">
        <v>76</v>
      </c>
      <c r="B87" s="74"/>
      <c r="C87" s="146" t="str">
        <f>'Necesidades Trimestrales'!E85</f>
        <v>CONTROL POSITIVO ANTICUERPOS LKM ( ANTI MICROSOMAL )ALTERNATIVA</v>
      </c>
      <c r="D87" s="146"/>
      <c r="E87" s="146"/>
      <c r="F87" s="146"/>
      <c r="G87" s="146"/>
      <c r="H87" s="70" t="s">
        <v>54</v>
      </c>
      <c r="I87" s="71" t="str">
        <f>'Necesidades Trimestrales'!F85</f>
        <v>FRASCO</v>
      </c>
      <c r="J87" s="69">
        <f>'Necesidades Trimestrales'!H85</f>
        <v>5414</v>
      </c>
      <c r="K87" s="68">
        <f>'Necesidades Trimestrales'!G85</f>
        <v>1</v>
      </c>
    </row>
    <row r="88" spans="1:11" ht="27.75" customHeight="1">
      <c r="A88" s="66">
        <v>77</v>
      </c>
      <c r="B88" s="74"/>
      <c r="C88" s="146" t="str">
        <f>'Necesidades Trimestrales'!E86</f>
        <v>CONTROL POSITIVO DNA- (X0.5ML)  ALTERNATIVA</v>
      </c>
      <c r="D88" s="146"/>
      <c r="E88" s="146"/>
      <c r="F88" s="146"/>
      <c r="G88" s="146"/>
      <c r="H88" s="70" t="s">
        <v>54</v>
      </c>
      <c r="I88" s="71" t="str">
        <f>'Necesidades Trimestrales'!F86</f>
        <v>FRASCO</v>
      </c>
      <c r="J88" s="69">
        <f>'Necesidades Trimestrales'!H86</f>
        <v>8500</v>
      </c>
      <c r="K88" s="68">
        <f>'Necesidades Trimestrales'!G86</f>
        <v>1</v>
      </c>
    </row>
    <row r="89" spans="1:11" ht="27.75" customHeight="1">
      <c r="A89" s="66">
        <v>78</v>
      </c>
      <c r="B89" s="74"/>
      <c r="C89" s="146" t="str">
        <f>'Necesidades Trimestrales'!E87</f>
        <v>CONTROL POSITIVO ENDOMISIO IG G -ALTERNATIVA</v>
      </c>
      <c r="D89" s="146"/>
      <c r="E89" s="146"/>
      <c r="F89" s="146"/>
      <c r="G89" s="146"/>
      <c r="H89" s="70" t="s">
        <v>54</v>
      </c>
      <c r="I89" s="71" t="str">
        <f>'Necesidades Trimestrales'!F87</f>
        <v>FRASCO</v>
      </c>
      <c r="J89" s="69">
        <f>'Necesidades Trimestrales'!H87</f>
        <v>8000</v>
      </c>
      <c r="K89" s="68">
        <f>'Necesidades Trimestrales'!G87</f>
        <v>1</v>
      </c>
    </row>
    <row r="90" spans="1:11" ht="27.75" customHeight="1">
      <c r="A90" s="66">
        <v>79</v>
      </c>
      <c r="B90" s="74"/>
      <c r="C90" s="146" t="str">
        <f>'Necesidades Trimestrales'!E88</f>
        <v xml:space="preserve">CONTROL POSITIVO SÍFILIS-  ALTERNATIVA </v>
      </c>
      <c r="D90" s="146"/>
      <c r="E90" s="146"/>
      <c r="F90" s="146"/>
      <c r="G90" s="146"/>
      <c r="H90" s="70" t="s">
        <v>54</v>
      </c>
      <c r="I90" s="71" t="str">
        <f>'Necesidades Trimestrales'!F88</f>
        <v>FRASCO</v>
      </c>
      <c r="J90" s="69">
        <f>'Necesidades Trimestrales'!H88</f>
        <v>8156</v>
      </c>
      <c r="K90" s="68">
        <f>'Necesidades Trimestrales'!G88</f>
        <v>1</v>
      </c>
    </row>
    <row r="91" spans="1:11" ht="27.75" customHeight="1">
      <c r="A91" s="66">
        <v>80</v>
      </c>
      <c r="B91" s="74"/>
      <c r="C91" s="146" t="str">
        <f>'Necesidades Trimestrales'!E89</f>
        <v>CONTROL POSITIVO TOXOPLASMOSIS IG M</v>
      </c>
      <c r="D91" s="146"/>
      <c r="E91" s="146"/>
      <c r="F91" s="146"/>
      <c r="G91" s="146"/>
      <c r="H91" s="70" t="s">
        <v>54</v>
      </c>
      <c r="I91" s="71" t="str">
        <f>'Necesidades Trimestrales'!F89</f>
        <v>FRASCO</v>
      </c>
      <c r="J91" s="69">
        <f>'Necesidades Trimestrales'!H89</f>
        <v>8156</v>
      </c>
      <c r="K91" s="68">
        <f>'Necesidades Trimestrales'!G89</f>
        <v>1</v>
      </c>
    </row>
    <row r="92" spans="1:11" ht="27.75" customHeight="1">
      <c r="A92" s="66">
        <v>81</v>
      </c>
      <c r="B92" s="74"/>
      <c r="C92" s="146" t="str">
        <f>'Necesidades Trimestrales'!E90</f>
        <v>CORTISOL COBAS ROCHE</v>
      </c>
      <c r="D92" s="146"/>
      <c r="E92" s="146"/>
      <c r="F92" s="146"/>
      <c r="G92" s="146"/>
      <c r="H92" s="70" t="s">
        <v>54</v>
      </c>
      <c r="I92" s="71" t="str">
        <f>'Necesidades Trimestrales'!F90</f>
        <v>CASSETTE</v>
      </c>
      <c r="J92" s="69">
        <f>'Necesidades Trimestrales'!H90</f>
        <v>21413</v>
      </c>
      <c r="K92" s="68">
        <f>'Necesidades Trimestrales'!G90</f>
        <v>2</v>
      </c>
    </row>
    <row r="93" spans="1:11" ht="27.75" customHeight="1">
      <c r="A93" s="66">
        <v>82</v>
      </c>
      <c r="B93" s="74"/>
      <c r="C93" s="146" t="str">
        <f>'Necesidades Trimestrales'!E91</f>
        <v>CREATININA JAFFE COBAS C-311 ROCHE  X 700 DET</v>
      </c>
      <c r="D93" s="146"/>
      <c r="E93" s="146"/>
      <c r="F93" s="146"/>
      <c r="G93" s="146"/>
      <c r="H93" s="70" t="s">
        <v>54</v>
      </c>
      <c r="I93" s="71" t="str">
        <f>'Necesidades Trimestrales'!F91</f>
        <v>CASSETTE</v>
      </c>
      <c r="J93" s="69">
        <f>'Necesidades Trimestrales'!H91</f>
        <v>5539</v>
      </c>
      <c r="K93" s="68">
        <f>'Necesidades Trimestrales'!G91</f>
        <v>8</v>
      </c>
    </row>
    <row r="94" spans="1:11" ht="27.75" customHeight="1">
      <c r="A94" s="66">
        <v>83</v>
      </c>
      <c r="B94" s="74"/>
      <c r="C94" s="146" t="str">
        <f>'Necesidades Trimestrales'!E92</f>
        <v>CRHOMAGAR ORIENTACION P/5000 ML</v>
      </c>
      <c r="D94" s="146"/>
      <c r="E94" s="146"/>
      <c r="F94" s="146"/>
      <c r="G94" s="146"/>
      <c r="H94" s="70" t="s">
        <v>54</v>
      </c>
      <c r="I94" s="71" t="str">
        <f>'Necesidades Trimestrales'!F92</f>
        <v>FRASCO</v>
      </c>
      <c r="J94" s="69">
        <f>'Necesidades Trimestrales'!H92</f>
        <v>41702</v>
      </c>
      <c r="K94" s="68">
        <f>'Necesidades Trimestrales'!G92</f>
        <v>1</v>
      </c>
    </row>
    <row r="95" spans="1:11" ht="27.75" customHeight="1">
      <c r="A95" s="66">
        <v>84</v>
      </c>
      <c r="B95" s="74"/>
      <c r="C95" s="146" t="str">
        <f>'Necesidades Trimestrales'!E93</f>
        <v>CRPL3 / C-Reactive Protein Gen.3 Cobas</v>
      </c>
      <c r="D95" s="146"/>
      <c r="E95" s="146"/>
      <c r="F95" s="146"/>
      <c r="G95" s="146"/>
      <c r="H95" s="70" t="s">
        <v>54</v>
      </c>
      <c r="I95" s="71" t="str">
        <f>'Necesidades Trimestrales'!F93</f>
        <v>CASSETTE</v>
      </c>
      <c r="J95" s="69">
        <f>'Necesidades Trimestrales'!H93</f>
        <v>45648</v>
      </c>
      <c r="K95" s="68">
        <f>'Necesidades Trimestrales'!G93</f>
        <v>6</v>
      </c>
    </row>
    <row r="96" spans="1:11" ht="27.75" customHeight="1">
      <c r="A96" s="66">
        <v>85</v>
      </c>
      <c r="B96" s="74"/>
      <c r="C96" s="146" t="str">
        <f>'Necesidades Trimestrales'!E94</f>
        <v>DCM BRIT - DISCOS COMBINADOS - BRITANIA</v>
      </c>
      <c r="D96" s="146"/>
      <c r="E96" s="146"/>
      <c r="F96" s="146"/>
      <c r="G96" s="146"/>
      <c r="H96" s="70" t="s">
        <v>54</v>
      </c>
      <c r="I96" s="71" t="str">
        <f>'Necesidades Trimestrales'!F94</f>
        <v>EQUIPO</v>
      </c>
      <c r="J96" s="69">
        <f>'Necesidades Trimestrales'!H94</f>
        <v>6000</v>
      </c>
      <c r="K96" s="68">
        <f>'Necesidades Trimestrales'!G94</f>
        <v>1</v>
      </c>
    </row>
    <row r="97" spans="1:11" ht="27.75" customHeight="1">
      <c r="A97" s="66">
        <v>86</v>
      </c>
      <c r="B97" s="74"/>
      <c r="C97" s="146" t="str">
        <f>'Necesidades Trimestrales'!E95</f>
        <v>DECOLORANTE PARA GRAM, ESTADO: LÍQUIDO, PRESENTACIÓN: ENVASE POR 100 ML</v>
      </c>
      <c r="D97" s="146"/>
      <c r="E97" s="146"/>
      <c r="F97" s="146"/>
      <c r="G97" s="146"/>
      <c r="H97" s="70" t="s">
        <v>54</v>
      </c>
      <c r="I97" s="71" t="str">
        <f>'Necesidades Trimestrales'!F95</f>
        <v>CAJA</v>
      </c>
      <c r="J97" s="69">
        <f>'Necesidades Trimestrales'!H95</f>
        <v>2566.12</v>
      </c>
      <c r="K97" s="68">
        <f>'Necesidades Trimestrales'!G95</f>
        <v>5</v>
      </c>
    </row>
    <row r="98" spans="1:11" ht="27.75" customHeight="1">
      <c r="A98" s="66">
        <v>87</v>
      </c>
      <c r="B98" s="74"/>
      <c r="C98" s="146" t="str">
        <f>'Necesidades Trimestrales'!E96</f>
        <v>DETERGENTE P/CONTADOR MINDRAY BC3000 PLUS X 5 L</v>
      </c>
      <c r="D98" s="146"/>
      <c r="E98" s="146"/>
      <c r="F98" s="146"/>
      <c r="G98" s="146"/>
      <c r="H98" s="70" t="s">
        <v>54</v>
      </c>
      <c r="I98" s="71" t="str">
        <f>'Necesidades Trimestrales'!F96</f>
        <v>CAJA</v>
      </c>
      <c r="J98" s="69">
        <f>'Necesidades Trimestrales'!H96</f>
        <v>5853</v>
      </c>
      <c r="K98" s="68">
        <f>'Necesidades Trimestrales'!G96</f>
        <v>10</v>
      </c>
    </row>
    <row r="99" spans="1:11" ht="27.75" customHeight="1">
      <c r="A99" s="66">
        <v>88</v>
      </c>
      <c r="B99" s="74"/>
      <c r="C99" s="146" t="str">
        <f>'Necesidades Trimestrales'!E97</f>
        <v>DILUYENTE PARA CONTADOR HEMATOLOGICO MINDRAY BC-3000 PLUS  X 20 LITROS</v>
      </c>
      <c r="D99" s="146"/>
      <c r="E99" s="146"/>
      <c r="F99" s="146"/>
      <c r="G99" s="146"/>
      <c r="H99" s="70" t="s">
        <v>54</v>
      </c>
      <c r="I99" s="71" t="str">
        <f>'Necesidades Trimestrales'!F97</f>
        <v>CAJA</v>
      </c>
      <c r="J99" s="69">
        <f>'Necesidades Trimestrales'!H97</f>
        <v>6345</v>
      </c>
      <c r="K99" s="68">
        <f>'Necesidades Trimestrales'!G97</f>
        <v>10</v>
      </c>
    </row>
    <row r="100" spans="1:11" ht="27.75" customHeight="1">
      <c r="A100" s="66">
        <v>89</v>
      </c>
      <c r="B100" s="74"/>
      <c r="C100" s="146" t="str">
        <f>'Necesidades Trimestrales'!E98</f>
        <v>DILUYENTE UNIVERSAL  X 2 UNID. X 16 ML.</v>
      </c>
      <c r="D100" s="146"/>
      <c r="E100" s="146"/>
      <c r="F100" s="146"/>
      <c r="G100" s="146"/>
      <c r="H100" s="70" t="s">
        <v>54</v>
      </c>
      <c r="I100" s="71" t="str">
        <f>'Necesidades Trimestrales'!F98</f>
        <v>CAJA</v>
      </c>
      <c r="J100" s="69">
        <f>'Necesidades Trimestrales'!H98</f>
        <v>21254</v>
      </c>
      <c r="K100" s="68">
        <f>'Necesidades Trimestrales'!G98</f>
        <v>3</v>
      </c>
    </row>
    <row r="101" spans="1:11" ht="27.75" customHeight="1">
      <c r="A101" s="66">
        <v>90</v>
      </c>
      <c r="B101" s="74"/>
      <c r="C101" s="146" t="str">
        <f>'Necesidades Trimestrales'!E99</f>
        <v>DIMERO D GEN 2 COMTROL I/II</v>
      </c>
      <c r="D101" s="146"/>
      <c r="E101" s="146"/>
      <c r="F101" s="146"/>
      <c r="G101" s="146"/>
      <c r="H101" s="70" t="s">
        <v>54</v>
      </c>
      <c r="I101" s="71" t="str">
        <f>'Necesidades Trimestrales'!F99</f>
        <v>CAJA</v>
      </c>
      <c r="J101" s="69">
        <f>'Necesidades Trimestrales'!H99</f>
        <v>24117</v>
      </c>
      <c r="K101" s="68">
        <f>'Necesidades Trimestrales'!G99</f>
        <v>1</v>
      </c>
    </row>
    <row r="102" spans="1:11" ht="27.75" customHeight="1">
      <c r="A102" s="66">
        <v>91</v>
      </c>
      <c r="B102" s="74"/>
      <c r="C102" s="146" t="str">
        <f>'Necesidades Trimestrales'!E100</f>
        <v>Dímero D Gen 2 ROCHE C311</v>
      </c>
      <c r="D102" s="146"/>
      <c r="E102" s="146"/>
      <c r="F102" s="146"/>
      <c r="G102" s="146"/>
      <c r="H102" s="70" t="s">
        <v>54</v>
      </c>
      <c r="I102" s="71" t="str">
        <f>'Necesidades Trimestrales'!F100</f>
        <v>CASSETTE</v>
      </c>
      <c r="J102" s="69">
        <f>'Necesidades Trimestrales'!H100</f>
        <v>91773</v>
      </c>
      <c r="K102" s="68">
        <f>'Necesidades Trimestrales'!G100</f>
        <v>1</v>
      </c>
    </row>
    <row r="103" spans="1:11" ht="27.75" customHeight="1">
      <c r="A103" s="66">
        <v>92</v>
      </c>
      <c r="B103" s="74"/>
      <c r="C103" s="146" t="str">
        <f>'Necesidades Trimestrales'!E101</f>
        <v>DISCO AMPICILINA/SULBACTAM X 50 U - BRITANIA</v>
      </c>
      <c r="D103" s="146"/>
      <c r="E103" s="146"/>
      <c r="F103" s="146"/>
      <c r="G103" s="146"/>
      <c r="H103" s="70" t="s">
        <v>54</v>
      </c>
      <c r="I103" s="71" t="str">
        <f>'Necesidades Trimestrales'!F101</f>
        <v>FRASCO</v>
      </c>
      <c r="J103" s="69">
        <f>'Necesidades Trimestrales'!H101</f>
        <v>532.4</v>
      </c>
      <c r="K103" s="68">
        <f>'Necesidades Trimestrales'!G101</f>
        <v>1</v>
      </c>
    </row>
    <row r="104" spans="1:11" ht="27.75" customHeight="1">
      <c r="A104" s="66">
        <v>93</v>
      </c>
      <c r="B104" s="74"/>
      <c r="C104" s="146" t="str">
        <f>'Necesidades Trimestrales'!E102</f>
        <v>DISCO CEFEPIME 30 µGR, ESTADO: DISCO, CALIDAD: PRO ANALISIS, PRESENTACION: ENVASE X 50 UN</v>
      </c>
      <c r="D104" s="146"/>
      <c r="E104" s="146"/>
      <c r="F104" s="146"/>
      <c r="G104" s="146"/>
      <c r="H104" s="70" t="s">
        <v>54</v>
      </c>
      <c r="I104" s="71" t="str">
        <f>'Necesidades Trimestrales'!F102</f>
        <v>FRASCO</v>
      </c>
      <c r="J104" s="69">
        <f>'Necesidades Trimestrales'!H102</f>
        <v>790.49</v>
      </c>
      <c r="K104" s="68">
        <f>'Necesidades Trimestrales'!G102</f>
        <v>3</v>
      </c>
    </row>
    <row r="105" spans="1:11" ht="27.75" customHeight="1">
      <c r="A105" s="66">
        <v>94</v>
      </c>
      <c r="B105" s="74"/>
      <c r="C105" s="146" t="str">
        <f>'Necesidades Trimestrales'!E103</f>
        <v>DISCO CEFTAZIDIMA 30 µGR, ESTADO: DISCO, CALIDAD: PRO ANALISIS, PRESENTACION: ENVASE X 50 UN</v>
      </c>
      <c r="D105" s="146"/>
      <c r="E105" s="146"/>
      <c r="F105" s="146"/>
      <c r="G105" s="146"/>
      <c r="H105" s="70" t="s">
        <v>54</v>
      </c>
      <c r="I105" s="71" t="str">
        <f>'Necesidades Trimestrales'!F103</f>
        <v>FRASCO</v>
      </c>
      <c r="J105" s="69">
        <f>'Necesidades Trimestrales'!H103</f>
        <v>532.4</v>
      </c>
      <c r="K105" s="68">
        <f>'Necesidades Trimestrales'!G103</f>
        <v>5</v>
      </c>
    </row>
    <row r="106" spans="1:11" ht="27.75" customHeight="1">
      <c r="A106" s="66">
        <v>95</v>
      </c>
      <c r="B106" s="74"/>
      <c r="C106" s="146" t="str">
        <f>'Necesidades Trimestrales'!E104</f>
        <v>DISCO FOSFOMICINA 200 UG X 50 U</v>
      </c>
      <c r="D106" s="146"/>
      <c r="E106" s="146"/>
      <c r="F106" s="146"/>
      <c r="G106" s="146"/>
      <c r="H106" s="70" t="s">
        <v>54</v>
      </c>
      <c r="I106" s="71" t="str">
        <f>'Necesidades Trimestrales'!F104</f>
        <v>FRASCO</v>
      </c>
      <c r="J106" s="69">
        <f>'Necesidades Trimestrales'!H104</f>
        <v>532.4</v>
      </c>
      <c r="K106" s="68">
        <f>'Necesidades Trimestrales'!G104</f>
        <v>1</v>
      </c>
    </row>
    <row r="107" spans="1:11" ht="27.75" customHeight="1">
      <c r="A107" s="66">
        <v>96</v>
      </c>
      <c r="B107" s="74"/>
      <c r="C107" s="146" t="str">
        <f>'Necesidades Trimestrales'!E105</f>
        <v>DISCO IMIPENEM 10 µGR, ESTADO: DISCO, CALIDAD: PRO ANALISIS, PRESENTACION: ENVASE X 50 UN</v>
      </c>
      <c r="D107" s="146"/>
      <c r="E107" s="146"/>
      <c r="F107" s="146"/>
      <c r="G107" s="146"/>
      <c r="H107" s="70" t="s">
        <v>54</v>
      </c>
      <c r="I107" s="71" t="str">
        <f>'Necesidades Trimestrales'!F105</f>
        <v>FRASCO</v>
      </c>
      <c r="J107" s="69">
        <f>'Necesidades Trimestrales'!H105</f>
        <v>650</v>
      </c>
      <c r="K107" s="68">
        <f>'Necesidades Trimestrales'!G105</f>
        <v>1</v>
      </c>
    </row>
    <row r="108" spans="1:11" ht="27.75" customHeight="1">
      <c r="A108" s="66">
        <v>97</v>
      </c>
      <c r="B108" s="74"/>
      <c r="C108" s="146" t="str">
        <f>'Necesidades Trimestrales'!E106</f>
        <v>DISCO LEVOFLOXACINA 5 µGR DISCO X 50 UN</v>
      </c>
      <c r="D108" s="146"/>
      <c r="E108" s="146"/>
      <c r="F108" s="146"/>
      <c r="G108" s="146"/>
      <c r="H108" s="70" t="s">
        <v>54</v>
      </c>
      <c r="I108" s="71" t="str">
        <f>'Necesidades Trimestrales'!F106</f>
        <v>FRASCO</v>
      </c>
      <c r="J108" s="69">
        <f>'Necesidades Trimestrales'!H106</f>
        <v>810.7</v>
      </c>
      <c r="K108" s="68">
        <f>'Necesidades Trimestrales'!G106</f>
        <v>1</v>
      </c>
    </row>
    <row r="109" spans="1:11" ht="27.75" customHeight="1">
      <c r="A109" s="66">
        <v>98</v>
      </c>
      <c r="B109" s="74"/>
      <c r="C109" s="146" t="str">
        <f>'Necesidades Trimestrales'!E107</f>
        <v>DISCO MEROPENEM 10 µGR, ESTADO: DISCO, CALIDAD: PRO ANALISIS, PRESENTACION: ENVASE X 50 UN</v>
      </c>
      <c r="D109" s="146"/>
      <c r="E109" s="146"/>
      <c r="F109" s="146"/>
      <c r="G109" s="146"/>
      <c r="H109" s="70" t="s">
        <v>54</v>
      </c>
      <c r="I109" s="71" t="str">
        <f>'Necesidades Trimestrales'!F107</f>
        <v>FRASCO</v>
      </c>
      <c r="J109" s="69">
        <f>'Necesidades Trimestrales'!H107</f>
        <v>532.4</v>
      </c>
      <c r="K109" s="68">
        <f>'Necesidades Trimestrales'!G107</f>
        <v>2</v>
      </c>
    </row>
    <row r="110" spans="1:11" ht="27.75" customHeight="1">
      <c r="A110" s="66">
        <v>99</v>
      </c>
      <c r="B110" s="74"/>
      <c r="C110" s="146" t="str">
        <f>'Necesidades Trimestrales'!E108</f>
        <v>DISCO NITROCEFIN, ESTADO: DISCO, PRESENTACION: ENVASE X 50 UN</v>
      </c>
      <c r="D110" s="146"/>
      <c r="E110" s="146"/>
      <c r="F110" s="146"/>
      <c r="G110" s="146"/>
      <c r="H110" s="70" t="s">
        <v>54</v>
      </c>
      <c r="I110" s="71" t="str">
        <f>'Necesidades Trimestrales'!F108</f>
        <v>FRASCO</v>
      </c>
      <c r="J110" s="69">
        <f>'Necesidades Trimestrales'!H108</f>
        <v>790.49</v>
      </c>
      <c r="K110" s="68">
        <f>'Necesidades Trimestrales'!G108</f>
        <v>1</v>
      </c>
    </row>
    <row r="111" spans="1:11" ht="27.75" customHeight="1">
      <c r="A111" s="66">
        <v>100</v>
      </c>
      <c r="B111" s="74"/>
      <c r="C111" s="146" t="str">
        <f>'Necesidades Trimestrales'!E109</f>
        <v>DISCO OXACILINA 1 µGR, ESTADO: DISCO, CALIDAD: PRO ANALISIS, PRESENTACION: ENVASE X 50 UN</v>
      </c>
      <c r="D111" s="146"/>
      <c r="E111" s="146"/>
      <c r="F111" s="146"/>
      <c r="G111" s="146"/>
      <c r="H111" s="70" t="s">
        <v>54</v>
      </c>
      <c r="I111" s="71" t="str">
        <f>'Necesidades Trimestrales'!F109</f>
        <v>FRASCO</v>
      </c>
      <c r="J111" s="69">
        <f>'Necesidades Trimestrales'!H109</f>
        <v>532.4</v>
      </c>
      <c r="K111" s="68">
        <f>'Necesidades Trimestrales'!G109</f>
        <v>1</v>
      </c>
    </row>
    <row r="112" spans="1:11" ht="27.75" customHeight="1">
      <c r="A112" s="66">
        <v>101</v>
      </c>
      <c r="B112" s="74"/>
      <c r="C112" s="146" t="str">
        <f>'Necesidades Trimestrales'!E110</f>
        <v>DISCO OXIDASA DISCOS X  25 U</v>
      </c>
      <c r="D112" s="146"/>
      <c r="E112" s="146"/>
      <c r="F112" s="146"/>
      <c r="G112" s="146"/>
      <c r="H112" s="70" t="s">
        <v>54</v>
      </c>
      <c r="I112" s="71" t="str">
        <f>'Necesidades Trimestrales'!F110</f>
        <v>FRASCO</v>
      </c>
      <c r="J112" s="69">
        <f>'Necesidades Trimestrales'!H110</f>
        <v>1350</v>
      </c>
      <c r="K112" s="68">
        <f>'Necesidades Trimestrales'!G110</f>
        <v>2</v>
      </c>
    </row>
    <row r="113" spans="1:11" ht="27.75" customHeight="1">
      <c r="A113" s="66">
        <v>102</v>
      </c>
      <c r="B113" s="74"/>
      <c r="C113" s="146" t="str">
        <f>'Necesidades Trimestrales'!E111</f>
        <v>DISCOS CEFOTAXIMA/CLAVULÀNICO 30/10X 50T/BRITANIA Y/OLIOFILCHEM</v>
      </c>
      <c r="D113" s="146"/>
      <c r="E113" s="146"/>
      <c r="F113" s="146"/>
      <c r="G113" s="146"/>
      <c r="H113" s="70" t="s">
        <v>54</v>
      </c>
      <c r="I113" s="71" t="str">
        <f>'Necesidades Trimestrales'!F111</f>
        <v>FRASCO</v>
      </c>
      <c r="J113" s="69">
        <f>'Necesidades Trimestrales'!H111</f>
        <v>3194.4</v>
      </c>
      <c r="K113" s="68">
        <f>'Necesidades Trimestrales'!G111</f>
        <v>1</v>
      </c>
    </row>
    <row r="114" spans="1:11" ht="27.75" customHeight="1">
      <c r="A114" s="66">
        <v>103</v>
      </c>
      <c r="B114" s="74"/>
      <c r="C114" s="146" t="str">
        <f>'Necesidades Trimestrales'!E112</f>
        <v>DISCOS DE CEFOXITINA 30 UG. X 50 T/LIOFILCHEM Y/O BRITANIA</v>
      </c>
      <c r="D114" s="146"/>
      <c r="E114" s="146"/>
      <c r="F114" s="146"/>
      <c r="G114" s="146"/>
      <c r="H114" s="70" t="s">
        <v>54</v>
      </c>
      <c r="I114" s="71" t="str">
        <f>'Necesidades Trimestrales'!F112</f>
        <v>FRASCO</v>
      </c>
      <c r="J114" s="69">
        <f>'Necesidades Trimestrales'!H112</f>
        <v>532.4</v>
      </c>
      <c r="K114" s="68">
        <f>'Necesidades Trimestrales'!G112</f>
        <v>1</v>
      </c>
    </row>
    <row r="115" spans="1:11" ht="27.75" customHeight="1">
      <c r="A115" s="66">
        <v>104</v>
      </c>
      <c r="B115" s="74"/>
      <c r="C115" s="146" t="str">
        <f>'Necesidades Trimestrales'!E113</f>
        <v>DISCOS DE CEFPODOXIMA X 50 U - BRITANIA</v>
      </c>
      <c r="D115" s="146"/>
      <c r="E115" s="146"/>
      <c r="F115" s="146"/>
      <c r="G115" s="146"/>
      <c r="H115" s="70" t="s">
        <v>54</v>
      </c>
      <c r="I115" s="71" t="str">
        <f>'Necesidades Trimestrales'!F113</f>
        <v>FRASCO</v>
      </c>
      <c r="J115" s="69">
        <f>'Necesidades Trimestrales'!H113</f>
        <v>532.4</v>
      </c>
      <c r="K115" s="68">
        <f>'Necesidades Trimestrales'!G113</f>
        <v>2</v>
      </c>
    </row>
    <row r="116" spans="1:11" ht="27.75" customHeight="1">
      <c r="A116" s="66">
        <v>105</v>
      </c>
      <c r="B116" s="74"/>
      <c r="C116" s="146" t="str">
        <f>'Necesidades Trimestrales'!E114</f>
        <v>DISCOS DE CEFTAZIDIMA/ AVIBACTAM X 50 U BRITANIA</v>
      </c>
      <c r="D116" s="146"/>
      <c r="E116" s="146"/>
      <c r="F116" s="146"/>
      <c r="G116" s="146"/>
      <c r="H116" s="70" t="s">
        <v>54</v>
      </c>
      <c r="I116" s="71" t="str">
        <f>'Necesidades Trimestrales'!F114</f>
        <v>FRASCO</v>
      </c>
      <c r="J116" s="69">
        <f>'Necesidades Trimestrales'!H114</f>
        <v>532.4</v>
      </c>
      <c r="K116" s="68">
        <f>'Necesidades Trimestrales'!G114</f>
        <v>1</v>
      </c>
    </row>
    <row r="117" spans="1:11" ht="27.75" customHeight="1">
      <c r="A117" s="66">
        <v>106</v>
      </c>
      <c r="B117" s="74"/>
      <c r="C117" s="146" t="str">
        <f>'Necesidades Trimestrales'!E115</f>
        <v>DISCOS DE CEFTOLOZANO/TAZOBACTAM X 50 U - BRITANIA</v>
      </c>
      <c r="D117" s="146"/>
      <c r="E117" s="146"/>
      <c r="F117" s="146"/>
      <c r="G117" s="146"/>
      <c r="H117" s="70" t="s">
        <v>54</v>
      </c>
      <c r="I117" s="71" t="str">
        <f>'Necesidades Trimestrales'!F115</f>
        <v>FRASCO</v>
      </c>
      <c r="J117" s="69">
        <f>'Necesidades Trimestrales'!H115</f>
        <v>532.4</v>
      </c>
      <c r="K117" s="68">
        <f>'Necesidades Trimestrales'!G115</f>
        <v>1</v>
      </c>
    </row>
    <row r="118" spans="1:11" ht="27.75" customHeight="1">
      <c r="A118" s="66">
        <v>107</v>
      </c>
      <c r="B118" s="74"/>
      <c r="C118" s="146" t="str">
        <f>'Necesidades Trimestrales'!E116</f>
        <v>DISCOS DE CIPROFLOXACINA X 5 UG X 50 T/BRITANIA Y/O LIOFILCHEM</v>
      </c>
      <c r="D118" s="146"/>
      <c r="E118" s="146"/>
      <c r="F118" s="146"/>
      <c r="G118" s="146"/>
      <c r="H118" s="70" t="s">
        <v>54</v>
      </c>
      <c r="I118" s="71" t="str">
        <f>'Necesidades Trimestrales'!F116</f>
        <v>FRASCO</v>
      </c>
      <c r="J118" s="69">
        <f>'Necesidades Trimestrales'!H116</f>
        <v>532.4</v>
      </c>
      <c r="K118" s="68">
        <f>'Necesidades Trimestrales'!G116</f>
        <v>3</v>
      </c>
    </row>
    <row r="119" spans="1:11" ht="27.75" customHeight="1">
      <c r="A119" s="66">
        <v>108</v>
      </c>
      <c r="B119" s="74"/>
      <c r="C119" s="146" t="str">
        <f>'Necesidades Trimestrales'!E117</f>
        <v>DISCOS DE CLINDAMICINA 2 UG.  X 50 T/BRITANIA Y/O LIOFILCHEM</v>
      </c>
      <c r="D119" s="146"/>
      <c r="E119" s="146"/>
      <c r="F119" s="146"/>
      <c r="G119" s="146"/>
      <c r="H119" s="70" t="s">
        <v>54</v>
      </c>
      <c r="I119" s="71" t="str">
        <f>'Necesidades Trimestrales'!F117</f>
        <v>FRASCO</v>
      </c>
      <c r="J119" s="69">
        <f>'Necesidades Trimestrales'!H117</f>
        <v>532.4</v>
      </c>
      <c r="K119" s="68">
        <f>'Necesidades Trimestrales'!G117</f>
        <v>1</v>
      </c>
    </row>
    <row r="120" spans="1:11" ht="27.75" customHeight="1">
      <c r="A120" s="66">
        <v>109</v>
      </c>
      <c r="B120" s="74"/>
      <c r="C120" s="146" t="str">
        <f>'Necesidades Trimestrales'!E118</f>
        <v>DISCOS DE EDTA/SMA X 50  BRITANIA</v>
      </c>
      <c r="D120" s="146"/>
      <c r="E120" s="146"/>
      <c r="F120" s="146"/>
      <c r="G120" s="146"/>
      <c r="H120" s="70" t="s">
        <v>54</v>
      </c>
      <c r="I120" s="71" t="str">
        <f>'Necesidades Trimestrales'!F118</f>
        <v>FRASCO</v>
      </c>
      <c r="J120" s="69">
        <f>'Necesidades Trimestrales'!H118</f>
        <v>2153.8000000000002</v>
      </c>
      <c r="K120" s="68">
        <f>'Necesidades Trimestrales'!G118</f>
        <v>2</v>
      </c>
    </row>
    <row r="121" spans="1:11" ht="27.75" customHeight="1">
      <c r="A121" s="66">
        <v>110</v>
      </c>
      <c r="B121" s="74"/>
      <c r="C121" s="146" t="str">
        <f>'Necesidades Trimestrales'!E119</f>
        <v>DISCOS DE ERTAPENEM 10 UG X 50 T/BRITANIA Y/O LIOFILCHEM</v>
      </c>
      <c r="D121" s="146"/>
      <c r="E121" s="146"/>
      <c r="F121" s="146"/>
      <c r="G121" s="146"/>
      <c r="H121" s="70" t="s">
        <v>54</v>
      </c>
      <c r="I121" s="71" t="str">
        <f>'Necesidades Trimestrales'!F119</f>
        <v>FRASCO</v>
      </c>
      <c r="J121" s="69">
        <f>'Necesidades Trimestrales'!H119</f>
        <v>822.8</v>
      </c>
      <c r="K121" s="68">
        <f>'Necesidades Trimestrales'!G119</f>
        <v>2</v>
      </c>
    </row>
    <row r="122" spans="1:11" ht="27.75" customHeight="1">
      <c r="A122" s="66">
        <v>111</v>
      </c>
      <c r="B122" s="74"/>
      <c r="C122" s="146" t="str">
        <f>'Necesidades Trimestrales'!E120</f>
        <v>DISCOS DE GENTAMICINA X 10 UG. X 50 T/BRITANIA</v>
      </c>
      <c r="D122" s="146"/>
      <c r="E122" s="146"/>
      <c r="F122" s="146"/>
      <c r="G122" s="146"/>
      <c r="H122" s="70" t="s">
        <v>54</v>
      </c>
      <c r="I122" s="71" t="str">
        <f>'Necesidades Trimestrales'!F120</f>
        <v>FRASCO</v>
      </c>
      <c r="J122" s="69">
        <f>'Necesidades Trimestrales'!H120</f>
        <v>532</v>
      </c>
      <c r="K122" s="68">
        <f>'Necesidades Trimestrales'!G120</f>
        <v>1</v>
      </c>
    </row>
    <row r="123" spans="1:11" ht="27.75" customHeight="1">
      <c r="A123" s="66">
        <v>112</v>
      </c>
      <c r="B123" s="74"/>
      <c r="C123" s="146" t="str">
        <f>'Necesidades Trimestrales'!E121</f>
        <v>DISCOS DE TMS 25 UG X 50 T/LIOFILCHEM Y/O BRITANIA</v>
      </c>
      <c r="D123" s="146"/>
      <c r="E123" s="146"/>
      <c r="F123" s="146"/>
      <c r="G123" s="146"/>
      <c r="H123" s="70" t="s">
        <v>54</v>
      </c>
      <c r="I123" s="71" t="str">
        <f>'Necesidades Trimestrales'!F121</f>
        <v>FRASCO</v>
      </c>
      <c r="J123" s="69">
        <f>'Necesidades Trimestrales'!H121</f>
        <v>500</v>
      </c>
      <c r="K123" s="68">
        <f>'Necesidades Trimestrales'!G121</f>
        <v>5</v>
      </c>
    </row>
    <row r="124" spans="1:11" ht="27.75" customHeight="1">
      <c r="A124" s="66">
        <v>113</v>
      </c>
      <c r="B124" s="74"/>
      <c r="C124" s="146" t="str">
        <f>'Necesidades Trimestrales'!E122</f>
        <v>DISCOS PIPERACILINA/TAZOBACTAM 100/10 T/LIOFILCHEM Y/O BRITANIA</v>
      </c>
      <c r="D124" s="146"/>
      <c r="E124" s="146"/>
      <c r="F124" s="146"/>
      <c r="G124" s="146"/>
      <c r="H124" s="70" t="s">
        <v>54</v>
      </c>
      <c r="I124" s="71" t="str">
        <f>'Necesidades Trimestrales'!F122</f>
        <v>FRASCO</v>
      </c>
      <c r="J124" s="69">
        <f>'Necesidades Trimestrales'!H122</f>
        <v>532.4</v>
      </c>
      <c r="K124" s="68">
        <f>'Necesidades Trimestrales'!G122</f>
        <v>2</v>
      </c>
    </row>
    <row r="125" spans="1:11" ht="27.75" customHeight="1">
      <c r="A125" s="66">
        <v>114</v>
      </c>
      <c r="B125" s="74"/>
      <c r="C125" s="146" t="str">
        <f>'Necesidades Trimestrales'!E123</f>
        <v>DPG- Ig G ( AC ANTI PÉPTIDO DEAMINADOS DE GLIADINA- (ELISA) ALTERNATIVA</v>
      </c>
      <c r="D125" s="146"/>
      <c r="E125" s="146"/>
      <c r="F125" s="146"/>
      <c r="G125" s="146"/>
      <c r="H125" s="70" t="s">
        <v>54</v>
      </c>
      <c r="I125" s="71" t="str">
        <f>'Necesidades Trimestrales'!F123</f>
        <v>CAJA</v>
      </c>
      <c r="J125" s="69">
        <f>'Necesidades Trimestrales'!H123</f>
        <v>28501</v>
      </c>
      <c r="K125" s="68">
        <f>'Necesidades Trimestrales'!G123</f>
        <v>2</v>
      </c>
    </row>
    <row r="126" spans="1:11" ht="27.75" customHeight="1">
      <c r="A126" s="66">
        <v>115</v>
      </c>
      <c r="B126" s="74"/>
      <c r="C126" s="146" t="str">
        <f>'Necesidades Trimestrales'!E124</f>
        <v>ECOTERGENT  X 60 ML COBAS C-311 ROCHE</v>
      </c>
      <c r="D126" s="146"/>
      <c r="E126" s="146"/>
      <c r="F126" s="146"/>
      <c r="G126" s="146"/>
      <c r="H126" s="70" t="s">
        <v>54</v>
      </c>
      <c r="I126" s="71" t="str">
        <f>'Necesidades Trimestrales'!F124</f>
        <v>CASSETTE</v>
      </c>
      <c r="J126" s="69">
        <f>'Necesidades Trimestrales'!H124</f>
        <v>7054</v>
      </c>
      <c r="K126" s="68">
        <f>'Necesidades Trimestrales'!G124</f>
        <v>12</v>
      </c>
    </row>
    <row r="127" spans="1:11" ht="27.75" customHeight="1">
      <c r="A127" s="66">
        <v>116</v>
      </c>
      <c r="B127" s="74"/>
      <c r="C127" s="146" t="str">
        <f>'Necesidades Trimestrales'!E125</f>
        <v>ELECSYS SYPHILIS (TREPONEMICO)</v>
      </c>
      <c r="D127" s="146"/>
      <c r="E127" s="146"/>
      <c r="F127" s="146"/>
      <c r="G127" s="146"/>
      <c r="H127" s="70" t="s">
        <v>54</v>
      </c>
      <c r="I127" s="71" t="str">
        <f>'Necesidades Trimestrales'!F125</f>
        <v>CASSETTE</v>
      </c>
      <c r="J127" s="69">
        <f>'Necesidades Trimestrales'!H125</f>
        <v>38299</v>
      </c>
      <c r="K127" s="68">
        <f>'Necesidades Trimestrales'!G125</f>
        <v>1</v>
      </c>
    </row>
    <row r="128" spans="1:11" ht="27.75" customHeight="1">
      <c r="A128" s="66">
        <v>117</v>
      </c>
      <c r="B128" s="74"/>
      <c r="C128" s="146" t="str">
        <f>'Necesidades Trimestrales'!E126</f>
        <v>ENA KIT- DETERMINACIONES INDIVIDUALES (8 AC )(ELISA)– ALTERNATIVA</v>
      </c>
      <c r="D128" s="146"/>
      <c r="E128" s="146"/>
      <c r="F128" s="146"/>
      <c r="G128" s="146"/>
      <c r="H128" s="70" t="s">
        <v>54</v>
      </c>
      <c r="I128" s="71" t="str">
        <f>'Necesidades Trimestrales'!F126</f>
        <v>CAJA</v>
      </c>
      <c r="J128" s="69">
        <f>'Necesidades Trimestrales'!H126</f>
        <v>45800</v>
      </c>
      <c r="K128" s="68">
        <f>'Necesidades Trimestrales'!G126</f>
        <v>1</v>
      </c>
    </row>
    <row r="129" spans="1:11" ht="27.75" customHeight="1">
      <c r="A129" s="66">
        <v>118</v>
      </c>
      <c r="B129" s="74"/>
      <c r="C129" s="146" t="str">
        <f>'Necesidades Trimestrales'!E127</f>
        <v>ENA KIT SCREENING (ELISA)–   ALTERNATIVA</v>
      </c>
      <c r="D129" s="146"/>
      <c r="E129" s="146"/>
      <c r="F129" s="146"/>
      <c r="G129" s="146"/>
      <c r="H129" s="70" t="s">
        <v>54</v>
      </c>
      <c r="I129" s="71" t="str">
        <f>'Necesidades Trimestrales'!F127</f>
        <v>CAJA</v>
      </c>
      <c r="J129" s="69">
        <f>'Necesidades Trimestrales'!H127</f>
        <v>26605</v>
      </c>
      <c r="K129" s="68">
        <f>'Necesidades Trimestrales'!G127</f>
        <v>1</v>
      </c>
    </row>
    <row r="130" spans="1:11" ht="27.75" customHeight="1">
      <c r="A130" s="66">
        <v>119</v>
      </c>
      <c r="B130" s="74"/>
      <c r="C130" s="146" t="str">
        <f>'Necesidades Trimestrales'!E128</f>
        <v>EPSTEIN BARR IGG ELISA</v>
      </c>
      <c r="D130" s="146"/>
      <c r="E130" s="146"/>
      <c r="F130" s="146"/>
      <c r="G130" s="146"/>
      <c r="H130" s="70" t="s">
        <v>54</v>
      </c>
      <c r="I130" s="71" t="str">
        <f>'Necesidades Trimestrales'!F128</f>
        <v>CAJA</v>
      </c>
      <c r="J130" s="69">
        <f>'Necesidades Trimestrales'!H128</f>
        <v>28776.9</v>
      </c>
      <c r="K130" s="68">
        <f>'Necesidades Trimestrales'!G128</f>
        <v>1</v>
      </c>
    </row>
    <row r="131" spans="1:11" ht="27.75" customHeight="1">
      <c r="A131" s="66">
        <v>120</v>
      </c>
      <c r="B131" s="74"/>
      <c r="C131" s="146" t="str">
        <f>'Necesidades Trimestrales'!E129</f>
        <v>EPSTEIN BARR IGM ELISA</v>
      </c>
      <c r="D131" s="146"/>
      <c r="E131" s="146"/>
      <c r="F131" s="146"/>
      <c r="G131" s="146"/>
      <c r="H131" s="70" t="s">
        <v>54</v>
      </c>
      <c r="I131" s="71" t="str">
        <f>'Necesidades Trimestrales'!F129</f>
        <v>CAJA</v>
      </c>
      <c r="J131" s="69">
        <f>'Necesidades Trimestrales'!H129</f>
        <v>32330.6</v>
      </c>
      <c r="K131" s="68">
        <f>'Necesidades Trimestrales'!G129</f>
        <v>1</v>
      </c>
    </row>
    <row r="132" spans="1:11" ht="27.75" customHeight="1">
      <c r="A132" s="66">
        <v>121</v>
      </c>
      <c r="B132" s="74"/>
      <c r="C132" s="146" t="str">
        <f>'Necesidades Trimestrales'!E130</f>
        <v>EQUIPO D° ULTRA 8 DFA RESPIRATORY VIRUS SCREENING &amp; IDENTIFICACION,DIAGNOSTIC HYBRIDS,INC.O ALTERNATIVA</v>
      </c>
      <c r="D132" s="146"/>
      <c r="E132" s="146"/>
      <c r="F132" s="146"/>
      <c r="G132" s="146"/>
      <c r="H132" s="70" t="s">
        <v>54</v>
      </c>
      <c r="I132" s="71" t="str">
        <f>'Necesidades Trimestrales'!F130</f>
        <v>CAJA</v>
      </c>
      <c r="J132" s="69">
        <f>'Necesidades Trimestrales'!H130</f>
        <v>210397</v>
      </c>
      <c r="K132" s="68">
        <f>'Necesidades Trimestrales'!G130</f>
        <v>1</v>
      </c>
    </row>
    <row r="133" spans="1:11" ht="27.75" customHeight="1">
      <c r="A133" s="66">
        <v>122</v>
      </c>
      <c r="B133" s="74"/>
      <c r="C133" s="146" t="str">
        <f>'Necesidades Trimestrales'!E131</f>
        <v>EQUIPO DE COLORACIÓN ZIEHL NEELSEN</v>
      </c>
      <c r="D133" s="146"/>
      <c r="E133" s="146"/>
      <c r="F133" s="146"/>
      <c r="G133" s="146"/>
      <c r="H133" s="70" t="s">
        <v>54</v>
      </c>
      <c r="I133" s="71" t="str">
        <f>'Necesidades Trimestrales'!F131</f>
        <v>EQUIPO</v>
      </c>
      <c r="J133" s="69">
        <f>'Necesidades Trimestrales'!H131</f>
        <v>1950</v>
      </c>
      <c r="K133" s="68">
        <f>'Necesidades Trimestrales'!G131</f>
        <v>3</v>
      </c>
    </row>
    <row r="134" spans="1:11" ht="27.75" customHeight="1">
      <c r="A134" s="66">
        <v>123</v>
      </c>
      <c r="B134" s="74"/>
      <c r="C134" s="146" t="str">
        <f>'Necesidades Trimestrales'!E132</f>
        <v>EZ CLEANSER MINDRAY</v>
      </c>
      <c r="D134" s="146"/>
      <c r="E134" s="146"/>
      <c r="F134" s="146"/>
      <c r="G134" s="146"/>
      <c r="H134" s="70" t="s">
        <v>54</v>
      </c>
      <c r="I134" s="71" t="str">
        <f>'Necesidades Trimestrales'!F132</f>
        <v>CAJA</v>
      </c>
      <c r="J134" s="69">
        <f>'Necesidades Trimestrales'!H132</f>
        <v>4843</v>
      </c>
      <c r="K134" s="68">
        <f>'Necesidades Trimestrales'!G132</f>
        <v>3</v>
      </c>
    </row>
    <row r="135" spans="1:11" ht="27.75" customHeight="1">
      <c r="A135" s="66">
        <v>124</v>
      </c>
      <c r="B135" s="74"/>
      <c r="C135" s="146" t="str">
        <f>'Necesidades Trimestrales'!E133</f>
        <v>FERRITINA  CALSET GEN. 2 ROCHE E 411</v>
      </c>
      <c r="D135" s="146"/>
      <c r="E135" s="146"/>
      <c r="F135" s="146"/>
      <c r="G135" s="146"/>
      <c r="H135" s="70" t="s">
        <v>54</v>
      </c>
      <c r="I135" s="71" t="str">
        <f>'Necesidades Trimestrales'!F133</f>
        <v>CAJA</v>
      </c>
      <c r="J135" s="69">
        <f>'Necesidades Trimestrales'!H133</f>
        <v>15611</v>
      </c>
      <c r="K135" s="68">
        <f>'Necesidades Trimestrales'!G133</f>
        <v>1</v>
      </c>
    </row>
    <row r="136" spans="1:11" ht="27.75" customHeight="1">
      <c r="A136" s="66">
        <v>125</v>
      </c>
      <c r="B136" s="74"/>
      <c r="C136" s="146" t="str">
        <f>'Necesidades Trimestrales'!E134</f>
        <v>FERRITINA  GEN. 2 ROCHE E411 X 200DET</v>
      </c>
      <c r="D136" s="146"/>
      <c r="E136" s="146"/>
      <c r="F136" s="146"/>
      <c r="G136" s="146"/>
      <c r="H136" s="70" t="s">
        <v>54</v>
      </c>
      <c r="I136" s="71" t="str">
        <f>'Necesidades Trimestrales'!F134</f>
        <v>CASSETTE</v>
      </c>
      <c r="J136" s="69">
        <f>'Necesidades Trimestrales'!H134</f>
        <v>50321</v>
      </c>
      <c r="K136" s="68">
        <f>'Necesidades Trimestrales'!G134</f>
        <v>2</v>
      </c>
    </row>
    <row r="137" spans="1:11" ht="27.75" customHeight="1">
      <c r="A137" s="66">
        <v>126</v>
      </c>
      <c r="B137" s="74"/>
      <c r="C137" s="146" t="str">
        <f>'Necesidades Trimestrales'!E135</f>
        <v>FOSFATASA ALCALINA LARGE (IFCC) X 400 DET ROCHE</v>
      </c>
      <c r="D137" s="146"/>
      <c r="E137" s="146"/>
      <c r="F137" s="146"/>
      <c r="G137" s="146"/>
      <c r="H137" s="70" t="s">
        <v>54</v>
      </c>
      <c r="I137" s="71" t="str">
        <f>'Necesidades Trimestrales'!F135</f>
        <v>CASSETTE</v>
      </c>
      <c r="J137" s="69">
        <f>'Necesidades Trimestrales'!H135</f>
        <v>10621</v>
      </c>
      <c r="K137" s="68">
        <f>'Necesidades Trimestrales'!G135</f>
        <v>6</v>
      </c>
    </row>
    <row r="138" spans="1:11" ht="27.75" customHeight="1">
      <c r="A138" s="66">
        <v>127</v>
      </c>
      <c r="B138" s="74"/>
      <c r="C138" s="146" t="str">
        <f>'Necesidades Trimestrales'!E136</f>
        <v xml:space="preserve">FOSFATO DE POTASIO (KHHPO4)  (2mM) </v>
      </c>
      <c r="D138" s="146"/>
      <c r="E138" s="146"/>
      <c r="F138" s="146"/>
      <c r="G138" s="146"/>
      <c r="H138" s="70" t="s">
        <v>54</v>
      </c>
      <c r="I138" s="71" t="str">
        <f>'Necesidades Trimestrales'!F136</f>
        <v>FRASCO</v>
      </c>
      <c r="J138" s="69">
        <f>'Necesidades Trimestrales'!H136</f>
        <v>4568</v>
      </c>
      <c r="K138" s="68">
        <f>'Necesidades Trimestrales'!G136</f>
        <v>1</v>
      </c>
    </row>
    <row r="139" spans="1:11" ht="27.75" customHeight="1">
      <c r="A139" s="66">
        <v>128</v>
      </c>
      <c r="B139" s="74"/>
      <c r="C139" s="146" t="str">
        <f>'Necesidades Trimestrales'!E137</f>
        <v>FOSFATO DE SODIO (Na2HPO4) (10mM)</v>
      </c>
      <c r="D139" s="146"/>
      <c r="E139" s="146"/>
      <c r="F139" s="146"/>
      <c r="G139" s="146"/>
      <c r="H139" s="70" t="s">
        <v>54</v>
      </c>
      <c r="I139" s="71" t="str">
        <f>'Necesidades Trimestrales'!F137</f>
        <v>FRASCO</v>
      </c>
      <c r="J139" s="69">
        <f>'Necesidades Trimestrales'!H137</f>
        <v>4524</v>
      </c>
      <c r="K139" s="68">
        <f>'Necesidades Trimestrales'!G137</f>
        <v>1</v>
      </c>
    </row>
    <row r="140" spans="1:11" ht="27.75" customHeight="1">
      <c r="A140" s="66">
        <v>129</v>
      </c>
      <c r="B140" s="74"/>
      <c r="C140" s="146" t="str">
        <f>'Necesidades Trimestrales'!E138</f>
        <v>FOSFORO COBAS C-311 ROCHE  X 250 DET</v>
      </c>
      <c r="D140" s="146"/>
      <c r="E140" s="146"/>
      <c r="F140" s="146"/>
      <c r="G140" s="146"/>
      <c r="H140" s="70" t="s">
        <v>54</v>
      </c>
      <c r="I140" s="71" t="str">
        <f>'Necesidades Trimestrales'!F138</f>
        <v>CASSETTE</v>
      </c>
      <c r="J140" s="69">
        <f>'Necesidades Trimestrales'!H138</f>
        <v>3259</v>
      </c>
      <c r="K140" s="68">
        <f>'Necesidades Trimestrales'!G138</f>
        <v>2</v>
      </c>
    </row>
    <row r="141" spans="1:11" ht="27.75" customHeight="1">
      <c r="A141" s="66">
        <v>130</v>
      </c>
      <c r="B141" s="74"/>
      <c r="C141" s="146" t="str">
        <f>'Necesidades Trimestrales'!E139</f>
        <v>FRASCOS BACT/ALERT PF FAN PEDIATRICOS- TIPO BIOMERIEUX</v>
      </c>
      <c r="D141" s="146"/>
      <c r="E141" s="146"/>
      <c r="F141" s="146"/>
      <c r="G141" s="146"/>
      <c r="H141" s="70" t="s">
        <v>54</v>
      </c>
      <c r="I141" s="71" t="str">
        <f>'Necesidades Trimestrales'!F139</f>
        <v>FRASCO</v>
      </c>
      <c r="J141" s="69">
        <f>'Necesidades Trimestrales'!H139</f>
        <v>764</v>
      </c>
      <c r="K141" s="68">
        <f>'Necesidades Trimestrales'!G139</f>
        <v>450</v>
      </c>
    </row>
    <row r="142" spans="1:11" ht="27.75" customHeight="1">
      <c r="A142" s="66">
        <v>131</v>
      </c>
      <c r="B142" s="74"/>
      <c r="C142" s="146" t="str">
        <f>'Necesidades Trimestrales'!E140</f>
        <v>FUCSINA BASICA, ESTADO: SOLIDO, CALIDAD: PRO ANALISIS, PRESENTACION: ENVASE X 25 GR</v>
      </c>
      <c r="D142" s="146"/>
      <c r="E142" s="146"/>
      <c r="F142" s="146"/>
      <c r="G142" s="146"/>
      <c r="H142" s="70" t="s">
        <v>54</v>
      </c>
      <c r="I142" s="71" t="str">
        <f>'Necesidades Trimestrales'!F140</f>
        <v>FRASCO</v>
      </c>
      <c r="J142" s="69">
        <f>'Necesidades Trimestrales'!H140</f>
        <v>950</v>
      </c>
      <c r="K142" s="68">
        <f>'Necesidades Trimestrales'!G140</f>
        <v>1</v>
      </c>
    </row>
    <row r="143" spans="1:11" ht="27.75" customHeight="1">
      <c r="A143" s="66">
        <v>132</v>
      </c>
      <c r="B143" s="74"/>
      <c r="C143" s="146" t="str">
        <f>'Necesidades Trimestrales'!E141</f>
        <v>GEN BOX MICROAER X 10 SOBRES-TIPO BIOMERIEUX</v>
      </c>
      <c r="D143" s="146"/>
      <c r="E143" s="146"/>
      <c r="F143" s="146"/>
      <c r="G143" s="146"/>
      <c r="H143" s="70" t="s">
        <v>54</v>
      </c>
      <c r="I143" s="71" t="str">
        <f>'Necesidades Trimestrales'!F141</f>
        <v>CAJA</v>
      </c>
      <c r="J143" s="69">
        <f>'Necesidades Trimestrales'!H141</f>
        <v>5235</v>
      </c>
      <c r="K143" s="68">
        <f>'Necesidades Trimestrales'!G141</f>
        <v>2</v>
      </c>
    </row>
    <row r="144" spans="1:11" ht="27.75" customHeight="1">
      <c r="A144" s="66">
        <v>133</v>
      </c>
      <c r="B144" s="74"/>
      <c r="C144" s="146" t="str">
        <f>'Necesidades Trimestrales'!E142</f>
        <v>GIEMSA X 1L</v>
      </c>
      <c r="D144" s="146"/>
      <c r="E144" s="146"/>
      <c r="F144" s="146"/>
      <c r="G144" s="146"/>
      <c r="H144" s="70" t="s">
        <v>54</v>
      </c>
      <c r="I144" s="71" t="str">
        <f>'Necesidades Trimestrales'!F142</f>
        <v>BOTELLA</v>
      </c>
      <c r="J144" s="69">
        <f>'Necesidades Trimestrales'!H142</f>
        <v>4056.01</v>
      </c>
      <c r="K144" s="68">
        <f>'Necesidades Trimestrales'!G142</f>
        <v>5</v>
      </c>
    </row>
    <row r="145" spans="1:11" ht="27.75" customHeight="1">
      <c r="A145" s="66">
        <v>134</v>
      </c>
      <c r="B145" s="74"/>
      <c r="C145" s="146" t="str">
        <f>'Necesidades Trimestrales'!E143</f>
        <v>GLUCOSA HEXOKINASA 800 COBAS C311</v>
      </c>
      <c r="D145" s="146"/>
      <c r="E145" s="146"/>
      <c r="F145" s="146"/>
      <c r="G145" s="146"/>
      <c r="H145" s="70" t="s">
        <v>54</v>
      </c>
      <c r="I145" s="71" t="str">
        <f>'Necesidades Trimestrales'!F143</f>
        <v>CASSETTE</v>
      </c>
      <c r="J145" s="69">
        <f>'Necesidades Trimestrales'!H143</f>
        <v>11066</v>
      </c>
      <c r="K145" s="68">
        <f>'Necesidades Trimestrales'!G143</f>
        <v>5</v>
      </c>
    </row>
    <row r="146" spans="1:11" ht="27.75" customHeight="1">
      <c r="A146" s="66">
        <v>135</v>
      </c>
      <c r="B146" s="74"/>
      <c r="C146" s="146" t="str">
        <f>'Necesidades Trimestrales'!E144</f>
        <v>HbA1C TQ GEN3 150 TEST COBAS C311</v>
      </c>
      <c r="D146" s="146"/>
      <c r="E146" s="146"/>
      <c r="F146" s="146"/>
      <c r="G146" s="146"/>
      <c r="H146" s="70" t="s">
        <v>54</v>
      </c>
      <c r="I146" s="71" t="str">
        <f>'Necesidades Trimestrales'!F144</f>
        <v>CASSETTE</v>
      </c>
      <c r="J146" s="69">
        <f>'Necesidades Trimestrales'!H144</f>
        <v>23534</v>
      </c>
      <c r="K146" s="68">
        <f>'Necesidades Trimestrales'!G144</f>
        <v>2</v>
      </c>
    </row>
    <row r="147" spans="1:11" ht="27.75" customHeight="1">
      <c r="A147" s="66">
        <v>136</v>
      </c>
      <c r="B147" s="74"/>
      <c r="C147" s="146" t="str">
        <f>'Necesidades Trimestrales'!E145</f>
        <v>HCG+BETA II  PARA COBAS E411</v>
      </c>
      <c r="D147" s="146"/>
      <c r="E147" s="146"/>
      <c r="F147" s="146"/>
      <c r="G147" s="146"/>
      <c r="H147" s="70" t="s">
        <v>54</v>
      </c>
      <c r="I147" s="71" t="str">
        <f>'Necesidades Trimestrales'!F145</f>
        <v>CASSETTE</v>
      </c>
      <c r="J147" s="69">
        <f>'Necesidades Trimestrales'!H145</f>
        <v>22210</v>
      </c>
      <c r="K147" s="68">
        <f>'Necesidades Trimestrales'!G145</f>
        <v>4</v>
      </c>
    </row>
    <row r="148" spans="1:11" ht="27.75" customHeight="1">
      <c r="A148" s="66">
        <v>137</v>
      </c>
      <c r="B148" s="74"/>
      <c r="C148" s="146" t="str">
        <f>'Necesidades Trimestrales'!E146</f>
        <v>HEMOLISANTE P/COBAS C311 HBAIC2</v>
      </c>
      <c r="D148" s="146"/>
      <c r="E148" s="146"/>
      <c r="F148" s="146"/>
      <c r="G148" s="146"/>
      <c r="H148" s="70" t="s">
        <v>54</v>
      </c>
      <c r="I148" s="71" t="str">
        <f>'Necesidades Trimestrales'!F146</f>
        <v>CASSETTE</v>
      </c>
      <c r="J148" s="69">
        <f>'Necesidades Trimestrales'!H146</f>
        <v>3775</v>
      </c>
      <c r="K148" s="68">
        <f>'Necesidades Trimestrales'!G146</f>
        <v>3</v>
      </c>
    </row>
    <row r="149" spans="1:11" ht="27.75" customHeight="1">
      <c r="A149" s="66">
        <v>138</v>
      </c>
      <c r="B149" s="74"/>
      <c r="C149" s="146" t="str">
        <f>'Necesidades Trimestrales'!E147</f>
        <v>HIDROXIDO DE SODIO, ESTADO: LIQUIDO, CALIDAD: PRO ANALISIS, CONCENTRACION/PUREZA: 1 N, PRESENTACION: ENVASE X 1 L</v>
      </c>
      <c r="D149" s="146"/>
      <c r="E149" s="146"/>
      <c r="F149" s="146"/>
      <c r="G149" s="146"/>
      <c r="H149" s="70" t="s">
        <v>54</v>
      </c>
      <c r="I149" s="71" t="str">
        <f>'Necesidades Trimestrales'!F147</f>
        <v xml:space="preserve">BOTELLA </v>
      </c>
      <c r="J149" s="69">
        <f>'Necesidades Trimestrales'!H147</f>
        <v>1204.5</v>
      </c>
      <c r="K149" s="68">
        <f>'Necesidades Trimestrales'!G147</f>
        <v>1</v>
      </c>
    </row>
    <row r="150" spans="1:11" ht="27.75" customHeight="1">
      <c r="A150" s="66">
        <v>139</v>
      </c>
      <c r="B150" s="74"/>
      <c r="C150" s="146" t="str">
        <f>'Necesidades Trimestrales'!E148</f>
        <v>HIERRO COBAS C-311 ROCHE  X 200 DET</v>
      </c>
      <c r="D150" s="146"/>
      <c r="E150" s="146"/>
      <c r="F150" s="146"/>
      <c r="G150" s="146"/>
      <c r="H150" s="70" t="s">
        <v>54</v>
      </c>
      <c r="I150" s="71" t="str">
        <f>'Necesidades Trimestrales'!F148</f>
        <v>CASSETTE</v>
      </c>
      <c r="J150" s="69">
        <f>'Necesidades Trimestrales'!H148</f>
        <v>1742</v>
      </c>
      <c r="K150" s="68">
        <f>'Necesidades Trimestrales'!G148</f>
        <v>1</v>
      </c>
    </row>
    <row r="151" spans="1:11" ht="27.75" customHeight="1">
      <c r="A151" s="66">
        <v>140</v>
      </c>
      <c r="B151" s="74"/>
      <c r="C151" s="146" t="str">
        <f>'Necesidades Trimestrales'!E149</f>
        <v>HIV COMBI PT</v>
      </c>
      <c r="D151" s="146"/>
      <c r="E151" s="146"/>
      <c r="F151" s="146"/>
      <c r="G151" s="146"/>
      <c r="H151" s="70" t="s">
        <v>54</v>
      </c>
      <c r="I151" s="71" t="str">
        <f>'Necesidades Trimestrales'!F149</f>
        <v>CASSETTE</v>
      </c>
      <c r="J151" s="69">
        <f>'Necesidades Trimestrales'!H149</f>
        <v>23968</v>
      </c>
      <c r="K151" s="68">
        <f>'Necesidades Trimestrales'!G149</f>
        <v>3</v>
      </c>
    </row>
    <row r="152" spans="1:11" ht="27.75" customHeight="1">
      <c r="A152" s="66">
        <v>141</v>
      </c>
      <c r="B152" s="74"/>
      <c r="C152" s="146" t="str">
        <f>'Necesidades Trimestrales'!E150</f>
        <v>IGA COBAS ROCHE C311</v>
      </c>
      <c r="D152" s="146"/>
      <c r="E152" s="146"/>
      <c r="F152" s="146"/>
      <c r="G152" s="146"/>
      <c r="H152" s="70" t="s">
        <v>54</v>
      </c>
      <c r="I152" s="71" t="str">
        <f>'Necesidades Trimestrales'!F150</f>
        <v>CASSETTE</v>
      </c>
      <c r="J152" s="69">
        <f>'Necesidades Trimestrales'!H150</f>
        <v>16190</v>
      </c>
      <c r="K152" s="68">
        <f>'Necesidades Trimestrales'!G150</f>
        <v>3</v>
      </c>
    </row>
    <row r="153" spans="1:11" ht="27.75" customHeight="1">
      <c r="A153" s="66">
        <v>142</v>
      </c>
      <c r="B153" s="74"/>
      <c r="C153" s="146" t="str">
        <f>'Necesidades Trimestrales'!E151</f>
        <v>IGE  COBAS ROCHE</v>
      </c>
      <c r="D153" s="146"/>
      <c r="E153" s="146"/>
      <c r="F153" s="146"/>
      <c r="G153" s="146"/>
      <c r="H153" s="70" t="s">
        <v>54</v>
      </c>
      <c r="I153" s="71" t="str">
        <f>'Necesidades Trimestrales'!F151</f>
        <v>CASSETTE</v>
      </c>
      <c r="J153" s="69">
        <f>'Necesidades Trimestrales'!H151</f>
        <v>21608</v>
      </c>
      <c r="K153" s="68">
        <f>'Necesidades Trimestrales'!G151</f>
        <v>4</v>
      </c>
    </row>
    <row r="154" spans="1:11" ht="27.75" customHeight="1">
      <c r="A154" s="66">
        <v>143</v>
      </c>
      <c r="B154" s="74"/>
      <c r="C154" s="146" t="str">
        <f>'Necesidades Trimestrales'!E152</f>
        <v>IGE CALSET COBAS ROCHE</v>
      </c>
      <c r="D154" s="146"/>
      <c r="E154" s="146"/>
      <c r="F154" s="146"/>
      <c r="G154" s="146"/>
      <c r="H154" s="70" t="s">
        <v>54</v>
      </c>
      <c r="I154" s="71" t="str">
        <f>'Necesidades Trimestrales'!F152</f>
        <v>CASSETTE</v>
      </c>
      <c r="J154" s="69">
        <f>'Necesidades Trimestrales'!H152</f>
        <v>15611</v>
      </c>
      <c r="K154" s="68">
        <f>'Necesidades Trimestrales'!G152</f>
        <v>1</v>
      </c>
    </row>
    <row r="155" spans="1:11" ht="27.75" customHeight="1">
      <c r="A155" s="66">
        <v>144</v>
      </c>
      <c r="B155" s="74"/>
      <c r="C155" s="146" t="str">
        <f>'Necesidades Trimestrales'!E153</f>
        <v>IGG COBAS ROCHE C311</v>
      </c>
      <c r="D155" s="146"/>
      <c r="E155" s="146"/>
      <c r="F155" s="146"/>
      <c r="G155" s="146"/>
      <c r="H155" s="70" t="s">
        <v>54</v>
      </c>
      <c r="I155" s="71" t="str">
        <f>'Necesidades Trimestrales'!F153</f>
        <v>CASSETTE</v>
      </c>
      <c r="J155" s="69">
        <f>'Necesidades Trimestrales'!H153</f>
        <v>23265</v>
      </c>
      <c r="K155" s="68">
        <f>'Necesidades Trimestrales'!G153</f>
        <v>2</v>
      </c>
    </row>
    <row r="156" spans="1:11" ht="27.75" customHeight="1">
      <c r="A156" s="66">
        <v>145</v>
      </c>
      <c r="B156" s="74"/>
      <c r="C156" s="146" t="str">
        <f>'Necesidades Trimestrales'!E154</f>
        <v>IGM P/ COBAS C311</v>
      </c>
      <c r="D156" s="146"/>
      <c r="E156" s="146"/>
      <c r="F156" s="146"/>
      <c r="G156" s="146"/>
      <c r="H156" s="70" t="s">
        <v>54</v>
      </c>
      <c r="I156" s="71" t="str">
        <f>'Necesidades Trimestrales'!F154</f>
        <v>CASSETTE</v>
      </c>
      <c r="J156" s="69">
        <f>'Necesidades Trimestrales'!H154</f>
        <v>23265</v>
      </c>
      <c r="K156" s="68">
        <f>'Necesidades Trimestrales'!G154</f>
        <v>1</v>
      </c>
    </row>
    <row r="157" spans="1:11" ht="27.75" customHeight="1">
      <c r="A157" s="66">
        <v>146</v>
      </c>
      <c r="B157" s="74"/>
      <c r="C157" s="146" t="str">
        <f>'Necesidades Trimestrales'!E155</f>
        <v>IMPRONTA  ANA HEP- 2 (X 12 POCILLOS) -  ALTERNATIVA</v>
      </c>
      <c r="D157" s="146"/>
      <c r="E157" s="146"/>
      <c r="F157" s="146"/>
      <c r="G157" s="146"/>
      <c r="H157" s="70" t="s">
        <v>54</v>
      </c>
      <c r="I157" s="71" t="str">
        <f>'Necesidades Trimestrales'!F155</f>
        <v>UNIDAD</v>
      </c>
      <c r="J157" s="69">
        <f>'Necesidades Trimestrales'!H155</f>
        <v>1757</v>
      </c>
      <c r="K157" s="68">
        <f>'Necesidades Trimestrales'!G155</f>
        <v>5</v>
      </c>
    </row>
    <row r="158" spans="1:11" ht="27.75" customHeight="1">
      <c r="A158" s="66">
        <v>147</v>
      </c>
      <c r="B158" s="74"/>
      <c r="C158" s="146" t="str">
        <f>'Necesidades Trimestrales'!E156</f>
        <v>IMPRONTAS  DNA ”CRITHIDIA LUCILIAE” (X 7 POCILLOS) – ALTERNATIVA</v>
      </c>
      <c r="D158" s="146"/>
      <c r="E158" s="146"/>
      <c r="F158" s="146"/>
      <c r="G158" s="146"/>
      <c r="H158" s="70" t="s">
        <v>54</v>
      </c>
      <c r="I158" s="71" t="str">
        <f>'Necesidades Trimestrales'!F156</f>
        <v>UNIDAD</v>
      </c>
      <c r="J158" s="69">
        <f>'Necesidades Trimestrales'!H156</f>
        <v>1533</v>
      </c>
      <c r="K158" s="68">
        <f>'Necesidades Trimestrales'!G156</f>
        <v>5</v>
      </c>
    </row>
    <row r="159" spans="1:11" ht="27.75" customHeight="1">
      <c r="A159" s="66">
        <v>148</v>
      </c>
      <c r="B159" s="74"/>
      <c r="C159" s="146" t="str">
        <f>'Necesidades Trimestrales'!E157</f>
        <v>IMPRONTAS ESÓFAGO DE MONO  (X 8 ÁREAS) - ALTERNATIVA</v>
      </c>
      <c r="D159" s="146"/>
      <c r="E159" s="146"/>
      <c r="F159" s="146"/>
      <c r="G159" s="146"/>
      <c r="H159" s="70" t="s">
        <v>54</v>
      </c>
      <c r="I159" s="71" t="str">
        <f>'Necesidades Trimestrales'!F157</f>
        <v>UNIDAD</v>
      </c>
      <c r="J159" s="69">
        <f>'Necesidades Trimestrales'!H157</f>
        <v>3138</v>
      </c>
      <c r="K159" s="68">
        <f>'Necesidades Trimestrales'!G157</f>
        <v>5</v>
      </c>
    </row>
    <row r="160" spans="1:11" ht="27.75" customHeight="1">
      <c r="A160" s="66">
        <v>149</v>
      </c>
      <c r="B160" s="74"/>
      <c r="C160" s="146" t="str">
        <f>'Necesidades Trimestrales'!E158</f>
        <v>IMPRONTAS HÍGADO- RIÑÓN- ESTOMAGO DE RATA  (X 6 ÁREAS ) ALTERNATIVA</v>
      </c>
      <c r="D160" s="146"/>
      <c r="E160" s="146"/>
      <c r="F160" s="146"/>
      <c r="G160" s="146"/>
      <c r="H160" s="70" t="s">
        <v>54</v>
      </c>
      <c r="I160" s="71" t="str">
        <f>'Necesidades Trimestrales'!F158</f>
        <v>UNIDAD</v>
      </c>
      <c r="J160" s="69">
        <f>'Necesidades Trimestrales'!H158</f>
        <v>3138</v>
      </c>
      <c r="K160" s="68">
        <f>'Necesidades Trimestrales'!G158</f>
        <v>5</v>
      </c>
    </row>
    <row r="161" spans="1:11" ht="27.75" customHeight="1">
      <c r="A161" s="66">
        <v>150</v>
      </c>
      <c r="B161" s="74"/>
      <c r="C161" s="146" t="str">
        <f>'Necesidades Trimestrales'!E159</f>
        <v>JERINGAS P/GASES EN SANGRE C/HEPARINA DE LITIO X 3ML TIPO BD X 200U</v>
      </c>
      <c r="D161" s="146"/>
      <c r="E161" s="146"/>
      <c r="F161" s="146"/>
      <c r="G161" s="146"/>
      <c r="H161" s="70" t="s">
        <v>54</v>
      </c>
      <c r="I161" s="71" t="str">
        <f>'Necesidades Trimestrales'!F159</f>
        <v>CAJA</v>
      </c>
      <c r="J161" s="69">
        <f>'Necesidades Trimestrales'!H159</f>
        <v>6764</v>
      </c>
      <c r="K161" s="68">
        <f>'Necesidades Trimestrales'!G159</f>
        <v>5</v>
      </c>
    </row>
    <row r="162" spans="1:11" ht="27.75" customHeight="1">
      <c r="A162" s="66">
        <v>151</v>
      </c>
      <c r="B162" s="74"/>
      <c r="C162" s="146" t="str">
        <f>'Necesidades Trimestrales'!E160</f>
        <v>K- MICRO ELECTRODE</v>
      </c>
      <c r="D162" s="146"/>
      <c r="E162" s="146"/>
      <c r="F162" s="146"/>
      <c r="G162" s="146"/>
      <c r="H162" s="70" t="s">
        <v>54</v>
      </c>
      <c r="I162" s="71" t="str">
        <f>'Necesidades Trimestrales'!F160</f>
        <v>CAJA</v>
      </c>
      <c r="J162" s="69">
        <f>'Necesidades Trimestrales'!H160</f>
        <v>15503</v>
      </c>
      <c r="K162" s="68">
        <f>'Necesidades Trimestrales'!G160</f>
        <v>1</v>
      </c>
    </row>
    <row r="163" spans="1:11" ht="27.75" customHeight="1">
      <c r="A163" s="66">
        <v>152</v>
      </c>
      <c r="B163" s="74"/>
      <c r="C163" s="146" t="str">
        <f>'Necesidades Trimestrales'!E161</f>
        <v>KIT ANTI PROTEINA CITRULINADAS - TIPO BIOSYSTEM O ALTERNATIVA</v>
      </c>
      <c r="D163" s="146"/>
      <c r="E163" s="146"/>
      <c r="F163" s="146"/>
      <c r="G163" s="146"/>
      <c r="H163" s="70" t="s">
        <v>54</v>
      </c>
      <c r="I163" s="71" t="str">
        <f>'Necesidades Trimestrales'!F161</f>
        <v>CAJA</v>
      </c>
      <c r="J163" s="69">
        <f>'Necesidades Trimestrales'!H161</f>
        <v>99476</v>
      </c>
      <c r="K163" s="68">
        <f>'Necesidades Trimestrales'!G161</f>
        <v>1</v>
      </c>
    </row>
    <row r="164" spans="1:11" ht="27.75" customHeight="1">
      <c r="A164" s="66">
        <v>153</v>
      </c>
      <c r="B164" s="74"/>
      <c r="C164" s="146" t="str">
        <f>'Necesidades Trimestrales'!E162</f>
        <v>KIT ELISA- ANTITRANSGLUTAMINASA Ig  A ORGENTEC O ALTERNATIVA</v>
      </c>
      <c r="D164" s="146"/>
      <c r="E164" s="146"/>
      <c r="F164" s="146"/>
      <c r="G164" s="146"/>
      <c r="H164" s="70" t="s">
        <v>54</v>
      </c>
      <c r="I164" s="71" t="str">
        <f>'Necesidades Trimestrales'!F162</f>
        <v>CAJA</v>
      </c>
      <c r="J164" s="69">
        <f>'Necesidades Trimestrales'!H162</f>
        <v>23470</v>
      </c>
      <c r="K164" s="68">
        <f>'Necesidades Trimestrales'!G162</f>
        <v>2</v>
      </c>
    </row>
    <row r="165" spans="1:11" ht="27.75" customHeight="1">
      <c r="A165" s="66">
        <v>154</v>
      </c>
      <c r="B165" s="74"/>
      <c r="C165" s="146" t="str">
        <f>'Necesidades Trimestrales'!E163</f>
        <v>KIT ERITROSEDIMENTACION X 100 C/PIPETA+TUBO</v>
      </c>
      <c r="D165" s="146"/>
      <c r="E165" s="146"/>
      <c r="F165" s="146"/>
      <c r="G165" s="146"/>
      <c r="H165" s="70" t="s">
        <v>54</v>
      </c>
      <c r="I165" s="71" t="str">
        <f>'Necesidades Trimestrales'!F163</f>
        <v>CAJA</v>
      </c>
      <c r="J165" s="69">
        <f>'Necesidades Trimestrales'!H163</f>
        <v>3184</v>
      </c>
      <c r="K165" s="68">
        <f>'Necesidades Trimestrales'!G163</f>
        <v>3</v>
      </c>
    </row>
    <row r="166" spans="1:11" ht="27.75" customHeight="1">
      <c r="A166" s="66">
        <v>155</v>
      </c>
      <c r="B166" s="74"/>
      <c r="C166" s="146" t="str">
        <f>'Necesidades Trimestrales'!E164</f>
        <v>KIT IFI HIDATIDOSIS</v>
      </c>
      <c r="D166" s="146"/>
      <c r="E166" s="146"/>
      <c r="F166" s="146"/>
      <c r="G166" s="146"/>
      <c r="H166" s="70" t="s">
        <v>54</v>
      </c>
      <c r="I166" s="71" t="str">
        <f>'Necesidades Trimestrales'!F164</f>
        <v>CAJA</v>
      </c>
      <c r="J166" s="69">
        <f>'Necesidades Trimestrales'!H164</f>
        <v>56049</v>
      </c>
      <c r="K166" s="68">
        <f>'Necesidades Trimestrales'!G164</f>
        <v>1</v>
      </c>
    </row>
    <row r="167" spans="1:11" ht="27.75" customHeight="1">
      <c r="A167" s="66">
        <v>156</v>
      </c>
      <c r="B167" s="74"/>
      <c r="C167" s="146" t="str">
        <f>'Necesidades Trimestrales'!E165</f>
        <v>LIA - LIVER (DIAGNOSTICO HUMANO) 6 ANTICUERPOS X 24 DETERMINACIONES</v>
      </c>
      <c r="D167" s="146"/>
      <c r="E167" s="146"/>
      <c r="F167" s="146"/>
      <c r="G167" s="146"/>
      <c r="H167" s="70" t="s">
        <v>54</v>
      </c>
      <c r="I167" s="71" t="str">
        <f>'Necesidades Trimestrales'!F165</f>
        <v>CAJA</v>
      </c>
      <c r="J167" s="69">
        <f>'Necesidades Trimestrales'!H165</f>
        <v>73156</v>
      </c>
      <c r="K167" s="68">
        <f>'Necesidades Trimestrales'!G165</f>
        <v>1</v>
      </c>
    </row>
    <row r="168" spans="1:11" ht="27.75" customHeight="1">
      <c r="A168" s="66">
        <v>157</v>
      </c>
      <c r="B168" s="74"/>
      <c r="C168" s="146" t="str">
        <f>'Necesidades Trimestrales'!E166</f>
        <v>LIA - VASCULITIS (DIAGNOSTICO HUMANO)</v>
      </c>
      <c r="D168" s="146"/>
      <c r="E168" s="146"/>
      <c r="F168" s="146"/>
      <c r="G168" s="146"/>
      <c r="H168" s="70" t="s">
        <v>54</v>
      </c>
      <c r="I168" s="71" t="str">
        <f>'Necesidades Trimestrales'!F166</f>
        <v>CAJA</v>
      </c>
      <c r="J168" s="69">
        <f>'Necesidades Trimestrales'!H166</f>
        <v>86303</v>
      </c>
      <c r="K168" s="68">
        <f>'Necesidades Trimestrales'!G166</f>
        <v>1</v>
      </c>
    </row>
    <row r="169" spans="1:11" ht="27.75" customHeight="1">
      <c r="A169" s="66">
        <v>158</v>
      </c>
      <c r="B169" s="74"/>
      <c r="C169" s="146" t="str">
        <f>'Necesidades Trimestrales'!E167</f>
        <v>LISANTE P/CONTADOR MINDRAY BC3000 PLUS X 1 L</v>
      </c>
      <c r="D169" s="146"/>
      <c r="E169" s="146"/>
      <c r="F169" s="146"/>
      <c r="G169" s="146"/>
      <c r="H169" s="70" t="s">
        <v>54</v>
      </c>
      <c r="I169" s="71" t="str">
        <f>'Necesidades Trimestrales'!F167</f>
        <v>BOTELLA</v>
      </c>
      <c r="J169" s="69">
        <f>'Necesidades Trimestrales'!H167</f>
        <v>7331</v>
      </c>
      <c r="K169" s="68">
        <f>'Necesidades Trimestrales'!G167</f>
        <v>10</v>
      </c>
    </row>
    <row r="170" spans="1:11" ht="27.75" customHeight="1">
      <c r="A170" s="66">
        <v>159</v>
      </c>
      <c r="B170" s="74"/>
      <c r="C170" s="146" t="str">
        <f>'Necesidades Trimestrales'!E168</f>
        <v>Lowestein Jensen Acidificado Medio 1 x 3 tubos - Britania</v>
      </c>
      <c r="D170" s="146"/>
      <c r="E170" s="146"/>
      <c r="F170" s="146"/>
      <c r="G170" s="146"/>
      <c r="H170" s="70" t="s">
        <v>54</v>
      </c>
      <c r="I170" s="71" t="str">
        <f>'Necesidades Trimestrales'!F168</f>
        <v>Caja</v>
      </c>
      <c r="J170" s="69">
        <f>'Necesidades Trimestrales'!H168</f>
        <v>1600</v>
      </c>
      <c r="K170" s="68">
        <f>'Necesidades Trimestrales'!G168</f>
        <v>5</v>
      </c>
    </row>
    <row r="171" spans="1:11" ht="27.75" customHeight="1">
      <c r="A171" s="66">
        <v>160</v>
      </c>
      <c r="B171" s="74"/>
      <c r="C171" s="146" t="str">
        <f>'Necesidades Trimestrales'!E169</f>
        <v>Lowestein Jensen Medio 1 x 3 tubos - Britania</v>
      </c>
      <c r="D171" s="146"/>
      <c r="E171" s="146"/>
      <c r="F171" s="146"/>
      <c r="G171" s="146"/>
      <c r="H171" s="70" t="s">
        <v>54</v>
      </c>
      <c r="I171" s="71" t="str">
        <f>'Necesidades Trimestrales'!F169</f>
        <v>Caja</v>
      </c>
      <c r="J171" s="69">
        <f>'Necesidades Trimestrales'!H169</f>
        <v>1100</v>
      </c>
      <c r="K171" s="68">
        <f>'Necesidades Trimestrales'!G169</f>
        <v>5</v>
      </c>
    </row>
    <row r="172" spans="1:11" ht="27.75" customHeight="1">
      <c r="A172" s="66">
        <v>161</v>
      </c>
      <c r="B172" s="74"/>
      <c r="C172" s="146" t="str">
        <f>'Necesidades Trimestrales'!E170</f>
        <v>MAGNESIO COBAS C-311 ROCHE  X 175 DET</v>
      </c>
      <c r="D172" s="146"/>
      <c r="E172" s="146"/>
      <c r="F172" s="146"/>
      <c r="G172" s="146"/>
      <c r="H172" s="70" t="s">
        <v>54</v>
      </c>
      <c r="I172" s="71" t="str">
        <f>'Necesidades Trimestrales'!F170</f>
        <v>CASSETTE</v>
      </c>
      <c r="J172" s="69">
        <f>'Necesidades Trimestrales'!H170</f>
        <v>5539</v>
      </c>
      <c r="K172" s="68">
        <f>'Necesidades Trimestrales'!G170</f>
        <v>1</v>
      </c>
    </row>
    <row r="173" spans="1:11" ht="27.75" customHeight="1">
      <c r="A173" s="66">
        <v>162</v>
      </c>
      <c r="B173" s="74"/>
      <c r="C173" s="146" t="str">
        <f>'Necesidades Trimestrales'!E171</f>
        <v>MAY GRUNWUALD X 1 LTS.</v>
      </c>
      <c r="D173" s="146"/>
      <c r="E173" s="146"/>
      <c r="F173" s="146"/>
      <c r="G173" s="146"/>
      <c r="H173" s="70" t="s">
        <v>54</v>
      </c>
      <c r="I173" s="71" t="str">
        <f>'Necesidades Trimestrales'!F171</f>
        <v>BOTELLA</v>
      </c>
      <c r="J173" s="69">
        <f>'Necesidades Trimestrales'!H171</f>
        <v>2605</v>
      </c>
      <c r="K173" s="68">
        <f>'Necesidades Trimestrales'!G171</f>
        <v>4</v>
      </c>
    </row>
    <row r="174" spans="1:11" ht="27.75" customHeight="1">
      <c r="A174" s="66">
        <v>163</v>
      </c>
      <c r="B174" s="74"/>
      <c r="C174" s="146" t="str">
        <f>'Necesidades Trimestrales'!E172</f>
        <v xml:space="preserve">Medio Thayer Martin con suplemento , frascos </v>
      </c>
      <c r="D174" s="146"/>
      <c r="E174" s="146"/>
      <c r="F174" s="146"/>
      <c r="G174" s="146"/>
      <c r="H174" s="70" t="s">
        <v>54</v>
      </c>
      <c r="I174" s="71" t="str">
        <f>'Necesidades Trimestrales'!F172</f>
        <v>frasco</v>
      </c>
      <c r="J174" s="69">
        <f>'Necesidades Trimestrales'!H172</f>
        <v>3136</v>
      </c>
      <c r="K174" s="68">
        <f>'Necesidades Trimestrales'!G172</f>
        <v>12</v>
      </c>
    </row>
    <row r="175" spans="1:11" ht="27.75" customHeight="1">
      <c r="A175" s="66">
        <v>164</v>
      </c>
      <c r="B175" s="74"/>
      <c r="C175" s="146" t="str">
        <f>'Necesidades Trimestrales'!E173</f>
        <v>MICROELECTRODE DUMMY</v>
      </c>
      <c r="D175" s="146"/>
      <c r="E175" s="146"/>
      <c r="F175" s="146"/>
      <c r="G175" s="146"/>
      <c r="H175" s="70" t="s">
        <v>54</v>
      </c>
      <c r="I175" s="71" t="str">
        <f>'Necesidades Trimestrales'!F173</f>
        <v>CAJA</v>
      </c>
      <c r="J175" s="69">
        <f>'Necesidades Trimestrales'!H173</f>
        <v>5103</v>
      </c>
      <c r="K175" s="68">
        <f>'Necesidades Trimestrales'!G173</f>
        <v>1</v>
      </c>
    </row>
    <row r="176" spans="1:11" ht="27.75" customHeight="1">
      <c r="A176" s="66">
        <v>165</v>
      </c>
      <c r="B176" s="74"/>
      <c r="C176" s="146" t="str">
        <f>'Necesidades Trimestrales'!E174</f>
        <v>MICROTUBO C/EDTA K2 TIPO BD x 200u</v>
      </c>
      <c r="D176" s="146"/>
      <c r="E176" s="146"/>
      <c r="F176" s="146"/>
      <c r="G176" s="146"/>
      <c r="H176" s="70" t="s">
        <v>54</v>
      </c>
      <c r="I176" s="71" t="str">
        <f>'Necesidades Trimestrales'!F174</f>
        <v>CAJA</v>
      </c>
      <c r="J176" s="69">
        <f>'Necesidades Trimestrales'!H174</f>
        <v>6990</v>
      </c>
      <c r="K176" s="68">
        <f>'Necesidades Trimestrales'!G174</f>
        <v>4</v>
      </c>
    </row>
    <row r="177" spans="1:11" ht="27.75" customHeight="1">
      <c r="A177" s="66">
        <v>166</v>
      </c>
      <c r="B177" s="74"/>
      <c r="C177" s="146" t="str">
        <f>'Necesidades Trimestrales'!E175</f>
        <v>MYCOLINE TIPO BIOMERIEUX</v>
      </c>
      <c r="D177" s="146"/>
      <c r="E177" s="146"/>
      <c r="F177" s="146"/>
      <c r="G177" s="146"/>
      <c r="H177" s="70" t="s">
        <v>54</v>
      </c>
      <c r="I177" s="71" t="str">
        <f>'Necesidades Trimestrales'!F175</f>
        <v>CAJA</v>
      </c>
      <c r="J177" s="69">
        <f>'Necesidades Trimestrales'!H175</f>
        <v>4374</v>
      </c>
      <c r="K177" s="68">
        <f>'Necesidades Trimestrales'!G175</f>
        <v>5</v>
      </c>
    </row>
    <row r="178" spans="1:11" ht="27.75" customHeight="1">
      <c r="A178" s="66">
        <v>167</v>
      </c>
      <c r="B178" s="74"/>
      <c r="C178" s="146" t="str">
        <f>'Necesidades Trimestrales'!E176</f>
        <v>NA- MICRO ELECTRODE</v>
      </c>
      <c r="D178" s="146"/>
      <c r="E178" s="146"/>
      <c r="F178" s="146"/>
      <c r="G178" s="146"/>
      <c r="H178" s="70" t="s">
        <v>54</v>
      </c>
      <c r="I178" s="71" t="str">
        <f>'Necesidades Trimestrales'!F176</f>
        <v>CAJA</v>
      </c>
      <c r="J178" s="69">
        <f>'Necesidades Trimestrales'!H176</f>
        <v>15503</v>
      </c>
      <c r="K178" s="68">
        <f>'Necesidades Trimestrales'!G176</f>
        <v>1</v>
      </c>
    </row>
    <row r="179" spans="1:11" ht="27.75" customHeight="1">
      <c r="A179" s="66">
        <v>168</v>
      </c>
      <c r="B179" s="74"/>
      <c r="C179" s="146" t="str">
        <f>'Necesidades Trimestrales'!E177</f>
        <v>NACL 9% SI Gen 2 cobas roche</v>
      </c>
      <c r="D179" s="146"/>
      <c r="E179" s="146"/>
      <c r="F179" s="146"/>
      <c r="G179" s="146"/>
      <c r="H179" s="70" t="s">
        <v>54</v>
      </c>
      <c r="I179" s="71" t="str">
        <f>'Necesidades Trimestrales'!F177</f>
        <v>cassette</v>
      </c>
      <c r="J179" s="69">
        <f>'Necesidades Trimestrales'!H177</f>
        <v>4204</v>
      </c>
      <c r="K179" s="68">
        <f>'Necesidades Trimestrales'!G177</f>
        <v>2</v>
      </c>
    </row>
    <row r="180" spans="1:11" ht="27.75" customHeight="1">
      <c r="A180" s="66">
        <v>169</v>
      </c>
      <c r="B180" s="74"/>
      <c r="C180" s="146" t="str">
        <f>'Necesidades Trimestrales'!E178</f>
        <v>NAOH - D CASSETTE P/COBAS C311</v>
      </c>
      <c r="D180" s="146"/>
      <c r="E180" s="146"/>
      <c r="F180" s="146"/>
      <c r="G180" s="146"/>
      <c r="H180" s="70" t="s">
        <v>54</v>
      </c>
      <c r="I180" s="71" t="str">
        <f>'Necesidades Trimestrales'!F178</f>
        <v>CASSETTE</v>
      </c>
      <c r="J180" s="69">
        <f>'Necesidades Trimestrales'!H178</f>
        <v>1328</v>
      </c>
      <c r="K180" s="68">
        <f>'Necesidades Trimestrales'!G178</f>
        <v>12</v>
      </c>
    </row>
    <row r="181" spans="1:11" ht="27.75" customHeight="1">
      <c r="A181" s="66">
        <v>170</v>
      </c>
      <c r="B181" s="74"/>
      <c r="C181" s="146" t="str">
        <f>'Necesidades Trimestrales'!E179</f>
        <v>NaOH-D/Basic Wash 2 X 1800 ml</v>
      </c>
      <c r="D181" s="146"/>
      <c r="E181" s="146"/>
      <c r="F181" s="146"/>
      <c r="G181" s="146"/>
      <c r="H181" s="70" t="s">
        <v>54</v>
      </c>
      <c r="I181" s="71" t="str">
        <f>'Necesidades Trimestrales'!F179</f>
        <v>caja</v>
      </c>
      <c r="J181" s="69">
        <f>'Necesidades Trimestrales'!H179</f>
        <v>5922</v>
      </c>
      <c r="K181" s="68">
        <f>'Necesidades Trimestrales'!G179</f>
        <v>5</v>
      </c>
    </row>
    <row r="182" spans="1:11" ht="27.75" customHeight="1">
      <c r="A182" s="66">
        <v>171</v>
      </c>
      <c r="B182" s="74"/>
      <c r="C182" s="146" t="str">
        <f>'Necesidades Trimestrales'!E180</f>
        <v>PACK DIESTRO</v>
      </c>
      <c r="D182" s="146"/>
      <c r="E182" s="146"/>
      <c r="F182" s="146"/>
      <c r="G182" s="146"/>
      <c r="H182" s="70" t="s">
        <v>54</v>
      </c>
      <c r="I182" s="71" t="str">
        <f>'Necesidades Trimestrales'!F180</f>
        <v>CAJA</v>
      </c>
      <c r="J182" s="69">
        <f>'Necesidades Trimestrales'!H180</f>
        <v>19335.8</v>
      </c>
      <c r="K182" s="68">
        <f>'Necesidades Trimestrales'!G180</f>
        <v>3</v>
      </c>
    </row>
    <row r="183" spans="1:11" ht="27.75" customHeight="1">
      <c r="A183" s="66">
        <v>172</v>
      </c>
      <c r="B183" s="74"/>
      <c r="C183" s="146" t="str">
        <f>'Necesidades Trimestrales'!E181</f>
        <v xml:space="preserve">PANEL DE DROGAS DE ABUSO X 5DET X 25 U </v>
      </c>
      <c r="D183" s="146"/>
      <c r="E183" s="146"/>
      <c r="F183" s="146"/>
      <c r="G183" s="146"/>
      <c r="H183" s="70" t="s">
        <v>54</v>
      </c>
      <c r="I183" s="71" t="str">
        <f>'Necesidades Trimestrales'!F181</f>
        <v>CAJA</v>
      </c>
      <c r="J183" s="69">
        <f>'Necesidades Trimestrales'!H181</f>
        <v>16241</v>
      </c>
      <c r="K183" s="68">
        <f>'Necesidades Trimestrales'!G181</f>
        <v>2</v>
      </c>
    </row>
    <row r="184" spans="1:11" ht="27.75" customHeight="1">
      <c r="A184" s="66">
        <v>173</v>
      </c>
      <c r="B184" s="74"/>
      <c r="C184" s="146" t="str">
        <f>'Necesidades Trimestrales'!E182</f>
        <v>PCO2- MICRO ELECTRODE</v>
      </c>
      <c r="D184" s="146"/>
      <c r="E184" s="146"/>
      <c r="F184" s="146"/>
      <c r="G184" s="146"/>
      <c r="H184" s="70" t="s">
        <v>54</v>
      </c>
      <c r="I184" s="71" t="str">
        <f>'Necesidades Trimestrales'!F182</f>
        <v>CAJA</v>
      </c>
      <c r="J184" s="69">
        <f>'Necesidades Trimestrales'!H182</f>
        <v>61961</v>
      </c>
      <c r="K184" s="68">
        <f>'Necesidades Trimestrales'!G182</f>
        <v>1</v>
      </c>
    </row>
    <row r="185" spans="1:11" ht="27.75" customHeight="1">
      <c r="A185" s="66">
        <v>174</v>
      </c>
      <c r="B185" s="74"/>
      <c r="C185" s="146" t="str">
        <f>'Necesidades Trimestrales'!E183</f>
        <v>PH- MICRO ELECTRODE</v>
      </c>
      <c r="D185" s="146"/>
      <c r="E185" s="146"/>
      <c r="F185" s="146"/>
      <c r="G185" s="146"/>
      <c r="H185" s="70" t="s">
        <v>54</v>
      </c>
      <c r="I185" s="71" t="str">
        <f>'Necesidades Trimestrales'!F183</f>
        <v>CAJA</v>
      </c>
      <c r="J185" s="69">
        <f>'Necesidades Trimestrales'!H183</f>
        <v>25865</v>
      </c>
      <c r="K185" s="68">
        <f>'Necesidades Trimestrales'!G183</f>
        <v>1</v>
      </c>
    </row>
    <row r="186" spans="1:11" ht="27.75" customHeight="1">
      <c r="A186" s="66">
        <v>175</v>
      </c>
      <c r="B186" s="74"/>
      <c r="C186" s="146" t="str">
        <f>'Necesidades Trimestrales'!E184</f>
        <v>PLACAS AGAR COLUMBIA SANGRE OVINA X 10 UNID.  BIOMERIEUX-BRITANIA</v>
      </c>
      <c r="D186" s="146"/>
      <c r="E186" s="146"/>
      <c r="F186" s="146"/>
      <c r="G186" s="146"/>
      <c r="H186" s="70" t="s">
        <v>54</v>
      </c>
      <c r="I186" s="71" t="str">
        <f>'Necesidades Trimestrales'!F184</f>
        <v>PAQUETE</v>
      </c>
      <c r="J186" s="69">
        <f>'Necesidades Trimestrales'!H184</f>
        <v>1488</v>
      </c>
      <c r="K186" s="68">
        <f>'Necesidades Trimestrales'!G184</f>
        <v>12</v>
      </c>
    </row>
    <row r="187" spans="1:11" ht="27.75" customHeight="1">
      <c r="A187" s="66">
        <v>176</v>
      </c>
      <c r="B187" s="74"/>
      <c r="C187" s="146" t="str">
        <f>'Necesidades Trimestrales'!E185</f>
        <v>PO2- MICRO ELECTRODE</v>
      </c>
      <c r="D187" s="146"/>
      <c r="E187" s="146"/>
      <c r="F187" s="146"/>
      <c r="G187" s="146"/>
      <c r="H187" s="70" t="s">
        <v>54</v>
      </c>
      <c r="I187" s="71" t="str">
        <f>'Necesidades Trimestrales'!F185</f>
        <v>CAJA</v>
      </c>
      <c r="J187" s="69">
        <f>'Necesidades Trimestrales'!H185</f>
        <v>58870</v>
      </c>
      <c r="K187" s="68">
        <f>'Necesidades Trimestrales'!G185</f>
        <v>1</v>
      </c>
    </row>
    <row r="188" spans="1:11" ht="27.75" customHeight="1">
      <c r="A188" s="66">
        <v>177</v>
      </c>
      <c r="B188" s="74"/>
      <c r="C188" s="146" t="str">
        <f>'Necesidades Trimestrales'!E186</f>
        <v>POLIVITEX AGAR CHOCOLATE X 10 - BIOMERIEUX-BRITANIA</v>
      </c>
      <c r="D188" s="146"/>
      <c r="E188" s="146"/>
      <c r="F188" s="146"/>
      <c r="G188" s="146"/>
      <c r="H188" s="70" t="s">
        <v>54</v>
      </c>
      <c r="I188" s="71" t="str">
        <f>'Necesidades Trimestrales'!F186</f>
        <v>PAQUETE</v>
      </c>
      <c r="J188" s="69">
        <f>'Necesidades Trimestrales'!H186</f>
        <v>1760</v>
      </c>
      <c r="K188" s="68">
        <f>'Necesidades Trimestrales'!G186</f>
        <v>12</v>
      </c>
    </row>
    <row r="189" spans="1:11" ht="27.75" customHeight="1">
      <c r="A189" s="66">
        <v>178</v>
      </c>
      <c r="B189" s="74"/>
      <c r="C189" s="146" t="str">
        <f>'Necesidades Trimestrales'!E187</f>
        <v>PORTAOBJETOS IMPRESOS CON TINTA VITRIFICABLE POR 12 o 15 AREAS caja x 100 U</v>
      </c>
      <c r="D189" s="146"/>
      <c r="E189" s="146"/>
      <c r="F189" s="146"/>
      <c r="G189" s="146"/>
      <c r="H189" s="70" t="s">
        <v>54</v>
      </c>
      <c r="I189" s="71" t="str">
        <f>'Necesidades Trimestrales'!F187</f>
        <v>caja</v>
      </c>
      <c r="J189" s="69">
        <f>'Necesidades Trimestrales'!H187</f>
        <v>22250</v>
      </c>
      <c r="K189" s="68">
        <f>'Necesidades Trimestrales'!G187</f>
        <v>3</v>
      </c>
    </row>
    <row r="190" spans="1:11" ht="27.75" customHeight="1">
      <c r="A190" s="66">
        <v>179</v>
      </c>
      <c r="B190" s="74"/>
      <c r="C190" s="146" t="str">
        <f>'Necesidades Trimestrales'!E188</f>
        <v>PRECICONTROL  HBC1 NORM P/COBAS C311</v>
      </c>
      <c r="D190" s="146"/>
      <c r="E190" s="146"/>
      <c r="F190" s="146"/>
      <c r="G190" s="146"/>
      <c r="H190" s="70" t="s">
        <v>54</v>
      </c>
      <c r="I190" s="71" t="str">
        <f>'Necesidades Trimestrales'!F188</f>
        <v>CAJA</v>
      </c>
      <c r="J190" s="69">
        <f>'Necesidades Trimestrales'!H188</f>
        <v>14392</v>
      </c>
      <c r="K190" s="68">
        <f>'Necesidades Trimestrales'!G188</f>
        <v>1</v>
      </c>
    </row>
    <row r="191" spans="1:11" ht="27.75" customHeight="1">
      <c r="A191" s="66">
        <v>180</v>
      </c>
      <c r="B191" s="74"/>
      <c r="C191" s="146" t="str">
        <f>'Necesidades Trimestrales'!E189</f>
        <v>PRECICONTROL  HBC1 PATH P/COBAS C311</v>
      </c>
      <c r="D191" s="146"/>
      <c r="E191" s="146"/>
      <c r="F191" s="146"/>
      <c r="G191" s="146"/>
      <c r="H191" s="70" t="s">
        <v>54</v>
      </c>
      <c r="I191" s="71" t="str">
        <f>'Necesidades Trimestrales'!F189</f>
        <v>CAJA</v>
      </c>
      <c r="J191" s="69">
        <f>'Necesidades Trimestrales'!H189</f>
        <v>17614</v>
      </c>
      <c r="K191" s="68">
        <f>'Necesidades Trimestrales'!G189</f>
        <v>1</v>
      </c>
    </row>
    <row r="192" spans="1:11" ht="27.75" customHeight="1">
      <c r="A192" s="66">
        <v>181</v>
      </c>
      <c r="B192" s="74"/>
      <c r="C192" s="146" t="str">
        <f>'Necesidades Trimestrales'!E190</f>
        <v>PRECICONTROL CLINCHEM MULTI 1 QCS 20X5ML</v>
      </c>
      <c r="D192" s="146"/>
      <c r="E192" s="146"/>
      <c r="F192" s="146"/>
      <c r="G192" s="146"/>
      <c r="H192" s="70" t="s">
        <v>54</v>
      </c>
      <c r="I192" s="71" t="str">
        <f>'Necesidades Trimestrales'!F190</f>
        <v>CAJA</v>
      </c>
      <c r="J192" s="69">
        <f>'Necesidades Trimestrales'!H190</f>
        <v>70557</v>
      </c>
      <c r="K192" s="68">
        <f>'Necesidades Trimestrales'!G190</f>
        <v>1</v>
      </c>
    </row>
    <row r="193" spans="1:11" ht="27.75" customHeight="1">
      <c r="A193" s="66">
        <v>182</v>
      </c>
      <c r="B193" s="74"/>
      <c r="C193" s="146" t="str">
        <f>'Necesidades Trimestrales'!E191</f>
        <v>PRECICONTROL CLINCHEM MULTI 2 QCS 20X5ML</v>
      </c>
      <c r="D193" s="146"/>
      <c r="E193" s="146"/>
      <c r="F193" s="146"/>
      <c r="G193" s="146"/>
      <c r="H193" s="70" t="s">
        <v>54</v>
      </c>
      <c r="I193" s="71" t="str">
        <f>'Necesidades Trimestrales'!F191</f>
        <v>CAJA</v>
      </c>
      <c r="J193" s="69">
        <f>'Necesidades Trimestrales'!H191</f>
        <v>70557</v>
      </c>
      <c r="K193" s="68">
        <f>'Necesidades Trimestrales'!G191</f>
        <v>1</v>
      </c>
    </row>
    <row r="194" spans="1:11" ht="27.75" customHeight="1">
      <c r="A194" s="66">
        <v>183</v>
      </c>
      <c r="B194" s="74"/>
      <c r="C194" s="146" t="str">
        <f>'Necesidades Trimestrales'!E192</f>
        <v>Precicontrol CMV IgM 16x 1 ml cobas roche</v>
      </c>
      <c r="D194" s="146"/>
      <c r="E194" s="146"/>
      <c r="F194" s="146"/>
      <c r="G194" s="146"/>
      <c r="H194" s="70" t="s">
        <v>54</v>
      </c>
      <c r="I194" s="71" t="str">
        <f>'Necesidades Trimestrales'!F192</f>
        <v>Caja</v>
      </c>
      <c r="J194" s="69">
        <f>'Necesidades Trimestrales'!H192</f>
        <v>39500</v>
      </c>
      <c r="K194" s="68">
        <f>'Necesidades Trimestrales'!G192</f>
        <v>1</v>
      </c>
    </row>
    <row r="195" spans="1:11" ht="27.75" customHeight="1">
      <c r="A195" s="66">
        <v>184</v>
      </c>
      <c r="B195" s="74"/>
      <c r="C195" s="146" t="str">
        <f>'Necesidades Trimestrales'!E193</f>
        <v>PRECICONTROL THYRO P COBAS E 411</v>
      </c>
      <c r="D195" s="146"/>
      <c r="E195" s="146"/>
      <c r="F195" s="146"/>
      <c r="G195" s="146"/>
      <c r="H195" s="70" t="s">
        <v>54</v>
      </c>
      <c r="I195" s="71" t="str">
        <f>'Necesidades Trimestrales'!F193</f>
        <v>CAJA</v>
      </c>
      <c r="J195" s="69">
        <f>'Necesidades Trimestrales'!H193</f>
        <v>65988</v>
      </c>
      <c r="K195" s="68">
        <f>'Necesidades Trimestrales'!G193</f>
        <v>2</v>
      </c>
    </row>
    <row r="196" spans="1:11" ht="27.75" customHeight="1">
      <c r="A196" s="66">
        <v>185</v>
      </c>
      <c r="B196" s="74"/>
      <c r="C196" s="146" t="str">
        <f>'Necesidades Trimestrales'!E194</f>
        <v>PRECICONTROL UNIVERSAL P COBAS E 411</v>
      </c>
      <c r="D196" s="146"/>
      <c r="E196" s="146"/>
      <c r="F196" s="146"/>
      <c r="G196" s="146"/>
      <c r="H196" s="70" t="s">
        <v>54</v>
      </c>
      <c r="I196" s="71" t="str">
        <f>'Necesidades Trimestrales'!F194</f>
        <v>CAJA</v>
      </c>
      <c r="J196" s="69">
        <f>'Necesidades Trimestrales'!H194</f>
        <v>14038</v>
      </c>
      <c r="K196" s="68">
        <f>'Necesidades Trimestrales'!G194</f>
        <v>4</v>
      </c>
    </row>
    <row r="197" spans="1:11" ht="27.75" customHeight="1">
      <c r="A197" s="66">
        <v>186</v>
      </c>
      <c r="B197" s="74"/>
      <c r="C197" s="146" t="str">
        <f>'Necesidades Trimestrales'!E195</f>
        <v>PRO CELL COBAS E-411N ROCHE X 2 L</v>
      </c>
      <c r="D197" s="146"/>
      <c r="E197" s="146"/>
      <c r="F197" s="146"/>
      <c r="G197" s="146"/>
      <c r="H197" s="70" t="s">
        <v>54</v>
      </c>
      <c r="I197" s="71" t="str">
        <f>'Necesidades Trimestrales'!F195</f>
        <v>CAJA</v>
      </c>
      <c r="J197" s="69">
        <f>'Necesidades Trimestrales'!H195</f>
        <v>13972</v>
      </c>
      <c r="K197" s="68">
        <f>'Necesidades Trimestrales'!G195</f>
        <v>6</v>
      </c>
    </row>
    <row r="198" spans="1:11" ht="27.75" customHeight="1">
      <c r="A198" s="66">
        <v>187</v>
      </c>
      <c r="B198" s="74"/>
      <c r="C198" s="146" t="str">
        <f>'Necesidades Trimestrales'!E196</f>
        <v>PROBE CLEANSER MINDRAY</v>
      </c>
      <c r="D198" s="146"/>
      <c r="E198" s="146"/>
      <c r="F198" s="146"/>
      <c r="G198" s="146"/>
      <c r="H198" s="70" t="s">
        <v>54</v>
      </c>
      <c r="I198" s="71" t="str">
        <f>'Necesidades Trimestrales'!F196</f>
        <v>CAJA</v>
      </c>
      <c r="J198" s="69">
        <f>'Necesidades Trimestrales'!H196</f>
        <v>867</v>
      </c>
      <c r="K198" s="68">
        <f>'Necesidades Trimestrales'!G196</f>
        <v>6</v>
      </c>
    </row>
    <row r="199" spans="1:11" ht="27.75" customHeight="1">
      <c r="A199" s="66">
        <v>188</v>
      </c>
      <c r="B199" s="74"/>
      <c r="C199" s="146" t="str">
        <f>'Necesidades Trimestrales'!E197</f>
        <v>PROTEINA TOTAL COBAS C311</v>
      </c>
      <c r="D199" s="146"/>
      <c r="E199" s="146"/>
      <c r="F199" s="146"/>
      <c r="G199" s="146"/>
      <c r="H199" s="70" t="s">
        <v>54</v>
      </c>
      <c r="I199" s="71" t="str">
        <f>'Necesidades Trimestrales'!F197</f>
        <v>CASSETTE</v>
      </c>
      <c r="J199" s="69">
        <f>'Necesidades Trimestrales'!H197</f>
        <v>2120</v>
      </c>
      <c r="K199" s="68">
        <f>'Necesidades Trimestrales'!G197</f>
        <v>6</v>
      </c>
    </row>
    <row r="200" spans="1:11" ht="27.75" customHeight="1">
      <c r="A200" s="66">
        <v>189</v>
      </c>
      <c r="B200" s="74"/>
      <c r="C200" s="146" t="str">
        <f>'Necesidades Trimestrales'!E198</f>
        <v>REACTIVO ANTIGENO DE SUPERFICIE HBSAG P/ COBAS E411 x 100 DET</v>
      </c>
      <c r="D200" s="146"/>
      <c r="E200" s="146"/>
      <c r="F200" s="146"/>
      <c r="G200" s="146"/>
      <c r="H200" s="70" t="s">
        <v>54</v>
      </c>
      <c r="I200" s="71" t="str">
        <f>'Necesidades Trimestrales'!F198</f>
        <v>CASSETTE</v>
      </c>
      <c r="J200" s="69">
        <f>'Necesidades Trimestrales'!H198</f>
        <v>23953</v>
      </c>
      <c r="K200" s="68">
        <f>'Necesidades Trimestrales'!G198</f>
        <v>5</v>
      </c>
    </row>
    <row r="201" spans="1:11" ht="27.75" customHeight="1">
      <c r="A201" s="66">
        <v>190</v>
      </c>
      <c r="B201" s="74"/>
      <c r="C201" s="146" t="str">
        <f>'Necesidades Trimestrales'!E199</f>
        <v>REACTIVO CMV IGM COBAS E-411 ROCHE</v>
      </c>
      <c r="D201" s="146"/>
      <c r="E201" s="146"/>
      <c r="F201" s="146"/>
      <c r="G201" s="146"/>
      <c r="H201" s="70" t="s">
        <v>54</v>
      </c>
      <c r="I201" s="71" t="str">
        <f>'Necesidades Trimestrales'!F199</f>
        <v>CASSETTE</v>
      </c>
      <c r="J201" s="69">
        <f>'Necesidades Trimestrales'!H199</f>
        <v>88722</v>
      </c>
      <c r="K201" s="68">
        <f>'Necesidades Trimestrales'!G199</f>
        <v>2</v>
      </c>
    </row>
    <row r="202" spans="1:11" ht="27.75" customHeight="1">
      <c r="A202" s="66">
        <v>191</v>
      </c>
      <c r="B202" s="74"/>
      <c r="C202" s="146" t="str">
        <f>'Necesidades Trimestrales'!E200</f>
        <v>REACTIVO ESTRADIOL COBAS E-411 ROCHE  X 100 DET</v>
      </c>
      <c r="D202" s="146"/>
      <c r="E202" s="146"/>
      <c r="F202" s="146"/>
      <c r="G202" s="146"/>
      <c r="H202" s="70" t="s">
        <v>54</v>
      </c>
      <c r="I202" s="71" t="str">
        <f>'Necesidades Trimestrales'!F200</f>
        <v>CASSETTE</v>
      </c>
      <c r="J202" s="69">
        <f>'Necesidades Trimestrales'!H200</f>
        <v>24647</v>
      </c>
      <c r="K202" s="68">
        <f>'Necesidades Trimestrales'!G200</f>
        <v>2</v>
      </c>
    </row>
    <row r="203" spans="1:11" ht="27.75" customHeight="1">
      <c r="A203" s="66">
        <v>192</v>
      </c>
      <c r="B203" s="74"/>
      <c r="C203" s="146" t="str">
        <f>'Necesidades Trimestrales'!E201</f>
        <v>REACTIVO FSH COBAS E-411 ROCHE X 100 DET</v>
      </c>
      <c r="D203" s="146"/>
      <c r="E203" s="146"/>
      <c r="F203" s="146"/>
      <c r="G203" s="146"/>
      <c r="H203" s="70" t="s">
        <v>54</v>
      </c>
      <c r="I203" s="71" t="str">
        <f>'Necesidades Trimestrales'!F201</f>
        <v>CASSETTE</v>
      </c>
      <c r="J203" s="69">
        <f>'Necesidades Trimestrales'!H201</f>
        <v>22210</v>
      </c>
      <c r="K203" s="68">
        <f>'Necesidades Trimestrales'!G201</f>
        <v>2</v>
      </c>
    </row>
    <row r="204" spans="1:11" ht="27.75" customHeight="1">
      <c r="A204" s="66">
        <v>193</v>
      </c>
      <c r="B204" s="74"/>
      <c r="C204" s="146" t="str">
        <f>'Necesidades Trimestrales'!E202</f>
        <v>REACTIVO INSULINA COBAS E-411 ROCHE  X 100 DET</v>
      </c>
      <c r="D204" s="146"/>
      <c r="E204" s="146"/>
      <c r="F204" s="146"/>
      <c r="G204" s="146"/>
      <c r="H204" s="70" t="s">
        <v>54</v>
      </c>
      <c r="I204" s="71" t="str">
        <f>'Necesidades Trimestrales'!F202</f>
        <v>CASSETTE</v>
      </c>
      <c r="J204" s="69">
        <f>'Necesidades Trimestrales'!H202</f>
        <v>28621</v>
      </c>
      <c r="K204" s="68">
        <f>'Necesidades Trimestrales'!G202</f>
        <v>5</v>
      </c>
    </row>
    <row r="205" spans="1:11" ht="27.75" customHeight="1">
      <c r="A205" s="66">
        <v>194</v>
      </c>
      <c r="B205" s="74"/>
      <c r="C205" s="146" t="str">
        <f>'Necesidades Trimestrales'!E203</f>
        <v>REACTIVO LH COBAS E-411 ROCHE  X 100 DET</v>
      </c>
      <c r="D205" s="146"/>
      <c r="E205" s="146"/>
      <c r="F205" s="146"/>
      <c r="G205" s="146"/>
      <c r="H205" s="70" t="s">
        <v>54</v>
      </c>
      <c r="I205" s="71" t="str">
        <f>'Necesidades Trimestrales'!F203</f>
        <v>CASSETTE</v>
      </c>
      <c r="J205" s="69">
        <f>'Necesidades Trimestrales'!H203</f>
        <v>22210</v>
      </c>
      <c r="K205" s="68">
        <f>'Necesidades Trimestrales'!G203</f>
        <v>2</v>
      </c>
    </row>
    <row r="206" spans="1:11" ht="27.75" customHeight="1">
      <c r="A206" s="66">
        <v>195</v>
      </c>
      <c r="B206" s="74"/>
      <c r="C206" s="146" t="str">
        <f>'Necesidades Trimestrales'!E204</f>
        <v>REACTIVO PROLACTINA COBAS E-411 ROCHE X 100 DET</v>
      </c>
      <c r="D206" s="146"/>
      <c r="E206" s="146"/>
      <c r="F206" s="146"/>
      <c r="G206" s="146"/>
      <c r="H206" s="70" t="s">
        <v>54</v>
      </c>
      <c r="I206" s="71" t="str">
        <f>'Necesidades Trimestrales'!F204</f>
        <v>CASSETTE</v>
      </c>
      <c r="J206" s="69">
        <f>'Necesidades Trimestrales'!H204</f>
        <v>22210</v>
      </c>
      <c r="K206" s="68">
        <f>'Necesidades Trimestrales'!G204</f>
        <v>2</v>
      </c>
    </row>
    <row r="207" spans="1:11" ht="27.75" customHeight="1">
      <c r="A207" s="66">
        <v>196</v>
      </c>
      <c r="B207" s="74"/>
      <c r="C207" s="146" t="str">
        <f>'Necesidades Trimestrales'!E205</f>
        <v>REACTIVO T3  TOTAL COBAS E-411 ROCHE  X 100 DET</v>
      </c>
      <c r="D207" s="146"/>
      <c r="E207" s="146"/>
      <c r="F207" s="146"/>
      <c r="G207" s="146"/>
      <c r="H207" s="70" t="s">
        <v>54</v>
      </c>
      <c r="I207" s="71" t="str">
        <f>'Necesidades Trimestrales'!F205</f>
        <v>CASSETTE</v>
      </c>
      <c r="J207" s="69">
        <f>'Necesidades Trimestrales'!H205</f>
        <v>25576</v>
      </c>
      <c r="K207" s="68">
        <f>'Necesidades Trimestrales'!G205</f>
        <v>4</v>
      </c>
    </row>
    <row r="208" spans="1:11" ht="27.75" customHeight="1">
      <c r="A208" s="66">
        <v>197</v>
      </c>
      <c r="B208" s="74"/>
      <c r="C208" s="146" t="str">
        <f>'Necesidades Trimestrales'!E206</f>
        <v>REACTIVO T4 LIBRE  (FT4)   COBAS E-411 ROCHE X 200 DET</v>
      </c>
      <c r="D208" s="146"/>
      <c r="E208" s="146"/>
      <c r="F208" s="146"/>
      <c r="G208" s="146"/>
      <c r="H208" s="70" t="s">
        <v>54</v>
      </c>
      <c r="I208" s="71" t="str">
        <f>'Necesidades Trimestrales'!F206</f>
        <v>CASSETTE</v>
      </c>
      <c r="J208" s="69">
        <f>'Necesidades Trimestrales'!H206</f>
        <v>31226</v>
      </c>
      <c r="K208" s="68">
        <f>'Necesidades Trimestrales'!G206</f>
        <v>5</v>
      </c>
    </row>
    <row r="209" spans="1:11" ht="27.75" customHeight="1">
      <c r="A209" s="66">
        <v>198</v>
      </c>
      <c r="B209" s="74"/>
      <c r="C209" s="146" t="str">
        <f>'Necesidades Trimestrales'!E207</f>
        <v>REACTIVO T4 TOTAL P COBAS E 411</v>
      </c>
      <c r="D209" s="146"/>
      <c r="E209" s="146"/>
      <c r="F209" s="146"/>
      <c r="G209" s="146"/>
      <c r="H209" s="70" t="s">
        <v>54</v>
      </c>
      <c r="I209" s="71" t="str">
        <f>'Necesidades Trimestrales'!F207</f>
        <v>CASSETTE</v>
      </c>
      <c r="J209" s="69">
        <f>'Necesidades Trimestrales'!H207</f>
        <v>25576</v>
      </c>
      <c r="K209" s="68">
        <f>'Necesidades Trimestrales'!G207</f>
        <v>4</v>
      </c>
    </row>
    <row r="210" spans="1:11" ht="27.75" customHeight="1">
      <c r="A210" s="66">
        <v>199</v>
      </c>
      <c r="B210" s="74"/>
      <c r="C210" s="146" t="str">
        <f>'Necesidades Trimestrales'!E208</f>
        <v>REACTIVO TSH  COBAS E-411 ROCHE X 200 DET</v>
      </c>
      <c r="D210" s="146"/>
      <c r="E210" s="146"/>
      <c r="F210" s="146"/>
      <c r="G210" s="146"/>
      <c r="H210" s="70" t="s">
        <v>54</v>
      </c>
      <c r="I210" s="71" t="str">
        <f>'Necesidades Trimestrales'!F208</f>
        <v>CASSETTE</v>
      </c>
      <c r="J210" s="69">
        <f>'Necesidades Trimestrales'!H208</f>
        <v>24383</v>
      </c>
      <c r="K210" s="68">
        <f>'Necesidades Trimestrales'!G208</f>
        <v>5</v>
      </c>
    </row>
    <row r="211" spans="1:11" ht="27.75" customHeight="1">
      <c r="A211" s="66">
        <v>200</v>
      </c>
      <c r="B211" s="74"/>
      <c r="C211" s="146" t="str">
        <f>'Necesidades Trimestrales'!E209</f>
        <v>REFERENCE CONTACT (RCON)</v>
      </c>
      <c r="D211" s="146"/>
      <c r="E211" s="146"/>
      <c r="F211" s="146"/>
      <c r="G211" s="146"/>
      <c r="H211" s="70" t="s">
        <v>54</v>
      </c>
      <c r="I211" s="71" t="str">
        <f>'Necesidades Trimestrales'!F209</f>
        <v>CAJA</v>
      </c>
      <c r="J211" s="69">
        <f>'Necesidades Trimestrales'!H209</f>
        <v>32620</v>
      </c>
      <c r="K211" s="68">
        <f>'Necesidades Trimestrales'!G209</f>
        <v>1</v>
      </c>
    </row>
    <row r="212" spans="1:11" ht="27.75" customHeight="1">
      <c r="A212" s="66">
        <v>201</v>
      </c>
      <c r="B212" s="74"/>
      <c r="C212" s="146" t="str">
        <f>'Necesidades Trimestrales'!E210</f>
        <v>REFERENCE MICRO ELECTRODE</v>
      </c>
      <c r="D212" s="146"/>
      <c r="E212" s="146"/>
      <c r="F212" s="146"/>
      <c r="G212" s="146"/>
      <c r="H212" s="70" t="s">
        <v>54</v>
      </c>
      <c r="I212" s="71" t="str">
        <f>'Necesidades Trimestrales'!F210</f>
        <v>caja</v>
      </c>
      <c r="J212" s="69">
        <f>'Necesidades Trimestrales'!H210</f>
        <v>28916</v>
      </c>
      <c r="K212" s="68">
        <f>'Necesidades Trimestrales'!G210</f>
        <v>1</v>
      </c>
    </row>
    <row r="213" spans="1:11" ht="27.75" customHeight="1">
      <c r="A213" s="66">
        <v>202</v>
      </c>
      <c r="B213" s="74"/>
      <c r="C213" s="146" t="str">
        <f>'Necesidades Trimestrales'!E211</f>
        <v>ROTAVIRUS ELISA X 96 DET. –ALTERNATIVA</v>
      </c>
      <c r="D213" s="146"/>
      <c r="E213" s="146"/>
      <c r="F213" s="146"/>
      <c r="G213" s="146"/>
      <c r="H213" s="70" t="s">
        <v>54</v>
      </c>
      <c r="I213" s="71" t="str">
        <f>'Necesidades Trimestrales'!F211</f>
        <v>CAJA</v>
      </c>
      <c r="J213" s="69">
        <f>'Necesidades Trimestrales'!H211</f>
        <v>57000</v>
      </c>
      <c r="K213" s="68">
        <f>'Necesidades Trimestrales'!G211</f>
        <v>1</v>
      </c>
    </row>
    <row r="214" spans="1:11" ht="27.75" customHeight="1">
      <c r="A214" s="66">
        <v>203</v>
      </c>
      <c r="B214" s="74"/>
      <c r="C214" s="146" t="str">
        <f>'Necesidades Trimestrales'!E212</f>
        <v>S1 RINSE SOLUTION COBAS B221 2PC</v>
      </c>
      <c r="D214" s="146"/>
      <c r="E214" s="146"/>
      <c r="F214" s="146"/>
      <c r="G214" s="146"/>
      <c r="H214" s="70" t="s">
        <v>54</v>
      </c>
      <c r="I214" s="71" t="str">
        <f>'Necesidades Trimestrales'!F212</f>
        <v>CAJA</v>
      </c>
      <c r="J214" s="69">
        <f>'Necesidades Trimestrales'!H212</f>
        <v>37305</v>
      </c>
      <c r="K214" s="68">
        <f>'Necesidades Trimestrales'!G212</f>
        <v>6</v>
      </c>
    </row>
    <row r="215" spans="1:11" ht="27.75" customHeight="1">
      <c r="A215" s="66">
        <v>204</v>
      </c>
      <c r="B215" s="74"/>
      <c r="C215" s="146" t="str">
        <f>'Necesidades Trimestrales'!E213</f>
        <v>S2 FLUID PACK P/COBAS 221</v>
      </c>
      <c r="D215" s="146"/>
      <c r="E215" s="146"/>
      <c r="F215" s="146"/>
      <c r="G215" s="146"/>
      <c r="H215" s="70" t="s">
        <v>54</v>
      </c>
      <c r="I215" s="71" t="str">
        <f>'Necesidades Trimestrales'!F213</f>
        <v>CAJA</v>
      </c>
      <c r="J215" s="69">
        <f>'Necesidades Trimestrales'!H213</f>
        <v>61165</v>
      </c>
      <c r="K215" s="68">
        <f>'Necesidades Trimestrales'!G213</f>
        <v>6</v>
      </c>
    </row>
    <row r="216" spans="1:11" ht="27.75" customHeight="1">
      <c r="A216" s="66">
        <v>205</v>
      </c>
      <c r="B216" s="74"/>
      <c r="C216" s="146" t="str">
        <f>'Necesidades Trimestrales'!E214</f>
        <v>S3 FLUID PACK P/COBAS 221</v>
      </c>
      <c r="D216" s="146"/>
      <c r="E216" s="146"/>
      <c r="F216" s="146"/>
      <c r="G216" s="146"/>
      <c r="H216" s="70" t="s">
        <v>54</v>
      </c>
      <c r="I216" s="71" t="str">
        <f>'Necesidades Trimestrales'!F214</f>
        <v>CAJA</v>
      </c>
      <c r="J216" s="69">
        <f>'Necesidades Trimestrales'!H214</f>
        <v>81157</v>
      </c>
      <c r="K216" s="68">
        <f>'Necesidades Trimestrales'!G214</f>
        <v>5</v>
      </c>
    </row>
    <row r="217" spans="1:11" ht="27.75" customHeight="1">
      <c r="A217" s="66">
        <v>206</v>
      </c>
      <c r="B217" s="74"/>
      <c r="C217" s="146" t="str">
        <f>'Necesidades Trimestrales'!E215</f>
        <v>SALMONELLA SHIGELLA AGAR X 500 GR T/ BRITANIA</v>
      </c>
      <c r="D217" s="146"/>
      <c r="E217" s="146"/>
      <c r="F217" s="146"/>
      <c r="G217" s="146"/>
      <c r="H217" s="70" t="s">
        <v>54</v>
      </c>
      <c r="I217" s="71" t="str">
        <f>'Necesidades Trimestrales'!F215</f>
        <v>FRASCO</v>
      </c>
      <c r="J217" s="69">
        <f>'Necesidades Trimestrales'!H215</f>
        <v>3320</v>
      </c>
      <c r="K217" s="68">
        <f>'Necesidades Trimestrales'!G215</f>
        <v>1</v>
      </c>
    </row>
    <row r="218" spans="1:11" ht="27.75" customHeight="1">
      <c r="A218" s="66">
        <v>207</v>
      </c>
      <c r="B218" s="74"/>
      <c r="C218" s="146" t="str">
        <f>'Necesidades Trimestrales'!E216</f>
        <v>SENSOR GLU/LAC</v>
      </c>
      <c r="D218" s="146"/>
      <c r="E218" s="146"/>
      <c r="F218" s="146"/>
      <c r="G218" s="146"/>
      <c r="H218" s="70" t="s">
        <v>54</v>
      </c>
      <c r="I218" s="71" t="str">
        <f>'Necesidades Trimestrales'!F216</f>
        <v>CAJA</v>
      </c>
      <c r="J218" s="69">
        <f>'Necesidades Trimestrales'!H216</f>
        <v>16709</v>
      </c>
      <c r="K218" s="68">
        <f>'Necesidades Trimestrales'!G216</f>
        <v>4</v>
      </c>
    </row>
    <row r="219" spans="1:11" ht="27.75" customHeight="1">
      <c r="A219" s="66">
        <v>208</v>
      </c>
      <c r="B219" s="74"/>
      <c r="C219" s="146" t="str">
        <f>'Necesidades Trimestrales'!E217</f>
        <v>SMS (Selective Mode Solution)/ Acid Wash  (sólo c311) 12x70ml ROCHE C311</v>
      </c>
      <c r="D219" s="146"/>
      <c r="E219" s="146"/>
      <c r="F219" s="146"/>
      <c r="G219" s="146"/>
      <c r="H219" s="70" t="s">
        <v>54</v>
      </c>
      <c r="I219" s="71" t="str">
        <f>'Necesidades Trimestrales'!F217</f>
        <v>caja</v>
      </c>
      <c r="J219" s="69">
        <f>'Necesidades Trimestrales'!H217</f>
        <v>9410</v>
      </c>
      <c r="K219" s="68">
        <f>'Necesidades Trimestrales'!G217</f>
        <v>1</v>
      </c>
    </row>
    <row r="220" spans="1:11" ht="27.75" customHeight="1">
      <c r="A220" s="66">
        <v>209</v>
      </c>
      <c r="B220" s="74"/>
      <c r="C220" s="146" t="str">
        <f>'Necesidades Trimestrales'!E218</f>
        <v>SMS CASSETTE P/COBAS C311</v>
      </c>
      <c r="D220" s="146"/>
      <c r="E220" s="146"/>
      <c r="F220" s="146"/>
      <c r="G220" s="146"/>
      <c r="H220" s="70" t="s">
        <v>54</v>
      </c>
      <c r="I220" s="71" t="str">
        <f>'Necesidades Trimestrales'!F218</f>
        <v>CASSETTE</v>
      </c>
      <c r="J220" s="69">
        <f>'Necesidades Trimestrales'!H218</f>
        <v>1328</v>
      </c>
      <c r="K220" s="68">
        <f>'Necesidades Trimestrales'!G218</f>
        <v>12</v>
      </c>
    </row>
    <row r="221" spans="1:11" ht="27.75" customHeight="1">
      <c r="A221" s="66">
        <v>210</v>
      </c>
      <c r="B221" s="74"/>
      <c r="C221" s="146" t="str">
        <f>'Necesidades Trimestrales'!E219</f>
        <v>SORBENT PARA FTA-ABS SÍFILIS- ALTERNATIVA</v>
      </c>
      <c r="D221" s="146"/>
      <c r="E221" s="146"/>
      <c r="F221" s="146"/>
      <c r="G221" s="146"/>
      <c r="H221" s="70" t="s">
        <v>54</v>
      </c>
      <c r="I221" s="71" t="str">
        <f>'Necesidades Trimestrales'!F219</f>
        <v>FRASCO</v>
      </c>
      <c r="J221" s="69">
        <f>'Necesidades Trimestrales'!H219</f>
        <v>8500</v>
      </c>
      <c r="K221" s="68">
        <f>'Necesidades Trimestrales'!G219</f>
        <v>1</v>
      </c>
    </row>
    <row r="222" spans="1:11" ht="27.75" customHeight="1">
      <c r="A222" s="66">
        <v>211</v>
      </c>
      <c r="B222" s="74"/>
      <c r="C222" s="146" t="str">
        <f>'Necesidades Trimestrales'!E220</f>
        <v>SORBENT PARA IG G –  ALTERNATIVA</v>
      </c>
      <c r="D222" s="146"/>
      <c r="E222" s="146"/>
      <c r="F222" s="146"/>
      <c r="G222" s="146"/>
      <c r="H222" s="70" t="s">
        <v>54</v>
      </c>
      <c r="I222" s="71" t="str">
        <f>'Necesidades Trimestrales'!F220</f>
        <v>FRASCO</v>
      </c>
      <c r="J222" s="69">
        <f>'Necesidades Trimestrales'!H220</f>
        <v>7000</v>
      </c>
      <c r="K222" s="68">
        <f>'Necesidades Trimestrales'!G220</f>
        <v>1</v>
      </c>
    </row>
    <row r="223" spans="1:11" ht="27.75" customHeight="1">
      <c r="A223" s="66">
        <v>212</v>
      </c>
      <c r="B223" s="74"/>
      <c r="C223" s="146" t="str">
        <f>'Necesidades Trimestrales'!E221</f>
        <v>Stonebrick acidificado y enriquecido medio 1 x 3 tubos - Britania</v>
      </c>
      <c r="D223" s="146"/>
      <c r="E223" s="146"/>
      <c r="F223" s="146"/>
      <c r="G223" s="146"/>
      <c r="H223" s="70" t="s">
        <v>54</v>
      </c>
      <c r="I223" s="71" t="str">
        <f>'Necesidades Trimestrales'!F221</f>
        <v>Caja</v>
      </c>
      <c r="J223" s="69">
        <f>'Necesidades Trimestrales'!H221</f>
        <v>1600</v>
      </c>
      <c r="K223" s="68">
        <f>'Necesidades Trimestrales'!G221</f>
        <v>5</v>
      </c>
    </row>
    <row r="224" spans="1:11" ht="27.75" customHeight="1">
      <c r="A224" s="66">
        <v>213</v>
      </c>
      <c r="B224" s="74"/>
      <c r="C224" s="146" t="str">
        <f>'Necesidades Trimestrales'!E222</f>
        <v>Stonebrick medio 1 x 3 tubos - Britania</v>
      </c>
      <c r="D224" s="146"/>
      <c r="E224" s="146"/>
      <c r="F224" s="146"/>
      <c r="G224" s="146"/>
      <c r="H224" s="70" t="s">
        <v>54</v>
      </c>
      <c r="I224" s="71" t="str">
        <f>'Necesidades Trimestrales'!F222</f>
        <v>Caja</v>
      </c>
      <c r="J224" s="69">
        <f>'Necesidades Trimestrales'!H222</f>
        <v>1200</v>
      </c>
      <c r="K224" s="68">
        <f>'Necesidades Trimestrales'!G222</f>
        <v>5</v>
      </c>
    </row>
    <row r="225" spans="1:11" ht="27.75" customHeight="1">
      <c r="A225" s="66">
        <v>214</v>
      </c>
      <c r="B225" s="74"/>
      <c r="C225" s="146" t="str">
        <f>'Necesidades Trimestrales'!E223</f>
        <v>STROMATOLYZER-4DL SYSMEX XS 1000</v>
      </c>
      <c r="D225" s="146"/>
      <c r="E225" s="146"/>
      <c r="F225" s="146"/>
      <c r="G225" s="146"/>
      <c r="H225" s="70" t="s">
        <v>54</v>
      </c>
      <c r="I225" s="71" t="str">
        <f>'Necesidades Trimestrales'!F223</f>
        <v>CAJA</v>
      </c>
      <c r="J225" s="69">
        <f>'Necesidades Trimestrales'!H223</f>
        <v>22919</v>
      </c>
      <c r="K225" s="68">
        <f>'Necesidades Trimestrales'!G223</f>
        <v>2</v>
      </c>
    </row>
    <row r="226" spans="1:11" ht="27.75" customHeight="1">
      <c r="A226" s="66">
        <v>215</v>
      </c>
      <c r="B226" s="74"/>
      <c r="C226" s="146" t="str">
        <f>'Necesidades Trimestrales'!E224</f>
        <v>STROMATOLYZER-4DS SYSMEX XS 1000</v>
      </c>
      <c r="D226" s="146"/>
      <c r="E226" s="146"/>
      <c r="F226" s="146"/>
      <c r="G226" s="146"/>
      <c r="H226" s="70" t="s">
        <v>54</v>
      </c>
      <c r="I226" s="71" t="str">
        <f>'Necesidades Trimestrales'!F224</f>
        <v>CAJA</v>
      </c>
      <c r="J226" s="69">
        <f>'Necesidades Trimestrales'!H224</f>
        <v>66595</v>
      </c>
      <c r="K226" s="68">
        <f>'Necesidades Trimestrales'!G224</f>
        <v>10</v>
      </c>
    </row>
    <row r="227" spans="1:11" ht="27.75" customHeight="1">
      <c r="A227" s="66">
        <v>216</v>
      </c>
      <c r="B227" s="74"/>
      <c r="C227" s="146" t="str">
        <f>'Necesidades Trimestrales'!E225</f>
        <v>SUERO ANTI Ig-A HUMANO EN CABRA MARCADO CON FLUORESCEINA</v>
      </c>
      <c r="D227" s="146"/>
      <c r="E227" s="146"/>
      <c r="F227" s="146"/>
      <c r="G227" s="146"/>
      <c r="H227" s="70" t="s">
        <v>54</v>
      </c>
      <c r="I227" s="71" t="str">
        <f>'Necesidades Trimestrales'!F225</f>
        <v>FRASCO</v>
      </c>
      <c r="J227" s="69">
        <f>'Necesidades Trimestrales'!H225</f>
        <v>6854.65</v>
      </c>
      <c r="K227" s="68">
        <f>'Necesidades Trimestrales'!G225</f>
        <v>1</v>
      </c>
    </row>
    <row r="228" spans="1:11" ht="27.75" customHeight="1">
      <c r="A228" s="66">
        <v>217</v>
      </c>
      <c r="B228" s="74"/>
      <c r="C228" s="146" t="str">
        <f>'Necesidades Trimestrales'!E226</f>
        <v>SUERO ANTI Ig-G HUMANO EN CABRA MARCADO CON FLUORESCEINA (URGENTE)</v>
      </c>
      <c r="D228" s="146"/>
      <c r="E228" s="146"/>
      <c r="F228" s="146"/>
      <c r="G228" s="146"/>
      <c r="H228" s="70" t="s">
        <v>54</v>
      </c>
      <c r="I228" s="71" t="str">
        <f>'Necesidades Trimestrales'!F226</f>
        <v>FRASCO</v>
      </c>
      <c r="J228" s="69">
        <f>'Necesidades Trimestrales'!H226</f>
        <v>6854.65</v>
      </c>
      <c r="K228" s="68">
        <f>'Necesidades Trimestrales'!G226</f>
        <v>1</v>
      </c>
    </row>
    <row r="229" spans="1:11" ht="27.75" customHeight="1">
      <c r="A229" s="66">
        <v>218</v>
      </c>
      <c r="B229" s="74"/>
      <c r="C229" s="146" t="str">
        <f>'Necesidades Trimestrales'!E227</f>
        <v>SUERO ANTI Ig-M HUMANO EN CABRA MARCADO CON FLUORESCEINA</v>
      </c>
      <c r="D229" s="146"/>
      <c r="E229" s="146"/>
      <c r="F229" s="146"/>
      <c r="G229" s="146"/>
      <c r="H229" s="70" t="s">
        <v>54</v>
      </c>
      <c r="I229" s="71" t="str">
        <f>'Necesidades Trimestrales'!F227</f>
        <v>FRASCO</v>
      </c>
      <c r="J229" s="69">
        <f>'Necesidades Trimestrales'!H227</f>
        <v>6854.65</v>
      </c>
      <c r="K229" s="68">
        <f>'Necesidades Trimestrales'!G227</f>
        <v>1</v>
      </c>
    </row>
    <row r="230" spans="1:11" ht="27.75" customHeight="1">
      <c r="A230" s="66">
        <v>219</v>
      </c>
      <c r="B230" s="74"/>
      <c r="C230" s="146" t="str">
        <f>'Necesidades Trimestrales'!E228</f>
        <v>SULFOLYZER 5L SYSMEX XS 1000</v>
      </c>
      <c r="D230" s="146"/>
      <c r="E230" s="146"/>
      <c r="F230" s="146"/>
      <c r="G230" s="146"/>
      <c r="H230" s="70" t="s">
        <v>54</v>
      </c>
      <c r="I230" s="71" t="str">
        <f>'Necesidades Trimestrales'!F228</f>
        <v>CAJA</v>
      </c>
      <c r="J230" s="69">
        <f>'Necesidades Trimestrales'!H228</f>
        <v>42614</v>
      </c>
      <c r="K230" s="68">
        <f>'Necesidades Trimestrales'!G228</f>
        <v>5</v>
      </c>
    </row>
    <row r="231" spans="1:11" ht="27.75" customHeight="1">
      <c r="A231" s="66">
        <v>220</v>
      </c>
      <c r="B231" s="74"/>
      <c r="C231" s="146" t="str">
        <f>'Necesidades Trimestrales'!E229</f>
        <v>SUPLEMENTO CRHOMAGAR KPC P/5000ML</v>
      </c>
      <c r="D231" s="146"/>
      <c r="E231" s="146"/>
      <c r="F231" s="146"/>
      <c r="G231" s="146"/>
      <c r="H231" s="70" t="s">
        <v>54</v>
      </c>
      <c r="I231" s="71" t="str">
        <f>'Necesidades Trimestrales'!F229</f>
        <v>FRASCO</v>
      </c>
      <c r="J231" s="69">
        <f>'Necesidades Trimestrales'!H229</f>
        <v>25273</v>
      </c>
      <c r="K231" s="68">
        <f>'Necesidades Trimestrales'!G229</f>
        <v>1</v>
      </c>
    </row>
    <row r="232" spans="1:11" ht="27.75" customHeight="1">
      <c r="A232" s="66">
        <v>221</v>
      </c>
      <c r="B232" s="74"/>
      <c r="C232" s="146" t="str">
        <f>'Necesidades Trimestrales'!E230</f>
        <v>SYSWASH PARA COBAS E411</v>
      </c>
      <c r="D232" s="146"/>
      <c r="E232" s="146"/>
      <c r="F232" s="146"/>
      <c r="G232" s="146"/>
      <c r="H232" s="70" t="s">
        <v>54</v>
      </c>
      <c r="I232" s="71" t="str">
        <f>'Necesidades Trimestrales'!F230</f>
        <v>CAJA</v>
      </c>
      <c r="J232" s="69">
        <f>'Necesidades Trimestrales'!H230</f>
        <v>8105</v>
      </c>
      <c r="K232" s="68">
        <f>'Necesidades Trimestrales'!G230</f>
        <v>4</v>
      </c>
    </row>
    <row r="233" spans="1:11" ht="27.75" customHeight="1">
      <c r="A233" s="66">
        <v>222</v>
      </c>
      <c r="B233" s="74"/>
      <c r="C233" s="146" t="str">
        <f>'Necesidades Trimestrales'!E231</f>
        <v>TARJETAS PARA VITEK 2C X 20 U -TIPO BIOMERIEUX</v>
      </c>
      <c r="D233" s="146"/>
      <c r="E233" s="146"/>
      <c r="F233" s="146"/>
      <c r="G233" s="146"/>
      <c r="H233" s="70" t="s">
        <v>54</v>
      </c>
      <c r="I233" s="71" t="str">
        <f>'Necesidades Trimestrales'!F231</f>
        <v>CAJA</v>
      </c>
      <c r="J233" s="69">
        <f>'Necesidades Trimestrales'!H231</f>
        <v>13731</v>
      </c>
      <c r="K233" s="68">
        <f>'Necesidades Trimestrales'!G231</f>
        <v>12</v>
      </c>
    </row>
    <row r="234" spans="1:11" ht="27.75" customHeight="1">
      <c r="A234" s="66">
        <v>223</v>
      </c>
      <c r="B234" s="74"/>
      <c r="C234" s="146" t="str">
        <f>'Necesidades Trimestrales'!E232</f>
        <v>TIRAS PARA ORINA URINE STRIP X 100U</v>
      </c>
      <c r="D234" s="146"/>
      <c r="E234" s="146"/>
      <c r="F234" s="146"/>
      <c r="G234" s="146"/>
      <c r="H234" s="70" t="s">
        <v>54</v>
      </c>
      <c r="I234" s="71" t="str">
        <f>'Necesidades Trimestrales'!F232</f>
        <v>CAJA</v>
      </c>
      <c r="J234" s="69">
        <f>'Necesidades Trimestrales'!H232</f>
        <v>1415</v>
      </c>
      <c r="K234" s="68">
        <f>'Necesidades Trimestrales'!G232</f>
        <v>20</v>
      </c>
    </row>
    <row r="235" spans="1:11" ht="27.75" customHeight="1">
      <c r="A235" s="66">
        <v>224</v>
      </c>
      <c r="B235" s="74"/>
      <c r="C235" s="146" t="str">
        <f>'Necesidades Trimestrales'!E233</f>
        <v>TPHA HAI SIFILIS TREPONEMICO BIOSYSTEMS</v>
      </c>
      <c r="D235" s="146"/>
      <c r="E235" s="146"/>
      <c r="F235" s="146"/>
      <c r="G235" s="146"/>
      <c r="H235" s="70" t="s">
        <v>54</v>
      </c>
      <c r="I235" s="71" t="str">
        <f>'Necesidades Trimestrales'!F233</f>
        <v>CAJA</v>
      </c>
      <c r="J235" s="69">
        <f>'Necesidades Trimestrales'!H233</f>
        <v>20380</v>
      </c>
      <c r="K235" s="68">
        <f>'Necesidades Trimestrales'!G233</f>
        <v>2</v>
      </c>
    </row>
    <row r="236" spans="1:11" ht="27.75" customHeight="1">
      <c r="A236" s="66">
        <v>225</v>
      </c>
      <c r="B236" s="74"/>
      <c r="C236" s="146" t="str">
        <f>'Necesidades Trimestrales'!E234</f>
        <v>TRIGLICERIDOS roche c311</v>
      </c>
      <c r="D236" s="146"/>
      <c r="E236" s="146"/>
      <c r="F236" s="146"/>
      <c r="G236" s="146"/>
      <c r="H236" s="70" t="s">
        <v>54</v>
      </c>
      <c r="I236" s="71" t="str">
        <f>'Necesidades Trimestrales'!F234</f>
        <v>CASSETTE</v>
      </c>
      <c r="J236" s="69">
        <f>'Necesidades Trimestrales'!H234</f>
        <v>4448</v>
      </c>
      <c r="K236" s="68">
        <f>'Necesidades Trimestrales'!G234</f>
        <v>2</v>
      </c>
    </row>
    <row r="237" spans="1:11" ht="27.75" customHeight="1">
      <c r="A237" s="66">
        <v>226</v>
      </c>
      <c r="B237" s="74"/>
      <c r="C237" s="146" t="str">
        <f>'Necesidades Trimestrales'!E235</f>
        <v>TROMBOPLASTINA-S 10X4 ML HEMOMEDICA</v>
      </c>
      <c r="D237" s="146"/>
      <c r="E237" s="146"/>
      <c r="F237" s="146"/>
      <c r="G237" s="146"/>
      <c r="H237" s="70" t="s">
        <v>54</v>
      </c>
      <c r="I237" s="71" t="str">
        <f>'Necesidades Trimestrales'!F235</f>
        <v>CAJA</v>
      </c>
      <c r="J237" s="69">
        <f>'Necesidades Trimestrales'!H235</f>
        <v>9529</v>
      </c>
      <c r="K237" s="68">
        <f>'Necesidades Trimestrales'!G235</f>
        <v>5</v>
      </c>
    </row>
    <row r="238" spans="1:11" ht="27.75" customHeight="1">
      <c r="A238" s="66">
        <v>227</v>
      </c>
      <c r="B238" s="74"/>
      <c r="C238" s="146" t="str">
        <f>'Necesidades Trimestrales'!E236</f>
        <v>TUBOS TAPA CELESTE X 1ML</v>
      </c>
      <c r="D238" s="146"/>
      <c r="E238" s="146"/>
      <c r="F238" s="146"/>
      <c r="G238" s="146"/>
      <c r="H238" s="70" t="s">
        <v>54</v>
      </c>
      <c r="I238" s="71" t="str">
        <f>'Necesidades Trimestrales'!F236</f>
        <v>UNIDAD</v>
      </c>
      <c r="J238" s="69">
        <f>'Necesidades Trimestrales'!H236</f>
        <v>11</v>
      </c>
      <c r="K238" s="68">
        <f>'Necesidades Trimestrales'!G236</f>
        <v>1000</v>
      </c>
    </row>
    <row r="239" spans="1:11" ht="27.75" customHeight="1">
      <c r="A239" s="66">
        <v>228</v>
      </c>
      <c r="B239" s="74"/>
      <c r="C239" s="146" t="str">
        <f>'Necesidades Trimestrales'!E237</f>
        <v>TUBOS TAPA LILA X 1ML C/EDTA</v>
      </c>
      <c r="D239" s="146"/>
      <c r="E239" s="146"/>
      <c r="F239" s="146"/>
      <c r="G239" s="146"/>
      <c r="H239" s="70" t="s">
        <v>54</v>
      </c>
      <c r="I239" s="71" t="str">
        <f>'Necesidades Trimestrales'!F237</f>
        <v>UNIDAD</v>
      </c>
      <c r="J239" s="69">
        <f>'Necesidades Trimestrales'!H237</f>
        <v>11</v>
      </c>
      <c r="K239" s="68">
        <f>'Necesidades Trimestrales'!G237</f>
        <v>4000</v>
      </c>
    </row>
    <row r="240" spans="1:11" ht="27.75" customHeight="1">
      <c r="A240" s="66">
        <v>229</v>
      </c>
      <c r="B240" s="74"/>
      <c r="C240" s="146" t="str">
        <f>'Necesidades Trimestrales'!E238</f>
        <v>TUBOS TAPA ROJA X 4ML TIPO VACUTAINER</v>
      </c>
      <c r="D240" s="146"/>
      <c r="E240" s="146"/>
      <c r="F240" s="146"/>
      <c r="G240" s="146"/>
      <c r="H240" s="70" t="s">
        <v>54</v>
      </c>
      <c r="I240" s="71" t="str">
        <f>'Necesidades Trimestrales'!F238</f>
        <v>UNIDAD</v>
      </c>
      <c r="J240" s="69">
        <f>'Necesidades Trimestrales'!H238</f>
        <v>18</v>
      </c>
      <c r="K240" s="68">
        <f>'Necesidades Trimestrales'!G238</f>
        <v>4000</v>
      </c>
    </row>
    <row r="241" spans="1:14" ht="27.75" customHeight="1">
      <c r="A241" s="66">
        <v>230</v>
      </c>
      <c r="B241" s="74"/>
      <c r="C241" s="146" t="str">
        <f>'Necesidades Trimestrales'!E239</f>
        <v>U/CSF PROTEINA URINARIA COBAS C-311 ROCHE X 150 DET</v>
      </c>
      <c r="D241" s="146"/>
      <c r="E241" s="146"/>
      <c r="F241" s="146"/>
      <c r="G241" s="146"/>
      <c r="H241" s="70" t="s">
        <v>54</v>
      </c>
      <c r="I241" s="71" t="str">
        <f>'Necesidades Trimestrales'!F239</f>
        <v>CASSETTE</v>
      </c>
      <c r="J241" s="69">
        <f>'Necesidades Trimestrales'!H239</f>
        <v>7221</v>
      </c>
      <c r="K241" s="68">
        <f>'Necesidades Trimestrales'!G239</f>
        <v>1</v>
      </c>
    </row>
    <row r="242" spans="1:14" ht="27.75" customHeight="1" thickBot="1">
      <c r="A242" s="66">
        <v>231</v>
      </c>
      <c r="B242" s="74"/>
      <c r="C242" s="146" t="str">
        <f>'Necesidades Trimestrales'!E240</f>
        <v>UREA  COBAS C-311 ROCHE X 500 DET</v>
      </c>
      <c r="D242" s="146"/>
      <c r="E242" s="146"/>
      <c r="F242" s="146"/>
      <c r="G242" s="146"/>
      <c r="H242" s="70" t="s">
        <v>54</v>
      </c>
      <c r="I242" s="71" t="str">
        <f>'Necesidades Trimestrales'!F240</f>
        <v>CASSETTE</v>
      </c>
      <c r="J242" s="69">
        <f>'Necesidades Trimestrales'!H240</f>
        <v>7544</v>
      </c>
      <c r="K242" s="68">
        <f>'Necesidades Trimestrales'!G240</f>
        <v>8</v>
      </c>
    </row>
    <row r="243" spans="1:14" ht="20.25" customHeight="1" thickBot="1">
      <c r="A243" s="149" t="s">
        <v>310</v>
      </c>
      <c r="B243" s="149"/>
      <c r="C243" s="149"/>
      <c r="D243" s="149"/>
      <c r="E243" s="149"/>
      <c r="F243" s="149"/>
      <c r="G243" s="149"/>
      <c r="H243" s="149"/>
      <c r="I243" s="149"/>
      <c r="J243" s="156">
        <f>SUMPRODUCT(J12:J242,K12:K242)</f>
        <v>10557467.040000001</v>
      </c>
      <c r="K243" s="156"/>
      <c r="N243" s="53"/>
    </row>
    <row r="245" spans="1:14">
      <c r="J245" s="53"/>
    </row>
  </sheetData>
  <mergeCells count="253">
    <mergeCell ref="C237:G237"/>
    <mergeCell ref="C238:G238"/>
    <mergeCell ref="C239:G239"/>
    <mergeCell ref="C240:G240"/>
    <mergeCell ref="C241:G241"/>
    <mergeCell ref="C242:G242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236:G236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A243:I243"/>
    <mergeCell ref="J243:K24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32:G232"/>
    <mergeCell ref="C233:G233"/>
    <mergeCell ref="C234:G234"/>
    <mergeCell ref="C235:G235"/>
    <mergeCell ref="C231:G23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</mergeCells>
  <printOptions horizontalCentered="1"/>
  <pageMargins left="0.19685039370078741" right="0.19685039370078741" top="0.19685039370078741" bottom="0.19685039370078741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8" sqref="A8:Q8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58" t="s">
        <v>3</v>
      </c>
      <c r="B1" s="158"/>
      <c r="C1" s="158"/>
      <c r="D1" s="159">
        <f>'Necesidades Trimestrales'!C6</f>
        <v>2022</v>
      </c>
      <c r="E1" s="159"/>
      <c r="F1" s="3"/>
      <c r="G1" s="3"/>
      <c r="H1" s="4"/>
      <c r="I1" s="4"/>
      <c r="J1" s="4"/>
      <c r="K1" s="4"/>
      <c r="L1" s="4"/>
      <c r="M1" s="4"/>
      <c r="N1" s="4"/>
      <c r="P1" s="160" t="s">
        <v>25</v>
      </c>
      <c r="Q1" s="160"/>
    </row>
    <row r="2" spans="1:17" ht="15.75" customHeight="1">
      <c r="H2" s="4"/>
      <c r="I2" s="4"/>
      <c r="J2" s="4"/>
      <c r="K2" s="4"/>
      <c r="L2" s="4"/>
      <c r="M2" s="4"/>
      <c r="N2" s="4"/>
      <c r="P2" s="160"/>
      <c r="Q2" s="160"/>
    </row>
    <row r="4" spans="1:17" s="5" customFormat="1" ht="18" customHeight="1" thickBot="1">
      <c r="A4" s="161" t="s">
        <v>26</v>
      </c>
      <c r="B4" s="161"/>
      <c r="C4" s="161"/>
      <c r="D4" s="161"/>
      <c r="E4" s="161"/>
      <c r="F4" s="161"/>
      <c r="G4" s="162" t="str">
        <f>' NotaPedido'!D3</f>
        <v>040 - 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5" customFormat="1" ht="18" customHeight="1" thickBot="1">
      <c r="A5" s="163" t="s">
        <v>49</v>
      </c>
      <c r="B5" s="164"/>
      <c r="C5" s="164"/>
      <c r="D5" s="164"/>
      <c r="E5" s="164"/>
      <c r="F5" s="165"/>
      <c r="G5" s="162" t="str">
        <f>' NotaPedido'!D4</f>
        <v>024 - Hospital Interzonal de Niños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5" customFormat="1" ht="18" customHeight="1" thickBot="1">
      <c r="A6" s="163" t="s">
        <v>27</v>
      </c>
      <c r="B6" s="164"/>
      <c r="C6" s="164"/>
      <c r="D6" s="164"/>
      <c r="E6" s="164"/>
      <c r="F6" s="165"/>
      <c r="G6" s="162" t="str">
        <f>' NotaPedido'!D5</f>
        <v>024 - Hospital Interzonal de Niños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5" customFormat="1" ht="18" customHeight="1" thickBot="1">
      <c r="A7" s="163" t="s">
        <v>50</v>
      </c>
      <c r="B7" s="164"/>
      <c r="C7" s="164"/>
      <c r="D7" s="164"/>
      <c r="E7" s="164"/>
      <c r="F7" s="165"/>
      <c r="G7" s="162" t="s">
        <v>61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>
      <c r="A8" s="166" t="s">
        <v>28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>
      <c r="A9" s="167" t="s">
        <v>29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"/>
      <c r="P9" s="1"/>
      <c r="Q9" s="6"/>
    </row>
    <row r="10" spans="1:17" ht="54.75" customHeight="1">
      <c r="A10" s="16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013/2022,  afectando la erogación resultante a los créditos presupuestarios aprobados a favor de esta Unidad Ejecutora, conforme al siguiente detalle: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69" t="s">
        <v>30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thickBot="1">
      <c r="A13" s="170" t="s">
        <v>31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32</v>
      </c>
      <c r="P13" s="173"/>
      <c r="Q13" s="176" t="s">
        <v>33</v>
      </c>
    </row>
    <row r="14" spans="1:17" ht="15.75" customHeight="1" thickBot="1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74"/>
      <c r="P14" s="175"/>
      <c r="Q14" s="177"/>
    </row>
    <row r="15" spans="1:17" ht="26.25" customHeight="1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5</v>
      </c>
      <c r="K15" s="55">
        <v>1</v>
      </c>
      <c r="L15" s="55"/>
      <c r="M15" s="56">
        <v>1</v>
      </c>
      <c r="N15" s="57" t="s">
        <v>53</v>
      </c>
      <c r="O15" s="178" t="s">
        <v>62</v>
      </c>
      <c r="P15" s="178"/>
      <c r="Q15" s="63">
        <v>10557467.039999999</v>
      </c>
    </row>
    <row r="16" spans="1:17" ht="17.2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79"/>
      <c r="P16" s="180"/>
      <c r="Q16" s="15"/>
    </row>
    <row r="17" spans="1:18" ht="17.25" customHeight="1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80"/>
      <c r="P17" s="180"/>
      <c r="Q17" s="15"/>
    </row>
    <row r="18" spans="1:18" ht="17.25" customHeight="1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80"/>
      <c r="P18" s="180"/>
      <c r="Q18" s="15"/>
    </row>
    <row r="19" spans="1:18" ht="17.25" customHeight="1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86"/>
      <c r="P19" s="186"/>
      <c r="Q19" s="15"/>
      <c r="R19" s="1"/>
    </row>
    <row r="20" spans="1:18" ht="17.25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87"/>
      <c r="P20" s="187"/>
      <c r="Q20" s="24"/>
    </row>
    <row r="21" spans="1:18" ht="29.25" customHeight="1">
      <c r="A21" s="188" t="s">
        <v>311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25">
        <f>SUM(Q15:Q20)</f>
        <v>10557467.039999999</v>
      </c>
    </row>
    <row r="22" spans="1:18" ht="18" customHeight="1" thickBot="1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</row>
    <row r="23" spans="1:18" ht="17.25" customHeight="1" thickBot="1">
      <c r="A23" s="181" t="s">
        <v>47</v>
      </c>
      <c r="B23" s="182"/>
      <c r="C23" s="182"/>
      <c r="D23" s="182"/>
      <c r="E23" s="182"/>
      <c r="F23" s="183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</row>
    <row r="24" spans="1:18" ht="18" customHeight="1" thickBot="1">
      <c r="A24" s="185" t="s">
        <v>75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</row>
    <row r="25" spans="1:18" ht="26.25" customHeight="1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2022-02-15T16:14:26Z</cp:lastPrinted>
  <dcterms:created xsi:type="dcterms:W3CDTF">2020-07-17T23:44:49Z</dcterms:created>
  <dcterms:modified xsi:type="dcterms:W3CDTF">2022-02-16T13:56:58Z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