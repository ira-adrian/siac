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JOHANA AYBAR\Downloads\"/>
    </mc:Choice>
  </mc:AlternateContent>
  <xr:revisionPtr revIDLastSave="0" documentId="8_{1971D113-C763-4CC1-9903-1B4328A6C791}" xr6:coauthVersionLast="47" xr6:coauthVersionMax="47" xr10:uidLastSave="{00000000-0000-0000-0000-000000000000}"/>
  <bookViews>
    <workbookView xWindow="-120" yWindow="-120" windowWidth="29040" windowHeight="15840" tabRatio="500" activeTab="2"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Gastar'!$A$1:$Q$30</definedName>
  </definedNames>
  <calcPr calcId="181029"/>
</workbook>
</file>

<file path=xl/calcChain.xml><?xml version="1.0" encoding="utf-8"?>
<calcChain xmlns="http://schemas.openxmlformats.org/spreadsheetml/2006/main">
  <c r="J12" i="2" l="1"/>
  <c r="C12" i="2"/>
  <c r="B12" i="2"/>
  <c r="D10" i="1"/>
  <c r="I10" i="1"/>
  <c r="K13" i="2" l="1"/>
  <c r="J13" i="2"/>
  <c r="J14" i="2" s="1"/>
  <c r="C13" i="2"/>
  <c r="B13" i="2"/>
  <c r="G6" i="3" l="1"/>
  <c r="Q23" i="3" l="1"/>
  <c r="I11" i="1" l="1"/>
  <c r="I12" i="1" s="1"/>
  <c r="D11" i="1" l="1"/>
  <c r="G4" i="3" l="1"/>
  <c r="G7" i="3" l="1"/>
  <c r="G5" i="3"/>
  <c r="A10" i="3" l="1"/>
  <c r="D1" i="3"/>
</calcChain>
</file>

<file path=xl/sharedStrings.xml><?xml version="1.0" encoding="utf-8"?>
<sst xmlns="http://schemas.openxmlformats.org/spreadsheetml/2006/main" count="100" uniqueCount="78">
  <si>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</si>
  <si>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</si>
  <si>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</si>
  <si>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</si>
  <si>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</si>
  <si>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</si>
  <si>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</si>
  <si>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</si>
  <si>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</si>
  <si>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</si>
  <si>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</si>
  <si>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</si>
  <si>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</si>
  <si>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</si>
  <si>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</si>
  <si>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</si>
  <si>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</si>
  <si>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</si>
  <si>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</si>
  <si>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</si>
  <si>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</si>
  <si>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</si>
  <si>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</si>
  <si>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</si>
  <si>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</si>
  <si>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</si>
  <si>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</si>
  <si>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</si>
  <si>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</si>
  <si>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</si>
  <si>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</si>
  <si>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</si>
  <si>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</si>
  <si>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</si>
  <si>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</si>
  <si>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</si>
  <si>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</si>
  <si>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</si>
  <si>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</si>
  <si>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</si>
  <si>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</si>
  <si>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</si>
  <si>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</si>
  <si>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</si>
  <si>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</si>
  <si>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</si>
  <si>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</si>
  <si>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</si>
  <si>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</si>
  <si>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</si>
  <si>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</si>
  <si>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</si>
  <si>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</si>
  <si>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</si>
  <si>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</si>
  <si>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</si>
  <si>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</si>
  <si>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</si>
  <si>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</si>
  <si>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</si>
  <si>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DIRECCION PROVINCIAL DE GESTION ADMINISTRATIVA Y RECURSOS HUMANOS</t>
  </si>
  <si>
    <t>SECRETARIA DE CIENCIA Y TECNOLOGIA</t>
  </si>
  <si>
    <t>EQUIPOS</t>
  </si>
  <si>
    <t>1.1</t>
  </si>
  <si>
    <r>
      <t xml:space="preserve">Mantenimiento:  </t>
    </r>
    <r>
      <rPr>
        <sz val="10"/>
        <rFont val="Times New Roman"/>
        <family val="1"/>
      </rPr>
      <t>Treinta (30) Días.-</t>
    </r>
  </si>
  <si>
    <t>4.3.5-9472.3</t>
  </si>
  <si>
    <t>PLANETARIO DIGITAL; TIPO: ALTA DEFINICION, RESOLUCION: 1920 X 1080</t>
  </si>
  <si>
    <t>3º TRIMESTRE</t>
  </si>
  <si>
    <t>Equipo Educacional y Rcreativo</t>
  </si>
  <si>
    <t xml:space="preserve">ADQUISICIÓN DE DOMO EDUCATIVO MOVIL TECNOLOGICO ITINERANTE.- </t>
  </si>
  <si>
    <t>031/2021</t>
  </si>
  <si>
    <t>El plazo de entrega  no podrá ser superior a los quince (15) días habiles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</si>
  <si>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 xml:space="preserve"># Planetario móvil de 10 metros aproximadamente pared doble de lona impermeable, Con anclajes,
#  2 motores axial de 1.5 hp. como mínimo, 
# 1 proyector  HD Resolución: 1920 X 1080,
# 1 servidor  con software libre Stallarium o similar, 
# 1 rack operativo,
# 1 rack de transporte, 4 ruedas, 2 de bloqueo- Manijas laterales- Pestillos de giro resistentes- manijas laterales empotrables,
# Sonido 5.1 envolvente potencia 1000W como mínimo, con fuente de alimentación de rango automático, más un mezclador de 3 canales como mínimo , con conexión Bluetooth como mínimo.
# Piso de goma de 15 mm de espesor y 
# 17 puff reclinable confeccionado en Ecocuero, relleno en telgopor.
</t>
  </si>
  <si>
    <t>PESOS: SEIS MILLONES DOSCIENTOS CUARENTA Y CUATRO MIL OCHOCIENTOS DIEZ  CON 00/100.-</t>
  </si>
  <si>
    <t>Costo total estimado:  PESOS SEIS MILLONES DOSCIENTOS CUARENTA Y CUATRO MIL OCHOCIENTOS DIEZ  CON 00/100.-</t>
  </si>
  <si>
    <t>Especificidades Item N° 2:</t>
  </si>
  <si>
    <t>Garantía del fabricante minima de un (1) año.</t>
  </si>
  <si>
    <t xml:space="preserve"># Planetario móvil de 6 metros aproximadamente de lona impermeable, con anclajes
#  2 motores axial de 1.5 hp. como mínimo, 
# 1 proyector  HD Resolución: 1920 X 1080, 
# 1 servidor  con software libre Stallarium o similar,  
# Sonido 5.1 envolvente potencia 1000W como mínimo, con fuente de alimentación de rango automático, más un mezclador de 3 canales como mínimo , con conexión Bluetooth como mínimo,
# Piso de goma de 15 mm de espesor y
# 16 puff reclinable confeccionado en Ecocuero, relleno en telgopor.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</si>
</sst>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charset val="1"/>
    </font>
    <font>
      <sz val="10"/>
      <color theme="1"/>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6">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29">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9" fillId="0" borderId="20" xfId="0" applyFont="1" applyBorder="1" applyAlignment="1">
      <alignment horizontal="left" vertical="center"/>
    </xf>
    <xf numFmtId="3" fontId="4" fillId="0" borderId="20"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166" fontId="0" fillId="0" borderId="35" xfId="3"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166" fontId="14" fillId="0" borderId="45"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6"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166" fontId="4" fillId="3" borderId="19" xfId="1" applyNumberFormat="1" applyFont="1" applyFill="1" applyBorder="1" applyAlignment="1" applyProtection="1">
      <alignment horizontal="right" vertical="center" wrapText="1"/>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52" xfId="0" applyFont="1" applyBorder="1" applyAlignment="1">
      <alignment horizontal="center" vertical="center"/>
    </xf>
    <xf numFmtId="0" fontId="22" fillId="4" borderId="53" xfId="0" applyFont="1" applyFill="1" applyBorder="1" applyAlignment="1">
      <alignment horizontal="center" vertical="center" wrapText="1"/>
    </xf>
    <xf numFmtId="0" fontId="22" fillId="0" borderId="53" xfId="0" applyFont="1" applyBorder="1" applyAlignment="1">
      <alignment horizontal="left" vertical="center" wrapText="1"/>
    </xf>
    <xf numFmtId="0" fontId="22" fillId="0" borderId="53" xfId="0" applyFont="1" applyBorder="1" applyAlignment="1">
      <alignment horizontal="center" vertical="center" wrapText="1"/>
    </xf>
    <xf numFmtId="166" fontId="21" fillId="4" borderId="53" xfId="1" applyNumberFormat="1" applyFont="1" applyFill="1" applyBorder="1" applyAlignment="1" applyProtection="1">
      <alignment horizontal="right" vertical="center" wrapText="1"/>
    </xf>
    <xf numFmtId="166" fontId="21" fillId="4" borderId="55" xfId="1" applyNumberFormat="1" applyFont="1" applyFill="1" applyBorder="1" applyAlignment="1" applyProtection="1">
      <alignment horizontal="right" vertical="center" wrapText="1"/>
    </xf>
    <xf numFmtId="0" fontId="20" fillId="0" borderId="54" xfId="0" applyFont="1" applyBorder="1" applyAlignment="1">
      <alignment horizontal="center" vertical="center" wrapText="1"/>
    </xf>
    <xf numFmtId="166" fontId="16" fillId="0" borderId="0" xfId="0" applyNumberFormat="1" applyFont="1"/>
    <xf numFmtId="0" fontId="15" fillId="4" borderId="33" xfId="0" applyFont="1" applyFill="1" applyBorder="1" applyAlignment="1">
      <alignment horizontal="center" vertical="center"/>
    </xf>
    <xf numFmtId="0" fontId="23" fillId="0" borderId="2"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6" fillId="0" borderId="5" xfId="0" applyFont="1" applyBorder="1" applyAlignment="1">
      <alignment vertical="center"/>
    </xf>
    <xf numFmtId="0" fontId="16" fillId="0" borderId="0" xfId="0" applyFont="1" applyBorder="1" applyAlignment="1">
      <alignment vertical="center"/>
    </xf>
    <xf numFmtId="0" fontId="16" fillId="0" borderId="6" xfId="0" applyFont="1" applyBorder="1" applyAlignment="1">
      <alignment vertical="center"/>
    </xf>
    <xf numFmtId="0" fontId="23" fillId="0" borderId="5" xfId="0" applyFont="1" applyBorder="1" applyAlignment="1">
      <alignment horizontal="left" vertical="center"/>
    </xf>
    <xf numFmtId="0" fontId="16" fillId="0" borderId="5" xfId="0" applyFont="1" applyBorder="1" applyAlignment="1">
      <alignment horizontal="left" vertical="center"/>
    </xf>
    <xf numFmtId="0" fontId="16" fillId="0" borderId="0"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left" vertical="center"/>
    </xf>
    <xf numFmtId="0" fontId="16" fillId="0" borderId="8" xfId="0" applyFont="1" applyBorder="1" applyAlignment="1">
      <alignment vertical="center"/>
    </xf>
    <xf numFmtId="0" fontId="16" fillId="0" borderId="9" xfId="0" applyFont="1" applyBorder="1" applyAlignment="1">
      <alignment vertical="center"/>
    </xf>
    <xf numFmtId="0" fontId="21" fillId="4" borderId="0"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0" xfId="0" applyFont="1" applyFill="1" applyBorder="1" applyAlignment="1">
      <alignment horizontal="left" vertical="center"/>
    </xf>
    <xf numFmtId="0" fontId="16" fillId="4" borderId="6" xfId="0" applyFont="1" applyFill="1" applyBorder="1" applyAlignment="1">
      <alignment horizontal="left" vertical="center"/>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8"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6" fillId="4" borderId="45" xfId="0" applyFont="1" applyFill="1" applyBorder="1" applyAlignment="1">
      <alignment horizontal="left" vertical="center" wrapText="1" indent="1"/>
    </xf>
    <xf numFmtId="0" fontId="2" fillId="4" borderId="45" xfId="0" applyFont="1" applyFill="1" applyBorder="1" applyAlignment="1">
      <alignment horizontal="left" vertical="center" wrapText="1" indent="1"/>
    </xf>
    <xf numFmtId="0" fontId="0" fillId="0" borderId="39" xfId="0" applyFont="1" applyBorder="1" applyAlignment="1">
      <alignment horizontal="left" vertical="center"/>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3" xfId="0" applyBorder="1"/>
    <xf numFmtId="0" fontId="15" fillId="0" borderId="33" xfId="0" applyFont="1" applyBorder="1" applyAlignment="1">
      <alignment horizontal="left" vertical="center" wrapText="1"/>
    </xf>
    <xf numFmtId="0" fontId="0" fillId="0" borderId="33" xfId="0" applyFont="1" applyBorder="1" applyAlignment="1">
      <alignment horizontal="left" vertical="center" wrapText="1"/>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4" fillId="0" borderId="13"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25" fillId="0" borderId="11" xfId="0" applyFont="1" applyBorder="1" applyAlignment="1">
      <alignment horizontal="left" inden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86"/>
  <sheetViews>
    <sheetView topLeftCell="A19" zoomScale="98" zoomScaleNormal="98" workbookViewId="0">
      <selection activeCell="C18" sqref="C18:E19"/>
    </sheetView>
  </sheetViews>
  <sheetFormatPr baseColWidth="10" defaultColWidth="11" defaultRowHeight="12.75" x14ac:dyDescent="0.2"/>
  <cols>
    <col min="1" max="1" width="4.5703125" style="42" customWidth="1"/>
    <col min="2" max="2" width="12.5703125" style="42" customWidth="1"/>
    <col min="3" max="3" width="19.7109375" style="42" customWidth="1"/>
    <col min="4" max="4" width="7.140625" style="42" customWidth="1"/>
    <col min="5" max="5" width="59.42578125" style="42" customWidth="1"/>
    <col min="6" max="6" width="11" style="42"/>
    <col min="7" max="7" width="10.85546875" style="42" customWidth="1"/>
    <col min="8" max="8" width="11.85546875" style="42" customWidth="1"/>
    <col min="9" max="9" width="13.42578125" style="42" customWidth="1"/>
    <col min="10" max="16384" width="11" style="42"/>
  </cols>
  <sheetData>
    <row r="2" spans="1:9" ht="27" x14ac:dyDescent="0.35">
      <c r="B2" s="84" t="s">
        <v>0</v>
      </c>
      <c r="C2" s="84"/>
      <c r="D2" s="84"/>
      <c r="E2" s="84"/>
      <c r="F2" s="84"/>
      <c r="G2" s="84"/>
      <c r="H2" s="84"/>
    </row>
    <row r="3" spans="1:9" ht="8.25" customHeight="1" x14ac:dyDescent="0.2"/>
    <row r="4" spans="1:9" ht="27.75" customHeight="1" x14ac:dyDescent="0.25">
      <c r="A4" s="83" t="s">
        <v>1</v>
      </c>
      <c r="B4" s="83"/>
      <c r="C4" s="85" t="s">
        <v>58</v>
      </c>
      <c r="D4" s="85"/>
      <c r="E4" s="85"/>
      <c r="F4" s="43"/>
      <c r="G4" s="44"/>
      <c r="H4" s="43"/>
    </row>
    <row r="5" spans="1:9" ht="18" customHeight="1" x14ac:dyDescent="0.25">
      <c r="A5" s="83" t="s">
        <v>2</v>
      </c>
      <c r="B5" s="83"/>
      <c r="C5" s="85" t="s">
        <v>59</v>
      </c>
      <c r="D5" s="85"/>
      <c r="E5" s="85"/>
      <c r="F5" s="43"/>
      <c r="G5" s="44"/>
      <c r="H5" s="43"/>
    </row>
    <row r="6" spans="1:9" ht="16.5" customHeight="1" x14ac:dyDescent="0.25">
      <c r="A6" s="83" t="s">
        <v>3</v>
      </c>
      <c r="B6" s="83"/>
      <c r="C6" s="53">
        <v>2021</v>
      </c>
      <c r="D6" s="54"/>
      <c r="E6" s="54"/>
      <c r="F6" s="43"/>
      <c r="G6" s="44"/>
      <c r="H6" s="43"/>
    </row>
    <row r="7" spans="1:9" ht="16.5" customHeight="1" x14ac:dyDescent="0.25">
      <c r="A7" s="83" t="s">
        <v>4</v>
      </c>
      <c r="B7" s="83"/>
      <c r="C7" s="53">
        <v>3</v>
      </c>
      <c r="D7" s="54"/>
      <c r="E7" s="54"/>
      <c r="F7" s="43"/>
      <c r="G7" s="44"/>
      <c r="H7" s="43"/>
    </row>
    <row r="8" spans="1:9" x14ac:dyDescent="0.2">
      <c r="B8" s="43"/>
      <c r="C8" s="44"/>
      <c r="D8" s="43"/>
      <c r="E8" s="43"/>
      <c r="F8" s="43"/>
      <c r="G8" s="44"/>
      <c r="H8" s="43"/>
    </row>
    <row r="9" spans="1:9" ht="39" thickTop="1" x14ac:dyDescent="0.2">
      <c r="A9" s="61" t="s">
        <v>5</v>
      </c>
      <c r="B9" s="61" t="s">
        <v>6</v>
      </c>
      <c r="C9" s="61" t="s">
        <v>7</v>
      </c>
      <c r="D9" s="61" t="s">
        <v>8</v>
      </c>
      <c r="E9" s="61" t="s">
        <v>9</v>
      </c>
      <c r="F9" s="61" t="s">
        <v>10</v>
      </c>
      <c r="G9" s="61" t="s">
        <v>11</v>
      </c>
      <c r="H9" s="61" t="s">
        <v>12</v>
      </c>
      <c r="I9" s="61" t="s">
        <v>13</v>
      </c>
    </row>
    <row r="10" spans="1:9" ht="50.1" customHeight="1" x14ac:dyDescent="0.2">
      <c r="A10" s="55">
        <v>1</v>
      </c>
      <c r="B10" s="56" t="s">
        <v>65</v>
      </c>
      <c r="C10" s="57" t="s">
        <v>62</v>
      </c>
      <c r="D10" s="58" t="str">
        <f t="shared" ref="D10:D11" si="0">LEFT(B10,5)</f>
        <v>4.3.5</v>
      </c>
      <c r="E10" s="57" t="s">
        <v>66</v>
      </c>
      <c r="F10" s="56" t="s">
        <v>14</v>
      </c>
      <c r="G10" s="56">
        <v>1</v>
      </c>
      <c r="H10" s="59">
        <v>2171950</v>
      </c>
      <c r="I10" s="60">
        <f t="shared" ref="I10:I11" si="1">G10*H10</f>
        <v>2171950</v>
      </c>
    </row>
    <row r="11" spans="1:9" ht="50.1" customHeight="1" x14ac:dyDescent="0.2">
      <c r="A11" s="55">
        <v>2</v>
      </c>
      <c r="B11" s="56" t="s">
        <v>65</v>
      </c>
      <c r="C11" s="57" t="s">
        <v>62</v>
      </c>
      <c r="D11" s="58" t="str">
        <f t="shared" si="0"/>
        <v>4.3.5</v>
      </c>
      <c r="E11" s="57" t="s">
        <v>66</v>
      </c>
      <c r="F11" s="56" t="s">
        <v>14</v>
      </c>
      <c r="G11" s="56">
        <v>1</v>
      </c>
      <c r="H11" s="59">
        <v>4072860</v>
      </c>
      <c r="I11" s="60">
        <f t="shared" si="1"/>
        <v>4072860</v>
      </c>
    </row>
    <row r="12" spans="1:9" ht="13.5" thickBot="1" x14ac:dyDescent="0.25">
      <c r="I12" s="62">
        <f>SUM(I10:I11)</f>
        <v>6244810</v>
      </c>
    </row>
    <row r="13" spans="1:9" x14ac:dyDescent="0.2">
      <c r="B13" s="64" t="s">
        <v>15</v>
      </c>
      <c r="C13" s="65"/>
      <c r="D13" s="65"/>
      <c r="E13" s="66"/>
    </row>
    <row r="14" spans="1:9" ht="7.5" customHeight="1" x14ac:dyDescent="0.2">
      <c r="B14" s="67"/>
      <c r="C14" s="68"/>
      <c r="D14" s="68"/>
      <c r="E14" s="69"/>
    </row>
    <row r="15" spans="1:9" x14ac:dyDescent="0.2">
      <c r="B15" s="70" t="s">
        <v>16</v>
      </c>
      <c r="C15" s="68"/>
      <c r="D15" s="68"/>
      <c r="E15" s="69"/>
    </row>
    <row r="16" spans="1:9" ht="139.5" customHeight="1" x14ac:dyDescent="0.2">
      <c r="B16" s="70"/>
      <c r="C16" s="77" t="s">
        <v>77</v>
      </c>
      <c r="D16" s="77"/>
      <c r="E16" s="78"/>
    </row>
    <row r="17" spans="2:5" x14ac:dyDescent="0.2">
      <c r="B17" s="70" t="s">
        <v>17</v>
      </c>
      <c r="C17" s="68"/>
      <c r="D17" s="68"/>
      <c r="E17" s="69"/>
    </row>
    <row r="18" spans="2:5" x14ac:dyDescent="0.2">
      <c r="B18" s="71"/>
      <c r="C18" s="79" t="s">
        <v>71</v>
      </c>
      <c r="D18" s="79"/>
      <c r="E18" s="80"/>
    </row>
    <row r="19" spans="2:5" ht="69" customHeight="1" x14ac:dyDescent="0.2">
      <c r="B19" s="71"/>
      <c r="C19" s="79"/>
      <c r="D19" s="79"/>
      <c r="E19" s="80"/>
    </row>
    <row r="20" spans="2:5" x14ac:dyDescent="0.2">
      <c r="B20" s="70" t="s">
        <v>18</v>
      </c>
      <c r="C20" s="68"/>
      <c r="D20" s="68"/>
      <c r="E20" s="69"/>
    </row>
    <row r="21" spans="2:5" ht="6" customHeight="1" x14ac:dyDescent="0.2">
      <c r="B21" s="71"/>
      <c r="C21" s="79"/>
      <c r="D21" s="79"/>
      <c r="E21" s="80"/>
    </row>
    <row r="22" spans="2:5" x14ac:dyDescent="0.2">
      <c r="B22" s="70" t="s">
        <v>64</v>
      </c>
      <c r="C22" s="72"/>
      <c r="D22" s="72"/>
      <c r="E22" s="73"/>
    </row>
    <row r="23" spans="2:5" ht="7.5" customHeight="1" x14ac:dyDescent="0.2">
      <c r="B23" s="71"/>
      <c r="C23" s="79"/>
      <c r="D23" s="79"/>
      <c r="E23" s="80"/>
    </row>
    <row r="24" spans="2:5" x14ac:dyDescent="0.2">
      <c r="B24" s="70" t="s">
        <v>19</v>
      </c>
      <c r="C24" s="68"/>
      <c r="D24" s="68"/>
      <c r="E24" s="69"/>
    </row>
    <row r="25" spans="2:5" ht="15" customHeight="1" x14ac:dyDescent="0.2">
      <c r="B25" s="70"/>
      <c r="C25" s="79" t="s">
        <v>76</v>
      </c>
      <c r="D25" s="81"/>
      <c r="E25" s="82"/>
    </row>
    <row r="26" spans="2:5" ht="13.5" thickBot="1" x14ac:dyDescent="0.25">
      <c r="B26" s="74"/>
      <c r="C26" s="75"/>
      <c r="D26" s="75"/>
      <c r="E26" s="76"/>
    </row>
    <row r="29" spans="2:5" ht="6.75" customHeight="1" thickBot="1" x14ac:dyDescent="0.25"/>
    <row r="30" spans="2:5" x14ac:dyDescent="0.2">
      <c r="B30" s="64" t="s">
        <v>75</v>
      </c>
      <c r="C30" s="65"/>
      <c r="D30" s="65"/>
      <c r="E30" s="66"/>
    </row>
    <row r="31" spans="2:5" x14ac:dyDescent="0.2">
      <c r="B31" s="67"/>
      <c r="C31" s="68"/>
      <c r="D31" s="68"/>
      <c r="E31" s="69"/>
    </row>
    <row r="32" spans="2:5" x14ac:dyDescent="0.2">
      <c r="B32" s="70" t="s">
        <v>16</v>
      </c>
      <c r="C32" s="68"/>
      <c r="D32" s="68"/>
      <c r="E32" s="69"/>
    </row>
    <row r="33" spans="2:5" ht="153" customHeight="1" x14ac:dyDescent="0.2">
      <c r="B33" s="70"/>
      <c r="C33" s="77" t="s">
        <v>72</v>
      </c>
      <c r="D33" s="77"/>
      <c r="E33" s="78"/>
    </row>
    <row r="34" spans="2:5" x14ac:dyDescent="0.2">
      <c r="B34" s="70" t="s">
        <v>17</v>
      </c>
      <c r="C34" s="68"/>
      <c r="D34" s="68"/>
      <c r="E34" s="69"/>
    </row>
    <row r="35" spans="2:5" x14ac:dyDescent="0.2">
      <c r="B35" s="71"/>
      <c r="C35" s="79" t="s">
        <v>71</v>
      </c>
      <c r="D35" s="79"/>
      <c r="E35" s="80"/>
    </row>
    <row r="36" spans="2:5" ht="60.75" customHeight="1" x14ac:dyDescent="0.2">
      <c r="B36" s="71"/>
      <c r="C36" s="79"/>
      <c r="D36" s="79"/>
      <c r="E36" s="80"/>
    </row>
    <row r="37" spans="2:5" x14ac:dyDescent="0.2">
      <c r="B37" s="70" t="s">
        <v>18</v>
      </c>
      <c r="C37" s="68"/>
      <c r="D37" s="68"/>
      <c r="E37" s="69"/>
    </row>
    <row r="38" spans="2:5" x14ac:dyDescent="0.2">
      <c r="B38" s="71"/>
      <c r="C38" s="79"/>
      <c r="D38" s="79"/>
      <c r="E38" s="80"/>
    </row>
    <row r="39" spans="2:5" x14ac:dyDescent="0.2">
      <c r="B39" s="70" t="s">
        <v>64</v>
      </c>
      <c r="C39" s="72"/>
      <c r="D39" s="72"/>
      <c r="E39" s="73"/>
    </row>
    <row r="40" spans="2:5" ht="7.5" customHeight="1" x14ac:dyDescent="0.2">
      <c r="B40" s="71"/>
      <c r="C40" s="79"/>
      <c r="D40" s="79"/>
      <c r="E40" s="80"/>
    </row>
    <row r="41" spans="2:5" x14ac:dyDescent="0.2">
      <c r="B41" s="70" t="s">
        <v>19</v>
      </c>
      <c r="C41" s="68"/>
      <c r="D41" s="68"/>
      <c r="E41" s="69"/>
    </row>
    <row r="42" spans="2:5" x14ac:dyDescent="0.2">
      <c r="B42" s="70"/>
      <c r="C42" s="79" t="s">
        <v>76</v>
      </c>
      <c r="D42" s="81"/>
      <c r="E42" s="82"/>
    </row>
    <row r="43" spans="2:5" ht="13.5" thickBot="1" x14ac:dyDescent="0.25">
      <c r="B43" s="74"/>
      <c r="C43" s="75"/>
      <c r="D43" s="75"/>
      <c r="E43" s="76"/>
    </row>
    <row r="44" spans="2:5" ht="20.25" customHeight="1" x14ac:dyDescent="0.2"/>
    <row r="47" spans="2:5" ht="3.75" customHeight="1" x14ac:dyDescent="0.2"/>
    <row r="49" ht="137.25" customHeight="1" x14ac:dyDescent="0.2"/>
    <row r="51" ht="12.75" customHeight="1" x14ac:dyDescent="0.2"/>
    <row r="52" ht="52.5" customHeight="1" x14ac:dyDescent="0.2"/>
    <row r="53" ht="12.75" customHeight="1" x14ac:dyDescent="0.2"/>
    <row r="58" ht="12.75" customHeight="1" x14ac:dyDescent="0.2"/>
    <row r="60" ht="4.5" customHeight="1" x14ac:dyDescent="0.2"/>
    <row r="61" ht="7.5" customHeight="1" x14ac:dyDescent="0.2"/>
    <row r="62" ht="12.75" customHeight="1" x14ac:dyDescent="0.2"/>
    <row r="64" ht="3.75" customHeight="1" x14ac:dyDescent="0.2"/>
    <row r="66" ht="83.25" customHeight="1" x14ac:dyDescent="0.2"/>
    <row r="69" ht="52.5" customHeight="1" x14ac:dyDescent="0.2"/>
    <row r="77" ht="4.5" customHeight="1" x14ac:dyDescent="0.2"/>
    <row r="81" ht="3.75" customHeight="1" x14ac:dyDescent="0.2"/>
    <row r="83" ht="83.25" customHeight="1" x14ac:dyDescent="0.2"/>
    <row r="86" ht="52.5" customHeight="1" x14ac:dyDescent="0.2"/>
  </sheetData>
  <mergeCells count="17">
    <mergeCell ref="A6:B6"/>
    <mergeCell ref="A7:B7"/>
    <mergeCell ref="B2:H2"/>
    <mergeCell ref="A4:B4"/>
    <mergeCell ref="C4:E4"/>
    <mergeCell ref="A5:B5"/>
    <mergeCell ref="C5:E5"/>
    <mergeCell ref="C21:E21"/>
    <mergeCell ref="C23:E23"/>
    <mergeCell ref="C25:E25"/>
    <mergeCell ref="C16:E16"/>
    <mergeCell ref="C18:E19"/>
    <mergeCell ref="C33:E33"/>
    <mergeCell ref="C35:E36"/>
    <mergeCell ref="C38:E38"/>
    <mergeCell ref="C40:E40"/>
    <mergeCell ref="C42:E42"/>
  </mergeCells>
  <pageMargins left="0.70866141732283472" right="0.70866141732283472" top="0.74803149606299213" bottom="0.74803149606299213" header="0.51181102362204722" footer="0.51181102362204722"/>
  <pageSetup paperSize="5" firstPageNumber="0" fitToHeight="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4"/>
  <sheetViews>
    <sheetView zoomScale="110" zoomScaleNormal="110" workbookViewId="0">
      <selection activeCell="C13" sqref="C13:G1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6" t="s">
        <v>20</v>
      </c>
      <c r="B1" s="96"/>
      <c r="C1" s="96"/>
      <c r="D1" s="96"/>
      <c r="E1" s="96"/>
      <c r="F1" s="96"/>
      <c r="G1" s="96"/>
      <c r="H1" s="96"/>
      <c r="I1" s="96"/>
      <c r="J1" s="3" t="s">
        <v>21</v>
      </c>
      <c r="K1" s="45" t="s">
        <v>70</v>
      </c>
    </row>
    <row r="2" spans="1:11" ht="18.75" customHeight="1" thickBot="1" x14ac:dyDescent="0.25">
      <c r="A2" s="4"/>
      <c r="B2" s="4"/>
      <c r="C2" s="4"/>
      <c r="D2" s="5"/>
      <c r="E2" s="5"/>
      <c r="F2" s="5"/>
      <c r="G2" s="5"/>
      <c r="H2" s="5"/>
      <c r="I2" s="5"/>
      <c r="J2" s="5"/>
      <c r="K2" s="5"/>
    </row>
    <row r="3" spans="1:11" ht="18.75" customHeight="1" thickBot="1" x14ac:dyDescent="0.25">
      <c r="A3" s="97" t="s">
        <v>55</v>
      </c>
      <c r="B3" s="97"/>
      <c r="C3" s="97"/>
      <c r="D3" s="98" t="s">
        <v>58</v>
      </c>
      <c r="E3" s="98"/>
      <c r="F3" s="98"/>
      <c r="G3" s="98"/>
      <c r="H3" s="98"/>
      <c r="I3" s="98"/>
      <c r="J3" s="98"/>
      <c r="K3" s="98"/>
    </row>
    <row r="4" spans="1:11" ht="18.75" customHeight="1" thickBot="1" x14ac:dyDescent="0.25">
      <c r="A4" s="99" t="s">
        <v>56</v>
      </c>
      <c r="B4" s="99"/>
      <c r="C4" s="99"/>
      <c r="D4" s="98" t="s">
        <v>59</v>
      </c>
      <c r="E4" s="98"/>
      <c r="F4" s="98"/>
      <c r="G4" s="98"/>
      <c r="H4" s="98"/>
      <c r="I4" s="98"/>
      <c r="J4" s="98"/>
      <c r="K4" s="98"/>
    </row>
    <row r="5" spans="1:11" ht="18.75" customHeight="1" thickBot="1" x14ac:dyDescent="0.25">
      <c r="A5" s="99" t="s">
        <v>34</v>
      </c>
      <c r="B5" s="99"/>
      <c r="C5" s="99"/>
      <c r="D5" s="98" t="s">
        <v>61</v>
      </c>
      <c r="E5" s="98"/>
      <c r="F5" s="98"/>
      <c r="G5" s="98"/>
      <c r="H5" s="98"/>
      <c r="I5" s="98"/>
      <c r="J5" s="98"/>
      <c r="K5" s="98"/>
    </row>
    <row r="6" spans="1:11" ht="16.5" customHeight="1" thickBot="1" x14ac:dyDescent="0.25">
      <c r="A6" s="97" t="s">
        <v>57</v>
      </c>
      <c r="B6" s="97"/>
      <c r="C6" s="97"/>
      <c r="D6" s="98" t="s">
        <v>60</v>
      </c>
      <c r="E6" s="98"/>
      <c r="F6" s="98"/>
      <c r="G6" s="98"/>
      <c r="H6" s="98"/>
      <c r="I6" s="98"/>
      <c r="J6" s="98"/>
      <c r="K6" s="98"/>
    </row>
    <row r="7" spans="1:11" ht="16.5" customHeight="1" x14ac:dyDescent="0.2">
      <c r="A7" s="99" t="s">
        <v>22</v>
      </c>
      <c r="B7" s="99"/>
      <c r="C7" s="99"/>
      <c r="D7" s="98" t="s">
        <v>67</v>
      </c>
      <c r="E7" s="98"/>
      <c r="F7" s="98"/>
      <c r="G7" s="98"/>
      <c r="H7" s="98"/>
      <c r="I7" s="98"/>
      <c r="J7" s="98"/>
      <c r="K7" s="98"/>
    </row>
    <row r="8" spans="1:11" ht="40.5" customHeight="1" x14ac:dyDescent="0.2">
      <c r="A8" s="91" t="s">
        <v>23</v>
      </c>
      <c r="B8" s="91"/>
      <c r="C8" s="91"/>
      <c r="D8" s="92" t="s">
        <v>69</v>
      </c>
      <c r="E8" s="92"/>
      <c r="F8" s="92"/>
      <c r="G8" s="92"/>
      <c r="H8" s="92"/>
      <c r="I8" s="92"/>
      <c r="J8" s="92"/>
      <c r="K8" s="92"/>
    </row>
    <row r="9" spans="1:11" ht="15.75" x14ac:dyDescent="0.2">
      <c r="A9" s="6"/>
      <c r="B9" s="6"/>
      <c r="C9" s="6"/>
      <c r="D9" s="7"/>
      <c r="E9" s="7"/>
      <c r="F9" s="7"/>
      <c r="G9" s="7"/>
      <c r="H9" s="7"/>
      <c r="I9" s="7"/>
      <c r="J9" s="7"/>
      <c r="K9" s="7"/>
    </row>
    <row r="10" spans="1:11" ht="18.75" customHeight="1" x14ac:dyDescent="0.2">
      <c r="A10" s="93" t="s">
        <v>24</v>
      </c>
      <c r="B10" s="94" t="s">
        <v>25</v>
      </c>
      <c r="C10" s="94" t="s">
        <v>26</v>
      </c>
      <c r="D10" s="94"/>
      <c r="E10" s="94"/>
      <c r="F10" s="94"/>
      <c r="G10" s="94"/>
      <c r="H10" s="94" t="s">
        <v>27</v>
      </c>
      <c r="I10" s="94" t="s">
        <v>28</v>
      </c>
      <c r="J10" s="94" t="s">
        <v>29</v>
      </c>
      <c r="K10" s="95" t="s">
        <v>30</v>
      </c>
    </row>
    <row r="11" spans="1:11" ht="24" customHeight="1" thickBot="1" x14ac:dyDescent="0.25">
      <c r="A11" s="93"/>
      <c r="B11" s="94"/>
      <c r="C11" s="94"/>
      <c r="D11" s="94"/>
      <c r="E11" s="94"/>
      <c r="F11" s="94"/>
      <c r="G11" s="94"/>
      <c r="H11" s="94"/>
      <c r="I11" s="94"/>
      <c r="J11" s="94"/>
      <c r="K11" s="95"/>
    </row>
    <row r="12" spans="1:11" ht="50.1" customHeight="1" thickBot="1" x14ac:dyDescent="0.25">
      <c r="A12" s="8">
        <v>1</v>
      </c>
      <c r="B12" s="9" t="str">
        <f>'Necesidades Trimestrales'!B10</f>
        <v>4.3.5-9472.3</v>
      </c>
      <c r="C12" s="88" t="str">
        <f>'Necesidades Trimestrales'!E10</f>
        <v>PLANETARIO DIGITAL; TIPO: ALTA DEFINICION, RESOLUCION: 1920 X 1080</v>
      </c>
      <c r="D12" s="89"/>
      <c r="E12" s="89"/>
      <c r="F12" s="89"/>
      <c r="G12" s="90"/>
      <c r="H12" s="46" t="s">
        <v>31</v>
      </c>
      <c r="I12" s="47" t="s">
        <v>14</v>
      </c>
      <c r="J12" s="48">
        <f>'Necesidades Trimestrales'!H10</f>
        <v>2171950</v>
      </c>
      <c r="K12" s="10">
        <v>1</v>
      </c>
    </row>
    <row r="13" spans="1:11" ht="50.1" customHeight="1" thickBot="1" x14ac:dyDescent="0.25">
      <c r="A13" s="8">
        <v>2</v>
      </c>
      <c r="B13" s="9" t="str">
        <f>'Necesidades Trimestrales'!B11</f>
        <v>4.3.5-9472.3</v>
      </c>
      <c r="C13" s="88" t="str">
        <f>'Necesidades Trimestrales'!E11</f>
        <v>PLANETARIO DIGITAL; TIPO: ALTA DEFINICION, RESOLUCION: 1920 X 1080</v>
      </c>
      <c r="D13" s="89"/>
      <c r="E13" s="89"/>
      <c r="F13" s="89"/>
      <c r="G13" s="90"/>
      <c r="H13" s="46" t="s">
        <v>31</v>
      </c>
      <c r="I13" s="47" t="s">
        <v>14</v>
      </c>
      <c r="J13" s="48">
        <f>'Necesidades Trimestrales'!H11</f>
        <v>4072860</v>
      </c>
      <c r="K13" s="10">
        <f>'Necesidades Trimestrales'!G11</f>
        <v>1</v>
      </c>
    </row>
    <row r="14" spans="1:11" ht="31.5" customHeight="1" thickBot="1" x14ac:dyDescent="0.25">
      <c r="A14" s="86" t="s">
        <v>74</v>
      </c>
      <c r="B14" s="86"/>
      <c r="C14" s="86"/>
      <c r="D14" s="86"/>
      <c r="E14" s="86"/>
      <c r="F14" s="86"/>
      <c r="G14" s="86"/>
      <c r="H14" s="86"/>
      <c r="I14" s="86"/>
      <c r="J14" s="87">
        <f>SUMPRODUCT(J12:J13,K12:K13)</f>
        <v>6244810</v>
      </c>
      <c r="K14" s="87"/>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3:G13"/>
    <mergeCell ref="A8:C8"/>
    <mergeCell ref="D8:K8"/>
    <mergeCell ref="A10:A11"/>
    <mergeCell ref="B10:B11"/>
    <mergeCell ref="C10:G11"/>
    <mergeCell ref="H10:H11"/>
    <mergeCell ref="I10:I11"/>
    <mergeCell ref="J10:J11"/>
    <mergeCell ref="K10:K11"/>
    <mergeCell ref="C12:G12"/>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tabSelected="1" zoomScale="130" zoomScaleNormal="130" workbookViewId="0">
      <selection activeCell="Q15" sqref="Q15"/>
    </sheetView>
  </sheetViews>
  <sheetFormatPr baseColWidth="10" defaultColWidth="11" defaultRowHeight="12.75" x14ac:dyDescent="0.2"/>
  <cols>
    <col min="1" max="4" width="4.42578125" customWidth="1"/>
    <col min="5" max="5" width="4.140625" customWidth="1"/>
    <col min="6" max="6" width="5.42578125" customWidth="1"/>
    <col min="7" max="7" width="4.42578125" style="11" customWidth="1"/>
    <col min="8" max="14" width="4.42578125" customWidth="1"/>
    <col min="15" max="15" width="14.85546875" customWidth="1"/>
    <col min="16" max="16" width="14" customWidth="1"/>
    <col min="17" max="17" width="14.7109375" customWidth="1"/>
  </cols>
  <sheetData>
    <row r="1" spans="1:17" ht="15.75" customHeight="1" x14ac:dyDescent="0.25">
      <c r="A1" s="125" t="s">
        <v>3</v>
      </c>
      <c r="B1" s="125"/>
      <c r="C1" s="125"/>
      <c r="D1" s="126">
        <f>'Necesidades Trimestrales'!C6</f>
        <v>2021</v>
      </c>
      <c r="E1" s="126"/>
      <c r="F1" s="12"/>
      <c r="G1" s="12"/>
      <c r="H1" s="13"/>
      <c r="I1" s="13"/>
      <c r="J1" s="13"/>
      <c r="K1" s="13"/>
      <c r="L1" s="13"/>
      <c r="M1" s="13"/>
      <c r="N1" s="13"/>
      <c r="P1" s="127" t="s">
        <v>32</v>
      </c>
      <c r="Q1" s="127"/>
    </row>
    <row r="2" spans="1:17" ht="15.75" customHeight="1" x14ac:dyDescent="0.2">
      <c r="H2" s="13"/>
      <c r="I2" s="13"/>
      <c r="J2" s="13"/>
      <c r="K2" s="13"/>
      <c r="L2" s="13"/>
      <c r="M2" s="13"/>
      <c r="N2" s="13"/>
      <c r="P2" s="127"/>
      <c r="Q2" s="127"/>
    </row>
    <row r="4" spans="1:17" s="14" customFormat="1" ht="18" customHeight="1" thickBot="1" x14ac:dyDescent="0.25">
      <c r="A4" s="128" t="s">
        <v>33</v>
      </c>
      <c r="B4" s="128"/>
      <c r="C4" s="128"/>
      <c r="D4" s="128"/>
      <c r="E4" s="128"/>
      <c r="F4" s="128"/>
      <c r="G4" s="122" t="str">
        <f>' NotaPedido'!D3</f>
        <v>70 - MINISTERIO DE CIENCIA E INNOVACION TECNOLOGICA</v>
      </c>
      <c r="H4" s="122"/>
      <c r="I4" s="122"/>
      <c r="J4" s="122"/>
      <c r="K4" s="122"/>
      <c r="L4" s="122"/>
      <c r="M4" s="122"/>
      <c r="N4" s="122"/>
      <c r="O4" s="122"/>
      <c r="P4" s="122"/>
      <c r="Q4" s="122"/>
    </row>
    <row r="5" spans="1:17" s="14" customFormat="1" ht="18" customHeight="1" thickBot="1" x14ac:dyDescent="0.25">
      <c r="A5" s="119" t="s">
        <v>56</v>
      </c>
      <c r="B5" s="120"/>
      <c r="C5" s="120"/>
      <c r="D5" s="120"/>
      <c r="E5" s="120"/>
      <c r="F5" s="121"/>
      <c r="G5" s="122" t="str">
        <f>' NotaPedido'!D4</f>
        <v>20 - MINISTERIO DE CIENCIA E INNOVACION TECNOLOGICA</v>
      </c>
      <c r="H5" s="122"/>
      <c r="I5" s="122"/>
      <c r="J5" s="122"/>
      <c r="K5" s="122"/>
      <c r="L5" s="122"/>
      <c r="M5" s="122"/>
      <c r="N5" s="122"/>
      <c r="O5" s="122"/>
      <c r="P5" s="122"/>
      <c r="Q5" s="122"/>
    </row>
    <row r="6" spans="1:17" s="14" customFormat="1" ht="18" customHeight="1" thickBot="1" x14ac:dyDescent="0.25">
      <c r="A6" s="119" t="s">
        <v>34</v>
      </c>
      <c r="B6" s="120"/>
      <c r="C6" s="120"/>
      <c r="D6" s="120"/>
      <c r="E6" s="120"/>
      <c r="F6" s="121"/>
      <c r="G6" s="122" t="str">
        <f>' NotaPedido'!D5</f>
        <v>SECRETARIA DE CIENCIA Y TECNOLOGIA</v>
      </c>
      <c r="H6" s="122"/>
      <c r="I6" s="122"/>
      <c r="J6" s="122"/>
      <c r="K6" s="122"/>
      <c r="L6" s="122"/>
      <c r="M6" s="122"/>
      <c r="N6" s="122"/>
      <c r="O6" s="122"/>
      <c r="P6" s="122"/>
      <c r="Q6" s="122"/>
    </row>
    <row r="7" spans="1:17" s="14" customFormat="1" ht="18" customHeight="1" thickBot="1" x14ac:dyDescent="0.25">
      <c r="A7" s="119" t="s">
        <v>57</v>
      </c>
      <c r="B7" s="120"/>
      <c r="C7" s="120"/>
      <c r="D7" s="120"/>
      <c r="E7" s="120"/>
      <c r="F7" s="121"/>
      <c r="G7" s="124" t="str">
        <f>' NotaPedido'!D6</f>
        <v>DIRECCION PROVINCIAL DE GESTION ADMINISTRATIVA Y RECURSOS HUMANOS</v>
      </c>
      <c r="H7" s="124"/>
      <c r="I7" s="124"/>
      <c r="J7" s="124"/>
      <c r="K7" s="124"/>
      <c r="L7" s="124"/>
      <c r="M7" s="124"/>
      <c r="N7" s="124"/>
      <c r="O7" s="124"/>
      <c r="P7" s="124"/>
      <c r="Q7" s="124"/>
    </row>
    <row r="8" spans="1:17" ht="18" customHeight="1" thickBot="1" x14ac:dyDescent="0.25">
      <c r="A8" s="123" t="s">
        <v>35</v>
      </c>
      <c r="B8" s="123"/>
      <c r="C8" s="123"/>
      <c r="D8" s="123"/>
      <c r="E8" s="123"/>
      <c r="F8" s="123"/>
      <c r="G8" s="123"/>
      <c r="H8" s="123"/>
      <c r="I8" s="123"/>
      <c r="J8" s="123"/>
      <c r="K8" s="123"/>
      <c r="L8" s="123"/>
      <c r="M8" s="123"/>
      <c r="N8" s="123"/>
      <c r="O8" s="123"/>
      <c r="P8" s="123"/>
      <c r="Q8" s="123"/>
    </row>
    <row r="9" spans="1:17" ht="18" customHeight="1" x14ac:dyDescent="0.2">
      <c r="A9" s="113" t="s">
        <v>36</v>
      </c>
      <c r="B9" s="113"/>
      <c r="C9" s="113"/>
      <c r="D9" s="113"/>
      <c r="E9" s="113"/>
      <c r="F9" s="113"/>
      <c r="G9" s="113"/>
      <c r="H9" s="113"/>
      <c r="I9" s="113"/>
      <c r="J9" s="113"/>
      <c r="K9" s="113"/>
      <c r="L9" s="113"/>
      <c r="M9" s="113"/>
      <c r="N9" s="113"/>
      <c r="O9" s="1"/>
      <c r="P9" s="1"/>
      <c r="Q9" s="15"/>
    </row>
    <row r="10" spans="1:17" ht="54.75" customHeight="1" x14ac:dyDescent="0.2">
      <c r="A10" s="11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031/2021,  afectando la erogación resultante a los créditos presupuestarios aprobados a favor de esta Unidad Ejecutora, conforme al siguiente detalle:</v>
      </c>
      <c r="B10" s="114"/>
      <c r="C10" s="114"/>
      <c r="D10" s="114"/>
      <c r="E10" s="114"/>
      <c r="F10" s="114"/>
      <c r="G10" s="114"/>
      <c r="H10" s="114"/>
      <c r="I10" s="114"/>
      <c r="J10" s="114"/>
      <c r="K10" s="114"/>
      <c r="L10" s="114"/>
      <c r="M10" s="114"/>
      <c r="N10" s="114"/>
      <c r="O10" s="114"/>
      <c r="P10" s="114"/>
      <c r="Q10" s="114"/>
    </row>
    <row r="11" spans="1:17" ht="9" customHeight="1" x14ac:dyDescent="0.2">
      <c r="A11" s="16"/>
      <c r="B11" s="17"/>
      <c r="C11" s="17"/>
      <c r="D11" s="17"/>
      <c r="E11" s="17"/>
      <c r="F11" s="17"/>
      <c r="G11" s="18"/>
      <c r="H11" s="17"/>
      <c r="I11" s="17"/>
      <c r="J11" s="17"/>
      <c r="K11" s="17"/>
      <c r="L11" s="17"/>
      <c r="M11" s="17"/>
      <c r="N11" s="17"/>
      <c r="O11" s="17"/>
      <c r="P11" s="17"/>
      <c r="Q11" s="19"/>
    </row>
    <row r="12" spans="1:17" ht="15.75" customHeight="1" x14ac:dyDescent="0.2">
      <c r="A12" s="115" t="s">
        <v>37</v>
      </c>
      <c r="B12" s="115"/>
      <c r="C12" s="115"/>
      <c r="D12" s="115"/>
      <c r="E12" s="115"/>
      <c r="F12" s="115"/>
      <c r="G12" s="115"/>
      <c r="H12" s="115"/>
      <c r="I12" s="115"/>
      <c r="J12" s="115"/>
      <c r="K12" s="115"/>
      <c r="L12" s="115"/>
      <c r="M12" s="115"/>
      <c r="N12" s="115"/>
      <c r="O12" s="115"/>
      <c r="P12" s="115"/>
      <c r="Q12" s="115"/>
    </row>
    <row r="13" spans="1:17" ht="15.75" customHeight="1" x14ac:dyDescent="0.2">
      <c r="A13" s="116" t="s">
        <v>38</v>
      </c>
      <c r="B13" s="116"/>
      <c r="C13" s="116"/>
      <c r="D13" s="116"/>
      <c r="E13" s="116"/>
      <c r="F13" s="116"/>
      <c r="G13" s="116"/>
      <c r="H13" s="116"/>
      <c r="I13" s="116"/>
      <c r="J13" s="116"/>
      <c r="K13" s="116"/>
      <c r="L13" s="116"/>
      <c r="M13" s="116"/>
      <c r="N13" s="116"/>
      <c r="O13" s="117" t="s">
        <v>39</v>
      </c>
      <c r="P13" s="117"/>
      <c r="Q13" s="118" t="s">
        <v>40</v>
      </c>
    </row>
    <row r="14" spans="1:17" ht="15.75" customHeight="1" x14ac:dyDescent="0.2">
      <c r="A14" s="20" t="s">
        <v>41</v>
      </c>
      <c r="B14" s="21" t="s">
        <v>42</v>
      </c>
      <c r="C14" s="21" t="s">
        <v>43</v>
      </c>
      <c r="D14" s="21" t="s">
        <v>44</v>
      </c>
      <c r="E14" s="21" t="s">
        <v>45</v>
      </c>
      <c r="F14" s="21" t="s">
        <v>46</v>
      </c>
      <c r="G14" s="22" t="s">
        <v>47</v>
      </c>
      <c r="H14" s="21" t="s">
        <v>48</v>
      </c>
      <c r="I14" s="21" t="s">
        <v>49</v>
      </c>
      <c r="J14" s="21" t="s">
        <v>50</v>
      </c>
      <c r="K14" s="21" t="s">
        <v>50</v>
      </c>
      <c r="L14" s="21" t="s">
        <v>51</v>
      </c>
      <c r="M14" s="23" t="s">
        <v>52</v>
      </c>
      <c r="N14" s="24" t="s">
        <v>53</v>
      </c>
      <c r="O14" s="117"/>
      <c r="P14" s="117"/>
      <c r="Q14" s="118"/>
    </row>
    <row r="15" spans="1:17" ht="22.5" customHeight="1" x14ac:dyDescent="0.2">
      <c r="A15" s="49">
        <v>2</v>
      </c>
      <c r="B15" s="50">
        <v>0</v>
      </c>
      <c r="C15" s="50">
        <v>0</v>
      </c>
      <c r="D15" s="50">
        <v>1</v>
      </c>
      <c r="E15" s="50">
        <v>0</v>
      </c>
      <c r="F15" s="50">
        <v>4901</v>
      </c>
      <c r="G15" s="50">
        <v>3</v>
      </c>
      <c r="H15" s="50">
        <v>5</v>
      </c>
      <c r="I15" s="25">
        <v>4</v>
      </c>
      <c r="J15" s="25">
        <v>3</v>
      </c>
      <c r="K15" s="25">
        <v>5</v>
      </c>
      <c r="L15" s="50">
        <v>0</v>
      </c>
      <c r="M15" s="51">
        <v>1</v>
      </c>
      <c r="N15" s="63" t="s">
        <v>63</v>
      </c>
      <c r="O15" s="111" t="s">
        <v>68</v>
      </c>
      <c r="P15" s="112"/>
      <c r="Q15" s="26">
        <v>6244810</v>
      </c>
    </row>
    <row r="16" spans="1:17" ht="17.25" customHeight="1" x14ac:dyDescent="0.2">
      <c r="A16" s="27"/>
      <c r="B16" s="28"/>
      <c r="C16" s="28"/>
      <c r="D16" s="28"/>
      <c r="E16" s="28"/>
      <c r="F16" s="28"/>
      <c r="G16" s="28"/>
      <c r="H16" s="28"/>
      <c r="I16" s="28"/>
      <c r="J16" s="28"/>
      <c r="K16" s="28"/>
      <c r="L16" s="28"/>
      <c r="M16" s="29"/>
      <c r="N16" s="30"/>
      <c r="O16" s="106"/>
      <c r="P16" s="106"/>
      <c r="Q16" s="31"/>
    </row>
    <row r="17" spans="1:18" ht="17.25" customHeight="1" x14ac:dyDescent="0.2">
      <c r="A17" s="27"/>
      <c r="B17" s="28"/>
      <c r="C17" s="28"/>
      <c r="D17" s="28"/>
      <c r="E17" s="28"/>
      <c r="F17" s="30"/>
      <c r="G17" s="28"/>
      <c r="H17" s="28"/>
      <c r="I17" s="28"/>
      <c r="J17" s="28"/>
      <c r="K17" s="28"/>
      <c r="L17" s="28"/>
      <c r="M17" s="29"/>
      <c r="N17" s="30"/>
      <c r="O17" s="106"/>
      <c r="P17" s="106"/>
      <c r="Q17" s="31"/>
    </row>
    <row r="18" spans="1:18" ht="17.25" customHeight="1" x14ac:dyDescent="0.2">
      <c r="A18" s="27"/>
      <c r="B18" s="28"/>
      <c r="C18" s="28"/>
      <c r="D18" s="28"/>
      <c r="E18" s="28"/>
      <c r="F18" s="28"/>
      <c r="G18" s="28"/>
      <c r="H18" s="28"/>
      <c r="I18" s="28"/>
      <c r="J18" s="28"/>
      <c r="K18" s="28"/>
      <c r="L18" s="28"/>
      <c r="M18" s="29"/>
      <c r="N18" s="30"/>
      <c r="O18" s="106"/>
      <c r="P18" s="106"/>
      <c r="Q18" s="31"/>
    </row>
    <row r="19" spans="1:18" ht="17.25" customHeight="1" x14ac:dyDescent="0.2">
      <c r="A19" s="27"/>
      <c r="B19" s="28"/>
      <c r="C19" s="28"/>
      <c r="D19" s="28"/>
      <c r="E19" s="28"/>
      <c r="F19" s="30"/>
      <c r="G19" s="28"/>
      <c r="H19" s="28"/>
      <c r="I19" s="28"/>
      <c r="J19" s="28"/>
      <c r="K19" s="28"/>
      <c r="L19" s="28"/>
      <c r="M19" s="29"/>
      <c r="N19" s="30"/>
      <c r="O19" s="106"/>
      <c r="P19" s="106"/>
      <c r="Q19" s="31"/>
    </row>
    <row r="20" spans="1:18" ht="17.25" customHeight="1" x14ac:dyDescent="0.2">
      <c r="A20" s="27"/>
      <c r="B20" s="28"/>
      <c r="C20" s="28"/>
      <c r="D20" s="28"/>
      <c r="E20" s="28"/>
      <c r="F20" s="30"/>
      <c r="G20" s="28"/>
      <c r="H20" s="28"/>
      <c r="I20" s="28"/>
      <c r="J20" s="28"/>
      <c r="K20" s="28"/>
      <c r="L20" s="28"/>
      <c r="M20" s="29"/>
      <c r="N20" s="30"/>
      <c r="O20" s="106"/>
      <c r="P20" s="106"/>
      <c r="Q20" s="31"/>
    </row>
    <row r="21" spans="1:18" ht="8.25" customHeight="1" x14ac:dyDescent="0.2">
      <c r="A21" s="32"/>
      <c r="B21" s="33"/>
      <c r="C21" s="33"/>
      <c r="D21" s="33"/>
      <c r="E21" s="33"/>
      <c r="F21" s="34"/>
      <c r="G21" s="33"/>
      <c r="H21" s="33"/>
      <c r="I21" s="33"/>
      <c r="J21" s="33"/>
      <c r="K21" s="33"/>
      <c r="L21" s="33"/>
      <c r="M21" s="35"/>
      <c r="N21" s="36"/>
      <c r="O21" s="107"/>
      <c r="P21" s="107"/>
      <c r="Q21" s="31"/>
      <c r="R21" s="1"/>
    </row>
    <row r="22" spans="1:18" ht="17.25" customHeight="1" x14ac:dyDescent="0.2">
      <c r="A22" s="37"/>
      <c r="B22" s="38"/>
      <c r="C22" s="38"/>
      <c r="D22" s="38"/>
      <c r="E22" s="38"/>
      <c r="F22" s="38"/>
      <c r="G22" s="38"/>
      <c r="H22" s="38"/>
      <c r="I22" s="38"/>
      <c r="J22" s="38"/>
      <c r="K22" s="38"/>
      <c r="L22" s="38"/>
      <c r="M22" s="39"/>
      <c r="N22" s="38"/>
      <c r="O22" s="108"/>
      <c r="P22" s="108"/>
      <c r="Q22" s="40"/>
    </row>
    <row r="23" spans="1:18" ht="30.75" customHeight="1" x14ac:dyDescent="0.2">
      <c r="A23" s="109" t="s">
        <v>73</v>
      </c>
      <c r="B23" s="109"/>
      <c r="C23" s="109"/>
      <c r="D23" s="109"/>
      <c r="E23" s="109"/>
      <c r="F23" s="109"/>
      <c r="G23" s="109"/>
      <c r="H23" s="109"/>
      <c r="I23" s="109"/>
      <c r="J23" s="109"/>
      <c r="K23" s="109"/>
      <c r="L23" s="109"/>
      <c r="M23" s="109"/>
      <c r="N23" s="109"/>
      <c r="O23" s="109"/>
      <c r="P23" s="109"/>
      <c r="Q23" s="41">
        <f>SUM(Q15:Q22)</f>
        <v>6244810</v>
      </c>
    </row>
    <row r="24" spans="1:18" ht="18" customHeight="1" thickBot="1" x14ac:dyDescent="0.25">
      <c r="A24" s="110"/>
      <c r="B24" s="110"/>
      <c r="C24" s="110"/>
      <c r="D24" s="110"/>
      <c r="E24" s="110"/>
      <c r="F24" s="110"/>
      <c r="G24" s="110"/>
      <c r="H24" s="110"/>
      <c r="I24" s="110"/>
      <c r="J24" s="110"/>
      <c r="K24" s="110"/>
      <c r="L24" s="110"/>
      <c r="M24" s="110"/>
      <c r="N24" s="110"/>
      <c r="O24" s="110"/>
      <c r="P24" s="110"/>
      <c r="Q24" s="110"/>
    </row>
    <row r="25" spans="1:18" ht="17.25" customHeight="1" thickBot="1" x14ac:dyDescent="0.25">
      <c r="A25" s="100" t="s">
        <v>54</v>
      </c>
      <c r="B25" s="101"/>
      <c r="C25" s="101"/>
      <c r="D25" s="101"/>
      <c r="E25" s="101"/>
      <c r="F25" s="102"/>
      <c r="G25" s="103"/>
      <c r="H25" s="103"/>
      <c r="I25" s="103"/>
      <c r="J25" s="103"/>
      <c r="K25" s="103"/>
      <c r="L25" s="103"/>
      <c r="M25" s="103"/>
      <c r="N25" s="103"/>
      <c r="O25" s="103"/>
      <c r="P25" s="103"/>
      <c r="Q25" s="103"/>
    </row>
    <row r="26" spans="1:18" ht="18" customHeight="1" thickBot="1" x14ac:dyDescent="0.25">
      <c r="A26" s="104" t="s">
        <v>69</v>
      </c>
      <c r="B26" s="105"/>
      <c r="C26" s="105"/>
      <c r="D26" s="105"/>
      <c r="E26" s="105"/>
      <c r="F26" s="105"/>
      <c r="G26" s="105"/>
      <c r="H26" s="105"/>
      <c r="I26" s="105"/>
      <c r="J26" s="105"/>
      <c r="K26" s="105"/>
      <c r="L26" s="105"/>
      <c r="M26" s="105"/>
      <c r="N26" s="105"/>
      <c r="O26" s="105"/>
      <c r="P26" s="105"/>
      <c r="Q26" s="105"/>
    </row>
    <row r="27" spans="1:18" ht="18.75" customHeight="1" x14ac:dyDescent="0.2">
      <c r="A27" s="105"/>
      <c r="B27" s="105"/>
      <c r="C27" s="105"/>
      <c r="D27" s="105"/>
      <c r="E27" s="105"/>
      <c r="F27" s="105"/>
      <c r="G27" s="105"/>
      <c r="H27" s="105"/>
      <c r="I27" s="105"/>
      <c r="J27" s="105"/>
      <c r="K27" s="105"/>
      <c r="L27" s="105"/>
      <c r="M27" s="105"/>
      <c r="N27" s="105"/>
      <c r="O27" s="105"/>
      <c r="P27" s="105"/>
      <c r="Q27" s="105"/>
    </row>
    <row r="30" spans="1:18" x14ac:dyDescent="0.2">
      <c r="A30" s="52"/>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JOHANA AYBAR</cp:lastModifiedBy>
  <cp:revision>2</cp:revision>
  <cp:lastPrinted>2021-08-23T14:20:05Z</cp:lastPrinted>
  <dcterms:created xsi:type="dcterms:W3CDTF">2020-07-17T23:44:49Z</dcterms:created>
  <dcterms:modified xsi:type="dcterms:W3CDTF">2021-08-27T11:25:07Z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