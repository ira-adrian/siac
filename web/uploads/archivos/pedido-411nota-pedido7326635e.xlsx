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44" windowWidth="18360" windowHeight="6600" activeTab="2"/>
  </bookViews>
  <sheets>
    <sheet name="NEUROCIRUGIA NT" sheetId="1" r:id="rId1"/>
    <sheet name="NEUROCIRUGIA NPYE" sheetId="2" r:id="rId2"/>
    <sheet name="NEUROCIRUGIA APG" sheetId="3" r:id="rId3"/>
  </sheets>
  <externalReferences>
    <externalReference r:id="rId4"/>
  </externalReferences>
  <definedNames>
    <definedName name="_xlnm.Print_Area" localSheetId="2">'NEUROCIRUGIA APG'!$A$1:$Q$27</definedName>
    <definedName name="_xlnm.Print_Area" localSheetId="1">'NEUROCIRUGIA NPYE'!$A$1:$K$16</definedName>
  </definedNames>
  <calcPr calcId="124519"/>
</workbook>
</file>

<file path=xl/calcChain.xml><?xml version="1.0" encoding="utf-8"?>
<calcChain xmlns="http://schemas.openxmlformats.org/spreadsheetml/2006/main">
  <c r="A26" i="3"/>
  <c r="Q23"/>
  <c r="A10"/>
  <c r="G5"/>
  <c r="G4"/>
  <c r="D1"/>
  <c r="K15" i="2"/>
  <c r="J15"/>
  <c r="I15"/>
  <c r="C15"/>
  <c r="B15"/>
  <c r="K14"/>
  <c r="J14"/>
  <c r="I14"/>
  <c r="C14"/>
  <c r="B14"/>
  <c r="K13"/>
  <c r="J13"/>
  <c r="I13"/>
  <c r="C13"/>
  <c r="B13"/>
  <c r="K12"/>
  <c r="J12"/>
  <c r="J16" s="1"/>
  <c r="I12"/>
  <c r="C12"/>
  <c r="B12"/>
  <c r="D7"/>
  <c r="D4"/>
  <c r="D3"/>
  <c r="I13" i="1"/>
  <c r="I12"/>
  <c r="I11"/>
  <c r="I10"/>
</calcChain>
</file>

<file path=xl/sharedStrings.xml><?xml version="1.0" encoding="utf-8"?>
<sst xmlns="http://schemas.openxmlformats.org/spreadsheetml/2006/main" count="129" uniqueCount="92">
  <si>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</si>
  <si>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</si>
  <si>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</si>
  <si>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</si>
  <si>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</si>
  <si>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</si>
  <si>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</si>
  <si>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</si>
  <si>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</si>
  <si>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</si>
  <si>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</si>
  <si>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</si>
  <si>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</si>
  <si>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</si>
  <si>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</si>
  <si>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</si>
  <si>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2.9.5-4198.71</t>
  </si>
  <si>
    <t>PROD.MEDICO/FARMACEUTICOS/LAB.</t>
  </si>
  <si>
    <t>2.9.5</t>
  </si>
  <si>
    <t>ELEMENTOS DESC. P/CIRUGIAS; TIPO: CLIP GIGANTE CURVO P/ANEURISMA, PRESENTACION: UNIDAD</t>
  </si>
  <si>
    <t>UNIDAD</t>
  </si>
  <si>
    <t>2.9.5-4198.72</t>
  </si>
  <si>
    <t>ELEMENTOS DESC. P/CIRUGIAS; TIPO: CLIP GIGANTE RECTO P/ANEURISMA, PRESENTACION: UNIDAD</t>
  </si>
  <si>
    <t>2.9.5-4198.73</t>
  </si>
  <si>
    <t>ELEMENTOS DESC. P/CIRUGIAS; TIPO: CLIP TRANSITORIO P/ANEURISMA, PRESENTACION: UNIDAD</t>
  </si>
  <si>
    <t>2.9.5-6520.2</t>
  </si>
  <si>
    <t>TRADUCTORES DE PRESION; USO: P/MEDIR PRESION INTRACRANEANA</t>
  </si>
  <si>
    <t>Especificidades Item N° 1:</t>
  </si>
  <si>
    <t>Descripción técnica</t>
  </si>
  <si>
    <t>CLIP PARA ANEURISMA CEREBRAL MEDIDAS DE 8 A 11 TRANSITORIOS CURVOS</t>
  </si>
  <si>
    <t>Plazos y lugares de entrega</t>
  </si>
  <si>
    <t>30 dias - según necesidad de Direccion de Emergentologia del HSJB</t>
  </si>
  <si>
    <t>Calidad Minima esperada</t>
  </si>
  <si>
    <t>Mantenimiento</t>
  </si>
  <si>
    <t xml:space="preserve">30 dias habiles </t>
  </si>
  <si>
    <t>Garantia</t>
  </si>
  <si>
    <t>Especificidades Item N° 2:</t>
  </si>
  <si>
    <t>CLIP PARA ANEURISMA CEREBRAL MEDIDAS DE 8 A 11 TRANSITORIOS RECTOS</t>
  </si>
  <si>
    <t>30 días - según necesidad de Dirección de Emergentologia del HSJB</t>
  </si>
  <si>
    <t>30 día hábiles</t>
  </si>
  <si>
    <t>Especificidades Item N° 3:</t>
  </si>
  <si>
    <t>CLIP PARA ANEURISMA CEREBRAL MEDIDAS DE 8 A 11 TRANSITORIOS</t>
  </si>
  <si>
    <t>30 días hábiles</t>
  </si>
  <si>
    <t>Especificidades Item N° 4:</t>
  </si>
  <si>
    <t>FIBRA PARA MEDICIÓN DE PREVENCIÓN INTRACRANEANA INTRAVENTICULAR</t>
  </si>
  <si>
    <t>NOTA DE PEDIDO</t>
  </si>
  <si>
    <t>N°</t>
  </si>
  <si>
    <t>356 - 2020</t>
  </si>
  <si>
    <t xml:space="preserve">JURISDICCIÓN: </t>
  </si>
  <si>
    <t>SAF:</t>
  </si>
  <si>
    <t>UNIDAD EJECUTORA:</t>
  </si>
  <si>
    <t>264 - Direccion General</t>
  </si>
  <si>
    <t xml:space="preserve">DEPENDENCIA SOLICITANTE: </t>
  </si>
  <si>
    <t>Direccion de Emergentología</t>
  </si>
  <si>
    <t>PERIODO UTILIZACIÓN:</t>
  </si>
  <si>
    <t>OBJETO:</t>
  </si>
  <si>
    <t>Adquisición de Insumos para Neurocirugia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</si>
  <si>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</si>
  <si>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</si>
  <si>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</si>
  <si>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</si>
  <si>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</si>
  <si>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</si>
  <si>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</si>
  <si>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</si>
  <si>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TRES MILLONES DOSCIENTOS VEINTIOCHO MIL CON 00/100.-----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</si>
  <si>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</si>
  <si>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</si>
  <si>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</si>
  <si>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</si>
  <si>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</si>
  <si>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</si>
  <si>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</si>
  <si>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</si>
  <si>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</si>
  <si>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</si>
  <si>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</si>
  <si>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</si>
  <si>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</si>
  <si>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</si>
  <si>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</si>
  <si>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</si>
  <si>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</si>
  <si>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</si>
  <si>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</si>
  <si>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</si>
  <si>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</si>
  <si>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</si>
  <si>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</si>
  <si>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Ut. Menores Med. Quirurg. Y de Lab.</t>
  </si>
  <si>
    <t>TOTAL DE PESOS: TRES MILLONES DOSCIENTOS VEINTIOCHO MIL CON 00/100.------</t>
  </si>
  <si>
    <t>JUSTIFICACIÓN:</t>
  </si>
</sst>
</file>

<file path=xl/styles.xml><?xml version="1.0" encoding="utf-8"?>
<styleSheet xmlns="http://schemas.openxmlformats.org/spreadsheetml/2006/main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  <numFmt numFmtId="167" formatCode="[$$-2C0A]\ #,##0.00"/>
    <numFmt numFmtId="168" formatCode="dd\-mm\-yy;@"/>
  </numFmts>
  <fonts count="26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sz val="10"/>
      <name val="Arial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0" fillId="0" borderId="0" applyBorder="0" applyProtection="0"/>
    <xf numFmtId="0" fontId="12" fillId="0" borderId="10" applyProtection="0"/>
    <xf numFmtId="166" fontId="13" fillId="0" borderId="0" applyBorder="0" applyProtection="0"/>
    <xf numFmtId="0" fontId="14" fillId="5" borderId="0" applyBorder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0" fontId="1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1" fillId="0" borderId="5" xfId="0" applyFont="1" applyBorder="1" applyAlignment="1">
      <alignment horizontal="left" indent="3"/>
    </xf>
    <xf numFmtId="0" fontId="1" fillId="4" borderId="6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indent="3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left" indent="3"/>
    </xf>
    <xf numFmtId="0" fontId="1" fillId="0" borderId="8" xfId="0" applyFont="1" applyBorder="1"/>
    <xf numFmtId="0" fontId="1" fillId="0" borderId="9" xfId="0" applyFont="1" applyBorder="1"/>
    <xf numFmtId="0" fontId="15" fillId="0" borderId="0" xfId="0" applyFont="1" applyBorder="1" applyAlignment="1">
      <alignment horizontal="center" vertical="center"/>
    </xf>
    <xf numFmtId="0" fontId="15" fillId="0" borderId="11" xfId="0" applyFont="1" applyBorder="1" applyAlignment="1">
      <alignment horizontal="right" vertical="center"/>
    </xf>
    <xf numFmtId="0" fontId="16" fillId="2" borderId="12" xfId="0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7" fillId="0" borderId="14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 indent="1"/>
    </xf>
    <xf numFmtId="0" fontId="17" fillId="0" borderId="15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6" fillId="2" borderId="17" xfId="0" applyFont="1" applyFill="1" applyBorder="1" applyAlignment="1">
      <alignment horizontal="left" vertical="center" wrapText="1" indent="1"/>
    </xf>
    <xf numFmtId="0" fontId="17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9" fillId="3" borderId="19" xfId="0" applyFont="1" applyFill="1" applyBorder="1" applyAlignment="1">
      <alignment horizontal="left" vertical="center"/>
    </xf>
    <xf numFmtId="0" fontId="19" fillId="3" borderId="19" xfId="0" applyFont="1" applyFill="1" applyBorder="1" applyAlignment="1">
      <alignment horizontal="left" vertical="center" wrapText="1"/>
    </xf>
    <xf numFmtId="0" fontId="19" fillId="2" borderId="19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 wrapText="1"/>
    </xf>
    <xf numFmtId="165" fontId="19" fillId="3" borderId="19" xfId="1" applyNumberFormat="1" applyFont="1" applyFill="1" applyBorder="1" applyAlignment="1" applyProtection="1">
      <alignment horizontal="right" vertical="center" wrapText="1"/>
    </xf>
    <xf numFmtId="3" fontId="19" fillId="3" borderId="1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 indent="1"/>
    </xf>
    <xf numFmtId="167" fontId="17" fillId="0" borderId="1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3" fontId="20" fillId="0" borderId="21" xfId="0" applyNumberFormat="1" applyFont="1" applyBorder="1" applyAlignment="1">
      <alignment horizontal="center"/>
    </xf>
    <xf numFmtId="3" fontId="2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1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3" fillId="0" borderId="12" xfId="0" applyFont="1" applyBorder="1"/>
    <xf numFmtId="0" fontId="22" fillId="0" borderId="12" xfId="0" applyFont="1" applyBorder="1" applyAlignment="1">
      <alignment horizontal="left" indent="1"/>
    </xf>
    <xf numFmtId="0" fontId="13" fillId="0" borderId="0" xfId="0" applyFont="1"/>
    <xf numFmtId="0" fontId="19" fillId="0" borderId="14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/>
    </xf>
    <xf numFmtId="0" fontId="22" fillId="0" borderId="24" xfId="0" applyFont="1" applyBorder="1"/>
    <xf numFmtId="0" fontId="0" fillId="0" borderId="0" xfId="0" applyBorder="1"/>
    <xf numFmtId="0" fontId="0" fillId="0" borderId="11" xfId="0" applyBorder="1"/>
    <xf numFmtId="0" fontId="22" fillId="0" borderId="25" xfId="0" applyFont="1" applyBorder="1" applyAlignment="1">
      <alignment horizontal="left" vertical="center" wrapText="1" indent="1"/>
    </xf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24" fillId="0" borderId="28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24" fillId="0" borderId="32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0" fontId="0" fillId="0" borderId="34" xfId="0" applyFont="1" applyBorder="1" applyAlignment="1">
      <alignment horizontal="left" vertical="center"/>
    </xf>
    <xf numFmtId="165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25" fillId="0" borderId="34" xfId="0" applyFont="1" applyBorder="1" applyAlignment="1">
      <alignment horizontal="left" vertical="center"/>
    </xf>
    <xf numFmtId="165" fontId="0" fillId="0" borderId="39" xfId="3" applyNumberFormat="1" applyFont="1" applyBorder="1" applyAlignment="1" applyProtection="1">
      <alignment horizontal="center" vertical="center"/>
    </xf>
    <xf numFmtId="165" fontId="0" fillId="0" borderId="0" xfId="0" applyNumberFormat="1"/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165" fontId="0" fillId="0" borderId="43" xfId="3" applyNumberFormat="1" applyFont="1" applyBorder="1" applyAlignment="1" applyProtection="1">
      <alignment horizontal="center" vertical="center"/>
    </xf>
    <xf numFmtId="0" fontId="20" fillId="0" borderId="44" xfId="0" applyFont="1" applyBorder="1" applyAlignment="1">
      <alignment horizontal="left" vertical="center" wrapText="1"/>
    </xf>
    <xf numFmtId="165" fontId="24" fillId="0" borderId="44" xfId="0" applyNumberFormat="1" applyFont="1" applyBorder="1" applyAlignment="1">
      <alignment horizontal="center" vertical="center"/>
    </xf>
    <xf numFmtId="0" fontId="0" fillId="0" borderId="28" xfId="0" applyBorder="1"/>
    <xf numFmtId="0" fontId="20" fillId="0" borderId="20" xfId="0" applyFont="1" applyBorder="1" applyAlignment="1">
      <alignment vertical="center" wrapText="1"/>
    </xf>
    <xf numFmtId="0" fontId="20" fillId="0" borderId="45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2" fillId="2" borderId="44" xfId="0" applyFont="1" applyFill="1" applyBorder="1" applyAlignment="1">
      <alignment horizontal="left" vertical="center" wrapText="1" indent="1"/>
    </xf>
  </cellXfs>
  <cellStyles count="9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3" xfId="6"/>
    <cellStyle name="Normal 4" xfId="7"/>
    <cellStyle name="Porcentaje 2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backup_licitacion/PROGRAMACION%20PRIMER%20TRIMESTRE%202021/NEUROCIRUGIA/NEUROCIRUGIA%20NPE%20CODIFICAD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NotaPedido"/>
      <sheetName val="Autor Gastar"/>
    </sheetNames>
    <sheetDataSet>
      <sheetData sheetId="0">
        <row r="4">
          <cell r="C4" t="str">
            <v>40 - Ministerio de Salud</v>
          </cell>
        </row>
        <row r="5">
          <cell r="C5" t="str">
            <v>23 - Hospital Interzonal San Juan Bautista</v>
          </cell>
        </row>
        <row r="6">
          <cell r="C6">
            <v>2021</v>
          </cell>
        </row>
        <row r="7">
          <cell r="C7">
            <v>1</v>
          </cell>
        </row>
        <row r="10">
          <cell r="B10" t="str">
            <v>2.9.5-4198.71</v>
          </cell>
          <cell r="E10" t="str">
            <v>ELEMENTOS DESC. P/CIRUGIAS; TIPO: CLIP GIGANTE CURVO P/ANEURISMA, PRESENTACION: UNIDAD</v>
          </cell>
          <cell r="F10" t="str">
            <v>UNIDAD</v>
          </cell>
          <cell r="G10">
            <v>5</v>
          </cell>
          <cell r="H10">
            <v>115000</v>
          </cell>
        </row>
        <row r="11">
          <cell r="B11" t="str">
            <v>2.9.5-4198.72</v>
          </cell>
          <cell r="E11" t="str">
            <v>ELEMENTOS DESC. P/CIRUGIAS; TIPO: CLIP GIGANTE RECTO P/ANEURISMA, PRESENTACION: UNIDAD</v>
          </cell>
          <cell r="F11" t="str">
            <v>UNIDAD</v>
          </cell>
          <cell r="G11">
            <v>5</v>
          </cell>
          <cell r="H11">
            <v>115000</v>
          </cell>
        </row>
        <row r="12">
          <cell r="B12" t="str">
            <v>2.9.5-4198.73</v>
          </cell>
          <cell r="E12" t="str">
            <v>ELEMENTOS DESC. P/CIRUGIAS; TIPO: CLIP TRANSITORIO P/ANEURISMA, PRESENTACION: UNIDAD</v>
          </cell>
          <cell r="F12" t="str">
            <v>UNIDAD</v>
          </cell>
          <cell r="G12">
            <v>5</v>
          </cell>
          <cell r="H12">
            <v>115000</v>
          </cell>
        </row>
        <row r="13">
          <cell r="B13" t="str">
            <v>2.9.5-6520.2</v>
          </cell>
          <cell r="E13" t="str">
            <v>TRADUCTORES DE PRESION; USO: P/MEDIR PRESION INTRACRANEANA</v>
          </cell>
          <cell r="F13" t="str">
            <v>UNIDAD</v>
          </cell>
          <cell r="G13">
            <v>9</v>
          </cell>
          <cell r="H13">
            <v>167000</v>
          </cell>
        </row>
      </sheetData>
      <sheetData sheetId="1">
        <row r="1">
          <cell r="K1" t="str">
            <v>356 - 2020</v>
          </cell>
        </row>
        <row r="3">
          <cell r="D3" t="str">
            <v>40 - Ministerio de Salud</v>
          </cell>
        </row>
        <row r="4">
          <cell r="D4" t="str">
            <v>23 - Hospital Interzonal San Juan Bautista</v>
          </cell>
        </row>
        <row r="6">
          <cell r="D6" t="str">
            <v xml:space="preserve">Direccion de Emergencias </v>
          </cell>
        </row>
        <row r="8">
          <cell r="D8" t="str">
            <v>Adquisición de Insumos para Neurocirugia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74"/>
  <sheetViews>
    <sheetView zoomScale="85" zoomScaleNormal="85" workbookViewId="0">
      <selection activeCell="C8" sqref="C8"/>
    </sheetView>
  </sheetViews>
  <sheetFormatPr baseColWidth="10" defaultColWidth="11" defaultRowHeight="13.2"/>
  <cols>
    <col min="1" max="1" width="4.5546875" style="1" customWidth="1"/>
    <col min="2" max="2" width="12.88671875" style="1" customWidth="1"/>
    <col min="3" max="3" width="32.44140625" style="1" customWidth="1"/>
    <col min="4" max="4" width="8.44140625" style="1" customWidth="1"/>
    <col min="5" max="5" width="79" style="1" customWidth="1"/>
    <col min="6" max="6" width="11" style="1"/>
    <col min="7" max="7" width="12.6640625" style="1" customWidth="1"/>
    <col min="8" max="8" width="13.88671875" style="1" customWidth="1"/>
    <col min="9" max="9" width="18.5546875" style="1" customWidth="1"/>
    <col min="10" max="16384" width="11" style="1"/>
  </cols>
  <sheetData>
    <row r="2" spans="1:9" ht="27.6">
      <c r="B2" s="2" t="s">
        <v>0</v>
      </c>
      <c r="C2" s="2"/>
      <c r="D2" s="2"/>
      <c r="E2" s="2"/>
      <c r="F2" s="2"/>
      <c r="G2" s="2"/>
      <c r="H2" s="2"/>
    </row>
    <row r="4" spans="1:9" ht="18" customHeight="1">
      <c r="A4" s="3" t="s">
        <v>1</v>
      </c>
      <c r="B4" s="3"/>
      <c r="C4" s="4" t="s">
        <v>2</v>
      </c>
      <c r="D4" s="4"/>
      <c r="E4" s="4"/>
      <c r="F4" s="5"/>
      <c r="G4" s="6"/>
      <c r="H4" s="5"/>
    </row>
    <row r="5" spans="1:9" ht="18" customHeight="1">
      <c r="A5" s="3" t="s">
        <v>3</v>
      </c>
      <c r="B5" s="3"/>
      <c r="C5" s="4" t="s">
        <v>4</v>
      </c>
      <c r="D5" s="4"/>
      <c r="E5" s="4"/>
      <c r="F5" s="5"/>
      <c r="G5" s="6"/>
      <c r="H5" s="5"/>
    </row>
    <row r="6" spans="1:9" ht="16.5" customHeight="1">
      <c r="A6" s="3" t="s">
        <v>5</v>
      </c>
      <c r="B6" s="3"/>
      <c r="C6" s="7">
        <v>2021</v>
      </c>
      <c r="D6" s="8"/>
      <c r="E6" s="8"/>
      <c r="F6" s="5"/>
      <c r="G6" s="6"/>
      <c r="H6" s="5"/>
    </row>
    <row r="7" spans="1:9" ht="16.5" customHeight="1">
      <c r="A7" s="3" t="s">
        <v>6</v>
      </c>
      <c r="B7" s="3"/>
      <c r="C7" s="7">
        <v>1</v>
      </c>
      <c r="D7" s="8"/>
      <c r="E7" s="8"/>
      <c r="F7" s="5"/>
      <c r="G7" s="6"/>
      <c r="H7" s="5"/>
    </row>
    <row r="8" spans="1:9" ht="13.8" thickBot="1">
      <c r="B8" s="5"/>
      <c r="C8" s="6"/>
      <c r="D8" s="5"/>
      <c r="E8" s="5"/>
      <c r="F8" s="5"/>
      <c r="G8" s="6"/>
      <c r="H8" s="5"/>
    </row>
    <row r="9" spans="1:9" ht="40.200000000000003" thickBot="1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ht="31.95" customHeight="1" thickBot="1">
      <c r="A10" s="10">
        <v>1</v>
      </c>
      <c r="B10" s="11" t="s">
        <v>16</v>
      </c>
      <c r="C10" s="12" t="s">
        <v>17</v>
      </c>
      <c r="D10" s="13" t="s">
        <v>18</v>
      </c>
      <c r="E10" s="14" t="s">
        <v>19</v>
      </c>
      <c r="F10" s="11" t="s">
        <v>20</v>
      </c>
      <c r="G10" s="11">
        <v>5</v>
      </c>
      <c r="H10" s="15">
        <v>115000</v>
      </c>
      <c r="I10" s="16">
        <f t="shared" ref="I10:I13" si="0">G10*H10</f>
        <v>575000</v>
      </c>
    </row>
    <row r="11" spans="1:9" ht="31.95" customHeight="1" thickBot="1">
      <c r="A11" s="10">
        <v>2</v>
      </c>
      <c r="B11" s="11" t="s">
        <v>21</v>
      </c>
      <c r="C11" s="12" t="s">
        <v>17</v>
      </c>
      <c r="D11" s="13" t="s">
        <v>18</v>
      </c>
      <c r="E11" s="14" t="s">
        <v>22</v>
      </c>
      <c r="F11" s="11" t="s">
        <v>20</v>
      </c>
      <c r="G11" s="11">
        <v>5</v>
      </c>
      <c r="H11" s="15">
        <v>115000</v>
      </c>
      <c r="I11" s="16">
        <f t="shared" si="0"/>
        <v>575000</v>
      </c>
    </row>
    <row r="12" spans="1:9" ht="31.95" customHeight="1" thickBot="1">
      <c r="A12" s="10">
        <v>3</v>
      </c>
      <c r="B12" s="11" t="s">
        <v>23</v>
      </c>
      <c r="C12" s="12" t="s">
        <v>17</v>
      </c>
      <c r="D12" s="13" t="s">
        <v>18</v>
      </c>
      <c r="E12" s="14" t="s">
        <v>24</v>
      </c>
      <c r="F12" s="11" t="s">
        <v>20</v>
      </c>
      <c r="G12" s="11">
        <v>5</v>
      </c>
      <c r="H12" s="15">
        <v>115000</v>
      </c>
      <c r="I12" s="16">
        <f t="shared" si="0"/>
        <v>575000</v>
      </c>
    </row>
    <row r="13" spans="1:9" ht="31.95" customHeight="1" thickBot="1">
      <c r="A13" s="10">
        <v>4</v>
      </c>
      <c r="B13" s="11" t="s">
        <v>25</v>
      </c>
      <c r="C13" s="12" t="s">
        <v>17</v>
      </c>
      <c r="D13" s="13" t="s">
        <v>18</v>
      </c>
      <c r="E13" s="14" t="s">
        <v>26</v>
      </c>
      <c r="F13" s="11" t="s">
        <v>20</v>
      </c>
      <c r="G13" s="11">
        <v>9</v>
      </c>
      <c r="H13" s="15">
        <v>167000</v>
      </c>
      <c r="I13" s="16">
        <f t="shared" si="0"/>
        <v>1503000</v>
      </c>
    </row>
    <row r="16" spans="1:9">
      <c r="B16" s="17" t="s">
        <v>27</v>
      </c>
      <c r="C16" s="18"/>
      <c r="D16" s="18"/>
      <c r="E16" s="19"/>
    </row>
    <row r="17" spans="2:5" ht="5.25" customHeight="1">
      <c r="B17" s="20"/>
      <c r="C17" s="21"/>
      <c r="D17" s="21"/>
      <c r="E17" s="22"/>
    </row>
    <row r="18" spans="2:5">
      <c r="B18" s="23" t="s">
        <v>28</v>
      </c>
      <c r="C18" s="21"/>
      <c r="D18" s="21"/>
      <c r="E18" s="22"/>
    </row>
    <row r="19" spans="2:5" ht="41.25" customHeight="1">
      <c r="B19" s="23"/>
      <c r="C19" s="24" t="s">
        <v>29</v>
      </c>
      <c r="D19" s="24"/>
      <c r="E19" s="24"/>
    </row>
    <row r="20" spans="2:5">
      <c r="B20" s="23" t="s">
        <v>30</v>
      </c>
      <c r="C20" s="21"/>
      <c r="D20" s="21"/>
      <c r="E20" s="22"/>
    </row>
    <row r="21" spans="2:5">
      <c r="B21" s="25"/>
      <c r="C21" s="26" t="s">
        <v>31</v>
      </c>
      <c r="D21" s="26"/>
      <c r="E21" s="26"/>
    </row>
    <row r="22" spans="2:5">
      <c r="B22" s="25"/>
      <c r="C22" s="26"/>
      <c r="D22" s="26"/>
      <c r="E22" s="26"/>
    </row>
    <row r="23" spans="2:5">
      <c r="B23" s="23" t="s">
        <v>32</v>
      </c>
      <c r="C23" s="21"/>
      <c r="D23" s="21"/>
      <c r="E23" s="22"/>
    </row>
    <row r="24" spans="2:5" ht="26.25" customHeight="1">
      <c r="B24" s="25"/>
      <c r="C24" s="27"/>
      <c r="D24" s="27"/>
      <c r="E24" s="27"/>
    </row>
    <row r="25" spans="2:5">
      <c r="B25" s="23" t="s">
        <v>33</v>
      </c>
      <c r="C25" s="28"/>
      <c r="D25" s="28"/>
      <c r="E25" s="29"/>
    </row>
    <row r="26" spans="2:5" ht="26.25" customHeight="1">
      <c r="B26" s="25"/>
      <c r="C26" s="27" t="s">
        <v>34</v>
      </c>
      <c r="D26" s="27"/>
      <c r="E26" s="27"/>
    </row>
    <row r="27" spans="2:5">
      <c r="B27" s="23" t="s">
        <v>35</v>
      </c>
      <c r="C27" s="21"/>
      <c r="D27" s="21"/>
      <c r="E27" s="22"/>
    </row>
    <row r="28" spans="2:5" ht="23.25" customHeight="1">
      <c r="B28" s="23"/>
      <c r="C28" s="26"/>
      <c r="D28" s="26"/>
      <c r="E28" s="26"/>
    </row>
    <row r="29" spans="2:5" ht="13.8" thickBot="1">
      <c r="B29" s="30"/>
      <c r="C29" s="31"/>
      <c r="D29" s="31"/>
      <c r="E29" s="32"/>
    </row>
    <row r="31" spans="2:5">
      <c r="B31" s="17" t="s">
        <v>36</v>
      </c>
      <c r="C31" s="18"/>
      <c r="D31" s="18"/>
      <c r="E31" s="19"/>
    </row>
    <row r="32" spans="2:5" ht="7.5" customHeight="1">
      <c r="B32" s="20"/>
      <c r="C32" s="21"/>
      <c r="D32" s="21"/>
      <c r="E32" s="22"/>
    </row>
    <row r="33" spans="2:5">
      <c r="B33" s="23" t="s">
        <v>28</v>
      </c>
      <c r="C33" s="21"/>
      <c r="D33" s="21"/>
      <c r="E33" s="22"/>
    </row>
    <row r="34" spans="2:5" ht="39" customHeight="1">
      <c r="B34" s="23"/>
      <c r="C34" s="24" t="s">
        <v>37</v>
      </c>
      <c r="D34" s="24"/>
      <c r="E34" s="24"/>
    </row>
    <row r="35" spans="2:5">
      <c r="B35" s="23" t="s">
        <v>30</v>
      </c>
      <c r="C35" s="21"/>
      <c r="D35" s="21"/>
      <c r="E35" s="22"/>
    </row>
    <row r="36" spans="2:5">
      <c r="B36" s="25"/>
      <c r="C36" s="26" t="s">
        <v>38</v>
      </c>
      <c r="D36" s="26"/>
      <c r="E36" s="26"/>
    </row>
    <row r="37" spans="2:5">
      <c r="B37" s="25"/>
      <c r="C37" s="26"/>
      <c r="D37" s="26"/>
      <c r="E37" s="26"/>
    </row>
    <row r="38" spans="2:5">
      <c r="B38" s="23" t="s">
        <v>32</v>
      </c>
      <c r="C38" s="21"/>
      <c r="D38" s="21"/>
      <c r="E38" s="22"/>
    </row>
    <row r="39" spans="2:5">
      <c r="B39" s="25"/>
      <c r="C39" s="27"/>
      <c r="D39" s="27"/>
      <c r="E39" s="27"/>
    </row>
    <row r="40" spans="2:5">
      <c r="B40" s="23" t="s">
        <v>33</v>
      </c>
      <c r="C40" s="28"/>
      <c r="D40" s="28"/>
      <c r="E40" s="29"/>
    </row>
    <row r="41" spans="2:5" ht="23.25" customHeight="1">
      <c r="B41" s="25"/>
      <c r="C41" s="27" t="s">
        <v>39</v>
      </c>
      <c r="D41" s="27"/>
      <c r="E41" s="27"/>
    </row>
    <row r="42" spans="2:5">
      <c r="B42" s="23" t="s">
        <v>35</v>
      </c>
      <c r="C42" s="21"/>
      <c r="D42" s="21"/>
      <c r="E42" s="22"/>
    </row>
    <row r="43" spans="2:5">
      <c r="B43" s="23"/>
      <c r="C43" s="26"/>
      <c r="D43" s="26"/>
      <c r="E43" s="26"/>
    </row>
    <row r="44" spans="2:5" ht="13.8" thickBot="1">
      <c r="B44" s="30"/>
      <c r="C44" s="31"/>
      <c r="D44" s="31"/>
      <c r="E44" s="32"/>
    </row>
    <row r="45" spans="2:5" ht="13.8" thickBot="1"/>
    <row r="46" spans="2:5">
      <c r="B46" s="17" t="s">
        <v>40</v>
      </c>
      <c r="C46" s="18"/>
      <c r="D46" s="18"/>
      <c r="E46" s="19"/>
    </row>
    <row r="47" spans="2:5">
      <c r="B47" s="20"/>
      <c r="C47" s="21"/>
      <c r="D47" s="21"/>
      <c r="E47" s="22"/>
    </row>
    <row r="48" spans="2:5">
      <c r="B48" s="23" t="s">
        <v>28</v>
      </c>
      <c r="C48" s="21"/>
      <c r="D48" s="21"/>
      <c r="E48" s="22"/>
    </row>
    <row r="49" spans="2:5" ht="38.25" customHeight="1">
      <c r="B49" s="23"/>
      <c r="C49" s="24" t="s">
        <v>41</v>
      </c>
      <c r="D49" s="24"/>
      <c r="E49" s="24"/>
    </row>
    <row r="50" spans="2:5">
      <c r="B50" s="23" t="s">
        <v>30</v>
      </c>
      <c r="C50" s="21"/>
      <c r="D50" s="21"/>
      <c r="E50" s="22"/>
    </row>
    <row r="51" spans="2:5">
      <c r="B51" s="25"/>
      <c r="C51" s="26" t="s">
        <v>38</v>
      </c>
      <c r="D51" s="26"/>
      <c r="E51" s="26"/>
    </row>
    <row r="52" spans="2:5">
      <c r="B52" s="25"/>
      <c r="C52" s="26"/>
      <c r="D52" s="26"/>
      <c r="E52" s="26"/>
    </row>
    <row r="53" spans="2:5">
      <c r="B53" s="23" t="s">
        <v>32</v>
      </c>
      <c r="C53" s="21"/>
      <c r="D53" s="21"/>
      <c r="E53" s="22"/>
    </row>
    <row r="54" spans="2:5">
      <c r="B54" s="25"/>
      <c r="C54" s="27"/>
      <c r="D54" s="27"/>
      <c r="E54" s="27"/>
    </row>
    <row r="55" spans="2:5">
      <c r="B55" s="23" t="s">
        <v>33</v>
      </c>
      <c r="C55" s="28"/>
      <c r="D55" s="28"/>
      <c r="E55" s="29"/>
    </row>
    <row r="56" spans="2:5" ht="22.5" customHeight="1">
      <c r="B56" s="25"/>
      <c r="C56" s="27" t="s">
        <v>42</v>
      </c>
      <c r="D56" s="27"/>
      <c r="E56" s="27"/>
    </row>
    <row r="57" spans="2:5">
      <c r="B57" s="23" t="s">
        <v>35</v>
      </c>
      <c r="C57" s="21"/>
      <c r="D57" s="21"/>
      <c r="E57" s="22"/>
    </row>
    <row r="58" spans="2:5">
      <c r="B58" s="23"/>
      <c r="C58" s="26"/>
      <c r="D58" s="26"/>
      <c r="E58" s="26"/>
    </row>
    <row r="59" spans="2:5" ht="13.8" thickBot="1">
      <c r="B59" s="30"/>
      <c r="C59" s="31"/>
      <c r="D59" s="31"/>
      <c r="E59" s="32"/>
    </row>
    <row r="60" spans="2:5" ht="13.8" thickBot="1"/>
    <row r="61" spans="2:5">
      <c r="B61" s="17" t="s">
        <v>43</v>
      </c>
      <c r="C61" s="18"/>
      <c r="D61" s="18"/>
      <c r="E61" s="19"/>
    </row>
    <row r="62" spans="2:5">
      <c r="B62" s="20"/>
      <c r="C62" s="21"/>
      <c r="D62" s="21"/>
      <c r="E62" s="22"/>
    </row>
    <row r="63" spans="2:5">
      <c r="B63" s="23" t="s">
        <v>28</v>
      </c>
      <c r="C63" s="21"/>
      <c r="D63" s="21"/>
      <c r="E63" s="22"/>
    </row>
    <row r="64" spans="2:5" ht="35.25" customHeight="1">
      <c r="B64" s="23"/>
      <c r="C64" s="24" t="s">
        <v>44</v>
      </c>
      <c r="D64" s="24"/>
      <c r="E64" s="24"/>
    </row>
    <row r="65" spans="2:5">
      <c r="B65" s="23" t="s">
        <v>30</v>
      </c>
      <c r="C65" s="21"/>
      <c r="D65" s="21"/>
      <c r="E65" s="22"/>
    </row>
    <row r="66" spans="2:5">
      <c r="B66" s="25"/>
      <c r="C66" s="26" t="s">
        <v>38</v>
      </c>
      <c r="D66" s="26"/>
      <c r="E66" s="26"/>
    </row>
    <row r="67" spans="2:5">
      <c r="B67" s="25"/>
      <c r="C67" s="26"/>
      <c r="D67" s="26"/>
      <c r="E67" s="26"/>
    </row>
    <row r="68" spans="2:5">
      <c r="B68" s="23" t="s">
        <v>32</v>
      </c>
      <c r="C68" s="21"/>
      <c r="D68" s="21"/>
      <c r="E68" s="22"/>
    </row>
    <row r="69" spans="2:5">
      <c r="B69" s="25"/>
      <c r="C69" s="27"/>
      <c r="D69" s="27"/>
      <c r="E69" s="27"/>
    </row>
    <row r="70" spans="2:5">
      <c r="B70" s="23" t="s">
        <v>33</v>
      </c>
      <c r="C70" s="28"/>
      <c r="D70" s="28"/>
      <c r="E70" s="29"/>
    </row>
    <row r="71" spans="2:5" ht="18.75" customHeight="1">
      <c r="B71" s="25"/>
      <c r="C71" s="27" t="s">
        <v>42</v>
      </c>
      <c r="D71" s="27"/>
      <c r="E71" s="27"/>
    </row>
    <row r="72" spans="2:5">
      <c r="B72" s="23" t="s">
        <v>35</v>
      </c>
      <c r="C72" s="21"/>
      <c r="D72" s="21"/>
      <c r="E72" s="22"/>
    </row>
    <row r="73" spans="2:5">
      <c r="B73" s="23"/>
      <c r="C73" s="26"/>
      <c r="D73" s="26"/>
      <c r="E73" s="26"/>
    </row>
    <row r="74" spans="2:5" ht="13.8" thickBot="1">
      <c r="B74" s="30"/>
      <c r="C74" s="31"/>
      <c r="D74" s="31"/>
      <c r="E74" s="32"/>
    </row>
  </sheetData>
  <mergeCells count="31">
    <mergeCell ref="C73:E73"/>
    <mergeCell ref="C58:E58"/>
    <mergeCell ref="C64:E64"/>
    <mergeCell ref="C66:E66"/>
    <mergeCell ref="C67:E67"/>
    <mergeCell ref="C69:E69"/>
    <mergeCell ref="C71:E71"/>
    <mergeCell ref="C43:E43"/>
    <mergeCell ref="C49:E49"/>
    <mergeCell ref="C51:E51"/>
    <mergeCell ref="C52:E52"/>
    <mergeCell ref="C54:E54"/>
    <mergeCell ref="C56:E56"/>
    <mergeCell ref="C28:E28"/>
    <mergeCell ref="C34:E34"/>
    <mergeCell ref="C36:E36"/>
    <mergeCell ref="C37:E37"/>
    <mergeCell ref="C39:E39"/>
    <mergeCell ref="C41:E41"/>
    <mergeCell ref="A7:B7"/>
    <mergeCell ref="C19:E19"/>
    <mergeCell ref="C21:E21"/>
    <mergeCell ref="C22:E22"/>
    <mergeCell ref="C24:E24"/>
    <mergeCell ref="C26:E26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6"/>
  <sheetViews>
    <sheetView zoomScale="70" zoomScaleNormal="70" workbookViewId="0">
      <selection activeCell="D7" sqref="D7:K7"/>
    </sheetView>
  </sheetViews>
  <sheetFormatPr baseColWidth="10" defaultColWidth="9.109375" defaultRowHeight="13.2"/>
  <cols>
    <col min="1" max="1" width="5.5546875" style="36" customWidth="1"/>
    <col min="2" max="2" width="15.109375" style="36" customWidth="1"/>
    <col min="3" max="3" width="14.109375" style="36" customWidth="1"/>
    <col min="4" max="4" width="26" style="36" customWidth="1"/>
    <col min="5" max="5" width="8" style="36" customWidth="1"/>
    <col min="6" max="6" width="7.88671875" style="36" customWidth="1"/>
    <col min="7" max="7" width="42" style="36" customWidth="1"/>
    <col min="8" max="8" width="9.33203125" style="36" customWidth="1"/>
    <col min="9" max="9" width="15.5546875" style="36" customWidth="1"/>
    <col min="10" max="10" width="14.6640625" style="36" customWidth="1"/>
    <col min="11" max="11" width="15.5546875" style="36" customWidth="1"/>
    <col min="12" max="14" width="5.88671875" style="36" customWidth="1"/>
    <col min="15" max="15" width="12.5546875" style="36" customWidth="1"/>
    <col min="16" max="1024" width="9.109375" style="36"/>
  </cols>
  <sheetData>
    <row r="1" spans="1:1024" ht="18" customHeight="1" thickBot="1">
      <c r="A1" s="33" t="s">
        <v>45</v>
      </c>
      <c r="B1" s="33"/>
      <c r="C1" s="33"/>
      <c r="D1" s="33"/>
      <c r="E1" s="33"/>
      <c r="F1" s="33"/>
      <c r="G1" s="33"/>
      <c r="H1" s="33"/>
      <c r="I1" s="33"/>
      <c r="J1" s="34" t="s">
        <v>46</v>
      </c>
      <c r="K1" s="35" t="s">
        <v>47</v>
      </c>
    </row>
    <row r="2" spans="1:1024" ht="18.75" customHeight="1" thickBot="1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024" ht="18.75" customHeight="1" thickBot="1">
      <c r="A3" s="39" t="s">
        <v>48</v>
      </c>
      <c r="B3" s="39"/>
      <c r="C3" s="39"/>
      <c r="D3" s="40" t="str">
        <f>'[1]Necesidades Trimestrales'!C4</f>
        <v>40 - Ministerio de Salud</v>
      </c>
      <c r="E3" s="40"/>
      <c r="F3" s="40"/>
      <c r="G3" s="40"/>
      <c r="H3" s="40"/>
      <c r="I3" s="40"/>
      <c r="J3" s="40"/>
      <c r="K3" s="40"/>
    </row>
    <row r="4" spans="1:1024" ht="18.75" customHeight="1" thickBot="1">
      <c r="A4" s="41" t="s">
        <v>49</v>
      </c>
      <c r="B4" s="41"/>
      <c r="C4" s="41"/>
      <c r="D4" s="40" t="str">
        <f>'[1]Necesidades Trimestrales'!C5</f>
        <v>23 - Hospital Interzonal San Juan Bautista</v>
      </c>
      <c r="E4" s="40"/>
      <c r="F4" s="40"/>
      <c r="G4" s="40"/>
      <c r="H4" s="40"/>
      <c r="I4" s="40"/>
      <c r="J4" s="40"/>
      <c r="K4" s="40"/>
    </row>
    <row r="5" spans="1:1024" ht="18.75" customHeight="1" thickBot="1">
      <c r="A5" s="41" t="s">
        <v>50</v>
      </c>
      <c r="B5" s="41"/>
      <c r="C5" s="41"/>
      <c r="D5" s="40" t="s">
        <v>51</v>
      </c>
      <c r="E5" s="40"/>
      <c r="F5" s="40"/>
      <c r="G5" s="40"/>
      <c r="H5" s="40"/>
      <c r="I5" s="40"/>
      <c r="J5" s="40"/>
      <c r="K5" s="40"/>
    </row>
    <row r="6" spans="1:1024" ht="16.5" customHeight="1" thickBot="1">
      <c r="A6" s="39" t="s">
        <v>52</v>
      </c>
      <c r="B6" s="39"/>
      <c r="C6" s="39"/>
      <c r="D6" s="40" t="s">
        <v>53</v>
      </c>
      <c r="E6" s="40"/>
      <c r="F6" s="40"/>
      <c r="G6" s="40"/>
      <c r="H6" s="40"/>
      <c r="I6" s="40"/>
      <c r="J6" s="40"/>
      <c r="K6" s="40"/>
    </row>
    <row r="7" spans="1:1024" ht="16.5" customHeight="1" thickBot="1">
      <c r="A7" s="41" t="s">
        <v>54</v>
      </c>
      <c r="B7" s="41"/>
      <c r="C7" s="41"/>
      <c r="D7" s="40" t="str">
        <f>'[1]Necesidades Trimestrales'!C7 &amp; "° Trimestre - Año " &amp; '[1]Necesidades Trimestrales'!C6</f>
        <v>1° Trimestre - Año 2021</v>
      </c>
      <c r="E7" s="40"/>
      <c r="F7" s="40"/>
      <c r="G7" s="40"/>
      <c r="H7" s="40"/>
      <c r="I7" s="40"/>
      <c r="J7" s="40"/>
      <c r="K7" s="40"/>
    </row>
    <row r="8" spans="1:1024" ht="16.5" customHeight="1" thickBot="1">
      <c r="A8" s="42" t="s">
        <v>55</v>
      </c>
      <c r="B8" s="42"/>
      <c r="C8" s="42"/>
      <c r="D8" s="43" t="s">
        <v>56</v>
      </c>
      <c r="E8" s="43"/>
      <c r="F8" s="43"/>
      <c r="G8" s="43"/>
      <c r="H8" s="43"/>
      <c r="I8" s="43"/>
      <c r="J8" s="43"/>
      <c r="K8" s="43"/>
    </row>
    <row r="9" spans="1:1024" ht="16.2" thickBot="1">
      <c r="A9" s="44"/>
      <c r="B9" s="44"/>
      <c r="C9" s="44"/>
      <c r="D9" s="45"/>
      <c r="E9" s="45"/>
      <c r="F9" s="45"/>
      <c r="G9" s="45"/>
      <c r="H9" s="45"/>
      <c r="I9" s="45"/>
      <c r="J9" s="45"/>
      <c r="K9" s="45"/>
    </row>
    <row r="10" spans="1:1024" ht="18.75" customHeight="1" thickBot="1">
      <c r="A10" s="46" t="s">
        <v>57</v>
      </c>
      <c r="B10" s="47" t="s">
        <v>58</v>
      </c>
      <c r="C10" s="47" t="s">
        <v>59</v>
      </c>
      <c r="D10" s="47"/>
      <c r="E10" s="47"/>
      <c r="F10" s="47"/>
      <c r="G10" s="47"/>
      <c r="H10" s="47" t="s">
        <v>60</v>
      </c>
      <c r="I10" s="47" t="s">
        <v>61</v>
      </c>
      <c r="J10" s="47" t="s">
        <v>62</v>
      </c>
      <c r="K10" s="48" t="s">
        <v>63</v>
      </c>
    </row>
    <row r="11" spans="1:1024" ht="24" customHeight="1" thickBot="1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8"/>
    </row>
    <row r="12" spans="1:1024" ht="20.25" customHeight="1" thickBot="1">
      <c r="A12" s="49">
        <v>1</v>
      </c>
      <c r="B12" s="50" t="str">
        <f>'[1]Necesidades Trimestrales'!B10</f>
        <v>2.9.5-4198.71</v>
      </c>
      <c r="C12" s="51" t="str">
        <f>'[1]Necesidades Trimestrales'!E10</f>
        <v>ELEMENTOS DESC. P/CIRUGIAS; TIPO: CLIP GIGANTE CURVO P/ANEURISMA, PRESENTACION: UNIDAD</v>
      </c>
      <c r="D12" s="51"/>
      <c r="E12" s="51"/>
      <c r="F12" s="51"/>
      <c r="G12" s="51"/>
      <c r="H12" s="52" t="s">
        <v>64</v>
      </c>
      <c r="I12" s="53" t="str">
        <f>'[1]Necesidades Trimestrales'!F10</f>
        <v>UNIDAD</v>
      </c>
      <c r="J12" s="54">
        <f>'[1]Necesidades Trimestrales'!H10</f>
        <v>115000</v>
      </c>
      <c r="K12" s="55">
        <f>'[1]Necesidades Trimestrales'!G10</f>
        <v>5</v>
      </c>
    </row>
    <row r="13" spans="1:1024" ht="20.25" customHeight="1" thickBot="1">
      <c r="A13" s="49">
        <v>2</v>
      </c>
      <c r="B13" s="50" t="str">
        <f>'[1]Necesidades Trimestrales'!B11</f>
        <v>2.9.5-4198.72</v>
      </c>
      <c r="C13" s="51" t="str">
        <f>'[1]Necesidades Trimestrales'!E11</f>
        <v>ELEMENTOS DESC. P/CIRUGIAS; TIPO: CLIP GIGANTE RECTO P/ANEURISMA, PRESENTACION: UNIDAD</v>
      </c>
      <c r="D13" s="51"/>
      <c r="E13" s="51"/>
      <c r="F13" s="51"/>
      <c r="G13" s="51"/>
      <c r="H13" s="52" t="s">
        <v>64</v>
      </c>
      <c r="I13" s="53" t="str">
        <f>'[1]Necesidades Trimestrales'!F11</f>
        <v>UNIDAD</v>
      </c>
      <c r="J13" s="54">
        <f>'[1]Necesidades Trimestrales'!H11</f>
        <v>115000</v>
      </c>
      <c r="K13" s="55">
        <f>'[1]Necesidades Trimestrales'!G11</f>
        <v>5</v>
      </c>
    </row>
    <row r="14" spans="1:1024" ht="20.25" customHeight="1" thickBot="1">
      <c r="A14" s="49">
        <v>3</v>
      </c>
      <c r="B14" s="50" t="str">
        <f>'[1]Necesidades Trimestrales'!B12</f>
        <v>2.9.5-4198.73</v>
      </c>
      <c r="C14" s="51" t="str">
        <f>'[1]Necesidades Trimestrales'!E12</f>
        <v>ELEMENTOS DESC. P/CIRUGIAS; TIPO: CLIP TRANSITORIO P/ANEURISMA, PRESENTACION: UNIDAD</v>
      </c>
      <c r="D14" s="51"/>
      <c r="E14" s="51"/>
      <c r="F14" s="51"/>
      <c r="G14" s="51"/>
      <c r="H14" s="52" t="s">
        <v>64</v>
      </c>
      <c r="I14" s="53" t="str">
        <f>'[1]Necesidades Trimestrales'!F12</f>
        <v>UNIDAD</v>
      </c>
      <c r="J14" s="54">
        <f>'[1]Necesidades Trimestrales'!H12</f>
        <v>115000</v>
      </c>
      <c r="K14" s="55">
        <f>'[1]Necesidades Trimestrales'!G12</f>
        <v>5</v>
      </c>
    </row>
    <row r="15" spans="1:1024" ht="20.25" customHeight="1" thickBot="1">
      <c r="A15" s="49">
        <v>4</v>
      </c>
      <c r="B15" s="50" t="str">
        <f>'[1]Necesidades Trimestrales'!B13</f>
        <v>2.9.5-6520.2</v>
      </c>
      <c r="C15" s="51" t="str">
        <f>'[1]Necesidades Trimestrales'!E13</f>
        <v>TRADUCTORES DE PRESION; USO: P/MEDIR PRESION INTRACRANEANA</v>
      </c>
      <c r="D15" s="51"/>
      <c r="E15" s="51"/>
      <c r="F15" s="51"/>
      <c r="G15" s="51"/>
      <c r="H15" s="52" t="s">
        <v>64</v>
      </c>
      <c r="I15" s="53" t="str">
        <f>'[1]Necesidades Trimestrales'!F13</f>
        <v>UNIDAD</v>
      </c>
      <c r="J15" s="54">
        <f>'[1]Necesidades Trimestrales'!H13</f>
        <v>167000</v>
      </c>
      <c r="K15" s="55">
        <f>'[1]Necesidades Trimestrales'!G13</f>
        <v>9</v>
      </c>
    </row>
    <row r="16" spans="1:1024" ht="20.25" customHeight="1" thickBot="1">
      <c r="A16" s="56" t="s">
        <v>65</v>
      </c>
      <c r="B16" s="56"/>
      <c r="C16" s="56"/>
      <c r="D16" s="56"/>
      <c r="E16" s="56"/>
      <c r="F16" s="56"/>
      <c r="G16" s="56"/>
      <c r="H16" s="56"/>
      <c r="I16" s="56"/>
      <c r="J16" s="57">
        <f>SUMPRODUCT(J12:J15,K12:K15)</f>
        <v>3228000</v>
      </c>
      <c r="K16" s="57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</sheetData>
  <mergeCells count="26"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1:I1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tabSelected="1" topLeftCell="A7" zoomScale="130" zoomScaleNormal="130" workbookViewId="0">
      <selection activeCell="G7" sqref="G7:Q7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63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 thickBot="1">
      <c r="A1" s="58" t="s">
        <v>5</v>
      </c>
      <c r="B1" s="58"/>
      <c r="C1" s="58"/>
      <c r="D1" s="59">
        <f>'[1]Necesidades Trimestrales'!C6</f>
        <v>2021</v>
      </c>
      <c r="E1" s="59"/>
      <c r="F1" s="60"/>
      <c r="G1" s="60"/>
      <c r="H1" s="61"/>
      <c r="I1" s="61"/>
      <c r="J1" s="61"/>
      <c r="K1" s="61"/>
      <c r="L1" s="61"/>
      <c r="M1" s="61"/>
      <c r="N1" s="61"/>
      <c r="P1" s="62" t="s">
        <v>66</v>
      </c>
      <c r="Q1" s="62"/>
    </row>
    <row r="2" spans="1:17" ht="15.75" customHeight="1" thickBot="1">
      <c r="H2" s="61"/>
      <c r="I2" s="61"/>
      <c r="J2" s="61"/>
      <c r="K2" s="61"/>
      <c r="L2" s="61"/>
      <c r="M2" s="61"/>
      <c r="N2" s="61"/>
      <c r="P2" s="62"/>
      <c r="Q2" s="62"/>
    </row>
    <row r="4" spans="1:17" s="66" customFormat="1" ht="18" customHeight="1" thickBot="1">
      <c r="A4" s="64" t="s">
        <v>67</v>
      </c>
      <c r="B4" s="64"/>
      <c r="C4" s="64"/>
      <c r="D4" s="64"/>
      <c r="E4" s="64"/>
      <c r="F4" s="64"/>
      <c r="G4" s="65" t="str">
        <f>[1]NotaPedido!D3</f>
        <v>40 - Ministerio de Salud</v>
      </c>
      <c r="H4" s="65"/>
      <c r="I4" s="65"/>
      <c r="J4" s="65"/>
      <c r="K4" s="65"/>
      <c r="L4" s="65"/>
      <c r="M4" s="65"/>
      <c r="N4" s="65"/>
      <c r="O4" s="65"/>
      <c r="P4" s="65"/>
      <c r="Q4" s="65"/>
    </row>
    <row r="5" spans="1:17" s="66" customFormat="1" ht="18" customHeight="1" thickBot="1">
      <c r="A5" s="67" t="s">
        <v>49</v>
      </c>
      <c r="B5" s="68"/>
      <c r="C5" s="68"/>
      <c r="D5" s="68"/>
      <c r="E5" s="68"/>
      <c r="F5" s="69"/>
      <c r="G5" s="65" t="str">
        <f>[1]NotaPedido!D4</f>
        <v>23 - Hospital Interzonal San Juan Bautista</v>
      </c>
      <c r="H5" s="65"/>
      <c r="I5" s="65"/>
      <c r="J5" s="65"/>
      <c r="K5" s="65"/>
      <c r="L5" s="65"/>
      <c r="M5" s="65"/>
      <c r="N5" s="65"/>
      <c r="O5" s="65"/>
      <c r="P5" s="65"/>
      <c r="Q5" s="65"/>
    </row>
    <row r="6" spans="1:17" s="66" customFormat="1" ht="18" customHeight="1" thickBot="1">
      <c r="A6" s="67" t="s">
        <v>50</v>
      </c>
      <c r="B6" s="68"/>
      <c r="C6" s="68"/>
      <c r="D6" s="68"/>
      <c r="E6" s="68"/>
      <c r="F6" s="69"/>
      <c r="G6" s="65" t="s">
        <v>51</v>
      </c>
      <c r="H6" s="65"/>
      <c r="I6" s="65"/>
      <c r="J6" s="65"/>
      <c r="K6" s="65"/>
      <c r="L6" s="65"/>
      <c r="M6" s="65"/>
      <c r="N6" s="65"/>
      <c r="O6" s="65"/>
      <c r="P6" s="65"/>
      <c r="Q6" s="65"/>
    </row>
    <row r="7" spans="1:17" s="66" customFormat="1" ht="18" customHeight="1" thickBot="1">
      <c r="A7" s="67" t="s">
        <v>52</v>
      </c>
      <c r="B7" s="68"/>
      <c r="C7" s="68"/>
      <c r="D7" s="68"/>
      <c r="E7" s="68"/>
      <c r="F7" s="69"/>
      <c r="G7" s="65" t="s">
        <v>53</v>
      </c>
      <c r="H7" s="65"/>
      <c r="I7" s="65"/>
      <c r="J7" s="65"/>
      <c r="K7" s="65"/>
      <c r="L7" s="65"/>
      <c r="M7" s="65"/>
      <c r="N7" s="65"/>
      <c r="O7" s="65"/>
      <c r="P7" s="65"/>
      <c r="Q7" s="65"/>
    </row>
    <row r="8" spans="1:17" ht="18" customHeight="1" thickBot="1">
      <c r="A8" s="70" t="s">
        <v>68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</row>
    <row r="9" spans="1:17" ht="18" customHeight="1">
      <c r="A9" s="71" t="s">
        <v>69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2"/>
      <c r="P9" s="72"/>
      <c r="Q9" s="73"/>
    </row>
    <row r="10" spans="1:17" ht="54.75" customHeight="1">
      <c r="A10" s="74" t="str">
        <f>"Autorizo la realización de los  trámites correspondientes, a fin de proveer a  este Organismo los bienes y/o servicios que se detallan en Nota de Pedido N° " &amp; [1]NotaPedido!K1&amp;",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356 - 2020,  afectando la erogación resultante a los créditos presupuestarios aprobados a favor de esta Unidad Ejecutora, conforme al siguiente detalle: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</row>
    <row r="11" spans="1:17" ht="9" customHeight="1" thickBot="1">
      <c r="A11" s="75"/>
      <c r="B11" s="76"/>
      <c r="C11" s="76"/>
      <c r="D11" s="76"/>
      <c r="E11" s="76"/>
      <c r="F11" s="76"/>
      <c r="G11" s="77"/>
      <c r="H11" s="76"/>
      <c r="I11" s="76"/>
      <c r="J11" s="76"/>
      <c r="K11" s="76"/>
      <c r="L11" s="76"/>
      <c r="M11" s="76"/>
      <c r="N11" s="76"/>
      <c r="O11" s="76"/>
      <c r="P11" s="76"/>
      <c r="Q11" s="78"/>
    </row>
    <row r="12" spans="1:17" ht="15.75" customHeight="1" thickBot="1">
      <c r="A12" s="79" t="s">
        <v>70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7" ht="15.75" customHeight="1" thickBot="1">
      <c r="A13" s="80" t="s">
        <v>71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1" t="s">
        <v>72</v>
      </c>
      <c r="P13" s="81"/>
      <c r="Q13" s="82" t="s">
        <v>73</v>
      </c>
    </row>
    <row r="14" spans="1:17" ht="15.75" customHeight="1" thickBot="1">
      <c r="A14" s="83" t="s">
        <v>74</v>
      </c>
      <c r="B14" s="84" t="s">
        <v>75</v>
      </c>
      <c r="C14" s="84" t="s">
        <v>76</v>
      </c>
      <c r="D14" s="84" t="s">
        <v>77</v>
      </c>
      <c r="E14" s="84" t="s">
        <v>78</v>
      </c>
      <c r="F14" s="84" t="s">
        <v>79</v>
      </c>
      <c r="G14" s="85" t="s">
        <v>80</v>
      </c>
      <c r="H14" s="84" t="s">
        <v>81</v>
      </c>
      <c r="I14" s="84" t="s">
        <v>82</v>
      </c>
      <c r="J14" s="84" t="s">
        <v>83</v>
      </c>
      <c r="K14" s="84" t="s">
        <v>83</v>
      </c>
      <c r="L14" s="84" t="s">
        <v>84</v>
      </c>
      <c r="M14" s="86" t="s">
        <v>85</v>
      </c>
      <c r="N14" s="87" t="s">
        <v>86</v>
      </c>
      <c r="O14" s="81"/>
      <c r="P14" s="81"/>
      <c r="Q14" s="82"/>
    </row>
    <row r="15" spans="1:17" ht="17.25" customHeight="1">
      <c r="A15" s="88">
        <v>33</v>
      </c>
      <c r="B15" s="89"/>
      <c r="C15" s="89"/>
      <c r="D15" s="89">
        <v>3</v>
      </c>
      <c r="E15" s="89"/>
      <c r="F15" s="89">
        <v>4901</v>
      </c>
      <c r="G15" s="89">
        <v>3</v>
      </c>
      <c r="H15" s="90" t="s">
        <v>87</v>
      </c>
      <c r="I15" s="89">
        <v>2</v>
      </c>
      <c r="J15" s="89">
        <v>9</v>
      </c>
      <c r="K15" s="89">
        <v>5</v>
      </c>
      <c r="L15" s="89"/>
      <c r="M15" s="89">
        <v>1</v>
      </c>
      <c r="N15" s="90" t="s">
        <v>88</v>
      </c>
      <c r="O15" s="91" t="s">
        <v>89</v>
      </c>
      <c r="P15" s="92"/>
      <c r="Q15" s="93">
        <v>3228000</v>
      </c>
    </row>
    <row r="16" spans="1:17" ht="17.25" customHeight="1">
      <c r="A16" s="94"/>
      <c r="B16" s="95"/>
      <c r="C16" s="95"/>
      <c r="D16" s="95"/>
      <c r="E16" s="95"/>
      <c r="F16" s="95"/>
      <c r="G16" s="95"/>
      <c r="H16" s="96"/>
      <c r="I16" s="95"/>
      <c r="J16" s="95"/>
      <c r="K16" s="95"/>
      <c r="L16" s="95"/>
      <c r="M16" s="97"/>
      <c r="N16" s="90"/>
      <c r="O16" s="98"/>
      <c r="P16" s="98"/>
      <c r="Q16" s="99"/>
    </row>
    <row r="17" spans="1:19" ht="17.25" customHeight="1">
      <c r="A17" s="94"/>
      <c r="B17" s="95"/>
      <c r="C17" s="95"/>
      <c r="D17" s="95"/>
      <c r="E17" s="95"/>
      <c r="F17" s="89"/>
      <c r="G17" s="95"/>
      <c r="H17" s="96"/>
      <c r="I17" s="95"/>
      <c r="J17" s="95"/>
      <c r="K17" s="95"/>
      <c r="L17" s="95"/>
      <c r="M17" s="97"/>
      <c r="N17" s="90"/>
      <c r="O17" s="98"/>
      <c r="P17" s="98"/>
      <c r="Q17" s="99"/>
      <c r="S17" s="100"/>
    </row>
    <row r="18" spans="1:19" ht="17.25" customHeight="1">
      <c r="A18" s="94"/>
      <c r="B18" s="95"/>
      <c r="C18" s="95"/>
      <c r="D18" s="95"/>
      <c r="E18" s="95"/>
      <c r="F18" s="95"/>
      <c r="G18" s="95"/>
      <c r="H18" s="96"/>
      <c r="I18" s="95"/>
      <c r="J18" s="95"/>
      <c r="K18" s="95"/>
      <c r="L18" s="95"/>
      <c r="M18" s="97"/>
      <c r="N18" s="90"/>
      <c r="O18" s="91"/>
      <c r="P18" s="92"/>
      <c r="Q18" s="99"/>
    </row>
    <row r="19" spans="1:19" ht="17.25" customHeight="1">
      <c r="A19" s="94"/>
      <c r="B19" s="95"/>
      <c r="C19" s="95"/>
      <c r="D19" s="95"/>
      <c r="E19" s="95"/>
      <c r="F19" s="89"/>
      <c r="G19" s="95"/>
      <c r="H19" s="95"/>
      <c r="I19" s="95"/>
      <c r="J19" s="95"/>
      <c r="K19" s="95"/>
      <c r="L19" s="95"/>
      <c r="M19" s="97"/>
      <c r="N19" s="89"/>
      <c r="O19" s="92"/>
      <c r="P19" s="92"/>
      <c r="Q19" s="99"/>
    </row>
    <row r="20" spans="1:19" ht="17.25" customHeight="1">
      <c r="A20" s="94"/>
      <c r="B20" s="95"/>
      <c r="C20" s="95"/>
      <c r="D20" s="95"/>
      <c r="E20" s="95"/>
      <c r="F20" s="89"/>
      <c r="G20" s="95"/>
      <c r="H20" s="95"/>
      <c r="I20" s="95"/>
      <c r="J20" s="95"/>
      <c r="K20" s="95"/>
      <c r="L20" s="95"/>
      <c r="M20" s="97"/>
      <c r="N20" s="89"/>
      <c r="O20" s="92"/>
      <c r="P20" s="92"/>
      <c r="Q20" s="99"/>
    </row>
    <row r="21" spans="1:19" ht="17.25" customHeight="1">
      <c r="A21" s="101"/>
      <c r="B21" s="102"/>
      <c r="C21" s="102"/>
      <c r="D21" s="102"/>
      <c r="E21" s="102"/>
      <c r="F21" s="103"/>
      <c r="G21" s="102"/>
      <c r="H21" s="102"/>
      <c r="I21" s="102"/>
      <c r="J21" s="102"/>
      <c r="K21" s="102"/>
      <c r="L21" s="102"/>
      <c r="M21" s="104"/>
      <c r="N21" s="105"/>
      <c r="O21" s="106"/>
      <c r="P21" s="106"/>
      <c r="Q21" s="99"/>
      <c r="R21" s="72"/>
    </row>
    <row r="22" spans="1:19" ht="17.25" customHeight="1" thickBot="1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9"/>
      <c r="N22" s="108"/>
      <c r="O22" s="110"/>
      <c r="P22" s="110"/>
      <c r="Q22" s="111"/>
    </row>
    <row r="23" spans="1:19" ht="20.25" customHeight="1" thickBot="1">
      <c r="A23" s="112" t="s">
        <v>90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3">
        <f>SUM(Q15:Q22)</f>
        <v>3228000</v>
      </c>
    </row>
    <row r="24" spans="1:19" ht="18" customHeight="1" thickBot="1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</row>
    <row r="25" spans="1:19" ht="17.25" customHeight="1" thickBot="1">
      <c r="A25" s="115" t="s">
        <v>91</v>
      </c>
      <c r="B25" s="116"/>
      <c r="C25" s="116"/>
      <c r="D25" s="116"/>
      <c r="E25" s="116"/>
      <c r="F25" s="117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  <row r="26" spans="1:19" ht="18" customHeight="1" thickBot="1">
      <c r="A26" s="119" t="str">
        <f>"Para la "&amp; [1]NotaPedido!D8 &amp;" para ser destinados al " &amp; [1]NotaPedido!D6 &amp;"del HISJB del Ministerio de Salud."</f>
        <v>Para la Adquisición de Insumos para Neurocirugia para ser destinados al Direccion de Emergencias del HISJB del Ministerio de Salud.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</row>
    <row r="27" spans="1:19" ht="15" customHeight="1" thickBot="1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</row>
  </sheetData>
  <mergeCells count="31">
    <mergeCell ref="O22:P22"/>
    <mergeCell ref="A23:P23"/>
    <mergeCell ref="A24:Q24"/>
    <mergeCell ref="A25:F25"/>
    <mergeCell ref="G25:Q25"/>
    <mergeCell ref="A26:Q27"/>
    <mergeCell ref="O16:P16"/>
    <mergeCell ref="O17:P17"/>
    <mergeCell ref="O18:P18"/>
    <mergeCell ref="O19:P19"/>
    <mergeCell ref="O20:P20"/>
    <mergeCell ref="O21:P21"/>
    <mergeCell ref="A10:Q10"/>
    <mergeCell ref="A12:Q12"/>
    <mergeCell ref="A13:N13"/>
    <mergeCell ref="O13:P14"/>
    <mergeCell ref="Q13:Q14"/>
    <mergeCell ref="O15:P15"/>
    <mergeCell ref="A6:F6"/>
    <mergeCell ref="G6:Q6"/>
    <mergeCell ref="A7:F7"/>
    <mergeCell ref="G7:Q7"/>
    <mergeCell ref="A8:Q8"/>
    <mergeCell ref="A9:N9"/>
    <mergeCell ref="A1:C1"/>
    <mergeCell ref="D1:E1"/>
    <mergeCell ref="P1:Q2"/>
    <mergeCell ref="A4:F4"/>
    <mergeCell ref="G4:Q4"/>
    <mergeCell ref="A5:F5"/>
    <mergeCell ref="G5:Q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NEUROCIRUGIA NT</vt:lpstr>
      <vt:lpstr>NEUROCIRUGIA NPYE</vt:lpstr>
      <vt:lpstr>NEUROCIRUGIA APG</vt:lpstr>
      <vt:lpstr>'NEUROCIRUGIA APG'!Área_de_impresión</vt:lpstr>
      <vt:lpstr>'NEUROCIRUGIA NPYE'!Área_de_impresión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dcterms:created xsi:type="dcterms:W3CDTF">2021-02-08T13:20:16Z</dcterms:created>
  <dcterms:modified xsi:type="dcterms:W3CDTF">2021-02-08T13:20:50Z</dcterms:modified>
</cp:coreProperties>
</file>