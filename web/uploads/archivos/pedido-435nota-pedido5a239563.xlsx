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RGINIA GRIMA\Desktop\DESCARTABLES\DESIERTOS Y FRACASADOS\"/>
    </mc:Choice>
  </mc:AlternateContent>
  <xr:revisionPtr revIDLastSave="0" documentId="13_ncr:1_{9DEC91B3-2374-4F7D-AE78-8766DA5406F4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Trimestrales'!$A$9:$I$24</definedName>
  </definedNames>
  <calcPr calcId="181029"/>
</workbook>
</file>

<file path=xl/calcChain.xml><?xml version="1.0" encoding="utf-8"?>
<calcChain xmlns="http://schemas.openxmlformats.org/spreadsheetml/2006/main">
  <c r="Q10" i="1" l="1"/>
  <c r="K12" i="2" l="1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I14" i="1" l="1"/>
  <c r="J27" i="2" l="1"/>
  <c r="I24" i="1" l="1"/>
  <c r="I20" i="1"/>
  <c r="I23" i="1"/>
  <c r="I21" i="1"/>
  <c r="I22" i="1"/>
  <c r="I11" i="1" l="1"/>
  <c r="I10" i="1"/>
  <c r="I19" i="1"/>
  <c r="I16" i="1"/>
  <c r="I17" i="1"/>
  <c r="I12" i="1" l="1"/>
  <c r="I13" i="1"/>
  <c r="I15" i="1"/>
  <c r="I18" i="1"/>
  <c r="Q22" i="3" l="1"/>
  <c r="A10" i="3"/>
  <c r="G7" i="3"/>
  <c r="G6" i="3"/>
  <c r="D1" i="3"/>
  <c r="D4" i="2"/>
  <c r="G5" i="3" s="1"/>
  <c r="D3" i="2"/>
  <c r="G4" i="3" s="1"/>
</calcChain>
</file>

<file path=xl/sharedStrings.xml><?xml version="1.0" encoding="utf-8"?>
<sst xmlns="http://schemas.openxmlformats.org/spreadsheetml/2006/main" count="222" uniqueCount="112">
  <si>
    <t>Pedido de Necesidades Trimestrales</t>
  </si>
  <si>
    <t>JURISDICCION:</t>
  </si>
  <si>
    <t>040 - Ministerio de Salud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</si>
  <si>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</si>
  <si>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</si>
  <si>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</si>
  <si>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</si>
  <si>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</si>
  <si>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</si>
  <si>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</si>
  <si>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</si>
  <si>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</si>
  <si>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</si>
  <si>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</si>
  <si>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</si>
  <si>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COMPRIMIDO</t>
  </si>
  <si>
    <t>AMPOLLA</t>
  </si>
  <si>
    <t>ENVASE</t>
  </si>
  <si>
    <t>UNIDAD</t>
  </si>
  <si>
    <t>GOTERO</t>
  </si>
  <si>
    <t>CAJA</t>
  </si>
  <si>
    <r>
      <rPr>
        <u/>
        <sz val="11"/>
        <rFont val="Times New Roman"/>
        <family val="1"/>
      </rPr>
      <t>Calidad Minima</t>
    </r>
    <r>
      <rPr>
        <sz val="11"/>
        <rFont val="Times New Roman"/>
        <family val="1"/>
      </rPr>
      <t xml:space="preserve"> esperada:</t>
    </r>
  </si>
  <si>
    <r>
      <rPr>
        <u/>
        <sz val="10"/>
        <rFont val="Times New Roman"/>
        <family val="1"/>
      </rPr>
      <t>Mantenimiento</t>
    </r>
    <r>
      <rPr>
        <u/>
        <sz val="10"/>
        <rFont val="Times New Roman"/>
        <family val="1"/>
      </rPr>
      <t xml:space="preserve">: 45 dias habiles </t>
    </r>
  </si>
  <si>
    <t>NOTA DE PEDIDO</t>
  </si>
  <si>
    <t>N°</t>
  </si>
  <si>
    <t>xxx/2022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</si>
  <si>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</si>
  <si>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</si>
  <si>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</si>
  <si>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</si>
  <si>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</si>
  <si>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</si>
  <si>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</si>
  <si>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</si>
  <si>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</si>
  <si>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</si>
  <si>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</si>
  <si>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</si>
  <si>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</si>
  <si>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</si>
  <si>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AUTORIZACION PARA GASTAR</t>
  </si>
  <si>
    <t>JURISDICCIÓN:</t>
  </si>
  <si>
    <r>
      <rPr>
        <b/>
        <u/>
        <sz val="10"/>
        <rFont val="Arial"/>
        <family val="2"/>
      </rPr>
      <t>AUTORIZACIÓN</t>
    </r>
    <r>
      <rPr>
        <b/>
        <u/>
        <sz val="10"/>
        <rFont val="Arial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</si>
  <si>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</si>
  <si>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</si>
  <si>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</si>
  <si>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</si>
  <si>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</si>
  <si>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</si>
  <si>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</si>
  <si>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</si>
  <si>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</si>
  <si>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</si>
  <si>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</si>
  <si>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</si>
  <si>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</si>
  <si>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</si>
  <si>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</si>
  <si>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</si>
  <si>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</si>
  <si>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</si>
  <si>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</si>
  <si>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</si>
  <si>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>PROD. MEDICO/FARMACEUTICOS/LAB</t>
  </si>
  <si>
    <t>2.5.2-1821.5</t>
  </si>
  <si>
    <t>2.5.2-1821.458</t>
  </si>
  <si>
    <t>2.5.2-1725.68</t>
  </si>
  <si>
    <t>2.5.2-1724.29</t>
  </si>
  <si>
    <t>2.5.2-1724.154</t>
  </si>
  <si>
    <t>ANTIBIOTICOS P/PERSONAS; TIPO: MONODROGA, DROGA GENERICA: AMPICILINA, FORMA FARMACEUTICA: COMPRIMIDOS, PRESENTACION: 500 mGr</t>
  </si>
  <si>
    <t>ANALGESICOS ; TIPO: MONODROGA, DROGA GENERICA: TRAMADOL 50 mGr, FORMA FARMACEUTICA: AMPOLLA, PRESENTACION: UNIDAD</t>
  </si>
  <si>
    <t>ANTIBIOTICOS P/PERSONAS; TIPO: MONODROGA, DROGA GENERICA: DOXICICLINA 100 mGr, FORMA FARMACEUTICA: COMPRIMIDO, PRESENTACION: UNIDAD</t>
  </si>
  <si>
    <t>ANTIINFLAMATORIOS NO ESTEROIDE; TIPO: MONODROGA, DROGA GENERICA: IBUPROFENO, FORMA FARMACEUTICA: COMPRIMIDO, PRESENTACION: 400 mGr</t>
  </si>
  <si>
    <t>ANALGESICOS ; TIPO: MONODROGA, DROGA GENERICA: PARACETAMOL, FORMA FARMACEUTICA: GOTAS, PRESENTACION: 20 mL</t>
  </si>
  <si>
    <t>SI</t>
  </si>
  <si>
    <t>Productos Farmacéuticos y Medicinales</t>
  </si>
  <si>
    <t>2.5.2-1851.29</t>
  </si>
  <si>
    <t>GENITOURINARIO; TIPO: MONODROGA, DROGA GENÉRICA: NISTATINA, FORMA FARMACEÚTICA: COMPRIMIDO VAGINAL, PRESENTACIÓN: 100000 UI</t>
  </si>
  <si>
    <t>2.5.2-1855.23</t>
  </si>
  <si>
    <t>CORTICOESTEROIDES; TIPO: MONODROGA, DROGA GENERICA: BETAMETASONA, FORMA FARMACEUTICA: CREMA, PRESENTACION: 15 GR</t>
  </si>
  <si>
    <t>2.5.2-1895.8</t>
  </si>
  <si>
    <t>HORMONAS MEDICINALES; TIPO: MONODROGA, DROGA GENERICA: GONADOTROFINA CORIONICA, FORMA FARMACEUTICA: AMPOLLA, PRESENTACION: 5000 UI, USO: SEXUAL</t>
  </si>
  <si>
    <t>2.9.5-467.103</t>
  </si>
  <si>
    <t>MASCARAS; TIPO: HALO CEFALICO MEDIANO (200 MM X 180 MM), MATERIAL: ACRILICO, USO: CONCENTRACION DE OXIGENO PEDIATRICO</t>
  </si>
  <si>
    <t>2.9.5-467.104</t>
  </si>
  <si>
    <t>MASCARAS; TIPO: HALO CEFALICO GRANDE (230 MM X 200 MM), MATERIAL: ACRILICO, USO: CONCENTRACION DE OXIGENO PEDIATRICO</t>
  </si>
  <si>
    <t>2.9.5-467.108</t>
  </si>
  <si>
    <t>MASCARAS; TIPO: ORONASAL- TAMAÑO M , MATERIAL: SILICONA, USO: P/VNI ADULTO CON VALVULA ANTIAFIXIA</t>
  </si>
  <si>
    <t>2.9.5-467.112</t>
  </si>
  <si>
    <t>MASCARAS ;TIPO TOTAL FACE -TAMANO X GRANDE , MATERIAL : SILICONA, USO : P/VNI ADULTO</t>
  </si>
  <si>
    <t>2.9.5-6509.36</t>
  </si>
  <si>
    <t>SET DE TUBULADURA; USO: RESPIRADOR, PRESENTACION: UNIDAD, TIPO: C-PAP BURBUJAS P/INFANTE</t>
  </si>
  <si>
    <t>2.9.5-2366.2</t>
  </si>
  <si>
    <t>HISOPOS; MATERIAL DE EXTREMOS: ALGODON, PRESENTACION: CAJA X 100</t>
  </si>
  <si>
    <t>2.5.2-1865.2</t>
  </si>
  <si>
    <r>
      <rPr>
        <sz val="10"/>
        <rFont val="Arial"/>
        <family val="2"/>
      </rPr>
      <t>ANTIEPILEPTICOS;</t>
    </r>
    <r>
      <rPr>
        <sz val="10"/>
        <color rgb="FF000000"/>
        <rFont val="Arial"/>
        <family val="2"/>
      </rPr>
      <t xml:space="preserve"> TIPO: MONODROGA, FORMA FARMACEUTICA: AMPOLLA, PRESENTACION: 200 mGr, DROGA GENERICA: FENOBARBITAL</t>
    </r>
  </si>
  <si>
    <t>Utiles Menores Medico, Quirurgico y de Laboratorio</t>
  </si>
  <si>
    <t>3 meses</t>
  </si>
  <si>
    <t>Adquisición de Medicamentos y Descartables Desiertos y Fracasados</t>
  </si>
  <si>
    <t>28- Maternidad Provincial 25 de Mayo</t>
  </si>
  <si>
    <t>Especificidades: ITEMS 11: TIPO PERFOMAX CUBRE BOCA, NARIZ, OJOS</t>
  </si>
  <si>
    <r>
      <rPr>
        <u/>
        <sz val="10"/>
        <rFont val="Times New Roman"/>
        <family val="1"/>
      </rPr>
      <t xml:space="preserve">Lugar de Entrega:  </t>
    </r>
    <r>
      <rPr>
        <sz val="10"/>
        <rFont val="Times New Roman"/>
        <family val="1"/>
      </rPr>
      <t>SERVICIO DE FARMACIA-MATERNIDAD PROVINCIAL 25 DE MAYO. HERNANDO DE PEDRAZA N° 1.650  DE 07:00 A 12:00HS., DEBIENDO CORRER LOS GASTOS DE FLETES, ACARREO, CARGA, DESCARGA Y SEGURO A CARGO DEL ADJUDICATARIO.</t>
    </r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</si>
  <si>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 10 DIAS HABILES </t>
    </r>
  </si>
  <si>
    <t>Especificidades: ITEMS 12 y 13: TIPO MEDIX con tapa</t>
  </si>
  <si>
    <t xml:space="preserve">169- Direccion Asistencial </t>
  </si>
  <si>
    <t xml:space="preserve">Servicio de Farmacia  </t>
  </si>
  <si>
    <t xml:space="preserve">Para la adquisición de Medicamentos y Descartables Desiertos y Fracasados destinados al servico de farmacia del Hospital Maternidad Provincial 25 de Mayo </t>
  </si>
  <si>
    <t>Especificidades: ITEMS 15: SISTEMA CPAP BURBUJAS -PARA LACTANTES, INCLUYE  CIRCUITO RESPIRATORIO INSPIRATORIO CALENTADO CON CAMARA DE AUTOLLENADO, TUBULADURA DE PRESION &amp; GENERADOR DE CPAP DE BURBUJAS( SE CONECTA A LA INTERFAZ DE LA BARRA EN T) PTE. DE 1000 A 1500 G.. TIPO FISHER &amp; PAYKEL BC 151</t>
  </si>
  <si>
    <t>Costo total estimado: UN MILLON SETECIENTOS CINCUENTA Y TRES MIL QUINIENTOS VEINTIUNO con 08/100.</t>
  </si>
  <si>
    <t>TOTAL DE PESOS:  UN MILLON SETECIENTOS CINCUENTA Y TRES MIL QUINIENTOS VEINTIUNO con 08/100.</t>
  </si>
  <si>
    <t>Especificidades: ITEMS 20: TIPO PERFOMAX CUBRE BOCA, NARIZ, OJOS</t>
  </si>
  <si>
    <t>Especificidades: ITEMS 21 y 22: TIPO MEDIX con tapa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</si>
</sst>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\ * #,##0.00_-;\-&quot;$&quot;\ * #,##0.00_-;_-&quot;$&quot;\ * &quot;-&quot;??_-;_-@_-"/>
    <numFmt numFmtId="164" formatCode="_(&quot;$&quot;* #,##0.00_);_(&quot;$&quot;* \(#,##0.00\);_(&quot;$&quot;* &quot;-&quot;??_);_(@_)"/>
    <numFmt numFmtId="165" formatCode="_-&quot;$&quot;* #,##0.00_-;\-&quot;$&quot;* #,##0.00_-;_-&quot;$&quot;* &quot;-&quot;??_-;_-@"/>
    <numFmt numFmtId="166" formatCode="_-&quot;$&quot;\ * #,##0.00_-;\-&quot;$&quot;\ * #,##0.00_-;_-&quot;$&quot;\ * &quot;-&quot;??_-;_-@"/>
    <numFmt numFmtId="167" formatCode="[$$-2C0A]\ #,##0.00;[$$-2C0A]&quot; -&quot;#,##0.00"/>
    <numFmt numFmtId="168" formatCode="[$$-2C0A]\ #,##0.00"/>
    <numFmt numFmtId="169" formatCode="dd\-mm\-yy"/>
    <numFmt numFmtId="170" formatCode="_-&quot;$&quot;* #,##0.00_-;\-&quot;$&quot;* #,##0.00_-;_-&quot;$&quot;* &quot;-&quot;??_-;_-@_-"/>
  </numFmts>
  <fonts count="33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22"/>
      <name val="Times New Roman"/>
      <family val="1"/>
    </font>
    <font>
      <sz val="10"/>
      <name val="Arial"/>
      <family val="2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color rgb="FF000000"/>
      <name val="Arial"/>
      <family val="2"/>
    </font>
    <font>
      <sz val="10"/>
      <name val="Arial"/>
      <family val="2"/>
    </font>
    <font>
      <sz val="11"/>
      <name val="Times New Roman"/>
      <family val="1"/>
    </font>
    <font>
      <u/>
      <sz val="10"/>
      <name val="Times New Roman"/>
      <family val="1"/>
    </font>
    <font>
      <b/>
      <u/>
      <sz val="12"/>
      <name val="Times New Roman"/>
      <family val="1"/>
    </font>
    <font>
      <b/>
      <u/>
      <sz val="12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b/>
      <u/>
      <sz val="12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b/>
      <sz val="11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u/>
      <sz val="11"/>
      <name val="Times New Roman"/>
      <family val="1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8"/>
      <color rgb="FF000000"/>
      <name val="Arial"/>
      <family val="2"/>
    </font>
    <font>
      <sz val="10"/>
      <color rgb="FF000000"/>
      <name val="Arial"/>
    </font>
    <font>
      <b/>
      <sz val="12"/>
      <color theme="1"/>
      <name val="Times New Roman"/>
      <family val="1"/>
    </font>
    <font>
      <b/>
      <sz val="12"/>
      <name val="Times New Roman"/>
      <family val="1"/>
      <charset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C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6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/>
      <right/>
      <top style="medium">
        <color rgb="FF3D3D3D"/>
      </top>
      <bottom/>
      <diagonal/>
    </border>
    <border>
      <left/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/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/>
      <right/>
      <top/>
      <bottom style="medium">
        <color rgb="FF3D3D3D"/>
      </bottom>
      <diagonal/>
    </border>
    <border>
      <left/>
      <right/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/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3D3D3D"/>
      </right>
      <top/>
      <bottom style="thin">
        <color rgb="FF3D3D3D"/>
      </bottom>
      <diagonal/>
    </border>
    <border>
      <left/>
      <right style="medium">
        <color rgb="FF3D3D3D"/>
      </right>
      <top style="thin">
        <color rgb="FF3D3D3D"/>
      </top>
      <bottom style="thin">
        <color rgb="FF3D3D3D"/>
      </bottom>
      <diagonal/>
    </border>
  </borders>
  <cellStyleXfs count="6">
    <xf numFmtId="0" fontId="0" fillId="0" borderId="0"/>
    <xf numFmtId="0" fontId="2" fillId="0" borderId="6"/>
    <xf numFmtId="164" fontId="30" fillId="0" borderId="0" applyFont="0" applyFill="0" applyBorder="0" applyAlignment="0" applyProtection="0"/>
    <xf numFmtId="0" fontId="5" fillId="0" borderId="6"/>
    <xf numFmtId="0" fontId="1" fillId="0" borderId="6"/>
    <xf numFmtId="0" fontId="27" fillId="0" borderId="6"/>
  </cellStyleXfs>
  <cellXfs count="227">
    <xf numFmtId="0" fontId="0" fillId="0" borderId="0" xfId="0"/>
    <xf numFmtId="0" fontId="3" fillId="0" borderId="1" xfId="0" applyFont="1" applyBorder="1"/>
    <xf numFmtId="165" fontId="3" fillId="0" borderId="1" xfId="0" applyNumberFormat="1" applyFont="1" applyBorder="1"/>
    <xf numFmtId="0" fontId="8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center" wrapText="1"/>
    </xf>
    <xf numFmtId="0" fontId="15" fillId="0" borderId="7" xfId="0" applyFont="1" applyBorder="1" applyAlignment="1">
      <alignment horizontal="right" vertical="center"/>
    </xf>
    <xf numFmtId="0" fontId="17" fillId="0" borderId="9" xfId="0" applyFont="1" applyBorder="1" applyAlignment="1">
      <alignment vertical="center"/>
    </xf>
    <xf numFmtId="0" fontId="18" fillId="0" borderId="1" xfId="0" applyFont="1" applyBorder="1" applyAlignment="1">
      <alignment vertical="center"/>
    </xf>
    <xf numFmtId="0" fontId="19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 wrapText="1"/>
    </xf>
    <xf numFmtId="3" fontId="21" fillId="0" borderId="0" xfId="0" applyNumberFormat="1" applyFont="1"/>
    <xf numFmtId="169" fontId="11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27" xfId="0" applyFont="1" applyBorder="1"/>
    <xf numFmtId="0" fontId="11" fillId="0" borderId="23" xfId="0" applyFont="1" applyBorder="1"/>
    <xf numFmtId="0" fontId="11" fillId="0" borderId="30" xfId="0" applyFont="1" applyBorder="1"/>
    <xf numFmtId="0" fontId="11" fillId="0" borderId="30" xfId="0" applyFont="1" applyBorder="1" applyAlignment="1">
      <alignment horizontal="left"/>
    </xf>
    <xf numFmtId="0" fontId="11" fillId="0" borderId="24" xfId="0" applyFont="1" applyBorder="1"/>
    <xf numFmtId="0" fontId="25" fillId="0" borderId="32" xfId="0" applyFont="1" applyBorder="1" applyAlignment="1">
      <alignment horizontal="center" vertical="center"/>
    </xf>
    <xf numFmtId="0" fontId="25" fillId="0" borderId="33" xfId="0" applyFont="1" applyBorder="1" applyAlignment="1">
      <alignment horizontal="center" vertical="center"/>
    </xf>
    <xf numFmtId="0" fontId="25" fillId="0" borderId="33" xfId="0" applyFont="1" applyBorder="1" applyAlignment="1">
      <alignment horizontal="left" vertical="center"/>
    </xf>
    <xf numFmtId="0" fontId="25" fillId="0" borderId="34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167" fontId="11" fillId="0" borderId="41" xfId="0" applyNumberFormat="1" applyFont="1" applyBorder="1" applyAlignment="1">
      <alignment horizontal="center" vertical="center"/>
    </xf>
    <xf numFmtId="0" fontId="23" fillId="0" borderId="35" xfId="0" applyFont="1" applyBorder="1" applyAlignment="1">
      <alignment horizontal="center" vertical="center"/>
    </xf>
    <xf numFmtId="0" fontId="23" fillId="0" borderId="36" xfId="0" applyFont="1" applyBorder="1" applyAlignment="1">
      <alignment horizontal="center" vertical="center"/>
    </xf>
    <xf numFmtId="0" fontId="23" fillId="0" borderId="37" xfId="0" applyFont="1" applyBorder="1" applyAlignment="1">
      <alignment horizontal="center" vertical="center"/>
    </xf>
    <xf numFmtId="0" fontId="23" fillId="0" borderId="38" xfId="0" applyFont="1" applyBorder="1" applyAlignment="1">
      <alignment horizontal="center" vertical="center"/>
    </xf>
    <xf numFmtId="0" fontId="11" fillId="0" borderId="42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11" fillId="0" borderId="44" xfId="0" applyFont="1" applyBorder="1" applyAlignment="1">
      <alignment horizontal="center" vertical="center"/>
    </xf>
    <xf numFmtId="167" fontId="11" fillId="0" borderId="46" xfId="0" applyNumberFormat="1" applyFont="1" applyBorder="1" applyAlignment="1">
      <alignment horizontal="center" vertical="center"/>
    </xf>
    <xf numFmtId="0" fontId="3" fillId="0" borderId="6" xfId="0" applyFont="1" applyBorder="1"/>
    <xf numFmtId="0" fontId="8" fillId="0" borderId="6" xfId="0" applyFont="1" applyBorder="1" applyAlignment="1">
      <alignment horizontal="left" wrapText="1"/>
    </xf>
    <xf numFmtId="0" fontId="3" fillId="0" borderId="6" xfId="0" applyFont="1" applyBorder="1" applyAlignment="1">
      <alignment horizontal="left" wrapText="1"/>
    </xf>
    <xf numFmtId="0" fontId="3" fillId="0" borderId="6" xfId="0" applyFont="1" applyBorder="1" applyAlignment="1">
      <alignment horizontal="center" wrapText="1"/>
    </xf>
    <xf numFmtId="0" fontId="10" fillId="0" borderId="53" xfId="0" applyFont="1" applyBorder="1" applyAlignment="1">
      <alignment horizontal="center" vertical="center" wrapText="1"/>
    </xf>
    <xf numFmtId="165" fontId="10" fillId="0" borderId="53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wrapText="1"/>
    </xf>
    <xf numFmtId="0" fontId="3" fillId="0" borderId="6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7" xfId="0" applyFont="1" applyBorder="1" applyAlignment="1">
      <alignment horizontal="left" vertical="center" wrapText="1"/>
    </xf>
    <xf numFmtId="0" fontId="3" fillId="0" borderId="58" xfId="0" applyFont="1" applyBorder="1" applyAlignment="1">
      <alignment horizontal="left" wrapText="1"/>
    </xf>
    <xf numFmtId="0" fontId="12" fillId="0" borderId="57" xfId="0" applyFont="1" applyBorder="1" applyAlignment="1">
      <alignment horizontal="center" vertical="center" wrapText="1"/>
    </xf>
    <xf numFmtId="0" fontId="3" fillId="0" borderId="58" xfId="0" applyFont="1" applyBorder="1" applyAlignment="1">
      <alignment horizontal="center" wrapText="1"/>
    </xf>
    <xf numFmtId="0" fontId="13" fillId="0" borderId="59" xfId="0" applyFont="1" applyBorder="1" applyAlignment="1">
      <alignment vertical="center"/>
    </xf>
    <xf numFmtId="0" fontId="3" fillId="0" borderId="60" xfId="0" applyFont="1" applyBorder="1" applyAlignment="1">
      <alignment vertical="center"/>
    </xf>
    <xf numFmtId="0" fontId="3" fillId="0" borderId="60" xfId="0" applyFont="1" applyBorder="1"/>
    <xf numFmtId="0" fontId="3" fillId="0" borderId="61" xfId="0" applyFont="1" applyBorder="1"/>
    <xf numFmtId="0" fontId="3" fillId="0" borderId="62" xfId="0" applyFont="1" applyBorder="1" applyAlignment="1">
      <alignment horizontal="center" vertical="center"/>
    </xf>
    <xf numFmtId="0" fontId="3" fillId="0" borderId="62" xfId="0" applyFont="1" applyBorder="1" applyAlignment="1">
      <alignment horizontal="left" vertical="center"/>
    </xf>
    <xf numFmtId="0" fontId="3" fillId="0" borderId="62" xfId="0" applyFont="1" applyBorder="1" applyAlignment="1">
      <alignment horizontal="center" vertical="center" wrapText="1"/>
    </xf>
    <xf numFmtId="167" fontId="3" fillId="0" borderId="62" xfId="0" applyNumberFormat="1" applyFont="1" applyBorder="1" applyAlignment="1">
      <alignment horizontal="right" vertical="center" wrapText="1"/>
    </xf>
    <xf numFmtId="3" fontId="3" fillId="0" borderId="62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0" fontId="29" fillId="0" borderId="6" xfId="0" applyFont="1" applyBorder="1" applyAlignment="1">
      <alignment vertical="center"/>
    </xf>
    <xf numFmtId="0" fontId="0" fillId="0" borderId="6" xfId="0" applyBorder="1" applyAlignment="1">
      <alignment horizontal="center" vertical="center" wrapText="1"/>
    </xf>
    <xf numFmtId="0" fontId="27" fillId="0" borderId="6" xfId="0" applyFont="1" applyBorder="1" applyAlignment="1">
      <alignment horizontal="left" vertical="center" wrapText="1"/>
    </xf>
    <xf numFmtId="3" fontId="11" fillId="0" borderId="6" xfId="0" applyNumberFormat="1" applyFont="1" applyBorder="1" applyAlignment="1">
      <alignment horizontal="center" vertical="center"/>
    </xf>
    <xf numFmtId="166" fontId="11" fillId="0" borderId="6" xfId="0" applyNumberFormat="1" applyFont="1" applyBorder="1" applyAlignment="1">
      <alignment horizontal="right" vertical="center"/>
    </xf>
    <xf numFmtId="165" fontId="11" fillId="0" borderId="6" xfId="0" applyNumberFormat="1" applyFont="1" applyBorder="1" applyAlignment="1">
      <alignment horizontal="right" vertical="center" wrapText="1"/>
    </xf>
    <xf numFmtId="44" fontId="5" fillId="2" borderId="63" xfId="2" applyNumberFormat="1" applyFont="1" applyFill="1" applyBorder="1" applyAlignment="1">
      <alignment horizontal="center" vertical="center"/>
    </xf>
    <xf numFmtId="0" fontId="27" fillId="0" borderId="63" xfId="0" applyFont="1" applyBorder="1" applyAlignment="1">
      <alignment horizontal="center" vertical="center" wrapText="1"/>
    </xf>
    <xf numFmtId="0" fontId="5" fillId="2" borderId="63" xfId="0" applyFont="1" applyFill="1" applyBorder="1" applyAlignment="1">
      <alignment horizontal="center" vertical="center"/>
    </xf>
    <xf numFmtId="0" fontId="27" fillId="2" borderId="63" xfId="0" applyFont="1" applyFill="1" applyBorder="1" applyAlignment="1">
      <alignment horizontal="center" vertical="center" wrapText="1"/>
    </xf>
    <xf numFmtId="3" fontId="5" fillId="2" borderId="63" xfId="0" applyNumberFormat="1" applyFont="1" applyFill="1" applyBorder="1" applyAlignment="1">
      <alignment horizontal="center" vertical="center"/>
    </xf>
    <xf numFmtId="44" fontId="28" fillId="2" borderId="63" xfId="4" applyNumberFormat="1" applyFont="1" applyFill="1" applyBorder="1" applyAlignment="1">
      <alignment horizontal="left" vertical="center"/>
    </xf>
    <xf numFmtId="166" fontId="11" fillId="0" borderId="63" xfId="0" applyNumberFormat="1" applyFont="1" applyBorder="1" applyAlignment="1">
      <alignment horizontal="center" vertical="center"/>
    </xf>
    <xf numFmtId="0" fontId="0" fillId="2" borderId="63" xfId="0" applyFill="1" applyBorder="1" applyAlignment="1">
      <alignment horizontal="center" vertical="center" wrapText="1"/>
    </xf>
    <xf numFmtId="166" fontId="11" fillId="2" borderId="63" xfId="0" applyNumberFormat="1" applyFont="1" applyFill="1" applyBorder="1" applyAlignment="1">
      <alignment horizontal="center" vertical="center"/>
    </xf>
    <xf numFmtId="0" fontId="5" fillId="0" borderId="63" xfId="0" applyFont="1" applyBorder="1" applyAlignment="1">
      <alignment horizontal="left" vertical="center" wrapText="1"/>
    </xf>
    <xf numFmtId="0" fontId="11" fillId="2" borderId="63" xfId="0" applyFont="1" applyFill="1" applyBorder="1" applyAlignment="1">
      <alignment horizontal="center" vertical="center"/>
    </xf>
    <xf numFmtId="0" fontId="5" fillId="0" borderId="63" xfId="0" applyFont="1" applyBorder="1" applyAlignment="1">
      <alignment horizontal="center" vertical="center" wrapText="1"/>
    </xf>
    <xf numFmtId="44" fontId="5" fillId="0" borderId="63" xfId="2" applyNumberFormat="1" applyFont="1" applyFill="1" applyBorder="1" applyAlignment="1">
      <alignment horizontal="center" vertical="center" wrapText="1"/>
    </xf>
    <xf numFmtId="0" fontId="5" fillId="2" borderId="63" xfId="0" applyFont="1" applyFill="1" applyBorder="1" applyAlignment="1">
      <alignment horizontal="left" vertical="center"/>
    </xf>
    <xf numFmtId="0" fontId="27" fillId="2" borderId="63" xfId="0" applyFont="1" applyFill="1" applyBorder="1" applyAlignment="1">
      <alignment horizontal="left" vertical="center"/>
    </xf>
    <xf numFmtId="0" fontId="5" fillId="2" borderId="63" xfId="0" applyFont="1" applyFill="1" applyBorder="1" applyAlignment="1">
      <alignment horizontal="left" vertical="center" wrapText="1"/>
    </xf>
    <xf numFmtId="0" fontId="27" fillId="2" borderId="63" xfId="0" applyFont="1" applyFill="1" applyBorder="1" applyAlignment="1">
      <alignment vertical="center" wrapText="1"/>
    </xf>
    <xf numFmtId="0" fontId="0" fillId="0" borderId="63" xfId="0" applyBorder="1" applyAlignment="1">
      <alignment horizontal="left" vertical="center" wrapText="1"/>
    </xf>
    <xf numFmtId="0" fontId="28" fillId="4" borderId="63" xfId="0" applyFont="1" applyFill="1" applyBorder="1" applyAlignment="1">
      <alignment horizontal="center" vertical="center"/>
    </xf>
    <xf numFmtId="0" fontId="28" fillId="0" borderId="63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0" fontId="27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3" fontId="5" fillId="2" borderId="6" xfId="0" applyNumberFormat="1" applyFont="1" applyFill="1" applyBorder="1" applyAlignment="1">
      <alignment horizontal="center" vertical="center"/>
    </xf>
    <xf numFmtId="44" fontId="5" fillId="0" borderId="6" xfId="2" applyNumberFormat="1" applyFont="1" applyFill="1" applyBorder="1" applyAlignment="1">
      <alignment horizontal="center" vertical="center" wrapText="1"/>
    </xf>
    <xf numFmtId="170" fontId="5" fillId="0" borderId="6" xfId="2" applyNumberFormat="1" applyFont="1" applyFill="1" applyBorder="1" applyAlignment="1" applyProtection="1">
      <alignment horizontal="center" vertical="center" wrapText="1"/>
    </xf>
    <xf numFmtId="0" fontId="5" fillId="0" borderId="6" xfId="0" applyFont="1" applyFill="1" applyBorder="1" applyAlignment="1">
      <alignment horizontal="left" vertical="center" wrapText="1"/>
    </xf>
    <xf numFmtId="0" fontId="27" fillId="0" borderId="63" xfId="0" applyFont="1" applyFill="1" applyBorder="1" applyAlignment="1">
      <alignment horizontal="left" vertical="center" wrapText="1"/>
    </xf>
    <xf numFmtId="0" fontId="5" fillId="0" borderId="63" xfId="0" applyFont="1" applyFill="1" applyBorder="1" applyAlignment="1">
      <alignment horizontal="left" vertical="center" wrapText="1"/>
    </xf>
    <xf numFmtId="165" fontId="11" fillId="2" borderId="63" xfId="0" applyNumberFormat="1" applyFont="1" applyFill="1" applyBorder="1" applyAlignment="1">
      <alignment horizontal="left" vertical="center"/>
    </xf>
    <xf numFmtId="170" fontId="5" fillId="3" borderId="63" xfId="2" applyNumberFormat="1" applyFont="1" applyFill="1" applyBorder="1" applyAlignment="1" applyProtection="1">
      <alignment horizontal="left" vertical="center"/>
    </xf>
    <xf numFmtId="165" fontId="11" fillId="0" borderId="63" xfId="0" applyNumberFormat="1" applyFont="1" applyBorder="1" applyAlignment="1">
      <alignment horizontal="left" vertical="center"/>
    </xf>
    <xf numFmtId="170" fontId="5" fillId="0" borderId="63" xfId="2" applyNumberFormat="1" applyFont="1" applyFill="1" applyBorder="1" applyAlignment="1" applyProtection="1">
      <alignment horizontal="left" vertical="center"/>
    </xf>
    <xf numFmtId="0" fontId="25" fillId="0" borderId="5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wrapText="1"/>
    </xf>
    <xf numFmtId="0" fontId="9" fillId="2" borderId="6" xfId="0" applyFont="1" applyFill="1" applyBorder="1" applyAlignment="1">
      <alignment horizontal="left" wrapText="1"/>
    </xf>
    <xf numFmtId="0" fontId="7" fillId="3" borderId="1" xfId="0" applyFont="1" applyFill="1" applyBorder="1" applyAlignment="1">
      <alignment horizontal="left" vertical="center" wrapText="1"/>
    </xf>
    <xf numFmtId="0" fontId="11" fillId="2" borderId="35" xfId="0" applyFont="1" applyFill="1" applyBorder="1" applyAlignment="1">
      <alignment horizontal="center" vertical="center"/>
    </xf>
    <xf numFmtId="0" fontId="11" fillId="2" borderId="36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2" borderId="37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/>
    </xf>
    <xf numFmtId="167" fontId="11" fillId="2" borderId="65" xfId="0" applyNumberFormat="1" applyFont="1" applyFill="1" applyBorder="1" applyAlignment="1">
      <alignment horizontal="center" vertical="center"/>
    </xf>
    <xf numFmtId="167" fontId="25" fillId="3" borderId="50" xfId="0" applyNumberFormat="1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center" vertical="center"/>
    </xf>
    <xf numFmtId="0" fontId="0" fillId="0" borderId="0" xfId="0"/>
    <xf numFmtId="0" fontId="27" fillId="0" borderId="63" xfId="0" applyFont="1" applyBorder="1" applyAlignment="1">
      <alignment horizontal="left" vertical="center" wrapText="1"/>
    </xf>
    <xf numFmtId="166" fontId="5" fillId="2" borderId="63" xfId="0" applyNumberFormat="1" applyFont="1" applyFill="1" applyBorder="1" applyAlignment="1">
      <alignment horizontal="center" vertical="center"/>
    </xf>
    <xf numFmtId="165" fontId="5" fillId="2" borderId="63" xfId="0" applyNumberFormat="1" applyFont="1" applyFill="1" applyBorder="1" applyAlignment="1">
      <alignment horizontal="left" vertical="center"/>
    </xf>
    <xf numFmtId="166" fontId="5" fillId="0" borderId="63" xfId="0" applyNumberFormat="1" applyFont="1" applyBorder="1" applyAlignment="1">
      <alignment horizontal="center" vertical="center"/>
    </xf>
    <xf numFmtId="0" fontId="5" fillId="5" borderId="63" xfId="0" applyFont="1" applyFill="1" applyBorder="1" applyAlignment="1">
      <alignment horizontal="left" vertical="center" wrapText="1"/>
    </xf>
    <xf numFmtId="0" fontId="28" fillId="0" borderId="63" xfId="0" applyFont="1" applyBorder="1" applyAlignment="1">
      <alignment horizontal="left" vertical="center" wrapText="1"/>
    </xf>
    <xf numFmtId="0" fontId="5" fillId="6" borderId="63" xfId="0" applyFont="1" applyFill="1" applyBorder="1" applyAlignment="1">
      <alignment horizontal="left" vertical="center" wrapText="1"/>
    </xf>
    <xf numFmtId="0" fontId="27" fillId="6" borderId="63" xfId="0" applyFont="1" applyFill="1" applyBorder="1" applyAlignment="1">
      <alignment horizontal="center" vertical="center" wrapText="1"/>
    </xf>
    <xf numFmtId="0" fontId="28" fillId="6" borderId="63" xfId="0" applyFont="1" applyFill="1" applyBorder="1" applyAlignment="1">
      <alignment horizontal="left" vertical="center" wrapText="1"/>
    </xf>
    <xf numFmtId="0" fontId="5" fillId="6" borderId="63" xfId="0" applyFont="1" applyFill="1" applyBorder="1" applyAlignment="1">
      <alignment horizontal="center" vertical="center" wrapText="1"/>
    </xf>
    <xf numFmtId="3" fontId="5" fillId="6" borderId="63" xfId="0" applyNumberFormat="1" applyFont="1" applyFill="1" applyBorder="1" applyAlignment="1">
      <alignment horizontal="center" vertical="center"/>
    </xf>
    <xf numFmtId="44" fontId="5" fillId="6" borderId="63" xfId="2" applyNumberFormat="1" applyFont="1" applyFill="1" applyBorder="1" applyAlignment="1">
      <alignment horizontal="center" vertical="center" wrapText="1"/>
    </xf>
    <xf numFmtId="170" fontId="5" fillId="6" borderId="63" xfId="2" applyNumberFormat="1" applyFont="1" applyFill="1" applyBorder="1" applyAlignment="1" applyProtection="1">
      <alignment horizontal="left" vertical="center"/>
    </xf>
    <xf numFmtId="0" fontId="4" fillId="0" borderId="2" xfId="0" applyFont="1" applyBorder="1" applyAlignment="1">
      <alignment horizontal="center"/>
    </xf>
    <xf numFmtId="0" fontId="5" fillId="0" borderId="3" xfId="0" applyFont="1" applyBorder="1"/>
    <xf numFmtId="0" fontId="5" fillId="0" borderId="6" xfId="0" applyFont="1" applyBorder="1"/>
    <xf numFmtId="0" fontId="5" fillId="0" borderId="4" xfId="0" applyFont="1" applyBorder="1"/>
    <xf numFmtId="0" fontId="6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wrapText="1"/>
    </xf>
    <xf numFmtId="0" fontId="6" fillId="3" borderId="2" xfId="0" applyFont="1" applyFill="1" applyBorder="1" applyAlignment="1">
      <alignment horizontal="left" vertical="center" wrapText="1"/>
    </xf>
    <xf numFmtId="0" fontId="5" fillId="2" borderId="4" xfId="0" applyFont="1" applyFill="1" applyBorder="1"/>
    <xf numFmtId="0" fontId="31" fillId="2" borderId="0" xfId="0" applyFont="1" applyFill="1" applyAlignment="1">
      <alignment horizontal="left" wrapText="1" indent="1"/>
    </xf>
    <xf numFmtId="0" fontId="27" fillId="6" borderId="54" xfId="0" applyFont="1" applyFill="1" applyBorder="1" applyAlignment="1">
      <alignment vertical="top" wrapText="1"/>
    </xf>
    <xf numFmtId="0" fontId="0" fillId="6" borderId="55" xfId="0" applyFill="1" applyBorder="1" applyAlignment="1">
      <alignment vertical="top" wrapText="1"/>
    </xf>
    <xf numFmtId="0" fontId="0" fillId="6" borderId="56" xfId="0" applyFill="1" applyBorder="1" applyAlignment="1">
      <alignment vertical="top" wrapText="1"/>
    </xf>
    <xf numFmtId="0" fontId="3" fillId="0" borderId="57" xfId="0" applyFont="1" applyBorder="1" applyAlignment="1">
      <alignment horizontal="left" wrapText="1"/>
    </xf>
    <xf numFmtId="0" fontId="5" fillId="0" borderId="58" xfId="0" applyFont="1" applyBorder="1"/>
    <xf numFmtId="0" fontId="5" fillId="0" borderId="57" xfId="0" applyFont="1" applyBorder="1"/>
    <xf numFmtId="0" fontId="6" fillId="2" borderId="2" xfId="0" applyFont="1" applyFill="1" applyBorder="1" applyAlignment="1">
      <alignment horizontal="left" vertical="center" wrapText="1"/>
    </xf>
    <xf numFmtId="0" fontId="27" fillId="0" borderId="54" xfId="0" applyFont="1" applyFill="1" applyBorder="1" applyAlignment="1">
      <alignment vertical="center" wrapText="1"/>
    </xf>
    <xf numFmtId="0" fontId="0" fillId="0" borderId="55" xfId="0" applyFill="1" applyBorder="1" applyAlignment="1">
      <alignment vertical="center" wrapText="1"/>
    </xf>
    <xf numFmtId="0" fontId="0" fillId="0" borderId="56" xfId="0" applyFill="1" applyBorder="1" applyAlignment="1">
      <alignment vertical="center" wrapText="1"/>
    </xf>
    <xf numFmtId="0" fontId="16" fillId="0" borderId="62" xfId="0" applyFont="1" applyBorder="1" applyAlignment="1">
      <alignment horizontal="left" vertical="center" wrapText="1"/>
    </xf>
    <xf numFmtId="0" fontId="5" fillId="0" borderId="62" xfId="0" applyFont="1" applyBorder="1"/>
    <xf numFmtId="168" fontId="19" fillId="0" borderId="62" xfId="0" applyNumberFormat="1" applyFont="1" applyBorder="1" applyAlignment="1">
      <alignment horizontal="center" vertical="center"/>
    </xf>
    <xf numFmtId="0" fontId="19" fillId="0" borderId="10" xfId="0" applyFont="1" applyBorder="1" applyAlignment="1">
      <alignment horizontal="left" vertical="center" wrapText="1"/>
    </xf>
    <xf numFmtId="0" fontId="5" fillId="0" borderId="11" xfId="0" applyFont="1" applyBorder="1"/>
    <xf numFmtId="0" fontId="5" fillId="0" borderId="12" xfId="0" applyFont="1" applyBorder="1"/>
    <xf numFmtId="0" fontId="16" fillId="0" borderId="13" xfId="0" applyFont="1" applyBorder="1" applyAlignment="1">
      <alignment horizontal="left" vertical="center" wrapText="1"/>
    </xf>
    <xf numFmtId="0" fontId="5" fillId="0" borderId="14" xfId="0" applyFont="1" applyBorder="1"/>
    <xf numFmtId="0" fontId="5" fillId="0" borderId="15" xfId="0" applyFont="1" applyBorder="1"/>
    <xf numFmtId="0" fontId="19" fillId="3" borderId="16" xfId="0" applyFont="1" applyFill="1" applyBorder="1" applyAlignment="1">
      <alignment horizontal="left" vertical="center" wrapText="1"/>
    </xf>
    <xf numFmtId="0" fontId="5" fillId="2" borderId="17" xfId="0" applyFont="1" applyFill="1" applyBorder="1"/>
    <xf numFmtId="0" fontId="5" fillId="2" borderId="18" xfId="0" applyFont="1" applyFill="1" applyBorder="1"/>
    <xf numFmtId="0" fontId="16" fillId="3" borderId="13" xfId="0" applyFont="1" applyFill="1" applyBorder="1" applyAlignment="1">
      <alignment horizontal="left" vertical="center" wrapText="1"/>
    </xf>
    <xf numFmtId="0" fontId="5" fillId="2" borderId="14" xfId="0" applyFont="1" applyFill="1" applyBorder="1"/>
    <xf numFmtId="0" fontId="5" fillId="2" borderId="15" xfId="0" applyFont="1" applyFill="1" applyBorder="1"/>
    <xf numFmtId="0" fontId="32" fillId="2" borderId="63" xfId="0" applyFont="1" applyFill="1" applyBorder="1" applyAlignment="1">
      <alignment horizontal="left" vertical="center" wrapText="1" indent="1"/>
    </xf>
    <xf numFmtId="0" fontId="19" fillId="3" borderId="13" xfId="0" applyFont="1" applyFill="1" applyBorder="1" applyAlignment="1">
      <alignment horizontal="left" vertical="center"/>
    </xf>
    <xf numFmtId="0" fontId="5" fillId="2" borderId="19" xfId="0" applyFont="1" applyFill="1" applyBorder="1"/>
    <xf numFmtId="0" fontId="19" fillId="3" borderId="10" xfId="0" applyFont="1" applyFill="1" applyBorder="1" applyAlignment="1">
      <alignment horizontal="left" vertical="center" wrapText="1"/>
    </xf>
    <xf numFmtId="0" fontId="5" fillId="2" borderId="11" xfId="0" applyFont="1" applyFill="1" applyBorder="1"/>
    <xf numFmtId="0" fontId="5" fillId="2" borderId="12" xfId="0" applyFont="1" applyFill="1" applyBorder="1"/>
    <xf numFmtId="0" fontId="20" fillId="0" borderId="62" xfId="0" applyFont="1" applyBorder="1" applyAlignment="1">
      <alignment horizontal="center" vertical="center"/>
    </xf>
    <xf numFmtId="0" fontId="20" fillId="0" borderId="6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6" fillId="3" borderId="20" xfId="0" applyFont="1" applyFill="1" applyBorder="1" applyAlignment="1">
      <alignment horizontal="left" vertical="center" wrapText="1"/>
    </xf>
    <xf numFmtId="0" fontId="5" fillId="2" borderId="14" xfId="0" applyFont="1" applyFill="1" applyBorder="1" applyAlignment="1">
      <alignment horizontal="left"/>
    </xf>
    <xf numFmtId="0" fontId="5" fillId="2" borderId="15" xfId="0" applyFont="1" applyFill="1" applyBorder="1" applyAlignment="1">
      <alignment horizontal="left"/>
    </xf>
    <xf numFmtId="0" fontId="3" fillId="0" borderId="62" xfId="0" applyFont="1" applyBorder="1" applyAlignment="1">
      <alignment horizontal="left" vertical="center" wrapText="1"/>
    </xf>
    <xf numFmtId="0" fontId="25" fillId="0" borderId="21" xfId="0" applyFont="1" applyBorder="1" applyAlignment="1">
      <alignment horizontal="center" vertical="center"/>
    </xf>
    <xf numFmtId="0" fontId="5" fillId="0" borderId="31" xfId="0" applyFont="1" applyBorder="1"/>
    <xf numFmtId="0" fontId="5" fillId="0" borderId="22" xfId="0" applyFont="1" applyBorder="1"/>
    <xf numFmtId="0" fontId="25" fillId="0" borderId="10" xfId="0" applyFont="1" applyBorder="1" applyAlignment="1">
      <alignment horizontal="center" vertical="center"/>
    </xf>
    <xf numFmtId="0" fontId="23" fillId="0" borderId="31" xfId="0" applyFont="1" applyBorder="1" applyAlignment="1">
      <alignment vertical="center" wrapText="1"/>
    </xf>
    <xf numFmtId="0" fontId="25" fillId="0" borderId="54" xfId="0" applyFont="1" applyBorder="1" applyAlignment="1">
      <alignment horizontal="center" vertical="center" wrapText="1"/>
    </xf>
    <xf numFmtId="0" fontId="5" fillId="0" borderId="56" xfId="0" applyFont="1" applyBorder="1"/>
    <xf numFmtId="0" fontId="5" fillId="0" borderId="59" xfId="0" applyFont="1" applyBorder="1"/>
    <xf numFmtId="0" fontId="5" fillId="0" borderId="61" xfId="0" applyFont="1" applyBorder="1"/>
    <xf numFmtId="0" fontId="25" fillId="0" borderId="22" xfId="0" applyFont="1" applyBorder="1" applyAlignment="1">
      <alignment horizontal="center" vertical="center"/>
    </xf>
    <xf numFmtId="0" fontId="5" fillId="0" borderId="27" xfId="0" applyFont="1" applyBorder="1"/>
    <xf numFmtId="0" fontId="11" fillId="2" borderId="53" xfId="0" applyFont="1" applyFill="1" applyBorder="1" applyAlignment="1">
      <alignment horizontal="left" vertical="center" wrapText="1"/>
    </xf>
    <xf numFmtId="0" fontId="5" fillId="2" borderId="53" xfId="0" applyFont="1" applyFill="1" applyBorder="1" applyAlignment="1">
      <alignment horizontal="left" vertical="center" wrapText="1"/>
    </xf>
    <xf numFmtId="0" fontId="11" fillId="0" borderId="37" xfId="0" applyFont="1" applyBorder="1" applyAlignment="1">
      <alignment horizontal="left" vertical="center"/>
    </xf>
    <xf numFmtId="0" fontId="5" fillId="0" borderId="64" xfId="0" applyFont="1" applyBorder="1"/>
    <xf numFmtId="0" fontId="11" fillId="0" borderId="39" xfId="0" applyFont="1" applyBorder="1" applyAlignment="1">
      <alignment horizontal="left" vertical="center"/>
    </xf>
    <xf numFmtId="0" fontId="5" fillId="0" borderId="40" xfId="0" applyFont="1" applyBorder="1"/>
    <xf numFmtId="0" fontId="24" fillId="0" borderId="10" xfId="0" applyFont="1" applyBorder="1" applyAlignment="1">
      <alignment horizontal="left"/>
    </xf>
    <xf numFmtId="0" fontId="5" fillId="0" borderId="25" xfId="0" applyFont="1" applyBorder="1"/>
    <xf numFmtId="0" fontId="3" fillId="3" borderId="10" xfId="0" applyFont="1" applyFill="1" applyBorder="1" applyAlignment="1">
      <alignment horizontal="left" vertical="center" wrapText="1"/>
    </xf>
    <xf numFmtId="0" fontId="5" fillId="2" borderId="25" xfId="0" applyFont="1" applyFill="1" applyBorder="1"/>
    <xf numFmtId="0" fontId="23" fillId="3" borderId="10" xfId="0" applyFont="1" applyFill="1" applyBorder="1" applyAlignment="1">
      <alignment horizontal="left"/>
    </xf>
    <xf numFmtId="0" fontId="23" fillId="0" borderId="26" xfId="0" applyFont="1" applyBorder="1"/>
    <xf numFmtId="0" fontId="0" fillId="0" borderId="0" xfId="0"/>
    <xf numFmtId="0" fontId="23" fillId="3" borderId="28" xfId="0" applyFont="1" applyFill="1" applyBorder="1" applyAlignment="1">
      <alignment horizontal="left" vertical="center" wrapText="1"/>
    </xf>
    <xf numFmtId="0" fontId="5" fillId="2" borderId="3" xfId="0" applyFont="1" applyFill="1" applyBorder="1"/>
    <xf numFmtId="0" fontId="5" fillId="2" borderId="29" xfId="0" applyFont="1" applyFill="1" applyBorder="1"/>
    <xf numFmtId="0" fontId="22" fillId="0" borderId="21" xfId="0" applyFont="1" applyBorder="1" applyAlignment="1">
      <alignment horizontal="center" vertical="center" wrapText="1"/>
    </xf>
    <xf numFmtId="0" fontId="5" fillId="0" borderId="23" xfId="0" applyFont="1" applyBorder="1"/>
    <xf numFmtId="0" fontId="5" fillId="0" borderId="24" xfId="0" applyFont="1" applyBorder="1"/>
    <xf numFmtId="0" fontId="11" fillId="0" borderId="10" xfId="0" applyFont="1" applyBorder="1"/>
    <xf numFmtId="0" fontId="23" fillId="0" borderId="10" xfId="0" applyFont="1" applyBorder="1" applyAlignment="1">
      <alignment horizontal="left"/>
    </xf>
    <xf numFmtId="0" fontId="11" fillId="0" borderId="13" xfId="0" applyFont="1" applyBorder="1" applyAlignment="1">
      <alignment horizontal="center"/>
    </xf>
    <xf numFmtId="3" fontId="21" fillId="0" borderId="14" xfId="0" applyNumberFormat="1" applyFont="1" applyBorder="1" applyAlignment="1">
      <alignment horizontal="center"/>
    </xf>
    <xf numFmtId="0" fontId="23" fillId="3" borderId="51" xfId="0" applyFont="1" applyFill="1" applyBorder="1" applyAlignment="1">
      <alignment horizontal="left" vertical="center" wrapText="1"/>
    </xf>
    <xf numFmtId="0" fontId="5" fillId="2" borderId="5" xfId="0" applyFont="1" applyFill="1" applyBorder="1"/>
    <xf numFmtId="0" fontId="5" fillId="2" borderId="52" xfId="0" applyFont="1" applyFill="1" applyBorder="1"/>
    <xf numFmtId="0" fontId="5" fillId="2" borderId="23" xfId="0" applyFont="1" applyFill="1" applyBorder="1"/>
    <xf numFmtId="0" fontId="5" fillId="2" borderId="30" xfId="0" applyFont="1" applyFill="1" applyBorder="1"/>
    <xf numFmtId="0" fontId="5" fillId="2" borderId="24" xfId="0" applyFont="1" applyFill="1" applyBorder="1"/>
    <xf numFmtId="0" fontId="21" fillId="3" borderId="47" xfId="0" applyFont="1" applyFill="1" applyBorder="1" applyAlignment="1">
      <alignment horizontal="left" vertical="center" wrapText="1"/>
    </xf>
    <xf numFmtId="0" fontId="5" fillId="2" borderId="48" xfId="0" applyFont="1" applyFill="1" applyBorder="1"/>
    <xf numFmtId="0" fontId="5" fillId="2" borderId="49" xfId="0" applyFont="1" applyFill="1" applyBorder="1"/>
    <xf numFmtId="0" fontId="11" fillId="0" borderId="21" xfId="0" applyFont="1" applyBorder="1"/>
    <xf numFmtId="0" fontId="11" fillId="0" borderId="44" xfId="0" applyFont="1" applyBorder="1" applyAlignment="1">
      <alignment horizontal="left" vertical="center"/>
    </xf>
    <xf numFmtId="0" fontId="5" fillId="0" borderId="45" xfId="0" applyFont="1" applyBorder="1"/>
    <xf numFmtId="0" fontId="21" fillId="0" borderId="13" xfId="0" applyFont="1" applyBorder="1" applyAlignment="1">
      <alignment vertical="center" wrapText="1"/>
    </xf>
  </cellXfs>
  <cellStyles count="6">
    <cellStyle name="Moneda" xfId="2" builtinId="4"/>
    <cellStyle name="Normal" xfId="0" builtinId="0"/>
    <cellStyle name="Normal 2" xfId="1" xr:uid="{00000000-0005-0000-0000-000002000000}"/>
    <cellStyle name="Normal 2 3" xfId="3" xr:uid="{00000000-0005-0000-0000-000003000000}"/>
    <cellStyle name="Normal 3" xfId="5" xr:uid="{00000000-0005-0000-0000-000004000000}"/>
    <cellStyle name="Normal 5" xfId="4" xr:uid="{00000000-0005-0000-0000-000005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"/>
  <sheetViews>
    <sheetView tabSelected="1" topLeftCell="A13" zoomScale="75" zoomScaleNormal="75" workbookViewId="0">
      <selection activeCell="I29" sqref="I29"/>
    </sheetView>
  </sheetViews>
  <sheetFormatPr baseColWidth="10" defaultColWidth="12.5703125" defaultRowHeight="15" customHeight="1" x14ac:dyDescent="0.2"/>
  <cols>
    <col min="1" max="1" width="4.5703125" customWidth="1"/>
    <col min="2" max="2" width="14" style="42" customWidth="1"/>
    <col min="3" max="3" width="29.42578125" style="42" customWidth="1"/>
    <col min="4" max="4" width="5.85546875" bestFit="1" customWidth="1"/>
    <col min="5" max="5" width="90.7109375" customWidth="1"/>
    <col min="6" max="6" width="15.85546875" customWidth="1"/>
    <col min="7" max="7" width="10.85546875" customWidth="1"/>
    <col min="8" max="8" width="14.42578125" style="42" customWidth="1"/>
    <col min="9" max="9" width="15.5703125" customWidth="1"/>
    <col min="10" max="10" width="16.5703125" customWidth="1"/>
    <col min="11" max="11" width="5.28515625" customWidth="1"/>
    <col min="12" max="12" width="9.85546875" hidden="1" customWidth="1"/>
    <col min="13" max="13" width="26.42578125" customWidth="1"/>
  </cols>
  <sheetData>
    <row r="1" spans="1:17" ht="12.75" customHeight="1" x14ac:dyDescent="0.2">
      <c r="A1" s="1"/>
      <c r="B1" s="43"/>
      <c r="C1" s="43"/>
      <c r="D1" s="1"/>
      <c r="E1" s="36"/>
      <c r="F1" s="1"/>
      <c r="G1" s="1"/>
      <c r="H1" s="43"/>
      <c r="I1" s="2"/>
      <c r="J1" s="1"/>
    </row>
    <row r="2" spans="1:17" ht="26.25" customHeight="1" x14ac:dyDescent="0.35">
      <c r="A2" s="1"/>
      <c r="B2" s="133" t="s">
        <v>0</v>
      </c>
      <c r="C2" s="134"/>
      <c r="D2" s="134"/>
      <c r="E2" s="135"/>
      <c r="F2" s="134"/>
      <c r="G2" s="134"/>
      <c r="H2" s="136"/>
      <c r="I2" s="2"/>
      <c r="J2" s="1"/>
    </row>
    <row r="3" spans="1:17" ht="12.75" customHeight="1" x14ac:dyDescent="0.2">
      <c r="A3" s="1"/>
      <c r="B3" s="43"/>
      <c r="C3" s="43"/>
      <c r="D3" s="1"/>
      <c r="E3" s="36"/>
      <c r="F3" s="1"/>
      <c r="G3" s="1"/>
      <c r="H3" s="43"/>
      <c r="I3" s="2"/>
      <c r="J3" s="1"/>
    </row>
    <row r="4" spans="1:17" ht="12.75" customHeight="1" x14ac:dyDescent="0.25">
      <c r="A4" s="137" t="s">
        <v>1</v>
      </c>
      <c r="B4" s="136"/>
      <c r="C4" s="138" t="s">
        <v>2</v>
      </c>
      <c r="D4" s="134"/>
      <c r="E4" s="135"/>
      <c r="F4" s="3"/>
      <c r="G4" s="4"/>
      <c r="H4" s="46"/>
      <c r="I4" s="2"/>
      <c r="J4" s="1"/>
    </row>
    <row r="5" spans="1:17" ht="12.75" customHeight="1" x14ac:dyDescent="0.25">
      <c r="A5" s="139" t="s">
        <v>3</v>
      </c>
      <c r="B5" s="140"/>
      <c r="C5" s="141" t="s">
        <v>99</v>
      </c>
      <c r="D5" s="141"/>
      <c r="E5" s="141"/>
      <c r="F5" s="3"/>
      <c r="G5" s="4"/>
      <c r="H5" s="46"/>
      <c r="I5" s="2"/>
      <c r="J5" s="1"/>
    </row>
    <row r="6" spans="1:17" ht="12.75" customHeight="1" x14ac:dyDescent="0.2">
      <c r="A6" s="148" t="s">
        <v>4</v>
      </c>
      <c r="B6" s="140"/>
      <c r="C6" s="107">
        <v>2022</v>
      </c>
      <c r="D6" s="108"/>
      <c r="E6" s="109"/>
      <c r="F6" s="3"/>
      <c r="G6" s="4"/>
      <c r="H6" s="46"/>
      <c r="I6" s="2"/>
      <c r="J6" s="1"/>
    </row>
    <row r="7" spans="1:17" ht="12.75" customHeight="1" x14ac:dyDescent="0.2">
      <c r="A7" s="139" t="s">
        <v>5</v>
      </c>
      <c r="B7" s="140"/>
      <c r="C7" s="110">
        <v>3</v>
      </c>
      <c r="D7" s="108"/>
      <c r="E7" s="109"/>
      <c r="F7" s="3"/>
      <c r="G7" s="4"/>
      <c r="H7" s="46"/>
      <c r="I7" s="2"/>
      <c r="J7" s="1"/>
    </row>
    <row r="8" spans="1:17" ht="12.75" customHeight="1" x14ac:dyDescent="0.2">
      <c r="A8" s="1"/>
      <c r="B8" s="46"/>
      <c r="C8" s="45"/>
      <c r="D8" s="3"/>
      <c r="E8" s="37"/>
      <c r="F8" s="3"/>
      <c r="G8" s="4"/>
      <c r="H8" s="46"/>
      <c r="I8" s="2"/>
      <c r="J8" s="1"/>
    </row>
    <row r="9" spans="1:17" s="47" customFormat="1" ht="39" thickBot="1" x14ac:dyDescent="0.25">
      <c r="A9" s="40" t="s">
        <v>6</v>
      </c>
      <c r="B9" s="40" t="s">
        <v>7</v>
      </c>
      <c r="C9" s="40" t="s">
        <v>8</v>
      </c>
      <c r="D9" s="40" t="s">
        <v>9</v>
      </c>
      <c r="E9" s="40" t="s">
        <v>10</v>
      </c>
      <c r="F9" s="40" t="s">
        <v>11</v>
      </c>
      <c r="G9" s="40" t="s">
        <v>12</v>
      </c>
      <c r="H9" s="40" t="s">
        <v>13</v>
      </c>
      <c r="I9" s="41" t="s">
        <v>14</v>
      </c>
      <c r="J9" s="48"/>
    </row>
    <row r="10" spans="1:17" ht="45" customHeight="1" thickBot="1" x14ac:dyDescent="0.25">
      <c r="A10" s="74">
        <v>1</v>
      </c>
      <c r="B10" s="86" t="s">
        <v>67</v>
      </c>
      <c r="C10" s="88" t="s">
        <v>63</v>
      </c>
      <c r="D10" s="79">
        <v>252</v>
      </c>
      <c r="E10" s="100" t="s">
        <v>73</v>
      </c>
      <c r="F10" s="82" t="s">
        <v>19</v>
      </c>
      <c r="G10" s="76">
        <v>400</v>
      </c>
      <c r="H10" s="80">
        <v>243.8</v>
      </c>
      <c r="I10" s="102">
        <f t="shared" ref="I10:I24" si="0">+G10*H10</f>
        <v>97520</v>
      </c>
      <c r="J10" s="86" t="s">
        <v>67</v>
      </c>
      <c r="K10" s="88" t="s">
        <v>63</v>
      </c>
      <c r="L10" s="79">
        <v>252</v>
      </c>
      <c r="M10" s="120" t="s">
        <v>73</v>
      </c>
      <c r="N10" s="74" t="s">
        <v>19</v>
      </c>
      <c r="O10" s="76"/>
      <c r="P10" s="121">
        <v>243.8</v>
      </c>
      <c r="Q10" s="122">
        <f t="shared" ref="Q10" si="1">+O10*P10</f>
        <v>0</v>
      </c>
    </row>
    <row r="11" spans="1:17" ht="31.5" customHeight="1" thickBot="1" x14ac:dyDescent="0.25">
      <c r="A11" s="74">
        <v>2</v>
      </c>
      <c r="B11" s="86" t="s">
        <v>68</v>
      </c>
      <c r="C11" s="88" t="s">
        <v>63</v>
      </c>
      <c r="D11" s="79">
        <v>252</v>
      </c>
      <c r="E11" s="100" t="s">
        <v>70</v>
      </c>
      <c r="F11" s="82" t="s">
        <v>16</v>
      </c>
      <c r="G11" s="76">
        <v>100</v>
      </c>
      <c r="H11" s="80">
        <v>68.900000000000006</v>
      </c>
      <c r="I11" s="102">
        <f t="shared" si="0"/>
        <v>6890.0000000000009</v>
      </c>
      <c r="J11" s="86" t="s">
        <v>68</v>
      </c>
      <c r="K11" s="88" t="s">
        <v>63</v>
      </c>
      <c r="L11" s="79">
        <v>252</v>
      </c>
      <c r="M11" s="120" t="s">
        <v>70</v>
      </c>
      <c r="N11" s="74" t="s">
        <v>16</v>
      </c>
      <c r="O11" s="76"/>
      <c r="P11" s="121">
        <v>68.900000000000006</v>
      </c>
    </row>
    <row r="12" spans="1:17" ht="38.25" customHeight="1" thickBot="1" x14ac:dyDescent="0.25">
      <c r="A12" s="74">
        <v>3</v>
      </c>
      <c r="B12" s="86" t="s">
        <v>64</v>
      </c>
      <c r="C12" s="88" t="s">
        <v>63</v>
      </c>
      <c r="D12" s="79">
        <v>252</v>
      </c>
      <c r="E12" s="100" t="s">
        <v>69</v>
      </c>
      <c r="F12" s="82" t="s">
        <v>15</v>
      </c>
      <c r="G12" s="76">
        <v>80</v>
      </c>
      <c r="H12" s="80">
        <v>18.100000000000001</v>
      </c>
      <c r="I12" s="102">
        <f t="shared" si="0"/>
        <v>1448</v>
      </c>
      <c r="J12" s="86" t="s">
        <v>64</v>
      </c>
      <c r="K12" s="88" t="s">
        <v>63</v>
      </c>
      <c r="L12" s="79">
        <v>252</v>
      </c>
      <c r="M12" s="120" t="s">
        <v>69</v>
      </c>
      <c r="N12" s="74" t="s">
        <v>15</v>
      </c>
      <c r="O12" s="76"/>
      <c r="P12" s="121">
        <v>18.100000000000001</v>
      </c>
    </row>
    <row r="13" spans="1:17" ht="39.75" customHeight="1" thickBot="1" x14ac:dyDescent="0.25">
      <c r="A13" s="74">
        <v>4</v>
      </c>
      <c r="B13" s="86" t="s">
        <v>65</v>
      </c>
      <c r="C13" s="88" t="s">
        <v>63</v>
      </c>
      <c r="D13" s="79">
        <v>252</v>
      </c>
      <c r="E13" s="100" t="s">
        <v>71</v>
      </c>
      <c r="F13" s="82" t="s">
        <v>15</v>
      </c>
      <c r="G13" s="76">
        <v>216</v>
      </c>
      <c r="H13" s="80">
        <v>19.079999999999998</v>
      </c>
      <c r="I13" s="102">
        <f t="shared" si="0"/>
        <v>4121.28</v>
      </c>
      <c r="J13" s="86" t="s">
        <v>65</v>
      </c>
      <c r="K13" s="88" t="s">
        <v>63</v>
      </c>
      <c r="L13" s="79">
        <v>252</v>
      </c>
      <c r="M13" s="120" t="s">
        <v>71</v>
      </c>
      <c r="N13" s="74" t="s">
        <v>15</v>
      </c>
      <c r="O13" s="76"/>
      <c r="P13" s="121">
        <v>19.079999999999998</v>
      </c>
    </row>
    <row r="14" spans="1:17" ht="35.25" customHeight="1" thickBot="1" x14ac:dyDescent="0.25">
      <c r="A14" s="74">
        <v>5</v>
      </c>
      <c r="B14" s="86" t="s">
        <v>94</v>
      </c>
      <c r="C14" s="87" t="s">
        <v>63</v>
      </c>
      <c r="D14" s="75">
        <v>252</v>
      </c>
      <c r="E14" s="100" t="s">
        <v>95</v>
      </c>
      <c r="F14" s="74" t="s">
        <v>16</v>
      </c>
      <c r="G14" s="76">
        <v>200</v>
      </c>
      <c r="H14" s="72">
        <v>413.4</v>
      </c>
      <c r="I14" s="103">
        <f t="shared" si="0"/>
        <v>82680</v>
      </c>
      <c r="J14" s="86" t="s">
        <v>94</v>
      </c>
      <c r="K14" s="87" t="s">
        <v>63</v>
      </c>
      <c r="L14" s="75">
        <v>252</v>
      </c>
      <c r="M14" s="120" t="s">
        <v>95</v>
      </c>
      <c r="N14" s="74" t="s">
        <v>16</v>
      </c>
      <c r="O14" s="76"/>
      <c r="P14" s="72">
        <v>413.4</v>
      </c>
    </row>
    <row r="15" spans="1:17" ht="31.5" customHeight="1" thickBot="1" x14ac:dyDescent="0.25">
      <c r="A15" s="74">
        <v>6</v>
      </c>
      <c r="B15" s="86" t="s">
        <v>66</v>
      </c>
      <c r="C15" s="88" t="s">
        <v>63</v>
      </c>
      <c r="D15" s="79">
        <v>252</v>
      </c>
      <c r="E15" s="100" t="s">
        <v>72</v>
      </c>
      <c r="F15" s="82" t="s">
        <v>15</v>
      </c>
      <c r="G15" s="76">
        <v>60</v>
      </c>
      <c r="H15" s="80">
        <v>5.08</v>
      </c>
      <c r="I15" s="102">
        <f t="shared" si="0"/>
        <v>304.8</v>
      </c>
      <c r="J15" s="86" t="s">
        <v>66</v>
      </c>
      <c r="K15" s="88" t="s">
        <v>63</v>
      </c>
      <c r="L15" s="79">
        <v>252</v>
      </c>
      <c r="M15" s="120" t="s">
        <v>72</v>
      </c>
      <c r="N15" s="74" t="s">
        <v>15</v>
      </c>
      <c r="O15" s="76"/>
      <c r="P15" s="121">
        <v>5.08</v>
      </c>
    </row>
    <row r="16" spans="1:17" ht="27.75" customHeight="1" thickBot="1" x14ac:dyDescent="0.25">
      <c r="A16" s="74">
        <v>7</v>
      </c>
      <c r="B16" s="85" t="s">
        <v>78</v>
      </c>
      <c r="C16" s="88" t="s">
        <v>63</v>
      </c>
      <c r="D16" s="75">
        <v>252</v>
      </c>
      <c r="E16" s="100" t="s">
        <v>79</v>
      </c>
      <c r="F16" s="74" t="s">
        <v>17</v>
      </c>
      <c r="G16" s="76">
        <v>10</v>
      </c>
      <c r="H16" s="72">
        <v>249.1</v>
      </c>
      <c r="I16" s="77">
        <f t="shared" si="0"/>
        <v>2491</v>
      </c>
      <c r="J16" s="85" t="s">
        <v>78</v>
      </c>
      <c r="K16" s="88" t="s">
        <v>63</v>
      </c>
      <c r="L16" s="75">
        <v>252</v>
      </c>
      <c r="M16" s="120" t="s">
        <v>79</v>
      </c>
      <c r="N16" s="74" t="s">
        <v>17</v>
      </c>
      <c r="O16" s="76"/>
      <c r="P16" s="72">
        <v>249.1</v>
      </c>
    </row>
    <row r="17" spans="1:17" ht="30" customHeight="1" thickBot="1" x14ac:dyDescent="0.25">
      <c r="A17" s="74">
        <v>8</v>
      </c>
      <c r="B17" s="85" t="s">
        <v>76</v>
      </c>
      <c r="C17" s="88" t="s">
        <v>63</v>
      </c>
      <c r="D17" s="75">
        <v>252</v>
      </c>
      <c r="E17" s="100" t="s">
        <v>77</v>
      </c>
      <c r="F17" s="74" t="s">
        <v>15</v>
      </c>
      <c r="G17" s="76">
        <v>80</v>
      </c>
      <c r="H17" s="72">
        <v>22.7</v>
      </c>
      <c r="I17" s="77">
        <f t="shared" si="0"/>
        <v>1816</v>
      </c>
      <c r="J17" s="85" t="s">
        <v>76</v>
      </c>
      <c r="K17" s="88" t="s">
        <v>63</v>
      </c>
      <c r="L17" s="75">
        <v>252</v>
      </c>
      <c r="M17" s="120" t="s">
        <v>77</v>
      </c>
      <c r="N17" s="74" t="s">
        <v>15</v>
      </c>
      <c r="O17" s="76"/>
      <c r="P17" s="72">
        <v>22.7</v>
      </c>
    </row>
    <row r="18" spans="1:17" ht="39.75" customHeight="1" thickBot="1" x14ac:dyDescent="0.25">
      <c r="A18" s="74">
        <v>9</v>
      </c>
      <c r="B18" s="85" t="s">
        <v>92</v>
      </c>
      <c r="C18" s="89" t="s">
        <v>63</v>
      </c>
      <c r="D18" s="90">
        <v>295</v>
      </c>
      <c r="E18" s="100" t="s">
        <v>93</v>
      </c>
      <c r="F18" s="74" t="s">
        <v>20</v>
      </c>
      <c r="G18" s="76">
        <v>50</v>
      </c>
      <c r="H18" s="78">
        <v>650</v>
      </c>
      <c r="I18" s="104">
        <f t="shared" si="0"/>
        <v>32500</v>
      </c>
      <c r="J18" s="85" t="s">
        <v>92</v>
      </c>
      <c r="K18" s="89" t="s">
        <v>63</v>
      </c>
      <c r="L18" s="90">
        <v>295</v>
      </c>
      <c r="M18" s="120" t="s">
        <v>93</v>
      </c>
      <c r="N18" s="74" t="s">
        <v>20</v>
      </c>
      <c r="O18" s="76"/>
      <c r="P18" s="123">
        <v>650</v>
      </c>
    </row>
    <row r="19" spans="1:17" ht="32.25" customHeight="1" thickBot="1" x14ac:dyDescent="0.25">
      <c r="A19" s="74">
        <v>10</v>
      </c>
      <c r="B19" s="85" t="s">
        <v>80</v>
      </c>
      <c r="C19" s="88" t="s">
        <v>63</v>
      </c>
      <c r="D19" s="75">
        <v>252</v>
      </c>
      <c r="E19" s="100" t="s">
        <v>81</v>
      </c>
      <c r="F19" s="74" t="s">
        <v>18</v>
      </c>
      <c r="G19" s="76">
        <v>90</v>
      </c>
      <c r="H19" s="72">
        <v>6450</v>
      </c>
      <c r="I19" s="77">
        <f t="shared" si="0"/>
        <v>580500</v>
      </c>
      <c r="J19" s="85" t="s">
        <v>80</v>
      </c>
      <c r="K19" s="88" t="s">
        <v>63</v>
      </c>
      <c r="L19" s="75">
        <v>252</v>
      </c>
      <c r="M19" s="120" t="s">
        <v>81</v>
      </c>
      <c r="N19" s="74" t="s">
        <v>18</v>
      </c>
      <c r="O19" s="76"/>
      <c r="P19" s="72">
        <v>6450</v>
      </c>
    </row>
    <row r="20" spans="1:17" ht="34.5" customHeight="1" thickBot="1" x14ac:dyDescent="0.25">
      <c r="A20" s="74">
        <v>11</v>
      </c>
      <c r="B20" s="81" t="s">
        <v>88</v>
      </c>
      <c r="C20" s="81" t="s">
        <v>63</v>
      </c>
      <c r="D20" s="73">
        <v>295</v>
      </c>
      <c r="E20" s="91" t="s">
        <v>89</v>
      </c>
      <c r="F20" s="83" t="s">
        <v>18</v>
      </c>
      <c r="G20" s="76">
        <v>6</v>
      </c>
      <c r="H20" s="84">
        <v>38000</v>
      </c>
      <c r="I20" s="105">
        <f t="shared" si="0"/>
        <v>228000</v>
      </c>
      <c r="J20" s="124" t="s">
        <v>88</v>
      </c>
      <c r="K20" s="81" t="s">
        <v>63</v>
      </c>
      <c r="L20" s="73">
        <v>295</v>
      </c>
      <c r="M20" s="125" t="s">
        <v>89</v>
      </c>
      <c r="N20" s="83" t="s">
        <v>18</v>
      </c>
      <c r="O20" s="76"/>
      <c r="P20" s="84">
        <v>38000</v>
      </c>
      <c r="Q20">
        <v>20</v>
      </c>
    </row>
    <row r="21" spans="1:17" ht="38.25" customHeight="1" thickBot="1" x14ac:dyDescent="0.25">
      <c r="A21" s="74">
        <v>12</v>
      </c>
      <c r="B21" s="81" t="s">
        <v>84</v>
      </c>
      <c r="C21" s="81" t="s">
        <v>63</v>
      </c>
      <c r="D21" s="73">
        <v>295</v>
      </c>
      <c r="E21" s="91" t="s">
        <v>85</v>
      </c>
      <c r="F21" s="83" t="s">
        <v>18</v>
      </c>
      <c r="G21" s="76">
        <v>10</v>
      </c>
      <c r="H21" s="84">
        <v>20345</v>
      </c>
      <c r="I21" s="105">
        <f t="shared" si="0"/>
        <v>203450</v>
      </c>
      <c r="J21" s="124" t="s">
        <v>84</v>
      </c>
      <c r="K21" s="81" t="s">
        <v>63</v>
      </c>
      <c r="L21" s="73">
        <v>295</v>
      </c>
      <c r="M21" s="125" t="s">
        <v>85</v>
      </c>
      <c r="N21" s="83" t="s">
        <v>18</v>
      </c>
      <c r="O21" s="76"/>
      <c r="P21" s="84">
        <v>20345</v>
      </c>
      <c r="Q21">
        <v>21</v>
      </c>
    </row>
    <row r="22" spans="1:17" ht="27" customHeight="1" thickBot="1" x14ac:dyDescent="0.25">
      <c r="A22" s="74">
        <v>13</v>
      </c>
      <c r="B22" s="81" t="s">
        <v>82</v>
      </c>
      <c r="C22" s="81" t="s">
        <v>63</v>
      </c>
      <c r="D22" s="73">
        <v>295</v>
      </c>
      <c r="E22" s="91" t="s">
        <v>83</v>
      </c>
      <c r="F22" s="83" t="s">
        <v>18</v>
      </c>
      <c r="G22" s="76">
        <v>10</v>
      </c>
      <c r="H22" s="84">
        <v>17680</v>
      </c>
      <c r="I22" s="105">
        <f t="shared" si="0"/>
        <v>176800</v>
      </c>
      <c r="J22" s="124" t="s">
        <v>82</v>
      </c>
      <c r="K22" s="81" t="s">
        <v>63</v>
      </c>
      <c r="L22" s="73">
        <v>295</v>
      </c>
      <c r="M22" s="125" t="s">
        <v>83</v>
      </c>
      <c r="N22" s="83" t="s">
        <v>18</v>
      </c>
      <c r="O22" s="76"/>
      <c r="P22" s="84">
        <v>17680</v>
      </c>
      <c r="Q22">
        <v>22</v>
      </c>
    </row>
    <row r="23" spans="1:17" ht="29.25" customHeight="1" thickBot="1" x14ac:dyDescent="0.25">
      <c r="A23" s="74">
        <v>14</v>
      </c>
      <c r="B23" s="81" t="s">
        <v>86</v>
      </c>
      <c r="C23" s="81" t="s">
        <v>63</v>
      </c>
      <c r="D23" s="73">
        <v>295</v>
      </c>
      <c r="E23" s="101" t="s">
        <v>87</v>
      </c>
      <c r="F23" s="83" t="s">
        <v>18</v>
      </c>
      <c r="G23" s="76">
        <v>6</v>
      </c>
      <c r="H23" s="84">
        <v>32000</v>
      </c>
      <c r="I23" s="105">
        <f t="shared" si="0"/>
        <v>192000</v>
      </c>
      <c r="J23" s="81" t="s">
        <v>86</v>
      </c>
      <c r="K23" s="81" t="s">
        <v>63</v>
      </c>
      <c r="L23" s="73">
        <v>295</v>
      </c>
      <c r="M23" s="81" t="s">
        <v>87</v>
      </c>
      <c r="N23" s="83" t="s">
        <v>18</v>
      </c>
      <c r="O23" s="76"/>
      <c r="P23" s="84">
        <v>32000</v>
      </c>
    </row>
    <row r="24" spans="1:17" ht="37.5" customHeight="1" thickBot="1" x14ac:dyDescent="0.25">
      <c r="A24" s="74">
        <v>15</v>
      </c>
      <c r="B24" s="126" t="s">
        <v>90</v>
      </c>
      <c r="C24" s="126" t="s">
        <v>63</v>
      </c>
      <c r="D24" s="127">
        <v>295</v>
      </c>
      <c r="E24" s="128" t="s">
        <v>91</v>
      </c>
      <c r="F24" s="129" t="s">
        <v>18</v>
      </c>
      <c r="G24" s="130">
        <v>10</v>
      </c>
      <c r="H24" s="131"/>
      <c r="I24" s="132">
        <f t="shared" si="0"/>
        <v>0</v>
      </c>
      <c r="J24" s="126" t="s">
        <v>90</v>
      </c>
      <c r="K24" s="126" t="s">
        <v>63</v>
      </c>
      <c r="L24" s="127">
        <v>295</v>
      </c>
      <c r="M24" s="128" t="s">
        <v>91</v>
      </c>
      <c r="N24" s="129" t="s">
        <v>18</v>
      </c>
      <c r="O24" s="130"/>
      <c r="P24" s="131">
        <v>14300</v>
      </c>
      <c r="Q24">
        <v>29</v>
      </c>
    </row>
    <row r="25" spans="1:17" ht="12.75" x14ac:dyDescent="0.2">
      <c r="A25" s="92"/>
      <c r="B25" s="93"/>
      <c r="C25" s="93"/>
      <c r="D25" s="94"/>
      <c r="E25" s="99"/>
      <c r="F25" s="95"/>
      <c r="G25" s="96"/>
      <c r="H25" s="97"/>
      <c r="I25" s="98"/>
      <c r="J25" s="44"/>
    </row>
    <row r="26" spans="1:17" ht="13.5" thickBot="1" x14ac:dyDescent="0.25">
      <c r="A26" s="64"/>
      <c r="B26" s="65"/>
      <c r="C26" s="66"/>
      <c r="D26" s="67"/>
      <c r="E26" s="68"/>
      <c r="F26" s="64"/>
      <c r="G26" s="69"/>
      <c r="H26" s="70"/>
      <c r="I26" s="71"/>
      <c r="J26" s="42"/>
    </row>
    <row r="27" spans="1:17" ht="26.25" customHeight="1" x14ac:dyDescent="0.2">
      <c r="B27" s="149" t="s">
        <v>100</v>
      </c>
      <c r="C27" s="150"/>
      <c r="D27" s="150"/>
      <c r="E27" s="151"/>
      <c r="G27" s="119" t="s">
        <v>110</v>
      </c>
      <c r="J27" s="43"/>
    </row>
    <row r="28" spans="1:17" ht="12.75" customHeight="1" x14ac:dyDescent="0.2">
      <c r="B28" s="145" t="s">
        <v>101</v>
      </c>
      <c r="C28" s="135"/>
      <c r="D28" s="135"/>
      <c r="E28" s="146"/>
      <c r="J28" s="44"/>
    </row>
    <row r="29" spans="1:17" ht="12.75" x14ac:dyDescent="0.2">
      <c r="B29" s="147"/>
      <c r="C29" s="135"/>
      <c r="D29" s="135"/>
      <c r="E29" s="146"/>
      <c r="J29" s="44"/>
    </row>
    <row r="30" spans="1:17" ht="12.75" customHeight="1" x14ac:dyDescent="0.2">
      <c r="B30" s="145" t="s">
        <v>102</v>
      </c>
      <c r="C30" s="135"/>
      <c r="D30" s="135"/>
      <c r="E30" s="146"/>
      <c r="J30" s="44"/>
    </row>
    <row r="31" spans="1:17" ht="12.75" x14ac:dyDescent="0.2">
      <c r="B31" s="51"/>
      <c r="C31" s="49"/>
      <c r="D31" s="38"/>
      <c r="E31" s="52"/>
      <c r="J31" s="44"/>
    </row>
    <row r="32" spans="1:17" ht="45" x14ac:dyDescent="0.2">
      <c r="B32" s="53" t="s">
        <v>21</v>
      </c>
      <c r="C32" s="50"/>
      <c r="D32" s="39"/>
      <c r="E32" s="54"/>
      <c r="J32" s="44"/>
    </row>
    <row r="33" spans="2:10" ht="13.5" thickBot="1" x14ac:dyDescent="0.25">
      <c r="B33" s="55" t="s">
        <v>22</v>
      </c>
      <c r="C33" s="56"/>
      <c r="D33" s="57"/>
      <c r="E33" s="58"/>
      <c r="J33" s="44"/>
    </row>
    <row r="34" spans="2:10" ht="13.5" thickBot="1" x14ac:dyDescent="0.25">
      <c r="J34" s="44"/>
    </row>
    <row r="35" spans="2:10" ht="24.75" customHeight="1" x14ac:dyDescent="0.2">
      <c r="B35" s="149" t="s">
        <v>103</v>
      </c>
      <c r="C35" s="150"/>
      <c r="D35" s="150"/>
      <c r="E35" s="151"/>
      <c r="G35" s="119" t="s">
        <v>111</v>
      </c>
      <c r="J35" s="44"/>
    </row>
    <row r="36" spans="2:10" ht="12.75" customHeight="1" x14ac:dyDescent="0.2">
      <c r="B36" s="145" t="s">
        <v>101</v>
      </c>
      <c r="C36" s="135"/>
      <c r="D36" s="135"/>
      <c r="E36" s="146"/>
      <c r="J36" s="44"/>
    </row>
    <row r="37" spans="2:10" ht="12.75" x14ac:dyDescent="0.2">
      <c r="B37" s="147"/>
      <c r="C37" s="135"/>
      <c r="D37" s="135"/>
      <c r="E37" s="146"/>
      <c r="J37" s="44"/>
    </row>
    <row r="38" spans="2:10" ht="12.75" customHeight="1" x14ac:dyDescent="0.2">
      <c r="B38" s="145" t="s">
        <v>102</v>
      </c>
      <c r="C38" s="135"/>
      <c r="D38" s="135"/>
      <c r="E38" s="146"/>
      <c r="J38" s="44"/>
    </row>
    <row r="39" spans="2:10" ht="12.75" x14ac:dyDescent="0.2">
      <c r="B39" s="51"/>
      <c r="C39" s="49"/>
      <c r="D39" s="38"/>
      <c r="E39" s="52"/>
      <c r="J39" s="44"/>
    </row>
    <row r="40" spans="2:10" ht="45" x14ac:dyDescent="0.2">
      <c r="B40" s="53" t="s">
        <v>21</v>
      </c>
      <c r="C40" s="50"/>
      <c r="D40" s="39"/>
      <c r="E40" s="54"/>
      <c r="J40" s="44"/>
    </row>
    <row r="41" spans="2:10" ht="13.5" thickBot="1" x14ac:dyDescent="0.25">
      <c r="B41" s="55" t="s">
        <v>22</v>
      </c>
      <c r="C41" s="56"/>
      <c r="D41" s="57"/>
      <c r="E41" s="58"/>
      <c r="J41" s="44"/>
    </row>
    <row r="42" spans="2:10" ht="13.5" thickBot="1" x14ac:dyDescent="0.25">
      <c r="J42" s="44"/>
    </row>
    <row r="43" spans="2:10" ht="48.75" customHeight="1" x14ac:dyDescent="0.2">
      <c r="B43" s="142" t="s">
        <v>107</v>
      </c>
      <c r="C43" s="143"/>
      <c r="D43" s="143"/>
      <c r="E43" s="144"/>
      <c r="G43" s="119"/>
      <c r="J43" s="42"/>
    </row>
    <row r="44" spans="2:10" ht="12.75" customHeight="1" x14ac:dyDescent="0.2">
      <c r="B44" s="145" t="s">
        <v>101</v>
      </c>
      <c r="C44" s="135"/>
      <c r="D44" s="135"/>
      <c r="E44" s="146"/>
      <c r="J44" s="42"/>
    </row>
    <row r="45" spans="2:10" ht="12.75" x14ac:dyDescent="0.2">
      <c r="B45" s="147"/>
      <c r="C45" s="135"/>
      <c r="D45" s="135"/>
      <c r="E45" s="146"/>
      <c r="J45" s="42"/>
    </row>
    <row r="46" spans="2:10" ht="12.75" customHeight="1" x14ac:dyDescent="0.2">
      <c r="B46" s="145" t="s">
        <v>102</v>
      </c>
      <c r="C46" s="135"/>
      <c r="D46" s="135"/>
      <c r="E46" s="146"/>
      <c r="J46" s="42"/>
    </row>
    <row r="47" spans="2:10" ht="12.75" x14ac:dyDescent="0.2">
      <c r="B47" s="51"/>
      <c r="C47" s="49"/>
      <c r="D47" s="38"/>
      <c r="E47" s="52"/>
      <c r="J47" s="42"/>
    </row>
    <row r="48" spans="2:10" ht="45" x14ac:dyDescent="0.2">
      <c r="B48" s="53" t="s">
        <v>21</v>
      </c>
      <c r="C48" s="50"/>
      <c r="D48" s="39"/>
      <c r="E48" s="54"/>
      <c r="J48" s="42"/>
    </row>
    <row r="49" spans="2:10" ht="13.5" thickBot="1" x14ac:dyDescent="0.25">
      <c r="B49" s="55" t="s">
        <v>22</v>
      </c>
      <c r="C49" s="56"/>
      <c r="D49" s="57"/>
      <c r="E49" s="58"/>
      <c r="J49" s="42"/>
    </row>
    <row r="50" spans="2:10" ht="12.75" x14ac:dyDescent="0.2">
      <c r="J50" s="42"/>
    </row>
  </sheetData>
  <sortState xmlns:xlrd2="http://schemas.microsoft.com/office/spreadsheetml/2017/richdata2" ref="A10:I41">
    <sortCondition ref="E10:E41"/>
  </sortState>
  <mergeCells count="16">
    <mergeCell ref="B43:E43"/>
    <mergeCell ref="B44:E45"/>
    <mergeCell ref="B46:E46"/>
    <mergeCell ref="A6:B6"/>
    <mergeCell ref="A7:B7"/>
    <mergeCell ref="B35:E35"/>
    <mergeCell ref="B36:E37"/>
    <mergeCell ref="B38:E38"/>
    <mergeCell ref="B27:E27"/>
    <mergeCell ref="B28:E29"/>
    <mergeCell ref="B30:E30"/>
    <mergeCell ref="B2:H2"/>
    <mergeCell ref="A4:B4"/>
    <mergeCell ref="C4:E4"/>
    <mergeCell ref="A5:B5"/>
    <mergeCell ref="C5:E5"/>
  </mergeCells>
  <conditionalFormatting sqref="C5">
    <cfRule type="duplicateValues" dxfId="0" priority="1"/>
  </conditionalFormatting>
  <printOptions horizontalCentered="1"/>
  <pageMargins left="0.11811023622047245" right="0.11811023622047245" top="0.74803149606299213" bottom="0.35433070866141736" header="0" footer="0"/>
  <pageSetup paperSize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7"/>
  <sheetViews>
    <sheetView topLeftCell="A2" zoomScale="66" zoomScaleNormal="66" workbookViewId="0">
      <selection activeCell="A27" sqref="A27:I27"/>
    </sheetView>
  </sheetViews>
  <sheetFormatPr baseColWidth="10" defaultColWidth="12.5703125" defaultRowHeight="15" customHeight="1" x14ac:dyDescent="0.2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48.5703125" customWidth="1"/>
    <col min="8" max="8" width="9.28515625" customWidth="1"/>
    <col min="9" max="9" width="15.5703125" customWidth="1"/>
    <col min="10" max="10" width="14.7109375" customWidth="1"/>
    <col min="11" max="11" width="15.5703125" customWidth="1"/>
  </cols>
  <sheetData>
    <row r="1" spans="1:11" ht="20.25" customHeight="1" x14ac:dyDescent="0.2">
      <c r="A1" s="175" t="s">
        <v>23</v>
      </c>
      <c r="B1" s="134"/>
      <c r="C1" s="134"/>
      <c r="D1" s="134"/>
      <c r="E1" s="134"/>
      <c r="F1" s="134"/>
      <c r="G1" s="134"/>
      <c r="H1" s="134"/>
      <c r="I1" s="136"/>
      <c r="J1" s="5" t="s">
        <v>24</v>
      </c>
      <c r="K1" s="118" t="s">
        <v>25</v>
      </c>
    </row>
    <row r="2" spans="1:11" ht="15.75" x14ac:dyDescent="0.2">
      <c r="A2" s="6"/>
      <c r="B2" s="6"/>
      <c r="C2" s="6"/>
      <c r="D2" s="7"/>
      <c r="E2" s="7"/>
      <c r="F2" s="7"/>
      <c r="G2" s="7"/>
      <c r="H2" s="7"/>
      <c r="I2" s="7"/>
      <c r="J2" s="7"/>
      <c r="K2" s="7"/>
    </row>
    <row r="3" spans="1:11" ht="19.5" customHeight="1" x14ac:dyDescent="0.2">
      <c r="A3" s="155" t="s">
        <v>26</v>
      </c>
      <c r="B3" s="156"/>
      <c r="C3" s="157"/>
      <c r="D3" s="158" t="str">
        <f>'Necesidades Trimestrales'!C4</f>
        <v>040 - Ministerio de Salud</v>
      </c>
      <c r="E3" s="159"/>
      <c r="F3" s="159"/>
      <c r="G3" s="159"/>
      <c r="H3" s="159"/>
      <c r="I3" s="159"/>
      <c r="J3" s="159"/>
      <c r="K3" s="160"/>
    </row>
    <row r="4" spans="1:11" ht="19.5" customHeight="1" thickBot="1" x14ac:dyDescent="0.25">
      <c r="A4" s="161" t="s">
        <v>27</v>
      </c>
      <c r="B4" s="162"/>
      <c r="C4" s="163"/>
      <c r="D4" s="164" t="str">
        <f>'Necesidades Trimestrales'!C5</f>
        <v>28- Maternidad Provincial 25 de Mayo</v>
      </c>
      <c r="E4" s="165"/>
      <c r="F4" s="165"/>
      <c r="G4" s="165"/>
      <c r="H4" s="165"/>
      <c r="I4" s="165"/>
      <c r="J4" s="165"/>
      <c r="K4" s="166"/>
    </row>
    <row r="5" spans="1:11" ht="19.5" customHeight="1" thickBot="1" x14ac:dyDescent="0.25">
      <c r="A5" s="161" t="s">
        <v>28</v>
      </c>
      <c r="B5" s="162"/>
      <c r="C5" s="163"/>
      <c r="D5" s="167" t="s">
        <v>104</v>
      </c>
      <c r="E5" s="167"/>
      <c r="F5" s="167"/>
      <c r="G5" s="167"/>
      <c r="H5" s="167"/>
      <c r="I5" s="167"/>
      <c r="J5" s="167"/>
      <c r="K5" s="167"/>
    </row>
    <row r="6" spans="1:11" ht="19.5" customHeight="1" thickBot="1" x14ac:dyDescent="0.25">
      <c r="A6" s="170" t="s">
        <v>29</v>
      </c>
      <c r="B6" s="171"/>
      <c r="C6" s="172"/>
      <c r="D6" s="167" t="s">
        <v>105</v>
      </c>
      <c r="E6" s="167"/>
      <c r="F6" s="167"/>
      <c r="G6" s="167"/>
      <c r="H6" s="167"/>
      <c r="I6" s="167"/>
      <c r="J6" s="167"/>
      <c r="K6" s="167"/>
    </row>
    <row r="7" spans="1:11" ht="19.5" customHeight="1" thickBot="1" x14ac:dyDescent="0.25">
      <c r="A7" s="161" t="s">
        <v>30</v>
      </c>
      <c r="B7" s="162"/>
      <c r="C7" s="163"/>
      <c r="D7" s="164" t="s">
        <v>97</v>
      </c>
      <c r="E7" s="165"/>
      <c r="F7" s="165"/>
      <c r="G7" s="165"/>
      <c r="H7" s="165"/>
      <c r="I7" s="165"/>
      <c r="J7" s="165"/>
      <c r="K7" s="166"/>
    </row>
    <row r="8" spans="1:11" ht="30" customHeight="1" x14ac:dyDescent="0.2">
      <c r="A8" s="168" t="s">
        <v>31</v>
      </c>
      <c r="B8" s="165"/>
      <c r="C8" s="169"/>
      <c r="D8" s="176" t="s">
        <v>98</v>
      </c>
      <c r="E8" s="177"/>
      <c r="F8" s="177"/>
      <c r="G8" s="177"/>
      <c r="H8" s="177"/>
      <c r="I8" s="177"/>
      <c r="J8" s="177"/>
      <c r="K8" s="178"/>
    </row>
    <row r="9" spans="1:11" ht="12.75" customHeight="1" thickBot="1" x14ac:dyDescent="0.25">
      <c r="A9" s="8"/>
      <c r="B9" s="8"/>
      <c r="C9" s="8"/>
      <c r="D9" s="9"/>
      <c r="E9" s="9"/>
      <c r="F9" s="9"/>
      <c r="G9" s="9"/>
      <c r="H9" s="9"/>
      <c r="I9" s="9"/>
      <c r="J9" s="9"/>
      <c r="K9" s="9"/>
    </row>
    <row r="10" spans="1:11" ht="12.75" customHeight="1" thickBot="1" x14ac:dyDescent="0.25">
      <c r="A10" s="173" t="s">
        <v>32</v>
      </c>
      <c r="B10" s="174" t="s">
        <v>33</v>
      </c>
      <c r="C10" s="174" t="s">
        <v>34</v>
      </c>
      <c r="D10" s="153"/>
      <c r="E10" s="153"/>
      <c r="F10" s="153"/>
      <c r="G10" s="153"/>
      <c r="H10" s="174" t="s">
        <v>35</v>
      </c>
      <c r="I10" s="174" t="s">
        <v>36</v>
      </c>
      <c r="J10" s="174" t="s">
        <v>37</v>
      </c>
      <c r="K10" s="174" t="s">
        <v>38</v>
      </c>
    </row>
    <row r="11" spans="1:11" ht="32.25" customHeight="1" thickBot="1" x14ac:dyDescent="0.25">
      <c r="A11" s="153"/>
      <c r="B11" s="153"/>
      <c r="C11" s="153"/>
      <c r="D11" s="153"/>
      <c r="E11" s="153"/>
      <c r="F11" s="153"/>
      <c r="G11" s="153"/>
      <c r="H11" s="153"/>
      <c r="I11" s="153"/>
      <c r="J11" s="153"/>
      <c r="K11" s="153"/>
    </row>
    <row r="12" spans="1:11" ht="32.25" customHeight="1" thickBot="1" x14ac:dyDescent="0.25">
      <c r="A12" s="59">
        <v>2</v>
      </c>
      <c r="B12" s="60" t="str">
        <f>+'Necesidades Trimestrales'!B10</f>
        <v>2.5.2-1724.29</v>
      </c>
      <c r="C12" s="179" t="str">
        <f>+'Necesidades Trimestrales'!E10</f>
        <v>ANALGESICOS ; TIPO: MONODROGA, DROGA GENERICA: PARACETAMOL, FORMA FARMACEUTICA: GOTAS, PRESENTACION: 20 mL</v>
      </c>
      <c r="D12" s="153"/>
      <c r="E12" s="153"/>
      <c r="F12" s="153"/>
      <c r="G12" s="153"/>
      <c r="H12" s="59" t="s">
        <v>39</v>
      </c>
      <c r="I12" s="61" t="str">
        <f>+'Necesidades Trimestrales'!F10</f>
        <v>GOTERO</v>
      </c>
      <c r="J12" s="62">
        <f>+'Necesidades Trimestrales'!H10</f>
        <v>243.8</v>
      </c>
      <c r="K12" s="63">
        <f>+'Necesidades Trimestrales'!G10</f>
        <v>400</v>
      </c>
    </row>
    <row r="13" spans="1:11" ht="32.25" customHeight="1" thickBot="1" x14ac:dyDescent="0.25">
      <c r="A13" s="59">
        <v>3</v>
      </c>
      <c r="B13" s="60" t="str">
        <f>+'Necesidades Trimestrales'!B11</f>
        <v>2.5.2-1724.154</v>
      </c>
      <c r="C13" s="179" t="str">
        <f>+'Necesidades Trimestrales'!E11</f>
        <v>ANALGESICOS ; TIPO: MONODROGA, DROGA GENERICA: TRAMADOL 50 mGr, FORMA FARMACEUTICA: AMPOLLA, PRESENTACION: UNIDAD</v>
      </c>
      <c r="D13" s="153"/>
      <c r="E13" s="153"/>
      <c r="F13" s="153"/>
      <c r="G13" s="153"/>
      <c r="H13" s="59" t="s">
        <v>39</v>
      </c>
      <c r="I13" s="61" t="str">
        <f>+'Necesidades Trimestrales'!F11</f>
        <v>AMPOLLA</v>
      </c>
      <c r="J13" s="62">
        <f>+'Necesidades Trimestrales'!H11</f>
        <v>68.900000000000006</v>
      </c>
      <c r="K13" s="63">
        <f>+'Necesidades Trimestrales'!G11</f>
        <v>100</v>
      </c>
    </row>
    <row r="14" spans="1:11" ht="32.25" customHeight="1" thickBot="1" x14ac:dyDescent="0.25">
      <c r="A14" s="59">
        <v>4</v>
      </c>
      <c r="B14" s="60" t="str">
        <f>+'Necesidades Trimestrales'!B12</f>
        <v>2.5.2-1821.5</v>
      </c>
      <c r="C14" s="179" t="str">
        <f>+'Necesidades Trimestrales'!E12</f>
        <v>ANTIBIOTICOS P/PERSONAS; TIPO: MONODROGA, DROGA GENERICA: AMPICILINA, FORMA FARMACEUTICA: COMPRIMIDOS, PRESENTACION: 500 mGr</v>
      </c>
      <c r="D14" s="153"/>
      <c r="E14" s="153"/>
      <c r="F14" s="153"/>
      <c r="G14" s="153"/>
      <c r="H14" s="59" t="s">
        <v>39</v>
      </c>
      <c r="I14" s="61" t="str">
        <f>+'Necesidades Trimestrales'!F12</f>
        <v>COMPRIMIDO</v>
      </c>
      <c r="J14" s="62">
        <f>+'Necesidades Trimestrales'!H12</f>
        <v>18.100000000000001</v>
      </c>
      <c r="K14" s="63">
        <f>+'Necesidades Trimestrales'!G12</f>
        <v>80</v>
      </c>
    </row>
    <row r="15" spans="1:11" ht="32.25" customHeight="1" thickBot="1" x14ac:dyDescent="0.25">
      <c r="A15" s="59">
        <v>5</v>
      </c>
      <c r="B15" s="60" t="str">
        <f>+'Necesidades Trimestrales'!B13</f>
        <v>2.5.2-1821.458</v>
      </c>
      <c r="C15" s="179" t="str">
        <f>+'Necesidades Trimestrales'!E13</f>
        <v>ANTIBIOTICOS P/PERSONAS; TIPO: MONODROGA, DROGA GENERICA: DOXICICLINA 100 mGr, FORMA FARMACEUTICA: COMPRIMIDO, PRESENTACION: UNIDAD</v>
      </c>
      <c r="D15" s="153"/>
      <c r="E15" s="153"/>
      <c r="F15" s="153"/>
      <c r="G15" s="153"/>
      <c r="H15" s="59" t="s">
        <v>39</v>
      </c>
      <c r="I15" s="61" t="str">
        <f>+'Necesidades Trimestrales'!F13</f>
        <v>COMPRIMIDO</v>
      </c>
      <c r="J15" s="62">
        <f>+'Necesidades Trimestrales'!H13</f>
        <v>19.079999999999998</v>
      </c>
      <c r="K15" s="63">
        <f>+'Necesidades Trimestrales'!G13</f>
        <v>216</v>
      </c>
    </row>
    <row r="16" spans="1:11" ht="32.25" customHeight="1" thickBot="1" x14ac:dyDescent="0.25">
      <c r="A16" s="59">
        <v>7</v>
      </c>
      <c r="B16" s="60" t="str">
        <f>+'Necesidades Trimestrales'!B14</f>
        <v>2.5.2-1865.2</v>
      </c>
      <c r="C16" s="179" t="str">
        <f>+'Necesidades Trimestrales'!E14</f>
        <v>ANTIEPILEPTICOS; TIPO: MONODROGA, FORMA FARMACEUTICA: AMPOLLA, PRESENTACION: 200 mGr, DROGA GENERICA: FENOBARBITAL</v>
      </c>
      <c r="D16" s="153"/>
      <c r="E16" s="153"/>
      <c r="F16" s="153"/>
      <c r="G16" s="153"/>
      <c r="H16" s="59" t="s">
        <v>39</v>
      </c>
      <c r="I16" s="61" t="str">
        <f>+'Necesidades Trimestrales'!F14</f>
        <v>AMPOLLA</v>
      </c>
      <c r="J16" s="62">
        <f>+'Necesidades Trimestrales'!H14</f>
        <v>413.4</v>
      </c>
      <c r="K16" s="63">
        <f>+'Necesidades Trimestrales'!G14</f>
        <v>200</v>
      </c>
    </row>
    <row r="17" spans="1:11" ht="32.25" customHeight="1" thickBot="1" x14ac:dyDescent="0.25">
      <c r="A17" s="59">
        <v>9</v>
      </c>
      <c r="B17" s="60" t="str">
        <f>+'Necesidades Trimestrales'!B15</f>
        <v>2.5.2-1725.68</v>
      </c>
      <c r="C17" s="179" t="str">
        <f>+'Necesidades Trimestrales'!E15</f>
        <v>ANTIINFLAMATORIOS NO ESTEROIDE; TIPO: MONODROGA, DROGA GENERICA: IBUPROFENO, FORMA FARMACEUTICA: COMPRIMIDO, PRESENTACION: 400 mGr</v>
      </c>
      <c r="D17" s="153"/>
      <c r="E17" s="153"/>
      <c r="F17" s="153"/>
      <c r="G17" s="153"/>
      <c r="H17" s="59" t="s">
        <v>39</v>
      </c>
      <c r="I17" s="61" t="str">
        <f>+'Necesidades Trimestrales'!F15</f>
        <v>COMPRIMIDO</v>
      </c>
      <c r="J17" s="62">
        <f>+'Necesidades Trimestrales'!H15</f>
        <v>5.08</v>
      </c>
      <c r="K17" s="63">
        <f>+'Necesidades Trimestrales'!G15</f>
        <v>60</v>
      </c>
    </row>
    <row r="18" spans="1:11" ht="32.25" customHeight="1" thickBot="1" x14ac:dyDescent="0.25">
      <c r="A18" s="59">
        <v>11</v>
      </c>
      <c r="B18" s="60" t="str">
        <f>+'Necesidades Trimestrales'!B16</f>
        <v>2.5.2-1855.23</v>
      </c>
      <c r="C18" s="179" t="str">
        <f>+'Necesidades Trimestrales'!E16</f>
        <v>CORTICOESTEROIDES; TIPO: MONODROGA, DROGA GENERICA: BETAMETASONA, FORMA FARMACEUTICA: CREMA, PRESENTACION: 15 GR</v>
      </c>
      <c r="D18" s="153"/>
      <c r="E18" s="153"/>
      <c r="F18" s="153"/>
      <c r="G18" s="153"/>
      <c r="H18" s="59" t="s">
        <v>39</v>
      </c>
      <c r="I18" s="61" t="str">
        <f>+'Necesidades Trimestrales'!F16</f>
        <v>ENVASE</v>
      </c>
      <c r="J18" s="62">
        <f>+'Necesidades Trimestrales'!H16</f>
        <v>249.1</v>
      </c>
      <c r="K18" s="63">
        <f>+'Necesidades Trimestrales'!G16</f>
        <v>10</v>
      </c>
    </row>
    <row r="19" spans="1:11" ht="32.25" customHeight="1" thickBot="1" x14ac:dyDescent="0.25">
      <c r="A19" s="59">
        <v>14</v>
      </c>
      <c r="B19" s="60" t="str">
        <f>+'Necesidades Trimestrales'!B17</f>
        <v>2.5.2-1851.29</v>
      </c>
      <c r="C19" s="179" t="str">
        <f>+'Necesidades Trimestrales'!E17</f>
        <v>GENITOURINARIO; TIPO: MONODROGA, DROGA GENÉRICA: NISTATINA, FORMA FARMACEÚTICA: COMPRIMIDO VAGINAL, PRESENTACIÓN: 100000 UI</v>
      </c>
      <c r="D19" s="153"/>
      <c r="E19" s="153"/>
      <c r="F19" s="153"/>
      <c r="G19" s="153"/>
      <c r="H19" s="59" t="s">
        <v>39</v>
      </c>
      <c r="I19" s="61" t="str">
        <f>+'Necesidades Trimestrales'!F17</f>
        <v>COMPRIMIDO</v>
      </c>
      <c r="J19" s="62">
        <f>+'Necesidades Trimestrales'!H17</f>
        <v>22.7</v>
      </c>
      <c r="K19" s="63">
        <f>+'Necesidades Trimestrales'!G17</f>
        <v>80</v>
      </c>
    </row>
    <row r="20" spans="1:11" ht="32.25" customHeight="1" thickBot="1" x14ac:dyDescent="0.25">
      <c r="A20" s="59">
        <v>17</v>
      </c>
      <c r="B20" s="60" t="str">
        <f>+'Necesidades Trimestrales'!B18</f>
        <v>2.9.5-2366.2</v>
      </c>
      <c r="C20" s="179" t="str">
        <f>+'Necesidades Trimestrales'!E18</f>
        <v>HISOPOS; MATERIAL DE EXTREMOS: ALGODON, PRESENTACION: CAJA X 100</v>
      </c>
      <c r="D20" s="153"/>
      <c r="E20" s="153"/>
      <c r="F20" s="153"/>
      <c r="G20" s="153"/>
      <c r="H20" s="59" t="s">
        <v>39</v>
      </c>
      <c r="I20" s="61" t="str">
        <f>+'Necesidades Trimestrales'!F18</f>
        <v>CAJA</v>
      </c>
      <c r="J20" s="62">
        <f>+'Necesidades Trimestrales'!H18</f>
        <v>650</v>
      </c>
      <c r="K20" s="63">
        <f>+'Necesidades Trimestrales'!G18</f>
        <v>50</v>
      </c>
    </row>
    <row r="21" spans="1:11" ht="32.25" customHeight="1" thickBot="1" x14ac:dyDescent="0.25">
      <c r="A21" s="59">
        <v>18</v>
      </c>
      <c r="B21" s="60" t="str">
        <f>+'Necesidades Trimestrales'!B19</f>
        <v>2.5.2-1895.8</v>
      </c>
      <c r="C21" s="179" t="str">
        <f>+'Necesidades Trimestrales'!E19</f>
        <v>HORMONAS MEDICINALES; TIPO: MONODROGA, DROGA GENERICA: GONADOTROFINA CORIONICA, FORMA FARMACEUTICA: AMPOLLA, PRESENTACION: 5000 UI, USO: SEXUAL</v>
      </c>
      <c r="D21" s="153"/>
      <c r="E21" s="153"/>
      <c r="F21" s="153"/>
      <c r="G21" s="153"/>
      <c r="H21" s="59" t="s">
        <v>39</v>
      </c>
      <c r="I21" s="61" t="str">
        <f>+'Necesidades Trimestrales'!F19</f>
        <v>UNIDAD</v>
      </c>
      <c r="J21" s="62">
        <f>+'Necesidades Trimestrales'!H19</f>
        <v>6450</v>
      </c>
      <c r="K21" s="63">
        <f>+'Necesidades Trimestrales'!G19</f>
        <v>90</v>
      </c>
    </row>
    <row r="22" spans="1:11" ht="32.25" customHeight="1" thickBot="1" x14ac:dyDescent="0.25">
      <c r="A22" s="59">
        <v>20</v>
      </c>
      <c r="B22" s="60" t="str">
        <f>+'Necesidades Trimestrales'!B20</f>
        <v>2.9.5-467.112</v>
      </c>
      <c r="C22" s="179" t="str">
        <f>+'Necesidades Trimestrales'!E20</f>
        <v>MASCARAS ;TIPO TOTAL FACE -TAMANO X GRANDE , MATERIAL : SILICONA, USO : P/VNI ADULTO</v>
      </c>
      <c r="D22" s="153"/>
      <c r="E22" s="153"/>
      <c r="F22" s="153"/>
      <c r="G22" s="153"/>
      <c r="H22" s="59" t="s">
        <v>74</v>
      </c>
      <c r="I22" s="61" t="str">
        <f>+'Necesidades Trimestrales'!F20</f>
        <v>UNIDAD</v>
      </c>
      <c r="J22" s="62">
        <f>+'Necesidades Trimestrales'!H20</f>
        <v>38000</v>
      </c>
      <c r="K22" s="63">
        <f>+'Necesidades Trimestrales'!G20</f>
        <v>6</v>
      </c>
    </row>
    <row r="23" spans="1:11" ht="32.25" customHeight="1" thickBot="1" x14ac:dyDescent="0.25">
      <c r="A23" s="59">
        <v>21</v>
      </c>
      <c r="B23" s="60" t="str">
        <f>+'Necesidades Trimestrales'!B21</f>
        <v>2.9.5-467.104</v>
      </c>
      <c r="C23" s="179" t="str">
        <f>+'Necesidades Trimestrales'!E21</f>
        <v>MASCARAS; TIPO: HALO CEFALICO GRANDE (230 MM X 200 MM), MATERIAL: ACRILICO, USO: CONCENTRACION DE OXIGENO PEDIATRICO</v>
      </c>
      <c r="D23" s="153"/>
      <c r="E23" s="153"/>
      <c r="F23" s="153"/>
      <c r="G23" s="153"/>
      <c r="H23" s="59" t="s">
        <v>74</v>
      </c>
      <c r="I23" s="61" t="str">
        <f>+'Necesidades Trimestrales'!F21</f>
        <v>UNIDAD</v>
      </c>
      <c r="J23" s="62">
        <f>+'Necesidades Trimestrales'!H21</f>
        <v>20345</v>
      </c>
      <c r="K23" s="63">
        <f>+'Necesidades Trimestrales'!G21</f>
        <v>10</v>
      </c>
    </row>
    <row r="24" spans="1:11" ht="32.25" customHeight="1" thickBot="1" x14ac:dyDescent="0.25">
      <c r="A24" s="59">
        <v>22</v>
      </c>
      <c r="B24" s="60" t="str">
        <f>+'Necesidades Trimestrales'!B22</f>
        <v>2.9.5-467.103</v>
      </c>
      <c r="C24" s="179" t="str">
        <f>+'Necesidades Trimestrales'!E22</f>
        <v>MASCARAS; TIPO: HALO CEFALICO MEDIANO (200 MM X 180 MM), MATERIAL: ACRILICO, USO: CONCENTRACION DE OXIGENO PEDIATRICO</v>
      </c>
      <c r="D24" s="153"/>
      <c r="E24" s="153"/>
      <c r="F24" s="153"/>
      <c r="G24" s="153"/>
      <c r="H24" s="59" t="s">
        <v>74</v>
      </c>
      <c r="I24" s="61" t="str">
        <f>+'Necesidades Trimestrales'!F22</f>
        <v>UNIDAD</v>
      </c>
      <c r="J24" s="62">
        <f>+'Necesidades Trimestrales'!H22</f>
        <v>17680</v>
      </c>
      <c r="K24" s="63">
        <f>+'Necesidades Trimestrales'!G22</f>
        <v>10</v>
      </c>
    </row>
    <row r="25" spans="1:11" ht="32.25" customHeight="1" thickBot="1" x14ac:dyDescent="0.25">
      <c r="A25" s="59">
        <v>23</v>
      </c>
      <c r="B25" s="60" t="str">
        <f>+'Necesidades Trimestrales'!B23</f>
        <v>2.9.5-467.108</v>
      </c>
      <c r="C25" s="179" t="str">
        <f>+'Necesidades Trimestrales'!E23</f>
        <v>MASCARAS; TIPO: ORONASAL- TAMAÑO M , MATERIAL: SILICONA, USO: P/VNI ADULTO CON VALVULA ANTIAFIXIA</v>
      </c>
      <c r="D25" s="153"/>
      <c r="E25" s="153"/>
      <c r="F25" s="153"/>
      <c r="G25" s="153"/>
      <c r="H25" s="59" t="s">
        <v>39</v>
      </c>
      <c r="I25" s="61" t="str">
        <f>+'Necesidades Trimestrales'!F23</f>
        <v>UNIDAD</v>
      </c>
      <c r="J25" s="62">
        <f>+'Necesidades Trimestrales'!H23</f>
        <v>32000</v>
      </c>
      <c r="K25" s="63">
        <f>+'Necesidades Trimestrales'!G23</f>
        <v>6</v>
      </c>
    </row>
    <row r="26" spans="1:11" ht="32.25" customHeight="1" thickBot="1" x14ac:dyDescent="0.25">
      <c r="A26" s="59">
        <v>29</v>
      </c>
      <c r="B26" s="60" t="str">
        <f>+'Necesidades Trimestrales'!B24</f>
        <v>2.9.5-6509.36</v>
      </c>
      <c r="C26" s="179" t="str">
        <f>+'Necesidades Trimestrales'!E24</f>
        <v>SET DE TUBULADURA; USO: RESPIRADOR, PRESENTACION: UNIDAD, TIPO: C-PAP BURBUJAS P/INFANTE</v>
      </c>
      <c r="D26" s="153"/>
      <c r="E26" s="153"/>
      <c r="F26" s="153"/>
      <c r="G26" s="153"/>
      <c r="H26" s="59" t="s">
        <v>74</v>
      </c>
      <c r="I26" s="61" t="str">
        <f>+'Necesidades Trimestrales'!F24</f>
        <v>UNIDAD</v>
      </c>
      <c r="J26" s="62">
        <f>+'Necesidades Trimestrales'!H24</f>
        <v>0</v>
      </c>
      <c r="K26" s="63">
        <f>+'Necesidades Trimestrales'!G24</f>
        <v>10</v>
      </c>
    </row>
    <row r="27" spans="1:11" ht="21" customHeight="1" thickBot="1" x14ac:dyDescent="0.25">
      <c r="A27" s="152" t="s">
        <v>108</v>
      </c>
      <c r="B27" s="153"/>
      <c r="C27" s="153"/>
      <c r="D27" s="153"/>
      <c r="E27" s="153"/>
      <c r="F27" s="153"/>
      <c r="G27" s="153"/>
      <c r="H27" s="153"/>
      <c r="I27" s="153"/>
      <c r="J27" s="154">
        <f>SUMPRODUCT(J12:J26,K12:K26)</f>
        <v>1610521.08</v>
      </c>
      <c r="K27" s="153"/>
    </row>
  </sheetData>
  <mergeCells count="37">
    <mergeCell ref="C19:G19"/>
    <mergeCell ref="C22:G22"/>
    <mergeCell ref="C23:G23"/>
    <mergeCell ref="C24:G24"/>
    <mergeCell ref="C26:G26"/>
    <mergeCell ref="C25:G25"/>
    <mergeCell ref="C20:G20"/>
    <mergeCell ref="C21:G21"/>
    <mergeCell ref="C16:G16"/>
    <mergeCell ref="C17:G17"/>
    <mergeCell ref="C18:G18"/>
    <mergeCell ref="C12:G12"/>
    <mergeCell ref="C13:G13"/>
    <mergeCell ref="C14:G14"/>
    <mergeCell ref="C15:G15"/>
    <mergeCell ref="J10:J11"/>
    <mergeCell ref="A1:I1"/>
    <mergeCell ref="D6:K6"/>
    <mergeCell ref="D7:K7"/>
    <mergeCell ref="D8:K8"/>
    <mergeCell ref="K10:K11"/>
    <mergeCell ref="A27:I27"/>
    <mergeCell ref="J27:K27"/>
    <mergeCell ref="A3:C3"/>
    <mergeCell ref="D3:K3"/>
    <mergeCell ref="A4:C4"/>
    <mergeCell ref="D4:K4"/>
    <mergeCell ref="A5:C5"/>
    <mergeCell ref="D5:K5"/>
    <mergeCell ref="A7:C7"/>
    <mergeCell ref="A8:C8"/>
    <mergeCell ref="A6:C6"/>
    <mergeCell ref="A10:A11"/>
    <mergeCell ref="B10:B11"/>
    <mergeCell ref="C10:G11"/>
    <mergeCell ref="H10:H11"/>
    <mergeCell ref="I10:I11"/>
  </mergeCells>
  <printOptions horizontalCentered="1"/>
  <pageMargins left="0.196527777777778" right="0.196527777777778" top="0.98402777777777795" bottom="0.98402777777777795" header="0" footer="0"/>
  <pageSetup paperSize="9" scale="5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99"/>
  <sheetViews>
    <sheetView workbookViewId="0">
      <selection activeCell="Q22" sqref="Q22"/>
    </sheetView>
  </sheetViews>
  <sheetFormatPr baseColWidth="10" defaultColWidth="12.5703125" defaultRowHeight="15" customHeight="1" x14ac:dyDescent="0.2"/>
  <cols>
    <col min="1" max="5" width="4.42578125" customWidth="1"/>
    <col min="6" max="6" width="5" customWidth="1"/>
    <col min="7" max="14" width="4.42578125" customWidth="1"/>
    <col min="15" max="15" width="14.85546875" customWidth="1"/>
    <col min="16" max="16" width="21" customWidth="1"/>
    <col min="17" max="17" width="14.7109375" customWidth="1"/>
    <col min="18" max="18" width="11" customWidth="1"/>
  </cols>
  <sheetData>
    <row r="1" spans="1:18" ht="15.75" customHeight="1" x14ac:dyDescent="0.25">
      <c r="A1" s="212" t="s">
        <v>4</v>
      </c>
      <c r="B1" s="159"/>
      <c r="C1" s="159"/>
      <c r="D1" s="213">
        <f>'Necesidades Trimestrales'!C6</f>
        <v>2022</v>
      </c>
      <c r="E1" s="160"/>
      <c r="F1" s="10"/>
      <c r="G1" s="10"/>
      <c r="H1" s="11"/>
      <c r="I1" s="11"/>
      <c r="J1" s="11"/>
      <c r="K1" s="11"/>
      <c r="L1" s="11"/>
      <c r="M1" s="11"/>
      <c r="N1" s="11"/>
      <c r="P1" s="207" t="s">
        <v>40</v>
      </c>
      <c r="Q1" s="182"/>
    </row>
    <row r="2" spans="1:18" ht="15.75" customHeight="1" x14ac:dyDescent="0.2">
      <c r="G2" s="12"/>
      <c r="H2" s="11"/>
      <c r="I2" s="11"/>
      <c r="J2" s="11"/>
      <c r="K2" s="11"/>
      <c r="L2" s="11"/>
      <c r="M2" s="11"/>
      <c r="N2" s="11"/>
      <c r="P2" s="208"/>
      <c r="Q2" s="209"/>
    </row>
    <row r="3" spans="1:18" ht="12.75" customHeight="1" x14ac:dyDescent="0.2">
      <c r="G3" s="12"/>
    </row>
    <row r="4" spans="1:18" ht="14.25" x14ac:dyDescent="0.2">
      <c r="A4" s="210" t="s">
        <v>41</v>
      </c>
      <c r="B4" s="156"/>
      <c r="C4" s="156"/>
      <c r="D4" s="156"/>
      <c r="E4" s="156"/>
      <c r="F4" s="198"/>
      <c r="G4" s="211" t="str">
        <f>' NotaPedido'!D3</f>
        <v>040 - Ministerio de Salud</v>
      </c>
      <c r="H4" s="156"/>
      <c r="I4" s="156"/>
      <c r="J4" s="156"/>
      <c r="K4" s="156"/>
      <c r="L4" s="156"/>
      <c r="M4" s="156"/>
      <c r="N4" s="156"/>
      <c r="O4" s="156"/>
      <c r="P4" s="156"/>
      <c r="Q4" s="198"/>
      <c r="R4" s="13"/>
    </row>
    <row r="5" spans="1:18" ht="14.25" x14ac:dyDescent="0.2">
      <c r="A5" s="199" t="s">
        <v>27</v>
      </c>
      <c r="B5" s="171"/>
      <c r="C5" s="171"/>
      <c r="D5" s="171"/>
      <c r="E5" s="171"/>
      <c r="F5" s="200"/>
      <c r="G5" s="201" t="str">
        <f>' NotaPedido'!D4</f>
        <v>28- Maternidad Provincial 25 de Mayo</v>
      </c>
      <c r="H5" s="171"/>
      <c r="I5" s="171"/>
      <c r="J5" s="171"/>
      <c r="K5" s="171"/>
      <c r="L5" s="171"/>
      <c r="M5" s="171"/>
      <c r="N5" s="171"/>
      <c r="O5" s="171"/>
      <c r="P5" s="171"/>
      <c r="Q5" s="200"/>
      <c r="R5" s="13"/>
    </row>
    <row r="6" spans="1:18" ht="14.25" x14ac:dyDescent="0.2">
      <c r="A6" s="199" t="s">
        <v>28</v>
      </c>
      <c r="B6" s="171"/>
      <c r="C6" s="171"/>
      <c r="D6" s="171"/>
      <c r="E6" s="171"/>
      <c r="F6" s="200"/>
      <c r="G6" s="201" t="str">
        <f>' NotaPedido'!D5</f>
        <v xml:space="preserve">169- Direccion Asistencial </v>
      </c>
      <c r="H6" s="171"/>
      <c r="I6" s="171"/>
      <c r="J6" s="171"/>
      <c r="K6" s="171"/>
      <c r="L6" s="171"/>
      <c r="M6" s="171"/>
      <c r="N6" s="171"/>
      <c r="O6" s="171"/>
      <c r="P6" s="171"/>
      <c r="Q6" s="200"/>
      <c r="R6" s="13"/>
    </row>
    <row r="7" spans="1:18" ht="14.25" x14ac:dyDescent="0.2">
      <c r="A7" s="199" t="s">
        <v>29</v>
      </c>
      <c r="B7" s="171"/>
      <c r="C7" s="171"/>
      <c r="D7" s="171"/>
      <c r="E7" s="171"/>
      <c r="F7" s="200"/>
      <c r="G7" s="201" t="str">
        <f>' NotaPedido'!D6</f>
        <v xml:space="preserve">Servicio de Farmacia  </v>
      </c>
      <c r="H7" s="171"/>
      <c r="I7" s="171"/>
      <c r="J7" s="171"/>
      <c r="K7" s="171"/>
      <c r="L7" s="171"/>
      <c r="M7" s="171"/>
      <c r="N7" s="171"/>
      <c r="O7" s="171"/>
      <c r="P7" s="171"/>
      <c r="Q7" s="200"/>
      <c r="R7" s="13"/>
    </row>
    <row r="8" spans="1:18" ht="18" customHeight="1" x14ac:dyDescent="0.2">
      <c r="A8" s="197" t="s">
        <v>42</v>
      </c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98"/>
    </row>
    <row r="9" spans="1:18" ht="18" customHeight="1" x14ac:dyDescent="0.2">
      <c r="A9" s="202" t="s">
        <v>43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13"/>
      <c r="P9" s="13"/>
      <c r="Q9" s="14"/>
    </row>
    <row r="10" spans="1:18" ht="54.75" customHeight="1" x14ac:dyDescent="0.2">
      <c r="A10" s="204" t="str">
        <f>"Autorizo la realización de los  trámites correspondientes, a fin de proveer a  este Organismo los bienes y/o servicios que se detallan en Nota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xxx/2022,  afectando la erogación resultante a los créditos presupuestarios aprobados a favor de esta Unidad Ejecutora, conforme al siguiente detalle:</v>
      </c>
      <c r="B10" s="205"/>
      <c r="C10" s="205"/>
      <c r="D10" s="205"/>
      <c r="E10" s="205"/>
      <c r="F10" s="205"/>
      <c r="G10" s="205"/>
      <c r="H10" s="205"/>
      <c r="I10" s="205"/>
      <c r="J10" s="205"/>
      <c r="K10" s="205"/>
      <c r="L10" s="205"/>
      <c r="M10" s="205"/>
      <c r="N10" s="205"/>
      <c r="O10" s="205"/>
      <c r="P10" s="205"/>
      <c r="Q10" s="206"/>
    </row>
    <row r="11" spans="1:18" ht="9" customHeight="1" x14ac:dyDescent="0.2">
      <c r="A11" s="15"/>
      <c r="B11" s="16"/>
      <c r="C11" s="16"/>
      <c r="D11" s="16"/>
      <c r="E11" s="16"/>
      <c r="F11" s="16"/>
      <c r="G11" s="17"/>
      <c r="H11" s="16"/>
      <c r="I11" s="16"/>
      <c r="J11" s="16"/>
      <c r="K11" s="16"/>
      <c r="L11" s="16"/>
      <c r="M11" s="16"/>
      <c r="N11" s="16"/>
      <c r="O11" s="16"/>
      <c r="P11" s="16"/>
      <c r="Q11" s="18"/>
    </row>
    <row r="12" spans="1:18" ht="15.75" customHeight="1" thickBot="1" x14ac:dyDescent="0.25">
      <c r="A12" s="180" t="s">
        <v>44</v>
      </c>
      <c r="B12" s="181"/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2"/>
    </row>
    <row r="13" spans="1:18" ht="15.75" customHeight="1" thickBot="1" x14ac:dyDescent="0.25">
      <c r="A13" s="183" t="s">
        <v>45</v>
      </c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7"/>
      <c r="O13" s="185" t="s">
        <v>46</v>
      </c>
      <c r="P13" s="186"/>
      <c r="Q13" s="189" t="s">
        <v>47</v>
      </c>
    </row>
    <row r="14" spans="1:18" ht="15.75" customHeight="1" thickBot="1" x14ac:dyDescent="0.25">
      <c r="A14" s="19" t="s">
        <v>48</v>
      </c>
      <c r="B14" s="20" t="s">
        <v>49</v>
      </c>
      <c r="C14" s="20" t="s">
        <v>50</v>
      </c>
      <c r="D14" s="20" t="s">
        <v>51</v>
      </c>
      <c r="E14" s="20" t="s">
        <v>52</v>
      </c>
      <c r="F14" s="20" t="s">
        <v>53</v>
      </c>
      <c r="G14" s="21" t="s">
        <v>54</v>
      </c>
      <c r="H14" s="20" t="s">
        <v>55</v>
      </c>
      <c r="I14" s="20" t="s">
        <v>56</v>
      </c>
      <c r="J14" s="20" t="s">
        <v>57</v>
      </c>
      <c r="K14" s="20" t="s">
        <v>57</v>
      </c>
      <c r="L14" s="20" t="s">
        <v>58</v>
      </c>
      <c r="M14" s="22" t="s">
        <v>59</v>
      </c>
      <c r="N14" s="106" t="s">
        <v>60</v>
      </c>
      <c r="O14" s="187"/>
      <c r="P14" s="188"/>
      <c r="Q14" s="190"/>
    </row>
    <row r="15" spans="1:18" ht="24.75" customHeight="1" x14ac:dyDescent="0.2">
      <c r="A15" s="111">
        <v>42</v>
      </c>
      <c r="B15" s="112"/>
      <c r="C15" s="112"/>
      <c r="D15" s="112">
        <v>2</v>
      </c>
      <c r="E15" s="112"/>
      <c r="F15" s="112">
        <v>4901</v>
      </c>
      <c r="G15" s="112">
        <v>3</v>
      </c>
      <c r="H15" s="112">
        <v>310</v>
      </c>
      <c r="I15" s="113">
        <v>2</v>
      </c>
      <c r="J15" s="113">
        <v>5</v>
      </c>
      <c r="K15" s="113">
        <v>2</v>
      </c>
      <c r="L15" s="112"/>
      <c r="M15" s="114">
        <v>1</v>
      </c>
      <c r="N15" s="115" t="s">
        <v>61</v>
      </c>
      <c r="O15" s="191" t="s">
        <v>75</v>
      </c>
      <c r="P15" s="191"/>
      <c r="Q15" s="116">
        <v>777771.08</v>
      </c>
    </row>
    <row r="16" spans="1:18" ht="27" customHeight="1" x14ac:dyDescent="0.2">
      <c r="A16" s="111">
        <v>42</v>
      </c>
      <c r="B16" s="112"/>
      <c r="C16" s="112"/>
      <c r="D16" s="112">
        <v>2</v>
      </c>
      <c r="E16" s="112"/>
      <c r="F16" s="112">
        <v>4901</v>
      </c>
      <c r="G16" s="112">
        <v>3</v>
      </c>
      <c r="H16" s="112">
        <v>310</v>
      </c>
      <c r="I16" s="113">
        <v>2</v>
      </c>
      <c r="J16" s="113">
        <v>9</v>
      </c>
      <c r="K16" s="113">
        <v>5</v>
      </c>
      <c r="L16" s="112"/>
      <c r="M16" s="114">
        <v>1</v>
      </c>
      <c r="N16" s="115" t="s">
        <v>61</v>
      </c>
      <c r="O16" s="192" t="s">
        <v>96</v>
      </c>
      <c r="P16" s="192"/>
      <c r="Q16" s="116">
        <v>975750</v>
      </c>
    </row>
    <row r="17" spans="1:18" ht="17.25" customHeight="1" x14ac:dyDescent="0.2">
      <c r="A17" s="23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5"/>
      <c r="N17" s="26"/>
      <c r="O17" s="193"/>
      <c r="P17" s="194"/>
      <c r="Q17" s="27"/>
    </row>
    <row r="18" spans="1:18" ht="17.25" customHeight="1" x14ac:dyDescent="0.2">
      <c r="A18" s="23"/>
      <c r="B18" s="24"/>
      <c r="C18" s="24"/>
      <c r="D18" s="24"/>
      <c r="E18" s="24"/>
      <c r="F18" s="26"/>
      <c r="G18" s="24"/>
      <c r="H18" s="24"/>
      <c r="I18" s="24"/>
      <c r="J18" s="24"/>
      <c r="K18" s="24"/>
      <c r="L18" s="24"/>
      <c r="M18" s="25"/>
      <c r="N18" s="26"/>
      <c r="O18" s="195"/>
      <c r="P18" s="196"/>
      <c r="Q18" s="27"/>
    </row>
    <row r="19" spans="1:18" ht="17.25" customHeight="1" x14ac:dyDescent="0.2">
      <c r="A19" s="23"/>
      <c r="B19" s="24"/>
      <c r="C19" s="24"/>
      <c r="D19" s="24"/>
      <c r="E19" s="24"/>
      <c r="F19" s="26"/>
      <c r="G19" s="24"/>
      <c r="H19" s="24"/>
      <c r="I19" s="24"/>
      <c r="J19" s="24"/>
      <c r="K19" s="24"/>
      <c r="L19" s="24"/>
      <c r="M19" s="25"/>
      <c r="N19" s="26"/>
      <c r="O19" s="195"/>
      <c r="P19" s="196"/>
      <c r="Q19" s="27"/>
    </row>
    <row r="20" spans="1:18" ht="17.25" customHeight="1" x14ac:dyDescent="0.2">
      <c r="A20" s="28"/>
      <c r="B20" s="29"/>
      <c r="C20" s="29"/>
      <c r="D20" s="29"/>
      <c r="E20" s="29"/>
      <c r="F20" s="26"/>
      <c r="G20" s="29"/>
      <c r="H20" s="29"/>
      <c r="I20" s="29"/>
      <c r="J20" s="29"/>
      <c r="K20" s="29"/>
      <c r="L20" s="29"/>
      <c r="M20" s="30"/>
      <c r="N20" s="31"/>
      <c r="O20" s="195"/>
      <c r="P20" s="196"/>
      <c r="Q20" s="27"/>
      <c r="R20" s="13"/>
    </row>
    <row r="21" spans="1:18" ht="17.25" customHeight="1" x14ac:dyDescent="0.2">
      <c r="A21" s="32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4"/>
      <c r="N21" s="33"/>
      <c r="O21" s="224"/>
      <c r="P21" s="225"/>
      <c r="Q21" s="35"/>
    </row>
    <row r="22" spans="1:18" ht="29.25" customHeight="1" x14ac:dyDescent="0.2">
      <c r="A22" s="220" t="s">
        <v>109</v>
      </c>
      <c r="B22" s="221"/>
      <c r="C22" s="221"/>
      <c r="D22" s="221"/>
      <c r="E22" s="221"/>
      <c r="F22" s="221"/>
      <c r="G22" s="221"/>
      <c r="H22" s="221"/>
      <c r="I22" s="221"/>
      <c r="J22" s="221"/>
      <c r="K22" s="221"/>
      <c r="L22" s="221"/>
      <c r="M22" s="221"/>
      <c r="N22" s="221"/>
      <c r="O22" s="221"/>
      <c r="P22" s="222"/>
      <c r="Q22" s="117">
        <f>SUM(Q15:Q21)</f>
        <v>1753521.08</v>
      </c>
    </row>
    <row r="23" spans="1:18" ht="18" customHeight="1" x14ac:dyDescent="0.2">
      <c r="A23" s="223"/>
      <c r="B23" s="181"/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2"/>
    </row>
    <row r="24" spans="1:18" ht="17.25" customHeight="1" x14ac:dyDescent="0.2">
      <c r="A24" s="226" t="s">
        <v>62</v>
      </c>
      <c r="B24" s="159"/>
      <c r="C24" s="159"/>
      <c r="D24" s="159"/>
      <c r="E24" s="159"/>
      <c r="F24" s="160"/>
      <c r="G24" s="184"/>
      <c r="H24" s="181"/>
      <c r="I24" s="181"/>
      <c r="J24" s="181"/>
      <c r="K24" s="181"/>
      <c r="L24" s="181"/>
      <c r="M24" s="181"/>
      <c r="N24" s="181"/>
      <c r="O24" s="181"/>
      <c r="P24" s="181"/>
      <c r="Q24" s="182"/>
    </row>
    <row r="25" spans="1:18" ht="18" customHeight="1" x14ac:dyDescent="0.2">
      <c r="A25" s="214" t="s">
        <v>106</v>
      </c>
      <c r="B25" s="215"/>
      <c r="C25" s="215"/>
      <c r="D25" s="215"/>
      <c r="E25" s="215"/>
      <c r="F25" s="215"/>
      <c r="G25" s="215"/>
      <c r="H25" s="215"/>
      <c r="I25" s="215"/>
      <c r="J25" s="215"/>
      <c r="K25" s="215"/>
      <c r="L25" s="215"/>
      <c r="M25" s="215"/>
      <c r="N25" s="215"/>
      <c r="O25" s="215"/>
      <c r="P25" s="215"/>
      <c r="Q25" s="216"/>
    </row>
    <row r="26" spans="1:18" ht="15" customHeight="1" x14ac:dyDescent="0.2">
      <c r="A26" s="217"/>
      <c r="B26" s="218"/>
      <c r="C26" s="218"/>
      <c r="D26" s="218"/>
      <c r="E26" s="218"/>
      <c r="F26" s="218"/>
      <c r="G26" s="218"/>
      <c r="H26" s="218"/>
      <c r="I26" s="218"/>
      <c r="J26" s="218"/>
      <c r="K26" s="218"/>
      <c r="L26" s="218"/>
      <c r="M26" s="218"/>
      <c r="N26" s="218"/>
      <c r="O26" s="218"/>
      <c r="P26" s="218"/>
      <c r="Q26" s="219"/>
    </row>
    <row r="27" spans="1:18" ht="12.75" customHeight="1" x14ac:dyDescent="0.2">
      <c r="G27" s="12"/>
    </row>
    <row r="28" spans="1:18" ht="12.75" customHeight="1" x14ac:dyDescent="0.2">
      <c r="G28" s="12"/>
    </row>
    <row r="29" spans="1:18" ht="12.75" customHeight="1" x14ac:dyDescent="0.2">
      <c r="G29" s="12"/>
    </row>
    <row r="30" spans="1:18" ht="12.75" customHeight="1" x14ac:dyDescent="0.2">
      <c r="G30" s="12"/>
    </row>
    <row r="31" spans="1:18" ht="12.75" customHeight="1" x14ac:dyDescent="0.2">
      <c r="G31" s="12"/>
    </row>
    <row r="32" spans="1:18" ht="12.75" customHeight="1" x14ac:dyDescent="0.2">
      <c r="G32" s="12"/>
    </row>
    <row r="33" spans="7:7" ht="12.75" customHeight="1" x14ac:dyDescent="0.2">
      <c r="G33" s="12"/>
    </row>
    <row r="34" spans="7:7" ht="12.75" customHeight="1" x14ac:dyDescent="0.2">
      <c r="G34" s="12"/>
    </row>
    <row r="35" spans="7:7" ht="12.75" customHeight="1" x14ac:dyDescent="0.2">
      <c r="G35" s="12"/>
    </row>
    <row r="36" spans="7:7" ht="12.75" customHeight="1" x14ac:dyDescent="0.2">
      <c r="G36" s="12"/>
    </row>
    <row r="37" spans="7:7" ht="12.75" customHeight="1" x14ac:dyDescent="0.2">
      <c r="G37" s="12"/>
    </row>
    <row r="38" spans="7:7" ht="12.75" customHeight="1" x14ac:dyDescent="0.2">
      <c r="G38" s="12"/>
    </row>
    <row r="39" spans="7:7" ht="12.75" customHeight="1" x14ac:dyDescent="0.2">
      <c r="G39" s="12"/>
    </row>
    <row r="40" spans="7:7" ht="12.75" customHeight="1" x14ac:dyDescent="0.2">
      <c r="G40" s="12"/>
    </row>
    <row r="41" spans="7:7" ht="12.75" customHeight="1" x14ac:dyDescent="0.2">
      <c r="G41" s="12"/>
    </row>
    <row r="42" spans="7:7" ht="12.75" customHeight="1" x14ac:dyDescent="0.2">
      <c r="G42" s="12"/>
    </row>
    <row r="43" spans="7:7" ht="12.75" customHeight="1" x14ac:dyDescent="0.2">
      <c r="G43" s="12"/>
    </row>
    <row r="44" spans="7:7" ht="12.75" customHeight="1" x14ac:dyDescent="0.2">
      <c r="G44" s="12"/>
    </row>
    <row r="45" spans="7:7" ht="12.75" customHeight="1" x14ac:dyDescent="0.2">
      <c r="G45" s="12"/>
    </row>
    <row r="46" spans="7:7" ht="12.75" customHeight="1" x14ac:dyDescent="0.2">
      <c r="G46" s="12"/>
    </row>
    <row r="47" spans="7:7" ht="12.75" customHeight="1" x14ac:dyDescent="0.2">
      <c r="G47" s="12"/>
    </row>
    <row r="48" spans="7:7" ht="12.75" customHeight="1" x14ac:dyDescent="0.2">
      <c r="G48" s="12"/>
    </row>
    <row r="49" spans="7:7" ht="12.75" customHeight="1" x14ac:dyDescent="0.2">
      <c r="G49" s="12"/>
    </row>
    <row r="50" spans="7:7" ht="12.75" customHeight="1" x14ac:dyDescent="0.2">
      <c r="G50" s="12"/>
    </row>
    <row r="51" spans="7:7" ht="12.75" customHeight="1" x14ac:dyDescent="0.2">
      <c r="G51" s="12"/>
    </row>
    <row r="52" spans="7:7" ht="12.75" customHeight="1" x14ac:dyDescent="0.2">
      <c r="G52" s="12"/>
    </row>
    <row r="53" spans="7:7" ht="12.75" customHeight="1" x14ac:dyDescent="0.2">
      <c r="G53" s="12"/>
    </row>
    <row r="54" spans="7:7" ht="12.75" customHeight="1" x14ac:dyDescent="0.2">
      <c r="G54" s="12"/>
    </row>
    <row r="55" spans="7:7" ht="12.75" customHeight="1" x14ac:dyDescent="0.2">
      <c r="G55" s="12"/>
    </row>
    <row r="56" spans="7:7" ht="12.75" customHeight="1" x14ac:dyDescent="0.2">
      <c r="G56" s="12"/>
    </row>
    <row r="57" spans="7:7" ht="12.75" customHeight="1" x14ac:dyDescent="0.2">
      <c r="G57" s="12"/>
    </row>
    <row r="58" spans="7:7" ht="12.75" customHeight="1" x14ac:dyDescent="0.2">
      <c r="G58" s="12"/>
    </row>
    <row r="59" spans="7:7" ht="12.75" customHeight="1" x14ac:dyDescent="0.2">
      <c r="G59" s="12"/>
    </row>
    <row r="60" spans="7:7" ht="12.75" customHeight="1" x14ac:dyDescent="0.2">
      <c r="G60" s="12"/>
    </row>
    <row r="61" spans="7:7" ht="12.75" customHeight="1" x14ac:dyDescent="0.2">
      <c r="G61" s="12"/>
    </row>
    <row r="62" spans="7:7" ht="12.75" customHeight="1" x14ac:dyDescent="0.2">
      <c r="G62" s="12"/>
    </row>
    <row r="63" spans="7:7" ht="12.75" customHeight="1" x14ac:dyDescent="0.2">
      <c r="G63" s="12"/>
    </row>
    <row r="64" spans="7:7" ht="12.75" customHeight="1" x14ac:dyDescent="0.2">
      <c r="G64" s="12"/>
    </row>
    <row r="65" spans="7:7" ht="12.75" customHeight="1" x14ac:dyDescent="0.2">
      <c r="G65" s="12"/>
    </row>
    <row r="66" spans="7:7" ht="12.75" customHeight="1" x14ac:dyDescent="0.2">
      <c r="G66" s="12"/>
    </row>
    <row r="67" spans="7:7" ht="12.75" customHeight="1" x14ac:dyDescent="0.2">
      <c r="G67" s="12"/>
    </row>
    <row r="68" spans="7:7" ht="12.75" customHeight="1" x14ac:dyDescent="0.2">
      <c r="G68" s="12"/>
    </row>
    <row r="69" spans="7:7" ht="12.75" customHeight="1" x14ac:dyDescent="0.2">
      <c r="G69" s="12"/>
    </row>
    <row r="70" spans="7:7" ht="12.75" customHeight="1" x14ac:dyDescent="0.2">
      <c r="G70" s="12"/>
    </row>
    <row r="71" spans="7:7" ht="12.75" customHeight="1" x14ac:dyDescent="0.2">
      <c r="G71" s="12"/>
    </row>
    <row r="72" spans="7:7" ht="12.75" customHeight="1" x14ac:dyDescent="0.2">
      <c r="G72" s="12"/>
    </row>
    <row r="73" spans="7:7" ht="12.75" customHeight="1" x14ac:dyDescent="0.2">
      <c r="G73" s="12"/>
    </row>
    <row r="74" spans="7:7" ht="12.75" customHeight="1" x14ac:dyDescent="0.2">
      <c r="G74" s="12"/>
    </row>
    <row r="75" spans="7:7" ht="12.75" customHeight="1" x14ac:dyDescent="0.2">
      <c r="G75" s="12"/>
    </row>
    <row r="76" spans="7:7" ht="12.75" customHeight="1" x14ac:dyDescent="0.2">
      <c r="G76" s="12"/>
    </row>
    <row r="77" spans="7:7" ht="12.75" customHeight="1" x14ac:dyDescent="0.2">
      <c r="G77" s="12"/>
    </row>
    <row r="78" spans="7:7" ht="12.75" customHeight="1" x14ac:dyDescent="0.2">
      <c r="G78" s="12"/>
    </row>
    <row r="79" spans="7:7" ht="12.75" customHeight="1" x14ac:dyDescent="0.2">
      <c r="G79" s="12"/>
    </row>
    <row r="80" spans="7:7" ht="12.75" customHeight="1" x14ac:dyDescent="0.2">
      <c r="G80" s="12"/>
    </row>
    <row r="81" spans="7:7" ht="12.75" customHeight="1" x14ac:dyDescent="0.2">
      <c r="G81" s="12"/>
    </row>
    <row r="82" spans="7:7" ht="12.75" customHeight="1" x14ac:dyDescent="0.2">
      <c r="G82" s="12"/>
    </row>
    <row r="83" spans="7:7" ht="12.75" customHeight="1" x14ac:dyDescent="0.2">
      <c r="G83" s="12"/>
    </row>
    <row r="84" spans="7:7" ht="12.75" customHeight="1" x14ac:dyDescent="0.2">
      <c r="G84" s="12"/>
    </row>
    <row r="85" spans="7:7" ht="12.75" customHeight="1" x14ac:dyDescent="0.2">
      <c r="G85" s="12"/>
    </row>
    <row r="86" spans="7:7" ht="12.75" customHeight="1" x14ac:dyDescent="0.2">
      <c r="G86" s="12"/>
    </row>
    <row r="87" spans="7:7" ht="12.75" customHeight="1" x14ac:dyDescent="0.2">
      <c r="G87" s="12"/>
    </row>
    <row r="88" spans="7:7" ht="12.75" customHeight="1" x14ac:dyDescent="0.2">
      <c r="G88" s="12"/>
    </row>
    <row r="89" spans="7:7" ht="12.75" customHeight="1" x14ac:dyDescent="0.2">
      <c r="G89" s="12"/>
    </row>
    <row r="90" spans="7:7" ht="12.75" customHeight="1" x14ac:dyDescent="0.2">
      <c r="G90" s="12"/>
    </row>
    <row r="91" spans="7:7" ht="12.75" customHeight="1" x14ac:dyDescent="0.2">
      <c r="G91" s="12"/>
    </row>
    <row r="92" spans="7:7" ht="12.75" customHeight="1" x14ac:dyDescent="0.2">
      <c r="G92" s="12"/>
    </row>
    <row r="93" spans="7:7" ht="12.75" customHeight="1" x14ac:dyDescent="0.2">
      <c r="G93" s="12"/>
    </row>
    <row r="94" spans="7:7" ht="12.75" customHeight="1" x14ac:dyDescent="0.2">
      <c r="G94" s="12"/>
    </row>
    <row r="95" spans="7:7" ht="12.75" customHeight="1" x14ac:dyDescent="0.2">
      <c r="G95" s="12"/>
    </row>
    <row r="96" spans="7:7" ht="12.75" customHeight="1" x14ac:dyDescent="0.2">
      <c r="G96" s="12"/>
    </row>
    <row r="97" spans="7:7" ht="12.75" customHeight="1" x14ac:dyDescent="0.2">
      <c r="G97" s="12"/>
    </row>
    <row r="98" spans="7:7" ht="12.75" customHeight="1" x14ac:dyDescent="0.2">
      <c r="G98" s="12"/>
    </row>
    <row r="99" spans="7:7" ht="12.75" customHeight="1" x14ac:dyDescent="0.2">
      <c r="G99" s="12"/>
    </row>
  </sheetData>
  <mergeCells count="30">
    <mergeCell ref="A25:Q26"/>
    <mergeCell ref="A22:P22"/>
    <mergeCell ref="A23:Q23"/>
    <mergeCell ref="O19:P19"/>
    <mergeCell ref="O20:P20"/>
    <mergeCell ref="O21:P21"/>
    <mergeCell ref="A24:F24"/>
    <mergeCell ref="P1:Q2"/>
    <mergeCell ref="A4:F4"/>
    <mergeCell ref="G4:Q4"/>
    <mergeCell ref="G5:Q5"/>
    <mergeCell ref="G6:Q6"/>
    <mergeCell ref="A5:F5"/>
    <mergeCell ref="A6:F6"/>
    <mergeCell ref="A1:C1"/>
    <mergeCell ref="D1:E1"/>
    <mergeCell ref="A8:Q8"/>
    <mergeCell ref="A7:F7"/>
    <mergeCell ref="G7:Q7"/>
    <mergeCell ref="A9:N9"/>
    <mergeCell ref="A10:Q10"/>
    <mergeCell ref="A12:Q12"/>
    <mergeCell ref="A13:N13"/>
    <mergeCell ref="G24:Q24"/>
    <mergeCell ref="O13:P14"/>
    <mergeCell ref="Q13:Q14"/>
    <mergeCell ref="O15:P15"/>
    <mergeCell ref="O16:P16"/>
    <mergeCell ref="O17:P17"/>
    <mergeCell ref="O18:P18"/>
  </mergeCells>
  <printOptions horizontalCentered="1"/>
  <pageMargins left="0.39374999999999999" right="0.39374999999999999" top="0.98402777777777795" bottom="0.98402777777777795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Necesidades Trimestrales</vt:lpstr>
      <vt:lpstr> NotaPedido</vt:lpstr>
      <vt:lpstr>Autor Gastar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VIRGINIA GRIMA</cp:lastModifiedBy>
  <cp:revision>2</cp:revision>
  <cp:lastPrinted>2022-08-02T14:45:56Z</cp:lastPrinted>
  <dcterms:created xsi:type="dcterms:W3CDTF">2020-07-17T23:44:49Z</dcterms:created>
  <dcterms:modified xsi:type="dcterms:W3CDTF">2022-08-24T11:05:24Z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