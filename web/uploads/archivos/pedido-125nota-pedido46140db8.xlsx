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1D4670F-761F-4B9E-A21A-7A922F6C42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NotaPedido!$A$1:$K$32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A26" i="3"/>
  <c r="A10" i="3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6" i="1"/>
  <c r="I15" i="1"/>
  <c r="I27" i="1"/>
  <c r="I26" i="1"/>
  <c r="I25" i="1"/>
  <c r="I24" i="1"/>
  <c r="I23" i="1"/>
  <c r="I22" i="1"/>
  <c r="I21" i="1"/>
  <c r="I17" i="1"/>
  <c r="I20" i="1"/>
  <c r="I19" i="1"/>
  <c r="I18" i="1"/>
  <c r="I14" i="1"/>
  <c r="I28" i="1"/>
  <c r="I29" i="1"/>
  <c r="I10" i="1"/>
  <c r="I13" i="1"/>
  <c r="I12" i="1"/>
  <c r="I11" i="1"/>
  <c r="J32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<sst xmlns="http://schemas.openxmlformats.org/spreadsheetml/2006/main" count="224" uniqueCount="110">
  <si>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</si>
  <si>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</si>
  <si>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</si>
  <si>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</si>
  <si>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</si>
  <si>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</si>
  <si>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</si>
  <si>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</si>
  <si>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</si>
  <si>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</si>
  <si>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</si>
  <si>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</si>
  <si>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</si>
  <si>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</si>
  <si>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</si>
  <si>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</si>
  <si>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</si>
  <si>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</si>
  <si>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</si>
  <si>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</si>
  <si>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</si>
  <si>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</si>
  <si>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</si>
  <si>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</si>
  <si>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</si>
  <si>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</si>
  <si>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</si>
  <si>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</si>
  <si>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</si>
  <si>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</si>
  <si>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</si>
  <si>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</si>
  <si>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</si>
  <si>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</si>
  <si>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</si>
  <si>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</si>
  <si>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</si>
  <si>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</si>
  <si>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</si>
  <si>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</si>
  <si>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</si>
  <si>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</si>
  <si>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</si>
  <si>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</si>
  <si>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</si>
  <si>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</si>
  <si>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</si>
  <si>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</si>
  <si>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</si>
  <si>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</si>
  <si>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</si>
  <si>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</si>
  <si>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</si>
  <si>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</si>
  <si>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</si>
  <si>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</si>
  <si>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</si>
  <si>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</si>
  <si>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</si>
  <si>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</si>
  <si>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</si>
  <si>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</si>
  <si>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</si>
  <si>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</si>
  <si>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</si>
  <si>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</si>
  <si>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 xml:space="preserve">Medicamentos </t>
  </si>
  <si>
    <t>2.5.2</t>
  </si>
  <si>
    <t>Alimentacion Enteral completa x 1000 ml</t>
  </si>
  <si>
    <t>UNIDAD</t>
  </si>
  <si>
    <t xml:space="preserve">Alimentacion Enteral completa x 500 ml </t>
  </si>
  <si>
    <t>Alimentacion Enteral completa x 500 ml para DBT</t>
  </si>
  <si>
    <t>Alimentacion Enteral completa de alta densidad calorica x 500 cc</t>
  </si>
  <si>
    <t xml:space="preserve">Suplemento Oral Bebible botella x 200 ml tipo Fresubin Drink </t>
  </si>
  <si>
    <t xml:space="preserve">Suplemento Oral Bebible botella x 200 ml tipo Diben Drink </t>
  </si>
  <si>
    <t>Alimentación Enteral Completa x 1000 ml Tipo Fresubin original de Fresenius Kabi o Nutrison Estandar de Nutricia Bago. O Yevity de Abott</t>
  </si>
  <si>
    <t>Alimentación Enteral Completa x 500 ml Tipo Rencovan de Fresenius Kabi o Protison de nutricia Bago</t>
  </si>
  <si>
    <t>Especificidades Item N° 3:</t>
  </si>
  <si>
    <t>Alimentación Enteral completa x 500 ml para DBT Tipo Diben de Fresenius Kabi</t>
  </si>
  <si>
    <t>Especificidades Item N° 4:</t>
  </si>
  <si>
    <t>Alimentación Enteral Completa de Alta Densidad calorica x 500 cc Tipo Fresubin Energy de Fresenius Kabi</t>
  </si>
  <si>
    <t>Suplemento Oral bebible botella tipo FRESUBIN DRINK x 200 ml sabor a vainilla</t>
  </si>
  <si>
    <t>BICARBONATO 1 MOLAR SACHET X 100 ML</t>
  </si>
  <si>
    <t>SOLUCION DEXTROSA AL 10% SACHET DE 250 ML</t>
  </si>
  <si>
    <t>SOLUCION DEXTROSA AL 10% SACHET DE 500 ML</t>
  </si>
  <si>
    <t>SOLUCION DEXTROSA AL 25% SACHET DE 500 ML</t>
  </si>
  <si>
    <t>SOLUCION DEXTROSA AL 5 % SACHET DE 500 ML</t>
  </si>
  <si>
    <t>SOLUCION FISIOLOGICA 0,9 % SACHET X 500 ML</t>
  </si>
  <si>
    <t>SOLUCION FISIOLOGICA 0,9% SACHET X 100 ML</t>
  </si>
  <si>
    <t xml:space="preserve">SOLUCION GLUCOSADA AL 25 % AMPOLLAS </t>
  </si>
  <si>
    <t>SOLUCION MANITOL DE SACHET 500 ML</t>
  </si>
  <si>
    <t>SOLUCION RINGER LACTATO DE 500 ML</t>
  </si>
  <si>
    <t>SULFATO DE MAGNESIO 25%  AMPOLLAS</t>
  </si>
  <si>
    <t>SOLUCION A CONCENTRADO ACIDO PARA HEMODIALISIS , FORMULA GLUCOSADOS Y NO GLUCOSADAS</t>
  </si>
  <si>
    <t>SOLUCION B CONCENTRADO BASICO, FORMULA DE BICARBONATO EN SOLUCION</t>
  </si>
  <si>
    <t>SOLUCION DEXTROSA 50% SACHET X 500ML</t>
  </si>
  <si>
    <t>062 - 2021</t>
  </si>
  <si>
    <t>Adquisición de Nutricion, Soluciones p/Equilibrio Hidroelectrolitico y para Dialisis</t>
  </si>
  <si>
    <t xml:space="preserve">PLAZO DE MANTENIMIENTO DE OFERTA: 45 DIAS HABILES </t>
  </si>
  <si>
    <t xml:space="preserve">45 DIAS HABILES </t>
  </si>
  <si>
    <t xml:space="preserve">PLAZO DE ENTREGA: 20 DIAS CORRIDOS EN EL SERVICIO DE FARMACIA - AVDA. ILLIA Y MARIANO MORENO </t>
  </si>
  <si>
    <t>20 dias corridos - Servicio de Farmacia del HISJB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</si>
  <si>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12 MESES DE LA FECHA DE RECEPCION.</t>
  </si>
  <si>
    <t>SI</t>
  </si>
  <si>
    <t xml:space="preserve">SI </t>
  </si>
  <si>
    <t>Especificidades Item N° 19:</t>
  </si>
  <si>
    <t>Especificidades Item N° 20:</t>
  </si>
  <si>
    <t>Suplemento Oral bebible botella tipo DIBEN DRINK x 200 ml sabor vainilla</t>
  </si>
  <si>
    <t>Costo total estimado: diez millones trescientos ochenta y cinco mil cuatrocientos cuarenta y cinco con 18/100.---</t>
  </si>
  <si>
    <t>TOTAL DE PESOS: DIEZ MILLONES TRESCIENTOS OCHENTA Y CINCO MIL CUATROCIENTOS CUARENTA Y CINCO CON 18/100.-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</si>
</sst>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20"/>
      <name val="Times New Roman"/>
      <family val="1"/>
    </font>
    <font>
      <b/>
      <sz val="7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26" fillId="4" borderId="14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7" fillId="0" borderId="14" xfId="0" applyFont="1" applyFill="1" applyBorder="1" applyAlignment="1">
      <alignment vertical="center" wrapText="1"/>
    </xf>
    <xf numFmtId="166" fontId="27" fillId="4" borderId="14" xfId="1" applyNumberFormat="1" applyFont="1" applyFill="1" applyBorder="1" applyAlignment="1" applyProtection="1">
      <alignment horizontal="center" vertical="center" wrapText="1"/>
    </xf>
    <xf numFmtId="166" fontId="27" fillId="4" borderId="14" xfId="1" applyNumberFormat="1" applyFont="1" applyFill="1" applyBorder="1" applyAlignment="1" applyProtection="1">
      <alignment horizontal="right" vertical="center" wrapText="1"/>
    </xf>
    <xf numFmtId="0" fontId="24" fillId="5" borderId="14" xfId="0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horizontal="left" vertical="center" wrapText="1"/>
    </xf>
    <xf numFmtId="0" fontId="27" fillId="5" borderId="14" xfId="5" applyNumberFormat="1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left" vertical="center"/>
    </xf>
    <xf numFmtId="1" fontId="24" fillId="5" borderId="14" xfId="0" applyNumberFormat="1" applyFont="1" applyFill="1" applyBorder="1" applyAlignment="1">
      <alignment horizontal="center" vertical="center" wrapText="1"/>
    </xf>
    <xf numFmtId="1" fontId="27" fillId="5" borderId="14" xfId="5" applyNumberFormat="1" applyFont="1" applyFill="1" applyBorder="1" applyAlignment="1">
      <alignment horizontal="center" vertical="center" wrapText="1"/>
    </xf>
    <xf numFmtId="1" fontId="24" fillId="5" borderId="1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26" fillId="5" borderId="14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/>
    </xf>
    <xf numFmtId="0" fontId="15" fillId="5" borderId="0" xfId="0" applyFont="1" applyFill="1"/>
    <xf numFmtId="169" fontId="27" fillId="5" borderId="14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6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29" fillId="0" borderId="40" xfId="0" applyFont="1" applyBorder="1" applyAlignment="1">
      <alignment horizontal="left" vertical="center" wrapText="1"/>
    </xf>
    <xf numFmtId="0" fontId="0" fillId="0" borderId="22" xfId="0" applyBorder="1"/>
    <xf numFmtId="0" fontId="25" fillId="0" borderId="34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4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7"/>
  <sheetViews>
    <sheetView tabSelected="1" zoomScale="85" zoomScaleNormal="85" workbookViewId="0">
      <selection activeCell="H32" sqref="H32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80" customWidth="1"/>
    <col min="9" max="9" width="18.5703125" style="38" customWidth="1"/>
    <col min="10" max="16384" width="11" style="38"/>
  </cols>
  <sheetData>
    <row r="2" spans="1:10" ht="27" x14ac:dyDescent="0.35">
      <c r="B2" s="99" t="s">
        <v>0</v>
      </c>
      <c r="C2" s="99"/>
      <c r="D2" s="99"/>
      <c r="E2" s="99"/>
      <c r="F2" s="99"/>
      <c r="G2" s="99"/>
      <c r="H2" s="99"/>
    </row>
    <row r="4" spans="1:10" ht="18" customHeight="1" x14ac:dyDescent="0.25">
      <c r="A4" s="92" t="s">
        <v>1</v>
      </c>
      <c r="B4" s="92"/>
      <c r="C4" s="100" t="s">
        <v>59</v>
      </c>
      <c r="D4" s="100"/>
      <c r="E4" s="100"/>
      <c r="F4" s="39"/>
      <c r="G4" s="40"/>
      <c r="H4" s="40"/>
    </row>
    <row r="5" spans="1:10" ht="18" customHeight="1" x14ac:dyDescent="0.25">
      <c r="A5" s="92" t="s">
        <v>2</v>
      </c>
      <c r="B5" s="92"/>
      <c r="C5" s="100" t="s">
        <v>60</v>
      </c>
      <c r="D5" s="100"/>
      <c r="E5" s="100"/>
      <c r="F5" s="39"/>
      <c r="G5" s="40"/>
      <c r="H5" s="40"/>
    </row>
    <row r="6" spans="1:10" ht="16.5" customHeight="1" x14ac:dyDescent="0.25">
      <c r="A6" s="92" t="s">
        <v>3</v>
      </c>
      <c r="B6" s="92"/>
      <c r="C6" s="56">
        <v>2021</v>
      </c>
      <c r="D6" s="57"/>
      <c r="E6" s="57"/>
      <c r="F6" s="39"/>
      <c r="G6" s="40"/>
      <c r="H6" s="40"/>
    </row>
    <row r="7" spans="1:10" ht="16.5" customHeight="1" x14ac:dyDescent="0.25">
      <c r="A7" s="92" t="s">
        <v>4</v>
      </c>
      <c r="B7" s="92"/>
      <c r="C7" s="56">
        <v>3</v>
      </c>
      <c r="D7" s="57"/>
      <c r="E7" s="57"/>
      <c r="F7" s="39"/>
      <c r="G7" s="40"/>
      <c r="H7" s="40"/>
    </row>
    <row r="8" spans="1:10" ht="13.5" thickBot="1" x14ac:dyDescent="0.25">
      <c r="B8" s="39"/>
      <c r="C8" s="40"/>
      <c r="D8" s="39"/>
      <c r="E8" s="39"/>
      <c r="F8" s="39"/>
      <c r="G8" s="40"/>
      <c r="H8" s="40"/>
    </row>
    <row r="9" spans="1:10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10" ht="31.9" customHeight="1" thickBot="1" x14ac:dyDescent="0.25">
      <c r="A10" s="55">
        <v>1</v>
      </c>
      <c r="B10" s="67"/>
      <c r="C10" s="83" t="s">
        <v>66</v>
      </c>
      <c r="D10" s="84" t="s">
        <v>67</v>
      </c>
      <c r="E10" s="83" t="s">
        <v>72</v>
      </c>
      <c r="F10" s="67" t="s">
        <v>69</v>
      </c>
      <c r="G10" s="67">
        <v>800</v>
      </c>
      <c r="H10" s="71">
        <v>555.5</v>
      </c>
      <c r="I10" s="72">
        <f t="shared" ref="I10:I29" si="0">G10*H10</f>
        <v>444400</v>
      </c>
    </row>
    <row r="11" spans="1:10" ht="31.9" customHeight="1" thickBot="1" x14ac:dyDescent="0.25">
      <c r="A11" s="55">
        <v>2</v>
      </c>
      <c r="B11" s="67"/>
      <c r="C11" s="83" t="s">
        <v>66</v>
      </c>
      <c r="D11" s="84" t="s">
        <v>67</v>
      </c>
      <c r="E11" s="83" t="s">
        <v>68</v>
      </c>
      <c r="F11" s="67" t="s">
        <v>69</v>
      </c>
      <c r="G11" s="67">
        <v>680</v>
      </c>
      <c r="H11" s="71">
        <v>717.87</v>
      </c>
      <c r="I11" s="72">
        <f t="shared" si="0"/>
        <v>488151.6</v>
      </c>
    </row>
    <row r="12" spans="1:10" ht="31.9" customHeight="1" thickBot="1" x14ac:dyDescent="0.25">
      <c r="A12" s="85">
        <v>3</v>
      </c>
      <c r="B12" s="67"/>
      <c r="C12" s="83" t="s">
        <v>66</v>
      </c>
      <c r="D12" s="84" t="s">
        <v>67</v>
      </c>
      <c r="E12" s="83" t="s">
        <v>70</v>
      </c>
      <c r="F12" s="67" t="s">
        <v>69</v>
      </c>
      <c r="G12" s="67">
        <v>2250</v>
      </c>
      <c r="H12" s="71">
        <v>740.4</v>
      </c>
      <c r="I12" s="72">
        <f t="shared" si="0"/>
        <v>1665900</v>
      </c>
      <c r="J12" s="86"/>
    </row>
    <row r="13" spans="1:10" ht="31.9" customHeight="1" thickBot="1" x14ac:dyDescent="0.25">
      <c r="A13" s="55">
        <v>4</v>
      </c>
      <c r="B13" s="67"/>
      <c r="C13" s="83" t="s">
        <v>66</v>
      </c>
      <c r="D13" s="84" t="s">
        <v>67</v>
      </c>
      <c r="E13" s="83" t="s">
        <v>71</v>
      </c>
      <c r="F13" s="67" t="s">
        <v>69</v>
      </c>
      <c r="G13" s="67">
        <v>2250</v>
      </c>
      <c r="H13" s="71">
        <v>460.94</v>
      </c>
      <c r="I13" s="72">
        <f t="shared" si="0"/>
        <v>1037115</v>
      </c>
      <c r="J13" s="86"/>
    </row>
    <row r="14" spans="1:10" ht="31.9" customHeight="1" thickBot="1" x14ac:dyDescent="0.25">
      <c r="A14" s="55">
        <v>5</v>
      </c>
      <c r="B14" s="67"/>
      <c r="C14" s="68" t="s">
        <v>66</v>
      </c>
      <c r="D14" s="69" t="s">
        <v>67</v>
      </c>
      <c r="E14" s="70" t="s">
        <v>82</v>
      </c>
      <c r="F14" s="67" t="s">
        <v>69</v>
      </c>
      <c r="G14" s="67">
        <v>300</v>
      </c>
      <c r="H14" s="71">
        <v>290</v>
      </c>
      <c r="I14" s="72">
        <f t="shared" si="0"/>
        <v>87000</v>
      </c>
      <c r="J14" s="86"/>
    </row>
    <row r="15" spans="1:10" ht="40.5" customHeight="1" thickBot="1" x14ac:dyDescent="0.25">
      <c r="A15" s="55">
        <v>6</v>
      </c>
      <c r="B15" s="67"/>
      <c r="C15" s="68" t="s">
        <v>66</v>
      </c>
      <c r="D15" s="69" t="s">
        <v>67</v>
      </c>
      <c r="E15" s="73" t="s">
        <v>93</v>
      </c>
      <c r="F15" s="67" t="s">
        <v>69</v>
      </c>
      <c r="G15" s="77">
        <v>800</v>
      </c>
      <c r="H15" s="87">
        <v>519</v>
      </c>
      <c r="I15" s="72">
        <f t="shared" si="0"/>
        <v>415200</v>
      </c>
    </row>
    <row r="16" spans="1:10" ht="40.5" customHeight="1" thickBot="1" x14ac:dyDescent="0.25">
      <c r="A16" s="85">
        <v>7</v>
      </c>
      <c r="B16" s="67"/>
      <c r="C16" s="68" t="s">
        <v>66</v>
      </c>
      <c r="D16" s="69" t="s">
        <v>67</v>
      </c>
      <c r="E16" s="73" t="s">
        <v>94</v>
      </c>
      <c r="F16" s="67" t="s">
        <v>69</v>
      </c>
      <c r="G16" s="77">
        <v>1200</v>
      </c>
      <c r="H16" s="87">
        <v>685</v>
      </c>
      <c r="I16" s="72">
        <f t="shared" si="0"/>
        <v>822000</v>
      </c>
    </row>
    <row r="17" spans="1:9" ht="31.9" customHeight="1" thickBot="1" x14ac:dyDescent="0.25">
      <c r="A17" s="55">
        <v>8</v>
      </c>
      <c r="B17" s="67"/>
      <c r="C17" s="68" t="s">
        <v>66</v>
      </c>
      <c r="D17" s="69" t="s">
        <v>67</v>
      </c>
      <c r="E17" s="73" t="s">
        <v>95</v>
      </c>
      <c r="F17" s="67" t="s">
        <v>69</v>
      </c>
      <c r="G17" s="77">
        <v>30</v>
      </c>
      <c r="H17" s="87">
        <v>906.03</v>
      </c>
      <c r="I17" s="72">
        <f t="shared" si="0"/>
        <v>27180.899999999998</v>
      </c>
    </row>
    <row r="18" spans="1:9" ht="31.9" customHeight="1" thickBot="1" x14ac:dyDescent="0.25">
      <c r="A18" s="55">
        <v>9</v>
      </c>
      <c r="B18" s="67"/>
      <c r="C18" s="68" t="s">
        <v>66</v>
      </c>
      <c r="D18" s="69" t="s">
        <v>67</v>
      </c>
      <c r="E18" s="70" t="s">
        <v>83</v>
      </c>
      <c r="F18" s="67" t="s">
        <v>69</v>
      </c>
      <c r="G18" s="67">
        <v>50</v>
      </c>
      <c r="H18" s="71">
        <v>94</v>
      </c>
      <c r="I18" s="72">
        <f t="shared" si="0"/>
        <v>4700</v>
      </c>
    </row>
    <row r="19" spans="1:9" ht="31.9" customHeight="1" thickBot="1" x14ac:dyDescent="0.25">
      <c r="A19" s="55">
        <v>10</v>
      </c>
      <c r="B19" s="67"/>
      <c r="C19" s="68" t="s">
        <v>66</v>
      </c>
      <c r="D19" s="69" t="s">
        <v>67</v>
      </c>
      <c r="E19" s="73" t="s">
        <v>84</v>
      </c>
      <c r="F19" s="67" t="s">
        <v>69</v>
      </c>
      <c r="G19" s="77">
        <v>50</v>
      </c>
      <c r="H19" s="87">
        <v>95</v>
      </c>
      <c r="I19" s="72">
        <f t="shared" si="0"/>
        <v>4750</v>
      </c>
    </row>
    <row r="20" spans="1:9" ht="31.9" customHeight="1" thickBot="1" x14ac:dyDescent="0.25">
      <c r="A20" s="85">
        <v>11</v>
      </c>
      <c r="B20" s="67"/>
      <c r="C20" s="68" t="s">
        <v>66</v>
      </c>
      <c r="D20" s="69" t="s">
        <v>67</v>
      </c>
      <c r="E20" s="73" t="s">
        <v>85</v>
      </c>
      <c r="F20" s="67" t="s">
        <v>69</v>
      </c>
      <c r="G20" s="77">
        <v>50</v>
      </c>
      <c r="H20" s="87">
        <v>280</v>
      </c>
      <c r="I20" s="72">
        <f t="shared" si="0"/>
        <v>14000</v>
      </c>
    </row>
    <row r="21" spans="1:9" ht="31.9" customHeight="1" thickBot="1" x14ac:dyDescent="0.25">
      <c r="A21" s="55">
        <v>12</v>
      </c>
      <c r="B21" s="67"/>
      <c r="C21" s="68" t="s">
        <v>66</v>
      </c>
      <c r="D21" s="69" t="s">
        <v>67</v>
      </c>
      <c r="E21" s="74" t="s">
        <v>86</v>
      </c>
      <c r="F21" s="67" t="s">
        <v>69</v>
      </c>
      <c r="G21" s="78">
        <v>10000</v>
      </c>
      <c r="H21" s="87">
        <v>56.85</v>
      </c>
      <c r="I21" s="72">
        <f t="shared" si="0"/>
        <v>568500</v>
      </c>
    </row>
    <row r="22" spans="1:9" ht="31.9" customHeight="1" thickBot="1" x14ac:dyDescent="0.25">
      <c r="A22" s="55">
        <v>13</v>
      </c>
      <c r="B22" s="67"/>
      <c r="C22" s="68" t="s">
        <v>66</v>
      </c>
      <c r="D22" s="69" t="s">
        <v>67</v>
      </c>
      <c r="E22" s="75" t="s">
        <v>87</v>
      </c>
      <c r="F22" s="67" t="s">
        <v>69</v>
      </c>
      <c r="G22" s="78">
        <v>80000</v>
      </c>
      <c r="H22" s="87">
        <v>51.18</v>
      </c>
      <c r="I22" s="72">
        <f t="shared" si="0"/>
        <v>4094400</v>
      </c>
    </row>
    <row r="23" spans="1:9" ht="31.9" customHeight="1" thickBot="1" x14ac:dyDescent="0.25">
      <c r="A23" s="55">
        <v>14</v>
      </c>
      <c r="B23" s="67"/>
      <c r="C23" s="68" t="s">
        <v>66</v>
      </c>
      <c r="D23" s="69" t="s">
        <v>67</v>
      </c>
      <c r="E23" s="76" t="s">
        <v>88</v>
      </c>
      <c r="F23" s="67" t="s">
        <v>69</v>
      </c>
      <c r="G23" s="79">
        <v>400</v>
      </c>
      <c r="H23" s="87">
        <v>48</v>
      </c>
      <c r="I23" s="72">
        <f t="shared" si="0"/>
        <v>19200</v>
      </c>
    </row>
    <row r="24" spans="1:9" ht="31.9" customHeight="1" thickBot="1" x14ac:dyDescent="0.25">
      <c r="A24" s="85">
        <v>15</v>
      </c>
      <c r="B24" s="67"/>
      <c r="C24" s="68" t="s">
        <v>66</v>
      </c>
      <c r="D24" s="69" t="s">
        <v>67</v>
      </c>
      <c r="E24" s="76" t="s">
        <v>89</v>
      </c>
      <c r="F24" s="67" t="s">
        <v>69</v>
      </c>
      <c r="G24" s="79">
        <v>1000</v>
      </c>
      <c r="H24" s="87">
        <v>55.44</v>
      </c>
      <c r="I24" s="72">
        <f t="shared" si="0"/>
        <v>55440</v>
      </c>
    </row>
    <row r="25" spans="1:9" ht="31.9" customHeight="1" thickBot="1" x14ac:dyDescent="0.25">
      <c r="A25" s="55">
        <v>16</v>
      </c>
      <c r="B25" s="67"/>
      <c r="C25" s="68" t="s">
        <v>66</v>
      </c>
      <c r="D25" s="69" t="s">
        <v>67</v>
      </c>
      <c r="E25" s="73" t="s">
        <v>90</v>
      </c>
      <c r="F25" s="67" t="s">
        <v>69</v>
      </c>
      <c r="G25" s="77">
        <v>300</v>
      </c>
      <c r="H25" s="87">
        <v>363</v>
      </c>
      <c r="I25" s="72">
        <f t="shared" si="0"/>
        <v>108900</v>
      </c>
    </row>
    <row r="26" spans="1:9" ht="31.9" customHeight="1" thickBot="1" x14ac:dyDescent="0.25">
      <c r="A26" s="55">
        <v>17</v>
      </c>
      <c r="B26" s="67"/>
      <c r="C26" s="68" t="s">
        <v>66</v>
      </c>
      <c r="D26" s="69" t="s">
        <v>67</v>
      </c>
      <c r="E26" s="73" t="s">
        <v>91</v>
      </c>
      <c r="F26" s="67" t="s">
        <v>69</v>
      </c>
      <c r="G26" s="77">
        <v>700</v>
      </c>
      <c r="H26" s="87">
        <v>90</v>
      </c>
      <c r="I26" s="72">
        <f t="shared" si="0"/>
        <v>63000</v>
      </c>
    </row>
    <row r="27" spans="1:9" ht="31.9" customHeight="1" thickBot="1" x14ac:dyDescent="0.25">
      <c r="A27" s="55">
        <v>18</v>
      </c>
      <c r="B27" s="67"/>
      <c r="C27" s="68" t="s">
        <v>66</v>
      </c>
      <c r="D27" s="69" t="s">
        <v>67</v>
      </c>
      <c r="E27" s="76" t="s">
        <v>92</v>
      </c>
      <c r="F27" s="67" t="s">
        <v>69</v>
      </c>
      <c r="G27" s="79">
        <v>3600</v>
      </c>
      <c r="H27" s="87">
        <v>35</v>
      </c>
      <c r="I27" s="72">
        <f t="shared" si="0"/>
        <v>126000</v>
      </c>
    </row>
    <row r="28" spans="1:9" ht="31.9" customHeight="1" thickBot="1" x14ac:dyDescent="0.25">
      <c r="A28" s="85">
        <v>19</v>
      </c>
      <c r="B28" s="67"/>
      <c r="C28" s="83" t="s">
        <v>66</v>
      </c>
      <c r="D28" s="84" t="s">
        <v>67</v>
      </c>
      <c r="E28" s="83" t="s">
        <v>74</v>
      </c>
      <c r="F28" s="67" t="s">
        <v>69</v>
      </c>
      <c r="G28" s="67">
        <v>456</v>
      </c>
      <c r="H28" s="71">
        <v>484.48</v>
      </c>
      <c r="I28" s="72">
        <f t="shared" si="0"/>
        <v>220922.88</v>
      </c>
    </row>
    <row r="29" spans="1:9" ht="31.9" customHeight="1" thickBot="1" x14ac:dyDescent="0.25">
      <c r="A29" s="55">
        <v>20</v>
      </c>
      <c r="B29" s="67"/>
      <c r="C29" s="83" t="s">
        <v>66</v>
      </c>
      <c r="D29" s="84" t="s">
        <v>67</v>
      </c>
      <c r="E29" s="83" t="s">
        <v>73</v>
      </c>
      <c r="F29" s="67" t="s">
        <v>69</v>
      </c>
      <c r="G29" s="67">
        <v>240</v>
      </c>
      <c r="H29" s="71">
        <v>494.52</v>
      </c>
      <c r="I29" s="72">
        <f t="shared" si="0"/>
        <v>118684.79999999999</v>
      </c>
    </row>
    <row r="30" spans="1:9" ht="13.5" thickBot="1" x14ac:dyDescent="0.25"/>
    <row r="31" spans="1:9" ht="67.5" customHeight="1" thickBot="1" x14ac:dyDescent="0.25">
      <c r="C31" s="94" t="s">
        <v>102</v>
      </c>
      <c r="D31" s="95"/>
      <c r="E31" s="95"/>
    </row>
    <row r="32" spans="1:9" ht="24.75" customHeight="1" thickBot="1" x14ac:dyDescent="0.25">
      <c r="C32" s="96" t="s">
        <v>98</v>
      </c>
      <c r="D32" s="97"/>
      <c r="E32" s="98"/>
    </row>
    <row r="33" spans="2:5" ht="18.75" customHeight="1" thickBot="1" x14ac:dyDescent="0.25">
      <c r="C33" s="96" t="s">
        <v>100</v>
      </c>
      <c r="D33" s="97"/>
      <c r="E33" s="98"/>
    </row>
    <row r="34" spans="2:5" ht="18" customHeight="1" thickBot="1" x14ac:dyDescent="0.25"/>
    <row r="35" spans="2:5" x14ac:dyDescent="0.2">
      <c r="B35" s="41" t="s">
        <v>14</v>
      </c>
      <c r="C35" s="42"/>
      <c r="D35" s="42"/>
      <c r="E35" s="43"/>
    </row>
    <row r="36" spans="2:5" x14ac:dyDescent="0.2">
      <c r="B36" s="44"/>
      <c r="C36" s="45"/>
      <c r="D36" s="45"/>
      <c r="E36" s="46"/>
    </row>
    <row r="37" spans="2:5" x14ac:dyDescent="0.2">
      <c r="B37" s="47" t="s">
        <v>15</v>
      </c>
      <c r="C37" s="45"/>
      <c r="D37" s="45"/>
      <c r="E37" s="46"/>
    </row>
    <row r="38" spans="2:5" ht="23.25" customHeight="1" x14ac:dyDescent="0.2">
      <c r="B38" s="47"/>
      <c r="C38" s="89" t="s">
        <v>80</v>
      </c>
      <c r="D38" s="89"/>
      <c r="E38" s="89"/>
    </row>
    <row r="39" spans="2:5" x14ac:dyDescent="0.2">
      <c r="B39" s="47" t="s">
        <v>16</v>
      </c>
      <c r="C39" s="45"/>
      <c r="D39" s="45"/>
      <c r="E39" s="46"/>
    </row>
    <row r="40" spans="2:5" x14ac:dyDescent="0.2">
      <c r="B40" s="48"/>
      <c r="C40" s="91" t="s">
        <v>101</v>
      </c>
      <c r="D40" s="91"/>
      <c r="E40" s="91"/>
    </row>
    <row r="41" spans="2:5" x14ac:dyDescent="0.2">
      <c r="B41" s="48"/>
      <c r="C41" s="88"/>
      <c r="D41" s="88"/>
      <c r="E41" s="88"/>
    </row>
    <row r="42" spans="2:5" x14ac:dyDescent="0.2">
      <c r="B42" s="47" t="s">
        <v>17</v>
      </c>
      <c r="C42" s="45"/>
      <c r="D42" s="45"/>
      <c r="E42" s="46"/>
    </row>
    <row r="43" spans="2:5" x14ac:dyDescent="0.2">
      <c r="B43" s="48"/>
      <c r="C43" s="89"/>
      <c r="D43" s="89"/>
      <c r="E43" s="89"/>
    </row>
    <row r="44" spans="2:5" x14ac:dyDescent="0.2">
      <c r="B44" s="47" t="s">
        <v>18</v>
      </c>
      <c r="C44" s="49"/>
      <c r="D44" s="49"/>
      <c r="E44" s="50"/>
    </row>
    <row r="45" spans="2:5" x14ac:dyDescent="0.2">
      <c r="B45" s="48"/>
      <c r="C45" s="90" t="s">
        <v>99</v>
      </c>
      <c r="D45" s="90"/>
      <c r="E45" s="90"/>
    </row>
    <row r="46" spans="2:5" x14ac:dyDescent="0.2">
      <c r="B46" s="47" t="s">
        <v>19</v>
      </c>
      <c r="C46" s="45"/>
      <c r="D46" s="45"/>
      <c r="E46" s="46"/>
    </row>
    <row r="47" spans="2:5" x14ac:dyDescent="0.2">
      <c r="B47" s="47"/>
      <c r="C47" s="88"/>
      <c r="D47" s="88"/>
      <c r="E47" s="88"/>
    </row>
    <row r="48" spans="2:5" ht="13.5" thickBot="1" x14ac:dyDescent="0.25">
      <c r="B48" s="51"/>
      <c r="C48" s="52"/>
      <c r="D48" s="52"/>
      <c r="E48" s="53"/>
    </row>
    <row r="49" spans="2:5" ht="13.5" thickBot="1" x14ac:dyDescent="0.25"/>
    <row r="50" spans="2:5" x14ac:dyDescent="0.2">
      <c r="B50" s="41" t="s">
        <v>20</v>
      </c>
      <c r="C50" s="42"/>
      <c r="D50" s="42"/>
      <c r="E50" s="43"/>
    </row>
    <row r="51" spans="2:5" ht="5.25" customHeight="1" x14ac:dyDescent="0.2">
      <c r="B51" s="44"/>
      <c r="C51" s="45"/>
      <c r="D51" s="45"/>
      <c r="E51" s="46"/>
    </row>
    <row r="52" spans="2:5" x14ac:dyDescent="0.2">
      <c r="B52" s="47" t="s">
        <v>15</v>
      </c>
      <c r="C52" s="45"/>
      <c r="D52" s="45"/>
      <c r="E52" s="46"/>
    </row>
    <row r="53" spans="2:5" ht="29.25" customHeight="1" x14ac:dyDescent="0.2">
      <c r="B53" s="47"/>
      <c r="C53" s="89" t="s">
        <v>75</v>
      </c>
      <c r="D53" s="89"/>
      <c r="E53" s="89"/>
    </row>
    <row r="54" spans="2:5" x14ac:dyDescent="0.2">
      <c r="B54" s="47" t="s">
        <v>16</v>
      </c>
      <c r="C54" s="45"/>
      <c r="D54" s="45"/>
      <c r="E54" s="46"/>
    </row>
    <row r="55" spans="2:5" x14ac:dyDescent="0.2">
      <c r="B55" s="48"/>
      <c r="C55" s="91" t="s">
        <v>101</v>
      </c>
      <c r="D55" s="91"/>
      <c r="E55" s="91"/>
    </row>
    <row r="56" spans="2:5" x14ac:dyDescent="0.2">
      <c r="B56" s="48"/>
      <c r="C56" s="93"/>
      <c r="D56" s="93"/>
      <c r="E56" s="93"/>
    </row>
    <row r="57" spans="2:5" x14ac:dyDescent="0.2">
      <c r="B57" s="47" t="s">
        <v>17</v>
      </c>
      <c r="C57" s="45"/>
      <c r="D57" s="45"/>
      <c r="E57" s="46"/>
    </row>
    <row r="58" spans="2:5" ht="26.25" customHeight="1" x14ac:dyDescent="0.2">
      <c r="B58" s="48"/>
      <c r="C58" s="89"/>
      <c r="D58" s="89"/>
      <c r="E58" s="89"/>
    </row>
    <row r="59" spans="2:5" x14ac:dyDescent="0.2">
      <c r="B59" s="47" t="s">
        <v>18</v>
      </c>
      <c r="C59" s="49"/>
      <c r="D59" s="49"/>
      <c r="E59" s="50"/>
    </row>
    <row r="60" spans="2:5" ht="26.25" customHeight="1" x14ac:dyDescent="0.2">
      <c r="B60" s="48"/>
      <c r="C60" s="90" t="s">
        <v>99</v>
      </c>
      <c r="D60" s="90"/>
      <c r="E60" s="90"/>
    </row>
    <row r="61" spans="2:5" x14ac:dyDescent="0.2">
      <c r="B61" s="47" t="s">
        <v>19</v>
      </c>
      <c r="C61" s="45"/>
      <c r="D61" s="45"/>
      <c r="E61" s="46"/>
    </row>
    <row r="62" spans="2:5" ht="23.25" customHeight="1" x14ac:dyDescent="0.2">
      <c r="B62" s="47"/>
      <c r="C62" s="88"/>
      <c r="D62" s="88"/>
      <c r="E62" s="88"/>
    </row>
    <row r="63" spans="2:5" ht="13.5" thickBot="1" x14ac:dyDescent="0.25">
      <c r="B63" s="51"/>
      <c r="C63" s="52"/>
      <c r="D63" s="52"/>
      <c r="E63" s="53"/>
    </row>
    <row r="64" spans="2:5" ht="13.5" thickBot="1" x14ac:dyDescent="0.25"/>
    <row r="65" spans="2:5" x14ac:dyDescent="0.2">
      <c r="B65" s="41" t="s">
        <v>77</v>
      </c>
      <c r="C65" s="42"/>
      <c r="D65" s="42"/>
      <c r="E65" s="43"/>
    </row>
    <row r="66" spans="2:5" ht="7.5" customHeight="1" x14ac:dyDescent="0.2">
      <c r="B66" s="44"/>
      <c r="C66" s="45"/>
      <c r="D66" s="45"/>
      <c r="E66" s="46"/>
    </row>
    <row r="67" spans="2:5" x14ac:dyDescent="0.2">
      <c r="B67" s="47" t="s">
        <v>15</v>
      </c>
      <c r="C67" s="45"/>
      <c r="D67" s="45"/>
      <c r="E67" s="46"/>
    </row>
    <row r="68" spans="2:5" ht="35.25" customHeight="1" x14ac:dyDescent="0.2">
      <c r="B68" s="47"/>
      <c r="C68" s="89" t="s">
        <v>76</v>
      </c>
      <c r="D68" s="89"/>
      <c r="E68" s="89"/>
    </row>
    <row r="69" spans="2:5" x14ac:dyDescent="0.2">
      <c r="B69" s="47" t="s">
        <v>16</v>
      </c>
      <c r="C69" s="45"/>
      <c r="D69" s="45"/>
      <c r="E69" s="46"/>
    </row>
    <row r="70" spans="2:5" x14ac:dyDescent="0.2">
      <c r="B70" s="48"/>
      <c r="C70" s="91" t="s">
        <v>101</v>
      </c>
      <c r="D70" s="91"/>
      <c r="E70" s="91"/>
    </row>
    <row r="71" spans="2:5" x14ac:dyDescent="0.2">
      <c r="B71" s="48"/>
      <c r="C71" s="88"/>
      <c r="D71" s="88"/>
      <c r="E71" s="88"/>
    </row>
    <row r="72" spans="2:5" x14ac:dyDescent="0.2">
      <c r="B72" s="47" t="s">
        <v>17</v>
      </c>
      <c r="C72" s="45"/>
      <c r="D72" s="45"/>
      <c r="E72" s="46"/>
    </row>
    <row r="73" spans="2:5" x14ac:dyDescent="0.2">
      <c r="B73" s="48"/>
      <c r="C73" s="89"/>
      <c r="D73" s="89"/>
      <c r="E73" s="89"/>
    </row>
    <row r="74" spans="2:5" x14ac:dyDescent="0.2">
      <c r="B74" s="47" t="s">
        <v>18</v>
      </c>
      <c r="C74" s="49"/>
      <c r="D74" s="49"/>
      <c r="E74" s="50"/>
    </row>
    <row r="75" spans="2:5" x14ac:dyDescent="0.2">
      <c r="B75" s="48"/>
      <c r="C75" s="90" t="s">
        <v>99</v>
      </c>
      <c r="D75" s="90"/>
      <c r="E75" s="90"/>
    </row>
    <row r="76" spans="2:5" x14ac:dyDescent="0.2">
      <c r="B76" s="47" t="s">
        <v>19</v>
      </c>
      <c r="C76" s="45"/>
      <c r="D76" s="45"/>
      <c r="E76" s="46"/>
    </row>
    <row r="77" spans="2:5" x14ac:dyDescent="0.2">
      <c r="B77" s="47"/>
      <c r="C77" s="88"/>
      <c r="D77" s="88"/>
      <c r="E77" s="88"/>
    </row>
    <row r="78" spans="2:5" ht="13.5" thickBot="1" x14ac:dyDescent="0.25">
      <c r="B78" s="51"/>
      <c r="C78" s="52"/>
      <c r="D78" s="52"/>
      <c r="E78" s="53"/>
    </row>
    <row r="79" spans="2:5" ht="13.5" thickBot="1" x14ac:dyDescent="0.25"/>
    <row r="80" spans="2:5" x14ac:dyDescent="0.2">
      <c r="B80" s="41" t="s">
        <v>79</v>
      </c>
      <c r="C80" s="42"/>
      <c r="D80" s="42"/>
      <c r="E80" s="43"/>
    </row>
    <row r="81" spans="2:5" x14ac:dyDescent="0.2">
      <c r="B81" s="44"/>
      <c r="C81" s="45"/>
      <c r="D81" s="45"/>
      <c r="E81" s="46"/>
    </row>
    <row r="82" spans="2:5" x14ac:dyDescent="0.2">
      <c r="B82" s="47" t="s">
        <v>15</v>
      </c>
      <c r="C82" s="45"/>
      <c r="D82" s="45"/>
      <c r="E82" s="46"/>
    </row>
    <row r="83" spans="2:5" ht="21.75" customHeight="1" x14ac:dyDescent="0.2">
      <c r="B83" s="47"/>
      <c r="C83" s="89" t="s">
        <v>78</v>
      </c>
      <c r="D83" s="89"/>
      <c r="E83" s="89"/>
    </row>
    <row r="84" spans="2:5" x14ac:dyDescent="0.2">
      <c r="B84" s="47" t="s">
        <v>16</v>
      </c>
      <c r="C84" s="45"/>
      <c r="D84" s="45"/>
      <c r="E84" s="46"/>
    </row>
    <row r="85" spans="2:5" x14ac:dyDescent="0.2">
      <c r="B85" s="48"/>
      <c r="C85" s="91" t="s">
        <v>101</v>
      </c>
      <c r="D85" s="91"/>
      <c r="E85" s="91"/>
    </row>
    <row r="86" spans="2:5" x14ac:dyDescent="0.2">
      <c r="B86" s="48"/>
      <c r="C86" s="88"/>
      <c r="D86" s="88"/>
      <c r="E86" s="88"/>
    </row>
    <row r="87" spans="2:5" x14ac:dyDescent="0.2">
      <c r="B87" s="47" t="s">
        <v>17</v>
      </c>
      <c r="C87" s="45"/>
      <c r="D87" s="45"/>
      <c r="E87" s="46"/>
    </row>
    <row r="88" spans="2:5" x14ac:dyDescent="0.2">
      <c r="B88" s="48"/>
      <c r="C88" s="89"/>
      <c r="D88" s="89"/>
      <c r="E88" s="89"/>
    </row>
    <row r="89" spans="2:5" x14ac:dyDescent="0.2">
      <c r="B89" s="47" t="s">
        <v>18</v>
      </c>
      <c r="C89" s="49"/>
      <c r="D89" s="49"/>
      <c r="E89" s="50"/>
    </row>
    <row r="90" spans="2:5" x14ac:dyDescent="0.2">
      <c r="B90" s="48"/>
      <c r="C90" s="90" t="s">
        <v>99</v>
      </c>
      <c r="D90" s="90"/>
      <c r="E90" s="90"/>
    </row>
    <row r="91" spans="2:5" x14ac:dyDescent="0.2">
      <c r="B91" s="47" t="s">
        <v>19</v>
      </c>
      <c r="C91" s="45"/>
      <c r="D91" s="45"/>
      <c r="E91" s="46"/>
    </row>
    <row r="92" spans="2:5" x14ac:dyDescent="0.2">
      <c r="B92" s="47"/>
      <c r="C92" s="88"/>
      <c r="D92" s="88"/>
      <c r="E92" s="88"/>
    </row>
    <row r="93" spans="2:5" ht="13.5" thickBot="1" x14ac:dyDescent="0.25">
      <c r="B93" s="51"/>
      <c r="C93" s="52"/>
      <c r="D93" s="52"/>
      <c r="E93" s="53"/>
    </row>
    <row r="96" spans="2:5" ht="13.5" thickBot="1" x14ac:dyDescent="0.25"/>
    <row r="97" spans="2:5" x14ac:dyDescent="0.2">
      <c r="B97" s="41" t="s">
        <v>105</v>
      </c>
      <c r="C97" s="42"/>
      <c r="D97" s="42"/>
      <c r="E97" s="43"/>
    </row>
    <row r="98" spans="2:5" x14ac:dyDescent="0.2">
      <c r="B98" s="44"/>
      <c r="C98" s="45"/>
      <c r="D98" s="45"/>
      <c r="E98" s="46"/>
    </row>
    <row r="99" spans="2:5" x14ac:dyDescent="0.2">
      <c r="B99" s="47" t="s">
        <v>15</v>
      </c>
      <c r="C99" s="45"/>
      <c r="D99" s="45"/>
      <c r="E99" s="46"/>
    </row>
    <row r="100" spans="2:5" ht="16.5" customHeight="1" x14ac:dyDescent="0.2">
      <c r="B100" s="47"/>
      <c r="C100" s="89" t="s">
        <v>107</v>
      </c>
      <c r="D100" s="89"/>
      <c r="E100" s="89"/>
    </row>
    <row r="101" spans="2:5" x14ac:dyDescent="0.2">
      <c r="B101" s="47" t="s">
        <v>16</v>
      </c>
      <c r="C101" s="45"/>
      <c r="D101" s="45"/>
      <c r="E101" s="46"/>
    </row>
    <row r="102" spans="2:5" x14ac:dyDescent="0.2">
      <c r="B102" s="48"/>
      <c r="C102" s="91" t="s">
        <v>101</v>
      </c>
      <c r="D102" s="91"/>
      <c r="E102" s="91"/>
    </row>
    <row r="103" spans="2:5" x14ac:dyDescent="0.2">
      <c r="B103" s="48"/>
      <c r="C103" s="88"/>
      <c r="D103" s="88"/>
      <c r="E103" s="88"/>
    </row>
    <row r="104" spans="2:5" x14ac:dyDescent="0.2">
      <c r="B104" s="47" t="s">
        <v>17</v>
      </c>
      <c r="C104" s="45"/>
      <c r="D104" s="45"/>
      <c r="E104" s="46"/>
    </row>
    <row r="105" spans="2:5" x14ac:dyDescent="0.2">
      <c r="B105" s="48"/>
      <c r="C105" s="89"/>
      <c r="D105" s="89"/>
      <c r="E105" s="89"/>
    </row>
    <row r="106" spans="2:5" x14ac:dyDescent="0.2">
      <c r="B106" s="47" t="s">
        <v>18</v>
      </c>
      <c r="C106" s="49"/>
      <c r="D106" s="49"/>
      <c r="E106" s="50"/>
    </row>
    <row r="107" spans="2:5" x14ac:dyDescent="0.2">
      <c r="B107" s="48"/>
      <c r="C107" s="90" t="s">
        <v>99</v>
      </c>
      <c r="D107" s="90"/>
      <c r="E107" s="90"/>
    </row>
    <row r="108" spans="2:5" x14ac:dyDescent="0.2">
      <c r="B108" s="47" t="s">
        <v>19</v>
      </c>
      <c r="C108" s="45"/>
      <c r="D108" s="45"/>
      <c r="E108" s="46"/>
    </row>
    <row r="109" spans="2:5" x14ac:dyDescent="0.2">
      <c r="B109" s="47"/>
      <c r="C109" s="88"/>
      <c r="D109" s="88"/>
      <c r="E109" s="88"/>
    </row>
    <row r="110" spans="2:5" ht="13.5" thickBot="1" x14ac:dyDescent="0.25">
      <c r="B110" s="51"/>
      <c r="C110" s="52"/>
      <c r="D110" s="52"/>
      <c r="E110" s="53"/>
    </row>
    <row r="113" spans="2:5" ht="13.5" thickBot="1" x14ac:dyDescent="0.25"/>
    <row r="114" spans="2:5" x14ac:dyDescent="0.2">
      <c r="B114" s="41" t="s">
        <v>106</v>
      </c>
      <c r="C114" s="42"/>
      <c r="D114" s="42"/>
      <c r="E114" s="43"/>
    </row>
    <row r="115" spans="2:5" x14ac:dyDescent="0.2">
      <c r="B115" s="44"/>
      <c r="C115" s="45"/>
      <c r="D115" s="45"/>
      <c r="E115" s="46"/>
    </row>
    <row r="116" spans="2:5" x14ac:dyDescent="0.2">
      <c r="B116" s="47" t="s">
        <v>15</v>
      </c>
      <c r="C116" s="45"/>
      <c r="D116" s="45"/>
      <c r="E116" s="46"/>
    </row>
    <row r="117" spans="2:5" ht="21.75" customHeight="1" x14ac:dyDescent="0.2">
      <c r="B117" s="47"/>
      <c r="C117" s="102" t="s">
        <v>81</v>
      </c>
      <c r="D117" s="102"/>
      <c r="E117" s="89"/>
    </row>
    <row r="118" spans="2:5" x14ac:dyDescent="0.2">
      <c r="B118" s="47" t="s">
        <v>16</v>
      </c>
      <c r="C118" s="45"/>
      <c r="D118" s="45"/>
      <c r="E118" s="46"/>
    </row>
    <row r="119" spans="2:5" x14ac:dyDescent="0.2">
      <c r="B119" s="48"/>
      <c r="C119" s="91" t="s">
        <v>101</v>
      </c>
      <c r="D119" s="91"/>
      <c r="E119" s="91"/>
    </row>
    <row r="120" spans="2:5" x14ac:dyDescent="0.2">
      <c r="B120" s="48"/>
      <c r="C120" s="101"/>
      <c r="D120" s="101"/>
      <c r="E120" s="88"/>
    </row>
    <row r="121" spans="2:5" x14ac:dyDescent="0.2">
      <c r="B121" s="47" t="s">
        <v>17</v>
      </c>
      <c r="C121" s="45"/>
      <c r="D121" s="45"/>
      <c r="E121" s="46"/>
    </row>
    <row r="122" spans="2:5" x14ac:dyDescent="0.2">
      <c r="B122" s="48"/>
      <c r="C122" s="102"/>
      <c r="D122" s="102"/>
      <c r="E122" s="89"/>
    </row>
    <row r="123" spans="2:5" x14ac:dyDescent="0.2">
      <c r="B123" s="47" t="s">
        <v>18</v>
      </c>
      <c r="C123" s="49"/>
      <c r="D123" s="49"/>
      <c r="E123" s="50"/>
    </row>
    <row r="124" spans="2:5" x14ac:dyDescent="0.2">
      <c r="B124" s="48"/>
      <c r="C124" s="90" t="s">
        <v>99</v>
      </c>
      <c r="D124" s="90"/>
      <c r="E124" s="90"/>
    </row>
    <row r="125" spans="2:5" x14ac:dyDescent="0.2">
      <c r="B125" s="47" t="s">
        <v>19</v>
      </c>
      <c r="C125" s="45"/>
      <c r="D125" s="45"/>
      <c r="E125" s="46"/>
    </row>
    <row r="126" spans="2:5" x14ac:dyDescent="0.2">
      <c r="B126" s="47"/>
      <c r="C126" s="101"/>
      <c r="D126" s="101"/>
      <c r="E126" s="88"/>
    </row>
    <row r="127" spans="2:5" ht="13.5" thickBot="1" x14ac:dyDescent="0.25">
      <c r="B127" s="51"/>
      <c r="C127" s="52"/>
      <c r="D127" s="52"/>
      <c r="E127" s="53"/>
    </row>
  </sheetData>
  <sortState xmlns:xlrd2="http://schemas.microsoft.com/office/spreadsheetml/2017/richdata2" ref="A10:I29">
    <sortCondition ref="E10:E29"/>
  </sortState>
  <mergeCells count="46">
    <mergeCell ref="C120:E120"/>
    <mergeCell ref="C122:E122"/>
    <mergeCell ref="C124:E124"/>
    <mergeCell ref="C126:E126"/>
    <mergeCell ref="C117:E117"/>
    <mergeCell ref="C119:E119"/>
    <mergeCell ref="C100:E100"/>
    <mergeCell ref="C103:E103"/>
    <mergeCell ref="C105:E105"/>
    <mergeCell ref="C107:E107"/>
    <mergeCell ref="C109:E109"/>
    <mergeCell ref="C102:E102"/>
    <mergeCell ref="C92:E92"/>
    <mergeCell ref="C83:E83"/>
    <mergeCell ref="C85:E85"/>
    <mergeCell ref="C86:E86"/>
    <mergeCell ref="C88:E88"/>
    <mergeCell ref="C90:E90"/>
    <mergeCell ref="B2:H2"/>
    <mergeCell ref="A4:B4"/>
    <mergeCell ref="C4:E4"/>
    <mergeCell ref="A5:B5"/>
    <mergeCell ref="C5:E5"/>
    <mergeCell ref="A6:B6"/>
    <mergeCell ref="A7:B7"/>
    <mergeCell ref="C53:E53"/>
    <mergeCell ref="C55:E55"/>
    <mergeCell ref="C56:E56"/>
    <mergeCell ref="C31:E31"/>
    <mergeCell ref="C32:E32"/>
    <mergeCell ref="C33:E33"/>
    <mergeCell ref="C38:E38"/>
    <mergeCell ref="C40:E40"/>
    <mergeCell ref="C41:E41"/>
    <mergeCell ref="C43:E43"/>
    <mergeCell ref="C45:E45"/>
    <mergeCell ref="C47:E47"/>
    <mergeCell ref="C71:E71"/>
    <mergeCell ref="C73:E73"/>
    <mergeCell ref="C75:E75"/>
    <mergeCell ref="C77:E77"/>
    <mergeCell ref="C58:E58"/>
    <mergeCell ref="C60:E60"/>
    <mergeCell ref="C62:E62"/>
    <mergeCell ref="C68:E68"/>
    <mergeCell ref="C70:E7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zoomScale="70" zoomScaleNormal="70" workbookViewId="0">
      <selection activeCell="A32" sqref="A32:I3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1" t="s">
        <v>21</v>
      </c>
      <c r="B1" s="111"/>
      <c r="C1" s="111"/>
      <c r="D1" s="111"/>
      <c r="E1" s="111"/>
      <c r="F1" s="111"/>
      <c r="G1" s="111"/>
      <c r="H1" s="111"/>
      <c r="I1" s="111"/>
      <c r="J1" s="3" t="s">
        <v>22</v>
      </c>
      <c r="K1" s="58" t="s">
        <v>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2" t="s">
        <v>55</v>
      </c>
      <c r="B3" s="112"/>
      <c r="C3" s="112"/>
      <c r="D3" s="113" t="str">
        <f>'Necesidades Trimestrales'!C4</f>
        <v>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56</v>
      </c>
      <c r="B4" s="114"/>
      <c r="C4" s="114"/>
      <c r="D4" s="113" t="str">
        <f>'Necesidades Trimestrales'!C5</f>
        <v>23 - Hospital Interzonal San Juan Bautista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34</v>
      </c>
      <c r="B5" s="114"/>
      <c r="C5" s="114"/>
      <c r="D5" s="113" t="s">
        <v>61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57</v>
      </c>
      <c r="B6" s="112"/>
      <c r="C6" s="112"/>
      <c r="D6" s="113" t="s">
        <v>62</v>
      </c>
      <c r="E6" s="113"/>
      <c r="F6" s="113"/>
      <c r="G6" s="113"/>
      <c r="H6" s="113"/>
      <c r="I6" s="113"/>
      <c r="J6" s="113"/>
      <c r="K6" s="113"/>
    </row>
    <row r="7" spans="1:11" ht="16.5" customHeight="1" x14ac:dyDescent="0.2">
      <c r="A7" s="114" t="s">
        <v>23</v>
      </c>
      <c r="B7" s="114"/>
      <c r="C7" s="114"/>
      <c r="D7" s="113" t="str">
        <f>'Necesidades Trimestrales'!C7 &amp; "° Trimestre - Año " &amp; 'Necesidades Trimestrales'!C6</f>
        <v>3° Trimestre - Año 2021</v>
      </c>
      <c r="E7" s="113"/>
      <c r="F7" s="113"/>
      <c r="G7" s="113"/>
      <c r="H7" s="113"/>
      <c r="I7" s="113"/>
      <c r="J7" s="113"/>
      <c r="K7" s="113"/>
    </row>
    <row r="8" spans="1:11" ht="16.5" customHeight="1" x14ac:dyDescent="0.2">
      <c r="A8" s="106" t="s">
        <v>24</v>
      </c>
      <c r="B8" s="106"/>
      <c r="C8" s="106"/>
      <c r="D8" s="107" t="s">
        <v>97</v>
      </c>
      <c r="E8" s="107"/>
      <c r="F8" s="107"/>
      <c r="G8" s="107"/>
      <c r="H8" s="107"/>
      <c r="I8" s="107"/>
      <c r="J8" s="107"/>
      <c r="K8" s="10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8" t="s">
        <v>25</v>
      </c>
      <c r="B10" s="109" t="s">
        <v>26</v>
      </c>
      <c r="C10" s="109" t="s">
        <v>27</v>
      </c>
      <c r="D10" s="109"/>
      <c r="E10" s="109"/>
      <c r="F10" s="109"/>
      <c r="G10" s="109"/>
      <c r="H10" s="109" t="s">
        <v>28</v>
      </c>
      <c r="I10" s="109" t="s">
        <v>29</v>
      </c>
      <c r="J10" s="109" t="s">
        <v>30</v>
      </c>
      <c r="K10" s="110" t="s">
        <v>31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20.25" customHeight="1" thickBot="1" x14ac:dyDescent="0.25">
      <c r="A12" s="8">
        <v>1</v>
      </c>
      <c r="B12" s="59">
        <f>'Necesidades Trimestrales'!B10</f>
        <v>0</v>
      </c>
      <c r="C12" s="103" t="str">
        <f>'Necesidades Trimestrales'!E10</f>
        <v>Alimentacion Enteral completa de alta densidad calorica x 500 cc</v>
      </c>
      <c r="D12" s="103"/>
      <c r="E12" s="103"/>
      <c r="F12" s="103"/>
      <c r="G12" s="103"/>
      <c r="H12" s="60" t="s">
        <v>103</v>
      </c>
      <c r="I12" s="61" t="str">
        <f>'Necesidades Trimestrales'!F10</f>
        <v>UNIDAD</v>
      </c>
      <c r="J12" s="62">
        <f>'Necesidades Trimestrales'!H10</f>
        <v>555.5</v>
      </c>
      <c r="K12" s="63">
        <f>'Necesidades Trimestrales'!G10</f>
        <v>800</v>
      </c>
    </row>
    <row r="13" spans="1:11" ht="20.25" customHeight="1" thickBot="1" x14ac:dyDescent="0.25">
      <c r="A13" s="8">
        <v>2</v>
      </c>
      <c r="B13" s="59">
        <f>'Necesidades Trimestrales'!B11</f>
        <v>0</v>
      </c>
      <c r="C13" s="103" t="str">
        <f>'Necesidades Trimestrales'!E11</f>
        <v>Alimentacion Enteral completa x 1000 ml</v>
      </c>
      <c r="D13" s="103"/>
      <c r="E13" s="103"/>
      <c r="F13" s="103"/>
      <c r="G13" s="103"/>
      <c r="H13" s="60" t="s">
        <v>104</v>
      </c>
      <c r="I13" s="61" t="str">
        <f>'Necesidades Trimestrales'!F11</f>
        <v>UNIDAD</v>
      </c>
      <c r="J13" s="62">
        <f>'Necesidades Trimestrales'!H11</f>
        <v>717.87</v>
      </c>
      <c r="K13" s="63">
        <f>'Necesidades Trimestrales'!G11</f>
        <v>680</v>
      </c>
    </row>
    <row r="14" spans="1:11" ht="20.25" customHeight="1" thickBot="1" x14ac:dyDescent="0.25">
      <c r="A14" s="8">
        <v>3</v>
      </c>
      <c r="B14" s="59">
        <f>'Necesidades Trimestrales'!B12</f>
        <v>0</v>
      </c>
      <c r="C14" s="103" t="str">
        <f>'Necesidades Trimestrales'!E12</f>
        <v xml:space="preserve">Alimentacion Enteral completa x 500 ml </v>
      </c>
      <c r="D14" s="103"/>
      <c r="E14" s="103"/>
      <c r="F14" s="103"/>
      <c r="G14" s="103"/>
      <c r="H14" s="60" t="s">
        <v>103</v>
      </c>
      <c r="I14" s="61" t="str">
        <f>'Necesidades Trimestrales'!F12</f>
        <v>UNIDAD</v>
      </c>
      <c r="J14" s="62">
        <f>'Necesidades Trimestrales'!H12</f>
        <v>740.4</v>
      </c>
      <c r="K14" s="63">
        <f>'Necesidades Trimestrales'!G12</f>
        <v>2250</v>
      </c>
    </row>
    <row r="15" spans="1:11" ht="20.25" customHeight="1" thickBot="1" x14ac:dyDescent="0.25">
      <c r="A15" s="8">
        <v>4</v>
      </c>
      <c r="B15" s="59">
        <f>'Necesidades Trimestrales'!B13</f>
        <v>0</v>
      </c>
      <c r="C15" s="103" t="str">
        <f>'Necesidades Trimestrales'!E13</f>
        <v>Alimentacion Enteral completa x 500 ml para DBT</v>
      </c>
      <c r="D15" s="103"/>
      <c r="E15" s="103"/>
      <c r="F15" s="103"/>
      <c r="G15" s="103"/>
      <c r="H15" s="60" t="s">
        <v>104</v>
      </c>
      <c r="I15" s="61" t="str">
        <f>'Necesidades Trimestrales'!F13</f>
        <v>UNIDAD</v>
      </c>
      <c r="J15" s="62">
        <f>'Necesidades Trimestrales'!H13</f>
        <v>460.94</v>
      </c>
      <c r="K15" s="63">
        <f>'Necesidades Trimestrales'!G13</f>
        <v>2250</v>
      </c>
    </row>
    <row r="16" spans="1:11" ht="27.75" customHeight="1" thickBot="1" x14ac:dyDescent="0.25">
      <c r="A16" s="8">
        <v>5</v>
      </c>
      <c r="B16" s="59">
        <f>'Necesidades Trimestrales'!B14</f>
        <v>0</v>
      </c>
      <c r="C16" s="103" t="str">
        <f>'Necesidades Trimestrales'!E14</f>
        <v>BICARBONATO 1 MOLAR SACHET X 100 ML</v>
      </c>
      <c r="D16" s="103"/>
      <c r="E16" s="103"/>
      <c r="F16" s="103"/>
      <c r="G16" s="103"/>
      <c r="H16" s="60" t="s">
        <v>58</v>
      </c>
      <c r="I16" s="61" t="str">
        <f>'Necesidades Trimestrales'!F14</f>
        <v>UNIDAD</v>
      </c>
      <c r="J16" s="62">
        <f>'Necesidades Trimestrales'!H14</f>
        <v>290</v>
      </c>
      <c r="K16" s="63">
        <f>'Necesidades Trimestrales'!G14</f>
        <v>300</v>
      </c>
    </row>
    <row r="17" spans="1:1024" ht="27.75" customHeight="1" thickBot="1" x14ac:dyDescent="0.25">
      <c r="A17" s="8">
        <v>6</v>
      </c>
      <c r="B17" s="59">
        <f>'Necesidades Trimestrales'!B15</f>
        <v>0</v>
      </c>
      <c r="C17" s="103" t="str">
        <f>'Necesidades Trimestrales'!E15</f>
        <v>SOLUCION A CONCENTRADO ACIDO PARA HEMODIALISIS , FORMULA GLUCOSADOS Y NO GLUCOSADAS</v>
      </c>
      <c r="D17" s="103"/>
      <c r="E17" s="103"/>
      <c r="F17" s="103"/>
      <c r="G17" s="103"/>
      <c r="H17" s="60" t="s">
        <v>58</v>
      </c>
      <c r="I17" s="61" t="str">
        <f>'Necesidades Trimestrales'!F15</f>
        <v>UNIDAD</v>
      </c>
      <c r="J17" s="62">
        <f>'Necesidades Trimestrales'!H15</f>
        <v>519</v>
      </c>
      <c r="K17" s="63">
        <f>'Necesidades Trimestrales'!G15</f>
        <v>800</v>
      </c>
    </row>
    <row r="18" spans="1:1024" ht="20.25" customHeight="1" thickBot="1" x14ac:dyDescent="0.25">
      <c r="A18" s="8">
        <v>7</v>
      </c>
      <c r="B18" s="59">
        <f>'Necesidades Trimestrales'!B16</f>
        <v>0</v>
      </c>
      <c r="C18" s="103" t="str">
        <f>'Necesidades Trimestrales'!E16</f>
        <v>SOLUCION B CONCENTRADO BASICO, FORMULA DE BICARBONATO EN SOLUCION</v>
      </c>
      <c r="D18" s="103"/>
      <c r="E18" s="103"/>
      <c r="F18" s="103"/>
      <c r="G18" s="103"/>
      <c r="H18" s="60" t="s">
        <v>58</v>
      </c>
      <c r="I18" s="61" t="str">
        <f>'Necesidades Trimestrales'!F16</f>
        <v>UNIDAD</v>
      </c>
      <c r="J18" s="62">
        <f>'Necesidades Trimestrales'!H16</f>
        <v>685</v>
      </c>
      <c r="K18" s="63">
        <f>'Necesidades Trimestrales'!G16</f>
        <v>1200</v>
      </c>
    </row>
    <row r="19" spans="1:1024" ht="21" customHeight="1" thickBot="1" x14ac:dyDescent="0.25">
      <c r="A19" s="8">
        <v>8</v>
      </c>
      <c r="B19" s="59">
        <f>'Necesidades Trimestrales'!B17</f>
        <v>0</v>
      </c>
      <c r="C19" s="103" t="str">
        <f>'Necesidades Trimestrales'!E17</f>
        <v>SOLUCION DEXTROSA 50% SACHET X 500ML</v>
      </c>
      <c r="D19" s="103"/>
      <c r="E19" s="103"/>
      <c r="F19" s="103"/>
      <c r="G19" s="103"/>
      <c r="H19" s="60" t="s">
        <v>58</v>
      </c>
      <c r="I19" s="61" t="str">
        <f>'Necesidades Trimestrales'!F17</f>
        <v>UNIDAD</v>
      </c>
      <c r="J19" s="62">
        <f>'Necesidades Trimestrales'!H17</f>
        <v>906.03</v>
      </c>
      <c r="K19" s="63">
        <f>'Necesidades Trimestrales'!G17</f>
        <v>30</v>
      </c>
    </row>
    <row r="20" spans="1:1024" ht="23.25" customHeight="1" thickBot="1" x14ac:dyDescent="0.25">
      <c r="A20" s="8">
        <v>9</v>
      </c>
      <c r="B20" s="59">
        <f>'Necesidades Trimestrales'!B18</f>
        <v>0</v>
      </c>
      <c r="C20" s="103" t="str">
        <f>'Necesidades Trimestrales'!E18</f>
        <v>SOLUCION DEXTROSA AL 10% SACHET DE 250 ML</v>
      </c>
      <c r="D20" s="103"/>
      <c r="E20" s="103"/>
      <c r="F20" s="103"/>
      <c r="G20" s="103"/>
      <c r="H20" s="60" t="s">
        <v>58</v>
      </c>
      <c r="I20" s="61" t="str">
        <f>'Necesidades Trimestrales'!F18</f>
        <v>UNIDAD</v>
      </c>
      <c r="J20" s="62">
        <f>'Necesidades Trimestrales'!H18</f>
        <v>94</v>
      </c>
      <c r="K20" s="63">
        <f>'Necesidades Trimestrales'!G18</f>
        <v>50</v>
      </c>
    </row>
    <row r="21" spans="1:1024" ht="23.25" customHeight="1" thickBot="1" x14ac:dyDescent="0.25">
      <c r="A21" s="8">
        <v>10</v>
      </c>
      <c r="B21" s="59">
        <f>'Necesidades Trimestrales'!B19</f>
        <v>0</v>
      </c>
      <c r="C21" s="103" t="str">
        <f>'Necesidades Trimestrales'!E19</f>
        <v>SOLUCION DEXTROSA AL 10% SACHET DE 500 ML</v>
      </c>
      <c r="D21" s="103"/>
      <c r="E21" s="103"/>
      <c r="F21" s="103"/>
      <c r="G21" s="103"/>
      <c r="H21" s="60" t="s">
        <v>58</v>
      </c>
      <c r="I21" s="61" t="str">
        <f>'Necesidades Trimestrales'!F19</f>
        <v>UNIDAD</v>
      </c>
      <c r="J21" s="62">
        <f>'Necesidades Trimestrales'!H19</f>
        <v>95</v>
      </c>
      <c r="K21" s="63">
        <f>'Necesidades Trimestrales'!G19</f>
        <v>50</v>
      </c>
    </row>
    <row r="22" spans="1:1024" ht="27" customHeight="1" thickBot="1" x14ac:dyDescent="0.25">
      <c r="A22" s="8">
        <v>11</v>
      </c>
      <c r="B22" s="59">
        <f>'Necesidades Trimestrales'!B20</f>
        <v>0</v>
      </c>
      <c r="C22" s="103" t="str">
        <f>'Necesidades Trimestrales'!E20</f>
        <v>SOLUCION DEXTROSA AL 25% SACHET DE 500 ML</v>
      </c>
      <c r="D22" s="103"/>
      <c r="E22" s="103"/>
      <c r="F22" s="103"/>
      <c r="G22" s="103"/>
      <c r="H22" s="60" t="s">
        <v>58</v>
      </c>
      <c r="I22" s="61" t="str">
        <f>'Necesidades Trimestrales'!F20</f>
        <v>UNIDAD</v>
      </c>
      <c r="J22" s="62">
        <f>'Necesidades Trimestrales'!H20</f>
        <v>280</v>
      </c>
      <c r="K22" s="63">
        <f>'Necesidades Trimestrales'!G20</f>
        <v>50</v>
      </c>
    </row>
    <row r="23" spans="1:1024" ht="25.5" customHeight="1" thickBot="1" x14ac:dyDescent="0.25">
      <c r="A23" s="8">
        <v>12</v>
      </c>
      <c r="B23" s="59">
        <f>'Necesidades Trimestrales'!B21</f>
        <v>0</v>
      </c>
      <c r="C23" s="103" t="str">
        <f>'Necesidades Trimestrales'!E21</f>
        <v>SOLUCION DEXTROSA AL 5 % SACHET DE 500 ML</v>
      </c>
      <c r="D23" s="103"/>
      <c r="E23" s="103"/>
      <c r="F23" s="103"/>
      <c r="G23" s="103"/>
      <c r="H23" s="60" t="s">
        <v>58</v>
      </c>
      <c r="I23" s="61" t="str">
        <f>'Necesidades Trimestrales'!F21</f>
        <v>UNIDAD</v>
      </c>
      <c r="J23" s="62">
        <f>'Necesidades Trimestrales'!H21</f>
        <v>56.85</v>
      </c>
      <c r="K23" s="63">
        <f>'Necesidades Trimestrales'!G21</f>
        <v>10000</v>
      </c>
    </row>
    <row r="24" spans="1:1024" ht="22.5" customHeight="1" thickBot="1" x14ac:dyDescent="0.25">
      <c r="A24" s="8">
        <v>13</v>
      </c>
      <c r="B24" s="59">
        <f>'Necesidades Trimestrales'!B22</f>
        <v>0</v>
      </c>
      <c r="C24" s="103" t="str">
        <f>'Necesidades Trimestrales'!E22</f>
        <v>SOLUCION FISIOLOGICA 0,9 % SACHET X 500 ML</v>
      </c>
      <c r="D24" s="103"/>
      <c r="E24" s="103"/>
      <c r="F24" s="103"/>
      <c r="G24" s="103"/>
      <c r="H24" s="60" t="s">
        <v>58</v>
      </c>
      <c r="I24" s="61" t="str">
        <f>'Necesidades Trimestrales'!F22</f>
        <v>UNIDAD</v>
      </c>
      <c r="J24" s="62">
        <f>'Necesidades Trimestrales'!H22</f>
        <v>51.18</v>
      </c>
      <c r="K24" s="63">
        <f>'Necesidades Trimestrales'!G22</f>
        <v>80000</v>
      </c>
    </row>
    <row r="25" spans="1:1024" ht="27" customHeight="1" thickBot="1" x14ac:dyDescent="0.25">
      <c r="A25" s="8">
        <v>14</v>
      </c>
      <c r="B25" s="59">
        <f>'Necesidades Trimestrales'!B23</f>
        <v>0</v>
      </c>
      <c r="C25" s="103" t="str">
        <f>'Necesidades Trimestrales'!E23</f>
        <v>SOLUCION FISIOLOGICA 0,9% SACHET X 100 ML</v>
      </c>
      <c r="D25" s="103"/>
      <c r="E25" s="103"/>
      <c r="F25" s="103"/>
      <c r="G25" s="103"/>
      <c r="H25" s="60" t="s">
        <v>58</v>
      </c>
      <c r="I25" s="61" t="str">
        <f>'Necesidades Trimestrales'!F23</f>
        <v>UNIDAD</v>
      </c>
      <c r="J25" s="62">
        <f>'Necesidades Trimestrales'!H23</f>
        <v>48</v>
      </c>
      <c r="K25" s="63">
        <f>'Necesidades Trimestrales'!G23</f>
        <v>400</v>
      </c>
    </row>
    <row r="26" spans="1:1024" ht="21" customHeight="1" thickBot="1" x14ac:dyDescent="0.25">
      <c r="A26" s="8">
        <v>15</v>
      </c>
      <c r="B26" s="59">
        <f>'Necesidades Trimestrales'!B24</f>
        <v>0</v>
      </c>
      <c r="C26" s="103" t="str">
        <f>'Necesidades Trimestrales'!E24</f>
        <v xml:space="preserve">SOLUCION GLUCOSADA AL 25 % AMPOLLAS </v>
      </c>
      <c r="D26" s="103"/>
      <c r="E26" s="103"/>
      <c r="F26" s="103"/>
      <c r="G26" s="103"/>
      <c r="H26" s="60" t="s">
        <v>58</v>
      </c>
      <c r="I26" s="61" t="str">
        <f>'Necesidades Trimestrales'!F24</f>
        <v>UNIDAD</v>
      </c>
      <c r="J26" s="62">
        <f>'Necesidades Trimestrales'!H24</f>
        <v>55.44</v>
      </c>
      <c r="K26" s="63">
        <f>'Necesidades Trimestrales'!G24</f>
        <v>1000</v>
      </c>
    </row>
    <row r="27" spans="1:1024" ht="23.25" customHeight="1" thickBot="1" x14ac:dyDescent="0.25">
      <c r="A27" s="8">
        <v>16</v>
      </c>
      <c r="B27" s="59">
        <f>'Necesidades Trimestrales'!B25</f>
        <v>0</v>
      </c>
      <c r="C27" s="103" t="str">
        <f>'Necesidades Trimestrales'!E25</f>
        <v>SOLUCION MANITOL DE SACHET 500 ML</v>
      </c>
      <c r="D27" s="103"/>
      <c r="E27" s="103"/>
      <c r="F27" s="103"/>
      <c r="G27" s="103"/>
      <c r="H27" s="60" t="s">
        <v>58</v>
      </c>
      <c r="I27" s="61" t="str">
        <f>'Necesidades Trimestrales'!F25</f>
        <v>UNIDAD</v>
      </c>
      <c r="J27" s="62">
        <f>'Necesidades Trimestrales'!H25</f>
        <v>363</v>
      </c>
      <c r="K27" s="63">
        <f>'Necesidades Trimestrales'!G25</f>
        <v>300</v>
      </c>
    </row>
    <row r="28" spans="1:1024" ht="20.25" customHeight="1" thickBot="1" x14ac:dyDescent="0.25">
      <c r="A28" s="8">
        <v>17</v>
      </c>
      <c r="B28" s="59">
        <f>'Necesidades Trimestrales'!B26</f>
        <v>0</v>
      </c>
      <c r="C28" s="103" t="str">
        <f>'Necesidades Trimestrales'!E26</f>
        <v>SOLUCION RINGER LACTATO DE 500 ML</v>
      </c>
      <c r="D28" s="103"/>
      <c r="E28" s="103"/>
      <c r="F28" s="103"/>
      <c r="G28" s="103"/>
      <c r="H28" s="60" t="s">
        <v>58</v>
      </c>
      <c r="I28" s="61" t="str">
        <f>'Necesidades Trimestrales'!F26</f>
        <v>UNIDAD</v>
      </c>
      <c r="J28" s="62">
        <f>'Necesidades Trimestrales'!H26</f>
        <v>90</v>
      </c>
      <c r="K28" s="63">
        <f>'Necesidades Trimestrales'!G26</f>
        <v>700</v>
      </c>
    </row>
    <row r="29" spans="1:1024" ht="20.25" customHeight="1" thickBot="1" x14ac:dyDescent="0.25">
      <c r="A29" s="8">
        <v>18</v>
      </c>
      <c r="B29" s="59">
        <f>'Necesidades Trimestrales'!B27</f>
        <v>0</v>
      </c>
      <c r="C29" s="103" t="str">
        <f>'Necesidades Trimestrales'!E27</f>
        <v>SULFATO DE MAGNESIO 25%  AMPOLLAS</v>
      </c>
      <c r="D29" s="103"/>
      <c r="E29" s="103"/>
      <c r="F29" s="103"/>
      <c r="G29" s="103"/>
      <c r="H29" s="60" t="s">
        <v>58</v>
      </c>
      <c r="I29" s="61" t="str">
        <f>'Necesidades Trimestrales'!F27</f>
        <v>UNIDAD</v>
      </c>
      <c r="J29" s="62">
        <f>'Necesidades Trimestrales'!H27</f>
        <v>35</v>
      </c>
      <c r="K29" s="63">
        <f>'Necesidades Trimestrales'!G27</f>
        <v>3600</v>
      </c>
    </row>
    <row r="30" spans="1:1024" ht="20.25" customHeight="1" thickBot="1" x14ac:dyDescent="0.25">
      <c r="A30" s="8">
        <v>19</v>
      </c>
      <c r="B30" s="59">
        <f>'Necesidades Trimestrales'!B28</f>
        <v>0</v>
      </c>
      <c r="C30" s="103" t="str">
        <f>'Necesidades Trimestrales'!E28</f>
        <v xml:space="preserve">Suplemento Oral Bebible botella x 200 ml tipo Diben Drink </v>
      </c>
      <c r="D30" s="103"/>
      <c r="E30" s="103"/>
      <c r="F30" s="103"/>
      <c r="G30" s="103"/>
      <c r="H30" s="60" t="s">
        <v>103</v>
      </c>
      <c r="I30" s="61" t="str">
        <f>'Necesidades Trimestrales'!F28</f>
        <v>UNIDAD</v>
      </c>
      <c r="J30" s="62">
        <f>'Necesidades Trimestrales'!H28</f>
        <v>484.48</v>
      </c>
      <c r="K30" s="63">
        <f>'Necesidades Trimestrales'!G28</f>
        <v>456</v>
      </c>
    </row>
    <row r="31" spans="1:1024" ht="20.25" customHeight="1" thickBot="1" x14ac:dyDescent="0.25">
      <c r="A31" s="8">
        <v>20</v>
      </c>
      <c r="B31" s="59">
        <f>'Necesidades Trimestrales'!B29</f>
        <v>0</v>
      </c>
      <c r="C31" s="103" t="str">
        <f>'Necesidades Trimestrales'!E29</f>
        <v xml:space="preserve">Suplemento Oral Bebible botella x 200 ml tipo Fresubin Drink </v>
      </c>
      <c r="D31" s="103"/>
      <c r="E31" s="103"/>
      <c r="F31" s="103"/>
      <c r="G31" s="103"/>
      <c r="H31" s="60" t="s">
        <v>103</v>
      </c>
      <c r="I31" s="61" t="str">
        <f>'Necesidades Trimestrales'!F29</f>
        <v>UNIDAD</v>
      </c>
      <c r="J31" s="62">
        <f>'Necesidades Trimestrales'!H29</f>
        <v>494.52</v>
      </c>
      <c r="K31" s="63">
        <f>'Necesidades Trimestrales'!G29</f>
        <v>240</v>
      </c>
    </row>
    <row r="32" spans="1:1024" ht="20.25" customHeight="1" thickBot="1" x14ac:dyDescent="0.25">
      <c r="A32" s="104" t="s">
        <v>108</v>
      </c>
      <c r="B32" s="104"/>
      <c r="C32" s="104"/>
      <c r="D32" s="104"/>
      <c r="E32" s="104"/>
      <c r="F32" s="104"/>
      <c r="G32" s="104"/>
      <c r="H32" s="104"/>
      <c r="I32" s="104"/>
      <c r="J32" s="105">
        <f>SUMPRODUCT(J12:J31,K12:K31)</f>
        <v>10385445.180000002</v>
      </c>
      <c r="K32" s="10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</sheetData>
  <mergeCells count="4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2:I32"/>
    <mergeCell ref="J32:K3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24:G24"/>
    <mergeCell ref="C25:G25"/>
    <mergeCell ref="C26:G26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S23" sqref="S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9" t="s">
        <v>3</v>
      </c>
      <c r="B1" s="139"/>
      <c r="C1" s="139"/>
      <c r="D1" s="140">
        <f>'Necesidades Trimestrales'!C6</f>
        <v>2021</v>
      </c>
      <c r="E1" s="140"/>
      <c r="F1" s="10"/>
      <c r="G1" s="10"/>
      <c r="H1" s="11"/>
      <c r="I1" s="11"/>
      <c r="J1" s="11"/>
      <c r="K1" s="11"/>
      <c r="L1" s="11"/>
      <c r="M1" s="11"/>
      <c r="N1" s="11"/>
      <c r="P1" s="141" t="s">
        <v>32</v>
      </c>
      <c r="Q1" s="14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1"/>
      <c r="Q2" s="141"/>
    </row>
    <row r="4" spans="1:17" s="12" customFormat="1" ht="18" customHeight="1" thickBot="1" x14ac:dyDescent="0.25">
      <c r="A4" s="142" t="s">
        <v>33</v>
      </c>
      <c r="B4" s="142"/>
      <c r="C4" s="142"/>
      <c r="D4" s="142"/>
      <c r="E4" s="142"/>
      <c r="F4" s="142"/>
      <c r="G4" s="137" t="str">
        <f>NotaPedido!D3</f>
        <v>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s="12" customFormat="1" ht="18" customHeight="1" thickBot="1" x14ac:dyDescent="0.25">
      <c r="A5" s="134" t="s">
        <v>56</v>
      </c>
      <c r="B5" s="135"/>
      <c r="C5" s="135"/>
      <c r="D5" s="135"/>
      <c r="E5" s="135"/>
      <c r="F5" s="136"/>
      <c r="G5" s="137" t="str">
        <f>NotaPedido!D4</f>
        <v>23 - Hospital Interzonal San Juan Bautista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s="12" customFormat="1" ht="18" customHeight="1" thickBot="1" x14ac:dyDescent="0.25">
      <c r="A6" s="134" t="s">
        <v>34</v>
      </c>
      <c r="B6" s="135"/>
      <c r="C6" s="135"/>
      <c r="D6" s="135"/>
      <c r="E6" s="135"/>
      <c r="F6" s="136"/>
      <c r="G6" s="137" t="str">
        <f>NotaPedido!D5</f>
        <v>168 - Direccion Asistencial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s="12" customFormat="1" ht="18" customHeight="1" thickBot="1" x14ac:dyDescent="0.25">
      <c r="A7" s="134" t="s">
        <v>57</v>
      </c>
      <c r="B7" s="135"/>
      <c r="C7" s="135"/>
      <c r="D7" s="135"/>
      <c r="E7" s="135"/>
      <c r="F7" s="136"/>
      <c r="G7" s="137" t="str">
        <f>NotaPedido!D6</f>
        <v>Servicio de Farmacia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25">
      <c r="A8" s="138" t="s">
        <v>35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2">
      <c r="A9" s="128" t="s">
        <v>36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13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062 - 2021,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0" t="s">
        <v>37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x14ac:dyDescent="0.2">
      <c r="A13" s="131" t="s">
        <v>38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39</v>
      </c>
      <c r="P13" s="132"/>
      <c r="Q13" s="133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32"/>
      <c r="P14" s="132"/>
      <c r="Q14" s="133"/>
    </row>
    <row r="15" spans="1:17" ht="17.25" customHeight="1" x14ac:dyDescent="0.2">
      <c r="A15" s="81">
        <v>33</v>
      </c>
      <c r="B15" s="26"/>
      <c r="C15" s="26"/>
      <c r="D15" s="26">
        <v>2</v>
      </c>
      <c r="E15" s="26"/>
      <c r="F15" s="26">
        <v>4901</v>
      </c>
      <c r="G15" s="26">
        <v>3</v>
      </c>
      <c r="H15" s="65" t="s">
        <v>64</v>
      </c>
      <c r="I15" s="26">
        <v>2</v>
      </c>
      <c r="J15" s="26">
        <v>5</v>
      </c>
      <c r="K15" s="26">
        <v>2</v>
      </c>
      <c r="L15" s="26"/>
      <c r="M15" s="82">
        <v>1</v>
      </c>
      <c r="N15" s="65" t="s">
        <v>65</v>
      </c>
      <c r="O15" s="125" t="s">
        <v>63</v>
      </c>
      <c r="P15" s="125"/>
      <c r="Q15" s="27">
        <v>10385445.18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64"/>
      <c r="I16" s="24"/>
      <c r="J16" s="24"/>
      <c r="K16" s="24"/>
      <c r="L16" s="24"/>
      <c r="M16" s="25"/>
      <c r="N16" s="65"/>
      <c r="O16" s="126"/>
      <c r="P16" s="126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4"/>
      <c r="I17" s="24"/>
      <c r="J17" s="24"/>
      <c r="K17" s="24"/>
      <c r="L17" s="24"/>
      <c r="M17" s="25"/>
      <c r="N17" s="65"/>
      <c r="O17" s="126"/>
      <c r="P17" s="126"/>
      <c r="Q17" s="27"/>
      <c r="S17" s="66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4"/>
      <c r="I18" s="24"/>
      <c r="J18" s="24"/>
      <c r="K18" s="24"/>
      <c r="L18" s="24"/>
      <c r="M18" s="25"/>
      <c r="N18" s="65"/>
      <c r="O18" s="127"/>
      <c r="P18" s="120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0"/>
      <c r="P19" s="120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0"/>
      <c r="P20" s="120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1"/>
      <c r="P21" s="121"/>
      <c r="Q21" s="27"/>
      <c r="R21" s="1"/>
    </row>
    <row r="22" spans="1:19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2"/>
      <c r="P22" s="122"/>
      <c r="Q22" s="36"/>
    </row>
    <row r="23" spans="1:19" ht="20.25" customHeight="1" x14ac:dyDescent="0.2">
      <c r="A23" s="123" t="s">
        <v>109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37">
        <f>SUM(Q15:Q22)</f>
        <v>10385445.18</v>
      </c>
    </row>
    <row r="24" spans="1:19" ht="18" customHeight="1" thickBo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9" ht="17.25" customHeight="1" thickBot="1" x14ac:dyDescent="0.25">
      <c r="A25" s="115" t="s">
        <v>54</v>
      </c>
      <c r="B25" s="116"/>
      <c r="C25" s="116"/>
      <c r="D25" s="116"/>
      <c r="E25" s="116"/>
      <c r="F25" s="117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9" ht="18" customHeight="1" thickBot="1" x14ac:dyDescent="0.25">
      <c r="A26" s="119" t="str">
        <f>"Para la "&amp; NotaPedido!D8 &amp;" para ser destinados al " &amp; NotaPedido!D6 &amp;"  del HISJB del Ministerio de Salud."</f>
        <v>Para la Adquisición de Nutricion, Soluciones p/Equilibrio Hidroelectrolitico y para Dialisis para ser destinados al Servicio de Farmacia  del HISJB del Ministerio de Salud.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9" ht="15" customHeight="1" x14ac:dyDescent="0.2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2021-08-12T11:39:45Z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