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650" tabRatio="500" activeTab="2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Print_Area" localSheetId="1">' NotaPedido'!$A$1:$K$20</definedName>
    <definedName name="_xlnm.Print_Area" localSheetId="2">'Autor Gastar'!$A$1:$Q$25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2" l="1"/>
  <c r="I10" i="1" l="1"/>
  <c r="Q21" i="3" l="1"/>
  <c r="C12" i="2" l="1"/>
  <c r="G6" i="3" l="1"/>
  <c r="D7" i="2"/>
  <c r="D3" i="2"/>
  <c r="G4" i="3" s="1"/>
  <c r="D4" i="2"/>
  <c r="G5" i="3" s="1"/>
  <c r="D1" i="3" l="1"/>
  <c r="I12" i="2"/>
  <c r="B12" i="2"/>
  <c r="D10" i="1"/>
  <c r="I15" i="3" s="1"/>
  <c r="K15" i="3" l="1"/>
  <c r="J15" i="3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<sst xmlns="http://schemas.openxmlformats.org/spreadsheetml/2006/main" count="85" uniqueCount="80">
  <si>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</si>
  <si>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</si>
  <si>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</si>
  <si>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</si>
  <si>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</si>
  <si>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</si>
  <si>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</si>
  <si>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</si>
  <si>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</si>
  <si>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</si>
  <si>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</si>
  <si>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</si>
  <si>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</si>
  <si>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</si>
  <si>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</si>
  <si>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</si>
  <si>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</si>
  <si>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</si>
  <si>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</si>
  <si>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Garantia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</si>
  <si>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</si>
  <si>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</si>
  <si>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</si>
  <si>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</si>
  <si>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</si>
  <si>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</si>
  <si>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</si>
  <si>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</si>
  <si>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</si>
  <si>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</si>
  <si>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</si>
  <si>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</si>
  <si>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</si>
  <si>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</si>
  <si>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</si>
  <si>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</si>
  <si>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</si>
  <si>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</si>
  <si>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</si>
  <si>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</si>
  <si>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</si>
  <si>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</si>
  <si>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</si>
  <si>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</si>
  <si>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</si>
  <si>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</si>
  <si>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</si>
  <si>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</si>
  <si>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</si>
  <si>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</si>
  <si>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</si>
  <si>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</si>
  <si>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</si>
  <si>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</si>
  <si>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</si>
  <si>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</si>
  <si>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</si>
  <si>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</si>
  <si>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</si>
  <si>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 xml:space="preserve"> MINISTERIO DE CIENCIA E INNOVACION TECNOLOGICA</t>
  </si>
  <si>
    <t>1.1</t>
  </si>
  <si>
    <t xml:space="preserve">Plazo: DIEZ (10) DIAS HABILES DE RECIBIDA LA ORDEN DE COMPRA. Lugar de Entrega: C.A.P.E. Pabellon 26 </t>
  </si>
  <si>
    <t>ELECTRICIDAD Y TELEFONIA</t>
  </si>
  <si>
    <t>,</t>
  </si>
  <si>
    <t xml:space="preserve">SECRETARIA DE POLITICA Y ESTRATEGIAS DE CIENCIA Y TECNOLOGIA </t>
  </si>
  <si>
    <t xml:space="preserve">SECRETARIA DE POLITICAS Y ESTRATEGIAS DE CIENCIA Y TECNOLOGIA </t>
  </si>
  <si>
    <t>ADQUISICION DE BATERIAS  PARA SISTEMA SOLAR EN LAS ESCUELAS RURALES DE LA PROVINCIA</t>
  </si>
  <si>
    <t>2.9.3-284.287</t>
  </si>
  <si>
    <t>BATERIAS ESPECIALES; CAPACIDAD: 180 A/H, FORMATO: RECTANGULAR, SISTEMA QUIMICO: PLATA - CALCIO, TENSION: 12 V</t>
  </si>
  <si>
    <t>12 MESES</t>
  </si>
  <si>
    <t>N° 015/2020</t>
  </si>
  <si>
    <t>Costo total estimado: PESOS: UN MILLÓN SETECIENTOS UN MIL SEISCIENTOS CON 00/100</t>
  </si>
  <si>
    <t>Utiles y Materiales Eléctricos</t>
  </si>
  <si>
    <t>TOTAL DE PESOS: UN MILLÓN SETECIENTOS UN MIL SEISCIENTOS CON 00/100</t>
  </si>
  <si>
    <t>ADQUISICION DE BATERIAS  PARA SISTEMA SOLAR EN  LAS ESCUELAS RURALES DE LA PROVINCIA, DEPENDIENTES DEL MINISTERIO DE CIENCIA E INNOVACION TECNOLOGICA.</t>
  </si>
  <si>
    <r>
      <t>Mantenimiento</t>
    </r>
    <r>
      <rPr>
        <sz val="10"/>
        <rFont val="Times New Roman"/>
        <family val="1"/>
      </rPr>
      <t>: 30 días</t>
    </r>
  </si>
  <si>
    <t>Monoblock: De polipropileno termosellado</t>
  </si>
  <si>
    <t xml:space="preserve">            Polaridad: Derecha</t>
  </si>
  <si>
    <t xml:space="preserve">           Tipo de borne: Standard</t>
  </si>
  <si>
    <r>
      <t xml:space="preserve">Autorizo la realización de los  trámites correspondientes, a fin de proveer a  este Organismo los bienes y/o servicios que se detallan en Nota  de Pedido </t>
    </r>
    <r>
      <rPr>
        <b/>
        <sz val="11"/>
        <rFont val="Arial"/>
        <family val="2"/>
      </rPr>
      <t>N° 015/2020,</t>
    </r>
    <r>
      <rPr>
        <sz val="11"/>
        <rFont val="Arial"/>
        <family val="2"/>
        <charset val="1"/>
      </rPr>
      <t xml:space="preserve"> afectando la erogación resultante a los créditos presupuestarios aprobados a favor de esta Unidad Ejecutora, conforme al ' Nota Pedido siguiente detalle:"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</si>
</sst>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name val="Times New Roman"/>
      <family val="1"/>
      <charset val="1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46" xfId="0" applyFont="1" applyBorder="1" applyAlignment="1">
      <alignment vertical="center"/>
    </xf>
    <xf numFmtId="0" fontId="0" fillId="0" borderId="46" xfId="0" applyBorder="1"/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3" fillId="0" borderId="2" xfId="0" applyFont="1" applyFill="1" applyBorder="1"/>
    <xf numFmtId="0" fontId="16" fillId="0" borderId="3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0" xfId="0" applyFont="1" applyFill="1" applyBorder="1"/>
    <xf numFmtId="0" fontId="16" fillId="0" borderId="6" xfId="0" applyFont="1" applyFill="1" applyBorder="1"/>
    <xf numFmtId="0" fontId="23" fillId="0" borderId="5" xfId="0" applyFont="1" applyFill="1" applyBorder="1" applyAlignment="1">
      <alignment horizontal="left" indent="3"/>
    </xf>
    <xf numFmtId="0" fontId="16" fillId="0" borderId="5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6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left" indent="3"/>
    </xf>
    <xf numFmtId="0" fontId="16" fillId="0" borderId="8" xfId="0" applyFont="1" applyFill="1" applyBorder="1"/>
    <xf numFmtId="0" fontId="16" fillId="0" borderId="9" xfId="0" applyFont="1" applyFill="1" applyBorder="1"/>
    <xf numFmtId="0" fontId="14" fillId="0" borderId="26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0" xfId="0" applyFill="1" applyBorder="1"/>
    <xf numFmtId="0" fontId="0" fillId="0" borderId="23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24" xfId="0" applyFill="1" applyBorder="1"/>
    <xf numFmtId="166" fontId="0" fillId="0" borderId="32" xfId="3" applyNumberFormat="1" applyFont="1" applyFill="1" applyBorder="1" applyAlignment="1" applyProtection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7" xfId="3" applyNumberFormat="1" applyFont="1" applyFill="1" applyBorder="1" applyAlignment="1" applyProtection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166" fontId="0" fillId="0" borderId="41" xfId="3" applyNumberFormat="1" applyFont="1" applyFill="1" applyBorder="1" applyAlignment="1" applyProtection="1">
      <alignment horizontal="center" vertical="center"/>
    </xf>
    <xf numFmtId="166" fontId="14" fillId="0" borderId="42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26" fillId="0" borderId="14" xfId="0" applyFont="1" applyFill="1" applyBorder="1" applyAlignment="1">
      <alignment horizontal="left" vertical="center" wrapText="1"/>
    </xf>
    <xf numFmtId="170" fontId="16" fillId="0" borderId="0" xfId="0" applyNumberFormat="1" applyFont="1" applyFill="1"/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169" fontId="15" fillId="0" borderId="14" xfId="1" applyNumberFormat="1" applyBorder="1" applyAlignment="1" applyProtection="1">
      <alignment horizontal="center" vertical="center"/>
    </xf>
    <xf numFmtId="3" fontId="4" fillId="0" borderId="14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left" vertical="center"/>
    </xf>
    <xf numFmtId="169" fontId="15" fillId="0" borderId="14" xfId="1" applyNumberForma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2" fillId="0" borderId="14" xfId="0" applyFont="1" applyFill="1" applyBorder="1" applyAlignment="1">
      <alignment horizontal="center" vertical="center" wrapText="1"/>
    </xf>
    <xf numFmtId="166" fontId="21" fillId="0" borderId="14" xfId="1" applyNumberFormat="1" applyFont="1" applyFill="1" applyBorder="1" applyAlignment="1" applyProtection="1">
      <alignment horizontal="righ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15" fillId="0" borderId="14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center" vertical="center" wrapText="1"/>
    </xf>
    <xf numFmtId="169" fontId="19" fillId="0" borderId="14" xfId="0" applyNumberFormat="1" applyFont="1" applyFill="1" applyBorder="1" applyAlignment="1">
      <alignment horizontal="center" vertical="center" wrapText="1"/>
    </xf>
    <xf numFmtId="169" fontId="19" fillId="0" borderId="14" xfId="0" applyNumberFormat="1" applyFont="1" applyFill="1" applyBorder="1" applyAlignment="1">
      <alignment horizontal="right" vertical="center" wrapText="1"/>
    </xf>
    <xf numFmtId="0" fontId="19" fillId="0" borderId="14" xfId="0" applyFont="1" applyFill="1" applyBorder="1" applyAlignment="1">
      <alignment horizontal="center" wrapText="1"/>
    </xf>
    <xf numFmtId="0" fontId="19" fillId="0" borderId="14" xfId="0" applyFont="1" applyFill="1" applyBorder="1" applyAlignment="1">
      <alignment horizontal="right" wrapText="1"/>
    </xf>
    <xf numFmtId="0" fontId="0" fillId="0" borderId="14" xfId="0" applyBorder="1" applyAlignment="1">
      <alignment horizontal="center" vertical="center" wrapText="1"/>
    </xf>
    <xf numFmtId="0" fontId="16" fillId="0" borderId="0" xfId="0" applyFont="1" applyFill="1" applyBorder="1" applyAlignment="1">
      <alignment vertical="top" wrapText="1"/>
    </xf>
    <xf numFmtId="0" fontId="16" fillId="0" borderId="6" xfId="0" applyFont="1" applyFill="1" applyBorder="1" applyAlignment="1">
      <alignment vertical="top" wrapText="1"/>
    </xf>
    <xf numFmtId="167" fontId="16" fillId="0" borderId="0" xfId="0" applyNumberFormat="1" applyFont="1" applyFill="1"/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16" fillId="0" borderId="5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left" wrapText="1"/>
    </xf>
    <xf numFmtId="0" fontId="16" fillId="0" borderId="6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 vertical="top" wrapText="1"/>
    </xf>
    <xf numFmtId="0" fontId="16" fillId="0" borderId="6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/>
    </xf>
    <xf numFmtId="0" fontId="16" fillId="0" borderId="6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7" fillId="0" borderId="15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/>
    </xf>
    <xf numFmtId="0" fontId="25" fillId="0" borderId="17" xfId="0" applyFont="1" applyFill="1" applyBorder="1" applyAlignment="1">
      <alignment horizontal="left" vertical="center" wrapText="1" indent="1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/>
    </xf>
    <xf numFmtId="3" fontId="10" fillId="0" borderId="19" xfId="0" applyNumberFormat="1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/>
    <xf numFmtId="0" fontId="12" fillId="0" borderId="11" xfId="0" applyFont="1" applyFill="1" applyBorder="1" applyAlignment="1">
      <alignment horizontal="left" indent="1"/>
    </xf>
    <xf numFmtId="0" fontId="4" fillId="0" borderId="13" xfId="0" applyFont="1" applyFill="1" applyBorder="1" applyAlignment="1">
      <alignment horizontal="left" vertical="center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/>
    </xf>
    <xf numFmtId="0" fontId="12" fillId="0" borderId="21" xfId="0" applyFont="1" applyFill="1" applyBorder="1"/>
    <xf numFmtId="0" fontId="12" fillId="0" borderId="22" xfId="0" applyFont="1" applyFill="1" applyBorder="1" applyAlignment="1">
      <alignment horizontal="left" vertical="center" wrapText="1" indent="1"/>
    </xf>
    <xf numFmtId="0" fontId="14" fillId="0" borderId="2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/>
    </xf>
    <xf numFmtId="0" fontId="27" fillId="0" borderId="31" xfId="0" applyFont="1" applyFill="1" applyBorder="1" applyAlignment="1">
      <alignment horizontal="center" vertical="center"/>
    </xf>
    <xf numFmtId="0" fontId="27" fillId="0" borderId="47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left" vertical="center"/>
    </xf>
    <xf numFmtId="0" fontId="0" fillId="0" borderId="36" xfId="0" applyFont="1" applyFill="1" applyBorder="1" applyAlignment="1">
      <alignment horizontal="left" vertical="center"/>
    </xf>
    <xf numFmtId="0" fontId="10" fillId="0" borderId="18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2" fillId="0" borderId="42" xfId="0" applyFont="1" applyFill="1" applyBorder="1" applyAlignment="1">
      <alignment horizontal="left" vertical="center" wrapText="1" indent="1"/>
    </xf>
    <xf numFmtId="0" fontId="0" fillId="0" borderId="3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10" fillId="0" borderId="42" xfId="0" applyFont="1" applyFill="1" applyBorder="1" applyAlignment="1">
      <alignment horizontal="left" vertical="center" wrapText="1"/>
    </xf>
    <xf numFmtId="0" fontId="0" fillId="0" borderId="20" xfId="0" applyFill="1" applyBorder="1"/>
    <xf numFmtId="0" fontId="15" fillId="0" borderId="14" xfId="0" applyFont="1" applyBorder="1" applyAlignment="1">
      <alignment horizontal="center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6"/>
  <sheetViews>
    <sheetView zoomScale="87" zoomScaleNormal="87" workbookViewId="0">
      <selection activeCell="B11" sqref="B11"/>
    </sheetView>
  </sheetViews>
  <sheetFormatPr baseColWidth="10" defaultColWidth="11" defaultRowHeight="12.75" x14ac:dyDescent="0.2"/>
  <cols>
    <col min="1" max="1" width="4.5703125" style="7" customWidth="1"/>
    <col min="2" max="2" width="14.42578125" style="7" customWidth="1"/>
    <col min="3" max="3" width="32.42578125" style="7" customWidth="1"/>
    <col min="4" max="4" width="8.42578125" style="7" customWidth="1"/>
    <col min="5" max="5" width="79" style="7" customWidth="1"/>
    <col min="6" max="6" width="11" style="7"/>
    <col min="7" max="7" width="12.7109375" style="7" customWidth="1"/>
    <col min="8" max="8" width="13.85546875" style="7" customWidth="1"/>
    <col min="9" max="9" width="18.5703125" style="7" customWidth="1"/>
    <col min="10" max="10" width="13" style="7" bestFit="1" customWidth="1"/>
    <col min="11" max="16384" width="11" style="7"/>
  </cols>
  <sheetData>
    <row r="2" spans="1:10" ht="27" x14ac:dyDescent="0.35">
      <c r="B2" s="95" t="s">
        <v>0</v>
      </c>
      <c r="C2" s="95"/>
      <c r="D2" s="95"/>
      <c r="E2" s="95"/>
      <c r="F2" s="95"/>
      <c r="G2" s="95"/>
      <c r="H2" s="95"/>
    </row>
    <row r="4" spans="1:10" ht="18" customHeight="1" x14ac:dyDescent="0.25">
      <c r="A4" s="96" t="s">
        <v>1</v>
      </c>
      <c r="B4" s="96"/>
      <c r="C4" s="97" t="s">
        <v>57</v>
      </c>
      <c r="D4" s="97"/>
      <c r="E4" s="97"/>
      <c r="F4" s="8"/>
      <c r="G4" s="9"/>
      <c r="H4" s="8"/>
    </row>
    <row r="5" spans="1:10" ht="18" customHeight="1" x14ac:dyDescent="0.25">
      <c r="A5" s="96" t="s">
        <v>2</v>
      </c>
      <c r="B5" s="96"/>
      <c r="C5" s="97" t="s">
        <v>58</v>
      </c>
      <c r="D5" s="97"/>
      <c r="E5" s="97"/>
      <c r="F5" s="8"/>
      <c r="G5" s="9"/>
      <c r="H5" s="8"/>
    </row>
    <row r="6" spans="1:10" ht="16.5" customHeight="1" x14ac:dyDescent="0.25">
      <c r="A6" s="96" t="s">
        <v>3</v>
      </c>
      <c r="B6" s="96"/>
      <c r="C6" s="10">
        <v>2020</v>
      </c>
      <c r="D6" s="11"/>
      <c r="E6" s="11"/>
      <c r="F6" s="8"/>
      <c r="G6" s="9"/>
      <c r="H6" s="8"/>
    </row>
    <row r="7" spans="1:10" ht="16.5" customHeight="1" x14ac:dyDescent="0.25">
      <c r="A7" s="96" t="s">
        <v>4</v>
      </c>
      <c r="B7" s="96"/>
      <c r="C7" s="10">
        <v>4</v>
      </c>
      <c r="D7" s="11"/>
      <c r="E7" s="11"/>
      <c r="F7" s="8"/>
      <c r="G7" s="9"/>
      <c r="H7" s="8"/>
    </row>
    <row r="8" spans="1:10" ht="13.5" thickBot="1" x14ac:dyDescent="0.25">
      <c r="B8" s="8"/>
      <c r="C8" s="9"/>
      <c r="D8" s="8"/>
      <c r="E8" s="8"/>
      <c r="F8" s="8"/>
      <c r="G8" s="9"/>
      <c r="H8" s="8"/>
    </row>
    <row r="9" spans="1:10" ht="42.75" customHeight="1" thickBot="1" x14ac:dyDescent="0.25">
      <c r="A9" s="79" t="s">
        <v>5</v>
      </c>
      <c r="B9" s="79" t="s">
        <v>6</v>
      </c>
      <c r="C9" s="79" t="s">
        <v>7</v>
      </c>
      <c r="D9" s="79" t="s">
        <v>8</v>
      </c>
      <c r="E9" s="79" t="s">
        <v>9</v>
      </c>
      <c r="F9" s="79" t="s">
        <v>10</v>
      </c>
      <c r="G9" s="79" t="s">
        <v>11</v>
      </c>
      <c r="H9" s="79" t="s">
        <v>12</v>
      </c>
      <c r="I9" s="79" t="s">
        <v>13</v>
      </c>
    </row>
    <row r="10" spans="1:10" ht="35.25" customHeight="1" thickBot="1" x14ac:dyDescent="0.25">
      <c r="A10" s="80">
        <v>1</v>
      </c>
      <c r="B10" s="152" t="s">
        <v>67</v>
      </c>
      <c r="C10" s="81" t="s">
        <v>62</v>
      </c>
      <c r="D10" s="82" t="str">
        <f>LEFT(B10,5)</f>
        <v>2.9.3</v>
      </c>
      <c r="E10" s="91" t="s">
        <v>68</v>
      </c>
      <c r="F10" s="82" t="s">
        <v>14</v>
      </c>
      <c r="G10" s="82">
        <v>60</v>
      </c>
      <c r="H10" s="83">
        <v>28360</v>
      </c>
      <c r="I10" s="83">
        <f>+G10*H10</f>
        <v>1701600</v>
      </c>
      <c r="J10" s="94"/>
    </row>
    <row r="11" spans="1:10" ht="24" customHeight="1" thickBot="1" x14ac:dyDescent="0.25">
      <c r="A11" s="80"/>
      <c r="B11" s="82"/>
      <c r="C11" s="84"/>
      <c r="D11" s="82"/>
      <c r="E11" s="85"/>
      <c r="F11" s="86"/>
      <c r="G11" s="86"/>
      <c r="H11" s="87"/>
      <c r="I11" s="88"/>
    </row>
    <row r="12" spans="1:10" ht="24" customHeight="1" thickBot="1" x14ac:dyDescent="0.25">
      <c r="A12" s="80"/>
      <c r="B12" s="82"/>
      <c r="C12" s="84"/>
      <c r="D12" s="82"/>
      <c r="E12" s="85"/>
      <c r="F12" s="86"/>
      <c r="G12" s="86"/>
      <c r="H12" s="87"/>
      <c r="I12" s="88"/>
    </row>
    <row r="13" spans="1:10" ht="24" customHeight="1" thickBot="1" x14ac:dyDescent="0.25">
      <c r="A13" s="80"/>
      <c r="B13" s="82"/>
      <c r="C13" s="84"/>
      <c r="D13" s="82"/>
      <c r="E13" s="65"/>
      <c r="F13" s="89"/>
      <c r="G13" s="89"/>
      <c r="H13" s="89"/>
      <c r="I13" s="90"/>
    </row>
    <row r="14" spans="1:10" ht="24" customHeight="1" thickBot="1" x14ac:dyDescent="0.25">
      <c r="A14" s="80"/>
      <c r="B14" s="82"/>
      <c r="C14" s="84"/>
      <c r="D14" s="82"/>
      <c r="E14" s="65"/>
      <c r="F14" s="89"/>
      <c r="G14" s="89"/>
      <c r="H14" s="89"/>
      <c r="I14" s="90"/>
    </row>
    <row r="17" spans="2:8" x14ac:dyDescent="0.2">
      <c r="B17" s="12" t="s">
        <v>15</v>
      </c>
      <c r="C17" s="13"/>
      <c r="D17" s="13"/>
      <c r="E17" s="14"/>
      <c r="H17" s="66"/>
    </row>
    <row r="18" spans="2:8" ht="5.25" customHeight="1" x14ac:dyDescent="0.2">
      <c r="B18" s="15"/>
      <c r="C18" s="16"/>
      <c r="D18" s="16"/>
      <c r="E18" s="17"/>
    </row>
    <row r="19" spans="2:8" x14ac:dyDescent="0.2">
      <c r="B19" s="18" t="s">
        <v>16</v>
      </c>
      <c r="C19" s="16"/>
      <c r="D19" s="16"/>
      <c r="E19" s="17"/>
    </row>
    <row r="20" spans="2:8" x14ac:dyDescent="0.2">
      <c r="B20" s="101" t="s">
        <v>76</v>
      </c>
      <c r="C20" s="102"/>
      <c r="D20" s="16"/>
      <c r="E20" s="17"/>
    </row>
    <row r="21" spans="2:8" x14ac:dyDescent="0.2">
      <c r="B21" s="103" t="s">
        <v>78</v>
      </c>
      <c r="C21" s="104"/>
      <c r="D21" s="16"/>
      <c r="E21" s="17"/>
    </row>
    <row r="22" spans="2:8" x14ac:dyDescent="0.2">
      <c r="B22" s="103" t="s">
        <v>77</v>
      </c>
      <c r="C22" s="105"/>
      <c r="D22" s="16"/>
      <c r="E22" s="17"/>
    </row>
    <row r="23" spans="2:8" ht="18.75" customHeight="1" x14ac:dyDescent="0.2">
      <c r="B23" s="19"/>
      <c r="C23" s="92"/>
      <c r="D23" s="92"/>
      <c r="E23" s="93"/>
      <c r="H23" s="94"/>
    </row>
    <row r="24" spans="2:8" x14ac:dyDescent="0.2">
      <c r="B24" s="18" t="s">
        <v>17</v>
      </c>
      <c r="C24" s="16"/>
      <c r="D24" s="16"/>
      <c r="E24" s="17"/>
    </row>
    <row r="25" spans="2:8" x14ac:dyDescent="0.2">
      <c r="B25" s="19"/>
      <c r="C25" s="98" t="s">
        <v>61</v>
      </c>
      <c r="D25" s="98"/>
      <c r="E25" s="99"/>
    </row>
    <row r="26" spans="2:8" x14ac:dyDescent="0.2">
      <c r="B26" s="19"/>
      <c r="C26" s="100"/>
      <c r="D26" s="100"/>
      <c r="E26" s="100"/>
    </row>
    <row r="27" spans="2:8" x14ac:dyDescent="0.2">
      <c r="B27" s="18" t="s">
        <v>18</v>
      </c>
      <c r="C27" s="16"/>
      <c r="D27" s="16"/>
      <c r="E27" s="17"/>
    </row>
    <row r="28" spans="2:8" ht="26.25" customHeight="1" x14ac:dyDescent="0.2">
      <c r="B28" s="19"/>
      <c r="C28" s="106"/>
      <c r="D28" s="106"/>
      <c r="E28" s="106"/>
    </row>
    <row r="29" spans="2:8" x14ac:dyDescent="0.2">
      <c r="B29" s="18" t="s">
        <v>75</v>
      </c>
      <c r="C29" s="20"/>
      <c r="D29" s="20"/>
      <c r="E29" s="21"/>
    </row>
    <row r="30" spans="2:8" ht="26.25" customHeight="1" x14ac:dyDescent="0.2">
      <c r="B30" s="19"/>
      <c r="C30" s="106"/>
      <c r="D30" s="106"/>
      <c r="E30" s="106"/>
    </row>
    <row r="31" spans="2:8" x14ac:dyDescent="0.2">
      <c r="B31" s="18" t="s">
        <v>19</v>
      </c>
      <c r="C31" s="16" t="s">
        <v>69</v>
      </c>
      <c r="D31" s="16"/>
      <c r="E31" s="17"/>
    </row>
    <row r="32" spans="2:8" ht="23.25" customHeight="1" x14ac:dyDescent="0.2">
      <c r="B32" s="18"/>
      <c r="C32" s="100"/>
      <c r="D32" s="100"/>
      <c r="E32" s="100"/>
    </row>
    <row r="33" spans="1:5" x14ac:dyDescent="0.2">
      <c r="B33" s="22"/>
      <c r="C33" s="23"/>
      <c r="D33" s="23"/>
      <c r="E33" s="24"/>
    </row>
    <row r="35" spans="1:5" x14ac:dyDescent="0.2">
      <c r="A35" s="7" t="s">
        <v>63</v>
      </c>
      <c r="B35" s="12"/>
      <c r="C35" s="13"/>
      <c r="D35" s="13"/>
      <c r="E35" s="14"/>
    </row>
    <row r="36" spans="1:5" ht="7.5" customHeight="1" x14ac:dyDescent="0.2">
      <c r="B36" s="15"/>
      <c r="C36" s="16"/>
      <c r="D36" s="16"/>
      <c r="E36" s="17"/>
    </row>
    <row r="37" spans="1:5" x14ac:dyDescent="0.2">
      <c r="B37" s="18"/>
      <c r="C37" s="16"/>
      <c r="D37" s="16"/>
      <c r="E37" s="17"/>
    </row>
    <row r="38" spans="1:5" ht="50.25" customHeight="1" x14ac:dyDescent="0.2">
      <c r="B38" s="18"/>
      <c r="C38" s="107"/>
      <c r="D38" s="107"/>
      <c r="E38" s="108"/>
    </row>
    <row r="39" spans="1:5" x14ac:dyDescent="0.2">
      <c r="B39" s="18"/>
      <c r="C39" s="16"/>
      <c r="D39" s="16"/>
      <c r="E39" s="17"/>
    </row>
    <row r="40" spans="1:5" x14ac:dyDescent="0.2">
      <c r="B40" s="19"/>
      <c r="C40" s="98"/>
      <c r="D40" s="98"/>
      <c r="E40" s="99"/>
    </row>
    <row r="41" spans="1:5" x14ac:dyDescent="0.2">
      <c r="B41" s="19"/>
      <c r="C41" s="100"/>
      <c r="D41" s="100"/>
      <c r="E41" s="100"/>
    </row>
    <row r="42" spans="1:5" x14ac:dyDescent="0.2">
      <c r="B42" s="18"/>
      <c r="C42" s="16"/>
      <c r="D42" s="16"/>
      <c r="E42" s="17"/>
    </row>
    <row r="43" spans="1:5" x14ac:dyDescent="0.2">
      <c r="B43" s="19"/>
      <c r="C43" s="106"/>
      <c r="D43" s="106"/>
      <c r="E43" s="106"/>
    </row>
    <row r="44" spans="1:5" x14ac:dyDescent="0.2">
      <c r="B44" s="18"/>
      <c r="C44" s="20"/>
      <c r="D44" s="20"/>
      <c r="E44" s="21"/>
    </row>
    <row r="45" spans="1:5" x14ac:dyDescent="0.2">
      <c r="B45" s="19"/>
      <c r="C45" s="106"/>
      <c r="D45" s="106"/>
      <c r="E45" s="106"/>
    </row>
    <row r="46" spans="1:5" x14ac:dyDescent="0.2">
      <c r="B46" s="18"/>
      <c r="C46" s="16"/>
      <c r="D46" s="16"/>
      <c r="E46" s="17"/>
    </row>
    <row r="47" spans="1:5" x14ac:dyDescent="0.2">
      <c r="B47" s="18"/>
      <c r="C47" s="100"/>
      <c r="D47" s="100"/>
      <c r="E47" s="100"/>
    </row>
    <row r="48" spans="1:5" x14ac:dyDescent="0.2">
      <c r="B48" s="22"/>
      <c r="C48" s="23"/>
      <c r="D48" s="23"/>
      <c r="E48" s="24"/>
    </row>
    <row r="52" spans="2:5" ht="13.5" thickBot="1" x14ac:dyDescent="0.25"/>
    <row r="53" spans="2:5" x14ac:dyDescent="0.2">
      <c r="B53" s="12"/>
      <c r="C53" s="13"/>
      <c r="D53" s="13"/>
      <c r="E53" s="14"/>
    </row>
    <row r="54" spans="2:5" x14ac:dyDescent="0.2">
      <c r="B54" s="15"/>
      <c r="C54" s="16"/>
      <c r="D54" s="16"/>
      <c r="E54" s="17"/>
    </row>
    <row r="55" spans="2:5" x14ac:dyDescent="0.2">
      <c r="B55" s="18"/>
      <c r="C55" s="16"/>
      <c r="D55" s="16"/>
      <c r="E55" s="17"/>
    </row>
    <row r="56" spans="2:5" ht="57.75" customHeight="1" x14ac:dyDescent="0.2">
      <c r="B56" s="18"/>
      <c r="C56" s="107"/>
      <c r="D56" s="107"/>
      <c r="E56" s="108"/>
    </row>
    <row r="57" spans="2:5" ht="32.25" customHeight="1" x14ac:dyDescent="0.2">
      <c r="B57" s="18"/>
      <c r="C57" s="16"/>
      <c r="D57" s="16"/>
      <c r="E57" s="17"/>
    </row>
    <row r="58" spans="2:5" x14ac:dyDescent="0.2">
      <c r="B58" s="19"/>
      <c r="C58" s="109"/>
      <c r="D58" s="109"/>
      <c r="E58" s="110"/>
    </row>
    <row r="59" spans="2:5" x14ac:dyDescent="0.2">
      <c r="B59" s="19"/>
      <c r="C59" s="100"/>
      <c r="D59" s="100"/>
      <c r="E59" s="100"/>
    </row>
    <row r="60" spans="2:5" x14ac:dyDescent="0.2">
      <c r="B60" s="18"/>
      <c r="C60" s="16"/>
      <c r="D60" s="16"/>
      <c r="E60" s="17"/>
    </row>
    <row r="61" spans="2:5" x14ac:dyDescent="0.2">
      <c r="B61" s="19"/>
      <c r="C61" s="106"/>
      <c r="D61" s="106"/>
      <c r="E61" s="106"/>
    </row>
    <row r="62" spans="2:5" x14ac:dyDescent="0.2">
      <c r="B62" s="18"/>
      <c r="C62" s="20"/>
      <c r="D62" s="20"/>
      <c r="E62" s="21"/>
    </row>
    <row r="63" spans="2:5" x14ac:dyDescent="0.2">
      <c r="B63" s="19"/>
      <c r="C63" s="106"/>
      <c r="D63" s="106"/>
      <c r="E63" s="106"/>
    </row>
    <row r="64" spans="2:5" x14ac:dyDescent="0.2">
      <c r="B64" s="18"/>
      <c r="C64" s="16"/>
      <c r="D64" s="16"/>
      <c r="E64" s="17"/>
    </row>
    <row r="65" spans="2:5" x14ac:dyDescent="0.2">
      <c r="B65" s="18"/>
      <c r="C65" s="100"/>
      <c r="D65" s="100"/>
      <c r="E65" s="100"/>
    </row>
    <row r="66" spans="2:5" ht="13.5" thickBot="1" x14ac:dyDescent="0.25">
      <c r="B66" s="22"/>
      <c r="C66" s="23"/>
      <c r="D66" s="23"/>
      <c r="E66" s="24"/>
    </row>
  </sheetData>
  <mergeCells count="27">
    <mergeCell ref="C65:E65"/>
    <mergeCell ref="C56:E56"/>
    <mergeCell ref="C58:E58"/>
    <mergeCell ref="C59:E59"/>
    <mergeCell ref="C61:E61"/>
    <mergeCell ref="C63:E63"/>
    <mergeCell ref="C41:E41"/>
    <mergeCell ref="C43:E43"/>
    <mergeCell ref="C45:E45"/>
    <mergeCell ref="C47:E47"/>
    <mergeCell ref="C28:E28"/>
    <mergeCell ref="C30:E30"/>
    <mergeCell ref="C32:E32"/>
    <mergeCell ref="C38:E38"/>
    <mergeCell ref="C40:E40"/>
    <mergeCell ref="A6:B6"/>
    <mergeCell ref="A7:B7"/>
    <mergeCell ref="C25:E25"/>
    <mergeCell ref="C26:E26"/>
    <mergeCell ref="B20:C20"/>
    <mergeCell ref="B21:C21"/>
    <mergeCell ref="B22:C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0"/>
  <sheetViews>
    <sheetView topLeftCell="A7" zoomScaleNormal="100" workbookViewId="0">
      <selection activeCell="B12" sqref="B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11" t="s">
        <v>20</v>
      </c>
      <c r="B1" s="111"/>
      <c r="C1" s="111"/>
      <c r="D1" s="111"/>
      <c r="E1" s="111"/>
      <c r="F1" s="111"/>
      <c r="G1" s="111"/>
      <c r="H1" s="111"/>
      <c r="I1" s="111"/>
      <c r="J1" s="59"/>
      <c r="K1" s="60" t="s">
        <v>70</v>
      </c>
    </row>
    <row r="2" spans="1:11" ht="18.75" customHeight="1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</row>
    <row r="3" spans="1:11" ht="18.75" customHeight="1" thickBot="1" x14ac:dyDescent="0.25">
      <c r="A3" s="112" t="s">
        <v>54</v>
      </c>
      <c r="B3" s="112"/>
      <c r="C3" s="112"/>
      <c r="D3" s="113" t="str">
        <f>'Necesidades Trimestrales'!C4</f>
        <v>70 - MINISTERIO DE CIENCIA E INNOVACION TECNOLOGICA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55</v>
      </c>
      <c r="B4" s="114"/>
      <c r="C4" s="114"/>
      <c r="D4" s="113" t="str">
        <f>'Necesidades Trimestrales'!C5</f>
        <v>20 - MINISTERIO DE CIENCIA E INNOVACION TECNOLOGICA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33</v>
      </c>
      <c r="B5" s="114"/>
      <c r="C5" s="114"/>
      <c r="D5" s="113" t="s">
        <v>59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56</v>
      </c>
      <c r="B6" s="112"/>
      <c r="C6" s="112"/>
      <c r="D6" s="113" t="s">
        <v>65</v>
      </c>
      <c r="E6" s="113"/>
      <c r="F6" s="113"/>
      <c r="G6" s="113"/>
      <c r="H6" s="113"/>
      <c r="I6" s="113"/>
      <c r="J6" s="113"/>
      <c r="K6" s="113"/>
    </row>
    <row r="7" spans="1:11" ht="16.5" customHeight="1" x14ac:dyDescent="0.2">
      <c r="A7" s="114" t="s">
        <v>21</v>
      </c>
      <c r="B7" s="114"/>
      <c r="C7" s="114"/>
      <c r="D7" s="113" t="str">
        <f>'Necesidades Trimestrales'!C7 &amp; "° Trimestre - Año " &amp; 'Necesidades Trimestrales'!C6</f>
        <v>4° Trimestre - Año 2020</v>
      </c>
      <c r="E7" s="113"/>
      <c r="F7" s="113"/>
      <c r="G7" s="113"/>
      <c r="H7" s="113"/>
      <c r="I7" s="113"/>
      <c r="J7" s="113"/>
      <c r="K7" s="113"/>
    </row>
    <row r="8" spans="1:11" ht="33.75" customHeight="1" x14ac:dyDescent="0.2">
      <c r="A8" s="115" t="s">
        <v>22</v>
      </c>
      <c r="B8" s="115"/>
      <c r="C8" s="115"/>
      <c r="D8" s="116" t="s">
        <v>66</v>
      </c>
      <c r="E8" s="116"/>
      <c r="F8" s="116"/>
      <c r="G8" s="116"/>
      <c r="H8" s="116"/>
      <c r="I8" s="116"/>
      <c r="J8" s="116"/>
      <c r="K8" s="116"/>
    </row>
    <row r="9" spans="1:11" ht="16.5" thickBot="1" x14ac:dyDescent="0.25">
      <c r="A9" s="63"/>
      <c r="B9" s="63"/>
      <c r="C9" s="63"/>
      <c r="D9" s="64"/>
      <c r="E9" s="64"/>
      <c r="F9" s="64"/>
      <c r="G9" s="64"/>
      <c r="H9" s="64"/>
      <c r="I9" s="64"/>
      <c r="J9" s="64"/>
      <c r="K9" s="64"/>
    </row>
    <row r="10" spans="1:11" ht="18.75" customHeight="1" thickBot="1" x14ac:dyDescent="0.25">
      <c r="A10" s="117" t="s">
        <v>23</v>
      </c>
      <c r="B10" s="118" t="s">
        <v>24</v>
      </c>
      <c r="C10" s="118" t="s">
        <v>25</v>
      </c>
      <c r="D10" s="118"/>
      <c r="E10" s="118"/>
      <c r="F10" s="118"/>
      <c r="G10" s="118"/>
      <c r="H10" s="118" t="s">
        <v>26</v>
      </c>
      <c r="I10" s="118" t="s">
        <v>27</v>
      </c>
      <c r="J10" s="118" t="s">
        <v>28</v>
      </c>
      <c r="K10" s="118" t="s">
        <v>29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</row>
    <row r="12" spans="1:11" ht="32.25" customHeight="1" thickBot="1" x14ac:dyDescent="0.25">
      <c r="A12" s="67">
        <v>1</v>
      </c>
      <c r="B12" s="67" t="str">
        <f>'Necesidades Trimestrales'!B10</f>
        <v>2.9.3-284.287</v>
      </c>
      <c r="C12" s="122" t="str">
        <f>'Necesidades Trimestrales'!E10</f>
        <v>BATERIAS ESPECIALES; CAPACIDAD: 180 A/H, FORMATO: RECTANGULAR, SISTEMA QUIMICO: PLATA - CALCIO, TENSION: 12 V</v>
      </c>
      <c r="D12" s="122"/>
      <c r="E12" s="122"/>
      <c r="F12" s="122"/>
      <c r="G12" s="122"/>
      <c r="H12" s="67" t="s">
        <v>30</v>
      </c>
      <c r="I12" s="68" t="str">
        <f>'Necesidades Trimestrales'!F10</f>
        <v>UNIDAD</v>
      </c>
      <c r="J12" s="69">
        <v>28360</v>
      </c>
      <c r="K12" s="70">
        <v>60</v>
      </c>
    </row>
    <row r="13" spans="1:11" ht="25.5" customHeight="1" thickBot="1" x14ac:dyDescent="0.25">
      <c r="A13" s="71"/>
      <c r="B13" s="72"/>
      <c r="C13" s="122"/>
      <c r="D13" s="122"/>
      <c r="E13" s="122"/>
      <c r="F13" s="122"/>
      <c r="G13" s="122"/>
      <c r="H13" s="67"/>
      <c r="I13" s="68"/>
      <c r="J13" s="73"/>
      <c r="K13" s="70"/>
    </row>
    <row r="14" spans="1:11" ht="34.5" customHeight="1" thickBot="1" x14ac:dyDescent="0.25">
      <c r="A14" s="71"/>
      <c r="B14" s="72"/>
      <c r="C14" s="122"/>
      <c r="D14" s="122"/>
      <c r="E14" s="122"/>
      <c r="F14" s="122"/>
      <c r="G14" s="122"/>
      <c r="H14" s="67"/>
      <c r="I14" s="68"/>
      <c r="J14" s="73"/>
      <c r="K14" s="70"/>
    </row>
    <row r="15" spans="1:11" ht="20.25" customHeight="1" thickBot="1" x14ac:dyDescent="0.25">
      <c r="A15" s="71"/>
      <c r="B15" s="72"/>
      <c r="C15" s="123"/>
      <c r="D15" s="123"/>
      <c r="E15" s="123"/>
      <c r="F15" s="123"/>
      <c r="G15" s="123"/>
      <c r="H15" s="67"/>
      <c r="I15" s="68"/>
      <c r="J15" s="68"/>
      <c r="K15" s="70"/>
    </row>
    <row r="16" spans="1:11" ht="20.25" customHeight="1" thickBot="1" x14ac:dyDescent="0.25">
      <c r="A16" s="74"/>
      <c r="B16" s="75"/>
      <c r="C16" s="119"/>
      <c r="D16" s="119"/>
      <c r="E16" s="119"/>
      <c r="F16" s="119"/>
      <c r="G16" s="119"/>
      <c r="H16" s="76"/>
      <c r="I16" s="77"/>
      <c r="J16" s="77"/>
      <c r="K16" s="78"/>
    </row>
    <row r="17" spans="1:1024" ht="20.25" customHeight="1" thickBot="1" x14ac:dyDescent="0.25">
      <c r="A17" s="74"/>
      <c r="B17" s="75"/>
      <c r="C17" s="119"/>
      <c r="D17" s="119"/>
      <c r="E17" s="119"/>
      <c r="F17" s="119"/>
      <c r="G17" s="119"/>
      <c r="H17" s="76"/>
      <c r="I17" s="77"/>
      <c r="J17" s="77"/>
      <c r="K17" s="78"/>
    </row>
    <row r="18" spans="1:1024" s="6" customFormat="1" ht="20.25" customHeight="1" thickBot="1" x14ac:dyDescent="0.25">
      <c r="A18" s="74"/>
      <c r="B18" s="75"/>
      <c r="C18" s="119"/>
      <c r="D18" s="119"/>
      <c r="E18" s="119"/>
      <c r="F18" s="119"/>
      <c r="G18" s="119"/>
      <c r="H18" s="76"/>
      <c r="I18" s="77"/>
      <c r="J18" s="77"/>
      <c r="K18" s="7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</row>
    <row r="19" spans="1:1024" ht="20.25" customHeight="1" thickBot="1" x14ac:dyDescent="0.25">
      <c r="A19" s="74"/>
      <c r="B19" s="75"/>
      <c r="C19" s="119"/>
      <c r="D19" s="119"/>
      <c r="E19" s="119"/>
      <c r="F19" s="119"/>
      <c r="G19" s="119"/>
      <c r="H19" s="76"/>
      <c r="I19" s="77"/>
      <c r="J19" s="77"/>
      <c r="K19" s="78"/>
    </row>
    <row r="20" spans="1:1024" ht="20.25" customHeight="1" thickBot="1" x14ac:dyDescent="0.25">
      <c r="A20" s="120" t="s">
        <v>71</v>
      </c>
      <c r="B20" s="120"/>
      <c r="C20" s="120"/>
      <c r="D20" s="120"/>
      <c r="E20" s="120"/>
      <c r="F20" s="120"/>
      <c r="G20" s="120"/>
      <c r="H20" s="120"/>
      <c r="I20" s="120"/>
      <c r="J20" s="121">
        <f>+J12*K12</f>
        <v>1701600</v>
      </c>
      <c r="K20" s="121"/>
    </row>
  </sheetData>
  <mergeCells count="30">
    <mergeCell ref="C16:G16"/>
    <mergeCell ref="A20:I20"/>
    <mergeCell ref="J20:K20"/>
    <mergeCell ref="C12:G12"/>
    <mergeCell ref="C19:G19"/>
    <mergeCell ref="C13:G13"/>
    <mergeCell ref="C14:G14"/>
    <mergeCell ref="C15:G15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A10" zoomScaleNormal="100" workbookViewId="0">
      <selection activeCell="R10" sqref="R10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3" customWidth="1"/>
    <col min="8" max="14" width="4.42578125" customWidth="1"/>
    <col min="15" max="15" width="14.85546875" customWidth="1"/>
    <col min="16" max="16" width="18.71093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2020</v>
      </c>
      <c r="E1" s="125"/>
      <c r="F1" s="33"/>
      <c r="G1" s="33"/>
      <c r="H1" s="34"/>
      <c r="I1" s="34"/>
      <c r="J1" s="34"/>
      <c r="K1" s="34"/>
      <c r="L1" s="34"/>
      <c r="M1" s="34"/>
      <c r="N1" s="34"/>
      <c r="O1" s="35"/>
      <c r="P1" s="126" t="s">
        <v>31</v>
      </c>
      <c r="Q1" s="126"/>
    </row>
    <row r="2" spans="1:17" ht="15.75" customHeight="1" x14ac:dyDescent="0.2">
      <c r="A2" s="35"/>
      <c r="B2" s="35"/>
      <c r="C2" s="35"/>
      <c r="D2" s="35"/>
      <c r="E2" s="35"/>
      <c r="F2" s="35"/>
      <c r="G2" s="36"/>
      <c r="H2" s="34"/>
      <c r="I2" s="34"/>
      <c r="J2" s="34"/>
      <c r="K2" s="34"/>
      <c r="L2" s="34"/>
      <c r="M2" s="34"/>
      <c r="N2" s="34"/>
      <c r="O2" s="35"/>
      <c r="P2" s="126"/>
      <c r="Q2" s="126"/>
    </row>
    <row r="3" spans="1:17" x14ac:dyDescent="0.2">
      <c r="A3" s="35"/>
      <c r="B3" s="35"/>
      <c r="C3" s="35"/>
      <c r="D3" s="35"/>
      <c r="E3" s="35"/>
      <c r="F3" s="35"/>
      <c r="G3" s="36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s="4" customFormat="1" ht="18" customHeight="1" thickBot="1" x14ac:dyDescent="0.25">
      <c r="A4" s="127" t="s">
        <v>32</v>
      </c>
      <c r="B4" s="127"/>
      <c r="C4" s="127"/>
      <c r="D4" s="127"/>
      <c r="E4" s="127"/>
      <c r="F4" s="127"/>
      <c r="G4" s="128" t="str">
        <f>' NotaPedido'!D3</f>
        <v>70 - MINISTERIO DE CIENCIA E INNOVACION TECNOLOGICA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4" customFormat="1" ht="18" customHeight="1" thickBot="1" x14ac:dyDescent="0.25">
      <c r="A5" s="129" t="s">
        <v>55</v>
      </c>
      <c r="B5" s="130"/>
      <c r="C5" s="130"/>
      <c r="D5" s="130"/>
      <c r="E5" s="130"/>
      <c r="F5" s="131"/>
      <c r="G5" s="128" t="str">
        <f>' NotaPedido'!D4</f>
        <v>20 - MINISTERIO DE CIENCIA E INNOVACION TECNOLOGICA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4" customFormat="1" ht="18" customHeight="1" thickBot="1" x14ac:dyDescent="0.25">
      <c r="A6" s="129" t="s">
        <v>33</v>
      </c>
      <c r="B6" s="130"/>
      <c r="C6" s="130"/>
      <c r="D6" s="130"/>
      <c r="E6" s="130"/>
      <c r="F6" s="131"/>
      <c r="G6" s="128" t="str">
        <f>' NotaPedido'!D5</f>
        <v xml:space="preserve"> MINISTERIO DE CIENCIA E INNOVACION TECNOLOGICA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4" customFormat="1" ht="18" customHeight="1" thickBot="1" x14ac:dyDescent="0.25">
      <c r="A7" s="129" t="s">
        <v>56</v>
      </c>
      <c r="B7" s="130"/>
      <c r="C7" s="130"/>
      <c r="D7" s="130"/>
      <c r="E7" s="130"/>
      <c r="F7" s="131"/>
      <c r="G7" s="128" t="s">
        <v>64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32" t="s">
        <v>34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35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37"/>
      <c r="P9" s="37"/>
      <c r="Q9" s="38"/>
    </row>
    <row r="10" spans="1:17" ht="54.75" customHeight="1" x14ac:dyDescent="0.2">
      <c r="A10" s="134" t="s">
        <v>79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39"/>
      <c r="B11" s="40"/>
      <c r="C11" s="40"/>
      <c r="D11" s="40"/>
      <c r="E11" s="40"/>
      <c r="F11" s="40"/>
      <c r="G11" s="41"/>
      <c r="H11" s="40"/>
      <c r="I11" s="40"/>
      <c r="J11" s="40"/>
      <c r="K11" s="40"/>
      <c r="L11" s="40"/>
      <c r="M11" s="40"/>
      <c r="N11" s="40"/>
      <c r="O11" s="40"/>
      <c r="P11" s="40"/>
      <c r="Q11" s="42"/>
    </row>
    <row r="12" spans="1:17" ht="15.75" customHeight="1" x14ac:dyDescent="0.2">
      <c r="A12" s="135" t="s">
        <v>36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37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38</v>
      </c>
      <c r="P13" s="137"/>
      <c r="Q13" s="138" t="s">
        <v>39</v>
      </c>
    </row>
    <row r="14" spans="1:17" ht="15.75" customHeight="1" thickBo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37"/>
      <c r="P14" s="137"/>
      <c r="Q14" s="138"/>
    </row>
    <row r="15" spans="1:17" ht="30.75" customHeight="1" x14ac:dyDescent="0.2">
      <c r="A15" s="30">
        <v>15</v>
      </c>
      <c r="B15" s="31"/>
      <c r="C15" s="31"/>
      <c r="D15" s="31">
        <v>1</v>
      </c>
      <c r="E15" s="31"/>
      <c r="F15" s="31">
        <v>4901</v>
      </c>
      <c r="G15" s="31">
        <v>3</v>
      </c>
      <c r="H15" s="31">
        <v>350</v>
      </c>
      <c r="I15" s="31" t="str">
        <f>LEFT('Necesidades Trimestrales'!D10,1)</f>
        <v>2</v>
      </c>
      <c r="J15" s="31" t="str">
        <f>MID('Necesidades Trimestrales'!D10,3,1)</f>
        <v>9</v>
      </c>
      <c r="K15" s="31" t="str">
        <f>RIGHT('Necesidades Trimestrales'!D10,1)</f>
        <v>3</v>
      </c>
      <c r="L15" s="31"/>
      <c r="M15" s="32">
        <v>1</v>
      </c>
      <c r="N15" s="31" t="s">
        <v>60</v>
      </c>
      <c r="O15" s="139" t="s">
        <v>72</v>
      </c>
      <c r="P15" s="140"/>
      <c r="Q15" s="43">
        <v>1701600</v>
      </c>
    </row>
    <row r="16" spans="1:17" ht="17.25" customHeight="1" x14ac:dyDescent="0.2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7"/>
      <c r="O16" s="141"/>
      <c r="P16" s="141"/>
      <c r="Q16" s="48"/>
    </row>
    <row r="17" spans="1:18" ht="17.25" customHeight="1" x14ac:dyDescent="0.2">
      <c r="A17" s="44"/>
      <c r="B17" s="45"/>
      <c r="C17" s="45"/>
      <c r="D17" s="45"/>
      <c r="E17" s="45"/>
      <c r="F17" s="47"/>
      <c r="G17" s="45"/>
      <c r="H17" s="45"/>
      <c r="I17" s="45"/>
      <c r="J17" s="45"/>
      <c r="K17" s="45"/>
      <c r="L17" s="45"/>
      <c r="M17" s="46"/>
      <c r="N17" s="47"/>
      <c r="O17" s="142"/>
      <c r="P17" s="142"/>
      <c r="Q17" s="48"/>
    </row>
    <row r="18" spans="1:18" ht="17.25" customHeight="1" x14ac:dyDescent="0.2">
      <c r="A18" s="44"/>
      <c r="B18" s="45"/>
      <c r="C18" s="45"/>
      <c r="D18" s="45"/>
      <c r="E18" s="45"/>
      <c r="F18" s="47"/>
      <c r="G18" s="45"/>
      <c r="H18" s="45"/>
      <c r="I18" s="45"/>
      <c r="J18" s="45"/>
      <c r="K18" s="45"/>
      <c r="L18" s="45"/>
      <c r="M18" s="46"/>
      <c r="N18" s="47"/>
      <c r="O18" s="142"/>
      <c r="P18" s="142"/>
      <c r="Q18" s="48"/>
    </row>
    <row r="19" spans="1:18" ht="17.25" customHeight="1" x14ac:dyDescent="0.2">
      <c r="A19" s="49"/>
      <c r="B19" s="50"/>
      <c r="C19" s="50"/>
      <c r="D19" s="50"/>
      <c r="E19" s="50"/>
      <c r="F19" s="51"/>
      <c r="G19" s="50"/>
      <c r="H19" s="50"/>
      <c r="I19" s="50"/>
      <c r="J19" s="50"/>
      <c r="K19" s="50"/>
      <c r="L19" s="50"/>
      <c r="M19" s="52"/>
      <c r="N19" s="53"/>
      <c r="O19" s="148"/>
      <c r="P19" s="148"/>
      <c r="Q19" s="48"/>
      <c r="R19" s="1"/>
    </row>
    <row r="20" spans="1:18" ht="17.25" customHeight="1" x14ac:dyDescent="0.2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6"/>
      <c r="N20" s="55"/>
      <c r="O20" s="149"/>
      <c r="P20" s="149"/>
      <c r="Q20" s="57"/>
    </row>
    <row r="21" spans="1:18" ht="20.25" customHeight="1" x14ac:dyDescent="0.2">
      <c r="A21" s="150" t="s">
        <v>73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58">
        <f>SUM(Q15:Q20)</f>
        <v>1701600</v>
      </c>
    </row>
    <row r="22" spans="1:18" ht="18" customHeight="1" thickBot="1" x14ac:dyDescent="0.2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</row>
    <row r="23" spans="1:18" ht="17.25" customHeight="1" thickBot="1" x14ac:dyDescent="0.25">
      <c r="A23" s="143" t="s">
        <v>53</v>
      </c>
      <c r="B23" s="144"/>
      <c r="C23" s="144"/>
      <c r="D23" s="144"/>
      <c r="E23" s="144"/>
      <c r="F23" s="145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</row>
    <row r="24" spans="1:18" ht="18" customHeight="1" thickBot="1" x14ac:dyDescent="0.25">
      <c r="A24" s="147" t="s">
        <v>74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41.25" customHeight="1" x14ac:dyDescent="0.2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  <row r="26" spans="1:18" x14ac:dyDescent="0.2">
      <c r="A26" s="35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</row>
    <row r="27" spans="1:18" x14ac:dyDescent="0.2">
      <c r="A27" s="35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8" spans="1:18" x14ac:dyDescent="0.2">
      <c r="A28" s="35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</row>
    <row r="29" spans="1:18" x14ac:dyDescent="0.2">
      <c r="A29" s="35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</row>
    <row r="30" spans="1:18" x14ac:dyDescent="0.2">
      <c r="A30" s="35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Luffi</cp:lastModifiedBy>
  <cp:revision>2</cp:revision>
  <cp:lastPrinted>2020-07-17T22:18:48Z</cp:lastPrinted>
  <dcterms:created xsi:type="dcterms:W3CDTF">2020-07-17T23:44:49Z</dcterms:created>
  <dcterms:modified xsi:type="dcterms:W3CDTF">2020-10-20T15:46:35Z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