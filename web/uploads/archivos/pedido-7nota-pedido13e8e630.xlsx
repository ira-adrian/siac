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IONEXO\"/>
    </mc:Choice>
  </mc:AlternateContent>
  <xr:revisionPtr revIDLastSave="0" documentId="8_{0D80D313-F068-4BC6-B0D4-3B3BB5DC0526}" xr6:coauthVersionLast="47" xr6:coauthVersionMax="47" xr10:uidLastSave="{00000000-0000-0000-0000-000000000000}"/>
  <bookViews>
    <workbookView xWindow="-120" yWindow="-120" windowWidth="20640" windowHeight="11160" tabRatio="849" xr2:uid="{7C35E9ED-C1FE-469D-85E5-443C358FADD6}"/>
  </bookViews>
  <sheets>
    <sheet name="HSJB" sheetId="1" r:id="rId1"/>
    <sheet name="MATERNIDAD PROVINCIAL" sheetId="5" r:id="rId2"/>
    <sheet name="MINISTERIO DE SALUD" sheetId="6" r:id="rId3"/>
    <sheet name="HNEP" sheetId="2" r:id="rId4"/>
    <sheet name="CONSOLIDADO" sheetId="4" r:id="rId5"/>
    <sheet name="CONSOLIDADO (2)" sheetId="7" r:id="rId6"/>
    <sheet name="CONSOLIDADO (3)" sheetId="8" r:id="rId7"/>
    <sheet name="creditos" sheetId="9" r:id="rId8"/>
    <sheet name="ordnes de compra" sheetId="10" r:id="rId9"/>
    <sheet name="ordnes de compra (2)" sheetId="11" r:id="rId10"/>
  </sheets>
  <definedNames>
    <definedName name="_xlnm._FilterDatabase" localSheetId="4" hidden="1">CONSOLIDADO!$A$4:$Q$4</definedName>
    <definedName name="_xlnm._FilterDatabase" localSheetId="5" hidden="1">'CONSOLIDADO (2)'!$A$4:$D$4</definedName>
    <definedName name="_xlnm._FilterDatabase" localSheetId="6" hidden="1">'CONSOLIDADO (3)'!$B$3:$G$3</definedName>
    <definedName name="_xlnm._FilterDatabase" localSheetId="3" hidden="1">HNEP!$A$8:$I$8</definedName>
    <definedName name="_xlnm._FilterDatabase" localSheetId="0" hidden="1">HSJB!$A$8:$I$8</definedName>
    <definedName name="_xlnm._FilterDatabase" localSheetId="1" hidden="1">'MATERNIDAD PROVINCIAL'!$A$8:$I$8</definedName>
    <definedName name="_xlnm._FilterDatabase" localSheetId="2" hidden="1">'MINISTERIO DE SALUD'!$A$10:$AS$10</definedName>
    <definedName name="_xlnm._FilterDatabase" localSheetId="8" hidden="1">'ordnes de compra'!$A$24:$M$55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9" i="10" l="1"/>
  <c r="L54" i="10"/>
  <c r="K54" i="10"/>
  <c r="J54" i="10"/>
  <c r="I54" i="10"/>
  <c r="M54" i="10"/>
  <c r="I4" i="8" l="1"/>
  <c r="L5" i="8"/>
  <c r="L6" i="8"/>
  <c r="L7" i="8"/>
  <c r="L8" i="8"/>
  <c r="L9" i="8"/>
  <c r="L10" i="8"/>
  <c r="L11" i="8"/>
  <c r="L12" i="8"/>
  <c r="L14" i="8"/>
  <c r="L16" i="8"/>
  <c r="L17" i="8"/>
  <c r="L18" i="8"/>
  <c r="L19" i="8"/>
  <c r="L22" i="8"/>
  <c r="L23" i="8"/>
  <c r="L24" i="8"/>
  <c r="L25" i="8"/>
  <c r="L26" i="8"/>
  <c r="L27" i="8"/>
  <c r="L28" i="8"/>
  <c r="L29" i="8"/>
  <c r="L30" i="8"/>
  <c r="L31" i="8"/>
  <c r="L4" i="8"/>
  <c r="K5" i="8"/>
  <c r="K6" i="8"/>
  <c r="K7" i="8"/>
  <c r="K8" i="8"/>
  <c r="K9" i="8"/>
  <c r="K10" i="8"/>
  <c r="K11" i="8"/>
  <c r="K12" i="8"/>
  <c r="K14" i="8"/>
  <c r="K16" i="8"/>
  <c r="K17" i="8"/>
  <c r="K18" i="8"/>
  <c r="K19" i="8"/>
  <c r="K22" i="8"/>
  <c r="K23" i="8"/>
  <c r="K24" i="8"/>
  <c r="K25" i="8"/>
  <c r="K26" i="8"/>
  <c r="K27" i="8"/>
  <c r="K28" i="8"/>
  <c r="K29" i="8"/>
  <c r="K30" i="8"/>
  <c r="K31" i="8"/>
  <c r="K4" i="8"/>
  <c r="J5" i="8"/>
  <c r="J6" i="8"/>
  <c r="J7" i="8"/>
  <c r="J8" i="8"/>
  <c r="J9" i="8"/>
  <c r="J10" i="8"/>
  <c r="J11" i="8"/>
  <c r="J12" i="8"/>
  <c r="J14" i="8"/>
  <c r="J16" i="8"/>
  <c r="J17" i="8"/>
  <c r="J18" i="8"/>
  <c r="J19" i="8"/>
  <c r="J22" i="8"/>
  <c r="J23" i="8"/>
  <c r="J24" i="8"/>
  <c r="J25" i="8"/>
  <c r="J26" i="8"/>
  <c r="J27" i="8"/>
  <c r="J28" i="8"/>
  <c r="J29" i="8"/>
  <c r="J30" i="8"/>
  <c r="J31" i="8"/>
  <c r="J4" i="8"/>
  <c r="I6" i="8"/>
  <c r="I5" i="8"/>
  <c r="I7" i="8"/>
  <c r="I8" i="8"/>
  <c r="I9" i="8"/>
  <c r="I10" i="8"/>
  <c r="I11" i="8"/>
  <c r="I12" i="8"/>
  <c r="I14" i="8"/>
  <c r="I16" i="8"/>
  <c r="I17" i="8"/>
  <c r="I18" i="8"/>
  <c r="I19" i="8"/>
  <c r="I22" i="8"/>
  <c r="I23" i="8"/>
  <c r="I24" i="8"/>
  <c r="I25" i="8"/>
  <c r="I26" i="8"/>
  <c r="I27" i="8"/>
  <c r="I28" i="8"/>
  <c r="I29" i="8"/>
  <c r="I30" i="8"/>
  <c r="I31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4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K43" i="4"/>
  <c r="I36" i="4"/>
  <c r="Q36" i="4"/>
  <c r="L36" i="4"/>
  <c r="F36" i="4"/>
  <c r="A7" i="4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6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5" i="4"/>
  <c r="Q6" i="4"/>
  <c r="Q10" i="4"/>
  <c r="Q12" i="4"/>
  <c r="Q13" i="4"/>
  <c r="Q14" i="4"/>
  <c r="Q15" i="4"/>
  <c r="Q16" i="4"/>
  <c r="Q21" i="4"/>
  <c r="Q24" i="4"/>
  <c r="Q32" i="4"/>
  <c r="Q5" i="4"/>
  <c r="AS21" i="6"/>
  <c r="R21" i="6"/>
  <c r="AS20" i="6"/>
  <c r="R20" i="6"/>
  <c r="AS19" i="6"/>
  <c r="R19" i="6"/>
  <c r="AS18" i="6"/>
  <c r="R18" i="6"/>
  <c r="AS17" i="6"/>
  <c r="R17" i="6"/>
  <c r="AS16" i="6"/>
  <c r="R16" i="6"/>
  <c r="AS15" i="6"/>
  <c r="R15" i="6"/>
  <c r="AS14" i="6"/>
  <c r="R14" i="6"/>
  <c r="AS13" i="6"/>
  <c r="R13" i="6"/>
  <c r="AQ12" i="6"/>
  <c r="AS12" i="6" s="1"/>
  <c r="V12" i="6"/>
  <c r="V22" i="6" s="1"/>
  <c r="T12" i="6"/>
  <c r="AQ11" i="6"/>
  <c r="AS11" i="6" s="1"/>
  <c r="T11" i="6"/>
  <c r="T22" i="6" s="1"/>
  <c r="K33" i="8" l="1"/>
  <c r="I33" i="8"/>
  <c r="J33" i="8"/>
  <c r="L33" i="8"/>
  <c r="R22" i="6"/>
  <c r="AS22" i="6"/>
  <c r="L32" i="4"/>
  <c r="L31" i="4"/>
  <c r="L26" i="4"/>
  <c r="L23" i="4"/>
  <c r="L21" i="4"/>
  <c r="L20" i="4"/>
  <c r="L18" i="4"/>
  <c r="L17" i="4"/>
  <c r="L15" i="4"/>
  <c r="L14" i="4"/>
  <c r="L13" i="4"/>
  <c r="L12" i="4"/>
  <c r="L8" i="4"/>
  <c r="L7" i="4"/>
  <c r="L5" i="4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33" i="4"/>
  <c r="I32" i="4"/>
  <c r="I31" i="4"/>
  <c r="I29" i="4"/>
  <c r="I28" i="4"/>
  <c r="I25" i="4"/>
  <c r="I24" i="4"/>
  <c r="I21" i="4"/>
  <c r="I20" i="4"/>
  <c r="I19" i="4"/>
  <c r="I18" i="4"/>
  <c r="I17" i="4"/>
  <c r="I14" i="4"/>
  <c r="I13" i="4"/>
  <c r="I11" i="4"/>
  <c r="I9" i="4"/>
  <c r="I8" i="4"/>
  <c r="I7" i="4"/>
  <c r="I6" i="4"/>
  <c r="I5" i="4"/>
  <c r="F32" i="4"/>
  <c r="F31" i="4"/>
  <c r="F30" i="4"/>
  <c r="F29" i="4"/>
  <c r="F28" i="4"/>
  <c r="F27" i="4"/>
  <c r="F26" i="4"/>
  <c r="F23" i="4"/>
  <c r="F22" i="4"/>
  <c r="F20" i="4"/>
  <c r="F13" i="4"/>
  <c r="F10" i="4"/>
  <c r="F9" i="4"/>
  <c r="F8" i="4"/>
  <c r="F6" i="4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23" i="1" l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<sst xmlns="http://schemas.openxmlformats.org/spreadsheetml/2006/main" count="700" uniqueCount="243">
  <si>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</si>
  <si>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</si>
  <si>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</si>
  <si>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</si>
  <si>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</si>
  <si>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</si>
  <si>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</si>
  <si>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</si>
  <si>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</si>
  <si>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</si>
  <si>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</si>
  <si>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</si>
  <si>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</si>
  <si>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</si>
  <si>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</si>
  <si>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</si>
  <si>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 xml:space="preserve">Compuestos Quimicos </t>
  </si>
  <si>
    <t>2.5.1</t>
  </si>
  <si>
    <t>ALCOHOL 70 % X 1000 ML</t>
  </si>
  <si>
    <t>UNIDAD</t>
  </si>
  <si>
    <t>ALCOHOL 96 % X 500 ML</t>
  </si>
  <si>
    <t>ALCOHOL 96º X 1000 ML</t>
  </si>
  <si>
    <t>ALCOHOL EN GEL X 1 LITRO</t>
  </si>
  <si>
    <t>ALCOHOL EN GEL X 500 ML.</t>
  </si>
  <si>
    <t>DETERGENTE TRES ENZIMAS ( LIPASA, AMILASA,PROTEASA ) BIDON X 5 LITROS</t>
  </si>
  <si>
    <t>GLUTARALDEHIDO 2% SIN SURFACTANTE BIDON X 4 LITROS</t>
  </si>
  <si>
    <t>IODOPOVIDONA 10% SOLUCION X 5 LITROS</t>
  </si>
  <si>
    <t>IODOPOVIDONA 5% JABON X 5 LITROS</t>
  </si>
  <si>
    <t>JABON LIQUIDO BACTERICIDA CON CLORHEXIDINA JL9</t>
  </si>
  <si>
    <t>JABON LIQUIDO HIPOALERGENICO CON EMOLIENTE TIPO JL4 ENV.X 800ML</t>
  </si>
  <si>
    <t>LOCION ALCOHOLICA BACTERICIDA CON CLORHEXIDINA TIPO L9  ENV.X 800ML</t>
  </si>
  <si>
    <t>LOCION ALCOHOLICA BACTERICIDA. ENVASE X 800 ML TIPO L7</t>
  </si>
  <si>
    <t>MONOPERSUFATO DE POTASIO DESINFECTANTE DE SUPERFICIE SOBRE PARA PREPARAR UN LITRO DE SOLUCION TIPO LT8</t>
  </si>
  <si>
    <t>NITROFURAZONA X 1 LITRO</t>
  </si>
  <si>
    <t>Especificidades Item N° 13:</t>
  </si>
  <si>
    <t>Descripción técnica</t>
  </si>
  <si>
    <t xml:space="preserve"> Loción alcohólica bactericida con emolientes y suavizantes. Envase
BAG IN BOX por 800 ml - EL PRESENTE ITEM NO FIGURA EN EL CATALOGO DE DESCARTABLES, POR LO CUAL SE SOLICITA SEA AGREGADO.</t>
  </si>
  <si>
    <t>Plazos y lugares de entrega</t>
  </si>
  <si>
    <t>10 dias - Servicio de Farmacia del HISJB</t>
  </si>
  <si>
    <t>Calidad Minima esperada</t>
  </si>
  <si>
    <t>Mantenimiento</t>
  </si>
  <si>
    <t xml:space="preserve">45 dias habiles </t>
  </si>
  <si>
    <t>Garantia</t>
  </si>
  <si>
    <t>040 - Ministerio de Salud</t>
  </si>
  <si>
    <t>024 - Hospital Interzonal de Niños</t>
  </si>
  <si>
    <t xml:space="preserve"> </t>
  </si>
  <si>
    <t>PROD. MEDICO/ FARMACEUTICOS/LAB</t>
  </si>
  <si>
    <t>AGUA OXIGENADA MEDICINAL DE 10 VOLUMENES X 1 LITRO</t>
  </si>
  <si>
    <t>ALCOHOL 70 % X 500 ML</t>
  </si>
  <si>
    <t>ALCOHOL EN GEL X 250 ML</t>
  </si>
  <si>
    <t>ALCOHOL IODADO AL  2% X 1 LITRO</t>
  </si>
  <si>
    <t>CLORHEXIDINA 2% SOLUCION ACUOSA X 250 ML</t>
  </si>
  <si>
    <t xml:space="preserve">CLORHEXIDINA 4% JABON X 500 ML CON VALVULA DISPENSADORA </t>
  </si>
  <si>
    <t>CLOROXILENOL  X 5 LITROS</t>
  </si>
  <si>
    <t>GLUTARALDEHIDO 2% CON SURFACTANTE BIDON X 4 LITROS</t>
  </si>
  <si>
    <t>IODOPOVIDONA 10%SOLUCION X 1 LITRO CON VALVULA ATOMIZADORA</t>
  </si>
  <si>
    <t xml:space="preserve">IODOPOVIDONA 5% JABON X 1 LITRO CON VALVULA ATOMIZADORA </t>
  </si>
  <si>
    <t xml:space="preserve">JABON LIQUIDO HIPOALERGENICO CON EMOLIENTE TIPO JL4 ENV.X 800ML </t>
  </si>
  <si>
    <t xml:space="preserve">LOCION ALCOHOLICA BACTERICIDA CON CLORHEXIDINA TIPO L9  ENV.X 800ML </t>
  </si>
  <si>
    <t>TINTURA DE IODO FUERTE X 1 LITRO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</si>
  <si>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</si>
  <si>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</si>
  <si>
    <r>
      <t>Mantenimiento</t>
    </r>
    <r>
      <rPr>
        <sz val="10"/>
        <rFont val="Times New Roman"/>
        <family val="1"/>
      </rPr>
      <t xml:space="preserve">: 45 dias habiles </t>
    </r>
  </si>
  <si>
    <t>Especificidades Item N° 16 Y 17:</t>
  </si>
  <si>
    <t>ENVASES PARA DISPENSER MARCA ADOX. DEBE INCLUIR UN DISPENSER CADA 10 ENVASES.</t>
  </si>
  <si>
    <t>Hospital Interzonal San Juan Bautista</t>
  </si>
  <si>
    <t>Hospital Interzonal de Niños</t>
  </si>
  <si>
    <t>SUBTOTAL</t>
  </si>
  <si>
    <t>CANTIDAD TOTAL</t>
  </si>
  <si>
    <t>40-Ministerio de Salud</t>
  </si>
  <si>
    <t>28- Maternidad Provincial 25 de Mayo</t>
  </si>
  <si>
    <t>2° trimestre</t>
  </si>
  <si>
    <t>ANTISEPTICO/DESINFECTANTE</t>
  </si>
  <si>
    <t>2.5.2</t>
  </si>
  <si>
    <t>AMONIO CUATERNARIO X 5 LITROS TIPO SURFANIOS</t>
  </si>
  <si>
    <t>Especificidades Item N° : 1 a 15</t>
  </si>
  <si>
    <t>No deben tener vencimiento menor a un (1) año</t>
  </si>
  <si>
    <t>Plazos de entrega:</t>
  </si>
  <si>
    <t>10 dias desde la firma del instrumento contractual</t>
  </si>
  <si>
    <t>Lugar de entrega:</t>
  </si>
  <si>
    <t>Servio de Farmacia - MATERNIDAD PROVINCIAL 25 DE MAYO- HERNANDO. DE PEDRAZA 1650</t>
  </si>
  <si>
    <t xml:space="preserve">30 dias </t>
  </si>
  <si>
    <t>Especificidades Item N° : 10</t>
  </si>
  <si>
    <t xml:space="preserve">Tipo DM3 Plus Marca Adox </t>
  </si>
  <si>
    <t>10 dias  desde la firma del instrumento contractual</t>
  </si>
  <si>
    <t>Maternidad Provincial 25 de Mayo</t>
  </si>
  <si>
    <t>Especificidades Item N° 24:</t>
  </si>
  <si>
    <t>Especificidades Item N° : 15</t>
  </si>
  <si>
    <t>40 - MINISTERIO DE SALUD</t>
  </si>
  <si>
    <t>11 - DIR. PROV DE ADMINISTRACION - MINISTERIO DE SALUD</t>
  </si>
  <si>
    <t>SEGUNDO TRIMESTRE</t>
  </si>
  <si>
    <t>DIR. ADM.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</si>
  <si>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</si>
  <si>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</si>
  <si>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</si>
  <si>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</si>
  <si>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</si>
  <si>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</si>
  <si>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</si>
  <si>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</si>
  <si>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</si>
  <si>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</si>
  <si>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</si>
  <si>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</si>
  <si>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</si>
  <si>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</si>
  <si>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</si>
  <si>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</si>
  <si>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</si>
  <si>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</si>
  <si>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</si>
  <si>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</si>
  <si>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</si>
  <si>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</si>
  <si>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</si>
  <si>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</si>
  <si>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</si>
  <si>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</si>
  <si>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</si>
  <si>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</si>
  <si>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</si>
  <si>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</si>
  <si>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</si>
  <si>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</si>
  <si>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</si>
  <si>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</si>
  <si>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</si>
  <si>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CLORHEXIDINA 2% HIDROALCOHOLICA X 250 ML</t>
  </si>
  <si>
    <t>TOTAL</t>
  </si>
  <si>
    <t xml:space="preserve">Especificidades 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</si>
  <si>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</si>
  <si>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Plazos de entrega</t>
  </si>
  <si>
    <t>veinte (20) dias habiles</t>
  </si>
  <si>
    <t>Lugar de Entrega:</t>
  </si>
  <si>
    <t>DIR. PROV. DE FARMACIA E INSUMOS - CHACABUCO N° 169 - en el horario de 8:00hs a 12:00hs de lunes a viernes</t>
  </si>
  <si>
    <t>cuarenta y cinco (45) días</t>
  </si>
  <si>
    <t>SUB TOTAL</t>
  </si>
  <si>
    <t>Especificidades Item N° 25:</t>
  </si>
  <si>
    <t>NO-2021-00280259-CAT-DPA#MS</t>
  </si>
  <si>
    <t>ITEM</t>
  </si>
  <si>
    <t>ESPECIFICACIONES TECNICAS</t>
  </si>
  <si>
    <t xml:space="preserve"> Loción alcohólica bactericida con emolientes y suavizantes. Envase BAG IN BOX por 800 ml</t>
  </si>
  <si>
    <t xml:space="preserve">U.S. N° 1 </t>
  </si>
  <si>
    <t xml:space="preserve">U.S. N° 2 </t>
  </si>
  <si>
    <t>U.S. N° 3</t>
  </si>
  <si>
    <t>U.S. N° 4</t>
  </si>
  <si>
    <t>precio
unitario
preadj</t>
  </si>
  <si>
    <t xml:space="preserve">item pliego </t>
  </si>
  <si>
    <t>item bionexo</t>
  </si>
  <si>
    <t>desierto</t>
  </si>
  <si>
    <t>monto preadjidicado por unidad solicitante</t>
  </si>
  <si>
    <t xml:space="preserve">unidades preadj. Por unidad solicitante </t>
  </si>
  <si>
    <t>total por unidad solicitante</t>
  </si>
  <si>
    <t>UNIDAD SOL.</t>
  </si>
  <si>
    <t>RESERVA DE CRED.</t>
  </si>
  <si>
    <t>PREADJ. X U.S.</t>
  </si>
  <si>
    <t>EXCED/ DEF. CRED.</t>
  </si>
  <si>
    <t>Hospital de Niños Eva Perón</t>
  </si>
  <si>
    <t xml:space="preserve"> Hospital San Juan Bautista</t>
  </si>
  <si>
    <t xml:space="preserve"> Maternidad Provincial 25 de Mayo</t>
  </si>
  <si>
    <t xml:space="preserve"> dependencias del Ministerio de Salud</t>
  </si>
  <si>
    <t>CUADRO DE UNIDADES Y MONTOS PREADJUDICADOS POR UNIDAD SOLICITANTE</t>
  </si>
  <si>
    <t>DESCRIPCION DE ITEM</t>
  </si>
  <si>
    <t>Total</t>
  </si>
  <si>
    <t>PROVEEDOR</t>
  </si>
  <si>
    <t>DROGUERIA PHARMA CENTER S.R.L.</t>
  </si>
  <si>
    <t>DROGUERIA SANAR S.R.L.</t>
  </si>
  <si>
    <t>ADOX S.A.</t>
  </si>
  <si>
    <t>AGUA OXIGENADA MEDICINAL DE 10 VOLUMENES X 1 LITRO Sanadrog</t>
  </si>
  <si>
    <t>ALCOHOL 70 % X 1000 ML Sanadrog/Frau/San Ignacio</t>
  </si>
  <si>
    <t>ALCOHOL 70 % X 500 ML Sanadrog/Frau/San Ignacio</t>
  </si>
  <si>
    <t xml:space="preserve">ALCOHOL 96 % X 500 ML BIALCOHOL PORTA </t>
  </si>
  <si>
    <t xml:space="preserve">ALCOHOL 96º X 1000 ML BIALCOHOL PORTA </t>
  </si>
  <si>
    <t>ALCOHOL EN GEL X 1 LITRO Sanadrog/Frau/San Ignacio</t>
  </si>
  <si>
    <t>ALCOHOL EN GEL X 250 ML Sanadrog/Frau/San Ignacio</t>
  </si>
  <si>
    <t>ALCOHOL EN GEL X 500 ML. Sanadrog/Frau/San Ignacio</t>
  </si>
  <si>
    <t>AMONIO CUATERNARIO X 5 LITROS TIPO SURFANIOS Servidor</t>
  </si>
  <si>
    <t>30-68023513-5</t>
  </si>
  <si>
    <t>CLORHEXIDINA 2% SOLUCION ACUOSA X 250 ML P H HEALTCARE</t>
  </si>
  <si>
    <t xml:space="preserve">CLORHEXIDINA 4% JABON X 500 ML CON VALVULA DISPENSADORA  IQB 4% JABON </t>
  </si>
  <si>
    <t xml:space="preserve">CLOROXILENOL  X 5 LITROS IQB  CLOROXILENOL </t>
  </si>
  <si>
    <t>DETERGENTE TRES ENZIMAS ( LIPASA. AMILASA.PROTEASA ) BIDON X 5 LITROS ADOX</t>
  </si>
  <si>
    <t xml:space="preserve">IODOPOVIDONA 10% SOLUCION X 5 LITROS IQB IODOPOVIDONA </t>
  </si>
  <si>
    <t>IODOPOVIDONA 10%SOLUCION X 1 LITRO CON VALVULA ATOMIZADORA IODOPOVIDONA IQB</t>
  </si>
  <si>
    <t>IODOPOVIDONA 5% JABON X 1 LITRO CON VALVULA ATOMIZADORA  Sertex/IQB</t>
  </si>
  <si>
    <t>IODOPOVIDONA 5% JABON X 5 LITROS IQB IODOPOVIDONA  10%</t>
  </si>
  <si>
    <t>JABON LIQUIDO BACTERICIDA CON CLORHEXIDINA JL9 ADOX</t>
  </si>
  <si>
    <t>JABON LIQUIDO HIPOALERGENICO CON EMOLIENTE TIPO JL4 ENV.X 800ML  ADOX</t>
  </si>
  <si>
    <t xml:space="preserve">LOCION ALCOHOLICA BACTERICIDA CON CLORHEXIDINA TIPO L9  ENV.X 800ML  ADOX </t>
  </si>
  <si>
    <t>LOCIÓN ALCOHÓLICA BACTERICIDA ENVASE X 800 ML TIPO L7 ADOX</t>
  </si>
  <si>
    <t xml:space="preserve">MONOPERSUFATO DE POTASIO DESINFECTANTE DE SUPERFICIE SOBRE PARA PREPARAR UN LITRO DE SOLUCION TIPO LT8 ADOX </t>
  </si>
  <si>
    <t>NITROFURAZONA X 1 LITRO Sertex/IQB</t>
  </si>
  <si>
    <t>HNEP</t>
  </si>
  <si>
    <t>HSJB</t>
  </si>
  <si>
    <t>MATERNIDAD</t>
  </si>
  <si>
    <t>SALUD</t>
  </si>
  <si>
    <t>MATERN</t>
  </si>
  <si>
    <t xml:space="preserve">CANTIDAD </t>
  </si>
  <si>
    <t>JURISDICCION LICITANTE</t>
  </si>
  <si>
    <t>JURISDICCION: MINISTERIO DE HACIENDA PÚBLICA</t>
  </si>
  <si>
    <t>UNIDAD LICITANTE: SECRETARIA DE COMPRAS Y ABASTECIMIENTO</t>
  </si>
  <si>
    <t>DOMICILIO FÍSICO: Pabellon 21  HALL CENTRAL - CAPE - AV. VENEZUELA S/N - S.F.V. Catamarca (C.P. 4700)</t>
  </si>
  <si>
    <t>DOMICILIO ESPECIAL ELECTRONICO: contrataciones.scya@catamarca.gov.ar</t>
  </si>
  <si>
    <t xml:space="preserve">JURISDICCION SOLICITANTE/COMITENTE </t>
  </si>
  <si>
    <t>UNIDAD SOLICITANTE</t>
  </si>
  <si>
    <t>S.A.F. N°</t>
  </si>
  <si>
    <t>CUIT S.A.F.</t>
  </si>
  <si>
    <t>EMAIL</t>
  </si>
  <si>
    <t>DCLIO FISICO S.A.F.:</t>
  </si>
  <si>
    <t>MINISTERIO DE SALUD</t>
  </si>
  <si>
    <t>HOSPITAL DE NIÑOS EVA PERON</t>
  </si>
  <si>
    <t>SAF N° 24 HOSPITAL DE NIÑOS EVA PERON</t>
  </si>
  <si>
    <t>30-70799747-4</t>
  </si>
  <si>
    <t>Av. Virgen del Valle N° 1050 San Fernando del Valle de Catamarca</t>
  </si>
  <si>
    <t>licitacion17@gmail.com</t>
  </si>
  <si>
    <t>PRECIO UNITARIO</t>
  </si>
  <si>
    <t>CONCURSO DE PRECIOS N° 15/2021 S.C.A.</t>
  </si>
  <si>
    <t>ADQUISICION ANTISEPTICOS Y DESINFECTANTES CONSOLIDADO (UNIDADES DEL MINISTERIO DE SALUD)</t>
  </si>
  <si>
    <t>EX-2021-00288821- -CAT-DPCBS#MHP</t>
  </si>
  <si>
    <t>SENORES:</t>
  </si>
  <si>
    <t>CUIT Nº</t>
  </si>
  <si>
    <t>Domicilio:</t>
  </si>
  <si>
    <t>RESOLUCION DE ADJUDICACION: Resolución Ministerial H.P. N° 162/2021</t>
  </si>
  <si>
    <t>LA FACURACION SE REALIZARÁ AL CUIT DE LA JURISDICCION SOLICITANTE.</t>
  </si>
  <si>
    <t>notificación de la presente Orden de Compra.</t>
  </si>
  <si>
    <t xml:space="preserve">Los productos a proveer deberán responder a las características expresadas en el Anexo I de las Bases de Contratación </t>
  </si>
  <si>
    <t>y a la oferta presentada por la firma.</t>
  </si>
  <si>
    <t>previstas en el Reglamento Parcial Nº 02-Ley 4938 - Decreto Acuerdo Nº 1127/2020 y sus modificatorios.-</t>
  </si>
  <si>
    <t xml:space="preserve">I M P O R T A N T E  : El incumplimiento a la presente Orden de Compras, dará lugar a la aplicación de las Penalidades </t>
  </si>
  <si>
    <t>CANTIDAD 2</t>
  </si>
  <si>
    <t>CANTIDAD 3</t>
  </si>
  <si>
    <t>CANTIDAD 4</t>
  </si>
  <si>
    <t>TOTAL5</t>
  </si>
  <si>
    <t>TOTAL6</t>
  </si>
  <si>
    <t>TOTAL7</t>
  </si>
  <si>
    <t xml:space="preserve">EN EL PLAZO Y CONDICIONES QUE ESTABLECE EL ART. 23° Y 24° DE PLIEGO DE BASES Y CONDICIONES PARTICULARES </t>
  </si>
  <si>
    <t>EL CONTRATISTA DEBERÁ CONSTITUIR GARANTIA DE CUMPLIMIENTO DE CONTRATO.</t>
  </si>
  <si>
    <t>ORDEN DE COMPRA</t>
  </si>
  <si>
    <t>Av Illia 313, depto N° 5, localidad SAN FERNANDO DEL VALLE DE CATAMARCA</t>
  </si>
  <si>
    <t>presupuestos@adox.com.ar</t>
  </si>
  <si>
    <t>Plazo de cumplimiento de Contrato: deberá efectuarse dentro de los DIEZ (10) dias corridos, contados a partir de la</t>
  </si>
  <si>
    <t>LA  ENTREGA  SE  EFECTUARÁ  EN  EL  SERVICIO  DE  FARMACIA  DEL  HOSPITAL  INTERZONAL  DE  NIÑOS  EVA  PERÓN,  SITO  EN  AVDA.  VIRGEN  DEL  VALLE  N°  1050,  DE  LA  CIUDAD  DE  SAN  FERNANDO  DEL  VALLE  DE  CATAMARCA,  EN  EL  HORARIO  DE  08:00  A 12:00 HORAS</t>
  </si>
  <si>
    <t>EN LETRAS: PESOS UN MILLON QUINIENTOS OCHENTA Y NUEVE MIL NOVENTA Y TRES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</si>
</sst>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$-2C0A]\ #,##0.00;[$$-2C0A]&quot; -&quot;#,##0.00"/>
    <numFmt numFmtId="165" formatCode="&quot;$&quot;\ #,##0.00"/>
    <numFmt numFmtId="166" formatCode="&quot;$&quot;#,##0.00;\-&quot;$&quot;#,##0.00"/>
    <numFmt numFmtId="167" formatCode="[$$-2C0A]\ #,##0;[Red][$$-2C0A]\ #,##0"/>
    <numFmt numFmtId="168" formatCode="[$$-2C0A]\ #,##0.00;[Red][$$-2C0A]\ #,##0.00"/>
    <numFmt numFmtId="169" formatCode="_-[$$-2C0A]\ * #,##0.00_-;\-[$$-2C0A]\ * #,##0.00_-;_-[$$-2C0A]\ * &quot;-&quot;??_-;_-@_-"/>
    <numFmt numFmtId="170" formatCode="[$$-2C0A]\ #,##0.00"/>
    <numFmt numFmtId="171" formatCode="_-* #,##0_-;\-* #,##0_-;_-* &quot;-&quot;??_-;_-@_-"/>
    <numFmt numFmtId="172" formatCode="_ [$€-2]\ * #,##0.00_ ;_ [$€-2]\ * \-#,##0.00_ ;_ [$€-2]\ * \-??_ 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2"/>
      <color rgb="FF000000"/>
      <name val="Times New Roman"/>
      <family val="1"/>
    </font>
    <font>
      <u/>
      <sz val="10"/>
      <name val="Times New Roman"/>
      <family val="1"/>
    </font>
    <font>
      <b/>
      <sz val="9"/>
      <color rgb="FF000000"/>
      <name val="Times New Roman"/>
      <family val="1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Arial"/>
      <family val="2"/>
    </font>
    <font>
      <sz val="12"/>
      <color theme="1"/>
      <name val="Times New Roman"/>
      <family val="1"/>
    </font>
    <font>
      <sz val="11"/>
      <name val="Times New Roman"/>
      <family val="1"/>
    </font>
    <font>
      <b/>
      <sz val="20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14" fillId="0" borderId="0"/>
    <xf numFmtId="0" fontId="24" fillId="9" borderId="0" applyNumberFormat="0" applyBorder="0" applyAlignment="0" applyProtection="0"/>
    <xf numFmtId="0" fontId="2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4" fillId="0" borderId="0"/>
    <xf numFmtId="43" fontId="1" fillId="0" borderId="0" applyFont="0" applyFill="0" applyBorder="0" applyAlignment="0" applyProtection="0"/>
    <xf numFmtId="0" fontId="14" fillId="0" borderId="0"/>
    <xf numFmtId="172" fontId="14" fillId="0" borderId="0" applyFill="0" applyBorder="0" applyAlignment="0" applyProtection="0"/>
  </cellStyleXfs>
  <cellXfs count="352">
    <xf numFmtId="0" fontId="0" fillId="0" borderId="0" xfId="0"/>
    <xf numFmtId="0" fontId="3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6" fillId="2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2" fillId="2" borderId="1" xfId="1" applyNumberFormat="1" applyFont="1" applyFill="1" applyBorder="1" applyAlignment="1" applyProtection="1">
      <alignment horizontal="center" vertical="center" wrapText="1"/>
    </xf>
    <xf numFmtId="164" fontId="12" fillId="2" borderId="1" xfId="1" applyNumberFormat="1" applyFont="1" applyFill="1" applyBorder="1" applyAlignment="1" applyProtection="1">
      <alignment horizontal="righ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165" fontId="15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vertical="center"/>
    </xf>
    <xf numFmtId="0" fontId="17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17" fillId="0" borderId="5" xfId="0" applyFont="1" applyBorder="1" applyAlignment="1">
      <alignment horizontal="left" indent="3"/>
    </xf>
    <xf numFmtId="0" fontId="3" fillId="0" borderId="5" xfId="0" applyFont="1" applyBorder="1" applyAlignment="1">
      <alignment horizontal="left" indent="3"/>
    </xf>
    <xf numFmtId="0" fontId="3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left" indent="3"/>
    </xf>
    <xf numFmtId="0" fontId="3" fillId="0" borderId="8" xfId="0" applyFont="1" applyBorder="1"/>
    <xf numFmtId="0" fontId="3" fillId="0" borderId="9" xfId="0" applyFont="1" applyBorder="1"/>
    <xf numFmtId="165" fontId="9" fillId="0" borderId="0" xfId="0" applyNumberFormat="1" applyFont="1"/>
    <xf numFmtId="165" fontId="10" fillId="0" borderId="0" xfId="0" applyNumberFormat="1" applyFont="1" applyAlignment="1">
      <alignment horizontal="left" wrapText="1"/>
    </xf>
    <xf numFmtId="0" fontId="9" fillId="0" borderId="10" xfId="0" applyFont="1" applyBorder="1" applyAlignment="1">
      <alignment horizontal="center" vertical="center"/>
    </xf>
    <xf numFmtId="0" fontId="0" fillId="0" borderId="11" xfId="0" applyBorder="1"/>
    <xf numFmtId="0" fontId="14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166" fontId="0" fillId="0" borderId="13" xfId="1" applyNumberFormat="1" applyFont="1" applyFill="1" applyBorder="1" applyAlignment="1">
      <alignment horizontal="center" vertical="center"/>
    </xf>
    <xf numFmtId="164" fontId="9" fillId="2" borderId="14" xfId="1" applyNumberFormat="1" applyFont="1" applyFill="1" applyBorder="1" applyAlignment="1" applyProtection="1">
      <alignment horizontal="right" vertical="center" wrapText="1"/>
    </xf>
    <xf numFmtId="0" fontId="9" fillId="0" borderId="15" xfId="0" applyFont="1" applyBorder="1" applyAlignment="1">
      <alignment horizontal="center" vertical="center"/>
    </xf>
    <xf numFmtId="0" fontId="0" fillId="0" borderId="13" xfId="0" applyBorder="1"/>
    <xf numFmtId="0" fontId="14" fillId="0" borderId="13" xfId="0" applyFont="1" applyBorder="1" applyAlignment="1">
      <alignment wrapText="1"/>
    </xf>
    <xf numFmtId="0" fontId="10" fillId="0" borderId="13" xfId="0" applyFont="1" applyBorder="1" applyAlignment="1">
      <alignment horizontal="center" vertical="center" wrapText="1"/>
    </xf>
    <xf numFmtId="164" fontId="9" fillId="2" borderId="16" xfId="1" applyNumberFormat="1" applyFont="1" applyFill="1" applyBorder="1" applyAlignment="1" applyProtection="1">
      <alignment horizontal="right" vertical="center" wrapText="1"/>
    </xf>
    <xf numFmtId="0" fontId="14" fillId="0" borderId="12" xfId="0" applyFont="1" applyBorder="1" applyAlignment="1">
      <alignment vertical="center" wrapText="1"/>
    </xf>
    <xf numFmtId="0" fontId="14" fillId="0" borderId="12" xfId="2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3" xfId="2" applyBorder="1" applyAlignment="1">
      <alignment horizontal="left" vertical="center" wrapText="1"/>
    </xf>
    <xf numFmtId="0" fontId="14" fillId="0" borderId="13" xfId="0" applyFont="1" applyBorder="1" applyAlignment="1">
      <alignment vertical="center" wrapText="1"/>
    </xf>
    <xf numFmtId="0" fontId="19" fillId="0" borderId="13" xfId="0" applyFont="1" applyBorder="1" applyAlignment="1">
      <alignment horizontal="left" vertical="center" wrapText="1"/>
    </xf>
    <xf numFmtId="164" fontId="3" fillId="0" borderId="0" xfId="0" applyNumberFormat="1" applyFont="1"/>
    <xf numFmtId="0" fontId="17" fillId="0" borderId="2" xfId="0" applyFont="1" applyBorder="1" applyAlignment="1">
      <alignment horizontal="left" indent="3"/>
    </xf>
    <xf numFmtId="0" fontId="17" fillId="0" borderId="7" xfId="0" applyFont="1" applyBorder="1"/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17" fillId="0" borderId="5" xfId="0" applyFont="1" applyBorder="1"/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65" fontId="18" fillId="6" borderId="1" xfId="0" applyNumberFormat="1" applyFon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/>
    </xf>
    <xf numFmtId="165" fontId="0" fillId="0" borderId="13" xfId="1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3" xfId="0" applyFont="1" applyBorder="1"/>
    <xf numFmtId="0" fontId="0" fillId="0" borderId="13" xfId="0" applyFont="1" applyBorder="1" applyAlignment="1">
      <alignment horizontal="center" vertical="center"/>
    </xf>
    <xf numFmtId="165" fontId="0" fillId="0" borderId="13" xfId="0" applyNumberFormat="1" applyFont="1" applyBorder="1" applyAlignment="1">
      <alignment horizontal="center" vertical="center"/>
    </xf>
    <xf numFmtId="0" fontId="0" fillId="6" borderId="13" xfId="0" applyFont="1" applyFill="1" applyBorder="1" applyAlignment="1">
      <alignment horizontal="center" vertical="center"/>
    </xf>
    <xf numFmtId="0" fontId="21" fillId="7" borderId="13" xfId="0" applyFont="1" applyFill="1" applyBorder="1" applyAlignment="1">
      <alignment horizontal="center" vertical="center" wrapText="1"/>
    </xf>
    <xf numFmtId="165" fontId="20" fillId="2" borderId="13" xfId="1" applyNumberFormat="1" applyFont="1" applyFill="1" applyBorder="1" applyAlignment="1" applyProtection="1">
      <alignment horizontal="center" vertical="center" wrapText="1"/>
    </xf>
    <xf numFmtId="0" fontId="0" fillId="5" borderId="13" xfId="0" applyFont="1" applyFill="1" applyBorder="1" applyAlignment="1">
      <alignment horizontal="center" vertical="center"/>
    </xf>
    <xf numFmtId="165" fontId="0" fillId="3" borderId="13" xfId="0" applyNumberFormat="1" applyFont="1" applyFill="1" applyBorder="1" applyAlignment="1">
      <alignment horizontal="center" vertical="center"/>
    </xf>
    <xf numFmtId="0" fontId="20" fillId="0" borderId="13" xfId="0" applyFont="1" applyBorder="1" applyAlignment="1">
      <alignment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vertical="center" wrapText="1"/>
    </xf>
    <xf numFmtId="0" fontId="20" fillId="3" borderId="13" xfId="0" applyFont="1" applyFill="1" applyBorder="1" applyAlignment="1">
      <alignment vertical="center"/>
    </xf>
    <xf numFmtId="0" fontId="20" fillId="0" borderId="13" xfId="0" applyFont="1" applyBorder="1" applyAlignment="1">
      <alignment horizontal="center" vertical="center"/>
    </xf>
    <xf numFmtId="0" fontId="23" fillId="6" borderId="13" xfId="0" applyFont="1" applyFill="1" applyBorder="1" applyAlignment="1">
      <alignment horizontal="center" vertical="center" wrapText="1"/>
    </xf>
    <xf numFmtId="165" fontId="2" fillId="8" borderId="1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vertical="center"/>
    </xf>
    <xf numFmtId="0" fontId="26" fillId="3" borderId="0" xfId="0" applyFont="1" applyFill="1"/>
    <xf numFmtId="0" fontId="26" fillId="3" borderId="0" xfId="0" applyFont="1" applyFill="1" applyAlignment="1">
      <alignment wrapText="1"/>
    </xf>
    <xf numFmtId="0" fontId="27" fillId="0" borderId="0" xfId="0" applyFont="1"/>
    <xf numFmtId="0" fontId="27" fillId="3" borderId="0" xfId="0" applyFont="1" applyFill="1"/>
    <xf numFmtId="0" fontId="27" fillId="3" borderId="0" xfId="0" applyFont="1" applyFill="1" applyAlignment="1">
      <alignment vertical="center"/>
    </xf>
    <xf numFmtId="167" fontId="0" fillId="0" borderId="0" xfId="0" applyNumberFormat="1" applyAlignment="1">
      <alignment horizontal="center" vertical="center"/>
    </xf>
    <xf numFmtId="168" fontId="27" fillId="3" borderId="0" xfId="0" applyNumberFormat="1" applyFont="1" applyFill="1" applyAlignment="1">
      <alignment horizontal="center"/>
    </xf>
    <xf numFmtId="0" fontId="26" fillId="0" borderId="0" xfId="0" applyFont="1" applyAlignment="1">
      <alignment horizontal="center"/>
    </xf>
    <xf numFmtId="168" fontId="26" fillId="3" borderId="0" xfId="0" applyNumberFormat="1" applyFont="1" applyFill="1" applyAlignment="1">
      <alignment horizontal="center"/>
    </xf>
    <xf numFmtId="0" fontId="29" fillId="0" borderId="0" xfId="0" applyFont="1" applyAlignment="1">
      <alignment horizontal="left" wrapText="1" indent="1"/>
    </xf>
    <xf numFmtId="0" fontId="30" fillId="3" borderId="0" xfId="0" applyFont="1" applyFill="1" applyAlignment="1">
      <alignment horizontal="left" wrapText="1"/>
    </xf>
    <xf numFmtId="0" fontId="30" fillId="3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0" fontId="26" fillId="3" borderId="0" xfId="0" applyFont="1" applyFill="1" applyAlignment="1">
      <alignment horizontal="left" wrapText="1"/>
    </xf>
    <xf numFmtId="0" fontId="26" fillId="3" borderId="0" xfId="0" applyFont="1" applyFill="1" applyAlignment="1">
      <alignment horizontal="center" vertical="center" wrapText="1"/>
    </xf>
    <xf numFmtId="0" fontId="30" fillId="3" borderId="23" xfId="0" applyFont="1" applyFill="1" applyBorder="1" applyAlignment="1">
      <alignment horizontal="center" vertical="center" wrapText="1"/>
    </xf>
    <xf numFmtId="0" fontId="30" fillId="3" borderId="24" xfId="0" applyFont="1" applyFill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19" fillId="3" borderId="26" xfId="0" applyFont="1" applyFill="1" applyBorder="1" applyAlignment="1">
      <alignment horizontal="center" vertical="center"/>
    </xf>
    <xf numFmtId="0" fontId="1" fillId="3" borderId="13" xfId="5" applyFill="1" applyBorder="1" applyAlignment="1">
      <alignment horizontal="center" vertical="center" wrapText="1"/>
    </xf>
    <xf numFmtId="0" fontId="1" fillId="3" borderId="27" xfId="4" applyFont="1" applyFill="1" applyBorder="1" applyAlignment="1">
      <alignment horizontal="center" vertical="center" wrapText="1"/>
    </xf>
    <xf numFmtId="0" fontId="1" fillId="0" borderId="13" xfId="5" applyFill="1" applyBorder="1" applyAlignment="1">
      <alignment horizontal="center" vertical="center" wrapText="1"/>
    </xf>
    <xf numFmtId="165" fontId="0" fillId="0" borderId="13" xfId="0" applyNumberFormat="1" applyBorder="1" applyAlignment="1">
      <alignment horizontal="center" vertical="center"/>
    </xf>
    <xf numFmtId="168" fontId="1" fillId="3" borderId="28" xfId="5" applyNumberForma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center" vertical="center"/>
    </xf>
    <xf numFmtId="165" fontId="0" fillId="3" borderId="13" xfId="0" applyNumberFormat="1" applyFill="1" applyBorder="1" applyAlignment="1">
      <alignment horizontal="center" vertical="center"/>
    </xf>
    <xf numFmtId="0" fontId="1" fillId="3" borderId="13" xfId="5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2" fillId="3" borderId="0" xfId="0" applyFont="1" applyFill="1"/>
    <xf numFmtId="0" fontId="26" fillId="0" borderId="0" xfId="0" applyFont="1"/>
    <xf numFmtId="16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1" fontId="20" fillId="13" borderId="13" xfId="3" applyNumberFormat="1" applyFont="1" applyFill="1" applyBorder="1" applyAlignment="1">
      <alignment horizontal="center" vertical="center" wrapText="1"/>
    </xf>
    <xf numFmtId="168" fontId="1" fillId="3" borderId="13" xfId="5" applyNumberFormat="1" applyFill="1" applyBorder="1" applyAlignment="1">
      <alignment horizontal="center" vertical="center" wrapText="1"/>
    </xf>
    <xf numFmtId="0" fontId="0" fillId="0" borderId="13" xfId="0" applyFont="1" applyFill="1" applyBorder="1"/>
    <xf numFmtId="0" fontId="0" fillId="0" borderId="13" xfId="0" applyFill="1" applyBorder="1"/>
    <xf numFmtId="0" fontId="0" fillId="3" borderId="13" xfId="0" applyFont="1" applyFill="1" applyBorder="1" applyAlignment="1">
      <alignment vertical="center"/>
    </xf>
    <xf numFmtId="0" fontId="1" fillId="0" borderId="13" xfId="5" applyFill="1" applyBorder="1" applyAlignment="1">
      <alignment vertical="center" wrapText="1"/>
    </xf>
    <xf numFmtId="0" fontId="20" fillId="0" borderId="13" xfId="2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1" fontId="2" fillId="8" borderId="13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8" fontId="2" fillId="13" borderId="1" xfId="0" applyNumberFormat="1" applyFont="1" applyFill="1" applyBorder="1" applyAlignment="1">
      <alignment horizontal="center" vertical="center"/>
    </xf>
    <xf numFmtId="0" fontId="17" fillId="14" borderId="19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0" fillId="14" borderId="25" xfId="0" applyFont="1" applyFill="1" applyBorder="1" applyAlignment="1">
      <alignment horizontal="center" vertical="center" wrapText="1"/>
    </xf>
    <xf numFmtId="167" fontId="31" fillId="14" borderId="17" xfId="0" applyNumberFormat="1" applyFont="1" applyFill="1" applyBorder="1" applyAlignment="1">
      <alignment horizontal="center" vertical="center" wrapText="1"/>
    </xf>
    <xf numFmtId="168" fontId="30" fillId="14" borderId="21" xfId="0" applyNumberFormat="1" applyFont="1" applyFill="1" applyBorder="1" applyAlignment="1">
      <alignment horizontal="center" vertical="center" wrapText="1"/>
    </xf>
    <xf numFmtId="1" fontId="20" fillId="14" borderId="12" xfId="3" applyNumberFormat="1" applyFont="1" applyFill="1" applyBorder="1" applyAlignment="1">
      <alignment horizontal="center" vertical="center" wrapText="1"/>
    </xf>
    <xf numFmtId="3" fontId="12" fillId="3" borderId="13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165" fontId="12" fillId="0" borderId="0" xfId="1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wrapText="1"/>
    </xf>
    <xf numFmtId="165" fontId="7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3" fontId="3" fillId="0" borderId="13" xfId="0" applyNumberFormat="1" applyFont="1" applyBorder="1" applyAlignment="1">
      <alignment horizontal="center"/>
    </xf>
    <xf numFmtId="3" fontId="3" fillId="0" borderId="13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right" vertical="center"/>
    </xf>
    <xf numFmtId="0" fontId="36" fillId="0" borderId="13" xfId="0" applyFont="1" applyBorder="1" applyAlignment="1">
      <alignment horizontal="center" vertical="center" wrapText="1"/>
    </xf>
    <xf numFmtId="44" fontId="3" fillId="0" borderId="13" xfId="0" applyNumberFormat="1" applyFont="1" applyBorder="1" applyAlignment="1">
      <alignment horizontal="center"/>
    </xf>
    <xf numFmtId="0" fontId="33" fillId="0" borderId="0" xfId="0" applyFont="1" applyAlignment="1">
      <alignment horizontal="center" vertical="center" wrapText="1"/>
    </xf>
    <xf numFmtId="0" fontId="14" fillId="15" borderId="13" xfId="0" applyFont="1" applyFill="1" applyBorder="1" applyAlignment="1">
      <alignment horizontal="left" vertical="center" wrapText="1"/>
    </xf>
    <xf numFmtId="0" fontId="12" fillId="15" borderId="13" xfId="0" applyFont="1" applyFill="1" applyBorder="1" applyAlignment="1">
      <alignment horizontal="center" vertical="center"/>
    </xf>
    <xf numFmtId="0" fontId="3" fillId="15" borderId="13" xfId="0" applyFont="1" applyFill="1" applyBorder="1" applyAlignment="1">
      <alignment horizontal="center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3" xfId="0" applyFont="1" applyFill="1" applyBorder="1" applyAlignment="1">
      <alignment horizontal="center" vertical="center"/>
    </xf>
    <xf numFmtId="1" fontId="13" fillId="15" borderId="13" xfId="0" applyNumberFormat="1" applyFont="1" applyFill="1" applyBorder="1" applyAlignment="1">
      <alignment horizontal="center" vertical="center" wrapText="1"/>
    </xf>
    <xf numFmtId="165" fontId="13" fillId="15" borderId="13" xfId="0" applyNumberFormat="1" applyFont="1" applyFill="1" applyBorder="1" applyAlignment="1">
      <alignment horizontal="center" vertical="center" wrapText="1"/>
    </xf>
    <xf numFmtId="3" fontId="13" fillId="15" borderId="13" xfId="0" applyNumberFormat="1" applyFont="1" applyFill="1" applyBorder="1" applyAlignment="1">
      <alignment horizontal="center" vertical="center" wrapText="1"/>
    </xf>
    <xf numFmtId="165" fontId="12" fillId="15" borderId="13" xfId="1" applyNumberFormat="1" applyFont="1" applyFill="1" applyBorder="1" applyAlignment="1">
      <alignment vertical="center" wrapText="1"/>
    </xf>
    <xf numFmtId="169" fontId="13" fillId="15" borderId="13" xfId="0" applyNumberFormat="1" applyFont="1" applyFill="1" applyBorder="1" applyAlignment="1">
      <alignment vertical="center" wrapText="1"/>
    </xf>
    <xf numFmtId="0" fontId="15" fillId="15" borderId="13" xfId="0" applyFont="1" applyFill="1" applyBorder="1" applyAlignment="1">
      <alignment horizontal="center" vertical="center"/>
    </xf>
    <xf numFmtId="0" fontId="12" fillId="15" borderId="13" xfId="0" applyFont="1" applyFill="1" applyBorder="1" applyAlignment="1">
      <alignment horizontal="center" vertical="center" wrapText="1"/>
    </xf>
    <xf numFmtId="0" fontId="35" fillId="15" borderId="13" xfId="0" applyFont="1" applyFill="1" applyBorder="1" applyAlignment="1">
      <alignment horizontal="center" vertical="center" wrapText="1"/>
    </xf>
    <xf numFmtId="1" fontId="12" fillId="15" borderId="13" xfId="0" applyNumberFormat="1" applyFont="1" applyFill="1" applyBorder="1" applyAlignment="1">
      <alignment horizontal="center" vertical="center" wrapText="1"/>
    </xf>
    <xf numFmtId="165" fontId="12" fillId="15" borderId="13" xfId="0" applyNumberFormat="1" applyFont="1" applyFill="1" applyBorder="1" applyAlignment="1">
      <alignment horizontal="center" vertical="center" wrapText="1"/>
    </xf>
    <xf numFmtId="3" fontId="12" fillId="15" borderId="13" xfId="0" applyNumberFormat="1" applyFont="1" applyFill="1" applyBorder="1" applyAlignment="1">
      <alignment horizontal="center" vertical="center" wrapText="1"/>
    </xf>
    <xf numFmtId="1" fontId="12" fillId="15" borderId="13" xfId="0" applyNumberFormat="1" applyFont="1" applyFill="1" applyBorder="1" applyAlignment="1">
      <alignment horizontal="center" vertical="center"/>
    </xf>
    <xf numFmtId="44" fontId="12" fillId="15" borderId="13" xfId="0" applyNumberFormat="1" applyFont="1" applyFill="1" applyBorder="1" applyAlignment="1">
      <alignment horizontal="center" vertical="center" wrapText="1"/>
    </xf>
    <xf numFmtId="3" fontId="12" fillId="15" borderId="13" xfId="8" applyNumberFormat="1" applyFont="1" applyFill="1" applyBorder="1" applyAlignment="1">
      <alignment horizontal="center" vertical="center" wrapText="1"/>
    </xf>
    <xf numFmtId="165" fontId="12" fillId="15" borderId="13" xfId="0" applyNumberFormat="1" applyFont="1" applyFill="1" applyBorder="1" applyAlignment="1">
      <alignment horizontal="right" vertical="center"/>
    </xf>
    <xf numFmtId="165" fontId="12" fillId="15" borderId="13" xfId="0" applyNumberFormat="1" applyFont="1" applyFill="1" applyBorder="1" applyAlignment="1">
      <alignment horizontal="right" vertical="center" wrapText="1"/>
    </xf>
    <xf numFmtId="0" fontId="3" fillId="15" borderId="13" xfId="0" applyFont="1" applyFill="1" applyBorder="1" applyAlignment="1">
      <alignment horizontal="center" vertical="center"/>
    </xf>
    <xf numFmtId="0" fontId="33" fillId="15" borderId="13" xfId="0" applyFont="1" applyFill="1" applyBorder="1" applyAlignment="1">
      <alignment horizontal="center" wrapText="1"/>
    </xf>
    <xf numFmtId="0" fontId="14" fillId="15" borderId="13" xfId="0" applyFont="1" applyFill="1" applyBorder="1" applyAlignment="1">
      <alignment horizontal="left" vertical="center"/>
    </xf>
    <xf numFmtId="1" fontId="3" fillId="15" borderId="13" xfId="0" applyNumberFormat="1" applyFont="1" applyFill="1" applyBorder="1" applyAlignment="1">
      <alignment horizontal="center"/>
    </xf>
    <xf numFmtId="165" fontId="3" fillId="15" borderId="13" xfId="0" applyNumberFormat="1" applyFont="1" applyFill="1" applyBorder="1" applyAlignment="1">
      <alignment horizontal="center"/>
    </xf>
    <xf numFmtId="3" fontId="3" fillId="15" borderId="13" xfId="0" applyNumberFormat="1" applyFont="1" applyFill="1" applyBorder="1" applyAlignment="1">
      <alignment horizontal="center"/>
    </xf>
    <xf numFmtId="3" fontId="0" fillId="15" borderId="13" xfId="0" applyNumberFormat="1" applyFill="1" applyBorder="1" applyAlignment="1">
      <alignment horizontal="center"/>
    </xf>
    <xf numFmtId="3" fontId="3" fillId="15" borderId="13" xfId="0" applyNumberFormat="1" applyFont="1" applyFill="1" applyBorder="1" applyAlignment="1">
      <alignment horizontal="center" vertical="center"/>
    </xf>
    <xf numFmtId="165" fontId="3" fillId="15" borderId="13" xfId="0" applyNumberFormat="1" applyFont="1" applyFill="1" applyBorder="1" applyAlignment="1">
      <alignment horizontal="right" vertical="center"/>
    </xf>
    <xf numFmtId="165" fontId="0" fillId="15" borderId="13" xfId="0" applyNumberFormat="1" applyFill="1" applyBorder="1" applyAlignment="1">
      <alignment horizontal="right"/>
    </xf>
    <xf numFmtId="0" fontId="14" fillId="15" borderId="13" xfId="0" applyFont="1" applyFill="1" applyBorder="1" applyAlignment="1">
      <alignment vertical="center"/>
    </xf>
    <xf numFmtId="0" fontId="14" fillId="15" borderId="13" xfId="8" applyFill="1" applyBorder="1" applyAlignment="1">
      <alignment horizontal="left" vertical="center"/>
    </xf>
    <xf numFmtId="0" fontId="15" fillId="15" borderId="13" xfId="7" applyFont="1" applyFill="1" applyBorder="1" applyAlignment="1">
      <alignment horizontal="center" vertical="center"/>
    </xf>
    <xf numFmtId="3" fontId="12" fillId="15" borderId="13" xfId="0" applyNumberFormat="1" applyFont="1" applyFill="1" applyBorder="1" applyAlignment="1">
      <alignment horizontal="center" vertical="center"/>
    </xf>
    <xf numFmtId="170" fontId="12" fillId="15" borderId="13" xfId="0" applyNumberFormat="1" applyFont="1" applyFill="1" applyBorder="1" applyAlignment="1">
      <alignment horizontal="center" vertical="center" wrapText="1"/>
    </xf>
    <xf numFmtId="165" fontId="20" fillId="15" borderId="13" xfId="0" applyNumberFormat="1" applyFont="1" applyFill="1" applyBorder="1" applyAlignment="1">
      <alignment horizontal="center" vertical="center" wrapText="1"/>
    </xf>
    <xf numFmtId="3" fontId="20" fillId="15" borderId="13" xfId="0" applyNumberFormat="1" applyFont="1" applyFill="1" applyBorder="1" applyAlignment="1">
      <alignment horizontal="center" vertical="center" wrapText="1"/>
    </xf>
    <xf numFmtId="1" fontId="20" fillId="15" borderId="13" xfId="0" applyNumberFormat="1" applyFont="1" applyFill="1" applyBorder="1" applyAlignment="1">
      <alignment horizontal="center" vertical="center"/>
    </xf>
    <xf numFmtId="3" fontId="20" fillId="15" borderId="13" xfId="0" applyNumberFormat="1" applyFont="1" applyFill="1" applyBorder="1" applyAlignment="1">
      <alignment horizontal="center" vertical="center"/>
    </xf>
    <xf numFmtId="1" fontId="20" fillId="15" borderId="13" xfId="0" applyNumberFormat="1" applyFont="1" applyFill="1" applyBorder="1" applyAlignment="1">
      <alignment horizontal="center" vertical="center" wrapText="1"/>
    </xf>
    <xf numFmtId="3" fontId="0" fillId="15" borderId="13" xfId="0" applyNumberFormat="1" applyFont="1" applyFill="1" applyBorder="1" applyAlignment="1">
      <alignment horizontal="center" vertical="center"/>
    </xf>
    <xf numFmtId="165" fontId="0" fillId="15" borderId="13" xfId="0" applyNumberFormat="1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5" borderId="13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 wrapText="1"/>
    </xf>
    <xf numFmtId="165" fontId="22" fillId="6" borderId="13" xfId="0" applyNumberFormat="1" applyFont="1" applyFill="1" applyBorder="1" applyAlignment="1">
      <alignment horizontal="center" vertical="center" wrapText="1"/>
    </xf>
    <xf numFmtId="0" fontId="22" fillId="13" borderId="13" xfId="0" applyFont="1" applyFill="1" applyBorder="1" applyAlignment="1">
      <alignment horizontal="center" vertical="center" wrapText="1"/>
    </xf>
    <xf numFmtId="165" fontId="22" fillId="13" borderId="13" xfId="0" applyNumberFormat="1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3" fontId="22" fillId="15" borderId="11" xfId="0" applyNumberFormat="1" applyFont="1" applyFill="1" applyBorder="1" applyAlignment="1">
      <alignment horizontal="center" vertical="center" wrapText="1"/>
    </xf>
    <xf numFmtId="1" fontId="22" fillId="15" borderId="11" xfId="0" applyNumberFormat="1" applyFont="1" applyFill="1" applyBorder="1" applyAlignment="1">
      <alignment horizontal="center" vertical="center" wrapText="1"/>
    </xf>
    <xf numFmtId="165" fontId="38" fillId="15" borderId="11" xfId="1" applyNumberFormat="1" applyFont="1" applyFill="1" applyBorder="1" applyAlignment="1">
      <alignment horizontal="center" vertical="center" wrapText="1"/>
    </xf>
    <xf numFmtId="169" fontId="22" fillId="15" borderId="11" xfId="0" applyNumberFormat="1" applyFont="1" applyFill="1" applyBorder="1" applyAlignment="1">
      <alignment horizontal="center" vertical="center" wrapText="1"/>
    </xf>
    <xf numFmtId="3" fontId="20" fillId="0" borderId="13" xfId="0" applyNumberFormat="1" applyFont="1" applyFill="1" applyBorder="1" applyAlignment="1">
      <alignment horizontal="center" vertical="center" wrapText="1"/>
    </xf>
    <xf numFmtId="1" fontId="20" fillId="0" borderId="13" xfId="0" applyNumberFormat="1" applyFont="1" applyFill="1" applyBorder="1" applyAlignment="1">
      <alignment horizontal="center" vertical="center"/>
    </xf>
    <xf numFmtId="3" fontId="20" fillId="0" borderId="13" xfId="0" applyNumberFormat="1" applyFont="1" applyFill="1" applyBorder="1" applyAlignment="1">
      <alignment horizontal="center" vertical="center"/>
    </xf>
    <xf numFmtId="165" fontId="20" fillId="0" borderId="13" xfId="0" applyNumberFormat="1" applyFont="1" applyFill="1" applyBorder="1" applyAlignment="1">
      <alignment horizontal="center" vertical="center" wrapText="1"/>
    </xf>
    <xf numFmtId="165" fontId="2" fillId="15" borderId="1" xfId="0" applyNumberFormat="1" applyFont="1" applyFill="1" applyBorder="1" applyAlignment="1">
      <alignment horizontal="center" vertical="center"/>
    </xf>
    <xf numFmtId="0" fontId="39" fillId="0" borderId="0" xfId="0" applyFont="1"/>
    <xf numFmtId="0" fontId="2" fillId="0" borderId="13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center"/>
    </xf>
    <xf numFmtId="0" fontId="40" fillId="0" borderId="13" xfId="0" applyFont="1" applyBorder="1" applyAlignment="1">
      <alignment vertical="center" wrapText="1"/>
    </xf>
    <xf numFmtId="171" fontId="0" fillId="0" borderId="13" xfId="9" applyNumberFormat="1" applyFont="1" applyBorder="1"/>
    <xf numFmtId="0" fontId="22" fillId="0" borderId="13" xfId="0" applyFont="1" applyFill="1" applyBorder="1" applyAlignment="1">
      <alignment horizontal="center" vertical="center" wrapText="1"/>
    </xf>
    <xf numFmtId="171" fontId="0" fillId="0" borderId="13" xfId="9" applyNumberFormat="1" applyFont="1" applyFill="1" applyBorder="1" applyAlignment="1">
      <alignment horizontal="center" vertical="center"/>
    </xf>
    <xf numFmtId="171" fontId="0" fillId="0" borderId="13" xfId="9" applyNumberFormat="1" applyFont="1" applyFill="1" applyBorder="1"/>
    <xf numFmtId="171" fontId="20" fillId="0" borderId="13" xfId="9" applyNumberFormat="1" applyFont="1" applyFill="1" applyBorder="1" applyAlignment="1">
      <alignment horizontal="center" vertical="center" wrapText="1"/>
    </xf>
    <xf numFmtId="171" fontId="2" fillId="0" borderId="13" xfId="9" applyNumberFormat="1" applyFont="1" applyFill="1" applyBorder="1" applyAlignment="1">
      <alignment horizontal="center" vertical="center"/>
    </xf>
    <xf numFmtId="171" fontId="21" fillId="0" borderId="13" xfId="9" applyNumberFormat="1" applyFont="1" applyFill="1" applyBorder="1" applyAlignment="1">
      <alignment horizontal="center" vertical="center" wrapText="1"/>
    </xf>
    <xf numFmtId="171" fontId="20" fillId="0" borderId="13" xfId="9" applyNumberFormat="1" applyFont="1" applyFill="1" applyBorder="1" applyAlignment="1" applyProtection="1">
      <alignment horizontal="center" vertical="center" wrapText="1"/>
    </xf>
    <xf numFmtId="171" fontId="1" fillId="0" borderId="13" xfId="9" applyNumberFormat="1" applyFill="1" applyBorder="1" applyAlignment="1">
      <alignment horizontal="center" vertical="center" wrapText="1"/>
    </xf>
    <xf numFmtId="171" fontId="20" fillId="0" borderId="13" xfId="9" applyNumberFormat="1" applyFont="1" applyFill="1" applyBorder="1" applyAlignment="1">
      <alignment horizontal="center" vertical="center"/>
    </xf>
    <xf numFmtId="43" fontId="0" fillId="0" borderId="13" xfId="9" applyFont="1" applyBorder="1"/>
    <xf numFmtId="43" fontId="2" fillId="0" borderId="0" xfId="9" applyFont="1"/>
    <xf numFmtId="0" fontId="2" fillId="0" borderId="0" xfId="0" applyFont="1"/>
    <xf numFmtId="0" fontId="0" fillId="0" borderId="13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1" fillId="0" borderId="0" xfId="0" applyFont="1"/>
    <xf numFmtId="43" fontId="0" fillId="0" borderId="0" xfId="9" applyFont="1" applyBorder="1"/>
    <xf numFmtId="0" fontId="2" fillId="0" borderId="0" xfId="0" applyFont="1" applyAlignment="1">
      <alignment horizontal="center" vertical="center" wrapText="1"/>
    </xf>
    <xf numFmtId="43" fontId="0" fillId="0" borderId="0" xfId="9" applyFont="1"/>
    <xf numFmtId="43" fontId="0" fillId="0" borderId="0" xfId="0" applyNumberFormat="1"/>
    <xf numFmtId="0" fontId="42" fillId="16" borderId="30" xfId="0" applyFont="1" applyFill="1" applyBorder="1" applyAlignment="1">
      <alignment horizontal="center" vertical="center" wrapText="1"/>
    </xf>
    <xf numFmtId="43" fontId="42" fillId="16" borderId="30" xfId="9" applyNumberFormat="1" applyFont="1" applyFill="1" applyBorder="1" applyAlignment="1">
      <alignment horizontal="center" vertical="center" wrapText="1"/>
    </xf>
    <xf numFmtId="0" fontId="0" fillId="17" borderId="30" xfId="0" applyFont="1" applyFill="1" applyBorder="1"/>
    <xf numFmtId="43" fontId="0" fillId="17" borderId="30" xfId="9" applyNumberFormat="1" applyFont="1" applyFill="1" applyBorder="1"/>
    <xf numFmtId="0" fontId="0" fillId="0" borderId="30" xfId="0" applyFont="1" applyBorder="1"/>
    <xf numFmtId="43" fontId="0" fillId="0" borderId="30" xfId="9" applyNumberFormat="1" applyFont="1" applyBorder="1"/>
    <xf numFmtId="0" fontId="43" fillId="0" borderId="0" xfId="0" applyFont="1"/>
    <xf numFmtId="43" fontId="43" fillId="0" borderId="0" xfId="9" applyFont="1"/>
    <xf numFmtId="43" fontId="0" fillId="17" borderId="30" xfId="9" applyFont="1" applyFill="1" applyBorder="1"/>
    <xf numFmtId="43" fontId="0" fillId="0" borderId="30" xfId="9" applyFont="1" applyBorder="1"/>
    <xf numFmtId="0" fontId="0" fillId="0" borderId="31" xfId="0" applyBorder="1"/>
    <xf numFmtId="0" fontId="0" fillId="0" borderId="32" xfId="0" applyBorder="1"/>
    <xf numFmtId="43" fontId="0" fillId="0" borderId="32" xfId="9" applyFont="1" applyBorder="1"/>
    <xf numFmtId="0" fontId="0" fillId="0" borderId="33" xfId="0" applyBorder="1"/>
    <xf numFmtId="0" fontId="0" fillId="0" borderId="29" xfId="0" applyBorder="1"/>
    <xf numFmtId="0" fontId="0" fillId="0" borderId="0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43" fontId="0" fillId="0" borderId="36" xfId="9" applyFont="1" applyBorder="1"/>
    <xf numFmtId="0" fontId="0" fillId="0" borderId="37" xfId="0" applyBorder="1"/>
    <xf numFmtId="0" fontId="44" fillId="0" borderId="0" xfId="0" applyFont="1"/>
    <xf numFmtId="0" fontId="45" fillId="0" borderId="0" xfId="10" applyFont="1" applyBorder="1" applyProtection="1">
      <protection locked="0"/>
    </xf>
    <xf numFmtId="0" fontId="45" fillId="0" borderId="0" xfId="10" applyFont="1" applyBorder="1" applyAlignment="1" applyProtection="1">
      <alignment horizontal="left"/>
      <protection locked="0"/>
    </xf>
    <xf numFmtId="172" fontId="38" fillId="0" borderId="0" xfId="11" applyFont="1" applyFill="1" applyBorder="1" applyAlignment="1" applyProtection="1">
      <alignment vertical="center"/>
      <protection locked="0"/>
    </xf>
    <xf numFmtId="0" fontId="46" fillId="0" borderId="0" xfId="10" applyFont="1" applyBorder="1" applyAlignment="1" applyProtection="1">
      <alignment wrapText="1"/>
      <protection locked="0"/>
    </xf>
    <xf numFmtId="0" fontId="0" fillId="17" borderId="30" xfId="0" applyFont="1" applyFill="1" applyBorder="1" applyAlignment="1">
      <alignment horizontal="justify" vertical="top" wrapText="1"/>
    </xf>
    <xf numFmtId="0" fontId="0" fillId="0" borderId="30" xfId="0" applyFont="1" applyBorder="1" applyAlignment="1">
      <alignment horizontal="justify" vertical="top" wrapText="1"/>
    </xf>
    <xf numFmtId="0" fontId="0" fillId="0" borderId="30" xfId="0" applyFont="1" applyBorder="1" applyAlignment="1">
      <alignment horizontal="center" vertical="center"/>
    </xf>
    <xf numFmtId="0" fontId="0" fillId="17" borderId="30" xfId="0" applyFont="1" applyFill="1" applyBorder="1" applyAlignment="1">
      <alignment horizontal="center" vertical="center"/>
    </xf>
    <xf numFmtId="0" fontId="42" fillId="16" borderId="0" xfId="0" applyFont="1" applyFill="1" applyBorder="1" applyAlignment="1">
      <alignment horizontal="center" vertical="center" wrapText="1"/>
    </xf>
    <xf numFmtId="0" fontId="0" fillId="17" borderId="0" xfId="0" applyFont="1" applyFill="1" applyBorder="1"/>
    <xf numFmtId="0" fontId="0" fillId="17" borderId="0" xfId="0" applyFont="1" applyFill="1" applyBorder="1" applyAlignment="1">
      <alignment horizontal="justify" vertical="top" wrapText="1"/>
    </xf>
    <xf numFmtId="43" fontId="0" fillId="17" borderId="0" xfId="9" applyFont="1" applyFill="1" applyBorder="1"/>
    <xf numFmtId="0" fontId="1" fillId="17" borderId="0" xfId="0" applyNumberFormat="1" applyFont="1" applyFill="1" applyBorder="1"/>
    <xf numFmtId="43" fontId="0" fillId="17" borderId="0" xfId="0" applyNumberFormat="1" applyFont="1" applyFill="1" applyBorder="1"/>
    <xf numFmtId="43" fontId="42" fillId="16" borderId="30" xfId="9" applyFont="1" applyFill="1" applyBorder="1" applyAlignment="1">
      <alignment horizontal="center" vertical="center" wrapText="1"/>
    </xf>
    <xf numFmtId="0" fontId="47" fillId="0" borderId="29" xfId="0" applyFont="1" applyBorder="1"/>
    <xf numFmtId="0" fontId="3" fillId="4" borderId="6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6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left" wrapText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left" wrapText="1" indent="1"/>
    </xf>
    <xf numFmtId="0" fontId="3" fillId="0" borderId="0" xfId="0" applyFont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2" fillId="3" borderId="0" xfId="6" applyFont="1" applyFill="1" applyAlignment="1">
      <alignment horizontal="center" vertical="center"/>
    </xf>
    <xf numFmtId="0" fontId="28" fillId="3" borderId="0" xfId="0" applyFont="1" applyFill="1" applyAlignment="1">
      <alignment horizontal="left" vertical="center" wrapText="1"/>
    </xf>
    <xf numFmtId="0" fontId="29" fillId="3" borderId="0" xfId="0" applyFont="1" applyFill="1" applyAlignment="1">
      <alignment horizontal="left" wrapText="1" indent="1"/>
    </xf>
    <xf numFmtId="0" fontId="3" fillId="0" borderId="0" xfId="0" applyFont="1" applyAlignment="1">
      <alignment horizontal="left" vertic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2" borderId="5" xfId="2" applyFont="1" applyFill="1" applyBorder="1" applyAlignment="1">
      <alignment horizontal="left" wrapText="1"/>
    </xf>
    <xf numFmtId="0" fontId="3" fillId="2" borderId="0" xfId="2" applyFont="1" applyFill="1" applyAlignment="1">
      <alignment horizontal="left" wrapText="1"/>
    </xf>
    <xf numFmtId="0" fontId="3" fillId="2" borderId="6" xfId="2" applyFont="1" applyFill="1" applyBorder="1" applyAlignment="1">
      <alignment horizontal="left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7" fillId="6" borderId="17" xfId="0" applyFont="1" applyFill="1" applyBorder="1" applyAlignment="1">
      <alignment horizontal="center" wrapText="1"/>
    </xf>
    <xf numFmtId="0" fontId="17" fillId="6" borderId="18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6" borderId="1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37" fillId="15" borderId="19" xfId="0" applyFont="1" applyFill="1" applyBorder="1" applyAlignment="1">
      <alignment horizontal="center" wrapText="1"/>
    </xf>
    <xf numFmtId="0" fontId="37" fillId="15" borderId="20" xfId="0" applyFont="1" applyFill="1" applyBorder="1" applyAlignment="1">
      <alignment horizontal="center" wrapText="1"/>
    </xf>
    <xf numFmtId="0" fontId="37" fillId="15" borderId="21" xfId="0" applyFont="1" applyFill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0" fillId="0" borderId="0" xfId="0" applyAlignment="1">
      <alignment horizontal="justify" vertical="top"/>
    </xf>
  </cellXfs>
  <cellStyles count="12">
    <cellStyle name="20% - Énfasis2" xfId="5" builtinId="34"/>
    <cellStyle name="20% - Énfasis5" xfId="6" builtinId="46"/>
    <cellStyle name="Bueno" xfId="3" builtinId="26"/>
    <cellStyle name="Euro" xfId="11" xr:uid="{ACEFF4D4-45D6-4D5D-A55B-41CAB80336FC}"/>
    <cellStyle name="Incorrecto" xfId="4" builtinId="27"/>
    <cellStyle name="Millares" xfId="9" builtinId="3"/>
    <cellStyle name="Moneda" xfId="1" builtinId="4"/>
    <cellStyle name="Normal" xfId="0" builtinId="0"/>
    <cellStyle name="Normal 2 2" xfId="8" xr:uid="{48AF8817-347E-42E8-AF91-D8DF7CE0153A}"/>
    <cellStyle name="Normal 2 3" xfId="2" xr:uid="{0C4543C4-FBEB-49AB-A0D1-75AF9DD9C88F}"/>
    <cellStyle name="Normal 5" xfId="7" xr:uid="{7E578EEF-462D-4464-B592-93EB01C0F8D9}"/>
    <cellStyle name="Normal_OC 15 09" xfId="10" xr:uid="{A45D2283-62BF-4F9A-98DB-A81E5AC0FF05}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justify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justify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20</xdr:col>
      <xdr:colOff>836724</xdr:colOff>
      <xdr:row>126</xdr:row>
      <xdr:rowOff>140786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BF8DD9-048D-44C4-BFE7-E8F376297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67975"/>
          <a:ext cx="11809524" cy="16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20</xdr:col>
      <xdr:colOff>836724</xdr:colOff>
      <xdr:row>220</xdr:row>
      <xdr:rowOff>140786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07C16A-5EEC-4611-8307-47D2B8377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28374975"/>
          <a:ext cx="11809524" cy="16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20</xdr:col>
      <xdr:colOff>836724</xdr:colOff>
      <xdr:row>310</xdr:row>
      <xdr:rowOff>140786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F1DFE7-7A79-4D7A-B6A9-1D99068B5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45519975"/>
          <a:ext cx="11809524" cy="167142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71BA77-D4A7-420F-BF9E-EB3AA1E3DBAC}" name="Tabla2" displayName="Tabla2" ref="A24:M54" totalsRowCount="1" headerRowDxfId="28" dataDxfId="27" tableBorderDxfId="26">
  <autoFilter ref="A24:M53" xr:uid="{31CA7F2A-5C99-4410-B569-D6A2E9689764}">
    <filterColumn colId="12">
      <filters>
        <filter val="ADOX S.A."/>
      </filters>
    </filterColumn>
  </autoFilter>
  <tableColumns count="13">
    <tableColumn id="1" xr3:uid="{4E86FE10-01FD-4AC2-BE51-E872C2BAB6A8}" name="item bionexo" totalsRowLabel="Total" dataDxfId="25" totalsRowDxfId="24"/>
    <tableColumn id="2" xr3:uid="{6BEE569E-7ADD-4A35-BB2E-57E210CD5155}" name="item pliego " dataDxfId="23" totalsRowDxfId="22"/>
    <tableColumn id="3" xr3:uid="{5BDB9C36-E3A8-4B97-8F91-946CDFDEA1BF}" name="DESCRIPCION DE ITEM" dataDxfId="21" totalsRowDxfId="20"/>
    <tableColumn id="4" xr3:uid="{78F3A0AC-AA25-4D8F-9AA4-6F23ED36B16D}" name="PRECIO UNITARIO" dataDxfId="19" totalsRowDxfId="18" dataCellStyle="Millares" totalsRowCellStyle="Millares"/>
    <tableColumn id="5" xr3:uid="{371BD59D-9F9E-4789-8A15-85EF9EB0798C}" name="CANTIDAD " dataDxfId="17" totalsRowDxfId="16"/>
    <tableColumn id="6" xr3:uid="{62E8D816-614A-4F24-B93F-DE75FB7848D9}" name="CANTIDAD 2" dataDxfId="15" totalsRowDxfId="14"/>
    <tableColumn id="7" xr3:uid="{1E1F0537-DAF3-4098-BBF4-394C8971DA2D}" name="CANTIDAD 3" dataDxfId="13" totalsRowDxfId="12"/>
    <tableColumn id="8" xr3:uid="{2755DFBB-B90A-474D-9F0F-EBA3519CB8F2}" name="CANTIDAD 4" dataDxfId="11" totalsRowDxfId="10"/>
    <tableColumn id="9" xr3:uid="{284B0C0F-9B9E-441A-B0DA-90686F668D06}" name="TOTAL" totalsRowFunction="sum" dataDxfId="9" totalsRowDxfId="8" dataCellStyle="Millares"/>
    <tableColumn id="10" xr3:uid="{0D386D7C-4E29-47B6-9179-022A06B96744}" name="TOTAL5" totalsRowFunction="sum" dataDxfId="7" totalsRowDxfId="6" totalsRowCellStyle="Millares"/>
    <tableColumn id="11" xr3:uid="{E5BAEF76-9D90-40A0-B39E-B744F67C262C}" name="TOTAL6" totalsRowFunction="sum" dataDxfId="5" totalsRowDxfId="4" dataCellStyle="Millares" totalsRowCellStyle="Millares"/>
    <tableColumn id="12" xr3:uid="{76FF1083-540E-43FF-99F4-6928DD59E55E}" name="TOTAL7" totalsRowFunction="sum" dataDxfId="3" totalsRowDxfId="2" dataCellStyle="Millares" totalsRowCellStyle="Millares"/>
    <tableColumn id="13" xr3:uid="{DC75BF27-7F84-432A-A008-32BFF8435D47}" name="PROVEEDOR" totalsRowFunction="coun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217D-0702-4A9A-A9A3-6E517942B994}">
  <dimension ref="A1:N41"/>
  <sheetViews>
    <sheetView tabSelected="1" workbookViewId="0">
      <selection activeCell="E9" sqref="E9"/>
    </sheetView>
  </sheetViews>
  <sheetFormatPr baseColWidth="10" defaultRowHeight="15" x14ac:dyDescent="0.25"/>
  <cols>
    <col min="1" max="1" width="4.5703125" customWidth="1"/>
    <col min="2" max="2" width="12.85546875" customWidth="1"/>
    <col min="3" max="3" width="32.42578125" customWidth="1"/>
    <col min="4" max="4" width="8.42578125" customWidth="1"/>
    <col min="5" max="5" width="79" customWidth="1"/>
    <col min="6" max="6" width="11"/>
    <col min="7" max="7" width="12.7109375" customWidth="1"/>
    <col min="8" max="8" width="13.85546875" customWidth="1"/>
    <col min="9" max="9" width="18.5703125" customWidth="1"/>
    <col min="14" max="14" width="21.42578125" customWidth="1"/>
  </cols>
  <sheetData>
    <row r="1" spans="1:9" ht="27" x14ac:dyDescent="0.35">
      <c r="A1" s="1"/>
      <c r="B1" s="309" t="s">
        <v>0</v>
      </c>
      <c r="C1" s="309"/>
      <c r="D1" s="309"/>
      <c r="E1" s="309"/>
      <c r="F1" s="309"/>
      <c r="G1" s="309"/>
      <c r="H1" s="309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.75" x14ac:dyDescent="0.25">
      <c r="A3" s="304" t="s">
        <v>1</v>
      </c>
      <c r="B3" s="304"/>
      <c r="C3" s="310" t="s">
        <v>2</v>
      </c>
      <c r="D3" s="310"/>
      <c r="E3" s="310"/>
      <c r="F3" s="2"/>
      <c r="G3" s="3"/>
      <c r="H3" s="2"/>
      <c r="I3" s="1"/>
    </row>
    <row r="4" spans="1:9" ht="15.75" x14ac:dyDescent="0.25">
      <c r="A4" s="304" t="s">
        <v>3</v>
      </c>
      <c r="B4" s="304"/>
      <c r="C4" s="310" t="s">
        <v>4</v>
      </c>
      <c r="D4" s="310"/>
      <c r="E4" s="310"/>
      <c r="F4" s="2"/>
      <c r="G4" s="3"/>
      <c r="H4" s="2"/>
      <c r="I4" s="1"/>
    </row>
    <row r="5" spans="1:9" ht="15.75" x14ac:dyDescent="0.25">
      <c r="A5" s="304" t="s">
        <v>5</v>
      </c>
      <c r="B5" s="304"/>
      <c r="C5" s="4">
        <v>2021</v>
      </c>
      <c r="D5" s="5"/>
      <c r="E5" s="5"/>
      <c r="F5" s="2"/>
      <c r="G5" s="3"/>
      <c r="H5" s="2"/>
      <c r="I5" s="1"/>
    </row>
    <row r="6" spans="1:9" ht="15.75" x14ac:dyDescent="0.25">
      <c r="A6" s="304" t="s">
        <v>6</v>
      </c>
      <c r="B6" s="304"/>
      <c r="C6" s="4">
        <v>2</v>
      </c>
      <c r="D6" s="5"/>
      <c r="E6" s="5"/>
      <c r="F6" s="2"/>
      <c r="G6" s="3"/>
      <c r="H6" s="2"/>
      <c r="I6" s="1"/>
    </row>
    <row r="7" spans="1:9" ht="15.75" thickBot="1" x14ac:dyDescent="0.3">
      <c r="A7" s="1"/>
      <c r="B7" s="2"/>
      <c r="C7" s="3"/>
      <c r="D7" s="2"/>
      <c r="E7" s="2"/>
      <c r="F7" s="2"/>
      <c r="G7" s="3"/>
      <c r="H7" s="2"/>
      <c r="I7" s="1"/>
    </row>
    <row r="8" spans="1:9" ht="39" thickBot="1" x14ac:dyDescent="0.3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0" t="s">
        <v>13</v>
      </c>
      <c r="H8" s="60" t="s">
        <v>14</v>
      </c>
      <c r="I8" s="60" t="s">
        <v>15</v>
      </c>
    </row>
    <row r="9" spans="1:9" ht="15.75" thickBot="1" x14ac:dyDescent="0.3">
      <c r="A9" s="7">
        <v>1</v>
      </c>
      <c r="B9" s="8"/>
      <c r="C9" s="9" t="s">
        <v>16</v>
      </c>
      <c r="D9" s="10" t="s">
        <v>17</v>
      </c>
      <c r="E9" s="11" t="s">
        <v>18</v>
      </c>
      <c r="F9" s="12" t="s">
        <v>19</v>
      </c>
      <c r="G9" s="12">
        <v>48</v>
      </c>
      <c r="H9" s="13">
        <v>202</v>
      </c>
      <c r="I9" s="14">
        <f t="shared" ref="I9:I23" si="0">G9*H9</f>
        <v>9696</v>
      </c>
    </row>
    <row r="10" spans="1:9" ht="15.75" thickBot="1" x14ac:dyDescent="0.3">
      <c r="A10" s="7">
        <v>2</v>
      </c>
      <c r="B10" s="8"/>
      <c r="C10" s="15" t="s">
        <v>16</v>
      </c>
      <c r="D10" s="10" t="s">
        <v>17</v>
      </c>
      <c r="E10" s="16" t="s">
        <v>20</v>
      </c>
      <c r="F10" s="12" t="s">
        <v>19</v>
      </c>
      <c r="G10" s="17">
        <v>10000</v>
      </c>
      <c r="H10" s="18">
        <v>252</v>
      </c>
      <c r="I10" s="14">
        <f t="shared" si="0"/>
        <v>2520000</v>
      </c>
    </row>
    <row r="11" spans="1:9" ht="16.5" thickBot="1" x14ac:dyDescent="0.3">
      <c r="A11" s="7">
        <v>3</v>
      </c>
      <c r="B11" s="8"/>
      <c r="C11" s="19" t="s">
        <v>16</v>
      </c>
      <c r="D11" s="10" t="s">
        <v>17</v>
      </c>
      <c r="E11" s="11" t="s">
        <v>21</v>
      </c>
      <c r="F11" s="12" t="s">
        <v>19</v>
      </c>
      <c r="G11" s="12">
        <v>96</v>
      </c>
      <c r="H11" s="13">
        <v>504</v>
      </c>
      <c r="I11" s="14">
        <f t="shared" si="0"/>
        <v>48384</v>
      </c>
    </row>
    <row r="12" spans="1:9" ht="16.5" thickBot="1" x14ac:dyDescent="0.3">
      <c r="A12" s="7">
        <v>4</v>
      </c>
      <c r="B12" s="8"/>
      <c r="C12" s="19" t="s">
        <v>16</v>
      </c>
      <c r="D12" s="10" t="s">
        <v>17</v>
      </c>
      <c r="E12" s="16" t="s">
        <v>22</v>
      </c>
      <c r="F12" s="12" t="s">
        <v>19</v>
      </c>
      <c r="G12" s="17">
        <v>100</v>
      </c>
      <c r="H12" s="18">
        <v>195.5</v>
      </c>
      <c r="I12" s="14">
        <f t="shared" si="0"/>
        <v>19550</v>
      </c>
    </row>
    <row r="13" spans="1:9" ht="16.5" thickBot="1" x14ac:dyDescent="0.3">
      <c r="A13" s="7">
        <v>5</v>
      </c>
      <c r="B13" s="8"/>
      <c r="C13" s="19" t="s">
        <v>16</v>
      </c>
      <c r="D13" s="10" t="s">
        <v>17</v>
      </c>
      <c r="E13" s="16" t="s">
        <v>23</v>
      </c>
      <c r="F13" s="12" t="s">
        <v>19</v>
      </c>
      <c r="G13" s="17">
        <v>510</v>
      </c>
      <c r="H13" s="18">
        <v>308</v>
      </c>
      <c r="I13" s="14">
        <f t="shared" si="0"/>
        <v>157080</v>
      </c>
    </row>
    <row r="14" spans="1:9" ht="29.25" thickBot="1" x14ac:dyDescent="0.3">
      <c r="A14" s="7">
        <v>6</v>
      </c>
      <c r="B14" s="8"/>
      <c r="C14" s="19" t="s">
        <v>16</v>
      </c>
      <c r="D14" s="10" t="s">
        <v>17</v>
      </c>
      <c r="E14" s="11" t="s">
        <v>24</v>
      </c>
      <c r="F14" s="12" t="s">
        <v>19</v>
      </c>
      <c r="G14" s="12">
        <v>20</v>
      </c>
      <c r="H14" s="13">
        <v>3630</v>
      </c>
      <c r="I14" s="14">
        <f t="shared" si="0"/>
        <v>72600</v>
      </c>
    </row>
    <row r="15" spans="1:9" ht="16.5" thickBot="1" x14ac:dyDescent="0.3">
      <c r="A15" s="7">
        <v>7</v>
      </c>
      <c r="B15" s="8"/>
      <c r="C15" s="19" t="s">
        <v>16</v>
      </c>
      <c r="D15" s="10" t="s">
        <v>17</v>
      </c>
      <c r="E15" s="11" t="s">
        <v>25</v>
      </c>
      <c r="F15" s="12" t="s">
        <v>19</v>
      </c>
      <c r="G15" s="12">
        <v>48</v>
      </c>
      <c r="H15" s="13">
        <v>2450</v>
      </c>
      <c r="I15" s="14">
        <f t="shared" si="0"/>
        <v>117600</v>
      </c>
    </row>
    <row r="16" spans="1:9" ht="16.5" thickBot="1" x14ac:dyDescent="0.3">
      <c r="A16" s="7">
        <v>8</v>
      </c>
      <c r="B16" s="8"/>
      <c r="C16" s="19" t="s">
        <v>16</v>
      </c>
      <c r="D16" s="10" t="s">
        <v>17</v>
      </c>
      <c r="E16" s="16" t="s">
        <v>26</v>
      </c>
      <c r="F16" s="12" t="s">
        <v>19</v>
      </c>
      <c r="G16" s="17">
        <v>30</v>
      </c>
      <c r="H16" s="18">
        <v>2130</v>
      </c>
      <c r="I16" s="14">
        <f t="shared" si="0"/>
        <v>63900</v>
      </c>
    </row>
    <row r="17" spans="1:14" ht="16.5" thickBot="1" x14ac:dyDescent="0.3">
      <c r="A17" s="7">
        <v>9</v>
      </c>
      <c r="B17" s="8"/>
      <c r="C17" s="19" t="s">
        <v>16</v>
      </c>
      <c r="D17" s="10" t="s">
        <v>17</v>
      </c>
      <c r="E17" s="16" t="s">
        <v>27</v>
      </c>
      <c r="F17" s="12" t="s">
        <v>19</v>
      </c>
      <c r="G17" s="17">
        <v>60</v>
      </c>
      <c r="H17" s="18">
        <v>2562</v>
      </c>
      <c r="I17" s="14">
        <f t="shared" si="0"/>
        <v>153720</v>
      </c>
    </row>
    <row r="18" spans="1:14" ht="16.5" thickBot="1" x14ac:dyDescent="0.3">
      <c r="A18" s="7">
        <v>10</v>
      </c>
      <c r="B18" s="8"/>
      <c r="C18" s="19" t="s">
        <v>16</v>
      </c>
      <c r="D18" s="10" t="s">
        <v>17</v>
      </c>
      <c r="E18" s="20" t="s">
        <v>28</v>
      </c>
      <c r="F18" s="12" t="s">
        <v>19</v>
      </c>
      <c r="G18" s="12">
        <v>6</v>
      </c>
      <c r="H18" s="13">
        <v>399</v>
      </c>
      <c r="I18" s="14">
        <f t="shared" si="0"/>
        <v>2394</v>
      </c>
    </row>
    <row r="19" spans="1:14" ht="16.5" thickBot="1" x14ac:dyDescent="0.3">
      <c r="A19" s="7">
        <v>11</v>
      </c>
      <c r="B19" s="8"/>
      <c r="C19" s="19" t="s">
        <v>16</v>
      </c>
      <c r="D19" s="10" t="s">
        <v>17</v>
      </c>
      <c r="E19" s="11" t="s">
        <v>29</v>
      </c>
      <c r="F19" s="12" t="s">
        <v>19</v>
      </c>
      <c r="G19" s="12">
        <v>200</v>
      </c>
      <c r="H19" s="13">
        <v>907.5</v>
      </c>
      <c r="I19" s="14">
        <f t="shared" si="0"/>
        <v>181500</v>
      </c>
    </row>
    <row r="20" spans="1:14" ht="29.25" thickBot="1" x14ac:dyDescent="0.3">
      <c r="A20" s="7">
        <v>12</v>
      </c>
      <c r="B20" s="8"/>
      <c r="C20" s="19" t="s">
        <v>16</v>
      </c>
      <c r="D20" s="10" t="s">
        <v>17</v>
      </c>
      <c r="E20" s="11" t="s">
        <v>30</v>
      </c>
      <c r="F20" s="12" t="s">
        <v>19</v>
      </c>
      <c r="G20" s="12">
        <v>10</v>
      </c>
      <c r="H20" s="13">
        <v>990.99</v>
      </c>
      <c r="I20" s="14">
        <f t="shared" si="0"/>
        <v>9909.9</v>
      </c>
    </row>
    <row r="21" spans="1:14" ht="87" customHeight="1" thickBot="1" x14ac:dyDescent="0.3">
      <c r="A21" s="7">
        <v>13</v>
      </c>
      <c r="B21" s="8"/>
      <c r="C21" s="19" t="s">
        <v>16</v>
      </c>
      <c r="D21" s="10" t="s">
        <v>17</v>
      </c>
      <c r="E21" s="11" t="s">
        <v>31</v>
      </c>
      <c r="F21" s="12" t="s">
        <v>19</v>
      </c>
      <c r="G21" s="12">
        <v>200</v>
      </c>
      <c r="H21" s="13">
        <v>822.88</v>
      </c>
      <c r="I21" s="14">
        <f t="shared" si="0"/>
        <v>164576</v>
      </c>
      <c r="K21" s="81" t="s">
        <v>34</v>
      </c>
      <c r="L21" s="303" t="s">
        <v>36</v>
      </c>
      <c r="M21" s="303"/>
      <c r="N21" s="303"/>
    </row>
    <row r="22" spans="1:14" ht="29.25" thickBot="1" x14ac:dyDescent="0.3">
      <c r="A22" s="7">
        <v>14</v>
      </c>
      <c r="B22" s="8"/>
      <c r="C22" s="19" t="s">
        <v>16</v>
      </c>
      <c r="D22" s="10" t="s">
        <v>17</v>
      </c>
      <c r="E22" s="11" t="s">
        <v>32</v>
      </c>
      <c r="F22" s="12" t="s">
        <v>19</v>
      </c>
      <c r="G22" s="12">
        <v>1530</v>
      </c>
      <c r="H22" s="13">
        <v>157.30000000000001</v>
      </c>
      <c r="I22" s="14">
        <f t="shared" si="0"/>
        <v>240669.00000000003</v>
      </c>
    </row>
    <row r="23" spans="1:14" ht="16.5" thickBot="1" x14ac:dyDescent="0.3">
      <c r="A23" s="7">
        <v>15</v>
      </c>
      <c r="B23" s="8"/>
      <c r="C23" s="19" t="s">
        <v>16</v>
      </c>
      <c r="D23" s="10" t="s">
        <v>17</v>
      </c>
      <c r="E23" s="16" t="s">
        <v>33</v>
      </c>
      <c r="F23" s="12" t="s">
        <v>19</v>
      </c>
      <c r="G23" s="17">
        <v>100</v>
      </c>
      <c r="H23" s="18">
        <v>778.7</v>
      </c>
      <c r="I23" s="14">
        <f t="shared" si="0"/>
        <v>77870</v>
      </c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14" ht="15.75" thickBot="1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14" x14ac:dyDescent="0.25">
      <c r="A26" s="1"/>
      <c r="B26" s="21" t="s">
        <v>34</v>
      </c>
      <c r="C26" s="22"/>
      <c r="D26" s="22"/>
      <c r="E26" s="23"/>
      <c r="F26" s="1"/>
      <c r="G26" s="1"/>
      <c r="H26" s="1"/>
      <c r="I26" s="1"/>
    </row>
    <row r="27" spans="1:14" x14ac:dyDescent="0.25">
      <c r="A27" s="1"/>
      <c r="B27" s="24"/>
      <c r="C27" s="1"/>
      <c r="D27" s="1"/>
      <c r="E27" s="25"/>
      <c r="F27" s="1"/>
      <c r="G27" s="1"/>
      <c r="H27" s="1"/>
      <c r="I27" s="1"/>
    </row>
    <row r="28" spans="1:14" x14ac:dyDescent="0.25">
      <c r="A28" s="1"/>
      <c r="B28" s="26" t="s">
        <v>35</v>
      </c>
      <c r="C28" s="1"/>
      <c r="D28" s="1"/>
      <c r="E28" s="25"/>
      <c r="F28" s="1"/>
      <c r="G28" s="1"/>
      <c r="H28" s="1"/>
      <c r="I28" s="1"/>
    </row>
    <row r="29" spans="1:14" x14ac:dyDescent="0.25">
      <c r="A29" s="1"/>
      <c r="B29" s="26"/>
      <c r="C29" s="305" t="s">
        <v>36</v>
      </c>
      <c r="D29" s="305"/>
      <c r="E29" s="305"/>
      <c r="F29" s="1"/>
      <c r="G29" s="1"/>
      <c r="H29" s="1"/>
      <c r="I29" s="1"/>
    </row>
    <row r="30" spans="1:14" x14ac:dyDescent="0.25">
      <c r="A30" s="1"/>
      <c r="B30" s="26" t="s">
        <v>37</v>
      </c>
      <c r="C30" s="1"/>
      <c r="D30" s="1"/>
      <c r="E30" s="25"/>
      <c r="F30" s="1"/>
      <c r="G30" s="1"/>
      <c r="H30" s="1"/>
      <c r="I30" s="1"/>
    </row>
    <row r="31" spans="1:14" x14ac:dyDescent="0.25">
      <c r="A31" s="1"/>
      <c r="B31" s="27"/>
      <c r="C31" s="306" t="s">
        <v>38</v>
      </c>
      <c r="D31" s="306"/>
      <c r="E31" s="306"/>
      <c r="F31" s="1"/>
      <c r="G31" s="1"/>
      <c r="H31" s="1"/>
      <c r="I31" s="1"/>
    </row>
    <row r="32" spans="1:14" x14ac:dyDescent="0.25">
      <c r="A32" s="1"/>
      <c r="B32" s="27"/>
      <c r="C32" s="307"/>
      <c r="D32" s="307"/>
      <c r="E32" s="307"/>
      <c r="F32" s="1"/>
      <c r="G32" s="1"/>
      <c r="H32" s="1"/>
      <c r="I32" s="1"/>
    </row>
    <row r="33" spans="1:9" x14ac:dyDescent="0.25">
      <c r="A33" s="1"/>
      <c r="B33" s="26" t="s">
        <v>39</v>
      </c>
      <c r="C33" s="1"/>
      <c r="D33" s="1"/>
      <c r="E33" s="25"/>
      <c r="F33" s="1"/>
      <c r="G33" s="1"/>
      <c r="H33" s="1"/>
      <c r="I33" s="1"/>
    </row>
    <row r="34" spans="1:9" x14ac:dyDescent="0.25">
      <c r="A34" s="1"/>
      <c r="B34" s="27"/>
      <c r="C34" s="305"/>
      <c r="D34" s="305"/>
      <c r="E34" s="305"/>
      <c r="F34" s="1"/>
      <c r="G34" s="1"/>
      <c r="H34" s="1"/>
      <c r="I34" s="1"/>
    </row>
    <row r="35" spans="1:9" x14ac:dyDescent="0.25">
      <c r="A35" s="1"/>
      <c r="B35" s="26" t="s">
        <v>40</v>
      </c>
      <c r="C35" s="28"/>
      <c r="D35" s="28"/>
      <c r="E35" s="29"/>
      <c r="F35" s="1"/>
      <c r="G35" s="1"/>
      <c r="H35" s="1"/>
      <c r="I35" s="1"/>
    </row>
    <row r="36" spans="1:9" x14ac:dyDescent="0.25">
      <c r="A36" s="1"/>
      <c r="B36" s="27"/>
      <c r="C36" s="308" t="s">
        <v>41</v>
      </c>
      <c r="D36" s="308"/>
      <c r="E36" s="308"/>
      <c r="F36" s="1"/>
      <c r="G36" s="1"/>
      <c r="H36" s="1"/>
      <c r="I36" s="1"/>
    </row>
    <row r="37" spans="1:9" x14ac:dyDescent="0.25">
      <c r="A37" s="1"/>
      <c r="B37" s="26" t="s">
        <v>42</v>
      </c>
      <c r="C37" s="1"/>
      <c r="D37" s="1"/>
      <c r="E37" s="25"/>
      <c r="F37" s="1"/>
      <c r="G37" s="1"/>
      <c r="H37" s="1"/>
      <c r="I37" s="1"/>
    </row>
    <row r="38" spans="1:9" x14ac:dyDescent="0.25">
      <c r="A38" s="1"/>
      <c r="B38" s="26"/>
      <c r="C38" s="302"/>
      <c r="D38" s="302"/>
      <c r="E38" s="302"/>
      <c r="F38" s="1"/>
      <c r="G38" s="1"/>
      <c r="H38" s="1"/>
      <c r="I38" s="1"/>
    </row>
    <row r="39" spans="1:9" ht="15.75" thickBot="1" x14ac:dyDescent="0.3">
      <c r="A39" s="1"/>
      <c r="B39" s="30"/>
      <c r="C39" s="31"/>
      <c r="D39" s="31"/>
      <c r="E39" s="32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</sheetData>
  <autoFilter ref="A8:I8" xr:uid="{B5EA6E98-A246-4421-BBB4-C6FA36C73179}">
    <sortState xmlns:xlrd2="http://schemas.microsoft.com/office/spreadsheetml/2017/richdata2" ref="A9:I23">
      <sortCondition ref="E8"/>
    </sortState>
  </autoFilter>
  <sortState xmlns:xlrd2="http://schemas.microsoft.com/office/spreadsheetml/2017/richdata2" ref="A9:I23">
    <sortCondition ref="A8:A23"/>
  </sortState>
  <mergeCells count="14">
    <mergeCell ref="A5:B5"/>
    <mergeCell ref="B1:H1"/>
    <mergeCell ref="A3:B3"/>
    <mergeCell ref="C3:E3"/>
    <mergeCell ref="A4:B4"/>
    <mergeCell ref="C4:E4"/>
    <mergeCell ref="C38:E38"/>
    <mergeCell ref="L21:N21"/>
    <mergeCell ref="A6:B6"/>
    <mergeCell ref="C29:E29"/>
    <mergeCell ref="C31:E31"/>
    <mergeCell ref="C32:E32"/>
    <mergeCell ref="C34:E34"/>
    <mergeCell ref="C36:E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6747-F595-460A-981C-4BBA7A84D64B}">
  <dimension ref="A1:L62"/>
  <sheetViews>
    <sheetView workbookViewId="0">
      <selection activeCell="A8" sqref="A8:XFD23"/>
    </sheetView>
  </sheetViews>
  <sheetFormatPr baseColWidth="10" defaultRowHeight="15" x14ac:dyDescent="0.25"/>
  <cols>
    <col min="1" max="1" width="7" customWidth="1"/>
    <col min="2" max="2" width="16.85546875" customWidth="1"/>
    <col min="3" max="3" width="23.5703125" customWidth="1"/>
    <col min="4" max="4" width="12.140625" customWidth="1"/>
    <col min="5" max="5" width="79" customWidth="1"/>
    <col min="6" max="6" width="11"/>
    <col min="7" max="7" width="12.7109375" customWidth="1"/>
    <col min="8" max="8" width="13.85546875" customWidth="1"/>
    <col min="9" max="9" width="27" customWidth="1"/>
    <col min="12" max="12" width="14.85546875" customWidth="1"/>
  </cols>
  <sheetData>
    <row r="1" spans="1:9" ht="27" x14ac:dyDescent="0.35">
      <c r="A1" s="82"/>
      <c r="B1" s="83"/>
      <c r="C1" s="84"/>
      <c r="D1" s="83"/>
      <c r="E1" s="85" t="s">
        <v>0</v>
      </c>
      <c r="F1" s="86"/>
      <c r="G1" s="87"/>
      <c r="H1" s="88"/>
      <c r="I1" s="89"/>
    </row>
    <row r="2" spans="1:9" x14ac:dyDescent="0.25">
      <c r="A2" s="82"/>
      <c r="B2" s="83"/>
      <c r="C2" s="84"/>
      <c r="D2" s="83"/>
      <c r="E2" s="90"/>
      <c r="F2" s="83"/>
      <c r="G2" s="82"/>
      <c r="H2" s="88"/>
      <c r="I2" s="91"/>
    </row>
    <row r="3" spans="1:9" ht="15.75" x14ac:dyDescent="0.25">
      <c r="A3" s="317" t="s">
        <v>1</v>
      </c>
      <c r="B3" s="317"/>
      <c r="C3" s="317"/>
      <c r="D3" s="317"/>
      <c r="E3" s="318" t="s">
        <v>69</v>
      </c>
      <c r="F3" s="318"/>
      <c r="G3" s="318"/>
      <c r="H3" s="88"/>
      <c r="I3" s="91"/>
    </row>
    <row r="4" spans="1:9" ht="15.75" x14ac:dyDescent="0.25">
      <c r="A4" s="317" t="s">
        <v>3</v>
      </c>
      <c r="B4" s="317"/>
      <c r="C4" s="317"/>
      <c r="D4" s="317"/>
      <c r="E4" s="318" t="s">
        <v>70</v>
      </c>
      <c r="F4" s="318"/>
      <c r="G4" s="318"/>
      <c r="H4" s="88"/>
      <c r="I4" s="91"/>
    </row>
    <row r="5" spans="1:9" ht="15.75" x14ac:dyDescent="0.25">
      <c r="A5" s="317" t="s">
        <v>5</v>
      </c>
      <c r="B5" s="317"/>
      <c r="C5" s="317"/>
      <c r="D5" s="317"/>
      <c r="E5" s="92">
        <v>2021</v>
      </c>
      <c r="F5" s="93"/>
      <c r="G5" s="94"/>
      <c r="H5" s="88"/>
      <c r="I5" s="91"/>
    </row>
    <row r="6" spans="1:9" ht="15.75" x14ac:dyDescent="0.25">
      <c r="A6" s="317" t="s">
        <v>6</v>
      </c>
      <c r="B6" s="317"/>
      <c r="C6" s="317"/>
      <c r="D6" s="317"/>
      <c r="E6" s="92" t="s">
        <v>71</v>
      </c>
      <c r="F6" s="93"/>
      <c r="G6" s="94"/>
      <c r="H6" s="88"/>
      <c r="I6" s="91"/>
    </row>
    <row r="7" spans="1:9" ht="15.75" thickBot="1" x14ac:dyDescent="0.3">
      <c r="A7" s="82"/>
      <c r="B7" s="83"/>
      <c r="C7" s="84"/>
      <c r="D7" s="83"/>
      <c r="E7" s="95"/>
      <c r="F7" s="96"/>
      <c r="G7" s="97"/>
      <c r="H7" s="88"/>
      <c r="I7" s="91"/>
    </row>
    <row r="8" spans="1:9" ht="39" thickBot="1" x14ac:dyDescent="0.3">
      <c r="A8" s="98" t="s">
        <v>7</v>
      </c>
      <c r="B8" s="99" t="s">
        <v>8</v>
      </c>
      <c r="C8" s="99" t="s">
        <v>9</v>
      </c>
      <c r="D8" s="99" t="s">
        <v>10</v>
      </c>
      <c r="E8" s="100" t="s">
        <v>11</v>
      </c>
      <c r="F8" s="99" t="s">
        <v>12</v>
      </c>
      <c r="G8" s="148" t="s">
        <v>13</v>
      </c>
      <c r="H8" s="149" t="s">
        <v>14</v>
      </c>
      <c r="I8" s="150" t="s">
        <v>15</v>
      </c>
    </row>
    <row r="9" spans="1:9" ht="30.75" thickBot="1" x14ac:dyDescent="0.3">
      <c r="A9" s="101">
        <v>1</v>
      </c>
      <c r="B9" s="102"/>
      <c r="C9" s="102" t="s">
        <v>72</v>
      </c>
      <c r="D9" s="103" t="s">
        <v>73</v>
      </c>
      <c r="E9" s="104" t="s">
        <v>47</v>
      </c>
      <c r="F9" s="102" t="s">
        <v>19</v>
      </c>
      <c r="G9" s="151">
        <v>150</v>
      </c>
      <c r="H9" s="105">
        <v>200</v>
      </c>
      <c r="I9" s="106">
        <f t="shared" ref="I9:I23" si="0">G9*H9</f>
        <v>30000</v>
      </c>
    </row>
    <row r="10" spans="1:9" ht="30.75" thickBot="1" x14ac:dyDescent="0.3">
      <c r="A10" s="107">
        <v>2</v>
      </c>
      <c r="B10" s="102"/>
      <c r="C10" s="102" t="s">
        <v>72</v>
      </c>
      <c r="D10" s="103" t="s">
        <v>73</v>
      </c>
      <c r="E10" s="104" t="s">
        <v>48</v>
      </c>
      <c r="F10" s="102" t="s">
        <v>19</v>
      </c>
      <c r="G10" s="151">
        <v>6000</v>
      </c>
      <c r="H10" s="105">
        <v>160</v>
      </c>
      <c r="I10" s="106">
        <f t="shared" si="0"/>
        <v>960000</v>
      </c>
    </row>
    <row r="11" spans="1:9" ht="30.75" thickBot="1" x14ac:dyDescent="0.3">
      <c r="A11" s="101">
        <v>3</v>
      </c>
      <c r="B11" s="102"/>
      <c r="C11" s="102" t="s">
        <v>72</v>
      </c>
      <c r="D11" s="103" t="s">
        <v>73</v>
      </c>
      <c r="E11" s="104" t="s">
        <v>20</v>
      </c>
      <c r="F11" s="102" t="s">
        <v>19</v>
      </c>
      <c r="G11" s="151">
        <v>8000</v>
      </c>
      <c r="H11" s="105">
        <v>252</v>
      </c>
      <c r="I11" s="106">
        <f t="shared" si="0"/>
        <v>2016000</v>
      </c>
    </row>
    <row r="12" spans="1:9" ht="30.75" thickBot="1" x14ac:dyDescent="0.3">
      <c r="A12" s="107">
        <v>4</v>
      </c>
      <c r="B12" s="102"/>
      <c r="C12" s="102" t="s">
        <v>72</v>
      </c>
      <c r="D12" s="103" t="s">
        <v>73</v>
      </c>
      <c r="E12" s="104" t="s">
        <v>49</v>
      </c>
      <c r="F12" s="102" t="s">
        <v>19</v>
      </c>
      <c r="G12" s="151">
        <v>2000</v>
      </c>
      <c r="H12" s="105">
        <v>80</v>
      </c>
      <c r="I12" s="106">
        <f t="shared" si="0"/>
        <v>160000</v>
      </c>
    </row>
    <row r="13" spans="1:9" ht="30.75" thickBot="1" x14ac:dyDescent="0.3">
      <c r="A13" s="101">
        <v>5</v>
      </c>
      <c r="B13" s="102"/>
      <c r="C13" s="102" t="s">
        <v>72</v>
      </c>
      <c r="D13" s="103" t="s">
        <v>73</v>
      </c>
      <c r="E13" s="104" t="s">
        <v>23</v>
      </c>
      <c r="F13" s="102" t="s">
        <v>19</v>
      </c>
      <c r="G13" s="151">
        <v>1500</v>
      </c>
      <c r="H13" s="105">
        <v>131.1</v>
      </c>
      <c r="I13" s="106">
        <f t="shared" si="0"/>
        <v>196650</v>
      </c>
    </row>
    <row r="14" spans="1:9" ht="30.75" thickBot="1" x14ac:dyDescent="0.3">
      <c r="A14" s="101">
        <v>6</v>
      </c>
      <c r="B14" s="102"/>
      <c r="C14" s="102" t="s">
        <v>72</v>
      </c>
      <c r="D14" s="103" t="s">
        <v>73</v>
      </c>
      <c r="E14" s="104" t="s">
        <v>50</v>
      </c>
      <c r="F14" s="102" t="s">
        <v>19</v>
      </c>
      <c r="G14" s="151">
        <v>15</v>
      </c>
      <c r="H14" s="105">
        <v>560</v>
      </c>
      <c r="I14" s="106">
        <f t="shared" si="0"/>
        <v>8400</v>
      </c>
    </row>
    <row r="15" spans="1:9" ht="30.75" thickBot="1" x14ac:dyDescent="0.3">
      <c r="A15" s="101">
        <v>7</v>
      </c>
      <c r="B15" s="102"/>
      <c r="C15" s="102" t="s">
        <v>72</v>
      </c>
      <c r="D15" s="103" t="s">
        <v>73</v>
      </c>
      <c r="E15" s="104" t="s">
        <v>74</v>
      </c>
      <c r="F15" s="102" t="s">
        <v>19</v>
      </c>
      <c r="G15" s="151">
        <v>10</v>
      </c>
      <c r="H15" s="105">
        <v>7200</v>
      </c>
      <c r="I15" s="106">
        <f t="shared" si="0"/>
        <v>72000</v>
      </c>
    </row>
    <row r="16" spans="1:9" ht="30.75" thickBot="1" x14ac:dyDescent="0.3">
      <c r="A16" s="107">
        <v>8</v>
      </c>
      <c r="B16" s="102"/>
      <c r="C16" s="102" t="s">
        <v>72</v>
      </c>
      <c r="D16" s="103" t="s">
        <v>73</v>
      </c>
      <c r="E16" s="104" t="s">
        <v>51</v>
      </c>
      <c r="F16" s="102" t="s">
        <v>19</v>
      </c>
      <c r="G16" s="151">
        <v>400</v>
      </c>
      <c r="H16" s="105">
        <v>387.4</v>
      </c>
      <c r="I16" s="106">
        <f t="shared" si="0"/>
        <v>154960</v>
      </c>
    </row>
    <row r="17" spans="1:12" ht="30.75" thickBot="1" x14ac:dyDescent="0.3">
      <c r="A17" s="101">
        <v>9</v>
      </c>
      <c r="B17" s="102"/>
      <c r="C17" s="102" t="s">
        <v>72</v>
      </c>
      <c r="D17" s="103" t="s">
        <v>73</v>
      </c>
      <c r="E17" s="104" t="s">
        <v>52</v>
      </c>
      <c r="F17" s="102" t="s">
        <v>19</v>
      </c>
      <c r="G17" s="151">
        <v>1000</v>
      </c>
      <c r="H17" s="108">
        <v>598.97</v>
      </c>
      <c r="I17" s="106">
        <f t="shared" si="0"/>
        <v>598970</v>
      </c>
    </row>
    <row r="18" spans="1:12" ht="39" thickBot="1" x14ac:dyDescent="0.3">
      <c r="A18" s="107">
        <v>10</v>
      </c>
      <c r="B18" s="102"/>
      <c r="C18" s="102" t="s">
        <v>72</v>
      </c>
      <c r="D18" s="103" t="s">
        <v>73</v>
      </c>
      <c r="E18" s="104" t="s">
        <v>24</v>
      </c>
      <c r="F18" s="102" t="s">
        <v>19</v>
      </c>
      <c r="G18" s="151">
        <v>100</v>
      </c>
      <c r="H18" s="105">
        <v>4325.75</v>
      </c>
      <c r="I18" s="106">
        <f t="shared" si="0"/>
        <v>432575</v>
      </c>
      <c r="K18" s="144" t="s">
        <v>82</v>
      </c>
      <c r="L18" s="145" t="s">
        <v>83</v>
      </c>
    </row>
    <row r="19" spans="1:12" ht="30.75" thickBot="1" x14ac:dyDescent="0.3">
      <c r="A19" s="101">
        <v>11</v>
      </c>
      <c r="B19" s="102"/>
      <c r="C19" s="102" t="s">
        <v>72</v>
      </c>
      <c r="D19" s="103" t="s">
        <v>73</v>
      </c>
      <c r="E19" s="104" t="s">
        <v>54</v>
      </c>
      <c r="F19" s="102" t="s">
        <v>19</v>
      </c>
      <c r="G19" s="151">
        <v>20</v>
      </c>
      <c r="H19" s="105">
        <v>2100</v>
      </c>
      <c r="I19" s="106">
        <f t="shared" si="0"/>
        <v>42000</v>
      </c>
    </row>
    <row r="20" spans="1:12" ht="30.75" thickBot="1" x14ac:dyDescent="0.3">
      <c r="A20" s="101">
        <v>12</v>
      </c>
      <c r="B20" s="109"/>
      <c r="C20" s="102" t="s">
        <v>72</v>
      </c>
      <c r="D20" s="103" t="s">
        <v>73</v>
      </c>
      <c r="E20" s="104" t="s">
        <v>26</v>
      </c>
      <c r="F20" s="102" t="s">
        <v>19</v>
      </c>
      <c r="G20" s="151">
        <v>80</v>
      </c>
      <c r="H20" s="105">
        <v>1900</v>
      </c>
      <c r="I20" s="106">
        <f t="shared" si="0"/>
        <v>152000</v>
      </c>
    </row>
    <row r="21" spans="1:12" ht="30.75" thickBot="1" x14ac:dyDescent="0.3">
      <c r="A21" s="101">
        <v>13</v>
      </c>
      <c r="B21" s="102"/>
      <c r="C21" s="102" t="s">
        <v>72</v>
      </c>
      <c r="D21" s="103" t="s">
        <v>73</v>
      </c>
      <c r="E21" s="104" t="s">
        <v>27</v>
      </c>
      <c r="F21" s="102" t="s">
        <v>19</v>
      </c>
      <c r="G21" s="151">
        <v>40</v>
      </c>
      <c r="H21" s="105">
        <v>1500</v>
      </c>
      <c r="I21" s="106">
        <f t="shared" si="0"/>
        <v>60000</v>
      </c>
    </row>
    <row r="22" spans="1:12" ht="30.75" thickBot="1" x14ac:dyDescent="0.3">
      <c r="A22" s="107">
        <v>14</v>
      </c>
      <c r="B22" s="102"/>
      <c r="C22" s="102" t="s">
        <v>72</v>
      </c>
      <c r="D22" s="103" t="s">
        <v>73</v>
      </c>
      <c r="E22" s="104" t="s">
        <v>32</v>
      </c>
      <c r="F22" s="102" t="s">
        <v>19</v>
      </c>
      <c r="G22" s="151">
        <v>500</v>
      </c>
      <c r="H22" s="105">
        <v>164</v>
      </c>
      <c r="I22" s="106">
        <f t="shared" si="0"/>
        <v>82000</v>
      </c>
    </row>
    <row r="23" spans="1:12" ht="30" x14ac:dyDescent="0.25">
      <c r="A23" s="101">
        <v>15</v>
      </c>
      <c r="B23" s="102"/>
      <c r="C23" s="102" t="s">
        <v>72</v>
      </c>
      <c r="D23" s="103" t="s">
        <v>73</v>
      </c>
      <c r="E23" s="104" t="s">
        <v>33</v>
      </c>
      <c r="F23" s="102" t="s">
        <v>19</v>
      </c>
      <c r="G23" s="151">
        <v>50</v>
      </c>
      <c r="H23" s="105">
        <v>778.7</v>
      </c>
      <c r="I23" s="106">
        <f t="shared" si="0"/>
        <v>38935</v>
      </c>
    </row>
    <row r="24" spans="1:12" ht="15.75" x14ac:dyDescent="0.25">
      <c r="A24" s="110"/>
      <c r="B24" s="111"/>
      <c r="C24" s="84"/>
      <c r="D24" s="83"/>
      <c r="E24" s="112"/>
      <c r="F24" s="83"/>
      <c r="G24" s="82"/>
      <c r="H24" s="88"/>
      <c r="I24" s="113"/>
    </row>
    <row r="25" spans="1:12" x14ac:dyDescent="0.25">
      <c r="A25" s="110"/>
      <c r="B25" s="1"/>
      <c r="C25" s="84"/>
      <c r="D25" s="1"/>
      <c r="E25" s="1"/>
      <c r="F25" s="1"/>
      <c r="G25" s="82"/>
      <c r="H25" s="88"/>
      <c r="I25" s="113"/>
    </row>
    <row r="26" spans="1:12" ht="15.75" thickBot="1" x14ac:dyDescent="0.3">
      <c r="A26" s="110"/>
      <c r="B26" s="114"/>
      <c r="C26" s="115"/>
      <c r="D26" s="116"/>
      <c r="F26" s="1"/>
      <c r="G26" s="316"/>
      <c r="H26" s="1"/>
      <c r="I26" s="1"/>
    </row>
    <row r="27" spans="1:12" x14ac:dyDescent="0.25">
      <c r="A27" s="110"/>
      <c r="B27" s="117" t="s">
        <v>75</v>
      </c>
      <c r="C27" s="118"/>
      <c r="D27" s="22"/>
      <c r="E27" s="119"/>
      <c r="F27" s="1"/>
      <c r="G27" s="316"/>
      <c r="H27" s="1"/>
      <c r="I27" s="1"/>
    </row>
    <row r="28" spans="1:12" x14ac:dyDescent="0.25">
      <c r="A28" s="110"/>
      <c r="B28" s="120"/>
      <c r="C28" s="118"/>
      <c r="D28" s="1"/>
      <c r="E28" s="121"/>
      <c r="F28" s="1"/>
      <c r="G28" s="316"/>
      <c r="H28" s="1"/>
      <c r="I28" s="1"/>
    </row>
    <row r="29" spans="1:12" x14ac:dyDescent="0.25">
      <c r="A29" s="110"/>
      <c r="B29" s="122" t="s">
        <v>35</v>
      </c>
      <c r="C29" s="118"/>
      <c r="D29" s="1"/>
      <c r="E29" s="121"/>
      <c r="F29" s="1"/>
      <c r="G29" s="316"/>
      <c r="H29" s="1"/>
      <c r="I29" s="1"/>
    </row>
    <row r="30" spans="1:12" x14ac:dyDescent="0.25">
      <c r="A30" s="110"/>
      <c r="B30" s="122"/>
      <c r="C30" s="311" t="s">
        <v>76</v>
      </c>
      <c r="D30" s="311"/>
      <c r="E30" s="312"/>
      <c r="F30" s="1"/>
      <c r="G30" s="316"/>
      <c r="H30" s="1"/>
      <c r="I30" s="1"/>
    </row>
    <row r="31" spans="1:12" x14ac:dyDescent="0.25">
      <c r="A31" s="110"/>
      <c r="B31" s="123" t="s">
        <v>77</v>
      </c>
      <c r="C31" s="313" t="s">
        <v>78</v>
      </c>
      <c r="D31" s="313"/>
      <c r="E31" s="313"/>
      <c r="F31" s="1"/>
      <c r="G31" s="316"/>
      <c r="H31" s="1"/>
      <c r="I31" s="1"/>
    </row>
    <row r="32" spans="1:12" x14ac:dyDescent="0.25">
      <c r="A32" s="110"/>
      <c r="B32" s="314"/>
      <c r="C32" s="314"/>
      <c r="D32" s="314"/>
      <c r="E32" s="314"/>
      <c r="F32" s="1"/>
      <c r="G32" s="316"/>
      <c r="H32" s="1"/>
      <c r="I32" s="1"/>
    </row>
    <row r="33" spans="1:9" x14ac:dyDescent="0.25">
      <c r="A33" s="110"/>
      <c r="B33" s="120" t="s">
        <v>79</v>
      </c>
      <c r="C33" s="313" t="s">
        <v>80</v>
      </c>
      <c r="D33" s="313"/>
      <c r="E33" s="315"/>
      <c r="F33" s="1"/>
      <c r="G33" s="316"/>
      <c r="H33" s="1"/>
      <c r="I33" s="1"/>
    </row>
    <row r="34" spans="1:9" x14ac:dyDescent="0.25">
      <c r="A34" s="110"/>
      <c r="B34" s="120"/>
      <c r="C34" s="125"/>
      <c r="D34" s="1"/>
      <c r="E34" s="25"/>
      <c r="F34" s="1"/>
      <c r="G34" s="316"/>
      <c r="H34" s="1"/>
      <c r="I34" s="1"/>
    </row>
    <row r="35" spans="1:9" x14ac:dyDescent="0.25">
      <c r="A35" s="110"/>
      <c r="B35" s="122" t="s">
        <v>39</v>
      </c>
      <c r="C35" s="313"/>
      <c r="D35" s="313"/>
      <c r="E35" s="315"/>
      <c r="F35" s="1"/>
      <c r="G35" s="316"/>
      <c r="H35" s="1"/>
      <c r="I35" s="1"/>
    </row>
    <row r="36" spans="1:9" x14ac:dyDescent="0.25">
      <c r="A36" s="110"/>
      <c r="B36" s="120"/>
      <c r="C36" s="125"/>
      <c r="D36" s="125"/>
      <c r="E36" s="126"/>
      <c r="F36" s="1"/>
      <c r="G36" s="316"/>
      <c r="H36" s="1"/>
      <c r="I36" s="1"/>
    </row>
    <row r="37" spans="1:9" x14ac:dyDescent="0.25">
      <c r="A37" s="110"/>
      <c r="B37" s="122" t="s">
        <v>40</v>
      </c>
      <c r="C37" s="127"/>
      <c r="D37" s="28"/>
      <c r="E37" s="128"/>
      <c r="F37" s="1"/>
      <c r="G37" s="316"/>
      <c r="H37" s="1"/>
      <c r="I37" s="1"/>
    </row>
    <row r="38" spans="1:9" x14ac:dyDescent="0.25">
      <c r="A38" s="110"/>
      <c r="B38" s="120"/>
      <c r="C38" s="125"/>
      <c r="D38" s="125"/>
      <c r="E38" s="126" t="s">
        <v>81</v>
      </c>
      <c r="F38" s="1"/>
      <c r="G38" s="316"/>
      <c r="H38" s="1"/>
      <c r="I38" s="1"/>
    </row>
    <row r="39" spans="1:9" x14ac:dyDescent="0.25">
      <c r="A39" s="110"/>
      <c r="B39" s="122" t="s">
        <v>42</v>
      </c>
      <c r="C39" s="118"/>
      <c r="D39" s="1"/>
      <c r="E39" s="121"/>
      <c r="F39" s="1"/>
      <c r="G39" s="316"/>
      <c r="H39" s="1"/>
      <c r="I39" s="1"/>
    </row>
    <row r="40" spans="1:9" x14ac:dyDescent="0.25">
      <c r="A40" s="110"/>
      <c r="B40" s="122"/>
      <c r="C40" s="125"/>
      <c r="D40" s="1"/>
      <c r="E40" s="25"/>
      <c r="F40" s="1"/>
      <c r="G40" s="316"/>
      <c r="H40" s="1"/>
      <c r="I40" s="1"/>
    </row>
    <row r="41" spans="1:9" ht="15.75" thickBot="1" x14ac:dyDescent="0.3">
      <c r="A41" s="110"/>
      <c r="B41" s="129"/>
      <c r="C41" s="130"/>
      <c r="D41" s="31"/>
      <c r="E41" s="131"/>
      <c r="F41" s="1"/>
      <c r="G41" s="316"/>
      <c r="H41" s="1"/>
      <c r="I41" s="1"/>
    </row>
    <row r="42" spans="1:9" x14ac:dyDescent="0.25">
      <c r="A42" s="110"/>
      <c r="B42" s="114"/>
      <c r="C42" s="118"/>
      <c r="D42" s="1"/>
      <c r="E42" s="110"/>
      <c r="F42" s="1"/>
      <c r="G42" s="316"/>
      <c r="H42" s="1"/>
      <c r="I42" s="1"/>
    </row>
    <row r="43" spans="1:9" ht="15.75" thickBot="1" x14ac:dyDescent="0.3">
      <c r="A43" s="82"/>
      <c r="B43" s="83"/>
      <c r="C43" s="84"/>
      <c r="D43" s="83"/>
      <c r="E43" s="90"/>
      <c r="F43" s="83"/>
      <c r="G43" s="82"/>
      <c r="H43" s="88"/>
      <c r="I43" s="113"/>
    </row>
    <row r="44" spans="1:9" x14ac:dyDescent="0.25">
      <c r="A44" s="82"/>
      <c r="B44" s="117" t="s">
        <v>82</v>
      </c>
      <c r="C44" s="118"/>
      <c r="D44" s="22"/>
      <c r="E44" s="119"/>
      <c r="F44" s="83"/>
      <c r="G44" s="82"/>
      <c r="H44" s="88"/>
      <c r="I44" s="113"/>
    </row>
    <row r="45" spans="1:9" x14ac:dyDescent="0.25">
      <c r="A45" s="82"/>
      <c r="B45" s="120"/>
      <c r="C45" s="118"/>
      <c r="D45" s="1"/>
      <c r="E45" s="121"/>
      <c r="F45" s="83"/>
      <c r="G45" s="82"/>
      <c r="H45" s="88"/>
      <c r="I45" s="113"/>
    </row>
    <row r="46" spans="1:9" x14ac:dyDescent="0.25">
      <c r="A46" s="82"/>
      <c r="B46" s="122" t="s">
        <v>35</v>
      </c>
      <c r="C46" s="118"/>
      <c r="D46" s="1"/>
      <c r="E46" s="121"/>
      <c r="F46" s="83"/>
      <c r="G46" s="82"/>
      <c r="H46" s="88"/>
      <c r="I46" s="113"/>
    </row>
    <row r="47" spans="1:9" x14ac:dyDescent="0.25">
      <c r="A47" s="82"/>
      <c r="B47" s="122"/>
      <c r="C47" s="118"/>
      <c r="D47" s="1" t="s">
        <v>83</v>
      </c>
      <c r="E47" s="121"/>
      <c r="F47" s="83"/>
      <c r="G47" s="82"/>
      <c r="H47" s="88"/>
      <c r="I47" s="113"/>
    </row>
    <row r="48" spans="1:9" x14ac:dyDescent="0.25">
      <c r="A48" s="82"/>
      <c r="B48" s="122"/>
      <c r="C48" s="311" t="s">
        <v>76</v>
      </c>
      <c r="D48" s="311"/>
      <c r="E48" s="312"/>
      <c r="F48" s="83"/>
      <c r="G48" s="82"/>
      <c r="H48" s="88"/>
      <c r="I48" s="113"/>
    </row>
    <row r="49" spans="1:9" x14ac:dyDescent="0.25">
      <c r="A49" s="82"/>
      <c r="B49" s="123" t="s">
        <v>77</v>
      </c>
      <c r="C49" s="313" t="s">
        <v>84</v>
      </c>
      <c r="D49" s="313"/>
      <c r="E49" s="313"/>
      <c r="F49" s="83"/>
      <c r="G49" s="82"/>
      <c r="H49" s="88"/>
      <c r="I49" s="113"/>
    </row>
    <row r="50" spans="1:9" x14ac:dyDescent="0.25">
      <c r="A50" s="82"/>
      <c r="B50" s="314"/>
      <c r="C50" s="314"/>
      <c r="D50" s="314"/>
      <c r="E50" s="314"/>
      <c r="F50" s="83"/>
      <c r="G50" s="82"/>
      <c r="H50" s="88"/>
      <c r="I50" s="113"/>
    </row>
    <row r="51" spans="1:9" x14ac:dyDescent="0.25">
      <c r="A51" s="82"/>
      <c r="B51" s="120" t="s">
        <v>79</v>
      </c>
      <c r="C51" s="313" t="s">
        <v>80</v>
      </c>
      <c r="D51" s="313"/>
      <c r="E51" s="315"/>
      <c r="F51" s="83"/>
      <c r="G51" s="82"/>
      <c r="H51" s="88"/>
      <c r="I51" s="113"/>
    </row>
    <row r="52" spans="1:9" x14ac:dyDescent="0.25">
      <c r="A52" s="82"/>
      <c r="B52" s="120"/>
      <c r="C52" s="125"/>
      <c r="D52" s="1"/>
      <c r="E52" s="25"/>
      <c r="F52" s="83"/>
      <c r="G52" s="82"/>
      <c r="H52" s="88"/>
      <c r="I52" s="113"/>
    </row>
    <row r="53" spans="1:9" x14ac:dyDescent="0.25">
      <c r="A53" s="82"/>
      <c r="B53" s="122" t="s">
        <v>39</v>
      </c>
      <c r="C53" s="313"/>
      <c r="D53" s="313"/>
      <c r="E53" s="315"/>
      <c r="F53" s="83"/>
      <c r="G53" s="82"/>
      <c r="H53" s="88"/>
      <c r="I53" s="113"/>
    </row>
    <row r="54" spans="1:9" x14ac:dyDescent="0.25">
      <c r="A54" s="82"/>
      <c r="B54" s="120"/>
      <c r="C54" s="125"/>
      <c r="D54" s="125"/>
      <c r="E54" s="126"/>
      <c r="F54" s="83"/>
      <c r="G54" s="82"/>
      <c r="H54" s="88"/>
      <c r="I54" s="113"/>
    </row>
    <row r="55" spans="1:9" x14ac:dyDescent="0.25">
      <c r="A55" s="82"/>
      <c r="B55" s="122" t="s">
        <v>40</v>
      </c>
      <c r="C55" s="127"/>
      <c r="D55" s="28"/>
      <c r="E55" s="128"/>
      <c r="F55" s="83"/>
      <c r="G55" s="82"/>
      <c r="H55" s="88"/>
      <c r="I55" s="113"/>
    </row>
    <row r="56" spans="1:9" x14ac:dyDescent="0.25">
      <c r="A56" s="82"/>
      <c r="B56" s="120"/>
      <c r="C56" s="125"/>
      <c r="D56" s="125"/>
      <c r="E56" s="126" t="s">
        <v>81</v>
      </c>
      <c r="F56" s="83"/>
      <c r="G56" s="82"/>
      <c r="H56" s="88"/>
      <c r="I56" s="113"/>
    </row>
    <row r="57" spans="1:9" x14ac:dyDescent="0.25">
      <c r="A57" s="82"/>
      <c r="B57" s="122" t="s">
        <v>42</v>
      </c>
      <c r="C57" s="118"/>
      <c r="D57" s="1"/>
      <c r="E57" s="121"/>
      <c r="F57" s="83"/>
      <c r="G57" s="82"/>
      <c r="H57" s="88"/>
      <c r="I57" s="113"/>
    </row>
    <row r="58" spans="1:9" x14ac:dyDescent="0.25">
      <c r="A58" s="82"/>
      <c r="B58" s="122"/>
      <c r="C58" s="125"/>
      <c r="D58" s="1"/>
      <c r="E58" s="25"/>
      <c r="F58" s="83"/>
      <c r="G58" s="82"/>
      <c r="H58" s="88"/>
      <c r="I58" s="113"/>
    </row>
    <row r="59" spans="1:9" ht="15.75" thickBot="1" x14ac:dyDescent="0.3">
      <c r="A59" s="82"/>
      <c r="B59" s="129"/>
      <c r="C59" s="130"/>
      <c r="D59" s="31"/>
      <c r="E59" s="131"/>
      <c r="F59" s="83"/>
      <c r="G59" s="82"/>
      <c r="H59" s="88"/>
      <c r="I59" s="113"/>
    </row>
    <row r="60" spans="1:9" x14ac:dyDescent="0.25">
      <c r="A60" s="82"/>
      <c r="B60" s="83"/>
      <c r="C60" s="84"/>
      <c r="D60" s="83"/>
      <c r="E60" s="90"/>
      <c r="F60" s="83"/>
      <c r="G60" s="82"/>
      <c r="H60" s="88"/>
      <c r="I60" s="113"/>
    </row>
    <row r="61" spans="1:9" x14ac:dyDescent="0.25">
      <c r="A61" s="82"/>
      <c r="B61" s="83"/>
      <c r="C61" s="84"/>
      <c r="D61" s="83"/>
      <c r="E61" s="90"/>
      <c r="F61" s="83"/>
      <c r="G61" s="82"/>
      <c r="H61" s="88"/>
      <c r="I61" s="113"/>
    </row>
    <row r="62" spans="1:9" x14ac:dyDescent="0.25">
      <c r="A62" s="82"/>
      <c r="B62" s="83"/>
      <c r="C62" s="84"/>
      <c r="D62" s="83"/>
      <c r="E62" s="90"/>
      <c r="F62" s="83"/>
      <c r="G62" s="82"/>
      <c r="H62" s="88"/>
      <c r="I62" s="113"/>
    </row>
  </sheetData>
  <autoFilter ref="A8:I8" xr:uid="{E2F270A6-98BF-4C39-8631-789440273425}">
    <sortState xmlns:xlrd2="http://schemas.microsoft.com/office/spreadsheetml/2017/richdata2" ref="A9:I23">
      <sortCondition ref="E8"/>
    </sortState>
  </autoFilter>
  <mergeCells count="17">
    <mergeCell ref="A6:D6"/>
    <mergeCell ref="A3:D3"/>
    <mergeCell ref="E3:G3"/>
    <mergeCell ref="A4:D4"/>
    <mergeCell ref="E4:G4"/>
    <mergeCell ref="A5:D5"/>
    <mergeCell ref="G26:G42"/>
    <mergeCell ref="C30:E30"/>
    <mergeCell ref="C31:E31"/>
    <mergeCell ref="B32:E32"/>
    <mergeCell ref="C33:E33"/>
    <mergeCell ref="C35:E35"/>
    <mergeCell ref="C48:E48"/>
    <mergeCell ref="C49:E49"/>
    <mergeCell ref="B50:E50"/>
    <mergeCell ref="C51:E51"/>
    <mergeCell ref="C53:E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05D0-9AA1-4CB3-9D63-2E6BA74E0B33}">
  <dimension ref="A1:AS39"/>
  <sheetViews>
    <sheetView topLeftCell="A247" workbookViewId="0"/>
  </sheetViews>
  <sheetFormatPr baseColWidth="10" defaultRowHeight="15" x14ac:dyDescent="0.25"/>
  <cols>
    <col min="1" max="1" width="6.42578125" customWidth="1"/>
    <col min="2" max="2" width="16" customWidth="1"/>
    <col min="3" max="3" width="36.28515625" customWidth="1"/>
    <col min="4" max="4" width="8.42578125" customWidth="1"/>
    <col min="5" max="5" width="49.7109375" customWidth="1"/>
    <col min="6" max="6" width="16.42578125" customWidth="1"/>
    <col min="7" max="16" width="0" hidden="1" customWidth="1"/>
    <col min="17" max="17" width="18.85546875" customWidth="1"/>
    <col min="18" max="18" width="0" hidden="1" customWidth="1"/>
    <col min="19" max="19" width="18.85546875" customWidth="1"/>
    <col min="20" max="20" width="0" hidden="1" customWidth="1"/>
    <col min="21" max="21" width="18.85546875" customWidth="1"/>
    <col min="22" max="42" width="0" hidden="1" customWidth="1"/>
    <col min="43" max="43" width="16.42578125" customWidth="1"/>
    <col min="44" max="44" width="24.5703125" customWidth="1"/>
    <col min="45" max="45" width="22.5703125" customWidth="1"/>
  </cols>
  <sheetData>
    <row r="1" spans="1:45" ht="23.25" x14ac:dyDescent="0.35">
      <c r="A1" s="239" t="s">
        <v>138</v>
      </c>
    </row>
    <row r="2" spans="1:45" x14ac:dyDescent="0.25">
      <c r="A2" s="152">
        <v>2021</v>
      </c>
      <c r="B2" s="153"/>
      <c r="C2" s="114"/>
      <c r="D2" s="124"/>
      <c r="E2" s="127"/>
      <c r="F2" s="124"/>
      <c r="G2" s="124"/>
      <c r="H2" s="124"/>
      <c r="I2" s="124"/>
      <c r="J2" s="124"/>
      <c r="K2" s="154"/>
      <c r="L2" s="155"/>
      <c r="M2" s="156"/>
      <c r="N2" s="124"/>
      <c r="O2" s="154"/>
      <c r="P2" s="124"/>
      <c r="Q2" s="156"/>
      <c r="R2" s="124"/>
      <c r="S2" s="154"/>
      <c r="T2" s="124"/>
      <c r="U2" s="156"/>
      <c r="V2" s="124"/>
      <c r="W2" s="156"/>
      <c r="X2" s="124"/>
      <c r="Y2" s="156"/>
      <c r="Z2" s="124"/>
      <c r="AA2" s="156"/>
      <c r="AB2" s="124"/>
      <c r="AC2" s="156"/>
      <c r="AD2" s="124"/>
      <c r="AE2" s="156"/>
      <c r="AF2" s="124"/>
      <c r="AG2" s="156"/>
      <c r="AH2" s="124"/>
      <c r="AI2" s="156"/>
      <c r="AJ2" s="124"/>
      <c r="AK2" s="156"/>
      <c r="AL2" s="124"/>
      <c r="AM2" s="156"/>
      <c r="AN2" s="124"/>
      <c r="AO2" s="156"/>
      <c r="AP2" s="124"/>
      <c r="AQ2" s="157"/>
      <c r="AR2" s="158"/>
      <c r="AS2" s="159"/>
    </row>
    <row r="3" spans="1:45" ht="25.5" x14ac:dyDescent="0.35">
      <c r="A3" s="114"/>
      <c r="B3" s="320" t="s">
        <v>0</v>
      </c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1"/>
      <c r="AR3" s="322"/>
      <c r="AS3" s="159"/>
    </row>
    <row r="4" spans="1:45" x14ac:dyDescent="0.25">
      <c r="A4" s="114"/>
      <c r="B4" s="153"/>
      <c r="C4" s="114"/>
      <c r="D4" s="124"/>
      <c r="E4" s="127"/>
      <c r="F4" s="124"/>
      <c r="G4" s="124"/>
      <c r="H4" s="124"/>
      <c r="I4" s="124"/>
      <c r="J4" s="124"/>
      <c r="K4" s="154"/>
      <c r="L4" s="155"/>
      <c r="M4" s="156"/>
      <c r="N4" s="124"/>
      <c r="O4" s="154"/>
      <c r="P4" s="124"/>
      <c r="Q4" s="156"/>
      <c r="R4" s="124"/>
      <c r="S4" s="154"/>
      <c r="T4" s="124"/>
      <c r="U4" s="156"/>
      <c r="V4" s="124"/>
      <c r="W4" s="156"/>
      <c r="X4" s="124"/>
      <c r="Y4" s="156"/>
      <c r="Z4" s="124"/>
      <c r="AA4" s="156"/>
      <c r="AB4" s="124"/>
      <c r="AC4" s="156"/>
      <c r="AD4" s="124"/>
      <c r="AE4" s="156"/>
      <c r="AF4" s="124"/>
      <c r="AG4" s="156"/>
      <c r="AH4" s="124"/>
      <c r="AI4" s="156"/>
      <c r="AJ4" s="124"/>
      <c r="AK4" s="156"/>
      <c r="AL4" s="124"/>
      <c r="AM4" s="156"/>
      <c r="AN4" s="124"/>
      <c r="AO4" s="156"/>
      <c r="AP4" s="124"/>
      <c r="AQ4" s="157"/>
      <c r="AR4" s="158"/>
      <c r="AS4" s="159"/>
    </row>
    <row r="5" spans="1:45" ht="15.75" x14ac:dyDescent="0.25">
      <c r="A5" s="304" t="s">
        <v>1</v>
      </c>
      <c r="B5" s="304"/>
      <c r="C5" s="323" t="s">
        <v>88</v>
      </c>
      <c r="D5" s="323"/>
      <c r="E5" s="323"/>
      <c r="F5" s="3"/>
      <c r="G5" s="3"/>
      <c r="H5" s="3"/>
      <c r="I5" s="3"/>
      <c r="J5" s="3"/>
      <c r="K5" s="160"/>
      <c r="L5" s="161"/>
      <c r="M5" s="162"/>
      <c r="N5" s="3"/>
      <c r="O5" s="160"/>
      <c r="P5" s="3"/>
      <c r="Q5" s="162"/>
      <c r="R5" s="3"/>
      <c r="S5" s="160"/>
      <c r="T5" s="3"/>
      <c r="U5" s="162"/>
      <c r="V5" s="3"/>
      <c r="W5" s="162"/>
      <c r="X5" s="3"/>
      <c r="Y5" s="162"/>
      <c r="Z5" s="3"/>
      <c r="AA5" s="162"/>
      <c r="AB5" s="3"/>
      <c r="AC5" s="162"/>
      <c r="AD5" s="3"/>
      <c r="AE5" s="162"/>
      <c r="AF5" s="3"/>
      <c r="AG5" s="162"/>
      <c r="AH5" s="3"/>
      <c r="AI5" s="162"/>
      <c r="AJ5" s="3"/>
      <c r="AK5" s="162"/>
      <c r="AL5" s="3"/>
      <c r="AM5" s="162"/>
      <c r="AN5" s="3"/>
      <c r="AO5" s="162"/>
      <c r="AP5" s="3"/>
      <c r="AQ5" s="163"/>
      <c r="AR5" s="158"/>
      <c r="AS5" s="159"/>
    </row>
    <row r="6" spans="1:45" ht="15.75" x14ac:dyDescent="0.25">
      <c r="A6" s="304" t="s">
        <v>3</v>
      </c>
      <c r="B6" s="304"/>
      <c r="C6" s="323" t="s">
        <v>89</v>
      </c>
      <c r="D6" s="323"/>
      <c r="E6" s="323"/>
      <c r="F6" s="3"/>
      <c r="G6" s="3"/>
      <c r="H6" s="3"/>
      <c r="I6" s="3"/>
      <c r="J6" s="3"/>
      <c r="K6" s="160"/>
      <c r="L6" s="161"/>
      <c r="M6" s="162"/>
      <c r="N6" s="3"/>
      <c r="O6" s="160"/>
      <c r="P6" s="3"/>
      <c r="Q6" s="162"/>
      <c r="R6" s="3"/>
      <c r="S6" s="160"/>
      <c r="T6" s="3"/>
      <c r="U6" s="162"/>
      <c r="V6" s="3"/>
      <c r="W6" s="162"/>
      <c r="X6" s="3"/>
      <c r="Y6" s="162"/>
      <c r="Z6" s="3"/>
      <c r="AA6" s="162"/>
      <c r="AB6" s="3"/>
      <c r="AC6" s="162"/>
      <c r="AD6" s="3"/>
      <c r="AE6" s="162"/>
      <c r="AF6" s="3"/>
      <c r="AG6" s="162"/>
      <c r="AH6" s="3"/>
      <c r="AI6" s="162"/>
      <c r="AJ6" s="3"/>
      <c r="AK6" s="162"/>
      <c r="AL6" s="3"/>
      <c r="AM6" s="162"/>
      <c r="AN6" s="3"/>
      <c r="AO6" s="162"/>
      <c r="AP6" s="3"/>
      <c r="AQ6" s="163"/>
      <c r="AR6" s="158"/>
      <c r="AS6" s="159"/>
    </row>
    <row r="7" spans="1:45" ht="15.75" x14ac:dyDescent="0.25">
      <c r="A7" s="304" t="s">
        <v>5</v>
      </c>
      <c r="B7" s="304"/>
      <c r="C7" s="164">
        <v>2021</v>
      </c>
      <c r="D7" s="165"/>
      <c r="E7" s="166"/>
      <c r="F7" s="3"/>
      <c r="G7" s="3"/>
      <c r="H7" s="3"/>
      <c r="I7" s="3"/>
      <c r="J7" s="3"/>
      <c r="K7" s="160"/>
      <c r="L7" s="161"/>
      <c r="M7" s="162"/>
      <c r="N7" s="3"/>
      <c r="O7" s="160"/>
      <c r="P7" s="3"/>
      <c r="Q7" s="162"/>
      <c r="R7" s="3"/>
      <c r="S7" s="160"/>
      <c r="T7" s="3"/>
      <c r="U7" s="162"/>
      <c r="V7" s="3"/>
      <c r="W7" s="162"/>
      <c r="X7" s="3"/>
      <c r="Y7" s="162"/>
      <c r="Z7" s="3"/>
      <c r="AA7" s="162"/>
      <c r="AB7" s="3"/>
      <c r="AC7" s="162"/>
      <c r="AD7" s="3"/>
      <c r="AE7" s="162"/>
      <c r="AF7" s="3"/>
      <c r="AG7" s="162"/>
      <c r="AH7" s="3"/>
      <c r="AI7" s="162"/>
      <c r="AJ7" s="3"/>
      <c r="AK7" s="162"/>
      <c r="AL7" s="3"/>
      <c r="AM7" s="162"/>
      <c r="AN7" s="3"/>
      <c r="AO7" s="162"/>
      <c r="AP7" s="3"/>
      <c r="AQ7" s="163"/>
      <c r="AR7" s="158"/>
      <c r="AS7" s="159"/>
    </row>
    <row r="8" spans="1:45" ht="15.75" x14ac:dyDescent="0.25">
      <c r="A8" s="304" t="s">
        <v>6</v>
      </c>
      <c r="B8" s="304"/>
      <c r="C8" s="164" t="s">
        <v>90</v>
      </c>
      <c r="D8" s="165"/>
      <c r="E8" s="166"/>
      <c r="F8" s="3"/>
      <c r="G8" s="3"/>
      <c r="H8" s="3"/>
      <c r="I8" s="3"/>
      <c r="J8" s="3"/>
      <c r="K8" s="160"/>
      <c r="L8" s="161"/>
      <c r="M8" s="162"/>
      <c r="N8" s="3"/>
      <c r="O8" s="160"/>
      <c r="P8" s="3"/>
      <c r="Q8" s="162"/>
      <c r="R8" s="3"/>
      <c r="S8" s="160"/>
      <c r="T8" s="3"/>
      <c r="U8" s="162"/>
      <c r="V8" s="3"/>
      <c r="W8" s="162"/>
      <c r="X8" s="3"/>
      <c r="Y8" s="162"/>
      <c r="Z8" s="3"/>
      <c r="AA8" s="162"/>
      <c r="AB8" s="3"/>
      <c r="AC8" s="162"/>
      <c r="AD8" s="3"/>
      <c r="AE8" s="162"/>
      <c r="AF8" s="3"/>
      <c r="AG8" s="162"/>
      <c r="AH8" s="3"/>
      <c r="AI8" s="162"/>
      <c r="AJ8" s="3"/>
      <c r="AK8" s="162"/>
      <c r="AL8" s="3"/>
      <c r="AM8" s="162"/>
      <c r="AN8" s="3"/>
      <c r="AO8" s="162"/>
      <c r="AP8" s="3"/>
      <c r="AQ8" s="163"/>
      <c r="AR8" s="158"/>
      <c r="AS8" s="159"/>
    </row>
    <row r="9" spans="1:45" x14ac:dyDescent="0.25">
      <c r="A9" s="114"/>
      <c r="B9" s="167"/>
      <c r="C9" s="168"/>
      <c r="D9" s="3"/>
      <c r="E9" s="168"/>
      <c r="F9" s="3"/>
      <c r="G9" s="3"/>
      <c r="H9" s="3"/>
      <c r="I9" s="3"/>
      <c r="J9" s="3"/>
      <c r="K9" s="160"/>
      <c r="L9" s="161"/>
      <c r="M9" s="162"/>
      <c r="N9" s="3"/>
      <c r="O9" s="160"/>
      <c r="P9" s="3"/>
      <c r="Q9" s="162"/>
      <c r="R9" s="3"/>
      <c r="S9" s="160"/>
      <c r="T9" s="3"/>
      <c r="U9" s="162"/>
      <c r="V9" s="3"/>
      <c r="W9" s="162"/>
      <c r="X9" s="3"/>
      <c r="Y9" s="162"/>
      <c r="Z9" s="3"/>
      <c r="AA9" s="162"/>
      <c r="AB9" s="3"/>
      <c r="AC9" s="162"/>
      <c r="AD9" s="3"/>
      <c r="AE9" s="162"/>
      <c r="AF9" s="3"/>
      <c r="AG9" s="162"/>
      <c r="AH9" s="3"/>
      <c r="AI9" s="162"/>
      <c r="AJ9" s="3"/>
      <c r="AK9" s="162"/>
      <c r="AL9" s="3"/>
      <c r="AM9" s="162"/>
      <c r="AN9" s="3"/>
      <c r="AO9" s="162"/>
      <c r="AP9" s="3"/>
      <c r="AQ9" s="163"/>
      <c r="AR9" s="158"/>
      <c r="AS9" s="159"/>
    </row>
    <row r="10" spans="1:45" ht="57" x14ac:dyDescent="0.25">
      <c r="A10" s="184" t="s">
        <v>7</v>
      </c>
      <c r="B10" s="184" t="s">
        <v>8</v>
      </c>
      <c r="C10" s="183" t="s">
        <v>9</v>
      </c>
      <c r="D10" s="184" t="s">
        <v>10</v>
      </c>
      <c r="E10" s="183" t="s">
        <v>11</v>
      </c>
      <c r="F10" s="183" t="s">
        <v>12</v>
      </c>
      <c r="G10" s="183" t="s">
        <v>91</v>
      </c>
      <c r="H10" s="183" t="s">
        <v>92</v>
      </c>
      <c r="I10" s="183" t="s">
        <v>93</v>
      </c>
      <c r="J10" s="183" t="s">
        <v>94</v>
      </c>
      <c r="K10" s="185" t="s">
        <v>95</v>
      </c>
      <c r="L10" s="186" t="s">
        <v>96</v>
      </c>
      <c r="M10" s="187" t="s">
        <v>97</v>
      </c>
      <c r="N10" s="183" t="s">
        <v>98</v>
      </c>
      <c r="O10" s="185" t="s">
        <v>99</v>
      </c>
      <c r="P10" s="183" t="s">
        <v>100</v>
      </c>
      <c r="Q10" s="187" t="s">
        <v>101</v>
      </c>
      <c r="R10" s="183" t="s">
        <v>102</v>
      </c>
      <c r="S10" s="185" t="s">
        <v>103</v>
      </c>
      <c r="T10" s="183" t="s">
        <v>104</v>
      </c>
      <c r="U10" s="187" t="s">
        <v>105</v>
      </c>
      <c r="V10" s="183" t="s">
        <v>106</v>
      </c>
      <c r="W10" s="187" t="s">
        <v>107</v>
      </c>
      <c r="X10" s="183" t="s">
        <v>108</v>
      </c>
      <c r="Y10" s="187" t="s">
        <v>109</v>
      </c>
      <c r="Z10" s="183" t="s">
        <v>110</v>
      </c>
      <c r="AA10" s="187" t="s">
        <v>111</v>
      </c>
      <c r="AB10" s="183" t="s">
        <v>112</v>
      </c>
      <c r="AC10" s="187" t="s">
        <v>113</v>
      </c>
      <c r="AD10" s="183" t="s">
        <v>114</v>
      </c>
      <c r="AE10" s="187" t="s">
        <v>115</v>
      </c>
      <c r="AF10" s="183" t="s">
        <v>116</v>
      </c>
      <c r="AG10" s="187" t="s">
        <v>117</v>
      </c>
      <c r="AH10" s="183" t="s">
        <v>118</v>
      </c>
      <c r="AI10" s="187" t="s">
        <v>119</v>
      </c>
      <c r="AJ10" s="183" t="s">
        <v>120</v>
      </c>
      <c r="AK10" s="187" t="s">
        <v>121</v>
      </c>
      <c r="AL10" s="183" t="s">
        <v>122</v>
      </c>
      <c r="AM10" s="187" t="s">
        <v>123</v>
      </c>
      <c r="AN10" s="183" t="s">
        <v>124</v>
      </c>
      <c r="AO10" s="187" t="s">
        <v>125</v>
      </c>
      <c r="AP10" s="183" t="s">
        <v>126</v>
      </c>
      <c r="AQ10" s="187" t="s">
        <v>68</v>
      </c>
      <c r="AR10" s="188" t="s">
        <v>14</v>
      </c>
      <c r="AS10" s="189" t="s">
        <v>15</v>
      </c>
    </row>
    <row r="11" spans="1:45" ht="25.5" x14ac:dyDescent="0.25">
      <c r="A11" s="190">
        <v>1</v>
      </c>
      <c r="B11" s="213"/>
      <c r="C11" s="192" t="s">
        <v>72</v>
      </c>
      <c r="D11" s="183" t="s">
        <v>73</v>
      </c>
      <c r="E11" s="180" t="s">
        <v>55</v>
      </c>
      <c r="F11" s="183" t="s">
        <v>19</v>
      </c>
      <c r="G11" s="191"/>
      <c r="H11" s="191"/>
      <c r="I11" s="191"/>
      <c r="J11" s="191"/>
      <c r="K11" s="193"/>
      <c r="L11" s="194"/>
      <c r="M11" s="195"/>
      <c r="N11" s="191"/>
      <c r="O11" s="193"/>
      <c r="P11" s="191"/>
      <c r="Q11" s="214"/>
      <c r="R11" s="215"/>
      <c r="S11" s="193">
        <v>400</v>
      </c>
      <c r="T11" s="197">
        <f>+S11*AR11</f>
        <v>233880.00000000003</v>
      </c>
      <c r="U11" s="195"/>
      <c r="V11" s="197"/>
      <c r="W11" s="195"/>
      <c r="X11" s="197"/>
      <c r="Y11" s="195"/>
      <c r="Z11" s="197"/>
      <c r="AA11" s="195"/>
      <c r="AB11" s="197"/>
      <c r="AC11" s="195"/>
      <c r="AD11" s="197"/>
      <c r="AE11" s="195"/>
      <c r="AF11" s="197"/>
      <c r="AG11" s="195"/>
      <c r="AH11" s="197"/>
      <c r="AI11" s="195"/>
      <c r="AJ11" s="197"/>
      <c r="AK11" s="195"/>
      <c r="AL11" s="197"/>
      <c r="AM11" s="195"/>
      <c r="AN11" s="197"/>
      <c r="AO11" s="195"/>
      <c r="AP11" s="197"/>
      <c r="AQ11" s="198">
        <f>+AO11+AM11+AK11+AI11+AG11+AE11+AC11+AA11+Y11+W11+U11+S11+Q11+O11+M11+K11+I11+G11</f>
        <v>400</v>
      </c>
      <c r="AR11" s="200">
        <v>584.70000000000005</v>
      </c>
      <c r="AS11" s="200">
        <f>+AR11*AQ11</f>
        <v>233880.00000000003</v>
      </c>
    </row>
    <row r="12" spans="1:45" ht="25.5" x14ac:dyDescent="0.25">
      <c r="A12" s="190">
        <v>2</v>
      </c>
      <c r="B12" s="191"/>
      <c r="C12" s="192" t="s">
        <v>72</v>
      </c>
      <c r="D12" s="183" t="s">
        <v>73</v>
      </c>
      <c r="E12" s="180" t="s">
        <v>47</v>
      </c>
      <c r="F12" s="181" t="s">
        <v>19</v>
      </c>
      <c r="G12" s="191"/>
      <c r="H12" s="191"/>
      <c r="I12" s="191"/>
      <c r="J12" s="191"/>
      <c r="K12" s="193"/>
      <c r="L12" s="194"/>
      <c r="M12" s="195"/>
      <c r="N12" s="191"/>
      <c r="O12" s="193"/>
      <c r="P12" s="191"/>
      <c r="Q12" s="195"/>
      <c r="R12" s="191"/>
      <c r="S12" s="196">
        <v>300</v>
      </c>
      <c r="T12" s="197">
        <f>+S12*AR12</f>
        <v>87750</v>
      </c>
      <c r="U12" s="195">
        <v>100</v>
      </c>
      <c r="V12" s="197">
        <f>+U12*AR12</f>
        <v>29250</v>
      </c>
      <c r="W12" s="195"/>
      <c r="X12" s="197"/>
      <c r="Y12" s="195"/>
      <c r="Z12" s="197"/>
      <c r="AA12" s="195"/>
      <c r="AB12" s="197"/>
      <c r="AC12" s="195"/>
      <c r="AD12" s="197"/>
      <c r="AE12" s="195"/>
      <c r="AF12" s="197"/>
      <c r="AG12" s="195"/>
      <c r="AH12" s="197"/>
      <c r="AI12" s="195"/>
      <c r="AJ12" s="197"/>
      <c r="AK12" s="195"/>
      <c r="AL12" s="197"/>
      <c r="AM12" s="195"/>
      <c r="AN12" s="197"/>
      <c r="AO12" s="195"/>
      <c r="AP12" s="197"/>
      <c r="AQ12" s="198">
        <f>+AO12+AM12+AK12+AI12+AG12+AE12+AC12+AA12+Y12+W12+U12+S12+Q12+O12+M12+K12+I12+G12</f>
        <v>400</v>
      </c>
      <c r="AR12" s="199">
        <v>292.5</v>
      </c>
      <c r="AS12" s="200">
        <f>+AR12*AQ12</f>
        <v>117000</v>
      </c>
    </row>
    <row r="13" spans="1:45" x14ac:dyDescent="0.25">
      <c r="A13" s="201">
        <v>3</v>
      </c>
      <c r="B13" s="202"/>
      <c r="C13" s="192" t="s">
        <v>72</v>
      </c>
      <c r="D13" s="183" t="s">
        <v>73</v>
      </c>
      <c r="E13" s="203" t="s">
        <v>18</v>
      </c>
      <c r="F13" s="182" t="s">
        <v>19</v>
      </c>
      <c r="G13" s="182"/>
      <c r="H13" s="182"/>
      <c r="I13" s="182"/>
      <c r="J13" s="182"/>
      <c r="K13" s="204"/>
      <c r="L13" s="205"/>
      <c r="M13" s="206"/>
      <c r="N13" s="182"/>
      <c r="O13" s="204"/>
      <c r="P13" s="182"/>
      <c r="Q13" s="207">
        <v>10000</v>
      </c>
      <c r="R13" s="205">
        <f t="shared" ref="R13:R21" si="0">+Q13*AR13</f>
        <v>1130000</v>
      </c>
      <c r="S13" s="204"/>
      <c r="T13" s="182"/>
      <c r="U13" s="206"/>
      <c r="V13" s="182"/>
      <c r="W13" s="206"/>
      <c r="X13" s="182"/>
      <c r="Y13" s="206"/>
      <c r="Z13" s="182"/>
      <c r="AA13" s="206"/>
      <c r="AB13" s="182"/>
      <c r="AC13" s="206"/>
      <c r="AD13" s="182"/>
      <c r="AE13" s="206"/>
      <c r="AF13" s="182"/>
      <c r="AG13" s="206"/>
      <c r="AH13" s="182"/>
      <c r="AI13" s="206"/>
      <c r="AJ13" s="182"/>
      <c r="AK13" s="206"/>
      <c r="AL13" s="182"/>
      <c r="AM13" s="206"/>
      <c r="AN13" s="182"/>
      <c r="AO13" s="206"/>
      <c r="AP13" s="182"/>
      <c r="AQ13" s="208"/>
      <c r="AR13" s="209">
        <v>113</v>
      </c>
      <c r="AS13" s="209">
        <f t="shared" ref="AS13:AS21" si="1">+AR13*Q13</f>
        <v>1130000</v>
      </c>
    </row>
    <row r="14" spans="1:45" x14ac:dyDescent="0.25">
      <c r="A14" s="190">
        <v>4</v>
      </c>
      <c r="B14" s="202"/>
      <c r="C14" s="192" t="s">
        <v>72</v>
      </c>
      <c r="D14" s="183" t="s">
        <v>73</v>
      </c>
      <c r="E14" s="203" t="s">
        <v>22</v>
      </c>
      <c r="F14" s="182" t="s">
        <v>19</v>
      </c>
      <c r="G14" s="182"/>
      <c r="H14" s="182"/>
      <c r="I14" s="182"/>
      <c r="J14" s="182"/>
      <c r="K14" s="204"/>
      <c r="L14" s="205"/>
      <c r="M14" s="206"/>
      <c r="N14" s="182"/>
      <c r="O14" s="204"/>
      <c r="P14" s="182"/>
      <c r="Q14" s="207">
        <v>500</v>
      </c>
      <c r="R14" s="205">
        <f t="shared" si="0"/>
        <v>105000</v>
      </c>
      <c r="S14" s="204"/>
      <c r="T14" s="182"/>
      <c r="U14" s="206"/>
      <c r="V14" s="182"/>
      <c r="W14" s="206"/>
      <c r="X14" s="182"/>
      <c r="Y14" s="206"/>
      <c r="Z14" s="182"/>
      <c r="AA14" s="206"/>
      <c r="AB14" s="182"/>
      <c r="AC14" s="206"/>
      <c r="AD14" s="182"/>
      <c r="AE14" s="206"/>
      <c r="AF14" s="182"/>
      <c r="AG14" s="206"/>
      <c r="AH14" s="182"/>
      <c r="AI14" s="206"/>
      <c r="AJ14" s="182"/>
      <c r="AK14" s="206"/>
      <c r="AL14" s="182"/>
      <c r="AM14" s="206"/>
      <c r="AN14" s="182"/>
      <c r="AO14" s="206"/>
      <c r="AP14" s="182"/>
      <c r="AQ14" s="208"/>
      <c r="AR14" s="210">
        <v>210</v>
      </c>
      <c r="AS14" s="209">
        <f t="shared" si="1"/>
        <v>105000</v>
      </c>
    </row>
    <row r="15" spans="1:45" x14ac:dyDescent="0.25">
      <c r="A15" s="190">
        <v>5</v>
      </c>
      <c r="B15" s="202"/>
      <c r="C15" s="192" t="s">
        <v>72</v>
      </c>
      <c r="D15" s="183" t="s">
        <v>73</v>
      </c>
      <c r="E15" s="203" t="s">
        <v>49</v>
      </c>
      <c r="F15" s="182" t="s">
        <v>19</v>
      </c>
      <c r="G15" s="182"/>
      <c r="H15" s="182"/>
      <c r="I15" s="182"/>
      <c r="J15" s="182"/>
      <c r="K15" s="204"/>
      <c r="L15" s="205"/>
      <c r="M15" s="206"/>
      <c r="N15" s="182"/>
      <c r="O15" s="204"/>
      <c r="P15" s="182"/>
      <c r="Q15" s="207">
        <v>3000</v>
      </c>
      <c r="R15" s="205">
        <f t="shared" si="0"/>
        <v>239580</v>
      </c>
      <c r="S15" s="204"/>
      <c r="T15" s="182"/>
      <c r="U15" s="206"/>
      <c r="V15" s="182"/>
      <c r="W15" s="206"/>
      <c r="X15" s="182"/>
      <c r="Y15" s="206"/>
      <c r="Z15" s="182"/>
      <c r="AA15" s="206"/>
      <c r="AB15" s="182"/>
      <c r="AC15" s="206"/>
      <c r="AD15" s="182"/>
      <c r="AE15" s="206"/>
      <c r="AF15" s="182"/>
      <c r="AG15" s="206"/>
      <c r="AH15" s="182"/>
      <c r="AI15" s="206"/>
      <c r="AJ15" s="182"/>
      <c r="AK15" s="206"/>
      <c r="AL15" s="182"/>
      <c r="AM15" s="206"/>
      <c r="AN15" s="182"/>
      <c r="AO15" s="206"/>
      <c r="AP15" s="182"/>
      <c r="AQ15" s="208"/>
      <c r="AR15" s="210">
        <v>79.86</v>
      </c>
      <c r="AS15" s="209">
        <f t="shared" si="1"/>
        <v>239580</v>
      </c>
    </row>
    <row r="16" spans="1:45" x14ac:dyDescent="0.25">
      <c r="A16" s="201">
        <v>6</v>
      </c>
      <c r="B16" s="202"/>
      <c r="C16" s="192" t="s">
        <v>72</v>
      </c>
      <c r="D16" s="183" t="s">
        <v>73</v>
      </c>
      <c r="E16" s="203" t="s">
        <v>23</v>
      </c>
      <c r="F16" s="182" t="s">
        <v>19</v>
      </c>
      <c r="G16" s="182"/>
      <c r="H16" s="182"/>
      <c r="I16" s="182"/>
      <c r="J16" s="182"/>
      <c r="K16" s="204"/>
      <c r="L16" s="205"/>
      <c r="M16" s="206"/>
      <c r="N16" s="182"/>
      <c r="O16" s="204"/>
      <c r="P16" s="182"/>
      <c r="Q16" s="207">
        <v>2000</v>
      </c>
      <c r="R16" s="205">
        <f t="shared" si="0"/>
        <v>262220</v>
      </c>
      <c r="S16" s="204"/>
      <c r="T16" s="182"/>
      <c r="U16" s="206"/>
      <c r="V16" s="182"/>
      <c r="W16" s="206"/>
      <c r="X16" s="182"/>
      <c r="Y16" s="206"/>
      <c r="Z16" s="182"/>
      <c r="AA16" s="206"/>
      <c r="AB16" s="182"/>
      <c r="AC16" s="206"/>
      <c r="AD16" s="182"/>
      <c r="AE16" s="206"/>
      <c r="AF16" s="182"/>
      <c r="AG16" s="206"/>
      <c r="AH16" s="182"/>
      <c r="AI16" s="206"/>
      <c r="AJ16" s="182"/>
      <c r="AK16" s="206"/>
      <c r="AL16" s="182"/>
      <c r="AM16" s="206"/>
      <c r="AN16" s="182"/>
      <c r="AO16" s="206"/>
      <c r="AP16" s="182"/>
      <c r="AQ16" s="208"/>
      <c r="AR16" s="210">
        <v>131.11000000000001</v>
      </c>
      <c r="AS16" s="209">
        <f t="shared" si="1"/>
        <v>262220</v>
      </c>
    </row>
    <row r="17" spans="1:45" x14ac:dyDescent="0.25">
      <c r="A17" s="190">
        <v>7</v>
      </c>
      <c r="B17" s="202"/>
      <c r="C17" s="192" t="s">
        <v>72</v>
      </c>
      <c r="D17" s="183" t="s">
        <v>73</v>
      </c>
      <c r="E17" s="203" t="s">
        <v>50</v>
      </c>
      <c r="F17" s="182" t="s">
        <v>19</v>
      </c>
      <c r="G17" s="182"/>
      <c r="H17" s="182"/>
      <c r="I17" s="182"/>
      <c r="J17" s="182"/>
      <c r="K17" s="204"/>
      <c r="L17" s="205"/>
      <c r="M17" s="206"/>
      <c r="N17" s="182"/>
      <c r="O17" s="204"/>
      <c r="P17" s="182"/>
      <c r="Q17" s="207">
        <v>50</v>
      </c>
      <c r="R17" s="205">
        <f t="shared" si="0"/>
        <v>26700</v>
      </c>
      <c r="S17" s="204"/>
      <c r="T17" s="182"/>
      <c r="U17" s="206"/>
      <c r="V17" s="182"/>
      <c r="W17" s="206"/>
      <c r="X17" s="182"/>
      <c r="Y17" s="206"/>
      <c r="Z17" s="182"/>
      <c r="AA17" s="206"/>
      <c r="AB17" s="182"/>
      <c r="AC17" s="206"/>
      <c r="AD17" s="182"/>
      <c r="AE17" s="206"/>
      <c r="AF17" s="182"/>
      <c r="AG17" s="206"/>
      <c r="AH17" s="182"/>
      <c r="AI17" s="206"/>
      <c r="AJ17" s="182"/>
      <c r="AK17" s="206"/>
      <c r="AL17" s="182"/>
      <c r="AM17" s="206"/>
      <c r="AN17" s="182"/>
      <c r="AO17" s="206"/>
      <c r="AP17" s="182"/>
      <c r="AQ17" s="208"/>
      <c r="AR17" s="210">
        <v>534</v>
      </c>
      <c r="AS17" s="209">
        <f t="shared" si="1"/>
        <v>26700</v>
      </c>
    </row>
    <row r="18" spans="1:45" x14ac:dyDescent="0.25">
      <c r="A18" s="190">
        <v>8</v>
      </c>
      <c r="B18" s="202"/>
      <c r="C18" s="192" t="s">
        <v>72</v>
      </c>
      <c r="D18" s="183" t="s">
        <v>73</v>
      </c>
      <c r="E18" s="211" t="s">
        <v>74</v>
      </c>
      <c r="F18" s="182" t="s">
        <v>19</v>
      </c>
      <c r="G18" s="182"/>
      <c r="H18" s="182"/>
      <c r="I18" s="182"/>
      <c r="J18" s="182"/>
      <c r="K18" s="204"/>
      <c r="L18" s="205"/>
      <c r="M18" s="206"/>
      <c r="N18" s="182"/>
      <c r="O18" s="204"/>
      <c r="P18" s="182"/>
      <c r="Q18" s="207">
        <v>60</v>
      </c>
      <c r="R18" s="205">
        <f t="shared" si="0"/>
        <v>546000</v>
      </c>
      <c r="S18" s="204"/>
      <c r="T18" s="182"/>
      <c r="U18" s="206"/>
      <c r="V18" s="182"/>
      <c r="W18" s="206"/>
      <c r="X18" s="182"/>
      <c r="Y18" s="206"/>
      <c r="Z18" s="182"/>
      <c r="AA18" s="206"/>
      <c r="AB18" s="182"/>
      <c r="AC18" s="206"/>
      <c r="AD18" s="182"/>
      <c r="AE18" s="206"/>
      <c r="AF18" s="182"/>
      <c r="AG18" s="206"/>
      <c r="AH18" s="182"/>
      <c r="AI18" s="206"/>
      <c r="AJ18" s="182"/>
      <c r="AK18" s="206"/>
      <c r="AL18" s="182"/>
      <c r="AM18" s="206"/>
      <c r="AN18" s="182"/>
      <c r="AO18" s="206"/>
      <c r="AP18" s="182"/>
      <c r="AQ18" s="208"/>
      <c r="AR18" s="209">
        <v>9100</v>
      </c>
      <c r="AS18" s="209">
        <f t="shared" si="1"/>
        <v>546000</v>
      </c>
    </row>
    <row r="19" spans="1:45" x14ac:dyDescent="0.25">
      <c r="A19" s="201">
        <v>9</v>
      </c>
      <c r="B19" s="202"/>
      <c r="C19" s="192" t="s">
        <v>72</v>
      </c>
      <c r="D19" s="183" t="s">
        <v>73</v>
      </c>
      <c r="E19" s="203" t="s">
        <v>127</v>
      </c>
      <c r="F19" s="182" t="s">
        <v>19</v>
      </c>
      <c r="G19" s="182"/>
      <c r="H19" s="182"/>
      <c r="I19" s="182"/>
      <c r="J19" s="182"/>
      <c r="K19" s="204"/>
      <c r="L19" s="205"/>
      <c r="M19" s="206"/>
      <c r="N19" s="182"/>
      <c r="O19" s="204"/>
      <c r="P19" s="182"/>
      <c r="Q19" s="206">
        <v>100</v>
      </c>
      <c r="R19" s="205">
        <f t="shared" si="0"/>
        <v>65000</v>
      </c>
      <c r="S19" s="204"/>
      <c r="T19" s="182"/>
      <c r="U19" s="206"/>
      <c r="V19" s="182"/>
      <c r="W19" s="206"/>
      <c r="X19" s="182"/>
      <c r="Y19" s="206"/>
      <c r="Z19" s="182"/>
      <c r="AA19" s="206"/>
      <c r="AB19" s="182"/>
      <c r="AC19" s="206"/>
      <c r="AD19" s="182"/>
      <c r="AE19" s="206"/>
      <c r="AF19" s="182"/>
      <c r="AG19" s="206"/>
      <c r="AH19" s="182"/>
      <c r="AI19" s="206"/>
      <c r="AJ19" s="182"/>
      <c r="AK19" s="206"/>
      <c r="AL19" s="182"/>
      <c r="AM19" s="206"/>
      <c r="AN19" s="182"/>
      <c r="AO19" s="206"/>
      <c r="AP19" s="182"/>
      <c r="AQ19" s="208"/>
      <c r="AR19" s="209">
        <v>650</v>
      </c>
      <c r="AS19" s="209">
        <f t="shared" si="1"/>
        <v>65000</v>
      </c>
    </row>
    <row r="20" spans="1:45" x14ac:dyDescent="0.25">
      <c r="A20" s="190">
        <v>11</v>
      </c>
      <c r="B20" s="202"/>
      <c r="C20" s="192" t="s">
        <v>72</v>
      </c>
      <c r="D20" s="183" t="s">
        <v>73</v>
      </c>
      <c r="E20" s="212" t="s">
        <v>54</v>
      </c>
      <c r="F20" s="182" t="s">
        <v>19</v>
      </c>
      <c r="G20" s="182"/>
      <c r="H20" s="182"/>
      <c r="I20" s="182"/>
      <c r="J20" s="182"/>
      <c r="K20" s="204"/>
      <c r="L20" s="205"/>
      <c r="M20" s="206"/>
      <c r="N20" s="182"/>
      <c r="O20" s="204"/>
      <c r="P20" s="182"/>
      <c r="Q20" s="206">
        <v>50</v>
      </c>
      <c r="R20" s="205">
        <f t="shared" si="0"/>
        <v>55000</v>
      </c>
      <c r="S20" s="204"/>
      <c r="T20" s="182"/>
      <c r="U20" s="206"/>
      <c r="V20" s="182"/>
      <c r="W20" s="206"/>
      <c r="X20" s="182"/>
      <c r="Y20" s="206"/>
      <c r="Z20" s="182"/>
      <c r="AA20" s="206"/>
      <c r="AB20" s="182"/>
      <c r="AC20" s="206"/>
      <c r="AD20" s="182"/>
      <c r="AE20" s="206"/>
      <c r="AF20" s="182"/>
      <c r="AG20" s="206"/>
      <c r="AH20" s="182"/>
      <c r="AI20" s="206"/>
      <c r="AJ20" s="182"/>
      <c r="AK20" s="206"/>
      <c r="AL20" s="182"/>
      <c r="AM20" s="206"/>
      <c r="AN20" s="182"/>
      <c r="AO20" s="206"/>
      <c r="AP20" s="182"/>
      <c r="AQ20" s="208"/>
      <c r="AR20" s="209">
        <v>1100</v>
      </c>
      <c r="AS20" s="209">
        <f t="shared" si="1"/>
        <v>55000</v>
      </c>
    </row>
    <row r="21" spans="1:45" x14ac:dyDescent="0.25">
      <c r="A21" s="201">
        <v>12</v>
      </c>
      <c r="B21" s="202"/>
      <c r="C21" s="192" t="s">
        <v>72</v>
      </c>
      <c r="D21" s="183" t="s">
        <v>73</v>
      </c>
      <c r="E21" s="203" t="s">
        <v>33</v>
      </c>
      <c r="F21" s="182" t="s">
        <v>19</v>
      </c>
      <c r="G21" s="182"/>
      <c r="H21" s="182"/>
      <c r="I21" s="182"/>
      <c r="J21" s="182"/>
      <c r="K21" s="204"/>
      <c r="L21" s="205"/>
      <c r="M21" s="206"/>
      <c r="N21" s="182"/>
      <c r="O21" s="204"/>
      <c r="P21" s="182"/>
      <c r="Q21" s="206">
        <v>100</v>
      </c>
      <c r="R21" s="205">
        <f t="shared" si="0"/>
        <v>68000</v>
      </c>
      <c r="S21" s="204"/>
      <c r="T21" s="182"/>
      <c r="U21" s="206"/>
      <c r="V21" s="182"/>
      <c r="W21" s="206"/>
      <c r="X21" s="182"/>
      <c r="Y21" s="206"/>
      <c r="Z21" s="182"/>
      <c r="AA21" s="206"/>
      <c r="AB21" s="182"/>
      <c r="AC21" s="206"/>
      <c r="AD21" s="182"/>
      <c r="AE21" s="206"/>
      <c r="AF21" s="182"/>
      <c r="AG21" s="206"/>
      <c r="AH21" s="182"/>
      <c r="AI21" s="206"/>
      <c r="AJ21" s="182"/>
      <c r="AK21" s="206"/>
      <c r="AL21" s="182"/>
      <c r="AM21" s="206"/>
      <c r="AN21" s="182"/>
      <c r="AO21" s="206"/>
      <c r="AP21" s="182"/>
      <c r="AQ21" s="208"/>
      <c r="AR21" s="209">
        <v>680</v>
      </c>
      <c r="AS21" s="209">
        <f t="shared" si="1"/>
        <v>68000</v>
      </c>
    </row>
    <row r="22" spans="1:45" x14ac:dyDescent="0.25">
      <c r="A22" s="169"/>
      <c r="B22" s="170"/>
      <c r="C22" s="169"/>
      <c r="D22" s="171"/>
      <c r="E22" s="177" t="s">
        <v>128</v>
      </c>
      <c r="F22" s="171"/>
      <c r="G22" s="171"/>
      <c r="H22" s="171"/>
      <c r="I22" s="171"/>
      <c r="J22" s="171"/>
      <c r="K22" s="172"/>
      <c r="L22" s="173"/>
      <c r="M22" s="174"/>
      <c r="N22" s="171"/>
      <c r="O22" s="172"/>
      <c r="P22" s="171"/>
      <c r="Q22" s="174"/>
      <c r="R22" s="178">
        <f>SUM(R11:R21)</f>
        <v>2497500</v>
      </c>
      <c r="S22" s="172"/>
      <c r="T22" s="178">
        <f>SUM(T11:T21)</f>
        <v>321630</v>
      </c>
      <c r="U22" s="174"/>
      <c r="V22" s="178">
        <f>SUM(V11:V21)</f>
        <v>29250</v>
      </c>
      <c r="W22" s="174"/>
      <c r="X22" s="171"/>
      <c r="Y22" s="174"/>
      <c r="Z22" s="171"/>
      <c r="AA22" s="174"/>
      <c r="AB22" s="171"/>
      <c r="AC22" s="174"/>
      <c r="AD22" s="171"/>
      <c r="AE22" s="174"/>
      <c r="AF22" s="171"/>
      <c r="AG22" s="174"/>
      <c r="AH22" s="171"/>
      <c r="AI22" s="174"/>
      <c r="AJ22" s="171"/>
      <c r="AK22" s="174"/>
      <c r="AL22" s="171"/>
      <c r="AM22" s="174"/>
      <c r="AN22" s="171"/>
      <c r="AO22" s="174"/>
      <c r="AP22" s="171"/>
      <c r="AQ22" s="175"/>
      <c r="AR22" s="176"/>
      <c r="AS22" s="176">
        <f>SUM(AS11:AS21)</f>
        <v>2848380</v>
      </c>
    </row>
    <row r="23" spans="1:45" x14ac:dyDescent="0.25">
      <c r="A23" s="114"/>
      <c r="B23" s="153"/>
      <c r="C23" s="114"/>
      <c r="D23" s="124"/>
      <c r="E23" s="127"/>
      <c r="F23" s="124"/>
      <c r="G23" s="124"/>
      <c r="H23" s="124"/>
      <c r="I23" s="124"/>
      <c r="J23" s="124"/>
      <c r="K23" s="154"/>
      <c r="L23" s="155"/>
      <c r="M23" s="156"/>
      <c r="N23" s="124"/>
      <c r="O23" s="154"/>
      <c r="P23" s="124"/>
      <c r="Q23" s="156"/>
      <c r="R23" s="124"/>
      <c r="S23" s="154"/>
      <c r="T23" s="124"/>
      <c r="U23" s="156"/>
      <c r="V23" s="124"/>
      <c r="W23" s="156"/>
      <c r="X23" s="124"/>
      <c r="Y23" s="156"/>
      <c r="Z23" s="124"/>
      <c r="AA23" s="156"/>
      <c r="AB23" s="124"/>
      <c r="AC23" s="156"/>
      <c r="AD23" s="124"/>
      <c r="AE23" s="156"/>
      <c r="AF23" s="124"/>
      <c r="AG23" s="156"/>
      <c r="AH23" s="124"/>
      <c r="AI23" s="156"/>
      <c r="AJ23" s="124"/>
      <c r="AK23" s="156"/>
      <c r="AL23" s="124"/>
      <c r="AM23" s="156"/>
      <c r="AN23" s="124"/>
      <c r="AO23" s="156"/>
      <c r="AP23" s="124"/>
      <c r="AQ23" s="157"/>
      <c r="AR23" s="158"/>
      <c r="AS23" s="159"/>
    </row>
    <row r="24" spans="1:45" ht="147.75" customHeight="1" x14ac:dyDescent="0.25">
      <c r="A24" s="114"/>
      <c r="B24" s="179" t="s">
        <v>129</v>
      </c>
      <c r="C24" s="324" t="s">
        <v>130</v>
      </c>
      <c r="D24" s="324"/>
      <c r="E24" s="324"/>
      <c r="F24" s="324"/>
      <c r="G24" s="324"/>
      <c r="H24" s="324"/>
      <c r="I24" s="324"/>
      <c r="J24" s="324"/>
      <c r="K24" s="324"/>
      <c r="L24" s="324"/>
      <c r="M24" s="324"/>
      <c r="N24" s="324"/>
      <c r="O24" s="324"/>
      <c r="P24" s="324"/>
      <c r="Q24" s="324"/>
      <c r="R24" s="324"/>
      <c r="S24" s="324"/>
      <c r="T24" s="324"/>
      <c r="U24" s="324"/>
      <c r="V24" s="124"/>
      <c r="W24" s="156"/>
      <c r="X24" s="124"/>
      <c r="Y24" s="156"/>
      <c r="Z24" s="124"/>
      <c r="AA24" s="156"/>
      <c r="AB24" s="124"/>
      <c r="AC24" s="156"/>
      <c r="AD24" s="124"/>
      <c r="AE24" s="156"/>
      <c r="AF24" s="124"/>
      <c r="AG24" s="156"/>
      <c r="AH24" s="124"/>
      <c r="AI24" s="156"/>
      <c r="AJ24" s="124"/>
      <c r="AK24" s="156"/>
      <c r="AL24" s="124"/>
      <c r="AM24" s="156"/>
      <c r="AN24" s="124"/>
      <c r="AO24" s="156"/>
      <c r="AP24" s="124"/>
      <c r="AQ24" s="157"/>
      <c r="AR24" s="158"/>
      <c r="AS24" s="159"/>
    </row>
    <row r="25" spans="1:45" x14ac:dyDescent="0.25">
      <c r="A25" s="114"/>
      <c r="B25" s="153"/>
      <c r="C25" s="114"/>
      <c r="D25" s="124"/>
      <c r="E25" s="127"/>
      <c r="F25" s="124"/>
      <c r="G25" s="124"/>
      <c r="H25" s="124"/>
      <c r="I25" s="124"/>
      <c r="J25" s="124"/>
      <c r="K25" s="154"/>
      <c r="L25" s="155"/>
      <c r="M25" s="156"/>
      <c r="N25" s="124"/>
      <c r="O25" s="154"/>
      <c r="P25" s="124"/>
      <c r="Q25" s="156"/>
      <c r="R25" s="124"/>
      <c r="S25" s="154"/>
      <c r="T25" s="124"/>
      <c r="U25" s="156"/>
      <c r="V25" s="124"/>
      <c r="W25" s="156"/>
      <c r="X25" s="124"/>
      <c r="Y25" s="156"/>
      <c r="Z25" s="124"/>
      <c r="AA25" s="156"/>
      <c r="AB25" s="124"/>
      <c r="AC25" s="156"/>
      <c r="AD25" s="124"/>
      <c r="AE25" s="156"/>
      <c r="AF25" s="124"/>
      <c r="AG25" s="156"/>
      <c r="AH25" s="124"/>
      <c r="AI25" s="156"/>
      <c r="AJ25" s="124"/>
      <c r="AK25" s="156"/>
      <c r="AL25" s="124"/>
      <c r="AM25" s="156"/>
      <c r="AN25" s="124"/>
      <c r="AO25" s="156"/>
      <c r="AP25" s="124"/>
      <c r="AQ25" s="157"/>
      <c r="AR25" s="158"/>
      <c r="AS25" s="159"/>
    </row>
    <row r="26" spans="1:45" ht="30" x14ac:dyDescent="0.25">
      <c r="A26" s="114"/>
      <c r="B26" s="153" t="s">
        <v>35</v>
      </c>
      <c r="C26" s="114"/>
      <c r="D26" s="124"/>
      <c r="E26" s="127"/>
      <c r="F26" s="124"/>
      <c r="G26" s="124"/>
      <c r="H26" s="124"/>
      <c r="I26" s="124"/>
      <c r="J26" s="124"/>
      <c r="K26" s="154"/>
      <c r="L26" s="155"/>
      <c r="M26" s="156"/>
      <c r="N26" s="124"/>
      <c r="O26" s="154"/>
      <c r="P26" s="124"/>
      <c r="Q26" s="156"/>
      <c r="R26" s="124"/>
      <c r="S26" s="154"/>
      <c r="T26" s="124"/>
      <c r="U26" s="156"/>
      <c r="V26" s="124"/>
      <c r="W26" s="156"/>
      <c r="X26" s="124"/>
      <c r="Y26" s="156"/>
      <c r="Z26" s="124"/>
      <c r="AA26" s="156"/>
      <c r="AB26" s="124"/>
      <c r="AC26" s="156"/>
      <c r="AD26" s="124"/>
      <c r="AE26" s="156"/>
      <c r="AF26" s="124"/>
      <c r="AG26" s="156"/>
      <c r="AH26" s="124"/>
      <c r="AI26" s="156"/>
      <c r="AJ26" s="124"/>
      <c r="AK26" s="156"/>
      <c r="AL26" s="124"/>
      <c r="AM26" s="156"/>
      <c r="AN26" s="124"/>
      <c r="AO26" s="156"/>
      <c r="AP26" s="124"/>
      <c r="AQ26" s="157"/>
      <c r="AR26" s="158"/>
      <c r="AS26" s="159"/>
    </row>
    <row r="27" spans="1:45" x14ac:dyDescent="0.25">
      <c r="A27" s="114"/>
      <c r="B27" s="153"/>
      <c r="C27" s="114"/>
      <c r="D27" s="124"/>
      <c r="E27" s="127"/>
      <c r="F27" s="124"/>
      <c r="G27" s="124"/>
      <c r="H27" s="124"/>
      <c r="I27" s="124"/>
      <c r="J27" s="124"/>
      <c r="K27" s="154"/>
      <c r="L27" s="155"/>
      <c r="M27" s="156"/>
      <c r="N27" s="124"/>
      <c r="O27" s="154"/>
      <c r="P27" s="124"/>
      <c r="Q27" s="156"/>
      <c r="R27" s="124"/>
      <c r="S27" s="154"/>
      <c r="T27" s="124"/>
      <c r="U27" s="156"/>
      <c r="V27" s="124"/>
      <c r="W27" s="156"/>
      <c r="X27" s="124"/>
      <c r="Y27" s="156"/>
      <c r="Z27" s="124"/>
      <c r="AA27" s="156"/>
      <c r="AB27" s="124"/>
      <c r="AC27" s="156"/>
      <c r="AD27" s="124"/>
      <c r="AE27" s="156"/>
      <c r="AF27" s="124"/>
      <c r="AG27" s="156"/>
      <c r="AH27" s="124"/>
      <c r="AI27" s="156"/>
      <c r="AJ27" s="124"/>
      <c r="AK27" s="156"/>
      <c r="AL27" s="124"/>
      <c r="AM27" s="156"/>
      <c r="AN27" s="124"/>
      <c r="AO27" s="156"/>
      <c r="AP27" s="124"/>
      <c r="AQ27" s="157"/>
      <c r="AR27" s="158"/>
      <c r="AS27" s="159"/>
    </row>
    <row r="28" spans="1:45" x14ac:dyDescent="0.25">
      <c r="A28" s="114"/>
      <c r="B28" s="153" t="s">
        <v>131</v>
      </c>
      <c r="C28" s="114" t="s">
        <v>132</v>
      </c>
      <c r="D28" s="124"/>
      <c r="E28" s="127"/>
      <c r="F28" s="124"/>
      <c r="G28" s="124"/>
      <c r="H28" s="124"/>
      <c r="I28" s="124"/>
      <c r="J28" s="124"/>
      <c r="K28" s="154"/>
      <c r="L28" s="155"/>
      <c r="M28" s="156"/>
      <c r="N28" s="124"/>
      <c r="O28" s="154"/>
      <c r="P28" s="124"/>
      <c r="Q28" s="156"/>
      <c r="R28" s="124"/>
      <c r="S28" s="154"/>
      <c r="T28" s="124"/>
      <c r="U28" s="156"/>
      <c r="V28" s="124"/>
      <c r="W28" s="156"/>
      <c r="X28" s="124"/>
      <c r="Y28" s="156"/>
      <c r="Z28" s="124"/>
      <c r="AA28" s="156"/>
      <c r="AB28" s="124"/>
      <c r="AC28" s="156"/>
      <c r="AD28" s="124"/>
      <c r="AE28" s="156"/>
      <c r="AF28" s="124"/>
      <c r="AG28" s="156"/>
      <c r="AH28" s="124"/>
      <c r="AI28" s="156"/>
      <c r="AJ28" s="124"/>
      <c r="AK28" s="156"/>
      <c r="AL28" s="124"/>
      <c r="AM28" s="156"/>
      <c r="AN28" s="124"/>
      <c r="AO28" s="156"/>
      <c r="AP28" s="124"/>
      <c r="AQ28" s="157"/>
      <c r="AR28" s="158"/>
      <c r="AS28" s="159"/>
    </row>
    <row r="29" spans="1:45" x14ac:dyDescent="0.25">
      <c r="A29" s="114"/>
      <c r="B29" s="153"/>
      <c r="C29" s="114"/>
      <c r="D29" s="124"/>
      <c r="E29" s="127"/>
      <c r="F29" s="124"/>
      <c r="G29" s="124"/>
      <c r="H29" s="124"/>
      <c r="I29" s="124"/>
      <c r="J29" s="124"/>
      <c r="K29" s="154"/>
      <c r="L29" s="155"/>
      <c r="M29" s="156"/>
      <c r="N29" s="124"/>
      <c r="O29" s="154"/>
      <c r="P29" s="124"/>
      <c r="Q29" s="156"/>
      <c r="R29" s="124"/>
      <c r="S29" s="154"/>
      <c r="T29" s="124"/>
      <c r="U29" s="156"/>
      <c r="V29" s="124"/>
      <c r="W29" s="156"/>
      <c r="X29" s="124"/>
      <c r="Y29" s="156"/>
      <c r="Z29" s="124"/>
      <c r="AA29" s="156"/>
      <c r="AB29" s="124"/>
      <c r="AC29" s="156"/>
      <c r="AD29" s="124"/>
      <c r="AE29" s="156"/>
      <c r="AF29" s="124"/>
      <c r="AG29" s="156"/>
      <c r="AH29" s="124"/>
      <c r="AI29" s="156"/>
      <c r="AJ29" s="124"/>
      <c r="AK29" s="156"/>
      <c r="AL29" s="124"/>
      <c r="AM29" s="156"/>
      <c r="AN29" s="124"/>
      <c r="AO29" s="156"/>
      <c r="AP29" s="124"/>
      <c r="AQ29" s="157"/>
      <c r="AR29" s="158"/>
      <c r="AS29" s="159"/>
    </row>
    <row r="30" spans="1:45" ht="30" x14ac:dyDescent="0.25">
      <c r="A30" s="114"/>
      <c r="B30" s="153" t="s">
        <v>133</v>
      </c>
      <c r="C30" s="319" t="s">
        <v>134</v>
      </c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  <c r="AD30" s="319"/>
      <c r="AE30" s="319"/>
      <c r="AF30" s="124"/>
      <c r="AG30" s="156"/>
      <c r="AH30" s="124"/>
      <c r="AI30" s="156"/>
      <c r="AJ30" s="124"/>
      <c r="AK30" s="156"/>
      <c r="AL30" s="124"/>
      <c r="AM30" s="156"/>
      <c r="AN30" s="124"/>
      <c r="AO30" s="156"/>
      <c r="AP30" s="124"/>
      <c r="AQ30" s="157"/>
      <c r="AR30" s="158"/>
      <c r="AS30" s="159"/>
    </row>
    <row r="31" spans="1:45" x14ac:dyDescent="0.25">
      <c r="A31" s="114"/>
      <c r="B31" s="153"/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  <c r="AD31" s="319"/>
      <c r="AE31" s="319"/>
      <c r="AF31" s="124"/>
      <c r="AG31" s="156"/>
      <c r="AH31" s="124"/>
      <c r="AI31" s="156"/>
      <c r="AJ31" s="124"/>
      <c r="AK31" s="156"/>
      <c r="AL31" s="124"/>
      <c r="AM31" s="156"/>
      <c r="AN31" s="124"/>
      <c r="AO31" s="156"/>
      <c r="AP31" s="124"/>
      <c r="AQ31" s="157"/>
      <c r="AR31" s="158"/>
      <c r="AS31" s="159"/>
    </row>
    <row r="32" spans="1:45" x14ac:dyDescent="0.25">
      <c r="A32" s="114"/>
      <c r="B32" s="153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124"/>
      <c r="AG32" s="156"/>
      <c r="AH32" s="124"/>
      <c r="AI32" s="156"/>
      <c r="AJ32" s="124"/>
      <c r="AK32" s="156"/>
      <c r="AL32" s="124"/>
      <c r="AM32" s="156"/>
      <c r="AN32" s="124"/>
      <c r="AO32" s="156"/>
      <c r="AP32" s="124"/>
      <c r="AQ32" s="157"/>
      <c r="AR32" s="158"/>
      <c r="AS32" s="159"/>
    </row>
    <row r="33" spans="1:45" x14ac:dyDescent="0.25">
      <c r="A33" s="114"/>
      <c r="B33" s="153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  <c r="AA33" s="319"/>
      <c r="AB33" s="319"/>
      <c r="AC33" s="319"/>
      <c r="AD33" s="319"/>
      <c r="AE33" s="319"/>
      <c r="AF33" s="124"/>
      <c r="AG33" s="156"/>
      <c r="AH33" s="124"/>
      <c r="AI33" s="156"/>
      <c r="AJ33" s="124"/>
      <c r="AK33" s="156"/>
      <c r="AL33" s="124"/>
      <c r="AM33" s="156"/>
      <c r="AN33" s="124"/>
      <c r="AO33" s="156"/>
      <c r="AP33" s="124"/>
      <c r="AQ33" s="157"/>
      <c r="AR33" s="158"/>
      <c r="AS33" s="159"/>
    </row>
    <row r="34" spans="1:45" ht="30" x14ac:dyDescent="0.25">
      <c r="A34" s="114"/>
      <c r="B34" s="153" t="s">
        <v>39</v>
      </c>
      <c r="C34" s="114"/>
      <c r="D34" s="124"/>
      <c r="E34" s="127"/>
      <c r="F34" s="124"/>
      <c r="G34" s="124"/>
      <c r="H34" s="124"/>
      <c r="I34" s="124"/>
      <c r="J34" s="124"/>
      <c r="K34" s="154"/>
      <c r="L34" s="155"/>
      <c r="M34" s="156"/>
      <c r="N34" s="124"/>
      <c r="O34" s="154"/>
      <c r="P34" s="124"/>
      <c r="Q34" s="156"/>
      <c r="R34" s="124"/>
      <c r="S34" s="154"/>
      <c r="T34" s="124"/>
      <c r="U34" s="156"/>
      <c r="V34" s="124"/>
      <c r="W34" s="156"/>
      <c r="X34" s="124"/>
      <c r="Y34" s="156"/>
      <c r="Z34" s="124"/>
      <c r="AA34" s="156"/>
      <c r="AB34" s="124"/>
      <c r="AC34" s="156"/>
      <c r="AD34" s="124"/>
      <c r="AE34" s="156"/>
      <c r="AF34" s="124"/>
      <c r="AG34" s="156"/>
      <c r="AH34" s="124"/>
      <c r="AI34" s="156"/>
      <c r="AJ34" s="124"/>
      <c r="AK34" s="156"/>
      <c r="AL34" s="124"/>
      <c r="AM34" s="156"/>
      <c r="AN34" s="124"/>
      <c r="AO34" s="156"/>
      <c r="AP34" s="124"/>
      <c r="AQ34" s="157"/>
      <c r="AR34" s="158"/>
      <c r="AS34" s="159"/>
    </row>
    <row r="35" spans="1:45" x14ac:dyDescent="0.25">
      <c r="A35" s="114"/>
      <c r="B35" s="153"/>
      <c r="C35" s="114"/>
      <c r="D35" s="124"/>
      <c r="E35" s="127"/>
      <c r="F35" s="124"/>
      <c r="G35" s="124"/>
      <c r="H35" s="124"/>
      <c r="I35" s="124"/>
      <c r="J35" s="124"/>
      <c r="K35" s="154"/>
      <c r="L35" s="155"/>
      <c r="M35" s="156"/>
      <c r="N35" s="124"/>
      <c r="O35" s="154"/>
      <c r="P35" s="124"/>
      <c r="Q35" s="156"/>
      <c r="R35" s="124"/>
      <c r="S35" s="154"/>
      <c r="T35" s="124"/>
      <c r="U35" s="156"/>
      <c r="V35" s="124"/>
      <c r="W35" s="156"/>
      <c r="X35" s="124"/>
      <c r="Y35" s="156"/>
      <c r="Z35" s="124"/>
      <c r="AA35" s="156"/>
      <c r="AB35" s="124"/>
      <c r="AC35" s="156"/>
      <c r="AD35" s="124"/>
      <c r="AE35" s="156"/>
      <c r="AF35" s="124"/>
      <c r="AG35" s="156"/>
      <c r="AH35" s="124"/>
      <c r="AI35" s="156"/>
      <c r="AJ35" s="124"/>
      <c r="AK35" s="156"/>
      <c r="AL35" s="124"/>
      <c r="AM35" s="156"/>
      <c r="AN35" s="124"/>
      <c r="AO35" s="156"/>
      <c r="AP35" s="124"/>
      <c r="AQ35" s="157"/>
      <c r="AR35" s="158"/>
      <c r="AS35" s="159"/>
    </row>
    <row r="36" spans="1:45" x14ac:dyDescent="0.25">
      <c r="A36" s="114"/>
      <c r="B36" s="153" t="s">
        <v>40</v>
      </c>
      <c r="C36" s="114" t="s">
        <v>135</v>
      </c>
      <c r="D36" s="124"/>
      <c r="E36" s="127"/>
      <c r="F36" s="124"/>
      <c r="G36" s="124"/>
      <c r="H36" s="124"/>
      <c r="I36" s="124"/>
      <c r="J36" s="124"/>
      <c r="K36" s="154"/>
      <c r="L36" s="155"/>
      <c r="M36" s="156"/>
      <c r="N36" s="124"/>
      <c r="O36" s="154"/>
      <c r="P36" s="124"/>
      <c r="Q36" s="156"/>
      <c r="R36" s="124"/>
      <c r="S36" s="154"/>
      <c r="T36" s="124"/>
      <c r="U36" s="156"/>
      <c r="V36" s="124"/>
      <c r="W36" s="156"/>
      <c r="X36" s="124"/>
      <c r="Y36" s="156"/>
      <c r="Z36" s="124"/>
      <c r="AA36" s="156"/>
      <c r="AB36" s="124"/>
      <c r="AC36" s="156"/>
      <c r="AD36" s="124"/>
      <c r="AE36" s="156"/>
      <c r="AF36" s="124"/>
      <c r="AG36" s="156"/>
      <c r="AH36" s="124"/>
      <c r="AI36" s="156"/>
      <c r="AJ36" s="124"/>
      <c r="AK36" s="156"/>
      <c r="AL36" s="124"/>
      <c r="AM36" s="156"/>
      <c r="AN36" s="124"/>
      <c r="AO36" s="156"/>
      <c r="AP36" s="124"/>
      <c r="AQ36" s="157"/>
      <c r="AR36" s="158"/>
      <c r="AS36" s="159"/>
    </row>
    <row r="37" spans="1:45" x14ac:dyDescent="0.25">
      <c r="A37" s="114"/>
      <c r="B37" s="153"/>
      <c r="C37" s="114"/>
      <c r="D37" s="124"/>
      <c r="E37" s="127"/>
      <c r="F37" s="124"/>
      <c r="G37" s="124"/>
      <c r="H37" s="124"/>
      <c r="I37" s="124"/>
      <c r="J37" s="124"/>
      <c r="K37" s="154"/>
      <c r="L37" s="155"/>
      <c r="M37" s="156"/>
      <c r="N37" s="124"/>
      <c r="O37" s="154"/>
      <c r="P37" s="124"/>
      <c r="Q37" s="156"/>
      <c r="R37" s="124"/>
      <c r="S37" s="154"/>
      <c r="T37" s="124"/>
      <c r="U37" s="156"/>
      <c r="V37" s="124"/>
      <c r="W37" s="156"/>
      <c r="X37" s="124"/>
      <c r="Y37" s="156"/>
      <c r="Z37" s="124"/>
      <c r="AA37" s="156"/>
      <c r="AB37" s="124"/>
      <c r="AC37" s="156"/>
      <c r="AD37" s="124"/>
      <c r="AE37" s="156"/>
      <c r="AF37" s="124"/>
      <c r="AG37" s="156"/>
      <c r="AH37" s="124"/>
      <c r="AI37" s="156"/>
      <c r="AJ37" s="124"/>
      <c r="AK37" s="156"/>
      <c r="AL37" s="124"/>
      <c r="AM37" s="156"/>
      <c r="AN37" s="124"/>
      <c r="AO37" s="156"/>
      <c r="AP37" s="124"/>
      <c r="AQ37" s="157"/>
      <c r="AR37" s="158"/>
      <c r="AS37" s="159"/>
    </row>
    <row r="38" spans="1:45" x14ac:dyDescent="0.25">
      <c r="A38" s="114"/>
      <c r="B38" s="153"/>
      <c r="C38" s="114"/>
      <c r="D38" s="124"/>
      <c r="E38" s="127"/>
      <c r="F38" s="124"/>
      <c r="G38" s="124"/>
      <c r="H38" s="124"/>
      <c r="I38" s="124"/>
      <c r="J38" s="124"/>
      <c r="K38" s="154"/>
      <c r="L38" s="155"/>
      <c r="M38" s="156"/>
      <c r="N38" s="124"/>
      <c r="O38" s="154"/>
      <c r="P38" s="124"/>
      <c r="Q38" s="156"/>
      <c r="R38" s="124"/>
      <c r="S38" s="154"/>
      <c r="T38" s="124"/>
      <c r="U38" s="156"/>
      <c r="V38" s="124"/>
      <c r="W38" s="156"/>
      <c r="X38" s="124"/>
      <c r="Y38" s="156"/>
      <c r="Z38" s="124"/>
      <c r="AA38" s="156"/>
      <c r="AB38" s="124"/>
      <c r="AC38" s="156"/>
      <c r="AD38" s="124"/>
      <c r="AE38" s="156"/>
      <c r="AF38" s="124"/>
      <c r="AG38" s="156"/>
      <c r="AH38" s="124"/>
      <c r="AI38" s="156"/>
      <c r="AJ38" s="124"/>
      <c r="AK38" s="156"/>
      <c r="AL38" s="124"/>
      <c r="AM38" s="156"/>
      <c r="AN38" s="124"/>
      <c r="AO38" s="156"/>
      <c r="AP38" s="124"/>
      <c r="AQ38" s="157"/>
      <c r="AR38" s="158"/>
      <c r="AS38" s="159"/>
    </row>
    <row r="39" spans="1:45" x14ac:dyDescent="0.25">
      <c r="A39" s="114"/>
      <c r="B39" s="153"/>
      <c r="C39" s="114"/>
      <c r="D39" s="124"/>
      <c r="E39" s="127"/>
      <c r="F39" s="124"/>
      <c r="G39" s="124"/>
      <c r="H39" s="124"/>
      <c r="I39" s="124"/>
      <c r="J39" s="124"/>
      <c r="K39" s="154"/>
      <c r="L39" s="155"/>
      <c r="M39" s="156"/>
      <c r="N39" s="124"/>
      <c r="O39" s="154"/>
      <c r="P39" s="124"/>
      <c r="Q39" s="156"/>
      <c r="R39" s="124"/>
      <c r="S39" s="154"/>
      <c r="T39" s="124"/>
      <c r="U39" s="156"/>
      <c r="V39" s="124"/>
      <c r="W39" s="156"/>
      <c r="X39" s="124"/>
      <c r="Y39" s="156"/>
      <c r="Z39" s="124"/>
      <c r="AA39" s="156"/>
      <c r="AB39" s="124"/>
      <c r="AC39" s="156"/>
      <c r="AD39" s="124"/>
      <c r="AE39" s="156"/>
      <c r="AF39" s="124"/>
      <c r="AG39" s="156"/>
      <c r="AH39" s="124"/>
      <c r="AI39" s="156"/>
      <c r="AJ39" s="124"/>
      <c r="AK39" s="156"/>
      <c r="AL39" s="124"/>
      <c r="AM39" s="156"/>
      <c r="AN39" s="124"/>
      <c r="AO39" s="156"/>
      <c r="AP39" s="124"/>
      <c r="AQ39" s="157"/>
      <c r="AR39" s="158"/>
      <c r="AS39" s="159"/>
    </row>
  </sheetData>
  <autoFilter ref="A10:AS10" xr:uid="{ABBD2075-E235-4FF5-A46A-3221F5563DB6}">
    <sortState xmlns:xlrd2="http://schemas.microsoft.com/office/spreadsheetml/2017/richdata2" ref="A11:AS22">
      <sortCondition ref="A10"/>
    </sortState>
  </autoFilter>
  <mergeCells count="12">
    <mergeCell ref="C33:AE33"/>
    <mergeCell ref="B3:AR3"/>
    <mergeCell ref="A5:B5"/>
    <mergeCell ref="C5:E5"/>
    <mergeCell ref="A6:B6"/>
    <mergeCell ref="C6:E6"/>
    <mergeCell ref="A7:B7"/>
    <mergeCell ref="A8:B8"/>
    <mergeCell ref="C24:U24"/>
    <mergeCell ref="C30:AE30"/>
    <mergeCell ref="C31:AE31"/>
    <mergeCell ref="C32:AE32"/>
  </mergeCells>
  <conditionalFormatting sqref="B2:B39">
    <cfRule type="duplicateValues" dxfId="69" priority="14"/>
  </conditionalFormatting>
  <conditionalFormatting sqref="E2:E12 E22:E23 E25:E39">
    <cfRule type="duplicateValues" dxfId="68" priority="15"/>
    <cfRule type="duplicateValues" dxfId="67" priority="16"/>
  </conditionalFormatting>
  <conditionalFormatting sqref="E22:E23 E25:E39">
    <cfRule type="duplicateValues" dxfId="66" priority="17"/>
  </conditionalFormatting>
  <conditionalFormatting sqref="E2:E12 E22:E23 E25:E39">
    <cfRule type="duplicateValues" dxfId="65" priority="18"/>
  </conditionalFormatting>
  <conditionalFormatting sqref="B2:B39 E2:E12 E22:E23 E25:E39">
    <cfRule type="duplicateValues" dxfId="64" priority="19"/>
  </conditionalFormatting>
  <conditionalFormatting sqref="E2:E12 B2:B39 E22:E23 E25:E39">
    <cfRule type="duplicateValues" dxfId="63" priority="20"/>
  </conditionalFormatting>
  <conditionalFormatting sqref="E11 B11">
    <cfRule type="duplicateValues" dxfId="62" priority="21"/>
  </conditionalFormatting>
  <conditionalFormatting sqref="B12">
    <cfRule type="duplicateValues" dxfId="61" priority="22"/>
  </conditionalFormatting>
  <conditionalFormatting sqref="E12">
    <cfRule type="duplicateValues" dxfId="60" priority="23"/>
  </conditionalFormatting>
  <conditionalFormatting sqref="B12 E12">
    <cfRule type="duplicateValues" dxfId="59" priority="24"/>
  </conditionalFormatting>
  <conditionalFormatting sqref="B11:B12">
    <cfRule type="duplicateValues" dxfId="58" priority="25"/>
  </conditionalFormatting>
  <conditionalFormatting sqref="E11:E12">
    <cfRule type="duplicateValues" dxfId="57" priority="26"/>
  </conditionalFormatting>
  <conditionalFormatting sqref="E11:E12">
    <cfRule type="duplicateValues" dxfId="56" priority="27"/>
    <cfRule type="duplicateValues" dxfId="55" priority="28"/>
  </conditionalFormatting>
  <conditionalFormatting sqref="B11:B12 E11:E12">
    <cfRule type="duplicateValues" dxfId="54" priority="29"/>
  </conditionalFormatting>
  <conditionalFormatting sqref="B24:B36">
    <cfRule type="duplicateValues" dxfId="53" priority="13"/>
  </conditionalFormatting>
  <conditionalFormatting sqref="E25:E36">
    <cfRule type="duplicateValues" dxfId="52" priority="11"/>
    <cfRule type="duplicateValues" dxfId="51" priority="12"/>
  </conditionalFormatting>
  <conditionalFormatting sqref="E25:E36">
    <cfRule type="duplicateValues" dxfId="50" priority="10"/>
  </conditionalFormatting>
  <conditionalFormatting sqref="B24:B36 E25:E36">
    <cfRule type="duplicateValues" dxfId="49" priority="9"/>
  </conditionalFormatting>
  <conditionalFormatting sqref="E25:E36">
    <cfRule type="duplicateValues" dxfId="48" priority="8"/>
  </conditionalFormatting>
  <conditionalFormatting sqref="B24:B36">
    <cfRule type="duplicateValues" dxfId="47" priority="7"/>
  </conditionalFormatting>
  <conditionalFormatting sqref="E34:E36 E25:E29">
    <cfRule type="duplicateValues" dxfId="46" priority="6"/>
  </conditionalFormatting>
  <conditionalFormatting sqref="B24:B36 E34:E36 E25:E29">
    <cfRule type="duplicateValues" dxfId="45" priority="5"/>
  </conditionalFormatting>
  <conditionalFormatting sqref="B24:B36">
    <cfRule type="duplicateValues" dxfId="44" priority="4"/>
  </conditionalFormatting>
  <conditionalFormatting sqref="E34:E36 B24:B36 E25:E29">
    <cfRule type="duplicateValues" dxfId="43" priority="3"/>
  </conditionalFormatting>
  <conditionalFormatting sqref="E34:E36 E25:E29">
    <cfRule type="duplicateValues" dxfId="42" priority="1"/>
    <cfRule type="duplicateValues" dxfId="41" priority="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F081-F0A1-4636-A2AC-EF592D189726}">
  <dimension ref="A1:O43"/>
  <sheetViews>
    <sheetView topLeftCell="A13" workbookViewId="0">
      <selection activeCell="E25" sqref="E25"/>
    </sheetView>
  </sheetViews>
  <sheetFormatPr baseColWidth="10" defaultRowHeight="15" x14ac:dyDescent="0.25"/>
  <cols>
    <col min="1" max="1" width="6.42578125" customWidth="1"/>
    <col min="2" max="2" width="11" customWidth="1"/>
    <col min="3" max="3" width="28.42578125" customWidth="1"/>
    <col min="4" max="4" width="8.42578125" customWidth="1"/>
    <col min="5" max="5" width="57.7109375" customWidth="1"/>
    <col min="6" max="6" width="11"/>
    <col min="7" max="7" width="10.42578125" bestFit="1" customWidth="1"/>
    <col min="8" max="8" width="13.85546875" customWidth="1"/>
    <col min="9" max="9" width="18.5703125" customWidth="1"/>
  </cols>
  <sheetData>
    <row r="1" spans="1:9" ht="27" x14ac:dyDescent="0.35">
      <c r="A1" s="1"/>
      <c r="B1" s="309" t="s">
        <v>0</v>
      </c>
      <c r="C1" s="309"/>
      <c r="D1" s="309"/>
      <c r="E1" s="309"/>
      <c r="F1" s="309"/>
      <c r="G1" s="309"/>
      <c r="H1" s="309"/>
      <c r="I1" s="1"/>
    </row>
    <row r="2" spans="1:9" x14ac:dyDescent="0.25">
      <c r="A2" s="1"/>
      <c r="B2" s="1"/>
      <c r="C2" s="1"/>
      <c r="D2" s="1"/>
      <c r="E2" s="1"/>
      <c r="F2" s="1"/>
      <c r="G2" s="1"/>
      <c r="H2" s="33"/>
      <c r="I2" s="1"/>
    </row>
    <row r="3" spans="1:9" ht="15.75" x14ac:dyDescent="0.25">
      <c r="A3" s="304" t="s">
        <v>1</v>
      </c>
      <c r="B3" s="304"/>
      <c r="C3" s="310" t="s">
        <v>43</v>
      </c>
      <c r="D3" s="310"/>
      <c r="E3" s="310"/>
      <c r="F3" s="2"/>
      <c r="G3" s="3"/>
      <c r="H3" s="34"/>
      <c r="I3" s="1"/>
    </row>
    <row r="4" spans="1:9" ht="15.75" x14ac:dyDescent="0.25">
      <c r="A4" s="304" t="s">
        <v>3</v>
      </c>
      <c r="B4" s="304"/>
      <c r="C4" s="310" t="s">
        <v>44</v>
      </c>
      <c r="D4" s="310"/>
      <c r="E4" s="310"/>
      <c r="F4" s="2" t="s">
        <v>45</v>
      </c>
      <c r="G4" s="3" t="s">
        <v>45</v>
      </c>
      <c r="H4" s="34"/>
      <c r="I4" s="1"/>
    </row>
    <row r="5" spans="1:9" ht="15.75" x14ac:dyDescent="0.25">
      <c r="A5" s="304" t="s">
        <v>5</v>
      </c>
      <c r="B5" s="304"/>
      <c r="C5" s="4">
        <v>2021</v>
      </c>
      <c r="D5" s="5"/>
      <c r="E5" s="5"/>
      <c r="F5" s="2"/>
      <c r="G5" s="3"/>
      <c r="H5" s="34"/>
      <c r="I5" s="1"/>
    </row>
    <row r="6" spans="1:9" ht="15.75" x14ac:dyDescent="0.25">
      <c r="A6" s="304" t="s">
        <v>6</v>
      </c>
      <c r="B6" s="304"/>
      <c r="C6" s="4">
        <v>2</v>
      </c>
      <c r="D6" s="5"/>
      <c r="E6" s="5"/>
      <c r="F6" s="2"/>
      <c r="G6" s="3"/>
      <c r="H6" s="34"/>
      <c r="I6" s="1"/>
    </row>
    <row r="7" spans="1:9" ht="15.75" thickBot="1" x14ac:dyDescent="0.3">
      <c r="A7" s="1"/>
      <c r="B7" s="2"/>
      <c r="C7" s="3"/>
      <c r="D7" s="2"/>
      <c r="E7" s="2"/>
      <c r="F7" s="2"/>
      <c r="G7" s="3"/>
      <c r="H7" s="34"/>
      <c r="I7" s="1"/>
    </row>
    <row r="8" spans="1:9" ht="36.75" thickBot="1" x14ac:dyDescent="0.3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1" t="s">
        <v>13</v>
      </c>
      <c r="H8" s="62" t="s">
        <v>14</v>
      </c>
      <c r="I8" s="61" t="s">
        <v>15</v>
      </c>
    </row>
    <row r="9" spans="1:9" ht="26.25" x14ac:dyDescent="0.25">
      <c r="A9" s="35">
        <v>1</v>
      </c>
      <c r="B9" s="36"/>
      <c r="C9" s="37" t="s">
        <v>46</v>
      </c>
      <c r="D9" s="38">
        <v>252</v>
      </c>
      <c r="E9" s="39" t="s">
        <v>47</v>
      </c>
      <c r="F9" s="40" t="s">
        <v>19</v>
      </c>
      <c r="G9" s="63">
        <v>200</v>
      </c>
      <c r="H9" s="41">
        <v>270</v>
      </c>
      <c r="I9" s="42">
        <f t="shared" ref="I9:I28" si="0">+G9*H9</f>
        <v>54000</v>
      </c>
    </row>
    <row r="10" spans="1:9" ht="26.25" x14ac:dyDescent="0.25">
      <c r="A10" s="43">
        <v>2</v>
      </c>
      <c r="B10" s="44"/>
      <c r="C10" s="45" t="s">
        <v>46</v>
      </c>
      <c r="D10" s="46">
        <v>252</v>
      </c>
      <c r="E10" s="39" t="s">
        <v>18</v>
      </c>
      <c r="F10" s="40" t="s">
        <v>19</v>
      </c>
      <c r="G10" s="63">
        <v>5000</v>
      </c>
      <c r="H10" s="41">
        <v>109</v>
      </c>
      <c r="I10" s="47">
        <f t="shared" si="0"/>
        <v>545000</v>
      </c>
    </row>
    <row r="11" spans="1:9" ht="26.25" x14ac:dyDescent="0.25">
      <c r="A11" s="43">
        <v>3</v>
      </c>
      <c r="B11" s="44"/>
      <c r="C11" s="45" t="s">
        <v>46</v>
      </c>
      <c r="D11" s="46">
        <v>252</v>
      </c>
      <c r="E11" s="39" t="s">
        <v>48</v>
      </c>
      <c r="F11" s="40" t="s">
        <v>19</v>
      </c>
      <c r="G11" s="63">
        <v>9000</v>
      </c>
      <c r="H11" s="41">
        <v>200</v>
      </c>
      <c r="I11" s="47">
        <f t="shared" si="0"/>
        <v>1800000</v>
      </c>
    </row>
    <row r="12" spans="1:9" ht="26.25" x14ac:dyDescent="0.25">
      <c r="A12" s="43">
        <v>4</v>
      </c>
      <c r="B12" s="44"/>
      <c r="C12" s="45" t="s">
        <v>46</v>
      </c>
      <c r="D12" s="46">
        <v>252</v>
      </c>
      <c r="E12" s="39" t="s">
        <v>20</v>
      </c>
      <c r="F12" s="40" t="s">
        <v>19</v>
      </c>
      <c r="G12" s="63">
        <v>3000</v>
      </c>
      <c r="H12" s="41">
        <v>101</v>
      </c>
      <c r="I12" s="47">
        <f t="shared" si="0"/>
        <v>303000</v>
      </c>
    </row>
    <row r="13" spans="1:9" ht="26.25" x14ac:dyDescent="0.25">
      <c r="A13" s="43">
        <v>5</v>
      </c>
      <c r="B13" s="44"/>
      <c r="C13" s="45" t="s">
        <v>46</v>
      </c>
      <c r="D13" s="46">
        <v>252</v>
      </c>
      <c r="E13" s="48" t="s">
        <v>21</v>
      </c>
      <c r="F13" s="40" t="s">
        <v>19</v>
      </c>
      <c r="G13" s="63">
        <v>3000</v>
      </c>
      <c r="H13" s="41">
        <v>192.5</v>
      </c>
      <c r="I13" s="47">
        <f t="shared" si="0"/>
        <v>577500</v>
      </c>
    </row>
    <row r="14" spans="1:9" ht="26.25" x14ac:dyDescent="0.25">
      <c r="A14" s="43">
        <v>6</v>
      </c>
      <c r="B14" s="44"/>
      <c r="C14" s="45" t="s">
        <v>46</v>
      </c>
      <c r="D14" s="46">
        <v>252</v>
      </c>
      <c r="E14" s="39" t="s">
        <v>49</v>
      </c>
      <c r="F14" s="40" t="s">
        <v>19</v>
      </c>
      <c r="G14" s="63">
        <v>2000</v>
      </c>
      <c r="H14" s="41">
        <v>145.5</v>
      </c>
      <c r="I14" s="47">
        <f t="shared" si="0"/>
        <v>291000</v>
      </c>
    </row>
    <row r="15" spans="1:9" ht="26.25" x14ac:dyDescent="0.25">
      <c r="A15" s="43">
        <v>7</v>
      </c>
      <c r="B15" s="44"/>
      <c r="C15" s="45" t="s">
        <v>46</v>
      </c>
      <c r="D15" s="46">
        <v>252</v>
      </c>
      <c r="E15" s="39" t="s">
        <v>23</v>
      </c>
      <c r="F15" s="40" t="s">
        <v>19</v>
      </c>
      <c r="G15" s="63">
        <v>5000</v>
      </c>
      <c r="H15" s="41">
        <v>209</v>
      </c>
      <c r="I15" s="47">
        <f t="shared" si="0"/>
        <v>1045000</v>
      </c>
    </row>
    <row r="16" spans="1:9" ht="26.25" x14ac:dyDescent="0.25">
      <c r="A16" s="43">
        <v>8</v>
      </c>
      <c r="B16" s="44"/>
      <c r="C16" s="45" t="s">
        <v>46</v>
      </c>
      <c r="D16" s="46">
        <v>252</v>
      </c>
      <c r="E16" s="39" t="s">
        <v>50</v>
      </c>
      <c r="F16" s="40" t="s">
        <v>19</v>
      </c>
      <c r="G16" s="63">
        <v>70</v>
      </c>
      <c r="H16" s="41">
        <v>1800</v>
      </c>
      <c r="I16" s="47">
        <f t="shared" si="0"/>
        <v>126000</v>
      </c>
    </row>
    <row r="17" spans="1:15" ht="26.25" x14ac:dyDescent="0.25">
      <c r="A17" s="43">
        <v>9</v>
      </c>
      <c r="B17" s="44"/>
      <c r="C17" s="45" t="s">
        <v>46</v>
      </c>
      <c r="D17" s="46">
        <v>252</v>
      </c>
      <c r="E17" s="39" t="s">
        <v>51</v>
      </c>
      <c r="F17" s="40" t="s">
        <v>19</v>
      </c>
      <c r="G17" s="63">
        <v>2500</v>
      </c>
      <c r="H17" s="41">
        <v>361</v>
      </c>
      <c r="I17" s="47">
        <f t="shared" si="0"/>
        <v>902500</v>
      </c>
    </row>
    <row r="18" spans="1:15" ht="26.25" x14ac:dyDescent="0.25">
      <c r="A18" s="43">
        <v>10</v>
      </c>
      <c r="B18" s="44"/>
      <c r="C18" s="45" t="s">
        <v>46</v>
      </c>
      <c r="D18" s="46">
        <v>252</v>
      </c>
      <c r="E18" s="39" t="s">
        <v>52</v>
      </c>
      <c r="F18" s="40" t="s">
        <v>19</v>
      </c>
      <c r="G18" s="63">
        <v>4000</v>
      </c>
      <c r="H18" s="41">
        <v>556</v>
      </c>
      <c r="I18" s="47">
        <f t="shared" si="0"/>
        <v>2224000</v>
      </c>
    </row>
    <row r="19" spans="1:15" ht="26.25" x14ac:dyDescent="0.25">
      <c r="A19" s="43">
        <v>11</v>
      </c>
      <c r="B19" s="44"/>
      <c r="C19" s="45" t="s">
        <v>46</v>
      </c>
      <c r="D19" s="46">
        <v>252</v>
      </c>
      <c r="E19" s="39" t="s">
        <v>53</v>
      </c>
      <c r="F19" s="40" t="s">
        <v>19</v>
      </c>
      <c r="G19" s="63">
        <v>4</v>
      </c>
      <c r="H19" s="41">
        <v>4750</v>
      </c>
      <c r="I19" s="47">
        <f t="shared" si="0"/>
        <v>19000</v>
      </c>
    </row>
    <row r="20" spans="1:15" ht="26.25" x14ac:dyDescent="0.25">
      <c r="A20" s="43">
        <v>12</v>
      </c>
      <c r="B20" s="44"/>
      <c r="C20" s="45" t="s">
        <v>46</v>
      </c>
      <c r="D20" s="46">
        <v>252</v>
      </c>
      <c r="E20" s="39" t="s">
        <v>24</v>
      </c>
      <c r="F20" s="40" t="s">
        <v>19</v>
      </c>
      <c r="G20" s="63">
        <v>100</v>
      </c>
      <c r="H20" s="41">
        <v>4325.75</v>
      </c>
      <c r="I20" s="47">
        <f t="shared" si="0"/>
        <v>432575</v>
      </c>
    </row>
    <row r="21" spans="1:15" ht="26.25" x14ac:dyDescent="0.25">
      <c r="A21" s="43">
        <v>13</v>
      </c>
      <c r="B21" s="44"/>
      <c r="C21" s="45" t="s">
        <v>46</v>
      </c>
      <c r="D21" s="46">
        <v>252</v>
      </c>
      <c r="E21" s="49" t="s">
        <v>54</v>
      </c>
      <c r="F21" s="40" t="s">
        <v>19</v>
      </c>
      <c r="G21" s="63">
        <v>10</v>
      </c>
      <c r="H21" s="41">
        <v>2450</v>
      </c>
      <c r="I21" s="47">
        <f t="shared" si="0"/>
        <v>24500</v>
      </c>
    </row>
    <row r="22" spans="1:15" ht="26.25" x14ac:dyDescent="0.25">
      <c r="A22" s="43">
        <v>14</v>
      </c>
      <c r="B22" s="44"/>
      <c r="C22" s="45" t="s">
        <v>46</v>
      </c>
      <c r="D22" s="46">
        <v>252</v>
      </c>
      <c r="E22" s="50" t="s">
        <v>55</v>
      </c>
      <c r="F22" s="40" t="s">
        <v>19</v>
      </c>
      <c r="G22" s="63">
        <v>600</v>
      </c>
      <c r="H22" s="41">
        <v>585</v>
      </c>
      <c r="I22" s="47">
        <f t="shared" si="0"/>
        <v>351000</v>
      </c>
    </row>
    <row r="23" spans="1:15" ht="27" thickBot="1" x14ac:dyDescent="0.3">
      <c r="A23" s="43">
        <v>15</v>
      </c>
      <c r="B23" s="44"/>
      <c r="C23" s="45" t="s">
        <v>46</v>
      </c>
      <c r="D23" s="46">
        <v>252</v>
      </c>
      <c r="E23" s="51" t="s">
        <v>56</v>
      </c>
      <c r="F23" s="40" t="s">
        <v>19</v>
      </c>
      <c r="G23" s="63">
        <v>100</v>
      </c>
      <c r="H23" s="41">
        <v>480</v>
      </c>
      <c r="I23" s="47">
        <f t="shared" si="0"/>
        <v>48000</v>
      </c>
    </row>
    <row r="24" spans="1:15" ht="27" customHeight="1" x14ac:dyDescent="0.25">
      <c r="A24" s="43">
        <v>16</v>
      </c>
      <c r="B24" s="44"/>
      <c r="C24" s="45" t="s">
        <v>46</v>
      </c>
      <c r="D24" s="46">
        <v>252</v>
      </c>
      <c r="E24" s="52" t="s">
        <v>57</v>
      </c>
      <c r="F24" s="40" t="s">
        <v>19</v>
      </c>
      <c r="G24" s="63">
        <v>840</v>
      </c>
      <c r="H24" s="41">
        <v>847</v>
      </c>
      <c r="I24" s="47">
        <f t="shared" si="0"/>
        <v>711480</v>
      </c>
      <c r="K24" s="331" t="s">
        <v>63</v>
      </c>
      <c r="L24" s="333" t="s">
        <v>64</v>
      </c>
      <c r="M24" s="333"/>
      <c r="N24" s="333"/>
      <c r="O24" s="334"/>
    </row>
    <row r="25" spans="1:15" ht="27" thickBot="1" x14ac:dyDescent="0.3">
      <c r="A25" s="43">
        <v>17</v>
      </c>
      <c r="B25" s="44"/>
      <c r="C25" s="45" t="s">
        <v>46</v>
      </c>
      <c r="D25" s="46">
        <v>252</v>
      </c>
      <c r="E25" s="52" t="s">
        <v>58</v>
      </c>
      <c r="F25" s="40" t="s">
        <v>19</v>
      </c>
      <c r="G25" s="63">
        <v>150</v>
      </c>
      <c r="H25" s="41">
        <v>980</v>
      </c>
      <c r="I25" s="47">
        <f t="shared" si="0"/>
        <v>147000</v>
      </c>
      <c r="K25" s="332"/>
      <c r="L25" s="335"/>
      <c r="M25" s="335"/>
      <c r="N25" s="335"/>
      <c r="O25" s="336"/>
    </row>
    <row r="26" spans="1:15" ht="38.25" x14ac:dyDescent="0.25">
      <c r="A26" s="43">
        <v>18</v>
      </c>
      <c r="B26" s="44"/>
      <c r="C26" s="45" t="s">
        <v>46</v>
      </c>
      <c r="D26" s="46">
        <v>252</v>
      </c>
      <c r="E26" s="53" t="s">
        <v>32</v>
      </c>
      <c r="F26" s="40" t="s">
        <v>19</v>
      </c>
      <c r="G26" s="63">
        <v>1800</v>
      </c>
      <c r="H26" s="41">
        <v>157.30000000000001</v>
      </c>
      <c r="I26" s="47">
        <f t="shared" si="0"/>
        <v>283140</v>
      </c>
    </row>
    <row r="27" spans="1:15" ht="26.25" x14ac:dyDescent="0.25">
      <c r="A27" s="43">
        <v>19</v>
      </c>
      <c r="B27" s="44"/>
      <c r="C27" s="45" t="s">
        <v>46</v>
      </c>
      <c r="D27" s="46">
        <v>252</v>
      </c>
      <c r="E27" s="50" t="s">
        <v>33</v>
      </c>
      <c r="F27" s="40" t="s">
        <v>19</v>
      </c>
      <c r="G27" s="63">
        <v>150</v>
      </c>
      <c r="H27" s="41">
        <v>764.81</v>
      </c>
      <c r="I27" s="47">
        <f t="shared" si="0"/>
        <v>114721.49999999999</v>
      </c>
    </row>
    <row r="28" spans="1:15" ht="26.25" x14ac:dyDescent="0.25">
      <c r="A28" s="43">
        <v>20</v>
      </c>
      <c r="B28" s="44"/>
      <c r="C28" s="45" t="s">
        <v>46</v>
      </c>
      <c r="D28" s="46">
        <v>252</v>
      </c>
      <c r="E28" s="50" t="s">
        <v>59</v>
      </c>
      <c r="F28" s="40" t="s">
        <v>19</v>
      </c>
      <c r="G28" s="63">
        <v>3</v>
      </c>
      <c r="H28" s="41">
        <v>829</v>
      </c>
      <c r="I28" s="47">
        <f t="shared" si="0"/>
        <v>2487</v>
      </c>
    </row>
    <row r="29" spans="1:15" ht="15.75" thickBot="1" x14ac:dyDescent="0.3">
      <c r="A29" s="1"/>
      <c r="B29" s="1"/>
      <c r="C29" s="1"/>
      <c r="D29" s="1"/>
      <c r="E29" s="1"/>
      <c r="F29" s="1"/>
      <c r="G29" s="1"/>
      <c r="H29" s="33"/>
      <c r="I29" s="54"/>
    </row>
    <row r="30" spans="1:15" ht="18.75" customHeight="1" x14ac:dyDescent="0.25">
      <c r="A30" s="1"/>
      <c r="B30" s="55" t="s">
        <v>37</v>
      </c>
      <c r="C30" s="22"/>
      <c r="D30" s="22"/>
      <c r="E30" s="23"/>
      <c r="F30" s="1"/>
      <c r="G30" s="1"/>
      <c r="H30" s="33"/>
      <c r="I30" s="54"/>
    </row>
    <row r="31" spans="1:15" ht="33.75" customHeight="1" x14ac:dyDescent="0.25">
      <c r="A31" s="1"/>
      <c r="B31" s="325" t="s">
        <v>60</v>
      </c>
      <c r="C31" s="326"/>
      <c r="D31" s="326"/>
      <c r="E31" s="327"/>
      <c r="F31" s="1"/>
      <c r="G31" s="1"/>
      <c r="H31" s="33"/>
      <c r="I31" s="1"/>
    </row>
    <row r="32" spans="1:15" x14ac:dyDescent="0.25">
      <c r="A32" s="1"/>
      <c r="B32" s="325"/>
      <c r="C32" s="326"/>
      <c r="D32" s="326"/>
      <c r="E32" s="327"/>
      <c r="F32" s="1"/>
      <c r="G32" s="1"/>
      <c r="H32" s="33"/>
      <c r="I32" s="1"/>
    </row>
    <row r="33" spans="1:9" x14ac:dyDescent="0.25">
      <c r="A33" s="1"/>
      <c r="B33" s="325" t="s">
        <v>61</v>
      </c>
      <c r="C33" s="326"/>
      <c r="D33" s="326"/>
      <c r="E33" s="327"/>
      <c r="F33" s="1"/>
      <c r="G33" s="1"/>
      <c r="H33" s="33"/>
      <c r="I33" s="1"/>
    </row>
    <row r="34" spans="1:9" ht="15.75" thickBot="1" x14ac:dyDescent="0.3">
      <c r="A34" s="1"/>
      <c r="B34" s="56" t="s">
        <v>62</v>
      </c>
      <c r="C34" s="57"/>
      <c r="D34" s="57"/>
      <c r="E34" s="58"/>
      <c r="F34" s="1"/>
      <c r="G34" s="1"/>
      <c r="H34" s="33"/>
      <c r="I34" s="1"/>
    </row>
    <row r="35" spans="1:9" ht="15.75" thickBot="1" x14ac:dyDescent="0.3">
      <c r="A35" s="1"/>
      <c r="B35" s="1"/>
      <c r="C35" s="1"/>
      <c r="D35" s="1"/>
      <c r="E35" s="1"/>
      <c r="F35" s="1"/>
      <c r="G35" s="1"/>
      <c r="H35" s="33"/>
      <c r="I35" s="1"/>
    </row>
    <row r="36" spans="1:9" x14ac:dyDescent="0.25">
      <c r="A36" s="1"/>
      <c r="B36" s="21" t="s">
        <v>63</v>
      </c>
      <c r="C36" s="22"/>
      <c r="D36" s="22"/>
      <c r="E36" s="23"/>
      <c r="F36" s="1"/>
      <c r="G36" s="1"/>
      <c r="H36" s="33"/>
      <c r="I36" s="1"/>
    </row>
    <row r="37" spans="1:9" x14ac:dyDescent="0.25">
      <c r="A37" s="1"/>
      <c r="B37" s="59" t="s">
        <v>35</v>
      </c>
      <c r="C37" s="1"/>
      <c r="D37" s="1"/>
      <c r="E37" s="25"/>
      <c r="F37" s="1"/>
      <c r="G37" s="1"/>
      <c r="H37" s="33"/>
      <c r="I37" s="1"/>
    </row>
    <row r="38" spans="1:9" ht="15.75" thickBot="1" x14ac:dyDescent="0.3">
      <c r="A38" s="1"/>
      <c r="B38" s="328" t="s">
        <v>64</v>
      </c>
      <c r="C38" s="329"/>
      <c r="D38" s="329"/>
      <c r="E38" s="330"/>
      <c r="F38" s="1"/>
      <c r="G38" s="1"/>
      <c r="H38" s="33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33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33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33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33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33"/>
      <c r="I43" s="1"/>
    </row>
  </sheetData>
  <autoFilter ref="A8:I8" xr:uid="{DC08FAFF-981D-40E9-8491-4377BC787644}">
    <sortState xmlns:xlrd2="http://schemas.microsoft.com/office/spreadsheetml/2017/richdata2" ref="A9:I28">
      <sortCondition ref="E8"/>
    </sortState>
  </autoFilter>
  <mergeCells count="12">
    <mergeCell ref="A5:B5"/>
    <mergeCell ref="A6:B6"/>
    <mergeCell ref="B1:H1"/>
    <mergeCell ref="A3:B3"/>
    <mergeCell ref="C3:E3"/>
    <mergeCell ref="A4:B4"/>
    <mergeCell ref="C4:E4"/>
    <mergeCell ref="B31:E32"/>
    <mergeCell ref="B33:E33"/>
    <mergeCell ref="B38:E38"/>
    <mergeCell ref="K24:K25"/>
    <mergeCell ref="L24:O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D839-D649-4CCA-97A5-297FA0004685}">
  <dimension ref="A2:W43"/>
  <sheetViews>
    <sheetView topLeftCell="A28" zoomScale="115" zoomScaleNormal="115" workbookViewId="0">
      <selection activeCell="M4" sqref="M4:O4"/>
    </sheetView>
  </sheetViews>
  <sheetFormatPr baseColWidth="10" defaultRowHeight="15" x14ac:dyDescent="0.25"/>
  <cols>
    <col min="1" max="1" width="6.42578125" customWidth="1"/>
    <col min="2" max="2" width="49.7109375" customWidth="1"/>
    <col min="4" max="4" width="12.7109375" customWidth="1"/>
    <col min="5" max="5" width="13.85546875" customWidth="1"/>
    <col min="6" max="6" width="18.5703125" customWidth="1"/>
    <col min="7" max="7" width="10.42578125" bestFit="1" customWidth="1"/>
    <col min="8" max="8" width="18.7109375" customWidth="1"/>
    <col min="9" max="17" width="18.5703125" customWidth="1"/>
  </cols>
  <sheetData>
    <row r="2" spans="1:23" ht="15.75" thickBot="1" x14ac:dyDescent="0.3"/>
    <row r="3" spans="1:23" ht="15.75" customHeight="1" thickBot="1" x14ac:dyDescent="0.3">
      <c r="A3" s="65"/>
      <c r="B3" s="65"/>
      <c r="C3" s="65"/>
      <c r="D3" s="337" t="s">
        <v>65</v>
      </c>
      <c r="E3" s="338"/>
      <c r="F3" s="339"/>
      <c r="G3" s="340" t="s">
        <v>66</v>
      </c>
      <c r="H3" s="341"/>
      <c r="I3" s="342"/>
      <c r="J3" s="344" t="s">
        <v>85</v>
      </c>
      <c r="K3" s="345"/>
      <c r="L3" s="346"/>
      <c r="M3" s="347" t="s">
        <v>88</v>
      </c>
      <c r="N3" s="348"/>
      <c r="O3" s="348"/>
      <c r="P3" s="348"/>
      <c r="Q3" s="349"/>
      <c r="R3" s="65"/>
      <c r="S3" s="65"/>
      <c r="T3" s="65"/>
      <c r="U3" s="65"/>
      <c r="V3" s="65"/>
      <c r="W3" s="65"/>
    </row>
    <row r="4" spans="1:23" ht="45" x14ac:dyDescent="0.25">
      <c r="A4" s="223" t="s">
        <v>7</v>
      </c>
      <c r="B4" s="223" t="s">
        <v>11</v>
      </c>
      <c r="C4" s="223" t="s">
        <v>12</v>
      </c>
      <c r="D4" s="224" t="s">
        <v>13</v>
      </c>
      <c r="E4" s="224" t="s">
        <v>14</v>
      </c>
      <c r="F4" s="224" t="s">
        <v>67</v>
      </c>
      <c r="G4" s="225" t="s">
        <v>13</v>
      </c>
      <c r="H4" s="226" t="s">
        <v>14</v>
      </c>
      <c r="I4" s="225" t="s">
        <v>67</v>
      </c>
      <c r="J4" s="227" t="s">
        <v>13</v>
      </c>
      <c r="K4" s="228" t="s">
        <v>14</v>
      </c>
      <c r="L4" s="227" t="s">
        <v>67</v>
      </c>
      <c r="M4" s="230" t="s">
        <v>101</v>
      </c>
      <c r="N4" s="231" t="s">
        <v>103</v>
      </c>
      <c r="O4" s="230" t="s">
        <v>105</v>
      </c>
      <c r="P4" s="232" t="s">
        <v>14</v>
      </c>
      <c r="Q4" s="233" t="s">
        <v>136</v>
      </c>
      <c r="R4" s="229" t="s">
        <v>68</v>
      </c>
      <c r="S4" s="65"/>
      <c r="T4" s="65"/>
      <c r="U4" s="65"/>
      <c r="V4" s="65"/>
      <c r="W4" s="65"/>
    </row>
    <row r="5" spans="1:23" ht="30" x14ac:dyDescent="0.25">
      <c r="A5" s="78">
        <v>1</v>
      </c>
      <c r="B5" s="74" t="s">
        <v>47</v>
      </c>
      <c r="C5" s="67" t="s">
        <v>19</v>
      </c>
      <c r="D5" s="66"/>
      <c r="E5" s="68"/>
      <c r="F5" s="68"/>
      <c r="G5" s="69">
        <v>200</v>
      </c>
      <c r="H5" s="64">
        <v>270</v>
      </c>
      <c r="I5" s="71">
        <f>+G5*H5</f>
        <v>54000</v>
      </c>
      <c r="J5" s="132">
        <v>150</v>
      </c>
      <c r="K5" s="105">
        <v>200</v>
      </c>
      <c r="L5" s="133">
        <f>J5*K5</f>
        <v>30000</v>
      </c>
      <c r="M5" s="234"/>
      <c r="N5" s="218">
        <v>300</v>
      </c>
      <c r="O5" s="217">
        <v>100</v>
      </c>
      <c r="P5" s="216">
        <v>292.5</v>
      </c>
      <c r="Q5" s="216">
        <f>(M5+N5+O5)*P5</f>
        <v>117000</v>
      </c>
      <c r="R5" s="140">
        <f>D5+G5+J5+M5+N5+O5</f>
        <v>750</v>
      </c>
      <c r="S5" s="65"/>
      <c r="T5" s="65"/>
      <c r="U5" s="65"/>
      <c r="V5" s="65"/>
      <c r="W5" s="65"/>
    </row>
    <row r="6" spans="1:23" x14ac:dyDescent="0.25">
      <c r="A6" s="78">
        <f>1+A5</f>
        <v>2</v>
      </c>
      <c r="B6" s="74" t="s">
        <v>18</v>
      </c>
      <c r="C6" s="67" t="s">
        <v>19</v>
      </c>
      <c r="D6" s="70">
        <v>48</v>
      </c>
      <c r="E6" s="71">
        <v>202</v>
      </c>
      <c r="F6" s="71">
        <f>D6*E6</f>
        <v>9696</v>
      </c>
      <c r="G6" s="69">
        <v>5000</v>
      </c>
      <c r="H6" s="64">
        <v>109</v>
      </c>
      <c r="I6" s="71">
        <f>+G6*H6</f>
        <v>545000</v>
      </c>
      <c r="J6" s="71"/>
      <c r="K6" s="71"/>
      <c r="L6" s="71"/>
      <c r="M6" s="221">
        <v>10000</v>
      </c>
      <c r="N6" s="235"/>
      <c r="O6" s="236"/>
      <c r="P6" s="216">
        <v>113</v>
      </c>
      <c r="Q6" s="216">
        <f t="shared" ref="Q6:Q32" si="0">(M6+N6+O6)*P6</f>
        <v>1130000</v>
      </c>
      <c r="R6" s="140">
        <f t="shared" ref="R6:R33" si="1">D6+G6+J6+M6+N6+O6</f>
        <v>15048</v>
      </c>
      <c r="S6" s="65"/>
      <c r="T6" s="65"/>
      <c r="U6" s="65"/>
      <c r="V6" s="65"/>
      <c r="W6" s="65"/>
    </row>
    <row r="7" spans="1:23" x14ac:dyDescent="0.25">
      <c r="A7" s="78">
        <f t="shared" ref="A7:A33" si="2">1+A6</f>
        <v>3</v>
      </c>
      <c r="B7" s="74" t="s">
        <v>48</v>
      </c>
      <c r="C7" s="67" t="s">
        <v>19</v>
      </c>
      <c r="D7" s="66"/>
      <c r="E7" s="68"/>
      <c r="F7" s="68"/>
      <c r="G7" s="69">
        <v>9000</v>
      </c>
      <c r="H7" s="64">
        <v>200</v>
      </c>
      <c r="I7" s="71">
        <f>+G7*H7</f>
        <v>1800000</v>
      </c>
      <c r="J7" s="132">
        <v>6000</v>
      </c>
      <c r="K7" s="105">
        <v>160</v>
      </c>
      <c r="L7" s="133">
        <f>J7*K7</f>
        <v>960000</v>
      </c>
      <c r="M7" s="133"/>
      <c r="N7" s="133"/>
      <c r="O7" s="133"/>
      <c r="P7" s="133"/>
      <c r="Q7" s="237"/>
      <c r="R7" s="140">
        <f t="shared" si="1"/>
        <v>15000</v>
      </c>
      <c r="S7" s="65"/>
      <c r="T7" s="65"/>
      <c r="U7" s="65"/>
      <c r="V7" s="65"/>
      <c r="W7" s="65"/>
    </row>
    <row r="8" spans="1:23" x14ac:dyDescent="0.25">
      <c r="A8" s="78">
        <f t="shared" si="2"/>
        <v>4</v>
      </c>
      <c r="B8" s="74" t="s">
        <v>20</v>
      </c>
      <c r="C8" s="67" t="s">
        <v>19</v>
      </c>
      <c r="D8" s="72">
        <v>10000</v>
      </c>
      <c r="E8" s="73">
        <v>252</v>
      </c>
      <c r="F8" s="71">
        <f>D8*E8</f>
        <v>2520000</v>
      </c>
      <c r="G8" s="69">
        <v>3000</v>
      </c>
      <c r="H8" s="64">
        <v>101</v>
      </c>
      <c r="I8" s="71">
        <f>+G8*H8</f>
        <v>303000</v>
      </c>
      <c r="J8" s="132">
        <v>8000</v>
      </c>
      <c r="K8" s="105">
        <v>252</v>
      </c>
      <c r="L8" s="133">
        <f>J8*K8</f>
        <v>2016000</v>
      </c>
      <c r="M8" s="133"/>
      <c r="N8" s="133"/>
      <c r="O8" s="133"/>
      <c r="P8" s="133"/>
      <c r="Q8" s="237"/>
      <c r="R8" s="140">
        <f t="shared" si="1"/>
        <v>21000</v>
      </c>
      <c r="S8" s="65"/>
      <c r="T8" s="65"/>
      <c r="U8" s="65"/>
      <c r="V8" s="65"/>
      <c r="W8" s="65"/>
    </row>
    <row r="9" spans="1:23" x14ac:dyDescent="0.25">
      <c r="A9" s="78">
        <f t="shared" si="2"/>
        <v>5</v>
      </c>
      <c r="B9" s="74" t="s">
        <v>21</v>
      </c>
      <c r="C9" s="67" t="s">
        <v>19</v>
      </c>
      <c r="D9" s="70">
        <v>96</v>
      </c>
      <c r="E9" s="71">
        <v>504</v>
      </c>
      <c r="F9" s="71">
        <f>D9*E9</f>
        <v>48384</v>
      </c>
      <c r="G9" s="69">
        <v>3000</v>
      </c>
      <c r="H9" s="64">
        <v>192.5</v>
      </c>
      <c r="I9" s="71">
        <f>+G9*H9</f>
        <v>577500</v>
      </c>
      <c r="J9" s="71"/>
      <c r="K9" s="71"/>
      <c r="L9" s="71"/>
      <c r="M9" s="71"/>
      <c r="N9" s="71"/>
      <c r="O9" s="71"/>
      <c r="P9" s="71"/>
      <c r="Q9" s="237"/>
      <c r="R9" s="140">
        <f t="shared" si="1"/>
        <v>3096</v>
      </c>
      <c r="S9" s="65"/>
      <c r="T9" s="65"/>
      <c r="U9" s="65"/>
      <c r="V9" s="65"/>
      <c r="W9" s="65"/>
    </row>
    <row r="10" spans="1:23" x14ac:dyDescent="0.25">
      <c r="A10" s="78">
        <f t="shared" si="2"/>
        <v>6</v>
      </c>
      <c r="B10" s="136" t="s">
        <v>22</v>
      </c>
      <c r="C10" s="75" t="s">
        <v>19</v>
      </c>
      <c r="D10" s="72">
        <v>100</v>
      </c>
      <c r="E10" s="73">
        <v>195.5</v>
      </c>
      <c r="F10" s="71">
        <f>D10*E10</f>
        <v>19550</v>
      </c>
      <c r="G10" s="66"/>
      <c r="H10" s="68"/>
      <c r="I10" s="68"/>
      <c r="J10" s="68"/>
      <c r="K10" s="68"/>
      <c r="L10" s="68"/>
      <c r="M10" s="221">
        <v>500</v>
      </c>
      <c r="N10" s="235"/>
      <c r="O10" s="236"/>
      <c r="P10" s="222">
        <v>210</v>
      </c>
      <c r="Q10" s="216">
        <f t="shared" si="0"/>
        <v>105000</v>
      </c>
      <c r="R10" s="140">
        <f t="shared" si="1"/>
        <v>600</v>
      </c>
      <c r="S10" s="65"/>
      <c r="T10" s="65"/>
      <c r="U10" s="65"/>
      <c r="V10" s="65"/>
      <c r="W10" s="65"/>
    </row>
    <row r="11" spans="1:23" x14ac:dyDescent="0.25">
      <c r="A11" s="78">
        <f t="shared" si="2"/>
        <v>7</v>
      </c>
      <c r="B11" s="74" t="s">
        <v>49</v>
      </c>
      <c r="C11" s="67" t="s">
        <v>19</v>
      </c>
      <c r="D11" s="66"/>
      <c r="E11" s="68"/>
      <c r="F11" s="68"/>
      <c r="G11" s="69">
        <v>2000</v>
      </c>
      <c r="H11" s="64">
        <v>145.5</v>
      </c>
      <c r="I11" s="71">
        <f>+G11*H11</f>
        <v>291000</v>
      </c>
      <c r="J11" s="71"/>
      <c r="K11" s="71"/>
      <c r="L11" s="71"/>
      <c r="M11" s="71"/>
      <c r="N11" s="71"/>
      <c r="O11" s="71"/>
      <c r="P11" s="71"/>
      <c r="Q11" s="237"/>
      <c r="R11" s="140">
        <f t="shared" si="1"/>
        <v>2000</v>
      </c>
      <c r="S11" s="65"/>
      <c r="T11" s="65"/>
      <c r="U11" s="65"/>
      <c r="V11" s="65"/>
      <c r="W11" s="65"/>
    </row>
    <row r="12" spans="1:23" x14ac:dyDescent="0.25">
      <c r="A12" s="78">
        <f t="shared" si="2"/>
        <v>8</v>
      </c>
      <c r="B12" s="137" t="s">
        <v>49</v>
      </c>
      <c r="C12" s="102" t="s">
        <v>19</v>
      </c>
      <c r="D12" s="66"/>
      <c r="E12" s="134"/>
      <c r="F12" s="134"/>
      <c r="G12" s="134"/>
      <c r="H12" s="134"/>
      <c r="I12" s="134"/>
      <c r="J12" s="132">
        <v>2000</v>
      </c>
      <c r="K12" s="105">
        <v>80</v>
      </c>
      <c r="L12" s="133">
        <f>J12*K12</f>
        <v>160000</v>
      </c>
      <c r="M12" s="221">
        <v>3000</v>
      </c>
      <c r="N12" s="235"/>
      <c r="O12" s="236"/>
      <c r="P12" s="222">
        <v>79.86</v>
      </c>
      <c r="Q12" s="216">
        <f t="shared" si="0"/>
        <v>239580</v>
      </c>
      <c r="R12" s="140">
        <f t="shared" si="1"/>
        <v>5000</v>
      </c>
      <c r="S12" s="65"/>
      <c r="T12" s="65"/>
      <c r="U12" s="65"/>
      <c r="V12" s="65"/>
      <c r="W12" s="65"/>
    </row>
    <row r="13" spans="1:23" x14ac:dyDescent="0.25">
      <c r="A13" s="78">
        <f t="shared" si="2"/>
        <v>9</v>
      </c>
      <c r="B13" s="74" t="s">
        <v>23</v>
      </c>
      <c r="C13" s="67" t="s">
        <v>19</v>
      </c>
      <c r="D13" s="72">
        <v>510</v>
      </c>
      <c r="E13" s="73">
        <v>308</v>
      </c>
      <c r="F13" s="71">
        <f>D13*E13</f>
        <v>157080</v>
      </c>
      <c r="G13" s="69">
        <v>5000</v>
      </c>
      <c r="H13" s="64">
        <v>209</v>
      </c>
      <c r="I13" s="71">
        <f>+G13*H13</f>
        <v>1045000</v>
      </c>
      <c r="J13" s="132">
        <v>1500</v>
      </c>
      <c r="K13" s="105">
        <v>131.1</v>
      </c>
      <c r="L13" s="133">
        <f>J13*K13</f>
        <v>196650</v>
      </c>
      <c r="M13" s="221">
        <v>2000</v>
      </c>
      <c r="N13" s="235"/>
      <c r="O13" s="236"/>
      <c r="P13" s="222">
        <v>131.11000000000001</v>
      </c>
      <c r="Q13" s="216">
        <f t="shared" si="0"/>
        <v>262220</v>
      </c>
      <c r="R13" s="140">
        <f t="shared" si="1"/>
        <v>9010</v>
      </c>
      <c r="S13" s="65"/>
      <c r="T13" s="65"/>
      <c r="U13" s="65"/>
      <c r="V13" s="65"/>
      <c r="W13" s="65"/>
    </row>
    <row r="14" spans="1:23" ht="65.25" customHeight="1" x14ac:dyDescent="0.25">
      <c r="A14" s="78">
        <f t="shared" si="2"/>
        <v>10</v>
      </c>
      <c r="B14" s="74" t="s">
        <v>50</v>
      </c>
      <c r="C14" s="67" t="s">
        <v>19</v>
      </c>
      <c r="D14" s="66"/>
      <c r="E14" s="68"/>
      <c r="F14" s="68"/>
      <c r="G14" s="69">
        <v>70</v>
      </c>
      <c r="H14" s="64">
        <v>1800</v>
      </c>
      <c r="I14" s="71">
        <f>+G14*H14</f>
        <v>126000</v>
      </c>
      <c r="J14" s="132">
        <v>15</v>
      </c>
      <c r="K14" s="105">
        <v>560</v>
      </c>
      <c r="L14" s="133">
        <f>J14*K14</f>
        <v>8400</v>
      </c>
      <c r="M14" s="221">
        <v>50</v>
      </c>
      <c r="N14" s="235"/>
      <c r="O14" s="236"/>
      <c r="P14" s="222">
        <v>534</v>
      </c>
      <c r="Q14" s="216">
        <f t="shared" si="0"/>
        <v>26700</v>
      </c>
      <c r="R14" s="140">
        <f t="shared" si="1"/>
        <v>135</v>
      </c>
      <c r="S14" s="65"/>
    </row>
    <row r="15" spans="1:23" x14ac:dyDescent="0.25">
      <c r="A15" s="78">
        <f t="shared" si="2"/>
        <v>11</v>
      </c>
      <c r="B15" s="137" t="s">
        <v>74</v>
      </c>
      <c r="C15" s="102" t="s">
        <v>19</v>
      </c>
      <c r="D15" s="44"/>
      <c r="E15" s="135"/>
      <c r="F15" s="135"/>
      <c r="G15" s="135"/>
      <c r="H15" s="135"/>
      <c r="I15" s="135"/>
      <c r="J15" s="132">
        <v>10</v>
      </c>
      <c r="K15" s="105">
        <v>7200</v>
      </c>
      <c r="L15" s="133">
        <f>J15*K15</f>
        <v>72000</v>
      </c>
      <c r="M15" s="221">
        <v>60</v>
      </c>
      <c r="N15" s="235"/>
      <c r="O15" s="236"/>
      <c r="P15" s="216">
        <v>9100</v>
      </c>
      <c r="Q15" s="216">
        <f t="shared" si="0"/>
        <v>546000</v>
      </c>
      <c r="R15" s="140">
        <f t="shared" si="1"/>
        <v>70</v>
      </c>
      <c r="S15" s="65"/>
      <c r="T15" s="65"/>
      <c r="U15" s="65"/>
      <c r="V15" s="65"/>
      <c r="W15" s="65"/>
    </row>
    <row r="16" spans="1:23" x14ac:dyDescent="0.25">
      <c r="A16" s="78">
        <f t="shared" si="2"/>
        <v>12</v>
      </c>
      <c r="B16" s="180" t="s">
        <v>127</v>
      </c>
      <c r="C16" s="182" t="s">
        <v>19</v>
      </c>
      <c r="D16" s="44"/>
      <c r="E16" s="135"/>
      <c r="F16" s="135"/>
      <c r="G16" s="135"/>
      <c r="H16" s="135"/>
      <c r="I16" s="135"/>
      <c r="J16" s="135"/>
      <c r="K16" s="135"/>
      <c r="L16" s="135"/>
      <c r="M16" s="219">
        <v>100</v>
      </c>
      <c r="N16" s="235"/>
      <c r="O16" s="236"/>
      <c r="P16" s="216">
        <v>650</v>
      </c>
      <c r="Q16" s="216">
        <f t="shared" si="0"/>
        <v>65000</v>
      </c>
      <c r="R16" s="140">
        <f t="shared" si="1"/>
        <v>100</v>
      </c>
      <c r="S16" s="65"/>
      <c r="T16" s="65"/>
      <c r="U16" s="65"/>
      <c r="V16" s="65"/>
      <c r="W16" s="65"/>
    </row>
    <row r="17" spans="1:23" x14ac:dyDescent="0.25">
      <c r="A17" s="78">
        <f t="shared" si="2"/>
        <v>13</v>
      </c>
      <c r="B17" s="74" t="s">
        <v>51</v>
      </c>
      <c r="C17" s="67" t="s">
        <v>19</v>
      </c>
      <c r="D17" s="66"/>
      <c r="E17" s="68"/>
      <c r="F17" s="68"/>
      <c r="G17" s="69">
        <v>2500</v>
      </c>
      <c r="H17" s="64">
        <v>361</v>
      </c>
      <c r="I17" s="71">
        <f>+G17*H17</f>
        <v>902500</v>
      </c>
      <c r="J17" s="132">
        <v>400</v>
      </c>
      <c r="K17" s="105">
        <v>387.4</v>
      </c>
      <c r="L17" s="133">
        <f>J17*K17</f>
        <v>154960</v>
      </c>
      <c r="M17" s="133"/>
      <c r="N17" s="133"/>
      <c r="O17" s="133"/>
      <c r="P17" s="133"/>
      <c r="Q17" s="237"/>
      <c r="R17" s="140">
        <f t="shared" si="1"/>
        <v>2900</v>
      </c>
      <c r="S17" s="65"/>
      <c r="T17" s="65"/>
      <c r="U17" s="65"/>
      <c r="V17" s="65"/>
      <c r="W17" s="65"/>
    </row>
    <row r="18" spans="1:23" ht="30" x14ac:dyDescent="0.25">
      <c r="A18" s="78">
        <f t="shared" si="2"/>
        <v>14</v>
      </c>
      <c r="B18" s="74" t="s">
        <v>52</v>
      </c>
      <c r="C18" s="67" t="s">
        <v>19</v>
      </c>
      <c r="D18" s="66"/>
      <c r="E18" s="68"/>
      <c r="F18" s="68"/>
      <c r="G18" s="69">
        <v>4000</v>
      </c>
      <c r="H18" s="64">
        <v>556</v>
      </c>
      <c r="I18" s="71">
        <f>+G18*H18</f>
        <v>2224000</v>
      </c>
      <c r="J18" s="132">
        <v>1000</v>
      </c>
      <c r="K18" s="108">
        <v>598.97</v>
      </c>
      <c r="L18" s="133">
        <f>J18*K18</f>
        <v>598970</v>
      </c>
      <c r="M18" s="133"/>
      <c r="N18" s="133"/>
      <c r="O18" s="133"/>
      <c r="P18" s="133"/>
      <c r="Q18" s="237"/>
      <c r="R18" s="140">
        <f t="shared" si="1"/>
        <v>5000</v>
      </c>
      <c r="S18" s="65"/>
      <c r="T18" s="65"/>
      <c r="U18" s="65"/>
      <c r="V18" s="65"/>
      <c r="W18" s="65"/>
    </row>
    <row r="19" spans="1:23" ht="15.75" thickBot="1" x14ac:dyDescent="0.3">
      <c r="A19" s="78">
        <f t="shared" si="2"/>
        <v>15</v>
      </c>
      <c r="B19" s="74" t="s">
        <v>53</v>
      </c>
      <c r="C19" s="67" t="s">
        <v>19</v>
      </c>
      <c r="D19" s="66"/>
      <c r="E19" s="68"/>
      <c r="F19" s="68"/>
      <c r="G19" s="69">
        <v>4</v>
      </c>
      <c r="H19" s="64">
        <v>4750</v>
      </c>
      <c r="I19" s="71">
        <f>+G19*H19</f>
        <v>19000</v>
      </c>
      <c r="J19" s="71"/>
      <c r="K19" s="71"/>
      <c r="L19" s="71"/>
      <c r="M19" s="71"/>
      <c r="N19" s="71"/>
      <c r="O19" s="71"/>
      <c r="P19" s="71"/>
      <c r="Q19" s="237"/>
      <c r="R19" s="140">
        <f t="shared" si="1"/>
        <v>4</v>
      </c>
    </row>
    <row r="20" spans="1:23" ht="39" thickBot="1" x14ac:dyDescent="0.3">
      <c r="A20" s="78">
        <f t="shared" si="2"/>
        <v>16</v>
      </c>
      <c r="B20" s="74" t="s">
        <v>24</v>
      </c>
      <c r="C20" s="67" t="s">
        <v>19</v>
      </c>
      <c r="D20" s="70">
        <v>20</v>
      </c>
      <c r="E20" s="71">
        <v>3630</v>
      </c>
      <c r="F20" s="71">
        <f>D20*E20</f>
        <v>72600</v>
      </c>
      <c r="G20" s="69">
        <v>100</v>
      </c>
      <c r="H20" s="64">
        <v>4325.75</v>
      </c>
      <c r="I20" s="71">
        <f>+G20*H20</f>
        <v>432575</v>
      </c>
      <c r="J20" s="132">
        <v>100</v>
      </c>
      <c r="K20" s="105">
        <v>4325.75</v>
      </c>
      <c r="L20" s="133">
        <f>J20*K20</f>
        <v>432575</v>
      </c>
      <c r="M20" s="133"/>
      <c r="N20" s="133"/>
      <c r="O20" s="133"/>
      <c r="P20" s="133"/>
      <c r="Q20" s="237"/>
      <c r="R20" s="140">
        <f t="shared" si="1"/>
        <v>220</v>
      </c>
      <c r="T20" s="146" t="s">
        <v>87</v>
      </c>
      <c r="U20" s="147" t="s">
        <v>83</v>
      </c>
    </row>
    <row r="21" spans="1:23" ht="30" x14ac:dyDescent="0.25">
      <c r="A21" s="78">
        <f t="shared" si="2"/>
        <v>17</v>
      </c>
      <c r="B21" s="138" t="s">
        <v>54</v>
      </c>
      <c r="C21" s="67" t="s">
        <v>19</v>
      </c>
      <c r="D21" s="66"/>
      <c r="E21" s="68"/>
      <c r="F21" s="68"/>
      <c r="G21" s="69">
        <v>10</v>
      </c>
      <c r="H21" s="64">
        <v>2450</v>
      </c>
      <c r="I21" s="71">
        <f>+G21*H21</f>
        <v>24500</v>
      </c>
      <c r="J21" s="132">
        <v>20</v>
      </c>
      <c r="K21" s="105">
        <v>2100</v>
      </c>
      <c r="L21" s="133">
        <f>J21*K21</f>
        <v>42000</v>
      </c>
      <c r="M21" s="219">
        <v>50</v>
      </c>
      <c r="N21" s="235"/>
      <c r="O21" s="236"/>
      <c r="P21" s="216">
        <v>1100</v>
      </c>
      <c r="Q21" s="216">
        <f t="shared" si="0"/>
        <v>55000</v>
      </c>
      <c r="R21" s="140">
        <f t="shared" si="1"/>
        <v>80</v>
      </c>
    </row>
    <row r="22" spans="1:23" ht="30" x14ac:dyDescent="0.25">
      <c r="A22" s="78">
        <f t="shared" si="2"/>
        <v>18</v>
      </c>
      <c r="B22" s="76" t="s">
        <v>25</v>
      </c>
      <c r="C22" s="75" t="s">
        <v>19</v>
      </c>
      <c r="D22" s="70">
        <v>48</v>
      </c>
      <c r="E22" s="71">
        <v>2450</v>
      </c>
      <c r="F22" s="71">
        <f>D22*E22</f>
        <v>117600</v>
      </c>
      <c r="G22" s="66"/>
      <c r="H22" s="68"/>
      <c r="I22" s="68"/>
      <c r="J22" s="68"/>
      <c r="K22" s="68"/>
      <c r="L22" s="68"/>
      <c r="M22" s="68"/>
      <c r="N22" s="68"/>
      <c r="O22" s="68"/>
      <c r="P22" s="68"/>
      <c r="Q22" s="237"/>
      <c r="R22" s="140">
        <f t="shared" si="1"/>
        <v>48</v>
      </c>
    </row>
    <row r="23" spans="1:23" x14ac:dyDescent="0.25">
      <c r="A23" s="78">
        <f t="shared" si="2"/>
        <v>19</v>
      </c>
      <c r="B23" s="136" t="s">
        <v>26</v>
      </c>
      <c r="C23" s="75" t="s">
        <v>19</v>
      </c>
      <c r="D23" s="72">
        <v>30</v>
      </c>
      <c r="E23" s="73">
        <v>2130</v>
      </c>
      <c r="F23" s="71">
        <f>D23*E23</f>
        <v>63900</v>
      </c>
      <c r="G23" s="66"/>
      <c r="H23" s="68"/>
      <c r="I23" s="68"/>
      <c r="J23" s="132">
        <v>80</v>
      </c>
      <c r="K23" s="105">
        <v>1900</v>
      </c>
      <c r="L23" s="133">
        <f>J23*K23</f>
        <v>152000</v>
      </c>
      <c r="M23" s="133"/>
      <c r="N23" s="133"/>
      <c r="O23" s="133"/>
      <c r="P23" s="133"/>
      <c r="Q23" s="237"/>
      <c r="R23" s="140">
        <f t="shared" si="1"/>
        <v>110</v>
      </c>
    </row>
    <row r="24" spans="1:23" ht="30" x14ac:dyDescent="0.25">
      <c r="A24" s="78">
        <f t="shared" si="2"/>
        <v>20</v>
      </c>
      <c r="B24" s="74" t="s">
        <v>55</v>
      </c>
      <c r="C24" s="67" t="s">
        <v>19</v>
      </c>
      <c r="D24" s="66"/>
      <c r="E24" s="68"/>
      <c r="F24" s="68"/>
      <c r="G24" s="69">
        <v>600</v>
      </c>
      <c r="H24" s="64">
        <v>585</v>
      </c>
      <c r="I24" s="71">
        <f>+G24*H24</f>
        <v>351000</v>
      </c>
      <c r="J24" s="71"/>
      <c r="K24" s="71"/>
      <c r="L24" s="71"/>
      <c r="M24" s="236"/>
      <c r="N24" s="220">
        <v>400</v>
      </c>
      <c r="O24" s="234"/>
      <c r="P24" s="216">
        <v>584.70000000000005</v>
      </c>
      <c r="Q24" s="216">
        <f t="shared" si="0"/>
        <v>233880.00000000003</v>
      </c>
      <c r="R24" s="140">
        <f t="shared" si="1"/>
        <v>1000</v>
      </c>
    </row>
    <row r="25" spans="1:23" ht="30" x14ac:dyDescent="0.25">
      <c r="A25" s="78">
        <f t="shared" si="2"/>
        <v>21</v>
      </c>
      <c r="B25" s="138" t="s">
        <v>56</v>
      </c>
      <c r="C25" s="67" t="s">
        <v>19</v>
      </c>
      <c r="D25" s="66"/>
      <c r="E25" s="68"/>
      <c r="F25" s="68"/>
      <c r="G25" s="69">
        <v>100</v>
      </c>
      <c r="H25" s="64">
        <v>480</v>
      </c>
      <c r="I25" s="71">
        <f>+G25*H25</f>
        <v>48000</v>
      </c>
      <c r="J25" s="71"/>
      <c r="K25" s="71"/>
      <c r="L25" s="71"/>
      <c r="M25" s="71"/>
      <c r="N25" s="71"/>
      <c r="O25" s="71"/>
      <c r="P25" s="71"/>
      <c r="Q25" s="237"/>
      <c r="R25" s="140">
        <f t="shared" si="1"/>
        <v>100</v>
      </c>
    </row>
    <row r="26" spans="1:23" x14ac:dyDescent="0.25">
      <c r="A26" s="78">
        <f t="shared" si="2"/>
        <v>22</v>
      </c>
      <c r="B26" s="136" t="s">
        <v>27</v>
      </c>
      <c r="C26" s="75" t="s">
        <v>19</v>
      </c>
      <c r="D26" s="72">
        <v>60</v>
      </c>
      <c r="E26" s="73">
        <v>2562</v>
      </c>
      <c r="F26" s="71">
        <f t="shared" ref="F26:F32" si="3">D26*E26</f>
        <v>153720</v>
      </c>
      <c r="G26" s="66"/>
      <c r="H26" s="68"/>
      <c r="I26" s="68"/>
      <c r="J26" s="132">
        <v>40</v>
      </c>
      <c r="K26" s="105">
        <v>1500</v>
      </c>
      <c r="L26" s="133">
        <f>J26*K26</f>
        <v>60000</v>
      </c>
      <c r="M26" s="133"/>
      <c r="N26" s="133"/>
      <c r="O26" s="133"/>
      <c r="P26" s="133"/>
      <c r="Q26" s="237"/>
      <c r="R26" s="140">
        <f t="shared" si="1"/>
        <v>100</v>
      </c>
    </row>
    <row r="27" spans="1:23" x14ac:dyDescent="0.25">
      <c r="A27" s="78">
        <f t="shared" si="2"/>
        <v>23</v>
      </c>
      <c r="B27" s="77" t="s">
        <v>28</v>
      </c>
      <c r="C27" s="75" t="s">
        <v>19</v>
      </c>
      <c r="D27" s="70">
        <v>6</v>
      </c>
      <c r="E27" s="71">
        <v>399</v>
      </c>
      <c r="F27" s="71">
        <f t="shared" si="3"/>
        <v>2394</v>
      </c>
      <c r="G27" s="66"/>
      <c r="H27" s="68"/>
      <c r="I27" s="68"/>
      <c r="J27" s="68"/>
      <c r="K27" s="68"/>
      <c r="L27" s="68"/>
      <c r="M27" s="68"/>
      <c r="N27" s="68"/>
      <c r="O27" s="68"/>
      <c r="P27" s="68"/>
      <c r="Q27" s="237"/>
      <c r="R27" s="140">
        <f t="shared" si="1"/>
        <v>6</v>
      </c>
    </row>
    <row r="28" spans="1:23" ht="45" x14ac:dyDescent="0.25">
      <c r="A28" s="78">
        <f t="shared" si="2"/>
        <v>24</v>
      </c>
      <c r="B28" s="74" t="s">
        <v>57</v>
      </c>
      <c r="C28" s="67" t="s">
        <v>19</v>
      </c>
      <c r="D28" s="70">
        <v>200</v>
      </c>
      <c r="E28" s="71">
        <v>907.5</v>
      </c>
      <c r="F28" s="71">
        <f t="shared" si="3"/>
        <v>181500</v>
      </c>
      <c r="G28" s="69">
        <v>840</v>
      </c>
      <c r="H28" s="64">
        <v>847</v>
      </c>
      <c r="I28" s="71">
        <f>+G28*H28</f>
        <v>711480</v>
      </c>
      <c r="J28" s="71"/>
      <c r="K28" s="71"/>
      <c r="L28" s="71"/>
      <c r="M28" s="71"/>
      <c r="N28" s="71"/>
      <c r="O28" s="71"/>
      <c r="P28" s="71"/>
      <c r="Q28" s="237"/>
      <c r="R28" s="140">
        <f t="shared" si="1"/>
        <v>1040</v>
      </c>
      <c r="T28" s="79" t="s">
        <v>86</v>
      </c>
      <c r="U28" s="343" t="s">
        <v>64</v>
      </c>
      <c r="V28" s="343"/>
      <c r="W28" s="343"/>
    </row>
    <row r="29" spans="1:23" ht="45" x14ac:dyDescent="0.25">
      <c r="A29" s="78">
        <f t="shared" si="2"/>
        <v>25</v>
      </c>
      <c r="B29" s="74" t="s">
        <v>58</v>
      </c>
      <c r="C29" s="67" t="s">
        <v>19</v>
      </c>
      <c r="D29" s="70">
        <v>10</v>
      </c>
      <c r="E29" s="71">
        <v>990.99</v>
      </c>
      <c r="F29" s="71">
        <f t="shared" si="3"/>
        <v>9909.9</v>
      </c>
      <c r="G29" s="69">
        <v>150</v>
      </c>
      <c r="H29" s="64">
        <v>980</v>
      </c>
      <c r="I29" s="71">
        <f>+G29*H29</f>
        <v>147000</v>
      </c>
      <c r="J29" s="71"/>
      <c r="K29" s="71"/>
      <c r="L29" s="71"/>
      <c r="M29" s="71"/>
      <c r="N29" s="71"/>
      <c r="O29" s="71"/>
      <c r="P29" s="71"/>
      <c r="Q29" s="237"/>
      <c r="R29" s="140">
        <f t="shared" si="1"/>
        <v>160</v>
      </c>
      <c r="T29" s="79" t="s">
        <v>137</v>
      </c>
      <c r="U29" s="343" t="s">
        <v>64</v>
      </c>
      <c r="V29" s="343"/>
      <c r="W29" s="343"/>
    </row>
    <row r="30" spans="1:23" ht="30" x14ac:dyDescent="0.25">
      <c r="A30" s="78">
        <f t="shared" si="2"/>
        <v>26</v>
      </c>
      <c r="B30" s="76" t="s">
        <v>31</v>
      </c>
      <c r="C30" s="75" t="s">
        <v>19</v>
      </c>
      <c r="D30" s="70">
        <v>200</v>
      </c>
      <c r="E30" s="71">
        <v>822.88</v>
      </c>
      <c r="F30" s="71">
        <f t="shared" si="3"/>
        <v>164576</v>
      </c>
      <c r="G30" s="66"/>
      <c r="H30" s="68"/>
      <c r="I30" s="68"/>
      <c r="J30" s="68"/>
      <c r="K30" s="68"/>
      <c r="L30" s="68"/>
      <c r="M30" s="68"/>
      <c r="N30" s="68"/>
      <c r="O30" s="68"/>
      <c r="P30" s="68"/>
      <c r="Q30" s="237"/>
      <c r="R30" s="140">
        <f t="shared" si="1"/>
        <v>200</v>
      </c>
    </row>
    <row r="31" spans="1:23" ht="45" x14ac:dyDescent="0.25">
      <c r="A31" s="78">
        <f t="shared" si="2"/>
        <v>27</v>
      </c>
      <c r="B31" s="139" t="s">
        <v>32</v>
      </c>
      <c r="C31" s="67" t="s">
        <v>19</v>
      </c>
      <c r="D31" s="70">
        <v>1530</v>
      </c>
      <c r="E31" s="71">
        <v>157.30000000000001</v>
      </c>
      <c r="F31" s="71">
        <f t="shared" si="3"/>
        <v>240669.00000000003</v>
      </c>
      <c r="G31" s="69">
        <v>1800</v>
      </c>
      <c r="H31" s="64">
        <v>157.30000000000001</v>
      </c>
      <c r="I31" s="71">
        <f>+G31*H31</f>
        <v>283140</v>
      </c>
      <c r="J31" s="132">
        <v>500</v>
      </c>
      <c r="K31" s="105">
        <v>164</v>
      </c>
      <c r="L31" s="133">
        <f>J31*K31</f>
        <v>82000</v>
      </c>
      <c r="M31" s="133"/>
      <c r="N31" s="133"/>
      <c r="O31" s="133"/>
      <c r="P31" s="133"/>
      <c r="Q31" s="237"/>
      <c r="R31" s="140">
        <f t="shared" si="1"/>
        <v>3830</v>
      </c>
    </row>
    <row r="32" spans="1:23" x14ac:dyDescent="0.25">
      <c r="A32" s="78">
        <f t="shared" si="2"/>
        <v>28</v>
      </c>
      <c r="B32" s="74" t="s">
        <v>33</v>
      </c>
      <c r="C32" s="67" t="s">
        <v>19</v>
      </c>
      <c r="D32" s="72">
        <v>100</v>
      </c>
      <c r="E32" s="73">
        <v>778.7</v>
      </c>
      <c r="F32" s="71">
        <f t="shared" si="3"/>
        <v>77870</v>
      </c>
      <c r="G32" s="69">
        <v>150</v>
      </c>
      <c r="H32" s="64">
        <v>764.81</v>
      </c>
      <c r="I32" s="71">
        <f>+G32*H32</f>
        <v>114721.49999999999</v>
      </c>
      <c r="J32" s="132">
        <v>50</v>
      </c>
      <c r="K32" s="105">
        <v>778.7</v>
      </c>
      <c r="L32" s="133">
        <f>J32*K32</f>
        <v>38935</v>
      </c>
      <c r="M32" s="219">
        <v>100</v>
      </c>
      <c r="N32" s="235"/>
      <c r="O32" s="236"/>
      <c r="P32" s="216">
        <v>680</v>
      </c>
      <c r="Q32" s="216">
        <f t="shared" si="0"/>
        <v>68000</v>
      </c>
      <c r="R32" s="140">
        <f t="shared" si="1"/>
        <v>400</v>
      </c>
    </row>
    <row r="33" spans="1:18" x14ac:dyDescent="0.25">
      <c r="A33" s="78">
        <f t="shared" si="2"/>
        <v>29</v>
      </c>
      <c r="B33" s="74" t="s">
        <v>59</v>
      </c>
      <c r="C33" s="67" t="s">
        <v>19</v>
      </c>
      <c r="D33" s="66"/>
      <c r="E33" s="68"/>
      <c r="F33" s="68"/>
      <c r="G33" s="69">
        <v>3</v>
      </c>
      <c r="H33" s="64">
        <v>829</v>
      </c>
      <c r="I33" s="71">
        <f>+G33*H33</f>
        <v>2487</v>
      </c>
      <c r="J33" s="71"/>
      <c r="K33" s="71"/>
      <c r="L33" s="71"/>
      <c r="M33" s="71"/>
      <c r="N33" s="71"/>
      <c r="O33" s="71"/>
      <c r="P33" s="71"/>
      <c r="Q33" s="237"/>
      <c r="R33" s="140">
        <f t="shared" si="1"/>
        <v>3</v>
      </c>
    </row>
    <row r="35" spans="1:18" ht="15.75" thickBot="1" x14ac:dyDescent="0.3"/>
    <row r="36" spans="1:18" ht="15.75" thickBot="1" x14ac:dyDescent="0.3">
      <c r="F36" s="141">
        <f>SUM(F5:F35)</f>
        <v>3839448.9</v>
      </c>
      <c r="I36" s="142">
        <f>SUM(I5:I35)</f>
        <v>10001903.5</v>
      </c>
      <c r="L36" s="143">
        <f>SUM(L5:L35)</f>
        <v>5004490</v>
      </c>
      <c r="Q36" s="238">
        <f>SUM(Q5:Q35)</f>
        <v>2848380</v>
      </c>
    </row>
    <row r="42" spans="1:18" ht="15.75" thickBot="1" x14ac:dyDescent="0.3"/>
    <row r="43" spans="1:18" ht="15.75" thickBot="1" x14ac:dyDescent="0.3">
      <c r="K43" s="80">
        <f>F36+I36+L36+Q36</f>
        <v>21694222.399999999</v>
      </c>
    </row>
  </sheetData>
  <mergeCells count="6">
    <mergeCell ref="D3:F3"/>
    <mergeCell ref="G3:I3"/>
    <mergeCell ref="U28:W28"/>
    <mergeCell ref="U29:W29"/>
    <mergeCell ref="J3:L3"/>
    <mergeCell ref="M3:Q3"/>
  </mergeCells>
  <conditionalFormatting sqref="B25">
    <cfRule type="duplicateValues" dxfId="40" priority="11"/>
  </conditionalFormatting>
  <conditionalFormatting sqref="B25">
    <cfRule type="duplicateValues" dxfId="39" priority="12"/>
  </conditionalFormatting>
  <conditionalFormatting sqref="B25">
    <cfRule type="duplicateValues" dxfId="38" priority="13"/>
  </conditionalFormatting>
  <conditionalFormatting sqref="B25">
    <cfRule type="duplicateValues" dxfId="37" priority="30"/>
    <cfRule type="duplicateValues" dxfId="36" priority="31"/>
  </conditionalFormatting>
  <conditionalFormatting sqref="B25">
    <cfRule type="duplicateValues" dxfId="35" priority="32"/>
  </conditionalFormatting>
  <pageMargins left="0.7" right="0.7" top="0.75" bottom="0.75" header="0.3" footer="0.3"/>
  <pageSetup paperSize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C3C2-5723-4EA8-B1DC-F116C231502D}">
  <dimension ref="A3:E33"/>
  <sheetViews>
    <sheetView zoomScale="115" zoomScaleNormal="115" workbookViewId="0">
      <selection activeCell="B11" sqref="B11"/>
    </sheetView>
  </sheetViews>
  <sheetFormatPr baseColWidth="10" defaultRowHeight="15" x14ac:dyDescent="0.25"/>
  <cols>
    <col min="1" max="1" width="6.42578125" customWidth="1"/>
    <col min="2" max="2" width="23.28515625" customWidth="1"/>
    <col min="3" max="3" width="16.85546875" customWidth="1"/>
    <col min="4" max="4" width="7.140625" customWidth="1"/>
  </cols>
  <sheetData>
    <row r="3" spans="1:5" ht="15.75" customHeight="1" x14ac:dyDescent="0.25">
      <c r="A3" s="65"/>
      <c r="B3" s="65"/>
      <c r="C3" s="65"/>
      <c r="D3" s="65"/>
      <c r="E3" s="65"/>
    </row>
    <row r="4" spans="1:5" ht="30" x14ac:dyDescent="0.25">
      <c r="A4" s="223" t="s">
        <v>139</v>
      </c>
      <c r="B4" s="223" t="s">
        <v>11</v>
      </c>
      <c r="C4" s="223" t="s">
        <v>140</v>
      </c>
      <c r="D4" s="223" t="s">
        <v>12</v>
      </c>
      <c r="E4" s="240" t="s">
        <v>68</v>
      </c>
    </row>
    <row r="5" spans="1:5" ht="30" x14ac:dyDescent="0.25">
      <c r="A5" s="78">
        <v>1</v>
      </c>
      <c r="B5" s="74" t="s">
        <v>47</v>
      </c>
      <c r="C5" s="74"/>
      <c r="D5" s="67" t="s">
        <v>19</v>
      </c>
      <c r="E5" s="244">
        <v>750</v>
      </c>
    </row>
    <row r="6" spans="1:5" x14ac:dyDescent="0.25">
      <c r="A6" s="78">
        <f>1+A5</f>
        <v>2</v>
      </c>
      <c r="B6" s="74" t="s">
        <v>18</v>
      </c>
      <c r="C6" s="74"/>
      <c r="D6" s="67" t="s">
        <v>19</v>
      </c>
      <c r="E6" s="244">
        <v>15048</v>
      </c>
    </row>
    <row r="7" spans="1:5" x14ac:dyDescent="0.25">
      <c r="A7" s="78">
        <f t="shared" ref="A7:A33" si="0">1+A6</f>
        <v>3</v>
      </c>
      <c r="B7" s="74" t="s">
        <v>48</v>
      </c>
      <c r="C7" s="74"/>
      <c r="D7" s="67" t="s">
        <v>19</v>
      </c>
      <c r="E7" s="244">
        <v>15000</v>
      </c>
    </row>
    <row r="8" spans="1:5" x14ac:dyDescent="0.25">
      <c r="A8" s="78">
        <f t="shared" si="0"/>
        <v>4</v>
      </c>
      <c r="B8" s="74" t="s">
        <v>20</v>
      </c>
      <c r="C8" s="74"/>
      <c r="D8" s="67" t="s">
        <v>19</v>
      </c>
      <c r="E8" s="244">
        <v>21000</v>
      </c>
    </row>
    <row r="9" spans="1:5" x14ac:dyDescent="0.25">
      <c r="A9" s="78">
        <f t="shared" si="0"/>
        <v>5</v>
      </c>
      <c r="B9" s="74" t="s">
        <v>21</v>
      </c>
      <c r="C9" s="74"/>
      <c r="D9" s="67" t="s">
        <v>19</v>
      </c>
      <c r="E9" s="244">
        <v>3096</v>
      </c>
    </row>
    <row r="10" spans="1:5" x14ac:dyDescent="0.25">
      <c r="A10" s="78">
        <f t="shared" si="0"/>
        <v>6</v>
      </c>
      <c r="B10" s="136" t="s">
        <v>22</v>
      </c>
      <c r="C10" s="136"/>
      <c r="D10" s="75" t="s">
        <v>19</v>
      </c>
      <c r="E10" s="244">
        <v>600</v>
      </c>
    </row>
    <row r="11" spans="1:5" x14ac:dyDescent="0.25">
      <c r="A11" s="78">
        <f t="shared" si="0"/>
        <v>7</v>
      </c>
      <c r="B11" s="74" t="s">
        <v>49</v>
      </c>
      <c r="C11" s="74"/>
      <c r="D11" s="67" t="s">
        <v>19</v>
      </c>
      <c r="E11" s="244">
        <v>2000</v>
      </c>
    </row>
    <row r="12" spans="1:5" x14ac:dyDescent="0.25">
      <c r="A12" s="78">
        <f t="shared" si="0"/>
        <v>8</v>
      </c>
      <c r="B12" s="137" t="s">
        <v>49</v>
      </c>
      <c r="C12" s="137"/>
      <c r="D12" s="102" t="s">
        <v>19</v>
      </c>
      <c r="E12" s="244">
        <v>5000</v>
      </c>
    </row>
    <row r="13" spans="1:5" x14ac:dyDescent="0.25">
      <c r="A13" s="78">
        <f t="shared" si="0"/>
        <v>9</v>
      </c>
      <c r="B13" s="74" t="s">
        <v>23</v>
      </c>
      <c r="C13" s="74"/>
      <c r="D13" s="67" t="s">
        <v>19</v>
      </c>
      <c r="E13" s="244">
        <v>9010</v>
      </c>
    </row>
    <row r="14" spans="1:5" ht="24" customHeight="1" x14ac:dyDescent="0.25">
      <c r="A14" s="78">
        <f t="shared" si="0"/>
        <v>10</v>
      </c>
      <c r="B14" s="74" t="s">
        <v>50</v>
      </c>
      <c r="C14" s="74"/>
      <c r="D14" s="67" t="s">
        <v>19</v>
      </c>
      <c r="E14" s="244">
        <v>135</v>
      </c>
    </row>
    <row r="15" spans="1:5" x14ac:dyDescent="0.25">
      <c r="A15" s="78">
        <f t="shared" si="0"/>
        <v>11</v>
      </c>
      <c r="B15" s="137" t="s">
        <v>74</v>
      </c>
      <c r="C15" s="137"/>
      <c r="D15" s="102" t="s">
        <v>19</v>
      </c>
      <c r="E15" s="244">
        <v>70</v>
      </c>
    </row>
    <row r="16" spans="1:5" ht="38.25" x14ac:dyDescent="0.25">
      <c r="A16" s="78">
        <f t="shared" si="0"/>
        <v>12</v>
      </c>
      <c r="B16" s="241" t="s">
        <v>127</v>
      </c>
      <c r="C16" s="241"/>
      <c r="D16" s="242" t="s">
        <v>19</v>
      </c>
      <c r="E16" s="244">
        <v>100</v>
      </c>
    </row>
    <row r="17" spans="1:5" ht="45" x14ac:dyDescent="0.25">
      <c r="A17" s="78">
        <f t="shared" si="0"/>
        <v>13</v>
      </c>
      <c r="B17" s="74" t="s">
        <v>51</v>
      </c>
      <c r="C17" s="74"/>
      <c r="D17" s="67" t="s">
        <v>19</v>
      </c>
      <c r="E17" s="244">
        <v>2900</v>
      </c>
    </row>
    <row r="18" spans="1:5" ht="60" x14ac:dyDescent="0.25">
      <c r="A18" s="78">
        <f t="shared" si="0"/>
        <v>14</v>
      </c>
      <c r="B18" s="74" t="s">
        <v>52</v>
      </c>
      <c r="C18" s="74"/>
      <c r="D18" s="67" t="s">
        <v>19</v>
      </c>
      <c r="E18" s="244">
        <v>5000</v>
      </c>
    </row>
    <row r="19" spans="1:5" ht="30" x14ac:dyDescent="0.25">
      <c r="A19" s="78">
        <f t="shared" si="0"/>
        <v>15</v>
      </c>
      <c r="B19" s="74" t="s">
        <v>53</v>
      </c>
      <c r="C19" s="74"/>
      <c r="D19" s="67" t="s">
        <v>19</v>
      </c>
      <c r="E19" s="244">
        <v>4</v>
      </c>
    </row>
    <row r="20" spans="1:5" ht="60" x14ac:dyDescent="0.25">
      <c r="A20" s="78">
        <f t="shared" si="0"/>
        <v>16</v>
      </c>
      <c r="B20" s="74" t="s">
        <v>24</v>
      </c>
      <c r="C20" s="74"/>
      <c r="D20" s="67" t="s">
        <v>19</v>
      </c>
      <c r="E20" s="244">
        <v>220</v>
      </c>
    </row>
    <row r="21" spans="1:5" ht="45" x14ac:dyDescent="0.25">
      <c r="A21" s="78">
        <f t="shared" si="0"/>
        <v>17</v>
      </c>
      <c r="B21" s="138" t="s">
        <v>54</v>
      </c>
      <c r="C21" s="138"/>
      <c r="D21" s="67" t="s">
        <v>19</v>
      </c>
      <c r="E21" s="244">
        <v>80</v>
      </c>
    </row>
    <row r="22" spans="1:5" ht="45" x14ac:dyDescent="0.25">
      <c r="A22" s="78">
        <f t="shared" si="0"/>
        <v>18</v>
      </c>
      <c r="B22" s="76" t="s">
        <v>25</v>
      </c>
      <c r="C22" s="76"/>
      <c r="D22" s="75" t="s">
        <v>19</v>
      </c>
      <c r="E22" s="244">
        <v>48</v>
      </c>
    </row>
    <row r="23" spans="1:5" ht="30" x14ac:dyDescent="0.25">
      <c r="A23" s="78">
        <f t="shared" si="0"/>
        <v>19</v>
      </c>
      <c r="B23" s="136" t="s">
        <v>26</v>
      </c>
      <c r="C23" s="136"/>
      <c r="D23" s="75" t="s">
        <v>19</v>
      </c>
      <c r="E23" s="244">
        <v>110</v>
      </c>
    </row>
    <row r="24" spans="1:5" ht="60" x14ac:dyDescent="0.25">
      <c r="A24" s="78">
        <f t="shared" si="0"/>
        <v>20</v>
      </c>
      <c r="B24" s="74" t="s">
        <v>55</v>
      </c>
      <c r="C24" s="74"/>
      <c r="D24" s="67" t="s">
        <v>19</v>
      </c>
      <c r="E24" s="244">
        <v>1000</v>
      </c>
    </row>
    <row r="25" spans="1:5" ht="45" x14ac:dyDescent="0.25">
      <c r="A25" s="78">
        <f t="shared" si="0"/>
        <v>21</v>
      </c>
      <c r="B25" s="138" t="s">
        <v>56</v>
      </c>
      <c r="C25" s="138"/>
      <c r="D25" s="67" t="s">
        <v>19</v>
      </c>
      <c r="E25" s="244">
        <v>100</v>
      </c>
    </row>
    <row r="26" spans="1:5" ht="30" x14ac:dyDescent="0.25">
      <c r="A26" s="78">
        <f t="shared" si="0"/>
        <v>22</v>
      </c>
      <c r="B26" s="136" t="s">
        <v>27</v>
      </c>
      <c r="C26" s="136"/>
      <c r="D26" s="75" t="s">
        <v>19</v>
      </c>
      <c r="E26" s="244">
        <v>100</v>
      </c>
    </row>
    <row r="27" spans="1:5" ht="30" x14ac:dyDescent="0.25">
      <c r="A27" s="78">
        <f t="shared" si="0"/>
        <v>23</v>
      </c>
      <c r="B27" s="77" t="s">
        <v>28</v>
      </c>
      <c r="C27" s="77"/>
      <c r="D27" s="75" t="s">
        <v>19</v>
      </c>
      <c r="E27" s="244">
        <v>6</v>
      </c>
    </row>
    <row r="28" spans="1:5" ht="60" customHeight="1" x14ac:dyDescent="0.25">
      <c r="A28" s="78">
        <f t="shared" si="0"/>
        <v>24</v>
      </c>
      <c r="B28" s="74" t="s">
        <v>57</v>
      </c>
      <c r="C28" s="243" t="s">
        <v>64</v>
      </c>
      <c r="D28" s="67" t="s">
        <v>19</v>
      </c>
      <c r="E28" s="244">
        <v>1040</v>
      </c>
    </row>
    <row r="29" spans="1:5" ht="48.75" customHeight="1" x14ac:dyDescent="0.25">
      <c r="A29" s="78">
        <f t="shared" si="0"/>
        <v>25</v>
      </c>
      <c r="B29" s="74" t="s">
        <v>58</v>
      </c>
      <c r="C29" s="243" t="s">
        <v>64</v>
      </c>
      <c r="D29" s="67" t="s">
        <v>19</v>
      </c>
      <c r="E29" s="244">
        <v>160</v>
      </c>
    </row>
    <row r="30" spans="1:5" ht="90" x14ac:dyDescent="0.25">
      <c r="A30" s="78">
        <f t="shared" si="0"/>
        <v>26</v>
      </c>
      <c r="B30" s="76" t="s">
        <v>31</v>
      </c>
      <c r="C30" s="76" t="s">
        <v>141</v>
      </c>
      <c r="D30" s="75" t="s">
        <v>19</v>
      </c>
      <c r="E30" s="244">
        <v>200</v>
      </c>
    </row>
    <row r="31" spans="1:5" ht="90" x14ac:dyDescent="0.25">
      <c r="A31" s="78">
        <f t="shared" si="0"/>
        <v>27</v>
      </c>
      <c r="B31" s="139" t="s">
        <v>32</v>
      </c>
      <c r="C31" s="139"/>
      <c r="D31" s="67" t="s">
        <v>19</v>
      </c>
      <c r="E31" s="244">
        <v>3830</v>
      </c>
    </row>
    <row r="32" spans="1:5" ht="30" x14ac:dyDescent="0.25">
      <c r="A32" s="78">
        <f t="shared" si="0"/>
        <v>28</v>
      </c>
      <c r="B32" s="74" t="s">
        <v>33</v>
      </c>
      <c r="C32" s="74"/>
      <c r="D32" s="67" t="s">
        <v>19</v>
      </c>
      <c r="E32" s="244">
        <v>400</v>
      </c>
    </row>
    <row r="33" spans="1:5" ht="30" x14ac:dyDescent="0.25">
      <c r="A33" s="78">
        <f t="shared" si="0"/>
        <v>29</v>
      </c>
      <c r="B33" s="74" t="s">
        <v>59</v>
      </c>
      <c r="C33" s="74"/>
      <c r="D33" s="67" t="s">
        <v>19</v>
      </c>
      <c r="E33" s="244">
        <v>3</v>
      </c>
    </row>
  </sheetData>
  <conditionalFormatting sqref="B25:C25">
    <cfRule type="duplicateValues" dxfId="34" priority="1"/>
  </conditionalFormatting>
  <conditionalFormatting sqref="B25:C25">
    <cfRule type="duplicateValues" dxfId="33" priority="2"/>
  </conditionalFormatting>
  <conditionalFormatting sqref="B25:C25">
    <cfRule type="duplicateValues" dxfId="32" priority="3"/>
  </conditionalFormatting>
  <conditionalFormatting sqref="B25:C25">
    <cfRule type="duplicateValues" dxfId="31" priority="4"/>
    <cfRule type="duplicateValues" dxfId="30" priority="5"/>
  </conditionalFormatting>
  <conditionalFormatting sqref="B25:C25">
    <cfRule type="duplicateValues" dxfId="29" priority="6"/>
  </conditionalFormatting>
  <pageMargins left="0.7" right="0.7" top="0.75" bottom="0.75" header="0.3" footer="0.3"/>
  <pageSetup paperSize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09A4-5DEE-48E7-A50A-300F211558A5}">
  <dimension ref="A1:L33"/>
  <sheetViews>
    <sheetView topLeftCell="A25" zoomScale="115" zoomScaleNormal="115" workbookViewId="0">
      <selection activeCell="A3" sqref="A3:L32"/>
    </sheetView>
  </sheetViews>
  <sheetFormatPr baseColWidth="10" defaultRowHeight="15" x14ac:dyDescent="0.25"/>
  <cols>
    <col min="1" max="1" width="8.5703125" customWidth="1"/>
    <col min="2" max="2" width="6.42578125" customWidth="1"/>
    <col min="3" max="3" width="11" customWidth="1"/>
    <col min="4" max="4" width="8.5703125" customWidth="1"/>
    <col min="5" max="5" width="8.7109375" customWidth="1"/>
    <col min="6" max="6" width="9.7109375" customWidth="1"/>
    <col min="7" max="7" width="10.5703125" customWidth="1"/>
    <col min="9" max="12" width="14" bestFit="1" customWidth="1"/>
  </cols>
  <sheetData>
    <row r="1" spans="1:12" ht="18.75" x14ac:dyDescent="0.3">
      <c r="B1" s="259" t="s">
        <v>161</v>
      </c>
    </row>
    <row r="2" spans="1:12" x14ac:dyDescent="0.25">
      <c r="D2" s="350" t="s">
        <v>151</v>
      </c>
      <c r="E2" s="350"/>
      <c r="F2" s="350"/>
      <c r="G2" s="350"/>
      <c r="H2" s="350"/>
      <c r="I2" s="350" t="s">
        <v>150</v>
      </c>
      <c r="J2" s="350"/>
      <c r="K2" s="350"/>
      <c r="L2" s="350"/>
    </row>
    <row r="3" spans="1:12" ht="51.75" customHeight="1" x14ac:dyDescent="0.25">
      <c r="A3" s="258" t="s">
        <v>148</v>
      </c>
      <c r="B3" s="223" t="s">
        <v>147</v>
      </c>
      <c r="C3" s="223" t="s">
        <v>146</v>
      </c>
      <c r="D3" s="245" t="s">
        <v>142</v>
      </c>
      <c r="E3" s="245" t="s">
        <v>143</v>
      </c>
      <c r="F3" s="245" t="s">
        <v>144</v>
      </c>
      <c r="G3" s="245" t="s">
        <v>145</v>
      </c>
      <c r="H3" s="240" t="s">
        <v>68</v>
      </c>
      <c r="I3" s="245" t="s">
        <v>142</v>
      </c>
      <c r="J3" s="245" t="s">
        <v>143</v>
      </c>
      <c r="K3" s="245" t="s">
        <v>144</v>
      </c>
      <c r="L3" s="245" t="s">
        <v>145</v>
      </c>
    </row>
    <row r="4" spans="1:12" x14ac:dyDescent="0.25">
      <c r="A4" s="40">
        <v>1</v>
      </c>
      <c r="B4" s="78">
        <v>1</v>
      </c>
      <c r="C4" s="78">
        <v>91</v>
      </c>
      <c r="D4" s="246">
        <v>200</v>
      </c>
      <c r="E4" s="247"/>
      <c r="F4" s="248">
        <v>150</v>
      </c>
      <c r="G4" s="248">
        <v>400</v>
      </c>
      <c r="H4" s="249">
        <f>SUM(D4:G4)</f>
        <v>750</v>
      </c>
      <c r="I4" s="254">
        <f>+D4*$C$4</f>
        <v>18200</v>
      </c>
      <c r="J4" s="254">
        <f>+E4*C4</f>
        <v>0</v>
      </c>
      <c r="K4" s="254">
        <f>+F4*C4</f>
        <v>13650</v>
      </c>
      <c r="L4" s="254">
        <f>+G4*C4</f>
        <v>36400</v>
      </c>
    </row>
    <row r="5" spans="1:12" x14ac:dyDescent="0.25">
      <c r="A5" s="40">
        <v>2</v>
      </c>
      <c r="B5" s="78">
        <f>1+B4</f>
        <v>2</v>
      </c>
      <c r="C5" s="78">
        <v>155</v>
      </c>
      <c r="D5" s="246">
        <v>5000</v>
      </c>
      <c r="E5" s="250">
        <v>48</v>
      </c>
      <c r="F5" s="251"/>
      <c r="G5" s="246">
        <v>10000</v>
      </c>
      <c r="H5" s="249">
        <f t="shared" ref="H5:H32" si="0">SUM(D5:G5)</f>
        <v>15048</v>
      </c>
      <c r="I5" s="254">
        <f>+D5*C5</f>
        <v>775000</v>
      </c>
      <c r="J5" s="254">
        <f t="shared" ref="J5:J31" si="1">+E5*C5</f>
        <v>7440</v>
      </c>
      <c r="K5" s="254">
        <f t="shared" ref="K5:K31" si="2">+F5*C5</f>
        <v>0</v>
      </c>
      <c r="L5" s="254">
        <f t="shared" ref="L5:L31" si="3">+G5*C5</f>
        <v>1550000</v>
      </c>
    </row>
    <row r="6" spans="1:12" x14ac:dyDescent="0.25">
      <c r="A6" s="40">
        <v>3</v>
      </c>
      <c r="B6" s="78">
        <f t="shared" ref="B6:B32" si="4">1+B5</f>
        <v>3</v>
      </c>
      <c r="C6" s="78">
        <v>114.7</v>
      </c>
      <c r="D6" s="246">
        <v>9000</v>
      </c>
      <c r="E6" s="247"/>
      <c r="F6" s="248">
        <v>6000</v>
      </c>
      <c r="G6" s="252"/>
      <c r="H6" s="249">
        <f t="shared" si="0"/>
        <v>15000</v>
      </c>
      <c r="I6" s="254">
        <f>+D6*C6</f>
        <v>1032300</v>
      </c>
      <c r="J6" s="254">
        <f t="shared" si="1"/>
        <v>0</v>
      </c>
      <c r="K6" s="254">
        <f t="shared" si="2"/>
        <v>688200</v>
      </c>
      <c r="L6" s="254">
        <f t="shared" si="3"/>
        <v>0</v>
      </c>
    </row>
    <row r="7" spans="1:12" x14ac:dyDescent="0.25">
      <c r="A7" s="40">
        <v>4</v>
      </c>
      <c r="B7" s="78">
        <f t="shared" si="4"/>
        <v>4</v>
      </c>
      <c r="C7" s="78">
        <v>87</v>
      </c>
      <c r="D7" s="246">
        <v>3000</v>
      </c>
      <c r="E7" s="246">
        <v>10000</v>
      </c>
      <c r="F7" s="248">
        <v>8000</v>
      </c>
      <c r="G7" s="252"/>
      <c r="H7" s="249">
        <f t="shared" si="0"/>
        <v>21000</v>
      </c>
      <c r="I7" s="254">
        <f t="shared" ref="I7:I31" si="5">+D7*C7</f>
        <v>261000</v>
      </c>
      <c r="J7" s="254">
        <f t="shared" si="1"/>
        <v>870000</v>
      </c>
      <c r="K7" s="254">
        <f t="shared" si="2"/>
        <v>696000</v>
      </c>
      <c r="L7" s="254">
        <f t="shared" si="3"/>
        <v>0</v>
      </c>
    </row>
    <row r="8" spans="1:12" x14ac:dyDescent="0.25">
      <c r="A8" s="40">
        <v>5</v>
      </c>
      <c r="B8" s="78">
        <f t="shared" si="4"/>
        <v>5</v>
      </c>
      <c r="C8" s="78">
        <v>135</v>
      </c>
      <c r="D8" s="246">
        <v>3000</v>
      </c>
      <c r="E8" s="250">
        <v>96</v>
      </c>
      <c r="F8" s="251"/>
      <c r="G8" s="251"/>
      <c r="H8" s="249">
        <f t="shared" si="0"/>
        <v>3096</v>
      </c>
      <c r="I8" s="254">
        <f t="shared" si="5"/>
        <v>405000</v>
      </c>
      <c r="J8" s="254">
        <f t="shared" si="1"/>
        <v>12960</v>
      </c>
      <c r="K8" s="254">
        <f t="shared" si="2"/>
        <v>0</v>
      </c>
      <c r="L8" s="254">
        <f t="shared" si="3"/>
        <v>0</v>
      </c>
    </row>
    <row r="9" spans="1:12" x14ac:dyDescent="0.25">
      <c r="A9" s="40">
        <v>6</v>
      </c>
      <c r="B9" s="78">
        <f t="shared" si="4"/>
        <v>6</v>
      </c>
      <c r="C9" s="78">
        <v>218</v>
      </c>
      <c r="D9" s="247"/>
      <c r="E9" s="246">
        <v>100</v>
      </c>
      <c r="F9" s="246"/>
      <c r="G9" s="246">
        <v>500</v>
      </c>
      <c r="H9" s="249">
        <f t="shared" si="0"/>
        <v>600</v>
      </c>
      <c r="I9" s="254">
        <f t="shared" si="5"/>
        <v>0</v>
      </c>
      <c r="J9" s="254">
        <f t="shared" si="1"/>
        <v>21800</v>
      </c>
      <c r="K9" s="254">
        <f t="shared" si="2"/>
        <v>0</v>
      </c>
      <c r="L9" s="254">
        <f t="shared" si="3"/>
        <v>109000</v>
      </c>
    </row>
    <row r="10" spans="1:12" x14ac:dyDescent="0.25">
      <c r="A10" s="40">
        <v>7</v>
      </c>
      <c r="B10" s="78">
        <f t="shared" si="4"/>
        <v>7</v>
      </c>
      <c r="C10" s="78">
        <v>91.54</v>
      </c>
      <c r="D10" s="246">
        <v>2000</v>
      </c>
      <c r="E10" s="247"/>
      <c r="F10" s="251"/>
      <c r="G10" s="251"/>
      <c r="H10" s="249">
        <f t="shared" si="0"/>
        <v>2000</v>
      </c>
      <c r="I10" s="254">
        <f t="shared" si="5"/>
        <v>183080</v>
      </c>
      <c r="J10" s="254">
        <f t="shared" si="1"/>
        <v>0</v>
      </c>
      <c r="K10" s="254">
        <f t="shared" si="2"/>
        <v>0</v>
      </c>
      <c r="L10" s="254">
        <f t="shared" si="3"/>
        <v>0</v>
      </c>
    </row>
    <row r="11" spans="1:12" x14ac:dyDescent="0.25">
      <c r="A11" s="40">
        <v>7</v>
      </c>
      <c r="B11" s="78">
        <f t="shared" si="4"/>
        <v>8</v>
      </c>
      <c r="C11" s="78">
        <v>91.54</v>
      </c>
      <c r="D11" s="247"/>
      <c r="E11" s="247"/>
      <c r="F11" s="248">
        <v>2000</v>
      </c>
      <c r="G11" s="246">
        <v>3000</v>
      </c>
      <c r="H11" s="249">
        <f t="shared" si="0"/>
        <v>5000</v>
      </c>
      <c r="I11" s="254">
        <f t="shared" si="5"/>
        <v>0</v>
      </c>
      <c r="J11" s="254">
        <f t="shared" si="1"/>
        <v>0</v>
      </c>
      <c r="K11" s="254">
        <f t="shared" si="2"/>
        <v>183080</v>
      </c>
      <c r="L11" s="254">
        <f t="shared" si="3"/>
        <v>274620</v>
      </c>
    </row>
    <row r="12" spans="1:12" x14ac:dyDescent="0.25">
      <c r="A12" s="40">
        <v>8</v>
      </c>
      <c r="B12" s="78">
        <f t="shared" si="4"/>
        <v>9</v>
      </c>
      <c r="C12" s="78">
        <v>142</v>
      </c>
      <c r="D12" s="246">
        <v>5000</v>
      </c>
      <c r="E12" s="246">
        <v>510</v>
      </c>
      <c r="F12" s="248">
        <v>1500</v>
      </c>
      <c r="G12" s="246">
        <v>2000</v>
      </c>
      <c r="H12" s="249">
        <f t="shared" si="0"/>
        <v>9010</v>
      </c>
      <c r="I12" s="254">
        <f t="shared" si="5"/>
        <v>710000</v>
      </c>
      <c r="J12" s="254">
        <f t="shared" si="1"/>
        <v>72420</v>
      </c>
      <c r="K12" s="254">
        <f t="shared" si="2"/>
        <v>213000</v>
      </c>
      <c r="L12" s="254">
        <f t="shared" si="3"/>
        <v>284000</v>
      </c>
    </row>
    <row r="13" spans="1:12" ht="65.25" customHeight="1" x14ac:dyDescent="0.25">
      <c r="A13" s="40">
        <v>9</v>
      </c>
      <c r="B13" s="78">
        <f t="shared" si="4"/>
        <v>10</v>
      </c>
      <c r="C13" s="78" t="s">
        <v>149</v>
      </c>
      <c r="D13" s="246">
        <v>70</v>
      </c>
      <c r="E13" s="247"/>
      <c r="F13" s="248">
        <v>15</v>
      </c>
      <c r="G13" s="246">
        <v>50</v>
      </c>
      <c r="H13" s="249">
        <f t="shared" si="0"/>
        <v>135</v>
      </c>
      <c r="I13" s="254"/>
      <c r="J13" s="254"/>
      <c r="K13" s="254"/>
      <c r="L13" s="254"/>
    </row>
    <row r="14" spans="1:12" x14ac:dyDescent="0.25">
      <c r="A14" s="40">
        <v>10</v>
      </c>
      <c r="B14" s="78">
        <f t="shared" si="4"/>
        <v>11</v>
      </c>
      <c r="C14" s="78">
        <v>1288</v>
      </c>
      <c r="D14" s="247"/>
      <c r="E14" s="247"/>
      <c r="F14" s="248">
        <v>10</v>
      </c>
      <c r="G14" s="246">
        <v>60</v>
      </c>
      <c r="H14" s="249">
        <f t="shared" si="0"/>
        <v>70</v>
      </c>
      <c r="I14" s="254">
        <f t="shared" si="5"/>
        <v>0</v>
      </c>
      <c r="J14" s="254">
        <f t="shared" si="1"/>
        <v>0</v>
      </c>
      <c r="K14" s="254">
        <f t="shared" si="2"/>
        <v>12880</v>
      </c>
      <c r="L14" s="254">
        <f t="shared" si="3"/>
        <v>77280</v>
      </c>
    </row>
    <row r="15" spans="1:12" x14ac:dyDescent="0.25">
      <c r="A15" s="40">
        <v>11</v>
      </c>
      <c r="B15" s="78">
        <f t="shared" si="4"/>
        <v>12</v>
      </c>
      <c r="C15" s="78" t="s">
        <v>149</v>
      </c>
      <c r="D15" s="247"/>
      <c r="E15" s="247"/>
      <c r="F15" s="247"/>
      <c r="G15" s="253">
        <v>100</v>
      </c>
      <c r="H15" s="249">
        <f t="shared" si="0"/>
        <v>100</v>
      </c>
      <c r="I15" s="254"/>
      <c r="J15" s="254"/>
      <c r="K15" s="254"/>
      <c r="L15" s="254"/>
    </row>
    <row r="16" spans="1:12" x14ac:dyDescent="0.25">
      <c r="A16" s="40">
        <v>12</v>
      </c>
      <c r="B16" s="78">
        <f t="shared" si="4"/>
        <v>13</v>
      </c>
      <c r="C16" s="78">
        <v>314</v>
      </c>
      <c r="D16" s="246">
        <v>2500</v>
      </c>
      <c r="E16" s="247"/>
      <c r="F16" s="248">
        <v>400</v>
      </c>
      <c r="G16" s="252"/>
      <c r="H16" s="249">
        <f t="shared" si="0"/>
        <v>2900</v>
      </c>
      <c r="I16" s="254">
        <f t="shared" si="5"/>
        <v>785000</v>
      </c>
      <c r="J16" s="254">
        <f t="shared" si="1"/>
        <v>0</v>
      </c>
      <c r="K16" s="254">
        <f t="shared" si="2"/>
        <v>125600</v>
      </c>
      <c r="L16" s="254">
        <f t="shared" si="3"/>
        <v>0</v>
      </c>
    </row>
    <row r="17" spans="1:12" x14ac:dyDescent="0.25">
      <c r="A17" s="40">
        <v>13</v>
      </c>
      <c r="B17" s="78">
        <f t="shared" si="4"/>
        <v>14</v>
      </c>
      <c r="C17" s="78">
        <v>466.8</v>
      </c>
      <c r="D17" s="246">
        <v>4000</v>
      </c>
      <c r="E17" s="247"/>
      <c r="F17" s="248">
        <v>1000</v>
      </c>
      <c r="G17" s="252"/>
      <c r="H17" s="249">
        <f t="shared" si="0"/>
        <v>5000</v>
      </c>
      <c r="I17" s="254">
        <f t="shared" si="5"/>
        <v>1867200</v>
      </c>
      <c r="J17" s="254">
        <f t="shared" si="1"/>
        <v>0</v>
      </c>
      <c r="K17" s="254">
        <f t="shared" si="2"/>
        <v>466800</v>
      </c>
      <c r="L17" s="254">
        <f t="shared" si="3"/>
        <v>0</v>
      </c>
    </row>
    <row r="18" spans="1:12" x14ac:dyDescent="0.25">
      <c r="A18" s="40">
        <v>14</v>
      </c>
      <c r="B18" s="78">
        <f t="shared" si="4"/>
        <v>15</v>
      </c>
      <c r="C18" s="78">
        <v>3567.36</v>
      </c>
      <c r="D18" s="246">
        <v>4</v>
      </c>
      <c r="E18" s="247"/>
      <c r="F18" s="251"/>
      <c r="G18" s="251"/>
      <c r="H18" s="249">
        <f t="shared" si="0"/>
        <v>4</v>
      </c>
      <c r="I18" s="254">
        <f t="shared" si="5"/>
        <v>14269.44</v>
      </c>
      <c r="J18" s="254">
        <f t="shared" si="1"/>
        <v>0</v>
      </c>
      <c r="K18" s="254">
        <f t="shared" si="2"/>
        <v>0</v>
      </c>
      <c r="L18" s="254">
        <f t="shared" si="3"/>
        <v>0</v>
      </c>
    </row>
    <row r="19" spans="1:12" x14ac:dyDescent="0.25">
      <c r="A19" s="40">
        <v>15</v>
      </c>
      <c r="B19" s="78">
        <f t="shared" si="4"/>
        <v>16</v>
      </c>
      <c r="C19" s="78">
        <v>3966.38</v>
      </c>
      <c r="D19" s="246">
        <v>100</v>
      </c>
      <c r="E19" s="250">
        <v>20</v>
      </c>
      <c r="F19" s="248">
        <v>100</v>
      </c>
      <c r="G19" s="252"/>
      <c r="H19" s="249">
        <f t="shared" si="0"/>
        <v>220</v>
      </c>
      <c r="I19" s="254">
        <f t="shared" si="5"/>
        <v>396638</v>
      </c>
      <c r="J19" s="254">
        <f t="shared" si="1"/>
        <v>79327.600000000006</v>
      </c>
      <c r="K19" s="254">
        <f t="shared" si="2"/>
        <v>396638</v>
      </c>
      <c r="L19" s="254">
        <f t="shared" si="3"/>
        <v>0</v>
      </c>
    </row>
    <row r="20" spans="1:12" x14ac:dyDescent="0.25">
      <c r="A20" s="40">
        <v>16</v>
      </c>
      <c r="B20" s="78">
        <f t="shared" si="4"/>
        <v>17</v>
      </c>
      <c r="C20" s="78" t="s">
        <v>149</v>
      </c>
      <c r="D20" s="246">
        <v>10</v>
      </c>
      <c r="E20" s="247"/>
      <c r="F20" s="248">
        <v>20</v>
      </c>
      <c r="G20" s="253">
        <v>50</v>
      </c>
      <c r="H20" s="249">
        <f t="shared" si="0"/>
        <v>80</v>
      </c>
      <c r="I20" s="254"/>
      <c r="J20" s="254"/>
      <c r="K20" s="254"/>
      <c r="L20" s="254"/>
    </row>
    <row r="21" spans="1:12" x14ac:dyDescent="0.25">
      <c r="A21" s="40">
        <v>17</v>
      </c>
      <c r="B21" s="78">
        <f t="shared" si="4"/>
        <v>18</v>
      </c>
      <c r="C21" s="78" t="s">
        <v>149</v>
      </c>
      <c r="D21" s="247"/>
      <c r="E21" s="250">
        <v>48</v>
      </c>
      <c r="F21" s="246"/>
      <c r="G21" s="246"/>
      <c r="H21" s="249">
        <f t="shared" si="0"/>
        <v>48</v>
      </c>
      <c r="I21" s="254"/>
      <c r="J21" s="254"/>
      <c r="K21" s="254"/>
      <c r="L21" s="254"/>
    </row>
    <row r="22" spans="1:12" x14ac:dyDescent="0.25">
      <c r="A22" s="40">
        <v>18</v>
      </c>
      <c r="B22" s="78">
        <f t="shared" si="4"/>
        <v>19</v>
      </c>
      <c r="C22" s="78">
        <v>1378.46</v>
      </c>
      <c r="D22" s="247"/>
      <c r="E22" s="246">
        <v>30</v>
      </c>
      <c r="F22" s="248">
        <v>80</v>
      </c>
      <c r="G22" s="252"/>
      <c r="H22" s="249">
        <f t="shared" si="0"/>
        <v>110</v>
      </c>
      <c r="I22" s="254">
        <f t="shared" si="5"/>
        <v>0</v>
      </c>
      <c r="J22" s="254">
        <f t="shared" si="1"/>
        <v>41353.800000000003</v>
      </c>
      <c r="K22" s="254">
        <f t="shared" si="2"/>
        <v>110276.8</v>
      </c>
      <c r="L22" s="254">
        <f t="shared" si="3"/>
        <v>0</v>
      </c>
    </row>
    <row r="23" spans="1:12" x14ac:dyDescent="0.25">
      <c r="A23" s="40">
        <v>19</v>
      </c>
      <c r="B23" s="78">
        <f t="shared" si="4"/>
        <v>20</v>
      </c>
      <c r="C23" s="78">
        <v>325.5</v>
      </c>
      <c r="D23" s="246">
        <v>600</v>
      </c>
      <c r="E23" s="247"/>
      <c r="F23" s="251"/>
      <c r="G23" s="253">
        <v>400</v>
      </c>
      <c r="H23" s="249">
        <f t="shared" si="0"/>
        <v>1000</v>
      </c>
      <c r="I23" s="254">
        <f t="shared" si="5"/>
        <v>195300</v>
      </c>
      <c r="J23" s="254">
        <f t="shared" si="1"/>
        <v>0</v>
      </c>
      <c r="K23" s="254">
        <f t="shared" si="2"/>
        <v>0</v>
      </c>
      <c r="L23" s="254">
        <f t="shared" si="3"/>
        <v>130200</v>
      </c>
    </row>
    <row r="24" spans="1:12" x14ac:dyDescent="0.25">
      <c r="A24" s="40">
        <v>20</v>
      </c>
      <c r="B24" s="78">
        <f t="shared" si="4"/>
        <v>21</v>
      </c>
      <c r="C24" s="78">
        <v>375</v>
      </c>
      <c r="D24" s="246">
        <v>100</v>
      </c>
      <c r="E24" s="247"/>
      <c r="F24" s="251"/>
      <c r="G24" s="251"/>
      <c r="H24" s="249">
        <f t="shared" si="0"/>
        <v>100</v>
      </c>
      <c r="I24" s="254">
        <f t="shared" si="5"/>
        <v>37500</v>
      </c>
      <c r="J24" s="254">
        <f t="shared" si="1"/>
        <v>0</v>
      </c>
      <c r="K24" s="254">
        <f t="shared" si="2"/>
        <v>0</v>
      </c>
      <c r="L24" s="254">
        <f t="shared" si="3"/>
        <v>0</v>
      </c>
    </row>
    <row r="25" spans="1:12" x14ac:dyDescent="0.25">
      <c r="A25" s="40">
        <v>21</v>
      </c>
      <c r="B25" s="78">
        <f t="shared" si="4"/>
        <v>22</v>
      </c>
      <c r="C25" s="78">
        <v>933.9</v>
      </c>
      <c r="D25" s="247"/>
      <c r="E25" s="246">
        <v>60</v>
      </c>
      <c r="F25" s="248">
        <v>40</v>
      </c>
      <c r="G25" s="252"/>
      <c r="H25" s="249">
        <f t="shared" si="0"/>
        <v>100</v>
      </c>
      <c r="I25" s="254">
        <f t="shared" si="5"/>
        <v>0</v>
      </c>
      <c r="J25" s="254">
        <f t="shared" si="1"/>
        <v>56034</v>
      </c>
      <c r="K25" s="254">
        <f t="shared" si="2"/>
        <v>37356</v>
      </c>
      <c r="L25" s="254">
        <f t="shared" si="3"/>
        <v>0</v>
      </c>
    </row>
    <row r="26" spans="1:12" x14ac:dyDescent="0.25">
      <c r="A26" s="40">
        <v>22</v>
      </c>
      <c r="B26" s="78">
        <f t="shared" si="4"/>
        <v>23</v>
      </c>
      <c r="C26" s="78">
        <v>1197.9000000000001</v>
      </c>
      <c r="D26" s="247"/>
      <c r="E26" s="250">
        <v>6</v>
      </c>
      <c r="F26" s="246"/>
      <c r="G26" s="246"/>
      <c r="H26" s="249">
        <f t="shared" si="0"/>
        <v>6</v>
      </c>
      <c r="I26" s="254">
        <f t="shared" si="5"/>
        <v>0</v>
      </c>
      <c r="J26" s="254">
        <f t="shared" si="1"/>
        <v>7187.4000000000005</v>
      </c>
      <c r="K26" s="254">
        <f t="shared" si="2"/>
        <v>0</v>
      </c>
      <c r="L26" s="254">
        <f t="shared" si="3"/>
        <v>0</v>
      </c>
    </row>
    <row r="27" spans="1:12" x14ac:dyDescent="0.25">
      <c r="A27" s="40">
        <v>23</v>
      </c>
      <c r="B27" s="78">
        <f t="shared" si="4"/>
        <v>24</v>
      </c>
      <c r="C27" s="78">
        <v>907.5</v>
      </c>
      <c r="D27" s="246">
        <v>840</v>
      </c>
      <c r="E27" s="250">
        <v>200</v>
      </c>
      <c r="F27" s="251"/>
      <c r="G27" s="251"/>
      <c r="H27" s="249">
        <f t="shared" si="0"/>
        <v>1040</v>
      </c>
      <c r="I27" s="254">
        <f t="shared" si="5"/>
        <v>762300</v>
      </c>
      <c r="J27" s="254">
        <f t="shared" si="1"/>
        <v>181500</v>
      </c>
      <c r="K27" s="254">
        <f t="shared" si="2"/>
        <v>0</v>
      </c>
      <c r="L27" s="254">
        <f t="shared" si="3"/>
        <v>0</v>
      </c>
    </row>
    <row r="28" spans="1:12" x14ac:dyDescent="0.25">
      <c r="A28" s="40">
        <v>24</v>
      </c>
      <c r="B28" s="78">
        <f t="shared" si="4"/>
        <v>25</v>
      </c>
      <c r="C28" s="78">
        <v>980.1</v>
      </c>
      <c r="D28" s="246">
        <v>150</v>
      </c>
      <c r="E28" s="250">
        <v>10</v>
      </c>
      <c r="F28" s="251"/>
      <c r="G28" s="251"/>
      <c r="H28" s="249">
        <f t="shared" si="0"/>
        <v>160</v>
      </c>
      <c r="I28" s="254">
        <f t="shared" si="5"/>
        <v>147015</v>
      </c>
      <c r="J28" s="254">
        <f t="shared" si="1"/>
        <v>9801</v>
      </c>
      <c r="K28" s="254">
        <f t="shared" si="2"/>
        <v>0</v>
      </c>
      <c r="L28" s="254">
        <f t="shared" si="3"/>
        <v>0</v>
      </c>
    </row>
    <row r="29" spans="1:12" x14ac:dyDescent="0.25">
      <c r="A29" s="40">
        <v>25</v>
      </c>
      <c r="B29" s="78">
        <f t="shared" si="4"/>
        <v>26</v>
      </c>
      <c r="C29" s="78">
        <v>828.85</v>
      </c>
      <c r="D29" s="247"/>
      <c r="E29" s="250">
        <v>200</v>
      </c>
      <c r="F29" s="246"/>
      <c r="G29" s="246"/>
      <c r="H29" s="249">
        <f t="shared" si="0"/>
        <v>200</v>
      </c>
      <c r="I29" s="254">
        <f t="shared" si="5"/>
        <v>0</v>
      </c>
      <c r="J29" s="254">
        <f t="shared" si="1"/>
        <v>165770</v>
      </c>
      <c r="K29" s="254">
        <f t="shared" si="2"/>
        <v>0</v>
      </c>
      <c r="L29" s="254">
        <f t="shared" si="3"/>
        <v>0</v>
      </c>
    </row>
    <row r="30" spans="1:12" x14ac:dyDescent="0.25">
      <c r="A30" s="40">
        <v>26</v>
      </c>
      <c r="B30" s="78">
        <f t="shared" si="4"/>
        <v>27</v>
      </c>
      <c r="C30" s="78">
        <v>157.30000000000001</v>
      </c>
      <c r="D30" s="246">
        <v>1800</v>
      </c>
      <c r="E30" s="250">
        <v>1530</v>
      </c>
      <c r="F30" s="248">
        <v>500</v>
      </c>
      <c r="G30" s="252"/>
      <c r="H30" s="249">
        <f t="shared" si="0"/>
        <v>3830</v>
      </c>
      <c r="I30" s="254">
        <f t="shared" si="5"/>
        <v>283140</v>
      </c>
      <c r="J30" s="254">
        <f t="shared" si="1"/>
        <v>240669.00000000003</v>
      </c>
      <c r="K30" s="254">
        <f t="shared" si="2"/>
        <v>78650</v>
      </c>
      <c r="L30" s="254">
        <f t="shared" si="3"/>
        <v>0</v>
      </c>
    </row>
    <row r="31" spans="1:12" x14ac:dyDescent="0.25">
      <c r="A31" s="40">
        <v>27</v>
      </c>
      <c r="B31" s="78">
        <f t="shared" si="4"/>
        <v>28</v>
      </c>
      <c r="C31" s="78">
        <v>1160</v>
      </c>
      <c r="D31" s="246">
        <v>150</v>
      </c>
      <c r="E31" s="246">
        <v>100</v>
      </c>
      <c r="F31" s="248">
        <v>50</v>
      </c>
      <c r="G31" s="253">
        <v>100</v>
      </c>
      <c r="H31" s="249">
        <f t="shared" si="0"/>
        <v>400</v>
      </c>
      <c r="I31" s="254">
        <f t="shared" si="5"/>
        <v>174000</v>
      </c>
      <c r="J31" s="254">
        <f t="shared" si="1"/>
        <v>116000</v>
      </c>
      <c r="K31" s="254">
        <f t="shared" si="2"/>
        <v>58000</v>
      </c>
      <c r="L31" s="254">
        <f t="shared" si="3"/>
        <v>116000</v>
      </c>
    </row>
    <row r="32" spans="1:12" x14ac:dyDescent="0.25">
      <c r="A32" s="40">
        <v>28</v>
      </c>
      <c r="B32" s="78">
        <f t="shared" si="4"/>
        <v>29</v>
      </c>
      <c r="C32" s="78" t="s">
        <v>149</v>
      </c>
      <c r="D32" s="246">
        <v>3</v>
      </c>
      <c r="E32" s="247"/>
      <c r="F32" s="251"/>
      <c r="G32" s="251"/>
      <c r="H32" s="249">
        <f t="shared" si="0"/>
        <v>3</v>
      </c>
      <c r="I32" s="254"/>
      <c r="J32" s="254"/>
      <c r="K32" s="254"/>
      <c r="L32" s="254"/>
    </row>
    <row r="33" spans="6:12" x14ac:dyDescent="0.25">
      <c r="F33" s="256" t="s">
        <v>152</v>
      </c>
      <c r="I33" s="255">
        <f>SUM(I4:I32)</f>
        <v>8046942.4400000004</v>
      </c>
      <c r="J33" s="255">
        <f t="shared" ref="J33:L33" si="6">SUM(J4:J32)</f>
        <v>1882262.8</v>
      </c>
      <c r="K33" s="255">
        <f t="shared" si="6"/>
        <v>3080130.8</v>
      </c>
      <c r="L33" s="255">
        <f t="shared" si="6"/>
        <v>2577500</v>
      </c>
    </row>
  </sheetData>
  <mergeCells count="2">
    <mergeCell ref="I2:L2"/>
    <mergeCell ref="D2:H2"/>
  </mergeCells>
  <pageMargins left="0.70866141732283472" right="0.70866141732283472" top="0.31496062992125984" bottom="0.27559055118110237" header="0.31496062992125984" footer="0.31496062992125984"/>
  <pageSetup paperSize="5" scale="9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0D6C-04B8-4C5E-8205-FEAC316009EC}">
  <dimension ref="A4:D8"/>
  <sheetViews>
    <sheetView workbookViewId="0">
      <selection activeCell="F7" sqref="F7"/>
    </sheetView>
  </sheetViews>
  <sheetFormatPr baseColWidth="10" defaultRowHeight="15" x14ac:dyDescent="0.25"/>
  <cols>
    <col min="1" max="1" width="35" customWidth="1"/>
    <col min="2" max="2" width="14.5703125" customWidth="1"/>
    <col min="3" max="3" width="14.28515625" customWidth="1"/>
    <col min="4" max="4" width="13.140625" bestFit="1" customWidth="1"/>
  </cols>
  <sheetData>
    <row r="4" spans="1:4" ht="30" x14ac:dyDescent="0.25">
      <c r="A4" s="257" t="s">
        <v>153</v>
      </c>
      <c r="B4" s="257" t="s">
        <v>154</v>
      </c>
      <c r="C4" s="257" t="s">
        <v>155</v>
      </c>
      <c r="D4" s="257" t="s">
        <v>156</v>
      </c>
    </row>
    <row r="5" spans="1:4" x14ac:dyDescent="0.25">
      <c r="A5" s="44" t="s">
        <v>157</v>
      </c>
      <c r="B5" s="254">
        <v>0</v>
      </c>
      <c r="C5" s="254">
        <v>8046942.4400000004</v>
      </c>
      <c r="D5" s="254">
        <v>-8046942.4400000004</v>
      </c>
    </row>
    <row r="6" spans="1:4" x14ac:dyDescent="0.25">
      <c r="A6" s="44" t="s">
        <v>158</v>
      </c>
      <c r="B6" s="254">
        <v>0</v>
      </c>
      <c r="C6" s="254">
        <v>1882262.8</v>
      </c>
      <c r="D6" s="254">
        <v>-1882262.8</v>
      </c>
    </row>
    <row r="7" spans="1:4" x14ac:dyDescent="0.25">
      <c r="A7" s="44" t="s">
        <v>159</v>
      </c>
      <c r="B7" s="254">
        <v>0</v>
      </c>
      <c r="C7" s="254">
        <v>3080130.8</v>
      </c>
      <c r="D7" s="254">
        <v>-3080130.8</v>
      </c>
    </row>
    <row r="8" spans="1:4" x14ac:dyDescent="0.25">
      <c r="A8" s="44" t="s">
        <v>160</v>
      </c>
      <c r="B8" s="254">
        <v>2848380</v>
      </c>
      <c r="C8" s="254">
        <v>2577500</v>
      </c>
      <c r="D8" s="254">
        <v>270880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4C13-CD6B-4345-B66E-249B1B0F3EC3}">
  <dimension ref="A1:N67"/>
  <sheetViews>
    <sheetView topLeftCell="A48" zoomScaleNormal="100" workbookViewId="0">
      <selection activeCell="C19" sqref="C19"/>
    </sheetView>
  </sheetViews>
  <sheetFormatPr baseColWidth="10" defaultRowHeight="15" x14ac:dyDescent="0.25"/>
  <cols>
    <col min="1" max="1" width="9" customWidth="1"/>
    <col min="2" max="2" width="8.85546875" customWidth="1"/>
    <col min="3" max="3" width="49.28515625" customWidth="1"/>
    <col min="4" max="4" width="12.140625" style="262" customWidth="1"/>
    <col min="5" max="5" width="11.5703125" customWidth="1"/>
    <col min="6" max="6" width="10.7109375" hidden="1" customWidth="1"/>
    <col min="7" max="7" width="10.28515625" hidden="1" customWidth="1"/>
    <col min="8" max="8" width="11.42578125" hidden="1" customWidth="1"/>
    <col min="9" max="9" width="17" customWidth="1"/>
    <col min="10" max="10" width="15.7109375" hidden="1" customWidth="1"/>
    <col min="11" max="11" width="15.28515625" style="262" hidden="1" customWidth="1"/>
    <col min="12" max="12" width="13.42578125" style="262" hidden="1" customWidth="1"/>
    <col min="13" max="13" width="35.7109375" customWidth="1"/>
  </cols>
  <sheetData>
    <row r="1" spans="1:9" ht="26.25" x14ac:dyDescent="0.4">
      <c r="C1" s="285" t="s">
        <v>237</v>
      </c>
    </row>
    <row r="2" spans="1:9" x14ac:dyDescent="0.25">
      <c r="A2" s="274" t="s">
        <v>198</v>
      </c>
      <c r="B2" s="275"/>
      <c r="C2" s="275"/>
      <c r="D2" s="276"/>
      <c r="E2" s="275"/>
      <c r="F2" s="275"/>
      <c r="G2" s="275"/>
      <c r="H2" s="275"/>
      <c r="I2" s="277"/>
    </row>
    <row r="3" spans="1:9" x14ac:dyDescent="0.25">
      <c r="A3" s="278" t="s">
        <v>199</v>
      </c>
      <c r="B3" s="279"/>
      <c r="C3" s="279"/>
      <c r="D3" s="260"/>
      <c r="E3" s="279"/>
      <c r="F3" s="279"/>
      <c r="G3" s="279"/>
      <c r="H3" s="279"/>
      <c r="I3" s="280"/>
    </row>
    <row r="4" spans="1:9" x14ac:dyDescent="0.25">
      <c r="A4" s="278" t="s">
        <v>200</v>
      </c>
      <c r="B4" s="279"/>
      <c r="C4" s="279"/>
      <c r="D4" s="260"/>
      <c r="E4" s="279"/>
      <c r="F4" s="279"/>
      <c r="G4" s="279"/>
      <c r="H4" s="279"/>
      <c r="I4" s="280"/>
    </row>
    <row r="5" spans="1:9" x14ac:dyDescent="0.25">
      <c r="A5" s="278" t="s">
        <v>201</v>
      </c>
      <c r="B5" s="279"/>
      <c r="C5" s="279"/>
      <c r="D5" s="260"/>
      <c r="E5" s="279"/>
      <c r="F5" s="279"/>
      <c r="G5" s="279"/>
      <c r="H5" s="279"/>
      <c r="I5" s="280"/>
    </row>
    <row r="6" spans="1:9" x14ac:dyDescent="0.25">
      <c r="A6" s="281" t="s">
        <v>202</v>
      </c>
      <c r="B6" s="282"/>
      <c r="C6" s="282"/>
      <c r="D6" s="283"/>
      <c r="E6" s="282"/>
      <c r="F6" s="282"/>
      <c r="G6" s="282"/>
      <c r="H6" s="282"/>
      <c r="I6" s="284"/>
    </row>
    <row r="7" spans="1:9" x14ac:dyDescent="0.25">
      <c r="A7" s="274" t="s">
        <v>203</v>
      </c>
      <c r="B7" s="275"/>
      <c r="C7" s="275"/>
      <c r="D7" s="276"/>
      <c r="E7" s="275"/>
      <c r="F7" s="275"/>
      <c r="G7" s="275"/>
      <c r="H7" s="275"/>
      <c r="I7" s="277"/>
    </row>
    <row r="8" spans="1:9" x14ac:dyDescent="0.25">
      <c r="A8" s="278" t="s">
        <v>1</v>
      </c>
      <c r="B8" s="279"/>
      <c r="C8" s="279" t="s">
        <v>209</v>
      </c>
      <c r="D8" s="260"/>
      <c r="E8" s="279"/>
      <c r="F8" s="279"/>
      <c r="G8" s="279"/>
      <c r="H8" s="279"/>
      <c r="I8" s="280"/>
    </row>
    <row r="9" spans="1:9" x14ac:dyDescent="0.25">
      <c r="A9" s="301" t="s">
        <v>204</v>
      </c>
      <c r="B9" s="279"/>
      <c r="C9" s="279" t="s">
        <v>210</v>
      </c>
      <c r="D9" s="260"/>
      <c r="E9" s="279"/>
      <c r="F9" s="279"/>
      <c r="G9" s="279"/>
      <c r="H9" s="279"/>
      <c r="I9" s="280"/>
    </row>
    <row r="10" spans="1:9" x14ac:dyDescent="0.25">
      <c r="A10" s="278" t="s">
        <v>205</v>
      </c>
      <c r="B10" s="279"/>
      <c r="C10" s="279" t="s">
        <v>211</v>
      </c>
      <c r="D10" s="260"/>
      <c r="E10" s="279"/>
      <c r="F10" s="279"/>
      <c r="G10" s="279"/>
      <c r="H10" s="279"/>
      <c r="I10" s="280"/>
    </row>
    <row r="11" spans="1:9" x14ac:dyDescent="0.25">
      <c r="A11" s="278" t="s">
        <v>206</v>
      </c>
      <c r="B11" s="279"/>
      <c r="C11" s="279" t="s">
        <v>212</v>
      </c>
      <c r="D11" s="260"/>
      <c r="E11" s="279"/>
      <c r="F11" s="279"/>
      <c r="G11" s="279"/>
      <c r="H11" s="279"/>
      <c r="I11" s="280"/>
    </row>
    <row r="12" spans="1:9" x14ac:dyDescent="0.25">
      <c r="A12" s="278" t="s">
        <v>208</v>
      </c>
      <c r="B12" s="279"/>
      <c r="C12" s="279" t="s">
        <v>213</v>
      </c>
      <c r="D12" s="260"/>
      <c r="E12" s="279"/>
      <c r="F12" s="279"/>
      <c r="G12" s="279"/>
      <c r="H12" s="279"/>
      <c r="I12" s="280"/>
    </row>
    <row r="13" spans="1:9" x14ac:dyDescent="0.25">
      <c r="A13" s="281" t="s">
        <v>207</v>
      </c>
      <c r="B13" s="282"/>
      <c r="C13" s="282" t="s">
        <v>214</v>
      </c>
      <c r="D13" s="283"/>
      <c r="E13" s="282"/>
      <c r="F13" s="282"/>
      <c r="G13" s="282"/>
      <c r="H13" s="282"/>
      <c r="I13" s="284"/>
    </row>
    <row r="14" spans="1:9" ht="7.5" customHeight="1" x14ac:dyDescent="0.25"/>
    <row r="15" spans="1:9" x14ac:dyDescent="0.25">
      <c r="A15" t="s">
        <v>216</v>
      </c>
    </row>
    <row r="16" spans="1:9" x14ac:dyDescent="0.25">
      <c r="A16" t="s">
        <v>217</v>
      </c>
    </row>
    <row r="17" spans="1:13" x14ac:dyDescent="0.25">
      <c r="A17" t="s">
        <v>218</v>
      </c>
    </row>
    <row r="18" spans="1:13" x14ac:dyDescent="0.25">
      <c r="A18" t="s">
        <v>222</v>
      </c>
    </row>
    <row r="20" spans="1:13" ht="15.75" x14ac:dyDescent="0.25">
      <c r="A20" s="286" t="s">
        <v>219</v>
      </c>
      <c r="C20" s="256" t="s">
        <v>167</v>
      </c>
    </row>
    <row r="21" spans="1:13" ht="15.75" x14ac:dyDescent="0.25">
      <c r="A21" s="287" t="s">
        <v>220</v>
      </c>
      <c r="C21" s="256" t="s">
        <v>177</v>
      </c>
    </row>
    <row r="22" spans="1:13" x14ac:dyDescent="0.25">
      <c r="A22" s="288" t="s">
        <v>221</v>
      </c>
      <c r="C22" s="256" t="s">
        <v>238</v>
      </c>
    </row>
    <row r="23" spans="1:13" s="270" customFormat="1" x14ac:dyDescent="0.25">
      <c r="A23" s="289" t="s">
        <v>207</v>
      </c>
      <c r="C23" s="256" t="s">
        <v>239</v>
      </c>
      <c r="D23" s="271"/>
      <c r="E23" s="270" t="s">
        <v>192</v>
      </c>
      <c r="F23" s="270" t="s">
        <v>193</v>
      </c>
      <c r="G23" s="270" t="s">
        <v>194</v>
      </c>
      <c r="H23" s="270" t="s">
        <v>195</v>
      </c>
      <c r="I23" s="270" t="s">
        <v>192</v>
      </c>
      <c r="J23" s="270" t="s">
        <v>193</v>
      </c>
      <c r="K23" s="271" t="s">
        <v>196</v>
      </c>
      <c r="L23" s="271" t="s">
        <v>195</v>
      </c>
    </row>
    <row r="24" spans="1:13" ht="43.5" customHeight="1" x14ac:dyDescent="0.25">
      <c r="A24" s="294" t="s">
        <v>148</v>
      </c>
      <c r="B24" s="264" t="s">
        <v>147</v>
      </c>
      <c r="C24" s="264" t="s">
        <v>162</v>
      </c>
      <c r="D24" s="265" t="s">
        <v>215</v>
      </c>
      <c r="E24" s="264" t="s">
        <v>197</v>
      </c>
      <c r="F24" s="264" t="s">
        <v>229</v>
      </c>
      <c r="G24" s="264" t="s">
        <v>230</v>
      </c>
      <c r="H24" s="264" t="s">
        <v>231</v>
      </c>
      <c r="I24" s="264" t="s">
        <v>128</v>
      </c>
      <c r="J24" s="264" t="s">
        <v>232</v>
      </c>
      <c r="K24" s="300" t="s">
        <v>233</v>
      </c>
      <c r="L24" s="300" t="s">
        <v>234</v>
      </c>
      <c r="M24" s="264" t="s">
        <v>164</v>
      </c>
    </row>
    <row r="25" spans="1:13" ht="30" hidden="1" x14ac:dyDescent="0.25">
      <c r="A25" s="293">
        <v>1</v>
      </c>
      <c r="B25" s="293">
        <v>1</v>
      </c>
      <c r="C25" s="290" t="s">
        <v>168</v>
      </c>
      <c r="D25" s="267">
        <v>91</v>
      </c>
      <c r="E25" s="266">
        <v>200</v>
      </c>
      <c r="F25" s="266"/>
      <c r="G25" s="266">
        <v>150</v>
      </c>
      <c r="H25" s="266">
        <v>400</v>
      </c>
      <c r="I25" s="272">
        <v>18200</v>
      </c>
      <c r="J25" s="266">
        <v>0</v>
      </c>
      <c r="K25" s="272">
        <v>13650</v>
      </c>
      <c r="L25" s="272">
        <v>36400</v>
      </c>
      <c r="M25" s="266" t="s">
        <v>165</v>
      </c>
    </row>
    <row r="26" spans="1:13" hidden="1" x14ac:dyDescent="0.25">
      <c r="A26" s="292">
        <v>2</v>
      </c>
      <c r="B26" s="292">
        <v>2</v>
      </c>
      <c r="C26" s="291" t="s">
        <v>169</v>
      </c>
      <c r="D26" s="269">
        <v>155</v>
      </c>
      <c r="E26" s="268">
        <v>5000</v>
      </c>
      <c r="F26" s="268">
        <v>48</v>
      </c>
      <c r="G26" s="268"/>
      <c r="H26" s="268">
        <v>10000</v>
      </c>
      <c r="I26" s="273">
        <v>775000</v>
      </c>
      <c r="J26" s="273">
        <v>7440</v>
      </c>
      <c r="K26" s="273">
        <v>0</v>
      </c>
      <c r="L26" s="273">
        <v>1550000</v>
      </c>
      <c r="M26" s="268" t="s">
        <v>165</v>
      </c>
    </row>
    <row r="27" spans="1:13" hidden="1" x14ac:dyDescent="0.25">
      <c r="A27" s="293">
        <v>3</v>
      </c>
      <c r="B27" s="293">
        <v>3</v>
      </c>
      <c r="C27" s="290" t="s">
        <v>170</v>
      </c>
      <c r="D27" s="267">
        <v>114.7</v>
      </c>
      <c r="E27" s="266">
        <v>9000</v>
      </c>
      <c r="F27" s="266"/>
      <c r="G27" s="266">
        <v>6000</v>
      </c>
      <c r="H27" s="266"/>
      <c r="I27" s="272">
        <v>1032300</v>
      </c>
      <c r="J27" s="266">
        <v>0</v>
      </c>
      <c r="K27" s="272">
        <v>688200</v>
      </c>
      <c r="L27" s="272">
        <v>0</v>
      </c>
      <c r="M27" s="266" t="s">
        <v>165</v>
      </c>
    </row>
    <row r="28" spans="1:13" hidden="1" x14ac:dyDescent="0.25">
      <c r="A28" s="292">
        <v>4</v>
      </c>
      <c r="B28" s="292">
        <v>4</v>
      </c>
      <c r="C28" s="291" t="s">
        <v>171</v>
      </c>
      <c r="D28" s="269">
        <v>87</v>
      </c>
      <c r="E28" s="268">
        <v>3000</v>
      </c>
      <c r="F28" s="268">
        <v>10000</v>
      </c>
      <c r="G28" s="268">
        <v>8000</v>
      </c>
      <c r="H28" s="268"/>
      <c r="I28" s="273">
        <v>261000</v>
      </c>
      <c r="J28" s="273">
        <v>870000</v>
      </c>
      <c r="K28" s="273">
        <v>696000</v>
      </c>
      <c r="L28" s="273">
        <v>0</v>
      </c>
      <c r="M28" s="268" t="s">
        <v>166</v>
      </c>
    </row>
    <row r="29" spans="1:13" hidden="1" x14ac:dyDescent="0.25">
      <c r="A29" s="293">
        <v>5</v>
      </c>
      <c r="B29" s="293">
        <v>5</v>
      </c>
      <c r="C29" s="290" t="s">
        <v>172</v>
      </c>
      <c r="D29" s="267">
        <v>135</v>
      </c>
      <c r="E29" s="266">
        <v>3000</v>
      </c>
      <c r="F29" s="266">
        <v>96</v>
      </c>
      <c r="G29" s="266"/>
      <c r="H29" s="266"/>
      <c r="I29" s="272">
        <v>405000</v>
      </c>
      <c r="J29" s="272">
        <v>12960</v>
      </c>
      <c r="K29" s="272">
        <v>0</v>
      </c>
      <c r="L29" s="272">
        <v>0</v>
      </c>
      <c r="M29" s="266" t="s">
        <v>166</v>
      </c>
    </row>
    <row r="30" spans="1:13" hidden="1" x14ac:dyDescent="0.25">
      <c r="A30" s="292">
        <v>6</v>
      </c>
      <c r="B30" s="292">
        <v>6</v>
      </c>
      <c r="C30" s="291" t="s">
        <v>173</v>
      </c>
      <c r="D30" s="269">
        <v>218</v>
      </c>
      <c r="E30" s="268"/>
      <c r="F30" s="268">
        <v>100</v>
      </c>
      <c r="G30" s="268"/>
      <c r="H30" s="268">
        <v>500</v>
      </c>
      <c r="I30" s="273">
        <v>0</v>
      </c>
      <c r="J30" s="273">
        <v>21800</v>
      </c>
      <c r="K30" s="273">
        <v>0</v>
      </c>
      <c r="L30" s="273">
        <v>109000</v>
      </c>
      <c r="M30" s="268" t="s">
        <v>165</v>
      </c>
    </row>
    <row r="31" spans="1:13" hidden="1" x14ac:dyDescent="0.25">
      <c r="A31" s="293">
        <v>7</v>
      </c>
      <c r="B31" s="293">
        <v>7</v>
      </c>
      <c r="C31" s="290" t="s">
        <v>174</v>
      </c>
      <c r="D31" s="267">
        <v>91.54</v>
      </c>
      <c r="E31" s="266">
        <v>2000</v>
      </c>
      <c r="F31" s="266"/>
      <c r="G31" s="266"/>
      <c r="H31" s="266"/>
      <c r="I31" s="272">
        <v>183080</v>
      </c>
      <c r="J31" s="266">
        <v>0</v>
      </c>
      <c r="K31" s="272">
        <v>0</v>
      </c>
      <c r="L31" s="272">
        <v>0</v>
      </c>
      <c r="M31" s="266" t="s">
        <v>165</v>
      </c>
    </row>
    <row r="32" spans="1:13" hidden="1" x14ac:dyDescent="0.25">
      <c r="A32" s="292">
        <v>7</v>
      </c>
      <c r="B32" s="292">
        <v>8</v>
      </c>
      <c r="C32" s="291" t="s">
        <v>174</v>
      </c>
      <c r="D32" s="269">
        <v>91.54</v>
      </c>
      <c r="E32" s="268"/>
      <c r="F32" s="268"/>
      <c r="G32" s="268">
        <v>2000</v>
      </c>
      <c r="H32" s="268">
        <v>3000</v>
      </c>
      <c r="I32" s="273">
        <v>0</v>
      </c>
      <c r="J32" s="273">
        <v>0</v>
      </c>
      <c r="K32" s="273">
        <v>183080</v>
      </c>
      <c r="L32" s="273">
        <v>274620</v>
      </c>
      <c r="M32" s="268" t="s">
        <v>165</v>
      </c>
    </row>
    <row r="33" spans="1:13" hidden="1" x14ac:dyDescent="0.25">
      <c r="A33" s="293">
        <v>8</v>
      </c>
      <c r="B33" s="293">
        <v>9</v>
      </c>
      <c r="C33" s="290" t="s">
        <v>175</v>
      </c>
      <c r="D33" s="267">
        <v>142</v>
      </c>
      <c r="E33" s="266">
        <v>5000</v>
      </c>
      <c r="F33" s="266">
        <v>510</v>
      </c>
      <c r="G33" s="266">
        <v>1500</v>
      </c>
      <c r="H33" s="266">
        <v>2000</v>
      </c>
      <c r="I33" s="272">
        <v>710000</v>
      </c>
      <c r="J33" s="272">
        <v>72420</v>
      </c>
      <c r="K33" s="272">
        <v>213000</v>
      </c>
      <c r="L33" s="272">
        <v>284000</v>
      </c>
      <c r="M33" s="266" t="s">
        <v>165</v>
      </c>
    </row>
    <row r="34" spans="1:13" hidden="1" x14ac:dyDescent="0.25">
      <c r="A34" s="292">
        <v>9</v>
      </c>
      <c r="B34" s="292">
        <v>10</v>
      </c>
      <c r="C34" s="291"/>
      <c r="D34" s="269" t="s">
        <v>149</v>
      </c>
      <c r="E34" s="268">
        <v>70</v>
      </c>
      <c r="F34" s="268"/>
      <c r="G34" s="268">
        <v>15</v>
      </c>
      <c r="H34" s="268">
        <v>50</v>
      </c>
      <c r="I34" s="273"/>
      <c r="J34" s="268"/>
      <c r="K34" s="273"/>
      <c r="L34" s="273"/>
      <c r="M34" s="268"/>
    </row>
    <row r="35" spans="1:13" ht="30" hidden="1" x14ac:dyDescent="0.25">
      <c r="A35" s="293">
        <v>10</v>
      </c>
      <c r="B35" s="293">
        <v>11</v>
      </c>
      <c r="C35" s="290" t="s">
        <v>176</v>
      </c>
      <c r="D35" s="267">
        <v>1288</v>
      </c>
      <c r="E35" s="266"/>
      <c r="F35" s="266"/>
      <c r="G35" s="266">
        <v>10</v>
      </c>
      <c r="H35" s="266">
        <v>60</v>
      </c>
      <c r="I35" s="272">
        <v>0</v>
      </c>
      <c r="J35" s="266">
        <v>0</v>
      </c>
      <c r="K35" s="272">
        <v>12880</v>
      </c>
      <c r="L35" s="272">
        <v>77280</v>
      </c>
      <c r="M35" s="266" t="s">
        <v>165</v>
      </c>
    </row>
    <row r="36" spans="1:13" hidden="1" x14ac:dyDescent="0.25">
      <c r="A36" s="292">
        <v>11</v>
      </c>
      <c r="B36" s="292">
        <v>12</v>
      </c>
      <c r="C36" s="291"/>
      <c r="D36" s="269" t="s">
        <v>149</v>
      </c>
      <c r="E36" s="268"/>
      <c r="F36" s="268"/>
      <c r="G36" s="268"/>
      <c r="H36" s="268">
        <v>100</v>
      </c>
      <c r="I36" s="273"/>
      <c r="J36" s="268"/>
      <c r="K36" s="273"/>
      <c r="L36" s="273"/>
      <c r="M36" s="268"/>
    </row>
    <row r="37" spans="1:13" ht="30" hidden="1" x14ac:dyDescent="0.25">
      <c r="A37" s="293">
        <v>12</v>
      </c>
      <c r="B37" s="293">
        <v>13</v>
      </c>
      <c r="C37" s="290" t="s">
        <v>178</v>
      </c>
      <c r="D37" s="267">
        <v>314</v>
      </c>
      <c r="E37" s="266">
        <v>2500</v>
      </c>
      <c r="F37" s="266"/>
      <c r="G37" s="266">
        <v>400</v>
      </c>
      <c r="H37" s="266"/>
      <c r="I37" s="272">
        <v>785000</v>
      </c>
      <c r="J37" s="266">
        <v>0</v>
      </c>
      <c r="K37" s="272">
        <v>125600</v>
      </c>
      <c r="L37" s="272">
        <v>0</v>
      </c>
      <c r="M37" s="266" t="s">
        <v>165</v>
      </c>
    </row>
    <row r="38" spans="1:13" ht="30" hidden="1" x14ac:dyDescent="0.25">
      <c r="A38" s="292">
        <v>13</v>
      </c>
      <c r="B38" s="292">
        <v>14</v>
      </c>
      <c r="C38" s="291" t="s">
        <v>179</v>
      </c>
      <c r="D38" s="269">
        <v>466.8</v>
      </c>
      <c r="E38" s="268">
        <v>4000</v>
      </c>
      <c r="F38" s="268"/>
      <c r="G38" s="268">
        <v>1000</v>
      </c>
      <c r="H38" s="268"/>
      <c r="I38" s="273">
        <v>1867200</v>
      </c>
      <c r="J38" s="268">
        <v>0</v>
      </c>
      <c r="K38" s="273">
        <v>466800</v>
      </c>
      <c r="L38" s="273">
        <v>0</v>
      </c>
      <c r="M38" s="268" t="s">
        <v>166</v>
      </c>
    </row>
    <row r="39" spans="1:13" hidden="1" x14ac:dyDescent="0.25">
      <c r="A39" s="293">
        <v>14</v>
      </c>
      <c r="B39" s="293">
        <v>15</v>
      </c>
      <c r="C39" s="290" t="s">
        <v>180</v>
      </c>
      <c r="D39" s="267">
        <v>3567.36</v>
      </c>
      <c r="E39" s="266">
        <v>4</v>
      </c>
      <c r="F39" s="266"/>
      <c r="G39" s="266"/>
      <c r="H39" s="266"/>
      <c r="I39" s="272">
        <v>14269.44</v>
      </c>
      <c r="J39" s="266">
        <v>0</v>
      </c>
      <c r="K39" s="272">
        <v>0</v>
      </c>
      <c r="L39" s="272">
        <v>0</v>
      </c>
      <c r="M39" s="266" t="s">
        <v>166</v>
      </c>
    </row>
    <row r="40" spans="1:13" ht="30" x14ac:dyDescent="0.25">
      <c r="A40" s="292">
        <v>15</v>
      </c>
      <c r="B40" s="292">
        <v>16</v>
      </c>
      <c r="C40" s="291" t="s">
        <v>181</v>
      </c>
      <c r="D40" s="269">
        <v>3966.38</v>
      </c>
      <c r="E40" s="268">
        <v>100</v>
      </c>
      <c r="F40" s="268">
        <v>20</v>
      </c>
      <c r="G40" s="268">
        <v>100</v>
      </c>
      <c r="H40" s="268"/>
      <c r="I40" s="273">
        <v>396638</v>
      </c>
      <c r="J40" s="273">
        <v>79327.600000000006</v>
      </c>
      <c r="K40" s="273">
        <v>396638</v>
      </c>
      <c r="L40" s="273">
        <v>0</v>
      </c>
      <c r="M40" s="268" t="s">
        <v>167</v>
      </c>
    </row>
    <row r="41" spans="1:13" hidden="1" x14ac:dyDescent="0.25">
      <c r="A41" s="293">
        <v>16</v>
      </c>
      <c r="B41" s="293">
        <v>17</v>
      </c>
      <c r="C41" s="290"/>
      <c r="D41" s="267" t="s">
        <v>149</v>
      </c>
      <c r="E41" s="266">
        <v>10</v>
      </c>
      <c r="F41" s="266"/>
      <c r="G41" s="266">
        <v>20</v>
      </c>
      <c r="H41" s="266">
        <v>50</v>
      </c>
      <c r="I41" s="272"/>
      <c r="J41" s="266"/>
      <c r="K41" s="272"/>
      <c r="L41" s="272"/>
      <c r="M41" s="266"/>
    </row>
    <row r="42" spans="1:13" hidden="1" x14ac:dyDescent="0.25">
      <c r="A42" s="292">
        <v>17</v>
      </c>
      <c r="B42" s="292">
        <v>18</v>
      </c>
      <c r="C42" s="291"/>
      <c r="D42" s="269" t="s">
        <v>149</v>
      </c>
      <c r="E42" s="268"/>
      <c r="F42" s="268">
        <v>48</v>
      </c>
      <c r="G42" s="268"/>
      <c r="H42" s="268"/>
      <c r="I42" s="273"/>
      <c r="J42" s="268"/>
      <c r="K42" s="273"/>
      <c r="L42" s="273"/>
      <c r="M42" s="268"/>
    </row>
    <row r="43" spans="1:13" ht="30" hidden="1" x14ac:dyDescent="0.25">
      <c r="A43" s="293">
        <v>18</v>
      </c>
      <c r="B43" s="293">
        <v>19</v>
      </c>
      <c r="C43" s="290" t="s">
        <v>182</v>
      </c>
      <c r="D43" s="267">
        <v>1378.46</v>
      </c>
      <c r="E43" s="266"/>
      <c r="F43" s="266">
        <v>30</v>
      </c>
      <c r="G43" s="266">
        <v>80</v>
      </c>
      <c r="H43" s="266"/>
      <c r="I43" s="272">
        <v>0</v>
      </c>
      <c r="J43" s="272">
        <v>41353.800000000003</v>
      </c>
      <c r="K43" s="272">
        <v>110276.8</v>
      </c>
      <c r="L43" s="272">
        <v>0</v>
      </c>
      <c r="M43" s="266" t="s">
        <v>166</v>
      </c>
    </row>
    <row r="44" spans="1:13" ht="30" hidden="1" x14ac:dyDescent="0.25">
      <c r="A44" s="292">
        <v>19</v>
      </c>
      <c r="B44" s="292">
        <v>20</v>
      </c>
      <c r="C44" s="291" t="s">
        <v>183</v>
      </c>
      <c r="D44" s="269">
        <v>325.5</v>
      </c>
      <c r="E44" s="268">
        <v>600</v>
      </c>
      <c r="F44" s="268"/>
      <c r="G44" s="268"/>
      <c r="H44" s="268">
        <v>400</v>
      </c>
      <c r="I44" s="273">
        <v>195300</v>
      </c>
      <c r="J44" s="268">
        <v>0</v>
      </c>
      <c r="K44" s="273">
        <v>0</v>
      </c>
      <c r="L44" s="273">
        <v>130200</v>
      </c>
      <c r="M44" s="268" t="s">
        <v>166</v>
      </c>
    </row>
    <row r="45" spans="1:13" ht="30" hidden="1" x14ac:dyDescent="0.25">
      <c r="A45" s="293">
        <v>20</v>
      </c>
      <c r="B45" s="293">
        <v>21</v>
      </c>
      <c r="C45" s="290" t="s">
        <v>184</v>
      </c>
      <c r="D45" s="267">
        <v>375</v>
      </c>
      <c r="E45" s="266">
        <v>100</v>
      </c>
      <c r="F45" s="266"/>
      <c r="G45" s="266"/>
      <c r="H45" s="266"/>
      <c r="I45" s="272">
        <v>37500</v>
      </c>
      <c r="J45" s="266">
        <v>0</v>
      </c>
      <c r="K45" s="272">
        <v>0</v>
      </c>
      <c r="L45" s="272">
        <v>0</v>
      </c>
      <c r="M45" s="266" t="s">
        <v>165</v>
      </c>
    </row>
    <row r="46" spans="1:13" ht="30" hidden="1" x14ac:dyDescent="0.25">
      <c r="A46" s="292">
        <v>21</v>
      </c>
      <c r="B46" s="292">
        <v>22</v>
      </c>
      <c r="C46" s="291" t="s">
        <v>185</v>
      </c>
      <c r="D46" s="269">
        <v>933.9</v>
      </c>
      <c r="E46" s="268"/>
      <c r="F46" s="268">
        <v>60</v>
      </c>
      <c r="G46" s="268">
        <v>40</v>
      </c>
      <c r="H46" s="268"/>
      <c r="I46" s="273">
        <v>0</v>
      </c>
      <c r="J46" s="273">
        <v>56034</v>
      </c>
      <c r="K46" s="273">
        <v>37356</v>
      </c>
      <c r="L46" s="273">
        <v>0</v>
      </c>
      <c r="M46" s="268" t="s">
        <v>166</v>
      </c>
    </row>
    <row r="47" spans="1:13" ht="30" hidden="1" x14ac:dyDescent="0.25">
      <c r="A47" s="293">
        <v>22</v>
      </c>
      <c r="B47" s="293">
        <v>23</v>
      </c>
      <c r="C47" s="290" t="s">
        <v>186</v>
      </c>
      <c r="D47" s="267">
        <v>1197.9000000000001</v>
      </c>
      <c r="E47" s="266"/>
      <c r="F47" s="266">
        <v>6</v>
      </c>
      <c r="G47" s="266"/>
      <c r="H47" s="266"/>
      <c r="I47" s="272">
        <v>0</v>
      </c>
      <c r="J47" s="272">
        <v>7187.4000000000005</v>
      </c>
      <c r="K47" s="272">
        <v>0</v>
      </c>
      <c r="L47" s="272">
        <v>0</v>
      </c>
      <c r="M47" s="266" t="s">
        <v>167</v>
      </c>
    </row>
    <row r="48" spans="1:13" ht="30" x14ac:dyDescent="0.25">
      <c r="A48" s="292">
        <v>23</v>
      </c>
      <c r="B48" s="292">
        <v>24</v>
      </c>
      <c r="C48" s="291" t="s">
        <v>187</v>
      </c>
      <c r="D48" s="269">
        <v>907.5</v>
      </c>
      <c r="E48" s="268">
        <v>840</v>
      </c>
      <c r="F48" s="268">
        <v>200</v>
      </c>
      <c r="G48" s="268"/>
      <c r="H48" s="268"/>
      <c r="I48" s="273">
        <v>762300</v>
      </c>
      <c r="J48" s="273">
        <v>181500</v>
      </c>
      <c r="K48" s="273">
        <v>0</v>
      </c>
      <c r="L48" s="273">
        <v>0</v>
      </c>
      <c r="M48" s="268" t="s">
        <v>167</v>
      </c>
    </row>
    <row r="49" spans="1:14" ht="30" x14ac:dyDescent="0.25">
      <c r="A49" s="293">
        <v>24</v>
      </c>
      <c r="B49" s="293">
        <v>25</v>
      </c>
      <c r="C49" s="290" t="s">
        <v>188</v>
      </c>
      <c r="D49" s="267">
        <v>980.1</v>
      </c>
      <c r="E49" s="266">
        <v>150</v>
      </c>
      <c r="F49" s="266">
        <v>10</v>
      </c>
      <c r="G49" s="266"/>
      <c r="H49" s="266"/>
      <c r="I49" s="272">
        <v>147015</v>
      </c>
      <c r="J49" s="272">
        <v>9801</v>
      </c>
      <c r="K49" s="272">
        <v>0</v>
      </c>
      <c r="L49" s="272">
        <v>0</v>
      </c>
      <c r="M49" s="266" t="s">
        <v>167</v>
      </c>
    </row>
    <row r="50" spans="1:14" ht="30" hidden="1" x14ac:dyDescent="0.25">
      <c r="A50" s="292">
        <v>25</v>
      </c>
      <c r="B50" s="292">
        <v>26</v>
      </c>
      <c r="C50" s="291" t="s">
        <v>189</v>
      </c>
      <c r="D50" s="269">
        <v>828.85</v>
      </c>
      <c r="E50" s="268"/>
      <c r="F50" s="268">
        <v>200</v>
      </c>
      <c r="G50" s="268"/>
      <c r="H50" s="268"/>
      <c r="I50" s="273">
        <v>0</v>
      </c>
      <c r="J50" s="273">
        <v>165770</v>
      </c>
      <c r="K50" s="273">
        <v>0</v>
      </c>
      <c r="L50" s="273">
        <v>0</v>
      </c>
      <c r="M50" s="268" t="s">
        <v>167</v>
      </c>
    </row>
    <row r="51" spans="1:14" ht="45" x14ac:dyDescent="0.25">
      <c r="A51" s="293">
        <v>26</v>
      </c>
      <c r="B51" s="293">
        <v>27</v>
      </c>
      <c r="C51" s="290" t="s">
        <v>190</v>
      </c>
      <c r="D51" s="267">
        <v>157.30000000000001</v>
      </c>
      <c r="E51" s="266">
        <v>1800</v>
      </c>
      <c r="F51" s="266">
        <v>1530</v>
      </c>
      <c r="G51" s="266">
        <v>500</v>
      </c>
      <c r="H51" s="266"/>
      <c r="I51" s="272">
        <v>283140</v>
      </c>
      <c r="J51" s="272">
        <v>240669.00000000003</v>
      </c>
      <c r="K51" s="272">
        <v>78650</v>
      </c>
      <c r="L51" s="272">
        <v>0</v>
      </c>
      <c r="M51" s="266" t="s">
        <v>167</v>
      </c>
    </row>
    <row r="52" spans="1:14" hidden="1" x14ac:dyDescent="0.25">
      <c r="A52" s="292">
        <v>27</v>
      </c>
      <c r="B52" s="292">
        <v>28</v>
      </c>
      <c r="C52" s="291" t="s">
        <v>191</v>
      </c>
      <c r="D52" s="269">
        <v>1160</v>
      </c>
      <c r="E52" s="268">
        <v>150</v>
      </c>
      <c r="F52" s="268">
        <v>100</v>
      </c>
      <c r="G52" s="268">
        <v>50</v>
      </c>
      <c r="H52" s="268">
        <v>100</v>
      </c>
      <c r="I52" s="273">
        <v>174000</v>
      </c>
      <c r="J52" s="273">
        <v>116000</v>
      </c>
      <c r="K52" s="273">
        <v>58000</v>
      </c>
      <c r="L52" s="273">
        <v>116000</v>
      </c>
      <c r="M52" s="268" t="s">
        <v>165</v>
      </c>
    </row>
    <row r="53" spans="1:14" hidden="1" x14ac:dyDescent="0.25">
      <c r="A53" s="293">
        <v>28</v>
      </c>
      <c r="B53" s="293">
        <v>29</v>
      </c>
      <c r="C53" s="290"/>
      <c r="D53" s="267" t="s">
        <v>149</v>
      </c>
      <c r="E53" s="266">
        <v>3</v>
      </c>
      <c r="F53" s="266"/>
      <c r="G53" s="266"/>
      <c r="H53" s="266"/>
      <c r="I53" s="272"/>
      <c r="J53" s="266"/>
      <c r="K53" s="272"/>
      <c r="L53" s="272"/>
      <c r="M53" s="266"/>
    </row>
    <row r="54" spans="1:14" x14ac:dyDescent="0.25">
      <c r="A54" s="295" t="s">
        <v>163</v>
      </c>
      <c r="B54" s="295"/>
      <c r="C54" s="296"/>
      <c r="D54" s="298"/>
      <c r="E54" s="295"/>
      <c r="F54" s="295"/>
      <c r="G54" s="295"/>
      <c r="H54" s="295"/>
      <c r="I54" s="299">
        <f>SUBTOTAL(109,Tabla2[TOTAL])</f>
        <v>1589093</v>
      </c>
      <c r="J54" s="297">
        <f>SUBTOTAL(109,Tabla2[TOTAL5])</f>
        <v>511297.6</v>
      </c>
      <c r="K54" s="297">
        <f>SUBTOTAL(109,Tabla2[TOTAL6])</f>
        <v>475288</v>
      </c>
      <c r="L54" s="297">
        <f>SUBTOTAL(109,Tabla2[TOTAL7])</f>
        <v>0</v>
      </c>
      <c r="M54" s="295">
        <f>SUBTOTAL(103,Tabla2[PROVEEDOR])</f>
        <v>4</v>
      </c>
    </row>
    <row r="56" spans="1:14" x14ac:dyDescent="0.25">
      <c r="A56" s="256" t="s">
        <v>242</v>
      </c>
      <c r="I56" s="263"/>
    </row>
    <row r="57" spans="1:14" x14ac:dyDescent="0.25">
      <c r="A57" t="s">
        <v>240</v>
      </c>
    </row>
    <row r="58" spans="1:14" x14ac:dyDescent="0.25">
      <c r="A58" t="s">
        <v>224</v>
      </c>
    </row>
    <row r="59" spans="1:14" ht="51.75" customHeight="1" x14ac:dyDescent="0.25">
      <c r="A59" s="351" t="s">
        <v>241</v>
      </c>
      <c r="B59" s="351"/>
      <c r="C59" s="351"/>
      <c r="D59" s="351"/>
      <c r="M59" s="262">
        <f>1589093+684255+475288</f>
        <v>2748636</v>
      </c>
    </row>
    <row r="60" spans="1:14" x14ac:dyDescent="0.25">
      <c r="A60" t="s">
        <v>225</v>
      </c>
    </row>
    <row r="61" spans="1:14" x14ac:dyDescent="0.25">
      <c r="A61" t="s">
        <v>226</v>
      </c>
      <c r="N61" s="256" t="s">
        <v>235</v>
      </c>
    </row>
    <row r="62" spans="1:14" x14ac:dyDescent="0.25">
      <c r="A62" t="s">
        <v>223</v>
      </c>
      <c r="N62" s="256" t="s">
        <v>236</v>
      </c>
    </row>
    <row r="63" spans="1:14" x14ac:dyDescent="0.25">
      <c r="A63" t="s">
        <v>228</v>
      </c>
    </row>
    <row r="64" spans="1:14" x14ac:dyDescent="0.25">
      <c r="A64" t="s">
        <v>227</v>
      </c>
    </row>
    <row r="66" spans="1:1" x14ac:dyDescent="0.25">
      <c r="A66" s="256"/>
    </row>
    <row r="67" spans="1:1" x14ac:dyDescent="0.25">
      <c r="A67" s="256"/>
    </row>
  </sheetData>
  <mergeCells count="1">
    <mergeCell ref="A59:D59"/>
  </mergeCells>
  <pageMargins left="0.57999999999999996" right="0.19685039370078741" top="0.74803149606299213" bottom="0.74803149606299213" header="0.31496062992125984" footer="0.31496062992125984"/>
  <pageSetup paperSize="5" scale="9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04A0-B774-4600-959C-2DD8D44A2F75}">
  <dimension ref="A5:L34"/>
  <sheetViews>
    <sheetView workbookViewId="0">
      <selection activeCell="C5" sqref="C5"/>
    </sheetView>
  </sheetViews>
  <sheetFormatPr baseColWidth="10" defaultRowHeight="15" x14ac:dyDescent="0.25"/>
  <sheetData>
    <row r="5" spans="1:12" ht="45" x14ac:dyDescent="0.25">
      <c r="A5" s="261" t="s">
        <v>148</v>
      </c>
      <c r="B5" s="261" t="s">
        <v>147</v>
      </c>
      <c r="C5" s="261" t="s">
        <v>146</v>
      </c>
      <c r="D5" s="261" t="s">
        <v>142</v>
      </c>
      <c r="E5" s="261" t="s">
        <v>143</v>
      </c>
      <c r="F5" s="261" t="s">
        <v>144</v>
      </c>
      <c r="G5" s="261" t="s">
        <v>145</v>
      </c>
      <c r="H5" s="261" t="s">
        <v>68</v>
      </c>
      <c r="I5" s="261" t="s">
        <v>142</v>
      </c>
      <c r="J5" s="261" t="s">
        <v>143</v>
      </c>
      <c r="K5" s="261" t="s">
        <v>144</v>
      </c>
      <c r="L5" s="261" t="s">
        <v>145</v>
      </c>
    </row>
    <row r="6" spans="1:12" x14ac:dyDescent="0.25">
      <c r="A6">
        <v>1</v>
      </c>
      <c r="B6">
        <v>1</v>
      </c>
      <c r="C6">
        <v>91</v>
      </c>
      <c r="D6">
        <v>200</v>
      </c>
      <c r="F6">
        <v>150</v>
      </c>
      <c r="G6">
        <v>400</v>
      </c>
      <c r="H6">
        <v>750</v>
      </c>
      <c r="I6">
        <v>18200</v>
      </c>
      <c r="J6">
        <v>0</v>
      </c>
      <c r="K6">
        <v>13650</v>
      </c>
      <c r="L6">
        <v>36400</v>
      </c>
    </row>
    <row r="7" spans="1:12" x14ac:dyDescent="0.25">
      <c r="A7">
        <v>2</v>
      </c>
      <c r="B7">
        <v>2</v>
      </c>
      <c r="C7">
        <v>155</v>
      </c>
      <c r="D7">
        <v>5000</v>
      </c>
      <c r="E7">
        <v>48</v>
      </c>
      <c r="G7">
        <v>10000</v>
      </c>
      <c r="H7">
        <v>15048</v>
      </c>
      <c r="I7">
        <v>775000</v>
      </c>
      <c r="J7">
        <v>7440</v>
      </c>
      <c r="K7">
        <v>0</v>
      </c>
      <c r="L7">
        <v>1550000</v>
      </c>
    </row>
    <row r="8" spans="1:12" x14ac:dyDescent="0.25">
      <c r="A8">
        <v>3</v>
      </c>
      <c r="B8">
        <v>3</v>
      </c>
      <c r="C8">
        <v>114.7</v>
      </c>
      <c r="D8">
        <v>9000</v>
      </c>
      <c r="F8">
        <v>6000</v>
      </c>
      <c r="H8">
        <v>15000</v>
      </c>
      <c r="I8">
        <v>1032300</v>
      </c>
      <c r="J8">
        <v>0</v>
      </c>
      <c r="K8">
        <v>688200</v>
      </c>
      <c r="L8">
        <v>0</v>
      </c>
    </row>
    <row r="9" spans="1:12" x14ac:dyDescent="0.25">
      <c r="A9">
        <v>4</v>
      </c>
      <c r="B9">
        <v>4</v>
      </c>
      <c r="C9">
        <v>87</v>
      </c>
      <c r="D9">
        <v>3000</v>
      </c>
      <c r="E9">
        <v>10000</v>
      </c>
      <c r="F9">
        <v>8000</v>
      </c>
      <c r="H9">
        <v>21000</v>
      </c>
      <c r="I9">
        <v>261000</v>
      </c>
      <c r="J9">
        <v>870000</v>
      </c>
      <c r="K9">
        <v>696000</v>
      </c>
      <c r="L9">
        <v>0</v>
      </c>
    </row>
    <row r="10" spans="1:12" x14ac:dyDescent="0.25">
      <c r="A10">
        <v>5</v>
      </c>
      <c r="B10">
        <v>5</v>
      </c>
      <c r="C10">
        <v>135</v>
      </c>
      <c r="D10">
        <v>3000</v>
      </c>
      <c r="E10">
        <v>96</v>
      </c>
      <c r="H10">
        <v>3096</v>
      </c>
      <c r="I10">
        <v>405000</v>
      </c>
      <c r="J10">
        <v>12960</v>
      </c>
      <c r="K10">
        <v>0</v>
      </c>
      <c r="L10">
        <v>0</v>
      </c>
    </row>
    <row r="11" spans="1:12" x14ac:dyDescent="0.25">
      <c r="A11">
        <v>6</v>
      </c>
      <c r="B11">
        <v>6</v>
      </c>
      <c r="C11">
        <v>218</v>
      </c>
      <c r="E11">
        <v>100</v>
      </c>
      <c r="G11">
        <v>500</v>
      </c>
      <c r="H11">
        <v>600</v>
      </c>
      <c r="I11">
        <v>0</v>
      </c>
      <c r="J11">
        <v>21800</v>
      </c>
      <c r="K11">
        <v>0</v>
      </c>
      <c r="L11">
        <v>109000</v>
      </c>
    </row>
    <row r="12" spans="1:12" x14ac:dyDescent="0.25">
      <c r="A12">
        <v>7</v>
      </c>
      <c r="B12">
        <v>7</v>
      </c>
      <c r="C12">
        <v>91.54</v>
      </c>
      <c r="D12">
        <v>2000</v>
      </c>
      <c r="H12">
        <v>2000</v>
      </c>
      <c r="I12">
        <v>183080</v>
      </c>
      <c r="J12">
        <v>0</v>
      </c>
      <c r="K12">
        <v>0</v>
      </c>
      <c r="L12">
        <v>0</v>
      </c>
    </row>
    <row r="13" spans="1:12" x14ac:dyDescent="0.25">
      <c r="A13">
        <v>7</v>
      </c>
      <c r="B13">
        <v>8</v>
      </c>
      <c r="C13">
        <v>91.54</v>
      </c>
      <c r="F13">
        <v>2000</v>
      </c>
      <c r="G13">
        <v>3000</v>
      </c>
      <c r="H13">
        <v>5000</v>
      </c>
      <c r="I13">
        <v>0</v>
      </c>
      <c r="J13">
        <v>0</v>
      </c>
      <c r="K13">
        <v>183080</v>
      </c>
      <c r="L13">
        <v>274620</v>
      </c>
    </row>
    <row r="14" spans="1:12" x14ac:dyDescent="0.25">
      <c r="A14">
        <v>8</v>
      </c>
      <c r="B14">
        <v>9</v>
      </c>
      <c r="C14">
        <v>142</v>
      </c>
      <c r="D14">
        <v>5000</v>
      </c>
      <c r="E14">
        <v>510</v>
      </c>
      <c r="F14">
        <v>1500</v>
      </c>
      <c r="G14">
        <v>2000</v>
      </c>
      <c r="H14">
        <v>9010</v>
      </c>
      <c r="I14">
        <v>710000</v>
      </c>
      <c r="J14">
        <v>72420</v>
      </c>
      <c r="K14">
        <v>213000</v>
      </c>
      <c r="L14">
        <v>284000</v>
      </c>
    </row>
    <row r="15" spans="1:12" x14ac:dyDescent="0.25">
      <c r="A15">
        <v>9</v>
      </c>
      <c r="B15">
        <v>10</v>
      </c>
      <c r="C15" t="s">
        <v>149</v>
      </c>
      <c r="D15">
        <v>70</v>
      </c>
      <c r="F15">
        <v>15</v>
      </c>
      <c r="G15">
        <v>50</v>
      </c>
      <c r="H15">
        <v>135</v>
      </c>
    </row>
    <row r="16" spans="1:12" x14ac:dyDescent="0.25">
      <c r="A16">
        <v>10</v>
      </c>
      <c r="B16">
        <v>11</v>
      </c>
      <c r="C16">
        <v>1288</v>
      </c>
      <c r="F16">
        <v>10</v>
      </c>
      <c r="G16">
        <v>60</v>
      </c>
      <c r="H16">
        <v>70</v>
      </c>
      <c r="I16">
        <v>0</v>
      </c>
      <c r="J16">
        <v>0</v>
      </c>
      <c r="K16">
        <v>12880</v>
      </c>
      <c r="L16">
        <v>77280</v>
      </c>
    </row>
    <row r="17" spans="1:12" x14ac:dyDescent="0.25">
      <c r="A17">
        <v>11</v>
      </c>
      <c r="B17">
        <v>12</v>
      </c>
      <c r="C17" t="s">
        <v>149</v>
      </c>
      <c r="G17">
        <v>100</v>
      </c>
      <c r="H17">
        <v>100</v>
      </c>
    </row>
    <row r="18" spans="1:12" x14ac:dyDescent="0.25">
      <c r="A18">
        <v>12</v>
      </c>
      <c r="B18">
        <v>13</v>
      </c>
      <c r="C18">
        <v>314</v>
      </c>
      <c r="D18">
        <v>2500</v>
      </c>
      <c r="F18">
        <v>400</v>
      </c>
      <c r="H18">
        <v>2900</v>
      </c>
      <c r="I18">
        <v>785000</v>
      </c>
      <c r="J18">
        <v>0</v>
      </c>
      <c r="K18">
        <v>125600</v>
      </c>
      <c r="L18">
        <v>0</v>
      </c>
    </row>
    <row r="19" spans="1:12" x14ac:dyDescent="0.25">
      <c r="A19">
        <v>13</v>
      </c>
      <c r="B19">
        <v>14</v>
      </c>
      <c r="C19">
        <v>466.8</v>
      </c>
      <c r="D19">
        <v>4000</v>
      </c>
      <c r="F19">
        <v>1000</v>
      </c>
      <c r="H19">
        <v>5000</v>
      </c>
      <c r="I19">
        <v>1867200</v>
      </c>
      <c r="J19">
        <v>0</v>
      </c>
      <c r="K19">
        <v>466800</v>
      </c>
      <c r="L19">
        <v>0</v>
      </c>
    </row>
    <row r="20" spans="1:12" x14ac:dyDescent="0.25">
      <c r="A20">
        <v>14</v>
      </c>
      <c r="B20">
        <v>15</v>
      </c>
      <c r="C20">
        <v>3567.36</v>
      </c>
      <c r="D20">
        <v>4</v>
      </c>
      <c r="H20">
        <v>4</v>
      </c>
      <c r="I20">
        <v>14269.44</v>
      </c>
      <c r="J20">
        <v>0</v>
      </c>
      <c r="K20">
        <v>0</v>
      </c>
      <c r="L20">
        <v>0</v>
      </c>
    </row>
    <row r="21" spans="1:12" x14ac:dyDescent="0.25">
      <c r="A21">
        <v>15</v>
      </c>
      <c r="B21">
        <v>16</v>
      </c>
      <c r="C21">
        <v>3966.38</v>
      </c>
      <c r="D21">
        <v>100</v>
      </c>
      <c r="E21">
        <v>20</v>
      </c>
      <c r="F21">
        <v>100</v>
      </c>
      <c r="H21">
        <v>220</v>
      </c>
      <c r="I21">
        <v>396638</v>
      </c>
      <c r="J21">
        <v>79327.600000000006</v>
      </c>
      <c r="K21">
        <v>396638</v>
      </c>
      <c r="L21">
        <v>0</v>
      </c>
    </row>
    <row r="22" spans="1:12" x14ac:dyDescent="0.25">
      <c r="A22">
        <v>16</v>
      </c>
      <c r="B22">
        <v>17</v>
      </c>
      <c r="C22" t="s">
        <v>149</v>
      </c>
      <c r="D22">
        <v>10</v>
      </c>
      <c r="F22">
        <v>20</v>
      </c>
      <c r="G22">
        <v>50</v>
      </c>
      <c r="H22">
        <v>80</v>
      </c>
    </row>
    <row r="23" spans="1:12" x14ac:dyDescent="0.25">
      <c r="A23">
        <v>17</v>
      </c>
      <c r="B23">
        <v>18</v>
      </c>
      <c r="C23" t="s">
        <v>149</v>
      </c>
      <c r="E23">
        <v>48</v>
      </c>
      <c r="H23">
        <v>48</v>
      </c>
    </row>
    <row r="24" spans="1:12" x14ac:dyDescent="0.25">
      <c r="A24">
        <v>18</v>
      </c>
      <c r="B24">
        <v>19</v>
      </c>
      <c r="C24">
        <v>1378.46</v>
      </c>
      <c r="E24">
        <v>30</v>
      </c>
      <c r="F24">
        <v>80</v>
      </c>
      <c r="H24">
        <v>110</v>
      </c>
      <c r="I24">
        <v>0</v>
      </c>
      <c r="J24">
        <v>41353.800000000003</v>
      </c>
      <c r="K24">
        <v>110276.8</v>
      </c>
      <c r="L24">
        <v>0</v>
      </c>
    </row>
    <row r="25" spans="1:12" x14ac:dyDescent="0.25">
      <c r="A25">
        <v>19</v>
      </c>
      <c r="B25">
        <v>20</v>
      </c>
      <c r="C25">
        <v>325.5</v>
      </c>
      <c r="D25">
        <v>600</v>
      </c>
      <c r="G25">
        <v>400</v>
      </c>
      <c r="H25">
        <v>1000</v>
      </c>
      <c r="I25">
        <v>195300</v>
      </c>
      <c r="J25">
        <v>0</v>
      </c>
      <c r="K25">
        <v>0</v>
      </c>
      <c r="L25">
        <v>130200</v>
      </c>
    </row>
    <row r="26" spans="1:12" x14ac:dyDescent="0.25">
      <c r="A26">
        <v>20</v>
      </c>
      <c r="B26">
        <v>21</v>
      </c>
      <c r="C26">
        <v>375</v>
      </c>
      <c r="D26">
        <v>100</v>
      </c>
      <c r="H26">
        <v>100</v>
      </c>
      <c r="I26">
        <v>37500</v>
      </c>
      <c r="J26">
        <v>0</v>
      </c>
      <c r="K26">
        <v>0</v>
      </c>
      <c r="L26">
        <v>0</v>
      </c>
    </row>
    <row r="27" spans="1:12" x14ac:dyDescent="0.25">
      <c r="A27">
        <v>21</v>
      </c>
      <c r="B27">
        <v>22</v>
      </c>
      <c r="C27">
        <v>933.9</v>
      </c>
      <c r="E27">
        <v>60</v>
      </c>
      <c r="F27">
        <v>40</v>
      </c>
      <c r="H27">
        <v>100</v>
      </c>
      <c r="I27">
        <v>0</v>
      </c>
      <c r="J27">
        <v>56034</v>
      </c>
      <c r="K27">
        <v>37356</v>
      </c>
      <c r="L27">
        <v>0</v>
      </c>
    </row>
    <row r="28" spans="1:12" x14ac:dyDescent="0.25">
      <c r="A28">
        <v>22</v>
      </c>
      <c r="B28">
        <v>23</v>
      </c>
      <c r="C28">
        <v>1197.9000000000001</v>
      </c>
      <c r="E28">
        <v>6</v>
      </c>
      <c r="H28">
        <v>6</v>
      </c>
      <c r="I28">
        <v>0</v>
      </c>
      <c r="J28">
        <v>7187.4000000000005</v>
      </c>
      <c r="K28">
        <v>0</v>
      </c>
      <c r="L28">
        <v>0</v>
      </c>
    </row>
    <row r="29" spans="1:12" x14ac:dyDescent="0.25">
      <c r="A29">
        <v>23</v>
      </c>
      <c r="B29">
        <v>24</v>
      </c>
      <c r="C29">
        <v>907.5</v>
      </c>
      <c r="D29">
        <v>840</v>
      </c>
      <c r="E29">
        <v>200</v>
      </c>
      <c r="H29">
        <v>1040</v>
      </c>
      <c r="I29">
        <v>762300</v>
      </c>
      <c r="J29">
        <v>181500</v>
      </c>
      <c r="K29">
        <v>0</v>
      </c>
      <c r="L29">
        <v>0</v>
      </c>
    </row>
    <row r="30" spans="1:12" x14ac:dyDescent="0.25">
      <c r="A30">
        <v>24</v>
      </c>
      <c r="B30">
        <v>25</v>
      </c>
      <c r="C30">
        <v>980.1</v>
      </c>
      <c r="D30">
        <v>150</v>
      </c>
      <c r="E30">
        <v>10</v>
      </c>
      <c r="H30">
        <v>160</v>
      </c>
      <c r="I30">
        <v>147015</v>
      </c>
      <c r="J30">
        <v>9801</v>
      </c>
      <c r="K30">
        <v>0</v>
      </c>
      <c r="L30">
        <v>0</v>
      </c>
    </row>
    <row r="31" spans="1:12" x14ac:dyDescent="0.25">
      <c r="A31">
        <v>25</v>
      </c>
      <c r="B31">
        <v>26</v>
      </c>
      <c r="C31">
        <v>828.85</v>
      </c>
      <c r="E31">
        <v>200</v>
      </c>
      <c r="H31">
        <v>200</v>
      </c>
      <c r="I31">
        <v>0</v>
      </c>
      <c r="J31">
        <v>165770</v>
      </c>
      <c r="K31">
        <v>0</v>
      </c>
      <c r="L31">
        <v>0</v>
      </c>
    </row>
    <row r="32" spans="1:12" x14ac:dyDescent="0.25">
      <c r="A32">
        <v>26</v>
      </c>
      <c r="B32">
        <v>27</v>
      </c>
      <c r="C32">
        <v>157.30000000000001</v>
      </c>
      <c r="D32">
        <v>1800</v>
      </c>
      <c r="E32">
        <v>1530</v>
      </c>
      <c r="F32">
        <v>500</v>
      </c>
      <c r="H32">
        <v>3830</v>
      </c>
      <c r="I32">
        <v>283140</v>
      </c>
      <c r="J32">
        <v>240669.00000000003</v>
      </c>
      <c r="K32">
        <v>78650</v>
      </c>
      <c r="L32">
        <v>0</v>
      </c>
    </row>
    <row r="33" spans="1:12" x14ac:dyDescent="0.25">
      <c r="A33">
        <v>27</v>
      </c>
      <c r="B33">
        <v>28</v>
      </c>
      <c r="C33">
        <v>1160</v>
      </c>
      <c r="D33">
        <v>150</v>
      </c>
      <c r="E33">
        <v>100</v>
      </c>
      <c r="F33">
        <v>50</v>
      </c>
      <c r="G33">
        <v>100</v>
      </c>
      <c r="H33">
        <v>400</v>
      </c>
      <c r="I33">
        <v>174000</v>
      </c>
      <c r="J33">
        <v>116000</v>
      </c>
      <c r="K33">
        <v>58000</v>
      </c>
      <c r="L33">
        <v>116000</v>
      </c>
    </row>
    <row r="34" spans="1:12" x14ac:dyDescent="0.25">
      <c r="A34">
        <v>28</v>
      </c>
      <c r="B34">
        <v>29</v>
      </c>
      <c r="C34" t="s">
        <v>149</v>
      </c>
      <c r="D34">
        <v>3</v>
      </c>
      <c r="H3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HSJB</vt:lpstr>
      <vt:lpstr>MATERNIDAD PROVINCIAL</vt:lpstr>
      <vt:lpstr>MINISTERIO DE SALUD</vt:lpstr>
      <vt:lpstr>HNEP</vt:lpstr>
      <vt:lpstr>CONSOLIDADO</vt:lpstr>
      <vt:lpstr>CONSOLIDADO (2)</vt:lpstr>
      <vt:lpstr>CONSOLIDADO (3)</vt:lpstr>
      <vt:lpstr>creditos</vt:lpstr>
      <vt:lpstr>ordnes de compra</vt:lpstr>
      <vt:lpstr>ordnes de compra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USUARIO</cp:lastModifiedBy>
  <cp:lastPrinted>2021-06-09T22:52:02Z</cp:lastPrinted>
  <dcterms:created xsi:type="dcterms:W3CDTF">2021-04-05T16:07:31Z</dcterms:created>
  <dcterms:modified xsi:type="dcterms:W3CDTF">2021-08-03T00:33:02Z</dcterms:modified>
</cp:coreProperties>
</file>