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K\Nueva carpeta\CUBIERTAS\"/>
    </mc:Choice>
  </mc:AlternateContent>
  <bookViews>
    <workbookView xWindow="-12" yWindow="-12" windowWidth="28836" windowHeight="6408" tabRatio="728" activeTab="1"/>
  </bookViews>
  <sheets>
    <sheet name="SAF 011" sheetId="1" r:id="rId1"/>
    <sheet name="ANEXO" sheetId="22" r:id="rId2"/>
    <sheet name="NP BANCO DE SANGRE" sheetId="2" r:id="rId3"/>
    <sheet name="NP APS" sheetId="4" r:id="rId4"/>
    <sheet name="NP SAME" sheetId="5" r:id="rId5"/>
    <sheet name="NP SASP" sheetId="6" r:id="rId6"/>
    <sheet name="APG SASP Y DEPENDENCIAS" sheetId="3" r:id="rId7"/>
    <sheet name="NP MEDIO AMBIENTE" sheetId="13" r:id="rId8"/>
    <sheet name="NP VECTORES" sheetId="14" r:id="rId9"/>
    <sheet name="NP EPIDEMIOLOGIA" sheetId="16" r:id="rId10"/>
    <sheet name="APG DEPENDENCIAS SMPyPS" sheetId="17" r:id="rId11"/>
    <sheet name="NP DPAS" sheetId="18" r:id="rId12"/>
    <sheet name="APG DPAS" sheetId="19" r:id="rId13"/>
    <sheet name="NP MS" sheetId="20" r:id="rId14"/>
    <sheet name="APG MS" sheetId="21" r:id="rId15"/>
  </sheets>
  <definedNames>
    <definedName name="_xlnm._FilterDatabase" localSheetId="0" hidden="1">'SAF 011'!$A$9:$AY$25</definedName>
  </definedNames>
  <calcPr calcId="152511"/>
</workbook>
</file>

<file path=xl/calcChain.xml><?xml version="1.0" encoding="utf-8"?>
<calcChain xmlns="http://schemas.openxmlformats.org/spreadsheetml/2006/main">
  <c r="K13" i="20" l="1"/>
  <c r="K12" i="20"/>
  <c r="J13" i="20"/>
  <c r="J12" i="20"/>
  <c r="I13" i="20"/>
  <c r="I12" i="20"/>
  <c r="C13" i="20"/>
  <c r="C12" i="20"/>
  <c r="B13" i="20"/>
  <c r="B12" i="20"/>
  <c r="A41" i="21"/>
  <c r="G7" i="21"/>
  <c r="G6" i="21"/>
  <c r="D4" i="20"/>
  <c r="G5" i="21" s="1"/>
  <c r="D3" i="20"/>
  <c r="G4" i="21" s="1"/>
  <c r="G6" i="19"/>
  <c r="G7" i="19"/>
  <c r="K13" i="18"/>
  <c r="K14" i="18"/>
  <c r="K15" i="18"/>
  <c r="K16" i="18"/>
  <c r="K17" i="18"/>
  <c r="K18" i="18"/>
  <c r="K19" i="18"/>
  <c r="K20" i="18"/>
  <c r="K21" i="18"/>
  <c r="K22" i="18"/>
  <c r="K12" i="18"/>
  <c r="J13" i="18"/>
  <c r="J14" i="18"/>
  <c r="J15" i="18"/>
  <c r="J16" i="18"/>
  <c r="M16" i="18" s="1"/>
  <c r="J17" i="18"/>
  <c r="J18" i="18"/>
  <c r="M18" i="18" s="1"/>
  <c r="J19" i="18"/>
  <c r="J20" i="18"/>
  <c r="J21" i="18"/>
  <c r="J22" i="18"/>
  <c r="J12" i="18"/>
  <c r="I13" i="18"/>
  <c r="I14" i="18"/>
  <c r="I15" i="18"/>
  <c r="I16" i="18"/>
  <c r="I17" i="18"/>
  <c r="I18" i="18"/>
  <c r="I19" i="18"/>
  <c r="I20" i="18"/>
  <c r="I21" i="18"/>
  <c r="I22" i="18"/>
  <c r="I12" i="18"/>
  <c r="B13" i="18"/>
  <c r="B14" i="18"/>
  <c r="B15" i="18"/>
  <c r="B16" i="18"/>
  <c r="B17" i="18"/>
  <c r="B18" i="18"/>
  <c r="B19" i="18"/>
  <c r="B20" i="18"/>
  <c r="B21" i="18"/>
  <c r="B22" i="18"/>
  <c r="B12" i="18"/>
  <c r="C13" i="18"/>
  <c r="C14" i="18"/>
  <c r="C15" i="18"/>
  <c r="C16" i="18"/>
  <c r="C17" i="18"/>
  <c r="C18" i="18"/>
  <c r="C19" i="18"/>
  <c r="C20" i="18"/>
  <c r="C21" i="18"/>
  <c r="C22" i="18"/>
  <c r="C12" i="18"/>
  <c r="A41" i="19"/>
  <c r="D4" i="18"/>
  <c r="G5" i="19" s="1"/>
  <c r="D3" i="18"/>
  <c r="G4" i="19" s="1"/>
  <c r="K12" i="16"/>
  <c r="J12" i="16"/>
  <c r="I12" i="16"/>
  <c r="C12" i="16"/>
  <c r="B12" i="16"/>
  <c r="K13" i="14"/>
  <c r="J13" i="14"/>
  <c r="I13" i="14"/>
  <c r="C13" i="14"/>
  <c r="B13" i="14"/>
  <c r="K12" i="13"/>
  <c r="J12" i="13"/>
  <c r="I12" i="13"/>
  <c r="C12" i="13"/>
  <c r="B12" i="13"/>
  <c r="K12" i="6"/>
  <c r="J12" i="6"/>
  <c r="I12" i="6"/>
  <c r="C12" i="6"/>
  <c r="B12" i="6"/>
  <c r="B12" i="5"/>
  <c r="K12" i="4"/>
  <c r="J12" i="4"/>
  <c r="I12" i="4"/>
  <c r="C12" i="4"/>
  <c r="B12" i="4"/>
  <c r="K12" i="2"/>
  <c r="J12" i="2"/>
  <c r="I12" i="2"/>
  <c r="C12" i="2"/>
  <c r="B12" i="2"/>
  <c r="AW21" i="1"/>
  <c r="AY21" i="1" s="1"/>
  <c r="AW15" i="1"/>
  <c r="AY15" i="1" s="1"/>
  <c r="AW11" i="1"/>
  <c r="AY11" i="1" s="1"/>
  <c r="AR11" i="1"/>
  <c r="AR21" i="1"/>
  <c r="AR15" i="1"/>
  <c r="M22" i="18" l="1"/>
  <c r="M20" i="18"/>
  <c r="M14" i="18"/>
  <c r="M13" i="20"/>
  <c r="M12" i="20"/>
  <c r="M15" i="20"/>
  <c r="M21" i="18"/>
  <c r="M17" i="18"/>
  <c r="M13" i="18"/>
  <c r="M19" i="18"/>
  <c r="M15" i="18"/>
  <c r="M12" i="18"/>
  <c r="Z12" i="1"/>
  <c r="Z25" i="1" s="1"/>
  <c r="J15" i="20" l="1"/>
  <c r="Q15" i="21"/>
  <c r="Q38" i="21" s="1"/>
  <c r="M24" i="18"/>
  <c r="A41" i="17"/>
  <c r="J12" i="14"/>
  <c r="K12" i="14"/>
  <c r="I12" i="14"/>
  <c r="C12" i="14"/>
  <c r="B12" i="14"/>
  <c r="J24" i="18" l="1"/>
  <c r="Q15" i="19"/>
  <c r="Q38" i="19" s="1"/>
  <c r="M12" i="13"/>
  <c r="M13" i="14"/>
  <c r="A41" i="3"/>
  <c r="G5" i="17"/>
  <c r="G4" i="17"/>
  <c r="M12" i="16"/>
  <c r="M14" i="16" s="1"/>
  <c r="D4" i="16"/>
  <c r="D3" i="16"/>
  <c r="M12" i="14"/>
  <c r="D4" i="14"/>
  <c r="D3" i="14"/>
  <c r="D4" i="13"/>
  <c r="D3" i="13"/>
  <c r="K12" i="5"/>
  <c r="M15" i="14" l="1"/>
  <c r="J15" i="14" s="1"/>
  <c r="J14" i="16"/>
  <c r="Q17" i="17"/>
  <c r="Q16" i="17"/>
  <c r="M14" i="13"/>
  <c r="M12" i="6"/>
  <c r="D4" i="6"/>
  <c r="D3" i="6"/>
  <c r="J12" i="5"/>
  <c r="M12" i="5" s="1"/>
  <c r="I12" i="5"/>
  <c r="C12" i="5"/>
  <c r="D4" i="5"/>
  <c r="D3" i="5"/>
  <c r="D4" i="4"/>
  <c r="D3" i="4"/>
  <c r="G5" i="3"/>
  <c r="G4" i="3"/>
  <c r="Q15" i="17" l="1"/>
  <c r="Q38" i="17" s="1"/>
  <c r="J14" i="13"/>
  <c r="M12" i="4"/>
  <c r="M14" i="4" s="1"/>
  <c r="M12" i="2"/>
  <c r="M14" i="2" s="1"/>
  <c r="Q15" i="3" s="1"/>
  <c r="M14" i="6"/>
  <c r="M14" i="5"/>
  <c r="J14" i="4" l="1"/>
  <c r="Q16" i="3"/>
  <c r="J14" i="5"/>
  <c r="Q17" i="3"/>
  <c r="J14" i="6"/>
  <c r="Q18" i="3"/>
  <c r="J14" i="2"/>
  <c r="D4" i="2"/>
  <c r="D3" i="2"/>
  <c r="AL23" i="1"/>
  <c r="AL19" i="1"/>
  <c r="AL24" i="1"/>
  <c r="AL22" i="1"/>
  <c r="AL18" i="1"/>
  <c r="AL16" i="1"/>
  <c r="AL14" i="1"/>
  <c r="AL13" i="1"/>
  <c r="AL12" i="1"/>
  <c r="AL10" i="1"/>
  <c r="AL25" i="1" l="1"/>
  <c r="Q38" i="3"/>
  <c r="AW10" i="1" l="1"/>
  <c r="AW12" i="1"/>
  <c r="AW13" i="1"/>
  <c r="AW14" i="1"/>
  <c r="AW16" i="1"/>
  <c r="AW18" i="1"/>
  <c r="AW22" i="1"/>
  <c r="AW24" i="1"/>
  <c r="AW19" i="1"/>
  <c r="AW23" i="1"/>
  <c r="AW17" i="1"/>
  <c r="AW20" i="1"/>
  <c r="AV17" i="1" l="1"/>
  <c r="AV20" i="1"/>
  <c r="AR12" i="1" l="1"/>
  <c r="AR13" i="1"/>
  <c r="AR14" i="1"/>
  <c r="AR16" i="1"/>
  <c r="AR18" i="1"/>
  <c r="AR22" i="1"/>
  <c r="AR24" i="1"/>
  <c r="AR19" i="1"/>
  <c r="AR23" i="1"/>
  <c r="AR17" i="1"/>
  <c r="AR20" i="1"/>
  <c r="AR10" i="1"/>
  <c r="AR25" i="1" l="1"/>
  <c r="AP12" i="1"/>
  <c r="AP13" i="1"/>
  <c r="AP14" i="1"/>
  <c r="AP16" i="1"/>
  <c r="AP18" i="1"/>
  <c r="AP22" i="1"/>
  <c r="AP24" i="1"/>
  <c r="AP19" i="1"/>
  <c r="AP23" i="1"/>
  <c r="AP17" i="1"/>
  <c r="AP20" i="1"/>
  <c r="AP10" i="1"/>
  <c r="AY17" i="1" l="1"/>
  <c r="AY20" i="1"/>
  <c r="AV12" i="1"/>
  <c r="AV13" i="1"/>
  <c r="AV14" i="1"/>
  <c r="AV16" i="1"/>
  <c r="AV18" i="1"/>
  <c r="AV22" i="1"/>
  <c r="AV24" i="1"/>
  <c r="AV19" i="1"/>
  <c r="AV23" i="1"/>
  <c r="AV10" i="1"/>
  <c r="AN12" i="1"/>
  <c r="AN13" i="1"/>
  <c r="AN14" i="1"/>
  <c r="AN16" i="1"/>
  <c r="AN18" i="1"/>
  <c r="AN22" i="1"/>
  <c r="AN24" i="1"/>
  <c r="AN19" i="1"/>
  <c r="AN23" i="1"/>
  <c r="AN17" i="1"/>
  <c r="AN20" i="1"/>
  <c r="AN10" i="1"/>
  <c r="AV25" i="1" l="1"/>
  <c r="AN25" i="1"/>
  <c r="AT22" i="1"/>
  <c r="AT25" i="1" s="1"/>
  <c r="P22" i="1"/>
  <c r="P25" i="1" s="1"/>
  <c r="AD19" i="1" l="1"/>
  <c r="AD25" i="1" s="1"/>
  <c r="X12" i="1" l="1"/>
  <c r="X13" i="1"/>
  <c r="X14" i="1"/>
  <c r="X16" i="1"/>
  <c r="X18" i="1"/>
  <c r="X22" i="1"/>
  <c r="X24" i="1"/>
  <c r="X19" i="1"/>
  <c r="X23" i="1"/>
  <c r="X10" i="1"/>
  <c r="N10" i="1"/>
  <c r="N12" i="1"/>
  <c r="N13" i="1"/>
  <c r="N14" i="1"/>
  <c r="N16" i="1"/>
  <c r="N18" i="1"/>
  <c r="N22" i="1"/>
  <c r="N24" i="1"/>
  <c r="N19" i="1"/>
  <c r="N23" i="1"/>
  <c r="AH12" i="1"/>
  <c r="AH13" i="1"/>
  <c r="AH14" i="1"/>
  <c r="AH16" i="1"/>
  <c r="AH18" i="1"/>
  <c r="AH22" i="1"/>
  <c r="AH24" i="1"/>
  <c r="AH19" i="1"/>
  <c r="AH23" i="1"/>
  <c r="AH10" i="1"/>
  <c r="N25" i="1" l="1"/>
  <c r="AH25" i="1"/>
  <c r="X25" i="1"/>
  <c r="V25" i="1"/>
  <c r="AY23" i="1"/>
  <c r="AF23" i="1"/>
  <c r="AY19" i="1"/>
  <c r="AF19" i="1"/>
  <c r="AY24" i="1"/>
  <c r="AF24" i="1"/>
  <c r="AY22" i="1"/>
  <c r="AF22" i="1"/>
  <c r="AY18" i="1"/>
  <c r="AF18" i="1"/>
  <c r="AY16" i="1"/>
  <c r="AF16" i="1"/>
  <c r="AY14" i="1"/>
  <c r="AF14" i="1"/>
  <c r="AY13" i="1"/>
  <c r="AF13" i="1"/>
  <c r="AY12" i="1"/>
  <c r="AF12" i="1"/>
  <c r="AY10" i="1"/>
  <c r="AF10" i="1"/>
  <c r="AF25" i="1" l="1"/>
  <c r="AY25" i="1"/>
</calcChain>
</file>

<file path=xl/sharedStrings.xml><?xml version="1.0" encoding="utf-8"?>
<sst xmlns="http://schemas.openxmlformats.org/spreadsheetml/2006/main" count="899" uniqueCount="468">
  <si>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</si>
  <si>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</si>
  <si>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</si>
  <si>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</si>
  <si>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</si>
  <si>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</si>
  <si>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</si>
  <si>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</si>
  <si>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</si>
  <si>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</si>
  <si>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</si>
  <si>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</si>
  <si>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</si>
  <si>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</si>
  <si>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</si>
  <si>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</si>
  <si>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</si>
  <si>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</si>
  <si>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</si>
  <si>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</si>
  <si>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</si>
  <si>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</si>
  <si>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</si>
  <si>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</si>
  <si>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</si>
  <si>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</si>
  <si>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</si>
  <si>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</si>
  <si>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</si>
  <si>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</si>
  <si>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HPTAL MALBRAN</t>
  </si>
  <si>
    <t>TOTAL HPTAL MALBRAN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</si>
  <si>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</si>
  <si>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</si>
  <si>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</si>
  <si>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</si>
  <si>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</si>
  <si>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</si>
  <si>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</si>
  <si>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</si>
  <si>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CUR</t>
  </si>
  <si>
    <t>TOTAL CUR</t>
  </si>
  <si>
    <t>SPyGS</t>
  </si>
  <si>
    <t>TOTAL SPyGS</t>
  </si>
  <si>
    <t>SALUD MENTAL</t>
  </si>
  <si>
    <t>TOTAL SALUD MENTAL</t>
  </si>
  <si>
    <t>AREAS Y DPAS</t>
  </si>
  <si>
    <t>TOTAL DPAS</t>
  </si>
  <si>
    <t>CANTIDAD TOTAL</t>
  </si>
  <si>
    <t>PRECIO UNITARIO ESTIMADO</t>
  </si>
  <si>
    <t xml:space="preserve">IMPORTE TOTAL ESTIMADO </t>
  </si>
  <si>
    <t>ESPECIFICACION TECNICA</t>
  </si>
  <si>
    <t xml:space="preserve">UNIDAD </t>
  </si>
  <si>
    <t>UNIDAD</t>
  </si>
  <si>
    <t>2.4.4-6818.986</t>
  </si>
  <si>
    <t>REPUESTOS</t>
  </si>
  <si>
    <t>2.4.4</t>
  </si>
  <si>
    <t>NEUMATICOS; VEHICULO: AMBULANCIA/FURGON/MINIBUS, CONSTRUCCION: RADIAL, ARMADO: S/CAMARA, MEDIDA: 205/75R16</t>
  </si>
  <si>
    <t>2.4.4-6818.647</t>
  </si>
  <si>
    <t>NEUMATICOS; VEHICULO: CAMIONETA, CONSTRUCCION: RADIAL, ARMADO: S/CAMARA, MEDIDA: 175/70R14 pulg</t>
  </si>
  <si>
    <t>2.4.4-6818.59</t>
  </si>
  <si>
    <t>NEUMATICOS; VEHICULO: CAMIONETA, CONSTRUCCION: RADIAL, ARMADO: S/CAMARA, MEDIDA: 195/75R16</t>
  </si>
  <si>
    <t>2.4.4-6818.52</t>
  </si>
  <si>
    <t>NEUMATICOS; VEHICULO: CAMIONETA, CONSTRUCCION: RADIAL, ARMADO: S/CAMARA, MEDIDA: 215/80R16</t>
  </si>
  <si>
    <t>2.4.4-6818.989</t>
  </si>
  <si>
    <t>NEUMATICOS; VEHICULO: CAMIONETA, CONSTRUCCION: RADIAL, ARMADO: S/CAMARA, MEDIDA: 225/70 R17</t>
  </si>
  <si>
    <t>2.4.4-6818.751</t>
  </si>
  <si>
    <t>NEUMATICOS; VEHICULO: CAMIONETA, CONSTRUCCION: RADIAL, ARMADO: S/CAMARA, MEDIDA: 245/65 R17</t>
  </si>
  <si>
    <t>2.4.4-6818.993</t>
  </si>
  <si>
    <t>NEUMATICOS; VEHICULO: UTILITARIO, CONSTRUCCION: RADIAL, ARMADO: S/CAMARA, MEDIDA: 225/75-R16C</t>
  </si>
  <si>
    <t>TOTAL RUBRO NEUMATICOS</t>
  </si>
  <si>
    <t>PRIMERO</t>
  </si>
  <si>
    <t>2.4.4-6818.48</t>
  </si>
  <si>
    <t>NEUMATICOS; VEHICULO: CAMIONETA, CONSTRUCCION: RADIAL, MEDIDA: 235/75R15, ARMADO: S/CAMARA</t>
  </si>
  <si>
    <t>2.4.4-6818.530</t>
  </si>
  <si>
    <t>NEUMATICOS; VEHICULO: CAMIONETA, CONSTRUCCION: RADIAL, ARMADO: S/CAMARA, MEDIDA: 245/70R16</t>
  </si>
  <si>
    <t>2.4.4-6818.851</t>
  </si>
  <si>
    <t>NEUMATICOS; VEHICULO: MINIBUS, CONSTRUCCION: CONVENCIONAL, ARMADO: S/CAMARA, MEDIDA: 225/70R15</t>
  </si>
  <si>
    <t>TOTAL SAME</t>
  </si>
  <si>
    <t>CRONICAS</t>
  </si>
  <si>
    <t>TOTAL CRONICAS</t>
  </si>
  <si>
    <t>EPIDEMIOLOGIA</t>
  </si>
  <si>
    <t>TOTAL EPIDEMIOLOGIA</t>
  </si>
  <si>
    <t>2.4.4-6818.744</t>
  </si>
  <si>
    <t>NEUMATICOS; VEHICULO: CAMIONETA, CONSTRUCCION: RADIAL, ARMADO: S/CAMARA, MEDIDA: 235/70R16</t>
  </si>
  <si>
    <t>2.4.4-6818.890</t>
  </si>
  <si>
    <t>NEUMATICOS; VEHICULO: CAMIONETA, CONSTRUCCION: RADIAL, ARMADO: S/CAMARA, MEDIDA: 265/60R18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</si>
  <si>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</si>
  <si>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</si>
  <si>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</si>
  <si>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</si>
  <si>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</si>
  <si>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</si>
  <si>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</si>
  <si>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</si>
  <si>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</si>
  <si>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</si>
  <si>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</si>
  <si>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</si>
  <si>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</si>
  <si>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</si>
  <si>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</si>
  <si>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</si>
  <si>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</si>
  <si>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</si>
  <si>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</si>
  <si>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</si>
  <si>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</si>
  <si>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</si>
  <si>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</si>
  <si>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</si>
  <si>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</si>
  <si>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</si>
  <si>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</si>
  <si>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</si>
  <si>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</si>
  <si>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</si>
  <si>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</si>
  <si>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</si>
  <si>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</si>
  <si>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</si>
  <si>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</si>
  <si>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</si>
  <si>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</si>
  <si>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SECRETARIA DE ASISTENCIA EN SALUD PUBLICA</t>
  </si>
  <si>
    <t>DIRECCION PROVINCIAL BANCO DE SANGRE</t>
  </si>
  <si>
    <t>1° TRIMESTRE 2022</t>
  </si>
  <si>
    <t>ADQUISICION DEL RUBRO CUBIERTAS.-</t>
  </si>
  <si>
    <t>Descripción técnica:</t>
  </si>
  <si>
    <t>Plazos de entrega</t>
  </si>
  <si>
    <t>diez (10) dias habiles</t>
  </si>
  <si>
    <t>Lugar de Entrega:</t>
  </si>
  <si>
    <t>SECRETARIA DE AMINISTRACION - CHACABUCO N° 169 - en el horario de 8:00hs a 12:00hs de lunes a viernes</t>
  </si>
  <si>
    <t>Calidad Minima esperada</t>
  </si>
  <si>
    <t>Mantenimiento</t>
  </si>
  <si>
    <t>cuarenta y cinco (45) días</t>
  </si>
  <si>
    <t>Garantia:</t>
  </si>
  <si>
    <t>seis (6) meses</t>
  </si>
  <si>
    <t>NO</t>
  </si>
  <si>
    <t>1.1</t>
  </si>
  <si>
    <t>CUBIERTAS Y CAMARAS DE AIRE</t>
  </si>
  <si>
    <t>Costo total estimado: OCHENTA Y OCHO MIL DOSCIENTOS CON 00/100.-</t>
  </si>
  <si>
    <t>DIRECCION PROVINCIAL PRIMER NIVEL ATENCION PRIMARIA</t>
  </si>
  <si>
    <t>DIRECCION PROVINCIAL SISTEMA DE ATENCION MEDICA DE EMERGENCIA</t>
  </si>
  <si>
    <t>SECRETARIA DE MEDICINA PREVENTIVA Y PROMOCION EN SALUD</t>
  </si>
  <si>
    <t>DIRECCION PROVINCIAL DE SALUD Y MEDIO AMBIENTE</t>
  </si>
  <si>
    <t>DIRECCION DE CONTROL DE VECTORES Y ZOONOSIS</t>
  </si>
  <si>
    <t>DIRECCION PROVINCIAL DE EPIDEMIOLOGIA</t>
  </si>
  <si>
    <t>MS</t>
  </si>
  <si>
    <t>TOTAL MS</t>
  </si>
  <si>
    <t xml:space="preserve"> 08/2022</t>
  </si>
  <si>
    <t xml:space="preserve"> 03/2022</t>
  </si>
  <si>
    <t>Costo total estimado: SETENTA Y SEIS MIL SEISCIENTOS CON 00/100.-</t>
  </si>
  <si>
    <t xml:space="preserve"> 09/2022</t>
  </si>
  <si>
    <t>Costo total estimado: OCHOCIENTOS CUARENTA MIL CON 00/100.-</t>
  </si>
  <si>
    <t>Costo total estimado: CIENTO SETENTA Y SIETE MIL CON 00/100.-</t>
  </si>
  <si>
    <t>Autorizo la realización de los  trámites correspondientes, a fin de proveer a  este Organismo los bienes/servicios que se detallan en Nota  de Pedido N° D.P.B.S. 08/2022 - D.P.P.N.A.P. 03/2022 - D.P.S.A.M.E. 09/2022 - S.A.S.P. 03/2022 afectando la erogación resultante a los créditos presupuestarios aprobados a favor de esta Unidad Ejecutora, conforme al siguiente detalle:</t>
  </si>
  <si>
    <t>TOTAL DE PESOS: UN MILLON CIENTO OCHENTA Y UN MIL OCHOCIENTOS CON 00/100.-</t>
  </si>
  <si>
    <t xml:space="preserve"> 05/2022</t>
  </si>
  <si>
    <t>Costo total estimado: DOSCIENTOS VEINTITRES MIL CON 00/100.-</t>
  </si>
  <si>
    <t xml:space="preserve"> 04/2022</t>
  </si>
  <si>
    <t>Costo total estimado: DOSCIENTOS SETENTA Y NUEVE MIL DOSCIENTOS CON 00/100.-</t>
  </si>
  <si>
    <t>Costo total estimado: CIENTO CATORCE MIL NOVECIENTOS CON 00/100.-</t>
  </si>
  <si>
    <t>Autorizo la realización de los  trámites correspondientes, a fin de proveer a  este Organismo los bienes/servicios que se detallan en Nota  de Pedido N° D.P.S.M.A. 05/2022 - D.C.V.Z. 04/2022 - D.P.E. 03/2022 afectando la erogación resultante a los créditos presupuestarios aprobados a favor de esta Unidad Ejecutora, conforme al siguiente detalle:</t>
  </si>
  <si>
    <t>TOTAL DE PESOS: SEISCIENTOS DIECISETE MIL CIEN CON 00/100.-</t>
  </si>
  <si>
    <t>2.4.4-6818.723</t>
  </si>
  <si>
    <t>2.4.4-6818.885</t>
  </si>
  <si>
    <t>2.4.4-6818.801</t>
  </si>
  <si>
    <t>NEUMATICOS; VEHICULO: CAMIONETA, CONSTRUCCION: RADIAL, ARMADO: SIN CAMARA, MEDIDA: 185/65R15</t>
  </si>
  <si>
    <t>NEUMATICOS; VEHICULO: CAMIONETA, CONSTRUCCION: RADIAL, ARMADO: S/CAMARA, MEDIDA: 225/65R17</t>
  </si>
  <si>
    <t>NEUMATICOS; VEHICULO: CAMIONETA, CONSTRUCCION: CON CLAVOS, ARMADO: S/CAMARA, MEDIDA: 265/70R16</t>
  </si>
  <si>
    <t>Costo total estimado: OCHO MILLONES CIENTO NOVENTA MIL DOSCIENTOS CON 00/100.-</t>
  </si>
  <si>
    <t>DIRECCION PROVINCIAL DE ASISTENCIA SANITARIA NIVEL I Y II</t>
  </si>
  <si>
    <t>Autorizo la realización de los  trámites correspondientes, a fin de proveer a  este Organismo los bienes/servicios que se detallan en Nota  de Pedido N° 03/2022 afectando la erogación resultante a los créditos presupuestarios aprobados a favor de esta Unidad Ejecutora, conforme al siguiente detalle:</t>
  </si>
  <si>
    <t>Costo total estimado: TRESCIENTOS NUEVE MIL QUINIENTOS CON 00/100.-</t>
  </si>
  <si>
    <t>Autorizo la realización de los  trámites correspondientes, a fin de proveer a  este Organismo los bienes/servicios que se detallan en Nota  de Pedido N° 04/2022 afectando la erogación resultante a los créditos presupuestarios aprobados a favor de esta Unidad Ejecutora, conforme al siguiente detalle:</t>
  </si>
  <si>
    <t>TOTAL DE PESOS: TRESCIENTOS NUEVE MIL QUINIENTOS CON 00/100.-</t>
  </si>
  <si>
    <t>MINISTERIO DE SALUD</t>
  </si>
  <si>
    <t>DIRECCION PROVINCIAL ASISTENCIA SANITARIA NIVEL I Y II</t>
  </si>
  <si>
    <t>Area Programatica Nº1</t>
  </si>
  <si>
    <t>Vehiculo</t>
  </si>
  <si>
    <t>Dominio</t>
  </si>
  <si>
    <t>Nº de Motor</t>
  </si>
  <si>
    <t>Nº Chasis</t>
  </si>
  <si>
    <t>Año</t>
  </si>
  <si>
    <t>Renault Master - Ambulancia.-</t>
  </si>
  <si>
    <t>GEU-277</t>
  </si>
  <si>
    <t>G9UA724C030714</t>
  </si>
  <si>
    <t>93YADCUE57J787157</t>
  </si>
  <si>
    <t>Renault Master- Ambulancia.-</t>
  </si>
  <si>
    <t>GUV-922</t>
  </si>
  <si>
    <t>G9UA724C035587</t>
  </si>
  <si>
    <t>93YADCUE58J896449</t>
  </si>
  <si>
    <t>Renault Master-PH3 DCI 120 L1H2  Ambulancia.-</t>
  </si>
  <si>
    <t>KNI-753</t>
  </si>
  <si>
    <t>G9UA754C268409</t>
  </si>
  <si>
    <t>93YADCUE6CJ897389</t>
  </si>
  <si>
    <t>Renault Master PH3 DCI 120 L1H2 - Ambulancia.-</t>
  </si>
  <si>
    <t>LAD-136</t>
  </si>
  <si>
    <t>G9UA754C270571</t>
  </si>
  <si>
    <t>93YADCUE6CJ969873</t>
  </si>
  <si>
    <t>Renault Master MASTER PH3 DCI 120 - Ambulancia.-</t>
  </si>
  <si>
    <t>LAD-135</t>
  </si>
  <si>
    <t>G9UA650C244170</t>
  </si>
  <si>
    <t>93YADC1E6CJ140233</t>
  </si>
  <si>
    <t>Fiat Ducato Amxicargo 2,3 JTD. Ambulancia.-</t>
  </si>
  <si>
    <t>AA-842-EI</t>
  </si>
  <si>
    <t>93W245G84H2160833</t>
  </si>
  <si>
    <t>Toyota Hilux 4x4 c/s DX 2,4 TDI M/T. Ambulancia</t>
  </si>
  <si>
    <t>AA-793-NE</t>
  </si>
  <si>
    <t>2GD-0137533</t>
  </si>
  <si>
    <t>8AJFB8CB5H1550878</t>
  </si>
  <si>
    <t>AE-041-BD</t>
  </si>
  <si>
    <t>M9TB870C262154</t>
  </si>
  <si>
    <t>93YMAFESCLJ213469</t>
  </si>
  <si>
    <t>Area Programatica Nº2</t>
  </si>
  <si>
    <t>Fiat Ducato Maxi cargo 2,3 JTD Furgon. Ambulancia.-</t>
  </si>
  <si>
    <t>AA-842-EH</t>
  </si>
  <si>
    <t>93W245G84H2160832</t>
  </si>
  <si>
    <t>AA-842-EF</t>
  </si>
  <si>
    <t>93W245G84H2160831</t>
  </si>
  <si>
    <t>Fiat Ducato 2,3. Ambulancia.-</t>
  </si>
  <si>
    <t>NSE-229</t>
  </si>
  <si>
    <t>93W245G74D2109008</t>
  </si>
  <si>
    <t xml:space="preserve">Renault Master DCI120. Ambulancia - </t>
  </si>
  <si>
    <t>GUO-325</t>
  </si>
  <si>
    <t>G9UA7240035511</t>
  </si>
  <si>
    <t>93YADCUE58J896313</t>
  </si>
  <si>
    <t>Area Programatica Nº3</t>
  </si>
  <si>
    <t>Chevrolet S10  2,8 TDI - Camioneta.-</t>
  </si>
  <si>
    <t>GDD-914</t>
  </si>
  <si>
    <t>M1A282868</t>
  </si>
  <si>
    <t>9BG138AJ07C413213</t>
  </si>
  <si>
    <t>Renautl Master 2,5 D - Ambulancia.-</t>
  </si>
  <si>
    <t>GJC-299</t>
  </si>
  <si>
    <t>J9UA724C030522</t>
  </si>
  <si>
    <t>93YADCUE57J787225</t>
  </si>
  <si>
    <t>Fiat Ducato Maxi cargo 2,3. Ambulancia</t>
  </si>
  <si>
    <t>AA-702-MN</t>
  </si>
  <si>
    <t>93W245G74H2161118</t>
  </si>
  <si>
    <t>Ford Transit 2,2 L 125 T350 TA C/AA - Ambulancia.-</t>
  </si>
  <si>
    <t>MNW-258</t>
  </si>
  <si>
    <t>CYRCDTT22471</t>
  </si>
  <si>
    <t>WFOXXPTTFDTT22471</t>
  </si>
  <si>
    <t>Chevrolet S10  2,8 T.I- Ambulancia.-</t>
  </si>
  <si>
    <t>ESH-451</t>
  </si>
  <si>
    <t>986124AC05C410447</t>
  </si>
  <si>
    <t>Chevrolet S10 2,8 TDI SID 4x2 - Ambulancia.-</t>
  </si>
  <si>
    <t>GDD-918</t>
  </si>
  <si>
    <t>M1A282927</t>
  </si>
  <si>
    <t>9BG1384J07C413214</t>
  </si>
  <si>
    <t>Chevrolet S10  2,8 TDI - Ambulancia.-</t>
  </si>
  <si>
    <t>ESH-453</t>
  </si>
  <si>
    <t>9BG124ACOSC410400</t>
  </si>
  <si>
    <t>Ford Transit Furgon - Ambulancia.-</t>
  </si>
  <si>
    <t>MNW-259</t>
  </si>
  <si>
    <t>CYRCDTT23622</t>
  </si>
  <si>
    <t>WF0XXPTTFDTT2362</t>
  </si>
  <si>
    <t>Fiat Ducato Maxicargo 2,3 JTD. Ambulancia.-</t>
  </si>
  <si>
    <t>AA-842-EG</t>
  </si>
  <si>
    <t>93W245G84H2160827</t>
  </si>
  <si>
    <t>Renault Master. Ambulancia.-</t>
  </si>
  <si>
    <t>AD-484-QZ</t>
  </si>
  <si>
    <t>A4MH737Q004131</t>
  </si>
  <si>
    <t>8A18SRD04KL428948</t>
  </si>
  <si>
    <t>AD-939-YG</t>
  </si>
  <si>
    <t>H4MH737Q013096</t>
  </si>
  <si>
    <t>8A18SRD04LL935267</t>
  </si>
  <si>
    <t>Area Programatica Nº5</t>
  </si>
  <si>
    <t>Fiat Ducato Ambulancia.-</t>
  </si>
  <si>
    <t>NHW-649</t>
  </si>
  <si>
    <t>93W245G84D2109862</t>
  </si>
  <si>
    <t>Ford Transit 2,2 L Ambulancia.-</t>
  </si>
  <si>
    <t>MBW-831</t>
  </si>
  <si>
    <t>CYRCCTC58021</t>
  </si>
  <si>
    <t>WF0XXPTTFCTC5802</t>
  </si>
  <si>
    <t>Toyota Hilux. Ambulancia.-</t>
  </si>
  <si>
    <t>AA-793-NF</t>
  </si>
  <si>
    <t>2GD-0106033</t>
  </si>
  <si>
    <t>8AJFB8CB2H1550532</t>
  </si>
  <si>
    <t>AA-842-EM</t>
  </si>
  <si>
    <t>93W245G84H2160779</t>
  </si>
  <si>
    <t>Iveco Daily - Ambulancia, Camion 3,5 Tn Modelo 4912-3300</t>
  </si>
  <si>
    <t>QAC-895</t>
  </si>
  <si>
    <t>93ZC4980158319325</t>
  </si>
  <si>
    <t>Chevrolet S10  - Ambulancia.-</t>
  </si>
  <si>
    <t>ESH-452</t>
  </si>
  <si>
    <t>9BG124AC05C410604</t>
  </si>
  <si>
    <t>Area Programatica Nº6</t>
  </si>
  <si>
    <t>Renault Master 2,5 DCI Furgon corto. Ambulancia.-</t>
  </si>
  <si>
    <t>LOI-294</t>
  </si>
  <si>
    <t>69VA650C248593</t>
  </si>
  <si>
    <t>93YADCIE6DJ286241</t>
  </si>
  <si>
    <t>AA-842-EJ</t>
  </si>
  <si>
    <t>93W245G84H2160835</t>
  </si>
  <si>
    <t>AA-842-ED</t>
  </si>
  <si>
    <t>93W245G84H2160784</t>
  </si>
  <si>
    <t>Toyota Hilux 4X4 Pick-Up. Ambulancia.-</t>
  </si>
  <si>
    <t>AE-454-BB</t>
  </si>
  <si>
    <t>2GD-0753775</t>
  </si>
  <si>
    <t>8AJFB8CB9L1560130</t>
  </si>
  <si>
    <t>Area Programatica Nº7</t>
  </si>
  <si>
    <t>Ford Ranger  - Ambulancia</t>
  </si>
  <si>
    <t>MNW-255</t>
  </si>
  <si>
    <t>QW2PDJ102410</t>
  </si>
  <si>
    <t>8AFAR21J4DJ102410</t>
  </si>
  <si>
    <t>Fiat Ducato Maxi Cargo - Ambulancia</t>
  </si>
  <si>
    <t>NHW-647</t>
  </si>
  <si>
    <t>93W245G84D1209434</t>
  </si>
  <si>
    <t>Renault Master 2,5 DCI - Ambulancia.-</t>
  </si>
  <si>
    <t>GUO-331</t>
  </si>
  <si>
    <t>G9UA724C035717</t>
  </si>
  <si>
    <t>93YADCUE58J896363</t>
  </si>
  <si>
    <t>Toyota Hilux - Ambulancia</t>
  </si>
  <si>
    <t>LBA-309</t>
  </si>
  <si>
    <t>KC5639076</t>
  </si>
  <si>
    <t>8AJCR2267C4017192</t>
  </si>
  <si>
    <t>Fiat Ducato Maxi Cargo 2,3 JTD- Ambulancia</t>
  </si>
  <si>
    <t>AA-842-EB</t>
  </si>
  <si>
    <t>93W245G84H2160819</t>
  </si>
  <si>
    <t>AA-842-EC</t>
  </si>
  <si>
    <t>93W245G84H2160823</t>
  </si>
  <si>
    <t>Area Programatica Nº8</t>
  </si>
  <si>
    <t>Fiat Ducato Maxicargo L2B 2,3 TJ. Ambulancia.-</t>
  </si>
  <si>
    <t>NHW-648</t>
  </si>
  <si>
    <t>93W245G84D2109432</t>
  </si>
  <si>
    <t>Reanult Master  Ambulancia.-</t>
  </si>
  <si>
    <t>NXE-335</t>
  </si>
  <si>
    <t>M9TA876C016101</t>
  </si>
  <si>
    <t>93YMAFECAEJ262720</t>
  </si>
  <si>
    <t>Renault Kangoo  1,6. Camioneta-</t>
  </si>
  <si>
    <t>PEX-160</t>
  </si>
  <si>
    <t>K4MJ730Q160389</t>
  </si>
  <si>
    <t>8A1FC1315GL915416</t>
  </si>
  <si>
    <t>AA-842-EE</t>
  </si>
  <si>
    <t>96W245G84H2160826</t>
  </si>
  <si>
    <t>Fiat Ducato Maxicargo L4H2. Ambulancia</t>
  </si>
  <si>
    <t>AD-964-PG</t>
  </si>
  <si>
    <t>F1AE3481D7279698</t>
  </si>
  <si>
    <t>3C6DFVDK9KE510986</t>
  </si>
  <si>
    <t>Area Programatica Nº9</t>
  </si>
  <si>
    <t>Fiat Ducato-Ambulancia.-</t>
  </si>
  <si>
    <t>MPH-695</t>
  </si>
  <si>
    <t>93W245G84D2102211</t>
  </si>
  <si>
    <t>Ford Transit- Ambulancia.-</t>
  </si>
  <si>
    <t>POD-622</t>
  </si>
  <si>
    <t>CY24FTD15384</t>
  </si>
  <si>
    <t>WF0BXKTTGFTD15384</t>
  </si>
  <si>
    <t>Toyota Hilux 4x4- Ambulancia.-</t>
  </si>
  <si>
    <t>AA-793-NH</t>
  </si>
  <si>
    <t>2GD0106226</t>
  </si>
  <si>
    <t>BAJFBBCB1H155</t>
  </si>
  <si>
    <t>Area Programatica Nº10</t>
  </si>
  <si>
    <t>Renault Master TDI 2,8 L1H1 - Ambulancia.-</t>
  </si>
  <si>
    <t>MPD-320</t>
  </si>
  <si>
    <t>G9UA650C26371</t>
  </si>
  <si>
    <t>93YADC1D6DJ54222</t>
  </si>
  <si>
    <t>Ford Transit 2,2 L 125 T 350. Furgon Ambulancia.-</t>
  </si>
  <si>
    <t>MBW-830</t>
  </si>
  <si>
    <t>CYRCCTC58015</t>
  </si>
  <si>
    <t>WF0XXPTTCTC58015</t>
  </si>
  <si>
    <t>M. Benz 415 CDIF3665. Ambulancia.-</t>
  </si>
  <si>
    <t>AA-683-ZG</t>
  </si>
  <si>
    <t>651955W0056914</t>
  </si>
  <si>
    <t>8ac906633ge118977</t>
  </si>
  <si>
    <t>Renault Master L2H2 AA. Ambulancia.-</t>
  </si>
  <si>
    <t>AE-041-BC</t>
  </si>
  <si>
    <t>M9TB870C262203</t>
  </si>
  <si>
    <t>93YMAFESCLJ213466</t>
  </si>
  <si>
    <t>Area Programatica Nº11</t>
  </si>
  <si>
    <t>Toyota Hilux 4x4. Ambulancia.-</t>
  </si>
  <si>
    <t>ONU-072</t>
  </si>
  <si>
    <t>2KDA538356</t>
  </si>
  <si>
    <t>8AJDR22G7F4020209</t>
  </si>
  <si>
    <t>Ford Ranger 2 CS 4x4 XL Safety 2,2 LD. Ambulancia.-</t>
  </si>
  <si>
    <t>MBW-921</t>
  </si>
  <si>
    <t>QW2PDJ087769</t>
  </si>
  <si>
    <t>8AFAR21J5DJ087769</t>
  </si>
  <si>
    <t>Ford Ranger 4x4 2,8 XL Plus LD - Ambulancia.-</t>
  </si>
  <si>
    <t>FKA-416</t>
  </si>
  <si>
    <t>C35191696</t>
  </si>
  <si>
    <t>8AFER11H66J457137</t>
  </si>
  <si>
    <t>FKA-415</t>
  </si>
  <si>
    <t>FC35191569</t>
  </si>
  <si>
    <t>8AFER11H76J457146</t>
  </si>
  <si>
    <t>Area Programatica Nº12</t>
  </si>
  <si>
    <t>Fiat Ducato Maxi cargo 2,3 JTD. Ambulancia.-</t>
  </si>
  <si>
    <t>ODK-341</t>
  </si>
  <si>
    <t>93W245G84E2119762</t>
  </si>
  <si>
    <t>AA-842-EA</t>
  </si>
  <si>
    <t>93W245G84H2160841</t>
  </si>
  <si>
    <t>Fiat Ducato Maxicargo L4H2. Ambulancia.-</t>
  </si>
  <si>
    <t>AE-258-XT</t>
  </si>
  <si>
    <t>F1AE3481D7288562</t>
  </si>
  <si>
    <t>3C6DFVDK1LE129957</t>
  </si>
  <si>
    <t>AE-414-KX</t>
  </si>
  <si>
    <t>2GD-0756084</t>
  </si>
  <si>
    <t>8AJFB8CB5L1560173</t>
  </si>
  <si>
    <t>Area Programatica Nº13</t>
  </si>
  <si>
    <t>Fiat Ducato maxicargo 2,3 JTD - Ambulancia.-</t>
  </si>
  <si>
    <t>NHW-646</t>
  </si>
  <si>
    <t>93W245G84D2109591</t>
  </si>
  <si>
    <t>AA-842-EO</t>
  </si>
  <si>
    <t>93W245G84H2160825</t>
  </si>
  <si>
    <t>Area Programatica Nº14</t>
  </si>
  <si>
    <t>Toyota Hilux 4x4 c/s. Ambulancia.-</t>
  </si>
  <si>
    <t>AA-793-NG</t>
  </si>
  <si>
    <t>2GD0137686</t>
  </si>
  <si>
    <t>8AJFB8CB3H1550880</t>
  </si>
  <si>
    <t>Nº de Chasis</t>
  </si>
  <si>
    <t>DIRECCION PROVINCIAL DE VECTORES Y ZOONOSIS</t>
  </si>
  <si>
    <t>Ford Rnger XL 3,0 TDI D/C 4x2 Plus. Camioneta.-</t>
  </si>
  <si>
    <t>GVM-697</t>
  </si>
  <si>
    <t>C34243556</t>
  </si>
  <si>
    <t>8AFER13P58J133751</t>
  </si>
  <si>
    <t>Ford Ranger XL T 3,0 TDI D/C 4x4 LIM. Camioneta.-</t>
  </si>
  <si>
    <t>GVU-547</t>
  </si>
  <si>
    <t>C34243362</t>
  </si>
  <si>
    <t>8AFER13P18J133746</t>
  </si>
  <si>
    <t>Ford Ranger XL T 3,0 TDI D/C 4x2 PLUS. Camioneta.-</t>
  </si>
  <si>
    <t>Ford Ranger XL T 3,0 TDI D/C 4x2 PLUS L. Camioneta.-</t>
  </si>
  <si>
    <t>IPE-910</t>
  </si>
  <si>
    <t>8AFER10P6AJ299528</t>
  </si>
  <si>
    <t>Secretaria de Asistencia en Salud Publica</t>
  </si>
  <si>
    <t>Chevrolet S10 2,8 TED 4X2 LS Pick up .-</t>
  </si>
  <si>
    <t>AC-091-RR</t>
  </si>
  <si>
    <t>HRUF171781023</t>
  </si>
  <si>
    <t>9BG148CK0JC414811</t>
  </si>
  <si>
    <t>DIRECCION PROVINCIAL DEL SISTEMA DE ATENCION MEDICA DE EMERGENCIA</t>
  </si>
  <si>
    <t>Fiat Ducato Maxi Carga Multijet JTD Furgon. Ambulancia.-</t>
  </si>
  <si>
    <t>NUB-239</t>
  </si>
  <si>
    <t>NWM-372</t>
  </si>
  <si>
    <t>NYF-582</t>
  </si>
  <si>
    <t>AA-658-GZ</t>
  </si>
  <si>
    <t>Fiat Ducato Maxi Carga Multijet. Ambulancia.-</t>
  </si>
  <si>
    <t>AA-702-NG</t>
  </si>
  <si>
    <t>MPH-712</t>
  </si>
  <si>
    <t>AB-518-CS</t>
  </si>
  <si>
    <t>AB-518-CT</t>
  </si>
  <si>
    <t>Ford Transit 2,2 TDCI. Furgon. Ambulancia.-</t>
  </si>
  <si>
    <t>LYY-038</t>
  </si>
  <si>
    <t>WF0XXPTTFCTC58018</t>
  </si>
  <si>
    <t>Ford Transit 2,2 L 125 T350 TA C/AA. Furgon Larga. Neonatal. Ambuancia.-</t>
  </si>
  <si>
    <t>MNW-260</t>
  </si>
  <si>
    <t>CYRCDTS07184</t>
  </si>
  <si>
    <t xml:space="preserve"> DIRECCION PROVINCIAL BANCO DE SANGRE</t>
  </si>
  <si>
    <t>M. Benz Sprinter 313D Combi 3350 15+.-</t>
  </si>
  <si>
    <t>HLD-939</t>
  </si>
  <si>
    <t>AC9036629E000891</t>
  </si>
  <si>
    <t>DIRECCION PROVINCIAL PRIMER NIVEL DE ATENCION PRIMARIA</t>
  </si>
  <si>
    <t>Ford Ranger Power DC 4x4  3,0 TDI XL.-</t>
  </si>
  <si>
    <t>JRJ-097</t>
  </si>
  <si>
    <t>L1A008849</t>
  </si>
  <si>
    <t>8AFER13P3BJ398174</t>
  </si>
  <si>
    <t>Area Programatica Nº4</t>
  </si>
  <si>
    <t>Renault Kangoo 1,5 FDI PH3 confort.-</t>
  </si>
  <si>
    <t>PIQ-518</t>
  </si>
  <si>
    <t>K9KV714D274629</t>
  </si>
  <si>
    <t>8A1FC1E15GL128692</t>
  </si>
  <si>
    <t>Toyota hylux AK-SW4-4x4 SRX 2,8 TDI. Camioneta.-</t>
  </si>
  <si>
    <t>AD-125-XL</t>
  </si>
  <si>
    <t>1GD-4378200</t>
  </si>
  <si>
    <t>8AJBA3FS8J0250098</t>
  </si>
  <si>
    <t>TOTAL DE PESOS: OCHO MILLONES CIENTO NOVENTA MIL DOSCIENTOS CON 00/100.-</t>
  </si>
  <si>
    <t>INA-464</t>
  </si>
  <si>
    <t>D56285406</t>
  </si>
  <si>
    <t>8FDR12P0AJ285844</t>
  </si>
  <si>
    <t>DIRECCION PROVINCIAL EPIDEMIOLOGIA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</si>
</sst>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[$$-2C0A]\ #,##0.00"/>
    <numFmt numFmtId="167" formatCode="_-[$$-2C0A]\ * #,##0.00_-;\-[$$-2C0A]\ * #,##0.00_-;_-[$$-2C0A]\ * &quot;-&quot;??_-;_-@_-"/>
    <numFmt numFmtId="168" formatCode="_-* #,##0.00&quot; €&quot;_-;\-* #,##0.00&quot; €&quot;_-;_-* \-??&quot; €&quot;_-;_-@_-"/>
    <numFmt numFmtId="169" formatCode="dd\-mm\-yy;@"/>
    <numFmt numFmtId="170" formatCode="_(\$* #,##0.00_);_(\$* \(#,##0.00\);_(\$* \-??_);_(@_)"/>
    <numFmt numFmtId="171" formatCode="[$$-2C0A]\ #,##0.00;[$$-2C0A]&quot; -&quot;#,##0.00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Times New Roman"/>
      <family val="1"/>
    </font>
    <font>
      <sz val="11"/>
      <name val="Calibri"/>
      <family val="2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b/>
      <i/>
      <sz val="14"/>
      <color indexed="8"/>
      <name val="Calibri"/>
      <family val="2"/>
    </font>
    <font>
      <sz val="10"/>
      <color theme="1"/>
      <name val="Arial"/>
      <family val="2"/>
    </font>
    <font>
      <b/>
      <i/>
      <sz val="14"/>
      <color theme="1"/>
      <name val="Calibri"/>
      <family val="2"/>
    </font>
    <font>
      <sz val="11"/>
      <color theme="1"/>
      <name val="Calibri"/>
      <family val="2"/>
    </font>
    <font>
      <b/>
      <i/>
      <sz val="14"/>
      <color rgb="FF800000"/>
      <name val="Calibri"/>
      <family val="2"/>
      <scheme val="minor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b/>
      <i/>
      <sz val="14"/>
      <color rgb="FF000000"/>
      <name val="Calibri"/>
      <family val="2"/>
      <scheme val="minor"/>
    </font>
    <font>
      <sz val="10"/>
      <name val="Arial"/>
      <charset val="1"/>
    </font>
    <font>
      <sz val="11"/>
      <color rgb="FF8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name val="Arial"/>
      <family val="2"/>
    </font>
    <font>
      <b/>
      <i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  <fill>
      <patternFill patternType="solid">
        <fgColor rgb="FFFFFF00"/>
        <bgColor rgb="FF000000"/>
      </patternFill>
    </fill>
  </fills>
  <borders count="10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/>
      <top style="medium">
        <color rgb="FF3D3D3D"/>
      </top>
      <bottom/>
      <diagonal/>
    </border>
    <border>
      <left style="thin">
        <color rgb="FF3D3D3D"/>
      </left>
      <right style="medium">
        <color auto="1"/>
      </right>
      <top style="medium">
        <color rgb="FF3D3D3D"/>
      </top>
      <bottom/>
      <diagonal/>
    </border>
    <border>
      <left style="thin">
        <color rgb="FF3D3D3D"/>
      </left>
      <right style="medium">
        <color auto="1"/>
      </right>
      <top/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indexed="64"/>
      </top>
      <bottom style="thin">
        <color indexed="64"/>
      </bottom>
      <diagonal/>
    </border>
    <border>
      <left style="thin">
        <color rgb="FF3D3D3D"/>
      </left>
      <right style="thin">
        <color rgb="FF3D3D3D"/>
      </right>
      <top style="thin">
        <color indexed="64"/>
      </top>
      <bottom style="thin">
        <color indexed="64"/>
      </bottom>
      <diagonal/>
    </border>
    <border>
      <left style="thin">
        <color rgb="FF3D3D3D"/>
      </left>
      <right/>
      <top style="thin">
        <color indexed="64"/>
      </top>
      <bottom style="thin">
        <color indexed="64"/>
      </bottom>
      <diagonal/>
    </border>
    <border>
      <left style="thin">
        <color rgb="FF3D3D3D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33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0" fillId="0" borderId="0"/>
    <xf numFmtId="168" fontId="8" fillId="0" borderId="0" applyBorder="0" applyProtection="0"/>
    <xf numFmtId="0" fontId="11" fillId="0" borderId="10" applyProtection="0"/>
    <xf numFmtId="0" fontId="12" fillId="4" borderId="0" applyBorder="0" applyProtection="0"/>
    <xf numFmtId="0" fontId="8" fillId="0" borderId="0"/>
    <xf numFmtId="0" fontId="8" fillId="0" borderId="0"/>
    <xf numFmtId="168" fontId="8" fillId="0" borderId="0" applyBorder="0" applyProtection="0"/>
    <xf numFmtId="0" fontId="11" fillId="0" borderId="10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8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3" fillId="0" borderId="0"/>
    <xf numFmtId="0" fontId="14" fillId="0" borderId="0"/>
    <xf numFmtId="170" fontId="25" fillId="0" borderId="0" applyBorder="0" applyProtection="0"/>
  </cellStyleXfs>
  <cellXfs count="515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167" fontId="4" fillId="0" borderId="1" xfId="1" applyNumberFormat="1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3" fontId="7" fillId="0" borderId="2" xfId="2" applyNumberFormat="1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1" fontId="7" fillId="0" borderId="1" xfId="0" applyNumberFormat="1" applyFont="1" applyFill="1" applyBorder="1" applyAlignment="1">
      <alignment horizontal="center" vertical="center"/>
    </xf>
    <xf numFmtId="165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3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165" fontId="7" fillId="0" borderId="2" xfId="0" applyNumberFormat="1" applyFont="1" applyFill="1" applyBorder="1" applyAlignment="1">
      <alignment horizontal="center" vertical="center"/>
    </xf>
    <xf numFmtId="3" fontId="7" fillId="0" borderId="2" xfId="0" applyNumberFormat="1" applyFont="1" applyFill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3" fontId="7" fillId="0" borderId="1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65" fontId="9" fillId="0" borderId="5" xfId="0" applyNumberFormat="1" applyFont="1" applyBorder="1" applyAlignment="1">
      <alignment horizontal="center" vertical="center"/>
    </xf>
    <xf numFmtId="3" fontId="9" fillId="0" borderId="5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9" fillId="2" borderId="5" xfId="0" applyFont="1" applyFill="1" applyBorder="1" applyAlignment="1">
      <alignment horizontal="left" vertical="center" wrapText="1"/>
    </xf>
    <xf numFmtId="167" fontId="7" fillId="0" borderId="2" xfId="0" applyNumberFormat="1" applyFont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/>
    </xf>
    <xf numFmtId="3" fontId="7" fillId="0" borderId="3" xfId="0" applyNumberFormat="1" applyFont="1" applyFill="1" applyBorder="1" applyAlignment="1">
      <alignment horizontal="center" vertical="center"/>
    </xf>
    <xf numFmtId="167" fontId="7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7" fillId="2" borderId="1" xfId="2" applyNumberFormat="1" applyFont="1" applyFill="1" applyBorder="1" applyAlignment="1">
      <alignment horizontal="center" vertical="center" wrapText="1"/>
    </xf>
    <xf numFmtId="0" fontId="7" fillId="0" borderId="1" xfId="0" applyFont="1" applyBorder="1"/>
    <xf numFmtId="0" fontId="0" fillId="0" borderId="0" xfId="0"/>
    <xf numFmtId="167" fontId="7" fillId="2" borderId="3" xfId="2" applyNumberFormat="1" applyFont="1" applyFill="1" applyBorder="1" applyAlignment="1">
      <alignment horizontal="center" vertical="center" wrapText="1"/>
    </xf>
    <xf numFmtId="167" fontId="7" fillId="2" borderId="2" xfId="2" applyNumberFormat="1" applyFont="1" applyFill="1" applyBorder="1" applyAlignment="1">
      <alignment horizontal="center" vertical="center" wrapText="1"/>
    </xf>
    <xf numFmtId="3" fontId="7" fillId="0" borderId="3" xfId="0" applyNumberFormat="1" applyFont="1" applyBorder="1" applyAlignment="1">
      <alignment horizontal="center" vertical="center"/>
    </xf>
    <xf numFmtId="165" fontId="7" fillId="0" borderId="3" xfId="0" applyNumberFormat="1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6" fillId="0" borderId="0" xfId="0" applyNumberFormat="1" applyFont="1" applyAlignment="1">
      <alignment horizontal="center" vertical="center" wrapText="1"/>
    </xf>
    <xf numFmtId="0" fontId="7" fillId="0" borderId="3" xfId="0" applyNumberFormat="1" applyFont="1" applyBorder="1" applyAlignment="1">
      <alignment horizontal="center" vertical="center"/>
    </xf>
    <xf numFmtId="0" fontId="9" fillId="0" borderId="5" xfId="0" applyNumberFormat="1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3" fontId="7" fillId="0" borderId="11" xfId="2" applyNumberFormat="1" applyFont="1" applyBorder="1" applyAlignment="1">
      <alignment horizontal="center" vertical="center" wrapText="1"/>
    </xf>
    <xf numFmtId="0" fontId="7" fillId="0" borderId="2" xfId="0" applyNumberFormat="1" applyFont="1" applyBorder="1" applyAlignment="1">
      <alignment horizontal="center" vertical="center"/>
    </xf>
    <xf numFmtId="3" fontId="7" fillId="0" borderId="9" xfId="2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65" fontId="7" fillId="0" borderId="6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67" fontId="9" fillId="0" borderId="5" xfId="0" applyNumberFormat="1" applyFont="1" applyBorder="1" applyAlignment="1">
      <alignment horizontal="center" vertical="center"/>
    </xf>
    <xf numFmtId="0" fontId="7" fillId="0" borderId="7" xfId="0" applyFont="1" applyFill="1" applyBorder="1"/>
    <xf numFmtId="167" fontId="7" fillId="0" borderId="3" xfId="2" applyNumberFormat="1" applyFont="1" applyFill="1" applyBorder="1" applyAlignment="1">
      <alignment horizontal="center" vertical="center" wrapText="1"/>
    </xf>
    <xf numFmtId="167" fontId="7" fillId="0" borderId="1" xfId="0" applyNumberFormat="1" applyFont="1" applyFill="1" applyBorder="1" applyAlignment="1">
      <alignment horizontal="center" vertical="center"/>
    </xf>
    <xf numFmtId="165" fontId="7" fillId="0" borderId="3" xfId="0" applyNumberFormat="1" applyFont="1" applyFill="1" applyBorder="1" applyAlignment="1">
      <alignment horizontal="center" vertical="center"/>
    </xf>
    <xf numFmtId="0" fontId="7" fillId="0" borderId="0" xfId="0" applyFont="1" applyFill="1"/>
    <xf numFmtId="0" fontId="7" fillId="0" borderId="0" xfId="0" applyFont="1"/>
    <xf numFmtId="0" fontId="9" fillId="0" borderId="7" xfId="0" applyFont="1" applyBorder="1"/>
    <xf numFmtId="0" fontId="9" fillId="0" borderId="0" xfId="0" applyFont="1"/>
    <xf numFmtId="167" fontId="7" fillId="0" borderId="2" xfId="0" applyNumberFormat="1" applyFont="1" applyFill="1" applyBorder="1" applyAlignment="1">
      <alignment horizontal="center" vertical="center"/>
    </xf>
    <xf numFmtId="167" fontId="6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167" fontId="9" fillId="2" borderId="8" xfId="2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/>
    </xf>
    <xf numFmtId="167" fontId="9" fillId="0" borderId="5" xfId="0" applyNumberFormat="1" applyFont="1" applyFill="1" applyBorder="1" applyAlignment="1">
      <alignment horizontal="center" vertical="center"/>
    </xf>
    <xf numFmtId="0" fontId="16" fillId="0" borderId="16" xfId="0" applyFont="1" applyBorder="1" applyAlignment="1">
      <alignment vertical="center"/>
    </xf>
    <xf numFmtId="0" fontId="16" fillId="0" borderId="17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16" fillId="0" borderId="18" xfId="0" applyFont="1" applyBorder="1" applyAlignment="1">
      <alignment vertical="center"/>
    </xf>
    <xf numFmtId="0" fontId="18" fillId="0" borderId="24" xfId="0" applyFont="1" applyBorder="1" applyAlignment="1">
      <alignment horizontal="left" vertical="center"/>
    </xf>
    <xf numFmtId="0" fontId="18" fillId="0" borderId="0" xfId="0" applyFont="1" applyBorder="1" applyAlignment="1">
      <alignment horizontal="left" vertical="center"/>
    </xf>
    <xf numFmtId="0" fontId="17" fillId="0" borderId="0" xfId="0" applyFont="1" applyBorder="1" applyAlignment="1">
      <alignment horizontal="left" vertical="center" wrapText="1" indent="1"/>
    </xf>
    <xf numFmtId="0" fontId="17" fillId="0" borderId="18" xfId="0" applyFont="1" applyBorder="1" applyAlignment="1">
      <alignment horizontal="left" vertical="center" wrapText="1" indent="1"/>
    </xf>
    <xf numFmtId="3" fontId="23" fillId="0" borderId="35" xfId="0" applyNumberFormat="1" applyFont="1" applyBorder="1" applyAlignment="1"/>
    <xf numFmtId="169" fontId="0" fillId="0" borderId="35" xfId="0" applyNumberFormat="1" applyBorder="1" applyAlignment="1">
      <alignment horizontal="left"/>
    </xf>
    <xf numFmtId="0" fontId="0" fillId="0" borderId="35" xfId="0" applyBorder="1"/>
    <xf numFmtId="0" fontId="0" fillId="0" borderId="24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9" fontId="0" fillId="0" borderId="0" xfId="0" applyNumberFormat="1" applyBorder="1" applyAlignment="1">
      <alignment horizontal="left"/>
    </xf>
    <xf numFmtId="0" fontId="0" fillId="0" borderId="18" xfId="0" applyBorder="1"/>
    <xf numFmtId="0" fontId="0" fillId="0" borderId="16" xfId="0" applyBorder="1"/>
    <xf numFmtId="0" fontId="0" fillId="0" borderId="17" xfId="0" applyBorder="1"/>
    <xf numFmtId="0" fontId="0" fillId="0" borderId="17" xfId="0" applyBorder="1" applyAlignment="1">
      <alignment horizontal="left"/>
    </xf>
    <xf numFmtId="0" fontId="0" fillId="0" borderId="41" xfId="0" applyBorder="1"/>
    <xf numFmtId="0" fontId="28" fillId="0" borderId="44" xfId="0" applyFont="1" applyBorder="1" applyAlignment="1">
      <alignment horizontal="center" vertical="center"/>
    </xf>
    <xf numFmtId="0" fontId="28" fillId="0" borderId="45" xfId="0" applyFont="1" applyBorder="1" applyAlignment="1">
      <alignment horizontal="center" vertical="center"/>
    </xf>
    <xf numFmtId="0" fontId="28" fillId="0" borderId="45" xfId="0" applyFont="1" applyBorder="1" applyAlignment="1">
      <alignment horizontal="left" vertical="center"/>
    </xf>
    <xf numFmtId="0" fontId="28" fillId="0" borderId="46" xfId="0" applyFont="1" applyBorder="1" applyAlignment="1">
      <alignment horizontal="center" vertical="center"/>
    </xf>
    <xf numFmtId="0" fontId="28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171" fontId="0" fillId="0" borderId="52" xfId="32" applyNumberFormat="1" applyFont="1" applyBorder="1" applyAlignment="1" applyProtection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26" fillId="0" borderId="50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71" fontId="0" fillId="0" borderId="56" xfId="32" applyNumberFormat="1" applyFont="1" applyBorder="1" applyAlignment="1" applyProtection="1">
      <alignment horizontal="center" vertical="center"/>
    </xf>
    <xf numFmtId="171" fontId="28" fillId="0" borderId="58" xfId="0" applyNumberFormat="1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17" fontId="17" fillId="0" borderId="15" xfId="0" applyNumberFormat="1" applyFont="1" applyBorder="1" applyAlignment="1">
      <alignment horizontal="center" vertical="center"/>
    </xf>
    <xf numFmtId="0" fontId="31" fillId="0" borderId="13" xfId="0" applyFont="1" applyBorder="1" applyAlignment="1">
      <alignment horizontal="center" wrapText="1"/>
    </xf>
    <xf numFmtId="0" fontId="31" fillId="0" borderId="24" xfId="0" applyFont="1" applyBorder="1" applyAlignment="1">
      <alignment horizontal="center" wrapText="1"/>
    </xf>
    <xf numFmtId="0" fontId="3" fillId="0" borderId="0" xfId="0" applyFont="1" applyBorder="1" applyAlignment="1">
      <alignment horizontal="center" vertical="center"/>
    </xf>
    <xf numFmtId="0" fontId="0" fillId="0" borderId="18" xfId="0" applyBorder="1" applyAlignment="1">
      <alignment horizontal="left" vertical="center" wrapText="1"/>
    </xf>
    <xf numFmtId="0" fontId="3" fillId="0" borderId="0" xfId="0" applyFont="1" applyBorder="1" applyAlignment="1">
      <alignment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left" vertical="center" wrapText="1"/>
    </xf>
    <xf numFmtId="0" fontId="16" fillId="0" borderId="17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0" fillId="0" borderId="66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3" fontId="21" fillId="0" borderId="67" xfId="0" applyNumberFormat="1" applyFont="1" applyBorder="1" applyAlignment="1">
      <alignment horizontal="center" vertical="center"/>
    </xf>
    <xf numFmtId="44" fontId="16" fillId="0" borderId="14" xfId="1" applyFont="1" applyBorder="1" applyAlignment="1">
      <alignment horizontal="right" vertical="center"/>
    </xf>
    <xf numFmtId="44" fontId="16" fillId="0" borderId="0" xfId="1" applyFont="1" applyBorder="1" applyAlignment="1">
      <alignment vertical="center"/>
    </xf>
    <xf numFmtId="44" fontId="17" fillId="0" borderId="0" xfId="1" applyFont="1" applyBorder="1" applyAlignment="1">
      <alignment horizontal="left" vertical="center" wrapText="1" indent="1"/>
    </xf>
    <xf numFmtId="44" fontId="21" fillId="0" borderId="3" xfId="1" applyFont="1" applyBorder="1" applyAlignment="1">
      <alignment horizontal="center" vertical="center" wrapText="1"/>
    </xf>
    <xf numFmtId="44" fontId="0" fillId="0" borderId="0" xfId="1" applyFont="1"/>
    <xf numFmtId="0" fontId="30" fillId="0" borderId="0" xfId="0" applyFont="1"/>
    <xf numFmtId="0" fontId="0" fillId="0" borderId="0" xfId="0" applyFont="1"/>
    <xf numFmtId="0" fontId="32" fillId="0" borderId="30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 wrapText="1"/>
    </xf>
    <xf numFmtId="44" fontId="32" fillId="0" borderId="1" xfId="1" applyFont="1" applyBorder="1" applyAlignment="1">
      <alignment horizontal="center" vertical="center" wrapText="1"/>
    </xf>
    <xf numFmtId="3" fontId="32" fillId="0" borderId="31" xfId="0" applyNumberFormat="1" applyFont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 wrapText="1"/>
    </xf>
    <xf numFmtId="44" fontId="32" fillId="0" borderId="12" xfId="1" applyFont="1" applyBorder="1" applyAlignment="1">
      <alignment horizontal="center" vertical="center" wrapText="1"/>
    </xf>
    <xf numFmtId="3" fontId="32" fillId="0" borderId="29" xfId="0" applyNumberFormat="1" applyFont="1" applyBorder="1" applyAlignment="1">
      <alignment horizontal="center" vertical="center"/>
    </xf>
    <xf numFmtId="0" fontId="2" fillId="0" borderId="0" xfId="0" applyFont="1"/>
    <xf numFmtId="0" fontId="29" fillId="0" borderId="0" xfId="0" applyFont="1"/>
    <xf numFmtId="0" fontId="17" fillId="0" borderId="33" xfId="0" applyFont="1" applyBorder="1" applyAlignment="1">
      <alignment vertical="center"/>
    </xf>
    <xf numFmtId="0" fontId="17" fillId="0" borderId="68" xfId="0" applyFont="1" applyBorder="1" applyAlignment="1">
      <alignment vertical="center"/>
    </xf>
    <xf numFmtId="0" fontId="17" fillId="0" borderId="34" xfId="0" applyFont="1" applyBorder="1" applyAlignment="1">
      <alignment vertical="center"/>
    </xf>
    <xf numFmtId="0" fontId="17" fillId="0" borderId="69" xfId="0" applyFont="1" applyBorder="1" applyAlignment="1">
      <alignment vertical="center"/>
    </xf>
    <xf numFmtId="0" fontId="32" fillId="0" borderId="66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 wrapText="1"/>
    </xf>
    <xf numFmtId="44" fontId="32" fillId="0" borderId="3" xfId="1" applyFont="1" applyBorder="1" applyAlignment="1">
      <alignment horizontal="center" vertical="center" wrapText="1"/>
    </xf>
    <xf numFmtId="3" fontId="32" fillId="0" borderId="67" xfId="0" applyNumberFormat="1" applyFont="1" applyBorder="1" applyAlignment="1">
      <alignment horizontal="center" vertical="center"/>
    </xf>
    <xf numFmtId="0" fontId="32" fillId="0" borderId="70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 wrapText="1"/>
    </xf>
    <xf numFmtId="44" fontId="32" fillId="0" borderId="2" xfId="1" applyFont="1" applyBorder="1" applyAlignment="1">
      <alignment horizontal="center" vertical="center" wrapText="1"/>
    </xf>
    <xf numFmtId="3" fontId="32" fillId="0" borderId="74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33" fillId="0" borderId="0" xfId="0" applyFont="1" applyAlignment="1">
      <alignment horizontal="center" vertical="center"/>
    </xf>
    <xf numFmtId="167" fontId="33" fillId="0" borderId="0" xfId="0" applyNumberFormat="1" applyFont="1" applyAlignment="1">
      <alignment horizontal="center" vertical="center"/>
    </xf>
    <xf numFmtId="0" fontId="35" fillId="0" borderId="0" xfId="0" applyFont="1"/>
    <xf numFmtId="0" fontId="0" fillId="0" borderId="51" xfId="0" applyFont="1" applyBorder="1" applyAlignment="1">
      <alignment horizontal="center" vertical="center"/>
    </xf>
    <xf numFmtId="0" fontId="0" fillId="0" borderId="75" xfId="0" applyFont="1" applyBorder="1" applyAlignment="1">
      <alignment horizontal="center" vertical="center"/>
    </xf>
    <xf numFmtId="0" fontId="0" fillId="0" borderId="76" xfId="0" applyFont="1" applyBorder="1" applyAlignment="1">
      <alignment horizontal="center" vertical="center"/>
    </xf>
    <xf numFmtId="0" fontId="0" fillId="0" borderId="77" xfId="0" applyFont="1" applyBorder="1" applyAlignment="1">
      <alignment horizontal="center" vertical="center"/>
    </xf>
    <xf numFmtId="171" fontId="0" fillId="0" borderId="78" xfId="32" applyNumberFormat="1" applyFont="1" applyBorder="1" applyAlignment="1" applyProtection="1">
      <alignment horizontal="center" vertical="center"/>
    </xf>
    <xf numFmtId="171" fontId="0" fillId="0" borderId="79" xfId="32" applyNumberFormat="1" applyFont="1" applyBorder="1" applyAlignment="1" applyProtection="1">
      <alignment horizontal="center" vertical="center"/>
    </xf>
    <xf numFmtId="0" fontId="0" fillId="0" borderId="80" xfId="0" applyFont="1" applyBorder="1" applyAlignment="1">
      <alignment horizontal="center" vertical="center"/>
    </xf>
    <xf numFmtId="0" fontId="0" fillId="0" borderId="81" xfId="0" applyFont="1" applyBorder="1" applyAlignment="1">
      <alignment horizontal="center" vertical="center"/>
    </xf>
    <xf numFmtId="0" fontId="0" fillId="0" borderId="82" xfId="0" applyFont="1" applyBorder="1" applyAlignment="1">
      <alignment horizontal="center" vertical="center"/>
    </xf>
    <xf numFmtId="171" fontId="0" fillId="0" borderId="83" xfId="32" applyNumberFormat="1" applyFont="1" applyBorder="1" applyAlignment="1" applyProtection="1">
      <alignment horizontal="center" vertical="center"/>
    </xf>
    <xf numFmtId="3" fontId="7" fillId="0" borderId="6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167" fontId="7" fillId="0" borderId="1" xfId="2" applyNumberFormat="1" applyFont="1" applyFill="1" applyBorder="1" applyAlignment="1">
      <alignment horizontal="center" vertical="center" wrapText="1"/>
    </xf>
    <xf numFmtId="167" fontId="7" fillId="0" borderId="2" xfId="0" applyNumberFormat="1" applyFont="1" applyFill="1" applyBorder="1" applyAlignment="1">
      <alignment horizontal="right" vertical="center" wrapText="1"/>
    </xf>
    <xf numFmtId="167" fontId="7" fillId="0" borderId="1" xfId="0" applyNumberFormat="1" applyFont="1" applyFill="1" applyBorder="1" applyAlignment="1">
      <alignment horizontal="right" vertical="center" wrapText="1"/>
    </xf>
    <xf numFmtId="167" fontId="7" fillId="0" borderId="3" xfId="0" applyNumberFormat="1" applyFont="1" applyFill="1" applyBorder="1" applyAlignment="1">
      <alignment horizontal="right" vertical="center" wrapText="1"/>
    </xf>
    <xf numFmtId="167" fontId="7" fillId="0" borderId="6" xfId="0" applyNumberFormat="1" applyFont="1" applyFill="1" applyBorder="1" applyAlignment="1">
      <alignment horizontal="right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/>
    </xf>
    <xf numFmtId="1" fontId="7" fillId="0" borderId="6" xfId="0" applyNumberFormat="1" applyFont="1" applyBorder="1" applyAlignment="1">
      <alignment horizontal="center" vertical="center"/>
    </xf>
    <xf numFmtId="3" fontId="7" fillId="0" borderId="6" xfId="0" applyNumberFormat="1" applyFont="1" applyBorder="1" applyAlignment="1">
      <alignment horizontal="center" vertical="center"/>
    </xf>
    <xf numFmtId="167" fontId="7" fillId="0" borderId="6" xfId="0" applyNumberFormat="1" applyFont="1" applyBorder="1" applyAlignment="1">
      <alignment horizontal="center" vertical="center"/>
    </xf>
    <xf numFmtId="0" fontId="7" fillId="0" borderId="6" xfId="0" applyNumberFormat="1" applyFont="1" applyBorder="1" applyAlignment="1">
      <alignment horizontal="center" vertical="center"/>
    </xf>
    <xf numFmtId="0" fontId="7" fillId="0" borderId="1" xfId="0" applyFont="1" applyFill="1" applyBorder="1"/>
    <xf numFmtId="0" fontId="7" fillId="0" borderId="7" xfId="0" applyFont="1" applyBorder="1"/>
    <xf numFmtId="0" fontId="36" fillId="0" borderId="0" xfId="0" applyFont="1" applyFill="1" applyBorder="1" applyAlignment="1"/>
    <xf numFmtId="0" fontId="37" fillId="0" borderId="0" xfId="0" applyFont="1" applyFill="1"/>
    <xf numFmtId="0" fontId="37" fillId="0" borderId="0" xfId="0" applyFont="1" applyFill="1" applyBorder="1" applyAlignment="1">
      <alignment horizontal="center" vertical="center"/>
    </xf>
    <xf numFmtId="0" fontId="36" fillId="0" borderId="34" xfId="0" applyFont="1" applyBorder="1" applyAlignment="1">
      <alignment horizontal="center" vertical="center" wrapText="1"/>
    </xf>
    <xf numFmtId="0" fontId="36" fillId="0" borderId="20" xfId="0" applyFont="1" applyBorder="1" applyAlignment="1">
      <alignment horizontal="center" vertical="center" wrapText="1"/>
    </xf>
    <xf numFmtId="0" fontId="25" fillId="0" borderId="0" xfId="5" applyFont="1" applyBorder="1" applyAlignment="1">
      <alignment vertical="center"/>
    </xf>
    <xf numFmtId="0" fontId="0" fillId="0" borderId="97" xfId="0" applyFill="1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36" fillId="0" borderId="20" xfId="0" applyFont="1" applyFill="1" applyBorder="1" applyAlignment="1">
      <alignment horizontal="center" vertical="center" wrapText="1"/>
    </xf>
    <xf numFmtId="0" fontId="0" fillId="0" borderId="68" xfId="0" applyBorder="1" applyAlignment="1">
      <alignment horizontal="left"/>
    </xf>
    <xf numFmtId="0" fontId="0" fillId="0" borderId="68" xfId="0" applyBorder="1" applyAlignment="1">
      <alignment horizontal="center"/>
    </xf>
    <xf numFmtId="1" fontId="0" fillId="0" borderId="34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" fontId="0" fillId="0" borderId="68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36" fillId="0" borderId="68" xfId="0" applyFont="1" applyBorder="1" applyAlignment="1">
      <alignment horizontal="center" vertical="center" wrapText="1"/>
    </xf>
    <xf numFmtId="49" fontId="0" fillId="0" borderId="91" xfId="0" applyNumberForma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59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 wrapText="1"/>
    </xf>
    <xf numFmtId="0" fontId="34" fillId="0" borderId="0" xfId="0" applyFont="1" applyBorder="1" applyAlignment="1">
      <alignment horizontal="center" vertical="center"/>
    </xf>
    <xf numFmtId="0" fontId="0" fillId="0" borderId="33" xfId="0" applyBorder="1" applyAlignment="1">
      <alignment horizontal="left" vertical="center"/>
    </xf>
    <xf numFmtId="0" fontId="0" fillId="0" borderId="68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3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49" fontId="0" fillId="0" borderId="33" xfId="0" applyNumberFormat="1" applyFill="1" applyBorder="1" applyAlignment="1">
      <alignment horizontal="center" vertical="center"/>
    </xf>
    <xf numFmtId="49" fontId="0" fillId="0" borderId="34" xfId="0" applyNumberForma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38" fillId="0" borderId="33" xfId="0" applyFont="1" applyFill="1" applyBorder="1" applyAlignment="1">
      <alignment horizontal="center"/>
    </xf>
    <xf numFmtId="0" fontId="38" fillId="0" borderId="68" xfId="0" applyFont="1" applyFill="1" applyBorder="1" applyAlignment="1">
      <alignment horizontal="center"/>
    </xf>
    <xf numFmtId="0" fontId="38" fillId="0" borderId="34" xfId="0" applyFont="1" applyFill="1" applyBorder="1" applyAlignment="1">
      <alignment horizontal="center"/>
    </xf>
    <xf numFmtId="0" fontId="36" fillId="0" borderId="33" xfId="0" applyFont="1" applyBorder="1" applyAlignment="1">
      <alignment horizontal="center" vertical="center" wrapText="1"/>
    </xf>
    <xf numFmtId="0" fontId="36" fillId="0" borderId="68" xfId="0" applyFont="1" applyBorder="1" applyAlignment="1">
      <alignment horizontal="center" vertical="center" wrapText="1"/>
    </xf>
    <xf numFmtId="0" fontId="36" fillId="0" borderId="34" xfId="0" applyFont="1" applyBorder="1" applyAlignment="1">
      <alignment horizontal="center" vertical="center" wrapText="1"/>
    </xf>
    <xf numFmtId="0" fontId="38" fillId="0" borderId="61" xfId="0" applyFont="1" applyFill="1" applyBorder="1" applyAlignment="1">
      <alignment horizontal="center"/>
    </xf>
    <xf numFmtId="0" fontId="38" fillId="0" borderId="62" xfId="0" applyFont="1" applyFill="1" applyBorder="1" applyAlignment="1">
      <alignment horizontal="center"/>
    </xf>
    <xf numFmtId="0" fontId="36" fillId="0" borderId="4" xfId="0" applyFont="1" applyBorder="1" applyAlignment="1">
      <alignment horizontal="center" vertical="center" wrapText="1"/>
    </xf>
    <xf numFmtId="0" fontId="36" fillId="0" borderId="5" xfId="0" applyFont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0" fillId="0" borderId="28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1" fontId="0" fillId="0" borderId="28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0" fontId="0" fillId="0" borderId="30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31" xfId="0" applyBorder="1" applyAlignment="1">
      <alignment horizontal="left" wrapText="1"/>
    </xf>
    <xf numFmtId="0" fontId="0" fillId="0" borderId="7" xfId="0" applyFill="1" applyBorder="1" applyAlignment="1">
      <alignment horizontal="center" vertical="center"/>
    </xf>
    <xf numFmtId="0" fontId="0" fillId="0" borderId="64" xfId="0" applyFill="1" applyBorder="1" applyAlignment="1">
      <alignment horizontal="center" vertical="center"/>
    </xf>
    <xf numFmtId="0" fontId="22" fillId="0" borderId="20" xfId="0" applyFont="1" applyBorder="1" applyAlignment="1">
      <alignment horizontal="left" vertical="center" wrapText="1" indent="1"/>
    </xf>
    <xf numFmtId="166" fontId="18" fillId="0" borderId="20" xfId="0" applyNumberFormat="1" applyFont="1" applyBorder="1" applyAlignment="1">
      <alignment horizontal="center" vertical="center"/>
    </xf>
    <xf numFmtId="0" fontId="32" fillId="0" borderId="64" xfId="0" applyFont="1" applyBorder="1" applyAlignment="1">
      <alignment horizontal="left" vertical="center" wrapText="1"/>
    </xf>
    <xf numFmtId="0" fontId="32" fillId="0" borderId="65" xfId="0" applyFont="1" applyBorder="1" applyAlignment="1">
      <alignment horizontal="left" vertical="center" wrapText="1"/>
    </xf>
    <xf numFmtId="0" fontId="32" fillId="0" borderId="7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 wrapText="1"/>
    </xf>
    <xf numFmtId="0" fontId="19" fillId="0" borderId="63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44" fontId="19" fillId="0" borderId="26" xfId="1" applyFont="1" applyBorder="1" applyAlignment="1">
      <alignment horizontal="center" vertical="center" wrapText="1"/>
    </xf>
    <xf numFmtId="0" fontId="18" fillId="0" borderId="19" xfId="0" applyFont="1" applyBorder="1" applyAlignment="1">
      <alignment horizontal="left" vertical="center" wrapText="1"/>
    </xf>
    <xf numFmtId="0" fontId="17" fillId="0" borderId="20" xfId="0" applyFont="1" applyBorder="1" applyAlignment="1">
      <alignment horizontal="left" vertical="center" wrapText="1" indent="1"/>
    </xf>
    <xf numFmtId="0" fontId="18" fillId="0" borderId="21" xfId="0" applyFont="1" applyBorder="1" applyAlignment="1">
      <alignment horizontal="left" vertical="center" wrapText="1"/>
    </xf>
    <xf numFmtId="0" fontId="18" fillId="0" borderId="22" xfId="0" applyFont="1" applyBorder="1" applyAlignment="1">
      <alignment horizontal="left" vertical="center"/>
    </xf>
    <xf numFmtId="0" fontId="17" fillId="0" borderId="23" xfId="0" applyFont="1" applyBorder="1" applyAlignment="1">
      <alignment horizontal="left" vertical="center" wrapText="1" indent="1"/>
    </xf>
    <xf numFmtId="0" fontId="15" fillId="0" borderId="13" xfId="0" applyFont="1" applyBorder="1" applyAlignment="1">
      <alignment horizontal="center" vertical="center"/>
    </xf>
    <xf numFmtId="0" fontId="32" fillId="0" borderId="71" xfId="0" applyFont="1" applyBorder="1" applyAlignment="1">
      <alignment horizontal="left" vertical="center" wrapText="1"/>
    </xf>
    <xf numFmtId="0" fontId="32" fillId="0" borderId="72" xfId="0" applyFont="1" applyBorder="1" applyAlignment="1">
      <alignment horizontal="left" vertical="center" wrapText="1"/>
    </xf>
    <xf numFmtId="0" fontId="32" fillId="0" borderId="73" xfId="0" applyFont="1" applyBorder="1" applyAlignment="1">
      <alignment horizontal="left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/>
    </xf>
    <xf numFmtId="44" fontId="19" fillId="0" borderId="63" xfId="1" applyFont="1" applyBorder="1" applyAlignment="1">
      <alignment horizontal="center" vertical="center" wrapText="1"/>
    </xf>
    <xf numFmtId="166" fontId="17" fillId="0" borderId="20" xfId="0" applyNumberFormat="1" applyFont="1" applyBorder="1" applyAlignment="1">
      <alignment horizontal="center" vertical="center"/>
    </xf>
    <xf numFmtId="0" fontId="32" fillId="0" borderId="12" xfId="0" applyFont="1" applyBorder="1" applyAlignment="1">
      <alignment horizontal="left" vertical="center" wrapText="1"/>
    </xf>
    <xf numFmtId="0" fontId="23" fillId="0" borderId="20" xfId="0" applyFont="1" applyBorder="1" applyAlignment="1">
      <alignment vertical="center" wrapText="1"/>
    </xf>
    <xf numFmtId="0" fontId="26" fillId="0" borderId="43" xfId="0" applyFont="1" applyBorder="1" applyAlignment="1">
      <alignment vertical="center" wrapText="1"/>
    </xf>
    <xf numFmtId="0" fontId="26" fillId="0" borderId="32" xfId="0" applyFont="1" applyBorder="1" applyAlignment="1">
      <alignment horizontal="left" vertical="center" wrapText="1" indent="1"/>
    </xf>
    <xf numFmtId="0" fontId="0" fillId="0" borderId="51" xfId="0" applyFont="1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23" fillId="0" borderId="57" xfId="0" applyFont="1" applyBorder="1" applyAlignment="1">
      <alignment horizontal="left" vertical="center" wrapText="1"/>
    </xf>
    <xf numFmtId="0" fontId="0" fillId="0" borderId="39" xfId="0" applyBorder="1"/>
    <xf numFmtId="0" fontId="0" fillId="0" borderId="51" xfId="0" applyFont="1" applyBorder="1" applyAlignment="1">
      <alignment horizontal="center" vertical="center"/>
    </xf>
    <xf numFmtId="49" fontId="26" fillId="0" borderId="40" xfId="0" applyNumberFormat="1" applyFont="1" applyBorder="1" applyAlignment="1">
      <alignment horizontal="justify" vertical="center" wrapText="1"/>
    </xf>
    <xf numFmtId="0" fontId="28" fillId="0" borderId="39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42" xfId="0" applyFont="1" applyBorder="1" applyAlignment="1">
      <alignment horizontal="center" vertical="center" wrapText="1"/>
    </xf>
    <xf numFmtId="0" fontId="28" fillId="0" borderId="43" xfId="0" applyFont="1" applyBorder="1" applyAlignment="1">
      <alignment horizontal="center" vertical="center"/>
    </xf>
    <xf numFmtId="0" fontId="0" fillId="0" borderId="76" xfId="0" applyFont="1" applyBorder="1" applyAlignment="1">
      <alignment horizontal="left" vertical="center" wrapText="1"/>
    </xf>
    <xf numFmtId="0" fontId="0" fillId="0" borderId="81" xfId="0" applyFont="1" applyBorder="1" applyAlignment="1">
      <alignment horizontal="left" vertical="center" wrapText="1"/>
    </xf>
    <xf numFmtId="0" fontId="0" fillId="0" borderId="49" xfId="0" applyFont="1" applyBorder="1" applyAlignment="1">
      <alignment horizontal="left" vertical="center" wrapText="1"/>
    </xf>
    <xf numFmtId="0" fontId="26" fillId="0" borderId="39" xfId="0" applyFont="1" applyBorder="1" applyAlignment="1">
      <alignment horizontal="left"/>
    </xf>
    <xf numFmtId="0" fontId="0" fillId="0" borderId="33" xfId="0" applyFont="1" applyBorder="1" applyAlignment="1">
      <alignment horizontal="center"/>
    </xf>
    <xf numFmtId="3" fontId="23" fillId="0" borderId="34" xfId="0" applyNumberFormat="1" applyFont="1" applyBorder="1" applyAlignment="1">
      <alignment horizontal="center"/>
    </xf>
    <xf numFmtId="0" fontId="24" fillId="0" borderId="15" xfId="0" applyFont="1" applyBorder="1" applyAlignment="1">
      <alignment horizontal="center" vertical="center" wrapText="1"/>
    </xf>
    <xf numFmtId="0" fontId="25" fillId="0" borderId="36" xfId="0" applyFont="1" applyBorder="1"/>
    <xf numFmtId="0" fontId="26" fillId="0" borderId="37" xfId="0" applyFont="1" applyBorder="1" applyAlignment="1">
      <alignment horizontal="left" indent="1"/>
    </xf>
    <xf numFmtId="0" fontId="21" fillId="0" borderId="36" xfId="0" applyFont="1" applyBorder="1" applyAlignment="1">
      <alignment horizontal="left" vertical="center" wrapText="1"/>
    </xf>
    <xf numFmtId="0" fontId="27" fillId="0" borderId="38" xfId="0" applyFont="1" applyBorder="1" applyAlignment="1">
      <alignment horizontal="left"/>
    </xf>
    <xf numFmtId="0" fontId="25" fillId="0" borderId="36" xfId="0" applyFont="1" applyBorder="1" applyAlignment="1">
      <alignment horizontal="left"/>
    </xf>
    <xf numFmtId="0" fontId="41" fillId="0" borderId="0" xfId="0" applyFont="1"/>
    <xf numFmtId="0" fontId="41" fillId="0" borderId="0" xfId="0" applyFont="1" applyAlignment="1">
      <alignment horizontal="center"/>
    </xf>
    <xf numFmtId="0" fontId="42" fillId="0" borderId="0" xfId="0" applyFont="1" applyAlignment="1">
      <alignment horizontal="center" vertical="center" wrapText="1"/>
    </xf>
    <xf numFmtId="0" fontId="42" fillId="0" borderId="33" xfId="0" applyFont="1" applyBorder="1" applyAlignment="1">
      <alignment horizontal="center" vertical="center" wrapText="1"/>
    </xf>
    <xf numFmtId="0" fontId="42" fillId="0" borderId="20" xfId="0" applyFont="1" applyBorder="1" applyAlignment="1">
      <alignment horizontal="center" vertical="center" wrapText="1"/>
    </xf>
    <xf numFmtId="0" fontId="41" fillId="0" borderId="84" xfId="0" applyFont="1" applyBorder="1" applyAlignment="1">
      <alignment vertical="center"/>
    </xf>
    <xf numFmtId="0" fontId="41" fillId="5" borderId="72" xfId="0" applyFont="1" applyFill="1" applyBorder="1" applyAlignment="1">
      <alignment horizontal="center" vertical="center"/>
    </xf>
    <xf numFmtId="0" fontId="41" fillId="0" borderId="85" xfId="0" applyFont="1" applyBorder="1" applyAlignment="1">
      <alignment horizontal="center" vertical="center"/>
    </xf>
    <xf numFmtId="0" fontId="41" fillId="0" borderId="24" xfId="0" applyFont="1" applyBorder="1" applyAlignment="1">
      <alignment horizontal="center" vertical="center"/>
    </xf>
    <xf numFmtId="0" fontId="41" fillId="0" borderId="84" xfId="0" applyFont="1" applyBorder="1" applyAlignment="1">
      <alignment horizontal="center" vertical="center"/>
    </xf>
    <xf numFmtId="0" fontId="41" fillId="0" borderId="86" xfId="0" applyFont="1" applyBorder="1" applyAlignment="1">
      <alignment horizontal="left" vertical="center" wrapText="1"/>
    </xf>
    <xf numFmtId="0" fontId="41" fillId="5" borderId="87" xfId="0" applyFont="1" applyFill="1" applyBorder="1" applyAlignment="1">
      <alignment horizontal="center" vertical="center"/>
    </xf>
    <xf numFmtId="0" fontId="41" fillId="0" borderId="40" xfId="0" applyFont="1" applyBorder="1" applyAlignment="1">
      <alignment horizontal="center" vertical="center"/>
    </xf>
    <xf numFmtId="0" fontId="41" fillId="0" borderId="84" xfId="0" applyFont="1" applyBorder="1" applyAlignment="1">
      <alignment vertical="center" wrapText="1"/>
    </xf>
    <xf numFmtId="0" fontId="41" fillId="5" borderId="65" xfId="0" applyFont="1" applyFill="1" applyBorder="1" applyAlignment="1">
      <alignment horizontal="center" vertical="center"/>
    </xf>
    <xf numFmtId="0" fontId="41" fillId="0" borderId="89" xfId="0" applyFont="1" applyBorder="1" applyAlignment="1">
      <alignment horizontal="center" vertical="center"/>
    </xf>
    <xf numFmtId="0" fontId="41" fillId="0" borderId="88" xfId="0" applyFont="1" applyBorder="1" applyAlignment="1">
      <alignment horizontal="center" vertical="center"/>
    </xf>
    <xf numFmtId="0" fontId="41" fillId="0" borderId="88" xfId="0" applyFont="1" applyBorder="1" applyAlignment="1">
      <alignment vertical="center" wrapText="1"/>
    </xf>
    <xf numFmtId="0" fontId="41" fillId="0" borderId="40" xfId="0" applyFont="1" applyBorder="1" applyAlignment="1">
      <alignment horizontal="left" vertical="center" wrapText="1"/>
    </xf>
    <xf numFmtId="0" fontId="41" fillId="5" borderId="0" xfId="0" applyFont="1" applyFill="1" applyAlignment="1">
      <alignment horizontal="center" vertical="center"/>
    </xf>
    <xf numFmtId="0" fontId="41" fillId="0" borderId="88" xfId="0" applyFont="1" applyBorder="1" applyAlignment="1">
      <alignment horizontal="left" vertical="center" wrapText="1"/>
    </xf>
    <xf numFmtId="0" fontId="41" fillId="0" borderId="90" xfId="0" applyFont="1" applyBorder="1" applyAlignment="1">
      <alignment vertical="center"/>
    </xf>
    <xf numFmtId="0" fontId="41" fillId="5" borderId="91" xfId="0" applyFont="1" applyFill="1" applyBorder="1" applyAlignment="1">
      <alignment horizontal="center" vertical="center"/>
    </xf>
    <xf numFmtId="0" fontId="41" fillId="0" borderId="92" xfId="0" applyFont="1" applyBorder="1" applyAlignment="1">
      <alignment horizontal="center" vertical="center"/>
    </xf>
    <xf numFmtId="0" fontId="41" fillId="0" borderId="90" xfId="0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center" vertical="center"/>
    </xf>
    <xf numFmtId="0" fontId="41" fillId="0" borderId="13" xfId="0" applyFont="1" applyBorder="1" applyAlignment="1">
      <alignment horizontal="left" wrapText="1"/>
    </xf>
    <xf numFmtId="0" fontId="41" fillId="5" borderId="93" xfId="0" applyFont="1" applyFill="1" applyBorder="1" applyAlignment="1">
      <alignment horizontal="center" vertical="center"/>
    </xf>
    <xf numFmtId="0" fontId="41" fillId="0" borderId="35" xfId="0" applyFont="1" applyBorder="1" applyAlignment="1">
      <alignment horizontal="center" vertical="center"/>
    </xf>
    <xf numFmtId="0" fontId="41" fillId="0" borderId="93" xfId="0" applyFont="1" applyBorder="1" applyAlignment="1">
      <alignment horizontal="center" vertical="center"/>
    </xf>
    <xf numFmtId="0" fontId="41" fillId="0" borderId="88" xfId="0" applyFont="1" applyBorder="1" applyAlignment="1">
      <alignment horizontal="left" wrapText="1"/>
    </xf>
    <xf numFmtId="0" fontId="41" fillId="5" borderId="88" xfId="0" applyFont="1" applyFill="1" applyBorder="1" applyAlignment="1">
      <alignment horizontal="center" vertical="center"/>
    </xf>
    <xf numFmtId="0" fontId="41" fillId="0" borderId="85" xfId="0" applyFont="1" applyBorder="1" applyAlignment="1">
      <alignment horizontal="left" vertical="center" wrapText="1"/>
    </xf>
    <xf numFmtId="0" fontId="41" fillId="5" borderId="84" xfId="0" applyFont="1" applyFill="1" applyBorder="1" applyAlignment="1">
      <alignment horizontal="center" vertical="center"/>
    </xf>
    <xf numFmtId="0" fontId="41" fillId="0" borderId="72" xfId="0" applyFont="1" applyBorder="1" applyAlignment="1">
      <alignment horizontal="center" vertical="center" wrapText="1"/>
    </xf>
    <xf numFmtId="0" fontId="41" fillId="0" borderId="94" xfId="0" applyFont="1" applyBorder="1" applyAlignment="1">
      <alignment horizontal="center" vertical="center" wrapText="1"/>
    </xf>
    <xf numFmtId="0" fontId="41" fillId="0" borderId="89" xfId="0" applyFont="1" applyBorder="1" applyAlignment="1">
      <alignment vertical="center"/>
    </xf>
    <xf numFmtId="0" fontId="41" fillId="0" borderId="65" xfId="0" applyFont="1" applyBorder="1" applyAlignment="1">
      <alignment horizontal="center" vertical="center"/>
    </xf>
    <xf numFmtId="0" fontId="41" fillId="0" borderId="95" xfId="0" applyFont="1" applyBorder="1" applyAlignment="1">
      <alignment horizontal="center" vertical="center"/>
    </xf>
    <xf numFmtId="0" fontId="42" fillId="0" borderId="93" xfId="0" applyFont="1" applyBorder="1" applyAlignment="1">
      <alignment horizontal="center" vertical="center" wrapText="1"/>
    </xf>
    <xf numFmtId="0" fontId="41" fillId="0" borderId="97" xfId="0" applyFont="1" applyBorder="1" applyAlignment="1">
      <alignment vertical="center"/>
    </xf>
    <xf numFmtId="0" fontId="41" fillId="5" borderId="97" xfId="0" applyFont="1" applyFill="1" applyBorder="1" applyAlignment="1">
      <alignment horizontal="center" vertical="center"/>
    </xf>
    <xf numFmtId="0" fontId="41" fillId="0" borderId="97" xfId="0" applyFont="1" applyBorder="1" applyAlignment="1">
      <alignment horizontal="center" vertical="center"/>
    </xf>
    <xf numFmtId="0" fontId="41" fillId="0" borderId="86" xfId="0" applyFont="1" applyBorder="1" applyAlignment="1">
      <alignment vertical="center"/>
    </xf>
    <xf numFmtId="0" fontId="41" fillId="5" borderId="86" xfId="0" applyFont="1" applyFill="1" applyBorder="1" applyAlignment="1">
      <alignment horizontal="center" vertical="center"/>
    </xf>
    <xf numFmtId="0" fontId="41" fillId="0" borderId="86" xfId="0" applyFont="1" applyBorder="1" applyAlignment="1">
      <alignment horizontal="center" vertical="center"/>
    </xf>
    <xf numFmtId="0" fontId="41" fillId="5" borderId="90" xfId="0" applyFont="1" applyFill="1" applyBorder="1" applyAlignment="1">
      <alignment horizontal="center" vertical="center"/>
    </xf>
    <xf numFmtId="0" fontId="41" fillId="0" borderId="93" xfId="0" applyFont="1" applyBorder="1" applyAlignment="1">
      <alignment vertical="center" wrapText="1"/>
    </xf>
    <xf numFmtId="0" fontId="41" fillId="0" borderId="86" xfId="0" applyFont="1" applyBorder="1" applyAlignment="1">
      <alignment vertical="center" wrapText="1"/>
    </xf>
    <xf numFmtId="0" fontId="41" fillId="0" borderId="0" xfId="0" applyFont="1" applyAlignment="1">
      <alignment horizontal="left" vertical="center" wrapText="1"/>
    </xf>
    <xf numFmtId="0" fontId="41" fillId="0" borderId="93" xfId="0" applyFont="1" applyBorder="1" applyAlignment="1">
      <alignment vertical="center"/>
    </xf>
    <xf numFmtId="0" fontId="41" fillId="5" borderId="59" xfId="0" applyFont="1" applyFill="1" applyBorder="1" applyAlignment="1">
      <alignment horizontal="center" vertical="center"/>
    </xf>
    <xf numFmtId="0" fontId="41" fillId="0" borderId="59" xfId="0" applyFont="1" applyBorder="1" applyAlignment="1">
      <alignment horizontal="center" vertical="center"/>
    </xf>
    <xf numFmtId="0" fontId="41" fillId="5" borderId="95" xfId="0" applyFont="1" applyFill="1" applyBorder="1" applyAlignment="1">
      <alignment horizontal="center" vertical="center" wrapText="1"/>
    </xf>
    <xf numFmtId="0" fontId="41" fillId="0" borderId="88" xfId="0" applyFont="1" applyBorder="1" applyAlignment="1">
      <alignment horizontal="center" vertical="center" wrapText="1"/>
    </xf>
    <xf numFmtId="0" fontId="41" fillId="0" borderId="95" xfId="0" applyFont="1" applyBorder="1" applyAlignment="1">
      <alignment horizontal="center" vertical="center" wrapText="1"/>
    </xf>
    <xf numFmtId="0" fontId="41" fillId="0" borderId="88" xfId="0" applyFont="1" applyBorder="1"/>
    <xf numFmtId="0" fontId="41" fillId="5" borderId="95" xfId="0" applyFont="1" applyFill="1" applyBorder="1" applyAlignment="1">
      <alignment horizontal="center"/>
    </xf>
    <xf numFmtId="0" fontId="41" fillId="0" borderId="88" xfId="0" applyFont="1" applyBorder="1" applyAlignment="1">
      <alignment horizontal="center"/>
    </xf>
    <xf numFmtId="0" fontId="41" fillId="0" borderId="95" xfId="0" applyFont="1" applyBorder="1"/>
    <xf numFmtId="0" fontId="41" fillId="0" borderId="40" xfId="0" applyFont="1" applyBorder="1"/>
    <xf numFmtId="0" fontId="41" fillId="5" borderId="18" xfId="0" applyFont="1" applyFill="1" applyBorder="1" applyAlignment="1">
      <alignment horizontal="center"/>
    </xf>
    <xf numFmtId="0" fontId="41" fillId="0" borderId="40" xfId="0" applyFont="1" applyBorder="1" applyAlignment="1">
      <alignment horizontal="center"/>
    </xf>
    <xf numFmtId="0" fontId="41" fillId="0" borderId="18" xfId="0" applyFont="1" applyBorder="1"/>
    <xf numFmtId="0" fontId="41" fillId="5" borderId="95" xfId="0" applyFont="1" applyFill="1" applyBorder="1" applyAlignment="1">
      <alignment horizontal="center" vertical="center"/>
    </xf>
    <xf numFmtId="0" fontId="41" fillId="5" borderId="98" xfId="0" applyFont="1" applyFill="1" applyBorder="1" applyAlignment="1">
      <alignment horizontal="center" vertical="center" wrapText="1"/>
    </xf>
    <xf numFmtId="0" fontId="41" fillId="0" borderId="86" xfId="0" applyFont="1" applyBorder="1" applyAlignment="1">
      <alignment horizontal="center" vertical="center" wrapText="1"/>
    </xf>
    <xf numFmtId="0" fontId="41" fillId="0" borderId="98" xfId="0" applyFont="1" applyBorder="1" applyAlignment="1">
      <alignment horizontal="center" vertical="center" wrapText="1"/>
    </xf>
    <xf numFmtId="0" fontId="41" fillId="0" borderId="72" xfId="0" applyFont="1" applyBorder="1" applyAlignment="1">
      <alignment horizontal="center" vertical="center"/>
    </xf>
    <xf numFmtId="0" fontId="41" fillId="5" borderId="88" xfId="0" applyFont="1" applyFill="1" applyBorder="1" applyAlignment="1">
      <alignment horizontal="center"/>
    </xf>
    <xf numFmtId="0" fontId="41" fillId="0" borderId="65" xfId="0" applyFont="1" applyBorder="1" applyAlignment="1">
      <alignment horizontal="center"/>
    </xf>
    <xf numFmtId="0" fontId="41" fillId="0" borderId="99" xfId="0" applyFont="1" applyBorder="1" applyAlignment="1">
      <alignment vertical="center"/>
    </xf>
    <xf numFmtId="0" fontId="41" fillId="5" borderId="86" xfId="0" applyFont="1" applyFill="1" applyBorder="1" applyAlignment="1">
      <alignment horizontal="center"/>
    </xf>
    <xf numFmtId="0" fontId="41" fillId="0" borderId="87" xfId="0" applyFont="1" applyBorder="1" applyAlignment="1">
      <alignment horizontal="center"/>
    </xf>
    <xf numFmtId="0" fontId="41" fillId="0" borderId="95" xfId="0" applyFont="1" applyBorder="1" applyAlignment="1">
      <alignment horizontal="left" vertical="center" wrapText="1"/>
    </xf>
    <xf numFmtId="0" fontId="41" fillId="5" borderId="88" xfId="0" applyFont="1" applyFill="1" applyBorder="1" applyAlignment="1">
      <alignment horizontal="center" vertical="center" wrapText="1"/>
    </xf>
    <xf numFmtId="0" fontId="41" fillId="0" borderId="65" xfId="0" applyFont="1" applyBorder="1" applyAlignment="1">
      <alignment horizontal="center" vertical="center" wrapText="1"/>
    </xf>
    <xf numFmtId="0" fontId="41" fillId="0" borderId="98" xfId="0" applyFont="1" applyBorder="1" applyAlignment="1">
      <alignment horizontal="left" vertical="center" wrapText="1"/>
    </xf>
    <xf numFmtId="0" fontId="41" fillId="5" borderId="86" xfId="0" applyFont="1" applyFill="1" applyBorder="1" applyAlignment="1">
      <alignment horizontal="center" vertical="center" wrapText="1"/>
    </xf>
    <xf numFmtId="0" fontId="41" fillId="0" borderId="87" xfId="0" applyFont="1" applyBorder="1" applyAlignment="1">
      <alignment horizontal="center" vertical="center" wrapText="1"/>
    </xf>
    <xf numFmtId="0" fontId="41" fillId="0" borderId="97" xfId="0" applyFont="1" applyBorder="1" applyAlignment="1">
      <alignment horizontal="left" vertical="center" wrapText="1"/>
    </xf>
    <xf numFmtId="0" fontId="41" fillId="5" borderId="101" xfId="0" applyFont="1" applyFill="1" applyBorder="1" applyAlignment="1">
      <alignment horizontal="center" vertical="center"/>
    </xf>
    <xf numFmtId="0" fontId="41" fillId="0" borderId="101" xfId="0" applyFont="1" applyBorder="1" applyAlignment="1">
      <alignment horizontal="center" vertical="center"/>
    </xf>
    <xf numFmtId="0" fontId="41" fillId="0" borderId="87" xfId="0" applyFont="1" applyBorder="1" applyAlignment="1">
      <alignment horizontal="center" vertical="center"/>
    </xf>
    <xf numFmtId="0" fontId="41" fillId="0" borderId="86" xfId="0" applyFont="1" applyBorder="1" applyAlignment="1">
      <alignment horizontal="left" wrapText="1"/>
    </xf>
    <xf numFmtId="0" fontId="41" fillId="0" borderId="90" xfId="0" applyFont="1" applyBorder="1" applyAlignment="1">
      <alignment horizontal="left" vertical="center" wrapText="1"/>
    </xf>
    <xf numFmtId="0" fontId="41" fillId="0" borderId="91" xfId="0" applyFont="1" applyBorder="1" applyAlignment="1">
      <alignment horizontal="center" vertical="center"/>
    </xf>
    <xf numFmtId="0" fontId="41" fillId="0" borderId="0" xfId="0" applyFont="1" applyAlignment="1">
      <alignment horizontal="left" wrapText="1"/>
    </xf>
    <xf numFmtId="0" fontId="41" fillId="5" borderId="40" xfId="0" applyFont="1" applyFill="1" applyBorder="1" applyAlignment="1">
      <alignment horizontal="center" vertical="center"/>
    </xf>
    <xf numFmtId="0" fontId="41" fillId="0" borderId="65" xfId="0" applyFont="1" applyBorder="1" applyAlignment="1">
      <alignment horizontal="left" wrapText="1"/>
    </xf>
    <xf numFmtId="0" fontId="41" fillId="0" borderId="87" xfId="0" applyFont="1" applyBorder="1" applyAlignment="1">
      <alignment horizontal="left" wrapText="1"/>
    </xf>
    <xf numFmtId="0" fontId="41" fillId="0" borderId="86" xfId="0" applyFont="1" applyBorder="1" applyAlignment="1">
      <alignment horizontal="center"/>
    </xf>
    <xf numFmtId="0" fontId="41" fillId="0" borderId="93" xfId="0" applyFont="1" applyBorder="1" applyAlignment="1">
      <alignment horizontal="left" vertical="center" wrapText="1"/>
    </xf>
    <xf numFmtId="0" fontId="41" fillId="0" borderId="100" xfId="0" applyFont="1" applyBorder="1" applyAlignment="1">
      <alignment horizontal="center" vertical="center"/>
    </xf>
    <xf numFmtId="0" fontId="41" fillId="0" borderId="102" xfId="0" applyFont="1" applyBorder="1" applyAlignment="1">
      <alignment horizontal="center" vertical="center"/>
    </xf>
    <xf numFmtId="0" fontId="41" fillId="0" borderId="98" xfId="0" applyFont="1" applyBorder="1" applyAlignment="1">
      <alignment horizontal="center" vertical="center"/>
    </xf>
    <xf numFmtId="0" fontId="41" fillId="0" borderId="99" xfId="0" applyFont="1" applyBorder="1" applyAlignment="1">
      <alignment horizontal="center" vertical="center"/>
    </xf>
    <xf numFmtId="0" fontId="41" fillId="0" borderId="96" xfId="0" applyFont="1" applyBorder="1" applyAlignment="1">
      <alignment horizontal="center" vertical="center"/>
    </xf>
    <xf numFmtId="0" fontId="41" fillId="5" borderId="35" xfId="0" applyFont="1" applyFill="1" applyBorder="1" applyAlignment="1">
      <alignment horizontal="center" vertical="center"/>
    </xf>
    <xf numFmtId="0" fontId="41" fillId="5" borderId="65" xfId="0" applyFont="1" applyFill="1" applyBorder="1" applyAlignment="1">
      <alignment horizontal="center" vertical="center" wrapText="1"/>
    </xf>
    <xf numFmtId="0" fontId="41" fillId="0" borderId="86" xfId="0" applyFont="1" applyBorder="1" applyAlignment="1">
      <alignment horizontal="left" vertical="center"/>
    </xf>
    <xf numFmtId="0" fontId="41" fillId="0" borderId="99" xfId="0" applyFont="1" applyBorder="1" applyAlignment="1">
      <alignment horizontal="left" vertical="center"/>
    </xf>
    <xf numFmtId="0" fontId="41" fillId="5" borderId="90" xfId="0" applyFont="1" applyFill="1" applyBorder="1" applyAlignment="1">
      <alignment horizontal="center"/>
    </xf>
    <xf numFmtId="0" fontId="41" fillId="0" borderId="91" xfId="0" applyFont="1" applyBorder="1" applyAlignment="1">
      <alignment horizontal="center"/>
    </xf>
    <xf numFmtId="0" fontId="41" fillId="0" borderId="0" xfId="0" applyFont="1" applyAlignment="1">
      <alignment horizontal="center" vertical="center" wrapText="1"/>
    </xf>
    <xf numFmtId="0" fontId="41" fillId="0" borderId="89" xfId="0" applyFont="1" applyBorder="1" applyAlignment="1">
      <alignment horizontal="left" vertical="center" wrapText="1"/>
    </xf>
    <xf numFmtId="0" fontId="41" fillId="0" borderId="92" xfId="0" applyFont="1" applyBorder="1" applyAlignment="1">
      <alignment horizontal="left" vertical="center" wrapText="1"/>
    </xf>
    <xf numFmtId="0" fontId="41" fillId="5" borderId="32" xfId="0" applyFont="1" applyFill="1" applyBorder="1" applyAlignment="1">
      <alignment horizontal="center" vertical="center"/>
    </xf>
    <xf numFmtId="0" fontId="41" fillId="0" borderId="61" xfId="0" applyFont="1" applyBorder="1" applyAlignment="1">
      <alignment horizontal="center" vertical="center"/>
    </xf>
    <xf numFmtId="0" fontId="41" fillId="0" borderId="32" xfId="0" applyFont="1" applyBorder="1" applyAlignment="1">
      <alignment horizontal="center" vertical="center"/>
    </xf>
    <xf numFmtId="0" fontId="40" fillId="0" borderId="61" xfId="0" applyFont="1" applyBorder="1" applyAlignment="1">
      <alignment horizontal="center" wrapText="1"/>
    </xf>
    <xf numFmtId="0" fontId="41" fillId="0" borderId="68" xfId="0" applyFont="1" applyBorder="1" applyAlignment="1">
      <alignment horizontal="center"/>
    </xf>
    <xf numFmtId="0" fontId="42" fillId="0" borderId="33" xfId="0" applyFont="1" applyBorder="1" applyAlignment="1">
      <alignment horizontal="center" vertical="center" wrapText="1"/>
    </xf>
    <xf numFmtId="0" fontId="42" fillId="0" borderId="68" xfId="0" applyFont="1" applyBorder="1" applyAlignment="1">
      <alignment horizontal="center" vertical="center" wrapText="1"/>
    </xf>
    <xf numFmtId="0" fontId="42" fillId="0" borderId="68" xfId="0" applyFont="1" applyBorder="1" applyAlignment="1">
      <alignment horizontal="center" vertical="center"/>
    </xf>
    <xf numFmtId="0" fontId="42" fillId="0" borderId="33" xfId="0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40" fillId="0" borderId="20" xfId="0" applyFont="1" applyBorder="1" applyAlignment="1">
      <alignment horizontal="center" vertical="center" wrapText="1"/>
    </xf>
    <xf numFmtId="0" fontId="44" fillId="0" borderId="88" xfId="0" applyFont="1" applyBorder="1" applyAlignment="1">
      <alignment horizontal="center" vertical="center"/>
    </xf>
    <xf numFmtId="0" fontId="43" fillId="5" borderId="33" xfId="0" applyFont="1" applyFill="1" applyBorder="1" applyAlignment="1">
      <alignment horizontal="center"/>
    </xf>
    <xf numFmtId="0" fontId="43" fillId="5" borderId="68" xfId="0" applyFont="1" applyFill="1" applyBorder="1" applyAlignment="1">
      <alignment horizontal="center"/>
    </xf>
    <xf numFmtId="0" fontId="40" fillId="0" borderId="33" xfId="0" applyFont="1" applyBorder="1" applyAlignment="1">
      <alignment horizontal="center" vertical="center"/>
    </xf>
    <xf numFmtId="0" fontId="40" fillId="0" borderId="68" xfId="0" applyFont="1" applyBorder="1" applyAlignment="1">
      <alignment horizontal="center" vertical="center"/>
    </xf>
    <xf numFmtId="0" fontId="40" fillId="0" borderId="34" xfId="0" applyFont="1" applyBorder="1" applyAlignment="1">
      <alignment horizontal="center" vertical="center"/>
    </xf>
    <xf numFmtId="0" fontId="40" fillId="0" borderId="33" xfId="0" applyFont="1" applyBorder="1" applyAlignment="1">
      <alignment horizontal="center" vertical="center" wrapText="1"/>
    </xf>
    <xf numFmtId="0" fontId="40" fillId="0" borderId="34" xfId="0" applyFont="1" applyBorder="1" applyAlignment="1">
      <alignment horizontal="center" vertical="center" wrapText="1"/>
    </xf>
    <xf numFmtId="0" fontId="44" fillId="0" borderId="89" xfId="0" applyFont="1" applyBorder="1" applyAlignment="1">
      <alignment horizontal="left" vertical="center"/>
    </xf>
    <xf numFmtId="0" fontId="44" fillId="0" borderId="102" xfId="0" applyFont="1" applyBorder="1" applyAlignment="1">
      <alignment horizontal="left" vertical="center"/>
    </xf>
    <xf numFmtId="0" fontId="44" fillId="0" borderId="101" xfId="0" applyFont="1" applyBorder="1" applyAlignment="1">
      <alignment horizontal="left" vertical="center"/>
    </xf>
    <xf numFmtId="0" fontId="44" fillId="0" borderId="100" xfId="0" applyFont="1" applyBorder="1" applyAlignment="1">
      <alignment horizontal="left" vertical="center"/>
    </xf>
    <xf numFmtId="0" fontId="44" fillId="0" borderId="89" xfId="0" applyFont="1" applyBorder="1" applyAlignment="1">
      <alignment horizontal="center" vertical="center"/>
    </xf>
    <xf numFmtId="0" fontId="44" fillId="0" borderId="102" xfId="0" applyFont="1" applyBorder="1" applyAlignment="1">
      <alignment horizontal="center" vertical="center"/>
    </xf>
    <xf numFmtId="0" fontId="44" fillId="0" borderId="100" xfId="0" applyFont="1" applyBorder="1" applyAlignment="1">
      <alignment horizontal="center" vertical="center"/>
    </xf>
    <xf numFmtId="0" fontId="44" fillId="0" borderId="65" xfId="0" applyFont="1" applyBorder="1" applyAlignment="1">
      <alignment horizontal="left" vertical="center"/>
    </xf>
    <xf numFmtId="0" fontId="44" fillId="0" borderId="95" xfId="0" applyFont="1" applyBorder="1" applyAlignment="1">
      <alignment horizontal="left" vertical="center"/>
    </xf>
    <xf numFmtId="0" fontId="44" fillId="0" borderId="95" xfId="0" applyFont="1" applyBorder="1" applyAlignment="1">
      <alignment horizontal="center" vertical="center"/>
    </xf>
    <xf numFmtId="0" fontId="43" fillId="0" borderId="34" xfId="0" applyFont="1" applyBorder="1" applyAlignment="1">
      <alignment horizontal="center" vertical="center" wrapText="1"/>
    </xf>
    <xf numFmtId="0" fontId="46" fillId="0" borderId="65" xfId="0" applyFont="1" applyBorder="1" applyAlignment="1">
      <alignment horizontal="center" vertical="center" wrapText="1"/>
    </xf>
    <xf numFmtId="0" fontId="46" fillId="0" borderId="65" xfId="0" applyFont="1" applyBorder="1" applyAlignment="1">
      <alignment horizontal="center" vertical="center"/>
    </xf>
    <xf numFmtId="0" fontId="43" fillId="5" borderId="61" xfId="0" applyFont="1" applyFill="1" applyBorder="1" applyAlignment="1">
      <alignment horizontal="center"/>
    </xf>
    <xf numFmtId="0" fontId="40" fillId="0" borderId="68" xfId="0" applyFont="1" applyBorder="1" applyAlignment="1">
      <alignment horizontal="center" vertical="center" wrapText="1"/>
    </xf>
    <xf numFmtId="0" fontId="40" fillId="0" borderId="103" xfId="0" applyFont="1" applyBorder="1" applyAlignment="1">
      <alignment horizontal="center" vertical="center" wrapText="1"/>
    </xf>
    <xf numFmtId="0" fontId="44" fillId="0" borderId="102" xfId="0" applyFont="1" applyBorder="1" applyAlignment="1">
      <alignment horizontal="left" wrapText="1"/>
    </xf>
    <xf numFmtId="0" fontId="44" fillId="0" borderId="101" xfId="0" applyFont="1" applyBorder="1" applyAlignment="1">
      <alignment horizontal="left" wrapText="1"/>
    </xf>
    <xf numFmtId="0" fontId="44" fillId="0" borderId="100" xfId="0" applyFont="1" applyBorder="1" applyAlignment="1">
      <alignment horizontal="left" wrapText="1"/>
    </xf>
    <xf numFmtId="0" fontId="44" fillId="0" borderId="104" xfId="0" applyFont="1" applyBorder="1" applyAlignment="1">
      <alignment horizontal="center" vertical="center"/>
    </xf>
    <xf numFmtId="0" fontId="44" fillId="0" borderId="89" xfId="0" applyFont="1" applyBorder="1" applyAlignment="1">
      <alignment horizontal="left" wrapText="1"/>
    </xf>
    <xf numFmtId="0" fontId="44" fillId="0" borderId="65" xfId="0" applyFont="1" applyBorder="1" applyAlignment="1">
      <alignment horizontal="left" wrapText="1"/>
    </xf>
    <xf numFmtId="0" fontId="44" fillId="0" borderId="95" xfId="0" applyFont="1" applyBorder="1" applyAlignment="1">
      <alignment horizontal="left" wrapText="1"/>
    </xf>
    <xf numFmtId="0" fontId="44" fillId="0" borderId="7" xfId="0" applyFont="1" applyBorder="1" applyAlignment="1">
      <alignment horizontal="center" vertical="center"/>
    </xf>
    <xf numFmtId="0" fontId="45" fillId="0" borderId="89" xfId="0" applyFont="1" applyBorder="1" applyAlignment="1">
      <alignment horizontal="center" vertical="center" wrapText="1"/>
    </xf>
    <xf numFmtId="0" fontId="45" fillId="0" borderId="7" xfId="0" applyFont="1" applyBorder="1" applyAlignment="1">
      <alignment horizontal="center" vertical="center" wrapText="1"/>
    </xf>
    <xf numFmtId="0" fontId="44" fillId="0" borderId="89" xfId="0" applyFont="1" applyBorder="1" applyAlignment="1">
      <alignment horizontal="left" vertical="center" wrapText="1"/>
    </xf>
    <xf numFmtId="0" fontId="44" fillId="0" borderId="65" xfId="0" applyFont="1" applyBorder="1" applyAlignment="1">
      <alignment horizontal="left" vertical="center" wrapText="1"/>
    </xf>
    <xf numFmtId="0" fontId="44" fillId="0" borderId="95" xfId="0" applyFont="1" applyBorder="1" applyAlignment="1">
      <alignment horizontal="left" vertical="center" wrapText="1"/>
    </xf>
    <xf numFmtId="0" fontId="46" fillId="0" borderId="89" xfId="0" applyFont="1" applyBorder="1" applyAlignment="1">
      <alignment horizontal="center" vertical="center" wrapText="1"/>
    </xf>
    <xf numFmtId="0" fontId="46" fillId="0" borderId="7" xfId="0" applyFont="1" applyBorder="1" applyAlignment="1">
      <alignment horizontal="center" vertical="center" wrapText="1"/>
    </xf>
    <xf numFmtId="0" fontId="46" fillId="0" borderId="89" xfId="0" applyFont="1" applyBorder="1" applyAlignment="1">
      <alignment horizontal="left" vertical="center" wrapText="1"/>
    </xf>
    <xf numFmtId="0" fontId="46" fillId="0" borderId="65" xfId="0" applyFont="1" applyBorder="1" applyAlignment="1">
      <alignment horizontal="left" vertical="center" wrapText="1"/>
    </xf>
    <xf numFmtId="0" fontId="46" fillId="0" borderId="95" xfId="0" applyFont="1" applyBorder="1" applyAlignment="1">
      <alignment horizontal="left" vertical="center" wrapText="1"/>
    </xf>
    <xf numFmtId="0" fontId="32" fillId="0" borderId="89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25" fillId="0" borderId="0" xfId="5" applyFont="1" applyFill="1" applyBorder="1" applyAlignment="1">
      <alignment vertical="center"/>
    </xf>
    <xf numFmtId="0" fontId="8" fillId="0" borderId="0" xfId="0" applyFont="1" applyFill="1" applyBorder="1" applyAlignment="1">
      <alignment horizontal="left"/>
    </xf>
    <xf numFmtId="0" fontId="0" fillId="0" borderId="0" xfId="0" applyFill="1"/>
    <xf numFmtId="0" fontId="25" fillId="0" borderId="0" xfId="0" applyFont="1" applyBorder="1" applyAlignment="1">
      <alignment vertical="center"/>
    </xf>
    <xf numFmtId="0" fontId="38" fillId="0" borderId="0" xfId="0" applyFont="1" applyBorder="1" applyAlignment="1">
      <alignment horizontal="center" vertical="center" wrapText="1"/>
    </xf>
    <xf numFmtId="0" fontId="36" fillId="0" borderId="0" xfId="0" applyFont="1" applyBorder="1" applyAlignment="1">
      <alignment horizontal="center" vertical="center" wrapText="1"/>
    </xf>
    <xf numFmtId="0" fontId="37" fillId="0" borderId="0" xfId="0" applyFont="1" applyFill="1" applyBorder="1" applyAlignment="1">
      <alignment horizontal="center" vertical="center"/>
    </xf>
    <xf numFmtId="0" fontId="39" fillId="0" borderId="0" xfId="0" applyFont="1" applyBorder="1" applyAlignment="1">
      <alignment horizontal="center" vertical="center" wrapText="1"/>
    </xf>
    <xf numFmtId="0" fontId="39" fillId="0" borderId="0" xfId="0" applyFont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6" fillId="0" borderId="33" xfId="0" applyFont="1" applyBorder="1" applyAlignment="1">
      <alignment vertical="center" wrapText="1"/>
    </xf>
    <xf numFmtId="0" fontId="38" fillId="0" borderId="0" xfId="0" applyFont="1" applyFill="1" applyBorder="1" applyAlignment="1"/>
    <xf numFmtId="0" fontId="47" fillId="0" borderId="0" xfId="5" applyFont="1" applyBorder="1" applyAlignment="1">
      <alignment vertical="center"/>
    </xf>
    <xf numFmtId="0" fontId="36" fillId="0" borderId="0" xfId="0" applyFont="1" applyBorder="1" applyAlignment="1">
      <alignment vertical="center" wrapText="1"/>
    </xf>
    <xf numFmtId="0" fontId="48" fillId="0" borderId="33" xfId="5" applyFont="1" applyBorder="1" applyAlignment="1">
      <alignment horizontal="center" vertical="center"/>
    </xf>
    <xf numFmtId="0" fontId="48" fillId="0" borderId="68" xfId="5" applyFont="1" applyBorder="1" applyAlignment="1">
      <alignment horizontal="center" vertical="center"/>
    </xf>
    <xf numFmtId="0" fontId="48" fillId="0" borderId="34" xfId="5" applyFont="1" applyBorder="1" applyAlignment="1">
      <alignment horizontal="center" vertical="center"/>
    </xf>
  </cellXfs>
  <cellStyles count="33">
    <cellStyle name="Encabezado 1" xfId="10"/>
    <cellStyle name="Encabezado 1 2" xfId="15"/>
    <cellStyle name="Millares 2" xfId="20"/>
    <cellStyle name="Millares 2 2" xfId="26"/>
    <cellStyle name="Moneda" xfId="1" builtinId="4"/>
    <cellStyle name="Moneda 2" xfId="3"/>
    <cellStyle name="Moneda 2 2" xfId="16"/>
    <cellStyle name="Moneda 3" xfId="14"/>
    <cellStyle name="Moneda 4" xfId="21"/>
    <cellStyle name="Moneda 5" xfId="9"/>
    <cellStyle name="Moneda_AUTORIZACION Y NOTA DE PEDIDO" xfId="32"/>
    <cellStyle name="Neutral 1" xfId="11"/>
    <cellStyle name="Normal" xfId="0" builtinId="0"/>
    <cellStyle name="Normal 2" xfId="2"/>
    <cellStyle name="Normal 2 2" xfId="5"/>
    <cellStyle name="Normal 3" xfId="7"/>
    <cellStyle name="Normal 3 2" xfId="12"/>
    <cellStyle name="Normal 3 2 2" xfId="18"/>
    <cellStyle name="Normal 3 3" xfId="17"/>
    <cellStyle name="Normal 3 4" xfId="22"/>
    <cellStyle name="Normal 3 4 2" xfId="27"/>
    <cellStyle name="Normal 4" xfId="6"/>
    <cellStyle name="Normal 4 2" xfId="19"/>
    <cellStyle name="Normal 4 3" xfId="23"/>
    <cellStyle name="Normal 4 3 2" xfId="28"/>
    <cellStyle name="Normal 5" xfId="4"/>
    <cellStyle name="Normal 5 2" xfId="25"/>
    <cellStyle name="Normal 6" xfId="13"/>
    <cellStyle name="Normal 7" xfId="24"/>
    <cellStyle name="Normal 8" xfId="8"/>
    <cellStyle name="Normal 8 2" xfId="29"/>
    <cellStyle name="Normal 8 3" xfId="30"/>
    <cellStyle name="Normal 8 4" xfId="31"/>
  </cellStyles>
  <dxfs count="23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/>
        <xdr:cNvSpPr/>
      </xdr:nvSpPr>
      <xdr:spPr>
        <a:xfrm>
          <a:off x="71817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/>
        <xdr:cNvSpPr/>
      </xdr:nvSpPr>
      <xdr:spPr>
        <a:xfrm>
          <a:off x="71817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/>
        <xdr:cNvSpPr/>
      </xdr:nvSpPr>
      <xdr:spPr>
        <a:xfrm>
          <a:off x="71817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/>
        <xdr:cNvSpPr/>
      </xdr:nvSpPr>
      <xdr:spPr>
        <a:xfrm>
          <a:off x="71817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/>
        <xdr:cNvSpPr/>
      </xdr:nvSpPr>
      <xdr:spPr>
        <a:xfrm>
          <a:off x="71817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/>
        <xdr:cNvSpPr/>
      </xdr:nvSpPr>
      <xdr:spPr>
        <a:xfrm>
          <a:off x="71817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/>
        <xdr:cNvSpPr/>
      </xdr:nvSpPr>
      <xdr:spPr>
        <a:xfrm>
          <a:off x="71817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/>
        <xdr:cNvSpPr/>
      </xdr:nvSpPr>
      <xdr:spPr>
        <a:xfrm>
          <a:off x="71817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/>
        <xdr:cNvSpPr/>
      </xdr:nvSpPr>
      <xdr:spPr>
        <a:xfrm>
          <a:off x="71817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/>
        <xdr:cNvSpPr/>
      </xdr:nvSpPr>
      <xdr:spPr>
        <a:xfrm>
          <a:off x="71817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/>
        <xdr:cNvSpPr/>
      </xdr:nvSpPr>
      <xdr:spPr>
        <a:xfrm>
          <a:off x="71817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/>
        <xdr:cNvSpPr/>
      </xdr:nvSpPr>
      <xdr:spPr>
        <a:xfrm>
          <a:off x="71817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8"/>
  <sheetViews>
    <sheetView topLeftCell="A8" zoomScaleNormal="100" workbookViewId="0">
      <selection activeCell="A13" sqref="A13"/>
    </sheetView>
  </sheetViews>
  <sheetFormatPr baseColWidth="10" defaultRowHeight="14.4" x14ac:dyDescent="0.3"/>
  <cols>
    <col min="1" max="1" width="4.88671875" style="58" bestFit="1" customWidth="1"/>
    <col min="2" max="2" width="15.109375" style="58" customWidth="1"/>
    <col min="3" max="3" width="22.33203125" style="58" customWidth="1"/>
    <col min="4" max="4" width="12.33203125" style="58" customWidth="1"/>
    <col min="5" max="5" width="81.88671875" style="59" bestFit="1" customWidth="1"/>
    <col min="6" max="6" width="10.5546875" style="58" bestFit="1" customWidth="1"/>
    <col min="7" max="7" width="17.109375" style="58" hidden="1" customWidth="1"/>
    <col min="8" max="8" width="10.88671875" style="58" hidden="1" customWidth="1"/>
    <col min="9" max="9" width="8" style="58" hidden="1" customWidth="1"/>
    <col min="10" max="10" width="14.5546875" style="58" hidden="1" customWidth="1"/>
    <col min="11" max="11" width="9.44140625" style="58" hidden="1" customWidth="1"/>
    <col min="12" max="12" width="14" style="58" hidden="1" customWidth="1"/>
    <col min="13" max="13" width="11.109375" style="58" hidden="1" customWidth="1"/>
    <col min="14" max="14" width="14.109375" style="58" hidden="1" customWidth="1"/>
    <col min="15" max="15" width="8" style="58" hidden="1" customWidth="1"/>
    <col min="16" max="16" width="12.44140625" style="97" hidden="1" customWidth="1"/>
    <col min="17" max="17" width="14.6640625" style="58" hidden="1" customWidth="1"/>
    <col min="18" max="18" width="13.44140625" style="58" hidden="1" customWidth="1"/>
    <col min="19" max="19" width="10.5546875" style="60" hidden="1" customWidth="1"/>
    <col min="20" max="20" width="10.5546875" style="97" hidden="1" customWidth="1"/>
    <col min="21" max="21" width="14.6640625" style="58" hidden="1" customWidth="1"/>
    <col min="22" max="22" width="12.88671875" style="58" hidden="1" customWidth="1"/>
    <col min="23" max="23" width="7.6640625" style="58" hidden="1" customWidth="1"/>
    <col min="24" max="24" width="12.5546875" style="58" hidden="1" customWidth="1"/>
    <col min="25" max="25" width="10.109375" style="58" hidden="1" customWidth="1"/>
    <col min="26" max="26" width="13.5546875" style="97" hidden="1" customWidth="1"/>
    <col min="27" max="28" width="14.44140625" style="58" hidden="1" customWidth="1"/>
    <col min="29" max="29" width="5.6640625" style="58" hidden="1" customWidth="1"/>
    <col min="30" max="30" width="12.33203125" style="97" hidden="1" customWidth="1"/>
    <col min="31" max="31" width="12.6640625" style="58" hidden="1" customWidth="1"/>
    <col min="32" max="32" width="13.5546875" style="58" hidden="1" customWidth="1"/>
    <col min="33" max="33" width="12.109375" style="58" hidden="1" customWidth="1"/>
    <col min="34" max="34" width="13" style="58" hidden="1" customWidth="1"/>
    <col min="35" max="36" width="10.5546875" style="58" hidden="1" customWidth="1"/>
    <col min="37" max="37" width="4.6640625" style="58" hidden="1" customWidth="1"/>
    <col min="38" max="38" width="11.33203125" style="58" hidden="1" customWidth="1"/>
    <col min="39" max="39" width="6.5546875" style="58" hidden="1" customWidth="1"/>
    <col min="40" max="40" width="13.5546875" style="97" hidden="1" customWidth="1"/>
    <col min="41" max="41" width="14.88671875" style="58" hidden="1" customWidth="1"/>
    <col min="42" max="42" width="13.5546875" style="58" hidden="1" customWidth="1"/>
    <col min="43" max="43" width="13.88671875" style="58" hidden="1" customWidth="1"/>
    <col min="44" max="44" width="13.88671875" style="97" hidden="1" customWidth="1"/>
    <col min="45" max="45" width="18.33203125" style="75" hidden="1" customWidth="1"/>
    <col min="46" max="46" width="18.109375" style="81" hidden="1" customWidth="1"/>
    <col min="47" max="47" width="7.33203125" style="75" hidden="1" customWidth="1"/>
    <col min="48" max="48" width="13.88671875" style="84" hidden="1" customWidth="1"/>
    <col min="49" max="49" width="12.109375" style="60" customWidth="1"/>
    <col min="50" max="50" width="13.33203125" style="97" customWidth="1"/>
    <col min="51" max="51" width="16.33203125" style="61" bestFit="1" customWidth="1"/>
    <col min="52" max="52" width="23.6640625" bestFit="1" customWidth="1"/>
  </cols>
  <sheetData>
    <row r="1" spans="1:53" x14ac:dyDescent="0.3">
      <c r="A1" s="1">
        <v>2022</v>
      </c>
      <c r="B1" s="2"/>
      <c r="C1" s="3"/>
      <c r="D1" s="3"/>
      <c r="E1" s="4"/>
      <c r="F1" s="3"/>
      <c r="G1" s="3"/>
      <c r="H1" s="3"/>
      <c r="I1" s="3"/>
      <c r="J1" s="3"/>
      <c r="K1" s="3"/>
      <c r="L1" s="3"/>
      <c r="M1" s="5"/>
      <c r="N1" s="6"/>
      <c r="O1" s="7"/>
      <c r="P1" s="9"/>
      <c r="Q1" s="5"/>
      <c r="R1" s="3"/>
      <c r="S1" s="7"/>
      <c r="T1" s="9"/>
      <c r="U1" s="5"/>
      <c r="V1" s="3"/>
      <c r="W1" s="7"/>
      <c r="X1" s="3"/>
      <c r="Y1" s="7"/>
      <c r="Z1" s="9"/>
      <c r="AA1" s="7"/>
      <c r="AB1" s="3"/>
      <c r="AC1" s="7"/>
      <c r="AD1" s="9"/>
      <c r="AE1" s="7"/>
      <c r="AF1" s="3"/>
      <c r="AG1" s="7"/>
      <c r="AH1" s="3"/>
      <c r="AI1" s="7"/>
      <c r="AJ1" s="3"/>
      <c r="AK1" s="7"/>
      <c r="AL1" s="3"/>
      <c r="AM1" s="7"/>
      <c r="AN1" s="9"/>
      <c r="AO1" s="7"/>
      <c r="AP1" s="3"/>
      <c r="AQ1" s="7"/>
      <c r="AR1" s="9"/>
      <c r="AS1" s="80"/>
      <c r="AT1" s="3"/>
      <c r="AU1" s="80"/>
      <c r="AV1" s="3"/>
      <c r="AW1" s="7"/>
      <c r="AX1" s="8"/>
      <c r="AY1" s="9"/>
    </row>
    <row r="2" spans="1:53" s="199" customFormat="1" ht="18" x14ac:dyDescent="0.35">
      <c r="A2" s="197"/>
      <c r="B2" s="251" t="s">
        <v>0</v>
      </c>
      <c r="C2" s="251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  <c r="AA2" s="251"/>
      <c r="AB2" s="251"/>
      <c r="AC2" s="251"/>
      <c r="AD2" s="251"/>
      <c r="AE2" s="251"/>
      <c r="AF2" s="251"/>
      <c r="AG2" s="251"/>
      <c r="AH2" s="251"/>
      <c r="AI2" s="251"/>
      <c r="AJ2" s="251"/>
      <c r="AK2" s="251"/>
      <c r="AL2" s="251"/>
      <c r="AM2" s="251"/>
      <c r="AN2" s="251"/>
      <c r="AO2" s="251"/>
      <c r="AP2" s="251"/>
      <c r="AQ2" s="251"/>
      <c r="AR2" s="251"/>
      <c r="AS2" s="251"/>
      <c r="AT2" s="251"/>
      <c r="AU2" s="251"/>
      <c r="AV2" s="251"/>
      <c r="AW2" s="251"/>
      <c r="AX2" s="251"/>
      <c r="AY2" s="198"/>
    </row>
    <row r="3" spans="1:53" x14ac:dyDescent="0.3">
      <c r="A3" s="3"/>
      <c r="B3" s="2"/>
      <c r="C3" s="3"/>
      <c r="D3" s="3"/>
      <c r="E3" s="4"/>
      <c r="F3" s="3"/>
      <c r="G3" s="3"/>
      <c r="H3" s="3"/>
      <c r="I3" s="3"/>
      <c r="J3" s="3"/>
      <c r="K3" s="3"/>
      <c r="L3" s="3"/>
      <c r="M3" s="5"/>
      <c r="N3" s="6"/>
      <c r="O3" s="7"/>
      <c r="P3" s="9"/>
      <c r="Q3" s="5"/>
      <c r="R3" s="3"/>
      <c r="S3" s="7"/>
      <c r="T3" s="9"/>
      <c r="U3" s="5"/>
      <c r="V3" s="3"/>
      <c r="W3" s="7"/>
      <c r="X3" s="3"/>
      <c r="Y3" s="7"/>
      <c r="Z3" s="9"/>
      <c r="AA3" s="7"/>
      <c r="AB3" s="3"/>
      <c r="AC3" s="7"/>
      <c r="AD3" s="9"/>
      <c r="AE3" s="7"/>
      <c r="AF3" s="3"/>
      <c r="AG3" s="7"/>
      <c r="AH3" s="3"/>
      <c r="AI3" s="7"/>
      <c r="AJ3" s="3"/>
      <c r="AK3" s="7"/>
      <c r="AL3" s="3"/>
      <c r="AM3" s="7"/>
      <c r="AN3" s="9"/>
      <c r="AO3" s="7"/>
      <c r="AP3" s="3"/>
      <c r="AQ3" s="7"/>
      <c r="AR3" s="9"/>
      <c r="AS3" s="80"/>
      <c r="AT3" s="3"/>
      <c r="AU3" s="80"/>
      <c r="AV3" s="3"/>
      <c r="AW3" s="7"/>
      <c r="AX3" s="8"/>
      <c r="AY3" s="9"/>
    </row>
    <row r="4" spans="1:53" x14ac:dyDescent="0.3">
      <c r="A4" s="250" t="s">
        <v>1</v>
      </c>
      <c r="B4" s="250"/>
      <c r="C4" s="143" t="s">
        <v>2</v>
      </c>
      <c r="D4" s="143"/>
      <c r="E4" s="143"/>
      <c r="F4" s="10"/>
      <c r="G4" s="10"/>
      <c r="H4" s="10"/>
      <c r="I4" s="10"/>
      <c r="J4" s="10"/>
      <c r="K4" s="10"/>
      <c r="L4" s="10"/>
      <c r="M4" s="11"/>
      <c r="N4" s="12"/>
      <c r="O4" s="13"/>
      <c r="P4" s="96"/>
      <c r="Q4" s="11"/>
      <c r="R4" s="10"/>
      <c r="S4" s="13"/>
      <c r="T4" s="96"/>
      <c r="U4" s="11"/>
      <c r="V4" s="10"/>
      <c r="W4" s="13"/>
      <c r="X4" s="10"/>
      <c r="Y4" s="13"/>
      <c r="Z4" s="96"/>
      <c r="AA4" s="13"/>
      <c r="AB4" s="10"/>
      <c r="AC4" s="13"/>
      <c r="AD4" s="96"/>
      <c r="AE4" s="13"/>
      <c r="AF4" s="10"/>
      <c r="AG4" s="13"/>
      <c r="AH4" s="10"/>
      <c r="AI4" s="13"/>
      <c r="AJ4" s="10"/>
      <c r="AK4" s="13"/>
      <c r="AL4" s="10"/>
      <c r="AM4" s="13"/>
      <c r="AN4" s="96"/>
      <c r="AO4" s="13"/>
      <c r="AP4" s="10"/>
      <c r="AQ4" s="13"/>
      <c r="AR4" s="96"/>
      <c r="AS4" s="71"/>
      <c r="AT4" s="10"/>
      <c r="AU4" s="71"/>
      <c r="AV4" s="10"/>
      <c r="AW4" s="13"/>
      <c r="AX4" s="8"/>
      <c r="AY4" s="9"/>
    </row>
    <row r="5" spans="1:53" ht="15" customHeight="1" x14ac:dyDescent="0.3">
      <c r="A5" s="250" t="s">
        <v>3</v>
      </c>
      <c r="B5" s="250"/>
      <c r="C5" s="143" t="s">
        <v>4</v>
      </c>
      <c r="D5" s="143"/>
      <c r="E5" s="143"/>
      <c r="F5" s="10"/>
      <c r="G5" s="10"/>
      <c r="H5" s="10"/>
      <c r="I5" s="10"/>
      <c r="J5" s="10"/>
      <c r="K5" s="10"/>
      <c r="L5" s="10"/>
      <c r="M5" s="11"/>
      <c r="N5" s="12"/>
      <c r="O5" s="13"/>
      <c r="P5" s="96"/>
      <c r="Q5" s="11"/>
      <c r="R5" s="10"/>
      <c r="S5" s="13"/>
      <c r="T5" s="96"/>
      <c r="U5" s="11"/>
      <c r="V5" s="10"/>
      <c r="W5" s="13"/>
      <c r="X5" s="10"/>
      <c r="Y5" s="13"/>
      <c r="Z5" s="96"/>
      <c r="AA5" s="13"/>
      <c r="AB5" s="10"/>
      <c r="AC5" s="13"/>
      <c r="AD5" s="96"/>
      <c r="AE5" s="13"/>
      <c r="AF5" s="10"/>
      <c r="AG5" s="13"/>
      <c r="AH5" s="10"/>
      <c r="AI5" s="13"/>
      <c r="AJ5" s="10"/>
      <c r="AK5" s="13"/>
      <c r="AL5" s="10"/>
      <c r="AM5" s="13"/>
      <c r="AN5" s="96"/>
      <c r="AO5" s="13"/>
      <c r="AP5" s="10"/>
      <c r="AQ5" s="13"/>
      <c r="AR5" s="96"/>
      <c r="AS5" s="71"/>
      <c r="AT5" s="10"/>
      <c r="AU5" s="71"/>
      <c r="AV5" s="10"/>
      <c r="AW5" s="13"/>
      <c r="AX5" s="8"/>
      <c r="AY5" s="9"/>
    </row>
    <row r="6" spans="1:53" x14ac:dyDescent="0.3">
      <c r="A6" s="250" t="s">
        <v>5</v>
      </c>
      <c r="B6" s="250"/>
      <c r="C6" s="144">
        <v>2022</v>
      </c>
      <c r="D6" s="145"/>
      <c r="E6" s="144"/>
      <c r="F6" s="10"/>
      <c r="G6" s="10"/>
      <c r="H6" s="10"/>
      <c r="I6" s="10"/>
      <c r="J6" s="10"/>
      <c r="K6" s="10"/>
      <c r="L6" s="10"/>
      <c r="M6" s="11"/>
      <c r="N6" s="12"/>
      <c r="O6" s="13"/>
      <c r="P6" s="96"/>
      <c r="Q6" s="11"/>
      <c r="R6" s="10"/>
      <c r="S6" s="13"/>
      <c r="T6" s="96"/>
      <c r="U6" s="11"/>
      <c r="V6" s="10"/>
      <c r="W6" s="13"/>
      <c r="X6" s="10"/>
      <c r="Y6" s="13"/>
      <c r="Z6" s="96"/>
      <c r="AA6" s="13"/>
      <c r="AB6" s="10"/>
      <c r="AC6" s="13"/>
      <c r="AD6" s="96"/>
      <c r="AE6" s="13"/>
      <c r="AF6" s="10"/>
      <c r="AG6" s="13"/>
      <c r="AH6" s="10"/>
      <c r="AI6" s="13"/>
      <c r="AJ6" s="10"/>
      <c r="AK6" s="13"/>
      <c r="AL6" s="10"/>
      <c r="AM6" s="13"/>
      <c r="AN6" s="96"/>
      <c r="AO6" s="13"/>
      <c r="AP6" s="10"/>
      <c r="AQ6" s="13"/>
      <c r="AR6" s="96"/>
      <c r="AS6" s="71"/>
      <c r="AT6" s="10"/>
      <c r="AU6" s="71"/>
      <c r="AV6" s="10"/>
      <c r="AW6" s="13"/>
      <c r="AX6" s="8"/>
      <c r="AY6" s="9"/>
    </row>
    <row r="7" spans="1:53" x14ac:dyDescent="0.3">
      <c r="A7" s="250" t="s">
        <v>6</v>
      </c>
      <c r="B7" s="250"/>
      <c r="C7" s="144" t="s">
        <v>71</v>
      </c>
      <c r="D7" s="145"/>
      <c r="E7" s="144"/>
      <c r="F7" s="10"/>
      <c r="G7" s="10"/>
      <c r="H7" s="10"/>
      <c r="I7" s="10"/>
      <c r="J7" s="10"/>
      <c r="K7" s="10"/>
      <c r="L7" s="10"/>
      <c r="M7" s="11"/>
      <c r="N7" s="12"/>
      <c r="O7" s="13"/>
      <c r="P7" s="96"/>
      <c r="Q7" s="11"/>
      <c r="R7" s="10"/>
      <c r="S7" s="13"/>
      <c r="T7" s="96"/>
      <c r="U7" s="11"/>
      <c r="V7" s="10"/>
      <c r="W7" s="13"/>
      <c r="X7" s="10"/>
      <c r="Y7" s="13"/>
      <c r="Z7" s="96"/>
      <c r="AA7" s="13"/>
      <c r="AB7" s="10"/>
      <c r="AC7" s="13"/>
      <c r="AD7" s="96"/>
      <c r="AE7" s="13"/>
      <c r="AF7" s="10"/>
      <c r="AG7" s="13"/>
      <c r="AH7" s="10"/>
      <c r="AI7" s="13"/>
      <c r="AJ7" s="10"/>
      <c r="AK7" s="13"/>
      <c r="AL7" s="10"/>
      <c r="AM7" s="13"/>
      <c r="AN7" s="96"/>
      <c r="AO7" s="13"/>
      <c r="AP7" s="10"/>
      <c r="AQ7" s="13"/>
      <c r="AR7" s="96"/>
      <c r="AS7" s="71"/>
      <c r="AT7" s="10"/>
      <c r="AU7" s="71"/>
      <c r="AV7" s="10"/>
      <c r="AW7" s="13"/>
      <c r="AX7" s="8"/>
      <c r="AY7" s="9"/>
    </row>
    <row r="8" spans="1:53" x14ac:dyDescent="0.3">
      <c r="A8" s="3"/>
      <c r="B8" s="10"/>
      <c r="C8" s="10"/>
      <c r="D8" s="10"/>
      <c r="E8" s="14"/>
      <c r="F8" s="10"/>
      <c r="G8" s="10"/>
      <c r="H8" s="10"/>
      <c r="I8" s="10"/>
      <c r="J8" s="10"/>
      <c r="K8" s="10"/>
      <c r="L8" s="10"/>
      <c r="M8" s="11"/>
      <c r="N8" s="12"/>
      <c r="O8" s="13"/>
      <c r="P8" s="96"/>
      <c r="Q8" s="11"/>
      <c r="R8" s="10"/>
      <c r="S8" s="13"/>
      <c r="T8" s="96"/>
      <c r="U8" s="11"/>
      <c r="V8" s="10"/>
      <c r="W8" s="13"/>
      <c r="X8" s="10"/>
      <c r="Y8" s="13"/>
      <c r="Z8" s="96"/>
      <c r="AA8" s="13"/>
      <c r="AB8" s="10"/>
      <c r="AC8" s="13"/>
      <c r="AD8" s="96"/>
      <c r="AE8" s="13"/>
      <c r="AF8" s="10"/>
      <c r="AG8" s="13"/>
      <c r="AH8" s="10"/>
      <c r="AI8" s="13"/>
      <c r="AJ8" s="10"/>
      <c r="AK8" s="13"/>
      <c r="AL8" s="10"/>
      <c r="AM8" s="13"/>
      <c r="AN8" s="96"/>
      <c r="AO8" s="13"/>
      <c r="AP8" s="10"/>
      <c r="AQ8" s="13"/>
      <c r="AR8" s="96"/>
      <c r="AS8" s="71"/>
      <c r="AT8" s="10"/>
      <c r="AU8" s="71"/>
      <c r="AV8" s="10"/>
      <c r="AW8" s="13"/>
      <c r="AX8" s="8"/>
      <c r="AY8" s="9"/>
    </row>
    <row r="9" spans="1:53" ht="52.8" x14ac:dyDescent="0.3">
      <c r="A9" s="15" t="s">
        <v>7</v>
      </c>
      <c r="B9" s="15" t="s">
        <v>8</v>
      </c>
      <c r="C9" s="16" t="s">
        <v>9</v>
      </c>
      <c r="D9" s="15" t="s">
        <v>10</v>
      </c>
      <c r="E9" s="16" t="s">
        <v>11</v>
      </c>
      <c r="F9" s="16" t="s">
        <v>12</v>
      </c>
      <c r="G9" s="16" t="s">
        <v>13</v>
      </c>
      <c r="H9" s="16" t="s">
        <v>14</v>
      </c>
      <c r="I9" s="82" t="s">
        <v>15</v>
      </c>
      <c r="J9" s="16" t="s">
        <v>16</v>
      </c>
      <c r="K9" s="16" t="s">
        <v>17</v>
      </c>
      <c r="L9" s="16" t="s">
        <v>18</v>
      </c>
      <c r="M9" s="17" t="s">
        <v>19</v>
      </c>
      <c r="N9" s="18" t="s">
        <v>20</v>
      </c>
      <c r="O9" s="19" t="s">
        <v>21</v>
      </c>
      <c r="P9" s="22" t="s">
        <v>22</v>
      </c>
      <c r="Q9" s="17" t="s">
        <v>23</v>
      </c>
      <c r="R9" s="16" t="s">
        <v>24</v>
      </c>
      <c r="S9" s="19" t="s">
        <v>25</v>
      </c>
      <c r="T9" s="22" t="s">
        <v>26</v>
      </c>
      <c r="U9" s="17" t="s">
        <v>27</v>
      </c>
      <c r="V9" s="16" t="s">
        <v>28</v>
      </c>
      <c r="W9" s="19" t="s">
        <v>29</v>
      </c>
      <c r="X9" s="16" t="s">
        <v>78</v>
      </c>
      <c r="Y9" s="19" t="s">
        <v>30</v>
      </c>
      <c r="Z9" s="22" t="s">
        <v>31</v>
      </c>
      <c r="AA9" s="19" t="s">
        <v>32</v>
      </c>
      <c r="AB9" s="16" t="s">
        <v>33</v>
      </c>
      <c r="AC9" s="20" t="s">
        <v>34</v>
      </c>
      <c r="AD9" s="22" t="s">
        <v>35</v>
      </c>
      <c r="AE9" s="19" t="s">
        <v>36</v>
      </c>
      <c r="AF9" s="16" t="s">
        <v>37</v>
      </c>
      <c r="AG9" s="19" t="s">
        <v>38</v>
      </c>
      <c r="AH9" s="16" t="s">
        <v>39</v>
      </c>
      <c r="AI9" s="19" t="s">
        <v>79</v>
      </c>
      <c r="AJ9" s="16" t="s">
        <v>80</v>
      </c>
      <c r="AK9" s="19" t="s">
        <v>40</v>
      </c>
      <c r="AL9" s="16" t="s">
        <v>41</v>
      </c>
      <c r="AM9" s="20" t="s">
        <v>42</v>
      </c>
      <c r="AN9" s="22" t="s">
        <v>43</v>
      </c>
      <c r="AO9" s="20" t="s">
        <v>44</v>
      </c>
      <c r="AP9" s="16" t="s">
        <v>45</v>
      </c>
      <c r="AQ9" s="19" t="s">
        <v>46</v>
      </c>
      <c r="AR9" s="22" t="s">
        <v>47</v>
      </c>
      <c r="AS9" s="79" t="s">
        <v>81</v>
      </c>
      <c r="AT9" s="16" t="s">
        <v>82</v>
      </c>
      <c r="AU9" s="79" t="s">
        <v>148</v>
      </c>
      <c r="AV9" s="16" t="s">
        <v>149</v>
      </c>
      <c r="AW9" s="19" t="s">
        <v>48</v>
      </c>
      <c r="AX9" s="21" t="s">
        <v>49</v>
      </c>
      <c r="AY9" s="22" t="s">
        <v>50</v>
      </c>
      <c r="AZ9" s="23" t="s">
        <v>51</v>
      </c>
      <c r="BA9" s="64"/>
    </row>
    <row r="10" spans="1:53" s="92" customFormat="1" ht="27.6" x14ac:dyDescent="0.3">
      <c r="A10" s="24">
        <v>1</v>
      </c>
      <c r="B10" s="24" t="s">
        <v>54</v>
      </c>
      <c r="C10" s="24" t="s">
        <v>55</v>
      </c>
      <c r="D10" s="24" t="s">
        <v>56</v>
      </c>
      <c r="E10" s="47" t="s">
        <v>57</v>
      </c>
      <c r="F10" s="24" t="s">
        <v>53</v>
      </c>
      <c r="G10" s="46"/>
      <c r="H10" s="46"/>
      <c r="I10" s="46"/>
      <c r="J10" s="46"/>
      <c r="K10" s="46"/>
      <c r="L10" s="26"/>
      <c r="M10" s="25"/>
      <c r="N10" s="68">
        <f>+M10*AX10</f>
        <v>0</v>
      </c>
      <c r="O10" s="27"/>
      <c r="P10" s="54"/>
      <c r="Q10" s="25"/>
      <c r="R10" s="46"/>
      <c r="S10" s="27"/>
      <c r="T10" s="54"/>
      <c r="U10" s="25"/>
      <c r="V10" s="46"/>
      <c r="W10" s="27">
        <v>20</v>
      </c>
      <c r="X10" s="26">
        <f>+W10*AX10</f>
        <v>840000</v>
      </c>
      <c r="Y10" s="27"/>
      <c r="Z10" s="54"/>
      <c r="AA10" s="27"/>
      <c r="AB10" s="46"/>
      <c r="AC10" s="27"/>
      <c r="AD10" s="54"/>
      <c r="AE10" s="37"/>
      <c r="AF10" s="54">
        <f>+AE10*AX10</f>
        <v>0</v>
      </c>
      <c r="AG10" s="42">
        <v>3</v>
      </c>
      <c r="AH10" s="26">
        <f>+AG10*AX10</f>
        <v>126000</v>
      </c>
      <c r="AI10" s="27"/>
      <c r="AJ10" s="46"/>
      <c r="AK10" s="27"/>
      <c r="AL10" s="26">
        <f>+AK10*AX10</f>
        <v>0</v>
      </c>
      <c r="AM10" s="27"/>
      <c r="AN10" s="54">
        <f>+AM10*AX10</f>
        <v>0</v>
      </c>
      <c r="AO10" s="27"/>
      <c r="AP10" s="26">
        <f>+AO10*AX10</f>
        <v>0</v>
      </c>
      <c r="AQ10" s="27">
        <v>69</v>
      </c>
      <c r="AR10" s="54">
        <f t="shared" ref="AR10:AR24" si="0">+AQ10*AX10</f>
        <v>2898000</v>
      </c>
      <c r="AS10" s="77"/>
      <c r="AT10" s="54"/>
      <c r="AU10" s="77"/>
      <c r="AV10" s="26">
        <f>+AU10*AX10</f>
        <v>0</v>
      </c>
      <c r="AW10" s="28">
        <f t="shared" ref="AW10:AW24" si="1">+AQ10+AO10+AM10+AK10+AI10+AG10+AE10+AC10+AA10+Y10+W10+U10+S10+Q10+O10+M10+K10+I10+AS10+G10+AU10</f>
        <v>92</v>
      </c>
      <c r="AX10" s="213">
        <v>42000</v>
      </c>
      <c r="AY10" s="66">
        <f t="shared" ref="AY10:AY24" si="2">+AW10*AX10</f>
        <v>3864000</v>
      </c>
      <c r="AZ10" s="63"/>
    </row>
    <row r="11" spans="1:53" s="92" customFormat="1" ht="27.6" x14ac:dyDescent="0.3">
      <c r="A11" s="33">
        <v>2</v>
      </c>
      <c r="B11" s="33" t="s">
        <v>167</v>
      </c>
      <c r="C11" s="29" t="s">
        <v>55</v>
      </c>
      <c r="D11" s="29" t="s">
        <v>56</v>
      </c>
      <c r="E11" s="35" t="s">
        <v>170</v>
      </c>
      <c r="F11" s="29" t="s">
        <v>52</v>
      </c>
      <c r="G11" s="33"/>
      <c r="H11" s="33"/>
      <c r="I11" s="33"/>
      <c r="J11" s="33"/>
      <c r="K11" s="33"/>
      <c r="L11" s="32"/>
      <c r="M11" s="31"/>
      <c r="N11" s="90"/>
      <c r="O11" s="34"/>
      <c r="P11" s="89"/>
      <c r="Q11" s="31"/>
      <c r="R11" s="33"/>
      <c r="S11" s="34"/>
      <c r="T11" s="89"/>
      <c r="U11" s="31"/>
      <c r="V11" s="33"/>
      <c r="W11" s="34"/>
      <c r="X11" s="36"/>
      <c r="Y11" s="34"/>
      <c r="Z11" s="89"/>
      <c r="AA11" s="34"/>
      <c r="AB11" s="33"/>
      <c r="AC11" s="34"/>
      <c r="AD11" s="89"/>
      <c r="AE11" s="34"/>
      <c r="AF11" s="89"/>
      <c r="AG11" s="33"/>
      <c r="AH11" s="36"/>
      <c r="AI11" s="34"/>
      <c r="AJ11" s="33"/>
      <c r="AK11" s="34"/>
      <c r="AL11" s="36"/>
      <c r="AM11" s="34"/>
      <c r="AN11" s="95"/>
      <c r="AO11" s="34"/>
      <c r="AP11" s="36"/>
      <c r="AQ11" s="34">
        <v>8</v>
      </c>
      <c r="AR11" s="95">
        <f t="shared" si="0"/>
        <v>336000</v>
      </c>
      <c r="AS11" s="70"/>
      <c r="AT11" s="89"/>
      <c r="AU11" s="70"/>
      <c r="AV11" s="26"/>
      <c r="AW11" s="41">
        <f t="shared" si="1"/>
        <v>8</v>
      </c>
      <c r="AX11" s="214">
        <v>42000</v>
      </c>
      <c r="AY11" s="212">
        <f t="shared" si="2"/>
        <v>336000</v>
      </c>
      <c r="AZ11" s="224"/>
    </row>
    <row r="12" spans="1:53" s="92" customFormat="1" ht="27.6" x14ac:dyDescent="0.3">
      <c r="A12" s="33">
        <v>3</v>
      </c>
      <c r="B12" s="33" t="s">
        <v>58</v>
      </c>
      <c r="C12" s="49" t="s">
        <v>55</v>
      </c>
      <c r="D12" s="49" t="s">
        <v>56</v>
      </c>
      <c r="E12" s="48" t="s">
        <v>59</v>
      </c>
      <c r="F12" s="49" t="s">
        <v>53</v>
      </c>
      <c r="G12" s="42"/>
      <c r="H12" s="42"/>
      <c r="I12" s="42"/>
      <c r="J12" s="42"/>
      <c r="K12" s="42"/>
      <c r="L12" s="39"/>
      <c r="M12" s="38"/>
      <c r="N12" s="68">
        <f>+M12*AX12</f>
        <v>0</v>
      </c>
      <c r="O12" s="40"/>
      <c r="P12" s="55"/>
      <c r="Q12" s="38"/>
      <c r="R12" s="42"/>
      <c r="S12" s="40"/>
      <c r="T12" s="55"/>
      <c r="U12" s="38"/>
      <c r="V12" s="42"/>
      <c r="W12" s="40"/>
      <c r="X12" s="26">
        <f>+W12*AX12</f>
        <v>0</v>
      </c>
      <c r="Y12" s="40"/>
      <c r="Z12" s="55">
        <f>+Y12*AX12</f>
        <v>0</v>
      </c>
      <c r="AA12" s="40"/>
      <c r="AB12" s="42"/>
      <c r="AC12" s="40"/>
      <c r="AD12" s="55"/>
      <c r="AE12" s="34"/>
      <c r="AF12" s="55">
        <f>+AE12*AX12</f>
        <v>0</v>
      </c>
      <c r="AG12" s="42"/>
      <c r="AH12" s="26">
        <f>+AG12*AX12</f>
        <v>0</v>
      </c>
      <c r="AI12" s="40"/>
      <c r="AJ12" s="42"/>
      <c r="AK12" s="40"/>
      <c r="AL12" s="26">
        <f>+AK12*AX12</f>
        <v>0</v>
      </c>
      <c r="AM12" s="40"/>
      <c r="AN12" s="54">
        <f>+AM12*AX12</f>
        <v>0</v>
      </c>
      <c r="AO12" s="40"/>
      <c r="AP12" s="26">
        <f>+AO12*AX12</f>
        <v>0</v>
      </c>
      <c r="AQ12" s="40">
        <v>0</v>
      </c>
      <c r="AR12" s="54">
        <f t="shared" si="0"/>
        <v>0</v>
      </c>
      <c r="AS12" s="74"/>
      <c r="AT12" s="55"/>
      <c r="AU12" s="74">
        <v>5</v>
      </c>
      <c r="AV12" s="26">
        <f>+AU12*AX12</f>
        <v>117500</v>
      </c>
      <c r="AW12" s="41">
        <f t="shared" si="1"/>
        <v>5</v>
      </c>
      <c r="AX12" s="214">
        <v>23500</v>
      </c>
      <c r="AY12" s="62">
        <f t="shared" si="2"/>
        <v>117500</v>
      </c>
      <c r="AZ12" s="63"/>
    </row>
    <row r="13" spans="1:53" s="92" customFormat="1" ht="27.6" x14ac:dyDescent="0.3">
      <c r="A13" s="33">
        <v>4</v>
      </c>
      <c r="B13" s="33" t="s">
        <v>60</v>
      </c>
      <c r="C13" s="49" t="s">
        <v>55</v>
      </c>
      <c r="D13" s="49" t="s">
        <v>56</v>
      </c>
      <c r="E13" s="48" t="s">
        <v>61</v>
      </c>
      <c r="F13" s="49" t="s">
        <v>53</v>
      </c>
      <c r="G13" s="42"/>
      <c r="H13" s="42"/>
      <c r="I13" s="42"/>
      <c r="J13" s="42"/>
      <c r="K13" s="42"/>
      <c r="L13" s="39"/>
      <c r="M13" s="38"/>
      <c r="N13" s="68">
        <f>+M13*AX13</f>
        <v>0</v>
      </c>
      <c r="O13" s="40"/>
      <c r="P13" s="55"/>
      <c r="Q13" s="38"/>
      <c r="R13" s="42"/>
      <c r="S13" s="40"/>
      <c r="T13" s="55"/>
      <c r="U13" s="38"/>
      <c r="V13" s="42"/>
      <c r="W13" s="40"/>
      <c r="X13" s="26">
        <f>+W13*AX13</f>
        <v>0</v>
      </c>
      <c r="Y13" s="40"/>
      <c r="Z13" s="55"/>
      <c r="AA13" s="40"/>
      <c r="AB13" s="42"/>
      <c r="AC13" s="40"/>
      <c r="AD13" s="55"/>
      <c r="AE13" s="34">
        <v>5</v>
      </c>
      <c r="AF13" s="55">
        <f>+AE13*AX13</f>
        <v>223000</v>
      </c>
      <c r="AG13" s="42"/>
      <c r="AH13" s="26">
        <f>+AG13*AX13</f>
        <v>0</v>
      </c>
      <c r="AI13" s="40"/>
      <c r="AJ13" s="42"/>
      <c r="AK13" s="40"/>
      <c r="AL13" s="26">
        <f>+AK13*AX13</f>
        <v>0</v>
      </c>
      <c r="AM13" s="40"/>
      <c r="AN13" s="54">
        <f>+AM13*AX13</f>
        <v>0</v>
      </c>
      <c r="AO13" s="40"/>
      <c r="AP13" s="26">
        <f>+AO13*AX13</f>
        <v>0</v>
      </c>
      <c r="AQ13" s="40">
        <v>8</v>
      </c>
      <c r="AR13" s="54">
        <f t="shared" si="0"/>
        <v>356800</v>
      </c>
      <c r="AS13" s="74"/>
      <c r="AT13" s="55"/>
      <c r="AU13" s="74"/>
      <c r="AV13" s="26">
        <f>+AU13*AX13</f>
        <v>0</v>
      </c>
      <c r="AW13" s="41">
        <f t="shared" si="1"/>
        <v>13</v>
      </c>
      <c r="AX13" s="214">
        <v>44600</v>
      </c>
      <c r="AY13" s="62">
        <f t="shared" si="2"/>
        <v>579800</v>
      </c>
      <c r="AZ13" s="63"/>
    </row>
    <row r="14" spans="1:53" s="92" customFormat="1" ht="27.6" x14ac:dyDescent="0.3">
      <c r="A14" s="33">
        <v>5</v>
      </c>
      <c r="B14" s="33" t="s">
        <v>62</v>
      </c>
      <c r="C14" s="49" t="s">
        <v>55</v>
      </c>
      <c r="D14" s="49" t="s">
        <v>56</v>
      </c>
      <c r="E14" s="48" t="s">
        <v>63</v>
      </c>
      <c r="F14" s="49" t="s">
        <v>53</v>
      </c>
      <c r="G14" s="42"/>
      <c r="H14" s="42"/>
      <c r="I14" s="42"/>
      <c r="J14" s="42"/>
      <c r="K14" s="42"/>
      <c r="L14" s="39"/>
      <c r="M14" s="38"/>
      <c r="N14" s="68">
        <f>+M14*AX14</f>
        <v>0</v>
      </c>
      <c r="O14" s="40"/>
      <c r="P14" s="55"/>
      <c r="Q14" s="38"/>
      <c r="R14" s="42"/>
      <c r="S14" s="40"/>
      <c r="T14" s="55"/>
      <c r="U14" s="38"/>
      <c r="V14" s="42"/>
      <c r="W14" s="40"/>
      <c r="X14" s="26">
        <f>+W14*AX14</f>
        <v>0</v>
      </c>
      <c r="Y14" s="40"/>
      <c r="Z14" s="55"/>
      <c r="AA14" s="40"/>
      <c r="AB14" s="42"/>
      <c r="AC14" s="40"/>
      <c r="AD14" s="55"/>
      <c r="AE14" s="34"/>
      <c r="AF14" s="55">
        <f>+AE14*AX14</f>
        <v>0</v>
      </c>
      <c r="AG14" s="42"/>
      <c r="AH14" s="26">
        <f>+AG14*AX14</f>
        <v>0</v>
      </c>
      <c r="AI14" s="40"/>
      <c r="AJ14" s="42"/>
      <c r="AK14" s="40"/>
      <c r="AL14" s="26">
        <f>+AK14*AX14</f>
        <v>0</v>
      </c>
      <c r="AM14" s="40"/>
      <c r="AN14" s="54">
        <f>+AM14*AX14</f>
        <v>0</v>
      </c>
      <c r="AO14" s="40"/>
      <c r="AP14" s="26">
        <f>+AO14*AX14</f>
        <v>0</v>
      </c>
      <c r="AQ14" s="40">
        <v>20</v>
      </c>
      <c r="AR14" s="54">
        <f t="shared" si="0"/>
        <v>828000</v>
      </c>
      <c r="AS14" s="74"/>
      <c r="AT14" s="55"/>
      <c r="AU14" s="74"/>
      <c r="AV14" s="26">
        <f>+AU14*AX14</f>
        <v>0</v>
      </c>
      <c r="AW14" s="41">
        <f t="shared" si="1"/>
        <v>20</v>
      </c>
      <c r="AX14" s="214">
        <v>41400</v>
      </c>
      <c r="AY14" s="62">
        <f t="shared" si="2"/>
        <v>828000</v>
      </c>
      <c r="AZ14" s="63"/>
    </row>
    <row r="15" spans="1:53" s="92" customFormat="1" ht="27.6" x14ac:dyDescent="0.3">
      <c r="A15" s="33">
        <v>6</v>
      </c>
      <c r="B15" s="33" t="s">
        <v>166</v>
      </c>
      <c r="C15" s="29" t="s">
        <v>55</v>
      </c>
      <c r="D15" s="29" t="s">
        <v>56</v>
      </c>
      <c r="E15" s="35" t="s">
        <v>169</v>
      </c>
      <c r="F15" s="29" t="s">
        <v>52</v>
      </c>
      <c r="G15" s="33"/>
      <c r="H15" s="33"/>
      <c r="I15" s="33"/>
      <c r="J15" s="33"/>
      <c r="K15" s="33"/>
      <c r="L15" s="32"/>
      <c r="M15" s="31"/>
      <c r="N15" s="90"/>
      <c r="O15" s="34"/>
      <c r="P15" s="89"/>
      <c r="Q15" s="31"/>
      <c r="R15" s="33"/>
      <c r="S15" s="34"/>
      <c r="T15" s="89"/>
      <c r="U15" s="31"/>
      <c r="V15" s="33"/>
      <c r="W15" s="34"/>
      <c r="X15" s="36"/>
      <c r="Y15" s="34"/>
      <c r="Z15" s="89"/>
      <c r="AA15" s="34"/>
      <c r="AB15" s="33"/>
      <c r="AC15" s="34"/>
      <c r="AD15" s="89"/>
      <c r="AE15" s="34"/>
      <c r="AF15" s="89"/>
      <c r="AG15" s="33"/>
      <c r="AH15" s="36"/>
      <c r="AI15" s="34"/>
      <c r="AJ15" s="33"/>
      <c r="AK15" s="34"/>
      <c r="AL15" s="36"/>
      <c r="AM15" s="34"/>
      <c r="AN15" s="95"/>
      <c r="AO15" s="34"/>
      <c r="AP15" s="36"/>
      <c r="AQ15" s="34">
        <v>4</v>
      </c>
      <c r="AR15" s="95">
        <f t="shared" si="0"/>
        <v>181600</v>
      </c>
      <c r="AS15" s="70"/>
      <c r="AT15" s="89"/>
      <c r="AU15" s="70"/>
      <c r="AV15" s="26"/>
      <c r="AW15" s="41">
        <f t="shared" si="1"/>
        <v>4</v>
      </c>
      <c r="AX15" s="214">
        <v>45400</v>
      </c>
      <c r="AY15" s="212">
        <f t="shared" si="2"/>
        <v>181600</v>
      </c>
      <c r="AZ15" s="224"/>
    </row>
    <row r="16" spans="1:53" s="92" customFormat="1" ht="27.6" x14ac:dyDescent="0.3">
      <c r="A16" s="33">
        <v>7</v>
      </c>
      <c r="B16" s="33" t="s">
        <v>64</v>
      </c>
      <c r="C16" s="49" t="s">
        <v>55</v>
      </c>
      <c r="D16" s="49" t="s">
        <v>56</v>
      </c>
      <c r="E16" s="48" t="s">
        <v>65</v>
      </c>
      <c r="F16" s="49" t="s">
        <v>53</v>
      </c>
      <c r="G16" s="42"/>
      <c r="H16" s="42"/>
      <c r="I16" s="42"/>
      <c r="J16" s="42"/>
      <c r="K16" s="42"/>
      <c r="L16" s="39"/>
      <c r="M16" s="38"/>
      <c r="N16" s="68">
        <f>+M16*AX16</f>
        <v>0</v>
      </c>
      <c r="O16" s="40"/>
      <c r="P16" s="55"/>
      <c r="Q16" s="38"/>
      <c r="R16" s="42"/>
      <c r="S16" s="40"/>
      <c r="T16" s="55"/>
      <c r="U16" s="38"/>
      <c r="V16" s="42"/>
      <c r="W16" s="40"/>
      <c r="X16" s="26">
        <f>+W16*AX16</f>
        <v>0</v>
      </c>
      <c r="Y16" s="40"/>
      <c r="Z16" s="55"/>
      <c r="AA16" s="40"/>
      <c r="AB16" s="42"/>
      <c r="AC16" s="40"/>
      <c r="AD16" s="55"/>
      <c r="AE16" s="34"/>
      <c r="AF16" s="55">
        <f>+AE16*AX16</f>
        <v>0</v>
      </c>
      <c r="AG16" s="42"/>
      <c r="AH16" s="26">
        <f>+AG16*AX16</f>
        <v>0</v>
      </c>
      <c r="AI16" s="40"/>
      <c r="AJ16" s="42"/>
      <c r="AK16" s="40"/>
      <c r="AL16" s="26">
        <f>+AK16*AX16</f>
        <v>0</v>
      </c>
      <c r="AM16" s="40"/>
      <c r="AN16" s="54">
        <f>+AM16*AX16</f>
        <v>0</v>
      </c>
      <c r="AO16" s="40"/>
      <c r="AP16" s="26">
        <f>+AO16*AX16</f>
        <v>0</v>
      </c>
      <c r="AQ16" s="40">
        <v>8</v>
      </c>
      <c r="AR16" s="54">
        <f t="shared" si="0"/>
        <v>464000</v>
      </c>
      <c r="AS16" s="74"/>
      <c r="AT16" s="55"/>
      <c r="AU16" s="74"/>
      <c r="AV16" s="26">
        <f>+AU16*AX16</f>
        <v>0</v>
      </c>
      <c r="AW16" s="41">
        <f t="shared" si="1"/>
        <v>8</v>
      </c>
      <c r="AX16" s="214">
        <v>58000</v>
      </c>
      <c r="AY16" s="62">
        <f t="shared" si="2"/>
        <v>464000</v>
      </c>
      <c r="AZ16" s="63"/>
    </row>
    <row r="17" spans="1:52" s="92" customFormat="1" ht="27.6" x14ac:dyDescent="0.3">
      <c r="A17" s="33">
        <v>8</v>
      </c>
      <c r="B17" s="33" t="s">
        <v>83</v>
      </c>
      <c r="C17" s="29" t="s">
        <v>55</v>
      </c>
      <c r="D17" s="29" t="s">
        <v>56</v>
      </c>
      <c r="E17" s="35" t="s">
        <v>84</v>
      </c>
      <c r="F17" s="29" t="s">
        <v>52</v>
      </c>
      <c r="G17" s="33"/>
      <c r="H17" s="33"/>
      <c r="I17" s="33"/>
      <c r="J17" s="33"/>
      <c r="K17" s="33"/>
      <c r="L17" s="32"/>
      <c r="M17" s="31"/>
      <c r="N17" s="90"/>
      <c r="O17" s="34"/>
      <c r="P17" s="89"/>
      <c r="Q17" s="31"/>
      <c r="R17" s="33"/>
      <c r="S17" s="34"/>
      <c r="T17" s="89"/>
      <c r="U17" s="31"/>
      <c r="V17" s="33"/>
      <c r="W17" s="34"/>
      <c r="X17" s="36"/>
      <c r="Y17" s="34"/>
      <c r="Z17" s="89"/>
      <c r="AA17" s="34"/>
      <c r="AB17" s="33"/>
      <c r="AC17" s="34"/>
      <c r="AD17" s="89"/>
      <c r="AE17" s="34"/>
      <c r="AF17" s="89"/>
      <c r="AG17" s="33"/>
      <c r="AH17" s="36"/>
      <c r="AI17" s="34"/>
      <c r="AJ17" s="33"/>
      <c r="AK17" s="34"/>
      <c r="AL17" s="36"/>
      <c r="AM17" s="34"/>
      <c r="AN17" s="95">
        <f>+AM17*AX17</f>
        <v>0</v>
      </c>
      <c r="AO17" s="34"/>
      <c r="AP17" s="36">
        <f>+AO17*AX17</f>
        <v>0</v>
      </c>
      <c r="AQ17" s="34">
        <v>4</v>
      </c>
      <c r="AR17" s="95">
        <f t="shared" si="0"/>
        <v>192800</v>
      </c>
      <c r="AS17" s="70"/>
      <c r="AT17" s="89"/>
      <c r="AU17" s="70"/>
      <c r="AV17" s="26">
        <f>+AU17*AX17</f>
        <v>0</v>
      </c>
      <c r="AW17" s="41">
        <f t="shared" si="1"/>
        <v>4</v>
      </c>
      <c r="AX17" s="214">
        <v>48200</v>
      </c>
      <c r="AY17" s="212">
        <f t="shared" si="2"/>
        <v>192800</v>
      </c>
      <c r="AZ17" s="224"/>
    </row>
    <row r="18" spans="1:52" s="92" customFormat="1" ht="27.6" x14ac:dyDescent="0.3">
      <c r="A18" s="33">
        <v>9</v>
      </c>
      <c r="B18" s="30" t="s">
        <v>66</v>
      </c>
      <c r="C18" s="52" t="s">
        <v>55</v>
      </c>
      <c r="D18" s="52" t="s">
        <v>56</v>
      </c>
      <c r="E18" s="51" t="s">
        <v>67</v>
      </c>
      <c r="F18" s="52" t="s">
        <v>53</v>
      </c>
      <c r="G18" s="50"/>
      <c r="H18" s="50"/>
      <c r="I18" s="50"/>
      <c r="J18" s="50"/>
      <c r="K18" s="50"/>
      <c r="L18" s="68"/>
      <c r="M18" s="69"/>
      <c r="N18" s="68">
        <f>+M18*AX18</f>
        <v>0</v>
      </c>
      <c r="O18" s="67"/>
      <c r="P18" s="57"/>
      <c r="Q18" s="69"/>
      <c r="R18" s="50"/>
      <c r="S18" s="67"/>
      <c r="T18" s="57"/>
      <c r="U18" s="69"/>
      <c r="V18" s="50"/>
      <c r="W18" s="67"/>
      <c r="X18" s="83">
        <f>+W18*AX18</f>
        <v>0</v>
      </c>
      <c r="Y18" s="67"/>
      <c r="Z18" s="57"/>
      <c r="AA18" s="67"/>
      <c r="AB18" s="50"/>
      <c r="AC18" s="67"/>
      <c r="AD18" s="57"/>
      <c r="AE18" s="56"/>
      <c r="AF18" s="57">
        <f>+AE18*AX18</f>
        <v>0</v>
      </c>
      <c r="AG18" s="50"/>
      <c r="AH18" s="83">
        <f>+AG18*AX18</f>
        <v>0</v>
      </c>
      <c r="AI18" s="67"/>
      <c r="AJ18" s="50"/>
      <c r="AK18" s="67"/>
      <c r="AL18" s="26">
        <f>+AK18*AX18</f>
        <v>0</v>
      </c>
      <c r="AM18" s="67"/>
      <c r="AN18" s="54">
        <f>+AM18*AX18</f>
        <v>0</v>
      </c>
      <c r="AO18" s="67"/>
      <c r="AP18" s="26">
        <f>+AO18*AX18</f>
        <v>0</v>
      </c>
      <c r="AQ18" s="67">
        <v>20</v>
      </c>
      <c r="AR18" s="54">
        <f t="shared" si="0"/>
        <v>1039000</v>
      </c>
      <c r="AS18" s="72"/>
      <c r="AT18" s="57"/>
      <c r="AU18" s="72"/>
      <c r="AV18" s="26">
        <f>+AU18*AX18</f>
        <v>0</v>
      </c>
      <c r="AW18" s="41">
        <f t="shared" si="1"/>
        <v>20</v>
      </c>
      <c r="AX18" s="215">
        <v>51950</v>
      </c>
      <c r="AY18" s="65">
        <f t="shared" si="2"/>
        <v>1039000</v>
      </c>
      <c r="AZ18" s="63"/>
    </row>
    <row r="19" spans="1:52" s="91" customFormat="1" ht="27.6" x14ac:dyDescent="0.3">
      <c r="A19" s="33">
        <v>10</v>
      </c>
      <c r="B19" s="33" t="s">
        <v>74</v>
      </c>
      <c r="C19" s="49" t="s">
        <v>55</v>
      </c>
      <c r="D19" s="49" t="s">
        <v>56</v>
      </c>
      <c r="E19" s="48" t="s">
        <v>75</v>
      </c>
      <c r="F19" s="49" t="s">
        <v>53</v>
      </c>
      <c r="G19" s="42"/>
      <c r="H19" s="42"/>
      <c r="I19" s="42"/>
      <c r="J19" s="42"/>
      <c r="K19" s="42"/>
      <c r="L19" s="39"/>
      <c r="M19" s="38"/>
      <c r="N19" s="39">
        <f>+M19*AX19</f>
        <v>0</v>
      </c>
      <c r="O19" s="40"/>
      <c r="P19" s="55"/>
      <c r="Q19" s="38"/>
      <c r="R19" s="42"/>
      <c r="S19" s="40"/>
      <c r="T19" s="55"/>
      <c r="U19" s="38"/>
      <c r="V19" s="42"/>
      <c r="W19" s="40"/>
      <c r="X19" s="39">
        <f>+W19*AX19</f>
        <v>0</v>
      </c>
      <c r="Y19" s="40"/>
      <c r="Z19" s="55"/>
      <c r="AA19" s="40"/>
      <c r="AB19" s="42"/>
      <c r="AC19" s="40">
        <v>4</v>
      </c>
      <c r="AD19" s="55">
        <f>+AC19*AX19</f>
        <v>177000</v>
      </c>
      <c r="AE19" s="34"/>
      <c r="AF19" s="55">
        <f>+AE19*AX19</f>
        <v>0</v>
      </c>
      <c r="AG19" s="42"/>
      <c r="AH19" s="39">
        <f>+AG19*AX19</f>
        <v>0</v>
      </c>
      <c r="AI19" s="40"/>
      <c r="AJ19" s="42"/>
      <c r="AK19" s="40"/>
      <c r="AL19" s="39">
        <f>+AK19*AX19</f>
        <v>0</v>
      </c>
      <c r="AM19" s="40"/>
      <c r="AN19" s="54">
        <f>+AM19*AX19</f>
        <v>0</v>
      </c>
      <c r="AO19" s="40"/>
      <c r="AP19" s="26">
        <f>+AO19*AX19</f>
        <v>0</v>
      </c>
      <c r="AQ19" s="40">
        <v>0</v>
      </c>
      <c r="AR19" s="54">
        <f t="shared" si="0"/>
        <v>0</v>
      </c>
      <c r="AS19" s="74"/>
      <c r="AT19" s="55"/>
      <c r="AU19" s="74"/>
      <c r="AV19" s="26">
        <f>+AU19*AX19</f>
        <v>0</v>
      </c>
      <c r="AW19" s="41">
        <f t="shared" si="1"/>
        <v>4</v>
      </c>
      <c r="AX19" s="214">
        <v>44250</v>
      </c>
      <c r="AY19" s="65">
        <f t="shared" si="2"/>
        <v>177000</v>
      </c>
      <c r="AZ19" s="225"/>
    </row>
    <row r="20" spans="1:52" s="91" customFormat="1" ht="27.6" x14ac:dyDescent="0.3">
      <c r="A20" s="33">
        <v>11</v>
      </c>
      <c r="B20" s="33" t="s">
        <v>85</v>
      </c>
      <c r="C20" s="29" t="s">
        <v>55</v>
      </c>
      <c r="D20" s="29" t="s">
        <v>56</v>
      </c>
      <c r="E20" s="35" t="s">
        <v>86</v>
      </c>
      <c r="F20" s="29" t="s">
        <v>52</v>
      </c>
      <c r="G20" s="33"/>
      <c r="H20" s="33"/>
      <c r="I20" s="33"/>
      <c r="J20" s="33"/>
      <c r="K20" s="33"/>
      <c r="L20" s="32"/>
      <c r="M20" s="31"/>
      <c r="N20" s="32"/>
      <c r="O20" s="34"/>
      <c r="P20" s="89"/>
      <c r="Q20" s="31"/>
      <c r="R20" s="33"/>
      <c r="S20" s="34"/>
      <c r="T20" s="89"/>
      <c r="U20" s="31"/>
      <c r="V20" s="33"/>
      <c r="W20" s="34"/>
      <c r="X20" s="32"/>
      <c r="Y20" s="34"/>
      <c r="Z20" s="89"/>
      <c r="AA20" s="34"/>
      <c r="AB20" s="33"/>
      <c r="AC20" s="34"/>
      <c r="AD20" s="89"/>
      <c r="AE20" s="34"/>
      <c r="AF20" s="89"/>
      <c r="AG20" s="33"/>
      <c r="AH20" s="32"/>
      <c r="AI20" s="34"/>
      <c r="AJ20" s="33"/>
      <c r="AK20" s="34"/>
      <c r="AL20" s="32"/>
      <c r="AM20" s="34"/>
      <c r="AN20" s="95">
        <f>+AM20*AX20</f>
        <v>0</v>
      </c>
      <c r="AO20" s="34"/>
      <c r="AP20" s="36">
        <f>+AO20*AX20</f>
        <v>0</v>
      </c>
      <c r="AQ20" s="34">
        <v>0</v>
      </c>
      <c r="AR20" s="95">
        <f t="shared" si="0"/>
        <v>0</v>
      </c>
      <c r="AS20" s="70"/>
      <c r="AT20" s="89"/>
      <c r="AU20" s="70">
        <v>3</v>
      </c>
      <c r="AV20" s="26">
        <f>+AU20*AX20</f>
        <v>192000</v>
      </c>
      <c r="AW20" s="41">
        <f t="shared" si="1"/>
        <v>3</v>
      </c>
      <c r="AX20" s="214">
        <v>64000</v>
      </c>
      <c r="AY20" s="88">
        <f t="shared" si="2"/>
        <v>192000</v>
      </c>
      <c r="AZ20" s="87"/>
    </row>
    <row r="21" spans="1:52" s="91" customFormat="1" ht="27.75" customHeight="1" x14ac:dyDescent="0.3">
      <c r="A21" s="33">
        <v>12</v>
      </c>
      <c r="B21" s="33" t="s">
        <v>165</v>
      </c>
      <c r="C21" s="29" t="s">
        <v>55</v>
      </c>
      <c r="D21" s="29" t="s">
        <v>56</v>
      </c>
      <c r="E21" s="35" t="s">
        <v>168</v>
      </c>
      <c r="F21" s="29" t="s">
        <v>52</v>
      </c>
      <c r="G21" s="33"/>
      <c r="H21" s="33"/>
      <c r="I21" s="33"/>
      <c r="J21" s="33"/>
      <c r="K21" s="33"/>
      <c r="L21" s="32"/>
      <c r="M21" s="31"/>
      <c r="N21" s="32"/>
      <c r="O21" s="34"/>
      <c r="P21" s="89"/>
      <c r="Q21" s="31"/>
      <c r="R21" s="33"/>
      <c r="S21" s="34"/>
      <c r="T21" s="89"/>
      <c r="U21" s="31"/>
      <c r="V21" s="33"/>
      <c r="W21" s="34"/>
      <c r="X21" s="32"/>
      <c r="Y21" s="34"/>
      <c r="Z21" s="89"/>
      <c r="AA21" s="34"/>
      <c r="AB21" s="33"/>
      <c r="AC21" s="34"/>
      <c r="AD21" s="89"/>
      <c r="AE21" s="34"/>
      <c r="AF21" s="89"/>
      <c r="AG21" s="33"/>
      <c r="AH21" s="32"/>
      <c r="AI21" s="34"/>
      <c r="AJ21" s="33"/>
      <c r="AK21" s="34"/>
      <c r="AL21" s="32"/>
      <c r="AM21" s="34"/>
      <c r="AN21" s="89"/>
      <c r="AO21" s="34"/>
      <c r="AP21" s="32"/>
      <c r="AQ21" s="34">
        <v>8</v>
      </c>
      <c r="AR21" s="89">
        <f t="shared" si="0"/>
        <v>235200</v>
      </c>
      <c r="AS21" s="70"/>
      <c r="AT21" s="89"/>
      <c r="AU21" s="70"/>
      <c r="AV21" s="39"/>
      <c r="AW21" s="41">
        <f t="shared" si="1"/>
        <v>8</v>
      </c>
      <c r="AX21" s="214">
        <v>29400</v>
      </c>
      <c r="AY21" s="88">
        <f t="shared" si="2"/>
        <v>235200</v>
      </c>
      <c r="AZ21" s="87"/>
    </row>
    <row r="22" spans="1:52" s="91" customFormat="1" ht="27.75" customHeight="1" x14ac:dyDescent="0.3">
      <c r="A22" s="33">
        <v>13</v>
      </c>
      <c r="B22" s="33" t="s">
        <v>72</v>
      </c>
      <c r="C22" s="49" t="s">
        <v>55</v>
      </c>
      <c r="D22" s="49" t="s">
        <v>56</v>
      </c>
      <c r="E22" s="48" t="s">
        <v>73</v>
      </c>
      <c r="F22" s="49" t="s">
        <v>53</v>
      </c>
      <c r="G22" s="42"/>
      <c r="H22" s="42"/>
      <c r="I22" s="42"/>
      <c r="J22" s="42"/>
      <c r="K22" s="42"/>
      <c r="L22" s="39"/>
      <c r="M22" s="38"/>
      <c r="N22" s="39">
        <f>+M22*AX22</f>
        <v>0</v>
      </c>
      <c r="O22" s="40">
        <v>2</v>
      </c>
      <c r="P22" s="55">
        <f>+O22*AX22</f>
        <v>76600</v>
      </c>
      <c r="Q22" s="38"/>
      <c r="R22" s="42"/>
      <c r="S22" s="40"/>
      <c r="T22" s="55"/>
      <c r="U22" s="38"/>
      <c r="V22" s="42"/>
      <c r="W22" s="40"/>
      <c r="X22" s="39">
        <f>+W22*AX22</f>
        <v>0</v>
      </c>
      <c r="Y22" s="40"/>
      <c r="Z22" s="55"/>
      <c r="AA22" s="40"/>
      <c r="AB22" s="42"/>
      <c r="AC22" s="40"/>
      <c r="AD22" s="55"/>
      <c r="AE22" s="34"/>
      <c r="AF22" s="55">
        <f>+AE22*AX22</f>
        <v>0</v>
      </c>
      <c r="AG22" s="42">
        <v>4</v>
      </c>
      <c r="AH22" s="39">
        <f>+AG22*AX22</f>
        <v>153200</v>
      </c>
      <c r="AI22" s="40"/>
      <c r="AJ22" s="42"/>
      <c r="AK22" s="40"/>
      <c r="AL22" s="39">
        <f>+AK22*AX22</f>
        <v>0</v>
      </c>
      <c r="AM22" s="40"/>
      <c r="AN22" s="55">
        <f>+AM22*AX22</f>
        <v>0</v>
      </c>
      <c r="AO22" s="40"/>
      <c r="AP22" s="39">
        <f>+AO22*AX22</f>
        <v>0</v>
      </c>
      <c r="AQ22" s="40">
        <v>16</v>
      </c>
      <c r="AR22" s="55">
        <f t="shared" si="0"/>
        <v>612800</v>
      </c>
      <c r="AS22" s="74">
        <v>3</v>
      </c>
      <c r="AT22" s="55">
        <f>+AS22*AX22</f>
        <v>114900</v>
      </c>
      <c r="AU22" s="74"/>
      <c r="AV22" s="39">
        <f>+AU22*AX22</f>
        <v>0</v>
      </c>
      <c r="AW22" s="41">
        <f t="shared" si="1"/>
        <v>25</v>
      </c>
      <c r="AX22" s="214">
        <v>38300</v>
      </c>
      <c r="AY22" s="65">
        <f t="shared" si="2"/>
        <v>957500</v>
      </c>
      <c r="AZ22" s="225"/>
    </row>
    <row r="23" spans="1:52" s="91" customFormat="1" ht="27.75" customHeight="1" x14ac:dyDescent="0.3">
      <c r="A23" s="33">
        <v>14</v>
      </c>
      <c r="B23" s="33" t="s">
        <v>76</v>
      </c>
      <c r="C23" s="49" t="s">
        <v>55</v>
      </c>
      <c r="D23" s="49" t="s">
        <v>56</v>
      </c>
      <c r="E23" s="48" t="s">
        <v>77</v>
      </c>
      <c r="F23" s="49" t="s">
        <v>53</v>
      </c>
      <c r="G23" s="42"/>
      <c r="H23" s="42"/>
      <c r="I23" s="42"/>
      <c r="J23" s="42"/>
      <c r="K23" s="42"/>
      <c r="L23" s="39"/>
      <c r="M23" s="38">
        <v>2</v>
      </c>
      <c r="N23" s="39">
        <f>+M23*AX23</f>
        <v>88200</v>
      </c>
      <c r="O23" s="40"/>
      <c r="P23" s="55"/>
      <c r="Q23" s="38"/>
      <c r="R23" s="42"/>
      <c r="S23" s="40"/>
      <c r="T23" s="55"/>
      <c r="U23" s="38"/>
      <c r="V23" s="42"/>
      <c r="W23" s="40"/>
      <c r="X23" s="39">
        <f>+W23*AX23</f>
        <v>0</v>
      </c>
      <c r="Y23" s="40"/>
      <c r="Z23" s="55"/>
      <c r="AA23" s="40"/>
      <c r="AB23" s="42"/>
      <c r="AC23" s="40"/>
      <c r="AD23" s="55"/>
      <c r="AE23" s="34"/>
      <c r="AF23" s="55">
        <f>+AE23*AX23</f>
        <v>0</v>
      </c>
      <c r="AG23" s="42"/>
      <c r="AH23" s="39">
        <f>+AG23*AX23</f>
        <v>0</v>
      </c>
      <c r="AI23" s="40"/>
      <c r="AJ23" s="42"/>
      <c r="AK23" s="40"/>
      <c r="AL23" s="39">
        <f>+AK23*AX23</f>
        <v>0</v>
      </c>
      <c r="AM23" s="40"/>
      <c r="AN23" s="55">
        <f>+AM23*AX23</f>
        <v>0</v>
      </c>
      <c r="AO23" s="40"/>
      <c r="AP23" s="39">
        <f>+AO23*AX23</f>
        <v>0</v>
      </c>
      <c r="AQ23" s="40">
        <v>0</v>
      </c>
      <c r="AR23" s="55">
        <f t="shared" si="0"/>
        <v>0</v>
      </c>
      <c r="AS23" s="74"/>
      <c r="AT23" s="55"/>
      <c r="AU23" s="74"/>
      <c r="AV23" s="39">
        <f>+AU23*AX23</f>
        <v>0</v>
      </c>
      <c r="AW23" s="41">
        <f t="shared" si="1"/>
        <v>2</v>
      </c>
      <c r="AX23" s="214">
        <v>44100</v>
      </c>
      <c r="AY23" s="65">
        <f t="shared" si="2"/>
        <v>88200</v>
      </c>
      <c r="AZ23" s="225"/>
    </row>
    <row r="24" spans="1:52" s="91" customFormat="1" ht="27.75" customHeight="1" thickBot="1" x14ac:dyDescent="0.35">
      <c r="A24" s="33">
        <v>15</v>
      </c>
      <c r="B24" s="211" t="s">
        <v>68</v>
      </c>
      <c r="C24" s="217" t="s">
        <v>55</v>
      </c>
      <c r="D24" s="217" t="s">
        <v>56</v>
      </c>
      <c r="E24" s="218" t="s">
        <v>69</v>
      </c>
      <c r="F24" s="217" t="s">
        <v>53</v>
      </c>
      <c r="G24" s="219"/>
      <c r="H24" s="219"/>
      <c r="I24" s="219"/>
      <c r="J24" s="219"/>
      <c r="K24" s="219"/>
      <c r="L24" s="83"/>
      <c r="M24" s="220"/>
      <c r="N24" s="83">
        <f>+M24*AX24</f>
        <v>0</v>
      </c>
      <c r="O24" s="221"/>
      <c r="P24" s="222"/>
      <c r="Q24" s="220"/>
      <c r="R24" s="219"/>
      <c r="S24" s="221"/>
      <c r="T24" s="222"/>
      <c r="U24" s="220"/>
      <c r="V24" s="219"/>
      <c r="W24" s="221"/>
      <c r="X24" s="83">
        <f>+W24*AX24</f>
        <v>0</v>
      </c>
      <c r="Y24" s="221"/>
      <c r="Z24" s="222"/>
      <c r="AA24" s="221"/>
      <c r="AB24" s="219"/>
      <c r="AC24" s="221"/>
      <c r="AD24" s="222"/>
      <c r="AE24" s="210"/>
      <c r="AF24" s="222">
        <f>+AE24*AX24</f>
        <v>0</v>
      </c>
      <c r="AG24" s="219"/>
      <c r="AH24" s="83">
        <f>+AG24*AX24</f>
        <v>0</v>
      </c>
      <c r="AI24" s="221"/>
      <c r="AJ24" s="219"/>
      <c r="AK24" s="221"/>
      <c r="AL24" s="83">
        <f>+AK24*AX24</f>
        <v>0</v>
      </c>
      <c r="AM24" s="221"/>
      <c r="AN24" s="222">
        <f>+AM24*AX24</f>
        <v>0</v>
      </c>
      <c r="AO24" s="221"/>
      <c r="AP24" s="83">
        <f>+AO24*AX24</f>
        <v>0</v>
      </c>
      <c r="AQ24" s="221">
        <v>20</v>
      </c>
      <c r="AR24" s="55">
        <f t="shared" si="0"/>
        <v>1046000</v>
      </c>
      <c r="AS24" s="223"/>
      <c r="AT24" s="222"/>
      <c r="AU24" s="223"/>
      <c r="AV24" s="83">
        <f>+AU24*AX24</f>
        <v>0</v>
      </c>
      <c r="AW24" s="76">
        <f t="shared" si="1"/>
        <v>20</v>
      </c>
      <c r="AX24" s="216">
        <v>52300</v>
      </c>
      <c r="AY24" s="65">
        <f t="shared" si="2"/>
        <v>1046000</v>
      </c>
      <c r="AZ24" s="225"/>
    </row>
    <row r="25" spans="1:52" s="94" customFormat="1" ht="25.5" customHeight="1" thickBot="1" x14ac:dyDescent="0.35">
      <c r="A25" s="85"/>
      <c r="B25" s="99"/>
      <c r="C25" s="99"/>
      <c r="D25" s="99"/>
      <c r="E25" s="53" t="s">
        <v>70</v>
      </c>
      <c r="F25" s="99"/>
      <c r="G25" s="43"/>
      <c r="H25" s="43"/>
      <c r="I25" s="43"/>
      <c r="J25" s="43"/>
      <c r="K25" s="43"/>
      <c r="L25" s="43"/>
      <c r="M25" s="43"/>
      <c r="N25" s="44">
        <f>SUM(N10:N24)</f>
        <v>88200</v>
      </c>
      <c r="O25" s="43"/>
      <c r="P25" s="86">
        <f>SUM(P10:P24)</f>
        <v>76600</v>
      </c>
      <c r="Q25" s="43"/>
      <c r="R25" s="43"/>
      <c r="S25" s="45"/>
      <c r="T25" s="86"/>
      <c r="U25" s="100"/>
      <c r="V25" s="44">
        <f>+U25*AX25</f>
        <v>0</v>
      </c>
      <c r="W25" s="43"/>
      <c r="X25" s="44">
        <f>SUM(X10:X24)</f>
        <v>840000</v>
      </c>
      <c r="Y25" s="43"/>
      <c r="Z25" s="86">
        <f>SUM(Z10:Z21)</f>
        <v>0</v>
      </c>
      <c r="AA25" s="43"/>
      <c r="AB25" s="43"/>
      <c r="AC25" s="43"/>
      <c r="AD25" s="86">
        <f>SUM(AD10:AD24)</f>
        <v>177000</v>
      </c>
      <c r="AE25" s="43"/>
      <c r="AF25" s="86">
        <f>SUM(AF10:AF24)</f>
        <v>223000</v>
      </c>
      <c r="AG25" s="43"/>
      <c r="AH25" s="44">
        <f>SUM(AH10:AH24)</f>
        <v>279200</v>
      </c>
      <c r="AI25" s="43"/>
      <c r="AJ25" s="43"/>
      <c r="AK25" s="43"/>
      <c r="AL25" s="44">
        <f>SUM(AL10:AL21)</f>
        <v>0</v>
      </c>
      <c r="AM25" s="43"/>
      <c r="AN25" s="86">
        <f>SUM(AN10:AN21)</f>
        <v>0</v>
      </c>
      <c r="AO25" s="43"/>
      <c r="AP25" s="43"/>
      <c r="AQ25" s="43"/>
      <c r="AR25" s="86">
        <f>SUM(AR10:AR24)</f>
        <v>8190200</v>
      </c>
      <c r="AS25" s="73"/>
      <c r="AT25" s="86">
        <f>SUM(AT10:AT24)</f>
        <v>114900</v>
      </c>
      <c r="AU25" s="73"/>
      <c r="AV25" s="44">
        <f>SUM(AV10:AV24)</f>
        <v>309500</v>
      </c>
      <c r="AW25" s="78"/>
      <c r="AX25" s="101"/>
      <c r="AY25" s="98">
        <f>+SUM(AY10:AY24)</f>
        <v>10298600</v>
      </c>
      <c r="AZ25" s="93"/>
    </row>
    <row r="26" spans="1:52" ht="15" thickBot="1" x14ac:dyDescent="0.35"/>
    <row r="27" spans="1:52" x14ac:dyDescent="0.3">
      <c r="C27" s="147" t="s">
        <v>128</v>
      </c>
      <c r="D27" s="246"/>
      <c r="E27" s="247"/>
    </row>
    <row r="28" spans="1:52" x14ac:dyDescent="0.3">
      <c r="C28" s="148"/>
      <c r="D28" s="149"/>
      <c r="E28" s="150"/>
    </row>
    <row r="29" spans="1:52" x14ac:dyDescent="0.3">
      <c r="C29" s="148" t="s">
        <v>129</v>
      </c>
      <c r="D29" s="248" t="s">
        <v>130</v>
      </c>
      <c r="E29" s="249"/>
    </row>
    <row r="30" spans="1:52" x14ac:dyDescent="0.3">
      <c r="C30" s="148"/>
      <c r="D30" s="149"/>
      <c r="E30" s="150"/>
    </row>
    <row r="31" spans="1:52" x14ac:dyDescent="0.3">
      <c r="C31" s="148" t="s">
        <v>131</v>
      </c>
      <c r="D31" s="151" t="s">
        <v>132</v>
      </c>
      <c r="E31" s="150"/>
    </row>
    <row r="32" spans="1:52" x14ac:dyDescent="0.3">
      <c r="C32" s="148"/>
      <c r="D32" s="151"/>
      <c r="E32" s="150"/>
    </row>
    <row r="33" spans="1:51" x14ac:dyDescent="0.3">
      <c r="C33" s="148" t="s">
        <v>133</v>
      </c>
      <c r="D33" s="149"/>
      <c r="E33" s="150"/>
    </row>
    <row r="34" spans="1:51" x14ac:dyDescent="0.3">
      <c r="C34" s="148"/>
      <c r="D34" s="149"/>
      <c r="E34" s="150"/>
    </row>
    <row r="35" spans="1:51" x14ac:dyDescent="0.3">
      <c r="C35" s="148" t="s">
        <v>134</v>
      </c>
      <c r="D35" s="151" t="s">
        <v>135</v>
      </c>
      <c r="E35" s="150"/>
    </row>
    <row r="36" spans="1:51" s="64" customFormat="1" x14ac:dyDescent="0.3">
      <c r="A36" s="84"/>
      <c r="B36" s="84"/>
      <c r="C36" s="148"/>
      <c r="D36" s="151"/>
      <c r="E36" s="150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97"/>
      <c r="Q36" s="84"/>
      <c r="R36" s="84"/>
      <c r="S36" s="60"/>
      <c r="T36" s="97"/>
      <c r="U36" s="84"/>
      <c r="V36" s="84"/>
      <c r="W36" s="84"/>
      <c r="X36" s="84"/>
      <c r="Y36" s="84"/>
      <c r="Z36" s="97"/>
      <c r="AA36" s="84"/>
      <c r="AB36" s="84"/>
      <c r="AC36" s="84"/>
      <c r="AD36" s="97"/>
      <c r="AE36" s="84"/>
      <c r="AF36" s="84"/>
      <c r="AG36" s="84"/>
      <c r="AH36" s="84"/>
      <c r="AI36" s="84"/>
      <c r="AJ36" s="84"/>
      <c r="AK36" s="84"/>
      <c r="AL36" s="84"/>
      <c r="AM36" s="84"/>
      <c r="AN36" s="97"/>
      <c r="AO36" s="84"/>
      <c r="AP36" s="84"/>
      <c r="AQ36" s="84"/>
      <c r="AR36" s="97"/>
      <c r="AS36" s="75"/>
      <c r="AT36" s="84"/>
      <c r="AU36" s="75"/>
      <c r="AV36" s="84"/>
      <c r="AW36" s="60"/>
      <c r="AX36" s="97"/>
      <c r="AY36" s="97"/>
    </row>
    <row r="37" spans="1:51" s="64" customFormat="1" x14ac:dyDescent="0.3">
      <c r="A37" s="84"/>
      <c r="B37" s="84"/>
      <c r="C37" s="148" t="s">
        <v>136</v>
      </c>
      <c r="D37" s="151" t="s">
        <v>137</v>
      </c>
      <c r="E37" s="150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97"/>
      <c r="Q37" s="84"/>
      <c r="R37" s="84"/>
      <c r="S37" s="60"/>
      <c r="T37" s="97"/>
      <c r="U37" s="84"/>
      <c r="V37" s="84"/>
      <c r="W37" s="84"/>
      <c r="X37" s="84"/>
      <c r="Y37" s="84"/>
      <c r="Z37" s="97"/>
      <c r="AA37" s="84"/>
      <c r="AB37" s="84"/>
      <c r="AC37" s="84"/>
      <c r="AD37" s="97"/>
      <c r="AE37" s="84"/>
      <c r="AF37" s="84"/>
      <c r="AG37" s="84"/>
      <c r="AH37" s="84"/>
      <c r="AI37" s="84"/>
      <c r="AJ37" s="84"/>
      <c r="AK37" s="84"/>
      <c r="AL37" s="84"/>
      <c r="AM37" s="84"/>
      <c r="AN37" s="97"/>
      <c r="AO37" s="84"/>
      <c r="AP37" s="84"/>
      <c r="AQ37" s="84"/>
      <c r="AR37" s="97"/>
      <c r="AS37" s="75"/>
      <c r="AT37" s="84"/>
      <c r="AU37" s="75"/>
      <c r="AV37" s="84"/>
      <c r="AW37" s="60"/>
      <c r="AX37" s="97"/>
      <c r="AY37" s="97"/>
    </row>
    <row r="38" spans="1:51" ht="15" thickBot="1" x14ac:dyDescent="0.35">
      <c r="C38" s="152"/>
      <c r="D38" s="153"/>
      <c r="E38" s="154"/>
    </row>
  </sheetData>
  <sortState ref="B10:AZ26">
    <sortCondition ref="E10:E26"/>
  </sortState>
  <mergeCells count="7">
    <mergeCell ref="D27:E27"/>
    <mergeCell ref="D29:E29"/>
    <mergeCell ref="A7:B7"/>
    <mergeCell ref="B2:AX2"/>
    <mergeCell ref="A4:B4"/>
    <mergeCell ref="A5:B5"/>
    <mergeCell ref="A6:B6"/>
  </mergeCells>
  <conditionalFormatting sqref="B1:B9 E1:E9">
    <cfRule type="duplicateValues" dxfId="22" priority="229"/>
  </conditionalFormatting>
  <conditionalFormatting sqref="E1:E9 B1:B9">
    <cfRule type="duplicateValues" dxfId="21" priority="230"/>
  </conditionalFormatting>
  <conditionalFormatting sqref="B1:B9">
    <cfRule type="duplicateValues" dxfId="20" priority="419"/>
  </conditionalFormatting>
  <conditionalFormatting sqref="E1:E9">
    <cfRule type="duplicateValues" dxfId="19" priority="420"/>
  </conditionalFormatting>
  <conditionalFormatting sqref="E1:E9">
    <cfRule type="duplicateValues" dxfId="18" priority="421"/>
    <cfRule type="duplicateValues" dxfId="17" priority="422"/>
  </conditionalFormatting>
  <conditionalFormatting sqref="E25 B25">
    <cfRule type="duplicateValues" dxfId="16" priority="423"/>
  </conditionalFormatting>
  <conditionalFormatting sqref="B25">
    <cfRule type="duplicateValues" dxfId="15" priority="425"/>
  </conditionalFormatting>
  <conditionalFormatting sqref="B25">
    <cfRule type="duplicateValues" dxfId="14" priority="426"/>
  </conditionalFormatting>
  <conditionalFormatting sqref="E25">
    <cfRule type="duplicateValues" dxfId="13" priority="427"/>
  </conditionalFormatting>
  <conditionalFormatting sqref="E25">
    <cfRule type="duplicateValues" dxfId="12" priority="428"/>
    <cfRule type="duplicateValues" dxfId="11" priority="429"/>
  </conditionalFormatting>
  <conditionalFormatting sqref="C27:C37">
    <cfRule type="duplicateValues" dxfId="10" priority="4"/>
  </conditionalFormatting>
  <conditionalFormatting sqref="C27:C37">
    <cfRule type="duplicateValues" dxfId="9" priority="5"/>
  </conditionalFormatting>
  <conditionalFormatting sqref="B22:B24">
    <cfRule type="duplicateValues" dxfId="8" priority="1"/>
  </conditionalFormatting>
  <conditionalFormatting sqref="B22:B24">
    <cfRule type="duplicateValues" dxfId="7" priority="2"/>
  </conditionalFormatting>
  <conditionalFormatting sqref="B22:B24">
    <cfRule type="duplicateValues" dxfId="6" priority="3"/>
  </conditionalFormatting>
  <conditionalFormatting sqref="E10:E24">
    <cfRule type="duplicateValues" dxfId="5" priority="444"/>
  </conditionalFormatting>
  <conditionalFormatting sqref="E10:E24">
    <cfRule type="duplicateValues" dxfId="4" priority="446"/>
    <cfRule type="duplicateValues" dxfId="3" priority="447"/>
  </conditionalFormatting>
  <conditionalFormatting sqref="B10:B21 E10:E24">
    <cfRule type="duplicateValues" dxfId="2" priority="450"/>
  </conditionalFormatting>
  <conditionalFormatting sqref="B10:B21">
    <cfRule type="duplicateValues" dxfId="1" priority="454"/>
  </conditionalFormatting>
  <conditionalFormatting sqref="B10:B21">
    <cfRule type="duplicateValues" dxfId="0" priority="456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2"/>
  <sheetViews>
    <sheetView tabSelected="1" topLeftCell="A130" workbookViewId="0">
      <selection activeCell="B129" sqref="B129"/>
    </sheetView>
  </sheetViews>
  <sheetFormatPr baseColWidth="10" defaultRowHeight="14.4" x14ac:dyDescent="0.3"/>
  <cols>
    <col min="1" max="1" width="46.5546875" bestFit="1" customWidth="1"/>
    <col min="2" max="2" width="11.6640625" style="498" bestFit="1" customWidth="1"/>
    <col min="3" max="3" width="19.33203125" bestFit="1" customWidth="1"/>
    <col min="4" max="4" width="20.88671875" bestFit="1" customWidth="1"/>
    <col min="7" max="7" width="20.109375" bestFit="1" customWidth="1"/>
  </cols>
  <sheetData>
    <row r="1" spans="1:10" ht="18.600000000000001" customHeight="1" thickBot="1" x14ac:dyDescent="0.4">
      <c r="A1" s="444" t="s">
        <v>178</v>
      </c>
      <c r="B1" s="444"/>
      <c r="C1" s="444"/>
      <c r="D1" s="444"/>
      <c r="E1" s="444"/>
      <c r="F1" s="444"/>
      <c r="G1" s="444"/>
      <c r="H1" s="226"/>
      <c r="I1" s="227"/>
      <c r="J1" s="227"/>
    </row>
    <row r="2" spans="1:10" ht="15" thickBot="1" x14ac:dyDescent="0.35">
      <c r="A2" s="445"/>
      <c r="B2" s="445"/>
      <c r="C2" s="445"/>
      <c r="D2" s="333"/>
      <c r="E2" s="333"/>
      <c r="F2" s="333"/>
      <c r="G2" s="333"/>
      <c r="H2" s="227"/>
      <c r="I2" s="227"/>
      <c r="J2" s="227"/>
    </row>
    <row r="3" spans="1:10" ht="15" thickBot="1" x14ac:dyDescent="0.35">
      <c r="A3" s="446" t="s">
        <v>179</v>
      </c>
      <c r="B3" s="447"/>
      <c r="C3" s="447"/>
      <c r="D3" s="447"/>
      <c r="E3" s="447"/>
      <c r="F3" s="333"/>
      <c r="G3" s="333"/>
      <c r="H3" s="227"/>
      <c r="I3" s="227"/>
      <c r="J3" s="227"/>
    </row>
    <row r="4" spans="1:10" ht="15" thickBot="1" x14ac:dyDescent="0.35">
      <c r="A4" s="333"/>
      <c r="B4" s="333"/>
      <c r="C4" s="333"/>
      <c r="D4" s="333"/>
      <c r="E4" s="333"/>
      <c r="F4" s="333"/>
      <c r="G4" s="333"/>
      <c r="H4" s="227"/>
      <c r="I4" s="227"/>
      <c r="J4" s="227"/>
    </row>
    <row r="5" spans="1:10" ht="15" thickBot="1" x14ac:dyDescent="0.35">
      <c r="A5" s="337" t="s">
        <v>180</v>
      </c>
      <c r="B5" s="337" t="s">
        <v>181</v>
      </c>
      <c r="C5" s="337" t="s">
        <v>182</v>
      </c>
      <c r="D5" s="337" t="s">
        <v>183</v>
      </c>
      <c r="E5" s="337" t="s">
        <v>184</v>
      </c>
      <c r="F5" s="333"/>
      <c r="G5" s="333"/>
      <c r="H5" s="227"/>
      <c r="I5" s="227"/>
      <c r="J5" s="227"/>
    </row>
    <row r="6" spans="1:10" x14ac:dyDescent="0.3">
      <c r="A6" s="338" t="s">
        <v>185</v>
      </c>
      <c r="B6" s="339" t="s">
        <v>186</v>
      </c>
      <c r="C6" s="340" t="s">
        <v>187</v>
      </c>
      <c r="D6" s="341" t="s">
        <v>188</v>
      </c>
      <c r="E6" s="342">
        <v>2007</v>
      </c>
      <c r="F6" s="333"/>
      <c r="G6" s="333"/>
      <c r="H6" s="227"/>
      <c r="I6" s="227"/>
      <c r="J6" s="227"/>
    </row>
    <row r="7" spans="1:10" x14ac:dyDescent="0.3">
      <c r="A7" s="338" t="s">
        <v>189</v>
      </c>
      <c r="B7" s="339" t="s">
        <v>190</v>
      </c>
      <c r="C7" s="340" t="s">
        <v>191</v>
      </c>
      <c r="D7" s="340" t="s">
        <v>192</v>
      </c>
      <c r="E7" s="342">
        <v>2008</v>
      </c>
      <c r="F7" s="333"/>
      <c r="G7" s="333"/>
      <c r="H7" s="227"/>
      <c r="I7" s="227"/>
      <c r="J7" s="227"/>
    </row>
    <row r="8" spans="1:10" x14ac:dyDescent="0.3">
      <c r="A8" s="343" t="s">
        <v>193</v>
      </c>
      <c r="B8" s="344" t="s">
        <v>194</v>
      </c>
      <c r="C8" s="341" t="s">
        <v>195</v>
      </c>
      <c r="D8" s="341" t="s">
        <v>196</v>
      </c>
      <c r="E8" s="345">
        <v>2011</v>
      </c>
      <c r="F8" s="333"/>
      <c r="G8" s="333"/>
      <c r="H8" s="227"/>
      <c r="I8" s="227"/>
      <c r="J8" s="227"/>
    </row>
    <row r="9" spans="1:10" x14ac:dyDescent="0.3">
      <c r="A9" s="346" t="s">
        <v>197</v>
      </c>
      <c r="B9" s="347" t="s">
        <v>198</v>
      </c>
      <c r="C9" s="348" t="s">
        <v>199</v>
      </c>
      <c r="D9" s="348" t="s">
        <v>200</v>
      </c>
      <c r="E9" s="349">
        <v>2012</v>
      </c>
      <c r="F9" s="333"/>
      <c r="G9" s="333"/>
      <c r="H9" s="227"/>
      <c r="I9" s="227"/>
      <c r="J9" s="227"/>
    </row>
    <row r="10" spans="1:10" x14ac:dyDescent="0.3">
      <c r="A10" s="350" t="s">
        <v>201</v>
      </c>
      <c r="B10" s="347" t="s">
        <v>202</v>
      </c>
      <c r="C10" s="348" t="s">
        <v>203</v>
      </c>
      <c r="D10" s="348" t="s">
        <v>204</v>
      </c>
      <c r="E10" s="349">
        <v>2012</v>
      </c>
      <c r="F10" s="333"/>
      <c r="G10" s="333"/>
      <c r="H10" s="227"/>
      <c r="I10" s="227"/>
      <c r="J10" s="227"/>
    </row>
    <row r="11" spans="1:10" x14ac:dyDescent="0.3">
      <c r="A11" s="351" t="s">
        <v>205</v>
      </c>
      <c r="B11" s="352" t="s">
        <v>206</v>
      </c>
      <c r="C11" s="341">
        <v>7250728</v>
      </c>
      <c r="D11" s="341" t="s">
        <v>207</v>
      </c>
      <c r="E11" s="345">
        <v>2016</v>
      </c>
      <c r="F11" s="333"/>
      <c r="G11" s="333"/>
      <c r="H11" s="227"/>
      <c r="I11" s="227"/>
      <c r="J11" s="227"/>
    </row>
    <row r="12" spans="1:10" x14ac:dyDescent="0.3">
      <c r="A12" s="353" t="s">
        <v>208</v>
      </c>
      <c r="B12" s="347" t="s">
        <v>209</v>
      </c>
      <c r="C12" s="348" t="s">
        <v>210</v>
      </c>
      <c r="D12" s="348" t="s">
        <v>211</v>
      </c>
      <c r="E12" s="349">
        <v>2017</v>
      </c>
      <c r="F12" s="333"/>
      <c r="G12" s="333"/>
      <c r="H12" s="227"/>
      <c r="I12" s="227"/>
      <c r="J12" s="227"/>
    </row>
    <row r="13" spans="1:10" ht="15" thickBot="1" x14ac:dyDescent="0.35">
      <c r="A13" s="354" t="s">
        <v>189</v>
      </c>
      <c r="B13" s="355" t="s">
        <v>212</v>
      </c>
      <c r="C13" s="356" t="s">
        <v>213</v>
      </c>
      <c r="D13" s="356" t="s">
        <v>214</v>
      </c>
      <c r="E13" s="357">
        <v>2020</v>
      </c>
      <c r="F13" s="333"/>
      <c r="G13" s="333"/>
      <c r="H13" s="227"/>
      <c r="I13" s="227"/>
      <c r="J13" s="227"/>
    </row>
    <row r="14" spans="1:10" ht="15" thickBot="1" x14ac:dyDescent="0.35">
      <c r="A14" s="358"/>
      <c r="B14" s="359"/>
      <c r="C14" s="359"/>
      <c r="D14" s="359"/>
      <c r="E14" s="359"/>
      <c r="F14" s="333"/>
      <c r="G14" s="333"/>
      <c r="H14" s="227"/>
      <c r="I14" s="227"/>
      <c r="J14" s="227"/>
    </row>
    <row r="15" spans="1:10" ht="15" thickBot="1" x14ac:dyDescent="0.35">
      <c r="A15" s="446" t="s">
        <v>215</v>
      </c>
      <c r="B15" s="447"/>
      <c r="C15" s="447"/>
      <c r="D15" s="447"/>
      <c r="E15" s="447"/>
      <c r="F15" s="333"/>
      <c r="G15" s="333"/>
      <c r="H15" s="227"/>
      <c r="I15" s="227"/>
      <c r="J15" s="227"/>
    </row>
    <row r="16" spans="1:10" ht="15" thickBot="1" x14ac:dyDescent="0.35">
      <c r="A16" s="333"/>
      <c r="B16" s="333"/>
      <c r="C16" s="335"/>
      <c r="D16" s="335"/>
      <c r="E16" s="333"/>
      <c r="F16" s="333"/>
      <c r="G16" s="333"/>
      <c r="H16" s="227"/>
      <c r="I16" s="227"/>
      <c r="J16" s="227"/>
    </row>
    <row r="17" spans="1:10" ht="15" thickBot="1" x14ac:dyDescent="0.35">
      <c r="A17" s="337" t="s">
        <v>180</v>
      </c>
      <c r="B17" s="337" t="s">
        <v>181</v>
      </c>
      <c r="C17" s="337" t="s">
        <v>182</v>
      </c>
      <c r="D17" s="336" t="s">
        <v>183</v>
      </c>
      <c r="E17" s="337" t="s">
        <v>184</v>
      </c>
      <c r="F17" s="333"/>
      <c r="G17" s="333"/>
      <c r="H17" s="227"/>
      <c r="I17" s="227"/>
      <c r="J17" s="227"/>
    </row>
    <row r="18" spans="1:10" x14ac:dyDescent="0.3">
      <c r="A18" s="360" t="s">
        <v>216</v>
      </c>
      <c r="B18" s="361" t="s">
        <v>217</v>
      </c>
      <c r="C18" s="362">
        <v>7250726</v>
      </c>
      <c r="D18" s="363" t="s">
        <v>218</v>
      </c>
      <c r="E18" s="363">
        <v>2016</v>
      </c>
      <c r="F18" s="333"/>
      <c r="G18" s="333"/>
      <c r="H18" s="227"/>
      <c r="I18" s="227"/>
      <c r="J18" s="227"/>
    </row>
    <row r="19" spans="1:10" x14ac:dyDescent="0.3">
      <c r="A19" s="364" t="s">
        <v>216</v>
      </c>
      <c r="B19" s="365" t="s">
        <v>219</v>
      </c>
      <c r="C19" s="348">
        <v>7250640</v>
      </c>
      <c r="D19" s="349" t="s">
        <v>220</v>
      </c>
      <c r="E19" s="349">
        <v>2016</v>
      </c>
      <c r="F19" s="333"/>
      <c r="G19" s="333"/>
      <c r="H19" s="227"/>
      <c r="I19" s="227"/>
      <c r="J19" s="227"/>
    </row>
    <row r="20" spans="1:10" x14ac:dyDescent="0.3">
      <c r="A20" s="366" t="s">
        <v>221</v>
      </c>
      <c r="B20" s="367" t="s">
        <v>222</v>
      </c>
      <c r="C20" s="368">
        <v>7166125</v>
      </c>
      <c r="D20" s="342" t="s">
        <v>223</v>
      </c>
      <c r="E20" s="369">
        <v>2014</v>
      </c>
      <c r="F20" s="333"/>
      <c r="G20" s="333"/>
      <c r="H20" s="227"/>
      <c r="I20" s="227"/>
      <c r="J20" s="227"/>
    </row>
    <row r="21" spans="1:10" x14ac:dyDescent="0.3">
      <c r="A21" s="370" t="s">
        <v>224</v>
      </c>
      <c r="B21" s="365" t="s">
        <v>225</v>
      </c>
      <c r="C21" s="371" t="s">
        <v>226</v>
      </c>
      <c r="D21" s="349" t="s">
        <v>227</v>
      </c>
      <c r="E21" s="372">
        <v>2007</v>
      </c>
      <c r="F21" s="333"/>
      <c r="G21" s="333"/>
      <c r="H21" s="227"/>
      <c r="I21" s="227"/>
      <c r="J21" s="227"/>
    </row>
    <row r="22" spans="1:10" ht="15" thickBot="1" x14ac:dyDescent="0.35">
      <c r="A22" s="333"/>
      <c r="B22" s="333"/>
      <c r="C22" s="333"/>
      <c r="D22" s="333"/>
      <c r="E22" s="333"/>
      <c r="F22" s="333"/>
      <c r="G22" s="333"/>
      <c r="H22" s="227"/>
      <c r="I22" s="227"/>
      <c r="J22" s="227"/>
    </row>
    <row r="23" spans="1:10" ht="15" thickBot="1" x14ac:dyDescent="0.35">
      <c r="A23" s="446" t="s">
        <v>228</v>
      </c>
      <c r="B23" s="447"/>
      <c r="C23" s="447"/>
      <c r="D23" s="447"/>
      <c r="E23" s="447"/>
      <c r="F23" s="333"/>
      <c r="G23" s="333"/>
      <c r="H23" s="227"/>
      <c r="I23" s="227"/>
      <c r="J23" s="227"/>
    </row>
    <row r="24" spans="1:10" ht="15" thickBot="1" x14ac:dyDescent="0.35">
      <c r="A24" s="333"/>
      <c r="B24" s="334"/>
      <c r="C24" s="333"/>
      <c r="D24" s="333"/>
      <c r="E24" s="333"/>
      <c r="F24" s="333"/>
      <c r="G24" s="333"/>
      <c r="H24" s="227"/>
      <c r="I24" s="227"/>
      <c r="J24" s="227"/>
    </row>
    <row r="25" spans="1:10" ht="15" thickBot="1" x14ac:dyDescent="0.35">
      <c r="A25" s="373" t="s">
        <v>180</v>
      </c>
      <c r="B25" s="373" t="s">
        <v>181</v>
      </c>
      <c r="C25" s="373" t="s">
        <v>182</v>
      </c>
      <c r="D25" s="373" t="s">
        <v>183</v>
      </c>
      <c r="E25" s="373" t="s">
        <v>184</v>
      </c>
      <c r="F25" s="333"/>
      <c r="G25" s="333"/>
      <c r="H25" s="227"/>
      <c r="I25" s="227"/>
      <c r="J25" s="227"/>
    </row>
    <row r="26" spans="1:10" x14ac:dyDescent="0.3">
      <c r="A26" s="374" t="s">
        <v>229</v>
      </c>
      <c r="B26" s="375" t="s">
        <v>230</v>
      </c>
      <c r="C26" s="376" t="s">
        <v>231</v>
      </c>
      <c r="D26" s="376" t="s">
        <v>232</v>
      </c>
      <c r="E26" s="376">
        <v>2007</v>
      </c>
      <c r="F26" s="333"/>
      <c r="G26" s="333"/>
      <c r="H26" s="227"/>
      <c r="I26" s="227"/>
      <c r="J26" s="227"/>
    </row>
    <row r="27" spans="1:10" x14ac:dyDescent="0.3">
      <c r="A27" s="377" t="s">
        <v>233</v>
      </c>
      <c r="B27" s="378" t="s">
        <v>234</v>
      </c>
      <c r="C27" s="379" t="s">
        <v>235</v>
      </c>
      <c r="D27" s="379" t="s">
        <v>236</v>
      </c>
      <c r="E27" s="379">
        <v>2007</v>
      </c>
      <c r="F27" s="333"/>
      <c r="G27" s="333"/>
      <c r="H27" s="227"/>
      <c r="I27" s="227"/>
      <c r="J27" s="227"/>
    </row>
    <row r="28" spans="1:10" x14ac:dyDescent="0.3">
      <c r="A28" s="350" t="s">
        <v>237</v>
      </c>
      <c r="B28" s="365" t="s">
        <v>238</v>
      </c>
      <c r="C28" s="349">
        <v>7251288</v>
      </c>
      <c r="D28" s="349" t="s">
        <v>239</v>
      </c>
      <c r="E28" s="349">
        <v>2016</v>
      </c>
      <c r="F28" s="333"/>
      <c r="G28" s="333"/>
      <c r="H28" s="227"/>
      <c r="I28" s="227"/>
      <c r="J28" s="227"/>
    </row>
    <row r="29" spans="1:10" x14ac:dyDescent="0.3">
      <c r="A29" s="350" t="s">
        <v>240</v>
      </c>
      <c r="B29" s="365" t="s">
        <v>241</v>
      </c>
      <c r="C29" s="349" t="s">
        <v>242</v>
      </c>
      <c r="D29" s="349" t="s">
        <v>243</v>
      </c>
      <c r="E29" s="349">
        <v>2013</v>
      </c>
      <c r="F29" s="333"/>
      <c r="G29" s="333"/>
      <c r="H29" s="227"/>
      <c r="I29" s="227"/>
      <c r="J29" s="227"/>
    </row>
    <row r="30" spans="1:10" ht="15" thickBot="1" x14ac:dyDescent="0.35">
      <c r="A30" s="354" t="s">
        <v>244</v>
      </c>
      <c r="B30" s="380" t="s">
        <v>245</v>
      </c>
      <c r="C30" s="357">
        <v>40704192268</v>
      </c>
      <c r="D30" s="357" t="s">
        <v>246</v>
      </c>
      <c r="E30" s="357">
        <v>2014</v>
      </c>
      <c r="F30" s="333"/>
      <c r="G30" s="333"/>
      <c r="H30" s="227"/>
      <c r="I30" s="227"/>
      <c r="J30" s="227"/>
    </row>
    <row r="31" spans="1:10" x14ac:dyDescent="0.3">
      <c r="A31" s="333"/>
      <c r="B31" s="333"/>
      <c r="C31" s="333"/>
      <c r="D31" s="333"/>
      <c r="E31" s="333"/>
      <c r="F31" s="333"/>
      <c r="G31" s="333"/>
      <c r="H31" s="227"/>
      <c r="I31" s="227"/>
      <c r="J31" s="227"/>
    </row>
    <row r="32" spans="1:10" ht="15" thickBot="1" x14ac:dyDescent="0.35">
      <c r="A32" s="333"/>
      <c r="B32" s="333"/>
      <c r="C32" s="333"/>
      <c r="D32" s="333"/>
      <c r="E32" s="333"/>
      <c r="F32" s="333"/>
      <c r="G32" s="333"/>
      <c r="H32" s="227"/>
      <c r="I32" s="227"/>
      <c r="J32" s="227"/>
    </row>
    <row r="33" spans="1:10" ht="15" thickBot="1" x14ac:dyDescent="0.35">
      <c r="A33" s="448" t="s">
        <v>454</v>
      </c>
      <c r="B33" s="448"/>
      <c r="C33" s="448"/>
      <c r="D33" s="448"/>
      <c r="E33" s="448"/>
      <c r="F33" s="333"/>
      <c r="G33" s="333"/>
      <c r="H33" s="227"/>
      <c r="I33" s="227"/>
      <c r="J33" s="227"/>
    </row>
    <row r="34" spans="1:10" ht="15" thickBot="1" x14ac:dyDescent="0.35">
      <c r="A34" s="333"/>
      <c r="B34" s="333"/>
      <c r="C34" s="333"/>
      <c r="D34" s="333"/>
      <c r="E34" s="333"/>
      <c r="F34" s="333"/>
      <c r="G34" s="333"/>
      <c r="H34" s="227"/>
      <c r="I34" s="227"/>
      <c r="J34" s="227"/>
    </row>
    <row r="35" spans="1:10" ht="15" thickBot="1" x14ac:dyDescent="0.35">
      <c r="A35" s="373" t="s">
        <v>180</v>
      </c>
      <c r="B35" s="373" t="s">
        <v>181</v>
      </c>
      <c r="C35" s="373" t="s">
        <v>182</v>
      </c>
      <c r="D35" s="373" t="s">
        <v>183</v>
      </c>
      <c r="E35" s="373" t="s">
        <v>184</v>
      </c>
      <c r="F35" s="333"/>
      <c r="G35" s="333"/>
      <c r="H35" s="227"/>
      <c r="I35" s="227"/>
      <c r="J35" s="227"/>
    </row>
    <row r="36" spans="1:10" x14ac:dyDescent="0.3">
      <c r="A36" s="381" t="s">
        <v>247</v>
      </c>
      <c r="B36" s="361" t="s">
        <v>248</v>
      </c>
      <c r="C36" s="363" t="s">
        <v>249</v>
      </c>
      <c r="D36" s="363" t="s">
        <v>250</v>
      </c>
      <c r="E36" s="363">
        <v>2007</v>
      </c>
      <c r="F36" s="333"/>
      <c r="G36" s="333"/>
      <c r="H36" s="227"/>
      <c r="I36" s="227"/>
      <c r="J36" s="227"/>
    </row>
    <row r="37" spans="1:10" x14ac:dyDescent="0.3">
      <c r="A37" s="353" t="s">
        <v>251</v>
      </c>
      <c r="B37" s="365" t="s">
        <v>252</v>
      </c>
      <c r="C37" s="349">
        <v>40704192255</v>
      </c>
      <c r="D37" s="349" t="s">
        <v>253</v>
      </c>
      <c r="E37" s="349">
        <v>1999</v>
      </c>
      <c r="F37" s="333"/>
      <c r="G37" s="333"/>
      <c r="H37" s="227"/>
      <c r="I37" s="227"/>
      <c r="J37" s="227"/>
    </row>
    <row r="38" spans="1:10" x14ac:dyDescent="0.3">
      <c r="A38" s="382" t="s">
        <v>254</v>
      </c>
      <c r="B38" s="378" t="s">
        <v>255</v>
      </c>
      <c r="C38" s="379" t="s">
        <v>256</v>
      </c>
      <c r="D38" s="379" t="s">
        <v>257</v>
      </c>
      <c r="E38" s="379">
        <v>2013</v>
      </c>
      <c r="F38" s="333"/>
      <c r="G38" s="333"/>
      <c r="H38" s="227"/>
      <c r="I38" s="227"/>
      <c r="J38" s="227"/>
    </row>
    <row r="39" spans="1:10" x14ac:dyDescent="0.3">
      <c r="A39" s="343" t="s">
        <v>258</v>
      </c>
      <c r="B39" s="378" t="s">
        <v>259</v>
      </c>
      <c r="C39" s="379">
        <v>7250638</v>
      </c>
      <c r="D39" s="379" t="s">
        <v>260</v>
      </c>
      <c r="E39" s="379">
        <v>2016</v>
      </c>
      <c r="F39" s="333"/>
      <c r="G39" s="333"/>
      <c r="H39" s="227"/>
      <c r="I39" s="227"/>
      <c r="J39" s="227"/>
    </row>
    <row r="40" spans="1:10" x14ac:dyDescent="0.3">
      <c r="A40" s="343" t="s">
        <v>261</v>
      </c>
      <c r="B40" s="378" t="s">
        <v>262</v>
      </c>
      <c r="C40" s="379" t="s">
        <v>263</v>
      </c>
      <c r="D40" s="379" t="s">
        <v>264</v>
      </c>
      <c r="E40" s="379">
        <v>2018</v>
      </c>
      <c r="F40" s="333"/>
      <c r="G40" s="333"/>
      <c r="H40" s="227"/>
      <c r="I40" s="227"/>
      <c r="J40" s="227"/>
    </row>
    <row r="41" spans="1:10" x14ac:dyDescent="0.3">
      <c r="A41" s="343" t="s">
        <v>261</v>
      </c>
      <c r="B41" s="378" t="s">
        <v>265</v>
      </c>
      <c r="C41" s="379" t="s">
        <v>266</v>
      </c>
      <c r="D41" s="379" t="s">
        <v>267</v>
      </c>
      <c r="E41" s="379">
        <v>2018</v>
      </c>
      <c r="F41" s="333"/>
      <c r="G41" s="333"/>
      <c r="H41" s="227"/>
      <c r="I41" s="227"/>
      <c r="J41" s="227"/>
    </row>
    <row r="42" spans="1:10" x14ac:dyDescent="0.3">
      <c r="A42" s="383"/>
      <c r="B42" s="359"/>
      <c r="C42" s="359"/>
      <c r="D42" s="359"/>
      <c r="E42" s="359"/>
      <c r="F42" s="333"/>
      <c r="G42" s="333"/>
      <c r="H42" s="227"/>
      <c r="I42" s="227"/>
      <c r="J42" s="227"/>
    </row>
    <row r="43" spans="1:10" ht="15" thickBot="1" x14ac:dyDescent="0.35">
      <c r="A43" s="333"/>
      <c r="B43" s="333"/>
      <c r="C43" s="333"/>
      <c r="D43" s="333"/>
      <c r="E43" s="333"/>
      <c r="F43" s="333"/>
      <c r="G43" s="333"/>
      <c r="H43" s="227"/>
      <c r="I43" s="227"/>
      <c r="J43" s="227"/>
    </row>
    <row r="44" spans="1:10" ht="15" thickBot="1" x14ac:dyDescent="0.35">
      <c r="A44" s="449" t="s">
        <v>268</v>
      </c>
      <c r="B44" s="448"/>
      <c r="C44" s="448"/>
      <c r="D44" s="448"/>
      <c r="E44" s="448"/>
      <c r="F44" s="333"/>
      <c r="G44" s="333"/>
      <c r="H44" s="227"/>
      <c r="I44" s="227"/>
      <c r="J44" s="227"/>
    </row>
    <row r="45" spans="1:10" ht="15" thickBot="1" x14ac:dyDescent="0.35">
      <c r="A45" s="333"/>
      <c r="B45" s="333"/>
      <c r="C45" s="333"/>
      <c r="D45" s="333"/>
      <c r="E45" s="333"/>
      <c r="F45" s="333"/>
      <c r="G45" s="333"/>
      <c r="H45" s="227"/>
      <c r="I45" s="227"/>
      <c r="J45" s="227"/>
    </row>
    <row r="46" spans="1:10" ht="15" thickBot="1" x14ac:dyDescent="0.35">
      <c r="A46" s="337" t="s">
        <v>180</v>
      </c>
      <c r="B46" s="337" t="s">
        <v>181</v>
      </c>
      <c r="C46" s="337" t="s">
        <v>182</v>
      </c>
      <c r="D46" s="337" t="s">
        <v>183</v>
      </c>
      <c r="E46" s="337" t="s">
        <v>184</v>
      </c>
      <c r="F46" s="333"/>
      <c r="G46" s="333"/>
      <c r="H46" s="227"/>
      <c r="I46" s="227"/>
      <c r="J46" s="227"/>
    </row>
    <row r="47" spans="1:10" x14ac:dyDescent="0.3">
      <c r="A47" s="384" t="s">
        <v>269</v>
      </c>
      <c r="B47" s="385" t="s">
        <v>270</v>
      </c>
      <c r="C47" s="363">
        <v>7167190</v>
      </c>
      <c r="D47" s="386" t="s">
        <v>271</v>
      </c>
      <c r="E47" s="363">
        <v>2013</v>
      </c>
      <c r="F47" s="333"/>
      <c r="G47" s="333"/>
      <c r="H47" s="227"/>
      <c r="I47" s="227"/>
      <c r="J47" s="227"/>
    </row>
    <row r="48" spans="1:10" x14ac:dyDescent="0.3">
      <c r="A48" s="353" t="s">
        <v>272</v>
      </c>
      <c r="B48" s="387" t="s">
        <v>273</v>
      </c>
      <c r="C48" s="388" t="s">
        <v>274</v>
      </c>
      <c r="D48" s="389" t="s">
        <v>275</v>
      </c>
      <c r="E48" s="388">
        <v>2013</v>
      </c>
      <c r="F48" s="333"/>
      <c r="G48" s="333"/>
      <c r="H48" s="227"/>
      <c r="I48" s="227"/>
      <c r="J48" s="227"/>
    </row>
    <row r="49" spans="1:10" x14ac:dyDescent="0.3">
      <c r="A49" s="390" t="s">
        <v>276</v>
      </c>
      <c r="B49" s="391" t="s">
        <v>277</v>
      </c>
      <c r="C49" s="392" t="s">
        <v>278</v>
      </c>
      <c r="D49" s="393" t="s">
        <v>279</v>
      </c>
      <c r="E49" s="392">
        <v>2016</v>
      </c>
      <c r="F49" s="333"/>
      <c r="G49" s="333"/>
      <c r="H49" s="227"/>
      <c r="I49" s="227"/>
      <c r="J49" s="227"/>
    </row>
    <row r="50" spans="1:10" x14ac:dyDescent="0.3">
      <c r="A50" s="394" t="s">
        <v>269</v>
      </c>
      <c r="B50" s="395" t="s">
        <v>280</v>
      </c>
      <c r="C50" s="396">
        <v>7250657</v>
      </c>
      <c r="D50" s="397" t="s">
        <v>281</v>
      </c>
      <c r="E50" s="396">
        <v>2016</v>
      </c>
      <c r="F50" s="333"/>
      <c r="G50" s="333"/>
      <c r="H50" s="227"/>
      <c r="I50" s="227"/>
      <c r="J50" s="227"/>
    </row>
    <row r="51" spans="1:10" ht="26.4" x14ac:dyDescent="0.3">
      <c r="A51" s="353" t="s">
        <v>282</v>
      </c>
      <c r="B51" s="398" t="s">
        <v>283</v>
      </c>
      <c r="C51" s="349">
        <v>37344093481</v>
      </c>
      <c r="D51" s="372" t="s">
        <v>284</v>
      </c>
      <c r="E51" s="349">
        <v>2006</v>
      </c>
      <c r="F51" s="333"/>
      <c r="G51" s="333"/>
      <c r="H51" s="227"/>
      <c r="I51" s="227"/>
      <c r="J51" s="227"/>
    </row>
    <row r="52" spans="1:10" x14ac:dyDescent="0.3">
      <c r="A52" s="343" t="s">
        <v>285</v>
      </c>
      <c r="B52" s="399" t="s">
        <v>286</v>
      </c>
      <c r="C52" s="400">
        <v>40704192455</v>
      </c>
      <c r="D52" s="401" t="s">
        <v>287</v>
      </c>
      <c r="E52" s="400">
        <v>2004</v>
      </c>
      <c r="F52" s="333"/>
      <c r="G52" s="333"/>
      <c r="H52" s="227"/>
      <c r="I52" s="227"/>
      <c r="J52" s="227"/>
    </row>
    <row r="53" spans="1:10" ht="15" thickBot="1" x14ac:dyDescent="0.35">
      <c r="A53" s="333"/>
      <c r="B53" s="333"/>
      <c r="C53" s="333"/>
      <c r="D53" s="333"/>
      <c r="E53" s="333"/>
      <c r="F53" s="333"/>
      <c r="G53" s="333"/>
      <c r="H53" s="227"/>
      <c r="I53" s="227"/>
      <c r="J53" s="227"/>
    </row>
    <row r="54" spans="1:10" ht="15" thickBot="1" x14ac:dyDescent="0.35">
      <c r="A54" s="449" t="s">
        <v>288</v>
      </c>
      <c r="B54" s="448"/>
      <c r="C54" s="448"/>
      <c r="D54" s="448"/>
      <c r="E54" s="448"/>
      <c r="F54" s="333"/>
      <c r="G54" s="333"/>
      <c r="H54" s="227"/>
      <c r="I54" s="227"/>
      <c r="J54" s="227"/>
    </row>
    <row r="55" spans="1:10" ht="15" thickBot="1" x14ac:dyDescent="0.35">
      <c r="A55" s="333"/>
      <c r="B55" s="334"/>
      <c r="C55" s="333"/>
      <c r="D55" s="333"/>
      <c r="E55" s="333"/>
      <c r="F55" s="333"/>
      <c r="G55" s="333"/>
      <c r="H55" s="227"/>
      <c r="I55" s="227"/>
      <c r="J55" s="227"/>
    </row>
    <row r="56" spans="1:10" ht="15" thickBot="1" x14ac:dyDescent="0.35">
      <c r="A56" s="337" t="s">
        <v>180</v>
      </c>
      <c r="B56" s="337" t="s">
        <v>181</v>
      </c>
      <c r="C56" s="337" t="s">
        <v>182</v>
      </c>
      <c r="D56" s="337" t="s">
        <v>183</v>
      </c>
      <c r="E56" s="337" t="s">
        <v>184</v>
      </c>
      <c r="F56" s="333"/>
      <c r="G56" s="333"/>
      <c r="H56" s="227"/>
      <c r="I56" s="227"/>
      <c r="J56" s="227"/>
    </row>
    <row r="57" spans="1:10" x14ac:dyDescent="0.3">
      <c r="A57" s="366" t="s">
        <v>289</v>
      </c>
      <c r="B57" s="367" t="s">
        <v>290</v>
      </c>
      <c r="C57" s="402" t="s">
        <v>291</v>
      </c>
      <c r="D57" s="342" t="s">
        <v>292</v>
      </c>
      <c r="E57" s="342">
        <v>2012</v>
      </c>
      <c r="F57" s="333"/>
      <c r="G57" s="333"/>
      <c r="H57" s="227"/>
      <c r="I57" s="227"/>
      <c r="J57" s="227"/>
    </row>
    <row r="58" spans="1:10" x14ac:dyDescent="0.3">
      <c r="A58" s="370" t="s">
        <v>258</v>
      </c>
      <c r="B58" s="403" t="s">
        <v>293</v>
      </c>
      <c r="C58" s="404">
        <v>7250764</v>
      </c>
      <c r="D58" s="349" t="s">
        <v>294</v>
      </c>
      <c r="E58" s="349">
        <v>2016</v>
      </c>
      <c r="F58" s="333"/>
      <c r="G58" s="333"/>
      <c r="H58" s="227"/>
      <c r="I58" s="227"/>
      <c r="J58" s="227"/>
    </row>
    <row r="59" spans="1:10" x14ac:dyDescent="0.3">
      <c r="A59" s="405" t="s">
        <v>258</v>
      </c>
      <c r="B59" s="406" t="s">
        <v>295</v>
      </c>
      <c r="C59" s="407">
        <v>7250709</v>
      </c>
      <c r="D59" s="379" t="s">
        <v>296</v>
      </c>
      <c r="E59" s="379">
        <v>2016</v>
      </c>
      <c r="F59" s="333"/>
      <c r="G59" s="333"/>
      <c r="H59" s="227"/>
      <c r="I59" s="227"/>
      <c r="J59" s="227"/>
    </row>
    <row r="60" spans="1:10" x14ac:dyDescent="0.3">
      <c r="A60" s="370" t="s">
        <v>297</v>
      </c>
      <c r="B60" s="403" t="s">
        <v>298</v>
      </c>
      <c r="C60" s="404" t="s">
        <v>299</v>
      </c>
      <c r="D60" s="349" t="s">
        <v>300</v>
      </c>
      <c r="E60" s="349">
        <v>2020</v>
      </c>
      <c r="F60" s="333"/>
      <c r="G60" s="333"/>
      <c r="H60" s="227"/>
      <c r="I60" s="227"/>
      <c r="J60" s="227"/>
    </row>
    <row r="61" spans="1:10" x14ac:dyDescent="0.3">
      <c r="A61" s="333"/>
      <c r="B61" s="333"/>
      <c r="C61" s="333"/>
      <c r="D61" s="333"/>
      <c r="E61" s="333"/>
      <c r="F61" s="333"/>
      <c r="G61" s="333"/>
      <c r="H61" s="227"/>
      <c r="I61" s="227"/>
      <c r="J61" s="227"/>
    </row>
    <row r="62" spans="1:10" ht="15" thickBot="1" x14ac:dyDescent="0.35">
      <c r="A62" s="333"/>
      <c r="B62" s="333"/>
      <c r="C62" s="333"/>
      <c r="D62" s="333"/>
      <c r="E62" s="333"/>
      <c r="F62" s="333"/>
      <c r="G62" s="333"/>
      <c r="H62" s="227"/>
      <c r="I62" s="227"/>
      <c r="J62" s="227"/>
    </row>
    <row r="63" spans="1:10" ht="15" thickBot="1" x14ac:dyDescent="0.35">
      <c r="A63" s="449" t="s">
        <v>301</v>
      </c>
      <c r="B63" s="448"/>
      <c r="C63" s="448"/>
      <c r="D63" s="448"/>
      <c r="E63" s="448"/>
      <c r="F63" s="333"/>
      <c r="G63" s="333"/>
      <c r="H63" s="227"/>
      <c r="I63" s="227"/>
      <c r="J63" s="227"/>
    </row>
    <row r="64" spans="1:10" ht="15" thickBot="1" x14ac:dyDescent="0.35">
      <c r="A64" s="333"/>
      <c r="B64" s="333"/>
      <c r="C64" s="334"/>
      <c r="D64" s="333"/>
      <c r="E64" s="333"/>
      <c r="F64" s="333"/>
      <c r="G64" s="333"/>
      <c r="H64" s="227"/>
      <c r="I64" s="227"/>
      <c r="J64" s="227"/>
    </row>
    <row r="65" spans="1:10" x14ac:dyDescent="0.3">
      <c r="A65" s="373" t="s">
        <v>180</v>
      </c>
      <c r="B65" s="373" t="s">
        <v>181</v>
      </c>
      <c r="C65" s="373" t="s">
        <v>182</v>
      </c>
      <c r="D65" s="373" t="s">
        <v>183</v>
      </c>
      <c r="E65" s="373" t="s">
        <v>184</v>
      </c>
      <c r="F65" s="333"/>
      <c r="G65" s="333"/>
      <c r="H65" s="227"/>
      <c r="I65" s="227"/>
      <c r="J65" s="227"/>
    </row>
    <row r="66" spans="1:10" x14ac:dyDescent="0.3">
      <c r="A66" s="408" t="s">
        <v>302</v>
      </c>
      <c r="B66" s="409" t="s">
        <v>303</v>
      </c>
      <c r="C66" s="410" t="s">
        <v>304</v>
      </c>
      <c r="D66" s="388" t="s">
        <v>305</v>
      </c>
      <c r="E66" s="388">
        <v>2013</v>
      </c>
      <c r="F66" s="333"/>
      <c r="G66" s="333"/>
      <c r="H66" s="227"/>
      <c r="I66" s="227"/>
      <c r="J66" s="227"/>
    </row>
    <row r="67" spans="1:10" x14ac:dyDescent="0.3">
      <c r="A67" s="411" t="s">
        <v>306</v>
      </c>
      <c r="B67" s="412" t="s">
        <v>307</v>
      </c>
      <c r="C67" s="413">
        <v>7167101</v>
      </c>
      <c r="D67" s="400" t="s">
        <v>308</v>
      </c>
      <c r="E67" s="400">
        <v>2013</v>
      </c>
      <c r="F67" s="333"/>
      <c r="G67" s="333"/>
      <c r="H67" s="227"/>
      <c r="I67" s="227"/>
      <c r="J67" s="227"/>
    </row>
    <row r="68" spans="1:10" x14ac:dyDescent="0.3">
      <c r="A68" s="411" t="s">
        <v>309</v>
      </c>
      <c r="B68" s="412" t="s">
        <v>310</v>
      </c>
      <c r="C68" s="413" t="s">
        <v>311</v>
      </c>
      <c r="D68" s="400" t="s">
        <v>312</v>
      </c>
      <c r="E68" s="400">
        <v>2007</v>
      </c>
      <c r="F68" s="333"/>
      <c r="G68" s="333"/>
      <c r="H68" s="227"/>
      <c r="I68" s="227"/>
      <c r="J68" s="227"/>
    </row>
    <row r="69" spans="1:10" x14ac:dyDescent="0.3">
      <c r="A69" s="408" t="s">
        <v>313</v>
      </c>
      <c r="B69" s="409" t="s">
        <v>314</v>
      </c>
      <c r="C69" s="410" t="s">
        <v>315</v>
      </c>
      <c r="D69" s="388" t="s">
        <v>316</v>
      </c>
      <c r="E69" s="388">
        <v>2012</v>
      </c>
      <c r="F69" s="333"/>
      <c r="G69" s="333"/>
      <c r="H69" s="227"/>
      <c r="I69" s="227"/>
      <c r="J69" s="227"/>
    </row>
    <row r="70" spans="1:10" x14ac:dyDescent="0.3">
      <c r="A70" s="408" t="s">
        <v>317</v>
      </c>
      <c r="B70" s="409" t="s">
        <v>318</v>
      </c>
      <c r="C70" s="371">
        <v>7250706</v>
      </c>
      <c r="D70" s="388" t="s">
        <v>319</v>
      </c>
      <c r="E70" s="388">
        <v>2016</v>
      </c>
      <c r="F70" s="333"/>
      <c r="G70" s="333"/>
      <c r="H70" s="227"/>
      <c r="I70" s="227"/>
      <c r="J70" s="227"/>
    </row>
    <row r="71" spans="1:10" x14ac:dyDescent="0.3">
      <c r="A71" s="333"/>
      <c r="B71" s="333"/>
      <c r="C71" s="333"/>
      <c r="D71" s="333"/>
      <c r="E71" s="333"/>
      <c r="F71" s="333"/>
      <c r="G71" s="333"/>
      <c r="H71" s="227"/>
      <c r="I71" s="227"/>
      <c r="J71" s="227"/>
    </row>
    <row r="72" spans="1:10" ht="15" thickBot="1" x14ac:dyDescent="0.35">
      <c r="A72" s="333"/>
      <c r="B72" s="333"/>
      <c r="C72" s="333"/>
      <c r="D72" s="333"/>
      <c r="E72" s="333"/>
      <c r="F72" s="333"/>
      <c r="G72" s="333"/>
      <c r="H72" s="227"/>
      <c r="I72" s="227"/>
      <c r="J72" s="227"/>
    </row>
    <row r="73" spans="1:10" ht="15" thickBot="1" x14ac:dyDescent="0.35">
      <c r="A73" s="449" t="s">
        <v>322</v>
      </c>
      <c r="B73" s="448"/>
      <c r="C73" s="448"/>
      <c r="D73" s="448"/>
      <c r="E73" s="448"/>
      <c r="F73" s="333"/>
      <c r="G73" s="333"/>
      <c r="H73" s="227"/>
      <c r="I73" s="227"/>
      <c r="J73" s="227"/>
    </row>
    <row r="74" spans="1:10" ht="15" thickBot="1" x14ac:dyDescent="0.35">
      <c r="A74" s="333"/>
      <c r="B74" s="333"/>
      <c r="C74" s="333"/>
      <c r="D74" s="333"/>
      <c r="E74" s="333"/>
      <c r="F74" s="333"/>
      <c r="G74" s="333"/>
      <c r="H74" s="227"/>
      <c r="I74" s="227"/>
      <c r="J74" s="227"/>
    </row>
    <row r="75" spans="1:10" ht="15" thickBot="1" x14ac:dyDescent="0.35">
      <c r="A75" s="337" t="s">
        <v>180</v>
      </c>
      <c r="B75" s="337" t="s">
        <v>181</v>
      </c>
      <c r="C75" s="337" t="s">
        <v>182</v>
      </c>
      <c r="D75" s="337" t="s">
        <v>183</v>
      </c>
      <c r="E75" s="337" t="s">
        <v>184</v>
      </c>
      <c r="F75" s="333"/>
      <c r="G75" s="333"/>
      <c r="H75" s="227"/>
      <c r="I75" s="227"/>
      <c r="J75" s="227"/>
    </row>
    <row r="76" spans="1:10" x14ac:dyDescent="0.3">
      <c r="A76" s="414" t="s">
        <v>323</v>
      </c>
      <c r="B76" s="415" t="s">
        <v>324</v>
      </c>
      <c r="C76" s="376">
        <v>7167125</v>
      </c>
      <c r="D76" s="416" t="s">
        <v>325</v>
      </c>
      <c r="E76" s="376">
        <v>2014</v>
      </c>
      <c r="F76" s="333"/>
      <c r="G76" s="333"/>
      <c r="H76" s="227"/>
      <c r="I76" s="227"/>
      <c r="J76" s="227"/>
    </row>
    <row r="77" spans="1:10" x14ac:dyDescent="0.3">
      <c r="A77" s="343" t="s">
        <v>326</v>
      </c>
      <c r="B77" s="344" t="s">
        <v>327</v>
      </c>
      <c r="C77" s="379" t="s">
        <v>328</v>
      </c>
      <c r="D77" s="417" t="s">
        <v>329</v>
      </c>
      <c r="E77" s="379">
        <v>2014</v>
      </c>
      <c r="F77" s="333"/>
      <c r="G77" s="333"/>
      <c r="H77" s="227"/>
      <c r="I77" s="227"/>
      <c r="J77" s="227"/>
    </row>
    <row r="78" spans="1:10" x14ac:dyDescent="0.3">
      <c r="A78" s="353" t="s">
        <v>330</v>
      </c>
      <c r="B78" s="347" t="s">
        <v>331</v>
      </c>
      <c r="C78" s="349" t="s">
        <v>332</v>
      </c>
      <c r="D78" s="371" t="s">
        <v>333</v>
      </c>
      <c r="E78" s="349">
        <v>2015</v>
      </c>
      <c r="F78" s="333"/>
      <c r="G78" s="333"/>
      <c r="H78" s="227"/>
      <c r="I78" s="227"/>
      <c r="J78" s="227"/>
    </row>
    <row r="79" spans="1:10" x14ac:dyDescent="0.3">
      <c r="A79" s="418" t="s">
        <v>323</v>
      </c>
      <c r="B79" s="344" t="s">
        <v>334</v>
      </c>
      <c r="C79" s="379">
        <v>7250752</v>
      </c>
      <c r="D79" s="417" t="s">
        <v>335</v>
      </c>
      <c r="E79" s="379">
        <v>2016</v>
      </c>
      <c r="F79" s="333"/>
      <c r="G79" s="333"/>
      <c r="H79" s="227"/>
      <c r="I79" s="227"/>
      <c r="J79" s="227"/>
    </row>
    <row r="80" spans="1:10" ht="15" thickBot="1" x14ac:dyDescent="0.35">
      <c r="A80" s="419" t="s">
        <v>336</v>
      </c>
      <c r="B80" s="355" t="s">
        <v>337</v>
      </c>
      <c r="C80" s="357" t="s">
        <v>338</v>
      </c>
      <c r="D80" s="420" t="s">
        <v>339</v>
      </c>
      <c r="E80" s="357">
        <v>2019</v>
      </c>
      <c r="F80" s="333"/>
      <c r="G80" s="333"/>
      <c r="H80" s="227"/>
      <c r="I80" s="227"/>
      <c r="J80" s="227"/>
    </row>
    <row r="81" spans="1:10" x14ac:dyDescent="0.3">
      <c r="A81" s="333"/>
      <c r="B81" s="333"/>
      <c r="C81" s="333"/>
      <c r="D81" s="333"/>
      <c r="E81" s="333"/>
      <c r="F81" s="333"/>
      <c r="G81" s="333"/>
      <c r="H81" s="227"/>
      <c r="I81" s="227"/>
      <c r="J81" s="227"/>
    </row>
    <row r="82" spans="1:10" ht="15" thickBot="1" x14ac:dyDescent="0.35">
      <c r="A82" s="333"/>
      <c r="B82" s="334"/>
      <c r="C82" s="334"/>
      <c r="D82" s="334"/>
      <c r="E82" s="334"/>
      <c r="F82" s="333"/>
      <c r="G82" s="333"/>
      <c r="H82" s="227"/>
      <c r="I82" s="227"/>
      <c r="J82" s="227"/>
    </row>
    <row r="83" spans="1:10" ht="15" thickBot="1" x14ac:dyDescent="0.35">
      <c r="A83" s="449" t="s">
        <v>340</v>
      </c>
      <c r="B83" s="448"/>
      <c r="C83" s="448"/>
      <c r="D83" s="448"/>
      <c r="E83" s="448"/>
      <c r="F83" s="333"/>
      <c r="G83" s="333"/>
      <c r="H83" s="227"/>
      <c r="I83" s="227"/>
      <c r="J83" s="227"/>
    </row>
    <row r="84" spans="1:10" ht="15" thickBot="1" x14ac:dyDescent="0.35">
      <c r="A84" s="333"/>
      <c r="B84" s="333"/>
      <c r="C84" s="333"/>
      <c r="D84" s="333"/>
      <c r="E84" s="333"/>
      <c r="F84" s="333"/>
      <c r="G84" s="333"/>
      <c r="H84" s="227"/>
      <c r="I84" s="227"/>
      <c r="J84" s="227"/>
    </row>
    <row r="85" spans="1:10" ht="15" thickBot="1" x14ac:dyDescent="0.35">
      <c r="A85" s="337" t="s">
        <v>180</v>
      </c>
      <c r="B85" s="337" t="s">
        <v>181</v>
      </c>
      <c r="C85" s="337" t="s">
        <v>182</v>
      </c>
      <c r="D85" s="337" t="s">
        <v>183</v>
      </c>
      <c r="E85" s="337" t="s">
        <v>184</v>
      </c>
      <c r="F85" s="333"/>
      <c r="G85" s="333"/>
      <c r="H85" s="227"/>
      <c r="I85" s="227"/>
      <c r="J85" s="227"/>
    </row>
    <row r="86" spans="1:10" x14ac:dyDescent="0.3">
      <c r="A86" s="421" t="s">
        <v>341</v>
      </c>
      <c r="B86" s="422" t="s">
        <v>342</v>
      </c>
      <c r="C86" s="334">
        <v>7155140</v>
      </c>
      <c r="D86" s="394" t="s">
        <v>343</v>
      </c>
      <c r="E86" s="345">
        <v>2013</v>
      </c>
      <c r="F86" s="333"/>
      <c r="G86" s="333"/>
      <c r="H86" s="227"/>
      <c r="I86" s="227"/>
      <c r="J86" s="227"/>
    </row>
    <row r="87" spans="1:10" x14ac:dyDescent="0.3">
      <c r="A87" s="423" t="s">
        <v>344</v>
      </c>
      <c r="B87" s="365" t="s">
        <v>345</v>
      </c>
      <c r="C87" s="404" t="s">
        <v>346</v>
      </c>
      <c r="D87" s="390" t="s">
        <v>347</v>
      </c>
      <c r="E87" s="349">
        <v>2016</v>
      </c>
      <c r="F87" s="333"/>
      <c r="G87" s="333"/>
      <c r="H87" s="227"/>
      <c r="I87" s="227"/>
      <c r="J87" s="227"/>
    </row>
    <row r="88" spans="1:10" x14ac:dyDescent="0.3">
      <c r="A88" s="424" t="s">
        <v>348</v>
      </c>
      <c r="B88" s="378" t="s">
        <v>349</v>
      </c>
      <c r="C88" s="407" t="s">
        <v>350</v>
      </c>
      <c r="D88" s="425" t="s">
        <v>351</v>
      </c>
      <c r="E88" s="379">
        <v>2017</v>
      </c>
      <c r="F88" s="333"/>
      <c r="G88" s="333"/>
      <c r="H88" s="227"/>
      <c r="I88" s="227"/>
      <c r="J88" s="227"/>
    </row>
    <row r="89" spans="1:10" ht="15" thickBot="1" x14ac:dyDescent="0.35">
      <c r="A89" s="421"/>
      <c r="B89" s="359"/>
      <c r="C89" s="359"/>
      <c r="D89" s="359"/>
      <c r="E89" s="359"/>
      <c r="F89" s="333"/>
      <c r="G89" s="333"/>
      <c r="H89" s="227"/>
      <c r="I89" s="227"/>
      <c r="J89" s="227"/>
    </row>
    <row r="90" spans="1:10" ht="15" thickBot="1" x14ac:dyDescent="0.35">
      <c r="A90" s="449" t="s">
        <v>352</v>
      </c>
      <c r="B90" s="448"/>
      <c r="C90" s="448"/>
      <c r="D90" s="448"/>
      <c r="E90" s="448"/>
      <c r="F90" s="333"/>
      <c r="G90" s="333"/>
      <c r="H90" s="227"/>
      <c r="I90" s="227"/>
      <c r="J90" s="227"/>
    </row>
    <row r="91" spans="1:10" ht="15" thickBot="1" x14ac:dyDescent="0.35">
      <c r="A91" s="333"/>
      <c r="B91" s="333"/>
      <c r="C91" s="334"/>
      <c r="D91" s="333"/>
      <c r="E91" s="333"/>
      <c r="F91" s="333"/>
      <c r="G91" s="333"/>
      <c r="H91" s="227"/>
      <c r="I91" s="227"/>
      <c r="J91" s="227"/>
    </row>
    <row r="92" spans="1:10" ht="15" thickBot="1" x14ac:dyDescent="0.35">
      <c r="A92" s="337" t="s">
        <v>180</v>
      </c>
      <c r="B92" s="337" t="s">
        <v>181</v>
      </c>
      <c r="C92" s="337" t="s">
        <v>182</v>
      </c>
      <c r="D92" s="337" t="s">
        <v>183</v>
      </c>
      <c r="E92" s="337" t="s">
        <v>184</v>
      </c>
      <c r="F92" s="333"/>
      <c r="G92" s="333"/>
      <c r="H92" s="227"/>
      <c r="I92" s="227"/>
      <c r="J92" s="227"/>
    </row>
    <row r="93" spans="1:10" x14ac:dyDescent="0.3">
      <c r="A93" s="426" t="s">
        <v>353</v>
      </c>
      <c r="B93" s="375" t="s">
        <v>354</v>
      </c>
      <c r="C93" s="427" t="s">
        <v>355</v>
      </c>
      <c r="D93" s="428" t="s">
        <v>356</v>
      </c>
      <c r="E93" s="376">
        <v>2013</v>
      </c>
      <c r="F93" s="333"/>
      <c r="G93" s="333"/>
      <c r="H93" s="227"/>
      <c r="I93" s="227"/>
      <c r="J93" s="227"/>
    </row>
    <row r="94" spans="1:10" x14ac:dyDescent="0.3">
      <c r="A94" s="353" t="s">
        <v>357</v>
      </c>
      <c r="B94" s="365" t="s">
        <v>358</v>
      </c>
      <c r="C94" s="372" t="s">
        <v>359</v>
      </c>
      <c r="D94" s="348" t="s">
        <v>360</v>
      </c>
      <c r="E94" s="349">
        <v>2013</v>
      </c>
      <c r="F94" s="333"/>
      <c r="G94" s="333"/>
      <c r="H94" s="227"/>
      <c r="I94" s="227"/>
      <c r="J94" s="227"/>
    </row>
    <row r="95" spans="1:10" x14ac:dyDescent="0.3">
      <c r="A95" s="343" t="s">
        <v>361</v>
      </c>
      <c r="B95" s="378" t="s">
        <v>362</v>
      </c>
      <c r="C95" s="429" t="s">
        <v>363</v>
      </c>
      <c r="D95" s="430" t="s">
        <v>364</v>
      </c>
      <c r="E95" s="379">
        <v>2016</v>
      </c>
      <c r="F95" s="333"/>
      <c r="G95" s="333"/>
      <c r="H95" s="227"/>
      <c r="I95" s="227"/>
      <c r="J95" s="227"/>
    </row>
    <row r="96" spans="1:10" ht="15" thickBot="1" x14ac:dyDescent="0.35">
      <c r="A96" s="354" t="s">
        <v>365</v>
      </c>
      <c r="B96" s="380" t="s">
        <v>366</v>
      </c>
      <c r="C96" s="431" t="s">
        <v>367</v>
      </c>
      <c r="D96" s="420" t="s">
        <v>368</v>
      </c>
      <c r="E96" s="357">
        <v>2020</v>
      </c>
      <c r="F96" s="333"/>
      <c r="G96" s="333"/>
      <c r="H96" s="227"/>
      <c r="I96" s="227"/>
      <c r="J96" s="227"/>
    </row>
    <row r="97" spans="1:10" x14ac:dyDescent="0.3">
      <c r="A97" s="421"/>
      <c r="B97" s="359"/>
      <c r="C97" s="359"/>
      <c r="D97" s="359"/>
      <c r="E97" s="359"/>
      <c r="F97" s="333"/>
      <c r="G97" s="333"/>
      <c r="H97" s="227"/>
      <c r="I97" s="227"/>
      <c r="J97" s="227"/>
    </row>
    <row r="98" spans="1:10" ht="15" thickBot="1" x14ac:dyDescent="0.35">
      <c r="A98" s="421"/>
      <c r="B98" s="359"/>
      <c r="C98" s="359"/>
      <c r="D98" s="359"/>
      <c r="E98" s="359"/>
      <c r="F98" s="333"/>
      <c r="G98" s="333"/>
      <c r="H98" s="227"/>
      <c r="I98" s="227"/>
      <c r="J98" s="227"/>
    </row>
    <row r="99" spans="1:10" ht="15" thickBot="1" x14ac:dyDescent="0.35">
      <c r="A99" s="449" t="s">
        <v>369</v>
      </c>
      <c r="B99" s="448"/>
      <c r="C99" s="448"/>
      <c r="D99" s="448"/>
      <c r="E99" s="448"/>
      <c r="F99" s="333"/>
      <c r="G99" s="333"/>
      <c r="H99" s="227"/>
      <c r="I99" s="227"/>
      <c r="J99" s="227"/>
    </row>
    <row r="100" spans="1:10" ht="15" thickBot="1" x14ac:dyDescent="0.35">
      <c r="A100" s="358"/>
      <c r="B100" s="358"/>
      <c r="C100" s="359"/>
      <c r="D100" s="359"/>
      <c r="E100" s="359"/>
      <c r="F100" s="333"/>
      <c r="G100" s="333"/>
      <c r="H100" s="227"/>
      <c r="I100" s="227"/>
      <c r="J100" s="227"/>
    </row>
    <row r="101" spans="1:10" x14ac:dyDescent="0.3">
      <c r="A101" s="384" t="s">
        <v>370</v>
      </c>
      <c r="B101" s="432" t="s">
        <v>371</v>
      </c>
      <c r="C101" s="363" t="s">
        <v>372</v>
      </c>
      <c r="D101" s="362" t="s">
        <v>373</v>
      </c>
      <c r="E101" s="363">
        <v>2015</v>
      </c>
      <c r="F101" s="333"/>
      <c r="G101" s="333"/>
      <c r="H101" s="227"/>
      <c r="I101" s="227"/>
      <c r="J101" s="227"/>
    </row>
    <row r="102" spans="1:10" x14ac:dyDescent="0.3">
      <c r="A102" s="377" t="s">
        <v>374</v>
      </c>
      <c r="B102" s="344" t="s">
        <v>375</v>
      </c>
      <c r="C102" s="379" t="s">
        <v>376</v>
      </c>
      <c r="D102" s="417" t="s">
        <v>377</v>
      </c>
      <c r="E102" s="379">
        <v>2013</v>
      </c>
      <c r="F102" s="333"/>
      <c r="G102" s="333"/>
      <c r="H102" s="227"/>
      <c r="I102" s="227"/>
      <c r="J102" s="227"/>
    </row>
    <row r="103" spans="1:10" x14ac:dyDescent="0.3">
      <c r="A103" s="343" t="s">
        <v>378</v>
      </c>
      <c r="B103" s="344" t="s">
        <v>379</v>
      </c>
      <c r="C103" s="379" t="s">
        <v>380</v>
      </c>
      <c r="D103" s="417" t="s">
        <v>381</v>
      </c>
      <c r="E103" s="379">
        <v>2005</v>
      </c>
      <c r="F103" s="333"/>
      <c r="G103" s="333"/>
      <c r="H103" s="227"/>
      <c r="I103" s="227"/>
      <c r="J103" s="227"/>
    </row>
    <row r="104" spans="1:10" x14ac:dyDescent="0.3">
      <c r="A104" s="353" t="s">
        <v>378</v>
      </c>
      <c r="B104" s="347" t="s">
        <v>382</v>
      </c>
      <c r="C104" s="349" t="s">
        <v>383</v>
      </c>
      <c r="D104" s="371" t="s">
        <v>384</v>
      </c>
      <c r="E104" s="349">
        <v>2005</v>
      </c>
      <c r="F104" s="333"/>
      <c r="G104" s="333"/>
      <c r="H104" s="227"/>
      <c r="I104" s="227"/>
      <c r="J104" s="227"/>
    </row>
    <row r="105" spans="1:10" ht="15" thickBot="1" x14ac:dyDescent="0.35">
      <c r="A105" s="333"/>
      <c r="B105" s="333"/>
      <c r="C105" s="333"/>
      <c r="D105" s="333"/>
      <c r="E105" s="333"/>
      <c r="F105" s="333"/>
      <c r="G105" s="333"/>
      <c r="H105" s="227"/>
      <c r="I105" s="227"/>
      <c r="J105" s="227"/>
    </row>
    <row r="106" spans="1:10" ht="15" thickBot="1" x14ac:dyDescent="0.35">
      <c r="A106" s="449" t="s">
        <v>385</v>
      </c>
      <c r="B106" s="448"/>
      <c r="C106" s="448"/>
      <c r="D106" s="448"/>
      <c r="E106" s="448"/>
      <c r="F106" s="333"/>
      <c r="G106" s="333"/>
      <c r="H106" s="227"/>
      <c r="I106" s="227"/>
      <c r="J106" s="227"/>
    </row>
    <row r="107" spans="1:10" ht="15" thickBot="1" x14ac:dyDescent="0.35">
      <c r="A107" s="333"/>
      <c r="B107" s="333"/>
      <c r="C107" s="333"/>
      <c r="D107" s="333"/>
      <c r="E107" s="333"/>
      <c r="F107" s="333"/>
      <c r="G107" s="333"/>
      <c r="H107" s="227"/>
      <c r="I107" s="227"/>
      <c r="J107" s="227"/>
    </row>
    <row r="108" spans="1:10" ht="15" thickBot="1" x14ac:dyDescent="0.35">
      <c r="A108" s="337" t="s">
        <v>180</v>
      </c>
      <c r="B108" s="337" t="s">
        <v>181</v>
      </c>
      <c r="C108" s="337" t="s">
        <v>182</v>
      </c>
      <c r="D108" s="337" t="s">
        <v>183</v>
      </c>
      <c r="E108" s="337" t="s">
        <v>184</v>
      </c>
      <c r="F108" s="333"/>
      <c r="G108" s="333"/>
      <c r="H108" s="227"/>
      <c r="I108" s="227"/>
      <c r="J108" s="227"/>
    </row>
    <row r="109" spans="1:10" x14ac:dyDescent="0.3">
      <c r="A109" s="353" t="s">
        <v>386</v>
      </c>
      <c r="B109" s="433" t="s">
        <v>387</v>
      </c>
      <c r="C109" s="388">
        <v>7185078</v>
      </c>
      <c r="D109" s="410" t="s">
        <v>388</v>
      </c>
      <c r="E109" s="388">
        <v>2014</v>
      </c>
      <c r="F109" s="333"/>
      <c r="G109" s="333"/>
      <c r="H109" s="227"/>
      <c r="I109" s="227"/>
      <c r="J109" s="227"/>
    </row>
    <row r="110" spans="1:10" x14ac:dyDescent="0.3">
      <c r="A110" s="434" t="s">
        <v>323</v>
      </c>
      <c r="B110" s="378" t="s">
        <v>389</v>
      </c>
      <c r="C110" s="379">
        <v>7252679</v>
      </c>
      <c r="D110" s="379" t="s">
        <v>390</v>
      </c>
      <c r="E110" s="379">
        <v>2016</v>
      </c>
      <c r="F110" s="333"/>
      <c r="G110" s="333"/>
      <c r="H110" s="227"/>
      <c r="I110" s="227"/>
      <c r="J110" s="227"/>
    </row>
    <row r="111" spans="1:10" x14ac:dyDescent="0.3">
      <c r="A111" s="435" t="s">
        <v>391</v>
      </c>
      <c r="B111" s="378" t="s">
        <v>392</v>
      </c>
      <c r="C111" s="417" t="s">
        <v>393</v>
      </c>
      <c r="D111" s="379" t="s">
        <v>394</v>
      </c>
      <c r="E111" s="379">
        <v>2020</v>
      </c>
      <c r="F111" s="333"/>
      <c r="G111" s="333"/>
      <c r="H111" s="227"/>
      <c r="I111" s="227"/>
      <c r="J111" s="227"/>
    </row>
    <row r="112" spans="1:10" ht="15" thickBot="1" x14ac:dyDescent="0.35">
      <c r="A112" s="354" t="s">
        <v>297</v>
      </c>
      <c r="B112" s="436" t="s">
        <v>395</v>
      </c>
      <c r="C112" s="437" t="s">
        <v>396</v>
      </c>
      <c r="D112" s="357" t="s">
        <v>397</v>
      </c>
      <c r="E112" s="357">
        <v>2020</v>
      </c>
      <c r="F112" s="333"/>
      <c r="G112" s="333"/>
      <c r="H112" s="227"/>
      <c r="I112" s="227"/>
      <c r="J112" s="227"/>
    </row>
    <row r="113" spans="1:10" x14ac:dyDescent="0.3">
      <c r="A113" s="383"/>
      <c r="B113" s="359"/>
      <c r="C113" s="359"/>
      <c r="D113" s="438"/>
      <c r="E113" s="359"/>
      <c r="F113" s="333"/>
      <c r="G113" s="333"/>
      <c r="H113" s="227"/>
      <c r="I113" s="227"/>
      <c r="J113" s="227"/>
    </row>
    <row r="114" spans="1:10" ht="15" thickBot="1" x14ac:dyDescent="0.35">
      <c r="A114" s="333"/>
      <c r="B114" s="333"/>
      <c r="C114" s="333"/>
      <c r="D114" s="333"/>
      <c r="E114" s="333"/>
      <c r="F114" s="333"/>
      <c r="G114" s="333"/>
      <c r="H114" s="227"/>
      <c r="I114" s="227"/>
      <c r="J114" s="227"/>
    </row>
    <row r="115" spans="1:10" ht="15" thickBot="1" x14ac:dyDescent="0.35">
      <c r="A115" s="449" t="s">
        <v>398</v>
      </c>
      <c r="B115" s="448"/>
      <c r="C115" s="448"/>
      <c r="D115" s="448"/>
      <c r="E115" s="448"/>
      <c r="F115" s="333"/>
      <c r="G115" s="333"/>
      <c r="H115" s="227"/>
      <c r="I115" s="227"/>
      <c r="J115" s="227"/>
    </row>
    <row r="116" spans="1:10" ht="15" thickBot="1" x14ac:dyDescent="0.35">
      <c r="A116" s="333"/>
      <c r="B116" s="333"/>
      <c r="C116" s="334"/>
      <c r="D116" s="333"/>
      <c r="E116" s="333"/>
      <c r="F116" s="333"/>
      <c r="G116" s="333"/>
      <c r="H116" s="227"/>
      <c r="I116" s="227"/>
      <c r="J116" s="227"/>
    </row>
    <row r="117" spans="1:10" ht="15" thickBot="1" x14ac:dyDescent="0.35">
      <c r="A117" s="337" t="s">
        <v>180</v>
      </c>
      <c r="B117" s="337" t="s">
        <v>181</v>
      </c>
      <c r="C117" s="337" t="s">
        <v>182</v>
      </c>
      <c r="D117" s="337" t="s">
        <v>183</v>
      </c>
      <c r="E117" s="337" t="s">
        <v>184</v>
      </c>
      <c r="F117" s="333"/>
      <c r="G117" s="333"/>
      <c r="H117" s="227"/>
      <c r="I117" s="227"/>
      <c r="J117" s="227"/>
    </row>
    <row r="118" spans="1:10" x14ac:dyDescent="0.3">
      <c r="A118" s="439" t="s">
        <v>399</v>
      </c>
      <c r="B118" s="365" t="s">
        <v>400</v>
      </c>
      <c r="C118" s="371">
        <v>7167242</v>
      </c>
      <c r="D118" s="349" t="s">
        <v>401</v>
      </c>
      <c r="E118" s="349">
        <v>2013</v>
      </c>
      <c r="F118" s="333"/>
      <c r="G118" s="333"/>
      <c r="H118" s="227"/>
      <c r="I118" s="227"/>
      <c r="J118" s="227"/>
    </row>
    <row r="119" spans="1:10" ht="15" thickBot="1" x14ac:dyDescent="0.35">
      <c r="A119" s="440" t="s">
        <v>399</v>
      </c>
      <c r="B119" s="441" t="s">
        <v>402</v>
      </c>
      <c r="C119" s="442">
        <v>7250753</v>
      </c>
      <c r="D119" s="443" t="s">
        <v>403</v>
      </c>
      <c r="E119" s="443">
        <v>2016</v>
      </c>
      <c r="F119" s="333"/>
      <c r="G119" s="333"/>
      <c r="H119" s="227"/>
      <c r="I119" s="227"/>
      <c r="J119" s="227"/>
    </row>
    <row r="120" spans="1:10" ht="15" thickBot="1" x14ac:dyDescent="0.35">
      <c r="A120" s="333"/>
      <c r="B120" s="333"/>
      <c r="C120" s="333"/>
      <c r="D120" s="333"/>
      <c r="E120" s="333"/>
      <c r="F120" s="333"/>
      <c r="G120" s="333"/>
      <c r="H120" s="227"/>
      <c r="I120" s="227"/>
      <c r="J120" s="227"/>
    </row>
    <row r="121" spans="1:10" ht="15" thickBot="1" x14ac:dyDescent="0.35">
      <c r="A121" s="449" t="s">
        <v>404</v>
      </c>
      <c r="B121" s="448"/>
      <c r="C121" s="448"/>
      <c r="D121" s="448"/>
      <c r="E121" s="448"/>
      <c r="F121" s="333"/>
      <c r="G121" s="333"/>
      <c r="H121" s="227"/>
      <c r="I121" s="227"/>
      <c r="J121" s="227"/>
    </row>
    <row r="122" spans="1:10" ht="15" thickBot="1" x14ac:dyDescent="0.35">
      <c r="A122" s="358"/>
      <c r="B122" s="358"/>
      <c r="C122" s="359"/>
      <c r="D122" s="359"/>
      <c r="E122" s="359"/>
      <c r="F122" s="333"/>
      <c r="G122" s="333"/>
      <c r="H122" s="227"/>
      <c r="I122" s="227"/>
      <c r="J122" s="227"/>
    </row>
    <row r="123" spans="1:10" ht="15" thickBot="1" x14ac:dyDescent="0.35">
      <c r="A123" s="337" t="s">
        <v>180</v>
      </c>
      <c r="B123" s="337" t="s">
        <v>181</v>
      </c>
      <c r="C123" s="337" t="s">
        <v>182</v>
      </c>
      <c r="D123" s="337" t="s">
        <v>183</v>
      </c>
      <c r="E123" s="337" t="s">
        <v>184</v>
      </c>
      <c r="F123" s="333"/>
      <c r="G123" s="333"/>
      <c r="H123" s="227"/>
      <c r="I123" s="227"/>
      <c r="J123" s="227"/>
    </row>
    <row r="124" spans="1:10" x14ac:dyDescent="0.3">
      <c r="A124" s="353" t="s">
        <v>405</v>
      </c>
      <c r="B124" s="365" t="s">
        <v>406</v>
      </c>
      <c r="C124" s="349" t="s">
        <v>407</v>
      </c>
      <c r="D124" s="349" t="s">
        <v>408</v>
      </c>
      <c r="E124" s="349">
        <v>2016</v>
      </c>
      <c r="F124" s="333"/>
      <c r="G124" s="333"/>
      <c r="H124" s="227"/>
      <c r="I124" s="227"/>
      <c r="J124" s="227"/>
    </row>
    <row r="125" spans="1:10" x14ac:dyDescent="0.3">
      <c r="A125" s="343" t="s">
        <v>317</v>
      </c>
      <c r="B125" s="412" t="s">
        <v>320</v>
      </c>
      <c r="C125" s="417">
        <v>7250703</v>
      </c>
      <c r="D125" s="400" t="s">
        <v>321</v>
      </c>
      <c r="E125" s="400">
        <v>2016</v>
      </c>
      <c r="F125" s="333"/>
      <c r="G125" s="333"/>
      <c r="H125" s="227"/>
      <c r="I125" s="227"/>
      <c r="J125" s="227"/>
    </row>
    <row r="126" spans="1:10" x14ac:dyDescent="0.3">
      <c r="A126" s="227"/>
      <c r="B126" s="227"/>
      <c r="C126" s="227"/>
      <c r="D126" s="227"/>
      <c r="E126" s="227"/>
      <c r="F126" s="227"/>
      <c r="G126" s="227"/>
      <c r="H126" s="227"/>
      <c r="I126" s="227"/>
      <c r="J126" s="227"/>
    </row>
    <row r="127" spans="1:10" x14ac:dyDescent="0.3">
      <c r="A127" s="227"/>
      <c r="B127" s="227"/>
      <c r="C127" s="227"/>
      <c r="D127" s="227"/>
      <c r="E127" s="227"/>
      <c r="F127" s="227"/>
      <c r="G127" s="227"/>
      <c r="H127" s="227"/>
      <c r="I127" s="227"/>
      <c r="J127" s="227"/>
    </row>
    <row r="128" spans="1:10" ht="15" thickBot="1" x14ac:dyDescent="0.35">
      <c r="A128" s="227"/>
      <c r="B128" s="227"/>
      <c r="C128" s="227"/>
      <c r="D128" s="227"/>
      <c r="E128" s="227"/>
      <c r="F128" s="227"/>
      <c r="G128" s="227"/>
      <c r="H128" s="227"/>
      <c r="I128" s="227"/>
      <c r="J128" s="227"/>
    </row>
    <row r="129" spans="1:13" s="114" customFormat="1" ht="18.600000000000001" thickBot="1" x14ac:dyDescent="0.4">
      <c r="A129" s="450"/>
      <c r="B129" s="450"/>
      <c r="C129" s="453" t="s">
        <v>410</v>
      </c>
      <c r="D129" s="454"/>
      <c r="E129" s="454"/>
      <c r="F129" s="454"/>
      <c r="G129" s="454"/>
      <c r="H129" s="450"/>
      <c r="I129" s="450"/>
      <c r="J129" s="450"/>
      <c r="K129" s="499"/>
      <c r="L129" s="499"/>
      <c r="M129" s="499"/>
    </row>
    <row r="130" spans="1:13" s="114" customFormat="1" ht="18.600000000000001" customHeight="1" thickBot="1" x14ac:dyDescent="0.35">
      <c r="A130" s="455" t="s">
        <v>180</v>
      </c>
      <c r="B130" s="456"/>
      <c r="C130" s="456"/>
      <c r="D130" s="457"/>
      <c r="E130" s="458" t="s">
        <v>181</v>
      </c>
      <c r="F130" s="459"/>
      <c r="G130" s="451" t="s">
        <v>182</v>
      </c>
      <c r="H130" s="458" t="s">
        <v>409</v>
      </c>
      <c r="I130" s="459"/>
      <c r="J130" s="451" t="s">
        <v>184</v>
      </c>
      <c r="K130" s="499"/>
      <c r="L130" s="499"/>
      <c r="M130" s="499"/>
    </row>
    <row r="131" spans="1:13" s="114" customFormat="1" x14ac:dyDescent="0.3">
      <c r="A131" s="461" t="s">
        <v>411</v>
      </c>
      <c r="B131" s="462"/>
      <c r="C131" s="462"/>
      <c r="D131" s="463"/>
      <c r="E131" s="465" t="s">
        <v>412</v>
      </c>
      <c r="F131" s="466"/>
      <c r="G131" s="452" t="s">
        <v>413</v>
      </c>
      <c r="H131" s="465" t="s">
        <v>414</v>
      </c>
      <c r="I131" s="466"/>
      <c r="J131" s="452">
        <v>2007</v>
      </c>
      <c r="K131" s="499"/>
      <c r="L131" s="499"/>
      <c r="M131" s="499"/>
    </row>
    <row r="132" spans="1:13" s="114" customFormat="1" x14ac:dyDescent="0.3">
      <c r="A132" s="460" t="s">
        <v>415</v>
      </c>
      <c r="B132" s="467"/>
      <c r="C132" s="467"/>
      <c r="D132" s="468"/>
      <c r="E132" s="464" t="s">
        <v>416</v>
      </c>
      <c r="F132" s="469"/>
      <c r="G132" s="452" t="s">
        <v>417</v>
      </c>
      <c r="H132" s="464" t="s">
        <v>418</v>
      </c>
      <c r="I132" s="469"/>
      <c r="J132" s="452">
        <v>2007</v>
      </c>
      <c r="K132" s="499"/>
      <c r="L132" s="499"/>
      <c r="M132" s="499"/>
    </row>
    <row r="133" spans="1:13" ht="15" thickBot="1" x14ac:dyDescent="0.35">
      <c r="A133" s="227"/>
      <c r="B133" s="227"/>
      <c r="C133" s="227"/>
      <c r="D133" s="227"/>
      <c r="E133" s="227"/>
      <c r="F133" s="227"/>
      <c r="G133" s="227"/>
      <c r="H133" s="227"/>
      <c r="I133" s="227"/>
      <c r="J133" s="227"/>
    </row>
    <row r="134" spans="1:13" ht="18.600000000000001" thickBot="1" x14ac:dyDescent="0.4">
      <c r="A134" s="231"/>
      <c r="B134" s="496"/>
      <c r="C134" s="261" t="s">
        <v>145</v>
      </c>
      <c r="D134" s="262"/>
      <c r="E134" s="262"/>
      <c r="F134" s="262"/>
      <c r="G134" s="263"/>
      <c r="H134" s="231"/>
      <c r="I134" s="231"/>
      <c r="J134" s="231"/>
    </row>
    <row r="135" spans="1:13" ht="18.600000000000001" thickBot="1" x14ac:dyDescent="0.35">
      <c r="A135" s="264" t="s">
        <v>180</v>
      </c>
      <c r="B135" s="265"/>
      <c r="C135" s="265"/>
      <c r="D135" s="265"/>
      <c r="E135" s="269" t="s">
        <v>181</v>
      </c>
      <c r="F135" s="271"/>
      <c r="G135" s="230" t="s">
        <v>409</v>
      </c>
      <c r="H135" s="230" t="s">
        <v>184</v>
      </c>
      <c r="I135" s="231"/>
      <c r="J135" s="231"/>
    </row>
    <row r="136" spans="1:13" x14ac:dyDescent="0.3">
      <c r="A136" s="277" t="s">
        <v>420</v>
      </c>
      <c r="B136" s="278"/>
      <c r="C136" s="278"/>
      <c r="D136" s="279"/>
      <c r="E136" s="280" t="s">
        <v>421</v>
      </c>
      <c r="F136" s="281"/>
      <c r="G136" s="234" t="s">
        <v>422</v>
      </c>
      <c r="H136" s="235">
        <v>2010</v>
      </c>
      <c r="I136" s="231"/>
      <c r="J136" s="231"/>
    </row>
    <row r="137" spans="1:13" x14ac:dyDescent="0.3">
      <c r="A137" s="227"/>
      <c r="B137" s="227"/>
      <c r="C137" s="227"/>
      <c r="D137" s="227"/>
      <c r="E137" s="227"/>
      <c r="F137" s="227"/>
      <c r="G137" s="227"/>
      <c r="H137" s="227"/>
      <c r="I137" s="227"/>
      <c r="J137" s="227"/>
    </row>
    <row r="138" spans="1:13" ht="18.600000000000001" thickBot="1" x14ac:dyDescent="0.4">
      <c r="A138" s="267" t="s">
        <v>423</v>
      </c>
      <c r="B138" s="267"/>
      <c r="C138" s="267"/>
      <c r="D138" s="267"/>
      <c r="E138" s="267"/>
      <c r="F138" s="267"/>
      <c r="G138" s="267"/>
      <c r="H138" s="268"/>
      <c r="I138" s="231"/>
      <c r="J138" s="231"/>
    </row>
    <row r="139" spans="1:13" ht="18.600000000000001" thickBot="1" x14ac:dyDescent="0.35">
      <c r="A139" s="269" t="s">
        <v>180</v>
      </c>
      <c r="B139" s="270"/>
      <c r="C139" s="271"/>
      <c r="D139" s="237" t="s">
        <v>181</v>
      </c>
      <c r="E139" s="269" t="s">
        <v>182</v>
      </c>
      <c r="F139" s="271"/>
      <c r="G139" s="230" t="s">
        <v>409</v>
      </c>
      <c r="H139" s="230" t="s">
        <v>184</v>
      </c>
      <c r="I139" s="231"/>
      <c r="J139" s="231"/>
    </row>
    <row r="140" spans="1:13" x14ac:dyDescent="0.3">
      <c r="A140" s="272" t="s">
        <v>424</v>
      </c>
      <c r="B140" s="273"/>
      <c r="C140" s="274"/>
      <c r="D140" s="232" t="s">
        <v>425</v>
      </c>
      <c r="E140" s="275" t="s">
        <v>426</v>
      </c>
      <c r="F140" s="276"/>
      <c r="G140" s="233" t="s">
        <v>427</v>
      </c>
      <c r="H140" s="233">
        <v>2017</v>
      </c>
      <c r="I140" s="231"/>
      <c r="J140" s="231"/>
    </row>
    <row r="141" spans="1:13" x14ac:dyDescent="0.3">
      <c r="A141" s="227"/>
      <c r="B141" s="227"/>
      <c r="C141" s="227"/>
      <c r="D141" s="227"/>
      <c r="E141" s="227"/>
      <c r="F141" s="227"/>
      <c r="G141" s="227"/>
      <c r="H141" s="227"/>
      <c r="I141" s="227"/>
      <c r="J141" s="227"/>
    </row>
    <row r="142" spans="1:13" s="114" customFormat="1" ht="18.600000000000001" thickBot="1" x14ac:dyDescent="0.4">
      <c r="A142" s="473" t="s">
        <v>428</v>
      </c>
      <c r="B142" s="473"/>
      <c r="C142" s="473"/>
      <c r="D142" s="473"/>
      <c r="E142" s="473"/>
      <c r="F142" s="473"/>
      <c r="G142" s="473"/>
      <c r="H142" s="231"/>
      <c r="I142" s="231"/>
      <c r="J142" s="231"/>
    </row>
    <row r="143" spans="1:13" s="114" customFormat="1" ht="18.600000000000001" thickBot="1" x14ac:dyDescent="0.35">
      <c r="A143" s="458" t="s">
        <v>180</v>
      </c>
      <c r="B143" s="474"/>
      <c r="C143" s="474"/>
      <c r="D143" s="459"/>
      <c r="E143" s="458" t="s">
        <v>181</v>
      </c>
      <c r="F143" s="475"/>
      <c r="G143" s="470" t="s">
        <v>182</v>
      </c>
      <c r="H143" s="500"/>
      <c r="I143" s="500"/>
      <c r="J143" s="501"/>
    </row>
    <row r="144" spans="1:13" s="114" customFormat="1" ht="14.4" customHeight="1" x14ac:dyDescent="0.3">
      <c r="A144" s="476" t="s">
        <v>429</v>
      </c>
      <c r="B144" s="477"/>
      <c r="C144" s="477"/>
      <c r="D144" s="478"/>
      <c r="E144" s="465" t="s">
        <v>430</v>
      </c>
      <c r="F144" s="479"/>
      <c r="G144" s="402">
        <v>7166186</v>
      </c>
      <c r="H144" s="502"/>
      <c r="I144" s="502"/>
      <c r="J144" s="228"/>
    </row>
    <row r="145" spans="1:10" s="114" customFormat="1" ht="14.4" customHeight="1" x14ac:dyDescent="0.3">
      <c r="A145" s="480" t="s">
        <v>429</v>
      </c>
      <c r="B145" s="481"/>
      <c r="C145" s="481"/>
      <c r="D145" s="482"/>
      <c r="E145" s="464" t="s">
        <v>431</v>
      </c>
      <c r="F145" s="483"/>
      <c r="G145" s="371">
        <v>7167174</v>
      </c>
      <c r="H145" s="502"/>
      <c r="I145" s="502"/>
      <c r="J145" s="228"/>
    </row>
    <row r="146" spans="1:10" s="114" customFormat="1" ht="14.4" customHeight="1" x14ac:dyDescent="0.3">
      <c r="A146" s="480" t="s">
        <v>429</v>
      </c>
      <c r="B146" s="481"/>
      <c r="C146" s="481"/>
      <c r="D146" s="482"/>
      <c r="E146" s="464" t="s">
        <v>432</v>
      </c>
      <c r="F146" s="483"/>
      <c r="G146" s="371">
        <v>7188314</v>
      </c>
      <c r="H146" s="502"/>
      <c r="I146" s="502"/>
      <c r="J146" s="228"/>
    </row>
    <row r="147" spans="1:10" s="114" customFormat="1" ht="14.4" customHeight="1" x14ac:dyDescent="0.3">
      <c r="A147" s="480" t="s">
        <v>429</v>
      </c>
      <c r="B147" s="481"/>
      <c r="C147" s="481"/>
      <c r="D147" s="482"/>
      <c r="E147" s="484" t="s">
        <v>433</v>
      </c>
      <c r="F147" s="485"/>
      <c r="G147" s="471">
        <v>72497599</v>
      </c>
      <c r="H147" s="503"/>
      <c r="I147" s="503"/>
      <c r="J147" s="504"/>
    </row>
    <row r="148" spans="1:10" s="114" customFormat="1" ht="14.4" customHeight="1" x14ac:dyDescent="0.3">
      <c r="A148" s="486" t="s">
        <v>434</v>
      </c>
      <c r="B148" s="487"/>
      <c r="C148" s="487"/>
      <c r="D148" s="488"/>
      <c r="E148" s="489" t="s">
        <v>435</v>
      </c>
      <c r="F148" s="490"/>
      <c r="G148" s="471">
        <v>72497500</v>
      </c>
      <c r="H148" s="503"/>
      <c r="I148" s="503"/>
      <c r="J148" s="504"/>
    </row>
    <row r="149" spans="1:10" s="114" customFormat="1" ht="14.4" customHeight="1" x14ac:dyDescent="0.3">
      <c r="A149" s="480" t="s">
        <v>429</v>
      </c>
      <c r="B149" s="481"/>
      <c r="C149" s="481"/>
      <c r="D149" s="482"/>
      <c r="E149" s="464" t="s">
        <v>436</v>
      </c>
      <c r="F149" s="483"/>
      <c r="G149" s="371">
        <v>7155140</v>
      </c>
      <c r="H149" s="505"/>
      <c r="I149" s="505"/>
      <c r="J149" s="228"/>
    </row>
    <row r="150" spans="1:10" s="114" customFormat="1" ht="14.4" customHeight="1" x14ac:dyDescent="0.3">
      <c r="A150" s="480" t="s">
        <v>429</v>
      </c>
      <c r="B150" s="481"/>
      <c r="C150" s="481"/>
      <c r="D150" s="482"/>
      <c r="E150" s="464" t="s">
        <v>437</v>
      </c>
      <c r="F150" s="483"/>
      <c r="G150" s="371">
        <v>7257521</v>
      </c>
      <c r="H150" s="505"/>
      <c r="I150" s="505"/>
      <c r="J150" s="228"/>
    </row>
    <row r="151" spans="1:10" s="114" customFormat="1" ht="14.4" customHeight="1" x14ac:dyDescent="0.3">
      <c r="A151" s="480" t="s">
        <v>429</v>
      </c>
      <c r="B151" s="481"/>
      <c r="C151" s="481"/>
      <c r="D151" s="482"/>
      <c r="E151" s="464" t="s">
        <v>438</v>
      </c>
      <c r="F151" s="483"/>
      <c r="G151" s="371">
        <v>7257618</v>
      </c>
      <c r="H151" s="505"/>
      <c r="I151" s="505"/>
      <c r="J151" s="228"/>
    </row>
    <row r="152" spans="1:10" s="114" customFormat="1" x14ac:dyDescent="0.3">
      <c r="A152" s="486" t="s">
        <v>439</v>
      </c>
      <c r="B152" s="487"/>
      <c r="C152" s="487"/>
      <c r="D152" s="488"/>
      <c r="E152" s="464" t="s">
        <v>440</v>
      </c>
      <c r="F152" s="483"/>
      <c r="G152" s="371" t="s">
        <v>441</v>
      </c>
      <c r="H152" s="505"/>
      <c r="I152" s="505"/>
      <c r="J152" s="228"/>
    </row>
    <row r="153" spans="1:10" s="114" customFormat="1" ht="14.4" customHeight="1" x14ac:dyDescent="0.3">
      <c r="A153" s="491" t="s">
        <v>442</v>
      </c>
      <c r="B153" s="492"/>
      <c r="C153" s="492"/>
      <c r="D153" s="493"/>
      <c r="E153" s="494" t="s">
        <v>443</v>
      </c>
      <c r="F153" s="495"/>
      <c r="G153" s="472" t="s">
        <v>444</v>
      </c>
      <c r="H153" s="505"/>
      <c r="I153" s="505"/>
      <c r="J153" s="228"/>
    </row>
    <row r="154" spans="1:10" ht="15" thickBot="1" x14ac:dyDescent="0.35">
      <c r="A154" s="227"/>
      <c r="B154" s="227"/>
      <c r="C154" s="227"/>
      <c r="D154" s="227"/>
      <c r="E154" s="227"/>
      <c r="F154" s="227"/>
      <c r="G154" s="227"/>
      <c r="H154" s="227"/>
      <c r="I154" s="227"/>
      <c r="J154" s="227"/>
    </row>
    <row r="155" spans="1:10" ht="15" thickBot="1" x14ac:dyDescent="0.35">
      <c r="A155" s="231"/>
      <c r="B155" s="497"/>
      <c r="C155" s="238"/>
      <c r="D155" s="238"/>
      <c r="E155" s="239"/>
      <c r="F155" s="239"/>
      <c r="G155" s="240"/>
      <c r="H155" s="241"/>
      <c r="I155" s="241"/>
      <c r="J155" s="241"/>
    </row>
    <row r="156" spans="1:10" ht="18.600000000000001" thickBot="1" x14ac:dyDescent="0.4">
      <c r="A156" s="231"/>
      <c r="B156" s="496"/>
      <c r="C156" s="261" t="s">
        <v>445</v>
      </c>
      <c r="D156" s="262"/>
      <c r="E156" s="262"/>
      <c r="F156" s="262"/>
      <c r="G156" s="263"/>
      <c r="H156" s="231"/>
      <c r="I156" s="231"/>
      <c r="J156" s="231"/>
    </row>
    <row r="157" spans="1:10" ht="18.600000000000001" thickBot="1" x14ac:dyDescent="0.35">
      <c r="A157" s="264" t="s">
        <v>180</v>
      </c>
      <c r="B157" s="265"/>
      <c r="C157" s="265"/>
      <c r="D157" s="266"/>
      <c r="E157" s="264" t="s">
        <v>181</v>
      </c>
      <c r="F157" s="266"/>
      <c r="G157" s="229" t="s">
        <v>182</v>
      </c>
      <c r="H157" s="264" t="s">
        <v>409</v>
      </c>
      <c r="I157" s="266"/>
      <c r="J157" s="229" t="s">
        <v>184</v>
      </c>
    </row>
    <row r="158" spans="1:10" ht="15" thickBot="1" x14ac:dyDescent="0.35">
      <c r="A158" s="252" t="s">
        <v>446</v>
      </c>
      <c r="B158" s="253"/>
      <c r="C158" s="253"/>
      <c r="D158" s="254"/>
      <c r="E158" s="259" t="s">
        <v>447</v>
      </c>
      <c r="F158" s="260"/>
      <c r="G158" s="242">
        <v>61198170084869</v>
      </c>
      <c r="H158" s="259" t="s">
        <v>448</v>
      </c>
      <c r="I158" s="260"/>
      <c r="J158" s="243">
        <v>2006</v>
      </c>
    </row>
    <row r="159" spans="1:10" ht="15" thickBot="1" x14ac:dyDescent="0.35">
      <c r="A159" s="227"/>
      <c r="B159" s="227"/>
      <c r="C159" s="227"/>
      <c r="D159" s="227"/>
      <c r="E159" s="227"/>
      <c r="F159" s="227"/>
      <c r="G159" s="227"/>
      <c r="H159" s="227"/>
      <c r="I159" s="227"/>
      <c r="J159" s="227"/>
    </row>
    <row r="160" spans="1:10" ht="18.600000000000001" thickBot="1" x14ac:dyDescent="0.4">
      <c r="A160" s="231"/>
      <c r="B160" s="496"/>
      <c r="C160" s="261" t="s">
        <v>449</v>
      </c>
      <c r="D160" s="262"/>
      <c r="E160" s="262"/>
      <c r="F160" s="262"/>
      <c r="G160" s="263"/>
      <c r="H160" s="231"/>
      <c r="I160" s="231"/>
      <c r="J160" s="231"/>
    </row>
    <row r="161" spans="1:10" ht="18.600000000000001" thickBot="1" x14ac:dyDescent="0.35">
      <c r="A161" s="264" t="s">
        <v>180</v>
      </c>
      <c r="B161" s="265"/>
      <c r="C161" s="265"/>
      <c r="D161" s="266"/>
      <c r="E161" s="264" t="s">
        <v>181</v>
      </c>
      <c r="F161" s="266"/>
      <c r="G161" s="244" t="s">
        <v>182</v>
      </c>
      <c r="H161" s="264" t="s">
        <v>409</v>
      </c>
      <c r="I161" s="266"/>
      <c r="J161" s="229" t="s">
        <v>184</v>
      </c>
    </row>
    <row r="162" spans="1:10" ht="15" thickBot="1" x14ac:dyDescent="0.35">
      <c r="A162" s="252" t="s">
        <v>450</v>
      </c>
      <c r="B162" s="253"/>
      <c r="C162" s="253"/>
      <c r="D162" s="254"/>
      <c r="E162" s="255" t="s">
        <v>451</v>
      </c>
      <c r="F162" s="256"/>
      <c r="G162" s="245" t="s">
        <v>452</v>
      </c>
      <c r="H162" s="257" t="s">
        <v>453</v>
      </c>
      <c r="I162" s="258"/>
      <c r="J162" s="236">
        <v>2010</v>
      </c>
    </row>
    <row r="164" spans="1:10" ht="15" thickBot="1" x14ac:dyDescent="0.35"/>
    <row r="165" spans="1:10" ht="18.600000000000001" thickBot="1" x14ac:dyDescent="0.4">
      <c r="A165" s="512" t="s">
        <v>177</v>
      </c>
      <c r="B165" s="513"/>
      <c r="C165" s="513"/>
      <c r="D165" s="513"/>
      <c r="E165" s="514"/>
      <c r="F165" s="510"/>
      <c r="G165" s="509"/>
      <c r="H165" s="231"/>
      <c r="I165" s="231"/>
      <c r="J165" s="231"/>
    </row>
    <row r="166" spans="1:10" ht="18.600000000000001" customHeight="1" thickBot="1" x14ac:dyDescent="0.35">
      <c r="A166" s="508" t="s">
        <v>180</v>
      </c>
      <c r="B166" s="508" t="s">
        <v>181</v>
      </c>
      <c r="C166" s="244" t="s">
        <v>182</v>
      </c>
      <c r="D166" s="508" t="s">
        <v>409</v>
      </c>
      <c r="E166" s="229" t="s">
        <v>184</v>
      </c>
      <c r="F166" s="511"/>
    </row>
    <row r="167" spans="1:10" x14ac:dyDescent="0.3">
      <c r="A167" s="506" t="s">
        <v>455</v>
      </c>
      <c r="B167" s="507" t="s">
        <v>456</v>
      </c>
      <c r="C167" s="507" t="s">
        <v>457</v>
      </c>
      <c r="D167" s="507" t="s">
        <v>458</v>
      </c>
      <c r="E167" s="507">
        <v>2015</v>
      </c>
    </row>
    <row r="168" spans="1:10" x14ac:dyDescent="0.3">
      <c r="A168" s="506" t="s">
        <v>459</v>
      </c>
      <c r="B168" s="507" t="s">
        <v>460</v>
      </c>
      <c r="C168" s="507" t="s">
        <v>461</v>
      </c>
      <c r="D168" s="507" t="s">
        <v>462</v>
      </c>
      <c r="E168" s="507">
        <v>2018</v>
      </c>
    </row>
    <row r="169" spans="1:10" ht="15" thickBot="1" x14ac:dyDescent="0.35"/>
    <row r="170" spans="1:10" ht="16.2" thickBot="1" x14ac:dyDescent="0.35">
      <c r="A170" s="512" t="s">
        <v>467</v>
      </c>
      <c r="B170" s="513"/>
      <c r="C170" s="513"/>
      <c r="D170" s="513"/>
      <c r="E170" s="514"/>
    </row>
    <row r="171" spans="1:10" ht="18.600000000000001" thickBot="1" x14ac:dyDescent="0.35">
      <c r="A171" s="508" t="s">
        <v>180</v>
      </c>
      <c r="B171" s="508" t="s">
        <v>181</v>
      </c>
      <c r="C171" s="244" t="s">
        <v>182</v>
      </c>
      <c r="D171" s="508" t="s">
        <v>409</v>
      </c>
      <c r="E171" s="229" t="s">
        <v>184</v>
      </c>
    </row>
    <row r="172" spans="1:10" x14ac:dyDescent="0.3">
      <c r="A172" s="506" t="s">
        <v>419</v>
      </c>
      <c r="B172" s="507" t="s">
        <v>464</v>
      </c>
      <c r="C172" s="507" t="s">
        <v>465</v>
      </c>
      <c r="D172" s="507" t="s">
        <v>466</v>
      </c>
      <c r="E172" s="507">
        <v>2009</v>
      </c>
    </row>
  </sheetData>
  <mergeCells count="86">
    <mergeCell ref="A165:E165"/>
    <mergeCell ref="A170:E170"/>
    <mergeCell ref="A1:G1"/>
    <mergeCell ref="A2:C2"/>
    <mergeCell ref="A3:E3"/>
    <mergeCell ref="A33:E33"/>
    <mergeCell ref="A44:E44"/>
    <mergeCell ref="A15:E15"/>
    <mergeCell ref="A23:E23"/>
    <mergeCell ref="A54:E54"/>
    <mergeCell ref="C129:G129"/>
    <mergeCell ref="A130:D130"/>
    <mergeCell ref="E130:F130"/>
    <mergeCell ref="H130:I130"/>
    <mergeCell ref="A63:E63"/>
    <mergeCell ref="A73:E73"/>
    <mergeCell ref="A83:E83"/>
    <mergeCell ref="A90:E90"/>
    <mergeCell ref="A99:E99"/>
    <mergeCell ref="A106:E106"/>
    <mergeCell ref="A115:E115"/>
    <mergeCell ref="A121:E121"/>
    <mergeCell ref="A131:D131"/>
    <mergeCell ref="E131:F131"/>
    <mergeCell ref="H131:I131"/>
    <mergeCell ref="A132:D132"/>
    <mergeCell ref="E132:F132"/>
    <mergeCell ref="H132:I132"/>
    <mergeCell ref="A138:H138"/>
    <mergeCell ref="A139:C139"/>
    <mergeCell ref="E139:F139"/>
    <mergeCell ref="A140:C140"/>
    <mergeCell ref="E140:F140"/>
    <mergeCell ref="C134:G134"/>
    <mergeCell ref="A135:D135"/>
    <mergeCell ref="E135:F135"/>
    <mergeCell ref="A136:D136"/>
    <mergeCell ref="E136:F136"/>
    <mergeCell ref="A144:D144"/>
    <mergeCell ref="E144:F144"/>
    <mergeCell ref="H144:I144"/>
    <mergeCell ref="A145:D145"/>
    <mergeCell ref="E145:F145"/>
    <mergeCell ref="H145:I145"/>
    <mergeCell ref="A142:G142"/>
    <mergeCell ref="A143:D143"/>
    <mergeCell ref="E143:F143"/>
    <mergeCell ref="H143:I143"/>
    <mergeCell ref="A148:D148"/>
    <mergeCell ref="E148:F148"/>
    <mergeCell ref="H148:I148"/>
    <mergeCell ref="A149:D149"/>
    <mergeCell ref="E149:F149"/>
    <mergeCell ref="H149:I149"/>
    <mergeCell ref="A146:D146"/>
    <mergeCell ref="E146:F146"/>
    <mergeCell ref="H146:I146"/>
    <mergeCell ref="A147:D147"/>
    <mergeCell ref="E147:F147"/>
    <mergeCell ref="H147:I147"/>
    <mergeCell ref="A152:D152"/>
    <mergeCell ref="E152:F152"/>
    <mergeCell ref="H152:I152"/>
    <mergeCell ref="A153:D153"/>
    <mergeCell ref="E153:F153"/>
    <mergeCell ref="H153:I153"/>
    <mergeCell ref="A150:D150"/>
    <mergeCell ref="E150:F150"/>
    <mergeCell ref="H150:I150"/>
    <mergeCell ref="A151:D151"/>
    <mergeCell ref="E151:F151"/>
    <mergeCell ref="H151:I151"/>
    <mergeCell ref="C156:G156"/>
    <mergeCell ref="A157:D157"/>
    <mergeCell ref="E157:F157"/>
    <mergeCell ref="H157:I157"/>
    <mergeCell ref="A162:D162"/>
    <mergeCell ref="E162:F162"/>
    <mergeCell ref="H162:I162"/>
    <mergeCell ref="A158:D158"/>
    <mergeCell ref="E158:F158"/>
    <mergeCell ref="H158:I158"/>
    <mergeCell ref="C160:G160"/>
    <mergeCell ref="A161:D161"/>
    <mergeCell ref="E161:F161"/>
    <mergeCell ref="H161:I16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selection activeCell="K13" sqref="K13"/>
    </sheetView>
  </sheetViews>
  <sheetFormatPr baseColWidth="10" defaultRowHeight="14.4" x14ac:dyDescent="0.3"/>
  <cols>
    <col min="1" max="1" width="5.5546875" customWidth="1"/>
    <col min="2" max="2" width="15.109375" style="157" customWidth="1"/>
    <col min="3" max="3" width="14.109375" customWidth="1"/>
    <col min="4" max="4" width="26" customWidth="1"/>
    <col min="5" max="5" width="8" customWidth="1"/>
    <col min="6" max="6" width="7.88671875" customWidth="1"/>
    <col min="7" max="7" width="50.6640625" customWidth="1"/>
    <col min="8" max="8" width="9.33203125" customWidth="1"/>
    <col min="9" max="9" width="15.5546875" customWidth="1"/>
    <col min="10" max="10" width="14.6640625" style="167" customWidth="1"/>
    <col min="11" max="11" width="15.5546875" customWidth="1"/>
    <col min="13" max="13" width="11.44140625" style="168"/>
  </cols>
  <sheetData>
    <row r="1" spans="1:13" ht="30.6" thickBot="1" x14ac:dyDescent="0.35">
      <c r="A1" s="298" t="s">
        <v>87</v>
      </c>
      <c r="B1" s="298"/>
      <c r="C1" s="298"/>
      <c r="D1" s="298"/>
      <c r="E1" s="298"/>
      <c r="F1" s="298"/>
      <c r="G1" s="298"/>
      <c r="H1" s="298"/>
      <c r="I1" s="298"/>
      <c r="J1" s="163" t="s">
        <v>88</v>
      </c>
      <c r="K1" s="146" t="s">
        <v>150</v>
      </c>
    </row>
    <row r="2" spans="1:13" ht="16.2" thickBot="1" x14ac:dyDescent="0.35">
      <c r="A2" s="102"/>
      <c r="B2" s="155"/>
      <c r="C2" s="103"/>
      <c r="D2" s="104"/>
      <c r="E2" s="104"/>
      <c r="F2" s="104"/>
      <c r="G2" s="104"/>
      <c r="H2" s="104"/>
      <c r="I2" s="104"/>
      <c r="J2" s="164"/>
      <c r="K2" s="105"/>
    </row>
    <row r="3" spans="1:13" ht="16.2" thickBot="1" x14ac:dyDescent="0.35">
      <c r="A3" s="293" t="s">
        <v>89</v>
      </c>
      <c r="B3" s="293"/>
      <c r="C3" s="293"/>
      <c r="D3" s="294" t="str">
        <f>'SAF 011'!C4</f>
        <v>040 - MINISTERIO DE SALUD</v>
      </c>
      <c r="E3" s="294"/>
      <c r="F3" s="294"/>
      <c r="G3" s="294"/>
      <c r="H3" s="294"/>
      <c r="I3" s="294"/>
      <c r="J3" s="294"/>
      <c r="K3" s="294"/>
    </row>
    <row r="4" spans="1:13" ht="16.2" thickBot="1" x14ac:dyDescent="0.35">
      <c r="A4" s="295" t="s">
        <v>90</v>
      </c>
      <c r="B4" s="295"/>
      <c r="C4" s="295"/>
      <c r="D4" s="294" t="str">
        <f>'SAF 011'!C5</f>
        <v>011 - DIRECCION PROVINCIAL DE ADMINISTRACION - MINISTERIO DE SALUD</v>
      </c>
      <c r="E4" s="294"/>
      <c r="F4" s="294"/>
      <c r="G4" s="294"/>
      <c r="H4" s="294"/>
      <c r="I4" s="294"/>
      <c r="J4" s="294"/>
      <c r="K4" s="294"/>
    </row>
    <row r="5" spans="1:13" ht="16.2" thickBot="1" x14ac:dyDescent="0.35">
      <c r="A5" s="295" t="s">
        <v>91</v>
      </c>
      <c r="B5" s="295"/>
      <c r="C5" s="295"/>
      <c r="D5" s="294" t="s">
        <v>124</v>
      </c>
      <c r="E5" s="294"/>
      <c r="F5" s="294"/>
      <c r="G5" s="294"/>
      <c r="H5" s="294"/>
      <c r="I5" s="294"/>
      <c r="J5" s="294"/>
      <c r="K5" s="294"/>
    </row>
    <row r="6" spans="1:13" ht="16.2" thickBot="1" x14ac:dyDescent="0.35">
      <c r="A6" s="293" t="s">
        <v>92</v>
      </c>
      <c r="B6" s="293"/>
      <c r="C6" s="293"/>
      <c r="D6" s="294" t="s">
        <v>125</v>
      </c>
      <c r="E6" s="294"/>
      <c r="F6" s="294"/>
      <c r="G6" s="294"/>
      <c r="H6" s="294"/>
      <c r="I6" s="294"/>
      <c r="J6" s="294"/>
      <c r="K6" s="294"/>
    </row>
    <row r="7" spans="1:13" ht="16.2" thickBot="1" x14ac:dyDescent="0.35">
      <c r="A7" s="295" t="s">
        <v>93</v>
      </c>
      <c r="B7" s="295"/>
      <c r="C7" s="295"/>
      <c r="D7" s="294" t="s">
        <v>126</v>
      </c>
      <c r="E7" s="294"/>
      <c r="F7" s="294"/>
      <c r="G7" s="294"/>
      <c r="H7" s="294"/>
      <c r="I7" s="294"/>
      <c r="J7" s="294"/>
      <c r="K7" s="294"/>
    </row>
    <row r="8" spans="1:13" ht="16.2" thickBot="1" x14ac:dyDescent="0.35">
      <c r="A8" s="296" t="s">
        <v>94</v>
      </c>
      <c r="B8" s="296"/>
      <c r="C8" s="296"/>
      <c r="D8" s="297" t="s">
        <v>127</v>
      </c>
      <c r="E8" s="297"/>
      <c r="F8" s="297"/>
      <c r="G8" s="297"/>
      <c r="H8" s="297"/>
      <c r="I8" s="297"/>
      <c r="J8" s="297"/>
      <c r="K8" s="297"/>
    </row>
    <row r="9" spans="1:13" ht="16.2" thickBot="1" x14ac:dyDescent="0.35">
      <c r="A9" s="106"/>
      <c r="B9" s="156"/>
      <c r="C9" s="107"/>
      <c r="D9" s="108"/>
      <c r="E9" s="108"/>
      <c r="F9" s="108"/>
      <c r="G9" s="108"/>
      <c r="H9" s="108"/>
      <c r="I9" s="108"/>
      <c r="J9" s="165"/>
      <c r="K9" s="109"/>
    </row>
    <row r="10" spans="1:13" ht="15" thickBot="1" x14ac:dyDescent="0.35">
      <c r="A10" s="288" t="s">
        <v>95</v>
      </c>
      <c r="B10" s="289" t="s">
        <v>96</v>
      </c>
      <c r="C10" s="289" t="s">
        <v>97</v>
      </c>
      <c r="D10" s="289"/>
      <c r="E10" s="289"/>
      <c r="F10" s="289"/>
      <c r="G10" s="289"/>
      <c r="H10" s="289" t="s">
        <v>98</v>
      </c>
      <c r="I10" s="289" t="s">
        <v>99</v>
      </c>
      <c r="J10" s="292" t="s">
        <v>100</v>
      </c>
      <c r="K10" s="291" t="s">
        <v>101</v>
      </c>
    </row>
    <row r="11" spans="1:13" ht="34.5" customHeight="1" thickBot="1" x14ac:dyDescent="0.35">
      <c r="A11" s="288"/>
      <c r="B11" s="290"/>
      <c r="C11" s="289"/>
      <c r="D11" s="289"/>
      <c r="E11" s="289"/>
      <c r="F11" s="289"/>
      <c r="G11" s="289"/>
      <c r="H11" s="289"/>
      <c r="I11" s="289"/>
      <c r="J11" s="292"/>
      <c r="K11" s="291"/>
    </row>
    <row r="12" spans="1:13" s="169" customFormat="1" ht="16.5" customHeight="1" x14ac:dyDescent="0.3">
      <c r="A12" s="170">
        <v>1</v>
      </c>
      <c r="B12" s="171" t="str">
        <f>'SAF 011'!B23</f>
        <v>2.4.4-6818.851</v>
      </c>
      <c r="C12" s="284" t="str">
        <f>'SAF 011'!E23</f>
        <v>NEUMATICOS; VEHICULO: MINIBUS, CONSTRUCCION: CONVENCIONAL, ARMADO: S/CAMARA, MEDIDA: 225/70R15</v>
      </c>
      <c r="D12" s="285"/>
      <c r="E12" s="285"/>
      <c r="F12" s="285"/>
      <c r="G12" s="286"/>
      <c r="H12" s="171" t="s">
        <v>138</v>
      </c>
      <c r="I12" s="172" t="str">
        <f>'SAF 011'!F23</f>
        <v>UNIDAD</v>
      </c>
      <c r="J12" s="173">
        <f>'SAF 011'!AX23</f>
        <v>44100</v>
      </c>
      <c r="K12" s="174">
        <f>'SAF 011'!M23</f>
        <v>2</v>
      </c>
      <c r="M12" s="168">
        <f t="shared" ref="M12" si="0">+J12*K12</f>
        <v>88200</v>
      </c>
    </row>
    <row r="13" spans="1:13" ht="16.2" thickBot="1" x14ac:dyDescent="0.35">
      <c r="A13" s="158"/>
      <c r="B13" s="159"/>
      <c r="C13" s="287"/>
      <c r="D13" s="287"/>
      <c r="E13" s="287"/>
      <c r="F13" s="287"/>
      <c r="G13" s="287"/>
      <c r="H13" s="160"/>
      <c r="I13" s="161"/>
      <c r="J13" s="166"/>
      <c r="K13" s="162"/>
    </row>
    <row r="14" spans="1:13" ht="18" thickBot="1" x14ac:dyDescent="0.35">
      <c r="A14" s="282" t="s">
        <v>141</v>
      </c>
      <c r="B14" s="282"/>
      <c r="C14" s="282"/>
      <c r="D14" s="282"/>
      <c r="E14" s="282"/>
      <c r="F14" s="282"/>
      <c r="G14" s="282"/>
      <c r="H14" s="282"/>
      <c r="I14" s="282"/>
      <c r="J14" s="283">
        <f>+M14</f>
        <v>88200</v>
      </c>
      <c r="K14" s="283"/>
      <c r="M14" s="168">
        <f>SUM(M12:M13)</f>
        <v>88200</v>
      </c>
    </row>
  </sheetData>
  <mergeCells count="24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4:I14"/>
    <mergeCell ref="J14:K14"/>
    <mergeCell ref="C12:G12"/>
    <mergeCell ref="C13:G13"/>
    <mergeCell ref="A10:A11"/>
    <mergeCell ref="B10:B11"/>
    <mergeCell ref="C10:G11"/>
    <mergeCell ref="H10:H11"/>
    <mergeCell ref="K10:K11"/>
    <mergeCell ref="I10:I11"/>
    <mergeCell ref="J10:J11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selection activeCell="G15" sqref="G15"/>
    </sheetView>
  </sheetViews>
  <sheetFormatPr baseColWidth="10" defaultColWidth="11.44140625" defaultRowHeight="14.4" x14ac:dyDescent="0.3"/>
  <cols>
    <col min="1" max="1" width="5.5546875" style="64" customWidth="1"/>
    <col min="2" max="2" width="15.109375" style="157" customWidth="1"/>
    <col min="3" max="3" width="14.109375" style="64" customWidth="1"/>
    <col min="4" max="4" width="26" style="64" customWidth="1"/>
    <col min="5" max="5" width="8" style="64" customWidth="1"/>
    <col min="6" max="6" width="7.88671875" style="64" customWidth="1"/>
    <col min="7" max="7" width="56.5546875" style="64" customWidth="1"/>
    <col min="8" max="8" width="9.33203125" style="64" customWidth="1"/>
    <col min="9" max="9" width="15.5546875" style="64" customWidth="1"/>
    <col min="10" max="10" width="14.6640625" style="167" customWidth="1"/>
    <col min="11" max="11" width="15.5546875" style="64" customWidth="1"/>
    <col min="12" max="12" width="11.44140625" style="64"/>
    <col min="13" max="13" width="11.44140625" style="168"/>
    <col min="14" max="16384" width="11.44140625" style="64"/>
  </cols>
  <sheetData>
    <row r="1" spans="1:13" ht="30.6" thickBot="1" x14ac:dyDescent="0.35">
      <c r="A1" s="298" t="s">
        <v>87</v>
      </c>
      <c r="B1" s="298"/>
      <c r="C1" s="298"/>
      <c r="D1" s="298"/>
      <c r="E1" s="298"/>
      <c r="F1" s="298"/>
      <c r="G1" s="298"/>
      <c r="H1" s="298"/>
      <c r="I1" s="298"/>
      <c r="J1" s="163" t="s">
        <v>88</v>
      </c>
      <c r="K1" s="146" t="s">
        <v>151</v>
      </c>
    </row>
    <row r="2" spans="1:13" ht="16.2" thickBot="1" x14ac:dyDescent="0.35">
      <c r="A2" s="102"/>
      <c r="B2" s="155"/>
      <c r="C2" s="103"/>
      <c r="D2" s="104"/>
      <c r="E2" s="104"/>
      <c r="F2" s="104"/>
      <c r="G2" s="104"/>
      <c r="H2" s="104"/>
      <c r="I2" s="104"/>
      <c r="J2" s="164"/>
      <c r="K2" s="105"/>
    </row>
    <row r="3" spans="1:13" ht="16.2" thickBot="1" x14ac:dyDescent="0.35">
      <c r="A3" s="293" t="s">
        <v>89</v>
      </c>
      <c r="B3" s="293"/>
      <c r="C3" s="293"/>
      <c r="D3" s="294" t="str">
        <f>'SAF 011'!C4</f>
        <v>040 - MINISTERIO DE SALUD</v>
      </c>
      <c r="E3" s="294"/>
      <c r="F3" s="294"/>
      <c r="G3" s="294"/>
      <c r="H3" s="294"/>
      <c r="I3" s="294"/>
      <c r="J3" s="294"/>
      <c r="K3" s="294"/>
    </row>
    <row r="4" spans="1:13" ht="16.2" thickBot="1" x14ac:dyDescent="0.35">
      <c r="A4" s="295" t="s">
        <v>90</v>
      </c>
      <c r="B4" s="295"/>
      <c r="C4" s="295"/>
      <c r="D4" s="294" t="str">
        <f>'SAF 011'!C5</f>
        <v>011 - DIRECCION PROVINCIAL DE ADMINISTRACION - MINISTERIO DE SALUD</v>
      </c>
      <c r="E4" s="294"/>
      <c r="F4" s="294"/>
      <c r="G4" s="294"/>
      <c r="H4" s="294"/>
      <c r="I4" s="294"/>
      <c r="J4" s="294"/>
      <c r="K4" s="294"/>
    </row>
    <row r="5" spans="1:13" ht="16.2" thickBot="1" x14ac:dyDescent="0.35">
      <c r="A5" s="295" t="s">
        <v>91</v>
      </c>
      <c r="B5" s="295"/>
      <c r="C5" s="295"/>
      <c r="D5" s="294" t="s">
        <v>124</v>
      </c>
      <c r="E5" s="294"/>
      <c r="F5" s="294"/>
      <c r="G5" s="294"/>
      <c r="H5" s="294"/>
      <c r="I5" s="294"/>
      <c r="J5" s="294"/>
      <c r="K5" s="294"/>
    </row>
    <row r="6" spans="1:13" ht="16.2" thickBot="1" x14ac:dyDescent="0.35">
      <c r="A6" s="293" t="s">
        <v>92</v>
      </c>
      <c r="B6" s="293"/>
      <c r="C6" s="293"/>
      <c r="D6" s="294" t="s">
        <v>142</v>
      </c>
      <c r="E6" s="294"/>
      <c r="F6" s="294"/>
      <c r="G6" s="294"/>
      <c r="H6" s="294"/>
      <c r="I6" s="294"/>
      <c r="J6" s="294"/>
      <c r="K6" s="294"/>
    </row>
    <row r="7" spans="1:13" ht="16.2" thickBot="1" x14ac:dyDescent="0.35">
      <c r="A7" s="295" t="s">
        <v>93</v>
      </c>
      <c r="B7" s="295"/>
      <c r="C7" s="295"/>
      <c r="D7" s="294" t="s">
        <v>126</v>
      </c>
      <c r="E7" s="294"/>
      <c r="F7" s="294"/>
      <c r="G7" s="294"/>
      <c r="H7" s="294"/>
      <c r="I7" s="294"/>
      <c r="J7" s="294"/>
      <c r="K7" s="294"/>
    </row>
    <row r="8" spans="1:13" ht="16.2" thickBot="1" x14ac:dyDescent="0.35">
      <c r="A8" s="296" t="s">
        <v>94</v>
      </c>
      <c r="B8" s="296"/>
      <c r="C8" s="296"/>
      <c r="D8" s="297" t="s">
        <v>127</v>
      </c>
      <c r="E8" s="297"/>
      <c r="F8" s="297"/>
      <c r="G8" s="297"/>
      <c r="H8" s="297"/>
      <c r="I8" s="297"/>
      <c r="J8" s="297"/>
      <c r="K8" s="297"/>
    </row>
    <row r="9" spans="1:13" ht="16.2" thickBot="1" x14ac:dyDescent="0.35">
      <c r="A9" s="106"/>
      <c r="B9" s="156"/>
      <c r="C9" s="107"/>
      <c r="D9" s="108"/>
      <c r="E9" s="108"/>
      <c r="F9" s="108"/>
      <c r="G9" s="108"/>
      <c r="H9" s="108"/>
      <c r="I9" s="108"/>
      <c r="J9" s="165"/>
      <c r="K9" s="109"/>
    </row>
    <row r="10" spans="1:13" ht="15" thickBot="1" x14ac:dyDescent="0.35">
      <c r="A10" s="288" t="s">
        <v>95</v>
      </c>
      <c r="B10" s="289" t="s">
        <v>96</v>
      </c>
      <c r="C10" s="289" t="s">
        <v>97</v>
      </c>
      <c r="D10" s="289"/>
      <c r="E10" s="289"/>
      <c r="F10" s="289"/>
      <c r="G10" s="289"/>
      <c r="H10" s="289" t="s">
        <v>98</v>
      </c>
      <c r="I10" s="289" t="s">
        <v>99</v>
      </c>
      <c r="J10" s="292" t="s">
        <v>100</v>
      </c>
      <c r="K10" s="291" t="s">
        <v>101</v>
      </c>
    </row>
    <row r="11" spans="1:13" ht="34.5" customHeight="1" thickBot="1" x14ac:dyDescent="0.35">
      <c r="A11" s="303"/>
      <c r="B11" s="290"/>
      <c r="C11" s="290"/>
      <c r="D11" s="290"/>
      <c r="E11" s="290"/>
      <c r="F11" s="290"/>
      <c r="G11" s="290"/>
      <c r="H11" s="290"/>
      <c r="I11" s="290"/>
      <c r="J11" s="304"/>
      <c r="K11" s="302"/>
    </row>
    <row r="12" spans="1:13" s="169" customFormat="1" ht="16.5" customHeight="1" x14ac:dyDescent="0.3">
      <c r="A12" s="192">
        <v>1</v>
      </c>
      <c r="B12" s="176" t="str">
        <f>'SAF 011'!B22</f>
        <v>2.4.4-6818.48</v>
      </c>
      <c r="C12" s="299" t="str">
        <f>'SAF 011'!E22</f>
        <v>NEUMATICOS; VEHICULO: CAMIONETA, CONSTRUCCION: RADIAL, MEDIDA: 235/75R15, ARMADO: S/CAMARA</v>
      </c>
      <c r="D12" s="300"/>
      <c r="E12" s="300"/>
      <c r="F12" s="300"/>
      <c r="G12" s="301"/>
      <c r="H12" s="176" t="s">
        <v>138</v>
      </c>
      <c r="I12" s="193" t="str">
        <f>'SAF 011'!F22</f>
        <v>UNIDAD</v>
      </c>
      <c r="J12" s="194">
        <f>'SAF 011'!AX22</f>
        <v>38300</v>
      </c>
      <c r="K12" s="195">
        <f>'SAF 011'!O22</f>
        <v>2</v>
      </c>
      <c r="M12" s="168">
        <f t="shared" ref="M12" si="0">+J12*K12</f>
        <v>76600</v>
      </c>
    </row>
    <row r="13" spans="1:13" ht="16.2" thickBot="1" x14ac:dyDescent="0.35">
      <c r="A13" s="158"/>
      <c r="B13" s="159"/>
      <c r="C13" s="287"/>
      <c r="D13" s="287"/>
      <c r="E13" s="287"/>
      <c r="F13" s="287"/>
      <c r="G13" s="287"/>
      <c r="H13" s="160"/>
      <c r="I13" s="161"/>
      <c r="J13" s="166"/>
      <c r="K13" s="162"/>
    </row>
    <row r="14" spans="1:13" ht="18" thickBot="1" x14ac:dyDescent="0.35">
      <c r="A14" s="282" t="s">
        <v>152</v>
      </c>
      <c r="B14" s="282"/>
      <c r="C14" s="282"/>
      <c r="D14" s="282"/>
      <c r="E14" s="282"/>
      <c r="F14" s="282"/>
      <c r="G14" s="282"/>
      <c r="H14" s="282"/>
      <c r="I14" s="282"/>
      <c r="J14" s="283">
        <f>+M14</f>
        <v>76600</v>
      </c>
      <c r="K14" s="283"/>
      <c r="M14" s="168">
        <f>SUM(M12:M13)</f>
        <v>76600</v>
      </c>
    </row>
  </sheetData>
  <mergeCells count="24">
    <mergeCell ref="C13:G13"/>
    <mergeCell ref="A14:I14"/>
    <mergeCell ref="J14:K14"/>
    <mergeCell ref="C12:G12"/>
    <mergeCell ref="K10:K11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selection activeCell="K13" sqref="K13"/>
    </sheetView>
  </sheetViews>
  <sheetFormatPr baseColWidth="10" defaultColWidth="11.44140625" defaultRowHeight="14.4" x14ac:dyDescent="0.3"/>
  <cols>
    <col min="1" max="1" width="5.5546875" style="64" customWidth="1"/>
    <col min="2" max="2" width="15.109375" style="157" customWidth="1"/>
    <col min="3" max="3" width="14.109375" style="64" customWidth="1"/>
    <col min="4" max="4" width="26" style="64" customWidth="1"/>
    <col min="5" max="5" width="8" style="64" customWidth="1"/>
    <col min="6" max="6" width="7.88671875" style="64" customWidth="1"/>
    <col min="7" max="7" width="70.88671875" style="64" customWidth="1"/>
    <col min="8" max="8" width="9.33203125" style="64" customWidth="1"/>
    <col min="9" max="9" width="15.5546875" style="64" customWidth="1"/>
    <col min="10" max="10" width="14.6640625" style="167" customWidth="1"/>
    <col min="11" max="11" width="15.5546875" style="64" customWidth="1"/>
    <col min="12" max="12" width="11.44140625" style="64"/>
    <col min="13" max="13" width="11.44140625" style="168"/>
    <col min="14" max="16384" width="11.44140625" style="64"/>
  </cols>
  <sheetData>
    <row r="1" spans="1:13" ht="30.6" thickBot="1" x14ac:dyDescent="0.35">
      <c r="A1" s="298" t="s">
        <v>87</v>
      </c>
      <c r="B1" s="298"/>
      <c r="C1" s="298"/>
      <c r="D1" s="298"/>
      <c r="E1" s="298"/>
      <c r="F1" s="298"/>
      <c r="G1" s="298"/>
      <c r="H1" s="298"/>
      <c r="I1" s="298"/>
      <c r="J1" s="163" t="s">
        <v>88</v>
      </c>
      <c r="K1" s="146" t="s">
        <v>153</v>
      </c>
    </row>
    <row r="2" spans="1:13" ht="16.2" thickBot="1" x14ac:dyDescent="0.35">
      <c r="A2" s="102"/>
      <c r="B2" s="155"/>
      <c r="C2" s="103"/>
      <c r="D2" s="104"/>
      <c r="E2" s="104"/>
      <c r="F2" s="104"/>
      <c r="G2" s="104"/>
      <c r="H2" s="104"/>
      <c r="I2" s="104"/>
      <c r="J2" s="164"/>
      <c r="K2" s="105"/>
    </row>
    <row r="3" spans="1:13" ht="16.2" thickBot="1" x14ac:dyDescent="0.35">
      <c r="A3" s="293" t="s">
        <v>89</v>
      </c>
      <c r="B3" s="293"/>
      <c r="C3" s="293"/>
      <c r="D3" s="294" t="str">
        <f>'SAF 011'!C4</f>
        <v>040 - MINISTERIO DE SALUD</v>
      </c>
      <c r="E3" s="294"/>
      <c r="F3" s="294"/>
      <c r="G3" s="294"/>
      <c r="H3" s="294"/>
      <c r="I3" s="294"/>
      <c r="J3" s="294"/>
      <c r="K3" s="294"/>
    </row>
    <row r="4" spans="1:13" ht="16.2" thickBot="1" x14ac:dyDescent="0.35">
      <c r="A4" s="295" t="s">
        <v>90</v>
      </c>
      <c r="B4" s="295"/>
      <c r="C4" s="295"/>
      <c r="D4" s="294" t="str">
        <f>'SAF 011'!C5</f>
        <v>011 - DIRECCION PROVINCIAL DE ADMINISTRACION - MINISTERIO DE SALUD</v>
      </c>
      <c r="E4" s="294"/>
      <c r="F4" s="294"/>
      <c r="G4" s="294"/>
      <c r="H4" s="294"/>
      <c r="I4" s="294"/>
      <c r="J4" s="294"/>
      <c r="K4" s="294"/>
    </row>
    <row r="5" spans="1:13" ht="16.2" thickBot="1" x14ac:dyDescent="0.35">
      <c r="A5" s="295" t="s">
        <v>91</v>
      </c>
      <c r="B5" s="295"/>
      <c r="C5" s="295"/>
      <c r="D5" s="294" t="s">
        <v>124</v>
      </c>
      <c r="E5" s="294"/>
      <c r="F5" s="294"/>
      <c r="G5" s="294"/>
      <c r="H5" s="294"/>
      <c r="I5" s="294"/>
      <c r="J5" s="294"/>
      <c r="K5" s="294"/>
    </row>
    <row r="6" spans="1:13" ht="16.2" thickBot="1" x14ac:dyDescent="0.35">
      <c r="A6" s="293" t="s">
        <v>92</v>
      </c>
      <c r="B6" s="293"/>
      <c r="C6" s="293"/>
      <c r="D6" s="294" t="s">
        <v>143</v>
      </c>
      <c r="E6" s="294"/>
      <c r="F6" s="294"/>
      <c r="G6" s="294"/>
      <c r="H6" s="294"/>
      <c r="I6" s="294"/>
      <c r="J6" s="294"/>
      <c r="K6" s="294"/>
    </row>
    <row r="7" spans="1:13" ht="16.2" thickBot="1" x14ac:dyDescent="0.35">
      <c r="A7" s="295" t="s">
        <v>93</v>
      </c>
      <c r="B7" s="295"/>
      <c r="C7" s="295"/>
      <c r="D7" s="294" t="s">
        <v>126</v>
      </c>
      <c r="E7" s="294"/>
      <c r="F7" s="294"/>
      <c r="G7" s="294"/>
      <c r="H7" s="294"/>
      <c r="I7" s="294"/>
      <c r="J7" s="294"/>
      <c r="K7" s="294"/>
    </row>
    <row r="8" spans="1:13" ht="16.2" thickBot="1" x14ac:dyDescent="0.35">
      <c r="A8" s="296" t="s">
        <v>94</v>
      </c>
      <c r="B8" s="296"/>
      <c r="C8" s="296"/>
      <c r="D8" s="297" t="s">
        <v>127</v>
      </c>
      <c r="E8" s="297"/>
      <c r="F8" s="297"/>
      <c r="G8" s="297"/>
      <c r="H8" s="297"/>
      <c r="I8" s="297"/>
      <c r="J8" s="297"/>
      <c r="K8" s="297"/>
    </row>
    <row r="9" spans="1:13" ht="16.2" thickBot="1" x14ac:dyDescent="0.35">
      <c r="A9" s="106"/>
      <c r="B9" s="156"/>
      <c r="C9" s="107"/>
      <c r="D9" s="108"/>
      <c r="E9" s="108"/>
      <c r="F9" s="108"/>
      <c r="G9" s="108"/>
      <c r="H9" s="108"/>
      <c r="I9" s="108"/>
      <c r="J9" s="165"/>
      <c r="K9" s="109"/>
    </row>
    <row r="10" spans="1:13" ht="15" thickBot="1" x14ac:dyDescent="0.35">
      <c r="A10" s="288" t="s">
        <v>95</v>
      </c>
      <c r="B10" s="289" t="s">
        <v>96</v>
      </c>
      <c r="C10" s="289" t="s">
        <v>97</v>
      </c>
      <c r="D10" s="289"/>
      <c r="E10" s="289"/>
      <c r="F10" s="289"/>
      <c r="G10" s="289"/>
      <c r="H10" s="289" t="s">
        <v>98</v>
      </c>
      <c r="I10" s="289" t="s">
        <v>99</v>
      </c>
      <c r="J10" s="292" t="s">
        <v>100</v>
      </c>
      <c r="K10" s="291" t="s">
        <v>101</v>
      </c>
    </row>
    <row r="11" spans="1:13" ht="34.5" customHeight="1" thickBot="1" x14ac:dyDescent="0.35">
      <c r="A11" s="288"/>
      <c r="B11" s="290"/>
      <c r="C11" s="289"/>
      <c r="D11" s="289"/>
      <c r="E11" s="289"/>
      <c r="F11" s="289"/>
      <c r="G11" s="289"/>
      <c r="H11" s="289"/>
      <c r="I11" s="289"/>
      <c r="J11" s="292"/>
      <c r="K11" s="291"/>
    </row>
    <row r="12" spans="1:13" s="169" customFormat="1" ht="22.5" customHeight="1" x14ac:dyDescent="0.3">
      <c r="A12" s="175">
        <v>1</v>
      </c>
      <c r="B12" s="176" t="str">
        <f>'SAF 011'!B10</f>
        <v>2.4.4-6818.986</v>
      </c>
      <c r="C12" s="306" t="str">
        <f>'SAF 011'!E10</f>
        <v>NEUMATICOS; VEHICULO: AMBULANCIA/FURGON/MINIBUS, CONSTRUCCION: RADIAL, ARMADO: S/CAMARA, MEDIDA: 205/75R16</v>
      </c>
      <c r="D12" s="306"/>
      <c r="E12" s="306"/>
      <c r="F12" s="306"/>
      <c r="G12" s="306"/>
      <c r="H12" s="177" t="s">
        <v>138</v>
      </c>
      <c r="I12" s="178" t="str">
        <f>'SAF 011'!F10</f>
        <v>UNIDAD</v>
      </c>
      <c r="J12" s="179">
        <f>'SAF 011'!AX10</f>
        <v>42000</v>
      </c>
      <c r="K12" s="180">
        <f>'SAF 011'!W10</f>
        <v>20</v>
      </c>
      <c r="M12" s="168">
        <f>+J12*K12</f>
        <v>840000</v>
      </c>
    </row>
    <row r="13" spans="1:13" ht="16.2" thickBot="1" x14ac:dyDescent="0.35">
      <c r="A13" s="158"/>
      <c r="B13" s="159"/>
      <c r="C13" s="287"/>
      <c r="D13" s="287"/>
      <c r="E13" s="287"/>
      <c r="F13" s="287"/>
      <c r="G13" s="287"/>
      <c r="H13" s="160"/>
      <c r="I13" s="161"/>
      <c r="J13" s="166"/>
      <c r="K13" s="162"/>
    </row>
    <row r="14" spans="1:13" s="181" customFormat="1" ht="18" thickBot="1" x14ac:dyDescent="0.35">
      <c r="A14" s="282" t="s">
        <v>154</v>
      </c>
      <c r="B14" s="282"/>
      <c r="C14" s="282"/>
      <c r="D14" s="282"/>
      <c r="E14" s="282"/>
      <c r="F14" s="282"/>
      <c r="G14" s="282"/>
      <c r="H14" s="282"/>
      <c r="I14" s="282"/>
      <c r="J14" s="305">
        <f>+M14</f>
        <v>840000</v>
      </c>
      <c r="K14" s="305"/>
      <c r="M14" s="182">
        <f>SUM(M12:M13)</f>
        <v>840000</v>
      </c>
    </row>
  </sheetData>
  <mergeCells count="24">
    <mergeCell ref="C13:G13"/>
    <mergeCell ref="A14:I14"/>
    <mergeCell ref="J14:K14"/>
    <mergeCell ref="K10:K11"/>
    <mergeCell ref="C12:G12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selection activeCell="G24" sqref="G24"/>
    </sheetView>
  </sheetViews>
  <sheetFormatPr baseColWidth="10" defaultColWidth="11.44140625" defaultRowHeight="14.4" x14ac:dyDescent="0.3"/>
  <cols>
    <col min="1" max="1" width="5.5546875" style="64" customWidth="1"/>
    <col min="2" max="2" width="15.109375" style="157" customWidth="1"/>
    <col min="3" max="3" width="14.109375" style="64" customWidth="1"/>
    <col min="4" max="4" width="26" style="64" customWidth="1"/>
    <col min="5" max="5" width="8" style="64" customWidth="1"/>
    <col min="6" max="6" width="7.88671875" style="64" customWidth="1"/>
    <col min="7" max="7" width="54.44140625" style="64" customWidth="1"/>
    <col min="8" max="8" width="9.33203125" style="64" customWidth="1"/>
    <col min="9" max="9" width="15.5546875" style="64" customWidth="1"/>
    <col min="10" max="10" width="14.6640625" style="167" customWidth="1"/>
    <col min="11" max="11" width="15.5546875" style="64" customWidth="1"/>
    <col min="12" max="12" width="11.44140625" style="64"/>
    <col min="13" max="13" width="11.44140625" style="168"/>
    <col min="14" max="16384" width="11.44140625" style="64"/>
  </cols>
  <sheetData>
    <row r="1" spans="1:13" ht="30.6" thickBot="1" x14ac:dyDescent="0.35">
      <c r="A1" s="298" t="s">
        <v>87</v>
      </c>
      <c r="B1" s="298"/>
      <c r="C1" s="298"/>
      <c r="D1" s="298"/>
      <c r="E1" s="298"/>
      <c r="F1" s="298"/>
      <c r="G1" s="298"/>
      <c r="H1" s="298"/>
      <c r="I1" s="298"/>
      <c r="J1" s="163" t="s">
        <v>88</v>
      </c>
      <c r="K1" s="146" t="s">
        <v>151</v>
      </c>
    </row>
    <row r="2" spans="1:13" ht="16.2" thickBot="1" x14ac:dyDescent="0.35">
      <c r="A2" s="102"/>
      <c r="B2" s="155"/>
      <c r="C2" s="103"/>
      <c r="D2" s="104"/>
      <c r="E2" s="104"/>
      <c r="F2" s="104"/>
      <c r="G2" s="104"/>
      <c r="H2" s="104"/>
      <c r="I2" s="104"/>
      <c r="J2" s="164"/>
      <c r="K2" s="105"/>
    </row>
    <row r="3" spans="1:13" ht="16.5" customHeight="1" thickBot="1" x14ac:dyDescent="0.35">
      <c r="A3" s="293" t="s">
        <v>89</v>
      </c>
      <c r="B3" s="293"/>
      <c r="C3" s="293"/>
      <c r="D3" s="183" t="str">
        <f>'SAF 011'!C4</f>
        <v>040 - MINISTERIO DE SALUD</v>
      </c>
      <c r="E3" s="184"/>
      <c r="F3" s="184"/>
      <c r="G3" s="184"/>
      <c r="H3" s="184"/>
      <c r="I3" s="184"/>
      <c r="J3" s="184"/>
      <c r="K3" s="185"/>
    </row>
    <row r="4" spans="1:13" ht="16.5" customHeight="1" thickBot="1" x14ac:dyDescent="0.35">
      <c r="A4" s="295" t="s">
        <v>90</v>
      </c>
      <c r="B4" s="295"/>
      <c r="C4" s="295"/>
      <c r="D4" s="183" t="str">
        <f>'SAF 011'!C5</f>
        <v>011 - DIRECCION PROVINCIAL DE ADMINISTRACION - MINISTERIO DE SALUD</v>
      </c>
      <c r="E4" s="184"/>
      <c r="F4" s="184"/>
      <c r="G4" s="184"/>
      <c r="H4" s="184"/>
      <c r="I4" s="184"/>
      <c r="J4" s="184"/>
      <c r="K4" s="185"/>
    </row>
    <row r="5" spans="1:13" ht="16.5" customHeight="1" thickBot="1" x14ac:dyDescent="0.35">
      <c r="A5" s="295" t="s">
        <v>91</v>
      </c>
      <c r="B5" s="295"/>
      <c r="C5" s="295"/>
      <c r="D5" s="183" t="s">
        <v>124</v>
      </c>
      <c r="E5" s="184"/>
      <c r="F5" s="184"/>
      <c r="G5" s="184"/>
      <c r="H5" s="184"/>
      <c r="I5" s="184"/>
      <c r="J5" s="184"/>
      <c r="K5" s="185"/>
    </row>
    <row r="6" spans="1:13" ht="16.5" customHeight="1" thickBot="1" x14ac:dyDescent="0.35">
      <c r="A6" s="293" t="s">
        <v>92</v>
      </c>
      <c r="B6" s="293"/>
      <c r="C6" s="293"/>
      <c r="D6" s="183" t="s">
        <v>124</v>
      </c>
      <c r="E6" s="184"/>
      <c r="F6" s="184"/>
      <c r="G6" s="184"/>
      <c r="H6" s="184"/>
      <c r="I6" s="184"/>
      <c r="J6" s="184"/>
      <c r="K6" s="185"/>
    </row>
    <row r="7" spans="1:13" ht="16.2" thickBot="1" x14ac:dyDescent="0.35">
      <c r="A7" s="295" t="s">
        <v>93</v>
      </c>
      <c r="B7" s="295"/>
      <c r="C7" s="295"/>
      <c r="D7" s="183" t="s">
        <v>126</v>
      </c>
      <c r="E7" s="184"/>
      <c r="F7" s="184"/>
      <c r="G7" s="184"/>
      <c r="H7" s="184"/>
      <c r="I7" s="184"/>
      <c r="J7" s="184"/>
      <c r="K7" s="185"/>
    </row>
    <row r="8" spans="1:13" ht="16.5" customHeight="1" thickBot="1" x14ac:dyDescent="0.35">
      <c r="A8" s="296" t="s">
        <v>94</v>
      </c>
      <c r="B8" s="296"/>
      <c r="C8" s="296"/>
      <c r="D8" s="186" t="s">
        <v>127</v>
      </c>
      <c r="E8" s="184"/>
      <c r="F8" s="184"/>
      <c r="G8" s="184"/>
      <c r="H8" s="184"/>
      <c r="I8" s="184"/>
      <c r="J8" s="184"/>
      <c r="K8" s="185"/>
    </row>
    <row r="9" spans="1:13" ht="16.2" thickBot="1" x14ac:dyDescent="0.35">
      <c r="A9" s="106"/>
      <c r="B9" s="156"/>
      <c r="C9" s="107"/>
      <c r="D9" s="108"/>
      <c r="E9" s="108"/>
      <c r="F9" s="108"/>
      <c r="G9" s="108"/>
      <c r="H9" s="108"/>
      <c r="I9" s="108"/>
      <c r="J9" s="165"/>
      <c r="K9" s="109"/>
    </row>
    <row r="10" spans="1:13" ht="15" thickBot="1" x14ac:dyDescent="0.35">
      <c r="A10" s="288" t="s">
        <v>95</v>
      </c>
      <c r="B10" s="289" t="s">
        <v>96</v>
      </c>
      <c r="C10" s="289" t="s">
        <v>97</v>
      </c>
      <c r="D10" s="289"/>
      <c r="E10" s="289"/>
      <c r="F10" s="289"/>
      <c r="G10" s="289"/>
      <c r="H10" s="289" t="s">
        <v>98</v>
      </c>
      <c r="I10" s="289" t="s">
        <v>99</v>
      </c>
      <c r="J10" s="292" t="s">
        <v>100</v>
      </c>
      <c r="K10" s="291" t="s">
        <v>101</v>
      </c>
    </row>
    <row r="11" spans="1:13" ht="34.5" customHeight="1" thickBot="1" x14ac:dyDescent="0.35">
      <c r="A11" s="303"/>
      <c r="B11" s="290"/>
      <c r="C11" s="290"/>
      <c r="D11" s="290"/>
      <c r="E11" s="290"/>
      <c r="F11" s="290"/>
      <c r="G11" s="290"/>
      <c r="H11" s="290"/>
      <c r="I11" s="290"/>
      <c r="J11" s="304"/>
      <c r="K11" s="302"/>
    </row>
    <row r="12" spans="1:13" s="169" customFormat="1" ht="16.5" customHeight="1" x14ac:dyDescent="0.3">
      <c r="A12" s="192">
        <v>1</v>
      </c>
      <c r="B12" s="176" t="str">
        <f>'SAF 011'!B19</f>
        <v>2.4.4-6818.530</v>
      </c>
      <c r="C12" s="299" t="str">
        <f>'SAF 011'!E19</f>
        <v>NEUMATICOS; VEHICULO: CAMIONETA, CONSTRUCCION: RADIAL, ARMADO: S/CAMARA, MEDIDA: 245/70R16</v>
      </c>
      <c r="D12" s="300"/>
      <c r="E12" s="300"/>
      <c r="F12" s="300"/>
      <c r="G12" s="301"/>
      <c r="H12" s="176" t="s">
        <v>138</v>
      </c>
      <c r="I12" s="193" t="str">
        <f>'SAF 011'!F19</f>
        <v>UNIDAD</v>
      </c>
      <c r="J12" s="194">
        <f>'SAF 011'!AX19</f>
        <v>44250</v>
      </c>
      <c r="K12" s="195">
        <f>'SAF 011'!AC19</f>
        <v>4</v>
      </c>
      <c r="M12" s="168">
        <f t="shared" ref="M12" si="0">+J12*K12</f>
        <v>177000</v>
      </c>
    </row>
    <row r="13" spans="1:13" ht="16.2" thickBot="1" x14ac:dyDescent="0.35">
      <c r="A13" s="158"/>
      <c r="B13" s="159"/>
      <c r="C13" s="287"/>
      <c r="D13" s="287"/>
      <c r="E13" s="287"/>
      <c r="F13" s="287"/>
      <c r="G13" s="287"/>
      <c r="H13" s="160"/>
      <c r="I13" s="161"/>
      <c r="J13" s="166"/>
      <c r="K13" s="162"/>
    </row>
    <row r="14" spans="1:13" ht="18" thickBot="1" x14ac:dyDescent="0.35">
      <c r="A14" s="282" t="s">
        <v>155</v>
      </c>
      <c r="B14" s="282"/>
      <c r="C14" s="282"/>
      <c r="D14" s="282"/>
      <c r="E14" s="282"/>
      <c r="F14" s="282"/>
      <c r="G14" s="282"/>
      <c r="H14" s="282"/>
      <c r="I14" s="282"/>
      <c r="J14" s="283">
        <f>+M14</f>
        <v>177000</v>
      </c>
      <c r="K14" s="283"/>
      <c r="M14" s="168">
        <f>SUM(M12:M13)</f>
        <v>177000</v>
      </c>
    </row>
  </sheetData>
  <mergeCells count="18">
    <mergeCell ref="C13:G13"/>
    <mergeCell ref="A14:I14"/>
    <mergeCell ref="J14:K14"/>
    <mergeCell ref="C12:G12"/>
    <mergeCell ref="K10:K11"/>
    <mergeCell ref="A10:A11"/>
    <mergeCell ref="B10:B11"/>
    <mergeCell ref="C10:G11"/>
    <mergeCell ref="H10:H11"/>
    <mergeCell ref="I10:I11"/>
    <mergeCell ref="J10:J11"/>
    <mergeCell ref="A6:C6"/>
    <mergeCell ref="A7:C7"/>
    <mergeCell ref="A8:C8"/>
    <mergeCell ref="A1:I1"/>
    <mergeCell ref="A3:C3"/>
    <mergeCell ref="A4:C4"/>
    <mergeCell ref="A5:C5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opLeftCell="A7" workbookViewId="0">
      <selection activeCell="G24" sqref="G24"/>
    </sheetView>
  </sheetViews>
  <sheetFormatPr baseColWidth="10" defaultRowHeight="14.4" x14ac:dyDescent="0.3"/>
  <cols>
    <col min="1" max="5" width="4.44140625" customWidth="1"/>
    <col min="6" max="6" width="9.44140625" customWidth="1"/>
    <col min="7" max="14" width="4.44140625" customWidth="1"/>
    <col min="15" max="16" width="14.88671875" customWidth="1"/>
    <col min="17" max="17" width="14.6640625" customWidth="1"/>
  </cols>
  <sheetData>
    <row r="1" spans="1:17" ht="15" thickBot="1" x14ac:dyDescent="0.35">
      <c r="A1" s="325" t="s">
        <v>5</v>
      </c>
      <c r="B1" s="325"/>
      <c r="C1" s="325"/>
      <c r="D1" s="326">
        <v>2022</v>
      </c>
      <c r="E1" s="326"/>
      <c r="F1" s="110"/>
      <c r="G1" s="110"/>
      <c r="H1" s="111"/>
      <c r="I1" s="111"/>
      <c r="J1" s="111"/>
      <c r="K1" s="111"/>
      <c r="L1" s="111"/>
      <c r="M1" s="111"/>
      <c r="N1" s="111"/>
      <c r="O1" s="112"/>
      <c r="P1" s="327" t="s">
        <v>102</v>
      </c>
      <c r="Q1" s="327"/>
    </row>
    <row r="2" spans="1:17" ht="15" thickBot="1" x14ac:dyDescent="0.35">
      <c r="A2" s="113"/>
      <c r="B2" s="114"/>
      <c r="C2" s="114"/>
      <c r="D2" s="114"/>
      <c r="E2" s="114"/>
      <c r="F2" s="114"/>
      <c r="G2" s="115"/>
      <c r="H2" s="116"/>
      <c r="I2" s="116"/>
      <c r="J2" s="116"/>
      <c r="K2" s="116"/>
      <c r="L2" s="116"/>
      <c r="M2" s="116"/>
      <c r="N2" s="116"/>
      <c r="O2" s="114"/>
      <c r="P2" s="327"/>
      <c r="Q2" s="327"/>
    </row>
    <row r="3" spans="1:17" ht="15" thickBot="1" x14ac:dyDescent="0.35">
      <c r="A3" s="113"/>
      <c r="B3" s="114"/>
      <c r="C3" s="114"/>
      <c r="D3" s="114"/>
      <c r="E3" s="114"/>
      <c r="F3" s="114"/>
      <c r="G3" s="115"/>
      <c r="H3" s="114"/>
      <c r="I3" s="114"/>
      <c r="J3" s="114"/>
      <c r="K3" s="114"/>
      <c r="L3" s="114"/>
      <c r="M3" s="114"/>
      <c r="N3" s="114"/>
      <c r="O3" s="114"/>
      <c r="P3" s="114"/>
      <c r="Q3" s="117"/>
    </row>
    <row r="4" spans="1:17" ht="15" thickBot="1" x14ac:dyDescent="0.35">
      <c r="A4" s="328" t="s">
        <v>103</v>
      </c>
      <c r="B4" s="328"/>
      <c r="C4" s="328"/>
      <c r="D4" s="328"/>
      <c r="E4" s="328"/>
      <c r="F4" s="328"/>
      <c r="G4" s="329" t="str">
        <f>'SAF 011'!C4</f>
        <v>040 - MINISTERIO DE SALUD</v>
      </c>
      <c r="H4" s="329"/>
      <c r="I4" s="329"/>
      <c r="J4" s="329"/>
      <c r="K4" s="329"/>
      <c r="L4" s="329"/>
      <c r="M4" s="329"/>
      <c r="N4" s="329"/>
      <c r="O4" s="329"/>
      <c r="P4" s="329"/>
      <c r="Q4" s="329"/>
    </row>
    <row r="5" spans="1:17" ht="15" thickBot="1" x14ac:dyDescent="0.35">
      <c r="A5" s="330" t="s">
        <v>90</v>
      </c>
      <c r="B5" s="330"/>
      <c r="C5" s="330"/>
      <c r="D5" s="330"/>
      <c r="E5" s="330"/>
      <c r="F5" s="330"/>
      <c r="G5" s="329" t="str">
        <f>'SAF 011'!C5</f>
        <v>011 - DIRECCION PROVINCIAL DE ADMINISTRACION - MINISTERIO DE SALUD</v>
      </c>
      <c r="H5" s="329"/>
      <c r="I5" s="329"/>
      <c r="J5" s="329"/>
      <c r="K5" s="329"/>
      <c r="L5" s="329"/>
      <c r="M5" s="329"/>
      <c r="N5" s="329"/>
      <c r="O5" s="329"/>
      <c r="P5" s="329"/>
      <c r="Q5" s="329"/>
    </row>
    <row r="6" spans="1:17" ht="15" thickBot="1" x14ac:dyDescent="0.35">
      <c r="A6" s="330" t="s">
        <v>91</v>
      </c>
      <c r="B6" s="330"/>
      <c r="C6" s="330"/>
      <c r="D6" s="330"/>
      <c r="E6" s="330"/>
      <c r="F6" s="330"/>
      <c r="G6" s="329" t="s">
        <v>124</v>
      </c>
      <c r="H6" s="329"/>
      <c r="I6" s="329"/>
      <c r="J6" s="329"/>
      <c r="K6" s="329"/>
      <c r="L6" s="329"/>
      <c r="M6" s="329"/>
      <c r="N6" s="329"/>
      <c r="O6" s="329"/>
      <c r="P6" s="329"/>
      <c r="Q6" s="329"/>
    </row>
    <row r="7" spans="1:17" ht="15" thickBot="1" x14ac:dyDescent="0.35">
      <c r="A7" s="330" t="s">
        <v>92</v>
      </c>
      <c r="B7" s="330"/>
      <c r="C7" s="330"/>
      <c r="D7" s="330"/>
      <c r="E7" s="330"/>
      <c r="F7" s="330"/>
      <c r="G7" s="329" t="s">
        <v>124</v>
      </c>
      <c r="H7" s="329"/>
      <c r="I7" s="329"/>
      <c r="J7" s="329"/>
      <c r="K7" s="329"/>
      <c r="L7" s="329"/>
      <c r="M7" s="329"/>
      <c r="N7" s="329"/>
      <c r="O7" s="329"/>
      <c r="P7" s="329"/>
      <c r="Q7" s="329"/>
    </row>
    <row r="8" spans="1:17" ht="15" thickBot="1" x14ac:dyDescent="0.35">
      <c r="A8" s="331" t="s">
        <v>104</v>
      </c>
      <c r="B8" s="331"/>
      <c r="C8" s="331"/>
      <c r="D8" s="331"/>
      <c r="E8" s="331"/>
      <c r="F8" s="331"/>
      <c r="G8" s="331"/>
      <c r="H8" s="331"/>
      <c r="I8" s="331"/>
      <c r="J8" s="331"/>
      <c r="K8" s="331"/>
      <c r="L8" s="331"/>
      <c r="M8" s="331"/>
      <c r="N8" s="331"/>
      <c r="O8" s="331"/>
      <c r="P8" s="331"/>
      <c r="Q8" s="331"/>
    </row>
    <row r="9" spans="1:17" ht="20.25" customHeight="1" x14ac:dyDescent="0.3">
      <c r="A9" s="324" t="s">
        <v>105</v>
      </c>
      <c r="B9" s="324"/>
      <c r="C9" s="324"/>
      <c r="D9" s="324"/>
      <c r="E9" s="324"/>
      <c r="F9" s="324"/>
      <c r="G9" s="324"/>
      <c r="H9" s="324"/>
      <c r="I9" s="324"/>
      <c r="J9" s="324"/>
      <c r="K9" s="324"/>
      <c r="L9" s="324"/>
      <c r="M9" s="324"/>
      <c r="N9" s="324"/>
      <c r="O9" s="324"/>
      <c r="P9" s="324"/>
      <c r="Q9" s="324"/>
    </row>
    <row r="10" spans="1:17" ht="69" customHeight="1" x14ac:dyDescent="0.3">
      <c r="A10" s="316" t="s">
        <v>156</v>
      </c>
      <c r="B10" s="316"/>
      <c r="C10" s="316"/>
      <c r="D10" s="316"/>
      <c r="E10" s="316"/>
      <c r="F10" s="316"/>
      <c r="G10" s="316"/>
      <c r="H10" s="316"/>
      <c r="I10" s="316"/>
      <c r="J10" s="316"/>
      <c r="K10" s="316"/>
      <c r="L10" s="316"/>
      <c r="M10" s="316"/>
      <c r="N10" s="316"/>
      <c r="O10" s="316"/>
      <c r="P10" s="316"/>
      <c r="Q10" s="316"/>
    </row>
    <row r="11" spans="1:17" ht="15" thickBot="1" x14ac:dyDescent="0.35">
      <c r="A11" s="118"/>
      <c r="B11" s="119"/>
      <c r="C11" s="119"/>
      <c r="D11" s="119"/>
      <c r="E11" s="119"/>
      <c r="F11" s="119"/>
      <c r="G11" s="120"/>
      <c r="H11" s="119"/>
      <c r="I11" s="119"/>
      <c r="J11" s="119"/>
      <c r="K11" s="119"/>
      <c r="L11" s="119"/>
      <c r="M11" s="119"/>
      <c r="N11" s="119"/>
      <c r="O11" s="119"/>
      <c r="P11" s="119"/>
      <c r="Q11" s="121"/>
    </row>
    <row r="12" spans="1:17" ht="15" thickBot="1" x14ac:dyDescent="0.35">
      <c r="A12" s="317" t="s">
        <v>106</v>
      </c>
      <c r="B12" s="317"/>
      <c r="C12" s="317"/>
      <c r="D12" s="317"/>
      <c r="E12" s="317"/>
      <c r="F12" s="317"/>
      <c r="G12" s="317"/>
      <c r="H12" s="317"/>
      <c r="I12" s="317"/>
      <c r="J12" s="317"/>
      <c r="K12" s="317"/>
      <c r="L12" s="317"/>
      <c r="M12" s="317"/>
      <c r="N12" s="317"/>
      <c r="O12" s="317"/>
      <c r="P12" s="317"/>
      <c r="Q12" s="317"/>
    </row>
    <row r="13" spans="1:17" ht="15" thickBot="1" x14ac:dyDescent="0.35">
      <c r="A13" s="318" t="s">
        <v>107</v>
      </c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8"/>
      <c r="N13" s="318"/>
      <c r="O13" s="319" t="s">
        <v>108</v>
      </c>
      <c r="P13" s="319"/>
      <c r="Q13" s="320" t="s">
        <v>109</v>
      </c>
    </row>
    <row r="14" spans="1:17" ht="15" thickBot="1" x14ac:dyDescent="0.35">
      <c r="A14" s="122" t="s">
        <v>110</v>
      </c>
      <c r="B14" s="123" t="s">
        <v>111</v>
      </c>
      <c r="C14" s="123" t="s">
        <v>112</v>
      </c>
      <c r="D14" s="123" t="s">
        <v>113</v>
      </c>
      <c r="E14" s="123" t="s">
        <v>114</v>
      </c>
      <c r="F14" s="123" t="s">
        <v>115</v>
      </c>
      <c r="G14" s="124" t="s">
        <v>116</v>
      </c>
      <c r="H14" s="123" t="s">
        <v>117</v>
      </c>
      <c r="I14" s="123" t="s">
        <v>118</v>
      </c>
      <c r="J14" s="123" t="s">
        <v>119</v>
      </c>
      <c r="K14" s="123" t="s">
        <v>119</v>
      </c>
      <c r="L14" s="123" t="s">
        <v>120</v>
      </c>
      <c r="M14" s="125" t="s">
        <v>121</v>
      </c>
      <c r="N14" s="126" t="s">
        <v>122</v>
      </c>
      <c r="O14" s="319"/>
      <c r="P14" s="319"/>
      <c r="Q14" s="320"/>
    </row>
    <row r="15" spans="1:17" x14ac:dyDescent="0.3">
      <c r="A15" s="201">
        <v>27</v>
      </c>
      <c r="B15" s="202"/>
      <c r="C15" s="202"/>
      <c r="D15" s="202">
        <v>1</v>
      </c>
      <c r="E15" s="202"/>
      <c r="F15" s="202">
        <v>4901</v>
      </c>
      <c r="G15" s="202">
        <v>3</v>
      </c>
      <c r="H15" s="202">
        <v>1</v>
      </c>
      <c r="I15" s="202">
        <v>2</v>
      </c>
      <c r="J15" s="202">
        <v>4</v>
      </c>
      <c r="K15" s="202">
        <v>4</v>
      </c>
      <c r="L15" s="202"/>
      <c r="M15" s="203">
        <v>1</v>
      </c>
      <c r="N15" s="202" t="s">
        <v>139</v>
      </c>
      <c r="O15" s="321" t="s">
        <v>140</v>
      </c>
      <c r="P15" s="321"/>
      <c r="Q15" s="204">
        <f>'NP BANCO DE SANGRE'!M14</f>
        <v>88200</v>
      </c>
    </row>
    <row r="16" spans="1:17" ht="14.4" customHeight="1" x14ac:dyDescent="0.3">
      <c r="A16" s="206">
        <v>47</v>
      </c>
      <c r="B16" s="207"/>
      <c r="C16" s="207"/>
      <c r="D16" s="207">
        <v>1</v>
      </c>
      <c r="E16" s="207"/>
      <c r="F16" s="207">
        <v>4901</v>
      </c>
      <c r="G16" s="207">
        <v>3</v>
      </c>
      <c r="H16" s="207">
        <v>1</v>
      </c>
      <c r="I16" s="207">
        <v>2</v>
      </c>
      <c r="J16" s="207">
        <v>4</v>
      </c>
      <c r="K16" s="207">
        <v>4</v>
      </c>
      <c r="L16" s="207"/>
      <c r="M16" s="208">
        <v>1</v>
      </c>
      <c r="N16" s="207" t="s">
        <v>139</v>
      </c>
      <c r="O16" s="322" t="s">
        <v>140</v>
      </c>
      <c r="P16" s="322"/>
      <c r="Q16" s="209">
        <f>'NP APS'!M14</f>
        <v>76600</v>
      </c>
    </row>
    <row r="17" spans="1:17" x14ac:dyDescent="0.3">
      <c r="A17" s="206">
        <v>31</v>
      </c>
      <c r="B17" s="207"/>
      <c r="C17" s="207"/>
      <c r="D17" s="207">
        <v>1</v>
      </c>
      <c r="E17" s="207"/>
      <c r="F17" s="207">
        <v>4901</v>
      </c>
      <c r="G17" s="207">
        <v>3</v>
      </c>
      <c r="H17" s="207">
        <v>1</v>
      </c>
      <c r="I17" s="207">
        <v>2</v>
      </c>
      <c r="J17" s="207">
        <v>4</v>
      </c>
      <c r="K17" s="207">
        <v>4</v>
      </c>
      <c r="L17" s="207"/>
      <c r="M17" s="208">
        <v>1</v>
      </c>
      <c r="N17" s="207" t="s">
        <v>139</v>
      </c>
      <c r="O17" s="322" t="s">
        <v>140</v>
      </c>
      <c r="P17" s="322"/>
      <c r="Q17" s="209">
        <f>'NP SAME'!M14</f>
        <v>840000</v>
      </c>
    </row>
    <row r="18" spans="1:17" x14ac:dyDescent="0.3">
      <c r="A18" s="127">
        <v>3</v>
      </c>
      <c r="B18" s="128"/>
      <c r="C18" s="128"/>
      <c r="D18" s="128">
        <v>1</v>
      </c>
      <c r="E18" s="128"/>
      <c r="F18" s="128">
        <v>4901</v>
      </c>
      <c r="G18" s="128">
        <v>1</v>
      </c>
      <c r="H18" s="128">
        <v>3</v>
      </c>
      <c r="I18" s="128">
        <v>2</v>
      </c>
      <c r="J18" s="128">
        <v>4</v>
      </c>
      <c r="K18" s="128">
        <v>4</v>
      </c>
      <c r="L18" s="128"/>
      <c r="M18" s="129">
        <v>1</v>
      </c>
      <c r="N18" s="128" t="s">
        <v>139</v>
      </c>
      <c r="O18" s="323" t="s">
        <v>140</v>
      </c>
      <c r="P18" s="323"/>
      <c r="Q18" s="205">
        <f>'NP SASP'!M14</f>
        <v>177000</v>
      </c>
    </row>
    <row r="19" spans="1:17" x14ac:dyDescent="0.3">
      <c r="A19" s="127"/>
      <c r="B19" s="128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9"/>
      <c r="N19" s="130"/>
      <c r="O19" s="315"/>
      <c r="P19" s="315"/>
      <c r="Q19" s="131"/>
    </row>
    <row r="20" spans="1:17" x14ac:dyDescent="0.3">
      <c r="A20" s="127"/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9"/>
      <c r="N20" s="130"/>
      <c r="O20" s="315"/>
      <c r="P20" s="315"/>
      <c r="Q20" s="131"/>
    </row>
    <row r="21" spans="1:17" x14ac:dyDescent="0.3">
      <c r="A21" s="127"/>
      <c r="B21" s="128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9"/>
      <c r="N21" s="130"/>
      <c r="O21" s="315"/>
      <c r="P21" s="315"/>
      <c r="Q21" s="131"/>
    </row>
    <row r="22" spans="1:17" x14ac:dyDescent="0.3">
      <c r="A22" s="127"/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9"/>
      <c r="N22" s="130"/>
      <c r="O22" s="315"/>
      <c r="P22" s="315"/>
      <c r="Q22" s="131"/>
    </row>
    <row r="23" spans="1:17" x14ac:dyDescent="0.3">
      <c r="A23" s="127"/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9"/>
      <c r="N23" s="130"/>
      <c r="O23" s="315"/>
      <c r="P23" s="315"/>
      <c r="Q23" s="131"/>
    </row>
    <row r="24" spans="1:17" x14ac:dyDescent="0.3">
      <c r="A24" s="127"/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9"/>
      <c r="N24" s="130"/>
      <c r="O24" s="315"/>
      <c r="P24" s="315"/>
      <c r="Q24" s="131"/>
    </row>
    <row r="25" spans="1:17" x14ac:dyDescent="0.3">
      <c r="A25" s="127"/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9"/>
      <c r="N25" s="130"/>
      <c r="O25" s="315"/>
      <c r="P25" s="315"/>
      <c r="Q25" s="131"/>
    </row>
    <row r="26" spans="1:17" x14ac:dyDescent="0.3">
      <c r="A26" s="127"/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9"/>
      <c r="N26" s="130"/>
      <c r="O26" s="315"/>
      <c r="P26" s="315"/>
      <c r="Q26" s="131"/>
    </row>
    <row r="27" spans="1:17" x14ac:dyDescent="0.3">
      <c r="A27" s="127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9"/>
      <c r="N27" s="130"/>
      <c r="O27" s="315"/>
      <c r="P27" s="315"/>
      <c r="Q27" s="131"/>
    </row>
    <row r="28" spans="1:17" x14ac:dyDescent="0.3">
      <c r="A28" s="127"/>
      <c r="B28" s="128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9"/>
      <c r="N28" s="130"/>
      <c r="O28" s="315"/>
      <c r="P28" s="315"/>
      <c r="Q28" s="131"/>
    </row>
    <row r="29" spans="1:17" x14ac:dyDescent="0.3">
      <c r="A29" s="127"/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9"/>
      <c r="N29" s="130"/>
      <c r="O29" s="315"/>
      <c r="P29" s="315"/>
      <c r="Q29" s="131"/>
    </row>
    <row r="30" spans="1:17" x14ac:dyDescent="0.3">
      <c r="A30" s="127"/>
      <c r="B30" s="128"/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9"/>
      <c r="N30" s="130"/>
      <c r="O30" s="315"/>
      <c r="P30" s="315"/>
      <c r="Q30" s="131"/>
    </row>
    <row r="31" spans="1:17" x14ac:dyDescent="0.3">
      <c r="A31" s="127"/>
      <c r="B31" s="128"/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9"/>
      <c r="N31" s="130"/>
      <c r="O31" s="315"/>
      <c r="P31" s="315"/>
      <c r="Q31" s="131"/>
    </row>
    <row r="32" spans="1:17" x14ac:dyDescent="0.3">
      <c r="A32" s="127"/>
      <c r="B32" s="128"/>
      <c r="C32" s="128"/>
      <c r="D32" s="128"/>
      <c r="E32" s="128"/>
      <c r="F32" s="130"/>
      <c r="G32" s="128"/>
      <c r="H32" s="128"/>
      <c r="I32" s="128"/>
      <c r="J32" s="128"/>
      <c r="K32" s="128"/>
      <c r="L32" s="128"/>
      <c r="M32" s="129"/>
      <c r="N32" s="130"/>
      <c r="O32" s="310"/>
      <c r="P32" s="310"/>
      <c r="Q32" s="131"/>
    </row>
    <row r="33" spans="1:17" x14ac:dyDescent="0.3">
      <c r="A33" s="127"/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9"/>
      <c r="N33" s="130"/>
      <c r="O33" s="310"/>
      <c r="P33" s="310"/>
      <c r="Q33" s="131"/>
    </row>
    <row r="34" spans="1:17" x14ac:dyDescent="0.3">
      <c r="A34" s="127"/>
      <c r="B34" s="128"/>
      <c r="C34" s="128"/>
      <c r="D34" s="128"/>
      <c r="E34" s="128"/>
      <c r="F34" s="130"/>
      <c r="G34" s="128"/>
      <c r="H34" s="128"/>
      <c r="I34" s="128"/>
      <c r="J34" s="128"/>
      <c r="K34" s="128"/>
      <c r="L34" s="128"/>
      <c r="M34" s="129"/>
      <c r="N34" s="130"/>
      <c r="O34" s="310"/>
      <c r="P34" s="310"/>
      <c r="Q34" s="131"/>
    </row>
    <row r="35" spans="1:17" x14ac:dyDescent="0.3">
      <c r="A35" s="127"/>
      <c r="B35" s="128"/>
      <c r="C35" s="128"/>
      <c r="D35" s="128"/>
      <c r="E35" s="128"/>
      <c r="F35" s="130"/>
      <c r="G35" s="128"/>
      <c r="H35" s="128"/>
      <c r="I35" s="128"/>
      <c r="J35" s="128"/>
      <c r="K35" s="128"/>
      <c r="L35" s="128"/>
      <c r="M35" s="129"/>
      <c r="N35" s="130"/>
      <c r="O35" s="310"/>
      <c r="P35" s="310"/>
      <c r="Q35" s="131"/>
    </row>
    <row r="36" spans="1:17" x14ac:dyDescent="0.3">
      <c r="A36" s="132"/>
      <c r="B36" s="133"/>
      <c r="C36" s="133"/>
      <c r="D36" s="133"/>
      <c r="E36" s="133"/>
      <c r="F36" s="134"/>
      <c r="G36" s="133"/>
      <c r="H36" s="133"/>
      <c r="I36" s="133"/>
      <c r="J36" s="133"/>
      <c r="K36" s="133"/>
      <c r="L36" s="133"/>
      <c r="M36" s="135"/>
      <c r="N36" s="136"/>
      <c r="O36" s="311"/>
      <c r="P36" s="311"/>
      <c r="Q36" s="131"/>
    </row>
    <row r="37" spans="1:17" ht="15" thickBot="1" x14ac:dyDescent="0.35">
      <c r="A37" s="137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9"/>
      <c r="N37" s="138"/>
      <c r="O37" s="312"/>
      <c r="P37" s="312"/>
      <c r="Q37" s="140"/>
    </row>
    <row r="38" spans="1:17" ht="37.5" customHeight="1" thickBot="1" x14ac:dyDescent="0.35">
      <c r="A38" s="313" t="s">
        <v>157</v>
      </c>
      <c r="B38" s="313"/>
      <c r="C38" s="313"/>
      <c r="D38" s="313"/>
      <c r="E38" s="313"/>
      <c r="F38" s="313"/>
      <c r="G38" s="313"/>
      <c r="H38" s="313"/>
      <c r="I38" s="313"/>
      <c r="J38" s="313"/>
      <c r="K38" s="313"/>
      <c r="L38" s="313"/>
      <c r="M38" s="313"/>
      <c r="N38" s="313"/>
      <c r="O38" s="313"/>
      <c r="P38" s="313"/>
      <c r="Q38" s="141">
        <f>SUM(Q15:Q37)</f>
        <v>1181800</v>
      </c>
    </row>
    <row r="39" spans="1:17" ht="15" thickBot="1" x14ac:dyDescent="0.35">
      <c r="A39" s="314"/>
      <c r="B39" s="314"/>
      <c r="C39" s="314"/>
      <c r="D39" s="314"/>
      <c r="E39" s="314"/>
      <c r="F39" s="314"/>
      <c r="G39" s="314"/>
      <c r="H39" s="314"/>
      <c r="I39" s="314"/>
      <c r="J39" s="314"/>
      <c r="K39" s="314"/>
      <c r="L39" s="314"/>
      <c r="M39" s="314"/>
      <c r="N39" s="314"/>
      <c r="O39" s="314"/>
      <c r="P39" s="314"/>
      <c r="Q39" s="314"/>
    </row>
    <row r="40" spans="1:17" ht="15" thickBot="1" x14ac:dyDescent="0.35">
      <c r="A40" s="307" t="s">
        <v>123</v>
      </c>
      <c r="B40" s="307"/>
      <c r="C40" s="307"/>
      <c r="D40" s="307"/>
      <c r="E40" s="307"/>
      <c r="F40" s="307"/>
      <c r="G40" s="308"/>
      <c r="H40" s="308"/>
      <c r="I40" s="308"/>
      <c r="J40" s="308"/>
      <c r="K40" s="308"/>
      <c r="L40" s="308"/>
      <c r="M40" s="308"/>
      <c r="N40" s="308"/>
      <c r="O40" s="308"/>
      <c r="P40" s="308"/>
      <c r="Q40" s="308"/>
    </row>
    <row r="41" spans="1:17" ht="15" thickBot="1" x14ac:dyDescent="0.35">
      <c r="A41" s="309" t="str">
        <f>'NP SASP'!D8</f>
        <v>ADQUISICION DEL RUBRO CUBIERTAS.-</v>
      </c>
      <c r="B41" s="309"/>
      <c r="C41" s="309"/>
      <c r="D41" s="309"/>
      <c r="E41" s="309"/>
      <c r="F41" s="309"/>
      <c r="G41" s="309"/>
      <c r="H41" s="309"/>
      <c r="I41" s="309"/>
      <c r="J41" s="309"/>
      <c r="K41" s="309"/>
      <c r="L41" s="309"/>
      <c r="M41" s="309"/>
      <c r="N41" s="309"/>
      <c r="O41" s="309"/>
      <c r="P41" s="309"/>
      <c r="Q41" s="309"/>
    </row>
    <row r="42" spans="1:17" ht="15" thickBot="1" x14ac:dyDescent="0.35">
      <c r="A42" s="309"/>
      <c r="B42" s="309"/>
      <c r="C42" s="309"/>
      <c r="D42" s="309"/>
      <c r="E42" s="309"/>
      <c r="F42" s="309"/>
      <c r="G42" s="309"/>
      <c r="H42" s="309"/>
      <c r="I42" s="309"/>
      <c r="J42" s="309"/>
      <c r="K42" s="309"/>
      <c r="L42" s="309"/>
      <c r="M42" s="309"/>
      <c r="N42" s="309"/>
      <c r="O42" s="309"/>
      <c r="P42" s="309"/>
      <c r="Q42" s="309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selection activeCell="K13" sqref="K13"/>
    </sheetView>
  </sheetViews>
  <sheetFormatPr baseColWidth="10" defaultColWidth="11.44140625" defaultRowHeight="14.4" x14ac:dyDescent="0.3"/>
  <cols>
    <col min="1" max="1" width="5.5546875" style="64" customWidth="1"/>
    <col min="2" max="2" width="15.109375" style="157" customWidth="1"/>
    <col min="3" max="3" width="14.109375" style="64" customWidth="1"/>
    <col min="4" max="4" width="26" style="64" customWidth="1"/>
    <col min="5" max="5" width="8" style="64" customWidth="1"/>
    <col min="6" max="6" width="7.88671875" style="64" customWidth="1"/>
    <col min="7" max="7" width="49.33203125" style="64" customWidth="1"/>
    <col min="8" max="8" width="9.33203125" style="64" customWidth="1"/>
    <col min="9" max="9" width="15.5546875" style="64" customWidth="1"/>
    <col min="10" max="10" width="14.6640625" style="167" customWidth="1"/>
    <col min="11" max="11" width="15.5546875" style="64" customWidth="1"/>
    <col min="12" max="12" width="11.44140625" style="64"/>
    <col min="13" max="13" width="11.44140625" style="168"/>
    <col min="14" max="16384" width="11.44140625" style="64"/>
  </cols>
  <sheetData>
    <row r="1" spans="1:13" ht="30.6" thickBot="1" x14ac:dyDescent="0.35">
      <c r="A1" s="298" t="s">
        <v>87</v>
      </c>
      <c r="B1" s="298"/>
      <c r="C1" s="298"/>
      <c r="D1" s="298"/>
      <c r="E1" s="298"/>
      <c r="F1" s="298"/>
      <c r="G1" s="298"/>
      <c r="H1" s="298"/>
      <c r="I1" s="298"/>
      <c r="J1" s="163" t="s">
        <v>88</v>
      </c>
      <c r="K1" s="146" t="s">
        <v>158</v>
      </c>
    </row>
    <row r="2" spans="1:13" ht="16.2" thickBot="1" x14ac:dyDescent="0.35">
      <c r="A2" s="102"/>
      <c r="B2" s="155"/>
      <c r="C2" s="103"/>
      <c r="D2" s="104"/>
      <c r="E2" s="104"/>
      <c r="F2" s="104"/>
      <c r="G2" s="104"/>
      <c r="H2" s="104"/>
      <c r="I2" s="104"/>
      <c r="J2" s="164"/>
      <c r="K2" s="105"/>
    </row>
    <row r="3" spans="1:13" ht="16.2" thickBot="1" x14ac:dyDescent="0.35">
      <c r="A3" s="293" t="s">
        <v>89</v>
      </c>
      <c r="B3" s="293"/>
      <c r="C3" s="293"/>
      <c r="D3" s="294" t="str">
        <f>'SAF 011'!C4</f>
        <v>040 - MINISTERIO DE SALUD</v>
      </c>
      <c r="E3" s="294"/>
      <c r="F3" s="294"/>
      <c r="G3" s="294"/>
      <c r="H3" s="294"/>
      <c r="I3" s="294"/>
      <c r="J3" s="294"/>
      <c r="K3" s="294"/>
    </row>
    <row r="4" spans="1:13" ht="16.2" thickBot="1" x14ac:dyDescent="0.35">
      <c r="A4" s="295" t="s">
        <v>90</v>
      </c>
      <c r="B4" s="295"/>
      <c r="C4" s="295"/>
      <c r="D4" s="294" t="str">
        <f>'SAF 011'!C5</f>
        <v>011 - DIRECCION PROVINCIAL DE ADMINISTRACION - MINISTERIO DE SALUD</v>
      </c>
      <c r="E4" s="294"/>
      <c r="F4" s="294"/>
      <c r="G4" s="294"/>
      <c r="H4" s="294"/>
      <c r="I4" s="294"/>
      <c r="J4" s="294"/>
      <c r="K4" s="294"/>
    </row>
    <row r="5" spans="1:13" ht="16.2" thickBot="1" x14ac:dyDescent="0.35">
      <c r="A5" s="295" t="s">
        <v>91</v>
      </c>
      <c r="B5" s="295"/>
      <c r="C5" s="295"/>
      <c r="D5" s="294" t="s">
        <v>144</v>
      </c>
      <c r="E5" s="294"/>
      <c r="F5" s="294"/>
      <c r="G5" s="294"/>
      <c r="H5" s="294"/>
      <c r="I5" s="294"/>
      <c r="J5" s="294"/>
      <c r="K5" s="294"/>
    </row>
    <row r="6" spans="1:13" ht="16.2" thickBot="1" x14ac:dyDescent="0.35">
      <c r="A6" s="293" t="s">
        <v>92</v>
      </c>
      <c r="B6" s="293"/>
      <c r="C6" s="293"/>
      <c r="D6" s="294" t="s">
        <v>145</v>
      </c>
      <c r="E6" s="294"/>
      <c r="F6" s="294"/>
      <c r="G6" s="294"/>
      <c r="H6" s="294"/>
      <c r="I6" s="294"/>
      <c r="J6" s="294"/>
      <c r="K6" s="294"/>
    </row>
    <row r="7" spans="1:13" ht="16.2" thickBot="1" x14ac:dyDescent="0.35">
      <c r="A7" s="295" t="s">
        <v>93</v>
      </c>
      <c r="B7" s="295"/>
      <c r="C7" s="295"/>
      <c r="D7" s="294" t="s">
        <v>126</v>
      </c>
      <c r="E7" s="294"/>
      <c r="F7" s="294"/>
      <c r="G7" s="294"/>
      <c r="H7" s="294"/>
      <c r="I7" s="294"/>
      <c r="J7" s="294"/>
      <c r="K7" s="294"/>
    </row>
    <row r="8" spans="1:13" ht="16.2" thickBot="1" x14ac:dyDescent="0.35">
      <c r="A8" s="296" t="s">
        <v>94</v>
      </c>
      <c r="B8" s="296"/>
      <c r="C8" s="296"/>
      <c r="D8" s="297" t="s">
        <v>127</v>
      </c>
      <c r="E8" s="297"/>
      <c r="F8" s="297"/>
      <c r="G8" s="297"/>
      <c r="H8" s="297"/>
      <c r="I8" s="297"/>
      <c r="J8" s="297"/>
      <c r="K8" s="297"/>
    </row>
    <row r="9" spans="1:13" ht="16.2" thickBot="1" x14ac:dyDescent="0.35">
      <c r="A9" s="106"/>
      <c r="B9" s="156"/>
      <c r="C9" s="107"/>
      <c r="D9" s="108"/>
      <c r="E9" s="108"/>
      <c r="F9" s="108"/>
      <c r="G9" s="108"/>
      <c r="H9" s="108"/>
      <c r="I9" s="108"/>
      <c r="J9" s="165"/>
      <c r="K9" s="109"/>
    </row>
    <row r="10" spans="1:13" ht="15" thickBot="1" x14ac:dyDescent="0.35">
      <c r="A10" s="288" t="s">
        <v>95</v>
      </c>
      <c r="B10" s="289" t="s">
        <v>96</v>
      </c>
      <c r="C10" s="289" t="s">
        <v>97</v>
      </c>
      <c r="D10" s="289"/>
      <c r="E10" s="289"/>
      <c r="F10" s="289"/>
      <c r="G10" s="289"/>
      <c r="H10" s="289" t="s">
        <v>98</v>
      </c>
      <c r="I10" s="289" t="s">
        <v>99</v>
      </c>
      <c r="J10" s="292" t="s">
        <v>100</v>
      </c>
      <c r="K10" s="291" t="s">
        <v>101</v>
      </c>
    </row>
    <row r="11" spans="1:13" ht="34.5" customHeight="1" thickBot="1" x14ac:dyDescent="0.35">
      <c r="A11" s="303"/>
      <c r="B11" s="290"/>
      <c r="C11" s="290"/>
      <c r="D11" s="290"/>
      <c r="E11" s="290"/>
      <c r="F11" s="290"/>
      <c r="G11" s="290"/>
      <c r="H11" s="290"/>
      <c r="I11" s="290"/>
      <c r="J11" s="304"/>
      <c r="K11" s="302"/>
    </row>
    <row r="12" spans="1:13" s="169" customFormat="1" ht="16.5" customHeight="1" x14ac:dyDescent="0.3">
      <c r="A12" s="187">
        <v>1</v>
      </c>
      <c r="B12" s="188" t="str">
        <f>'SAF 011'!B13</f>
        <v>2.4.4-6818.59</v>
      </c>
      <c r="C12" s="284" t="str">
        <f>'SAF 011'!E13</f>
        <v>NEUMATICOS; VEHICULO: CAMIONETA, CONSTRUCCION: RADIAL, ARMADO: S/CAMARA, MEDIDA: 195/75R16</v>
      </c>
      <c r="D12" s="285"/>
      <c r="E12" s="285"/>
      <c r="F12" s="285"/>
      <c r="G12" s="286"/>
      <c r="H12" s="188" t="s">
        <v>138</v>
      </c>
      <c r="I12" s="189" t="str">
        <f>'SAF 011'!F13</f>
        <v>UNIDAD</v>
      </c>
      <c r="J12" s="190">
        <f>'SAF 011'!AX13</f>
        <v>44600</v>
      </c>
      <c r="K12" s="191">
        <f>'SAF 011'!AE13</f>
        <v>5</v>
      </c>
      <c r="M12" s="168">
        <f t="shared" ref="M12" si="0">+J12*K12</f>
        <v>223000</v>
      </c>
    </row>
    <row r="13" spans="1:13" ht="16.2" thickBot="1" x14ac:dyDescent="0.35">
      <c r="A13" s="158"/>
      <c r="B13" s="159"/>
      <c r="C13" s="287"/>
      <c r="D13" s="287"/>
      <c r="E13" s="287"/>
      <c r="F13" s="287"/>
      <c r="G13" s="287"/>
      <c r="H13" s="160"/>
      <c r="I13" s="161"/>
      <c r="J13" s="166"/>
      <c r="K13" s="162"/>
    </row>
    <row r="14" spans="1:13" ht="18" thickBot="1" x14ac:dyDescent="0.35">
      <c r="A14" s="282" t="s">
        <v>159</v>
      </c>
      <c r="B14" s="282"/>
      <c r="C14" s="282"/>
      <c r="D14" s="282"/>
      <c r="E14" s="282"/>
      <c r="F14" s="282"/>
      <c r="G14" s="282"/>
      <c r="H14" s="282"/>
      <c r="I14" s="282"/>
      <c r="J14" s="283">
        <f>+M14</f>
        <v>223000</v>
      </c>
      <c r="K14" s="283"/>
      <c r="M14" s="168">
        <f>SUM(M12:M13)</f>
        <v>223000</v>
      </c>
    </row>
  </sheetData>
  <mergeCells count="24">
    <mergeCell ref="C13:G13"/>
    <mergeCell ref="A14:I14"/>
    <mergeCell ref="J14:K14"/>
    <mergeCell ref="A10:A11"/>
    <mergeCell ref="B10:B11"/>
    <mergeCell ref="C10:G11"/>
    <mergeCell ref="H10:H11"/>
    <mergeCell ref="I10:I11"/>
    <mergeCell ref="J10:J11"/>
    <mergeCell ref="A5:C5"/>
    <mergeCell ref="D5:K5"/>
    <mergeCell ref="C12:G12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K10:K11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topLeftCell="A4" workbookViewId="0">
      <selection activeCell="E27" sqref="E27"/>
    </sheetView>
  </sheetViews>
  <sheetFormatPr baseColWidth="10" defaultColWidth="11.44140625" defaultRowHeight="14.4" x14ac:dyDescent="0.3"/>
  <cols>
    <col min="1" max="1" width="5.5546875" style="64" customWidth="1"/>
    <col min="2" max="2" width="15.109375" style="157" customWidth="1"/>
    <col min="3" max="3" width="14.109375" style="64" customWidth="1"/>
    <col min="4" max="4" width="26" style="64" customWidth="1"/>
    <col min="5" max="5" width="8" style="64" customWidth="1"/>
    <col min="6" max="6" width="7.88671875" style="64" customWidth="1"/>
    <col min="7" max="7" width="70.88671875" style="64" customWidth="1"/>
    <col min="8" max="8" width="9.33203125" style="64" customWidth="1"/>
    <col min="9" max="9" width="15.5546875" style="64" customWidth="1"/>
    <col min="10" max="10" width="14.6640625" style="167" customWidth="1"/>
    <col min="11" max="11" width="15.5546875" style="64" customWidth="1"/>
    <col min="12" max="12" width="11.44140625" style="64"/>
    <col min="13" max="13" width="11.44140625" style="168"/>
    <col min="14" max="16384" width="11.44140625" style="64"/>
  </cols>
  <sheetData>
    <row r="1" spans="1:13" ht="30.6" thickBot="1" x14ac:dyDescent="0.35">
      <c r="A1" s="298" t="s">
        <v>87</v>
      </c>
      <c r="B1" s="298"/>
      <c r="C1" s="298"/>
      <c r="D1" s="298"/>
      <c r="E1" s="298"/>
      <c r="F1" s="298"/>
      <c r="G1" s="298"/>
      <c r="H1" s="298"/>
      <c r="I1" s="298"/>
      <c r="J1" s="163" t="s">
        <v>88</v>
      </c>
      <c r="K1" s="146" t="s">
        <v>160</v>
      </c>
    </row>
    <row r="2" spans="1:13" ht="16.2" thickBot="1" x14ac:dyDescent="0.35">
      <c r="A2" s="102"/>
      <c r="B2" s="155"/>
      <c r="C2" s="103"/>
      <c r="D2" s="104"/>
      <c r="E2" s="104"/>
      <c r="F2" s="104"/>
      <c r="G2" s="104"/>
      <c r="H2" s="104"/>
      <c r="I2" s="104"/>
      <c r="J2" s="164"/>
      <c r="K2" s="105"/>
    </row>
    <row r="3" spans="1:13" ht="16.2" thickBot="1" x14ac:dyDescent="0.35">
      <c r="A3" s="293" t="s">
        <v>89</v>
      </c>
      <c r="B3" s="293"/>
      <c r="C3" s="293"/>
      <c r="D3" s="294" t="str">
        <f>'SAF 011'!C4</f>
        <v>040 - MINISTERIO DE SALUD</v>
      </c>
      <c r="E3" s="294"/>
      <c r="F3" s="294"/>
      <c r="G3" s="294"/>
      <c r="H3" s="294"/>
      <c r="I3" s="294"/>
      <c r="J3" s="294"/>
      <c r="K3" s="294"/>
    </row>
    <row r="4" spans="1:13" ht="16.2" thickBot="1" x14ac:dyDescent="0.35">
      <c r="A4" s="295" t="s">
        <v>90</v>
      </c>
      <c r="B4" s="295"/>
      <c r="C4" s="295"/>
      <c r="D4" s="294" t="str">
        <f>'SAF 011'!C5</f>
        <v>011 - DIRECCION PROVINCIAL DE ADMINISTRACION - MINISTERIO DE SALUD</v>
      </c>
      <c r="E4" s="294"/>
      <c r="F4" s="294"/>
      <c r="G4" s="294"/>
      <c r="H4" s="294"/>
      <c r="I4" s="294"/>
      <c r="J4" s="294"/>
      <c r="K4" s="294"/>
    </row>
    <row r="5" spans="1:13" ht="16.2" thickBot="1" x14ac:dyDescent="0.35">
      <c r="A5" s="295" t="s">
        <v>91</v>
      </c>
      <c r="B5" s="295"/>
      <c r="C5" s="295"/>
      <c r="D5" s="294" t="s">
        <v>144</v>
      </c>
      <c r="E5" s="294"/>
      <c r="F5" s="294"/>
      <c r="G5" s="294"/>
      <c r="H5" s="294"/>
      <c r="I5" s="294"/>
      <c r="J5" s="294"/>
      <c r="K5" s="294"/>
    </row>
    <row r="6" spans="1:13" ht="16.2" thickBot="1" x14ac:dyDescent="0.35">
      <c r="A6" s="293" t="s">
        <v>92</v>
      </c>
      <c r="B6" s="293"/>
      <c r="C6" s="293"/>
      <c r="D6" s="294" t="s">
        <v>146</v>
      </c>
      <c r="E6" s="294"/>
      <c r="F6" s="294"/>
      <c r="G6" s="294"/>
      <c r="H6" s="294"/>
      <c r="I6" s="294"/>
      <c r="J6" s="294"/>
      <c r="K6" s="294"/>
    </row>
    <row r="7" spans="1:13" ht="16.2" thickBot="1" x14ac:dyDescent="0.35">
      <c r="A7" s="295" t="s">
        <v>93</v>
      </c>
      <c r="B7" s="295"/>
      <c r="C7" s="295"/>
      <c r="D7" s="294" t="s">
        <v>126</v>
      </c>
      <c r="E7" s="294"/>
      <c r="F7" s="294"/>
      <c r="G7" s="294"/>
      <c r="H7" s="294"/>
      <c r="I7" s="294"/>
      <c r="J7" s="294"/>
      <c r="K7" s="294"/>
    </row>
    <row r="8" spans="1:13" ht="16.2" thickBot="1" x14ac:dyDescent="0.35">
      <c r="A8" s="296" t="s">
        <v>94</v>
      </c>
      <c r="B8" s="296"/>
      <c r="C8" s="296"/>
      <c r="D8" s="297" t="s">
        <v>127</v>
      </c>
      <c r="E8" s="297"/>
      <c r="F8" s="297"/>
      <c r="G8" s="297"/>
      <c r="H8" s="297"/>
      <c r="I8" s="297"/>
      <c r="J8" s="297"/>
      <c r="K8" s="297"/>
    </row>
    <row r="9" spans="1:13" ht="16.2" thickBot="1" x14ac:dyDescent="0.35">
      <c r="A9" s="106"/>
      <c r="B9" s="156"/>
      <c r="C9" s="107"/>
      <c r="D9" s="108"/>
      <c r="E9" s="108"/>
      <c r="F9" s="108"/>
      <c r="G9" s="108"/>
      <c r="H9" s="108"/>
      <c r="I9" s="108"/>
      <c r="J9" s="165"/>
      <c r="K9" s="109"/>
    </row>
    <row r="10" spans="1:13" ht="15" thickBot="1" x14ac:dyDescent="0.35">
      <c r="A10" s="288" t="s">
        <v>95</v>
      </c>
      <c r="B10" s="289" t="s">
        <v>96</v>
      </c>
      <c r="C10" s="289" t="s">
        <v>97</v>
      </c>
      <c r="D10" s="289"/>
      <c r="E10" s="289"/>
      <c r="F10" s="289"/>
      <c r="G10" s="289"/>
      <c r="H10" s="289" t="s">
        <v>98</v>
      </c>
      <c r="I10" s="289" t="s">
        <v>99</v>
      </c>
      <c r="J10" s="292" t="s">
        <v>100</v>
      </c>
      <c r="K10" s="291" t="s">
        <v>101</v>
      </c>
    </row>
    <row r="11" spans="1:13" ht="34.5" customHeight="1" thickBot="1" x14ac:dyDescent="0.35">
      <c r="A11" s="303"/>
      <c r="B11" s="290"/>
      <c r="C11" s="290"/>
      <c r="D11" s="290"/>
      <c r="E11" s="290"/>
      <c r="F11" s="290"/>
      <c r="G11" s="290"/>
      <c r="H11" s="290"/>
      <c r="I11" s="290"/>
      <c r="J11" s="304"/>
      <c r="K11" s="302"/>
    </row>
    <row r="12" spans="1:13" s="169" customFormat="1" ht="16.5" customHeight="1" x14ac:dyDescent="0.3">
      <c r="A12" s="192">
        <v>1</v>
      </c>
      <c r="B12" s="176" t="str">
        <f>'SAF 011'!B10</f>
        <v>2.4.4-6818.986</v>
      </c>
      <c r="C12" s="299" t="str">
        <f>'SAF 011'!E10</f>
        <v>NEUMATICOS; VEHICULO: AMBULANCIA/FURGON/MINIBUS, CONSTRUCCION: RADIAL, ARMADO: S/CAMARA, MEDIDA: 205/75R16</v>
      </c>
      <c r="D12" s="300"/>
      <c r="E12" s="300"/>
      <c r="F12" s="300"/>
      <c r="G12" s="301"/>
      <c r="H12" s="176" t="s">
        <v>138</v>
      </c>
      <c r="I12" s="193" t="str">
        <f>'SAF 011'!F10</f>
        <v>UNIDAD</v>
      </c>
      <c r="J12" s="194">
        <f>'SAF 011'!AX10</f>
        <v>42000</v>
      </c>
      <c r="K12" s="195">
        <f>'SAF 011'!AG10</f>
        <v>3</v>
      </c>
      <c r="M12" s="168">
        <f t="shared" ref="M12:M13" si="0">+J12*K12</f>
        <v>126000</v>
      </c>
    </row>
    <row r="13" spans="1:13" s="169" customFormat="1" ht="16.5" customHeight="1" x14ac:dyDescent="0.3">
      <c r="A13" s="187">
        <v>2</v>
      </c>
      <c r="B13" s="188" t="str">
        <f>'SAF 011'!B22</f>
        <v>2.4.4-6818.48</v>
      </c>
      <c r="C13" s="284" t="str">
        <f>'SAF 011'!E22</f>
        <v>NEUMATICOS; VEHICULO: CAMIONETA, CONSTRUCCION: RADIAL, MEDIDA: 235/75R15, ARMADO: S/CAMARA</v>
      </c>
      <c r="D13" s="285"/>
      <c r="E13" s="285"/>
      <c r="F13" s="285"/>
      <c r="G13" s="286"/>
      <c r="H13" s="188" t="s">
        <v>138</v>
      </c>
      <c r="I13" s="189" t="str">
        <f>'SAF 011'!F22</f>
        <v>UNIDAD</v>
      </c>
      <c r="J13" s="190">
        <f>'SAF 011'!AX22</f>
        <v>38300</v>
      </c>
      <c r="K13" s="191">
        <f>'SAF 011'!AG22</f>
        <v>4</v>
      </c>
      <c r="M13" s="168">
        <f t="shared" si="0"/>
        <v>153200</v>
      </c>
    </row>
    <row r="14" spans="1:13" ht="16.2" thickBot="1" x14ac:dyDescent="0.35">
      <c r="A14" s="158"/>
      <c r="B14" s="159"/>
      <c r="C14" s="287"/>
      <c r="D14" s="287"/>
      <c r="E14" s="287"/>
      <c r="F14" s="287"/>
      <c r="G14" s="287"/>
      <c r="H14" s="160"/>
      <c r="I14" s="161"/>
      <c r="J14" s="166"/>
      <c r="K14" s="162"/>
    </row>
    <row r="15" spans="1:13" ht="18" thickBot="1" x14ac:dyDescent="0.35">
      <c r="A15" s="282" t="s">
        <v>161</v>
      </c>
      <c r="B15" s="282"/>
      <c r="C15" s="282"/>
      <c r="D15" s="282"/>
      <c r="E15" s="282"/>
      <c r="F15" s="282"/>
      <c r="G15" s="282"/>
      <c r="H15" s="282"/>
      <c r="I15" s="282"/>
      <c r="J15" s="283">
        <f>+M15</f>
        <v>279200</v>
      </c>
      <c r="K15" s="283"/>
      <c r="M15" s="168">
        <f>SUM(M12:M14)</f>
        <v>279200</v>
      </c>
    </row>
  </sheetData>
  <mergeCells count="25">
    <mergeCell ref="C14:G14"/>
    <mergeCell ref="A15:I15"/>
    <mergeCell ref="J15:K15"/>
    <mergeCell ref="A10:A11"/>
    <mergeCell ref="B10:B11"/>
    <mergeCell ref="C10:G11"/>
    <mergeCell ref="H10:H11"/>
    <mergeCell ref="I10:I11"/>
    <mergeCell ref="J10:J11"/>
    <mergeCell ref="A5:C5"/>
    <mergeCell ref="D5:K5"/>
    <mergeCell ref="C13:G13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K10:K11"/>
    <mergeCell ref="C12:G12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selection activeCell="G30" sqref="G30"/>
    </sheetView>
  </sheetViews>
  <sheetFormatPr baseColWidth="10" defaultColWidth="11.44140625" defaultRowHeight="14.4" x14ac:dyDescent="0.3"/>
  <cols>
    <col min="1" max="1" width="5.5546875" style="64" customWidth="1"/>
    <col min="2" max="2" width="15.109375" style="157" customWidth="1"/>
    <col min="3" max="3" width="14.109375" style="64" customWidth="1"/>
    <col min="4" max="4" width="26" style="64" customWidth="1"/>
    <col min="5" max="5" width="8" style="64" customWidth="1"/>
    <col min="6" max="6" width="7.88671875" style="64" customWidth="1"/>
    <col min="7" max="7" width="70.88671875" style="64" customWidth="1"/>
    <col min="8" max="8" width="9.33203125" style="64" customWidth="1"/>
    <col min="9" max="9" width="15.5546875" style="64" customWidth="1"/>
    <col min="10" max="10" width="14.6640625" style="167" customWidth="1"/>
    <col min="11" max="11" width="15.5546875" style="64" customWidth="1"/>
    <col min="12" max="12" width="11.44140625" style="64"/>
    <col min="13" max="13" width="11.44140625" style="168"/>
    <col min="14" max="16384" width="11.44140625" style="64"/>
  </cols>
  <sheetData>
    <row r="1" spans="1:13" ht="30.6" thickBot="1" x14ac:dyDescent="0.35">
      <c r="A1" s="298" t="s">
        <v>87</v>
      </c>
      <c r="B1" s="298"/>
      <c r="C1" s="298"/>
      <c r="D1" s="298"/>
      <c r="E1" s="298"/>
      <c r="F1" s="298"/>
      <c r="G1" s="298"/>
      <c r="H1" s="298"/>
      <c r="I1" s="298"/>
      <c r="J1" s="163" t="s">
        <v>88</v>
      </c>
      <c r="K1" s="146" t="s">
        <v>151</v>
      </c>
    </row>
    <row r="2" spans="1:13" ht="16.2" thickBot="1" x14ac:dyDescent="0.35">
      <c r="A2" s="102"/>
      <c r="B2" s="155"/>
      <c r="C2" s="103"/>
      <c r="D2" s="104"/>
      <c r="E2" s="104"/>
      <c r="F2" s="104"/>
      <c r="G2" s="104"/>
      <c r="H2" s="104"/>
      <c r="I2" s="104"/>
      <c r="J2" s="164"/>
      <c r="K2" s="105"/>
    </row>
    <row r="3" spans="1:13" ht="16.5" customHeight="1" thickBot="1" x14ac:dyDescent="0.35">
      <c r="A3" s="293" t="s">
        <v>89</v>
      </c>
      <c r="B3" s="293"/>
      <c r="C3" s="293"/>
      <c r="D3" s="183" t="str">
        <f>'SAF 011'!C4</f>
        <v>040 - MINISTERIO DE SALUD</v>
      </c>
      <c r="E3" s="184"/>
      <c r="F3" s="184"/>
      <c r="G3" s="184"/>
      <c r="H3" s="184"/>
      <c r="I3" s="184"/>
      <c r="J3" s="184"/>
      <c r="K3" s="185"/>
    </row>
    <row r="4" spans="1:13" ht="16.5" customHeight="1" thickBot="1" x14ac:dyDescent="0.35">
      <c r="A4" s="295" t="s">
        <v>90</v>
      </c>
      <c r="B4" s="295"/>
      <c r="C4" s="295"/>
      <c r="D4" s="183" t="str">
        <f>'SAF 011'!C5</f>
        <v>011 - DIRECCION PROVINCIAL DE ADMINISTRACION - MINISTERIO DE SALUD</v>
      </c>
      <c r="E4" s="184"/>
      <c r="F4" s="184"/>
      <c r="G4" s="184"/>
      <c r="H4" s="184"/>
      <c r="I4" s="184"/>
      <c r="J4" s="184"/>
      <c r="K4" s="185"/>
    </row>
    <row r="5" spans="1:13" ht="16.5" customHeight="1" thickBot="1" x14ac:dyDescent="0.35">
      <c r="A5" s="295" t="s">
        <v>91</v>
      </c>
      <c r="B5" s="295"/>
      <c r="C5" s="295"/>
      <c r="D5" s="183" t="s">
        <v>144</v>
      </c>
      <c r="E5" s="184"/>
      <c r="F5" s="184"/>
      <c r="G5" s="184"/>
      <c r="H5" s="184"/>
      <c r="I5" s="184"/>
      <c r="J5" s="184"/>
      <c r="K5" s="185"/>
    </row>
    <row r="6" spans="1:13" ht="16.5" customHeight="1" thickBot="1" x14ac:dyDescent="0.35">
      <c r="A6" s="293" t="s">
        <v>92</v>
      </c>
      <c r="B6" s="293"/>
      <c r="C6" s="293"/>
      <c r="D6" s="183" t="s">
        <v>147</v>
      </c>
      <c r="E6" s="184"/>
      <c r="F6" s="184"/>
      <c r="G6" s="184"/>
      <c r="H6" s="184"/>
      <c r="I6" s="184"/>
      <c r="J6" s="184"/>
      <c r="K6" s="185"/>
    </row>
    <row r="7" spans="1:13" ht="16.2" thickBot="1" x14ac:dyDescent="0.35">
      <c r="A7" s="295" t="s">
        <v>93</v>
      </c>
      <c r="B7" s="295"/>
      <c r="C7" s="295"/>
      <c r="D7" s="183" t="s">
        <v>126</v>
      </c>
      <c r="E7" s="184"/>
      <c r="F7" s="184"/>
      <c r="G7" s="184"/>
      <c r="H7" s="184"/>
      <c r="I7" s="184"/>
      <c r="J7" s="184"/>
      <c r="K7" s="185"/>
    </row>
    <row r="8" spans="1:13" ht="16.5" customHeight="1" thickBot="1" x14ac:dyDescent="0.35">
      <c r="A8" s="296" t="s">
        <v>94</v>
      </c>
      <c r="B8" s="296"/>
      <c r="C8" s="296"/>
      <c r="D8" s="186" t="s">
        <v>127</v>
      </c>
      <c r="E8" s="184"/>
      <c r="F8" s="184"/>
      <c r="G8" s="184"/>
      <c r="H8" s="184"/>
      <c r="I8" s="184"/>
      <c r="J8" s="184"/>
      <c r="K8" s="185"/>
    </row>
    <row r="9" spans="1:13" ht="16.2" thickBot="1" x14ac:dyDescent="0.35">
      <c r="A9" s="106"/>
      <c r="B9" s="156"/>
      <c r="C9" s="107"/>
      <c r="D9" s="108"/>
      <c r="E9" s="108"/>
      <c r="F9" s="108"/>
      <c r="G9" s="108"/>
      <c r="H9" s="108"/>
      <c r="I9" s="108"/>
      <c r="J9" s="165"/>
      <c r="K9" s="109"/>
    </row>
    <row r="10" spans="1:13" ht="15" thickBot="1" x14ac:dyDescent="0.35">
      <c r="A10" s="288" t="s">
        <v>95</v>
      </c>
      <c r="B10" s="289" t="s">
        <v>96</v>
      </c>
      <c r="C10" s="289" t="s">
        <v>97</v>
      </c>
      <c r="D10" s="289"/>
      <c r="E10" s="289"/>
      <c r="F10" s="289"/>
      <c r="G10" s="289"/>
      <c r="H10" s="289" t="s">
        <v>98</v>
      </c>
      <c r="I10" s="289" t="s">
        <v>99</v>
      </c>
      <c r="J10" s="292" t="s">
        <v>100</v>
      </c>
      <c r="K10" s="291" t="s">
        <v>101</v>
      </c>
    </row>
    <row r="11" spans="1:13" ht="34.5" customHeight="1" thickBot="1" x14ac:dyDescent="0.35">
      <c r="A11" s="303"/>
      <c r="B11" s="290"/>
      <c r="C11" s="290"/>
      <c r="D11" s="290"/>
      <c r="E11" s="290"/>
      <c r="F11" s="290"/>
      <c r="G11" s="290"/>
      <c r="H11" s="290"/>
      <c r="I11" s="290"/>
      <c r="J11" s="304"/>
      <c r="K11" s="302"/>
    </row>
    <row r="12" spans="1:13" s="169" customFormat="1" ht="16.5" customHeight="1" x14ac:dyDescent="0.3">
      <c r="A12" s="192">
        <v>1</v>
      </c>
      <c r="B12" s="176" t="str">
        <f>'SAF 011'!B22</f>
        <v>2.4.4-6818.48</v>
      </c>
      <c r="C12" s="299" t="str">
        <f>'SAF 011'!E22</f>
        <v>NEUMATICOS; VEHICULO: CAMIONETA, CONSTRUCCION: RADIAL, MEDIDA: 235/75R15, ARMADO: S/CAMARA</v>
      </c>
      <c r="D12" s="300"/>
      <c r="E12" s="300"/>
      <c r="F12" s="300"/>
      <c r="G12" s="301"/>
      <c r="H12" s="176" t="s">
        <v>138</v>
      </c>
      <c r="I12" s="193" t="str">
        <f>'SAF 011'!F22</f>
        <v>UNIDAD</v>
      </c>
      <c r="J12" s="194">
        <f>'SAF 011'!AX22</f>
        <v>38300</v>
      </c>
      <c r="K12" s="195">
        <f>'SAF 011'!AS22</f>
        <v>3</v>
      </c>
      <c r="M12" s="168">
        <f t="shared" ref="M12" si="0">+J12*K12</f>
        <v>114900</v>
      </c>
    </row>
    <row r="13" spans="1:13" ht="16.2" thickBot="1" x14ac:dyDescent="0.35">
      <c r="A13" s="158"/>
      <c r="B13" s="159"/>
      <c r="C13" s="287"/>
      <c r="D13" s="287"/>
      <c r="E13" s="287"/>
      <c r="F13" s="287"/>
      <c r="G13" s="287"/>
      <c r="H13" s="160"/>
      <c r="I13" s="161"/>
      <c r="J13" s="166"/>
      <c r="K13" s="162"/>
    </row>
    <row r="14" spans="1:13" ht="18" thickBot="1" x14ac:dyDescent="0.35">
      <c r="A14" s="282" t="s">
        <v>162</v>
      </c>
      <c r="B14" s="282"/>
      <c r="C14" s="282"/>
      <c r="D14" s="282"/>
      <c r="E14" s="282"/>
      <c r="F14" s="282"/>
      <c r="G14" s="282"/>
      <c r="H14" s="282"/>
      <c r="I14" s="282"/>
      <c r="J14" s="283">
        <f>+M14</f>
        <v>114900</v>
      </c>
      <c r="K14" s="283"/>
      <c r="M14" s="168">
        <f>SUM(M12:M13)</f>
        <v>114900</v>
      </c>
    </row>
  </sheetData>
  <mergeCells count="18">
    <mergeCell ref="A14:I14"/>
    <mergeCell ref="J14:K14"/>
    <mergeCell ref="A10:A11"/>
    <mergeCell ref="B10:B11"/>
    <mergeCell ref="C10:G11"/>
    <mergeCell ref="H10:H11"/>
    <mergeCell ref="I10:I11"/>
    <mergeCell ref="J10:J11"/>
    <mergeCell ref="A7:C7"/>
    <mergeCell ref="A8:C8"/>
    <mergeCell ref="K10:K11"/>
    <mergeCell ref="C12:G12"/>
    <mergeCell ref="C13:G13"/>
    <mergeCell ref="A5:C5"/>
    <mergeCell ref="A1:I1"/>
    <mergeCell ref="A3:C3"/>
    <mergeCell ref="A4:C4"/>
    <mergeCell ref="A6:C6"/>
  </mergeCell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opLeftCell="A7" workbookViewId="0">
      <selection activeCell="X38" sqref="X38"/>
    </sheetView>
  </sheetViews>
  <sheetFormatPr baseColWidth="10" defaultColWidth="11.44140625" defaultRowHeight="14.4" x14ac:dyDescent="0.3"/>
  <cols>
    <col min="1" max="5" width="4.44140625" style="64" customWidth="1"/>
    <col min="6" max="6" width="9.44140625" style="64" customWidth="1"/>
    <col min="7" max="14" width="4.44140625" style="64" customWidth="1"/>
    <col min="15" max="16" width="14.88671875" style="64" customWidth="1"/>
    <col min="17" max="17" width="14.6640625" style="64" customWidth="1"/>
    <col min="18" max="16384" width="11.44140625" style="64"/>
  </cols>
  <sheetData>
    <row r="1" spans="1:17" ht="15" thickBot="1" x14ac:dyDescent="0.35">
      <c r="A1" s="325" t="s">
        <v>5</v>
      </c>
      <c r="B1" s="325"/>
      <c r="C1" s="325"/>
      <c r="D1" s="326">
        <v>2022</v>
      </c>
      <c r="E1" s="326"/>
      <c r="F1" s="110"/>
      <c r="G1" s="110"/>
      <c r="H1" s="111"/>
      <c r="I1" s="111"/>
      <c r="J1" s="111"/>
      <c r="K1" s="111"/>
      <c r="L1" s="111"/>
      <c r="M1" s="111"/>
      <c r="N1" s="111"/>
      <c r="O1" s="112"/>
      <c r="P1" s="327" t="s">
        <v>102</v>
      </c>
      <c r="Q1" s="327"/>
    </row>
    <row r="2" spans="1:17" ht="15" thickBot="1" x14ac:dyDescent="0.35">
      <c r="A2" s="113"/>
      <c r="B2" s="114"/>
      <c r="C2" s="114"/>
      <c r="D2" s="114"/>
      <c r="E2" s="114"/>
      <c r="F2" s="114"/>
      <c r="G2" s="115"/>
      <c r="H2" s="116"/>
      <c r="I2" s="116"/>
      <c r="J2" s="116"/>
      <c r="K2" s="116"/>
      <c r="L2" s="116"/>
      <c r="M2" s="116"/>
      <c r="N2" s="116"/>
      <c r="O2" s="114"/>
      <c r="P2" s="327"/>
      <c r="Q2" s="327"/>
    </row>
    <row r="3" spans="1:17" ht="15" thickBot="1" x14ac:dyDescent="0.35">
      <c r="A3" s="113"/>
      <c r="B3" s="114"/>
      <c r="C3" s="114"/>
      <c r="D3" s="114"/>
      <c r="E3" s="114"/>
      <c r="F3" s="114"/>
      <c r="G3" s="115"/>
      <c r="H3" s="114"/>
      <c r="I3" s="114"/>
      <c r="J3" s="114"/>
      <c r="K3" s="114"/>
      <c r="L3" s="114"/>
      <c r="M3" s="114"/>
      <c r="N3" s="114"/>
      <c r="O3" s="114"/>
      <c r="P3" s="114"/>
      <c r="Q3" s="117"/>
    </row>
    <row r="4" spans="1:17" s="196" customFormat="1" ht="15" thickBot="1" x14ac:dyDescent="0.35">
      <c r="A4" s="332" t="s">
        <v>103</v>
      </c>
      <c r="B4" s="332"/>
      <c r="C4" s="332"/>
      <c r="D4" s="332"/>
      <c r="E4" s="332"/>
      <c r="F4" s="332"/>
      <c r="G4" s="329" t="str">
        <f>'SAF 011'!C4</f>
        <v>040 - MINISTERIO DE SALUD</v>
      </c>
      <c r="H4" s="329"/>
      <c r="I4" s="329"/>
      <c r="J4" s="329"/>
      <c r="K4" s="329"/>
      <c r="L4" s="329"/>
      <c r="M4" s="329"/>
      <c r="N4" s="329"/>
      <c r="O4" s="329"/>
      <c r="P4" s="329"/>
      <c r="Q4" s="329"/>
    </row>
    <row r="5" spans="1:17" s="196" customFormat="1" ht="15" thickBot="1" x14ac:dyDescent="0.35">
      <c r="A5" s="330" t="s">
        <v>90</v>
      </c>
      <c r="B5" s="330"/>
      <c r="C5" s="330"/>
      <c r="D5" s="330"/>
      <c r="E5" s="330"/>
      <c r="F5" s="330"/>
      <c r="G5" s="329" t="str">
        <f>'SAF 011'!C5</f>
        <v>011 - DIRECCION PROVINCIAL DE ADMINISTRACION - MINISTERIO DE SALUD</v>
      </c>
      <c r="H5" s="329"/>
      <c r="I5" s="329"/>
      <c r="J5" s="329"/>
      <c r="K5" s="329"/>
      <c r="L5" s="329"/>
      <c r="M5" s="329"/>
      <c r="N5" s="329"/>
      <c r="O5" s="329"/>
      <c r="P5" s="329"/>
      <c r="Q5" s="329"/>
    </row>
    <row r="6" spans="1:17" s="196" customFormat="1" ht="15" thickBot="1" x14ac:dyDescent="0.35">
      <c r="A6" s="330" t="s">
        <v>91</v>
      </c>
      <c r="B6" s="330"/>
      <c r="C6" s="330"/>
      <c r="D6" s="330"/>
      <c r="E6" s="330"/>
      <c r="F6" s="330"/>
      <c r="G6" s="329" t="s">
        <v>144</v>
      </c>
      <c r="H6" s="329"/>
      <c r="I6" s="329"/>
      <c r="J6" s="329"/>
      <c r="K6" s="329"/>
      <c r="L6" s="329"/>
      <c r="M6" s="329"/>
      <c r="N6" s="329"/>
      <c r="O6" s="329"/>
      <c r="P6" s="329"/>
      <c r="Q6" s="329"/>
    </row>
    <row r="7" spans="1:17" s="196" customFormat="1" ht="15" thickBot="1" x14ac:dyDescent="0.35">
      <c r="A7" s="330" t="s">
        <v>92</v>
      </c>
      <c r="B7" s="330"/>
      <c r="C7" s="330"/>
      <c r="D7" s="330"/>
      <c r="E7" s="330"/>
      <c r="F7" s="330"/>
      <c r="G7" s="329" t="s">
        <v>144</v>
      </c>
      <c r="H7" s="329"/>
      <c r="I7" s="329"/>
      <c r="J7" s="329"/>
      <c r="K7" s="329"/>
      <c r="L7" s="329"/>
      <c r="M7" s="329"/>
      <c r="N7" s="329"/>
      <c r="O7" s="329"/>
      <c r="P7" s="329"/>
      <c r="Q7" s="329"/>
    </row>
    <row r="8" spans="1:17" ht="15" thickBot="1" x14ac:dyDescent="0.35">
      <c r="A8" s="331" t="s">
        <v>104</v>
      </c>
      <c r="B8" s="331"/>
      <c r="C8" s="331"/>
      <c r="D8" s="331"/>
      <c r="E8" s="331"/>
      <c r="F8" s="331"/>
      <c r="G8" s="331"/>
      <c r="H8" s="331"/>
      <c r="I8" s="331"/>
      <c r="J8" s="331"/>
      <c r="K8" s="331"/>
      <c r="L8" s="331"/>
      <c r="M8" s="331"/>
      <c r="N8" s="331"/>
      <c r="O8" s="331"/>
      <c r="P8" s="331"/>
      <c r="Q8" s="331"/>
    </row>
    <row r="9" spans="1:17" ht="20.25" customHeight="1" x14ac:dyDescent="0.3">
      <c r="A9" s="324" t="s">
        <v>105</v>
      </c>
      <c r="B9" s="324"/>
      <c r="C9" s="324"/>
      <c r="D9" s="324"/>
      <c r="E9" s="324"/>
      <c r="F9" s="324"/>
      <c r="G9" s="324"/>
      <c r="H9" s="324"/>
      <c r="I9" s="324"/>
      <c r="J9" s="324"/>
      <c r="K9" s="324"/>
      <c r="L9" s="324"/>
      <c r="M9" s="324"/>
      <c r="N9" s="324"/>
      <c r="O9" s="324"/>
      <c r="P9" s="324"/>
      <c r="Q9" s="324"/>
    </row>
    <row r="10" spans="1:17" ht="69" customHeight="1" x14ac:dyDescent="0.3">
      <c r="A10" s="316" t="s">
        <v>163</v>
      </c>
      <c r="B10" s="316"/>
      <c r="C10" s="316"/>
      <c r="D10" s="316"/>
      <c r="E10" s="316"/>
      <c r="F10" s="316"/>
      <c r="G10" s="316"/>
      <c r="H10" s="316"/>
      <c r="I10" s="316"/>
      <c r="J10" s="316"/>
      <c r="K10" s="316"/>
      <c r="L10" s="316"/>
      <c r="M10" s="316"/>
      <c r="N10" s="316"/>
      <c r="O10" s="316"/>
      <c r="P10" s="316"/>
      <c r="Q10" s="316"/>
    </row>
    <row r="11" spans="1:17" ht="15" thickBot="1" x14ac:dyDescent="0.35">
      <c r="A11" s="118"/>
      <c r="B11" s="119"/>
      <c r="C11" s="119"/>
      <c r="D11" s="119"/>
      <c r="E11" s="119"/>
      <c r="F11" s="119"/>
      <c r="G11" s="120"/>
      <c r="H11" s="119"/>
      <c r="I11" s="119"/>
      <c r="J11" s="119"/>
      <c r="K11" s="119"/>
      <c r="L11" s="119"/>
      <c r="M11" s="119"/>
      <c r="N11" s="119"/>
      <c r="O11" s="119"/>
      <c r="P11" s="119"/>
      <c r="Q11" s="121"/>
    </row>
    <row r="12" spans="1:17" ht="15" thickBot="1" x14ac:dyDescent="0.35">
      <c r="A12" s="317" t="s">
        <v>106</v>
      </c>
      <c r="B12" s="317"/>
      <c r="C12" s="317"/>
      <c r="D12" s="317"/>
      <c r="E12" s="317"/>
      <c r="F12" s="317"/>
      <c r="G12" s="317"/>
      <c r="H12" s="317"/>
      <c r="I12" s="317"/>
      <c r="J12" s="317"/>
      <c r="K12" s="317"/>
      <c r="L12" s="317"/>
      <c r="M12" s="317"/>
      <c r="N12" s="317"/>
      <c r="O12" s="317"/>
      <c r="P12" s="317"/>
      <c r="Q12" s="317"/>
    </row>
    <row r="13" spans="1:17" ht="15" thickBot="1" x14ac:dyDescent="0.35">
      <c r="A13" s="318" t="s">
        <v>107</v>
      </c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8"/>
      <c r="N13" s="318"/>
      <c r="O13" s="319" t="s">
        <v>108</v>
      </c>
      <c r="P13" s="319"/>
      <c r="Q13" s="320" t="s">
        <v>109</v>
      </c>
    </row>
    <row r="14" spans="1:17" ht="15" thickBot="1" x14ac:dyDescent="0.35">
      <c r="A14" s="122" t="s">
        <v>110</v>
      </c>
      <c r="B14" s="123" t="s">
        <v>111</v>
      </c>
      <c r="C14" s="123" t="s">
        <v>112</v>
      </c>
      <c r="D14" s="123" t="s">
        <v>113</v>
      </c>
      <c r="E14" s="123" t="s">
        <v>114</v>
      </c>
      <c r="F14" s="123" t="s">
        <v>115</v>
      </c>
      <c r="G14" s="124" t="s">
        <v>116</v>
      </c>
      <c r="H14" s="123" t="s">
        <v>117</v>
      </c>
      <c r="I14" s="123" t="s">
        <v>118</v>
      </c>
      <c r="J14" s="123" t="s">
        <v>119</v>
      </c>
      <c r="K14" s="123" t="s">
        <v>119</v>
      </c>
      <c r="L14" s="123" t="s">
        <v>120</v>
      </c>
      <c r="M14" s="125" t="s">
        <v>121</v>
      </c>
      <c r="N14" s="126" t="s">
        <v>122</v>
      </c>
      <c r="O14" s="319"/>
      <c r="P14" s="319"/>
      <c r="Q14" s="320"/>
    </row>
    <row r="15" spans="1:17" x14ac:dyDescent="0.3">
      <c r="A15" s="201">
        <v>22</v>
      </c>
      <c r="B15" s="202"/>
      <c r="C15" s="202"/>
      <c r="D15" s="202">
        <v>1</v>
      </c>
      <c r="E15" s="202"/>
      <c r="F15" s="202">
        <v>4901</v>
      </c>
      <c r="G15" s="202">
        <v>4</v>
      </c>
      <c r="H15" s="202">
        <v>4</v>
      </c>
      <c r="I15" s="202">
        <v>2</v>
      </c>
      <c r="J15" s="202">
        <v>4</v>
      </c>
      <c r="K15" s="202">
        <v>4</v>
      </c>
      <c r="L15" s="202"/>
      <c r="M15" s="203">
        <v>1</v>
      </c>
      <c r="N15" s="202" t="s">
        <v>139</v>
      </c>
      <c r="O15" s="321" t="s">
        <v>140</v>
      </c>
      <c r="P15" s="321"/>
      <c r="Q15" s="204">
        <f>'NP MEDIO AMBIENTE'!M14</f>
        <v>223000</v>
      </c>
    </row>
    <row r="16" spans="1:17" ht="14.4" customHeight="1" x14ac:dyDescent="0.3">
      <c r="A16" s="206">
        <v>23</v>
      </c>
      <c r="B16" s="207"/>
      <c r="C16" s="207"/>
      <c r="D16" s="207">
        <v>1</v>
      </c>
      <c r="E16" s="207"/>
      <c r="F16" s="207">
        <v>4901</v>
      </c>
      <c r="G16" s="207">
        <v>3</v>
      </c>
      <c r="H16" s="207">
        <v>1</v>
      </c>
      <c r="I16" s="207">
        <v>2</v>
      </c>
      <c r="J16" s="207">
        <v>4</v>
      </c>
      <c r="K16" s="207">
        <v>4</v>
      </c>
      <c r="L16" s="207"/>
      <c r="M16" s="208">
        <v>1</v>
      </c>
      <c r="N16" s="207" t="s">
        <v>139</v>
      </c>
      <c r="O16" s="322" t="s">
        <v>140</v>
      </c>
      <c r="P16" s="322"/>
      <c r="Q16" s="209">
        <f>'NP VECTORES'!M15</f>
        <v>279200</v>
      </c>
    </row>
    <row r="17" spans="1:17" x14ac:dyDescent="0.3">
      <c r="A17" s="127">
        <v>28</v>
      </c>
      <c r="B17" s="128"/>
      <c r="C17" s="128"/>
      <c r="D17" s="128">
        <v>1</v>
      </c>
      <c r="E17" s="128"/>
      <c r="F17" s="128">
        <v>4901</v>
      </c>
      <c r="G17" s="128">
        <v>3</v>
      </c>
      <c r="H17" s="128">
        <v>1</v>
      </c>
      <c r="I17" s="128">
        <v>2</v>
      </c>
      <c r="J17" s="128">
        <v>4</v>
      </c>
      <c r="K17" s="128">
        <v>4</v>
      </c>
      <c r="L17" s="128"/>
      <c r="M17" s="129">
        <v>1</v>
      </c>
      <c r="N17" s="128" t="s">
        <v>139</v>
      </c>
      <c r="O17" s="323" t="s">
        <v>140</v>
      </c>
      <c r="P17" s="323"/>
      <c r="Q17" s="205">
        <f>'NP EPIDEMIOLOGIA'!M14</f>
        <v>114900</v>
      </c>
    </row>
    <row r="18" spans="1:17" x14ac:dyDescent="0.3">
      <c r="A18" s="127"/>
      <c r="B18" s="128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9"/>
      <c r="N18" s="142"/>
      <c r="O18" s="315"/>
      <c r="P18" s="315"/>
      <c r="Q18" s="131"/>
    </row>
    <row r="19" spans="1:17" x14ac:dyDescent="0.3">
      <c r="A19" s="127"/>
      <c r="B19" s="128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9"/>
      <c r="N19" s="142"/>
      <c r="O19" s="315"/>
      <c r="P19" s="315"/>
      <c r="Q19" s="131"/>
    </row>
    <row r="20" spans="1:17" x14ac:dyDescent="0.3">
      <c r="A20" s="127"/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9"/>
      <c r="N20" s="142"/>
      <c r="O20" s="315"/>
      <c r="P20" s="315"/>
      <c r="Q20" s="131"/>
    </row>
    <row r="21" spans="1:17" x14ac:dyDescent="0.3">
      <c r="A21" s="127"/>
      <c r="B21" s="128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9"/>
      <c r="N21" s="142"/>
      <c r="O21" s="315"/>
      <c r="P21" s="315"/>
      <c r="Q21" s="131"/>
    </row>
    <row r="22" spans="1:17" x14ac:dyDescent="0.3">
      <c r="A22" s="127"/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9"/>
      <c r="N22" s="142"/>
      <c r="O22" s="315"/>
      <c r="P22" s="315"/>
      <c r="Q22" s="131"/>
    </row>
    <row r="23" spans="1:17" x14ac:dyDescent="0.3">
      <c r="A23" s="127"/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9"/>
      <c r="N23" s="142"/>
      <c r="O23" s="315"/>
      <c r="P23" s="315"/>
      <c r="Q23" s="131"/>
    </row>
    <row r="24" spans="1:17" x14ac:dyDescent="0.3">
      <c r="A24" s="127"/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9"/>
      <c r="N24" s="142"/>
      <c r="O24" s="315"/>
      <c r="P24" s="315"/>
      <c r="Q24" s="131"/>
    </row>
    <row r="25" spans="1:17" x14ac:dyDescent="0.3">
      <c r="A25" s="127"/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9"/>
      <c r="N25" s="142"/>
      <c r="O25" s="315"/>
      <c r="P25" s="315"/>
      <c r="Q25" s="131"/>
    </row>
    <row r="26" spans="1:17" x14ac:dyDescent="0.3">
      <c r="A26" s="127"/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9"/>
      <c r="N26" s="142"/>
      <c r="O26" s="315"/>
      <c r="P26" s="315"/>
      <c r="Q26" s="131"/>
    </row>
    <row r="27" spans="1:17" x14ac:dyDescent="0.3">
      <c r="A27" s="127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9"/>
      <c r="N27" s="142"/>
      <c r="O27" s="315"/>
      <c r="P27" s="315"/>
      <c r="Q27" s="131"/>
    </row>
    <row r="28" spans="1:17" x14ac:dyDescent="0.3">
      <c r="A28" s="127"/>
      <c r="B28" s="128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9"/>
      <c r="N28" s="142"/>
      <c r="O28" s="315"/>
      <c r="P28" s="315"/>
      <c r="Q28" s="131"/>
    </row>
    <row r="29" spans="1:17" x14ac:dyDescent="0.3">
      <c r="A29" s="127"/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9"/>
      <c r="N29" s="142"/>
      <c r="O29" s="315"/>
      <c r="P29" s="315"/>
      <c r="Q29" s="131"/>
    </row>
    <row r="30" spans="1:17" x14ac:dyDescent="0.3">
      <c r="A30" s="127"/>
      <c r="B30" s="128"/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9"/>
      <c r="N30" s="142"/>
      <c r="O30" s="315"/>
      <c r="P30" s="315"/>
      <c r="Q30" s="131"/>
    </row>
    <row r="31" spans="1:17" x14ac:dyDescent="0.3">
      <c r="A31" s="127"/>
      <c r="B31" s="128"/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9"/>
      <c r="N31" s="142"/>
      <c r="O31" s="315"/>
      <c r="P31" s="315"/>
      <c r="Q31" s="131"/>
    </row>
    <row r="32" spans="1:17" x14ac:dyDescent="0.3">
      <c r="A32" s="127"/>
      <c r="B32" s="128"/>
      <c r="C32" s="128"/>
      <c r="D32" s="128"/>
      <c r="E32" s="128"/>
      <c r="F32" s="142"/>
      <c r="G32" s="128"/>
      <c r="H32" s="128"/>
      <c r="I32" s="128"/>
      <c r="J32" s="128"/>
      <c r="K32" s="128"/>
      <c r="L32" s="128"/>
      <c r="M32" s="129"/>
      <c r="N32" s="142"/>
      <c r="O32" s="310"/>
      <c r="P32" s="310"/>
      <c r="Q32" s="131"/>
    </row>
    <row r="33" spans="1:17" x14ac:dyDescent="0.3">
      <c r="A33" s="127"/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9"/>
      <c r="N33" s="142"/>
      <c r="O33" s="310"/>
      <c r="P33" s="310"/>
      <c r="Q33" s="131"/>
    </row>
    <row r="34" spans="1:17" x14ac:dyDescent="0.3">
      <c r="A34" s="127"/>
      <c r="B34" s="128"/>
      <c r="C34" s="128"/>
      <c r="D34" s="128"/>
      <c r="E34" s="128"/>
      <c r="F34" s="142"/>
      <c r="G34" s="128"/>
      <c r="H34" s="128"/>
      <c r="I34" s="128"/>
      <c r="J34" s="128"/>
      <c r="K34" s="128"/>
      <c r="L34" s="128"/>
      <c r="M34" s="129"/>
      <c r="N34" s="142"/>
      <c r="O34" s="310"/>
      <c r="P34" s="310"/>
      <c r="Q34" s="131"/>
    </row>
    <row r="35" spans="1:17" x14ac:dyDescent="0.3">
      <c r="A35" s="127"/>
      <c r="B35" s="128"/>
      <c r="C35" s="128"/>
      <c r="D35" s="128"/>
      <c r="E35" s="128"/>
      <c r="F35" s="142"/>
      <c r="G35" s="128"/>
      <c r="H35" s="128"/>
      <c r="I35" s="128"/>
      <c r="J35" s="128"/>
      <c r="K35" s="128"/>
      <c r="L35" s="128"/>
      <c r="M35" s="129"/>
      <c r="N35" s="142"/>
      <c r="O35" s="310"/>
      <c r="P35" s="310"/>
      <c r="Q35" s="131"/>
    </row>
    <row r="36" spans="1:17" x14ac:dyDescent="0.3">
      <c r="A36" s="132"/>
      <c r="B36" s="133"/>
      <c r="C36" s="133"/>
      <c r="D36" s="133"/>
      <c r="E36" s="133"/>
      <c r="F36" s="134"/>
      <c r="G36" s="133"/>
      <c r="H36" s="133"/>
      <c r="I36" s="133"/>
      <c r="J36" s="133"/>
      <c r="K36" s="133"/>
      <c r="L36" s="133"/>
      <c r="M36" s="135"/>
      <c r="N36" s="136"/>
      <c r="O36" s="311"/>
      <c r="P36" s="311"/>
      <c r="Q36" s="131"/>
    </row>
    <row r="37" spans="1:17" ht="15" thickBot="1" x14ac:dyDescent="0.35">
      <c r="A37" s="137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9"/>
      <c r="N37" s="138"/>
      <c r="O37" s="312"/>
      <c r="P37" s="312"/>
      <c r="Q37" s="140"/>
    </row>
    <row r="38" spans="1:17" ht="32.25" customHeight="1" thickBot="1" x14ac:dyDescent="0.35">
      <c r="A38" s="313" t="s">
        <v>164</v>
      </c>
      <c r="B38" s="313"/>
      <c r="C38" s="313"/>
      <c r="D38" s="313"/>
      <c r="E38" s="313"/>
      <c r="F38" s="313"/>
      <c r="G38" s="313"/>
      <c r="H38" s="313"/>
      <c r="I38" s="313"/>
      <c r="J38" s="313"/>
      <c r="K38" s="313"/>
      <c r="L38" s="313"/>
      <c r="M38" s="313"/>
      <c r="N38" s="313"/>
      <c r="O38" s="313"/>
      <c r="P38" s="313"/>
      <c r="Q38" s="141">
        <f>SUM(Q15:Q37)</f>
        <v>617100</v>
      </c>
    </row>
    <row r="39" spans="1:17" ht="15" thickBot="1" x14ac:dyDescent="0.35">
      <c r="A39" s="314"/>
      <c r="B39" s="314"/>
      <c r="C39" s="314"/>
      <c r="D39" s="314"/>
      <c r="E39" s="314"/>
      <c r="F39" s="314"/>
      <c r="G39" s="314"/>
      <c r="H39" s="314"/>
      <c r="I39" s="314"/>
      <c r="J39" s="314"/>
      <c r="K39" s="314"/>
      <c r="L39" s="314"/>
      <c r="M39" s="314"/>
      <c r="N39" s="314"/>
      <c r="O39" s="314"/>
      <c r="P39" s="314"/>
      <c r="Q39" s="314"/>
    </row>
    <row r="40" spans="1:17" ht="15" thickBot="1" x14ac:dyDescent="0.35">
      <c r="A40" s="307" t="s">
        <v>123</v>
      </c>
      <c r="B40" s="307"/>
      <c r="C40" s="307"/>
      <c r="D40" s="307"/>
      <c r="E40" s="307"/>
      <c r="F40" s="307"/>
      <c r="G40" s="308"/>
      <c r="H40" s="308"/>
      <c r="I40" s="308"/>
      <c r="J40" s="308"/>
      <c r="K40" s="308"/>
      <c r="L40" s="308"/>
      <c r="M40" s="308"/>
      <c r="N40" s="308"/>
      <c r="O40" s="308"/>
      <c r="P40" s="308"/>
      <c r="Q40" s="308"/>
    </row>
    <row r="41" spans="1:17" ht="15" thickBot="1" x14ac:dyDescent="0.35">
      <c r="A41" s="309" t="str">
        <f>'NP EPIDEMIOLOGIA'!D8</f>
        <v>ADQUISICION DEL RUBRO CUBIERTAS.-</v>
      </c>
      <c r="B41" s="309"/>
      <c r="C41" s="309"/>
      <c r="D41" s="309"/>
      <c r="E41" s="309"/>
      <c r="F41" s="309"/>
      <c r="G41" s="309"/>
      <c r="H41" s="309"/>
      <c r="I41" s="309"/>
      <c r="J41" s="309"/>
      <c r="K41" s="309"/>
      <c r="L41" s="309"/>
      <c r="M41" s="309"/>
      <c r="N41" s="309"/>
      <c r="O41" s="309"/>
      <c r="P41" s="309"/>
      <c r="Q41" s="309"/>
    </row>
    <row r="42" spans="1:17" ht="15" thickBot="1" x14ac:dyDescent="0.35">
      <c r="A42" s="309"/>
      <c r="B42" s="309"/>
      <c r="C42" s="309"/>
      <c r="D42" s="309"/>
      <c r="E42" s="309"/>
      <c r="F42" s="309"/>
      <c r="G42" s="309"/>
      <c r="H42" s="309"/>
      <c r="I42" s="309"/>
      <c r="J42" s="309"/>
      <c r="K42" s="309"/>
      <c r="L42" s="309"/>
      <c r="M42" s="309"/>
      <c r="N42" s="309"/>
      <c r="O42" s="309"/>
      <c r="P42" s="309"/>
      <c r="Q42" s="309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topLeftCell="A13" workbookViewId="0">
      <selection activeCell="A5" sqref="A5:F5"/>
    </sheetView>
  </sheetViews>
  <sheetFormatPr baseColWidth="10" defaultColWidth="11.44140625" defaultRowHeight="14.4" x14ac:dyDescent="0.3"/>
  <cols>
    <col min="1" max="1" width="5.5546875" style="64" customWidth="1"/>
    <col min="2" max="2" width="15.109375" style="157" customWidth="1"/>
    <col min="3" max="3" width="14.109375" style="64" customWidth="1"/>
    <col min="4" max="4" width="26" style="64" customWidth="1"/>
    <col min="5" max="5" width="8" style="64" customWidth="1"/>
    <col min="6" max="6" width="7.88671875" style="64" customWidth="1"/>
    <col min="7" max="7" width="61.109375" style="64" customWidth="1"/>
    <col min="8" max="8" width="9.33203125" style="64" customWidth="1"/>
    <col min="9" max="9" width="15.5546875" style="64" customWidth="1"/>
    <col min="10" max="10" width="14.6640625" style="167" customWidth="1"/>
    <col min="11" max="11" width="15.5546875" style="64" customWidth="1"/>
    <col min="12" max="12" width="11.44140625" style="64"/>
    <col min="13" max="13" width="11.44140625" style="168"/>
    <col min="14" max="16384" width="11.44140625" style="64"/>
  </cols>
  <sheetData>
    <row r="1" spans="1:13" ht="30.6" thickBot="1" x14ac:dyDescent="0.35">
      <c r="A1" s="298" t="s">
        <v>87</v>
      </c>
      <c r="B1" s="298"/>
      <c r="C1" s="298"/>
      <c r="D1" s="298"/>
      <c r="E1" s="298"/>
      <c r="F1" s="298"/>
      <c r="G1" s="298"/>
      <c r="H1" s="298"/>
      <c r="I1" s="298"/>
      <c r="J1" s="163" t="s">
        <v>88</v>
      </c>
      <c r="K1" s="146" t="s">
        <v>151</v>
      </c>
    </row>
    <row r="2" spans="1:13" ht="16.2" thickBot="1" x14ac:dyDescent="0.35">
      <c r="A2" s="102"/>
      <c r="B2" s="155"/>
      <c r="C2" s="103"/>
      <c r="D2" s="104"/>
      <c r="E2" s="104"/>
      <c r="F2" s="104"/>
      <c r="G2" s="104"/>
      <c r="H2" s="104"/>
      <c r="I2" s="104"/>
      <c r="J2" s="164"/>
      <c r="K2" s="105"/>
    </row>
    <row r="3" spans="1:13" ht="16.5" customHeight="1" thickBot="1" x14ac:dyDescent="0.35">
      <c r="A3" s="293" t="s">
        <v>89</v>
      </c>
      <c r="B3" s="293"/>
      <c r="C3" s="293"/>
      <c r="D3" s="183" t="str">
        <f>'SAF 011'!C4</f>
        <v>040 - MINISTERIO DE SALUD</v>
      </c>
      <c r="E3" s="184"/>
      <c r="F3" s="184"/>
      <c r="G3" s="184"/>
      <c r="H3" s="184"/>
      <c r="I3" s="184"/>
      <c r="J3" s="184"/>
      <c r="K3" s="185"/>
    </row>
    <row r="4" spans="1:13" ht="16.5" customHeight="1" thickBot="1" x14ac:dyDescent="0.35">
      <c r="A4" s="295" t="s">
        <v>90</v>
      </c>
      <c r="B4" s="295"/>
      <c r="C4" s="295"/>
      <c r="D4" s="183" t="str">
        <f>'SAF 011'!C5</f>
        <v>011 - DIRECCION PROVINCIAL DE ADMINISTRACION - MINISTERIO DE SALUD</v>
      </c>
      <c r="E4" s="184"/>
      <c r="F4" s="184"/>
      <c r="G4" s="184"/>
      <c r="H4" s="184"/>
      <c r="I4" s="184"/>
      <c r="J4" s="184"/>
      <c r="K4" s="185"/>
    </row>
    <row r="5" spans="1:13" ht="16.5" customHeight="1" thickBot="1" x14ac:dyDescent="0.35">
      <c r="A5" s="295" t="s">
        <v>91</v>
      </c>
      <c r="B5" s="295"/>
      <c r="C5" s="295"/>
      <c r="D5" s="183" t="s">
        <v>172</v>
      </c>
      <c r="E5" s="184"/>
      <c r="F5" s="184"/>
      <c r="G5" s="184"/>
      <c r="H5" s="184"/>
      <c r="I5" s="184"/>
      <c r="J5" s="184"/>
      <c r="K5" s="185"/>
    </row>
    <row r="6" spans="1:13" ht="16.5" customHeight="1" thickBot="1" x14ac:dyDescent="0.35">
      <c r="A6" s="293" t="s">
        <v>92</v>
      </c>
      <c r="B6" s="293"/>
      <c r="C6" s="293"/>
      <c r="D6" s="183" t="s">
        <v>172</v>
      </c>
      <c r="E6" s="184"/>
      <c r="F6" s="184"/>
      <c r="G6" s="184"/>
      <c r="H6" s="184"/>
      <c r="I6" s="184"/>
      <c r="J6" s="184"/>
      <c r="K6" s="185"/>
    </row>
    <row r="7" spans="1:13" ht="16.2" thickBot="1" x14ac:dyDescent="0.35">
      <c r="A7" s="295" t="s">
        <v>93</v>
      </c>
      <c r="B7" s="295"/>
      <c r="C7" s="295"/>
      <c r="D7" s="183" t="s">
        <v>126</v>
      </c>
      <c r="E7" s="184"/>
      <c r="F7" s="184"/>
      <c r="G7" s="184"/>
      <c r="H7" s="184"/>
      <c r="I7" s="184"/>
      <c r="J7" s="184"/>
      <c r="K7" s="185"/>
    </row>
    <row r="8" spans="1:13" ht="16.5" customHeight="1" thickBot="1" x14ac:dyDescent="0.35">
      <c r="A8" s="296" t="s">
        <v>94</v>
      </c>
      <c r="B8" s="296"/>
      <c r="C8" s="296"/>
      <c r="D8" s="186" t="s">
        <v>127</v>
      </c>
      <c r="E8" s="184"/>
      <c r="F8" s="184"/>
      <c r="G8" s="184"/>
      <c r="H8" s="184"/>
      <c r="I8" s="184"/>
      <c r="J8" s="184"/>
      <c r="K8" s="185"/>
    </row>
    <row r="9" spans="1:13" ht="16.2" thickBot="1" x14ac:dyDescent="0.35">
      <c r="A9" s="106"/>
      <c r="B9" s="156"/>
      <c r="C9" s="107"/>
      <c r="D9" s="108"/>
      <c r="E9" s="108"/>
      <c r="F9" s="108"/>
      <c r="G9" s="108"/>
      <c r="H9" s="108"/>
      <c r="I9" s="108"/>
      <c r="J9" s="165"/>
      <c r="K9" s="109"/>
    </row>
    <row r="10" spans="1:13" ht="15" thickBot="1" x14ac:dyDescent="0.35">
      <c r="A10" s="288" t="s">
        <v>95</v>
      </c>
      <c r="B10" s="289" t="s">
        <v>96</v>
      </c>
      <c r="C10" s="289" t="s">
        <v>97</v>
      </c>
      <c r="D10" s="289"/>
      <c r="E10" s="289"/>
      <c r="F10" s="289"/>
      <c r="G10" s="289"/>
      <c r="H10" s="289" t="s">
        <v>98</v>
      </c>
      <c r="I10" s="289" t="s">
        <v>99</v>
      </c>
      <c r="J10" s="292" t="s">
        <v>100</v>
      </c>
      <c r="K10" s="291" t="s">
        <v>101</v>
      </c>
    </row>
    <row r="11" spans="1:13" ht="34.5" customHeight="1" thickBot="1" x14ac:dyDescent="0.35">
      <c r="A11" s="303"/>
      <c r="B11" s="290"/>
      <c r="C11" s="290"/>
      <c r="D11" s="290"/>
      <c r="E11" s="290"/>
      <c r="F11" s="290"/>
      <c r="G11" s="290"/>
      <c r="H11" s="290"/>
      <c r="I11" s="290"/>
      <c r="J11" s="304"/>
      <c r="K11" s="302"/>
    </row>
    <row r="12" spans="1:13" s="169" customFormat="1" ht="16.5" customHeight="1" x14ac:dyDescent="0.3">
      <c r="A12" s="192">
        <v>1</v>
      </c>
      <c r="B12" s="176" t="str">
        <f>'SAF 011'!B10</f>
        <v>2.4.4-6818.986</v>
      </c>
      <c r="C12" s="299" t="str">
        <f>'SAF 011'!E10</f>
        <v>NEUMATICOS; VEHICULO: AMBULANCIA/FURGON/MINIBUS, CONSTRUCCION: RADIAL, ARMADO: S/CAMARA, MEDIDA: 205/75R16</v>
      </c>
      <c r="D12" s="300"/>
      <c r="E12" s="300"/>
      <c r="F12" s="300"/>
      <c r="G12" s="301"/>
      <c r="H12" s="176" t="s">
        <v>138</v>
      </c>
      <c r="I12" s="193" t="str">
        <f>'SAF 011'!F10</f>
        <v>UNIDAD</v>
      </c>
      <c r="J12" s="194">
        <f>'SAF 011'!AX10</f>
        <v>42000</v>
      </c>
      <c r="K12" s="195">
        <f>'SAF 011'!AQ10</f>
        <v>69</v>
      </c>
      <c r="M12" s="168">
        <f t="shared" ref="M12:M22" si="0">+J12*K12</f>
        <v>2898000</v>
      </c>
    </row>
    <row r="13" spans="1:13" s="169" customFormat="1" ht="16.5" customHeight="1" x14ac:dyDescent="0.3">
      <c r="A13" s="192">
        <v>2</v>
      </c>
      <c r="B13" s="176" t="str">
        <f>'SAF 011'!B11</f>
        <v>2.4.4-6818.801</v>
      </c>
      <c r="C13" s="299" t="str">
        <f>'SAF 011'!E11</f>
        <v>NEUMATICOS; VEHICULO: CAMIONETA, CONSTRUCCION: CON CLAVOS, ARMADO: S/CAMARA, MEDIDA: 265/70R16</v>
      </c>
      <c r="D13" s="300"/>
      <c r="E13" s="300"/>
      <c r="F13" s="300"/>
      <c r="G13" s="301"/>
      <c r="H13" s="176" t="s">
        <v>138</v>
      </c>
      <c r="I13" s="193" t="str">
        <f>'SAF 011'!F11</f>
        <v xml:space="preserve">UNIDAD </v>
      </c>
      <c r="J13" s="194">
        <f>'SAF 011'!AX11</f>
        <v>42000</v>
      </c>
      <c r="K13" s="195">
        <f>'SAF 011'!AQ11</f>
        <v>8</v>
      </c>
      <c r="M13" s="168">
        <f t="shared" si="0"/>
        <v>336000</v>
      </c>
    </row>
    <row r="14" spans="1:13" s="169" customFormat="1" ht="16.5" customHeight="1" x14ac:dyDescent="0.3">
      <c r="A14" s="192">
        <v>3</v>
      </c>
      <c r="B14" s="176" t="str">
        <f>'SAF 011'!B13</f>
        <v>2.4.4-6818.59</v>
      </c>
      <c r="C14" s="299" t="str">
        <f>'SAF 011'!E13</f>
        <v>NEUMATICOS; VEHICULO: CAMIONETA, CONSTRUCCION: RADIAL, ARMADO: S/CAMARA, MEDIDA: 195/75R16</v>
      </c>
      <c r="D14" s="300"/>
      <c r="E14" s="300"/>
      <c r="F14" s="300"/>
      <c r="G14" s="301"/>
      <c r="H14" s="176" t="s">
        <v>138</v>
      </c>
      <c r="I14" s="193" t="str">
        <f>'SAF 011'!F13</f>
        <v>UNIDAD</v>
      </c>
      <c r="J14" s="194">
        <f>'SAF 011'!AX13</f>
        <v>44600</v>
      </c>
      <c r="K14" s="195">
        <f>'SAF 011'!AQ13</f>
        <v>8</v>
      </c>
      <c r="M14" s="168">
        <f t="shared" si="0"/>
        <v>356800</v>
      </c>
    </row>
    <row r="15" spans="1:13" s="169" customFormat="1" ht="16.5" customHeight="1" x14ac:dyDescent="0.3">
      <c r="A15" s="192">
        <v>4</v>
      </c>
      <c r="B15" s="176" t="str">
        <f>'SAF 011'!B14</f>
        <v>2.4.4-6818.52</v>
      </c>
      <c r="C15" s="299" t="str">
        <f>'SAF 011'!E14</f>
        <v>NEUMATICOS; VEHICULO: CAMIONETA, CONSTRUCCION: RADIAL, ARMADO: S/CAMARA, MEDIDA: 215/80R16</v>
      </c>
      <c r="D15" s="300"/>
      <c r="E15" s="300"/>
      <c r="F15" s="300"/>
      <c r="G15" s="301"/>
      <c r="H15" s="176" t="s">
        <v>138</v>
      </c>
      <c r="I15" s="193" t="str">
        <f>'SAF 011'!F14</f>
        <v>UNIDAD</v>
      </c>
      <c r="J15" s="194">
        <f>'SAF 011'!AX14</f>
        <v>41400</v>
      </c>
      <c r="K15" s="195">
        <f>'SAF 011'!AQ14</f>
        <v>20</v>
      </c>
      <c r="M15" s="168">
        <f t="shared" si="0"/>
        <v>828000</v>
      </c>
    </row>
    <row r="16" spans="1:13" s="169" customFormat="1" ht="16.5" customHeight="1" x14ac:dyDescent="0.3">
      <c r="A16" s="192">
        <v>5</v>
      </c>
      <c r="B16" s="176" t="str">
        <f>'SAF 011'!B15</f>
        <v>2.4.4-6818.885</v>
      </c>
      <c r="C16" s="299" t="str">
        <f>'SAF 011'!E15</f>
        <v>NEUMATICOS; VEHICULO: CAMIONETA, CONSTRUCCION: RADIAL, ARMADO: S/CAMARA, MEDIDA: 225/65R17</v>
      </c>
      <c r="D16" s="300"/>
      <c r="E16" s="300"/>
      <c r="F16" s="300"/>
      <c r="G16" s="301"/>
      <c r="H16" s="176" t="s">
        <v>138</v>
      </c>
      <c r="I16" s="193" t="str">
        <f>'SAF 011'!F15</f>
        <v xml:space="preserve">UNIDAD </v>
      </c>
      <c r="J16" s="194">
        <f>'SAF 011'!AX15</f>
        <v>45400</v>
      </c>
      <c r="K16" s="195">
        <f>'SAF 011'!AQ15</f>
        <v>4</v>
      </c>
      <c r="M16" s="168">
        <f t="shared" si="0"/>
        <v>181600</v>
      </c>
    </row>
    <row r="17" spans="1:13" s="169" customFormat="1" ht="16.5" customHeight="1" x14ac:dyDescent="0.3">
      <c r="A17" s="192">
        <v>6</v>
      </c>
      <c r="B17" s="176" t="str">
        <f>'SAF 011'!B16</f>
        <v>2.4.4-6818.989</v>
      </c>
      <c r="C17" s="299" t="str">
        <f>'SAF 011'!E16</f>
        <v>NEUMATICOS; VEHICULO: CAMIONETA, CONSTRUCCION: RADIAL, ARMADO: S/CAMARA, MEDIDA: 225/70 R17</v>
      </c>
      <c r="D17" s="300"/>
      <c r="E17" s="300"/>
      <c r="F17" s="300"/>
      <c r="G17" s="301"/>
      <c r="H17" s="176" t="s">
        <v>138</v>
      </c>
      <c r="I17" s="193" t="str">
        <f>'SAF 011'!F16</f>
        <v>UNIDAD</v>
      </c>
      <c r="J17" s="194">
        <f>'SAF 011'!AX16</f>
        <v>58000</v>
      </c>
      <c r="K17" s="195">
        <f>'SAF 011'!AQ16</f>
        <v>8</v>
      </c>
      <c r="M17" s="168">
        <f t="shared" si="0"/>
        <v>464000</v>
      </c>
    </row>
    <row r="18" spans="1:13" s="169" customFormat="1" ht="16.5" customHeight="1" x14ac:dyDescent="0.3">
      <c r="A18" s="192">
        <v>7</v>
      </c>
      <c r="B18" s="176" t="str">
        <f>'SAF 011'!B17</f>
        <v>2.4.4-6818.744</v>
      </c>
      <c r="C18" s="299" t="str">
        <f>'SAF 011'!E17</f>
        <v>NEUMATICOS; VEHICULO: CAMIONETA, CONSTRUCCION: RADIAL, ARMADO: S/CAMARA, MEDIDA: 235/70R16</v>
      </c>
      <c r="D18" s="300"/>
      <c r="E18" s="300"/>
      <c r="F18" s="300"/>
      <c r="G18" s="301"/>
      <c r="H18" s="176" t="s">
        <v>138</v>
      </c>
      <c r="I18" s="193" t="str">
        <f>'SAF 011'!F17</f>
        <v xml:space="preserve">UNIDAD </v>
      </c>
      <c r="J18" s="194">
        <f>'SAF 011'!AX17</f>
        <v>48200</v>
      </c>
      <c r="K18" s="195">
        <f>'SAF 011'!AQ17</f>
        <v>4</v>
      </c>
      <c r="M18" s="168">
        <f t="shared" si="0"/>
        <v>192800</v>
      </c>
    </row>
    <row r="19" spans="1:13" s="169" customFormat="1" ht="16.5" customHeight="1" x14ac:dyDescent="0.3">
      <c r="A19" s="192">
        <v>8</v>
      </c>
      <c r="B19" s="176" t="str">
        <f>'SAF 011'!B18</f>
        <v>2.4.4-6818.751</v>
      </c>
      <c r="C19" s="299" t="str">
        <f>'SAF 011'!E18</f>
        <v>NEUMATICOS; VEHICULO: CAMIONETA, CONSTRUCCION: RADIAL, ARMADO: S/CAMARA, MEDIDA: 245/65 R17</v>
      </c>
      <c r="D19" s="300"/>
      <c r="E19" s="300"/>
      <c r="F19" s="300"/>
      <c r="G19" s="301"/>
      <c r="H19" s="176" t="s">
        <v>138</v>
      </c>
      <c r="I19" s="193" t="str">
        <f>'SAF 011'!F18</f>
        <v>UNIDAD</v>
      </c>
      <c r="J19" s="194">
        <f>'SAF 011'!AX18</f>
        <v>51950</v>
      </c>
      <c r="K19" s="195">
        <f>'SAF 011'!AQ18</f>
        <v>20</v>
      </c>
      <c r="M19" s="168">
        <f t="shared" si="0"/>
        <v>1039000</v>
      </c>
    </row>
    <row r="20" spans="1:13" s="169" customFormat="1" ht="16.5" customHeight="1" x14ac:dyDescent="0.3">
      <c r="A20" s="192">
        <v>9</v>
      </c>
      <c r="B20" s="176" t="str">
        <f>'SAF 011'!B21</f>
        <v>2.4.4-6818.723</v>
      </c>
      <c r="C20" s="299" t="str">
        <f>'SAF 011'!E21</f>
        <v>NEUMATICOS; VEHICULO: CAMIONETA, CONSTRUCCION: RADIAL, ARMADO: SIN CAMARA, MEDIDA: 185/65R15</v>
      </c>
      <c r="D20" s="300"/>
      <c r="E20" s="300"/>
      <c r="F20" s="300"/>
      <c r="G20" s="301"/>
      <c r="H20" s="176" t="s">
        <v>138</v>
      </c>
      <c r="I20" s="193" t="str">
        <f>'SAF 011'!F21</f>
        <v xml:space="preserve">UNIDAD </v>
      </c>
      <c r="J20" s="194">
        <f>'SAF 011'!AX21</f>
        <v>29400</v>
      </c>
      <c r="K20" s="195">
        <f>'SAF 011'!AQ21</f>
        <v>8</v>
      </c>
      <c r="M20" s="168">
        <f t="shared" si="0"/>
        <v>235200</v>
      </c>
    </row>
    <row r="21" spans="1:13" s="169" customFormat="1" ht="16.5" customHeight="1" x14ac:dyDescent="0.3">
      <c r="A21" s="192">
        <v>10</v>
      </c>
      <c r="B21" s="176" t="str">
        <f>'SAF 011'!B22</f>
        <v>2.4.4-6818.48</v>
      </c>
      <c r="C21" s="299" t="str">
        <f>'SAF 011'!E22</f>
        <v>NEUMATICOS; VEHICULO: CAMIONETA, CONSTRUCCION: RADIAL, MEDIDA: 235/75R15, ARMADO: S/CAMARA</v>
      </c>
      <c r="D21" s="300"/>
      <c r="E21" s="300"/>
      <c r="F21" s="300"/>
      <c r="G21" s="301"/>
      <c r="H21" s="176" t="s">
        <v>138</v>
      </c>
      <c r="I21" s="193" t="str">
        <f>'SAF 011'!F22</f>
        <v>UNIDAD</v>
      </c>
      <c r="J21" s="194">
        <f>'SAF 011'!AX22</f>
        <v>38300</v>
      </c>
      <c r="K21" s="195">
        <f>'SAF 011'!AQ22</f>
        <v>16</v>
      </c>
      <c r="M21" s="168">
        <f t="shared" si="0"/>
        <v>612800</v>
      </c>
    </row>
    <row r="22" spans="1:13" s="169" customFormat="1" ht="16.5" customHeight="1" x14ac:dyDescent="0.3">
      <c r="A22" s="192">
        <v>11</v>
      </c>
      <c r="B22" s="176" t="str">
        <f>'SAF 011'!B24</f>
        <v>2.4.4-6818.993</v>
      </c>
      <c r="C22" s="299" t="str">
        <f>'SAF 011'!E24</f>
        <v>NEUMATICOS; VEHICULO: UTILITARIO, CONSTRUCCION: RADIAL, ARMADO: S/CAMARA, MEDIDA: 225/75-R16C</v>
      </c>
      <c r="D22" s="300"/>
      <c r="E22" s="300"/>
      <c r="F22" s="300"/>
      <c r="G22" s="301"/>
      <c r="H22" s="176" t="s">
        <v>138</v>
      </c>
      <c r="I22" s="193" t="str">
        <f>'SAF 011'!F24</f>
        <v>UNIDAD</v>
      </c>
      <c r="J22" s="194">
        <f>'SAF 011'!AX24</f>
        <v>52300</v>
      </c>
      <c r="K22" s="195">
        <f>'SAF 011'!AQ24</f>
        <v>20</v>
      </c>
      <c r="M22" s="168">
        <f t="shared" si="0"/>
        <v>1046000</v>
      </c>
    </row>
    <row r="23" spans="1:13" ht="16.2" thickBot="1" x14ac:dyDescent="0.35">
      <c r="A23" s="158"/>
      <c r="B23" s="159"/>
      <c r="C23" s="287"/>
      <c r="D23" s="287"/>
      <c r="E23" s="287"/>
      <c r="F23" s="287"/>
      <c r="G23" s="287"/>
      <c r="H23" s="160"/>
      <c r="I23" s="161"/>
      <c r="J23" s="166"/>
      <c r="K23" s="162"/>
    </row>
    <row r="24" spans="1:13" ht="18" thickBot="1" x14ac:dyDescent="0.35">
      <c r="A24" s="282" t="s">
        <v>171</v>
      </c>
      <c r="B24" s="282"/>
      <c r="C24" s="282"/>
      <c r="D24" s="282"/>
      <c r="E24" s="282"/>
      <c r="F24" s="282"/>
      <c r="G24" s="282"/>
      <c r="H24" s="282"/>
      <c r="I24" s="282"/>
      <c r="J24" s="283">
        <f>+M24</f>
        <v>8190200</v>
      </c>
      <c r="K24" s="283"/>
      <c r="M24" s="168">
        <f>SUM(M12:M23)</f>
        <v>8190200</v>
      </c>
    </row>
  </sheetData>
  <mergeCells count="28">
    <mergeCell ref="C19:G19"/>
    <mergeCell ref="J10:J11"/>
    <mergeCell ref="K10:K11"/>
    <mergeCell ref="C12:G12"/>
    <mergeCell ref="C23:G23"/>
    <mergeCell ref="A24:I24"/>
    <mergeCell ref="J24:K24"/>
    <mergeCell ref="C13:G13"/>
    <mergeCell ref="C14:G14"/>
    <mergeCell ref="C15:G15"/>
    <mergeCell ref="I10:I11"/>
    <mergeCell ref="C20:G20"/>
    <mergeCell ref="C21:G21"/>
    <mergeCell ref="C22:G22"/>
    <mergeCell ref="C16:G16"/>
    <mergeCell ref="C17:G17"/>
    <mergeCell ref="C18:G18"/>
    <mergeCell ref="A8:C8"/>
    <mergeCell ref="A10:A11"/>
    <mergeCell ref="B10:B11"/>
    <mergeCell ref="C10:G11"/>
    <mergeCell ref="H10:H11"/>
    <mergeCell ref="A7:C7"/>
    <mergeCell ref="A1:I1"/>
    <mergeCell ref="A3:C3"/>
    <mergeCell ref="A4:C4"/>
    <mergeCell ref="A5:C5"/>
    <mergeCell ref="A6:C6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opLeftCell="A16" workbookViewId="0">
      <selection activeCell="A39" sqref="A39:Q39"/>
    </sheetView>
  </sheetViews>
  <sheetFormatPr baseColWidth="10" defaultColWidth="11.44140625" defaultRowHeight="14.4" x14ac:dyDescent="0.3"/>
  <cols>
    <col min="1" max="5" width="4.44140625" style="64" customWidth="1"/>
    <col min="6" max="6" width="9.44140625" style="64" customWidth="1"/>
    <col min="7" max="14" width="4.44140625" style="64" customWidth="1"/>
    <col min="15" max="16" width="14.88671875" style="64" customWidth="1"/>
    <col min="17" max="17" width="14.6640625" style="64" customWidth="1"/>
    <col min="18" max="16384" width="11.44140625" style="64"/>
  </cols>
  <sheetData>
    <row r="1" spans="1:17" ht="15" thickBot="1" x14ac:dyDescent="0.35">
      <c r="A1" s="325" t="s">
        <v>5</v>
      </c>
      <c r="B1" s="325"/>
      <c r="C1" s="325"/>
      <c r="D1" s="326">
        <v>2022</v>
      </c>
      <c r="E1" s="326"/>
      <c r="F1" s="110"/>
      <c r="G1" s="110"/>
      <c r="H1" s="111"/>
      <c r="I1" s="111"/>
      <c r="J1" s="111"/>
      <c r="K1" s="111"/>
      <c r="L1" s="111"/>
      <c r="M1" s="111"/>
      <c r="N1" s="111"/>
      <c r="O1" s="112"/>
      <c r="P1" s="327" t="s">
        <v>102</v>
      </c>
      <c r="Q1" s="327"/>
    </row>
    <row r="2" spans="1:17" ht="15" thickBot="1" x14ac:dyDescent="0.35">
      <c r="A2" s="113"/>
      <c r="B2" s="114"/>
      <c r="C2" s="114"/>
      <c r="D2" s="114"/>
      <c r="E2" s="114"/>
      <c r="F2" s="114"/>
      <c r="G2" s="115"/>
      <c r="H2" s="116"/>
      <c r="I2" s="116"/>
      <c r="J2" s="116"/>
      <c r="K2" s="116"/>
      <c r="L2" s="116"/>
      <c r="M2" s="116"/>
      <c r="N2" s="116"/>
      <c r="O2" s="114"/>
      <c r="P2" s="327"/>
      <c r="Q2" s="327"/>
    </row>
    <row r="3" spans="1:17" ht="15" thickBot="1" x14ac:dyDescent="0.35">
      <c r="A3" s="113"/>
      <c r="B3" s="114"/>
      <c r="C3" s="114"/>
      <c r="D3" s="114"/>
      <c r="E3" s="114"/>
      <c r="F3" s="114"/>
      <c r="G3" s="115"/>
      <c r="H3" s="114"/>
      <c r="I3" s="114"/>
      <c r="J3" s="114"/>
      <c r="K3" s="114"/>
      <c r="L3" s="114"/>
      <c r="M3" s="114"/>
      <c r="N3" s="114"/>
      <c r="O3" s="114"/>
      <c r="P3" s="114"/>
      <c r="Q3" s="117"/>
    </row>
    <row r="4" spans="1:17" ht="15" thickBot="1" x14ac:dyDescent="0.35">
      <c r="A4" s="328" t="s">
        <v>103</v>
      </c>
      <c r="B4" s="328"/>
      <c r="C4" s="328"/>
      <c r="D4" s="328"/>
      <c r="E4" s="328"/>
      <c r="F4" s="328"/>
      <c r="G4" s="329" t="str">
        <f>'NP DPAS'!D3</f>
        <v>040 - MINISTERIO DE SALUD</v>
      </c>
      <c r="H4" s="329"/>
      <c r="I4" s="329"/>
      <c r="J4" s="329"/>
      <c r="K4" s="329"/>
      <c r="L4" s="329"/>
      <c r="M4" s="329"/>
      <c r="N4" s="329"/>
      <c r="O4" s="329"/>
      <c r="P4" s="329"/>
      <c r="Q4" s="329"/>
    </row>
    <row r="5" spans="1:17" ht="15" thickBot="1" x14ac:dyDescent="0.35">
      <c r="A5" s="330" t="s">
        <v>90</v>
      </c>
      <c r="B5" s="330"/>
      <c r="C5" s="330"/>
      <c r="D5" s="330"/>
      <c r="E5" s="330"/>
      <c r="F5" s="330"/>
      <c r="G5" s="329" t="str">
        <f>'NP DPAS'!D4</f>
        <v>011 - DIRECCION PROVINCIAL DE ADMINISTRACION - MINISTERIO DE SALUD</v>
      </c>
      <c r="H5" s="329"/>
      <c r="I5" s="329"/>
      <c r="J5" s="329"/>
      <c r="K5" s="329"/>
      <c r="L5" s="329"/>
      <c r="M5" s="329"/>
      <c r="N5" s="329"/>
      <c r="O5" s="329"/>
      <c r="P5" s="329"/>
      <c r="Q5" s="329"/>
    </row>
    <row r="6" spans="1:17" ht="15" thickBot="1" x14ac:dyDescent="0.35">
      <c r="A6" s="330" t="s">
        <v>91</v>
      </c>
      <c r="B6" s="330"/>
      <c r="C6" s="330"/>
      <c r="D6" s="330"/>
      <c r="E6" s="330"/>
      <c r="F6" s="330"/>
      <c r="G6" s="329" t="str">
        <f>'NP DPAS'!D5</f>
        <v>DIRECCION PROVINCIAL DE ASISTENCIA SANITARIA NIVEL I Y II</v>
      </c>
      <c r="H6" s="329"/>
      <c r="I6" s="329"/>
      <c r="J6" s="329"/>
      <c r="K6" s="329"/>
      <c r="L6" s="329"/>
      <c r="M6" s="329"/>
      <c r="N6" s="329"/>
      <c r="O6" s="329"/>
      <c r="P6" s="329"/>
      <c r="Q6" s="329"/>
    </row>
    <row r="7" spans="1:17" ht="15" thickBot="1" x14ac:dyDescent="0.35">
      <c r="A7" s="330" t="s">
        <v>92</v>
      </c>
      <c r="B7" s="330"/>
      <c r="C7" s="330"/>
      <c r="D7" s="330"/>
      <c r="E7" s="330"/>
      <c r="F7" s="330"/>
      <c r="G7" s="329" t="str">
        <f>'NP DPAS'!D6</f>
        <v>DIRECCION PROVINCIAL DE ASISTENCIA SANITARIA NIVEL I Y II</v>
      </c>
      <c r="H7" s="329"/>
      <c r="I7" s="329"/>
      <c r="J7" s="329"/>
      <c r="K7" s="329"/>
      <c r="L7" s="329"/>
      <c r="M7" s="329"/>
      <c r="N7" s="329"/>
      <c r="O7" s="329"/>
      <c r="P7" s="329"/>
      <c r="Q7" s="329"/>
    </row>
    <row r="8" spans="1:17" ht="15" thickBot="1" x14ac:dyDescent="0.35">
      <c r="A8" s="331" t="s">
        <v>104</v>
      </c>
      <c r="B8" s="331"/>
      <c r="C8" s="331"/>
      <c r="D8" s="331"/>
      <c r="E8" s="331"/>
      <c r="F8" s="331"/>
      <c r="G8" s="331"/>
      <c r="H8" s="331"/>
      <c r="I8" s="331"/>
      <c r="J8" s="331"/>
      <c r="K8" s="331"/>
      <c r="L8" s="331"/>
      <c r="M8" s="331"/>
      <c r="N8" s="331"/>
      <c r="O8" s="331"/>
      <c r="P8" s="331"/>
      <c r="Q8" s="331"/>
    </row>
    <row r="9" spans="1:17" ht="20.25" customHeight="1" x14ac:dyDescent="0.3">
      <c r="A9" s="324" t="s">
        <v>105</v>
      </c>
      <c r="B9" s="324"/>
      <c r="C9" s="324"/>
      <c r="D9" s="324"/>
      <c r="E9" s="324"/>
      <c r="F9" s="324"/>
      <c r="G9" s="324"/>
      <c r="H9" s="324"/>
      <c r="I9" s="324"/>
      <c r="J9" s="324"/>
      <c r="K9" s="324"/>
      <c r="L9" s="324"/>
      <c r="M9" s="324"/>
      <c r="N9" s="324"/>
      <c r="O9" s="324"/>
      <c r="P9" s="324"/>
      <c r="Q9" s="324"/>
    </row>
    <row r="10" spans="1:17" ht="69" customHeight="1" x14ac:dyDescent="0.3">
      <c r="A10" s="316" t="s">
        <v>173</v>
      </c>
      <c r="B10" s="316"/>
      <c r="C10" s="316"/>
      <c r="D10" s="316"/>
      <c r="E10" s="316"/>
      <c r="F10" s="316"/>
      <c r="G10" s="316"/>
      <c r="H10" s="316"/>
      <c r="I10" s="316"/>
      <c r="J10" s="316"/>
      <c r="K10" s="316"/>
      <c r="L10" s="316"/>
      <c r="M10" s="316"/>
      <c r="N10" s="316"/>
      <c r="O10" s="316"/>
      <c r="P10" s="316"/>
      <c r="Q10" s="316"/>
    </row>
    <row r="11" spans="1:17" ht="15" thickBot="1" x14ac:dyDescent="0.35">
      <c r="A11" s="118"/>
      <c r="B11" s="119"/>
      <c r="C11" s="119"/>
      <c r="D11" s="119"/>
      <c r="E11" s="119"/>
      <c r="F11" s="119"/>
      <c r="G11" s="120"/>
      <c r="H11" s="119"/>
      <c r="I11" s="119"/>
      <c r="J11" s="119"/>
      <c r="K11" s="119"/>
      <c r="L11" s="119"/>
      <c r="M11" s="119"/>
      <c r="N11" s="119"/>
      <c r="O11" s="119"/>
      <c r="P11" s="119"/>
      <c r="Q11" s="121"/>
    </row>
    <row r="12" spans="1:17" ht="15" thickBot="1" x14ac:dyDescent="0.35">
      <c r="A12" s="317" t="s">
        <v>106</v>
      </c>
      <c r="B12" s="317"/>
      <c r="C12" s="317"/>
      <c r="D12" s="317"/>
      <c r="E12" s="317"/>
      <c r="F12" s="317"/>
      <c r="G12" s="317"/>
      <c r="H12" s="317"/>
      <c r="I12" s="317"/>
      <c r="J12" s="317"/>
      <c r="K12" s="317"/>
      <c r="L12" s="317"/>
      <c r="M12" s="317"/>
      <c r="N12" s="317"/>
      <c r="O12" s="317"/>
      <c r="P12" s="317"/>
      <c r="Q12" s="317"/>
    </row>
    <row r="13" spans="1:17" ht="15" thickBot="1" x14ac:dyDescent="0.35">
      <c r="A13" s="318" t="s">
        <v>107</v>
      </c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8"/>
      <c r="N13" s="318"/>
      <c r="O13" s="319" t="s">
        <v>108</v>
      </c>
      <c r="P13" s="319"/>
      <c r="Q13" s="320" t="s">
        <v>109</v>
      </c>
    </row>
    <row r="14" spans="1:17" ht="15" thickBot="1" x14ac:dyDescent="0.35">
      <c r="A14" s="122" t="s">
        <v>110</v>
      </c>
      <c r="B14" s="123" t="s">
        <v>111</v>
      </c>
      <c r="C14" s="123" t="s">
        <v>112</v>
      </c>
      <c r="D14" s="123" t="s">
        <v>113</v>
      </c>
      <c r="E14" s="123" t="s">
        <v>114</v>
      </c>
      <c r="F14" s="123" t="s">
        <v>115</v>
      </c>
      <c r="G14" s="124" t="s">
        <v>116</v>
      </c>
      <c r="H14" s="123" t="s">
        <v>117</v>
      </c>
      <c r="I14" s="123" t="s">
        <v>118</v>
      </c>
      <c r="J14" s="123" t="s">
        <v>119</v>
      </c>
      <c r="K14" s="123" t="s">
        <v>119</v>
      </c>
      <c r="L14" s="123" t="s">
        <v>120</v>
      </c>
      <c r="M14" s="125" t="s">
        <v>121</v>
      </c>
      <c r="N14" s="126" t="s">
        <v>122</v>
      </c>
      <c r="O14" s="319"/>
      <c r="P14" s="319"/>
      <c r="Q14" s="320"/>
    </row>
    <row r="15" spans="1:17" x14ac:dyDescent="0.3">
      <c r="A15" s="201">
        <v>21</v>
      </c>
      <c r="B15" s="202"/>
      <c r="C15" s="202"/>
      <c r="D15" s="202">
        <v>1</v>
      </c>
      <c r="E15" s="202"/>
      <c r="F15" s="202">
        <v>4901</v>
      </c>
      <c r="G15" s="202">
        <v>3</v>
      </c>
      <c r="H15" s="202">
        <v>1</v>
      </c>
      <c r="I15" s="202">
        <v>2</v>
      </c>
      <c r="J15" s="202">
        <v>4</v>
      </c>
      <c r="K15" s="202">
        <v>4</v>
      </c>
      <c r="L15" s="202"/>
      <c r="M15" s="203">
        <v>1</v>
      </c>
      <c r="N15" s="202" t="s">
        <v>139</v>
      </c>
      <c r="O15" s="321" t="s">
        <v>140</v>
      </c>
      <c r="P15" s="321"/>
      <c r="Q15" s="204">
        <f>'NP DPAS'!M24</f>
        <v>8190200</v>
      </c>
    </row>
    <row r="16" spans="1:17" ht="14.4" customHeight="1" x14ac:dyDescent="0.3">
      <c r="A16" s="206"/>
      <c r="B16" s="207"/>
      <c r="C16" s="207"/>
      <c r="D16" s="207"/>
      <c r="E16" s="207"/>
      <c r="F16" s="207"/>
      <c r="G16" s="207"/>
      <c r="H16" s="207"/>
      <c r="I16" s="207"/>
      <c r="J16" s="207"/>
      <c r="K16" s="207"/>
      <c r="L16" s="207"/>
      <c r="M16" s="208"/>
      <c r="N16" s="207"/>
      <c r="O16" s="322"/>
      <c r="P16" s="322"/>
      <c r="Q16" s="209"/>
    </row>
    <row r="17" spans="1:17" x14ac:dyDescent="0.3">
      <c r="A17" s="206"/>
      <c r="B17" s="207"/>
      <c r="C17" s="207"/>
      <c r="D17" s="207"/>
      <c r="E17" s="207"/>
      <c r="F17" s="207"/>
      <c r="G17" s="207"/>
      <c r="H17" s="207"/>
      <c r="I17" s="207"/>
      <c r="J17" s="207"/>
      <c r="K17" s="207"/>
      <c r="L17" s="207"/>
      <c r="M17" s="208"/>
      <c r="N17" s="207"/>
      <c r="O17" s="322"/>
      <c r="P17" s="322"/>
      <c r="Q17" s="209"/>
    </row>
    <row r="18" spans="1:17" x14ac:dyDescent="0.3">
      <c r="A18" s="127"/>
      <c r="B18" s="128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9"/>
      <c r="N18" s="128"/>
      <c r="O18" s="323"/>
      <c r="P18" s="323"/>
      <c r="Q18" s="205"/>
    </row>
    <row r="19" spans="1:17" x14ac:dyDescent="0.3">
      <c r="A19" s="127"/>
      <c r="B19" s="128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9"/>
      <c r="N19" s="200"/>
      <c r="O19" s="315"/>
      <c r="P19" s="315"/>
      <c r="Q19" s="131"/>
    </row>
    <row r="20" spans="1:17" x14ac:dyDescent="0.3">
      <c r="A20" s="127"/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9"/>
      <c r="N20" s="200"/>
      <c r="O20" s="315"/>
      <c r="P20" s="315"/>
      <c r="Q20" s="131"/>
    </row>
    <row r="21" spans="1:17" x14ac:dyDescent="0.3">
      <c r="A21" s="127"/>
      <c r="B21" s="128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9"/>
      <c r="N21" s="200"/>
      <c r="O21" s="315"/>
      <c r="P21" s="315"/>
      <c r="Q21" s="131"/>
    </row>
    <row r="22" spans="1:17" x14ac:dyDescent="0.3">
      <c r="A22" s="127"/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9"/>
      <c r="N22" s="200"/>
      <c r="O22" s="315"/>
      <c r="P22" s="315"/>
      <c r="Q22" s="131"/>
    </row>
    <row r="23" spans="1:17" x14ac:dyDescent="0.3">
      <c r="A23" s="127"/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9"/>
      <c r="N23" s="200"/>
      <c r="O23" s="315"/>
      <c r="P23" s="315"/>
      <c r="Q23" s="131"/>
    </row>
    <row r="24" spans="1:17" x14ac:dyDescent="0.3">
      <c r="A24" s="127"/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9"/>
      <c r="N24" s="200"/>
      <c r="O24" s="315"/>
      <c r="P24" s="315"/>
      <c r="Q24" s="131"/>
    </row>
    <row r="25" spans="1:17" x14ac:dyDescent="0.3">
      <c r="A25" s="127"/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9"/>
      <c r="N25" s="200"/>
      <c r="O25" s="315"/>
      <c r="P25" s="315"/>
      <c r="Q25" s="131"/>
    </row>
    <row r="26" spans="1:17" x14ac:dyDescent="0.3">
      <c r="A26" s="127"/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9"/>
      <c r="N26" s="200"/>
      <c r="O26" s="315"/>
      <c r="P26" s="315"/>
      <c r="Q26" s="131"/>
    </row>
    <row r="27" spans="1:17" x14ac:dyDescent="0.3">
      <c r="A27" s="127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9"/>
      <c r="N27" s="200"/>
      <c r="O27" s="315"/>
      <c r="P27" s="315"/>
      <c r="Q27" s="131"/>
    </row>
    <row r="28" spans="1:17" x14ac:dyDescent="0.3">
      <c r="A28" s="127"/>
      <c r="B28" s="128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9"/>
      <c r="N28" s="200"/>
      <c r="O28" s="315"/>
      <c r="P28" s="315"/>
      <c r="Q28" s="131"/>
    </row>
    <row r="29" spans="1:17" x14ac:dyDescent="0.3">
      <c r="A29" s="127"/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9"/>
      <c r="N29" s="200"/>
      <c r="O29" s="315"/>
      <c r="P29" s="315"/>
      <c r="Q29" s="131"/>
    </row>
    <row r="30" spans="1:17" x14ac:dyDescent="0.3">
      <c r="A30" s="127"/>
      <c r="B30" s="128"/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9"/>
      <c r="N30" s="200"/>
      <c r="O30" s="315"/>
      <c r="P30" s="315"/>
      <c r="Q30" s="131"/>
    </row>
    <row r="31" spans="1:17" x14ac:dyDescent="0.3">
      <c r="A31" s="127"/>
      <c r="B31" s="128"/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9"/>
      <c r="N31" s="200"/>
      <c r="O31" s="315"/>
      <c r="P31" s="315"/>
      <c r="Q31" s="131"/>
    </row>
    <row r="32" spans="1:17" x14ac:dyDescent="0.3">
      <c r="A32" s="127"/>
      <c r="B32" s="128"/>
      <c r="C32" s="128"/>
      <c r="D32" s="128"/>
      <c r="E32" s="128"/>
      <c r="F32" s="200"/>
      <c r="G32" s="128"/>
      <c r="H32" s="128"/>
      <c r="I32" s="128"/>
      <c r="J32" s="128"/>
      <c r="K32" s="128"/>
      <c r="L32" s="128"/>
      <c r="M32" s="129"/>
      <c r="N32" s="200"/>
      <c r="O32" s="310"/>
      <c r="P32" s="310"/>
      <c r="Q32" s="131"/>
    </row>
    <row r="33" spans="1:17" x14ac:dyDescent="0.3">
      <c r="A33" s="127"/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9"/>
      <c r="N33" s="200"/>
      <c r="O33" s="310"/>
      <c r="P33" s="310"/>
      <c r="Q33" s="131"/>
    </row>
    <row r="34" spans="1:17" x14ac:dyDescent="0.3">
      <c r="A34" s="127"/>
      <c r="B34" s="128"/>
      <c r="C34" s="128"/>
      <c r="D34" s="128"/>
      <c r="E34" s="128"/>
      <c r="F34" s="200"/>
      <c r="G34" s="128"/>
      <c r="H34" s="128"/>
      <c r="I34" s="128"/>
      <c r="J34" s="128"/>
      <c r="K34" s="128"/>
      <c r="L34" s="128"/>
      <c r="M34" s="129"/>
      <c r="N34" s="200"/>
      <c r="O34" s="310"/>
      <c r="P34" s="310"/>
      <c r="Q34" s="131"/>
    </row>
    <row r="35" spans="1:17" x14ac:dyDescent="0.3">
      <c r="A35" s="127"/>
      <c r="B35" s="128"/>
      <c r="C35" s="128"/>
      <c r="D35" s="128"/>
      <c r="E35" s="128"/>
      <c r="F35" s="200"/>
      <c r="G35" s="128"/>
      <c r="H35" s="128"/>
      <c r="I35" s="128"/>
      <c r="J35" s="128"/>
      <c r="K35" s="128"/>
      <c r="L35" s="128"/>
      <c r="M35" s="129"/>
      <c r="N35" s="200"/>
      <c r="O35" s="310"/>
      <c r="P35" s="310"/>
      <c r="Q35" s="131"/>
    </row>
    <row r="36" spans="1:17" x14ac:dyDescent="0.3">
      <c r="A36" s="132"/>
      <c r="B36" s="133"/>
      <c r="C36" s="133"/>
      <c r="D36" s="133"/>
      <c r="E36" s="133"/>
      <c r="F36" s="134"/>
      <c r="G36" s="133"/>
      <c r="H36" s="133"/>
      <c r="I36" s="133"/>
      <c r="J36" s="133"/>
      <c r="K36" s="133"/>
      <c r="L36" s="133"/>
      <c r="M36" s="135"/>
      <c r="N36" s="136"/>
      <c r="O36" s="311"/>
      <c r="P36" s="311"/>
      <c r="Q36" s="131"/>
    </row>
    <row r="37" spans="1:17" ht="15" thickBot="1" x14ac:dyDescent="0.35">
      <c r="A37" s="137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9"/>
      <c r="N37" s="138"/>
      <c r="O37" s="312"/>
      <c r="P37" s="312"/>
      <c r="Q37" s="140"/>
    </row>
    <row r="38" spans="1:17" ht="37.5" customHeight="1" thickBot="1" x14ac:dyDescent="0.35">
      <c r="A38" s="313" t="s">
        <v>463</v>
      </c>
      <c r="B38" s="313"/>
      <c r="C38" s="313"/>
      <c r="D38" s="313"/>
      <c r="E38" s="313"/>
      <c r="F38" s="313"/>
      <c r="G38" s="313"/>
      <c r="H38" s="313"/>
      <c r="I38" s="313"/>
      <c r="J38" s="313"/>
      <c r="K38" s="313"/>
      <c r="L38" s="313"/>
      <c r="M38" s="313"/>
      <c r="N38" s="313"/>
      <c r="O38" s="313"/>
      <c r="P38" s="313"/>
      <c r="Q38" s="141">
        <f>SUM(Q15:Q37)</f>
        <v>8190200</v>
      </c>
    </row>
    <row r="39" spans="1:17" ht="15" thickBot="1" x14ac:dyDescent="0.35">
      <c r="A39" s="314"/>
      <c r="B39" s="314"/>
      <c r="C39" s="314"/>
      <c r="D39" s="314"/>
      <c r="E39" s="314"/>
      <c r="F39" s="314"/>
      <c r="G39" s="314"/>
      <c r="H39" s="314"/>
      <c r="I39" s="314"/>
      <c r="J39" s="314"/>
      <c r="K39" s="314"/>
      <c r="L39" s="314"/>
      <c r="M39" s="314"/>
      <c r="N39" s="314"/>
      <c r="O39" s="314"/>
      <c r="P39" s="314"/>
      <c r="Q39" s="314"/>
    </row>
    <row r="40" spans="1:17" ht="15" thickBot="1" x14ac:dyDescent="0.35">
      <c r="A40" s="307" t="s">
        <v>123</v>
      </c>
      <c r="B40" s="307"/>
      <c r="C40" s="307"/>
      <c r="D40" s="307"/>
      <c r="E40" s="307"/>
      <c r="F40" s="307"/>
      <c r="G40" s="308"/>
      <c r="H40" s="308"/>
      <c r="I40" s="308"/>
      <c r="J40" s="308"/>
      <c r="K40" s="308"/>
      <c r="L40" s="308"/>
      <c r="M40" s="308"/>
      <c r="N40" s="308"/>
      <c r="O40" s="308"/>
      <c r="P40" s="308"/>
      <c r="Q40" s="308"/>
    </row>
    <row r="41" spans="1:17" ht="15" thickBot="1" x14ac:dyDescent="0.35">
      <c r="A41" s="309" t="str">
        <f>'NP DPAS'!D8</f>
        <v>ADQUISICION DEL RUBRO CUBIERTAS.-</v>
      </c>
      <c r="B41" s="309"/>
      <c r="C41" s="309"/>
      <c r="D41" s="309"/>
      <c r="E41" s="309"/>
      <c r="F41" s="309"/>
      <c r="G41" s="309"/>
      <c r="H41" s="309"/>
      <c r="I41" s="309"/>
      <c r="J41" s="309"/>
      <c r="K41" s="309"/>
      <c r="L41" s="309"/>
      <c r="M41" s="309"/>
      <c r="N41" s="309"/>
      <c r="O41" s="309"/>
      <c r="P41" s="309"/>
      <c r="Q41" s="309"/>
    </row>
    <row r="42" spans="1:17" ht="15" thickBot="1" x14ac:dyDescent="0.35">
      <c r="A42" s="309"/>
      <c r="B42" s="309"/>
      <c r="C42" s="309"/>
      <c r="D42" s="309"/>
      <c r="E42" s="309"/>
      <c r="F42" s="309"/>
      <c r="G42" s="309"/>
      <c r="H42" s="309"/>
      <c r="I42" s="309"/>
      <c r="J42" s="309"/>
      <c r="K42" s="309"/>
      <c r="L42" s="309"/>
      <c r="M42" s="309"/>
      <c r="N42" s="309"/>
      <c r="O42" s="309"/>
      <c r="P42" s="309"/>
      <c r="Q42" s="309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topLeftCell="A4" workbookViewId="0">
      <selection activeCell="D7" sqref="D7"/>
    </sheetView>
  </sheetViews>
  <sheetFormatPr baseColWidth="10" defaultColWidth="11.44140625" defaultRowHeight="14.4" x14ac:dyDescent="0.3"/>
  <cols>
    <col min="1" max="1" width="5.5546875" style="64" customWidth="1"/>
    <col min="2" max="2" width="15.109375" style="157" customWidth="1"/>
    <col min="3" max="3" width="14.109375" style="64" customWidth="1"/>
    <col min="4" max="4" width="26" style="64" customWidth="1"/>
    <col min="5" max="5" width="8" style="64" customWidth="1"/>
    <col min="6" max="6" width="7.88671875" style="64" customWidth="1"/>
    <col min="7" max="7" width="61.109375" style="64" customWidth="1"/>
    <col min="8" max="8" width="9.33203125" style="64" customWidth="1"/>
    <col min="9" max="9" width="15.5546875" style="64" customWidth="1"/>
    <col min="10" max="10" width="14.6640625" style="167" customWidth="1"/>
    <col min="11" max="11" width="15.5546875" style="64" customWidth="1"/>
    <col min="12" max="12" width="11.44140625" style="64"/>
    <col min="13" max="13" width="11.44140625" style="168"/>
    <col min="14" max="16384" width="11.44140625" style="64"/>
  </cols>
  <sheetData>
    <row r="1" spans="1:13" ht="30.6" thickBot="1" x14ac:dyDescent="0.35">
      <c r="A1" s="298" t="s">
        <v>87</v>
      </c>
      <c r="B1" s="298"/>
      <c r="C1" s="298"/>
      <c r="D1" s="298"/>
      <c r="E1" s="298"/>
      <c r="F1" s="298"/>
      <c r="G1" s="298"/>
      <c r="H1" s="298"/>
      <c r="I1" s="298"/>
      <c r="J1" s="163" t="s">
        <v>88</v>
      </c>
      <c r="K1" s="146" t="s">
        <v>160</v>
      </c>
    </row>
    <row r="2" spans="1:13" ht="16.2" thickBot="1" x14ac:dyDescent="0.35">
      <c r="A2" s="102"/>
      <c r="B2" s="155"/>
      <c r="C2" s="103"/>
      <c r="D2" s="104"/>
      <c r="E2" s="104"/>
      <c r="F2" s="104"/>
      <c r="G2" s="104"/>
      <c r="H2" s="104"/>
      <c r="I2" s="104"/>
      <c r="J2" s="164"/>
      <c r="K2" s="105"/>
    </row>
    <row r="3" spans="1:13" ht="16.5" customHeight="1" thickBot="1" x14ac:dyDescent="0.35">
      <c r="A3" s="293" t="s">
        <v>89</v>
      </c>
      <c r="B3" s="293"/>
      <c r="C3" s="293"/>
      <c r="D3" s="183" t="str">
        <f>'SAF 011'!C4</f>
        <v>040 - MINISTERIO DE SALUD</v>
      </c>
      <c r="E3" s="184"/>
      <c r="F3" s="184"/>
      <c r="G3" s="184"/>
      <c r="H3" s="184"/>
      <c r="I3" s="184"/>
      <c r="J3" s="184"/>
      <c r="K3" s="185"/>
    </row>
    <row r="4" spans="1:13" ht="16.5" customHeight="1" thickBot="1" x14ac:dyDescent="0.35">
      <c r="A4" s="295" t="s">
        <v>90</v>
      </c>
      <c r="B4" s="295"/>
      <c r="C4" s="295"/>
      <c r="D4" s="183" t="str">
        <f>'SAF 011'!C5</f>
        <v>011 - DIRECCION PROVINCIAL DE ADMINISTRACION - MINISTERIO DE SALUD</v>
      </c>
      <c r="E4" s="184"/>
      <c r="F4" s="184"/>
      <c r="G4" s="184"/>
      <c r="H4" s="184"/>
      <c r="I4" s="184"/>
      <c r="J4" s="184"/>
      <c r="K4" s="185"/>
    </row>
    <row r="5" spans="1:13" ht="16.5" customHeight="1" thickBot="1" x14ac:dyDescent="0.35">
      <c r="A5" s="295" t="s">
        <v>91</v>
      </c>
      <c r="B5" s="295"/>
      <c r="C5" s="295"/>
      <c r="D5" s="183" t="s">
        <v>177</v>
      </c>
      <c r="E5" s="184"/>
      <c r="F5" s="184"/>
      <c r="G5" s="184"/>
      <c r="H5" s="184"/>
      <c r="I5" s="184"/>
      <c r="J5" s="184"/>
      <c r="K5" s="185"/>
    </row>
    <row r="6" spans="1:13" ht="16.5" customHeight="1" thickBot="1" x14ac:dyDescent="0.35">
      <c r="A6" s="293" t="s">
        <v>92</v>
      </c>
      <c r="B6" s="293"/>
      <c r="C6" s="293"/>
      <c r="D6" s="183" t="s">
        <v>177</v>
      </c>
      <c r="E6" s="184"/>
      <c r="F6" s="184"/>
      <c r="G6" s="184"/>
      <c r="H6" s="184"/>
      <c r="I6" s="184"/>
      <c r="J6" s="184"/>
      <c r="K6" s="185"/>
    </row>
    <row r="7" spans="1:13" ht="16.2" thickBot="1" x14ac:dyDescent="0.35">
      <c r="A7" s="295" t="s">
        <v>93</v>
      </c>
      <c r="B7" s="295"/>
      <c r="C7" s="295"/>
      <c r="D7" s="183" t="s">
        <v>126</v>
      </c>
      <c r="E7" s="184"/>
      <c r="F7" s="184"/>
      <c r="G7" s="184"/>
      <c r="H7" s="184"/>
      <c r="I7" s="184"/>
      <c r="J7" s="184"/>
      <c r="K7" s="185"/>
    </row>
    <row r="8" spans="1:13" ht="16.5" customHeight="1" thickBot="1" x14ac:dyDescent="0.35">
      <c r="A8" s="296" t="s">
        <v>94</v>
      </c>
      <c r="B8" s="296"/>
      <c r="C8" s="296"/>
      <c r="D8" s="186" t="s">
        <v>127</v>
      </c>
      <c r="E8" s="184"/>
      <c r="F8" s="184"/>
      <c r="G8" s="184"/>
      <c r="H8" s="184"/>
      <c r="I8" s="184"/>
      <c r="J8" s="184"/>
      <c r="K8" s="185"/>
    </row>
    <row r="9" spans="1:13" ht="16.2" thickBot="1" x14ac:dyDescent="0.35">
      <c r="A9" s="106"/>
      <c r="B9" s="156"/>
      <c r="C9" s="107"/>
      <c r="D9" s="108"/>
      <c r="E9" s="108"/>
      <c r="F9" s="108"/>
      <c r="G9" s="108"/>
      <c r="H9" s="108"/>
      <c r="I9" s="108"/>
      <c r="J9" s="165"/>
      <c r="K9" s="109"/>
    </row>
    <row r="10" spans="1:13" ht="15" thickBot="1" x14ac:dyDescent="0.35">
      <c r="A10" s="288" t="s">
        <v>95</v>
      </c>
      <c r="B10" s="289" t="s">
        <v>96</v>
      </c>
      <c r="C10" s="289" t="s">
        <v>97</v>
      </c>
      <c r="D10" s="289"/>
      <c r="E10" s="289"/>
      <c r="F10" s="289"/>
      <c r="G10" s="289"/>
      <c r="H10" s="289" t="s">
        <v>98</v>
      </c>
      <c r="I10" s="289" t="s">
        <v>99</v>
      </c>
      <c r="J10" s="292" t="s">
        <v>100</v>
      </c>
      <c r="K10" s="291" t="s">
        <v>101</v>
      </c>
    </row>
    <row r="11" spans="1:13" ht="34.5" customHeight="1" thickBot="1" x14ac:dyDescent="0.35">
      <c r="A11" s="303"/>
      <c r="B11" s="290"/>
      <c r="C11" s="290"/>
      <c r="D11" s="290"/>
      <c r="E11" s="290"/>
      <c r="F11" s="290"/>
      <c r="G11" s="290"/>
      <c r="H11" s="290"/>
      <c r="I11" s="290"/>
      <c r="J11" s="304"/>
      <c r="K11" s="302"/>
    </row>
    <row r="12" spans="1:13" s="169" customFormat="1" ht="16.5" customHeight="1" x14ac:dyDescent="0.3">
      <c r="A12" s="192">
        <v>1</v>
      </c>
      <c r="B12" s="176" t="str">
        <f>'SAF 011'!B12</f>
        <v>2.4.4-6818.647</v>
      </c>
      <c r="C12" s="299" t="str">
        <f>'SAF 011'!E12</f>
        <v>NEUMATICOS; VEHICULO: CAMIONETA, CONSTRUCCION: RADIAL, ARMADO: S/CAMARA, MEDIDA: 175/70R14 pulg</v>
      </c>
      <c r="D12" s="300"/>
      <c r="E12" s="300"/>
      <c r="F12" s="300"/>
      <c r="G12" s="301"/>
      <c r="H12" s="176" t="s">
        <v>138</v>
      </c>
      <c r="I12" s="193" t="str">
        <f>'SAF 011'!F12</f>
        <v>UNIDAD</v>
      </c>
      <c r="J12" s="194">
        <f>'SAF 011'!AX12</f>
        <v>23500</v>
      </c>
      <c r="K12" s="195">
        <f>'SAF 011'!AU12</f>
        <v>5</v>
      </c>
      <c r="M12" s="168">
        <f t="shared" ref="M12:M13" si="0">+J12*K12</f>
        <v>117500</v>
      </c>
    </row>
    <row r="13" spans="1:13" s="169" customFormat="1" ht="16.5" customHeight="1" x14ac:dyDescent="0.3">
      <c r="A13" s="192">
        <v>2</v>
      </c>
      <c r="B13" s="176" t="str">
        <f>'SAF 011'!B20</f>
        <v>2.4.4-6818.890</v>
      </c>
      <c r="C13" s="299" t="str">
        <f>'SAF 011'!E20</f>
        <v>NEUMATICOS; VEHICULO: CAMIONETA, CONSTRUCCION: RADIAL, ARMADO: S/CAMARA, MEDIDA: 265/60R18</v>
      </c>
      <c r="D13" s="300"/>
      <c r="E13" s="300"/>
      <c r="F13" s="300"/>
      <c r="G13" s="301"/>
      <c r="H13" s="176" t="s">
        <v>138</v>
      </c>
      <c r="I13" s="193" t="str">
        <f>'SAF 011'!F20</f>
        <v xml:space="preserve">UNIDAD </v>
      </c>
      <c r="J13" s="194">
        <f>'SAF 011'!AX20</f>
        <v>64000</v>
      </c>
      <c r="K13" s="195">
        <f>'SAF 011'!AU20</f>
        <v>3</v>
      </c>
      <c r="M13" s="168">
        <f t="shared" si="0"/>
        <v>192000</v>
      </c>
    </row>
    <row r="14" spans="1:13" ht="16.2" thickBot="1" x14ac:dyDescent="0.35">
      <c r="A14" s="158"/>
      <c r="B14" s="159"/>
      <c r="C14" s="287"/>
      <c r="D14" s="287"/>
      <c r="E14" s="287"/>
      <c r="F14" s="287"/>
      <c r="G14" s="287"/>
      <c r="H14" s="160"/>
      <c r="I14" s="161"/>
      <c r="J14" s="166"/>
      <c r="K14" s="162"/>
    </row>
    <row r="15" spans="1:13" ht="18" thickBot="1" x14ac:dyDescent="0.35">
      <c r="A15" s="282" t="s">
        <v>174</v>
      </c>
      <c r="B15" s="282"/>
      <c r="C15" s="282"/>
      <c r="D15" s="282"/>
      <c r="E15" s="282"/>
      <c r="F15" s="282"/>
      <c r="G15" s="282"/>
      <c r="H15" s="282"/>
      <c r="I15" s="282"/>
      <c r="J15" s="283">
        <f>+M15</f>
        <v>309500</v>
      </c>
      <c r="K15" s="283"/>
      <c r="M15" s="168">
        <f>SUM(M12:M14)</f>
        <v>309500</v>
      </c>
    </row>
  </sheetData>
  <mergeCells count="19">
    <mergeCell ref="C14:G14"/>
    <mergeCell ref="A15:I15"/>
    <mergeCell ref="J15:K15"/>
    <mergeCell ref="J10:J11"/>
    <mergeCell ref="K10:K11"/>
    <mergeCell ref="C12:G12"/>
    <mergeCell ref="C13:G13"/>
    <mergeCell ref="I10:I11"/>
    <mergeCell ref="A8:C8"/>
    <mergeCell ref="A10:A11"/>
    <mergeCell ref="B10:B11"/>
    <mergeCell ref="C10:G11"/>
    <mergeCell ref="H10:H11"/>
    <mergeCell ref="A7:C7"/>
    <mergeCell ref="A1:I1"/>
    <mergeCell ref="A3:C3"/>
    <mergeCell ref="A4:C4"/>
    <mergeCell ref="A5:C5"/>
    <mergeCell ref="A6:C6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opLeftCell="A4" workbookViewId="0">
      <selection activeCell="T38" sqref="T38"/>
    </sheetView>
  </sheetViews>
  <sheetFormatPr baseColWidth="10" defaultColWidth="11.44140625" defaultRowHeight="14.4" x14ac:dyDescent="0.3"/>
  <cols>
    <col min="1" max="5" width="4.44140625" style="64" customWidth="1"/>
    <col min="6" max="6" width="9.44140625" style="64" customWidth="1"/>
    <col min="7" max="14" width="4.44140625" style="64" customWidth="1"/>
    <col min="15" max="16" width="14.88671875" style="64" customWidth="1"/>
    <col min="17" max="17" width="14.6640625" style="64" customWidth="1"/>
    <col min="18" max="16384" width="11.44140625" style="64"/>
  </cols>
  <sheetData>
    <row r="1" spans="1:17" ht="15" thickBot="1" x14ac:dyDescent="0.35">
      <c r="A1" s="325" t="s">
        <v>5</v>
      </c>
      <c r="B1" s="325"/>
      <c r="C1" s="325"/>
      <c r="D1" s="326">
        <v>2022</v>
      </c>
      <c r="E1" s="326"/>
      <c r="F1" s="110"/>
      <c r="G1" s="110"/>
      <c r="H1" s="111"/>
      <c r="I1" s="111"/>
      <c r="J1" s="111"/>
      <c r="K1" s="111"/>
      <c r="L1" s="111"/>
      <c r="M1" s="111"/>
      <c r="N1" s="111"/>
      <c r="O1" s="112"/>
      <c r="P1" s="327" t="s">
        <v>102</v>
      </c>
      <c r="Q1" s="327"/>
    </row>
    <row r="2" spans="1:17" ht="15" thickBot="1" x14ac:dyDescent="0.35">
      <c r="A2" s="113"/>
      <c r="B2" s="114"/>
      <c r="C2" s="114"/>
      <c r="D2" s="114"/>
      <c r="E2" s="114"/>
      <c r="F2" s="114"/>
      <c r="G2" s="115"/>
      <c r="H2" s="116"/>
      <c r="I2" s="116"/>
      <c r="J2" s="116"/>
      <c r="K2" s="116"/>
      <c r="L2" s="116"/>
      <c r="M2" s="116"/>
      <c r="N2" s="116"/>
      <c r="O2" s="114"/>
      <c r="P2" s="327"/>
      <c r="Q2" s="327"/>
    </row>
    <row r="3" spans="1:17" ht="15" thickBot="1" x14ac:dyDescent="0.35">
      <c r="A3" s="113"/>
      <c r="B3" s="114"/>
      <c r="C3" s="114"/>
      <c r="D3" s="114"/>
      <c r="E3" s="114"/>
      <c r="F3" s="114"/>
      <c r="G3" s="115"/>
      <c r="H3" s="114"/>
      <c r="I3" s="114"/>
      <c r="J3" s="114"/>
      <c r="K3" s="114"/>
      <c r="L3" s="114"/>
      <c r="M3" s="114"/>
      <c r="N3" s="114"/>
      <c r="O3" s="114"/>
      <c r="P3" s="114"/>
      <c r="Q3" s="117"/>
    </row>
    <row r="4" spans="1:17" ht="15" thickBot="1" x14ac:dyDescent="0.35">
      <c r="A4" s="328" t="s">
        <v>103</v>
      </c>
      <c r="B4" s="328"/>
      <c r="C4" s="328"/>
      <c r="D4" s="328"/>
      <c r="E4" s="328"/>
      <c r="F4" s="328"/>
      <c r="G4" s="329" t="str">
        <f>'NP MS'!D3</f>
        <v>040 - MINISTERIO DE SALUD</v>
      </c>
      <c r="H4" s="329"/>
      <c r="I4" s="329"/>
      <c r="J4" s="329"/>
      <c r="K4" s="329"/>
      <c r="L4" s="329"/>
      <c r="M4" s="329"/>
      <c r="N4" s="329"/>
      <c r="O4" s="329"/>
      <c r="P4" s="329"/>
      <c r="Q4" s="329"/>
    </row>
    <row r="5" spans="1:17" ht="15" thickBot="1" x14ac:dyDescent="0.35">
      <c r="A5" s="330" t="s">
        <v>90</v>
      </c>
      <c r="B5" s="330"/>
      <c r="C5" s="330"/>
      <c r="D5" s="330"/>
      <c r="E5" s="330"/>
      <c r="F5" s="330"/>
      <c r="G5" s="329" t="str">
        <f>'NP MS'!D4</f>
        <v>011 - DIRECCION PROVINCIAL DE ADMINISTRACION - MINISTERIO DE SALUD</v>
      </c>
      <c r="H5" s="329"/>
      <c r="I5" s="329"/>
      <c r="J5" s="329"/>
      <c r="K5" s="329"/>
      <c r="L5" s="329"/>
      <c r="M5" s="329"/>
      <c r="N5" s="329"/>
      <c r="O5" s="329"/>
      <c r="P5" s="329"/>
      <c r="Q5" s="329"/>
    </row>
    <row r="6" spans="1:17" ht="15" thickBot="1" x14ac:dyDescent="0.35">
      <c r="A6" s="330" t="s">
        <v>91</v>
      </c>
      <c r="B6" s="330"/>
      <c r="C6" s="330"/>
      <c r="D6" s="330"/>
      <c r="E6" s="330"/>
      <c r="F6" s="330"/>
      <c r="G6" s="329" t="str">
        <f>'NP MS'!D5</f>
        <v>MINISTERIO DE SALUD</v>
      </c>
      <c r="H6" s="329"/>
      <c r="I6" s="329"/>
      <c r="J6" s="329"/>
      <c r="K6" s="329"/>
      <c r="L6" s="329"/>
      <c r="M6" s="329"/>
      <c r="N6" s="329"/>
      <c r="O6" s="329"/>
      <c r="P6" s="329"/>
      <c r="Q6" s="329"/>
    </row>
    <row r="7" spans="1:17" ht="15" thickBot="1" x14ac:dyDescent="0.35">
      <c r="A7" s="330" t="s">
        <v>92</v>
      </c>
      <c r="B7" s="330"/>
      <c r="C7" s="330"/>
      <c r="D7" s="330"/>
      <c r="E7" s="330"/>
      <c r="F7" s="330"/>
      <c r="G7" s="329" t="str">
        <f>'NP MS'!D6</f>
        <v>MINISTERIO DE SALUD</v>
      </c>
      <c r="H7" s="329"/>
      <c r="I7" s="329"/>
      <c r="J7" s="329"/>
      <c r="K7" s="329"/>
      <c r="L7" s="329"/>
      <c r="M7" s="329"/>
      <c r="N7" s="329"/>
      <c r="O7" s="329"/>
      <c r="P7" s="329"/>
      <c r="Q7" s="329"/>
    </row>
    <row r="8" spans="1:17" ht="15" thickBot="1" x14ac:dyDescent="0.35">
      <c r="A8" s="331" t="s">
        <v>104</v>
      </c>
      <c r="B8" s="331"/>
      <c r="C8" s="331"/>
      <c r="D8" s="331"/>
      <c r="E8" s="331"/>
      <c r="F8" s="331"/>
      <c r="G8" s="331"/>
      <c r="H8" s="331"/>
      <c r="I8" s="331"/>
      <c r="J8" s="331"/>
      <c r="K8" s="331"/>
      <c r="L8" s="331"/>
      <c r="M8" s="331"/>
      <c r="N8" s="331"/>
      <c r="O8" s="331"/>
      <c r="P8" s="331"/>
      <c r="Q8" s="331"/>
    </row>
    <row r="9" spans="1:17" ht="20.25" customHeight="1" x14ac:dyDescent="0.3">
      <c r="A9" s="324" t="s">
        <v>105</v>
      </c>
      <c r="B9" s="324"/>
      <c r="C9" s="324"/>
      <c r="D9" s="324"/>
      <c r="E9" s="324"/>
      <c r="F9" s="324"/>
      <c r="G9" s="324"/>
      <c r="H9" s="324"/>
      <c r="I9" s="324"/>
      <c r="J9" s="324"/>
      <c r="K9" s="324"/>
      <c r="L9" s="324"/>
      <c r="M9" s="324"/>
      <c r="N9" s="324"/>
      <c r="O9" s="324"/>
      <c r="P9" s="324"/>
      <c r="Q9" s="324"/>
    </row>
    <row r="10" spans="1:17" ht="69" customHeight="1" x14ac:dyDescent="0.3">
      <c r="A10" s="316" t="s">
        <v>175</v>
      </c>
      <c r="B10" s="316"/>
      <c r="C10" s="316"/>
      <c r="D10" s="316"/>
      <c r="E10" s="316"/>
      <c r="F10" s="316"/>
      <c r="G10" s="316"/>
      <c r="H10" s="316"/>
      <c r="I10" s="316"/>
      <c r="J10" s="316"/>
      <c r="K10" s="316"/>
      <c r="L10" s="316"/>
      <c r="M10" s="316"/>
      <c r="N10" s="316"/>
      <c r="O10" s="316"/>
      <c r="P10" s="316"/>
      <c r="Q10" s="316"/>
    </row>
    <row r="11" spans="1:17" ht="15" thickBot="1" x14ac:dyDescent="0.35">
      <c r="A11" s="118"/>
      <c r="B11" s="119"/>
      <c r="C11" s="119"/>
      <c r="D11" s="119"/>
      <c r="E11" s="119"/>
      <c r="F11" s="119"/>
      <c r="G11" s="120"/>
      <c r="H11" s="119"/>
      <c r="I11" s="119"/>
      <c r="J11" s="119"/>
      <c r="K11" s="119"/>
      <c r="L11" s="119"/>
      <c r="M11" s="119"/>
      <c r="N11" s="119"/>
      <c r="O11" s="119"/>
      <c r="P11" s="119"/>
      <c r="Q11" s="121"/>
    </row>
    <row r="12" spans="1:17" ht="15" thickBot="1" x14ac:dyDescent="0.35">
      <c r="A12" s="317" t="s">
        <v>106</v>
      </c>
      <c r="B12" s="317"/>
      <c r="C12" s="317"/>
      <c r="D12" s="317"/>
      <c r="E12" s="317"/>
      <c r="F12" s="317"/>
      <c r="G12" s="317"/>
      <c r="H12" s="317"/>
      <c r="I12" s="317"/>
      <c r="J12" s="317"/>
      <c r="K12" s="317"/>
      <c r="L12" s="317"/>
      <c r="M12" s="317"/>
      <c r="N12" s="317"/>
      <c r="O12" s="317"/>
      <c r="P12" s="317"/>
      <c r="Q12" s="317"/>
    </row>
    <row r="13" spans="1:17" ht="15" thickBot="1" x14ac:dyDescent="0.35">
      <c r="A13" s="318" t="s">
        <v>107</v>
      </c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8"/>
      <c r="N13" s="318"/>
      <c r="O13" s="319" t="s">
        <v>108</v>
      </c>
      <c r="P13" s="319"/>
      <c r="Q13" s="320" t="s">
        <v>109</v>
      </c>
    </row>
    <row r="14" spans="1:17" ht="15" thickBot="1" x14ac:dyDescent="0.35">
      <c r="A14" s="122" t="s">
        <v>110</v>
      </c>
      <c r="B14" s="123" t="s">
        <v>111</v>
      </c>
      <c r="C14" s="123" t="s">
        <v>112</v>
      </c>
      <c r="D14" s="123" t="s">
        <v>113</v>
      </c>
      <c r="E14" s="123" t="s">
        <v>114</v>
      </c>
      <c r="F14" s="123" t="s">
        <v>115</v>
      </c>
      <c r="G14" s="124" t="s">
        <v>116</v>
      </c>
      <c r="H14" s="123" t="s">
        <v>117</v>
      </c>
      <c r="I14" s="123" t="s">
        <v>118</v>
      </c>
      <c r="J14" s="123" t="s">
        <v>119</v>
      </c>
      <c r="K14" s="123" t="s">
        <v>119</v>
      </c>
      <c r="L14" s="123" t="s">
        <v>120</v>
      </c>
      <c r="M14" s="125" t="s">
        <v>121</v>
      </c>
      <c r="N14" s="126" t="s">
        <v>122</v>
      </c>
      <c r="O14" s="319"/>
      <c r="P14" s="319"/>
      <c r="Q14" s="320"/>
    </row>
    <row r="15" spans="1:17" x14ac:dyDescent="0.3">
      <c r="A15" s="201">
        <v>1</v>
      </c>
      <c r="B15" s="202"/>
      <c r="C15" s="202"/>
      <c r="D15" s="202">
        <v>1</v>
      </c>
      <c r="E15" s="202"/>
      <c r="F15" s="202">
        <v>4901</v>
      </c>
      <c r="G15" s="202">
        <v>3</v>
      </c>
      <c r="H15" s="202">
        <v>1</v>
      </c>
      <c r="I15" s="202">
        <v>2</v>
      </c>
      <c r="J15" s="202">
        <v>4</v>
      </c>
      <c r="K15" s="202">
        <v>4</v>
      </c>
      <c r="L15" s="202"/>
      <c r="M15" s="203">
        <v>1</v>
      </c>
      <c r="N15" s="202" t="s">
        <v>139</v>
      </c>
      <c r="O15" s="321" t="s">
        <v>140</v>
      </c>
      <c r="P15" s="321"/>
      <c r="Q15" s="204">
        <f>'NP MS'!M15</f>
        <v>309500</v>
      </c>
    </row>
    <row r="16" spans="1:17" ht="14.4" customHeight="1" x14ac:dyDescent="0.3">
      <c r="A16" s="206"/>
      <c r="B16" s="207"/>
      <c r="C16" s="207"/>
      <c r="D16" s="207"/>
      <c r="E16" s="207"/>
      <c r="F16" s="207"/>
      <c r="G16" s="207"/>
      <c r="H16" s="207"/>
      <c r="I16" s="207"/>
      <c r="J16" s="207"/>
      <c r="K16" s="207"/>
      <c r="L16" s="207"/>
      <c r="M16" s="208"/>
      <c r="N16" s="207"/>
      <c r="O16" s="322"/>
      <c r="P16" s="322"/>
      <c r="Q16" s="209"/>
    </row>
    <row r="17" spans="1:17" x14ac:dyDescent="0.3">
      <c r="A17" s="206"/>
      <c r="B17" s="207"/>
      <c r="C17" s="207"/>
      <c r="D17" s="207"/>
      <c r="E17" s="207"/>
      <c r="F17" s="207"/>
      <c r="G17" s="207"/>
      <c r="H17" s="207"/>
      <c r="I17" s="207"/>
      <c r="J17" s="207"/>
      <c r="K17" s="207"/>
      <c r="L17" s="207"/>
      <c r="M17" s="208"/>
      <c r="N17" s="207"/>
      <c r="O17" s="322"/>
      <c r="P17" s="322"/>
      <c r="Q17" s="209"/>
    </row>
    <row r="18" spans="1:17" x14ac:dyDescent="0.3">
      <c r="A18" s="127"/>
      <c r="B18" s="128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9"/>
      <c r="N18" s="128"/>
      <c r="O18" s="323"/>
      <c r="P18" s="323"/>
      <c r="Q18" s="205"/>
    </row>
    <row r="19" spans="1:17" x14ac:dyDescent="0.3">
      <c r="A19" s="127"/>
      <c r="B19" s="128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9"/>
      <c r="N19" s="200"/>
      <c r="O19" s="315"/>
      <c r="P19" s="315"/>
      <c r="Q19" s="131"/>
    </row>
    <row r="20" spans="1:17" x14ac:dyDescent="0.3">
      <c r="A20" s="127"/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9"/>
      <c r="N20" s="200"/>
      <c r="O20" s="315"/>
      <c r="P20" s="315"/>
      <c r="Q20" s="131"/>
    </row>
    <row r="21" spans="1:17" x14ac:dyDescent="0.3">
      <c r="A21" s="127"/>
      <c r="B21" s="128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9"/>
      <c r="N21" s="200"/>
      <c r="O21" s="315"/>
      <c r="P21" s="315"/>
      <c r="Q21" s="131"/>
    </row>
    <row r="22" spans="1:17" x14ac:dyDescent="0.3">
      <c r="A22" s="127"/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9"/>
      <c r="N22" s="200"/>
      <c r="O22" s="315"/>
      <c r="P22" s="315"/>
      <c r="Q22" s="131"/>
    </row>
    <row r="23" spans="1:17" x14ac:dyDescent="0.3">
      <c r="A23" s="127"/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9"/>
      <c r="N23" s="200"/>
      <c r="O23" s="315"/>
      <c r="P23" s="315"/>
      <c r="Q23" s="131"/>
    </row>
    <row r="24" spans="1:17" x14ac:dyDescent="0.3">
      <c r="A24" s="127"/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9"/>
      <c r="N24" s="200"/>
      <c r="O24" s="315"/>
      <c r="P24" s="315"/>
      <c r="Q24" s="131"/>
    </row>
    <row r="25" spans="1:17" x14ac:dyDescent="0.3">
      <c r="A25" s="127"/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9"/>
      <c r="N25" s="200"/>
      <c r="O25" s="315"/>
      <c r="P25" s="315"/>
      <c r="Q25" s="131"/>
    </row>
    <row r="26" spans="1:17" x14ac:dyDescent="0.3">
      <c r="A26" s="127"/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9"/>
      <c r="N26" s="200"/>
      <c r="O26" s="315"/>
      <c r="P26" s="315"/>
      <c r="Q26" s="131"/>
    </row>
    <row r="27" spans="1:17" x14ac:dyDescent="0.3">
      <c r="A27" s="127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9"/>
      <c r="N27" s="200"/>
      <c r="O27" s="315"/>
      <c r="P27" s="315"/>
      <c r="Q27" s="131"/>
    </row>
    <row r="28" spans="1:17" x14ac:dyDescent="0.3">
      <c r="A28" s="127"/>
      <c r="B28" s="128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9"/>
      <c r="N28" s="200"/>
      <c r="O28" s="315"/>
      <c r="P28" s="315"/>
      <c r="Q28" s="131"/>
    </row>
    <row r="29" spans="1:17" x14ac:dyDescent="0.3">
      <c r="A29" s="127"/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9"/>
      <c r="N29" s="200"/>
      <c r="O29" s="315"/>
      <c r="P29" s="315"/>
      <c r="Q29" s="131"/>
    </row>
    <row r="30" spans="1:17" x14ac:dyDescent="0.3">
      <c r="A30" s="127"/>
      <c r="B30" s="128"/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9"/>
      <c r="N30" s="200"/>
      <c r="O30" s="315"/>
      <c r="P30" s="315"/>
      <c r="Q30" s="131"/>
    </row>
    <row r="31" spans="1:17" x14ac:dyDescent="0.3">
      <c r="A31" s="127"/>
      <c r="B31" s="128"/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9"/>
      <c r="N31" s="200"/>
      <c r="O31" s="315"/>
      <c r="P31" s="315"/>
      <c r="Q31" s="131"/>
    </row>
    <row r="32" spans="1:17" x14ac:dyDescent="0.3">
      <c r="A32" s="127"/>
      <c r="B32" s="128"/>
      <c r="C32" s="128"/>
      <c r="D32" s="128"/>
      <c r="E32" s="128"/>
      <c r="F32" s="200"/>
      <c r="G32" s="128"/>
      <c r="H32" s="128"/>
      <c r="I32" s="128"/>
      <c r="J32" s="128"/>
      <c r="K32" s="128"/>
      <c r="L32" s="128"/>
      <c r="M32" s="129"/>
      <c r="N32" s="200"/>
      <c r="O32" s="310"/>
      <c r="P32" s="310"/>
      <c r="Q32" s="131"/>
    </row>
    <row r="33" spans="1:17" x14ac:dyDescent="0.3">
      <c r="A33" s="127"/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9"/>
      <c r="N33" s="200"/>
      <c r="O33" s="310"/>
      <c r="P33" s="310"/>
      <c r="Q33" s="131"/>
    </row>
    <row r="34" spans="1:17" x14ac:dyDescent="0.3">
      <c r="A34" s="127"/>
      <c r="B34" s="128"/>
      <c r="C34" s="128"/>
      <c r="D34" s="128"/>
      <c r="E34" s="128"/>
      <c r="F34" s="200"/>
      <c r="G34" s="128"/>
      <c r="H34" s="128"/>
      <c r="I34" s="128"/>
      <c r="J34" s="128"/>
      <c r="K34" s="128"/>
      <c r="L34" s="128"/>
      <c r="M34" s="129"/>
      <c r="N34" s="200"/>
      <c r="O34" s="310"/>
      <c r="P34" s="310"/>
      <c r="Q34" s="131"/>
    </row>
    <row r="35" spans="1:17" x14ac:dyDescent="0.3">
      <c r="A35" s="127"/>
      <c r="B35" s="128"/>
      <c r="C35" s="128"/>
      <c r="D35" s="128"/>
      <c r="E35" s="128"/>
      <c r="F35" s="200"/>
      <c r="G35" s="128"/>
      <c r="H35" s="128"/>
      <c r="I35" s="128"/>
      <c r="J35" s="128"/>
      <c r="K35" s="128"/>
      <c r="L35" s="128"/>
      <c r="M35" s="129"/>
      <c r="N35" s="200"/>
      <c r="O35" s="310"/>
      <c r="P35" s="310"/>
      <c r="Q35" s="131"/>
    </row>
    <row r="36" spans="1:17" x14ac:dyDescent="0.3">
      <c r="A36" s="132"/>
      <c r="B36" s="133"/>
      <c r="C36" s="133"/>
      <c r="D36" s="133"/>
      <c r="E36" s="133"/>
      <c r="F36" s="134"/>
      <c r="G36" s="133"/>
      <c r="H36" s="133"/>
      <c r="I36" s="133"/>
      <c r="J36" s="133"/>
      <c r="K36" s="133"/>
      <c r="L36" s="133"/>
      <c r="M36" s="135"/>
      <c r="N36" s="136"/>
      <c r="O36" s="311"/>
      <c r="P36" s="311"/>
      <c r="Q36" s="131"/>
    </row>
    <row r="37" spans="1:17" ht="15" thickBot="1" x14ac:dyDescent="0.35">
      <c r="A37" s="137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9"/>
      <c r="N37" s="138"/>
      <c r="O37" s="312"/>
      <c r="P37" s="312"/>
      <c r="Q37" s="140"/>
    </row>
    <row r="38" spans="1:17" ht="37.5" customHeight="1" thickBot="1" x14ac:dyDescent="0.35">
      <c r="A38" s="313" t="s">
        <v>176</v>
      </c>
      <c r="B38" s="313"/>
      <c r="C38" s="313"/>
      <c r="D38" s="313"/>
      <c r="E38" s="313"/>
      <c r="F38" s="313"/>
      <c r="G38" s="313"/>
      <c r="H38" s="313"/>
      <c r="I38" s="313"/>
      <c r="J38" s="313"/>
      <c r="K38" s="313"/>
      <c r="L38" s="313"/>
      <c r="M38" s="313"/>
      <c r="N38" s="313"/>
      <c r="O38" s="313"/>
      <c r="P38" s="313"/>
      <c r="Q38" s="141">
        <f>SUM(Q15:Q37)</f>
        <v>309500</v>
      </c>
    </row>
    <row r="39" spans="1:17" ht="15" thickBot="1" x14ac:dyDescent="0.35">
      <c r="A39" s="314"/>
      <c r="B39" s="314"/>
      <c r="C39" s="314"/>
      <c r="D39" s="314"/>
      <c r="E39" s="314"/>
      <c r="F39" s="314"/>
      <c r="G39" s="314"/>
      <c r="H39" s="314"/>
      <c r="I39" s="314"/>
      <c r="J39" s="314"/>
      <c r="K39" s="314"/>
      <c r="L39" s="314"/>
      <c r="M39" s="314"/>
      <c r="N39" s="314"/>
      <c r="O39" s="314"/>
      <c r="P39" s="314"/>
      <c r="Q39" s="314"/>
    </row>
    <row r="40" spans="1:17" ht="15" thickBot="1" x14ac:dyDescent="0.35">
      <c r="A40" s="307" t="s">
        <v>123</v>
      </c>
      <c r="B40" s="307"/>
      <c r="C40" s="307"/>
      <c r="D40" s="307"/>
      <c r="E40" s="307"/>
      <c r="F40" s="307"/>
      <c r="G40" s="308"/>
      <c r="H40" s="308"/>
      <c r="I40" s="308"/>
      <c r="J40" s="308"/>
      <c r="K40" s="308"/>
      <c r="L40" s="308"/>
      <c r="M40" s="308"/>
      <c r="N40" s="308"/>
      <c r="O40" s="308"/>
      <c r="P40" s="308"/>
      <c r="Q40" s="308"/>
    </row>
    <row r="41" spans="1:17" ht="15" thickBot="1" x14ac:dyDescent="0.35">
      <c r="A41" s="309" t="str">
        <f>'NP MS'!D8</f>
        <v>ADQUISICION DEL RUBRO CUBIERTAS.-</v>
      </c>
      <c r="B41" s="309"/>
      <c r="C41" s="309"/>
      <c r="D41" s="309"/>
      <c r="E41" s="309"/>
      <c r="F41" s="309"/>
      <c r="G41" s="309"/>
      <c r="H41" s="309"/>
      <c r="I41" s="309"/>
      <c r="J41" s="309"/>
      <c r="K41" s="309"/>
      <c r="L41" s="309"/>
      <c r="M41" s="309"/>
      <c r="N41" s="309"/>
      <c r="O41" s="309"/>
      <c r="P41" s="309"/>
      <c r="Q41" s="309"/>
    </row>
    <row r="42" spans="1:17" ht="15" thickBot="1" x14ac:dyDescent="0.35">
      <c r="A42" s="309"/>
      <c r="B42" s="309"/>
      <c r="C42" s="309"/>
      <c r="D42" s="309"/>
      <c r="E42" s="309"/>
      <c r="F42" s="309"/>
      <c r="G42" s="309"/>
      <c r="H42" s="309"/>
      <c r="I42" s="309"/>
      <c r="J42" s="309"/>
      <c r="K42" s="309"/>
      <c r="L42" s="309"/>
      <c r="M42" s="309"/>
      <c r="N42" s="309"/>
      <c r="O42" s="309"/>
      <c r="P42" s="309"/>
      <c r="Q42" s="309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SAF 011</vt:lpstr>
      <vt:lpstr>ANEXO</vt:lpstr>
      <vt:lpstr>NP BANCO DE SANGRE</vt:lpstr>
      <vt:lpstr>NP APS</vt:lpstr>
      <vt:lpstr>NP SAME</vt:lpstr>
      <vt:lpstr>NP SASP</vt:lpstr>
      <vt:lpstr>APG SASP Y DEPENDENCIAS</vt:lpstr>
      <vt:lpstr>NP MEDIO AMBIENTE</vt:lpstr>
      <vt:lpstr>NP VECTORES</vt:lpstr>
      <vt:lpstr>NP EPIDEMIOLOGIA</vt:lpstr>
      <vt:lpstr>APG DEPENDENCIAS SMPyPS</vt:lpstr>
      <vt:lpstr>NP DPAS</vt:lpstr>
      <vt:lpstr>APG DPAS</vt:lpstr>
      <vt:lpstr>NP MS</vt:lpstr>
      <vt:lpstr>APG MS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GABY</cp:lastModifiedBy>
  <dcterms:created xsi:type="dcterms:W3CDTF">2021-11-12T17:27:33Z</dcterms:created>
  <dcterms:modified xsi:type="dcterms:W3CDTF">2022-01-31T15:33:07Z</dcterms:modified>
</cp:coreProperties>
</file>