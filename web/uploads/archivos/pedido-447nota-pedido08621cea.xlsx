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555" windowWidth="20640" windowHeight="11100" tabRatio="500"/>
  </bookViews>
  <sheets>
    <sheet name="Necesidades Trimestrales" sheetId="1" r:id="rId1"/>
    <sheet name=" NotaPedido" sheetId="2" r:id="rId2"/>
    <sheet name="Autor Gastar" sheetId="3" r:id="rId3"/>
  </sheets>
  <definedNames>
    <definedName name="_xlnm.Print_Area" localSheetId="1">' NotaPedido'!$A$1:$K$33</definedName>
    <definedName name="_xlnm.Print_Area" localSheetId="2">'Autor Gastar'!$A$1:$Q$28</definedName>
    <definedName name="_xlnm.Print_Area" localSheetId="0">'Necesidades Trimestrales'!$A$1:$I$110</definedName>
  </definedNames>
  <calcPr calcId="144525"/>
</workbook>
</file>

<file path=xl/calcChain.xml><?xml version="1.0" encoding="utf-8"?>
<calcChain xmlns="http://schemas.openxmlformats.org/spreadsheetml/2006/main">
  <c r="I18" i="1" l="1"/>
  <c r="I19" i="1"/>
  <c r="I20" i="1"/>
  <c r="I21" i="1"/>
  <c r="I22" i="1"/>
  <c r="I23" i="1"/>
  <c r="I24" i="1"/>
  <c r="I25" i="1"/>
  <c r="I26" i="1"/>
  <c r="I27" i="1" l="1"/>
  <c r="I30" i="1"/>
  <c r="I11" i="1"/>
  <c r="D11" i="1"/>
  <c r="I29" i="1" l="1"/>
  <c r="I28" i="1" l="1"/>
  <c r="I17" i="1"/>
  <c r="I16" i="1"/>
  <c r="I15" i="1"/>
  <c r="I14" i="1"/>
  <c r="I13" i="1"/>
  <c r="I12" i="1"/>
  <c r="I10" i="1" l="1"/>
  <c r="D12" i="1" l="1"/>
  <c r="D13" i="1"/>
  <c r="D10" i="1"/>
  <c r="G4" i="3" l="1"/>
  <c r="G6" i="3" l="1"/>
  <c r="G7" i="3"/>
  <c r="G5" i="3"/>
  <c r="A10" i="3" l="1"/>
  <c r="D1" i="3"/>
  <c r="Q21" i="3"/>
</calcChain>
</file>

<file path=xl/sharedStrings.xml><?xml version="1.0" encoding="utf-8"?>
<sst xmlns="http://schemas.openxmlformats.org/spreadsheetml/2006/main" count="445" uniqueCount="153">
  <si>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</si>
  <si>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</si>
  <si>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</si>
  <si>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</si>
  <si>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</si>
  <si>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</si>
  <si>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</si>
  <si>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</si>
  <si>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</si>
  <si>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</si>
  <si>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</si>
  <si>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</si>
  <si>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</si>
  <si>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</si>
  <si>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</si>
  <si>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</si>
  <si>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</si>
  <si>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</si>
  <si>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</si>
  <si>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</si>
  <si>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</si>
  <si>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</si>
  <si>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</si>
  <si>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</si>
  <si>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</si>
  <si>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</si>
  <si>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</si>
  <si>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</si>
  <si>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</si>
  <si>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</si>
  <si>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</si>
  <si>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</si>
  <si>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</si>
  <si>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</si>
  <si>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</si>
  <si>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</si>
  <si>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</si>
  <si>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</si>
  <si>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</si>
  <si>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</si>
  <si>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</si>
  <si>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</si>
  <si>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</si>
  <si>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</si>
  <si>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</si>
  <si>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</si>
  <si>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</si>
  <si>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</si>
  <si>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</si>
  <si>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</si>
  <si>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</si>
  <si>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</si>
  <si>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</si>
  <si>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</si>
  <si>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</si>
  <si>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</si>
  <si>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</si>
  <si>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</si>
  <si>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</si>
  <si>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Garantía del fabricante minima de un (1) año.</t>
  </si>
  <si>
    <t>70 - MINISTERIO DE CIENCIA E INNOVACION TECNOLOGICA</t>
  </si>
  <si>
    <t>20 - MINISTERIO DE CIENCIA E INNOVACION TECNOLOGICA</t>
  </si>
  <si>
    <t xml:space="preserve"> MINISTERIO DE CIENCIA E INNOVACION TECNOLOGICA</t>
  </si>
  <si>
    <t>DIRECCION PROVINCIAL DE GESTION ADMINISTRATIVA</t>
  </si>
  <si>
    <t>Especificidades Item N° 5:</t>
  </si>
  <si>
    <t>4.3.9-491.106</t>
  </si>
  <si>
    <t>INDUMENT TEXTIL Y CONFECCIONES</t>
  </si>
  <si>
    <t>CARPAS; TIPO: ESTRUCTURAL - TUNEL, DIMENSION: SEGÚN PLIEGO, PESO: SEGÚN PLIEGO, CANTIDAD DE PERSONAS: SIN DEFINIR</t>
  </si>
  <si>
    <t>4.3.9-491.107</t>
  </si>
  <si>
    <t>CARPAS; TIPO: ESTRUCTURAL - DOMO, DIMENSION: SEGÚN PLIEGO, PESO:SEGÚN PLIEGO, CANTIDAD DE PERSONAS: SIN DEFINIR</t>
  </si>
  <si>
    <t>2.4.3-742.39</t>
  </si>
  <si>
    <t>PISOS EN ROLLO; MATERIAL: GOMA HOMOGENEO, TIPO: ALTO TRANSITO, ANCHO: 2M, LARGO: 20M</t>
  </si>
  <si>
    <t>MATERIALES DE CONSTRUCCION</t>
  </si>
  <si>
    <t>4.3.7-1362.65</t>
  </si>
  <si>
    <t>EQUIPO DE OFICINA Y MUEBLES</t>
  </si>
  <si>
    <t>4.3.7</t>
  </si>
  <si>
    <t>MESAS CURVAS; CURVA: SEMICIRCULAR, DIMENSION: SEGÚN PLIEGO, MATERIAL: MELAMINA, TERMINACION: SIN VALOR, COLOR: SIN VALOR, ANGULOS: SIN, ALTURA: SEGÚN PLIEGO, ESTANTE: SIN</t>
  </si>
  <si>
    <t>Mesas, de madera semi circular, altura 80 cm. Estructura de soporte conformada con tubo estructural, unión cordón de soldadura. Tapa de melamina espesor 25mm, color a elegir. Diámetro externo 2.60m.</t>
  </si>
  <si>
    <t>4.3.7-5851.21</t>
  </si>
  <si>
    <t>CARPINTERIA</t>
  </si>
  <si>
    <t>TARIMAS; TIPO: SEMICIRCULAR, MATERIAL: METAL, DIMENSION: SIN VALOR</t>
  </si>
  <si>
    <t>Especificidades Item N° 6:</t>
  </si>
  <si>
    <t>4.3.7-45.486</t>
  </si>
  <si>
    <t>SILLAS; MATERIAL ESTRUCTURA: METAL, TAPIZADO: TELA, ALTURA: 0,85 M, GIRATORIA: NO</t>
  </si>
  <si>
    <t>4.3.5-9472.2</t>
  </si>
  <si>
    <t>PLANETARIO DIGITAL; TIPO: ALTA DEFINICION, RESOLUCION: SEGÚN PLIEGO</t>
  </si>
  <si>
    <t>EQUIPOS</t>
  </si>
  <si>
    <t>4.3.5</t>
  </si>
  <si>
    <t>Especificidades Item N° 8:</t>
  </si>
  <si>
    <t>4.3.5-9163.90</t>
  </si>
  <si>
    <t>EQUIPOS DIDACTICOS TECNICOS; NOMBRE: KIT EXPERIMENTAL , TIPO: SEGÚN PLIEGO</t>
  </si>
  <si>
    <t>Especificidades Item N° 7:</t>
  </si>
  <si>
    <t>Especificidades Item N° 9:</t>
  </si>
  <si>
    <t>4.3.7-1367.396</t>
  </si>
  <si>
    <t>ACONDICIONADORES DE AIRE; TIPO: SPLIT, FRIO: 6000 frig/h, CALOR: 6000 CAL/H, TENSION NOMINAL: 220 V, CRITERIO DE SEGURIDAD: SELLO DE SEGURIDAD, CONSUMO: MENOR A 5 KVA, CORRIENTE NOMINAL: 10,4 A, EFICIENCIA ENERGETICA: GRADO C</t>
  </si>
  <si>
    <t>4.3.7-9082.1</t>
  </si>
  <si>
    <t>MUEBLES A MEDIDA; MATERIAL ESTRUCTURA: MDF FIBRA DE DENSIDAD MEDIA, TERMINACION: ENCHAPADO</t>
  </si>
  <si>
    <t>3.3.1-2244.11</t>
  </si>
  <si>
    <t>ELECTRICIDAD Y TELEFONIA</t>
  </si>
  <si>
    <t>INSTALACIONES ELECTRICAS; DESCRIPCION: INSTALACIONES ELECTRICAS, CRITERIO SOCIAL: DECRETO 312/2010</t>
  </si>
  <si>
    <t>SERVICIO</t>
  </si>
  <si>
    <t>Especificidades Item N° 3:</t>
  </si>
  <si>
    <t>Especificidades Item N° 11:</t>
  </si>
  <si>
    <t>Especificidades Item N°4:</t>
  </si>
  <si>
    <t>Equipos Varios</t>
  </si>
  <si>
    <t>Equipos de Oficina y Muebles</t>
  </si>
  <si>
    <t>Equipo Educacional y Recreativo</t>
  </si>
  <si>
    <t xml:space="preserve">Mantenimiento y Reparación de Edificios y Locales
</t>
  </si>
  <si>
    <t xml:space="preserve">Artículos de Caucho
</t>
  </si>
  <si>
    <t xml:space="preserve">ADQUISICIÓN DE  EQUIPOS , MOBILIARIOS, INSUMOS Y SERVICIO PARA LA PUESTA DE DOMOS COMO ESPACIO RECREATIVO, TECNOLÒGICO Y EDUCATIVO A CONSTRUIRCE EN EL JUMEAL DE LA LOCALIDAD CAPITAL DE SAN FERNANDO DEL VALLE DE CATAMARCA- CATAMARCA.- </t>
  </si>
  <si>
    <t>018/2020</t>
  </si>
  <si>
    <t>Garantia minima de un (1) año.</t>
  </si>
  <si>
    <t>Semi circular, tipo biblioteca, altura 75cm, 30cm de profundidad. Con estantería. Material MDF de espesor 18 mm, color: GRIS.</t>
  </si>
  <si>
    <t>NO</t>
  </si>
  <si>
    <t>Costo total estimado:  PESOS CUATRO MILLONES CIENTO OCHENTA Y SIETE MIL SETECIENTOS VEINTINUEVE  CON 53/100.</t>
  </si>
  <si>
    <t>PESOS: PESOS CUATRO MILLONES CIENTO OCHENTA Y SIETE MIL SETECIENTOS VEINTINUEVE  CON 53/100.</t>
  </si>
  <si>
    <r>
      <t xml:space="preserve">Domos de estructura de acero Galvanizado. Tubos de 38mm. Para altas exigencias. Y Cobertura y/o Lona Anti desgarro Pesada, burlonería templada. 
</t>
    </r>
    <r>
      <rPr>
        <b/>
        <u/>
        <sz val="10"/>
        <rFont val="Times New Roman"/>
        <family val="1"/>
      </rPr>
      <t xml:space="preserve">Domo </t>
    </r>
    <r>
      <rPr>
        <sz val="10"/>
        <rFont val="Times New Roman"/>
        <family val="1"/>
      </rPr>
      <t xml:space="preserve">
Área 27 m2 - Diámetro 5,8 ml.-Altura en el ápice 3,5 ml. - Volumen interior 63 m3 –Entradas: 1 - Peso de la estructura 229Kg. Conformada por tubos de 38 mm. de diámetro (1,5”) de acero galvanizado estructural con protección anticorrosiva de 30 micrones de zinc - Normas de fabricación de la estructura IRAM-IAS-U-500-2592- ASTM A513
Peso de la cobertura 45 Kg. Peso por m2: 660 grs./m2 de PVC laminado en dos caras. Reforzada con trama poliéster anti desgarro. Color a elección. Impermeable.
Resiste vientos de hasta 150km/h. Incluye: Construcción, Armado, Instalación y puesta en funcionamiento.-
</t>
    </r>
    <r>
      <rPr>
        <b/>
        <u/>
        <sz val="10"/>
        <rFont val="Times New Roman"/>
        <family val="1"/>
      </rPr>
      <t/>
    </r>
  </si>
  <si>
    <r>
      <t xml:space="preserve">Domos de estructura de acero Galvanizado. Tubos de 38mm. Para altas exigencias. Y Cobertura y/o Lona Anti desgarro Pesada, burlonería templada. 
</t>
    </r>
    <r>
      <rPr>
        <b/>
        <u/>
        <sz val="10"/>
        <rFont val="Times New Roman"/>
        <family val="1"/>
      </rPr>
      <t xml:space="preserve">Domo </t>
    </r>
    <r>
      <rPr>
        <sz val="10"/>
        <rFont val="Times New Roman"/>
        <family val="1"/>
      </rPr>
      <t xml:space="preserve">
Área 43 m2 - Diámetro 7,4 ml. - Altura en el ápice 4,6 ml. - Volumen interior 133 m3
- Entradas: 1
Peso de la estructura 283 Kg. Conformada por tubos de 38 mm. de diámetro (1,5”) de acero galvanizado estructural con protección anticorrosiva de 30 micrones de zinc.
Normas de fabricación de la estructura IRAM-IAS-U-500-2592 - ASTM A513
Peso de la cobertura 71 Kg. Peso por m2: 660 grs./m2 de PVC laminado en dos caras. Reforzada con trama poliéster anti desgarro. Color a elección. Impermeable.  Incluye: Construcción, Armado, Instalación y puesta en funcionamiento.-
</t>
    </r>
  </si>
  <si>
    <t>Túnel
Área 4 m2 - Altura 2,5 ml. - Perímetro 8ml
Estructura de metálica de caño estructural redondo de 1 ½ (38,1mm) por 1,2mm. Unión cordón de soldadura. 
Laminada en dos caras. Reforzada con trama poliéster anti desgarro. Color a elección. Impermeable. Incluye: Construcción, Armado e Instalación.-</t>
  </si>
  <si>
    <t>Piso de goma tipo homogéneo de 2 mm espesor para sectores de transito intenso, textura lisa, color a elegir. Dimensiones Largo x Ancho: 2000 cm x 200 cm. Presentación por rollo. Colocado con pegamento adhesivo de contacto sobre carpeta de nivelación. Incluye colocación.-</t>
  </si>
  <si>
    <t>Tarima, semicircular compuesta por gradas en 3 niveles. Estructura metálica de soporte, conformada por tubo estructural 100x100 espesor 2mm con refuerzos de 50x50 espesor 2mm. Unión cordón de soldadura. Asientos corridos de madera tipo OSB, sin respaldo. Superficie 14m2, perímetro 16.60m.  Incluye instalación.-</t>
  </si>
  <si>
    <t>Provisión, colocación y puesta en funcionamiento Equipo de proyección sistema full dome: Incluye, espejo cóncavo en caja de transporte, Proyector DLP resolución WXGA nativa de 1280x800 y caja de operaciones con equipo de Sonido.</t>
  </si>
  <si>
    <t>Instalacion completa con materiales y Mano de Obra incluido.-</t>
  </si>
  <si>
    <t xml:space="preserve">Mantenimiento: Treinta (30) Días hábiles. </t>
  </si>
  <si>
    <t>3.3.1</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</si>
  <si>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</si>
  <si>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</si>
  <si>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</si>
  <si>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</si>
  <si>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</si>
  <si>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El plazo de entrega  no podrá ser superior a los veinte (20) días hábiles a partir de la fecha de recepción de la respectiva Orden de Compra, en el domicilio especial electrónico constituido, en virtud del método de contratación. La entrega de dichos bienes se realizará en  el Dique El Jumeal sito en AV. Juan Pablo Segundo S/N.  Se presentará remito que deberá cumplimentar lo dispuesto por la r.g. AFIP  1415/03, sin excepción.</t>
  </si>
  <si>
    <t>4ª TRIMESTRE 2020</t>
  </si>
  <si>
    <t xml:space="preserve">kit acción y reacción: 40 fichas rectangulares- 1 péndulo- canaletas- 4 bolitas- 1 rueda- 1 blanco de tiro- 1 rollo de hilo- 1guia de ideas.       </t>
  </si>
  <si>
    <t xml:space="preserve">Kit  celuscopio: recipientes para colocar muestras- 1 lupa iluminador para celulares.       </t>
  </si>
  <si>
    <t xml:space="preserve">Kit  solar: pequeño motor- pequeñas piezas plásticas para el armado de diferentes objetos.       </t>
  </si>
  <si>
    <t>Especificidades Item N°10:</t>
  </si>
  <si>
    <t xml:space="preserve">kit aventura química: tiras de p.h.- escala de p.h.- bicarbonato de sodio- ácido tartarico- tizas- cuchara graduada- vasito graduado- embudo- pipetas- tubos de ensayo- agitador- etiquetas- globos- guía de instrucción.       </t>
  </si>
  <si>
    <t>Especificidades Item N° 12</t>
  </si>
  <si>
    <t>Especificidades Item N°13:</t>
  </si>
  <si>
    <t xml:space="preserve">kit atrapa tu adn: base para tubos de ensayo- frasco gotero con agua- frasco gotero con alcohol- frasco gotero con shampoo- frasco con sal- embudo- tubos de ensayo- agitador- vasito graduado- cucharita de 1 cc.- espátula- vaso-filtro- guía de instrucciones.      </t>
  </si>
  <si>
    <t>Especificidades Item N° 14:</t>
  </si>
  <si>
    <t>Kit  estación meteorológica: 1 termómetro- carta de nubes- diario del tiempo- materiales para simular tornados, rayos y nubes- psicrómetro- barómetro para armar- escala de viento</t>
  </si>
  <si>
    <t>Especificidades Item N° 15:</t>
  </si>
  <si>
    <t xml:space="preserve">Kit  electrónica: lámparas y portalámparas- interruptor- diado led- capacitor- resistencia- tránsitos- portapilas-cables- guía de experimentos.   </t>
  </si>
  <si>
    <t>Especificidades Item N° 16:</t>
  </si>
  <si>
    <t>kit motor eléctrico: base de madera- ángulos metálicos- ejes con núcleo de hierro- rollo de alambre de cobre- láminas y tiras de cobre- cilindros de madera gruesos y finos- poste de madera- imanes- anillo de goma- lija- porta pilas- destornilladores- tornillos- hélice- guía de armado</t>
  </si>
  <si>
    <t>Especificidades Item N° 17:</t>
  </si>
  <si>
    <t xml:space="preserve">kit juego de ciencia: pelota de ping pong- pelota de goma- mapa de la luna- carta de fases lunares grandes- carta de fases lunares pequeña- carta calendario mensual- carta de calendario diario- carta de la tierra- carta de la luna- 2 ganchos mariposa- 1 brillantina- paquete de avena- paquete de maicena- molde esférico- base de auto lunar- 2 bases de astronautas- - base de aterrizaje- base cohete- filtro- arandela- 10 estrellas que brillan en la oscuridad- luna que brilla en la oscuridad- cinta autoadhesivas doble faz- base para cohete- espuma- tanza- 6 bandas elásticas- 3 globos cohetes- 2 varillas revolvedoras- 4 cuerdas- polvo para espuma de color- polvo para esfera de color- polvo para espera negro- manual de instrucciones.     </t>
  </si>
  <si>
    <t>Especificidades Item N° 18:</t>
  </si>
  <si>
    <t>Kit de química invertido: instructivo- frasco de precipitado- tubos de ensayo- porta tubos- embudos- pipetas- vasito graduado- cuchara graduada- filtros- temperas- agitadores- papel de cromatografía- guante de látex- anteojos de seguridad- silicona de sodio- alcohol etílico- ácido acético- cola vinílica- sulfato de cobre- cloruro de cobalto- bórax- goma guar.</t>
  </si>
  <si>
    <t>Especificidades Item N° 19:</t>
  </si>
  <si>
    <t>Especificidades Item N° 20:</t>
  </si>
  <si>
    <t>Especificidades Item N° 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</si>
</sst>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Times New Roman"/>
      <family val="1"/>
    </font>
    <font>
      <b/>
      <u/>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3">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rgb="FF3D3D3D"/>
      </right>
      <top style="medium">
        <color rgb="FF3D3D3D"/>
      </top>
      <bottom style="thin">
        <color rgb="FF3D3D3D"/>
      </bottom>
      <diagonal/>
    </border>
    <border>
      <left style="medium">
        <color auto="1"/>
      </left>
      <right style="medium">
        <color auto="1"/>
      </right>
      <top style="thin">
        <color auto="1"/>
      </top>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71">
    <xf numFmtId="0" fontId="0" fillId="0" borderId="0" xfId="0"/>
    <xf numFmtId="0" fontId="0" fillId="0" borderId="0" xfId="0" applyBorder="1"/>
    <xf numFmtId="0" fontId="2" fillId="0" borderId="0" xfId="0" applyFont="1" applyBorder="1" applyAlignment="1">
      <alignment vertical="center"/>
    </xf>
    <xf numFmtId="0" fontId="5" fillId="0" borderId="11" xfId="0" applyFont="1" applyBorder="1" applyAlignment="1">
      <alignment horizontal="right" vertical="center"/>
    </xf>
    <xf numFmtId="0" fontId="5" fillId="0" borderId="13"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1" xfId="0" applyFont="1" applyBorder="1" applyAlignment="1">
      <alignment horizontal="center" vertical="center"/>
    </xf>
    <xf numFmtId="0" fontId="9" fillId="0" borderId="21" xfId="0" applyFont="1" applyBorder="1" applyAlignment="1">
      <alignment horizontal="left" vertical="center"/>
    </xf>
    <xf numFmtId="3" fontId="4" fillId="0" borderId="21" xfId="0" applyNumberFormat="1" applyFont="1" applyBorder="1" applyAlignment="1">
      <alignment horizontal="center" vertical="center"/>
    </xf>
    <xf numFmtId="0" fontId="9" fillId="0" borderId="22" xfId="0" applyFont="1" applyBorder="1" applyAlignment="1">
      <alignment horizontal="center" vertical="center"/>
    </xf>
    <xf numFmtId="0" fontId="9" fillId="0" borderId="22" xfId="0" applyFont="1" applyBorder="1" applyAlignment="1">
      <alignment horizontal="left" vertical="center"/>
    </xf>
    <xf numFmtId="0" fontId="4" fillId="0" borderId="22" xfId="0" applyFont="1" applyBorder="1" applyAlignment="1">
      <alignment horizontal="center" vertical="center"/>
    </xf>
    <xf numFmtId="0" fontId="4" fillId="0" borderId="22" xfId="0" applyFont="1" applyBorder="1" applyAlignment="1">
      <alignment horizontal="center" vertical="center" wrapText="1"/>
    </xf>
    <xf numFmtId="3" fontId="4" fillId="0" borderId="22" xfId="0" applyNumberFormat="1"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1" xfId="0" applyBorder="1"/>
    <xf numFmtId="0" fontId="0" fillId="0" borderId="28" xfId="0" applyBorder="1"/>
    <xf numFmtId="0" fontId="0" fillId="0" borderId="13" xfId="0" applyBorder="1"/>
    <xf numFmtId="0" fontId="0" fillId="0" borderId="13" xfId="0" applyBorder="1" applyAlignment="1">
      <alignment horizontal="left"/>
    </xf>
    <xf numFmtId="0" fontId="0" fillId="0" borderId="29" xfId="0" applyBorder="1"/>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32" xfId="0" applyFont="1" applyBorder="1" applyAlignment="1">
      <alignment horizontal="left" vertical="center"/>
    </xf>
    <xf numFmtId="0" fontId="14" fillId="0" borderId="33" xfId="0" applyFont="1" applyBorder="1" applyAlignment="1">
      <alignment horizontal="center" vertical="center"/>
    </xf>
    <xf numFmtId="0" fontId="14" fillId="0" borderId="27" xfId="0" applyFont="1" applyBorder="1" applyAlignment="1">
      <alignment horizontal="center" vertical="center"/>
    </xf>
    <xf numFmtId="0" fontId="0" fillId="0" borderId="35" xfId="0" applyFont="1" applyBorder="1" applyAlignment="1">
      <alignment horizontal="center" vertical="center"/>
    </xf>
    <xf numFmtId="166" fontId="0" fillId="0" borderId="37" xfId="3" applyNumberFormat="1" applyFont="1" applyBorder="1" applyAlignment="1" applyProtection="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6" fontId="0" fillId="0" borderId="41" xfId="3" applyNumberFormat="1" applyFont="1" applyBorder="1" applyAlignment="1" applyProtection="1">
      <alignment horizontal="center" vertical="center"/>
    </xf>
    <xf numFmtId="166" fontId="14" fillId="0" borderId="42"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applyAlignment="1">
      <alignment horizontal="left" vertical="center" wrapText="1"/>
    </xf>
    <xf numFmtId="0" fontId="22" fillId="0" borderId="2" xfId="0" applyFont="1" applyBorder="1" applyAlignment="1">
      <alignment horizontal="center" vertical="center" wrapText="1"/>
    </xf>
    <xf numFmtId="0" fontId="23" fillId="0" borderId="3" xfId="0" applyFont="1" applyBorder="1"/>
    <xf numFmtId="0" fontId="16" fillId="0" borderId="4" xfId="0" applyFont="1" applyBorder="1"/>
    <xf numFmtId="0" fontId="16" fillId="0" borderId="5" xfId="0" applyFont="1" applyBorder="1"/>
    <xf numFmtId="0" fontId="16" fillId="0" borderId="6" xfId="0" applyFont="1" applyBorder="1"/>
    <xf numFmtId="0" fontId="16" fillId="0" borderId="0" xfId="0" applyFont="1" applyBorder="1"/>
    <xf numFmtId="0" fontId="16" fillId="0" borderId="7" xfId="0" applyFont="1" applyBorder="1"/>
    <xf numFmtId="0" fontId="23" fillId="0" borderId="6" xfId="0" applyFont="1" applyBorder="1" applyAlignment="1">
      <alignment horizontal="left" indent="3"/>
    </xf>
    <xf numFmtId="0" fontId="16" fillId="0" borderId="6" xfId="0" applyFont="1" applyBorder="1" applyAlignment="1">
      <alignment horizontal="left" indent="3"/>
    </xf>
    <xf numFmtId="0" fontId="16" fillId="0" borderId="0" xfId="0" applyFont="1" applyBorder="1" applyAlignment="1">
      <alignment horizontal="center" wrapText="1"/>
    </xf>
    <xf numFmtId="0" fontId="16" fillId="0" borderId="7" xfId="0" applyFont="1" applyBorder="1" applyAlignment="1">
      <alignment horizontal="center" wrapText="1"/>
    </xf>
    <xf numFmtId="0" fontId="16" fillId="0" borderId="8" xfId="0" applyFont="1" applyBorder="1" applyAlignment="1">
      <alignment horizontal="left" indent="3"/>
    </xf>
    <xf numFmtId="0" fontId="16" fillId="0" borderId="9" xfId="0" applyFont="1" applyBorder="1"/>
    <xf numFmtId="0" fontId="16" fillId="0" borderId="10" xfId="0" applyFont="1" applyBorder="1"/>
    <xf numFmtId="0" fontId="6" fillId="4" borderId="12" xfId="0" applyFont="1" applyFill="1" applyBorder="1" applyAlignment="1">
      <alignment horizontal="center" vertical="center"/>
    </xf>
    <xf numFmtId="0" fontId="4" fillId="4" borderId="20" xfId="0" applyFont="1" applyFill="1" applyBorder="1" applyAlignment="1">
      <alignment horizontal="center" vertical="center"/>
    </xf>
    <xf numFmtId="0" fontId="4" fillId="3" borderId="20" xfId="0" applyFont="1" applyFill="1" applyBorder="1" applyAlignment="1">
      <alignment horizontal="center" vertical="center" wrapText="1"/>
    </xf>
    <xf numFmtId="0" fontId="0" fillId="4" borderId="34" xfId="0" applyFont="1" applyFill="1" applyBorder="1" applyAlignment="1">
      <alignment horizontal="center" vertical="center"/>
    </xf>
    <xf numFmtId="0" fontId="0" fillId="4" borderId="35" xfId="0" applyFont="1" applyFill="1" applyBorder="1" applyAlignment="1">
      <alignment horizontal="center" vertical="center"/>
    </xf>
    <xf numFmtId="0" fontId="0" fillId="4" borderId="36" xfId="0" applyFont="1" applyFill="1" applyBorder="1" applyAlignment="1">
      <alignment horizontal="center" vertical="center"/>
    </xf>
    <xf numFmtId="0" fontId="15" fillId="0" borderId="0" xfId="0" applyFont="1"/>
    <xf numFmtId="0" fontId="22" fillId="4" borderId="2" xfId="0" applyFont="1" applyFill="1" applyBorder="1" applyAlignment="1">
      <alignment horizontal="center" vertical="center" wrapText="1"/>
    </xf>
    <xf numFmtId="166" fontId="21" fillId="4" borderId="2" xfId="1" applyNumberFormat="1" applyFont="1" applyFill="1" applyBorder="1" applyAlignment="1" applyProtection="1">
      <alignment horizontal="right" vertical="center" wrapText="1"/>
    </xf>
    <xf numFmtId="0" fontId="24" fillId="4" borderId="0" xfId="0" applyFont="1" applyFill="1" applyAlignment="1">
      <alignment horizontal="left" wrapText="1" indent="1"/>
    </xf>
    <xf numFmtId="0" fontId="20" fillId="3" borderId="0" xfId="0" applyFont="1" applyFill="1" applyAlignment="1">
      <alignment horizontal="left" wrapText="1"/>
    </xf>
    <xf numFmtId="0" fontId="21" fillId="0" borderId="49" xfId="0" applyFont="1" applyBorder="1" applyAlignment="1">
      <alignment horizontal="center" vertical="center"/>
    </xf>
    <xf numFmtId="0" fontId="22" fillId="4" borderId="50" xfId="0" applyFont="1" applyFill="1" applyBorder="1" applyAlignment="1">
      <alignment horizontal="center" vertical="center" wrapText="1"/>
    </xf>
    <xf numFmtId="0" fontId="22" fillId="0" borderId="50" xfId="0" applyFont="1" applyBorder="1" applyAlignment="1">
      <alignment horizontal="left" vertical="center" wrapText="1"/>
    </xf>
    <xf numFmtId="0" fontId="22" fillId="0" borderId="50" xfId="0" applyFont="1" applyBorder="1" applyAlignment="1">
      <alignment horizontal="center" vertical="center" wrapText="1"/>
    </xf>
    <xf numFmtId="166" fontId="21" fillId="4" borderId="50" xfId="1" applyNumberFormat="1" applyFont="1" applyFill="1" applyBorder="1" applyAlignment="1" applyProtection="1">
      <alignment horizontal="right" vertical="center" wrapText="1"/>
    </xf>
    <xf numFmtId="166" fontId="21" fillId="4" borderId="52" xfId="1" applyNumberFormat="1" applyFont="1" applyFill="1" applyBorder="1" applyAlignment="1" applyProtection="1">
      <alignment horizontal="right" vertical="center" wrapText="1"/>
    </xf>
    <xf numFmtId="0" fontId="20" fillId="0" borderId="51" xfId="0" applyFont="1" applyBorder="1" applyAlignment="1">
      <alignment horizontal="center" vertical="center" wrapText="1"/>
    </xf>
    <xf numFmtId="0" fontId="22" fillId="4" borderId="56" xfId="0" applyFont="1" applyFill="1" applyBorder="1" applyAlignment="1">
      <alignment horizontal="center" vertical="center" wrapText="1"/>
    </xf>
    <xf numFmtId="0" fontId="22" fillId="0" borderId="56" xfId="0" applyFont="1" applyBorder="1" applyAlignment="1">
      <alignment horizontal="left" vertical="center" wrapText="1"/>
    </xf>
    <xf numFmtId="0" fontId="22" fillId="0" borderId="56" xfId="0" applyFont="1" applyBorder="1" applyAlignment="1">
      <alignment horizontal="center" vertical="center" wrapText="1"/>
    </xf>
    <xf numFmtId="166" fontId="21" fillId="4" borderId="56" xfId="1" applyNumberFormat="1" applyFont="1" applyFill="1" applyBorder="1" applyAlignment="1" applyProtection="1">
      <alignment horizontal="right" vertical="center" wrapText="1"/>
    </xf>
    <xf numFmtId="0" fontId="26" fillId="0" borderId="3" xfId="0" applyFont="1" applyBorder="1"/>
    <xf numFmtId="0" fontId="21" fillId="0" borderId="57" xfId="0" applyFont="1" applyBorder="1" applyAlignment="1">
      <alignment horizontal="center" vertical="center"/>
    </xf>
    <xf numFmtId="0" fontId="16" fillId="0" borderId="8" xfId="0" applyFont="1" applyBorder="1"/>
    <xf numFmtId="0" fontId="23" fillId="0" borderId="8" xfId="0" applyFont="1" applyBorder="1" applyAlignment="1">
      <alignment horizontal="left" indent="3"/>
    </xf>
    <xf numFmtId="0" fontId="23" fillId="3" borderId="6" xfId="0" applyFont="1" applyFill="1" applyBorder="1" applyAlignment="1">
      <alignment horizontal="left" indent="3"/>
    </xf>
    <xf numFmtId="0" fontId="16" fillId="3" borderId="0" xfId="0" applyFont="1" applyFill="1"/>
    <xf numFmtId="0" fontId="23" fillId="0" borderId="6" xfId="0" applyFont="1" applyBorder="1"/>
    <xf numFmtId="0" fontId="23" fillId="0" borderId="6" xfId="0" applyFont="1" applyBorder="1" applyAlignment="1">
      <alignment vertical="top"/>
    </xf>
    <xf numFmtId="0" fontId="25" fillId="4" borderId="0" xfId="0" applyFont="1" applyFill="1" applyBorder="1" applyAlignment="1">
      <alignment vertical="top" wrapText="1"/>
    </xf>
    <xf numFmtId="0" fontId="16" fillId="4" borderId="0" xfId="0" applyFont="1" applyFill="1" applyBorder="1" applyAlignment="1">
      <alignment vertical="top" wrapText="1"/>
    </xf>
    <xf numFmtId="0" fontId="16" fillId="4" borderId="7" xfId="0" applyFont="1" applyFill="1" applyBorder="1" applyAlignment="1">
      <alignment vertical="top" wrapText="1"/>
    </xf>
    <xf numFmtId="0" fontId="0" fillId="0" borderId="0" xfId="0" applyAlignment="1">
      <alignment horizontal="left" vertical="top"/>
    </xf>
    <xf numFmtId="0" fontId="9" fillId="0" borderId="22" xfId="0" applyFont="1" applyFill="1" applyBorder="1" applyAlignment="1">
      <alignment horizontal="center" vertical="center"/>
    </xf>
    <xf numFmtId="0" fontId="9" fillId="0" borderId="22" xfId="0" applyFont="1" applyFill="1" applyBorder="1" applyAlignment="1">
      <alignment horizontal="left" vertical="center"/>
    </xf>
    <xf numFmtId="0" fontId="4" fillId="0" borderId="22" xfId="0" applyFont="1" applyFill="1" applyBorder="1" applyAlignment="1">
      <alignment horizontal="center" vertical="center"/>
    </xf>
    <xf numFmtId="0" fontId="4" fillId="0" borderId="22" xfId="0" applyFont="1" applyFill="1" applyBorder="1" applyAlignment="1">
      <alignment horizontal="center" vertical="center" wrapText="1"/>
    </xf>
    <xf numFmtId="166" fontId="21" fillId="0" borderId="56" xfId="1" applyNumberFormat="1" applyFont="1" applyFill="1" applyBorder="1" applyAlignment="1" applyProtection="1">
      <alignment horizontal="right" vertical="center" wrapText="1"/>
    </xf>
    <xf numFmtId="3" fontId="4" fillId="0" borderId="22" xfId="0" applyNumberFormat="1" applyFont="1" applyFill="1" applyBorder="1" applyAlignment="1">
      <alignment horizontal="center" vertical="center"/>
    </xf>
    <xf numFmtId="0" fontId="2" fillId="0" borderId="0" xfId="0" applyFont="1" applyFill="1" applyBorder="1" applyAlignment="1">
      <alignment vertical="center"/>
    </xf>
    <xf numFmtId="0" fontId="0" fillId="0" borderId="0" xfId="0" applyFill="1"/>
    <xf numFmtId="166" fontId="16" fillId="0" borderId="0" xfId="0" applyNumberFormat="1" applyFont="1"/>
    <xf numFmtId="0" fontId="9" fillId="0" borderId="62" xfId="0" applyFont="1" applyBorder="1" applyAlignment="1">
      <alignment horizontal="center" vertical="center"/>
    </xf>
    <xf numFmtId="0" fontId="9" fillId="0" borderId="62" xfId="0" applyFont="1" applyBorder="1" applyAlignment="1">
      <alignment horizontal="left" vertical="center"/>
    </xf>
    <xf numFmtId="3" fontId="4" fillId="0" borderId="62" xfId="0" applyNumberFormat="1" applyFont="1" applyBorder="1" applyAlignment="1">
      <alignment horizontal="center" vertical="center"/>
    </xf>
    <xf numFmtId="167" fontId="2" fillId="0" borderId="0" xfId="0" applyNumberFormat="1" applyFont="1" applyBorder="1" applyAlignment="1">
      <alignment vertical="center"/>
    </xf>
    <xf numFmtId="0" fontId="16" fillId="4" borderId="0" xfId="0" applyFont="1" applyFill="1" applyBorder="1" applyAlignment="1">
      <alignment horizontal="left" wrapText="1"/>
    </xf>
    <xf numFmtId="0" fontId="16" fillId="4" borderId="0" xfId="0" applyFont="1" applyFill="1" applyBorder="1" applyAlignment="1">
      <alignment horizontal="left"/>
    </xf>
    <xf numFmtId="0" fontId="16" fillId="4" borderId="7" xfId="0" applyFont="1" applyFill="1" applyBorder="1" applyAlignment="1">
      <alignment horizontal="left"/>
    </xf>
    <xf numFmtId="0" fontId="16" fillId="4" borderId="0" xfId="0" applyFont="1" applyFill="1" applyBorder="1" applyAlignment="1">
      <alignment horizontal="left" vertical="top" wrapText="1"/>
    </xf>
    <xf numFmtId="0" fontId="16" fillId="4" borderId="7" xfId="0" applyFont="1" applyFill="1" applyBorder="1" applyAlignment="1">
      <alignment horizontal="left" vertical="top" wrapText="1"/>
    </xf>
    <xf numFmtId="0" fontId="16" fillId="4" borderId="0" xfId="0" applyFont="1" applyFill="1" applyBorder="1" applyAlignment="1">
      <alignment horizontal="left" vertical="center" wrapText="1"/>
    </xf>
    <xf numFmtId="0" fontId="16" fillId="4" borderId="7" xfId="0" applyFont="1" applyFill="1" applyBorder="1" applyAlignment="1">
      <alignment horizontal="left" vertical="center" wrapText="1"/>
    </xf>
    <xf numFmtId="0" fontId="16" fillId="4" borderId="7" xfId="0" applyFont="1" applyFill="1" applyBorder="1" applyAlignment="1">
      <alignment horizontal="left" wrapText="1"/>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16" fillId="4" borderId="9" xfId="0" applyFont="1" applyFill="1" applyBorder="1" applyAlignment="1">
      <alignment horizontal="left" wrapText="1"/>
    </xf>
    <xf numFmtId="0" fontId="16" fillId="4" borderId="9" xfId="0" applyFont="1" applyFill="1" applyBorder="1" applyAlignment="1">
      <alignment horizontal="left"/>
    </xf>
    <xf numFmtId="0" fontId="16" fillId="4" borderId="10" xfId="0" applyFont="1" applyFill="1" applyBorder="1" applyAlignment="1">
      <alignment horizontal="left"/>
    </xf>
    <xf numFmtId="0" fontId="4" fillId="0" borderId="53" xfId="0" applyFont="1" applyFill="1" applyBorder="1" applyAlignment="1">
      <alignment horizontal="left" vertical="top" wrapText="1"/>
    </xf>
    <xf numFmtId="0" fontId="4" fillId="0" borderId="54" xfId="0" applyFont="1" applyFill="1" applyBorder="1" applyAlignment="1">
      <alignment horizontal="left" vertical="top" wrapText="1"/>
    </xf>
    <xf numFmtId="0" fontId="4" fillId="0" borderId="55" xfId="0" applyFont="1" applyFill="1" applyBorder="1" applyAlignment="1">
      <alignment horizontal="left" vertical="top" wrapText="1"/>
    </xf>
    <xf numFmtId="0" fontId="4" fillId="0" borderId="46" xfId="0" applyFont="1" applyBorder="1" applyAlignment="1">
      <alignment horizontal="left" vertical="center" wrapText="1"/>
    </xf>
    <xf numFmtId="0" fontId="0" fillId="0" borderId="47" xfId="0" applyBorder="1" applyAlignment="1">
      <alignment horizontal="left" vertical="center" wrapText="1"/>
    </xf>
    <xf numFmtId="0" fontId="0" fillId="0" borderId="48" xfId="0" applyBorder="1" applyAlignment="1">
      <alignment horizontal="left" vertical="center" wrapText="1"/>
    </xf>
    <xf numFmtId="0" fontId="7" fillId="0" borderId="17" xfId="0" applyFont="1" applyBorder="1" applyAlignment="1">
      <alignment horizontal="left" vertical="center"/>
    </xf>
    <xf numFmtId="0" fontId="4" fillId="0" borderId="58" xfId="0" applyFont="1" applyBorder="1" applyAlignment="1">
      <alignment horizontal="left" vertical="center" wrapText="1"/>
    </xf>
    <xf numFmtId="0" fontId="4" fillId="0" borderId="59" xfId="0" applyFont="1" applyBorder="1" applyAlignment="1">
      <alignment horizontal="left" vertical="center" wrapText="1"/>
    </xf>
    <xf numFmtId="0" fontId="4" fillId="0" borderId="60"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5" fillId="0" borderId="0" xfId="0" applyFont="1" applyBorder="1" applyAlignment="1">
      <alignment horizontal="center" vertical="center"/>
    </xf>
    <xf numFmtId="0" fontId="7" fillId="0" borderId="14" xfId="0" applyFont="1" applyBorder="1" applyAlignment="1">
      <alignment horizontal="left" vertical="center" wrapText="1"/>
    </xf>
    <xf numFmtId="0" fontId="6" fillId="3" borderId="15" xfId="0" applyFont="1" applyFill="1" applyBorder="1" applyAlignment="1">
      <alignment horizontal="left" vertical="center" wrapText="1" indent="1"/>
    </xf>
    <xf numFmtId="0" fontId="7" fillId="0" borderId="16" xfId="0" applyFont="1" applyBorder="1" applyAlignment="1">
      <alignment horizontal="left" vertical="center" wrapText="1"/>
    </xf>
    <xf numFmtId="0" fontId="8" fillId="0" borderId="15" xfId="0" applyFont="1" applyBorder="1" applyAlignment="1">
      <alignment horizontal="left" vertical="center" wrapText="1" indent="1"/>
    </xf>
    <xf numFmtId="167" fontId="7" fillId="0" borderId="15" xfId="0" applyNumberFormat="1" applyFont="1" applyBorder="1" applyAlignment="1">
      <alignment horizontal="center" vertical="center"/>
    </xf>
    <xf numFmtId="0" fontId="16" fillId="4" borderId="18" xfId="0" applyFont="1" applyFill="1" applyBorder="1" applyAlignment="1">
      <alignment horizontal="left" vertical="center" wrapText="1" indent="1"/>
    </xf>
    <xf numFmtId="0" fontId="8" fillId="0" borderId="17" xfId="0" applyFont="1" applyBorder="1" applyAlignment="1">
      <alignment horizontal="center" vertical="center"/>
    </xf>
    <xf numFmtId="0" fontId="8" fillId="0" borderId="19" xfId="0" applyFont="1" applyBorder="1" applyAlignment="1">
      <alignment horizontal="center" vertical="center" wrapText="1"/>
    </xf>
    <xf numFmtId="0" fontId="8" fillId="0" borderId="18" xfId="0" applyFont="1" applyBorder="1" applyAlignment="1">
      <alignment horizontal="center" vertical="center" wrapText="1"/>
    </xf>
    <xf numFmtId="0" fontId="4" fillId="0" borderId="53" xfId="0" applyFont="1" applyBorder="1" applyAlignment="1">
      <alignment horizontal="left" vertical="top" wrapText="1"/>
    </xf>
    <xf numFmtId="0" fontId="4" fillId="0" borderId="54" xfId="0" applyFont="1" applyBorder="1" applyAlignment="1">
      <alignment horizontal="left" vertical="top" wrapText="1"/>
    </xf>
    <xf numFmtId="0" fontId="4" fillId="0" borderId="55" xfId="0" applyFont="1" applyBorder="1" applyAlignment="1">
      <alignment horizontal="left" vertical="top" wrapText="1"/>
    </xf>
    <xf numFmtId="0" fontId="0" fillId="0" borderId="23" xfId="0" applyFont="1" applyBorder="1" applyAlignment="1">
      <alignment horizontal="center"/>
    </xf>
    <xf numFmtId="3" fontId="10" fillId="0" borderId="24" xfId="0" applyNumberFormat="1" applyFont="1" applyBorder="1" applyAlignment="1">
      <alignment horizontal="center"/>
    </xf>
    <xf numFmtId="0" fontId="11" fillId="0" borderId="12" xfId="0" applyFont="1" applyBorder="1" applyAlignment="1">
      <alignment horizontal="center" vertical="center" wrapText="1"/>
    </xf>
    <xf numFmtId="0" fontId="2" fillId="0" borderId="12" xfId="0" applyFont="1" applyBorder="1"/>
    <xf numFmtId="0" fontId="12" fillId="0" borderId="12" xfId="0" applyFont="1" applyBorder="1" applyAlignment="1">
      <alignment horizontal="left" indent="1"/>
    </xf>
    <xf numFmtId="0" fontId="4" fillId="0" borderId="14" xfId="0" applyFont="1" applyBorder="1" applyAlignment="1">
      <alignment horizontal="left" vertical="center" wrapText="1"/>
    </xf>
    <xf numFmtId="0" fontId="4" fillId="0" borderId="44" xfId="0" applyFont="1" applyBorder="1" applyAlignment="1">
      <alignment horizontal="left" vertical="center" wrapText="1"/>
    </xf>
    <xf numFmtId="0" fontId="4" fillId="0" borderId="45" xfId="0" applyFont="1" applyBorder="1" applyAlignment="1">
      <alignment horizontal="left" vertical="center" wrapText="1"/>
    </xf>
    <xf numFmtId="0" fontId="13" fillId="0" borderId="12" xfId="0" applyFont="1" applyBorder="1" applyAlignment="1">
      <alignment horizontal="left"/>
    </xf>
    <xf numFmtId="0" fontId="12" fillId="0" borderId="26" xfId="0" applyFont="1" applyBorder="1"/>
    <xf numFmtId="0" fontId="12" fillId="0" borderId="27" xfId="0" applyFont="1" applyBorder="1" applyAlignment="1">
      <alignment horizontal="left" vertical="center" wrapText="1" indent="1"/>
    </xf>
    <xf numFmtId="0" fontId="14" fillId="0" borderId="25" xfId="0" applyFont="1" applyBorder="1" applyAlignment="1">
      <alignment horizontal="center" vertical="center"/>
    </xf>
    <xf numFmtId="0" fontId="14" fillId="0" borderId="12" xfId="0" applyFont="1" applyBorder="1" applyAlignment="1">
      <alignment horizontal="center" vertical="center"/>
    </xf>
    <xf numFmtId="0" fontId="14" fillId="0" borderId="25" xfId="0" applyFont="1" applyBorder="1" applyAlignment="1">
      <alignment horizontal="center" vertical="center" wrapText="1"/>
    </xf>
    <xf numFmtId="0" fontId="14" fillId="0" borderId="30" xfId="0" applyFont="1" applyBorder="1" applyAlignment="1">
      <alignment horizontal="center" vertical="center"/>
    </xf>
    <xf numFmtId="0" fontId="15" fillId="0" borderId="35" xfId="0" applyFont="1" applyBorder="1" applyAlignment="1">
      <alignment vertical="center" wrapText="1"/>
    </xf>
    <xf numFmtId="0" fontId="0" fillId="0" borderId="35" xfId="0" applyFont="1" applyBorder="1" applyAlignment="1">
      <alignment vertical="center" wrapText="1"/>
    </xf>
    <xf numFmtId="0" fontId="15" fillId="0" borderId="36" xfId="0" applyFont="1" applyBorder="1" applyAlignment="1">
      <alignment vertical="center"/>
    </xf>
    <xf numFmtId="0" fontId="0" fillId="0" borderId="61" xfId="0" applyFont="1" applyBorder="1" applyAlignment="1">
      <alignment vertical="center"/>
    </xf>
    <xf numFmtId="0" fontId="10" fillId="0" borderId="23" xfId="0" applyFont="1" applyBorder="1" applyAlignment="1">
      <alignment vertical="center" wrapText="1"/>
    </xf>
    <xf numFmtId="0" fontId="10" fillId="0" borderId="43" xfId="0" applyFont="1" applyBorder="1" applyAlignment="1">
      <alignment vertical="center" wrapText="1"/>
    </xf>
    <xf numFmtId="0" fontId="10" fillId="0" borderId="18" xfId="0" applyFont="1" applyBorder="1" applyAlignment="1">
      <alignment vertical="center" wrapText="1"/>
    </xf>
    <xf numFmtId="0" fontId="12" fillId="0" borderId="30" xfId="0" applyFont="1" applyBorder="1" applyAlignment="1">
      <alignment vertical="center" wrapText="1"/>
    </xf>
    <xf numFmtId="0" fontId="2" fillId="4" borderId="42" xfId="0" applyFont="1" applyFill="1" applyBorder="1" applyAlignment="1">
      <alignment horizontal="left" vertical="center" wrapText="1" indent="1"/>
    </xf>
    <xf numFmtId="0" fontId="0" fillId="0" borderId="39" xfId="0" applyBorder="1" applyAlignment="1">
      <alignment horizontal="left" vertical="center"/>
    </xf>
    <xf numFmtId="0" fontId="14" fillId="0" borderId="42" xfId="0" applyFont="1" applyBorder="1" applyAlignment="1">
      <alignment horizontal="left" vertical="center" wrapText="1"/>
    </xf>
    <xf numFmtId="0" fontId="0" fillId="0" borderId="25" xfId="0" applyBorder="1"/>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I364"/>
  <sheetViews>
    <sheetView tabSelected="1" topLeftCell="A4" zoomScaleNormal="100" workbookViewId="0">
      <selection activeCell="I31" sqref="I31"/>
    </sheetView>
  </sheetViews>
  <sheetFormatPr baseColWidth="10" defaultColWidth="11" defaultRowHeight="12.75" x14ac:dyDescent="0.2"/>
  <cols>
    <col min="1" max="1" width="4.5703125" style="37" customWidth="1"/>
    <col min="2" max="2" width="12.5703125" style="37" customWidth="1"/>
    <col min="3" max="3" width="25" style="37" customWidth="1"/>
    <col min="4" max="4" width="7.140625" style="37" customWidth="1"/>
    <col min="5" max="5" width="59.42578125" style="37" customWidth="1"/>
    <col min="6" max="6" width="11" style="37"/>
    <col min="7" max="7" width="10.85546875" style="37" customWidth="1"/>
    <col min="8" max="8" width="11.85546875" style="37" customWidth="1"/>
    <col min="9" max="9" width="13.42578125" style="37" customWidth="1"/>
    <col min="10" max="16384" width="11" style="37"/>
  </cols>
  <sheetData>
    <row r="2" spans="1:9" ht="27" x14ac:dyDescent="0.35">
      <c r="B2" s="111" t="s">
        <v>0</v>
      </c>
      <c r="C2" s="111"/>
      <c r="D2" s="111"/>
      <c r="E2" s="111"/>
      <c r="F2" s="111"/>
      <c r="G2" s="111"/>
      <c r="H2" s="111"/>
    </row>
    <row r="3" spans="1:9" ht="8.25" customHeight="1" x14ac:dyDescent="0.2"/>
    <row r="4" spans="1:9" ht="27.75" customHeight="1" x14ac:dyDescent="0.25">
      <c r="A4" s="110" t="s">
        <v>1</v>
      </c>
      <c r="B4" s="110"/>
      <c r="C4" s="112" t="s">
        <v>60</v>
      </c>
      <c r="D4" s="112"/>
      <c r="E4" s="112"/>
      <c r="F4" s="38"/>
      <c r="G4" s="39"/>
      <c r="H4" s="38"/>
    </row>
    <row r="5" spans="1:9" ht="18" customHeight="1" x14ac:dyDescent="0.25">
      <c r="A5" s="110" t="s">
        <v>2</v>
      </c>
      <c r="B5" s="110"/>
      <c r="C5" s="112" t="s">
        <v>61</v>
      </c>
      <c r="D5" s="112"/>
      <c r="E5" s="112"/>
      <c r="F5" s="38"/>
      <c r="G5" s="39"/>
      <c r="H5" s="38"/>
    </row>
    <row r="6" spans="1:9" ht="16.5" customHeight="1" x14ac:dyDescent="0.25">
      <c r="A6" s="110" t="s">
        <v>3</v>
      </c>
      <c r="B6" s="110"/>
      <c r="C6" s="64">
        <v>2020</v>
      </c>
      <c r="D6" s="65"/>
      <c r="E6" s="65"/>
      <c r="F6" s="38"/>
      <c r="G6" s="39"/>
      <c r="H6" s="38"/>
    </row>
    <row r="7" spans="1:9" ht="16.5" customHeight="1" x14ac:dyDescent="0.25">
      <c r="A7" s="110" t="s">
        <v>4</v>
      </c>
      <c r="B7" s="110"/>
      <c r="C7" s="64">
        <v>4</v>
      </c>
      <c r="D7" s="65"/>
      <c r="E7" s="65"/>
      <c r="F7" s="38"/>
      <c r="G7" s="39"/>
      <c r="H7" s="38"/>
    </row>
    <row r="8" spans="1:9" x14ac:dyDescent="0.2">
      <c r="B8" s="38"/>
      <c r="C8" s="39"/>
      <c r="D8" s="38"/>
      <c r="E8" s="38"/>
      <c r="F8" s="38"/>
      <c r="G8" s="39"/>
      <c r="H8" s="38"/>
    </row>
    <row r="9" spans="1:9" ht="39" thickTop="1" x14ac:dyDescent="0.2">
      <c r="A9" s="72" t="s">
        <v>5</v>
      </c>
      <c r="B9" s="72" t="s">
        <v>6</v>
      </c>
      <c r="C9" s="72" t="s">
        <v>7</v>
      </c>
      <c r="D9" s="72" t="s">
        <v>8</v>
      </c>
      <c r="E9" s="72" t="s">
        <v>9</v>
      </c>
      <c r="F9" s="72" t="s">
        <v>10</v>
      </c>
      <c r="G9" s="72" t="s">
        <v>11</v>
      </c>
      <c r="H9" s="72" t="s">
        <v>12</v>
      </c>
      <c r="I9" s="72" t="s">
        <v>13</v>
      </c>
    </row>
    <row r="10" spans="1:9" ht="51" customHeight="1" x14ac:dyDescent="0.2">
      <c r="A10" s="66">
        <v>1</v>
      </c>
      <c r="B10" s="67" t="s">
        <v>68</v>
      </c>
      <c r="C10" s="68" t="s">
        <v>66</v>
      </c>
      <c r="D10" s="69" t="str">
        <f t="shared" ref="D10:D13" si="0">LEFT(B10,5)</f>
        <v>4.3.9</v>
      </c>
      <c r="E10" s="68" t="s">
        <v>69</v>
      </c>
      <c r="F10" s="67" t="s">
        <v>14</v>
      </c>
      <c r="G10" s="67">
        <v>1</v>
      </c>
      <c r="H10" s="70">
        <v>308000</v>
      </c>
      <c r="I10" s="71">
        <f t="shared" ref="I10:I28" si="1">G10*H10</f>
        <v>308000</v>
      </c>
    </row>
    <row r="11" spans="1:9" ht="51" customHeight="1" thickBot="1" x14ac:dyDescent="0.25">
      <c r="A11" s="66">
        <v>2</v>
      </c>
      <c r="B11" s="67" t="s">
        <v>68</v>
      </c>
      <c r="C11" s="68" t="s">
        <v>66</v>
      </c>
      <c r="D11" s="69" t="str">
        <f t="shared" ref="D11" si="2">LEFT(B11,5)</f>
        <v>4.3.9</v>
      </c>
      <c r="E11" s="68" t="s">
        <v>69</v>
      </c>
      <c r="F11" s="67" t="s">
        <v>14</v>
      </c>
      <c r="G11" s="67">
        <v>1</v>
      </c>
      <c r="H11" s="70">
        <v>368109.53200000001</v>
      </c>
      <c r="I11" s="71">
        <f t="shared" ref="I11" si="3">G11*H11</f>
        <v>368109.53200000001</v>
      </c>
    </row>
    <row r="12" spans="1:9" ht="45.75" customHeight="1" thickBot="1" x14ac:dyDescent="0.25">
      <c r="A12" s="66">
        <v>3</v>
      </c>
      <c r="B12" s="67" t="s">
        <v>65</v>
      </c>
      <c r="C12" s="68" t="s">
        <v>66</v>
      </c>
      <c r="D12" s="41" t="str">
        <f>LEFT(B12,5)</f>
        <v>4.3.9</v>
      </c>
      <c r="E12" s="68" t="s">
        <v>67</v>
      </c>
      <c r="F12" s="62" t="s">
        <v>14</v>
      </c>
      <c r="G12" s="67">
        <v>1</v>
      </c>
      <c r="H12" s="63">
        <v>182000</v>
      </c>
      <c r="I12" s="71">
        <f t="shared" si="1"/>
        <v>182000</v>
      </c>
    </row>
    <row r="13" spans="1:9" ht="52.5" customHeight="1" thickBot="1" x14ac:dyDescent="0.25">
      <c r="A13" s="66">
        <v>4</v>
      </c>
      <c r="B13" s="67" t="s">
        <v>70</v>
      </c>
      <c r="C13" s="40" t="s">
        <v>72</v>
      </c>
      <c r="D13" s="41" t="str">
        <f t="shared" si="0"/>
        <v>2.4.3</v>
      </c>
      <c r="E13" s="68" t="s">
        <v>71</v>
      </c>
      <c r="F13" s="62" t="s">
        <v>14</v>
      </c>
      <c r="G13" s="67">
        <v>3</v>
      </c>
      <c r="H13" s="63">
        <v>142800</v>
      </c>
      <c r="I13" s="71">
        <f t="shared" si="1"/>
        <v>428400</v>
      </c>
    </row>
    <row r="14" spans="1:9" ht="52.5" customHeight="1" thickBot="1" x14ac:dyDescent="0.25">
      <c r="A14" s="66">
        <v>5</v>
      </c>
      <c r="B14" s="67" t="s">
        <v>73</v>
      </c>
      <c r="C14" s="40" t="s">
        <v>74</v>
      </c>
      <c r="D14" s="41" t="s">
        <v>75</v>
      </c>
      <c r="E14" s="68" t="s">
        <v>76</v>
      </c>
      <c r="F14" s="62" t="s">
        <v>14</v>
      </c>
      <c r="G14" s="67">
        <v>2</v>
      </c>
      <c r="H14" s="63">
        <v>42280</v>
      </c>
      <c r="I14" s="71">
        <f t="shared" si="1"/>
        <v>84560</v>
      </c>
    </row>
    <row r="15" spans="1:9" ht="52.5" customHeight="1" thickBot="1" x14ac:dyDescent="0.25">
      <c r="A15" s="66">
        <v>6</v>
      </c>
      <c r="B15" s="67" t="s">
        <v>78</v>
      </c>
      <c r="C15" s="40" t="s">
        <v>79</v>
      </c>
      <c r="D15" s="41" t="s">
        <v>75</v>
      </c>
      <c r="E15" s="68" t="s">
        <v>80</v>
      </c>
      <c r="F15" s="62" t="s">
        <v>14</v>
      </c>
      <c r="G15" s="67">
        <v>1</v>
      </c>
      <c r="H15" s="63">
        <v>432460</v>
      </c>
      <c r="I15" s="71">
        <f t="shared" si="1"/>
        <v>432460</v>
      </c>
    </row>
    <row r="16" spans="1:9" ht="39.75" customHeight="1" x14ac:dyDescent="0.2">
      <c r="A16" s="66">
        <v>7</v>
      </c>
      <c r="B16" s="67" t="s">
        <v>82</v>
      </c>
      <c r="C16" s="40" t="s">
        <v>74</v>
      </c>
      <c r="D16" s="41" t="s">
        <v>75</v>
      </c>
      <c r="E16" s="68" t="s">
        <v>83</v>
      </c>
      <c r="F16" s="62" t="s">
        <v>14</v>
      </c>
      <c r="G16" s="67">
        <v>4</v>
      </c>
      <c r="H16" s="63">
        <v>16800</v>
      </c>
      <c r="I16" s="71">
        <f t="shared" si="1"/>
        <v>67200</v>
      </c>
    </row>
    <row r="17" spans="1:9" ht="39.75" customHeight="1" x14ac:dyDescent="0.2">
      <c r="A17" s="78">
        <v>8</v>
      </c>
      <c r="B17" s="67" t="s">
        <v>84</v>
      </c>
      <c r="C17" s="68" t="s">
        <v>86</v>
      </c>
      <c r="D17" s="69" t="s">
        <v>87</v>
      </c>
      <c r="E17" s="68" t="s">
        <v>85</v>
      </c>
      <c r="F17" s="67" t="s">
        <v>14</v>
      </c>
      <c r="G17" s="67">
        <v>1</v>
      </c>
      <c r="H17" s="70">
        <v>1330000</v>
      </c>
      <c r="I17" s="71">
        <f t="shared" si="1"/>
        <v>1330000</v>
      </c>
    </row>
    <row r="18" spans="1:9" ht="39.75" customHeight="1" x14ac:dyDescent="0.2">
      <c r="A18" s="66">
        <v>9</v>
      </c>
      <c r="B18" s="67" t="s">
        <v>89</v>
      </c>
      <c r="C18" s="68" t="s">
        <v>86</v>
      </c>
      <c r="D18" s="69" t="s">
        <v>87</v>
      </c>
      <c r="E18" s="68" t="s">
        <v>90</v>
      </c>
      <c r="F18" s="67" t="s">
        <v>14</v>
      </c>
      <c r="G18" s="67">
        <v>1</v>
      </c>
      <c r="H18" s="70">
        <v>5600</v>
      </c>
      <c r="I18" s="71">
        <f t="shared" si="1"/>
        <v>5600</v>
      </c>
    </row>
    <row r="19" spans="1:9" ht="39.75" customHeight="1" x14ac:dyDescent="0.2">
      <c r="A19" s="78">
        <v>10</v>
      </c>
      <c r="B19" s="67" t="s">
        <v>89</v>
      </c>
      <c r="C19" s="68" t="s">
        <v>86</v>
      </c>
      <c r="D19" s="69" t="s">
        <v>87</v>
      </c>
      <c r="E19" s="68" t="s">
        <v>90</v>
      </c>
      <c r="F19" s="67" t="s">
        <v>14</v>
      </c>
      <c r="G19" s="67">
        <v>1</v>
      </c>
      <c r="H19" s="70">
        <v>5600</v>
      </c>
      <c r="I19" s="71">
        <f t="shared" si="1"/>
        <v>5600</v>
      </c>
    </row>
    <row r="20" spans="1:9" ht="39.75" customHeight="1" x14ac:dyDescent="0.2">
      <c r="A20" s="66">
        <v>11</v>
      </c>
      <c r="B20" s="67" t="s">
        <v>89</v>
      </c>
      <c r="C20" s="68" t="s">
        <v>86</v>
      </c>
      <c r="D20" s="69" t="s">
        <v>87</v>
      </c>
      <c r="E20" s="68" t="s">
        <v>90</v>
      </c>
      <c r="F20" s="67" t="s">
        <v>14</v>
      </c>
      <c r="G20" s="67">
        <v>1</v>
      </c>
      <c r="H20" s="70">
        <v>5600</v>
      </c>
      <c r="I20" s="71">
        <f t="shared" si="1"/>
        <v>5600</v>
      </c>
    </row>
    <row r="21" spans="1:9" ht="39.75" customHeight="1" x14ac:dyDescent="0.2">
      <c r="A21" s="78">
        <v>12</v>
      </c>
      <c r="B21" s="67" t="s">
        <v>89</v>
      </c>
      <c r="C21" s="68" t="s">
        <v>86</v>
      </c>
      <c r="D21" s="69" t="s">
        <v>87</v>
      </c>
      <c r="E21" s="68" t="s">
        <v>90</v>
      </c>
      <c r="F21" s="67" t="s">
        <v>14</v>
      </c>
      <c r="G21" s="67">
        <v>1</v>
      </c>
      <c r="H21" s="70">
        <v>5600</v>
      </c>
      <c r="I21" s="71">
        <f t="shared" si="1"/>
        <v>5600</v>
      </c>
    </row>
    <row r="22" spans="1:9" ht="39.75" customHeight="1" x14ac:dyDescent="0.2">
      <c r="A22" s="66">
        <v>13</v>
      </c>
      <c r="B22" s="67" t="s">
        <v>89</v>
      </c>
      <c r="C22" s="68" t="s">
        <v>86</v>
      </c>
      <c r="D22" s="69" t="s">
        <v>87</v>
      </c>
      <c r="E22" s="68" t="s">
        <v>90</v>
      </c>
      <c r="F22" s="67" t="s">
        <v>14</v>
      </c>
      <c r="G22" s="67">
        <v>1</v>
      </c>
      <c r="H22" s="70">
        <v>5600</v>
      </c>
      <c r="I22" s="71">
        <f t="shared" si="1"/>
        <v>5600</v>
      </c>
    </row>
    <row r="23" spans="1:9" ht="39.75" customHeight="1" x14ac:dyDescent="0.2">
      <c r="A23" s="78">
        <v>14</v>
      </c>
      <c r="B23" s="67" t="s">
        <v>89</v>
      </c>
      <c r="C23" s="68" t="s">
        <v>86</v>
      </c>
      <c r="D23" s="69" t="s">
        <v>87</v>
      </c>
      <c r="E23" s="68" t="s">
        <v>90</v>
      </c>
      <c r="F23" s="67" t="s">
        <v>14</v>
      </c>
      <c r="G23" s="67">
        <v>1</v>
      </c>
      <c r="H23" s="70">
        <v>5600</v>
      </c>
      <c r="I23" s="71">
        <f t="shared" si="1"/>
        <v>5600</v>
      </c>
    </row>
    <row r="24" spans="1:9" ht="39.75" customHeight="1" x14ac:dyDescent="0.2">
      <c r="A24" s="66">
        <v>15</v>
      </c>
      <c r="B24" s="67" t="s">
        <v>89</v>
      </c>
      <c r="C24" s="68" t="s">
        <v>86</v>
      </c>
      <c r="D24" s="69" t="s">
        <v>87</v>
      </c>
      <c r="E24" s="68" t="s">
        <v>90</v>
      </c>
      <c r="F24" s="67" t="s">
        <v>14</v>
      </c>
      <c r="G24" s="67">
        <v>1</v>
      </c>
      <c r="H24" s="70">
        <v>5600</v>
      </c>
      <c r="I24" s="71">
        <f t="shared" si="1"/>
        <v>5600</v>
      </c>
    </row>
    <row r="25" spans="1:9" ht="39.75" customHeight="1" x14ac:dyDescent="0.2">
      <c r="A25" s="78">
        <v>16</v>
      </c>
      <c r="B25" s="67" t="s">
        <v>89</v>
      </c>
      <c r="C25" s="68" t="s">
        <v>86</v>
      </c>
      <c r="D25" s="69" t="s">
        <v>87</v>
      </c>
      <c r="E25" s="68" t="s">
        <v>90</v>
      </c>
      <c r="F25" s="67" t="s">
        <v>14</v>
      </c>
      <c r="G25" s="67">
        <v>1</v>
      </c>
      <c r="H25" s="70">
        <v>5600</v>
      </c>
      <c r="I25" s="71">
        <f t="shared" si="1"/>
        <v>5600</v>
      </c>
    </row>
    <row r="26" spans="1:9" ht="39.75" customHeight="1" x14ac:dyDescent="0.2">
      <c r="A26" s="66">
        <v>17</v>
      </c>
      <c r="B26" s="67" t="s">
        <v>89</v>
      </c>
      <c r="C26" s="68" t="s">
        <v>86</v>
      </c>
      <c r="D26" s="69" t="s">
        <v>87</v>
      </c>
      <c r="E26" s="68" t="s">
        <v>90</v>
      </c>
      <c r="F26" s="67" t="s">
        <v>14</v>
      </c>
      <c r="G26" s="67">
        <v>1</v>
      </c>
      <c r="H26" s="70">
        <v>5600</v>
      </c>
      <c r="I26" s="71">
        <f t="shared" si="1"/>
        <v>5600</v>
      </c>
    </row>
    <row r="27" spans="1:9" ht="39.75" customHeight="1" thickBot="1" x14ac:dyDescent="0.25">
      <c r="A27" s="78">
        <v>18</v>
      </c>
      <c r="B27" s="67" t="s">
        <v>89</v>
      </c>
      <c r="C27" s="68" t="s">
        <v>86</v>
      </c>
      <c r="D27" s="69" t="s">
        <v>87</v>
      </c>
      <c r="E27" s="68" t="s">
        <v>90</v>
      </c>
      <c r="F27" s="67" t="s">
        <v>14</v>
      </c>
      <c r="G27" s="67">
        <v>1</v>
      </c>
      <c r="H27" s="70">
        <v>5600</v>
      </c>
      <c r="I27" s="71">
        <f t="shared" si="1"/>
        <v>5600</v>
      </c>
    </row>
    <row r="28" spans="1:9" ht="58.5" customHeight="1" thickBot="1" x14ac:dyDescent="0.25">
      <c r="A28" s="66">
        <v>19</v>
      </c>
      <c r="B28" s="73" t="s">
        <v>93</v>
      </c>
      <c r="C28" s="40" t="s">
        <v>74</v>
      </c>
      <c r="D28" s="75" t="s">
        <v>75</v>
      </c>
      <c r="E28" s="74" t="s">
        <v>94</v>
      </c>
      <c r="F28" s="73" t="s">
        <v>14</v>
      </c>
      <c r="G28" s="73">
        <v>2</v>
      </c>
      <c r="H28" s="76">
        <v>308000</v>
      </c>
      <c r="I28" s="71">
        <f t="shared" si="1"/>
        <v>616000</v>
      </c>
    </row>
    <row r="29" spans="1:9" ht="50.25" customHeight="1" thickBot="1" x14ac:dyDescent="0.25">
      <c r="A29" s="78">
        <v>20</v>
      </c>
      <c r="B29" s="73" t="s">
        <v>95</v>
      </c>
      <c r="C29" s="40" t="s">
        <v>74</v>
      </c>
      <c r="D29" s="75" t="s">
        <v>75</v>
      </c>
      <c r="E29" s="74" t="s">
        <v>96</v>
      </c>
      <c r="F29" s="73" t="s">
        <v>14</v>
      </c>
      <c r="G29" s="73">
        <v>2</v>
      </c>
      <c r="H29" s="76">
        <v>28000</v>
      </c>
      <c r="I29" s="71">
        <f t="shared" ref="I29" si="4">G29*H29</f>
        <v>56000</v>
      </c>
    </row>
    <row r="30" spans="1:9" ht="52.5" customHeight="1" x14ac:dyDescent="0.2">
      <c r="A30" s="66">
        <v>21</v>
      </c>
      <c r="B30" s="73" t="s">
        <v>97</v>
      </c>
      <c r="C30" s="40" t="s">
        <v>98</v>
      </c>
      <c r="D30" s="75" t="s">
        <v>124</v>
      </c>
      <c r="E30" s="74" t="s">
        <v>99</v>
      </c>
      <c r="F30" s="73" t="s">
        <v>100</v>
      </c>
      <c r="G30" s="73">
        <v>1</v>
      </c>
      <c r="H30" s="76">
        <v>259000</v>
      </c>
      <c r="I30" s="71">
        <f t="shared" ref="I30" si="5">G30*H30</f>
        <v>259000</v>
      </c>
    </row>
    <row r="31" spans="1:9" ht="13.5" thickBot="1" x14ac:dyDescent="0.25">
      <c r="I31" s="97"/>
    </row>
    <row r="32" spans="1:9" x14ac:dyDescent="0.2">
      <c r="B32" s="77" t="s">
        <v>15</v>
      </c>
      <c r="C32" s="43"/>
      <c r="D32" s="43"/>
      <c r="E32" s="44"/>
    </row>
    <row r="33" spans="2:5" ht="7.5" customHeight="1" x14ac:dyDescent="0.2">
      <c r="B33" s="45"/>
      <c r="C33" s="46"/>
      <c r="D33" s="46"/>
      <c r="E33" s="47"/>
    </row>
    <row r="34" spans="2:5" x14ac:dyDescent="0.2">
      <c r="B34" s="48" t="s">
        <v>16</v>
      </c>
      <c r="C34" s="46"/>
      <c r="D34" s="46"/>
      <c r="E34" s="47"/>
    </row>
    <row r="35" spans="2:5" ht="159.75" customHeight="1" x14ac:dyDescent="0.2">
      <c r="B35" s="48"/>
      <c r="C35" s="107" t="s">
        <v>116</v>
      </c>
      <c r="D35" s="107"/>
      <c r="E35" s="108"/>
    </row>
    <row r="36" spans="2:5" x14ac:dyDescent="0.2">
      <c r="B36" s="48" t="s">
        <v>17</v>
      </c>
      <c r="C36" s="46"/>
      <c r="D36" s="46"/>
      <c r="E36" s="47"/>
    </row>
    <row r="37" spans="2:5" ht="12.75" customHeight="1" x14ac:dyDescent="0.2">
      <c r="B37" s="49"/>
      <c r="C37" s="107" t="s">
        <v>125</v>
      </c>
      <c r="D37" s="107"/>
      <c r="E37" s="108"/>
    </row>
    <row r="38" spans="2:5" ht="59.25" customHeight="1" x14ac:dyDescent="0.2">
      <c r="B38" s="49"/>
      <c r="C38" s="107"/>
      <c r="D38" s="107"/>
      <c r="E38" s="108"/>
    </row>
    <row r="39" spans="2:5" x14ac:dyDescent="0.2">
      <c r="B39" s="48" t="s">
        <v>18</v>
      </c>
      <c r="C39" s="46"/>
      <c r="D39" s="46"/>
      <c r="E39" s="47"/>
    </row>
    <row r="40" spans="2:5" ht="6" customHeight="1" x14ac:dyDescent="0.2">
      <c r="B40" s="49"/>
      <c r="C40" s="102"/>
      <c r="D40" s="102"/>
      <c r="E40" s="109"/>
    </row>
    <row r="41" spans="2:5" x14ac:dyDescent="0.2">
      <c r="B41" s="48" t="s">
        <v>123</v>
      </c>
      <c r="C41" s="50"/>
      <c r="D41" s="50"/>
      <c r="E41" s="51"/>
    </row>
    <row r="42" spans="2:5" ht="7.5" customHeight="1" x14ac:dyDescent="0.2">
      <c r="B42" s="49"/>
      <c r="C42" s="102"/>
      <c r="D42" s="102"/>
      <c r="E42" s="109"/>
    </row>
    <row r="43" spans="2:5" x14ac:dyDescent="0.2">
      <c r="B43" s="48" t="s">
        <v>19</v>
      </c>
      <c r="C43" s="46"/>
      <c r="D43" s="46"/>
      <c r="E43" s="47"/>
    </row>
    <row r="44" spans="2:5" ht="15" customHeight="1" x14ac:dyDescent="0.2">
      <c r="B44" s="48"/>
      <c r="C44" s="102" t="s">
        <v>59</v>
      </c>
      <c r="D44" s="103"/>
      <c r="E44" s="104"/>
    </row>
    <row r="45" spans="2:5" ht="13.5" thickBot="1" x14ac:dyDescent="0.25">
      <c r="B45" s="52"/>
      <c r="C45" s="53"/>
      <c r="D45" s="53"/>
      <c r="E45" s="54"/>
    </row>
    <row r="46" spans="2:5" ht="13.5" thickBot="1" x14ac:dyDescent="0.25"/>
    <row r="47" spans="2:5" x14ac:dyDescent="0.2">
      <c r="B47" s="77" t="s">
        <v>20</v>
      </c>
      <c r="C47" s="43"/>
      <c r="D47" s="43"/>
      <c r="E47" s="44"/>
    </row>
    <row r="48" spans="2:5" ht="7.5" customHeight="1" x14ac:dyDescent="0.2">
      <c r="B48" s="45"/>
      <c r="C48" s="46"/>
      <c r="D48" s="46"/>
      <c r="E48" s="47"/>
    </row>
    <row r="49" spans="2:5" x14ac:dyDescent="0.2">
      <c r="B49" s="48" t="s">
        <v>16</v>
      </c>
      <c r="C49" s="46"/>
      <c r="D49" s="46"/>
      <c r="E49" s="47"/>
    </row>
    <row r="50" spans="2:5" ht="155.25" customHeight="1" x14ac:dyDescent="0.2">
      <c r="B50" s="48"/>
      <c r="C50" s="105" t="s">
        <v>117</v>
      </c>
      <c r="D50" s="105"/>
      <c r="E50" s="106"/>
    </row>
    <row r="51" spans="2:5" x14ac:dyDescent="0.2">
      <c r="B51" s="48" t="s">
        <v>17</v>
      </c>
      <c r="C51" s="46"/>
      <c r="D51" s="46"/>
      <c r="E51" s="47"/>
    </row>
    <row r="52" spans="2:5" x14ac:dyDescent="0.2">
      <c r="B52" s="49"/>
      <c r="C52" s="107" t="s">
        <v>125</v>
      </c>
      <c r="D52" s="107"/>
      <c r="E52" s="108"/>
    </row>
    <row r="53" spans="2:5" ht="70.5" customHeight="1" x14ac:dyDescent="0.2">
      <c r="B53" s="49"/>
      <c r="C53" s="107"/>
      <c r="D53" s="107"/>
      <c r="E53" s="108"/>
    </row>
    <row r="54" spans="2:5" x14ac:dyDescent="0.2">
      <c r="B54" s="48" t="s">
        <v>18</v>
      </c>
      <c r="C54" s="46"/>
      <c r="D54" s="46"/>
      <c r="E54" s="47"/>
    </row>
    <row r="55" spans="2:5" ht="6" customHeight="1" x14ac:dyDescent="0.2">
      <c r="B55" s="49"/>
      <c r="C55" s="102"/>
      <c r="D55" s="102"/>
      <c r="E55" s="109"/>
    </row>
    <row r="56" spans="2:5" x14ac:dyDescent="0.2">
      <c r="B56" s="48" t="s">
        <v>123</v>
      </c>
      <c r="C56" s="50"/>
      <c r="D56" s="50"/>
      <c r="E56" s="51"/>
    </row>
    <row r="57" spans="2:5" ht="7.5" customHeight="1" x14ac:dyDescent="0.2">
      <c r="B57" s="49"/>
      <c r="C57" s="102"/>
      <c r="D57" s="102"/>
      <c r="E57" s="109"/>
    </row>
    <row r="58" spans="2:5" x14ac:dyDescent="0.2">
      <c r="B58" s="48" t="s">
        <v>19</v>
      </c>
      <c r="C58" s="46"/>
      <c r="D58" s="46"/>
      <c r="E58" s="47"/>
    </row>
    <row r="59" spans="2:5" ht="15" customHeight="1" x14ac:dyDescent="0.2">
      <c r="B59" s="48"/>
      <c r="C59" s="102" t="s">
        <v>59</v>
      </c>
      <c r="D59" s="103"/>
      <c r="E59" s="104"/>
    </row>
    <row r="60" spans="2:5" ht="13.5" thickBot="1" x14ac:dyDescent="0.25">
      <c r="B60" s="52"/>
      <c r="C60" s="53"/>
      <c r="D60" s="53"/>
      <c r="E60" s="54"/>
    </row>
    <row r="61" spans="2:5" ht="36" customHeight="1" thickBot="1" x14ac:dyDescent="0.25"/>
    <row r="62" spans="2:5" x14ac:dyDescent="0.2">
      <c r="B62" s="42" t="s">
        <v>101</v>
      </c>
      <c r="C62" s="43"/>
      <c r="D62" s="43"/>
      <c r="E62" s="44"/>
    </row>
    <row r="63" spans="2:5" ht="6.75" customHeight="1" x14ac:dyDescent="0.2">
      <c r="B63" s="45"/>
      <c r="C63" s="46"/>
      <c r="D63" s="46"/>
      <c r="E63" s="47"/>
    </row>
    <row r="64" spans="2:5" x14ac:dyDescent="0.2">
      <c r="B64" s="48" t="s">
        <v>16</v>
      </c>
      <c r="C64" s="46"/>
      <c r="D64" s="46"/>
      <c r="E64" s="47"/>
    </row>
    <row r="65" spans="2:5" ht="116.25" customHeight="1" x14ac:dyDescent="0.2">
      <c r="B65" s="48"/>
      <c r="C65" s="107" t="s">
        <v>118</v>
      </c>
      <c r="D65" s="107"/>
      <c r="E65" s="108"/>
    </row>
    <row r="66" spans="2:5" x14ac:dyDescent="0.2">
      <c r="B66" s="48" t="s">
        <v>17</v>
      </c>
      <c r="C66" s="46"/>
      <c r="D66" s="46"/>
      <c r="E66" s="47"/>
    </row>
    <row r="67" spans="2:5" ht="24" customHeight="1" x14ac:dyDescent="0.2">
      <c r="B67" s="49"/>
      <c r="C67" s="107" t="s">
        <v>126</v>
      </c>
      <c r="D67" s="107"/>
      <c r="E67" s="108"/>
    </row>
    <row r="68" spans="2:5" ht="41.25" customHeight="1" x14ac:dyDescent="0.2">
      <c r="B68" s="49"/>
      <c r="C68" s="107"/>
      <c r="D68" s="107"/>
      <c r="E68" s="108"/>
    </row>
    <row r="69" spans="2:5" x14ac:dyDescent="0.2">
      <c r="B69" s="48" t="s">
        <v>18</v>
      </c>
      <c r="C69" s="46"/>
      <c r="D69" s="46"/>
      <c r="E69" s="47"/>
    </row>
    <row r="70" spans="2:5" ht="4.5" customHeight="1" x14ac:dyDescent="0.2">
      <c r="B70" s="49"/>
      <c r="C70" s="102"/>
      <c r="D70" s="102"/>
      <c r="E70" s="109"/>
    </row>
    <row r="71" spans="2:5" x14ac:dyDescent="0.2">
      <c r="B71" s="48" t="s">
        <v>123</v>
      </c>
      <c r="C71" s="50"/>
      <c r="D71" s="50"/>
      <c r="E71" s="51"/>
    </row>
    <row r="72" spans="2:5" ht="7.5" customHeight="1" x14ac:dyDescent="0.2">
      <c r="B72" s="49"/>
      <c r="C72" s="102"/>
      <c r="D72" s="102"/>
      <c r="E72" s="109"/>
    </row>
    <row r="73" spans="2:5" x14ac:dyDescent="0.2">
      <c r="B73" s="48" t="s">
        <v>19</v>
      </c>
      <c r="C73" s="46"/>
      <c r="D73" s="46"/>
      <c r="E73" s="47"/>
    </row>
    <row r="74" spans="2:5" x14ac:dyDescent="0.2">
      <c r="B74" s="48"/>
      <c r="C74" s="102" t="s">
        <v>59</v>
      </c>
      <c r="D74" s="103"/>
      <c r="E74" s="104"/>
    </row>
    <row r="75" spans="2:5" ht="2.25" customHeight="1" thickBot="1" x14ac:dyDescent="0.25">
      <c r="B75" s="52"/>
      <c r="C75" s="53"/>
      <c r="D75" s="53"/>
      <c r="E75" s="54"/>
    </row>
    <row r="77" spans="2:5" ht="13.5" thickBot="1" x14ac:dyDescent="0.25"/>
    <row r="78" spans="2:5" x14ac:dyDescent="0.2">
      <c r="B78" s="42" t="s">
        <v>103</v>
      </c>
      <c r="C78" s="43"/>
      <c r="D78" s="43"/>
      <c r="E78" s="44"/>
    </row>
    <row r="79" spans="2:5" x14ac:dyDescent="0.2">
      <c r="B79" s="45"/>
      <c r="C79" s="46"/>
      <c r="D79" s="46"/>
      <c r="E79" s="47"/>
    </row>
    <row r="80" spans="2:5" x14ac:dyDescent="0.2">
      <c r="B80" s="48" t="s">
        <v>16</v>
      </c>
      <c r="C80" s="46"/>
      <c r="D80" s="46"/>
      <c r="E80" s="47"/>
    </row>
    <row r="81" spans="2:5" ht="63.75" customHeight="1" x14ac:dyDescent="0.2">
      <c r="B81" s="48"/>
      <c r="C81" s="107" t="s">
        <v>119</v>
      </c>
      <c r="D81" s="107"/>
      <c r="E81" s="108"/>
    </row>
    <row r="82" spans="2:5" x14ac:dyDescent="0.2">
      <c r="B82" s="48" t="s">
        <v>17</v>
      </c>
      <c r="C82" s="46"/>
      <c r="D82" s="46"/>
      <c r="E82" s="47"/>
    </row>
    <row r="83" spans="2:5" x14ac:dyDescent="0.2">
      <c r="B83" s="49"/>
      <c r="C83" s="107" t="s">
        <v>127</v>
      </c>
      <c r="D83" s="107"/>
      <c r="E83" s="108"/>
    </row>
    <row r="84" spans="2:5" ht="51.75" customHeight="1" x14ac:dyDescent="0.2">
      <c r="B84" s="49"/>
      <c r="C84" s="107"/>
      <c r="D84" s="107"/>
      <c r="E84" s="108"/>
    </row>
    <row r="85" spans="2:5" x14ac:dyDescent="0.2">
      <c r="B85" s="48" t="s">
        <v>18</v>
      </c>
      <c r="C85" s="46"/>
      <c r="D85" s="46"/>
      <c r="E85" s="47"/>
    </row>
    <row r="86" spans="2:5" x14ac:dyDescent="0.2">
      <c r="B86" s="49"/>
      <c r="C86" s="102"/>
      <c r="D86" s="102"/>
      <c r="E86" s="109"/>
    </row>
    <row r="87" spans="2:5" x14ac:dyDescent="0.2">
      <c r="B87" s="48" t="s">
        <v>123</v>
      </c>
      <c r="C87" s="50"/>
      <c r="D87" s="50"/>
      <c r="E87" s="51"/>
    </row>
    <row r="88" spans="2:5" x14ac:dyDescent="0.2">
      <c r="B88" s="49"/>
      <c r="C88" s="102"/>
      <c r="D88" s="102"/>
      <c r="E88" s="109"/>
    </row>
    <row r="89" spans="2:5" x14ac:dyDescent="0.2">
      <c r="B89" s="48" t="s">
        <v>19</v>
      </c>
      <c r="C89" s="46"/>
      <c r="D89" s="46"/>
      <c r="E89" s="47"/>
    </row>
    <row r="90" spans="2:5" x14ac:dyDescent="0.2">
      <c r="B90" s="48"/>
      <c r="C90" s="102" t="s">
        <v>59</v>
      </c>
      <c r="D90" s="103"/>
      <c r="E90" s="104"/>
    </row>
    <row r="91" spans="2:5" ht="13.5" thickBot="1" x14ac:dyDescent="0.25">
      <c r="B91" s="52"/>
      <c r="C91" s="53"/>
      <c r="D91" s="53"/>
      <c r="E91" s="54"/>
    </row>
    <row r="92" spans="2:5" ht="20.25" customHeight="1" x14ac:dyDescent="0.2"/>
    <row r="93" spans="2:5" ht="13.5" thickBot="1" x14ac:dyDescent="0.25"/>
    <row r="94" spans="2:5" x14ac:dyDescent="0.2">
      <c r="B94" s="42" t="s">
        <v>64</v>
      </c>
      <c r="C94" s="43"/>
      <c r="D94" s="43"/>
      <c r="E94" s="44"/>
    </row>
    <row r="95" spans="2:5" ht="3.75" customHeight="1" x14ac:dyDescent="0.2">
      <c r="B95" s="45"/>
      <c r="C95" s="46"/>
      <c r="D95" s="46"/>
      <c r="E95" s="47"/>
    </row>
    <row r="96" spans="2:5" x14ac:dyDescent="0.2">
      <c r="B96" s="48" t="s">
        <v>16</v>
      </c>
      <c r="C96" s="46"/>
      <c r="D96" s="46"/>
      <c r="E96" s="47"/>
    </row>
    <row r="97" spans="2:5" ht="63" customHeight="1" x14ac:dyDescent="0.2">
      <c r="B97" s="48"/>
      <c r="C97" s="107" t="s">
        <v>77</v>
      </c>
      <c r="D97" s="107"/>
      <c r="E97" s="108"/>
    </row>
    <row r="98" spans="2:5" x14ac:dyDescent="0.2">
      <c r="B98" s="48" t="s">
        <v>17</v>
      </c>
      <c r="C98" s="46"/>
      <c r="D98" s="46"/>
      <c r="E98" s="47"/>
    </row>
    <row r="99" spans="2:5" x14ac:dyDescent="0.2">
      <c r="B99" s="49"/>
      <c r="C99" s="107" t="s">
        <v>128</v>
      </c>
      <c r="D99" s="107"/>
      <c r="E99" s="108"/>
    </row>
    <row r="100" spans="2:5" ht="75.75" customHeight="1" x14ac:dyDescent="0.2">
      <c r="B100" s="49"/>
      <c r="C100" s="107"/>
      <c r="D100" s="107"/>
      <c r="E100" s="108"/>
    </row>
    <row r="101" spans="2:5" x14ac:dyDescent="0.2">
      <c r="B101" s="48" t="s">
        <v>18</v>
      </c>
      <c r="C101" s="46"/>
      <c r="D101" s="46"/>
      <c r="E101" s="47"/>
    </row>
    <row r="102" spans="2:5" x14ac:dyDescent="0.2">
      <c r="B102" s="49"/>
      <c r="C102" s="102"/>
      <c r="D102" s="102"/>
      <c r="E102" s="109"/>
    </row>
    <row r="103" spans="2:5" x14ac:dyDescent="0.2">
      <c r="B103" s="48" t="s">
        <v>123</v>
      </c>
      <c r="C103" s="50"/>
      <c r="D103" s="50"/>
      <c r="E103" s="51"/>
    </row>
    <row r="104" spans="2:5" x14ac:dyDescent="0.2">
      <c r="B104" s="49"/>
      <c r="C104" s="102"/>
      <c r="D104" s="102"/>
      <c r="E104" s="109"/>
    </row>
    <row r="105" spans="2:5" x14ac:dyDescent="0.2">
      <c r="B105" s="48" t="s">
        <v>19</v>
      </c>
      <c r="C105" s="46"/>
      <c r="D105" s="46"/>
      <c r="E105" s="47"/>
    </row>
    <row r="106" spans="2:5" x14ac:dyDescent="0.2">
      <c r="B106" s="48"/>
      <c r="C106" s="102" t="s">
        <v>59</v>
      </c>
      <c r="D106" s="103"/>
      <c r="E106" s="104"/>
    </row>
    <row r="107" spans="2:5" ht="13.5" thickBot="1" x14ac:dyDescent="0.25">
      <c r="B107" s="52"/>
      <c r="C107" s="53"/>
      <c r="D107" s="53"/>
      <c r="E107" s="54"/>
    </row>
    <row r="108" spans="2:5" ht="4.5" customHeight="1" x14ac:dyDescent="0.2"/>
    <row r="109" spans="2:5" ht="7.5" customHeight="1" x14ac:dyDescent="0.2"/>
    <row r="110" spans="2:5" ht="12.75" customHeight="1" thickBot="1" x14ac:dyDescent="0.25"/>
    <row r="111" spans="2:5" x14ac:dyDescent="0.2">
      <c r="B111" s="42" t="s">
        <v>81</v>
      </c>
      <c r="C111" s="43"/>
      <c r="D111" s="43"/>
      <c r="E111" s="44"/>
    </row>
    <row r="112" spans="2:5" ht="3.75" customHeight="1" x14ac:dyDescent="0.2">
      <c r="B112" s="45"/>
      <c r="C112" s="46"/>
      <c r="D112" s="46"/>
      <c r="E112" s="47"/>
    </row>
    <row r="113" spans="2:5" x14ac:dyDescent="0.2">
      <c r="B113" s="48" t="s">
        <v>16</v>
      </c>
      <c r="C113" s="46"/>
      <c r="D113" s="46"/>
      <c r="E113" s="47"/>
    </row>
    <row r="114" spans="2:5" ht="65.25" customHeight="1" x14ac:dyDescent="0.2">
      <c r="B114" s="48"/>
      <c r="C114" s="107" t="s">
        <v>120</v>
      </c>
      <c r="D114" s="107"/>
      <c r="E114" s="108"/>
    </row>
    <row r="115" spans="2:5" x14ac:dyDescent="0.2">
      <c r="B115" s="48" t="s">
        <v>17</v>
      </c>
      <c r="C115" s="46"/>
      <c r="D115" s="46"/>
      <c r="E115" s="47"/>
    </row>
    <row r="116" spans="2:5" x14ac:dyDescent="0.2">
      <c r="B116" s="49"/>
      <c r="C116" s="107" t="s">
        <v>129</v>
      </c>
      <c r="D116" s="107"/>
      <c r="E116" s="108"/>
    </row>
    <row r="117" spans="2:5" ht="52.5" customHeight="1" x14ac:dyDescent="0.2">
      <c r="B117" s="49"/>
      <c r="C117" s="107"/>
      <c r="D117" s="107"/>
      <c r="E117" s="108"/>
    </row>
    <row r="118" spans="2:5" x14ac:dyDescent="0.2">
      <c r="B118" s="48" t="s">
        <v>18</v>
      </c>
      <c r="C118" s="46"/>
      <c r="D118" s="46"/>
      <c r="E118" s="47"/>
    </row>
    <row r="119" spans="2:5" x14ac:dyDescent="0.2">
      <c r="B119" s="49"/>
      <c r="C119" s="102"/>
      <c r="D119" s="102"/>
      <c r="E119" s="109"/>
    </row>
    <row r="120" spans="2:5" x14ac:dyDescent="0.2">
      <c r="B120" s="48" t="s">
        <v>123</v>
      </c>
      <c r="C120" s="50"/>
      <c r="D120" s="50"/>
      <c r="E120" s="51"/>
    </row>
    <row r="121" spans="2:5" x14ac:dyDescent="0.2">
      <c r="B121" s="49"/>
      <c r="C121" s="102"/>
      <c r="D121" s="102"/>
      <c r="E121" s="109"/>
    </row>
    <row r="122" spans="2:5" x14ac:dyDescent="0.2">
      <c r="B122" s="48" t="s">
        <v>19</v>
      </c>
      <c r="C122" s="46"/>
      <c r="D122" s="46"/>
      <c r="E122" s="47"/>
    </row>
    <row r="123" spans="2:5" x14ac:dyDescent="0.2">
      <c r="B123" s="48"/>
      <c r="C123" s="102" t="s">
        <v>59</v>
      </c>
      <c r="D123" s="103"/>
      <c r="E123" s="104"/>
    </row>
    <row r="124" spans="2:5" ht="13.5" thickBot="1" x14ac:dyDescent="0.25">
      <c r="B124" s="52"/>
      <c r="C124" s="53"/>
      <c r="D124" s="53"/>
      <c r="E124" s="54"/>
    </row>
    <row r="125" spans="2:5" ht="4.5" customHeight="1" x14ac:dyDescent="0.2"/>
    <row r="127" spans="2:5" ht="13.5" thickBot="1" x14ac:dyDescent="0.25"/>
    <row r="128" spans="2:5" x14ac:dyDescent="0.2">
      <c r="B128" s="42" t="s">
        <v>91</v>
      </c>
      <c r="C128" s="43"/>
      <c r="D128" s="43"/>
      <c r="E128" s="44"/>
    </row>
    <row r="129" spans="2:5" x14ac:dyDescent="0.2">
      <c r="B129" s="45"/>
      <c r="C129" s="46"/>
      <c r="D129" s="46"/>
      <c r="E129" s="47"/>
    </row>
    <row r="130" spans="2:5" x14ac:dyDescent="0.2">
      <c r="B130" s="48" t="s">
        <v>16</v>
      </c>
      <c r="C130" s="46"/>
      <c r="D130" s="46"/>
      <c r="E130" s="47"/>
    </row>
    <row r="131" spans="2:5" ht="36" customHeight="1" x14ac:dyDescent="0.2">
      <c r="B131" s="48"/>
      <c r="C131" s="105"/>
      <c r="D131" s="105"/>
      <c r="E131" s="106"/>
    </row>
    <row r="132" spans="2:5" x14ac:dyDescent="0.2">
      <c r="B132" s="48" t="s">
        <v>17</v>
      </c>
      <c r="C132" s="46"/>
      <c r="D132" s="46"/>
      <c r="E132" s="47"/>
    </row>
    <row r="133" spans="2:5" x14ac:dyDescent="0.2">
      <c r="B133" s="49"/>
      <c r="C133" s="107" t="s">
        <v>127</v>
      </c>
      <c r="D133" s="107"/>
      <c r="E133" s="108"/>
    </row>
    <row r="134" spans="2:5" ht="88.5" customHeight="1" x14ac:dyDescent="0.2">
      <c r="B134" s="49"/>
      <c r="C134" s="107"/>
      <c r="D134" s="107"/>
      <c r="E134" s="108"/>
    </row>
    <row r="135" spans="2:5" x14ac:dyDescent="0.2">
      <c r="B135" s="48" t="s">
        <v>18</v>
      </c>
      <c r="C135" s="46"/>
      <c r="D135" s="46"/>
      <c r="E135" s="47"/>
    </row>
    <row r="136" spans="2:5" x14ac:dyDescent="0.2">
      <c r="B136" s="49"/>
      <c r="C136" s="102"/>
      <c r="D136" s="102"/>
      <c r="E136" s="109"/>
    </row>
    <row r="137" spans="2:5" x14ac:dyDescent="0.2">
      <c r="B137" s="48" t="s">
        <v>123</v>
      </c>
      <c r="C137" s="50"/>
      <c r="D137" s="50"/>
      <c r="E137" s="51"/>
    </row>
    <row r="138" spans="2:5" x14ac:dyDescent="0.2">
      <c r="B138" s="49"/>
      <c r="C138" s="102"/>
      <c r="D138" s="102"/>
      <c r="E138" s="109"/>
    </row>
    <row r="139" spans="2:5" x14ac:dyDescent="0.2">
      <c r="B139" s="48" t="s">
        <v>19</v>
      </c>
      <c r="C139" s="46"/>
      <c r="D139" s="46"/>
      <c r="E139" s="47"/>
    </row>
    <row r="140" spans="2:5" x14ac:dyDescent="0.2">
      <c r="B140" s="48"/>
      <c r="C140" s="102" t="s">
        <v>59</v>
      </c>
      <c r="D140" s="103"/>
      <c r="E140" s="104"/>
    </row>
    <row r="141" spans="2:5" ht="13.5" thickBot="1" x14ac:dyDescent="0.25">
      <c r="B141" s="52"/>
      <c r="C141" s="53"/>
      <c r="D141" s="53"/>
      <c r="E141" s="54"/>
    </row>
    <row r="143" spans="2:5" ht="13.5" thickBot="1" x14ac:dyDescent="0.25"/>
    <row r="144" spans="2:5" x14ac:dyDescent="0.2">
      <c r="B144" s="42" t="s">
        <v>88</v>
      </c>
      <c r="C144" s="43"/>
      <c r="D144" s="43"/>
      <c r="E144" s="44"/>
    </row>
    <row r="145" spans="2:5" x14ac:dyDescent="0.2">
      <c r="B145" s="45"/>
      <c r="C145" s="46"/>
      <c r="D145" s="46"/>
      <c r="E145" s="47"/>
    </row>
    <row r="146" spans="2:5" x14ac:dyDescent="0.2">
      <c r="B146" s="48" t="s">
        <v>16</v>
      </c>
      <c r="C146" s="46"/>
      <c r="D146" s="46"/>
      <c r="E146" s="47"/>
    </row>
    <row r="147" spans="2:5" ht="59.25" customHeight="1" x14ac:dyDescent="0.2">
      <c r="B147" s="48"/>
      <c r="C147" s="107" t="s">
        <v>121</v>
      </c>
      <c r="D147" s="107"/>
      <c r="E147" s="108"/>
    </row>
    <row r="148" spans="2:5" x14ac:dyDescent="0.2">
      <c r="B148" s="48" t="s">
        <v>17</v>
      </c>
      <c r="C148" s="46"/>
      <c r="D148" s="46"/>
      <c r="E148" s="47"/>
    </row>
    <row r="149" spans="2:5" x14ac:dyDescent="0.2">
      <c r="B149" s="49"/>
      <c r="C149" s="107" t="s">
        <v>127</v>
      </c>
      <c r="D149" s="107"/>
      <c r="E149" s="108"/>
    </row>
    <row r="150" spans="2:5" ht="72.75" customHeight="1" x14ac:dyDescent="0.2">
      <c r="B150" s="49"/>
      <c r="C150" s="107"/>
      <c r="D150" s="107"/>
      <c r="E150" s="108"/>
    </row>
    <row r="151" spans="2:5" x14ac:dyDescent="0.2">
      <c r="B151" s="48" t="s">
        <v>18</v>
      </c>
      <c r="C151" s="46"/>
      <c r="D151" s="46"/>
      <c r="E151" s="47"/>
    </row>
    <row r="152" spans="2:5" x14ac:dyDescent="0.2">
      <c r="B152" s="49"/>
      <c r="C152" s="102"/>
      <c r="D152" s="102"/>
      <c r="E152" s="109"/>
    </row>
    <row r="153" spans="2:5" x14ac:dyDescent="0.2">
      <c r="B153" s="48" t="s">
        <v>123</v>
      </c>
      <c r="C153" s="50"/>
      <c r="D153" s="50"/>
      <c r="E153" s="51"/>
    </row>
    <row r="154" spans="2:5" x14ac:dyDescent="0.2">
      <c r="B154" s="49"/>
      <c r="C154" s="102"/>
      <c r="D154" s="102"/>
      <c r="E154" s="109"/>
    </row>
    <row r="155" spans="2:5" x14ac:dyDescent="0.2">
      <c r="B155" s="48" t="s">
        <v>19</v>
      </c>
      <c r="C155" s="46"/>
      <c r="D155" s="46"/>
      <c r="E155" s="47"/>
    </row>
    <row r="156" spans="2:5" x14ac:dyDescent="0.2">
      <c r="B156" s="48"/>
      <c r="C156" s="102" t="s">
        <v>59</v>
      </c>
      <c r="D156" s="103"/>
      <c r="E156" s="104"/>
    </row>
    <row r="157" spans="2:5" ht="13.5" thickBot="1" x14ac:dyDescent="0.25">
      <c r="B157" s="79"/>
      <c r="C157" s="53"/>
      <c r="D157" s="53"/>
      <c r="E157" s="54"/>
    </row>
    <row r="162" spans="2:5" ht="13.5" thickBot="1" x14ac:dyDescent="0.25"/>
    <row r="163" spans="2:5" ht="15" customHeight="1" x14ac:dyDescent="0.2">
      <c r="B163" s="42" t="s">
        <v>92</v>
      </c>
      <c r="C163" s="43"/>
      <c r="D163" s="43"/>
      <c r="E163" s="44"/>
    </row>
    <row r="164" spans="2:5" ht="22.5" customHeight="1" x14ac:dyDescent="0.2">
      <c r="B164" s="83" t="s">
        <v>16</v>
      </c>
      <c r="C164" s="46"/>
      <c r="D164" s="46"/>
      <c r="E164" s="47"/>
    </row>
    <row r="165" spans="2:5" ht="13.5" customHeight="1" x14ac:dyDescent="0.2">
      <c r="B165" s="48"/>
      <c r="C165" s="105" t="s">
        <v>132</v>
      </c>
      <c r="D165" s="105"/>
      <c r="E165" s="106"/>
    </row>
    <row r="166" spans="2:5" ht="32.25" customHeight="1" x14ac:dyDescent="0.2">
      <c r="B166" s="48" t="s">
        <v>17</v>
      </c>
      <c r="C166" s="46"/>
      <c r="D166" s="46"/>
      <c r="E166" s="47"/>
    </row>
    <row r="167" spans="2:5" x14ac:dyDescent="0.2">
      <c r="B167" s="49"/>
      <c r="C167" s="107" t="s">
        <v>127</v>
      </c>
      <c r="D167" s="107"/>
      <c r="E167" s="108"/>
    </row>
    <row r="168" spans="2:5" ht="57" customHeight="1" x14ac:dyDescent="0.2">
      <c r="B168" s="49"/>
      <c r="C168" s="107"/>
      <c r="D168" s="107"/>
      <c r="E168" s="108"/>
    </row>
    <row r="169" spans="2:5" x14ac:dyDescent="0.2">
      <c r="B169" s="48" t="s">
        <v>18</v>
      </c>
      <c r="C169" s="46"/>
      <c r="D169" s="46"/>
      <c r="E169" s="47"/>
    </row>
    <row r="170" spans="2:5" x14ac:dyDescent="0.2">
      <c r="B170" s="49"/>
      <c r="C170" s="102"/>
      <c r="D170" s="102"/>
      <c r="E170" s="109"/>
    </row>
    <row r="171" spans="2:5" x14ac:dyDescent="0.2">
      <c r="B171" s="48" t="s">
        <v>123</v>
      </c>
      <c r="C171" s="50"/>
      <c r="D171" s="50"/>
      <c r="E171" s="51"/>
    </row>
    <row r="172" spans="2:5" x14ac:dyDescent="0.2">
      <c r="B172" s="49"/>
      <c r="C172" s="102"/>
      <c r="D172" s="102"/>
      <c r="E172" s="109"/>
    </row>
    <row r="173" spans="2:5" ht="23.25" customHeight="1" x14ac:dyDescent="0.2">
      <c r="B173" s="48" t="s">
        <v>19</v>
      </c>
      <c r="C173" s="46"/>
      <c r="D173" s="46"/>
      <c r="E173" s="47"/>
    </row>
    <row r="174" spans="2:5" ht="33" customHeight="1" thickBot="1" x14ac:dyDescent="0.25">
      <c r="B174" s="80"/>
      <c r="C174" s="113" t="s">
        <v>59</v>
      </c>
      <c r="D174" s="114"/>
      <c r="E174" s="115"/>
    </row>
    <row r="176" spans="2:5" ht="13.5" thickBot="1" x14ac:dyDescent="0.25"/>
    <row r="177" spans="2:5" x14ac:dyDescent="0.2">
      <c r="B177" s="42" t="s">
        <v>135</v>
      </c>
      <c r="C177" s="43"/>
      <c r="D177" s="43"/>
      <c r="E177" s="44"/>
    </row>
    <row r="178" spans="2:5" x14ac:dyDescent="0.2">
      <c r="B178" s="45"/>
      <c r="C178" s="46"/>
      <c r="D178" s="46"/>
      <c r="E178" s="47"/>
    </row>
    <row r="179" spans="2:5" x14ac:dyDescent="0.2">
      <c r="B179" s="48" t="s">
        <v>16</v>
      </c>
      <c r="C179" s="46"/>
      <c r="D179" s="46"/>
      <c r="E179" s="47"/>
    </row>
    <row r="180" spans="2:5" x14ac:dyDescent="0.2">
      <c r="B180" s="48"/>
      <c r="C180" s="105" t="s">
        <v>133</v>
      </c>
      <c r="D180" s="105"/>
      <c r="E180" s="106"/>
    </row>
    <row r="181" spans="2:5" x14ac:dyDescent="0.2">
      <c r="B181" s="48" t="s">
        <v>17</v>
      </c>
      <c r="C181" s="46"/>
      <c r="D181" s="46"/>
      <c r="E181" s="47"/>
    </row>
    <row r="182" spans="2:5" x14ac:dyDescent="0.2">
      <c r="B182" s="49"/>
      <c r="C182" s="107" t="s">
        <v>127</v>
      </c>
      <c r="D182" s="107"/>
      <c r="E182" s="108"/>
    </row>
    <row r="183" spans="2:5" x14ac:dyDescent="0.2">
      <c r="B183" s="49"/>
      <c r="C183" s="107"/>
      <c r="D183" s="107"/>
      <c r="E183" s="108"/>
    </row>
    <row r="184" spans="2:5" x14ac:dyDescent="0.2">
      <c r="B184" s="48" t="s">
        <v>18</v>
      </c>
      <c r="C184" s="46"/>
      <c r="D184" s="46"/>
      <c r="E184" s="47"/>
    </row>
    <row r="185" spans="2:5" x14ac:dyDescent="0.2">
      <c r="B185" s="49"/>
      <c r="C185" s="102"/>
      <c r="D185" s="102"/>
      <c r="E185" s="109"/>
    </row>
    <row r="186" spans="2:5" x14ac:dyDescent="0.2">
      <c r="B186" s="48" t="s">
        <v>123</v>
      </c>
      <c r="C186" s="50"/>
      <c r="D186" s="50"/>
      <c r="E186" s="51"/>
    </row>
    <row r="187" spans="2:5" x14ac:dyDescent="0.2">
      <c r="B187" s="49"/>
      <c r="C187" s="102"/>
      <c r="D187" s="102"/>
      <c r="E187" s="109"/>
    </row>
    <row r="188" spans="2:5" x14ac:dyDescent="0.2">
      <c r="B188" s="48" t="s">
        <v>19</v>
      </c>
      <c r="C188" s="46"/>
      <c r="D188" s="46"/>
      <c r="E188" s="47"/>
    </row>
    <row r="189" spans="2:5" x14ac:dyDescent="0.2">
      <c r="B189" s="48"/>
      <c r="C189" s="102" t="s">
        <v>59</v>
      </c>
      <c r="D189" s="103"/>
      <c r="E189" s="104"/>
    </row>
    <row r="190" spans="2:5" ht="13.5" thickBot="1" x14ac:dyDescent="0.25">
      <c r="B190" s="79"/>
      <c r="C190" s="53"/>
      <c r="D190" s="53"/>
      <c r="E190" s="54"/>
    </row>
    <row r="191" spans="2:5" ht="13.5" thickBot="1" x14ac:dyDescent="0.25"/>
    <row r="192" spans="2:5" x14ac:dyDescent="0.2">
      <c r="B192" s="42" t="s">
        <v>102</v>
      </c>
      <c r="C192" s="43"/>
      <c r="D192" s="43"/>
      <c r="E192" s="44"/>
    </row>
    <row r="193" spans="2:5" x14ac:dyDescent="0.2">
      <c r="B193" s="45"/>
      <c r="C193" s="46"/>
      <c r="D193" s="46"/>
      <c r="E193" s="47"/>
    </row>
    <row r="194" spans="2:5" x14ac:dyDescent="0.2">
      <c r="B194" s="48" t="s">
        <v>16</v>
      </c>
      <c r="C194" s="46"/>
      <c r="D194" s="46"/>
      <c r="E194" s="47"/>
    </row>
    <row r="195" spans="2:5" x14ac:dyDescent="0.2">
      <c r="B195" s="48"/>
      <c r="C195" s="105" t="s">
        <v>134</v>
      </c>
      <c r="D195" s="105"/>
      <c r="E195" s="106"/>
    </row>
    <row r="196" spans="2:5" x14ac:dyDescent="0.2">
      <c r="B196" s="48" t="s">
        <v>17</v>
      </c>
      <c r="C196" s="46"/>
      <c r="D196" s="46"/>
      <c r="E196" s="47"/>
    </row>
    <row r="197" spans="2:5" x14ac:dyDescent="0.2">
      <c r="B197" s="49"/>
      <c r="C197" s="107" t="s">
        <v>127</v>
      </c>
      <c r="D197" s="107"/>
      <c r="E197" s="108"/>
    </row>
    <row r="198" spans="2:5" ht="45.75" customHeight="1" x14ac:dyDescent="0.2">
      <c r="B198" s="49"/>
      <c r="C198" s="107"/>
      <c r="D198" s="107"/>
      <c r="E198" s="108"/>
    </row>
    <row r="199" spans="2:5" x14ac:dyDescent="0.2">
      <c r="B199" s="48" t="s">
        <v>18</v>
      </c>
      <c r="C199" s="46"/>
      <c r="D199" s="46"/>
      <c r="E199" s="47"/>
    </row>
    <row r="200" spans="2:5" x14ac:dyDescent="0.2">
      <c r="B200" s="49"/>
      <c r="C200" s="102"/>
      <c r="D200" s="102"/>
      <c r="E200" s="109"/>
    </row>
    <row r="201" spans="2:5" x14ac:dyDescent="0.2">
      <c r="B201" s="48" t="s">
        <v>123</v>
      </c>
      <c r="C201" s="50"/>
      <c r="D201" s="50"/>
      <c r="E201" s="51"/>
    </row>
    <row r="202" spans="2:5" x14ac:dyDescent="0.2">
      <c r="B202" s="49"/>
      <c r="C202" s="102"/>
      <c r="D202" s="102"/>
      <c r="E202" s="109"/>
    </row>
    <row r="203" spans="2:5" x14ac:dyDescent="0.2">
      <c r="B203" s="48" t="s">
        <v>19</v>
      </c>
      <c r="C203" s="46"/>
      <c r="D203" s="46"/>
      <c r="E203" s="47"/>
    </row>
    <row r="204" spans="2:5" x14ac:dyDescent="0.2">
      <c r="B204" s="48"/>
      <c r="C204" s="102" t="s">
        <v>59</v>
      </c>
      <c r="D204" s="103"/>
      <c r="E204" s="104"/>
    </row>
    <row r="205" spans="2:5" ht="13.5" thickBot="1" x14ac:dyDescent="0.25">
      <c r="B205" s="79"/>
      <c r="C205" s="53"/>
      <c r="D205" s="53"/>
      <c r="E205" s="54"/>
    </row>
    <row r="206" spans="2:5" ht="13.5" thickBot="1" x14ac:dyDescent="0.25"/>
    <row r="207" spans="2:5" x14ac:dyDescent="0.2">
      <c r="B207" s="42" t="s">
        <v>137</v>
      </c>
      <c r="C207" s="43"/>
      <c r="D207" s="43"/>
      <c r="E207" s="44"/>
    </row>
    <row r="208" spans="2:5" x14ac:dyDescent="0.2">
      <c r="B208" s="45"/>
      <c r="C208" s="46"/>
      <c r="D208" s="46"/>
      <c r="E208" s="47"/>
    </row>
    <row r="209" spans="2:5" x14ac:dyDescent="0.2">
      <c r="B209" s="48" t="s">
        <v>16</v>
      </c>
      <c r="C209" s="46"/>
      <c r="D209" s="46"/>
      <c r="E209" s="47"/>
    </row>
    <row r="210" spans="2:5" ht="27.75" customHeight="1" x14ac:dyDescent="0.2">
      <c r="B210" s="48"/>
      <c r="C210" s="105" t="s">
        <v>136</v>
      </c>
      <c r="D210" s="105"/>
      <c r="E210" s="106"/>
    </row>
    <row r="211" spans="2:5" x14ac:dyDescent="0.2">
      <c r="B211" s="48" t="s">
        <v>17</v>
      </c>
      <c r="C211" s="46"/>
      <c r="D211" s="46"/>
      <c r="E211" s="47"/>
    </row>
    <row r="212" spans="2:5" x14ac:dyDescent="0.2">
      <c r="B212" s="49"/>
      <c r="C212" s="107" t="s">
        <v>127</v>
      </c>
      <c r="D212" s="107"/>
      <c r="E212" s="108"/>
    </row>
    <row r="213" spans="2:5" ht="45" customHeight="1" x14ac:dyDescent="0.2">
      <c r="B213" s="49"/>
      <c r="C213" s="107"/>
      <c r="D213" s="107"/>
      <c r="E213" s="108"/>
    </row>
    <row r="214" spans="2:5" x14ac:dyDescent="0.2">
      <c r="B214" s="48" t="s">
        <v>18</v>
      </c>
      <c r="C214" s="46"/>
      <c r="D214" s="46"/>
      <c r="E214" s="47"/>
    </row>
    <row r="215" spans="2:5" x14ac:dyDescent="0.2">
      <c r="B215" s="49"/>
      <c r="C215" s="102"/>
      <c r="D215" s="102"/>
      <c r="E215" s="109"/>
    </row>
    <row r="216" spans="2:5" x14ac:dyDescent="0.2">
      <c r="B216" s="48" t="s">
        <v>123</v>
      </c>
      <c r="C216" s="50"/>
      <c r="D216" s="50"/>
      <c r="E216" s="51"/>
    </row>
    <row r="217" spans="2:5" x14ac:dyDescent="0.2">
      <c r="B217" s="49"/>
      <c r="C217" s="102"/>
      <c r="D217" s="102"/>
      <c r="E217" s="109"/>
    </row>
    <row r="218" spans="2:5" x14ac:dyDescent="0.2">
      <c r="B218" s="48" t="s">
        <v>19</v>
      </c>
      <c r="C218" s="46"/>
      <c r="D218" s="46"/>
      <c r="E218" s="47"/>
    </row>
    <row r="219" spans="2:5" x14ac:dyDescent="0.2">
      <c r="B219" s="48"/>
      <c r="C219" s="102" t="s">
        <v>59</v>
      </c>
      <c r="D219" s="103"/>
      <c r="E219" s="104"/>
    </row>
    <row r="220" spans="2:5" ht="13.5" thickBot="1" x14ac:dyDescent="0.25">
      <c r="B220" s="79"/>
      <c r="C220" s="53"/>
      <c r="D220" s="53"/>
      <c r="E220" s="54"/>
    </row>
    <row r="222" spans="2:5" ht="13.5" thickBot="1" x14ac:dyDescent="0.25"/>
    <row r="223" spans="2:5" x14ac:dyDescent="0.2">
      <c r="B223" s="42" t="s">
        <v>138</v>
      </c>
      <c r="C223" s="43"/>
      <c r="D223" s="43"/>
      <c r="E223" s="44"/>
    </row>
    <row r="224" spans="2:5" x14ac:dyDescent="0.2">
      <c r="B224" s="45"/>
      <c r="C224" s="46"/>
      <c r="D224" s="46"/>
      <c r="E224" s="47"/>
    </row>
    <row r="225" spans="2:5" x14ac:dyDescent="0.2">
      <c r="B225" s="48" t="s">
        <v>16</v>
      </c>
      <c r="C225" s="46"/>
      <c r="D225" s="46"/>
      <c r="E225" s="47"/>
    </row>
    <row r="226" spans="2:5" ht="46.5" customHeight="1" x14ac:dyDescent="0.2">
      <c r="B226" s="48"/>
      <c r="C226" s="107" t="s">
        <v>139</v>
      </c>
      <c r="D226" s="107"/>
      <c r="E226" s="108"/>
    </row>
    <row r="227" spans="2:5" x14ac:dyDescent="0.2">
      <c r="B227" s="48" t="s">
        <v>17</v>
      </c>
      <c r="C227" s="46"/>
      <c r="D227" s="46"/>
      <c r="E227" s="47"/>
    </row>
    <row r="228" spans="2:5" x14ac:dyDescent="0.2">
      <c r="B228" s="49"/>
      <c r="C228" s="107" t="s">
        <v>127</v>
      </c>
      <c r="D228" s="107"/>
      <c r="E228" s="108"/>
    </row>
    <row r="229" spans="2:5" ht="51.75" customHeight="1" x14ac:dyDescent="0.2">
      <c r="B229" s="49"/>
      <c r="C229" s="107"/>
      <c r="D229" s="107"/>
      <c r="E229" s="108"/>
    </row>
    <row r="230" spans="2:5" x14ac:dyDescent="0.2">
      <c r="B230" s="48" t="s">
        <v>18</v>
      </c>
      <c r="C230" s="46"/>
      <c r="D230" s="46"/>
      <c r="E230" s="47"/>
    </row>
    <row r="231" spans="2:5" x14ac:dyDescent="0.2">
      <c r="B231" s="49"/>
      <c r="C231" s="102"/>
      <c r="D231" s="102"/>
      <c r="E231" s="109"/>
    </row>
    <row r="232" spans="2:5" x14ac:dyDescent="0.2">
      <c r="B232" s="48" t="s">
        <v>123</v>
      </c>
      <c r="C232" s="50"/>
      <c r="D232" s="50"/>
      <c r="E232" s="51"/>
    </row>
    <row r="233" spans="2:5" x14ac:dyDescent="0.2">
      <c r="B233" s="49"/>
      <c r="C233" s="102"/>
      <c r="D233" s="102"/>
      <c r="E233" s="109"/>
    </row>
    <row r="234" spans="2:5" x14ac:dyDescent="0.2">
      <c r="B234" s="48" t="s">
        <v>19</v>
      </c>
      <c r="C234" s="46"/>
      <c r="D234" s="46"/>
      <c r="E234" s="47"/>
    </row>
    <row r="235" spans="2:5" x14ac:dyDescent="0.2">
      <c r="B235" s="48"/>
      <c r="C235" s="102" t="s">
        <v>59</v>
      </c>
      <c r="D235" s="103"/>
      <c r="E235" s="104"/>
    </row>
    <row r="236" spans="2:5" ht="13.5" thickBot="1" x14ac:dyDescent="0.25">
      <c r="B236" s="79"/>
      <c r="C236" s="53"/>
      <c r="D236" s="53"/>
      <c r="E236" s="54"/>
    </row>
    <row r="237" spans="2:5" ht="13.5" thickBot="1" x14ac:dyDescent="0.25"/>
    <row r="238" spans="2:5" x14ac:dyDescent="0.2">
      <c r="B238" s="42" t="s">
        <v>140</v>
      </c>
      <c r="C238" s="43"/>
      <c r="D238" s="43"/>
      <c r="E238" s="44"/>
    </row>
    <row r="239" spans="2:5" x14ac:dyDescent="0.2">
      <c r="B239" s="45"/>
      <c r="C239" s="46"/>
      <c r="D239" s="46"/>
      <c r="E239" s="47"/>
    </row>
    <row r="240" spans="2:5" x14ac:dyDescent="0.2">
      <c r="B240" s="48" t="s">
        <v>16</v>
      </c>
      <c r="C240" s="46"/>
      <c r="D240" s="46"/>
      <c r="E240" s="47"/>
    </row>
    <row r="241" spans="2:5" ht="42.75" customHeight="1" x14ac:dyDescent="0.2">
      <c r="B241" s="48"/>
      <c r="C241" s="107" t="s">
        <v>141</v>
      </c>
      <c r="D241" s="107"/>
      <c r="E241" s="108"/>
    </row>
    <row r="242" spans="2:5" x14ac:dyDescent="0.2">
      <c r="B242" s="48" t="s">
        <v>17</v>
      </c>
      <c r="C242" s="46"/>
      <c r="D242" s="46"/>
      <c r="E242" s="47"/>
    </row>
    <row r="243" spans="2:5" x14ac:dyDescent="0.2">
      <c r="B243" s="49"/>
      <c r="C243" s="107" t="s">
        <v>127</v>
      </c>
      <c r="D243" s="107"/>
      <c r="E243" s="108"/>
    </row>
    <row r="244" spans="2:5" ht="45.75" customHeight="1" x14ac:dyDescent="0.2">
      <c r="B244" s="49"/>
      <c r="C244" s="107"/>
      <c r="D244" s="107"/>
      <c r="E244" s="108"/>
    </row>
    <row r="245" spans="2:5" x14ac:dyDescent="0.2">
      <c r="B245" s="48" t="s">
        <v>18</v>
      </c>
      <c r="C245" s="46"/>
      <c r="D245" s="46"/>
      <c r="E245" s="47"/>
    </row>
    <row r="246" spans="2:5" x14ac:dyDescent="0.2">
      <c r="B246" s="49"/>
      <c r="C246" s="102"/>
      <c r="D246" s="102"/>
      <c r="E246" s="109"/>
    </row>
    <row r="247" spans="2:5" x14ac:dyDescent="0.2">
      <c r="B247" s="48" t="s">
        <v>123</v>
      </c>
      <c r="C247" s="50"/>
      <c r="D247" s="50"/>
      <c r="E247" s="51"/>
    </row>
    <row r="248" spans="2:5" x14ac:dyDescent="0.2">
      <c r="B248" s="49"/>
      <c r="C248" s="102"/>
      <c r="D248" s="102"/>
      <c r="E248" s="109"/>
    </row>
    <row r="249" spans="2:5" x14ac:dyDescent="0.2">
      <c r="B249" s="48" t="s">
        <v>19</v>
      </c>
      <c r="C249" s="46"/>
      <c r="D249" s="46"/>
      <c r="E249" s="47"/>
    </row>
    <row r="250" spans="2:5" x14ac:dyDescent="0.2">
      <c r="B250" s="48"/>
      <c r="C250" s="102" t="s">
        <v>59</v>
      </c>
      <c r="D250" s="103"/>
      <c r="E250" s="104"/>
    </row>
    <row r="251" spans="2:5" ht="13.5" thickBot="1" x14ac:dyDescent="0.25">
      <c r="B251" s="79"/>
      <c r="C251" s="53"/>
      <c r="D251" s="53"/>
      <c r="E251" s="54"/>
    </row>
    <row r="253" spans="2:5" ht="13.5" thickBot="1" x14ac:dyDescent="0.25"/>
    <row r="254" spans="2:5" x14ac:dyDescent="0.2">
      <c r="B254" s="42" t="s">
        <v>142</v>
      </c>
      <c r="C254" s="43"/>
      <c r="D254" s="43"/>
      <c r="E254" s="44"/>
    </row>
    <row r="255" spans="2:5" x14ac:dyDescent="0.2">
      <c r="B255" s="45"/>
      <c r="C255" s="46"/>
      <c r="D255" s="46"/>
      <c r="E255" s="47"/>
    </row>
    <row r="256" spans="2:5" x14ac:dyDescent="0.2">
      <c r="B256" s="48" t="s">
        <v>16</v>
      </c>
      <c r="C256" s="46"/>
      <c r="D256" s="46"/>
      <c r="E256" s="47"/>
    </row>
    <row r="257" spans="2:5" ht="33.75" customHeight="1" x14ac:dyDescent="0.2">
      <c r="B257" s="48"/>
      <c r="C257" s="107" t="s">
        <v>143</v>
      </c>
      <c r="D257" s="107"/>
      <c r="E257" s="108"/>
    </row>
    <row r="258" spans="2:5" x14ac:dyDescent="0.2">
      <c r="B258" s="48" t="s">
        <v>17</v>
      </c>
      <c r="C258" s="46"/>
      <c r="D258" s="46"/>
      <c r="E258" s="47"/>
    </row>
    <row r="259" spans="2:5" x14ac:dyDescent="0.2">
      <c r="B259" s="49"/>
      <c r="C259" s="107" t="s">
        <v>127</v>
      </c>
      <c r="D259" s="107"/>
      <c r="E259" s="108"/>
    </row>
    <row r="260" spans="2:5" ht="46.5" customHeight="1" x14ac:dyDescent="0.2">
      <c r="B260" s="49"/>
      <c r="C260" s="107"/>
      <c r="D260" s="107"/>
      <c r="E260" s="108"/>
    </row>
    <row r="261" spans="2:5" x14ac:dyDescent="0.2">
      <c r="B261" s="48" t="s">
        <v>18</v>
      </c>
      <c r="C261" s="46"/>
      <c r="D261" s="46"/>
      <c r="E261" s="47"/>
    </row>
    <row r="262" spans="2:5" x14ac:dyDescent="0.2">
      <c r="B262" s="49"/>
      <c r="C262" s="102"/>
      <c r="D262" s="102"/>
      <c r="E262" s="109"/>
    </row>
    <row r="263" spans="2:5" x14ac:dyDescent="0.2">
      <c r="B263" s="48" t="s">
        <v>123</v>
      </c>
      <c r="C263" s="50"/>
      <c r="D263" s="50"/>
      <c r="E263" s="51"/>
    </row>
    <row r="264" spans="2:5" x14ac:dyDescent="0.2">
      <c r="B264" s="49"/>
      <c r="C264" s="102"/>
      <c r="D264" s="102"/>
      <c r="E264" s="109"/>
    </row>
    <row r="265" spans="2:5" x14ac:dyDescent="0.2">
      <c r="B265" s="48" t="s">
        <v>19</v>
      </c>
      <c r="C265" s="46"/>
      <c r="D265" s="46"/>
      <c r="E265" s="47"/>
    </row>
    <row r="266" spans="2:5" x14ac:dyDescent="0.2">
      <c r="B266" s="48"/>
      <c r="C266" s="102" t="s">
        <v>59</v>
      </c>
      <c r="D266" s="103"/>
      <c r="E266" s="104"/>
    </row>
    <row r="267" spans="2:5" ht="13.5" thickBot="1" x14ac:dyDescent="0.25">
      <c r="B267" s="79"/>
      <c r="C267" s="53"/>
      <c r="D267" s="53"/>
      <c r="E267" s="54"/>
    </row>
    <row r="268" spans="2:5" ht="13.5" thickBot="1" x14ac:dyDescent="0.25"/>
    <row r="269" spans="2:5" x14ac:dyDescent="0.2">
      <c r="B269" s="42" t="s">
        <v>144</v>
      </c>
      <c r="C269" s="43"/>
      <c r="D269" s="43"/>
      <c r="E269" s="44"/>
    </row>
    <row r="270" spans="2:5" x14ac:dyDescent="0.2">
      <c r="B270" s="45"/>
      <c r="C270" s="46"/>
      <c r="D270" s="46"/>
      <c r="E270" s="47"/>
    </row>
    <row r="271" spans="2:5" x14ac:dyDescent="0.2">
      <c r="B271" s="48" t="s">
        <v>16</v>
      </c>
      <c r="C271" s="46"/>
      <c r="D271" s="46"/>
      <c r="E271" s="47"/>
    </row>
    <row r="272" spans="2:5" ht="56.25" customHeight="1" x14ac:dyDescent="0.2">
      <c r="B272" s="48"/>
      <c r="C272" s="107" t="s">
        <v>145</v>
      </c>
      <c r="D272" s="107"/>
      <c r="E272" s="108"/>
    </row>
    <row r="273" spans="2:5" x14ac:dyDescent="0.2">
      <c r="B273" s="48" t="s">
        <v>17</v>
      </c>
      <c r="C273" s="46"/>
      <c r="D273" s="46"/>
      <c r="E273" s="47"/>
    </row>
    <row r="274" spans="2:5" x14ac:dyDescent="0.2">
      <c r="B274" s="49"/>
      <c r="C274" s="107" t="s">
        <v>127</v>
      </c>
      <c r="D274" s="107"/>
      <c r="E274" s="108"/>
    </row>
    <row r="275" spans="2:5" ht="51" customHeight="1" x14ac:dyDescent="0.2">
      <c r="B275" s="49"/>
      <c r="C275" s="107"/>
      <c r="D275" s="107"/>
      <c r="E275" s="108"/>
    </row>
    <row r="276" spans="2:5" x14ac:dyDescent="0.2">
      <c r="B276" s="48" t="s">
        <v>18</v>
      </c>
      <c r="C276" s="46"/>
      <c r="D276" s="46"/>
      <c r="E276" s="47"/>
    </row>
    <row r="277" spans="2:5" x14ac:dyDescent="0.2">
      <c r="B277" s="49"/>
      <c r="C277" s="102"/>
      <c r="D277" s="102"/>
      <c r="E277" s="109"/>
    </row>
    <row r="278" spans="2:5" x14ac:dyDescent="0.2">
      <c r="B278" s="48" t="s">
        <v>123</v>
      </c>
      <c r="C278" s="50"/>
      <c r="D278" s="50"/>
      <c r="E278" s="51"/>
    </row>
    <row r="279" spans="2:5" x14ac:dyDescent="0.2">
      <c r="B279" s="49"/>
      <c r="C279" s="102"/>
      <c r="D279" s="102"/>
      <c r="E279" s="109"/>
    </row>
    <row r="280" spans="2:5" x14ac:dyDescent="0.2">
      <c r="B280" s="48" t="s">
        <v>19</v>
      </c>
      <c r="C280" s="46"/>
      <c r="D280" s="46"/>
      <c r="E280" s="47"/>
    </row>
    <row r="281" spans="2:5" x14ac:dyDescent="0.2">
      <c r="B281" s="48"/>
      <c r="C281" s="102" t="s">
        <v>59</v>
      </c>
      <c r="D281" s="103"/>
      <c r="E281" s="104"/>
    </row>
    <row r="282" spans="2:5" ht="13.5" thickBot="1" x14ac:dyDescent="0.25">
      <c r="B282" s="79"/>
      <c r="C282" s="53"/>
      <c r="D282" s="53"/>
      <c r="E282" s="54"/>
    </row>
    <row r="284" spans="2:5" ht="13.5" thickBot="1" x14ac:dyDescent="0.25"/>
    <row r="285" spans="2:5" x14ac:dyDescent="0.2">
      <c r="B285" s="42" t="s">
        <v>146</v>
      </c>
      <c r="C285" s="43"/>
      <c r="D285" s="43"/>
      <c r="E285" s="44"/>
    </row>
    <row r="286" spans="2:5" x14ac:dyDescent="0.2">
      <c r="B286" s="45"/>
      <c r="C286" s="46"/>
      <c r="D286" s="46"/>
      <c r="E286" s="47"/>
    </row>
    <row r="287" spans="2:5" x14ac:dyDescent="0.2">
      <c r="B287" s="48" t="s">
        <v>16</v>
      </c>
      <c r="C287" s="46"/>
      <c r="D287" s="46"/>
      <c r="E287" s="47"/>
    </row>
    <row r="288" spans="2:5" ht="98.25" customHeight="1" x14ac:dyDescent="0.2">
      <c r="B288" s="48"/>
      <c r="C288" s="107" t="s">
        <v>147</v>
      </c>
      <c r="D288" s="107"/>
      <c r="E288" s="108"/>
    </row>
    <row r="289" spans="2:5" x14ac:dyDescent="0.2">
      <c r="B289" s="48" t="s">
        <v>17</v>
      </c>
      <c r="C289" s="46"/>
      <c r="D289" s="46"/>
      <c r="E289" s="47"/>
    </row>
    <row r="290" spans="2:5" x14ac:dyDescent="0.2">
      <c r="B290" s="49"/>
      <c r="C290" s="107" t="s">
        <v>127</v>
      </c>
      <c r="D290" s="107"/>
      <c r="E290" s="108"/>
    </row>
    <row r="291" spans="2:5" ht="43.5" customHeight="1" x14ac:dyDescent="0.2">
      <c r="B291" s="49"/>
      <c r="C291" s="107"/>
      <c r="D291" s="107"/>
      <c r="E291" s="108"/>
    </row>
    <row r="292" spans="2:5" x14ac:dyDescent="0.2">
      <c r="B292" s="48" t="s">
        <v>18</v>
      </c>
      <c r="C292" s="46"/>
      <c r="D292" s="46"/>
      <c r="E292" s="47"/>
    </row>
    <row r="293" spans="2:5" x14ac:dyDescent="0.2">
      <c r="B293" s="49"/>
      <c r="C293" s="102"/>
      <c r="D293" s="102"/>
      <c r="E293" s="109"/>
    </row>
    <row r="294" spans="2:5" x14ac:dyDescent="0.2">
      <c r="B294" s="48" t="s">
        <v>123</v>
      </c>
      <c r="C294" s="50"/>
      <c r="D294" s="50"/>
      <c r="E294" s="51"/>
    </row>
    <row r="295" spans="2:5" x14ac:dyDescent="0.2">
      <c r="B295" s="49"/>
      <c r="C295" s="102"/>
      <c r="D295" s="102"/>
      <c r="E295" s="109"/>
    </row>
    <row r="296" spans="2:5" x14ac:dyDescent="0.2">
      <c r="B296" s="48" t="s">
        <v>19</v>
      </c>
      <c r="C296" s="46"/>
      <c r="D296" s="46"/>
      <c r="E296" s="47"/>
    </row>
    <row r="297" spans="2:5" x14ac:dyDescent="0.2">
      <c r="B297" s="48"/>
      <c r="C297" s="102" t="s">
        <v>59</v>
      </c>
      <c r="D297" s="103"/>
      <c r="E297" s="104"/>
    </row>
    <row r="298" spans="2:5" ht="13.5" thickBot="1" x14ac:dyDescent="0.25">
      <c r="B298" s="79"/>
      <c r="C298" s="53"/>
      <c r="D298" s="53"/>
      <c r="E298" s="54"/>
    </row>
    <row r="300" spans="2:5" ht="13.5" thickBot="1" x14ac:dyDescent="0.25"/>
    <row r="301" spans="2:5" x14ac:dyDescent="0.2">
      <c r="B301" s="42" t="s">
        <v>148</v>
      </c>
      <c r="C301" s="43"/>
      <c r="D301" s="43"/>
      <c r="E301" s="44"/>
    </row>
    <row r="302" spans="2:5" x14ac:dyDescent="0.2">
      <c r="B302" s="45"/>
      <c r="C302" s="46"/>
      <c r="D302" s="46"/>
      <c r="E302" s="47"/>
    </row>
    <row r="303" spans="2:5" x14ac:dyDescent="0.2">
      <c r="B303" s="48" t="s">
        <v>16</v>
      </c>
      <c r="C303" s="46"/>
      <c r="D303" s="46"/>
      <c r="E303" s="47"/>
    </row>
    <row r="304" spans="2:5" ht="58.5" customHeight="1" x14ac:dyDescent="0.2">
      <c r="B304" s="48"/>
      <c r="C304" s="107" t="s">
        <v>149</v>
      </c>
      <c r="D304" s="107"/>
      <c r="E304" s="108"/>
    </row>
    <row r="305" spans="2:5" x14ac:dyDescent="0.2">
      <c r="B305" s="48" t="s">
        <v>17</v>
      </c>
      <c r="C305" s="46"/>
      <c r="D305" s="46"/>
      <c r="E305" s="47"/>
    </row>
    <row r="306" spans="2:5" x14ac:dyDescent="0.2">
      <c r="B306" s="49"/>
      <c r="C306" s="107" t="s">
        <v>127</v>
      </c>
      <c r="D306" s="107"/>
      <c r="E306" s="108"/>
    </row>
    <row r="307" spans="2:5" ht="40.5" customHeight="1" x14ac:dyDescent="0.2">
      <c r="B307" s="49"/>
      <c r="C307" s="107"/>
      <c r="D307" s="107"/>
      <c r="E307" s="108"/>
    </row>
    <row r="308" spans="2:5" x14ac:dyDescent="0.2">
      <c r="B308" s="48" t="s">
        <v>18</v>
      </c>
      <c r="C308" s="46"/>
      <c r="D308" s="46"/>
      <c r="E308" s="47"/>
    </row>
    <row r="309" spans="2:5" x14ac:dyDescent="0.2">
      <c r="B309" s="49"/>
      <c r="C309" s="102"/>
      <c r="D309" s="102"/>
      <c r="E309" s="109"/>
    </row>
    <row r="310" spans="2:5" x14ac:dyDescent="0.2">
      <c r="B310" s="48" t="s">
        <v>123</v>
      </c>
      <c r="C310" s="50"/>
      <c r="D310" s="50"/>
      <c r="E310" s="51"/>
    </row>
    <row r="311" spans="2:5" x14ac:dyDescent="0.2">
      <c r="B311" s="49"/>
      <c r="C311" s="102"/>
      <c r="D311" s="102"/>
      <c r="E311" s="109"/>
    </row>
    <row r="312" spans="2:5" x14ac:dyDescent="0.2">
      <c r="B312" s="48" t="s">
        <v>19</v>
      </c>
      <c r="C312" s="46"/>
      <c r="D312" s="46"/>
      <c r="E312" s="47"/>
    </row>
    <row r="313" spans="2:5" x14ac:dyDescent="0.2">
      <c r="B313" s="48"/>
      <c r="C313" s="102" t="s">
        <v>59</v>
      </c>
      <c r="D313" s="103"/>
      <c r="E313" s="104"/>
    </row>
    <row r="314" spans="2:5" ht="13.5" thickBot="1" x14ac:dyDescent="0.25">
      <c r="B314" s="79"/>
      <c r="C314" s="53"/>
      <c r="D314" s="53"/>
      <c r="E314" s="54"/>
    </row>
    <row r="316" spans="2:5" ht="13.5" thickBot="1" x14ac:dyDescent="0.25"/>
    <row r="317" spans="2:5" x14ac:dyDescent="0.2">
      <c r="B317" s="42" t="s">
        <v>150</v>
      </c>
      <c r="C317" s="43"/>
      <c r="D317" s="43"/>
      <c r="E317" s="44"/>
    </row>
    <row r="318" spans="2:5" x14ac:dyDescent="0.2">
      <c r="B318" s="45"/>
      <c r="C318" s="46"/>
      <c r="D318" s="46"/>
      <c r="E318" s="47"/>
    </row>
    <row r="319" spans="2:5" x14ac:dyDescent="0.2">
      <c r="B319" s="48" t="s">
        <v>16</v>
      </c>
      <c r="C319" s="46"/>
      <c r="D319" s="46"/>
      <c r="E319" s="47"/>
    </row>
    <row r="320" spans="2:5" ht="36.75" customHeight="1" x14ac:dyDescent="0.2">
      <c r="B320" s="48"/>
      <c r="C320" s="105" t="s">
        <v>122</v>
      </c>
      <c r="D320" s="105"/>
      <c r="E320" s="106"/>
    </row>
    <row r="321" spans="2:5" ht="27" customHeight="1" x14ac:dyDescent="0.2">
      <c r="B321" s="84" t="s">
        <v>17</v>
      </c>
      <c r="C321" s="85"/>
      <c r="D321" s="86"/>
      <c r="E321" s="87"/>
    </row>
    <row r="322" spans="2:5" ht="45.75" customHeight="1" x14ac:dyDescent="0.2">
      <c r="B322" s="48"/>
      <c r="C322" s="107" t="s">
        <v>127</v>
      </c>
      <c r="D322" s="107"/>
      <c r="E322" s="108"/>
    </row>
    <row r="323" spans="2:5" ht="34.5" customHeight="1" x14ac:dyDescent="0.2">
      <c r="B323" s="49"/>
      <c r="C323" s="107"/>
      <c r="D323" s="107"/>
      <c r="E323" s="108"/>
    </row>
    <row r="324" spans="2:5" x14ac:dyDescent="0.2">
      <c r="B324" s="48" t="s">
        <v>18</v>
      </c>
      <c r="C324" s="46"/>
      <c r="D324" s="46"/>
      <c r="E324" s="47"/>
    </row>
    <row r="325" spans="2:5" x14ac:dyDescent="0.2">
      <c r="B325" s="49"/>
      <c r="C325" s="102"/>
      <c r="D325" s="102"/>
      <c r="E325" s="109"/>
    </row>
    <row r="326" spans="2:5" x14ac:dyDescent="0.2">
      <c r="B326" s="48" t="s">
        <v>123</v>
      </c>
      <c r="C326" s="50"/>
      <c r="D326" s="50"/>
      <c r="E326" s="51"/>
    </row>
    <row r="327" spans="2:5" x14ac:dyDescent="0.2">
      <c r="B327" s="49"/>
      <c r="C327" s="102"/>
      <c r="D327" s="102"/>
      <c r="E327" s="109"/>
    </row>
    <row r="328" spans="2:5" x14ac:dyDescent="0.2">
      <c r="B328" s="48" t="s">
        <v>19</v>
      </c>
      <c r="C328" s="46"/>
      <c r="D328" s="46"/>
      <c r="E328" s="47"/>
    </row>
    <row r="329" spans="2:5" x14ac:dyDescent="0.2">
      <c r="B329" s="48"/>
      <c r="C329" s="102" t="s">
        <v>59</v>
      </c>
      <c r="D329" s="103"/>
      <c r="E329" s="104"/>
    </row>
    <row r="330" spans="2:5" ht="13.5" thickBot="1" x14ac:dyDescent="0.25">
      <c r="B330" s="52"/>
      <c r="C330" s="53"/>
      <c r="D330" s="53"/>
      <c r="E330" s="54"/>
    </row>
    <row r="333" spans="2:5" ht="13.5" thickBot="1" x14ac:dyDescent="0.25"/>
    <row r="334" spans="2:5" x14ac:dyDescent="0.2">
      <c r="B334" s="42" t="s">
        <v>151</v>
      </c>
      <c r="C334" s="43"/>
      <c r="D334" s="43"/>
      <c r="E334" s="44"/>
    </row>
    <row r="335" spans="2:5" x14ac:dyDescent="0.2">
      <c r="B335" s="45"/>
      <c r="C335" s="46"/>
      <c r="D335" s="46"/>
      <c r="E335" s="47"/>
    </row>
    <row r="336" spans="2:5" x14ac:dyDescent="0.2">
      <c r="B336" s="48" t="s">
        <v>16</v>
      </c>
      <c r="C336" s="46"/>
      <c r="D336" s="46"/>
      <c r="E336" s="47"/>
    </row>
    <row r="337" spans="2:5" s="82" customFormat="1" ht="38.25" customHeight="1" x14ac:dyDescent="0.2">
      <c r="B337" s="81"/>
      <c r="C337" s="105" t="s">
        <v>112</v>
      </c>
      <c r="D337" s="105"/>
      <c r="E337" s="106"/>
    </row>
    <row r="338" spans="2:5" x14ac:dyDescent="0.2">
      <c r="B338" s="48" t="s">
        <v>17</v>
      </c>
      <c r="C338" s="46"/>
      <c r="D338" s="46"/>
      <c r="E338" s="47"/>
    </row>
    <row r="339" spans="2:5" x14ac:dyDescent="0.2">
      <c r="B339" s="49"/>
      <c r="C339" s="107" t="s">
        <v>130</v>
      </c>
      <c r="D339" s="107"/>
      <c r="E339" s="108"/>
    </row>
    <row r="340" spans="2:5" ht="81.75" customHeight="1" x14ac:dyDescent="0.2">
      <c r="B340" s="49"/>
      <c r="C340" s="107"/>
      <c r="D340" s="107"/>
      <c r="E340" s="108"/>
    </row>
    <row r="341" spans="2:5" x14ac:dyDescent="0.2">
      <c r="B341" s="48" t="s">
        <v>18</v>
      </c>
      <c r="C341" s="46"/>
      <c r="D341" s="46"/>
      <c r="E341" s="47"/>
    </row>
    <row r="342" spans="2:5" x14ac:dyDescent="0.2">
      <c r="B342" s="49"/>
      <c r="C342" s="102"/>
      <c r="D342" s="102"/>
      <c r="E342" s="109"/>
    </row>
    <row r="343" spans="2:5" x14ac:dyDescent="0.2">
      <c r="B343" s="48" t="s">
        <v>123</v>
      </c>
      <c r="C343" s="50"/>
      <c r="D343" s="50"/>
      <c r="E343" s="51"/>
    </row>
    <row r="344" spans="2:5" x14ac:dyDescent="0.2">
      <c r="B344" s="49"/>
      <c r="C344" s="102"/>
      <c r="D344" s="102"/>
      <c r="E344" s="109"/>
    </row>
    <row r="345" spans="2:5" x14ac:dyDescent="0.2">
      <c r="B345" s="48" t="s">
        <v>19</v>
      </c>
      <c r="C345" s="46"/>
      <c r="D345" s="46"/>
      <c r="E345" s="47"/>
    </row>
    <row r="346" spans="2:5" x14ac:dyDescent="0.2">
      <c r="B346" s="48"/>
      <c r="C346" s="102" t="s">
        <v>59</v>
      </c>
      <c r="D346" s="103"/>
      <c r="E346" s="104"/>
    </row>
    <row r="347" spans="2:5" ht="13.5" thickBot="1" x14ac:dyDescent="0.25">
      <c r="B347" s="79"/>
      <c r="C347" s="53"/>
      <c r="D347" s="53"/>
      <c r="E347" s="54"/>
    </row>
    <row r="350" spans="2:5" ht="13.5" thickBot="1" x14ac:dyDescent="0.25"/>
    <row r="351" spans="2:5" x14ac:dyDescent="0.2">
      <c r="B351" s="42" t="s">
        <v>152</v>
      </c>
      <c r="C351" s="43"/>
      <c r="D351" s="43"/>
      <c r="E351" s="44"/>
    </row>
    <row r="352" spans="2:5" x14ac:dyDescent="0.2">
      <c r="B352" s="45"/>
      <c r="C352" s="46"/>
      <c r="D352" s="46"/>
      <c r="E352" s="47"/>
    </row>
    <row r="353" spans="2:5" x14ac:dyDescent="0.2">
      <c r="B353" s="48" t="s">
        <v>16</v>
      </c>
      <c r="C353" s="46"/>
      <c r="D353" s="46"/>
      <c r="E353" s="47"/>
    </row>
    <row r="354" spans="2:5" ht="38.25" customHeight="1" x14ac:dyDescent="0.2">
      <c r="B354" s="48"/>
      <c r="C354" s="105"/>
      <c r="D354" s="105"/>
      <c r="E354" s="106"/>
    </row>
    <row r="355" spans="2:5" x14ac:dyDescent="0.2">
      <c r="B355" s="48" t="s">
        <v>17</v>
      </c>
      <c r="C355" s="46"/>
      <c r="D355" s="46"/>
      <c r="E355" s="47"/>
    </row>
    <row r="356" spans="2:5" x14ac:dyDescent="0.2">
      <c r="B356" s="49"/>
      <c r="C356" s="107" t="s">
        <v>127</v>
      </c>
      <c r="D356" s="107"/>
      <c r="E356" s="108"/>
    </row>
    <row r="357" spans="2:5" ht="69" customHeight="1" x14ac:dyDescent="0.2">
      <c r="B357" s="49"/>
      <c r="C357" s="107"/>
      <c r="D357" s="107"/>
      <c r="E357" s="108"/>
    </row>
    <row r="358" spans="2:5" x14ac:dyDescent="0.2">
      <c r="B358" s="48" t="s">
        <v>18</v>
      </c>
      <c r="C358" s="46"/>
      <c r="D358" s="46"/>
      <c r="E358" s="47"/>
    </row>
    <row r="359" spans="2:5" x14ac:dyDescent="0.2">
      <c r="B359" s="49"/>
      <c r="C359" s="102"/>
      <c r="D359" s="102"/>
      <c r="E359" s="109"/>
    </row>
    <row r="360" spans="2:5" x14ac:dyDescent="0.2">
      <c r="B360" s="48" t="s">
        <v>123</v>
      </c>
      <c r="C360" s="50"/>
      <c r="D360" s="50"/>
      <c r="E360" s="51"/>
    </row>
    <row r="361" spans="2:5" x14ac:dyDescent="0.2">
      <c r="B361" s="49"/>
      <c r="C361" s="102"/>
      <c r="D361" s="102"/>
      <c r="E361" s="109"/>
    </row>
    <row r="362" spans="2:5" x14ac:dyDescent="0.2">
      <c r="B362" s="48" t="s">
        <v>19</v>
      </c>
      <c r="C362" s="46"/>
      <c r="D362" s="46"/>
      <c r="E362" s="47"/>
    </row>
    <row r="363" spans="2:5" x14ac:dyDescent="0.2">
      <c r="B363" s="48"/>
      <c r="C363" s="102" t="s">
        <v>111</v>
      </c>
      <c r="D363" s="103"/>
      <c r="E363" s="104"/>
    </row>
    <row r="364" spans="2:5" ht="13.5" thickBot="1" x14ac:dyDescent="0.25">
      <c r="B364" s="79"/>
      <c r="C364" s="53"/>
      <c r="D364" s="53"/>
      <c r="E364" s="54"/>
    </row>
  </sheetData>
  <mergeCells count="112">
    <mergeCell ref="C241:E241"/>
    <mergeCell ref="C243:E244"/>
    <mergeCell ref="C246:E246"/>
    <mergeCell ref="C306:E307"/>
    <mergeCell ref="C309:E309"/>
    <mergeCell ref="C311:E311"/>
    <mergeCell ref="C313:E313"/>
    <mergeCell ref="C288:E288"/>
    <mergeCell ref="C290:E291"/>
    <mergeCell ref="C293:E293"/>
    <mergeCell ref="C295:E295"/>
    <mergeCell ref="C297:E297"/>
    <mergeCell ref="C329:E329"/>
    <mergeCell ref="C167:E168"/>
    <mergeCell ref="C170:E170"/>
    <mergeCell ref="C172:E172"/>
    <mergeCell ref="C174:E174"/>
    <mergeCell ref="C195:E195"/>
    <mergeCell ref="C197:E198"/>
    <mergeCell ref="C200:E200"/>
    <mergeCell ref="C202:E202"/>
    <mergeCell ref="C204:E204"/>
    <mergeCell ref="C180:E180"/>
    <mergeCell ref="C182:E183"/>
    <mergeCell ref="C185:E185"/>
    <mergeCell ref="C187:E187"/>
    <mergeCell ref="C189:E189"/>
    <mergeCell ref="C248:E248"/>
    <mergeCell ref="C250:E250"/>
    <mergeCell ref="C226:E226"/>
    <mergeCell ref="C228:E229"/>
    <mergeCell ref="C231:E231"/>
    <mergeCell ref="C233:E233"/>
    <mergeCell ref="C235:E235"/>
    <mergeCell ref="C210:E210"/>
    <mergeCell ref="C212:E213"/>
    <mergeCell ref="C156:E156"/>
    <mergeCell ref="C138:E138"/>
    <mergeCell ref="C140:E140"/>
    <mergeCell ref="C133:E134"/>
    <mergeCell ref="C136:E136"/>
    <mergeCell ref="C320:E320"/>
    <mergeCell ref="C322:E323"/>
    <mergeCell ref="C325:E325"/>
    <mergeCell ref="C327:E327"/>
    <mergeCell ref="C215:E215"/>
    <mergeCell ref="C217:E217"/>
    <mergeCell ref="C219:E219"/>
    <mergeCell ref="C165:E165"/>
    <mergeCell ref="C304:E304"/>
    <mergeCell ref="C272:E272"/>
    <mergeCell ref="C274:E275"/>
    <mergeCell ref="C277:E277"/>
    <mergeCell ref="C279:E279"/>
    <mergeCell ref="C281:E281"/>
    <mergeCell ref="C257:E257"/>
    <mergeCell ref="C259:E260"/>
    <mergeCell ref="C262:E262"/>
    <mergeCell ref="C264:E264"/>
    <mergeCell ref="C266:E266"/>
    <mergeCell ref="B2:H2"/>
    <mergeCell ref="A4:B4"/>
    <mergeCell ref="C4:E4"/>
    <mergeCell ref="A5:B5"/>
    <mergeCell ref="C5:E5"/>
    <mergeCell ref="C147:E147"/>
    <mergeCell ref="C149:E150"/>
    <mergeCell ref="C152:E152"/>
    <mergeCell ref="C154:E154"/>
    <mergeCell ref="C90:E90"/>
    <mergeCell ref="C97:E97"/>
    <mergeCell ref="C50:E50"/>
    <mergeCell ref="C52:E53"/>
    <mergeCell ref="C55:E55"/>
    <mergeCell ref="C57:E57"/>
    <mergeCell ref="C35:E35"/>
    <mergeCell ref="C37:E38"/>
    <mergeCell ref="A6:B6"/>
    <mergeCell ref="A7:B7"/>
    <mergeCell ref="C40:E40"/>
    <mergeCell ref="C42:E42"/>
    <mergeCell ref="C44:E44"/>
    <mergeCell ref="C65:E65"/>
    <mergeCell ref="C67:E68"/>
    <mergeCell ref="C70:E70"/>
    <mergeCell ref="C72:E72"/>
    <mergeCell ref="C74:E74"/>
    <mergeCell ref="C81:E81"/>
    <mergeCell ref="C363:E363"/>
    <mergeCell ref="C337:E337"/>
    <mergeCell ref="C339:E340"/>
    <mergeCell ref="C342:E342"/>
    <mergeCell ref="C344:E344"/>
    <mergeCell ref="C346:E346"/>
    <mergeCell ref="C59:E59"/>
    <mergeCell ref="C99:E100"/>
    <mergeCell ref="C102:E102"/>
    <mergeCell ref="C104:E104"/>
    <mergeCell ref="C106:E106"/>
    <mergeCell ref="C354:E354"/>
    <mergeCell ref="C356:E357"/>
    <mergeCell ref="C359:E359"/>
    <mergeCell ref="C361:E361"/>
    <mergeCell ref="C114:E114"/>
    <mergeCell ref="C116:E117"/>
    <mergeCell ref="C119:E119"/>
    <mergeCell ref="C121:E121"/>
    <mergeCell ref="C123:E123"/>
    <mergeCell ref="C131:E131"/>
    <mergeCell ref="C83:E84"/>
    <mergeCell ref="C86:E86"/>
    <mergeCell ref="C88:E88"/>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J33"/>
  <sheetViews>
    <sheetView topLeftCell="A22" zoomScale="104" zoomScaleNormal="104" workbookViewId="0">
      <selection activeCell="L10" sqref="L10"/>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7.5703125" style="2" customWidth="1"/>
    <col min="13" max="14" width="5.85546875" style="2" customWidth="1"/>
    <col min="15" max="15" width="12.5703125" style="2" customWidth="1"/>
    <col min="16" max="1024" width="9.140625" style="2"/>
  </cols>
  <sheetData>
    <row r="1" spans="1:12" ht="18" customHeight="1" x14ac:dyDescent="0.2">
      <c r="A1" s="131" t="s">
        <v>21</v>
      </c>
      <c r="B1" s="131"/>
      <c r="C1" s="131"/>
      <c r="D1" s="131"/>
      <c r="E1" s="131"/>
      <c r="F1" s="131"/>
      <c r="G1" s="131"/>
      <c r="H1" s="131"/>
      <c r="I1" s="131"/>
      <c r="J1" s="3" t="s">
        <v>22</v>
      </c>
      <c r="K1" s="55" t="s">
        <v>110</v>
      </c>
    </row>
    <row r="2" spans="1:12" ht="18.75" customHeight="1" thickBot="1" x14ac:dyDescent="0.25">
      <c r="A2" s="4"/>
      <c r="B2" s="4"/>
      <c r="C2" s="4"/>
      <c r="D2" s="5"/>
      <c r="E2" s="5"/>
      <c r="F2" s="5"/>
      <c r="G2" s="5"/>
      <c r="H2" s="5"/>
      <c r="I2" s="5"/>
      <c r="J2" s="5"/>
      <c r="K2" s="5"/>
    </row>
    <row r="3" spans="1:12" ht="18.75" customHeight="1" thickBot="1" x14ac:dyDescent="0.25">
      <c r="A3" s="132" t="s">
        <v>56</v>
      </c>
      <c r="B3" s="132"/>
      <c r="C3" s="132"/>
      <c r="D3" s="133" t="s">
        <v>60</v>
      </c>
      <c r="E3" s="133"/>
      <c r="F3" s="133"/>
      <c r="G3" s="133"/>
      <c r="H3" s="133"/>
      <c r="I3" s="133"/>
      <c r="J3" s="133"/>
      <c r="K3" s="133"/>
    </row>
    <row r="4" spans="1:12" ht="18.75" customHeight="1" thickBot="1" x14ac:dyDescent="0.25">
      <c r="A4" s="134" t="s">
        <v>57</v>
      </c>
      <c r="B4" s="134"/>
      <c r="C4" s="134"/>
      <c r="D4" s="133" t="s">
        <v>61</v>
      </c>
      <c r="E4" s="133"/>
      <c r="F4" s="133"/>
      <c r="G4" s="133"/>
      <c r="H4" s="133"/>
      <c r="I4" s="133"/>
      <c r="J4" s="133"/>
      <c r="K4" s="133"/>
    </row>
    <row r="5" spans="1:12" ht="18.75" customHeight="1" thickBot="1" x14ac:dyDescent="0.25">
      <c r="A5" s="134" t="s">
        <v>35</v>
      </c>
      <c r="B5" s="134"/>
      <c r="C5" s="134"/>
      <c r="D5" s="133" t="s">
        <v>62</v>
      </c>
      <c r="E5" s="133"/>
      <c r="F5" s="133"/>
      <c r="G5" s="133"/>
      <c r="H5" s="133"/>
      <c r="I5" s="133"/>
      <c r="J5" s="133"/>
      <c r="K5" s="133"/>
    </row>
    <row r="6" spans="1:12" ht="16.5" customHeight="1" thickBot="1" x14ac:dyDescent="0.25">
      <c r="A6" s="132" t="s">
        <v>58</v>
      </c>
      <c r="B6" s="132"/>
      <c r="C6" s="132"/>
      <c r="D6" s="133" t="s">
        <v>63</v>
      </c>
      <c r="E6" s="133"/>
      <c r="F6" s="133"/>
      <c r="G6" s="133"/>
      <c r="H6" s="133"/>
      <c r="I6" s="133"/>
      <c r="J6" s="133"/>
      <c r="K6" s="133"/>
    </row>
    <row r="7" spans="1:12" ht="16.5" customHeight="1" x14ac:dyDescent="0.2">
      <c r="A7" s="134" t="s">
        <v>23</v>
      </c>
      <c r="B7" s="134"/>
      <c r="C7" s="134"/>
      <c r="D7" s="133" t="s">
        <v>131</v>
      </c>
      <c r="E7" s="133"/>
      <c r="F7" s="133"/>
      <c r="G7" s="133"/>
      <c r="H7" s="133"/>
      <c r="I7" s="133"/>
      <c r="J7" s="133"/>
      <c r="K7" s="133"/>
    </row>
    <row r="8" spans="1:12" ht="42.75" customHeight="1" x14ac:dyDescent="0.2">
      <c r="A8" s="122" t="s">
        <v>24</v>
      </c>
      <c r="B8" s="122"/>
      <c r="C8" s="122"/>
      <c r="D8" s="137" t="s">
        <v>109</v>
      </c>
      <c r="E8" s="137"/>
      <c r="F8" s="137"/>
      <c r="G8" s="137"/>
      <c r="H8" s="137"/>
      <c r="I8" s="137"/>
      <c r="J8" s="137"/>
      <c r="K8" s="137"/>
    </row>
    <row r="9" spans="1:12" ht="15.75" x14ac:dyDescent="0.2">
      <c r="A9" s="6"/>
      <c r="B9" s="6"/>
      <c r="C9" s="6"/>
      <c r="D9" s="7"/>
      <c r="E9" s="7"/>
      <c r="F9" s="7"/>
      <c r="G9" s="7"/>
      <c r="H9" s="7"/>
      <c r="I9" s="7"/>
      <c r="J9" s="7"/>
      <c r="K9" s="7"/>
    </row>
    <row r="10" spans="1:12" ht="18.75" customHeight="1" x14ac:dyDescent="0.2">
      <c r="A10" s="138" t="s">
        <v>25</v>
      </c>
      <c r="B10" s="139" t="s">
        <v>26</v>
      </c>
      <c r="C10" s="139" t="s">
        <v>27</v>
      </c>
      <c r="D10" s="139"/>
      <c r="E10" s="139"/>
      <c r="F10" s="139"/>
      <c r="G10" s="139"/>
      <c r="H10" s="139" t="s">
        <v>28</v>
      </c>
      <c r="I10" s="139" t="s">
        <v>29</v>
      </c>
      <c r="J10" s="139" t="s">
        <v>30</v>
      </c>
      <c r="K10" s="140" t="s">
        <v>31</v>
      </c>
    </row>
    <row r="11" spans="1:12" ht="24" customHeight="1" thickBot="1" x14ac:dyDescent="0.25">
      <c r="A11" s="138"/>
      <c r="B11" s="139"/>
      <c r="C11" s="139"/>
      <c r="D11" s="139"/>
      <c r="E11" s="139"/>
      <c r="F11" s="139"/>
      <c r="G11" s="139"/>
      <c r="H11" s="139"/>
      <c r="I11" s="139"/>
      <c r="J11" s="139"/>
      <c r="K11" s="140"/>
    </row>
    <row r="12" spans="1:12" ht="39.75" customHeight="1" thickBot="1" x14ac:dyDescent="0.25">
      <c r="A12" s="8">
        <v>1</v>
      </c>
      <c r="B12" s="9" t="s">
        <v>68</v>
      </c>
      <c r="C12" s="123" t="s">
        <v>69</v>
      </c>
      <c r="D12" s="124"/>
      <c r="E12" s="124"/>
      <c r="F12" s="124"/>
      <c r="G12" s="125"/>
      <c r="H12" s="56" t="s">
        <v>32</v>
      </c>
      <c r="I12" s="57" t="s">
        <v>14</v>
      </c>
      <c r="J12" s="70">
        <v>308000</v>
      </c>
      <c r="K12" s="10">
        <v>1</v>
      </c>
      <c r="L12" s="101"/>
    </row>
    <row r="13" spans="1:12" ht="42" customHeight="1" thickBot="1" x14ac:dyDescent="0.25">
      <c r="A13" s="8">
        <v>2</v>
      </c>
      <c r="B13" s="9" t="s">
        <v>68</v>
      </c>
      <c r="C13" s="119" t="s">
        <v>69</v>
      </c>
      <c r="D13" s="126"/>
      <c r="E13" s="126"/>
      <c r="F13" s="126"/>
      <c r="G13" s="127"/>
      <c r="H13" s="56" t="s">
        <v>32</v>
      </c>
      <c r="I13" s="57" t="s">
        <v>14</v>
      </c>
      <c r="J13" s="70">
        <v>368109.53200000001</v>
      </c>
      <c r="K13" s="10">
        <v>1</v>
      </c>
      <c r="L13" s="101"/>
    </row>
    <row r="14" spans="1:12" ht="44.25" customHeight="1" thickBot="1" x14ac:dyDescent="0.25">
      <c r="A14" s="8">
        <v>3</v>
      </c>
      <c r="B14" s="9" t="s">
        <v>65</v>
      </c>
      <c r="C14" s="119" t="s">
        <v>67</v>
      </c>
      <c r="D14" s="126"/>
      <c r="E14" s="126"/>
      <c r="F14" s="126"/>
      <c r="G14" s="127"/>
      <c r="H14" s="56" t="s">
        <v>32</v>
      </c>
      <c r="I14" s="57" t="s">
        <v>14</v>
      </c>
      <c r="J14" s="63">
        <v>182000</v>
      </c>
      <c r="K14" s="10">
        <v>1</v>
      </c>
      <c r="L14" s="101"/>
    </row>
    <row r="15" spans="1:12" ht="37.5" customHeight="1" thickBot="1" x14ac:dyDescent="0.25">
      <c r="A15" s="11">
        <v>4</v>
      </c>
      <c r="B15" s="12" t="s">
        <v>70</v>
      </c>
      <c r="C15" s="141" t="s">
        <v>71</v>
      </c>
      <c r="D15" s="142"/>
      <c r="E15" s="142"/>
      <c r="F15" s="142"/>
      <c r="G15" s="143"/>
      <c r="H15" s="13" t="s">
        <v>32</v>
      </c>
      <c r="I15" s="14" t="s">
        <v>14</v>
      </c>
      <c r="J15" s="63">
        <v>142800</v>
      </c>
      <c r="K15" s="15">
        <v>3</v>
      </c>
      <c r="L15" s="101"/>
    </row>
    <row r="16" spans="1:12" ht="49.5" customHeight="1" thickBot="1" x14ac:dyDescent="0.25">
      <c r="A16" s="8">
        <v>5</v>
      </c>
      <c r="B16" s="9" t="s">
        <v>73</v>
      </c>
      <c r="C16" s="123" t="s">
        <v>76</v>
      </c>
      <c r="D16" s="124"/>
      <c r="E16" s="124"/>
      <c r="F16" s="124"/>
      <c r="G16" s="125"/>
      <c r="H16" s="56" t="s">
        <v>32</v>
      </c>
      <c r="I16" s="57" t="s">
        <v>14</v>
      </c>
      <c r="J16" s="63">
        <v>42280</v>
      </c>
      <c r="K16" s="10">
        <v>2</v>
      </c>
      <c r="L16" s="101"/>
    </row>
    <row r="17" spans="1:1024" ht="44.25" customHeight="1" thickBot="1" x14ac:dyDescent="0.25">
      <c r="A17" s="8">
        <v>6</v>
      </c>
      <c r="B17" s="9" t="s">
        <v>78</v>
      </c>
      <c r="C17" s="119" t="s">
        <v>80</v>
      </c>
      <c r="D17" s="126"/>
      <c r="E17" s="126"/>
      <c r="F17" s="126"/>
      <c r="G17" s="127"/>
      <c r="H17" s="56" t="s">
        <v>32</v>
      </c>
      <c r="I17" s="57" t="s">
        <v>14</v>
      </c>
      <c r="J17" s="63">
        <v>432460</v>
      </c>
      <c r="K17" s="10">
        <v>1</v>
      </c>
      <c r="L17" s="101"/>
    </row>
    <row r="18" spans="1:1024" ht="65.25" customHeight="1" thickBot="1" x14ac:dyDescent="0.25">
      <c r="A18" s="8">
        <v>7</v>
      </c>
      <c r="B18" s="9" t="s">
        <v>82</v>
      </c>
      <c r="C18" s="119" t="s">
        <v>83</v>
      </c>
      <c r="D18" s="120"/>
      <c r="E18" s="120"/>
      <c r="F18" s="120"/>
      <c r="G18" s="121"/>
      <c r="H18" s="56" t="s">
        <v>113</v>
      </c>
      <c r="I18" s="57" t="s">
        <v>14</v>
      </c>
      <c r="J18" s="63">
        <v>16800</v>
      </c>
      <c r="K18" s="10">
        <v>4</v>
      </c>
      <c r="L18" s="101"/>
    </row>
    <row r="19" spans="1:1024" ht="65.25" customHeight="1" thickBot="1" x14ac:dyDescent="0.25">
      <c r="A19" s="8">
        <v>8</v>
      </c>
      <c r="B19" s="9" t="s">
        <v>84</v>
      </c>
      <c r="C19" s="119" t="s">
        <v>85</v>
      </c>
      <c r="D19" s="126"/>
      <c r="E19" s="126"/>
      <c r="F19" s="126"/>
      <c r="G19" s="127"/>
      <c r="H19" s="56" t="s">
        <v>32</v>
      </c>
      <c r="I19" s="57" t="s">
        <v>14</v>
      </c>
      <c r="J19" s="70">
        <v>1330000</v>
      </c>
      <c r="K19" s="10">
        <v>1</v>
      </c>
      <c r="L19" s="101"/>
    </row>
    <row r="20" spans="1:1024" ht="45" customHeight="1" thickBot="1" x14ac:dyDescent="0.25">
      <c r="A20" s="8">
        <v>9</v>
      </c>
      <c r="B20" s="9" t="s">
        <v>89</v>
      </c>
      <c r="C20" s="119" t="s">
        <v>90</v>
      </c>
      <c r="D20" s="126"/>
      <c r="E20" s="126"/>
      <c r="F20" s="126"/>
      <c r="G20" s="127"/>
      <c r="H20" s="56" t="s">
        <v>32</v>
      </c>
      <c r="I20" s="57" t="s">
        <v>14</v>
      </c>
      <c r="J20" s="70">
        <v>5600</v>
      </c>
      <c r="K20" s="10">
        <v>1</v>
      </c>
      <c r="L20" s="101"/>
    </row>
    <row r="21" spans="1:1024" ht="45" customHeight="1" thickBot="1" x14ac:dyDescent="0.25">
      <c r="A21" s="98">
        <v>10</v>
      </c>
      <c r="B21" s="99" t="s">
        <v>89</v>
      </c>
      <c r="C21" s="119" t="s">
        <v>90</v>
      </c>
      <c r="D21" s="126"/>
      <c r="E21" s="126"/>
      <c r="F21" s="126"/>
      <c r="G21" s="127"/>
      <c r="H21" s="56" t="s">
        <v>32</v>
      </c>
      <c r="I21" s="57" t="s">
        <v>14</v>
      </c>
      <c r="J21" s="70">
        <v>5600</v>
      </c>
      <c r="K21" s="100">
        <v>1</v>
      </c>
      <c r="L21" s="101"/>
    </row>
    <row r="22" spans="1:1024" ht="45" customHeight="1" thickBot="1" x14ac:dyDescent="0.25">
      <c r="A22" s="98">
        <v>11</v>
      </c>
      <c r="B22" s="99" t="s">
        <v>89</v>
      </c>
      <c r="C22" s="119" t="s">
        <v>90</v>
      </c>
      <c r="D22" s="126"/>
      <c r="E22" s="126"/>
      <c r="F22" s="126"/>
      <c r="G22" s="127"/>
      <c r="H22" s="56" t="s">
        <v>32</v>
      </c>
      <c r="I22" s="57" t="s">
        <v>14</v>
      </c>
      <c r="J22" s="70">
        <v>5600</v>
      </c>
      <c r="K22" s="100">
        <v>1</v>
      </c>
      <c r="L22" s="101"/>
    </row>
    <row r="23" spans="1:1024" ht="45" customHeight="1" thickBot="1" x14ac:dyDescent="0.25">
      <c r="A23" s="98">
        <v>12</v>
      </c>
      <c r="B23" s="99" t="s">
        <v>89</v>
      </c>
      <c r="C23" s="119" t="s">
        <v>90</v>
      </c>
      <c r="D23" s="126"/>
      <c r="E23" s="126"/>
      <c r="F23" s="126"/>
      <c r="G23" s="127"/>
      <c r="H23" s="56" t="s">
        <v>32</v>
      </c>
      <c r="I23" s="57" t="s">
        <v>14</v>
      </c>
      <c r="J23" s="70">
        <v>5600</v>
      </c>
      <c r="K23" s="100">
        <v>1</v>
      </c>
      <c r="L23" s="101"/>
    </row>
    <row r="24" spans="1:1024" ht="45" customHeight="1" thickBot="1" x14ac:dyDescent="0.25">
      <c r="A24" s="98">
        <v>13</v>
      </c>
      <c r="B24" s="99" t="s">
        <v>89</v>
      </c>
      <c r="C24" s="119" t="s">
        <v>90</v>
      </c>
      <c r="D24" s="126"/>
      <c r="E24" s="126"/>
      <c r="F24" s="126"/>
      <c r="G24" s="127"/>
      <c r="H24" s="56" t="s">
        <v>32</v>
      </c>
      <c r="I24" s="57" t="s">
        <v>14</v>
      </c>
      <c r="J24" s="70">
        <v>5600</v>
      </c>
      <c r="K24" s="100">
        <v>1</v>
      </c>
      <c r="L24" s="101"/>
    </row>
    <row r="25" spans="1:1024" ht="45" customHeight="1" thickBot="1" x14ac:dyDescent="0.25">
      <c r="A25" s="98">
        <v>14</v>
      </c>
      <c r="B25" s="99" t="s">
        <v>89</v>
      </c>
      <c r="C25" s="119" t="s">
        <v>90</v>
      </c>
      <c r="D25" s="126"/>
      <c r="E25" s="126"/>
      <c r="F25" s="126"/>
      <c r="G25" s="127"/>
      <c r="H25" s="56" t="s">
        <v>32</v>
      </c>
      <c r="I25" s="57" t="s">
        <v>14</v>
      </c>
      <c r="J25" s="70">
        <v>5600</v>
      </c>
      <c r="K25" s="100">
        <v>1</v>
      </c>
      <c r="L25" s="101"/>
    </row>
    <row r="26" spans="1:1024" ht="45" customHeight="1" thickBot="1" x14ac:dyDescent="0.25">
      <c r="A26" s="98">
        <v>15</v>
      </c>
      <c r="B26" s="99" t="s">
        <v>89</v>
      </c>
      <c r="C26" s="128" t="s">
        <v>90</v>
      </c>
      <c r="D26" s="129"/>
      <c r="E26" s="129"/>
      <c r="F26" s="129"/>
      <c r="G26" s="130"/>
      <c r="H26" s="56" t="s">
        <v>32</v>
      </c>
      <c r="I26" s="57" t="s">
        <v>14</v>
      </c>
      <c r="J26" s="70">
        <v>5600</v>
      </c>
      <c r="K26" s="100">
        <v>1</v>
      </c>
      <c r="L26" s="101"/>
    </row>
    <row r="27" spans="1:1024" ht="45" customHeight="1" thickBot="1" x14ac:dyDescent="0.25">
      <c r="A27" s="98">
        <v>16</v>
      </c>
      <c r="B27" s="99" t="s">
        <v>89</v>
      </c>
      <c r="C27" s="128" t="s">
        <v>90</v>
      </c>
      <c r="D27" s="129"/>
      <c r="E27" s="129"/>
      <c r="F27" s="129"/>
      <c r="G27" s="130"/>
      <c r="H27" s="56" t="s">
        <v>32</v>
      </c>
      <c r="I27" s="57" t="s">
        <v>14</v>
      </c>
      <c r="J27" s="70">
        <v>5600</v>
      </c>
      <c r="K27" s="100">
        <v>1</v>
      </c>
      <c r="L27" s="101"/>
    </row>
    <row r="28" spans="1:1024" ht="45" customHeight="1" thickBot="1" x14ac:dyDescent="0.25">
      <c r="A28" s="98">
        <v>17</v>
      </c>
      <c r="B28" s="99" t="s">
        <v>89</v>
      </c>
      <c r="C28" s="119" t="s">
        <v>90</v>
      </c>
      <c r="D28" s="126"/>
      <c r="E28" s="126"/>
      <c r="F28" s="126"/>
      <c r="G28" s="127"/>
      <c r="H28" s="56" t="s">
        <v>32</v>
      </c>
      <c r="I28" s="57" t="s">
        <v>14</v>
      </c>
      <c r="J28" s="70">
        <v>5600</v>
      </c>
      <c r="K28" s="100">
        <v>1</v>
      </c>
      <c r="L28" s="101"/>
    </row>
    <row r="29" spans="1:1024" ht="45" customHeight="1" x14ac:dyDescent="0.2">
      <c r="A29" s="98">
        <v>18</v>
      </c>
      <c r="B29" s="99" t="s">
        <v>89</v>
      </c>
      <c r="C29" s="119" t="s">
        <v>90</v>
      </c>
      <c r="D29" s="126"/>
      <c r="E29" s="126"/>
      <c r="F29" s="126"/>
      <c r="G29" s="127"/>
      <c r="H29" s="56" t="s">
        <v>32</v>
      </c>
      <c r="I29" s="57" t="s">
        <v>14</v>
      </c>
      <c r="J29" s="70">
        <v>5600</v>
      </c>
      <c r="K29" s="100">
        <v>1</v>
      </c>
      <c r="L29" s="101"/>
    </row>
    <row r="30" spans="1:1024" s="96" customFormat="1" ht="57.75" customHeight="1" thickBot="1" x14ac:dyDescent="0.25">
      <c r="A30" s="89">
        <v>19</v>
      </c>
      <c r="B30" s="90" t="s">
        <v>93</v>
      </c>
      <c r="C30" s="116" t="s">
        <v>94</v>
      </c>
      <c r="D30" s="117"/>
      <c r="E30" s="117"/>
      <c r="F30" s="117"/>
      <c r="G30" s="118"/>
      <c r="H30" s="91" t="s">
        <v>32</v>
      </c>
      <c r="I30" s="92" t="s">
        <v>14</v>
      </c>
      <c r="J30" s="93">
        <v>308000</v>
      </c>
      <c r="K30" s="94">
        <v>2</v>
      </c>
      <c r="L30" s="101"/>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95"/>
      <c r="DV30" s="95"/>
      <c r="DW30" s="95"/>
      <c r="DX30" s="95"/>
      <c r="DY30" s="95"/>
      <c r="DZ30" s="95"/>
      <c r="EA30" s="95"/>
      <c r="EB30" s="95"/>
      <c r="EC30" s="95"/>
      <c r="ED30" s="95"/>
      <c r="EE30" s="95"/>
      <c r="EF30" s="95"/>
      <c r="EG30" s="95"/>
      <c r="EH30" s="95"/>
      <c r="EI30" s="95"/>
      <c r="EJ30" s="95"/>
      <c r="EK30" s="95"/>
      <c r="EL30" s="95"/>
      <c r="EM30" s="95"/>
      <c r="EN30" s="95"/>
      <c r="EO30" s="95"/>
      <c r="EP30" s="95"/>
      <c r="EQ30" s="95"/>
      <c r="ER30" s="95"/>
      <c r="ES30" s="95"/>
      <c r="ET30" s="95"/>
      <c r="EU30" s="95"/>
      <c r="EV30" s="95"/>
      <c r="EW30" s="95"/>
      <c r="EX30" s="95"/>
      <c r="EY30" s="95"/>
      <c r="EZ30" s="95"/>
      <c r="FA30" s="95"/>
      <c r="FB30" s="95"/>
      <c r="FC30" s="95"/>
      <c r="FD30" s="95"/>
      <c r="FE30" s="95"/>
      <c r="FF30" s="95"/>
      <c r="FG30" s="95"/>
      <c r="FH30" s="95"/>
      <c r="FI30" s="95"/>
      <c r="FJ30" s="95"/>
      <c r="FK30" s="95"/>
      <c r="FL30" s="95"/>
      <c r="FM30" s="95"/>
      <c r="FN30" s="95"/>
      <c r="FO30" s="95"/>
      <c r="FP30" s="95"/>
      <c r="FQ30" s="95"/>
      <c r="FR30" s="95"/>
      <c r="FS30" s="95"/>
      <c r="FT30" s="95"/>
      <c r="FU30" s="95"/>
      <c r="FV30" s="95"/>
      <c r="FW30" s="95"/>
      <c r="FX30" s="95"/>
      <c r="FY30" s="95"/>
      <c r="FZ30" s="95"/>
      <c r="GA30" s="95"/>
      <c r="GB30" s="95"/>
      <c r="GC30" s="95"/>
      <c r="GD30" s="95"/>
      <c r="GE30" s="95"/>
      <c r="GF30" s="95"/>
      <c r="GG30" s="95"/>
      <c r="GH30" s="95"/>
      <c r="GI30" s="95"/>
      <c r="GJ30" s="95"/>
      <c r="GK30" s="95"/>
      <c r="GL30" s="95"/>
      <c r="GM30" s="95"/>
      <c r="GN30" s="95"/>
      <c r="GO30" s="95"/>
      <c r="GP30" s="95"/>
      <c r="GQ30" s="95"/>
      <c r="GR30" s="95"/>
      <c r="GS30" s="95"/>
      <c r="GT30" s="95"/>
      <c r="GU30" s="95"/>
      <c r="GV30" s="95"/>
      <c r="GW30" s="95"/>
      <c r="GX30" s="95"/>
      <c r="GY30" s="95"/>
      <c r="GZ30" s="95"/>
      <c r="HA30" s="95"/>
      <c r="HB30" s="95"/>
      <c r="HC30" s="95"/>
      <c r="HD30" s="95"/>
      <c r="HE30" s="95"/>
      <c r="HF30" s="95"/>
      <c r="HG30" s="95"/>
      <c r="HH30" s="95"/>
      <c r="HI30" s="95"/>
      <c r="HJ30" s="95"/>
      <c r="HK30" s="95"/>
      <c r="HL30" s="95"/>
      <c r="HM30" s="95"/>
      <c r="HN30" s="95"/>
      <c r="HO30" s="95"/>
      <c r="HP30" s="95"/>
      <c r="HQ30" s="95"/>
      <c r="HR30" s="95"/>
      <c r="HS30" s="95"/>
      <c r="HT30" s="95"/>
      <c r="HU30" s="95"/>
      <c r="HV30" s="95"/>
      <c r="HW30" s="95"/>
      <c r="HX30" s="95"/>
      <c r="HY30" s="95"/>
      <c r="HZ30" s="95"/>
      <c r="IA30" s="95"/>
      <c r="IB30" s="95"/>
      <c r="IC30" s="95"/>
      <c r="ID30" s="95"/>
      <c r="IE30" s="95"/>
      <c r="IF30" s="95"/>
      <c r="IG30" s="95"/>
      <c r="IH30" s="95"/>
      <c r="II30" s="95"/>
      <c r="IJ30" s="95"/>
      <c r="IK30" s="95"/>
      <c r="IL30" s="95"/>
      <c r="IM30" s="95"/>
      <c r="IN30" s="95"/>
      <c r="IO30" s="95"/>
      <c r="IP30" s="95"/>
      <c r="IQ30" s="95"/>
      <c r="IR30" s="95"/>
      <c r="IS30" s="95"/>
      <c r="IT30" s="95"/>
      <c r="IU30" s="95"/>
      <c r="IV30" s="95"/>
      <c r="IW30" s="95"/>
      <c r="IX30" s="95"/>
      <c r="IY30" s="95"/>
      <c r="IZ30" s="95"/>
      <c r="JA30" s="95"/>
      <c r="JB30" s="95"/>
      <c r="JC30" s="95"/>
      <c r="JD30" s="95"/>
      <c r="JE30" s="95"/>
      <c r="JF30" s="95"/>
      <c r="JG30" s="95"/>
      <c r="JH30" s="95"/>
      <c r="JI30" s="95"/>
      <c r="JJ30" s="95"/>
      <c r="JK30" s="95"/>
      <c r="JL30" s="95"/>
      <c r="JM30" s="95"/>
      <c r="JN30" s="95"/>
      <c r="JO30" s="95"/>
      <c r="JP30" s="95"/>
      <c r="JQ30" s="95"/>
      <c r="JR30" s="95"/>
      <c r="JS30" s="95"/>
      <c r="JT30" s="95"/>
      <c r="JU30" s="95"/>
      <c r="JV30" s="95"/>
      <c r="JW30" s="95"/>
      <c r="JX30" s="95"/>
      <c r="JY30" s="95"/>
      <c r="JZ30" s="95"/>
      <c r="KA30" s="95"/>
      <c r="KB30" s="95"/>
      <c r="KC30" s="95"/>
      <c r="KD30" s="95"/>
      <c r="KE30" s="95"/>
      <c r="KF30" s="95"/>
      <c r="KG30" s="95"/>
      <c r="KH30" s="95"/>
      <c r="KI30" s="95"/>
      <c r="KJ30" s="95"/>
      <c r="KK30" s="95"/>
      <c r="KL30" s="95"/>
      <c r="KM30" s="95"/>
      <c r="KN30" s="95"/>
      <c r="KO30" s="95"/>
      <c r="KP30" s="95"/>
      <c r="KQ30" s="95"/>
      <c r="KR30" s="95"/>
      <c r="KS30" s="95"/>
      <c r="KT30" s="95"/>
      <c r="KU30" s="95"/>
      <c r="KV30" s="95"/>
      <c r="KW30" s="95"/>
      <c r="KX30" s="95"/>
      <c r="KY30" s="95"/>
      <c r="KZ30" s="95"/>
      <c r="LA30" s="95"/>
      <c r="LB30" s="95"/>
      <c r="LC30" s="95"/>
      <c r="LD30" s="95"/>
      <c r="LE30" s="95"/>
      <c r="LF30" s="95"/>
      <c r="LG30" s="95"/>
      <c r="LH30" s="95"/>
      <c r="LI30" s="95"/>
      <c r="LJ30" s="95"/>
      <c r="LK30" s="95"/>
      <c r="LL30" s="95"/>
      <c r="LM30" s="95"/>
      <c r="LN30" s="95"/>
      <c r="LO30" s="95"/>
      <c r="LP30" s="95"/>
      <c r="LQ30" s="95"/>
      <c r="LR30" s="95"/>
      <c r="LS30" s="95"/>
      <c r="LT30" s="95"/>
      <c r="LU30" s="95"/>
      <c r="LV30" s="95"/>
      <c r="LW30" s="95"/>
      <c r="LX30" s="95"/>
      <c r="LY30" s="95"/>
      <c r="LZ30" s="95"/>
      <c r="MA30" s="95"/>
      <c r="MB30" s="95"/>
      <c r="MC30" s="95"/>
      <c r="MD30" s="95"/>
      <c r="ME30" s="95"/>
      <c r="MF30" s="95"/>
      <c r="MG30" s="95"/>
      <c r="MH30" s="95"/>
      <c r="MI30" s="95"/>
      <c r="MJ30" s="95"/>
      <c r="MK30" s="95"/>
      <c r="ML30" s="95"/>
      <c r="MM30" s="95"/>
      <c r="MN30" s="95"/>
      <c r="MO30" s="95"/>
      <c r="MP30" s="95"/>
      <c r="MQ30" s="95"/>
      <c r="MR30" s="95"/>
      <c r="MS30" s="95"/>
      <c r="MT30" s="95"/>
      <c r="MU30" s="95"/>
      <c r="MV30" s="95"/>
      <c r="MW30" s="95"/>
      <c r="MX30" s="95"/>
      <c r="MY30" s="95"/>
      <c r="MZ30" s="95"/>
      <c r="NA30" s="95"/>
      <c r="NB30" s="95"/>
      <c r="NC30" s="95"/>
      <c r="ND30" s="95"/>
      <c r="NE30" s="95"/>
      <c r="NF30" s="95"/>
      <c r="NG30" s="95"/>
      <c r="NH30" s="95"/>
      <c r="NI30" s="95"/>
      <c r="NJ30" s="95"/>
      <c r="NK30" s="95"/>
      <c r="NL30" s="95"/>
      <c r="NM30" s="95"/>
      <c r="NN30" s="95"/>
      <c r="NO30" s="95"/>
      <c r="NP30" s="95"/>
      <c r="NQ30" s="95"/>
      <c r="NR30" s="95"/>
      <c r="NS30" s="95"/>
      <c r="NT30" s="95"/>
      <c r="NU30" s="95"/>
      <c r="NV30" s="95"/>
      <c r="NW30" s="95"/>
      <c r="NX30" s="95"/>
      <c r="NY30" s="95"/>
      <c r="NZ30" s="95"/>
      <c r="OA30" s="95"/>
      <c r="OB30" s="95"/>
      <c r="OC30" s="95"/>
      <c r="OD30" s="95"/>
      <c r="OE30" s="95"/>
      <c r="OF30" s="95"/>
      <c r="OG30" s="95"/>
      <c r="OH30" s="95"/>
      <c r="OI30" s="95"/>
      <c r="OJ30" s="95"/>
      <c r="OK30" s="95"/>
      <c r="OL30" s="95"/>
      <c r="OM30" s="95"/>
      <c r="ON30" s="95"/>
      <c r="OO30" s="95"/>
      <c r="OP30" s="95"/>
      <c r="OQ30" s="95"/>
      <c r="OR30" s="95"/>
      <c r="OS30" s="95"/>
      <c r="OT30" s="95"/>
      <c r="OU30" s="95"/>
      <c r="OV30" s="95"/>
      <c r="OW30" s="95"/>
      <c r="OX30" s="95"/>
      <c r="OY30" s="95"/>
      <c r="OZ30" s="95"/>
      <c r="PA30" s="95"/>
      <c r="PB30" s="95"/>
      <c r="PC30" s="95"/>
      <c r="PD30" s="95"/>
      <c r="PE30" s="95"/>
      <c r="PF30" s="95"/>
      <c r="PG30" s="95"/>
      <c r="PH30" s="95"/>
      <c r="PI30" s="95"/>
      <c r="PJ30" s="95"/>
      <c r="PK30" s="95"/>
      <c r="PL30" s="95"/>
      <c r="PM30" s="95"/>
      <c r="PN30" s="95"/>
      <c r="PO30" s="95"/>
      <c r="PP30" s="95"/>
      <c r="PQ30" s="95"/>
      <c r="PR30" s="95"/>
      <c r="PS30" s="95"/>
      <c r="PT30" s="95"/>
      <c r="PU30" s="95"/>
      <c r="PV30" s="95"/>
      <c r="PW30" s="95"/>
      <c r="PX30" s="95"/>
      <c r="PY30" s="95"/>
      <c r="PZ30" s="95"/>
      <c r="QA30" s="95"/>
      <c r="QB30" s="95"/>
      <c r="QC30" s="95"/>
      <c r="QD30" s="95"/>
      <c r="QE30" s="95"/>
      <c r="QF30" s="95"/>
      <c r="QG30" s="95"/>
      <c r="QH30" s="95"/>
      <c r="QI30" s="95"/>
      <c r="QJ30" s="95"/>
      <c r="QK30" s="95"/>
      <c r="QL30" s="95"/>
      <c r="QM30" s="95"/>
      <c r="QN30" s="95"/>
      <c r="QO30" s="95"/>
      <c r="QP30" s="95"/>
      <c r="QQ30" s="95"/>
      <c r="QR30" s="95"/>
      <c r="QS30" s="95"/>
      <c r="QT30" s="95"/>
      <c r="QU30" s="95"/>
      <c r="QV30" s="95"/>
      <c r="QW30" s="95"/>
      <c r="QX30" s="95"/>
      <c r="QY30" s="95"/>
      <c r="QZ30" s="95"/>
      <c r="RA30" s="95"/>
      <c r="RB30" s="95"/>
      <c r="RC30" s="95"/>
      <c r="RD30" s="95"/>
      <c r="RE30" s="95"/>
      <c r="RF30" s="95"/>
      <c r="RG30" s="95"/>
      <c r="RH30" s="95"/>
      <c r="RI30" s="95"/>
      <c r="RJ30" s="95"/>
      <c r="RK30" s="95"/>
      <c r="RL30" s="95"/>
      <c r="RM30" s="95"/>
      <c r="RN30" s="95"/>
      <c r="RO30" s="95"/>
      <c r="RP30" s="95"/>
      <c r="RQ30" s="95"/>
      <c r="RR30" s="95"/>
      <c r="RS30" s="95"/>
      <c r="RT30" s="95"/>
      <c r="RU30" s="95"/>
      <c r="RV30" s="95"/>
      <c r="RW30" s="95"/>
      <c r="RX30" s="95"/>
      <c r="RY30" s="95"/>
      <c r="RZ30" s="95"/>
      <c r="SA30" s="95"/>
      <c r="SB30" s="95"/>
      <c r="SC30" s="95"/>
      <c r="SD30" s="95"/>
      <c r="SE30" s="95"/>
      <c r="SF30" s="95"/>
      <c r="SG30" s="95"/>
      <c r="SH30" s="95"/>
      <c r="SI30" s="95"/>
      <c r="SJ30" s="95"/>
      <c r="SK30" s="95"/>
      <c r="SL30" s="95"/>
      <c r="SM30" s="95"/>
      <c r="SN30" s="95"/>
      <c r="SO30" s="95"/>
      <c r="SP30" s="95"/>
      <c r="SQ30" s="95"/>
      <c r="SR30" s="95"/>
      <c r="SS30" s="95"/>
      <c r="ST30" s="95"/>
      <c r="SU30" s="95"/>
      <c r="SV30" s="95"/>
      <c r="SW30" s="95"/>
      <c r="SX30" s="95"/>
      <c r="SY30" s="95"/>
      <c r="SZ30" s="95"/>
      <c r="TA30" s="95"/>
      <c r="TB30" s="95"/>
      <c r="TC30" s="95"/>
      <c r="TD30" s="95"/>
      <c r="TE30" s="95"/>
      <c r="TF30" s="95"/>
      <c r="TG30" s="95"/>
      <c r="TH30" s="95"/>
      <c r="TI30" s="95"/>
      <c r="TJ30" s="95"/>
      <c r="TK30" s="95"/>
      <c r="TL30" s="95"/>
      <c r="TM30" s="95"/>
      <c r="TN30" s="95"/>
      <c r="TO30" s="95"/>
      <c r="TP30" s="95"/>
      <c r="TQ30" s="95"/>
      <c r="TR30" s="95"/>
      <c r="TS30" s="95"/>
      <c r="TT30" s="95"/>
      <c r="TU30" s="95"/>
      <c r="TV30" s="95"/>
      <c r="TW30" s="95"/>
      <c r="TX30" s="95"/>
      <c r="TY30" s="95"/>
      <c r="TZ30" s="95"/>
      <c r="UA30" s="95"/>
      <c r="UB30" s="95"/>
      <c r="UC30" s="95"/>
      <c r="UD30" s="95"/>
      <c r="UE30" s="95"/>
      <c r="UF30" s="95"/>
      <c r="UG30" s="95"/>
      <c r="UH30" s="95"/>
      <c r="UI30" s="95"/>
      <c r="UJ30" s="95"/>
      <c r="UK30" s="95"/>
      <c r="UL30" s="95"/>
      <c r="UM30" s="95"/>
      <c r="UN30" s="95"/>
      <c r="UO30" s="95"/>
      <c r="UP30" s="95"/>
      <c r="UQ30" s="95"/>
      <c r="UR30" s="95"/>
      <c r="US30" s="95"/>
      <c r="UT30" s="95"/>
      <c r="UU30" s="95"/>
      <c r="UV30" s="95"/>
      <c r="UW30" s="95"/>
      <c r="UX30" s="95"/>
      <c r="UY30" s="95"/>
      <c r="UZ30" s="95"/>
      <c r="VA30" s="95"/>
      <c r="VB30" s="95"/>
      <c r="VC30" s="95"/>
      <c r="VD30" s="95"/>
      <c r="VE30" s="95"/>
      <c r="VF30" s="95"/>
      <c r="VG30" s="95"/>
      <c r="VH30" s="95"/>
      <c r="VI30" s="95"/>
      <c r="VJ30" s="95"/>
      <c r="VK30" s="95"/>
      <c r="VL30" s="95"/>
      <c r="VM30" s="95"/>
      <c r="VN30" s="95"/>
      <c r="VO30" s="95"/>
      <c r="VP30" s="95"/>
      <c r="VQ30" s="95"/>
      <c r="VR30" s="95"/>
      <c r="VS30" s="95"/>
      <c r="VT30" s="95"/>
      <c r="VU30" s="95"/>
      <c r="VV30" s="95"/>
      <c r="VW30" s="95"/>
      <c r="VX30" s="95"/>
      <c r="VY30" s="95"/>
      <c r="VZ30" s="95"/>
      <c r="WA30" s="95"/>
      <c r="WB30" s="95"/>
      <c r="WC30" s="95"/>
      <c r="WD30" s="95"/>
      <c r="WE30" s="95"/>
      <c r="WF30" s="95"/>
      <c r="WG30" s="95"/>
      <c r="WH30" s="95"/>
      <c r="WI30" s="95"/>
      <c r="WJ30" s="95"/>
      <c r="WK30" s="95"/>
      <c r="WL30" s="95"/>
      <c r="WM30" s="95"/>
      <c r="WN30" s="95"/>
      <c r="WO30" s="95"/>
      <c r="WP30" s="95"/>
      <c r="WQ30" s="95"/>
      <c r="WR30" s="95"/>
      <c r="WS30" s="95"/>
      <c r="WT30" s="95"/>
      <c r="WU30" s="95"/>
      <c r="WV30" s="95"/>
      <c r="WW30" s="95"/>
      <c r="WX30" s="95"/>
      <c r="WY30" s="95"/>
      <c r="WZ30" s="95"/>
      <c r="XA30" s="95"/>
      <c r="XB30" s="95"/>
      <c r="XC30" s="95"/>
      <c r="XD30" s="95"/>
      <c r="XE30" s="95"/>
      <c r="XF30" s="95"/>
      <c r="XG30" s="95"/>
      <c r="XH30" s="95"/>
      <c r="XI30" s="95"/>
      <c r="XJ30" s="95"/>
      <c r="XK30" s="95"/>
      <c r="XL30" s="95"/>
      <c r="XM30" s="95"/>
      <c r="XN30" s="95"/>
      <c r="XO30" s="95"/>
      <c r="XP30" s="95"/>
      <c r="XQ30" s="95"/>
      <c r="XR30" s="95"/>
      <c r="XS30" s="95"/>
      <c r="XT30" s="95"/>
      <c r="XU30" s="95"/>
      <c r="XV30" s="95"/>
      <c r="XW30" s="95"/>
      <c r="XX30" s="95"/>
      <c r="XY30" s="95"/>
      <c r="XZ30" s="95"/>
      <c r="YA30" s="95"/>
      <c r="YB30" s="95"/>
      <c r="YC30" s="95"/>
      <c r="YD30" s="95"/>
      <c r="YE30" s="95"/>
      <c r="YF30" s="95"/>
      <c r="YG30" s="95"/>
      <c r="YH30" s="95"/>
      <c r="YI30" s="95"/>
      <c r="YJ30" s="95"/>
      <c r="YK30" s="95"/>
      <c r="YL30" s="95"/>
      <c r="YM30" s="95"/>
      <c r="YN30" s="95"/>
      <c r="YO30" s="95"/>
      <c r="YP30" s="95"/>
      <c r="YQ30" s="95"/>
      <c r="YR30" s="95"/>
      <c r="YS30" s="95"/>
      <c r="YT30" s="95"/>
      <c r="YU30" s="95"/>
      <c r="YV30" s="95"/>
      <c r="YW30" s="95"/>
      <c r="YX30" s="95"/>
      <c r="YY30" s="95"/>
      <c r="YZ30" s="95"/>
      <c r="ZA30" s="95"/>
      <c r="ZB30" s="95"/>
      <c r="ZC30" s="95"/>
      <c r="ZD30" s="95"/>
      <c r="ZE30" s="95"/>
      <c r="ZF30" s="95"/>
      <c r="ZG30" s="95"/>
      <c r="ZH30" s="95"/>
      <c r="ZI30" s="95"/>
      <c r="ZJ30" s="95"/>
      <c r="ZK30" s="95"/>
      <c r="ZL30" s="95"/>
      <c r="ZM30" s="95"/>
      <c r="ZN30" s="95"/>
      <c r="ZO30" s="95"/>
      <c r="ZP30" s="95"/>
      <c r="ZQ30" s="95"/>
      <c r="ZR30" s="95"/>
      <c r="ZS30" s="95"/>
      <c r="ZT30" s="95"/>
      <c r="ZU30" s="95"/>
      <c r="ZV30" s="95"/>
      <c r="ZW30" s="95"/>
      <c r="ZX30" s="95"/>
      <c r="ZY30" s="95"/>
      <c r="ZZ30" s="95"/>
      <c r="AAA30" s="95"/>
      <c r="AAB30" s="95"/>
      <c r="AAC30" s="95"/>
      <c r="AAD30" s="95"/>
      <c r="AAE30" s="95"/>
      <c r="AAF30" s="95"/>
      <c r="AAG30" s="95"/>
      <c r="AAH30" s="95"/>
      <c r="AAI30" s="95"/>
      <c r="AAJ30" s="95"/>
      <c r="AAK30" s="95"/>
      <c r="AAL30" s="95"/>
      <c r="AAM30" s="95"/>
      <c r="AAN30" s="95"/>
      <c r="AAO30" s="95"/>
      <c r="AAP30" s="95"/>
      <c r="AAQ30" s="95"/>
      <c r="AAR30" s="95"/>
      <c r="AAS30" s="95"/>
      <c r="AAT30" s="95"/>
      <c r="AAU30" s="95"/>
      <c r="AAV30" s="95"/>
      <c r="AAW30" s="95"/>
      <c r="AAX30" s="95"/>
      <c r="AAY30" s="95"/>
      <c r="AAZ30" s="95"/>
      <c r="ABA30" s="95"/>
      <c r="ABB30" s="95"/>
      <c r="ABC30" s="95"/>
      <c r="ABD30" s="95"/>
      <c r="ABE30" s="95"/>
      <c r="ABF30" s="95"/>
      <c r="ABG30" s="95"/>
      <c r="ABH30" s="95"/>
      <c r="ABI30" s="95"/>
      <c r="ABJ30" s="95"/>
      <c r="ABK30" s="95"/>
      <c r="ABL30" s="95"/>
      <c r="ABM30" s="95"/>
      <c r="ABN30" s="95"/>
      <c r="ABO30" s="95"/>
      <c r="ABP30" s="95"/>
      <c r="ABQ30" s="95"/>
      <c r="ABR30" s="95"/>
      <c r="ABS30" s="95"/>
      <c r="ABT30" s="95"/>
      <c r="ABU30" s="95"/>
      <c r="ABV30" s="95"/>
      <c r="ABW30" s="95"/>
      <c r="ABX30" s="95"/>
      <c r="ABY30" s="95"/>
      <c r="ABZ30" s="95"/>
      <c r="ACA30" s="95"/>
      <c r="ACB30" s="95"/>
      <c r="ACC30" s="95"/>
      <c r="ACD30" s="95"/>
      <c r="ACE30" s="95"/>
      <c r="ACF30" s="95"/>
      <c r="ACG30" s="95"/>
      <c r="ACH30" s="95"/>
      <c r="ACI30" s="95"/>
      <c r="ACJ30" s="95"/>
      <c r="ACK30" s="95"/>
      <c r="ACL30" s="95"/>
      <c r="ACM30" s="95"/>
      <c r="ACN30" s="95"/>
      <c r="ACO30" s="95"/>
      <c r="ACP30" s="95"/>
      <c r="ACQ30" s="95"/>
      <c r="ACR30" s="95"/>
      <c r="ACS30" s="95"/>
      <c r="ACT30" s="95"/>
      <c r="ACU30" s="95"/>
      <c r="ACV30" s="95"/>
      <c r="ACW30" s="95"/>
      <c r="ACX30" s="95"/>
      <c r="ACY30" s="95"/>
      <c r="ACZ30" s="95"/>
      <c r="ADA30" s="95"/>
      <c r="ADB30" s="95"/>
      <c r="ADC30" s="95"/>
      <c r="ADD30" s="95"/>
      <c r="ADE30" s="95"/>
      <c r="ADF30" s="95"/>
      <c r="ADG30" s="95"/>
      <c r="ADH30" s="95"/>
      <c r="ADI30" s="95"/>
      <c r="ADJ30" s="95"/>
      <c r="ADK30" s="95"/>
      <c r="ADL30" s="95"/>
      <c r="ADM30" s="95"/>
      <c r="ADN30" s="95"/>
      <c r="ADO30" s="95"/>
      <c r="ADP30" s="95"/>
      <c r="ADQ30" s="95"/>
      <c r="ADR30" s="95"/>
      <c r="ADS30" s="95"/>
      <c r="ADT30" s="95"/>
      <c r="ADU30" s="95"/>
      <c r="ADV30" s="95"/>
      <c r="ADW30" s="95"/>
      <c r="ADX30" s="95"/>
      <c r="ADY30" s="95"/>
      <c r="ADZ30" s="95"/>
      <c r="AEA30" s="95"/>
      <c r="AEB30" s="95"/>
      <c r="AEC30" s="95"/>
      <c r="AED30" s="95"/>
      <c r="AEE30" s="95"/>
      <c r="AEF30" s="95"/>
      <c r="AEG30" s="95"/>
      <c r="AEH30" s="95"/>
      <c r="AEI30" s="95"/>
      <c r="AEJ30" s="95"/>
      <c r="AEK30" s="95"/>
      <c r="AEL30" s="95"/>
      <c r="AEM30" s="95"/>
      <c r="AEN30" s="95"/>
      <c r="AEO30" s="95"/>
      <c r="AEP30" s="95"/>
      <c r="AEQ30" s="95"/>
      <c r="AER30" s="95"/>
      <c r="AES30" s="95"/>
      <c r="AET30" s="95"/>
      <c r="AEU30" s="95"/>
      <c r="AEV30" s="95"/>
      <c r="AEW30" s="95"/>
      <c r="AEX30" s="95"/>
      <c r="AEY30" s="95"/>
      <c r="AEZ30" s="95"/>
      <c r="AFA30" s="95"/>
      <c r="AFB30" s="95"/>
      <c r="AFC30" s="95"/>
      <c r="AFD30" s="95"/>
      <c r="AFE30" s="95"/>
      <c r="AFF30" s="95"/>
      <c r="AFG30" s="95"/>
      <c r="AFH30" s="95"/>
      <c r="AFI30" s="95"/>
      <c r="AFJ30" s="95"/>
      <c r="AFK30" s="95"/>
      <c r="AFL30" s="95"/>
      <c r="AFM30" s="95"/>
      <c r="AFN30" s="95"/>
      <c r="AFO30" s="95"/>
      <c r="AFP30" s="95"/>
      <c r="AFQ30" s="95"/>
      <c r="AFR30" s="95"/>
      <c r="AFS30" s="95"/>
      <c r="AFT30" s="95"/>
      <c r="AFU30" s="95"/>
      <c r="AFV30" s="95"/>
      <c r="AFW30" s="95"/>
      <c r="AFX30" s="95"/>
      <c r="AFY30" s="95"/>
      <c r="AFZ30" s="95"/>
      <c r="AGA30" s="95"/>
      <c r="AGB30" s="95"/>
      <c r="AGC30" s="95"/>
      <c r="AGD30" s="95"/>
      <c r="AGE30" s="95"/>
      <c r="AGF30" s="95"/>
      <c r="AGG30" s="95"/>
      <c r="AGH30" s="95"/>
      <c r="AGI30" s="95"/>
      <c r="AGJ30" s="95"/>
      <c r="AGK30" s="95"/>
      <c r="AGL30" s="95"/>
      <c r="AGM30" s="95"/>
      <c r="AGN30" s="95"/>
      <c r="AGO30" s="95"/>
      <c r="AGP30" s="95"/>
      <c r="AGQ30" s="95"/>
      <c r="AGR30" s="95"/>
      <c r="AGS30" s="95"/>
      <c r="AGT30" s="95"/>
      <c r="AGU30" s="95"/>
      <c r="AGV30" s="95"/>
      <c r="AGW30" s="95"/>
      <c r="AGX30" s="95"/>
      <c r="AGY30" s="95"/>
      <c r="AGZ30" s="95"/>
      <c r="AHA30" s="95"/>
      <c r="AHB30" s="95"/>
      <c r="AHC30" s="95"/>
      <c r="AHD30" s="95"/>
      <c r="AHE30" s="95"/>
      <c r="AHF30" s="95"/>
      <c r="AHG30" s="95"/>
      <c r="AHH30" s="95"/>
      <c r="AHI30" s="95"/>
      <c r="AHJ30" s="95"/>
      <c r="AHK30" s="95"/>
      <c r="AHL30" s="95"/>
      <c r="AHM30" s="95"/>
      <c r="AHN30" s="95"/>
      <c r="AHO30" s="95"/>
      <c r="AHP30" s="95"/>
      <c r="AHQ30" s="95"/>
      <c r="AHR30" s="95"/>
      <c r="AHS30" s="95"/>
      <c r="AHT30" s="95"/>
      <c r="AHU30" s="95"/>
      <c r="AHV30" s="95"/>
      <c r="AHW30" s="95"/>
      <c r="AHX30" s="95"/>
      <c r="AHY30" s="95"/>
      <c r="AHZ30" s="95"/>
      <c r="AIA30" s="95"/>
      <c r="AIB30" s="95"/>
      <c r="AIC30" s="95"/>
      <c r="AID30" s="95"/>
      <c r="AIE30" s="95"/>
      <c r="AIF30" s="95"/>
      <c r="AIG30" s="95"/>
      <c r="AIH30" s="95"/>
      <c r="AII30" s="95"/>
      <c r="AIJ30" s="95"/>
      <c r="AIK30" s="95"/>
      <c r="AIL30" s="95"/>
      <c r="AIM30" s="95"/>
      <c r="AIN30" s="95"/>
      <c r="AIO30" s="95"/>
      <c r="AIP30" s="95"/>
      <c r="AIQ30" s="95"/>
      <c r="AIR30" s="95"/>
      <c r="AIS30" s="95"/>
      <c r="AIT30" s="95"/>
      <c r="AIU30" s="95"/>
      <c r="AIV30" s="95"/>
      <c r="AIW30" s="95"/>
      <c r="AIX30" s="95"/>
      <c r="AIY30" s="95"/>
      <c r="AIZ30" s="95"/>
      <c r="AJA30" s="95"/>
      <c r="AJB30" s="95"/>
      <c r="AJC30" s="95"/>
      <c r="AJD30" s="95"/>
      <c r="AJE30" s="95"/>
      <c r="AJF30" s="95"/>
      <c r="AJG30" s="95"/>
      <c r="AJH30" s="95"/>
      <c r="AJI30" s="95"/>
      <c r="AJJ30" s="95"/>
      <c r="AJK30" s="95"/>
      <c r="AJL30" s="95"/>
      <c r="AJM30" s="95"/>
      <c r="AJN30" s="95"/>
      <c r="AJO30" s="95"/>
      <c r="AJP30" s="95"/>
      <c r="AJQ30" s="95"/>
      <c r="AJR30" s="95"/>
      <c r="AJS30" s="95"/>
      <c r="AJT30" s="95"/>
      <c r="AJU30" s="95"/>
      <c r="AJV30" s="95"/>
      <c r="AJW30" s="95"/>
      <c r="AJX30" s="95"/>
      <c r="AJY30" s="95"/>
      <c r="AJZ30" s="95"/>
      <c r="AKA30" s="95"/>
      <c r="AKB30" s="95"/>
      <c r="AKC30" s="95"/>
      <c r="AKD30" s="95"/>
      <c r="AKE30" s="95"/>
      <c r="AKF30" s="95"/>
      <c r="AKG30" s="95"/>
      <c r="AKH30" s="95"/>
      <c r="AKI30" s="95"/>
      <c r="AKJ30" s="95"/>
      <c r="AKK30" s="95"/>
      <c r="AKL30" s="95"/>
      <c r="AKM30" s="95"/>
      <c r="AKN30" s="95"/>
      <c r="AKO30" s="95"/>
      <c r="AKP30" s="95"/>
      <c r="AKQ30" s="95"/>
      <c r="AKR30" s="95"/>
      <c r="AKS30" s="95"/>
      <c r="AKT30" s="95"/>
      <c r="AKU30" s="95"/>
      <c r="AKV30" s="95"/>
      <c r="AKW30" s="95"/>
      <c r="AKX30" s="95"/>
      <c r="AKY30" s="95"/>
      <c r="AKZ30" s="95"/>
      <c r="ALA30" s="95"/>
      <c r="ALB30" s="95"/>
      <c r="ALC30" s="95"/>
      <c r="ALD30" s="95"/>
      <c r="ALE30" s="95"/>
      <c r="ALF30" s="95"/>
      <c r="ALG30" s="95"/>
      <c r="ALH30" s="95"/>
      <c r="ALI30" s="95"/>
      <c r="ALJ30" s="95"/>
      <c r="ALK30" s="95"/>
      <c r="ALL30" s="95"/>
      <c r="ALM30" s="95"/>
      <c r="ALN30" s="95"/>
      <c r="ALO30" s="95"/>
      <c r="ALP30" s="95"/>
      <c r="ALQ30" s="95"/>
      <c r="ALR30" s="95"/>
      <c r="ALS30" s="95"/>
      <c r="ALT30" s="95"/>
      <c r="ALU30" s="95"/>
      <c r="ALV30" s="95"/>
      <c r="ALW30" s="95"/>
      <c r="ALX30" s="95"/>
      <c r="ALY30" s="95"/>
      <c r="ALZ30" s="95"/>
      <c r="AMA30" s="95"/>
      <c r="AMB30" s="95"/>
      <c r="AMC30" s="95"/>
      <c r="AMD30" s="95"/>
      <c r="AME30" s="95"/>
      <c r="AMF30" s="95"/>
      <c r="AMG30" s="95"/>
      <c r="AMH30" s="95"/>
      <c r="AMI30" s="95"/>
      <c r="AMJ30" s="95"/>
    </row>
    <row r="31" spans="1:1024" ht="43.5" customHeight="1" thickBot="1" x14ac:dyDescent="0.25">
      <c r="A31" s="8">
        <v>20</v>
      </c>
      <c r="B31" s="9" t="s">
        <v>95</v>
      </c>
      <c r="C31" s="123" t="s">
        <v>96</v>
      </c>
      <c r="D31" s="124"/>
      <c r="E31" s="124"/>
      <c r="F31" s="124"/>
      <c r="G31" s="125"/>
      <c r="H31" s="56" t="s">
        <v>32</v>
      </c>
      <c r="I31" s="57" t="s">
        <v>14</v>
      </c>
      <c r="J31" s="76">
        <v>28000</v>
      </c>
      <c r="K31" s="10">
        <v>2</v>
      </c>
      <c r="L31" s="101"/>
    </row>
    <row r="32" spans="1:1024" ht="54" customHeight="1" thickBot="1" x14ac:dyDescent="0.25">
      <c r="A32" s="8">
        <v>21</v>
      </c>
      <c r="B32" s="9" t="s">
        <v>97</v>
      </c>
      <c r="C32" s="119" t="s">
        <v>99</v>
      </c>
      <c r="D32" s="126"/>
      <c r="E32" s="126"/>
      <c r="F32" s="126"/>
      <c r="G32" s="127"/>
      <c r="H32" s="56" t="s">
        <v>32</v>
      </c>
      <c r="I32" s="57" t="s">
        <v>100</v>
      </c>
      <c r="J32" s="76">
        <v>259000</v>
      </c>
      <c r="K32" s="10">
        <v>1</v>
      </c>
      <c r="L32" s="101"/>
    </row>
    <row r="33" spans="1:12" ht="31.5" customHeight="1" thickBot="1" x14ac:dyDescent="0.25">
      <c r="A33" s="135" t="s">
        <v>114</v>
      </c>
      <c r="B33" s="135"/>
      <c r="C33" s="135"/>
      <c r="D33" s="135"/>
      <c r="E33" s="135"/>
      <c r="F33" s="135"/>
      <c r="G33" s="135"/>
      <c r="H33" s="135"/>
      <c r="I33" s="135"/>
      <c r="J33" s="136">
        <v>4187729.53</v>
      </c>
      <c r="K33" s="136"/>
      <c r="L33" s="101"/>
    </row>
  </sheetData>
  <mergeCells count="43">
    <mergeCell ref="A33:I33"/>
    <mergeCell ref="J33:K33"/>
    <mergeCell ref="C31:G31"/>
    <mergeCell ref="C32:G32"/>
    <mergeCell ref="D8:K8"/>
    <mergeCell ref="A10:A11"/>
    <mergeCell ref="B10:B11"/>
    <mergeCell ref="C10:G11"/>
    <mergeCell ref="H10:H11"/>
    <mergeCell ref="I10:I11"/>
    <mergeCell ref="J10:J11"/>
    <mergeCell ref="K10:K11"/>
    <mergeCell ref="C12:G12"/>
    <mergeCell ref="C13:G13"/>
    <mergeCell ref="C14:G14"/>
    <mergeCell ref="C15:G15"/>
    <mergeCell ref="A1:I1"/>
    <mergeCell ref="A6:C6"/>
    <mergeCell ref="D6:K6"/>
    <mergeCell ref="A7:C7"/>
    <mergeCell ref="D7:K7"/>
    <mergeCell ref="A3:C3"/>
    <mergeCell ref="D3:K3"/>
    <mergeCell ref="A4:C4"/>
    <mergeCell ref="D4:K4"/>
    <mergeCell ref="A5:C5"/>
    <mergeCell ref="D5:K5"/>
    <mergeCell ref="C30:G30"/>
    <mergeCell ref="C18:G18"/>
    <mergeCell ref="A8:C8"/>
    <mergeCell ref="C16:G16"/>
    <mergeCell ref="C17:G17"/>
    <mergeCell ref="C19:G19"/>
    <mergeCell ref="C20:G20"/>
    <mergeCell ref="C29:G29"/>
    <mergeCell ref="C26:G26"/>
    <mergeCell ref="C27:G27"/>
    <mergeCell ref="C28:G28"/>
    <mergeCell ref="C21:G21"/>
    <mergeCell ref="C22:G22"/>
    <mergeCell ref="C23:G23"/>
    <mergeCell ref="C24:G24"/>
    <mergeCell ref="C25:G25"/>
  </mergeCells>
  <printOptions horizontalCentered="1"/>
  <pageMargins left="0.196527777777778" right="0.196527777777778" top="0.98402777777777795" bottom="0.98402777777777795" header="0.51180555555555496" footer="0.51180555555555496"/>
  <pageSetup paperSize="5" firstPageNumber="0"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topLeftCell="A13" zoomScale="130" zoomScaleNormal="130" workbookViewId="0">
      <selection activeCell="O16" sqref="O16:P16"/>
    </sheetView>
  </sheetViews>
  <sheetFormatPr baseColWidth="10" defaultColWidth="11" defaultRowHeight="12.75" x14ac:dyDescent="0.2"/>
  <cols>
    <col min="1" max="4" width="4.42578125" customWidth="1"/>
    <col min="5" max="5" width="4.140625" customWidth="1"/>
    <col min="6" max="6" width="5.42578125" customWidth="1"/>
    <col min="7" max="7" width="4.42578125" style="16" customWidth="1"/>
    <col min="8" max="14" width="4.42578125" customWidth="1"/>
    <col min="15" max="15" width="14.85546875" customWidth="1"/>
    <col min="16" max="16" width="14" customWidth="1"/>
    <col min="17" max="17" width="14.7109375" customWidth="1"/>
  </cols>
  <sheetData>
    <row r="1" spans="1:17" ht="15.75" customHeight="1" x14ac:dyDescent="0.25">
      <c r="A1" s="144" t="s">
        <v>3</v>
      </c>
      <c r="B1" s="144"/>
      <c r="C1" s="144"/>
      <c r="D1" s="145">
        <f>'Necesidades Trimestrales'!C6</f>
        <v>2020</v>
      </c>
      <c r="E1" s="145"/>
      <c r="F1" s="17"/>
      <c r="G1" s="17"/>
      <c r="H1" s="18"/>
      <c r="I1" s="18"/>
      <c r="J1" s="18"/>
      <c r="K1" s="18"/>
      <c r="L1" s="18"/>
      <c r="M1" s="18"/>
      <c r="N1" s="18"/>
      <c r="P1" s="146" t="s">
        <v>33</v>
      </c>
      <c r="Q1" s="146"/>
    </row>
    <row r="2" spans="1:17" ht="15.75" customHeight="1" x14ac:dyDescent="0.2">
      <c r="H2" s="18"/>
      <c r="I2" s="18"/>
      <c r="J2" s="18"/>
      <c r="K2" s="18"/>
      <c r="L2" s="18"/>
      <c r="M2" s="18"/>
      <c r="N2" s="18"/>
      <c r="P2" s="146"/>
      <c r="Q2" s="146"/>
    </row>
    <row r="4" spans="1:17" s="19" customFormat="1" ht="18" customHeight="1" thickBot="1" x14ac:dyDescent="0.25">
      <c r="A4" s="147" t="s">
        <v>34</v>
      </c>
      <c r="B4" s="147"/>
      <c r="C4" s="147"/>
      <c r="D4" s="147"/>
      <c r="E4" s="147"/>
      <c r="F4" s="147"/>
      <c r="G4" s="148" t="str">
        <f>' NotaPedido'!D3</f>
        <v>70 - MINISTERIO DE CIENCIA E INNOVACION TECNOLOGICA</v>
      </c>
      <c r="H4" s="148"/>
      <c r="I4" s="148"/>
      <c r="J4" s="148"/>
      <c r="K4" s="148"/>
      <c r="L4" s="148"/>
      <c r="M4" s="148"/>
      <c r="N4" s="148"/>
      <c r="O4" s="148"/>
      <c r="P4" s="148"/>
      <c r="Q4" s="148"/>
    </row>
    <row r="5" spans="1:17" s="19" customFormat="1" ht="18" customHeight="1" thickBot="1" x14ac:dyDescent="0.25">
      <c r="A5" s="149" t="s">
        <v>57</v>
      </c>
      <c r="B5" s="150"/>
      <c r="C5" s="150"/>
      <c r="D5" s="150"/>
      <c r="E5" s="150"/>
      <c r="F5" s="151"/>
      <c r="G5" s="148" t="str">
        <f>' NotaPedido'!D4</f>
        <v>20 - MINISTERIO DE CIENCIA E INNOVACION TECNOLOGICA</v>
      </c>
      <c r="H5" s="148"/>
      <c r="I5" s="148"/>
      <c r="J5" s="148"/>
      <c r="K5" s="148"/>
      <c r="L5" s="148"/>
      <c r="M5" s="148"/>
      <c r="N5" s="148"/>
      <c r="O5" s="148"/>
      <c r="P5" s="148"/>
      <c r="Q5" s="148"/>
    </row>
    <row r="6" spans="1:17" s="19" customFormat="1" ht="18" customHeight="1" thickBot="1" x14ac:dyDescent="0.25">
      <c r="A6" s="149" t="s">
        <v>35</v>
      </c>
      <c r="B6" s="150"/>
      <c r="C6" s="150"/>
      <c r="D6" s="150"/>
      <c r="E6" s="150"/>
      <c r="F6" s="151"/>
      <c r="G6" s="148" t="str">
        <f>' NotaPedido'!D5</f>
        <v xml:space="preserve"> MINISTERIO DE CIENCIA E INNOVACION TECNOLOGICA</v>
      </c>
      <c r="H6" s="148"/>
      <c r="I6" s="148"/>
      <c r="J6" s="148"/>
      <c r="K6" s="148"/>
      <c r="L6" s="148"/>
      <c r="M6" s="148"/>
      <c r="N6" s="148"/>
      <c r="O6" s="148"/>
      <c r="P6" s="148"/>
      <c r="Q6" s="148"/>
    </row>
    <row r="7" spans="1:17" s="19" customFormat="1" ht="18" customHeight="1" thickBot="1" x14ac:dyDescent="0.25">
      <c r="A7" s="149" t="s">
        <v>58</v>
      </c>
      <c r="B7" s="150"/>
      <c r="C7" s="150"/>
      <c r="D7" s="150"/>
      <c r="E7" s="150"/>
      <c r="F7" s="151"/>
      <c r="G7" s="148" t="str">
        <f>' NotaPedido'!D6</f>
        <v>DIRECCION PROVINCIAL DE GESTION ADMINISTRATIVA</v>
      </c>
      <c r="H7" s="148"/>
      <c r="I7" s="148"/>
      <c r="J7" s="148"/>
      <c r="K7" s="148"/>
      <c r="L7" s="148"/>
      <c r="M7" s="148"/>
      <c r="N7" s="148"/>
      <c r="O7" s="148"/>
      <c r="P7" s="148"/>
      <c r="Q7" s="148"/>
    </row>
    <row r="8" spans="1:17" ht="18" customHeight="1" thickBot="1" x14ac:dyDescent="0.25">
      <c r="A8" s="152" t="s">
        <v>36</v>
      </c>
      <c r="B8" s="152"/>
      <c r="C8" s="152"/>
      <c r="D8" s="152"/>
      <c r="E8" s="152"/>
      <c r="F8" s="152"/>
      <c r="G8" s="152"/>
      <c r="H8" s="152"/>
      <c r="I8" s="152"/>
      <c r="J8" s="152"/>
      <c r="K8" s="152"/>
      <c r="L8" s="152"/>
      <c r="M8" s="152"/>
      <c r="N8" s="152"/>
      <c r="O8" s="152"/>
      <c r="P8" s="152"/>
      <c r="Q8" s="152"/>
    </row>
    <row r="9" spans="1:17" ht="18" customHeight="1" x14ac:dyDescent="0.2">
      <c r="A9" s="153" t="s">
        <v>37</v>
      </c>
      <c r="B9" s="153"/>
      <c r="C9" s="153"/>
      <c r="D9" s="153"/>
      <c r="E9" s="153"/>
      <c r="F9" s="153"/>
      <c r="G9" s="153"/>
      <c r="H9" s="153"/>
      <c r="I9" s="153"/>
      <c r="J9" s="153"/>
      <c r="K9" s="153"/>
      <c r="L9" s="153"/>
      <c r="M9" s="153"/>
      <c r="N9" s="153"/>
      <c r="O9" s="1"/>
      <c r="P9" s="1"/>
      <c r="Q9" s="20"/>
    </row>
    <row r="10" spans="1:17" ht="54.75" customHeight="1" x14ac:dyDescent="0.2">
      <c r="A10" s="15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018/2020,  afectando la erogación resultante a los créditos presupuestarios aprobados a favor de esta Unidad Ejecutora, conforme al siguiente detalle:</v>
      </c>
      <c r="B10" s="154"/>
      <c r="C10" s="154"/>
      <c r="D10" s="154"/>
      <c r="E10" s="154"/>
      <c r="F10" s="154"/>
      <c r="G10" s="154"/>
      <c r="H10" s="154"/>
      <c r="I10" s="154"/>
      <c r="J10" s="154"/>
      <c r="K10" s="154"/>
      <c r="L10" s="154"/>
      <c r="M10" s="154"/>
      <c r="N10" s="154"/>
      <c r="O10" s="154"/>
      <c r="P10" s="154"/>
      <c r="Q10" s="154"/>
    </row>
    <row r="11" spans="1:17" ht="9" customHeight="1" x14ac:dyDescent="0.2">
      <c r="A11" s="21"/>
      <c r="B11" s="22"/>
      <c r="C11" s="22"/>
      <c r="D11" s="22"/>
      <c r="E11" s="22"/>
      <c r="F11" s="22"/>
      <c r="G11" s="23"/>
      <c r="H11" s="22"/>
      <c r="I11" s="22"/>
      <c r="J11" s="22"/>
      <c r="K11" s="22"/>
      <c r="L11" s="22"/>
      <c r="M11" s="22"/>
      <c r="N11" s="22"/>
      <c r="O11" s="22"/>
      <c r="P11" s="22"/>
      <c r="Q11" s="24"/>
    </row>
    <row r="12" spans="1:17" ht="15.75" customHeight="1" x14ac:dyDescent="0.2">
      <c r="A12" s="155" t="s">
        <v>38</v>
      </c>
      <c r="B12" s="155"/>
      <c r="C12" s="155"/>
      <c r="D12" s="155"/>
      <c r="E12" s="155"/>
      <c r="F12" s="155"/>
      <c r="G12" s="155"/>
      <c r="H12" s="155"/>
      <c r="I12" s="155"/>
      <c r="J12" s="155"/>
      <c r="K12" s="155"/>
      <c r="L12" s="155"/>
      <c r="M12" s="155"/>
      <c r="N12" s="155"/>
      <c r="O12" s="155"/>
      <c r="P12" s="155"/>
      <c r="Q12" s="155"/>
    </row>
    <row r="13" spans="1:17" ht="15.75" customHeight="1" x14ac:dyDescent="0.2">
      <c r="A13" s="156" t="s">
        <v>39</v>
      </c>
      <c r="B13" s="156"/>
      <c r="C13" s="156"/>
      <c r="D13" s="156"/>
      <c r="E13" s="156"/>
      <c r="F13" s="156"/>
      <c r="G13" s="156"/>
      <c r="H13" s="156"/>
      <c r="I13" s="156"/>
      <c r="J13" s="156"/>
      <c r="K13" s="156"/>
      <c r="L13" s="156"/>
      <c r="M13" s="156"/>
      <c r="N13" s="156"/>
      <c r="O13" s="157" t="s">
        <v>40</v>
      </c>
      <c r="P13" s="157"/>
      <c r="Q13" s="158" t="s">
        <v>41</v>
      </c>
    </row>
    <row r="14" spans="1:17" ht="15.75" customHeight="1" x14ac:dyDescent="0.2">
      <c r="A14" s="25" t="s">
        <v>42</v>
      </c>
      <c r="B14" s="26" t="s">
        <v>43</v>
      </c>
      <c r="C14" s="26" t="s">
        <v>44</v>
      </c>
      <c r="D14" s="26" t="s">
        <v>45</v>
      </c>
      <c r="E14" s="26" t="s">
        <v>46</v>
      </c>
      <c r="F14" s="26" t="s">
        <v>47</v>
      </c>
      <c r="G14" s="27" t="s">
        <v>48</v>
      </c>
      <c r="H14" s="26" t="s">
        <v>49</v>
      </c>
      <c r="I14" s="26" t="s">
        <v>50</v>
      </c>
      <c r="J14" s="26" t="s">
        <v>51</v>
      </c>
      <c r="K14" s="26" t="s">
        <v>51</v>
      </c>
      <c r="L14" s="26" t="s">
        <v>52</v>
      </c>
      <c r="M14" s="28" t="s">
        <v>53</v>
      </c>
      <c r="N14" s="29" t="s">
        <v>54</v>
      </c>
      <c r="O14" s="157"/>
      <c r="P14" s="157"/>
      <c r="Q14" s="158"/>
    </row>
    <row r="15" spans="1:17" ht="22.5" customHeight="1" thickBot="1" x14ac:dyDescent="0.25">
      <c r="A15" s="58">
        <v>15</v>
      </c>
      <c r="B15" s="59">
        <v>0</v>
      </c>
      <c r="C15" s="59">
        <v>0</v>
      </c>
      <c r="D15" s="59">
        <v>1</v>
      </c>
      <c r="E15" s="59">
        <v>0</v>
      </c>
      <c r="F15" s="59">
        <v>4901</v>
      </c>
      <c r="G15" s="59">
        <v>3</v>
      </c>
      <c r="H15" s="59">
        <v>4</v>
      </c>
      <c r="I15" s="30">
        <v>4</v>
      </c>
      <c r="J15" s="30">
        <v>3</v>
      </c>
      <c r="K15" s="30">
        <v>9</v>
      </c>
      <c r="L15" s="59">
        <v>0</v>
      </c>
      <c r="M15" s="60">
        <v>1</v>
      </c>
      <c r="N15" s="59">
        <v>11</v>
      </c>
      <c r="O15" s="159" t="s">
        <v>104</v>
      </c>
      <c r="P15" s="160"/>
      <c r="Q15" s="31">
        <v>858109.53</v>
      </c>
    </row>
    <row r="16" spans="1:17" ht="22.5" customHeight="1" thickBot="1" x14ac:dyDescent="0.25">
      <c r="A16" s="58">
        <v>15</v>
      </c>
      <c r="B16" s="59">
        <v>0</v>
      </c>
      <c r="C16" s="59">
        <v>0</v>
      </c>
      <c r="D16" s="59">
        <v>1</v>
      </c>
      <c r="E16" s="59">
        <v>0</v>
      </c>
      <c r="F16" s="59">
        <v>4901</v>
      </c>
      <c r="G16" s="59">
        <v>3</v>
      </c>
      <c r="H16" s="59">
        <v>4</v>
      </c>
      <c r="I16" s="30">
        <v>4</v>
      </c>
      <c r="J16" s="30">
        <v>3</v>
      </c>
      <c r="K16" s="30">
        <v>7</v>
      </c>
      <c r="L16" s="59">
        <v>0</v>
      </c>
      <c r="M16" s="60">
        <v>1</v>
      </c>
      <c r="N16" s="59">
        <v>11</v>
      </c>
      <c r="O16" s="159" t="s">
        <v>105</v>
      </c>
      <c r="P16" s="160"/>
      <c r="Q16" s="31">
        <v>1256220</v>
      </c>
    </row>
    <row r="17" spans="1:19" ht="22.5" customHeight="1" thickBot="1" x14ac:dyDescent="0.25">
      <c r="A17" s="58">
        <v>15</v>
      </c>
      <c r="B17" s="59">
        <v>0</v>
      </c>
      <c r="C17" s="59">
        <v>0</v>
      </c>
      <c r="D17" s="59">
        <v>1</v>
      </c>
      <c r="E17" s="59">
        <v>0</v>
      </c>
      <c r="F17" s="59">
        <v>4901</v>
      </c>
      <c r="G17" s="59">
        <v>3</v>
      </c>
      <c r="H17" s="59">
        <v>4</v>
      </c>
      <c r="I17" s="30">
        <v>4</v>
      </c>
      <c r="J17" s="30">
        <v>3</v>
      </c>
      <c r="K17" s="30">
        <v>5</v>
      </c>
      <c r="L17" s="59">
        <v>0</v>
      </c>
      <c r="M17" s="60">
        <v>1</v>
      </c>
      <c r="N17" s="59">
        <v>11</v>
      </c>
      <c r="O17" s="159" t="s">
        <v>106</v>
      </c>
      <c r="P17" s="160"/>
      <c r="Q17" s="31">
        <v>1386000</v>
      </c>
    </row>
    <row r="18" spans="1:19" ht="38.25" customHeight="1" thickBot="1" x14ac:dyDescent="0.25">
      <c r="A18" s="58">
        <v>15</v>
      </c>
      <c r="B18" s="59">
        <v>0</v>
      </c>
      <c r="C18" s="59">
        <v>0</v>
      </c>
      <c r="D18" s="59">
        <v>1</v>
      </c>
      <c r="E18" s="59">
        <v>0</v>
      </c>
      <c r="F18" s="59">
        <v>4901</v>
      </c>
      <c r="G18" s="59">
        <v>3</v>
      </c>
      <c r="H18" s="59">
        <v>4</v>
      </c>
      <c r="I18" s="30">
        <v>3</v>
      </c>
      <c r="J18" s="30">
        <v>3</v>
      </c>
      <c r="K18" s="30">
        <v>1</v>
      </c>
      <c r="L18" s="59">
        <v>0</v>
      </c>
      <c r="M18" s="60">
        <v>1</v>
      </c>
      <c r="N18" s="59">
        <v>11</v>
      </c>
      <c r="O18" s="159" t="s">
        <v>107</v>
      </c>
      <c r="P18" s="160"/>
      <c r="Q18" s="31">
        <v>259000</v>
      </c>
    </row>
    <row r="19" spans="1:19" ht="38.25" customHeight="1" x14ac:dyDescent="0.2">
      <c r="A19" s="58">
        <v>15</v>
      </c>
      <c r="B19" s="59">
        <v>0</v>
      </c>
      <c r="C19" s="59">
        <v>0</v>
      </c>
      <c r="D19" s="59">
        <v>1</v>
      </c>
      <c r="E19" s="59">
        <v>0</v>
      </c>
      <c r="F19" s="59">
        <v>4901</v>
      </c>
      <c r="G19" s="59">
        <v>3</v>
      </c>
      <c r="H19" s="59">
        <v>4</v>
      </c>
      <c r="I19" s="30">
        <v>2</v>
      </c>
      <c r="J19" s="30">
        <v>4</v>
      </c>
      <c r="K19" s="30">
        <v>3</v>
      </c>
      <c r="L19" s="59">
        <v>0</v>
      </c>
      <c r="M19" s="60">
        <v>1</v>
      </c>
      <c r="N19" s="59">
        <v>11</v>
      </c>
      <c r="O19" s="161" t="s">
        <v>108</v>
      </c>
      <c r="P19" s="162"/>
      <c r="Q19" s="31">
        <v>428400</v>
      </c>
    </row>
    <row r="20" spans="1:19" ht="16.5" customHeight="1" thickBot="1" x14ac:dyDescent="0.25">
      <c r="A20" s="32"/>
      <c r="B20" s="33"/>
      <c r="C20" s="33"/>
      <c r="D20" s="33"/>
      <c r="E20" s="33"/>
      <c r="F20" s="33"/>
      <c r="G20" s="33"/>
      <c r="H20" s="33"/>
      <c r="I20" s="33"/>
      <c r="J20" s="33"/>
      <c r="K20" s="33"/>
      <c r="L20" s="33"/>
      <c r="M20" s="34"/>
      <c r="N20" s="33"/>
      <c r="O20" s="168"/>
      <c r="P20" s="168"/>
      <c r="Q20" s="35"/>
      <c r="S20" s="88"/>
    </row>
    <row r="21" spans="1:19" ht="29.25" customHeight="1" thickBot="1" x14ac:dyDescent="0.25">
      <c r="A21" s="169" t="s">
        <v>115</v>
      </c>
      <c r="B21" s="169"/>
      <c r="C21" s="169"/>
      <c r="D21" s="169"/>
      <c r="E21" s="169"/>
      <c r="F21" s="169"/>
      <c r="G21" s="169"/>
      <c r="H21" s="169"/>
      <c r="I21" s="169"/>
      <c r="J21" s="169"/>
      <c r="K21" s="169"/>
      <c r="L21" s="169"/>
      <c r="M21" s="169"/>
      <c r="N21" s="169"/>
      <c r="O21" s="169"/>
      <c r="P21" s="169"/>
      <c r="Q21" s="36">
        <f>SUM(Q15:Q20)</f>
        <v>4187729.5300000003</v>
      </c>
    </row>
    <row r="22" spans="1:19" ht="18" customHeight="1" thickBot="1" x14ac:dyDescent="0.25">
      <c r="A22" s="170"/>
      <c r="B22" s="170"/>
      <c r="C22" s="170"/>
      <c r="D22" s="170"/>
      <c r="E22" s="170"/>
      <c r="F22" s="170"/>
      <c r="G22" s="170"/>
      <c r="H22" s="170"/>
      <c r="I22" s="170"/>
      <c r="J22" s="170"/>
      <c r="K22" s="170"/>
      <c r="L22" s="170"/>
      <c r="M22" s="170"/>
      <c r="N22" s="170"/>
      <c r="O22" s="170"/>
      <c r="P22" s="170"/>
      <c r="Q22" s="170"/>
    </row>
    <row r="23" spans="1:19" ht="17.25" customHeight="1" thickBot="1" x14ac:dyDescent="0.25">
      <c r="A23" s="163" t="s">
        <v>55</v>
      </c>
      <c r="B23" s="164"/>
      <c r="C23" s="164"/>
      <c r="D23" s="164"/>
      <c r="E23" s="164"/>
      <c r="F23" s="165"/>
      <c r="G23" s="166"/>
      <c r="H23" s="166"/>
      <c r="I23" s="166"/>
      <c r="J23" s="166"/>
      <c r="K23" s="166"/>
      <c r="L23" s="166"/>
      <c r="M23" s="166"/>
      <c r="N23" s="166"/>
      <c r="O23" s="166"/>
      <c r="P23" s="166"/>
      <c r="Q23" s="166"/>
    </row>
    <row r="24" spans="1:19" ht="18" customHeight="1" thickBot="1" x14ac:dyDescent="0.25">
      <c r="A24" s="167" t="s">
        <v>109</v>
      </c>
      <c r="B24" s="167"/>
      <c r="C24" s="167"/>
      <c r="D24" s="167"/>
      <c r="E24" s="167"/>
      <c r="F24" s="167"/>
      <c r="G24" s="167"/>
      <c r="H24" s="167"/>
      <c r="I24" s="167"/>
      <c r="J24" s="167"/>
      <c r="K24" s="167"/>
      <c r="L24" s="167"/>
      <c r="M24" s="167"/>
      <c r="N24" s="167"/>
      <c r="O24" s="167"/>
      <c r="P24" s="167"/>
      <c r="Q24" s="167"/>
    </row>
    <row r="25" spans="1:19" ht="32.25" customHeight="1" x14ac:dyDescent="0.2">
      <c r="A25" s="167"/>
      <c r="B25" s="167"/>
      <c r="C25" s="167"/>
      <c r="D25" s="167"/>
      <c r="E25" s="167"/>
      <c r="F25" s="167"/>
      <c r="G25" s="167"/>
      <c r="H25" s="167"/>
      <c r="I25" s="167"/>
      <c r="J25" s="167"/>
      <c r="K25" s="167"/>
      <c r="L25" s="167"/>
      <c r="M25" s="167"/>
      <c r="N25" s="167"/>
      <c r="O25" s="167"/>
      <c r="P25" s="167"/>
      <c r="Q25" s="167"/>
    </row>
    <row r="28" spans="1:19" x14ac:dyDescent="0.2">
      <c r="A28" s="61"/>
    </row>
  </sheetData>
  <mergeCells count="29">
    <mergeCell ref="A23:F23"/>
    <mergeCell ref="G23:Q23"/>
    <mergeCell ref="A24:Q25"/>
    <mergeCell ref="O20:P20"/>
    <mergeCell ref="A21:P21"/>
    <mergeCell ref="A22:Q22"/>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Luffi</cp:lastModifiedBy>
  <cp:revision>2</cp:revision>
  <cp:lastPrinted>2020-11-26T15:31:15Z</cp:lastPrinted>
  <dcterms:created xsi:type="dcterms:W3CDTF">2020-07-17T23:44:49Z</dcterms:created>
  <dcterms:modified xsi:type="dcterms:W3CDTF">2020-11-27T14:26:22Z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