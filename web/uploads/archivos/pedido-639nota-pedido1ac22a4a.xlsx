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4° Trimestre 2021\DESCARTABLES UNIFICADO 4° TRIMESTRE\"/>
    </mc:Choice>
  </mc:AlternateContent>
  <bookViews>
    <workbookView xWindow="0" yWindow="0" windowWidth="28800" windowHeight="12435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Trimestrales'!$A$9:$I$46</definedName>
    <definedName name="A">'Necesidades Trimestrales'!#REF!</definedName>
    <definedName name="_xlnm.Print_Area" localSheetId="1">' NotaPedido'!$A$1:$I$49</definedName>
    <definedName name="_xlnm.Print_Area" localSheetId="2">'Autor Gastar'!$A$1:$Q$27</definedName>
  </definedNames>
  <calcPr calcId="152511"/>
</workbook>
</file>

<file path=xl/calcChain.xml><?xml version="1.0" encoding="utf-8"?>
<calcChain xmlns="http://schemas.openxmlformats.org/spreadsheetml/2006/main">
  <c r="I48" i="2" l="1"/>
  <c r="H48" i="2"/>
  <c r="G48" i="2"/>
  <c r="C48" i="2"/>
  <c r="A48" i="2"/>
  <c r="I47" i="2"/>
  <c r="H47" i="2"/>
  <c r="G47" i="2"/>
  <c r="C47" i="2"/>
  <c r="A47" i="2"/>
  <c r="I46" i="2"/>
  <c r="H46" i="2"/>
  <c r="G46" i="2"/>
  <c r="C46" i="2"/>
  <c r="A46" i="2"/>
  <c r="I45" i="2"/>
  <c r="H45" i="2"/>
  <c r="G45" i="2"/>
  <c r="C45" i="2"/>
  <c r="A45" i="2"/>
  <c r="I44" i="2"/>
  <c r="H44" i="2"/>
  <c r="G44" i="2"/>
  <c r="C44" i="2"/>
  <c r="A44" i="2"/>
  <c r="I43" i="2"/>
  <c r="H43" i="2"/>
  <c r="G43" i="2"/>
  <c r="C43" i="2"/>
  <c r="A43" i="2"/>
  <c r="I42" i="2"/>
  <c r="H42" i="2"/>
  <c r="G42" i="2"/>
  <c r="C42" i="2"/>
  <c r="A42" i="2"/>
  <c r="I41" i="2"/>
  <c r="H41" i="2"/>
  <c r="G41" i="2"/>
  <c r="C41" i="2"/>
  <c r="A41" i="2"/>
  <c r="I40" i="2"/>
  <c r="H40" i="2"/>
  <c r="G40" i="2"/>
  <c r="C40" i="2"/>
  <c r="A40" i="2"/>
  <c r="I39" i="2"/>
  <c r="H39" i="2"/>
  <c r="G39" i="2"/>
  <c r="C39" i="2"/>
  <c r="A39" i="2"/>
  <c r="I38" i="2"/>
  <c r="H38" i="2"/>
  <c r="G38" i="2"/>
  <c r="C38" i="2"/>
  <c r="A38" i="2"/>
  <c r="I37" i="2"/>
  <c r="H37" i="2"/>
  <c r="G37" i="2"/>
  <c r="C37" i="2"/>
  <c r="A37" i="2"/>
  <c r="I36" i="2"/>
  <c r="H36" i="2"/>
  <c r="G36" i="2"/>
  <c r="C36" i="2"/>
  <c r="A36" i="2"/>
  <c r="I35" i="2"/>
  <c r="H35" i="2"/>
  <c r="G35" i="2"/>
  <c r="C35" i="2"/>
  <c r="A35" i="2"/>
  <c r="I34" i="2"/>
  <c r="H34" i="2"/>
  <c r="G34" i="2"/>
  <c r="C34" i="2"/>
  <c r="A34" i="2"/>
  <c r="I33" i="2"/>
  <c r="H33" i="2"/>
  <c r="G33" i="2"/>
  <c r="C33" i="2"/>
  <c r="A33" i="2"/>
  <c r="I32" i="2"/>
  <c r="H32" i="2"/>
  <c r="G32" i="2"/>
  <c r="C32" i="2"/>
  <c r="A32" i="2"/>
  <c r="I31" i="2"/>
  <c r="H31" i="2"/>
  <c r="G31" i="2"/>
  <c r="C31" i="2"/>
  <c r="A31" i="2"/>
  <c r="I30" i="2"/>
  <c r="H30" i="2"/>
  <c r="G30" i="2"/>
  <c r="C30" i="2"/>
  <c r="A30" i="2"/>
  <c r="I29" i="2"/>
  <c r="H29" i="2"/>
  <c r="G29" i="2"/>
  <c r="C29" i="2"/>
  <c r="A29" i="2"/>
  <c r="I28" i="2"/>
  <c r="H28" i="2"/>
  <c r="G28" i="2"/>
  <c r="C28" i="2"/>
  <c r="A28" i="2"/>
  <c r="I44" i="1"/>
  <c r="I43" i="1"/>
  <c r="I41" i="1"/>
  <c r="I40" i="1"/>
  <c r="I39" i="1"/>
  <c r="I38" i="1"/>
  <c r="I33" i="1"/>
  <c r="I32" i="1"/>
  <c r="I31" i="1"/>
  <c r="I28" i="1"/>
  <c r="I25" i="1"/>
  <c r="I22" i="1"/>
  <c r="I21" i="1"/>
  <c r="I16" i="1"/>
  <c r="I15" i="1"/>
  <c r="I14" i="1"/>
  <c r="I13" i="1"/>
  <c r="I10" i="1"/>
  <c r="I12" i="1"/>
  <c r="I11" i="1"/>
  <c r="I19" i="1"/>
  <c r="I30" i="1"/>
  <c r="I27" i="2" l="1"/>
  <c r="H27" i="2"/>
  <c r="G27" i="2"/>
  <c r="C27" i="2"/>
  <c r="A27" i="2"/>
  <c r="I26" i="2"/>
  <c r="H26" i="2"/>
  <c r="G26" i="2"/>
  <c r="C26" i="2"/>
  <c r="A26" i="2"/>
  <c r="I25" i="2"/>
  <c r="H25" i="2"/>
  <c r="G25" i="2"/>
  <c r="C25" i="2"/>
  <c r="A25" i="2"/>
  <c r="I24" i="2"/>
  <c r="H24" i="2"/>
  <c r="G24" i="2"/>
  <c r="C24" i="2"/>
  <c r="A24" i="2"/>
  <c r="I23" i="2"/>
  <c r="H23" i="2"/>
  <c r="G23" i="2"/>
  <c r="C23" i="2"/>
  <c r="A23" i="2"/>
  <c r="I22" i="2"/>
  <c r="H22" i="2"/>
  <c r="G22" i="2"/>
  <c r="C22" i="2"/>
  <c r="A22" i="2"/>
  <c r="I21" i="2"/>
  <c r="H21" i="2"/>
  <c r="G21" i="2"/>
  <c r="C21" i="2"/>
  <c r="A21" i="2"/>
  <c r="I20" i="2"/>
  <c r="H20" i="2"/>
  <c r="G20" i="2"/>
  <c r="C20" i="2"/>
  <c r="A20" i="2"/>
  <c r="I19" i="2"/>
  <c r="H19" i="2"/>
  <c r="G19" i="2"/>
  <c r="C19" i="2"/>
  <c r="A19" i="2"/>
  <c r="I18" i="2"/>
  <c r="H18" i="2"/>
  <c r="G18" i="2"/>
  <c r="C18" i="2"/>
  <c r="A18" i="2"/>
  <c r="I17" i="2"/>
  <c r="H17" i="2"/>
  <c r="G17" i="2"/>
  <c r="C17" i="2"/>
  <c r="A17" i="2"/>
  <c r="I18" i="1"/>
  <c r="I20" i="1"/>
  <c r="I34" i="1"/>
  <c r="I37" i="1"/>
  <c r="I26" i="1"/>
  <c r="I36" i="1"/>
  <c r="I35" i="1"/>
  <c r="I46" i="1"/>
  <c r="I45" i="1"/>
  <c r="I27" i="1"/>
  <c r="I29" i="1" l="1"/>
  <c r="I42" i="1"/>
  <c r="A14" i="2"/>
  <c r="C14" i="2"/>
  <c r="G14" i="2"/>
  <c r="H14" i="2"/>
  <c r="I14" i="2"/>
  <c r="A15" i="2"/>
  <c r="C15" i="2"/>
  <c r="G15" i="2"/>
  <c r="H15" i="2"/>
  <c r="I15" i="2"/>
  <c r="I16" i="2" l="1"/>
  <c r="H16" i="2"/>
  <c r="G16" i="2"/>
  <c r="C16" i="2"/>
  <c r="A16" i="2"/>
  <c r="I24" i="1"/>
  <c r="I17" i="1" l="1"/>
  <c r="I23" i="1"/>
  <c r="A12" i="2" l="1"/>
  <c r="A13" i="2"/>
  <c r="I12" i="2" l="1"/>
  <c r="I13" i="2"/>
  <c r="H12" i="2"/>
  <c r="H13" i="2"/>
  <c r="G12" i="2"/>
  <c r="G13" i="2"/>
  <c r="C12" i="2"/>
  <c r="C13" i="2"/>
  <c r="Q23" i="3" l="1"/>
  <c r="I49" i="2" l="1"/>
</calcChain>
</file>

<file path=xl/sharedStrings.xml><?xml version="1.0" encoding="utf-8"?>
<sst xmlns="http://schemas.openxmlformats.org/spreadsheetml/2006/main" count="280" uniqueCount="150">
  <si>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</si>
  <si>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</si>
  <si>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</si>
  <si>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</si>
  <si>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</si>
  <si>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</si>
  <si>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</si>
  <si>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</si>
  <si>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</si>
  <si>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</si>
  <si>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</si>
  <si>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</si>
  <si>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</si>
  <si>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</si>
  <si>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</si>
  <si>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</si>
  <si>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</si>
  <si>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</si>
  <si>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</si>
  <si>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</si>
  <si>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</si>
  <si>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</si>
  <si>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</si>
  <si>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</si>
  <si>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</si>
  <si>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</si>
  <si>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</si>
  <si>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</si>
  <si>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</si>
  <si>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</si>
  <si>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</si>
  <si>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</si>
  <si>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</si>
  <si>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</si>
  <si>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</si>
  <si>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</si>
  <si>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</si>
  <si>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</si>
  <si>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</si>
  <si>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</si>
  <si>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</si>
  <si>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</si>
  <si>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</si>
  <si>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</si>
  <si>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</si>
  <si>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</si>
  <si>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</si>
  <si>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</si>
  <si>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</si>
  <si>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</si>
  <si>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NO</t>
  </si>
  <si>
    <t>40- Ministerio de Salud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</si>
  <si>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</si>
  <si>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</si>
  <si>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</si>
  <si>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</si>
  <si>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</si>
  <si>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</si>
  <si>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</si>
  <si>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</si>
  <si>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 xml:space="preserve">Pedido de Necesidades Trimestrales
</t>
  </si>
  <si>
    <t>28- Maternidad Provincial 25 de Mayo</t>
  </si>
  <si>
    <t>28 - MATERNIDAD PROVINCIAL 25 DE MAYO</t>
  </si>
  <si>
    <t>Año 2021</t>
  </si>
  <si>
    <t>SERVICIO DE FARMACIA -MATERNIDAD PROVINCIAL 25 DE MAYO - HERNANDO DE PEDRAZA 1650</t>
  </si>
  <si>
    <t>HORARIO DE 07:00 A 12:00</t>
  </si>
  <si>
    <t>UNIDAD</t>
  </si>
  <si>
    <t>COFIAS PLIZADAS CON AJUSTE ELASTIZADO</t>
  </si>
  <si>
    <t>169-Direccion Asistencial</t>
  </si>
  <si>
    <t>Servicio de Farmacia</t>
  </si>
  <si>
    <t xml:space="preserve">169-Direccion Asistencial </t>
  </si>
  <si>
    <t xml:space="preserve">Servicio de Farmacia </t>
  </si>
  <si>
    <t>30 DIAS</t>
  </si>
  <si>
    <t xml:space="preserve">Compuestos Quimicos </t>
  </si>
  <si>
    <t>DETERGENTE TRIENZIMATICO  ( LIPASA, AMILASA,PROTEASA ) Concentración: 3 a 5 ml/litro. Libre de fenoles, Atoxico. Bidón por 5 litros. Aprobación PM ANMAT  TIPO DM3 PLUS ADOX</t>
  </si>
  <si>
    <t>TUBULADURA PVC 6X9 X 50 USO MEDICINAL</t>
  </si>
  <si>
    <t>TUBULADURA PVC 7,9 X 12,70 x 50  USO MEDICINAL</t>
  </si>
  <si>
    <t>MASCARA PERFOMAX TOTAL FACE  TALLE G PARA VNI</t>
  </si>
  <si>
    <t xml:space="preserve">20 dias corridos desde la firma del documento contractual </t>
  </si>
  <si>
    <t>132/2021</t>
  </si>
  <si>
    <t>Autorizo la realización de los  trámites correspondientes, a fin de proveer a  este Organismo los bienes y/o servicios que se detallan en Nota  de Pedido N° 132/2021 ,  afectando la erogación resultante a los créditos presupuestarios aprobados a favor de esta Unidad Ejecutora, conforme al siguiente detalle:"</t>
  </si>
  <si>
    <t>BIDON</t>
  </si>
  <si>
    <t>ROLLO</t>
  </si>
  <si>
    <t>MASCARA PERFOMAX TOTAL FACE  TALLE XG PARA VNI</t>
  </si>
  <si>
    <t>CONECTORES P/MEDICINA; USO: NEBULIZADOR, CONECTOR: T</t>
  </si>
  <si>
    <t>MASCARAS; TIPO: CPAP, MATERIAL: PVC ACOLCHADO, USO: ADULTO</t>
  </si>
  <si>
    <t>MAMADERAS; MATERIAL: VIDRIO/BOROSILICATO, TIPO: SIN VALOR, TAPA: SI, VOLUMEN: 75 CM3</t>
  </si>
  <si>
    <t>CEPILLOS P/LABORATORIO; TIPO: P/LIMPIEZA BIBERONES, MATERIAL: CERDA , TAMAÑO: DIAM. 4</t>
  </si>
  <si>
    <t>CEPILLOS P/LABORATORIO; TIPO: LIMPIEZA DE TUBOS, MATERIAL: CERDA, TAMAÑO: 2,5 Cm</t>
  </si>
  <si>
    <t>FRASCOS ASPIRADORES; USO: CIRUGIA GENERAL, PRESENTACION: UNIDAD</t>
  </si>
  <si>
    <t>CEPILLOS P/LABORATORIO; TIPO: LIMPIEZA DE TUBOS, MATERIAL: PLASTICO, TAMAÑO: 20 Cm</t>
  </si>
  <si>
    <t>BOLSAS DE RESIDUOS PATOLOGICOS; COLOR: SIN VALOR, MEDIDA: 50 X 70 Cm, ESPESOR: 120 Mn, TIPO: FUELLE LATERAL</t>
  </si>
  <si>
    <t>BOLSAS DE RESIDUOS PATOLOGICOS; MEDIDA: 60 X 90 Cm, ESPESOR: 120 Mn, TIPO: FUELLE LATERAL</t>
  </si>
  <si>
    <t>Unidad</t>
  </si>
  <si>
    <t>Plazos y lugares de entrega</t>
  </si>
  <si>
    <t>Servicio de quirofano Maternidad Provincial 25 de Mayo - H de Pedraza 1500</t>
  </si>
  <si>
    <t xml:space="preserve">20 Dias corridos desde la subscripcion del contrato </t>
  </si>
  <si>
    <t>30 dias</t>
  </si>
  <si>
    <t xml:space="preserve">BOLSA DE RESIDUO PATOGENICOS  CON FUELLE. COLOR ROJO SANGRE DE 120 MICRONES DE BAJA DENSIDAD.DEBE LLEVAR IMPRESO EN AMBAS CARAS "RESIDUOS PATOGENOS" </t>
  </si>
  <si>
    <t>Servicio de Mantenimiento Maternidad Provincial 25 de Mayo - H de Pedraza 1500</t>
  </si>
  <si>
    <t>BOLSA DE RESIDUO PATOGENICOS  CON FUELLE DE .COLOR ROJO SANGRE DE 120 MICRONES DE BAJA DENSIDAD.DEBE LLEVAR IMPRESO EN AMBAS CARAS "RESIDUOS PATOGENOS"</t>
  </si>
  <si>
    <t>CLORHEXIDINA 2% SOLUCION ACUOSA X 250 ML</t>
  </si>
  <si>
    <t>FRASCO</t>
  </si>
  <si>
    <t>CATETER DOBLE J 4.7 FRENCH x 26 CM TIPO COOK</t>
  </si>
  <si>
    <t xml:space="preserve">FILTRO P/REMOCION DE LEUCOCITOS </t>
  </si>
  <si>
    <t>SONDA FOLEY TRIPLE VIA HEMATURICA Nº 20</t>
  </si>
  <si>
    <t>DESC COVID</t>
  </si>
  <si>
    <t xml:space="preserve">ANTISEPTICO Y DESINFECTANTES </t>
  </si>
  <si>
    <t xml:space="preserve">DESC COMPLEJOS </t>
  </si>
  <si>
    <t xml:space="preserve">ESTERILIZACION </t>
  </si>
  <si>
    <t>Bobina Baja Densidad 30 X 40 rollo x 200 un. Tipo Mapsa</t>
  </si>
  <si>
    <t>Bolsas Termosellables P/bib 145 X 50 X 330mm Tipo Yellow Pack x 1000</t>
  </si>
  <si>
    <t>CAJA</t>
  </si>
  <si>
    <t>Bolsas Termosellables P/bib 250 X 100 X 380mm TipoYellow Pack x 1000</t>
  </si>
  <si>
    <t xml:space="preserve">Camisolin P/Cirugia de tela verde brin indanthren con mangas con puño de algodón </t>
  </si>
  <si>
    <t>Cassettes P/Sterrad NX x 5 unidades Tipo ASP</t>
  </si>
  <si>
    <t>Cinta Testigo p/calor humedo  (en rollo) Tipo Kims</t>
  </si>
  <si>
    <t>Cinta Testigo P/Sterrad NX x 6 Rollos x 55 Metros  Tipo ASP</t>
  </si>
  <si>
    <t>Compresa de Gasa Cosida; 40cm x 40cm, Rx y Cola, acondicionada x 5 unidades doble  Pouch  x  50 unidades  Estéril,</t>
  </si>
  <si>
    <t xml:space="preserve">Envoltorio para esterilización de Tela no tejida 100% a base de Polipropileno SMS. Gramaje 45 gr/m2 x 100 mts de ancho. Bobina x 200 metros </t>
  </si>
  <si>
    <t>GASA HIDROFILA PIEZA X 1,8 KGS. TIPO HIDROSAN</t>
  </si>
  <si>
    <t>LUPAS; POTENCIA: 75 Diop, DIAMETRO: 65 mm, MATERIAL LENTE: VIDRIO, ACCESORIO: C/LUZ, ARMAZON: PLASTICO, ESTRUCTURA: PLASTICO</t>
  </si>
  <si>
    <t>Malla Tubular de 30 cm. Ancho X 25 mts. Largo Tipo Hidrosan</t>
  </si>
  <si>
    <t>PAPEL GRADO MEDICO 120 CM X 100 MTS</t>
  </si>
  <si>
    <t>BOBINA</t>
  </si>
  <si>
    <t>PAPEL GRADO MEDICO CREPADO ROLLO 80 CM X 100 MTS</t>
  </si>
  <si>
    <t>Rollo de lienzo Ecologico de 80 grs x 50 mt.</t>
  </si>
  <si>
    <t>Ropa Equipo Cirugia Universal DESCARTABLE 17 Elementos Esteril</t>
  </si>
  <si>
    <t>PAQUETE</t>
  </si>
  <si>
    <t>Tela verde brin de algodón rollo 50 mtrs largo (doble ancho) x 1,50 mt de ancho. Indantrend 100 % algodón</t>
  </si>
  <si>
    <t>Test pack de 15 mm (viraje de color-tipo 2 Paquete de un solo uso para efectuar el test de Bowie y Dick. Detecta deficiencias en la penetración de vapor. Viraje final a negro. Presentación: Paquete de 120x 120 x 15 mm. Caja por 20 unidades.</t>
  </si>
  <si>
    <t>Costo total: DIEZ MILLONES QUINIENTOS CINCUENTA Y DOS MIL NOVECIENTOS TREINTA Y CINCO CON 00/100</t>
  </si>
  <si>
    <t>4°</t>
  </si>
  <si>
    <t>4° TRIMESTRE 2021</t>
  </si>
  <si>
    <t>Para la adquisición de Descartables medicos, para ser destinados al Servicio de Farmacia de la Maternidad Provincial 25 de Mayo.-</t>
  </si>
  <si>
    <t xml:space="preserve">ADQUISICION DE DESCARTABLES MEDICOS </t>
  </si>
  <si>
    <t>Especificidades Item N° 2 :</t>
  </si>
  <si>
    <t>Especificidades Item N° 3 :</t>
  </si>
  <si>
    <t>Especificidades Item N° 21 :</t>
  </si>
  <si>
    <t xml:space="preserve">Hilados y telas </t>
  </si>
  <si>
    <t xml:space="preserve">Productos de papel y carton </t>
  </si>
  <si>
    <t xml:space="preserve">Productos farmaceuticos y medicinales </t>
  </si>
  <si>
    <t xml:space="preserve">Insecticidas, fumigantes y otros </t>
  </si>
  <si>
    <t>Otros NEP</t>
  </si>
  <si>
    <r>
      <rPr>
        <b/>
        <u/>
        <sz val="8"/>
        <rFont val="Arial"/>
        <family val="2"/>
      </rPr>
      <t>TOTAL DE PESOS:</t>
    </r>
    <r>
      <rPr>
        <b/>
        <sz val="8"/>
        <rFont val="Arial"/>
        <family val="2"/>
      </rPr>
      <t xml:space="preserve"> DIEZ MILLONES QUINIENTOS CINCUENTA Y DOS MIL NOVECIENTOS TREINTA Y CINCO CON 00/100</t>
    </r>
  </si>
  <si>
    <t>Frasco Contenedor reutilizable tipo ECO-VAC capacidad de 3 litros con tapa</t>
  </si>
  <si>
    <t>Especificidades Item N° 1 A 37 :</t>
  </si>
  <si>
    <t xml:space="preserve">Productos de material Plastico </t>
  </si>
  <si>
    <t>SI</t>
  </si>
  <si>
    <t xml:space="preserve">Utiles menores medico, Quirurgico y de Laboratorio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</si>
</sst>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;@"/>
    <numFmt numFmtId="165" formatCode="&quot;$&quot;\ #,##0.00"/>
    <numFmt numFmtId="166" formatCode="_-&quot;$&quot;\ * #,##0.00_-;\-&quot;$&quot;\ * #,##0.00_-;_-&quot;$&quot;\ * &quot;-&quot;??_-;_-@"/>
  </numFmts>
  <fonts count="4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2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sz val="10"/>
      <color rgb="FF000000"/>
      <name val="Arial"/>
    </font>
    <font>
      <sz val="10"/>
      <name val="Arial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8"/>
      <name val="Arial"/>
      <family val="2"/>
    </font>
    <font>
      <b/>
      <u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1" applyProtection="0"/>
    <xf numFmtId="0" fontId="3" fillId="2" borderId="0" applyBorder="0" applyProtection="0"/>
    <xf numFmtId="0" fontId="14" fillId="0" borderId="0"/>
    <xf numFmtId="44" fontId="22" fillId="0" borderId="0" applyFont="0" applyFill="0" applyBorder="0" applyAlignment="0" applyProtection="0"/>
    <xf numFmtId="0" fontId="14" fillId="0" borderId="0"/>
    <xf numFmtId="0" fontId="14" fillId="0" borderId="0"/>
  </cellStyleXfs>
  <cellXfs count="180">
    <xf numFmtId="0" fontId="0" fillId="0" borderId="0" xfId="0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2" fillId="0" borderId="0" xfId="0" applyFont="1"/>
    <xf numFmtId="0" fontId="15" fillId="0" borderId="0" xfId="0" applyFont="1"/>
    <xf numFmtId="0" fontId="0" fillId="0" borderId="0" xfId="0" applyFill="1" applyBorder="1"/>
    <xf numFmtId="0" fontId="0" fillId="0" borderId="4" xfId="0" applyFill="1" applyBorder="1"/>
    <xf numFmtId="0" fontId="0" fillId="0" borderId="17" xfId="0" applyFill="1" applyBorder="1"/>
    <xf numFmtId="0" fontId="0" fillId="0" borderId="6" xfId="0" applyFill="1" applyBorder="1"/>
    <xf numFmtId="0" fontId="0" fillId="0" borderId="6" xfId="0" applyFill="1" applyBorder="1" applyAlignment="1">
      <alignment horizontal="left"/>
    </xf>
    <xf numFmtId="0" fontId="0" fillId="0" borderId="18" xfId="0" applyFill="1" applyBorder="1"/>
    <xf numFmtId="0" fontId="13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center" vertical="center"/>
    </xf>
    <xf numFmtId="44" fontId="14" fillId="0" borderId="0" xfId="0" applyNumberFormat="1" applyFont="1" applyAlignment="1"/>
    <xf numFmtId="0" fontId="5" fillId="4" borderId="4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2" fillId="4" borderId="0" xfId="0" applyFont="1" applyFill="1" applyBorder="1" applyAlignment="1">
      <alignment vertical="center"/>
    </xf>
    <xf numFmtId="0" fontId="26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horizontal="center" vertical="center"/>
    </xf>
    <xf numFmtId="8" fontId="2" fillId="4" borderId="0" xfId="0" applyNumberFormat="1" applyFont="1" applyFill="1" applyBorder="1" applyAlignment="1">
      <alignment vertical="center"/>
    </xf>
    <xf numFmtId="0" fontId="15" fillId="4" borderId="0" xfId="0" applyFont="1" applyFill="1"/>
    <xf numFmtId="0" fontId="24" fillId="4" borderId="0" xfId="0" applyFont="1" applyFill="1" applyBorder="1" applyAlignment="1">
      <alignment horizontal="left" vertical="center"/>
    </xf>
    <xf numFmtId="44" fontId="2" fillId="0" borderId="0" xfId="0" applyNumberFormat="1" applyFont="1" applyBorder="1" applyAlignment="1">
      <alignment vertical="center"/>
    </xf>
    <xf numFmtId="165" fontId="0" fillId="0" borderId="0" xfId="0" applyNumberFormat="1"/>
    <xf numFmtId="0" fontId="15" fillId="0" borderId="0" xfId="0" applyFont="1" applyFill="1"/>
    <xf numFmtId="0" fontId="17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15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 wrapText="1"/>
    </xf>
    <xf numFmtId="0" fontId="15" fillId="0" borderId="27" xfId="0" applyFont="1" applyBorder="1"/>
    <xf numFmtId="0" fontId="15" fillId="0" borderId="30" xfId="0" applyFont="1" applyBorder="1"/>
    <xf numFmtId="0" fontId="29" fillId="0" borderId="32" xfId="0" applyFont="1" applyBorder="1"/>
    <xf numFmtId="0" fontId="15" fillId="0" borderId="33" xfId="0" applyFont="1" applyBorder="1"/>
    <xf numFmtId="0" fontId="29" fillId="0" borderId="33" xfId="0" applyFont="1" applyBorder="1"/>
    <xf numFmtId="0" fontId="29" fillId="0" borderId="33" xfId="0" applyFont="1" applyBorder="1" applyAlignment="1">
      <alignment horizontal="left" indent="3"/>
    </xf>
    <xf numFmtId="0" fontId="15" fillId="0" borderId="33" xfId="0" applyFont="1" applyBorder="1" applyAlignment="1">
      <alignment horizontal="left" indent="3"/>
    </xf>
    <xf numFmtId="0" fontId="15" fillId="0" borderId="34" xfId="0" applyFont="1" applyBorder="1" applyAlignment="1">
      <alignment horizontal="left" indent="3"/>
    </xf>
    <xf numFmtId="0" fontId="15" fillId="0" borderId="29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8" fillId="0" borderId="8" xfId="0" applyFont="1" applyFill="1" applyBorder="1" applyAlignment="1">
      <alignment horizontal="center" vertical="center" wrapText="1"/>
    </xf>
    <xf numFmtId="0" fontId="31" fillId="4" borderId="8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44" fontId="24" fillId="4" borderId="8" xfId="4" applyFont="1" applyFill="1" applyBorder="1" applyAlignment="1">
      <alignment vertical="center"/>
    </xf>
    <xf numFmtId="0" fontId="24" fillId="4" borderId="8" xfId="0" applyFont="1" applyFill="1" applyBorder="1" applyAlignment="1">
      <alignment horizontal="center" vertical="center"/>
    </xf>
    <xf numFmtId="44" fontId="28" fillId="4" borderId="8" xfId="0" applyNumberFormat="1" applyFont="1" applyFill="1" applyBorder="1" applyAlignment="1">
      <alignment vertical="center"/>
    </xf>
    <xf numFmtId="0" fontId="18" fillId="4" borderId="8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vertical="center" wrapText="1"/>
    </xf>
    <xf numFmtId="44" fontId="24" fillId="0" borderId="8" xfId="4" applyFont="1" applyFill="1" applyBorder="1" applyAlignment="1">
      <alignment vertical="center" wrapText="1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29" fillId="0" borderId="34" xfId="0" applyFont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35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44" fontId="13" fillId="0" borderId="8" xfId="0" applyNumberFormat="1" applyFont="1" applyFill="1" applyBorder="1" applyAlignment="1">
      <alignment horizontal="center" vertical="center"/>
    </xf>
    <xf numFmtId="44" fontId="14" fillId="0" borderId="36" xfId="0" applyNumberFormat="1" applyFont="1" applyBorder="1" applyAlignment="1">
      <alignment horizontal="center" vertical="center"/>
    </xf>
    <xf numFmtId="44" fontId="14" fillId="0" borderId="50" xfId="0" applyNumberFormat="1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wrapText="1"/>
    </xf>
    <xf numFmtId="0" fontId="36" fillId="0" borderId="0" xfId="0" applyFont="1" applyFill="1" applyAlignment="1">
      <alignment horizontal="center"/>
    </xf>
    <xf numFmtId="1" fontId="20" fillId="0" borderId="8" xfId="0" applyNumberFormat="1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left" vertical="center" wrapText="1"/>
    </xf>
    <xf numFmtId="0" fontId="15" fillId="0" borderId="28" xfId="0" applyFont="1" applyBorder="1"/>
    <xf numFmtId="0" fontId="15" fillId="0" borderId="29" xfId="0" applyFont="1" applyBorder="1"/>
    <xf numFmtId="0" fontId="15" fillId="0" borderId="31" xfId="0" applyFont="1" applyBorder="1"/>
    <xf numFmtId="1" fontId="20" fillId="0" borderId="53" xfId="0" applyNumberFormat="1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25" fillId="0" borderId="51" xfId="0" applyFont="1" applyFill="1" applyBorder="1" applyAlignment="1">
      <alignment horizontal="left" vertical="center" wrapText="1"/>
    </xf>
    <xf numFmtId="0" fontId="34" fillId="0" borderId="8" xfId="0" applyFont="1" applyBorder="1" applyAlignment="1">
      <alignment vertical="center"/>
    </xf>
    <xf numFmtId="0" fontId="25" fillId="0" borderId="52" xfId="0" applyFont="1" applyFill="1" applyBorder="1" applyAlignment="1">
      <alignment horizontal="left" vertical="center" wrapText="1"/>
    </xf>
    <xf numFmtId="0" fontId="25" fillId="0" borderId="5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36" fillId="5" borderId="8" xfId="0" applyFont="1" applyFill="1" applyBorder="1" applyAlignment="1">
      <alignment horizontal="center" vertical="center"/>
    </xf>
    <xf numFmtId="44" fontId="24" fillId="0" borderId="53" xfId="4" applyFont="1" applyFill="1" applyBorder="1" applyAlignment="1">
      <alignment vertical="center" wrapText="1"/>
    </xf>
    <xf numFmtId="166" fontId="35" fillId="5" borderId="8" xfId="0" applyNumberFormat="1" applyFont="1" applyFill="1" applyBorder="1" applyAlignment="1">
      <alignment horizontal="center" vertical="center"/>
    </xf>
    <xf numFmtId="166" fontId="35" fillId="5" borderId="8" xfId="0" applyNumberFormat="1" applyFont="1" applyFill="1" applyBorder="1" applyAlignment="1">
      <alignment horizontal="right" vertical="center"/>
    </xf>
    <xf numFmtId="166" fontId="35" fillId="0" borderId="8" xfId="0" applyNumberFormat="1" applyFont="1" applyBorder="1" applyAlignment="1">
      <alignment horizontal="center" vertical="center"/>
    </xf>
    <xf numFmtId="44" fontId="14" fillId="0" borderId="56" xfId="0" applyNumberFormat="1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left" vertical="center" wrapText="1"/>
    </xf>
    <xf numFmtId="0" fontId="34" fillId="0" borderId="8" xfId="0" applyFont="1" applyFill="1" applyBorder="1" applyAlignment="1">
      <alignment horizontal="left" vertical="center"/>
    </xf>
    <xf numFmtId="0" fontId="34" fillId="0" borderId="8" xfId="0" applyFont="1" applyFill="1" applyBorder="1" applyAlignment="1">
      <alignment vertical="center"/>
    </xf>
    <xf numFmtId="0" fontId="14" fillId="4" borderId="0" xfId="0" applyFont="1" applyFill="1" applyAlignment="1">
      <alignment horizontal="center" wrapText="1"/>
    </xf>
    <xf numFmtId="0" fontId="14" fillId="4" borderId="29" xfId="0" applyFont="1" applyFill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0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Fill="1" applyBorder="1" applyAlignment="1">
      <alignment horizontal="center" vertical="top" wrapText="1"/>
    </xf>
    <xf numFmtId="0" fontId="33" fillId="4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15" fillId="0" borderId="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12" xfId="0" applyFont="1" applyFill="1" applyBorder="1" applyAlignment="1">
      <alignment horizontal="left" vertical="center" wrapText="1"/>
    </xf>
    <xf numFmtId="0" fontId="25" fillId="4" borderId="54" xfId="0" applyFont="1" applyFill="1" applyBorder="1" applyAlignment="1">
      <alignment horizontal="left" vertical="center" wrapText="1"/>
    </xf>
    <xf numFmtId="0" fontId="25" fillId="4" borderId="13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 indent="1"/>
    </xf>
    <xf numFmtId="0" fontId="7" fillId="4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 wrapText="1" indent="1"/>
    </xf>
    <xf numFmtId="0" fontId="11" fillId="0" borderId="7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7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8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37" fillId="4" borderId="8" xfId="0" applyFont="1" applyFill="1" applyBorder="1" applyAlignment="1">
      <alignment horizontal="left" vertical="center" wrapText="1"/>
    </xf>
    <xf numFmtId="0" fontId="27" fillId="4" borderId="8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0" fontId="11" fillId="0" borderId="5" xfId="0" applyFont="1" applyBorder="1" applyAlignment="1">
      <alignment horizontal="left" indent="1"/>
    </xf>
    <xf numFmtId="0" fontId="4" fillId="0" borderId="7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indent="1"/>
    </xf>
    <xf numFmtId="0" fontId="12" fillId="0" borderId="5" xfId="0" applyFont="1" applyFill="1" applyBorder="1" applyAlignment="1">
      <alignment horizontal="left"/>
    </xf>
    <xf numFmtId="0" fontId="11" fillId="0" borderId="7" xfId="0" applyFont="1" applyFill="1" applyBorder="1" applyAlignment="1">
      <alignment horizontal="left" vertical="center" wrapText="1" indent="1"/>
    </xf>
    <xf numFmtId="0" fontId="11" fillId="0" borderId="23" xfId="0" applyFont="1" applyFill="1" applyBorder="1" applyAlignment="1">
      <alignment horizontal="left" vertical="center" wrapText="1" indent="1"/>
    </xf>
    <xf numFmtId="0" fontId="11" fillId="0" borderId="24" xfId="0" applyFont="1" applyFill="1" applyBorder="1" applyAlignment="1">
      <alignment horizontal="left" vertical="center" wrapText="1" indent="1"/>
    </xf>
    <xf numFmtId="0" fontId="24" fillId="0" borderId="37" xfId="0" applyFont="1" applyFill="1" applyBorder="1" applyAlignment="1">
      <alignment horizontal="left" vertical="center" wrapText="1"/>
    </xf>
    <xf numFmtId="0" fontId="24" fillId="0" borderId="40" xfId="0" applyFont="1" applyFill="1" applyBorder="1" applyAlignment="1">
      <alignment horizontal="left" vertical="center" wrapText="1"/>
    </xf>
    <xf numFmtId="0" fontId="11" fillId="0" borderId="15" xfId="0" applyFont="1" applyFill="1" applyBorder="1"/>
    <xf numFmtId="0" fontId="11" fillId="0" borderId="16" xfId="0" applyFont="1" applyFill="1" applyBorder="1" applyAlignment="1">
      <alignment horizontal="left" vertical="center" wrapText="1" indent="1"/>
    </xf>
    <xf numFmtId="0" fontId="13" fillId="0" borderId="1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32" fillId="0" borderId="32" xfId="0" applyFont="1" applyFill="1" applyBorder="1" applyAlignment="1">
      <alignment vertical="center" wrapText="1"/>
    </xf>
    <xf numFmtId="0" fontId="32" fillId="0" borderId="27" xfId="0" applyFont="1" applyFill="1" applyBorder="1" applyAlignment="1">
      <alignment vertical="center" wrapText="1"/>
    </xf>
    <xf numFmtId="0" fontId="11" fillId="0" borderId="44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horizontal="left" vertical="center" wrapText="1" indent="1"/>
    </xf>
    <xf numFmtId="0" fontId="11" fillId="0" borderId="22" xfId="0" applyFont="1" applyFill="1" applyBorder="1" applyAlignment="1">
      <alignment horizontal="left" vertical="center" wrapText="1" indent="1"/>
    </xf>
    <xf numFmtId="0" fontId="11" fillId="0" borderId="46" xfId="0" applyFont="1" applyFill="1" applyBorder="1" applyAlignment="1">
      <alignment horizontal="left" vertical="center" wrapText="1" indent="1"/>
    </xf>
    <xf numFmtId="0" fontId="11" fillId="0" borderId="47" xfId="0" applyFont="1" applyFill="1" applyBorder="1" applyAlignment="1">
      <alignment horizontal="left" vertical="center" wrapText="1" indent="1"/>
    </xf>
    <xf numFmtId="0" fontId="11" fillId="0" borderId="48" xfId="0" applyFont="1" applyFill="1" applyBorder="1" applyAlignment="1">
      <alignment horizontal="left" vertical="center" wrapText="1" indent="1"/>
    </xf>
    <xf numFmtId="0" fontId="11" fillId="0" borderId="49" xfId="0" applyFont="1" applyFill="1" applyBorder="1" applyAlignment="1">
      <alignment horizontal="left" vertical="center" wrapText="1" indent="1"/>
    </xf>
    <xf numFmtId="0" fontId="24" fillId="0" borderId="38" xfId="0" applyFont="1" applyFill="1" applyBorder="1" applyAlignment="1">
      <alignment horizontal="left" vertical="center" wrapText="1"/>
    </xf>
    <xf numFmtId="0" fontId="24" fillId="0" borderId="39" xfId="0" applyFont="1" applyFill="1" applyBorder="1" applyAlignment="1">
      <alignment horizontal="left" vertical="center" wrapText="1"/>
    </xf>
    <xf numFmtId="0" fontId="38" fillId="0" borderId="22" xfId="0" applyFont="1" applyFill="1" applyBorder="1" applyAlignment="1">
      <alignment horizontal="left" vertical="center" wrapText="1"/>
    </xf>
    <xf numFmtId="0" fontId="38" fillId="0" borderId="17" xfId="0" applyFont="1" applyFill="1" applyBorder="1" applyAlignment="1">
      <alignment horizontal="left" vertical="center" wrapText="1"/>
    </xf>
    <xf numFmtId="0" fontId="0" fillId="0" borderId="14" xfId="0" applyFill="1" applyBorder="1"/>
    <xf numFmtId="0" fontId="0" fillId="0" borderId="16" xfId="0" applyFill="1" applyBorder="1"/>
    <xf numFmtId="0" fontId="24" fillId="0" borderId="57" xfId="0" applyFont="1" applyFill="1" applyBorder="1" applyAlignment="1">
      <alignment horizontal="left" vertical="center" wrapText="1"/>
    </xf>
    <xf numFmtId="0" fontId="24" fillId="0" borderId="58" xfId="0" applyFont="1" applyFill="1" applyBorder="1" applyAlignment="1">
      <alignment horizontal="left" vertical="center" wrapText="1"/>
    </xf>
    <xf numFmtId="0" fontId="24" fillId="0" borderId="55" xfId="0" applyFont="1" applyFill="1" applyBorder="1" applyAlignment="1">
      <alignment horizontal="left" vertical="center" wrapText="1"/>
    </xf>
  </cellXfs>
  <cellStyles count="7">
    <cellStyle name="Encabezado 1" xfId="1"/>
    <cellStyle name="Moneda" xfId="4" builtinId="4"/>
    <cellStyle name="Neutral 1" xfId="2"/>
    <cellStyle name="Normal" xfId="0" builtinId="0"/>
    <cellStyle name="Normal 2" xfId="3"/>
    <cellStyle name="Normal 3" xfId="5"/>
    <cellStyle name="Normal 4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15"/>
  <sheetViews>
    <sheetView topLeftCell="A78" zoomScale="90" zoomScaleNormal="90" workbookViewId="0">
      <selection activeCell="C44" sqref="C44"/>
    </sheetView>
  </sheetViews>
  <sheetFormatPr baseColWidth="10" defaultColWidth="11" defaultRowHeight="12.75" x14ac:dyDescent="0.2"/>
  <cols>
    <col min="1" max="1" width="4.5703125" style="28" customWidth="1"/>
    <col min="2" max="2" width="13.140625" style="28" customWidth="1"/>
    <col min="3" max="3" width="35.28515625" style="37" customWidth="1"/>
    <col min="4" max="4" width="8.42578125" style="32" customWidth="1"/>
    <col min="5" max="5" width="84.28515625" style="32" customWidth="1"/>
    <col min="6" max="6" width="11" style="37"/>
    <col min="7" max="7" width="12.7109375" style="75" customWidth="1"/>
    <col min="8" max="8" width="15.42578125" style="32" customWidth="1"/>
    <col min="9" max="9" width="18.5703125" style="32" customWidth="1"/>
    <col min="10" max="10" width="13.140625" style="6" customWidth="1"/>
    <col min="11" max="16384" width="11" style="6"/>
  </cols>
  <sheetData>
    <row r="2" spans="1:9" ht="27.6" customHeight="1" x14ac:dyDescent="0.2">
      <c r="C2" s="106" t="s">
        <v>60</v>
      </c>
      <c r="D2" s="106"/>
      <c r="E2" s="106"/>
      <c r="F2" s="106"/>
      <c r="G2" s="106"/>
      <c r="H2" s="73"/>
    </row>
    <row r="4" spans="1:9" ht="18" customHeight="1" x14ac:dyDescent="0.25">
      <c r="A4" s="107" t="s">
        <v>0</v>
      </c>
      <c r="B4" s="107"/>
      <c r="C4" s="108" t="s">
        <v>49</v>
      </c>
      <c r="D4" s="108"/>
      <c r="E4" s="108"/>
      <c r="F4" s="34"/>
      <c r="G4" s="74"/>
      <c r="H4" s="33"/>
    </row>
    <row r="5" spans="1:9" ht="18" customHeight="1" x14ac:dyDescent="0.25">
      <c r="A5" s="107" t="s">
        <v>1</v>
      </c>
      <c r="B5" s="107"/>
      <c r="C5" s="108" t="s">
        <v>62</v>
      </c>
      <c r="D5" s="108"/>
      <c r="E5" s="108"/>
      <c r="F5" s="34"/>
      <c r="G5" s="74"/>
      <c r="H5" s="33"/>
    </row>
    <row r="6" spans="1:9" ht="16.5" customHeight="1" x14ac:dyDescent="0.25">
      <c r="A6" s="107" t="s">
        <v>2</v>
      </c>
      <c r="B6" s="107"/>
      <c r="C6" s="38" t="s">
        <v>63</v>
      </c>
      <c r="D6" s="35"/>
      <c r="E6" s="36"/>
      <c r="F6" s="34"/>
      <c r="G6" s="74"/>
      <c r="H6" s="33"/>
    </row>
    <row r="7" spans="1:9" ht="16.5" customHeight="1" x14ac:dyDescent="0.25">
      <c r="A7" s="107" t="s">
        <v>3</v>
      </c>
      <c r="B7" s="107"/>
      <c r="C7" s="38" t="s">
        <v>132</v>
      </c>
      <c r="D7" s="35"/>
      <c r="E7" s="36"/>
      <c r="F7" s="34"/>
      <c r="G7" s="74"/>
      <c r="H7" s="33"/>
    </row>
    <row r="8" spans="1:9" ht="13.5" thickBot="1" x14ac:dyDescent="0.25">
      <c r="C8" s="34"/>
      <c r="D8" s="34"/>
      <c r="E8" s="33"/>
      <c r="F8" s="34"/>
      <c r="G8" s="74"/>
      <c r="H8" s="33"/>
    </row>
    <row r="9" spans="1:9" ht="39" thickBot="1" x14ac:dyDescent="0.25">
      <c r="A9" s="57" t="s">
        <v>4</v>
      </c>
      <c r="B9" s="57" t="s">
        <v>52</v>
      </c>
      <c r="C9" s="50" t="s">
        <v>5</v>
      </c>
      <c r="D9" s="50" t="s">
        <v>53</v>
      </c>
      <c r="E9" s="50" t="s">
        <v>6</v>
      </c>
      <c r="F9" s="50" t="s">
        <v>7</v>
      </c>
      <c r="G9" s="50" t="s">
        <v>8</v>
      </c>
      <c r="H9" s="50" t="s">
        <v>9</v>
      </c>
      <c r="I9" s="50" t="s">
        <v>10</v>
      </c>
    </row>
    <row r="10" spans="1:9" ht="25.5" customHeight="1" thickBot="1" x14ac:dyDescent="0.25">
      <c r="A10" s="58">
        <v>1</v>
      </c>
      <c r="B10" s="58"/>
      <c r="C10" s="59" t="s">
        <v>109</v>
      </c>
      <c r="D10" s="81">
        <v>234</v>
      </c>
      <c r="E10" s="84" t="s">
        <v>110</v>
      </c>
      <c r="F10" s="60" t="s">
        <v>66</v>
      </c>
      <c r="G10" s="87">
        <v>50</v>
      </c>
      <c r="H10" s="90">
        <v>9200</v>
      </c>
      <c r="I10" s="61">
        <f t="shared" ref="I10:I46" si="0">G10*H10</f>
        <v>460000</v>
      </c>
    </row>
    <row r="11" spans="1:9" ht="37.5" customHeight="1" thickBot="1" x14ac:dyDescent="0.25">
      <c r="A11" s="58">
        <v>2</v>
      </c>
      <c r="B11" s="58"/>
      <c r="C11" s="59" t="s">
        <v>106</v>
      </c>
      <c r="D11" s="81">
        <v>258</v>
      </c>
      <c r="E11" s="84" t="s">
        <v>91</v>
      </c>
      <c r="F11" s="60" t="s">
        <v>93</v>
      </c>
      <c r="G11" s="87">
        <v>3000</v>
      </c>
      <c r="H11" s="90">
        <v>58</v>
      </c>
      <c r="I11" s="61">
        <f t="shared" si="0"/>
        <v>174000</v>
      </c>
    </row>
    <row r="12" spans="1:9" ht="25.5" customHeight="1" thickBot="1" x14ac:dyDescent="0.25">
      <c r="A12" s="58">
        <v>3</v>
      </c>
      <c r="B12" s="58"/>
      <c r="C12" s="59" t="s">
        <v>106</v>
      </c>
      <c r="D12" s="81">
        <v>258</v>
      </c>
      <c r="E12" s="84" t="s">
        <v>92</v>
      </c>
      <c r="F12" s="60" t="s">
        <v>93</v>
      </c>
      <c r="G12" s="87">
        <v>4000</v>
      </c>
      <c r="H12" s="90">
        <v>115</v>
      </c>
      <c r="I12" s="61">
        <f t="shared" si="0"/>
        <v>460000</v>
      </c>
    </row>
    <row r="13" spans="1:9" ht="25.5" customHeight="1" thickBot="1" x14ac:dyDescent="0.25">
      <c r="A13" s="58">
        <v>4</v>
      </c>
      <c r="B13" s="58"/>
      <c r="C13" s="59" t="s">
        <v>109</v>
      </c>
      <c r="D13" s="81">
        <v>259</v>
      </c>
      <c r="E13" s="86" t="s">
        <v>111</v>
      </c>
      <c r="F13" s="60" t="s">
        <v>112</v>
      </c>
      <c r="G13" s="87">
        <v>20</v>
      </c>
      <c r="H13" s="90">
        <v>12480</v>
      </c>
      <c r="I13" s="61">
        <f t="shared" si="0"/>
        <v>249600</v>
      </c>
    </row>
    <row r="14" spans="1:9" ht="25.5" customHeight="1" thickBot="1" x14ac:dyDescent="0.25">
      <c r="A14" s="58">
        <v>5</v>
      </c>
      <c r="B14" s="58"/>
      <c r="C14" s="59" t="s">
        <v>109</v>
      </c>
      <c r="D14" s="76">
        <v>259</v>
      </c>
      <c r="E14" s="77" t="s">
        <v>113</v>
      </c>
      <c r="F14" s="60" t="s">
        <v>112</v>
      </c>
      <c r="G14" s="60">
        <v>25</v>
      </c>
      <c r="H14" s="61">
        <v>15340</v>
      </c>
      <c r="I14" s="61">
        <f t="shared" si="0"/>
        <v>383500</v>
      </c>
    </row>
    <row r="15" spans="1:9" ht="25.5" customHeight="1" thickBot="1" x14ac:dyDescent="0.25">
      <c r="A15" s="58">
        <v>6</v>
      </c>
      <c r="B15" s="58"/>
      <c r="C15" s="59" t="s">
        <v>109</v>
      </c>
      <c r="D15" s="76">
        <v>295</v>
      </c>
      <c r="E15" s="77" t="s">
        <v>114</v>
      </c>
      <c r="F15" s="60" t="s">
        <v>93</v>
      </c>
      <c r="G15" s="60">
        <v>200</v>
      </c>
      <c r="H15" s="61">
        <v>1990</v>
      </c>
      <c r="I15" s="61">
        <f t="shared" si="0"/>
        <v>398000</v>
      </c>
    </row>
    <row r="16" spans="1:9" ht="25.5" customHeight="1" thickBot="1" x14ac:dyDescent="0.25">
      <c r="A16" s="58">
        <v>7</v>
      </c>
      <c r="B16" s="58"/>
      <c r="C16" s="59" t="s">
        <v>109</v>
      </c>
      <c r="D16" s="76">
        <v>251</v>
      </c>
      <c r="E16" s="77" t="s">
        <v>115</v>
      </c>
      <c r="F16" s="60" t="s">
        <v>112</v>
      </c>
      <c r="G16" s="60">
        <v>18</v>
      </c>
      <c r="H16" s="61">
        <v>93000</v>
      </c>
      <c r="I16" s="61">
        <f t="shared" si="0"/>
        <v>1674000</v>
      </c>
    </row>
    <row r="17" spans="1:9" ht="25.5" customHeight="1" thickBot="1" x14ac:dyDescent="0.25">
      <c r="A17" s="58">
        <v>8</v>
      </c>
      <c r="B17" s="58"/>
      <c r="C17" s="59" t="s">
        <v>108</v>
      </c>
      <c r="D17" s="83">
        <v>295</v>
      </c>
      <c r="E17" s="96" t="s">
        <v>103</v>
      </c>
      <c r="F17" s="60" t="s">
        <v>66</v>
      </c>
      <c r="G17" s="89">
        <v>50</v>
      </c>
      <c r="H17" s="92">
        <v>16100</v>
      </c>
      <c r="I17" s="61">
        <f t="shared" si="0"/>
        <v>805000</v>
      </c>
    </row>
    <row r="18" spans="1:9" ht="25.5" customHeight="1" thickBot="1" x14ac:dyDescent="0.25">
      <c r="A18" s="58">
        <v>9</v>
      </c>
      <c r="B18" s="58"/>
      <c r="C18" s="59" t="s">
        <v>106</v>
      </c>
      <c r="D18" s="76">
        <v>295</v>
      </c>
      <c r="E18" s="77" t="s">
        <v>88</v>
      </c>
      <c r="F18" s="60" t="s">
        <v>66</v>
      </c>
      <c r="G18" s="60">
        <v>48</v>
      </c>
      <c r="H18" s="61">
        <v>240</v>
      </c>
      <c r="I18" s="61">
        <f t="shared" si="0"/>
        <v>11520</v>
      </c>
    </row>
    <row r="19" spans="1:9" ht="25.5" customHeight="1" thickBot="1" x14ac:dyDescent="0.25">
      <c r="A19" s="58">
        <v>10</v>
      </c>
      <c r="B19" s="58"/>
      <c r="C19" s="59" t="s">
        <v>106</v>
      </c>
      <c r="D19" s="76">
        <v>295</v>
      </c>
      <c r="E19" s="77" t="s">
        <v>90</v>
      </c>
      <c r="F19" s="60" t="s">
        <v>66</v>
      </c>
      <c r="G19" s="60">
        <v>30</v>
      </c>
      <c r="H19" s="61">
        <v>350</v>
      </c>
      <c r="I19" s="61">
        <f t="shared" si="0"/>
        <v>10500</v>
      </c>
    </row>
    <row r="20" spans="1:9" ht="25.5" customHeight="1" thickBot="1" x14ac:dyDescent="0.25">
      <c r="A20" s="58">
        <v>11</v>
      </c>
      <c r="B20" s="58"/>
      <c r="C20" s="59" t="s">
        <v>106</v>
      </c>
      <c r="D20" s="76">
        <v>295</v>
      </c>
      <c r="E20" s="77" t="s">
        <v>87</v>
      </c>
      <c r="F20" s="60" t="s">
        <v>66</v>
      </c>
      <c r="G20" s="60">
        <v>48</v>
      </c>
      <c r="H20" s="61">
        <v>290</v>
      </c>
      <c r="I20" s="61">
        <f t="shared" si="0"/>
        <v>13920</v>
      </c>
    </row>
    <row r="21" spans="1:9" ht="25.5" customHeight="1" thickBot="1" x14ac:dyDescent="0.25">
      <c r="A21" s="58">
        <v>12</v>
      </c>
      <c r="B21" s="58"/>
      <c r="C21" s="59" t="s">
        <v>109</v>
      </c>
      <c r="D21" s="76">
        <v>259</v>
      </c>
      <c r="E21" s="77" t="s">
        <v>116</v>
      </c>
      <c r="F21" s="60" t="s">
        <v>82</v>
      </c>
      <c r="G21" s="60">
        <v>200</v>
      </c>
      <c r="H21" s="61">
        <v>390</v>
      </c>
      <c r="I21" s="61">
        <f t="shared" si="0"/>
        <v>78000</v>
      </c>
    </row>
    <row r="22" spans="1:9" ht="25.5" customHeight="1" thickBot="1" x14ac:dyDescent="0.25">
      <c r="A22" s="58">
        <v>13</v>
      </c>
      <c r="B22" s="58"/>
      <c r="C22" s="59" t="s">
        <v>109</v>
      </c>
      <c r="D22" s="76">
        <v>259</v>
      </c>
      <c r="E22" s="77" t="s">
        <v>117</v>
      </c>
      <c r="F22" s="60" t="s">
        <v>112</v>
      </c>
      <c r="G22" s="60">
        <v>20</v>
      </c>
      <c r="H22" s="61">
        <v>16200</v>
      </c>
      <c r="I22" s="61">
        <f t="shared" si="0"/>
        <v>324000</v>
      </c>
    </row>
    <row r="23" spans="1:9" ht="25.5" customHeight="1" thickBot="1" x14ac:dyDescent="0.25">
      <c r="A23" s="58">
        <v>14</v>
      </c>
      <c r="B23" s="58"/>
      <c r="C23" s="59" t="s">
        <v>107</v>
      </c>
      <c r="D23" s="82">
        <v>252</v>
      </c>
      <c r="E23" s="97" t="s">
        <v>101</v>
      </c>
      <c r="F23" s="60" t="s">
        <v>102</v>
      </c>
      <c r="G23" s="88">
        <v>200</v>
      </c>
      <c r="H23" s="92">
        <v>630</v>
      </c>
      <c r="I23" s="61">
        <f t="shared" si="0"/>
        <v>126000</v>
      </c>
    </row>
    <row r="24" spans="1:9" ht="25.5" customHeight="1" thickBot="1" x14ac:dyDescent="0.25">
      <c r="A24" s="58">
        <v>15</v>
      </c>
      <c r="B24" s="58"/>
      <c r="C24" s="59" t="s">
        <v>106</v>
      </c>
      <c r="D24" s="76">
        <v>295</v>
      </c>
      <c r="E24" s="77" t="s">
        <v>67</v>
      </c>
      <c r="F24" s="60" t="s">
        <v>66</v>
      </c>
      <c r="G24" s="60">
        <v>10000</v>
      </c>
      <c r="H24" s="61">
        <v>6.1</v>
      </c>
      <c r="I24" s="61">
        <f t="shared" si="0"/>
        <v>61000</v>
      </c>
    </row>
    <row r="25" spans="1:9" ht="25.5" customHeight="1" thickBot="1" x14ac:dyDescent="0.25">
      <c r="A25" s="58">
        <v>16</v>
      </c>
      <c r="B25" s="58"/>
      <c r="C25" s="59" t="s">
        <v>109</v>
      </c>
      <c r="D25" s="76">
        <v>295</v>
      </c>
      <c r="E25" s="77" t="s">
        <v>118</v>
      </c>
      <c r="F25" s="60" t="s">
        <v>112</v>
      </c>
      <c r="G25" s="60">
        <v>30</v>
      </c>
      <c r="H25" s="61">
        <v>10200</v>
      </c>
      <c r="I25" s="61">
        <f t="shared" si="0"/>
        <v>306000</v>
      </c>
    </row>
    <row r="26" spans="1:9" ht="25.5" customHeight="1" thickBot="1" x14ac:dyDescent="0.25">
      <c r="A26" s="58">
        <v>17</v>
      </c>
      <c r="B26" s="58"/>
      <c r="C26" s="59" t="s">
        <v>106</v>
      </c>
      <c r="D26" s="76">
        <v>295</v>
      </c>
      <c r="E26" s="77" t="s">
        <v>84</v>
      </c>
      <c r="F26" s="60" t="s">
        <v>66</v>
      </c>
      <c r="G26" s="60">
        <v>12</v>
      </c>
      <c r="H26" s="61">
        <v>1200</v>
      </c>
      <c r="I26" s="61">
        <f t="shared" si="0"/>
        <v>14400</v>
      </c>
    </row>
    <row r="27" spans="1:9" ht="25.5" customHeight="1" thickBot="1" x14ac:dyDescent="0.25">
      <c r="A27" s="58">
        <v>18</v>
      </c>
      <c r="B27" s="58"/>
      <c r="C27" s="59" t="s">
        <v>106</v>
      </c>
      <c r="D27" s="76">
        <v>254</v>
      </c>
      <c r="E27" s="77" t="s">
        <v>74</v>
      </c>
      <c r="F27" s="60" t="s">
        <v>81</v>
      </c>
      <c r="G27" s="60">
        <v>100</v>
      </c>
      <c r="H27" s="61">
        <v>4222</v>
      </c>
      <c r="I27" s="61">
        <f t="shared" si="0"/>
        <v>422200</v>
      </c>
    </row>
    <row r="28" spans="1:9" ht="25.5" customHeight="1" thickBot="1" x14ac:dyDescent="0.25">
      <c r="A28" s="58">
        <v>19</v>
      </c>
      <c r="B28" s="58"/>
      <c r="C28" s="59" t="s">
        <v>109</v>
      </c>
      <c r="D28" s="76">
        <v>295</v>
      </c>
      <c r="E28" s="77" t="s">
        <v>119</v>
      </c>
      <c r="F28" s="60" t="s">
        <v>66</v>
      </c>
      <c r="G28" s="60">
        <v>30</v>
      </c>
      <c r="H28" s="61">
        <v>23410</v>
      </c>
      <c r="I28" s="61">
        <f t="shared" si="0"/>
        <v>702300</v>
      </c>
    </row>
    <row r="29" spans="1:9" ht="25.5" customHeight="1" thickBot="1" x14ac:dyDescent="0.25">
      <c r="A29" s="58">
        <v>20</v>
      </c>
      <c r="B29" s="58"/>
      <c r="C29" s="59" t="s">
        <v>108</v>
      </c>
      <c r="D29" s="82">
        <v>295</v>
      </c>
      <c r="E29" s="98" t="s">
        <v>104</v>
      </c>
      <c r="F29" s="60" t="s">
        <v>66</v>
      </c>
      <c r="G29" s="88">
        <v>30</v>
      </c>
      <c r="H29" s="93">
        <v>6800</v>
      </c>
      <c r="I29" s="61">
        <f t="shared" si="0"/>
        <v>204000</v>
      </c>
    </row>
    <row r="30" spans="1:9" ht="25.5" customHeight="1" thickBot="1" x14ac:dyDescent="0.25">
      <c r="A30" s="58">
        <v>21</v>
      </c>
      <c r="B30" s="58"/>
      <c r="C30" s="59" t="s">
        <v>106</v>
      </c>
      <c r="D30" s="76">
        <v>295</v>
      </c>
      <c r="E30" s="77" t="s">
        <v>89</v>
      </c>
      <c r="F30" s="60" t="s">
        <v>66</v>
      </c>
      <c r="G30" s="60">
        <v>8</v>
      </c>
      <c r="H30" s="61">
        <v>10000</v>
      </c>
      <c r="I30" s="61">
        <f t="shared" si="0"/>
        <v>80000</v>
      </c>
    </row>
    <row r="31" spans="1:9" ht="25.5" customHeight="1" thickBot="1" x14ac:dyDescent="0.25">
      <c r="A31" s="58">
        <v>22</v>
      </c>
      <c r="B31" s="58"/>
      <c r="C31" s="59" t="s">
        <v>109</v>
      </c>
      <c r="D31" s="76">
        <v>295</v>
      </c>
      <c r="E31" s="77" t="s">
        <v>120</v>
      </c>
      <c r="F31" s="60" t="s">
        <v>66</v>
      </c>
      <c r="G31" s="60">
        <v>300</v>
      </c>
      <c r="H31" s="61">
        <v>1680</v>
      </c>
      <c r="I31" s="61">
        <f t="shared" si="0"/>
        <v>504000</v>
      </c>
    </row>
    <row r="32" spans="1:9" ht="25.5" customHeight="1" thickBot="1" x14ac:dyDescent="0.25">
      <c r="A32" s="58">
        <v>23</v>
      </c>
      <c r="B32" s="58"/>
      <c r="C32" s="59" t="s">
        <v>109</v>
      </c>
      <c r="D32" s="76">
        <v>295</v>
      </c>
      <c r="E32" s="77" t="s">
        <v>121</v>
      </c>
      <c r="F32" s="60" t="s">
        <v>93</v>
      </c>
      <c r="G32" s="60">
        <v>2</v>
      </c>
      <c r="H32" s="61">
        <v>8000</v>
      </c>
      <c r="I32" s="61">
        <f t="shared" si="0"/>
        <v>16000</v>
      </c>
    </row>
    <row r="33" spans="1:9" ht="25.5" customHeight="1" thickBot="1" x14ac:dyDescent="0.25">
      <c r="A33" s="58">
        <v>24</v>
      </c>
      <c r="B33" s="58"/>
      <c r="C33" s="59" t="s">
        <v>109</v>
      </c>
      <c r="D33" s="76">
        <v>295</v>
      </c>
      <c r="E33" s="77" t="s">
        <v>122</v>
      </c>
      <c r="F33" s="60" t="s">
        <v>66</v>
      </c>
      <c r="G33" s="60">
        <v>15</v>
      </c>
      <c r="H33" s="61">
        <v>1700</v>
      </c>
      <c r="I33" s="61">
        <f t="shared" si="0"/>
        <v>25500</v>
      </c>
    </row>
    <row r="34" spans="1:9" ht="25.5" customHeight="1" thickBot="1" x14ac:dyDescent="0.25">
      <c r="A34" s="58">
        <v>25</v>
      </c>
      <c r="B34" s="58"/>
      <c r="C34" s="59" t="s">
        <v>106</v>
      </c>
      <c r="D34" s="76">
        <v>295</v>
      </c>
      <c r="E34" s="77" t="s">
        <v>86</v>
      </c>
      <c r="F34" s="60" t="s">
        <v>66</v>
      </c>
      <c r="G34" s="60">
        <v>288</v>
      </c>
      <c r="H34" s="61">
        <v>390</v>
      </c>
      <c r="I34" s="61">
        <f t="shared" si="0"/>
        <v>112320</v>
      </c>
    </row>
    <row r="35" spans="1:9" ht="25.5" customHeight="1" thickBot="1" x14ac:dyDescent="0.25">
      <c r="A35" s="58">
        <v>26</v>
      </c>
      <c r="B35" s="58"/>
      <c r="C35" s="59" t="s">
        <v>106</v>
      </c>
      <c r="D35" s="76">
        <v>295</v>
      </c>
      <c r="E35" s="77" t="s">
        <v>77</v>
      </c>
      <c r="F35" s="60" t="s">
        <v>66</v>
      </c>
      <c r="G35" s="60">
        <v>10</v>
      </c>
      <c r="H35" s="61">
        <v>29900</v>
      </c>
      <c r="I35" s="61">
        <f t="shared" si="0"/>
        <v>299000</v>
      </c>
    </row>
    <row r="36" spans="1:9" ht="25.5" customHeight="1" thickBot="1" x14ac:dyDescent="0.25">
      <c r="A36" s="58">
        <v>27</v>
      </c>
      <c r="B36" s="58"/>
      <c r="C36" s="59" t="s">
        <v>106</v>
      </c>
      <c r="D36" s="76">
        <v>295</v>
      </c>
      <c r="E36" s="77" t="s">
        <v>83</v>
      </c>
      <c r="F36" s="60" t="s">
        <v>66</v>
      </c>
      <c r="G36" s="60">
        <v>10</v>
      </c>
      <c r="H36" s="61">
        <v>29900</v>
      </c>
      <c r="I36" s="61">
        <f t="shared" si="0"/>
        <v>299000</v>
      </c>
    </row>
    <row r="37" spans="1:9" ht="25.5" customHeight="1" thickBot="1" x14ac:dyDescent="0.25">
      <c r="A37" s="58">
        <v>28</v>
      </c>
      <c r="B37" s="58"/>
      <c r="C37" s="59" t="s">
        <v>106</v>
      </c>
      <c r="D37" s="76">
        <v>295</v>
      </c>
      <c r="E37" s="77" t="s">
        <v>85</v>
      </c>
      <c r="F37" s="60" t="s">
        <v>66</v>
      </c>
      <c r="G37" s="60">
        <v>11</v>
      </c>
      <c r="H37" s="61">
        <v>6300</v>
      </c>
      <c r="I37" s="61">
        <f t="shared" si="0"/>
        <v>69300</v>
      </c>
    </row>
    <row r="38" spans="1:9" ht="25.5" customHeight="1" thickBot="1" x14ac:dyDescent="0.25">
      <c r="A38" s="58">
        <v>29</v>
      </c>
      <c r="B38" s="58"/>
      <c r="C38" s="59" t="s">
        <v>109</v>
      </c>
      <c r="D38" s="76">
        <v>259</v>
      </c>
      <c r="E38" s="77" t="s">
        <v>123</v>
      </c>
      <c r="F38" s="60" t="s">
        <v>124</v>
      </c>
      <c r="G38" s="60">
        <v>150</v>
      </c>
      <c r="H38" s="61">
        <v>1940</v>
      </c>
      <c r="I38" s="61">
        <f t="shared" si="0"/>
        <v>291000</v>
      </c>
    </row>
    <row r="39" spans="1:9" ht="25.5" customHeight="1" thickBot="1" x14ac:dyDescent="0.25">
      <c r="A39" s="58">
        <v>30</v>
      </c>
      <c r="B39" s="58"/>
      <c r="C39" s="59" t="s">
        <v>109</v>
      </c>
      <c r="D39" s="76">
        <v>259</v>
      </c>
      <c r="E39" s="77" t="s">
        <v>125</v>
      </c>
      <c r="F39" s="60" t="s">
        <v>124</v>
      </c>
      <c r="G39" s="60">
        <v>20</v>
      </c>
      <c r="H39" s="61">
        <v>10500</v>
      </c>
      <c r="I39" s="61">
        <f t="shared" si="0"/>
        <v>210000</v>
      </c>
    </row>
    <row r="40" spans="1:9" ht="25.5" customHeight="1" thickBot="1" x14ac:dyDescent="0.25">
      <c r="A40" s="58">
        <v>31</v>
      </c>
      <c r="B40" s="58"/>
      <c r="C40" s="59" t="s">
        <v>109</v>
      </c>
      <c r="D40" s="76">
        <v>221</v>
      </c>
      <c r="E40" s="77" t="s">
        <v>126</v>
      </c>
      <c r="F40" s="60" t="s">
        <v>82</v>
      </c>
      <c r="G40" s="60">
        <v>100</v>
      </c>
      <c r="H40" s="61">
        <v>4900</v>
      </c>
      <c r="I40" s="61">
        <f t="shared" si="0"/>
        <v>490000</v>
      </c>
    </row>
    <row r="41" spans="1:9" ht="25.5" customHeight="1" thickBot="1" x14ac:dyDescent="0.25">
      <c r="A41" s="58">
        <v>32</v>
      </c>
      <c r="B41" s="58"/>
      <c r="C41" s="59" t="s">
        <v>109</v>
      </c>
      <c r="D41" s="76">
        <v>295</v>
      </c>
      <c r="E41" s="77" t="s">
        <v>127</v>
      </c>
      <c r="F41" s="60" t="s">
        <v>128</v>
      </c>
      <c r="G41" s="60">
        <v>100</v>
      </c>
      <c r="H41" s="61">
        <v>5380</v>
      </c>
      <c r="I41" s="61">
        <f t="shared" si="0"/>
        <v>538000</v>
      </c>
    </row>
    <row r="42" spans="1:9" ht="25.5" customHeight="1" thickBot="1" x14ac:dyDescent="0.25">
      <c r="A42" s="58">
        <v>33</v>
      </c>
      <c r="B42" s="58"/>
      <c r="C42" s="59" t="s">
        <v>108</v>
      </c>
      <c r="D42" s="82">
        <v>295</v>
      </c>
      <c r="E42" s="85" t="s">
        <v>105</v>
      </c>
      <c r="F42" s="60" t="s">
        <v>66</v>
      </c>
      <c r="G42" s="88">
        <v>30</v>
      </c>
      <c r="H42" s="91">
        <v>1950</v>
      </c>
      <c r="I42" s="61">
        <f t="shared" si="0"/>
        <v>58500</v>
      </c>
    </row>
    <row r="43" spans="1:9" ht="25.5" customHeight="1" thickBot="1" x14ac:dyDescent="0.25">
      <c r="A43" s="58">
        <v>34</v>
      </c>
      <c r="B43" s="58"/>
      <c r="C43" s="59" t="s">
        <v>109</v>
      </c>
      <c r="D43" s="76">
        <v>221</v>
      </c>
      <c r="E43" s="77" t="s">
        <v>129</v>
      </c>
      <c r="F43" s="60" t="s">
        <v>82</v>
      </c>
      <c r="G43" s="60">
        <v>5</v>
      </c>
      <c r="H43" s="61">
        <v>56850</v>
      </c>
      <c r="I43" s="61">
        <f t="shared" si="0"/>
        <v>284250</v>
      </c>
    </row>
    <row r="44" spans="1:9" ht="53.25" customHeight="1" thickBot="1" x14ac:dyDescent="0.25">
      <c r="A44" s="58">
        <v>35</v>
      </c>
      <c r="B44" s="58"/>
      <c r="C44" s="59" t="s">
        <v>109</v>
      </c>
      <c r="D44" s="76">
        <v>251</v>
      </c>
      <c r="E44" s="77" t="s">
        <v>130</v>
      </c>
      <c r="F44" s="60" t="s">
        <v>112</v>
      </c>
      <c r="G44" s="60">
        <v>20</v>
      </c>
      <c r="H44" s="61">
        <v>17600</v>
      </c>
      <c r="I44" s="61">
        <f t="shared" si="0"/>
        <v>352000</v>
      </c>
    </row>
    <row r="45" spans="1:9" ht="25.5" customHeight="1" thickBot="1" x14ac:dyDescent="0.25">
      <c r="A45" s="58">
        <v>36</v>
      </c>
      <c r="B45" s="58"/>
      <c r="C45" s="59" t="s">
        <v>106</v>
      </c>
      <c r="D45" s="76">
        <v>295</v>
      </c>
      <c r="E45" s="77" t="s">
        <v>75</v>
      </c>
      <c r="F45" s="60" t="s">
        <v>82</v>
      </c>
      <c r="G45" s="60">
        <v>15</v>
      </c>
      <c r="H45" s="61">
        <v>1425</v>
      </c>
      <c r="I45" s="61">
        <f t="shared" si="0"/>
        <v>21375</v>
      </c>
    </row>
    <row r="46" spans="1:9" ht="25.5" customHeight="1" thickBot="1" x14ac:dyDescent="0.25">
      <c r="A46" s="58">
        <v>37</v>
      </c>
      <c r="B46" s="58"/>
      <c r="C46" s="59" t="s">
        <v>106</v>
      </c>
      <c r="D46" s="76">
        <v>295</v>
      </c>
      <c r="E46" s="77" t="s">
        <v>76</v>
      </c>
      <c r="F46" s="60" t="s">
        <v>82</v>
      </c>
      <c r="G46" s="60">
        <v>15</v>
      </c>
      <c r="H46" s="61">
        <v>1650</v>
      </c>
      <c r="I46" s="61">
        <f t="shared" si="0"/>
        <v>24750</v>
      </c>
    </row>
    <row r="48" spans="1:9" ht="13.5" thickBot="1" x14ac:dyDescent="0.25"/>
    <row r="49" spans="3:6" ht="24.6" customHeight="1" x14ac:dyDescent="0.2">
      <c r="C49" s="41" t="s">
        <v>146</v>
      </c>
      <c r="D49" s="39"/>
      <c r="E49" s="39"/>
      <c r="F49" s="48"/>
    </row>
    <row r="50" spans="3:6" ht="23.25" customHeight="1" x14ac:dyDescent="0.2">
      <c r="C50" s="42"/>
      <c r="D50" s="62"/>
      <c r="E50" s="62"/>
      <c r="F50" s="47"/>
    </row>
    <row r="51" spans="3:6" ht="13.5" thickBot="1" x14ac:dyDescent="0.25">
      <c r="C51" s="64" t="s">
        <v>54</v>
      </c>
      <c r="D51" s="113"/>
      <c r="E51" s="113"/>
      <c r="F51" s="114"/>
    </row>
    <row r="52" spans="3:6" x14ac:dyDescent="0.2">
      <c r="C52" s="41"/>
      <c r="D52" s="111"/>
      <c r="E52" s="111"/>
      <c r="F52" s="112"/>
    </row>
    <row r="53" spans="3:6" x14ac:dyDescent="0.2">
      <c r="C53" s="44"/>
      <c r="D53" s="109"/>
      <c r="E53" s="109"/>
      <c r="F53" s="110"/>
    </row>
    <row r="54" spans="3:6" x14ac:dyDescent="0.2">
      <c r="C54" s="43" t="s">
        <v>55</v>
      </c>
      <c r="D54" s="101" t="s">
        <v>78</v>
      </c>
      <c r="E54" s="101"/>
      <c r="F54" s="102"/>
    </row>
    <row r="55" spans="3:6" x14ac:dyDescent="0.2">
      <c r="C55" s="44"/>
      <c r="D55" s="62"/>
      <c r="E55" s="63"/>
      <c r="F55" s="47"/>
    </row>
    <row r="56" spans="3:6" x14ac:dyDescent="0.2">
      <c r="C56" s="43" t="s">
        <v>56</v>
      </c>
      <c r="D56" s="101" t="s">
        <v>64</v>
      </c>
      <c r="E56" s="101"/>
      <c r="F56" s="102"/>
    </row>
    <row r="57" spans="3:6" x14ac:dyDescent="0.2">
      <c r="C57" s="45"/>
      <c r="D57" s="101" t="s">
        <v>65</v>
      </c>
      <c r="E57" s="101"/>
      <c r="F57" s="102"/>
    </row>
    <row r="58" spans="3:6" x14ac:dyDescent="0.2">
      <c r="C58" s="45"/>
      <c r="D58" s="63"/>
      <c r="E58" s="63"/>
      <c r="F58" s="47"/>
    </row>
    <row r="59" spans="3:6" x14ac:dyDescent="0.2">
      <c r="C59" s="43" t="s">
        <v>57</v>
      </c>
      <c r="D59" s="62"/>
      <c r="E59" s="62"/>
      <c r="F59" s="47"/>
    </row>
    <row r="60" spans="3:6" x14ac:dyDescent="0.2">
      <c r="C60" s="42"/>
      <c r="D60" s="103"/>
      <c r="E60" s="103"/>
      <c r="F60" s="104"/>
    </row>
    <row r="61" spans="3:6" x14ac:dyDescent="0.2">
      <c r="C61" s="43" t="s">
        <v>58</v>
      </c>
      <c r="D61" s="103" t="s">
        <v>72</v>
      </c>
      <c r="E61" s="103"/>
      <c r="F61" s="104"/>
    </row>
    <row r="62" spans="3:6" x14ac:dyDescent="0.2">
      <c r="C62" s="42"/>
      <c r="D62" s="103"/>
      <c r="E62" s="103"/>
      <c r="F62" s="104"/>
    </row>
    <row r="63" spans="3:6" x14ac:dyDescent="0.2">
      <c r="C63" s="43" t="s">
        <v>59</v>
      </c>
      <c r="D63" s="62"/>
      <c r="E63" s="62"/>
      <c r="F63" s="47"/>
    </row>
    <row r="64" spans="3:6" x14ac:dyDescent="0.2">
      <c r="C64" s="44"/>
      <c r="D64" s="101"/>
      <c r="E64" s="101"/>
      <c r="F64" s="102"/>
    </row>
    <row r="65" spans="3:6" ht="13.5" thickBot="1" x14ac:dyDescent="0.25">
      <c r="C65" s="46"/>
      <c r="D65" s="40"/>
      <c r="E65" s="40"/>
      <c r="F65" s="49"/>
    </row>
    <row r="67" spans="3:6" ht="13.5" thickBot="1" x14ac:dyDescent="0.25">
      <c r="C67" s="6"/>
      <c r="D67" s="6"/>
      <c r="E67" s="6"/>
      <c r="F67" s="6"/>
    </row>
    <row r="68" spans="3:6" x14ac:dyDescent="0.2">
      <c r="C68" s="41" t="s">
        <v>136</v>
      </c>
      <c r="D68" s="39"/>
      <c r="E68" s="39"/>
      <c r="F68" s="78"/>
    </row>
    <row r="69" spans="3:6" x14ac:dyDescent="0.2">
      <c r="C69" s="42"/>
      <c r="D69" s="6"/>
      <c r="E69" s="6"/>
      <c r="F69" s="79"/>
    </row>
    <row r="70" spans="3:6" x14ac:dyDescent="0.2">
      <c r="C70" s="44" t="s">
        <v>54</v>
      </c>
      <c r="D70" s="6"/>
      <c r="E70" s="6"/>
      <c r="F70" s="79"/>
    </row>
    <row r="71" spans="3:6" x14ac:dyDescent="0.2">
      <c r="C71" s="44"/>
      <c r="D71" s="99" t="s">
        <v>98</v>
      </c>
      <c r="E71" s="99"/>
      <c r="F71" s="100"/>
    </row>
    <row r="72" spans="3:6" x14ac:dyDescent="0.2">
      <c r="C72" s="44"/>
      <c r="D72" s="99"/>
      <c r="E72" s="99"/>
      <c r="F72" s="100"/>
    </row>
    <row r="73" spans="3:6" x14ac:dyDescent="0.2">
      <c r="C73" s="44" t="s">
        <v>94</v>
      </c>
      <c r="D73" s="6"/>
      <c r="E73" s="6"/>
      <c r="F73" s="79"/>
    </row>
    <row r="74" spans="3:6" x14ac:dyDescent="0.2">
      <c r="C74" s="45"/>
      <c r="D74" s="101" t="s">
        <v>99</v>
      </c>
      <c r="E74" s="101"/>
      <c r="F74" s="102"/>
    </row>
    <row r="75" spans="3:6" x14ac:dyDescent="0.2">
      <c r="C75" s="45"/>
      <c r="D75" s="101" t="s">
        <v>96</v>
      </c>
      <c r="E75" s="101"/>
      <c r="F75" s="102"/>
    </row>
    <row r="76" spans="3:6" x14ac:dyDescent="0.2">
      <c r="C76" s="44" t="s">
        <v>57</v>
      </c>
      <c r="D76" s="6"/>
      <c r="E76" s="6"/>
      <c r="F76" s="79"/>
    </row>
    <row r="77" spans="3:6" x14ac:dyDescent="0.2">
      <c r="C77" s="45"/>
      <c r="D77" s="103"/>
      <c r="E77" s="103"/>
      <c r="F77" s="104"/>
    </row>
    <row r="78" spans="3:6" x14ac:dyDescent="0.2">
      <c r="C78" s="44" t="s">
        <v>58</v>
      </c>
      <c r="D78" s="105" t="s">
        <v>97</v>
      </c>
      <c r="E78" s="105"/>
      <c r="F78" s="104"/>
    </row>
    <row r="79" spans="3:6" x14ac:dyDescent="0.2">
      <c r="C79" s="45"/>
      <c r="D79" s="103"/>
      <c r="E79" s="103"/>
      <c r="F79" s="104"/>
    </row>
    <row r="80" spans="3:6" x14ac:dyDescent="0.2">
      <c r="C80" s="44" t="s">
        <v>59</v>
      </c>
      <c r="D80" s="6"/>
      <c r="E80" s="6"/>
      <c r="F80" s="79"/>
    </row>
    <row r="81" spans="3:6" x14ac:dyDescent="0.2">
      <c r="C81" s="44"/>
      <c r="D81" s="101"/>
      <c r="E81" s="101"/>
      <c r="F81" s="102"/>
    </row>
    <row r="82" spans="3:6" ht="13.5" thickBot="1" x14ac:dyDescent="0.25">
      <c r="C82" s="46"/>
      <c r="D82" s="40"/>
      <c r="E82" s="40"/>
      <c r="F82" s="80"/>
    </row>
    <row r="83" spans="3:6" ht="13.5" thickBot="1" x14ac:dyDescent="0.25">
      <c r="C83" s="6"/>
      <c r="D83" s="6"/>
      <c r="E83" s="6"/>
      <c r="F83" s="6"/>
    </row>
    <row r="84" spans="3:6" x14ac:dyDescent="0.2">
      <c r="C84" s="41" t="s">
        <v>137</v>
      </c>
      <c r="D84" s="39"/>
      <c r="E84" s="39"/>
      <c r="F84" s="78"/>
    </row>
    <row r="85" spans="3:6" x14ac:dyDescent="0.2">
      <c r="C85" s="42"/>
      <c r="D85" s="6"/>
      <c r="E85" s="6"/>
      <c r="F85" s="79"/>
    </row>
    <row r="86" spans="3:6" x14ac:dyDescent="0.2">
      <c r="C86" s="44" t="s">
        <v>54</v>
      </c>
      <c r="D86" s="6"/>
      <c r="E86" s="6"/>
      <c r="F86" s="79"/>
    </row>
    <row r="87" spans="3:6" x14ac:dyDescent="0.2">
      <c r="C87" s="44"/>
      <c r="D87" s="99" t="s">
        <v>100</v>
      </c>
      <c r="E87" s="99"/>
      <c r="F87" s="100"/>
    </row>
    <row r="88" spans="3:6" x14ac:dyDescent="0.2">
      <c r="C88" s="44"/>
      <c r="D88" s="99"/>
      <c r="E88" s="99"/>
      <c r="F88" s="100"/>
    </row>
    <row r="89" spans="3:6" x14ac:dyDescent="0.2">
      <c r="C89" s="44" t="s">
        <v>94</v>
      </c>
      <c r="D89" s="6"/>
      <c r="E89" s="6"/>
      <c r="F89" s="79"/>
    </row>
    <row r="90" spans="3:6" x14ac:dyDescent="0.2">
      <c r="C90" s="45"/>
      <c r="D90" s="101" t="s">
        <v>99</v>
      </c>
      <c r="E90" s="101"/>
      <c r="F90" s="102"/>
    </row>
    <row r="91" spans="3:6" x14ac:dyDescent="0.2">
      <c r="C91" s="45"/>
      <c r="D91" s="101" t="s">
        <v>96</v>
      </c>
      <c r="E91" s="101"/>
      <c r="F91" s="102"/>
    </row>
    <row r="92" spans="3:6" x14ac:dyDescent="0.2">
      <c r="C92" s="44" t="s">
        <v>57</v>
      </c>
      <c r="D92" s="6"/>
      <c r="E92" s="6"/>
      <c r="F92" s="79"/>
    </row>
    <row r="93" spans="3:6" x14ac:dyDescent="0.2">
      <c r="C93" s="45"/>
      <c r="D93" s="103"/>
      <c r="E93" s="103"/>
      <c r="F93" s="104"/>
    </row>
    <row r="94" spans="3:6" x14ac:dyDescent="0.2">
      <c r="C94" s="44" t="s">
        <v>58</v>
      </c>
      <c r="D94" s="105" t="s">
        <v>97</v>
      </c>
      <c r="E94" s="105"/>
      <c r="F94" s="104"/>
    </row>
    <row r="95" spans="3:6" x14ac:dyDescent="0.2">
      <c r="C95" s="45"/>
      <c r="D95" s="103"/>
      <c r="E95" s="103"/>
      <c r="F95" s="104"/>
    </row>
    <row r="96" spans="3:6" x14ac:dyDescent="0.2">
      <c r="C96" s="44" t="s">
        <v>59</v>
      </c>
      <c r="D96" s="6"/>
      <c r="E96" s="6"/>
      <c r="F96" s="79"/>
    </row>
    <row r="97" spans="3:6" x14ac:dyDescent="0.2">
      <c r="C97" s="44"/>
      <c r="D97" s="101"/>
      <c r="E97" s="101"/>
      <c r="F97" s="102"/>
    </row>
    <row r="98" spans="3:6" ht="13.5" thickBot="1" x14ac:dyDescent="0.25">
      <c r="C98" s="46"/>
      <c r="D98" s="40"/>
      <c r="E98" s="40"/>
      <c r="F98" s="80"/>
    </row>
    <row r="99" spans="3:6" ht="13.5" thickBot="1" x14ac:dyDescent="0.25"/>
    <row r="100" spans="3:6" x14ac:dyDescent="0.2">
      <c r="C100" s="41" t="s">
        <v>138</v>
      </c>
      <c r="D100" s="39"/>
      <c r="E100" s="39"/>
      <c r="F100" s="78"/>
    </row>
    <row r="101" spans="3:6" x14ac:dyDescent="0.2">
      <c r="C101" s="42"/>
      <c r="D101" s="6"/>
      <c r="E101" s="6"/>
      <c r="F101" s="79"/>
    </row>
    <row r="102" spans="3:6" x14ac:dyDescent="0.2">
      <c r="C102" s="44" t="s">
        <v>54</v>
      </c>
      <c r="D102" s="6"/>
      <c r="E102" s="6"/>
      <c r="F102" s="79"/>
    </row>
    <row r="103" spans="3:6" x14ac:dyDescent="0.2">
      <c r="C103" s="44"/>
      <c r="D103" s="99" t="s">
        <v>145</v>
      </c>
      <c r="E103" s="99"/>
      <c r="F103" s="100"/>
    </row>
    <row r="104" spans="3:6" x14ac:dyDescent="0.2">
      <c r="C104" s="44"/>
      <c r="D104" s="99"/>
      <c r="E104" s="99"/>
      <c r="F104" s="100"/>
    </row>
    <row r="105" spans="3:6" x14ac:dyDescent="0.2">
      <c r="C105" s="44" t="s">
        <v>94</v>
      </c>
      <c r="D105" s="6"/>
      <c r="E105" s="6"/>
      <c r="F105" s="79"/>
    </row>
    <row r="106" spans="3:6" x14ac:dyDescent="0.2">
      <c r="C106" s="45"/>
      <c r="D106" s="101" t="s">
        <v>95</v>
      </c>
      <c r="E106" s="101"/>
      <c r="F106" s="102"/>
    </row>
    <row r="107" spans="3:6" x14ac:dyDescent="0.2">
      <c r="C107" s="45"/>
      <c r="D107" s="101" t="s">
        <v>96</v>
      </c>
      <c r="E107" s="101"/>
      <c r="F107" s="102"/>
    </row>
    <row r="108" spans="3:6" x14ac:dyDescent="0.2">
      <c r="C108" s="44" t="s">
        <v>57</v>
      </c>
      <c r="D108" s="6"/>
      <c r="E108" s="6"/>
      <c r="F108" s="79"/>
    </row>
    <row r="109" spans="3:6" x14ac:dyDescent="0.2">
      <c r="C109" s="45"/>
      <c r="D109" s="103"/>
      <c r="E109" s="103"/>
      <c r="F109" s="104"/>
    </row>
    <row r="110" spans="3:6" x14ac:dyDescent="0.2">
      <c r="C110" s="44" t="s">
        <v>58</v>
      </c>
      <c r="D110" s="105" t="s">
        <v>97</v>
      </c>
      <c r="E110" s="105"/>
      <c r="F110" s="104"/>
    </row>
    <row r="111" spans="3:6" x14ac:dyDescent="0.2">
      <c r="C111" s="45"/>
      <c r="D111" s="103"/>
      <c r="E111" s="103"/>
      <c r="F111" s="104"/>
    </row>
    <row r="112" spans="3:6" x14ac:dyDescent="0.2">
      <c r="C112" s="44" t="s">
        <v>59</v>
      </c>
      <c r="D112" s="6"/>
      <c r="E112" s="6"/>
      <c r="F112" s="79"/>
    </row>
    <row r="113" spans="3:6" x14ac:dyDescent="0.2">
      <c r="C113" s="44"/>
      <c r="D113" s="101"/>
      <c r="E113" s="101"/>
      <c r="F113" s="102"/>
    </row>
    <row r="114" spans="3:6" ht="13.5" thickBot="1" x14ac:dyDescent="0.25">
      <c r="C114" s="46"/>
      <c r="D114" s="40"/>
      <c r="E114" s="40"/>
      <c r="F114" s="80"/>
    </row>
    <row r="115" spans="3:6" x14ac:dyDescent="0.2">
      <c r="C115" s="6"/>
      <c r="D115" s="6"/>
      <c r="E115" s="6"/>
      <c r="F115" s="6"/>
    </row>
  </sheetData>
  <autoFilter ref="A9:I46">
    <sortState ref="A10:I46">
      <sortCondition ref="E9:E46"/>
    </sortState>
  </autoFilter>
  <mergeCells count="38">
    <mergeCell ref="D53:F53"/>
    <mergeCell ref="D52:F52"/>
    <mergeCell ref="D51:F51"/>
    <mergeCell ref="D111:F111"/>
    <mergeCell ref="D113:F113"/>
    <mergeCell ref="D64:F64"/>
    <mergeCell ref="D62:F62"/>
    <mergeCell ref="D61:F61"/>
    <mergeCell ref="D60:F60"/>
    <mergeCell ref="D57:F57"/>
    <mergeCell ref="D56:F56"/>
    <mergeCell ref="D54:F54"/>
    <mergeCell ref="D109:F109"/>
    <mergeCell ref="D110:F110"/>
    <mergeCell ref="D71:F72"/>
    <mergeCell ref="D74:F74"/>
    <mergeCell ref="C2:G2"/>
    <mergeCell ref="A6:B6"/>
    <mergeCell ref="A7:B7"/>
    <mergeCell ref="A4:B4"/>
    <mergeCell ref="C4:E4"/>
    <mergeCell ref="A5:B5"/>
    <mergeCell ref="C5:E5"/>
    <mergeCell ref="D75:F75"/>
    <mergeCell ref="D77:F77"/>
    <mergeCell ref="D78:F78"/>
    <mergeCell ref="D79:F79"/>
    <mergeCell ref="D94:F94"/>
    <mergeCell ref="D81:F81"/>
    <mergeCell ref="D87:F88"/>
    <mergeCell ref="D90:F90"/>
    <mergeCell ref="D91:F91"/>
    <mergeCell ref="D93:F93"/>
    <mergeCell ref="D103:F104"/>
    <mergeCell ref="D106:F106"/>
    <mergeCell ref="D107:F107"/>
    <mergeCell ref="D95:F95"/>
    <mergeCell ref="D97:F97"/>
  </mergeCells>
  <phoneticPr fontId="30" type="noConversion"/>
  <pageMargins left="0.7" right="0.7" top="0.75" bottom="0.75" header="0.51180555555555496" footer="0.51180555555555496"/>
  <pageSetup paperSize="5" scale="8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53"/>
  <sheetViews>
    <sheetView topLeftCell="A14" zoomScale="90" zoomScaleNormal="90" workbookViewId="0">
      <selection activeCell="F33" sqref="F33"/>
    </sheetView>
  </sheetViews>
  <sheetFormatPr baseColWidth="10" defaultColWidth="9.140625" defaultRowHeight="12.75" x14ac:dyDescent="0.2"/>
  <cols>
    <col min="1" max="1" width="6.42578125" style="23" customWidth="1"/>
    <col min="2" max="2" width="17.5703125" style="23" customWidth="1"/>
    <col min="3" max="3" width="14.140625" style="23" customWidth="1"/>
    <col min="4" max="4" width="48.140625" style="23" customWidth="1"/>
    <col min="5" max="5" width="29.140625" style="23" customWidth="1"/>
    <col min="6" max="6" width="12.42578125" style="23" customWidth="1"/>
    <col min="7" max="7" width="15.5703125" style="23" customWidth="1"/>
    <col min="8" max="8" width="14.7109375" style="23" customWidth="1"/>
    <col min="9" max="9" width="19.28515625" style="23" bestFit="1" customWidth="1"/>
    <col min="10" max="10" width="28.7109375" style="1" customWidth="1"/>
    <col min="11" max="1000" width="9.140625" style="1"/>
  </cols>
  <sheetData>
    <row r="1" spans="1:10" ht="18" customHeight="1" thickBot="1" x14ac:dyDescent="0.25">
      <c r="A1" s="119" t="s">
        <v>11</v>
      </c>
      <c r="B1" s="119"/>
      <c r="C1" s="119"/>
      <c r="D1" s="119"/>
      <c r="E1" s="119"/>
      <c r="F1" s="119"/>
      <c r="G1" s="119"/>
      <c r="H1" s="18" t="s">
        <v>12</v>
      </c>
      <c r="I1" s="95" t="s">
        <v>79</v>
      </c>
    </row>
    <row r="2" spans="1:10" ht="18.75" customHeight="1" thickBot="1" x14ac:dyDescent="0.25">
      <c r="A2" s="19"/>
      <c r="B2" s="19"/>
      <c r="C2" s="19"/>
      <c r="D2" s="20"/>
      <c r="E2" s="20"/>
      <c r="F2" s="20"/>
      <c r="G2" s="20"/>
      <c r="H2" s="20"/>
      <c r="I2" s="20"/>
    </row>
    <row r="3" spans="1:10" ht="18.75" customHeight="1" thickBot="1" x14ac:dyDescent="0.25">
      <c r="A3" s="120" t="s">
        <v>45</v>
      </c>
      <c r="B3" s="120"/>
      <c r="C3" s="120"/>
      <c r="D3" s="128" t="s">
        <v>51</v>
      </c>
      <c r="E3" s="129"/>
      <c r="F3" s="129"/>
      <c r="G3" s="129"/>
      <c r="H3" s="129"/>
      <c r="I3" s="130"/>
    </row>
    <row r="4" spans="1:10" ht="18.75" customHeight="1" thickBot="1" x14ac:dyDescent="0.25">
      <c r="A4" s="121" t="s">
        <v>46</v>
      </c>
      <c r="B4" s="121"/>
      <c r="C4" s="121"/>
      <c r="D4" s="128" t="s">
        <v>61</v>
      </c>
      <c r="E4" s="129"/>
      <c r="F4" s="129"/>
      <c r="G4" s="129"/>
      <c r="H4" s="129"/>
      <c r="I4" s="130"/>
    </row>
    <row r="5" spans="1:10" ht="21.75" customHeight="1" thickBot="1" x14ac:dyDescent="0.25">
      <c r="A5" s="121" t="s">
        <v>24</v>
      </c>
      <c r="B5" s="121"/>
      <c r="C5" s="121"/>
      <c r="D5" s="125" t="s">
        <v>68</v>
      </c>
      <c r="E5" s="126"/>
      <c r="F5" s="126"/>
      <c r="G5" s="126"/>
      <c r="H5" s="126"/>
      <c r="I5" s="127"/>
    </row>
    <row r="6" spans="1:10" ht="16.5" customHeight="1" thickBot="1" x14ac:dyDescent="0.25">
      <c r="A6" s="120" t="s">
        <v>47</v>
      </c>
      <c r="B6" s="120"/>
      <c r="C6" s="120"/>
      <c r="D6" s="125" t="s">
        <v>69</v>
      </c>
      <c r="E6" s="126"/>
      <c r="F6" s="126"/>
      <c r="G6" s="126"/>
      <c r="H6" s="126"/>
      <c r="I6" s="127"/>
    </row>
    <row r="7" spans="1:10" ht="16.5" customHeight="1" thickBot="1" x14ac:dyDescent="0.25">
      <c r="A7" s="121" t="s">
        <v>13</v>
      </c>
      <c r="B7" s="121"/>
      <c r="C7" s="121"/>
      <c r="D7" s="122" t="s">
        <v>133</v>
      </c>
      <c r="E7" s="122"/>
      <c r="F7" s="122"/>
      <c r="G7" s="122"/>
      <c r="H7" s="122"/>
      <c r="I7" s="122"/>
    </row>
    <row r="8" spans="1:10" ht="16.5" customHeight="1" thickBot="1" x14ac:dyDescent="0.25">
      <c r="A8" s="123" t="s">
        <v>14</v>
      </c>
      <c r="B8" s="123"/>
      <c r="C8" s="123"/>
      <c r="D8" s="124" t="s">
        <v>135</v>
      </c>
      <c r="E8" s="124"/>
      <c r="F8" s="124"/>
      <c r="G8" s="124"/>
      <c r="H8" s="124"/>
      <c r="I8" s="124"/>
    </row>
    <row r="9" spans="1:10" ht="16.5" thickBot="1" x14ac:dyDescent="0.25">
      <c r="A9" s="21"/>
      <c r="B9" s="21"/>
      <c r="C9" s="21"/>
      <c r="D9" s="22"/>
      <c r="E9" s="22"/>
      <c r="F9" s="22"/>
      <c r="G9" s="22"/>
      <c r="H9" s="22"/>
      <c r="I9" s="22"/>
    </row>
    <row r="10" spans="1:10" ht="18.75" customHeight="1" thickBot="1" x14ac:dyDescent="0.25">
      <c r="A10" s="131" t="s">
        <v>15</v>
      </c>
      <c r="B10" s="132" t="s">
        <v>16</v>
      </c>
      <c r="C10" s="132" t="s">
        <v>17</v>
      </c>
      <c r="D10" s="132"/>
      <c r="E10" s="132"/>
      <c r="F10" s="132" t="s">
        <v>18</v>
      </c>
      <c r="G10" s="132" t="s">
        <v>19</v>
      </c>
      <c r="H10" s="132" t="s">
        <v>20</v>
      </c>
      <c r="I10" s="132" t="s">
        <v>21</v>
      </c>
    </row>
    <row r="11" spans="1:10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</row>
    <row r="12" spans="1:10" ht="47.25" customHeight="1" thickBot="1" x14ac:dyDescent="0.25">
      <c r="A12" s="51">
        <f>'Necesidades Trimestrales'!A10</f>
        <v>1</v>
      </c>
      <c r="B12" s="52">
        <v>0</v>
      </c>
      <c r="C12" s="115" t="str">
        <f>'Necesidades Trimestrales'!E10</f>
        <v>Bobina Baja Densidad 30 X 40 rollo x 200 un. Tipo Mapsa</v>
      </c>
      <c r="D12" s="115"/>
      <c r="E12" s="115"/>
      <c r="F12" s="53" t="s">
        <v>50</v>
      </c>
      <c r="G12" s="53" t="str">
        <f>'Necesidades Trimestrales'!F10</f>
        <v>UNIDAD</v>
      </c>
      <c r="H12" s="54">
        <f>'Necesidades Trimestrales'!H10</f>
        <v>9200</v>
      </c>
      <c r="I12" s="55">
        <f>'Necesidades Trimestrales'!G10</f>
        <v>50</v>
      </c>
      <c r="J12" s="30"/>
    </row>
    <row r="13" spans="1:10" ht="48" customHeight="1" thickBot="1" x14ac:dyDescent="0.25">
      <c r="A13" s="51">
        <f>'Necesidades Trimestrales'!A11</f>
        <v>2</v>
      </c>
      <c r="B13" s="52">
        <v>0</v>
      </c>
      <c r="C13" s="115" t="str">
        <f>'Necesidades Trimestrales'!E11</f>
        <v>BOLSAS DE RESIDUOS PATOLOGICOS; COLOR: SIN VALOR, MEDIDA: 50 X 70 Cm, ESPESOR: 120 Mn, TIPO: FUELLE LATERAL</v>
      </c>
      <c r="D13" s="115"/>
      <c r="E13" s="115"/>
      <c r="F13" s="53" t="s">
        <v>148</v>
      </c>
      <c r="G13" s="53" t="str">
        <f>'Necesidades Trimestrales'!F11</f>
        <v>Unidad</v>
      </c>
      <c r="H13" s="54">
        <f>'Necesidades Trimestrales'!H11</f>
        <v>58</v>
      </c>
      <c r="I13" s="55">
        <f>'Necesidades Trimestrales'!G11</f>
        <v>3000</v>
      </c>
      <c r="J13" s="30"/>
    </row>
    <row r="14" spans="1:10" ht="30" customHeight="1" thickBot="1" x14ac:dyDescent="0.25">
      <c r="A14" s="51">
        <f>'Necesidades Trimestrales'!A12</f>
        <v>3</v>
      </c>
      <c r="B14" s="52">
        <v>0</v>
      </c>
      <c r="C14" s="116" t="str">
        <f>'Necesidades Trimestrales'!E12</f>
        <v>BOLSAS DE RESIDUOS PATOLOGICOS; MEDIDA: 60 X 90 Cm, ESPESOR: 120 Mn, TIPO: FUELLE LATERAL</v>
      </c>
      <c r="D14" s="117"/>
      <c r="E14" s="118"/>
      <c r="F14" s="53" t="s">
        <v>148</v>
      </c>
      <c r="G14" s="53" t="str">
        <f>'Necesidades Trimestrales'!F12</f>
        <v>Unidad</v>
      </c>
      <c r="H14" s="54">
        <f>'Necesidades Trimestrales'!H12</f>
        <v>115</v>
      </c>
      <c r="I14" s="55">
        <f>'Necesidades Trimestrales'!G12</f>
        <v>4000</v>
      </c>
      <c r="J14" s="30"/>
    </row>
    <row r="15" spans="1:10" ht="30" customHeight="1" thickBot="1" x14ac:dyDescent="0.25">
      <c r="A15" s="51">
        <f>'Necesidades Trimestrales'!A13</f>
        <v>4</v>
      </c>
      <c r="B15" s="52">
        <v>0</v>
      </c>
      <c r="C15" s="116" t="str">
        <f>'Necesidades Trimestrales'!E13</f>
        <v>Bolsas Termosellables P/bib 145 X 50 X 330mm Tipo Yellow Pack x 1000</v>
      </c>
      <c r="D15" s="117"/>
      <c r="E15" s="118"/>
      <c r="F15" s="53" t="s">
        <v>50</v>
      </c>
      <c r="G15" s="53" t="str">
        <f>'Necesidades Trimestrales'!F13</f>
        <v>CAJA</v>
      </c>
      <c r="H15" s="54">
        <f>'Necesidades Trimestrales'!H13</f>
        <v>12480</v>
      </c>
      <c r="I15" s="55">
        <f>'Necesidades Trimestrales'!G13</f>
        <v>20</v>
      </c>
      <c r="J15" s="30"/>
    </row>
    <row r="16" spans="1:10" ht="30" customHeight="1" thickBot="1" x14ac:dyDescent="0.25">
      <c r="A16" s="51">
        <f>'Necesidades Trimestrales'!A14</f>
        <v>5</v>
      </c>
      <c r="B16" s="52">
        <v>0</v>
      </c>
      <c r="C16" s="115" t="str">
        <f>'Necesidades Trimestrales'!E14</f>
        <v>Bolsas Termosellables P/bib 250 X 100 X 380mm TipoYellow Pack x 1000</v>
      </c>
      <c r="D16" s="115"/>
      <c r="E16" s="115"/>
      <c r="F16" s="53" t="s">
        <v>50</v>
      </c>
      <c r="G16" s="53" t="str">
        <f>'Necesidades Trimestrales'!F14</f>
        <v>CAJA</v>
      </c>
      <c r="H16" s="54">
        <f>'Necesidades Trimestrales'!H14</f>
        <v>15340</v>
      </c>
      <c r="I16" s="55">
        <f>'Necesidades Trimestrales'!G14</f>
        <v>25</v>
      </c>
      <c r="J16" s="30"/>
    </row>
    <row r="17" spans="1:10" ht="30" customHeight="1" thickBot="1" x14ac:dyDescent="0.25">
      <c r="A17" s="51">
        <f>'Necesidades Trimestrales'!A15</f>
        <v>6</v>
      </c>
      <c r="B17" s="52">
        <v>0</v>
      </c>
      <c r="C17" s="115" t="str">
        <f>'Necesidades Trimestrales'!E15</f>
        <v xml:space="preserve">Camisolin P/Cirugia de tela verde brin indanthren con mangas con puño de algodón </v>
      </c>
      <c r="D17" s="115"/>
      <c r="E17" s="115"/>
      <c r="F17" s="53" t="s">
        <v>50</v>
      </c>
      <c r="G17" s="53" t="str">
        <f>'Necesidades Trimestrales'!F15</f>
        <v>Unidad</v>
      </c>
      <c r="H17" s="54">
        <f>'Necesidades Trimestrales'!H15</f>
        <v>1990</v>
      </c>
      <c r="I17" s="55">
        <f>'Necesidades Trimestrales'!G15</f>
        <v>200</v>
      </c>
      <c r="J17" s="30"/>
    </row>
    <row r="18" spans="1:10" ht="30" customHeight="1" thickBot="1" x14ac:dyDescent="0.25">
      <c r="A18" s="51">
        <f>'Necesidades Trimestrales'!A16</f>
        <v>7</v>
      </c>
      <c r="B18" s="52">
        <v>0</v>
      </c>
      <c r="C18" s="115" t="str">
        <f>'Necesidades Trimestrales'!E16</f>
        <v>Cassettes P/Sterrad NX x 5 unidades Tipo ASP</v>
      </c>
      <c r="D18" s="115"/>
      <c r="E18" s="115"/>
      <c r="F18" s="53" t="s">
        <v>50</v>
      </c>
      <c r="G18" s="53" t="str">
        <f>'Necesidades Trimestrales'!F16</f>
        <v>CAJA</v>
      </c>
      <c r="H18" s="54">
        <f>'Necesidades Trimestrales'!H16</f>
        <v>93000</v>
      </c>
      <c r="I18" s="55">
        <f>'Necesidades Trimestrales'!G16</f>
        <v>18</v>
      </c>
      <c r="J18" s="30"/>
    </row>
    <row r="19" spans="1:10" ht="30" customHeight="1" thickBot="1" x14ac:dyDescent="0.25">
      <c r="A19" s="51">
        <f>'Necesidades Trimestrales'!A17</f>
        <v>8</v>
      </c>
      <c r="B19" s="52">
        <v>0</v>
      </c>
      <c r="C19" s="115" t="str">
        <f>'Necesidades Trimestrales'!E17</f>
        <v>CATETER DOBLE J 4.7 FRENCH x 26 CM TIPO COOK</v>
      </c>
      <c r="D19" s="115"/>
      <c r="E19" s="115"/>
      <c r="F19" s="53" t="s">
        <v>50</v>
      </c>
      <c r="G19" s="53" t="str">
        <f>'Necesidades Trimestrales'!F17</f>
        <v>UNIDAD</v>
      </c>
      <c r="H19" s="54">
        <f>'Necesidades Trimestrales'!H17</f>
        <v>16100</v>
      </c>
      <c r="I19" s="55">
        <f>'Necesidades Trimestrales'!G17</f>
        <v>50</v>
      </c>
      <c r="J19" s="30"/>
    </row>
    <row r="20" spans="1:10" ht="30" customHeight="1" thickBot="1" x14ac:dyDescent="0.25">
      <c r="A20" s="51">
        <f>'Necesidades Trimestrales'!A18</f>
        <v>9</v>
      </c>
      <c r="B20" s="52">
        <v>0</v>
      </c>
      <c r="C20" s="115" t="str">
        <f>'Necesidades Trimestrales'!E18</f>
        <v>CEPILLOS P/LABORATORIO; TIPO: LIMPIEZA DE TUBOS, MATERIAL: CERDA, TAMAÑO: 2,5 Cm</v>
      </c>
      <c r="D20" s="115"/>
      <c r="E20" s="115"/>
      <c r="F20" s="53" t="s">
        <v>50</v>
      </c>
      <c r="G20" s="53" t="str">
        <f>'Necesidades Trimestrales'!F18</f>
        <v>UNIDAD</v>
      </c>
      <c r="H20" s="54">
        <f>'Necesidades Trimestrales'!H18</f>
        <v>240</v>
      </c>
      <c r="I20" s="55">
        <f>'Necesidades Trimestrales'!G18</f>
        <v>48</v>
      </c>
      <c r="J20" s="30"/>
    </row>
    <row r="21" spans="1:10" ht="30" customHeight="1" thickBot="1" x14ac:dyDescent="0.25">
      <c r="A21" s="51">
        <f>'Necesidades Trimestrales'!A19</f>
        <v>10</v>
      </c>
      <c r="B21" s="52">
        <v>0</v>
      </c>
      <c r="C21" s="115" t="str">
        <f>'Necesidades Trimestrales'!E19</f>
        <v>CEPILLOS P/LABORATORIO; TIPO: LIMPIEZA DE TUBOS, MATERIAL: PLASTICO, TAMAÑO: 20 Cm</v>
      </c>
      <c r="D21" s="115"/>
      <c r="E21" s="115"/>
      <c r="F21" s="53" t="s">
        <v>50</v>
      </c>
      <c r="G21" s="53" t="str">
        <f>'Necesidades Trimestrales'!F19</f>
        <v>UNIDAD</v>
      </c>
      <c r="H21" s="54">
        <f>'Necesidades Trimestrales'!H19</f>
        <v>350</v>
      </c>
      <c r="I21" s="55">
        <f>'Necesidades Trimestrales'!G19</f>
        <v>30</v>
      </c>
      <c r="J21" s="30"/>
    </row>
    <row r="22" spans="1:10" ht="30" customHeight="1" thickBot="1" x14ac:dyDescent="0.25">
      <c r="A22" s="51">
        <f>'Necesidades Trimestrales'!A20</f>
        <v>11</v>
      </c>
      <c r="B22" s="52">
        <v>0</v>
      </c>
      <c r="C22" s="115" t="str">
        <f>'Necesidades Trimestrales'!E20</f>
        <v>CEPILLOS P/LABORATORIO; TIPO: P/LIMPIEZA BIBERONES, MATERIAL: CERDA , TAMAÑO: DIAM. 4</v>
      </c>
      <c r="D22" s="115"/>
      <c r="E22" s="115"/>
      <c r="F22" s="53" t="s">
        <v>50</v>
      </c>
      <c r="G22" s="53" t="str">
        <f>'Necesidades Trimestrales'!F20</f>
        <v>UNIDAD</v>
      </c>
      <c r="H22" s="54">
        <f>'Necesidades Trimestrales'!H20</f>
        <v>290</v>
      </c>
      <c r="I22" s="55">
        <f>'Necesidades Trimestrales'!G20</f>
        <v>48</v>
      </c>
      <c r="J22" s="30"/>
    </row>
    <row r="23" spans="1:10" ht="30" customHeight="1" thickBot="1" x14ac:dyDescent="0.25">
      <c r="A23" s="51">
        <f>'Necesidades Trimestrales'!A21</f>
        <v>12</v>
      </c>
      <c r="B23" s="52">
        <v>0</v>
      </c>
      <c r="C23" s="115" t="str">
        <f>'Necesidades Trimestrales'!E21</f>
        <v>Cinta Testigo p/calor humedo  (en rollo) Tipo Kims</v>
      </c>
      <c r="D23" s="115"/>
      <c r="E23" s="115"/>
      <c r="F23" s="53" t="s">
        <v>50</v>
      </c>
      <c r="G23" s="53" t="str">
        <f>'Necesidades Trimestrales'!F21</f>
        <v>ROLLO</v>
      </c>
      <c r="H23" s="54">
        <f>'Necesidades Trimestrales'!H21</f>
        <v>390</v>
      </c>
      <c r="I23" s="55">
        <f>'Necesidades Trimestrales'!G21</f>
        <v>200</v>
      </c>
      <c r="J23" s="30"/>
    </row>
    <row r="24" spans="1:10" ht="30" customHeight="1" thickBot="1" x14ac:dyDescent="0.25">
      <c r="A24" s="51">
        <f>'Necesidades Trimestrales'!A22</f>
        <v>13</v>
      </c>
      <c r="B24" s="52">
        <v>0</v>
      </c>
      <c r="C24" s="115" t="str">
        <f>'Necesidades Trimestrales'!E22</f>
        <v>Cinta Testigo P/Sterrad NX x 6 Rollos x 55 Metros  Tipo ASP</v>
      </c>
      <c r="D24" s="115"/>
      <c r="E24" s="115"/>
      <c r="F24" s="53" t="s">
        <v>50</v>
      </c>
      <c r="G24" s="53" t="str">
        <f>'Necesidades Trimestrales'!F22</f>
        <v>CAJA</v>
      </c>
      <c r="H24" s="54">
        <f>'Necesidades Trimestrales'!H22</f>
        <v>16200</v>
      </c>
      <c r="I24" s="55">
        <f>'Necesidades Trimestrales'!G22</f>
        <v>20</v>
      </c>
      <c r="J24" s="30"/>
    </row>
    <row r="25" spans="1:10" ht="30" customHeight="1" thickBot="1" x14ac:dyDescent="0.25">
      <c r="A25" s="51">
        <f>'Necesidades Trimestrales'!A23</f>
        <v>14</v>
      </c>
      <c r="B25" s="52">
        <v>0</v>
      </c>
      <c r="C25" s="115" t="str">
        <f>'Necesidades Trimestrales'!E23</f>
        <v>CLORHEXIDINA 2% SOLUCION ACUOSA X 250 ML</v>
      </c>
      <c r="D25" s="115"/>
      <c r="E25" s="115"/>
      <c r="F25" s="53" t="s">
        <v>50</v>
      </c>
      <c r="G25" s="53" t="str">
        <f>'Necesidades Trimestrales'!F23</f>
        <v>FRASCO</v>
      </c>
      <c r="H25" s="54">
        <f>'Necesidades Trimestrales'!H23</f>
        <v>630</v>
      </c>
      <c r="I25" s="55">
        <f>'Necesidades Trimestrales'!G23</f>
        <v>200</v>
      </c>
      <c r="J25" s="30"/>
    </row>
    <row r="26" spans="1:10" ht="30" customHeight="1" thickBot="1" x14ac:dyDescent="0.25">
      <c r="A26" s="51">
        <f>'Necesidades Trimestrales'!A24</f>
        <v>15</v>
      </c>
      <c r="B26" s="52">
        <v>0</v>
      </c>
      <c r="C26" s="115" t="str">
        <f>'Necesidades Trimestrales'!E24</f>
        <v>COFIAS PLIZADAS CON AJUSTE ELASTIZADO</v>
      </c>
      <c r="D26" s="115"/>
      <c r="E26" s="115"/>
      <c r="F26" s="53" t="s">
        <v>50</v>
      </c>
      <c r="G26" s="53" t="str">
        <f>'Necesidades Trimestrales'!F24</f>
        <v>UNIDAD</v>
      </c>
      <c r="H26" s="54">
        <f>'Necesidades Trimestrales'!H24</f>
        <v>6.1</v>
      </c>
      <c r="I26" s="55">
        <f>'Necesidades Trimestrales'!G24</f>
        <v>10000</v>
      </c>
      <c r="J26" s="30"/>
    </row>
    <row r="27" spans="1:10" ht="30" customHeight="1" thickBot="1" x14ac:dyDescent="0.25">
      <c r="A27" s="51">
        <f>'Necesidades Trimestrales'!A25</f>
        <v>16</v>
      </c>
      <c r="B27" s="52">
        <v>0</v>
      </c>
      <c r="C27" s="115" t="str">
        <f>'Necesidades Trimestrales'!E25</f>
        <v>Compresa de Gasa Cosida; 40cm x 40cm, Rx y Cola, acondicionada x 5 unidades doble  Pouch  x  50 unidades  Estéril,</v>
      </c>
      <c r="D27" s="115"/>
      <c r="E27" s="115"/>
      <c r="F27" s="53" t="s">
        <v>50</v>
      </c>
      <c r="G27" s="53" t="str">
        <f>'Necesidades Trimestrales'!F25</f>
        <v>CAJA</v>
      </c>
      <c r="H27" s="54">
        <f>'Necesidades Trimestrales'!H25</f>
        <v>10200</v>
      </c>
      <c r="I27" s="55">
        <f>'Necesidades Trimestrales'!G25</f>
        <v>30</v>
      </c>
      <c r="J27" s="30"/>
    </row>
    <row r="28" spans="1:10" ht="30" customHeight="1" thickBot="1" x14ac:dyDescent="0.25">
      <c r="A28" s="51">
        <f>'Necesidades Trimestrales'!A26</f>
        <v>17</v>
      </c>
      <c r="B28" s="52">
        <v>0</v>
      </c>
      <c r="C28" s="116" t="str">
        <f>'Necesidades Trimestrales'!E26</f>
        <v>CONECTORES P/MEDICINA; USO: NEBULIZADOR, CONECTOR: T</v>
      </c>
      <c r="D28" s="117"/>
      <c r="E28" s="118"/>
      <c r="F28" s="53" t="s">
        <v>50</v>
      </c>
      <c r="G28" s="53" t="str">
        <f>'Necesidades Trimestrales'!F26</f>
        <v>UNIDAD</v>
      </c>
      <c r="H28" s="54">
        <f>'Necesidades Trimestrales'!H26</f>
        <v>1200</v>
      </c>
      <c r="I28" s="55">
        <f>'Necesidades Trimestrales'!G26</f>
        <v>12</v>
      </c>
      <c r="J28" s="30"/>
    </row>
    <row r="29" spans="1:10" ht="30" customHeight="1" thickBot="1" x14ac:dyDescent="0.25">
      <c r="A29" s="51">
        <f>'Necesidades Trimestrales'!A27</f>
        <v>18</v>
      </c>
      <c r="B29" s="52">
        <v>0</v>
      </c>
      <c r="C29" s="116" t="str">
        <f>'Necesidades Trimestrales'!E27</f>
        <v>DETERGENTE TRIENZIMATICO  ( LIPASA, AMILASA,PROTEASA ) Concentración: 3 a 5 ml/litro. Libre de fenoles, Atoxico. Bidón por 5 litros. Aprobación PM ANMAT  TIPO DM3 PLUS ADOX</v>
      </c>
      <c r="D29" s="117"/>
      <c r="E29" s="118"/>
      <c r="F29" s="53" t="s">
        <v>50</v>
      </c>
      <c r="G29" s="53" t="str">
        <f>'Necesidades Trimestrales'!F27</f>
        <v>BIDON</v>
      </c>
      <c r="H29" s="54">
        <f>'Necesidades Trimestrales'!H27</f>
        <v>4222</v>
      </c>
      <c r="I29" s="55">
        <f>'Necesidades Trimestrales'!G27</f>
        <v>100</v>
      </c>
      <c r="J29" s="30"/>
    </row>
    <row r="30" spans="1:10" ht="30" customHeight="1" thickBot="1" x14ac:dyDescent="0.25">
      <c r="A30" s="51">
        <f>'Necesidades Trimestrales'!A28</f>
        <v>19</v>
      </c>
      <c r="B30" s="52">
        <v>0</v>
      </c>
      <c r="C30" s="116" t="str">
        <f>'Necesidades Trimestrales'!E28</f>
        <v xml:space="preserve">Envoltorio para esterilización de Tela no tejida 100% a base de Polipropileno SMS. Gramaje 45 gr/m2 x 100 mts de ancho. Bobina x 200 metros </v>
      </c>
      <c r="D30" s="117"/>
      <c r="E30" s="118"/>
      <c r="F30" s="53" t="s">
        <v>50</v>
      </c>
      <c r="G30" s="53" t="str">
        <f>'Necesidades Trimestrales'!F28</f>
        <v>UNIDAD</v>
      </c>
      <c r="H30" s="54">
        <f>'Necesidades Trimestrales'!H28</f>
        <v>23410</v>
      </c>
      <c r="I30" s="55">
        <f>'Necesidades Trimestrales'!G28</f>
        <v>30</v>
      </c>
      <c r="J30" s="30"/>
    </row>
    <row r="31" spans="1:10" ht="30" customHeight="1" thickBot="1" x14ac:dyDescent="0.25">
      <c r="A31" s="51">
        <f>'Necesidades Trimestrales'!A29</f>
        <v>20</v>
      </c>
      <c r="B31" s="52">
        <v>0</v>
      </c>
      <c r="C31" s="116" t="str">
        <f>'Necesidades Trimestrales'!E29</f>
        <v xml:space="preserve">FILTRO P/REMOCION DE LEUCOCITOS </v>
      </c>
      <c r="D31" s="117"/>
      <c r="E31" s="118"/>
      <c r="F31" s="53" t="s">
        <v>50</v>
      </c>
      <c r="G31" s="53" t="str">
        <f>'Necesidades Trimestrales'!F29</f>
        <v>UNIDAD</v>
      </c>
      <c r="H31" s="54">
        <f>'Necesidades Trimestrales'!H29</f>
        <v>6800</v>
      </c>
      <c r="I31" s="55">
        <f>'Necesidades Trimestrales'!G29</f>
        <v>30</v>
      </c>
      <c r="J31" s="30"/>
    </row>
    <row r="32" spans="1:10" ht="30" customHeight="1" thickBot="1" x14ac:dyDescent="0.25">
      <c r="A32" s="51">
        <f>'Necesidades Trimestrales'!A30</f>
        <v>21</v>
      </c>
      <c r="B32" s="52">
        <v>0</v>
      </c>
      <c r="C32" s="116" t="str">
        <f>'Necesidades Trimestrales'!E30</f>
        <v>FRASCOS ASPIRADORES; USO: CIRUGIA GENERAL, PRESENTACION: UNIDAD</v>
      </c>
      <c r="D32" s="117"/>
      <c r="E32" s="118"/>
      <c r="F32" s="53" t="s">
        <v>148</v>
      </c>
      <c r="G32" s="53" t="str">
        <f>'Necesidades Trimestrales'!F30</f>
        <v>UNIDAD</v>
      </c>
      <c r="H32" s="54">
        <f>'Necesidades Trimestrales'!H30</f>
        <v>10000</v>
      </c>
      <c r="I32" s="55">
        <f>'Necesidades Trimestrales'!G30</f>
        <v>8</v>
      </c>
      <c r="J32" s="30"/>
    </row>
    <row r="33" spans="1:10" ht="30" customHeight="1" thickBot="1" x14ac:dyDescent="0.25">
      <c r="A33" s="51">
        <f>'Necesidades Trimestrales'!A31</f>
        <v>22</v>
      </c>
      <c r="B33" s="52">
        <v>0</v>
      </c>
      <c r="C33" s="116" t="str">
        <f>'Necesidades Trimestrales'!E31</f>
        <v>GASA HIDROFILA PIEZA X 1,8 KGS. TIPO HIDROSAN</v>
      </c>
      <c r="D33" s="117"/>
      <c r="E33" s="118"/>
      <c r="F33" s="53" t="s">
        <v>50</v>
      </c>
      <c r="G33" s="53" t="str">
        <f>'Necesidades Trimestrales'!F31</f>
        <v>UNIDAD</v>
      </c>
      <c r="H33" s="54">
        <f>'Necesidades Trimestrales'!H31</f>
        <v>1680</v>
      </c>
      <c r="I33" s="55">
        <f>'Necesidades Trimestrales'!G31</f>
        <v>300</v>
      </c>
      <c r="J33" s="30"/>
    </row>
    <row r="34" spans="1:10" ht="30" customHeight="1" thickBot="1" x14ac:dyDescent="0.25">
      <c r="A34" s="51">
        <f>'Necesidades Trimestrales'!A32</f>
        <v>23</v>
      </c>
      <c r="B34" s="52">
        <v>0</v>
      </c>
      <c r="C34" s="116" t="str">
        <f>'Necesidades Trimestrales'!E32</f>
        <v>LUPAS; POTENCIA: 75 Diop, DIAMETRO: 65 mm, MATERIAL LENTE: VIDRIO, ACCESORIO: C/LUZ, ARMAZON: PLASTICO, ESTRUCTURA: PLASTICO</v>
      </c>
      <c r="D34" s="117"/>
      <c r="E34" s="118"/>
      <c r="F34" s="53" t="s">
        <v>50</v>
      </c>
      <c r="G34" s="53" t="str">
        <f>'Necesidades Trimestrales'!F32</f>
        <v>Unidad</v>
      </c>
      <c r="H34" s="54">
        <f>'Necesidades Trimestrales'!H32</f>
        <v>8000</v>
      </c>
      <c r="I34" s="55">
        <f>'Necesidades Trimestrales'!G32</f>
        <v>2</v>
      </c>
      <c r="J34" s="30"/>
    </row>
    <row r="35" spans="1:10" ht="30" customHeight="1" thickBot="1" x14ac:dyDescent="0.25">
      <c r="A35" s="51">
        <f>'Necesidades Trimestrales'!A33</f>
        <v>24</v>
      </c>
      <c r="B35" s="52">
        <v>0</v>
      </c>
      <c r="C35" s="116" t="str">
        <f>'Necesidades Trimestrales'!E33</f>
        <v>Malla Tubular de 30 cm. Ancho X 25 mts. Largo Tipo Hidrosan</v>
      </c>
      <c r="D35" s="117"/>
      <c r="E35" s="118"/>
      <c r="F35" s="53" t="s">
        <v>50</v>
      </c>
      <c r="G35" s="53" t="str">
        <f>'Necesidades Trimestrales'!F33</f>
        <v>UNIDAD</v>
      </c>
      <c r="H35" s="54">
        <f>'Necesidades Trimestrales'!H33</f>
        <v>1700</v>
      </c>
      <c r="I35" s="55">
        <f>'Necesidades Trimestrales'!G33</f>
        <v>15</v>
      </c>
      <c r="J35" s="30"/>
    </row>
    <row r="36" spans="1:10" ht="30" customHeight="1" thickBot="1" x14ac:dyDescent="0.25">
      <c r="A36" s="51">
        <f>'Necesidades Trimestrales'!A34</f>
        <v>25</v>
      </c>
      <c r="B36" s="52">
        <v>0</v>
      </c>
      <c r="C36" s="116" t="str">
        <f>'Necesidades Trimestrales'!E34</f>
        <v>MAMADERAS; MATERIAL: VIDRIO/BOROSILICATO, TIPO: SIN VALOR, TAPA: SI, VOLUMEN: 75 CM3</v>
      </c>
      <c r="D36" s="117"/>
      <c r="E36" s="118"/>
      <c r="F36" s="53" t="s">
        <v>50</v>
      </c>
      <c r="G36" s="53" t="str">
        <f>'Necesidades Trimestrales'!F34</f>
        <v>UNIDAD</v>
      </c>
      <c r="H36" s="54">
        <f>'Necesidades Trimestrales'!H34</f>
        <v>390</v>
      </c>
      <c r="I36" s="55">
        <f>'Necesidades Trimestrales'!G34</f>
        <v>288</v>
      </c>
      <c r="J36" s="30"/>
    </row>
    <row r="37" spans="1:10" ht="30" customHeight="1" thickBot="1" x14ac:dyDescent="0.25">
      <c r="A37" s="51">
        <f>'Necesidades Trimestrales'!A35</f>
        <v>26</v>
      </c>
      <c r="B37" s="52">
        <v>0</v>
      </c>
      <c r="C37" s="116" t="str">
        <f>'Necesidades Trimestrales'!E35</f>
        <v>MASCARA PERFOMAX TOTAL FACE  TALLE G PARA VNI</v>
      </c>
      <c r="D37" s="117"/>
      <c r="E37" s="118"/>
      <c r="F37" s="53" t="s">
        <v>50</v>
      </c>
      <c r="G37" s="53" t="str">
        <f>'Necesidades Trimestrales'!F35</f>
        <v>UNIDAD</v>
      </c>
      <c r="H37" s="54">
        <f>'Necesidades Trimestrales'!H35</f>
        <v>29900</v>
      </c>
      <c r="I37" s="55">
        <f>'Necesidades Trimestrales'!G35</f>
        <v>10</v>
      </c>
      <c r="J37" s="30"/>
    </row>
    <row r="38" spans="1:10" ht="30" customHeight="1" thickBot="1" x14ac:dyDescent="0.25">
      <c r="A38" s="51">
        <f>'Necesidades Trimestrales'!A36</f>
        <v>27</v>
      </c>
      <c r="B38" s="52">
        <v>0</v>
      </c>
      <c r="C38" s="116" t="str">
        <f>'Necesidades Trimestrales'!E36</f>
        <v>MASCARA PERFOMAX TOTAL FACE  TALLE XG PARA VNI</v>
      </c>
      <c r="D38" s="117"/>
      <c r="E38" s="118"/>
      <c r="F38" s="53" t="s">
        <v>50</v>
      </c>
      <c r="G38" s="53" t="str">
        <f>'Necesidades Trimestrales'!F36</f>
        <v>UNIDAD</v>
      </c>
      <c r="H38" s="54">
        <f>'Necesidades Trimestrales'!H36</f>
        <v>29900</v>
      </c>
      <c r="I38" s="55">
        <f>'Necesidades Trimestrales'!G36</f>
        <v>10</v>
      </c>
      <c r="J38" s="30"/>
    </row>
    <row r="39" spans="1:10" ht="30" customHeight="1" thickBot="1" x14ac:dyDescent="0.25">
      <c r="A39" s="51">
        <f>'Necesidades Trimestrales'!A37</f>
        <v>28</v>
      </c>
      <c r="B39" s="52">
        <v>0</v>
      </c>
      <c r="C39" s="116" t="str">
        <f>'Necesidades Trimestrales'!E37</f>
        <v>MASCARAS; TIPO: CPAP, MATERIAL: PVC ACOLCHADO, USO: ADULTO</v>
      </c>
      <c r="D39" s="117"/>
      <c r="E39" s="118"/>
      <c r="F39" s="53" t="s">
        <v>50</v>
      </c>
      <c r="G39" s="53" t="str">
        <f>'Necesidades Trimestrales'!F37</f>
        <v>UNIDAD</v>
      </c>
      <c r="H39" s="54">
        <f>'Necesidades Trimestrales'!H37</f>
        <v>6300</v>
      </c>
      <c r="I39" s="55">
        <f>'Necesidades Trimestrales'!G37</f>
        <v>11</v>
      </c>
      <c r="J39" s="30"/>
    </row>
    <row r="40" spans="1:10" ht="30" customHeight="1" thickBot="1" x14ac:dyDescent="0.25">
      <c r="A40" s="51">
        <f>'Necesidades Trimestrales'!A38</f>
        <v>29</v>
      </c>
      <c r="B40" s="52">
        <v>0</v>
      </c>
      <c r="C40" s="116" t="str">
        <f>'Necesidades Trimestrales'!E38</f>
        <v>PAPEL GRADO MEDICO 120 CM X 100 MTS</v>
      </c>
      <c r="D40" s="117"/>
      <c r="E40" s="118"/>
      <c r="F40" s="53" t="s">
        <v>50</v>
      </c>
      <c r="G40" s="53" t="str">
        <f>'Necesidades Trimestrales'!F38</f>
        <v>BOBINA</v>
      </c>
      <c r="H40" s="54">
        <f>'Necesidades Trimestrales'!H38</f>
        <v>1940</v>
      </c>
      <c r="I40" s="55">
        <f>'Necesidades Trimestrales'!G38</f>
        <v>150</v>
      </c>
      <c r="J40" s="30"/>
    </row>
    <row r="41" spans="1:10" ht="30" customHeight="1" thickBot="1" x14ac:dyDescent="0.25">
      <c r="A41" s="51">
        <f>'Necesidades Trimestrales'!A39</f>
        <v>30</v>
      </c>
      <c r="B41" s="52">
        <v>0</v>
      </c>
      <c r="C41" s="116" t="str">
        <f>'Necesidades Trimestrales'!E39</f>
        <v>PAPEL GRADO MEDICO CREPADO ROLLO 80 CM X 100 MTS</v>
      </c>
      <c r="D41" s="117"/>
      <c r="E41" s="118"/>
      <c r="F41" s="53" t="s">
        <v>50</v>
      </c>
      <c r="G41" s="53" t="str">
        <f>'Necesidades Trimestrales'!F39</f>
        <v>BOBINA</v>
      </c>
      <c r="H41" s="54">
        <f>'Necesidades Trimestrales'!H39</f>
        <v>10500</v>
      </c>
      <c r="I41" s="55">
        <f>'Necesidades Trimestrales'!G39</f>
        <v>20</v>
      </c>
      <c r="J41" s="30"/>
    </row>
    <row r="42" spans="1:10" ht="30" customHeight="1" thickBot="1" x14ac:dyDescent="0.25">
      <c r="A42" s="51">
        <f>'Necesidades Trimestrales'!A40</f>
        <v>31</v>
      </c>
      <c r="B42" s="52">
        <v>0</v>
      </c>
      <c r="C42" s="116" t="str">
        <f>'Necesidades Trimestrales'!E40</f>
        <v>Rollo de lienzo Ecologico de 80 grs x 50 mt.</v>
      </c>
      <c r="D42" s="117"/>
      <c r="E42" s="118"/>
      <c r="F42" s="53" t="s">
        <v>50</v>
      </c>
      <c r="G42" s="53" t="str">
        <f>'Necesidades Trimestrales'!F40</f>
        <v>ROLLO</v>
      </c>
      <c r="H42" s="54">
        <f>'Necesidades Trimestrales'!H40</f>
        <v>4900</v>
      </c>
      <c r="I42" s="55">
        <f>'Necesidades Trimestrales'!G40</f>
        <v>100</v>
      </c>
      <c r="J42" s="30"/>
    </row>
    <row r="43" spans="1:10" ht="30" customHeight="1" thickBot="1" x14ac:dyDescent="0.25">
      <c r="A43" s="51">
        <f>'Necesidades Trimestrales'!A41</f>
        <v>32</v>
      </c>
      <c r="B43" s="52">
        <v>0</v>
      </c>
      <c r="C43" s="116" t="str">
        <f>'Necesidades Trimestrales'!E41</f>
        <v>Ropa Equipo Cirugia Universal DESCARTABLE 17 Elementos Esteril</v>
      </c>
      <c r="D43" s="117"/>
      <c r="E43" s="118"/>
      <c r="F43" s="53" t="s">
        <v>50</v>
      </c>
      <c r="G43" s="53" t="str">
        <f>'Necesidades Trimestrales'!F41</f>
        <v>PAQUETE</v>
      </c>
      <c r="H43" s="54">
        <f>'Necesidades Trimestrales'!H41</f>
        <v>5380</v>
      </c>
      <c r="I43" s="55">
        <f>'Necesidades Trimestrales'!G41</f>
        <v>100</v>
      </c>
      <c r="J43" s="30"/>
    </row>
    <row r="44" spans="1:10" ht="30" customHeight="1" thickBot="1" x14ac:dyDescent="0.25">
      <c r="A44" s="51">
        <f>'Necesidades Trimestrales'!A42</f>
        <v>33</v>
      </c>
      <c r="B44" s="52">
        <v>0</v>
      </c>
      <c r="C44" s="116" t="str">
        <f>'Necesidades Trimestrales'!E42</f>
        <v>SONDA FOLEY TRIPLE VIA HEMATURICA Nº 20</v>
      </c>
      <c r="D44" s="117"/>
      <c r="E44" s="118"/>
      <c r="F44" s="53" t="s">
        <v>50</v>
      </c>
      <c r="G44" s="53" t="str">
        <f>'Necesidades Trimestrales'!F42</f>
        <v>UNIDAD</v>
      </c>
      <c r="H44" s="54">
        <f>'Necesidades Trimestrales'!H42</f>
        <v>1950</v>
      </c>
      <c r="I44" s="55">
        <f>'Necesidades Trimestrales'!G42</f>
        <v>30</v>
      </c>
      <c r="J44" s="30"/>
    </row>
    <row r="45" spans="1:10" ht="30" customHeight="1" thickBot="1" x14ac:dyDescent="0.25">
      <c r="A45" s="51">
        <f>'Necesidades Trimestrales'!A43</f>
        <v>34</v>
      </c>
      <c r="B45" s="52">
        <v>0</v>
      </c>
      <c r="C45" s="116" t="str">
        <f>'Necesidades Trimestrales'!E43</f>
        <v>Tela verde brin de algodón rollo 50 mtrs largo (doble ancho) x 1,50 mt de ancho. Indantrend 100 % algodón</v>
      </c>
      <c r="D45" s="117"/>
      <c r="E45" s="118"/>
      <c r="F45" s="53" t="s">
        <v>50</v>
      </c>
      <c r="G45" s="53" t="str">
        <f>'Necesidades Trimestrales'!F43</f>
        <v>ROLLO</v>
      </c>
      <c r="H45" s="54">
        <f>'Necesidades Trimestrales'!H43</f>
        <v>56850</v>
      </c>
      <c r="I45" s="55">
        <f>'Necesidades Trimestrales'!G43</f>
        <v>5</v>
      </c>
      <c r="J45" s="30"/>
    </row>
    <row r="46" spans="1:10" ht="30" customHeight="1" thickBot="1" x14ac:dyDescent="0.25">
      <c r="A46" s="51">
        <f>'Necesidades Trimestrales'!A44</f>
        <v>35</v>
      </c>
      <c r="B46" s="52">
        <v>0</v>
      </c>
      <c r="C46" s="116" t="str">
        <f>'Necesidades Trimestrales'!E44</f>
        <v>Test pack de 15 mm (viraje de color-tipo 2 Paquete de un solo uso para efectuar el test de Bowie y Dick. Detecta deficiencias en la penetración de vapor. Viraje final a negro. Presentación: Paquete de 120x 120 x 15 mm. Caja por 20 unidades.</v>
      </c>
      <c r="D46" s="117"/>
      <c r="E46" s="118"/>
      <c r="F46" s="53" t="s">
        <v>50</v>
      </c>
      <c r="G46" s="53" t="str">
        <f>'Necesidades Trimestrales'!F44</f>
        <v>CAJA</v>
      </c>
      <c r="H46" s="54">
        <f>'Necesidades Trimestrales'!H44</f>
        <v>17600</v>
      </c>
      <c r="I46" s="55">
        <f>'Necesidades Trimestrales'!G44</f>
        <v>20</v>
      </c>
      <c r="J46" s="30"/>
    </row>
    <row r="47" spans="1:10" ht="30" customHeight="1" thickBot="1" x14ac:dyDescent="0.25">
      <c r="A47" s="51">
        <f>'Necesidades Trimestrales'!A45</f>
        <v>36</v>
      </c>
      <c r="B47" s="52">
        <v>0</v>
      </c>
      <c r="C47" s="116" t="str">
        <f>'Necesidades Trimestrales'!E45</f>
        <v>TUBULADURA PVC 6X9 X 50 USO MEDICINAL</v>
      </c>
      <c r="D47" s="117"/>
      <c r="E47" s="118"/>
      <c r="F47" s="53" t="s">
        <v>50</v>
      </c>
      <c r="G47" s="53" t="str">
        <f>'Necesidades Trimestrales'!F45</f>
        <v>ROLLO</v>
      </c>
      <c r="H47" s="54">
        <f>'Necesidades Trimestrales'!H45</f>
        <v>1425</v>
      </c>
      <c r="I47" s="55">
        <f>'Necesidades Trimestrales'!G45</f>
        <v>15</v>
      </c>
      <c r="J47" s="30"/>
    </row>
    <row r="48" spans="1:10" ht="30" customHeight="1" thickBot="1" x14ac:dyDescent="0.25">
      <c r="A48" s="51">
        <f>'Necesidades Trimestrales'!A46</f>
        <v>37</v>
      </c>
      <c r="B48" s="52">
        <v>0</v>
      </c>
      <c r="C48" s="116" t="str">
        <f>'Necesidades Trimestrales'!E46</f>
        <v>TUBULADURA PVC 7,9 X 12,70 x 50  USO MEDICINAL</v>
      </c>
      <c r="D48" s="117"/>
      <c r="E48" s="118"/>
      <c r="F48" s="53" t="s">
        <v>50</v>
      </c>
      <c r="G48" s="53" t="str">
        <f>'Necesidades Trimestrales'!F46</f>
        <v>ROLLO</v>
      </c>
      <c r="H48" s="54">
        <f>'Necesidades Trimestrales'!H46</f>
        <v>1650</v>
      </c>
      <c r="I48" s="55">
        <f>'Necesidades Trimestrales'!G46</f>
        <v>15</v>
      </c>
      <c r="J48" s="30"/>
    </row>
    <row r="49" spans="1:10" ht="37.5" customHeight="1" thickBot="1" x14ac:dyDescent="0.25">
      <c r="A49" s="133" t="s">
        <v>131</v>
      </c>
      <c r="B49" s="134"/>
      <c r="C49" s="134"/>
      <c r="D49" s="134"/>
      <c r="E49" s="134"/>
      <c r="F49" s="134"/>
      <c r="G49" s="134"/>
      <c r="H49" s="134"/>
      <c r="I49" s="56">
        <f>SUMPRODUCT(H12:H48*I12:I48)</f>
        <v>10552935</v>
      </c>
      <c r="J49" s="30"/>
    </row>
    <row r="50" spans="1:10" ht="61.5" customHeight="1" x14ac:dyDescent="0.2">
      <c r="B50" s="24"/>
      <c r="C50" s="25"/>
      <c r="D50" s="25"/>
      <c r="E50" s="25"/>
      <c r="F50" s="26"/>
      <c r="H50" s="27"/>
    </row>
    <row r="51" spans="1:10" x14ac:dyDescent="0.2">
      <c r="D51" s="29"/>
      <c r="E51" s="29"/>
      <c r="F51" s="29"/>
    </row>
    <row r="52" spans="1:10" x14ac:dyDescent="0.2">
      <c r="D52" s="29"/>
      <c r="E52" s="29"/>
      <c r="F52" s="29"/>
    </row>
    <row r="53" spans="1:10" x14ac:dyDescent="0.2">
      <c r="D53" s="29"/>
      <c r="E53" s="29"/>
      <c r="F53" s="29"/>
    </row>
  </sheetData>
  <mergeCells count="58">
    <mergeCell ref="C42:E42"/>
    <mergeCell ref="C43:E43"/>
    <mergeCell ref="C44:E44"/>
    <mergeCell ref="C45:E45"/>
    <mergeCell ref="C46:E46"/>
    <mergeCell ref="C29:E29"/>
    <mergeCell ref="C30:E30"/>
    <mergeCell ref="C31:E31"/>
    <mergeCell ref="C32:E32"/>
    <mergeCell ref="A49:H49"/>
    <mergeCell ref="C38:E38"/>
    <mergeCell ref="C39:E39"/>
    <mergeCell ref="C40:E40"/>
    <mergeCell ref="C41:E41"/>
    <mergeCell ref="C33:E33"/>
    <mergeCell ref="C34:E34"/>
    <mergeCell ref="C35:E35"/>
    <mergeCell ref="C36:E36"/>
    <mergeCell ref="C37:E37"/>
    <mergeCell ref="C47:E47"/>
    <mergeCell ref="C48:E48"/>
    <mergeCell ref="I10:I11"/>
    <mergeCell ref="C14:E14"/>
    <mergeCell ref="H10:H11"/>
    <mergeCell ref="B10:B11"/>
    <mergeCell ref="G10:G11"/>
    <mergeCell ref="C12:E12"/>
    <mergeCell ref="C13:E13"/>
    <mergeCell ref="F10:F11"/>
    <mergeCell ref="A10:A11"/>
    <mergeCell ref="C10:E11"/>
    <mergeCell ref="C15:E15"/>
    <mergeCell ref="C16:E16"/>
    <mergeCell ref="C17:E17"/>
    <mergeCell ref="C28:E28"/>
    <mergeCell ref="C18:E18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C24:E24"/>
    <mergeCell ref="C25:E25"/>
    <mergeCell ref="C26:E26"/>
    <mergeCell ref="C27:E27"/>
    <mergeCell ref="C19:E19"/>
    <mergeCell ref="C20:E20"/>
    <mergeCell ref="C21:E21"/>
    <mergeCell ref="C22:E22"/>
    <mergeCell ref="C23:E23"/>
  </mergeCells>
  <printOptions horizontalCentered="1"/>
  <pageMargins left="0.196527777777778" right="0.196527777777778" top="0.98402777777777795" bottom="0.98402777777777795" header="0.51180555555555496" footer="0.51180555555555496"/>
  <pageSetup paperSize="9" scale="57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7" zoomScale="120" zoomScaleNormal="120" workbookViewId="0">
      <selection activeCell="O21" sqref="O21:P21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7109375" customWidth="1"/>
    <col min="7" max="7" width="4.42578125" style="2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135" t="s">
        <v>2</v>
      </c>
      <c r="B1" s="135"/>
      <c r="C1" s="135"/>
      <c r="D1" s="136">
        <v>2021</v>
      </c>
      <c r="E1" s="136"/>
      <c r="F1" s="3"/>
      <c r="G1" s="3"/>
      <c r="H1" s="4"/>
      <c r="I1" s="4"/>
      <c r="J1" s="4"/>
      <c r="K1" s="4"/>
      <c r="L1" s="4"/>
      <c r="M1" s="4"/>
      <c r="N1" s="4"/>
      <c r="P1" s="137" t="s">
        <v>22</v>
      </c>
      <c r="Q1" s="137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37"/>
      <c r="Q2" s="137"/>
    </row>
    <row r="4" spans="1:19" s="5" customFormat="1" ht="18" customHeight="1" thickBot="1" x14ac:dyDescent="0.25">
      <c r="A4" s="138" t="s">
        <v>23</v>
      </c>
      <c r="B4" s="138"/>
      <c r="C4" s="138"/>
      <c r="D4" s="138"/>
      <c r="E4" s="138"/>
      <c r="F4" s="138"/>
      <c r="G4" s="139" t="s">
        <v>51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9" s="5" customFormat="1" ht="18" customHeight="1" thickBot="1" x14ac:dyDescent="0.25">
      <c r="A5" s="140" t="s">
        <v>46</v>
      </c>
      <c r="B5" s="141"/>
      <c r="C5" s="141"/>
      <c r="D5" s="141"/>
      <c r="E5" s="141"/>
      <c r="F5" s="142"/>
      <c r="G5" s="143" t="s">
        <v>61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9" s="5" customFormat="1" ht="30.75" customHeight="1" thickBot="1" x14ac:dyDescent="0.25">
      <c r="A6" s="140" t="s">
        <v>24</v>
      </c>
      <c r="B6" s="141"/>
      <c r="C6" s="141"/>
      <c r="D6" s="141"/>
      <c r="E6" s="141"/>
      <c r="F6" s="142"/>
      <c r="G6" s="145" t="s">
        <v>70</v>
      </c>
      <c r="H6" s="146"/>
      <c r="I6" s="146"/>
      <c r="J6" s="146"/>
      <c r="K6" s="146"/>
      <c r="L6" s="146"/>
      <c r="M6" s="146"/>
      <c r="N6" s="146"/>
      <c r="O6" s="146"/>
      <c r="P6" s="146"/>
      <c r="Q6" s="147"/>
    </row>
    <row r="7" spans="1:19" s="5" customFormat="1" ht="18" customHeight="1" thickBot="1" x14ac:dyDescent="0.25">
      <c r="A7" s="140" t="s">
        <v>47</v>
      </c>
      <c r="B7" s="141"/>
      <c r="C7" s="141"/>
      <c r="D7" s="141"/>
      <c r="E7" s="141"/>
      <c r="F7" s="142"/>
      <c r="G7" s="145" t="s">
        <v>71</v>
      </c>
      <c r="H7" s="146"/>
      <c r="I7" s="146"/>
      <c r="J7" s="146"/>
      <c r="K7" s="146"/>
      <c r="L7" s="146"/>
      <c r="M7" s="146"/>
      <c r="N7" s="146"/>
      <c r="O7" s="146"/>
      <c r="P7" s="146"/>
      <c r="Q7" s="147"/>
    </row>
    <row r="8" spans="1:19" ht="18" customHeight="1" thickBot="1" x14ac:dyDescent="0.25">
      <c r="A8" s="144" t="s">
        <v>25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9" ht="18" customHeight="1" x14ac:dyDescent="0.2">
      <c r="A9" s="150" t="s">
        <v>26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7"/>
      <c r="P9" s="7"/>
      <c r="Q9" s="8"/>
    </row>
    <row r="10" spans="1:19" ht="54.75" customHeight="1" x14ac:dyDescent="0.2">
      <c r="A10" s="151" t="s">
        <v>80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9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9" ht="15.75" customHeight="1" thickBot="1" x14ac:dyDescent="0.25">
      <c r="A12" s="152" t="s">
        <v>27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9" ht="15.75" customHeight="1" thickBot="1" x14ac:dyDescent="0.25">
      <c r="A13" s="153" t="s">
        <v>28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4"/>
      <c r="O13" s="155" t="s">
        <v>29</v>
      </c>
      <c r="P13" s="156"/>
      <c r="Q13" s="159" t="s">
        <v>30</v>
      </c>
    </row>
    <row r="14" spans="1:19" ht="15.75" customHeight="1" thickBot="1" x14ac:dyDescent="0.25">
      <c r="A14" s="13" t="s">
        <v>31</v>
      </c>
      <c r="B14" s="14" t="s">
        <v>32</v>
      </c>
      <c r="C14" s="14" t="s">
        <v>33</v>
      </c>
      <c r="D14" s="14" t="s">
        <v>34</v>
      </c>
      <c r="E14" s="14" t="s">
        <v>35</v>
      </c>
      <c r="F14" s="14" t="s">
        <v>36</v>
      </c>
      <c r="G14" s="15" t="s">
        <v>37</v>
      </c>
      <c r="H14" s="14" t="s">
        <v>38</v>
      </c>
      <c r="I14" s="14" t="s">
        <v>39</v>
      </c>
      <c r="J14" s="14" t="s">
        <v>40</v>
      </c>
      <c r="K14" s="14" t="s">
        <v>40</v>
      </c>
      <c r="L14" s="14" t="s">
        <v>41</v>
      </c>
      <c r="M14" s="16" t="s">
        <v>42</v>
      </c>
      <c r="N14" s="69" t="s">
        <v>43</v>
      </c>
      <c r="O14" s="157"/>
      <c r="P14" s="158"/>
      <c r="Q14" s="160"/>
    </row>
    <row r="15" spans="1:19" ht="22.5" customHeight="1" thickBot="1" x14ac:dyDescent="0.25">
      <c r="A15" s="65">
        <v>42</v>
      </c>
      <c r="B15" s="66"/>
      <c r="C15" s="66"/>
      <c r="D15" s="66">
        <v>2</v>
      </c>
      <c r="E15" s="66"/>
      <c r="F15" s="66">
        <v>4901</v>
      </c>
      <c r="G15" s="66">
        <v>3</v>
      </c>
      <c r="H15" s="67">
        <v>1</v>
      </c>
      <c r="I15" s="66">
        <v>2</v>
      </c>
      <c r="J15" s="66">
        <v>2</v>
      </c>
      <c r="K15" s="66">
        <v>1</v>
      </c>
      <c r="L15" s="66"/>
      <c r="M15" s="66">
        <v>1</v>
      </c>
      <c r="N15" s="68" t="s">
        <v>48</v>
      </c>
      <c r="O15" s="148" t="s">
        <v>139</v>
      </c>
      <c r="P15" s="149"/>
      <c r="Q15" s="71">
        <v>774250</v>
      </c>
      <c r="R15" s="31"/>
      <c r="S15" s="17"/>
    </row>
    <row r="16" spans="1:19" ht="22.5" customHeight="1" thickBot="1" x14ac:dyDescent="0.25">
      <c r="A16" s="65">
        <v>42</v>
      </c>
      <c r="B16" s="66"/>
      <c r="C16" s="66"/>
      <c r="D16" s="66">
        <v>2</v>
      </c>
      <c r="E16" s="66"/>
      <c r="F16" s="66">
        <v>4901</v>
      </c>
      <c r="G16" s="66">
        <v>3</v>
      </c>
      <c r="H16" s="67">
        <v>1</v>
      </c>
      <c r="I16" s="66">
        <v>2</v>
      </c>
      <c r="J16" s="66">
        <v>3</v>
      </c>
      <c r="K16" s="66">
        <v>4</v>
      </c>
      <c r="L16" s="66"/>
      <c r="M16" s="66">
        <v>1</v>
      </c>
      <c r="N16" s="68" t="s">
        <v>48</v>
      </c>
      <c r="O16" s="179" t="s">
        <v>140</v>
      </c>
      <c r="P16" s="179"/>
      <c r="Q16" s="94">
        <v>460000</v>
      </c>
      <c r="R16" s="31"/>
      <c r="S16" s="17"/>
    </row>
    <row r="17" spans="1:19" ht="22.5" customHeight="1" thickBot="1" x14ac:dyDescent="0.25">
      <c r="A17" s="65">
        <v>42</v>
      </c>
      <c r="B17" s="66"/>
      <c r="C17" s="66"/>
      <c r="D17" s="66">
        <v>2</v>
      </c>
      <c r="E17" s="66"/>
      <c r="F17" s="66">
        <v>4901</v>
      </c>
      <c r="G17" s="66">
        <v>3</v>
      </c>
      <c r="H17" s="67">
        <v>1</v>
      </c>
      <c r="I17" s="66">
        <v>2</v>
      </c>
      <c r="J17" s="66">
        <v>5</v>
      </c>
      <c r="K17" s="66">
        <v>1</v>
      </c>
      <c r="L17" s="66"/>
      <c r="M17" s="66">
        <v>1</v>
      </c>
      <c r="N17" s="68" t="s">
        <v>48</v>
      </c>
      <c r="O17" s="179" t="s">
        <v>73</v>
      </c>
      <c r="P17" s="179"/>
      <c r="Q17" s="94">
        <v>2026000</v>
      </c>
      <c r="R17" s="31"/>
      <c r="S17" s="17"/>
    </row>
    <row r="18" spans="1:19" ht="22.5" customHeight="1" thickBot="1" x14ac:dyDescent="0.25">
      <c r="A18" s="65">
        <v>42</v>
      </c>
      <c r="B18" s="66"/>
      <c r="C18" s="66"/>
      <c r="D18" s="66">
        <v>2</v>
      </c>
      <c r="E18" s="66"/>
      <c r="F18" s="66">
        <v>4901</v>
      </c>
      <c r="G18" s="66">
        <v>3</v>
      </c>
      <c r="H18" s="67">
        <v>1</v>
      </c>
      <c r="I18" s="66">
        <v>2</v>
      </c>
      <c r="J18" s="66">
        <v>5</v>
      </c>
      <c r="K18" s="66">
        <v>2</v>
      </c>
      <c r="L18" s="66"/>
      <c r="M18" s="66">
        <v>1</v>
      </c>
      <c r="N18" s="68" t="s">
        <v>48</v>
      </c>
      <c r="O18" s="179" t="s">
        <v>141</v>
      </c>
      <c r="P18" s="179"/>
      <c r="Q18" s="94">
        <v>126000</v>
      </c>
      <c r="R18" s="31"/>
      <c r="S18" s="17"/>
    </row>
    <row r="19" spans="1:19" ht="22.5" customHeight="1" thickBot="1" x14ac:dyDescent="0.25">
      <c r="A19" s="65">
        <v>42</v>
      </c>
      <c r="B19" s="66"/>
      <c r="C19" s="66"/>
      <c r="D19" s="66">
        <v>2</v>
      </c>
      <c r="E19" s="66"/>
      <c r="F19" s="66">
        <v>4901</v>
      </c>
      <c r="G19" s="66">
        <v>3</v>
      </c>
      <c r="H19" s="67">
        <v>1</v>
      </c>
      <c r="I19" s="66">
        <v>2</v>
      </c>
      <c r="J19" s="66">
        <v>5</v>
      </c>
      <c r="K19" s="66">
        <v>4</v>
      </c>
      <c r="L19" s="66"/>
      <c r="M19" s="66">
        <v>1</v>
      </c>
      <c r="N19" s="68" t="s">
        <v>48</v>
      </c>
      <c r="O19" s="179" t="s">
        <v>142</v>
      </c>
      <c r="P19" s="179"/>
      <c r="Q19" s="94">
        <v>422200</v>
      </c>
      <c r="R19" s="31"/>
      <c r="S19" s="17"/>
    </row>
    <row r="20" spans="1:19" ht="22.5" customHeight="1" thickBot="1" x14ac:dyDescent="0.25">
      <c r="A20" s="65">
        <v>42</v>
      </c>
      <c r="B20" s="66"/>
      <c r="C20" s="66"/>
      <c r="D20" s="66">
        <v>2</v>
      </c>
      <c r="E20" s="66"/>
      <c r="F20" s="66">
        <v>4901</v>
      </c>
      <c r="G20" s="66">
        <v>3</v>
      </c>
      <c r="H20" s="67">
        <v>1</v>
      </c>
      <c r="I20" s="66">
        <v>2</v>
      </c>
      <c r="J20" s="66">
        <v>5</v>
      </c>
      <c r="K20" s="66">
        <v>8</v>
      </c>
      <c r="L20" s="66"/>
      <c r="M20" s="66">
        <v>1</v>
      </c>
      <c r="N20" s="68" t="s">
        <v>48</v>
      </c>
      <c r="O20" s="177" t="s">
        <v>147</v>
      </c>
      <c r="P20" s="178"/>
      <c r="Q20" s="94">
        <v>634000</v>
      </c>
      <c r="R20" s="31"/>
      <c r="S20" s="17"/>
    </row>
    <row r="21" spans="1:19" ht="22.5" customHeight="1" thickBot="1" x14ac:dyDescent="0.25">
      <c r="A21" s="65">
        <v>42</v>
      </c>
      <c r="B21" s="66"/>
      <c r="C21" s="66"/>
      <c r="D21" s="66">
        <v>2</v>
      </c>
      <c r="E21" s="66"/>
      <c r="F21" s="66">
        <v>4901</v>
      </c>
      <c r="G21" s="66">
        <v>3</v>
      </c>
      <c r="H21" s="67">
        <v>1</v>
      </c>
      <c r="I21" s="66">
        <v>2</v>
      </c>
      <c r="J21" s="66">
        <v>5</v>
      </c>
      <c r="K21" s="66">
        <v>9</v>
      </c>
      <c r="L21" s="66"/>
      <c r="M21" s="66">
        <v>1</v>
      </c>
      <c r="N21" s="68" t="s">
        <v>48</v>
      </c>
      <c r="O21" s="177" t="s">
        <v>143</v>
      </c>
      <c r="P21" s="178"/>
      <c r="Q21" s="94">
        <v>1536100</v>
      </c>
      <c r="R21" s="31"/>
      <c r="S21" s="17"/>
    </row>
    <row r="22" spans="1:19" ht="27.75" customHeight="1" thickBot="1" x14ac:dyDescent="0.25">
      <c r="A22" s="65">
        <v>42</v>
      </c>
      <c r="B22" s="66"/>
      <c r="C22" s="66"/>
      <c r="D22" s="66">
        <v>2</v>
      </c>
      <c r="E22" s="66"/>
      <c r="F22" s="66">
        <v>4901</v>
      </c>
      <c r="G22" s="66">
        <v>3</v>
      </c>
      <c r="H22" s="67">
        <v>1</v>
      </c>
      <c r="I22" s="66">
        <v>2</v>
      </c>
      <c r="J22" s="66">
        <v>9</v>
      </c>
      <c r="K22" s="66">
        <v>5</v>
      </c>
      <c r="L22" s="66"/>
      <c r="M22" s="66">
        <v>1</v>
      </c>
      <c r="N22" s="68" t="s">
        <v>48</v>
      </c>
      <c r="O22" s="171" t="s">
        <v>149</v>
      </c>
      <c r="P22" s="172"/>
      <c r="Q22" s="72">
        <v>4574385</v>
      </c>
      <c r="S22" s="17"/>
    </row>
    <row r="23" spans="1:19" ht="24.75" customHeight="1" thickBot="1" x14ac:dyDescent="0.25">
      <c r="A23" s="173" t="s">
        <v>144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4"/>
      <c r="Q23" s="70">
        <f>SUM(Q15:Q22)</f>
        <v>10552935</v>
      </c>
    </row>
    <row r="24" spans="1:19" ht="18" customHeight="1" thickBot="1" x14ac:dyDescent="0.25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6"/>
    </row>
    <row r="25" spans="1:19" ht="17.25" customHeight="1" x14ac:dyDescent="0.2">
      <c r="A25" s="161" t="s">
        <v>44</v>
      </c>
      <c r="B25" s="162"/>
      <c r="C25" s="162"/>
      <c r="D25" s="162"/>
      <c r="E25" s="162"/>
      <c r="F25" s="162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4"/>
    </row>
    <row r="26" spans="1:19" ht="18" customHeight="1" thickBot="1" x14ac:dyDescent="0.25">
      <c r="A26" s="165" t="s">
        <v>134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7"/>
    </row>
    <row r="27" spans="1:19" ht="15" customHeight="1" thickBot="1" x14ac:dyDescent="0.25">
      <c r="A27" s="168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70"/>
    </row>
  </sheetData>
  <mergeCells count="31">
    <mergeCell ref="O21:P21"/>
    <mergeCell ref="O20:P20"/>
    <mergeCell ref="O16:P16"/>
    <mergeCell ref="O17:P17"/>
    <mergeCell ref="O18:P18"/>
    <mergeCell ref="O19:P19"/>
    <mergeCell ref="A25:F25"/>
    <mergeCell ref="G25:Q25"/>
    <mergeCell ref="A26:Q27"/>
    <mergeCell ref="O22:P22"/>
    <mergeCell ref="A23:P23"/>
    <mergeCell ref="A24:Q24"/>
    <mergeCell ref="O15:P1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honeticPr fontId="30" type="noConversion"/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ARIEL</cp:lastModifiedBy>
  <cp:revision>2</cp:revision>
  <cp:lastPrinted>2021-10-12T11:08:53Z</cp:lastPrinted>
  <dcterms:created xsi:type="dcterms:W3CDTF">2020-07-17T23:44:49Z</dcterms:created>
  <dcterms:modified xsi:type="dcterms:W3CDTF">2021-11-17T14:42:25Z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