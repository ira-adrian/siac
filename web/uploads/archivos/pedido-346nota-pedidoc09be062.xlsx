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A697278-49C1-45EC-8AB1-071EAF646792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PARQUE AUTOMOTOR" sheetId="4" r:id="rId4"/>
  </sheets>
  <definedNames>
    <definedName name="_xlnm.Print_Area" localSheetId="1">' NotaPedido'!$A$1:$K$14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Q22" i="3" l="1"/>
  <c r="A14" i="2"/>
  <c r="A22" i="3" s="1"/>
  <c r="D7" i="2" l="1"/>
  <c r="C12" i="2" l="1"/>
  <c r="A25" i="3" l="1"/>
  <c r="A10" i="3"/>
  <c r="K13" i="2" l="1"/>
  <c r="J13" i="2"/>
  <c r="I13" i="2"/>
  <c r="C13" i="2"/>
  <c r="K12" i="2"/>
  <c r="J12" i="2"/>
  <c r="A13" i="2"/>
  <c r="A12" i="2"/>
  <c r="B13" i="2"/>
  <c r="B12" i="2"/>
  <c r="I12" i="2"/>
  <c r="J14" i="2" l="1"/>
  <c r="G7" i="3" l="1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<sst xmlns="http://schemas.openxmlformats.org/spreadsheetml/2006/main" count="185" uniqueCount="137">
  <si>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</si>
  <si>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</si>
  <si>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</si>
  <si>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</si>
  <si>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</si>
  <si>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</si>
  <si>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</si>
  <si>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</si>
  <si>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</si>
  <si>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</si>
  <si>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</si>
  <si>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</si>
  <si>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</si>
  <si>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</si>
  <si>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</si>
  <si>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</si>
  <si>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</si>
  <si>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</si>
  <si>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</si>
  <si>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</si>
  <si>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</si>
  <si>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</si>
  <si>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</si>
  <si>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</si>
  <si>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</si>
  <si>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</si>
  <si>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</si>
  <si>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</si>
  <si>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</si>
  <si>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</si>
  <si>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</si>
  <si>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</si>
  <si>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</si>
  <si>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</si>
  <si>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</si>
  <si>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</si>
  <si>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</si>
  <si>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</si>
  <si>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</si>
  <si>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</si>
  <si>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</si>
  <si>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</si>
  <si>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</si>
  <si>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</si>
  <si>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</si>
  <si>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</si>
  <si>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</si>
  <si>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</si>
  <si>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</si>
  <si>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</si>
  <si>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</si>
  <si>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</si>
  <si>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</si>
  <si>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</si>
  <si>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</si>
  <si>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</si>
  <si>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r>
      <t>AUTORIZACIÓN</t>
    </r>
    <r>
      <rPr>
        <b/>
        <sz val="10"/>
        <rFont val="Century Gothic"/>
        <family val="2"/>
      </rPr>
      <t>:</t>
    </r>
  </si>
  <si>
    <t xml:space="preserve"> Item N° : 01</t>
  </si>
  <si>
    <t>1.1</t>
  </si>
  <si>
    <t>2.5.6-797.39</t>
  </si>
  <si>
    <t>COMBUSTIBLES Y LUBRICANTES</t>
  </si>
  <si>
    <t>2.5.6</t>
  </si>
  <si>
    <t>NAFTA SUPER; TIPO: SUPER, OCTANO: 95, PRESENTACION: POR LITRO, DESTINO: DPTO. S.F.V. DE CATAMARCA</t>
  </si>
  <si>
    <t>LITRO</t>
  </si>
  <si>
    <t>2.5.6-793.31</t>
  </si>
  <si>
    <t>GAS OIL; PRESENTACION: POR LITRO, USO: MOTORES DIESEL, COMERCIALIZACION: GRADO 3,  DESTINO: DPTO. S.F.V. DE CATAMARCA</t>
  </si>
  <si>
    <t xml:space="preserve">LITROS </t>
  </si>
  <si>
    <t>12 -Ministerio de Trabajo y Recursos Humanos</t>
  </si>
  <si>
    <t>22 - Secretaria de Administracion del Ministerio de Trabajo y Recursos Humanos</t>
  </si>
  <si>
    <r>
      <t xml:space="preserve">a) </t>
    </r>
    <r>
      <rPr>
        <b/>
        <sz val="10"/>
        <rFont val="Century Gothic"/>
        <family val="2"/>
      </rPr>
      <t xml:space="preserve"> FORMA DE LA ENTREGA  ENTREGA </t>
    </r>
    <r>
      <rPr>
        <sz val="10"/>
        <rFont val="Century Gothic"/>
        <family val="2"/>
      </rPr>
      <t xml:space="preserve">en VALES, según pliego, en la Secretaria de Administracion - Pabellón Nº 20 Ministerio de Trabajo y Recursos Humanos (CAPE), sito en Av. Presidente Castillo y Av.  Venezuela - Capital - De 08 a 12 horas. El COMBUSTIBLE en la boca de expendio.
b)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</t>
    </r>
    <r>
      <rPr>
        <b/>
        <sz val="10"/>
        <rFont val="Century Gothic"/>
        <family val="2"/>
      </rPr>
      <t xml:space="preserve">  tres 3 días</t>
    </r>
    <r>
      <rPr>
        <sz val="10"/>
        <rFont val="Century Gothic"/>
        <family val="2"/>
      </rPr>
      <t xml:space="preserve"> hábiles contados a partir de la recepción de la comunicación prevista en el Artículo 80° de del Reglamento Parcial N° 2 de la ley 4938.</t>
    </r>
  </si>
  <si>
    <t>Adquisición de combustible para el parque automotor de este Ministerio.</t>
  </si>
  <si>
    <t>Ministerio de Trabajo y Reursos Humanos</t>
  </si>
  <si>
    <t xml:space="preserve">Secretaria de Administración </t>
  </si>
  <si>
    <t>Código Ítem</t>
  </si>
  <si>
    <t>005/2021</t>
  </si>
  <si>
    <t>COSTO TOTAL ESTIMADO: SON PESOS CUATROCIENTOS TREINTA Y TRES MIL CUATROCIENTOS VEINTIOCHO CON 00/100</t>
  </si>
  <si>
    <r>
      <rPr>
        <b/>
        <sz val="11"/>
        <color theme="1"/>
        <rFont val="Calibri"/>
        <family val="2"/>
        <scheme val="minor"/>
      </rPr>
      <t xml:space="preserve">PARQUE AUTOMOTOR - MINISTERIO DE TRABAJO Y RECURSOS HUMANOS </t>
    </r>
    <r>
      <rPr>
        <sz val="10"/>
        <rFont val="Arial"/>
        <charset val="1"/>
      </rPr>
      <t xml:space="preserve">
</t>
    </r>
    <r>
      <rPr>
        <sz val="10"/>
        <rFont val="Arial"/>
        <charset val="1"/>
      </rPr>
      <t xml:space="preserve">
</t>
    </r>
  </si>
  <si>
    <t>ITEMNº</t>
  </si>
  <si>
    <t>VEHÍCULO</t>
  </si>
  <si>
    <t xml:space="preserve">DOMINIO </t>
  </si>
  <si>
    <t>MARCA</t>
  </si>
  <si>
    <t>MOTOR</t>
  </si>
  <si>
    <t>CHASIS</t>
  </si>
  <si>
    <t xml:space="preserve">G N C </t>
  </si>
  <si>
    <t>MODELO</t>
  </si>
  <si>
    <t xml:space="preserve">CAMIONETA </t>
  </si>
  <si>
    <t>AD770MB</t>
  </si>
  <si>
    <t>TOYOTA HILUX 2.4D  - 4x4</t>
  </si>
  <si>
    <t>2GD-4476742</t>
  </si>
  <si>
    <t>8AJDB8CD1K1400864</t>
  </si>
  <si>
    <t>NO</t>
  </si>
  <si>
    <t>AE215IO</t>
  </si>
  <si>
    <t>TOYOTA HILUX 2.4D  - 4x2</t>
  </si>
  <si>
    <t>2GB-0700815</t>
  </si>
  <si>
    <t>BAJCB3DD0L3900131</t>
  </si>
  <si>
    <t>NIK-381</t>
  </si>
  <si>
    <t>TOYOTA HILUX 3.0 DTI  - 4x2</t>
  </si>
  <si>
    <t>1KD-A302624</t>
  </si>
  <si>
    <t>8AJEZ32G7E1014114</t>
  </si>
  <si>
    <t>MBW-894</t>
  </si>
  <si>
    <t>CHEVROLET S10 2.8 TDI 4x4</t>
  </si>
  <si>
    <t>VLA007432</t>
  </si>
  <si>
    <t>9G148DH0CC402973</t>
  </si>
  <si>
    <t>NIK-372</t>
  </si>
  <si>
    <t>1KD-A276503</t>
  </si>
  <si>
    <t>8AJEB32G9E1013932</t>
  </si>
  <si>
    <t>IIL-806</t>
  </si>
  <si>
    <t xml:space="preserve">CINTROEN BERLINGO 1.9 </t>
  </si>
  <si>
    <t>10DXBE0058968</t>
  </si>
  <si>
    <t>8BCMFWJZFAG502519</t>
  </si>
  <si>
    <t>FEG-624</t>
  </si>
  <si>
    <t>CHEVROLET S10 2.8 TDI 4x2</t>
  </si>
  <si>
    <t>M1T231241</t>
  </si>
  <si>
    <t>9BG138AC05C439524</t>
  </si>
  <si>
    <t>JIY-081</t>
  </si>
  <si>
    <t>M1A373734</t>
  </si>
  <si>
    <t>9BG138AJOBC417207</t>
  </si>
  <si>
    <t>LXO-037</t>
  </si>
  <si>
    <t>FORD RANGER 2.2L 4x4</t>
  </si>
  <si>
    <t>QW2PCJO53112</t>
  </si>
  <si>
    <t>8AFAR23J8CJ053112</t>
  </si>
  <si>
    <t>OBO-158</t>
  </si>
  <si>
    <t>PEUGEOT PARTNER 1.6 HDI</t>
  </si>
  <si>
    <t>10JBED0037046</t>
  </si>
  <si>
    <t>8ADEJ9HCF650B343</t>
  </si>
  <si>
    <t>OFJ-200</t>
  </si>
  <si>
    <t>10JBED0036144</t>
  </si>
  <si>
    <t>8AD6J9HJCF504939</t>
  </si>
  <si>
    <t>FEC-331</t>
  </si>
  <si>
    <t>CHEVROLET BLAZER 2,8 DLX T</t>
  </si>
  <si>
    <t>M1T229703</t>
  </si>
  <si>
    <t>1BG116AC05C38143</t>
  </si>
  <si>
    <t>AUTOMOVIL</t>
  </si>
  <si>
    <t>AB-498-RA</t>
  </si>
  <si>
    <t>TOYOTA ETIOS X 1.5 6M/T</t>
  </si>
  <si>
    <t>2NR4114042</t>
  </si>
  <si>
    <t>9BRB29BTXJ2165115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</si>
</sst>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u/>
      <sz val="10"/>
      <name val="Century Gothic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166" fontId="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49">
    <xf numFmtId="0" fontId="0" fillId="0" borderId="0" xfId="0"/>
    <xf numFmtId="0" fontId="8" fillId="0" borderId="0" xfId="0" applyFont="1"/>
    <xf numFmtId="0" fontId="8" fillId="0" borderId="0" xfId="0" applyFont="1" applyBorder="1"/>
    <xf numFmtId="3" fontId="19" fillId="0" borderId="0" xfId="0" applyNumberFormat="1" applyFont="1" applyBorder="1" applyAlignment="1"/>
    <xf numFmtId="16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2" xfId="0" applyFont="1" applyBorder="1"/>
    <xf numFmtId="0" fontId="8" fillId="0" borderId="26" xfId="0" applyFont="1" applyBorder="1"/>
    <xf numFmtId="0" fontId="8" fillId="0" borderId="14" xfId="0" applyFont="1" applyBorder="1"/>
    <xf numFmtId="0" fontId="8" fillId="0" borderId="14" xfId="0" applyFont="1" applyBorder="1" applyAlignment="1">
      <alignment horizontal="left"/>
    </xf>
    <xf numFmtId="0" fontId="8" fillId="0" borderId="27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7" fontId="13" fillId="0" borderId="35" xfId="0" applyNumberFormat="1" applyFont="1" applyBorder="1" applyAlignment="1">
      <alignment horizontal="center" vertical="center"/>
    </xf>
    <xf numFmtId="0" fontId="12" fillId="3" borderId="12" xfId="0" applyFont="1" applyFill="1" applyBorder="1" applyAlignment="1">
      <alignment horizontal="right"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/>
    <xf numFmtId="0" fontId="12" fillId="3" borderId="14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vertical="top" wrapText="1"/>
    </xf>
    <xf numFmtId="0" fontId="8" fillId="3" borderId="39" xfId="0" applyFont="1" applyFill="1" applyBorder="1" applyAlignment="1">
      <alignment horizontal="center" vertical="center"/>
    </xf>
    <xf numFmtId="3" fontId="8" fillId="3" borderId="39" xfId="0" applyNumberFormat="1" applyFont="1" applyFill="1" applyBorder="1" applyAlignment="1">
      <alignment horizontal="center" vertical="center"/>
    </xf>
    <xf numFmtId="164" fontId="8" fillId="3" borderId="39" xfId="1" applyNumberFormat="1" applyFont="1" applyFill="1" applyBorder="1" applyAlignment="1">
      <alignment horizontal="center" vertical="center"/>
    </xf>
    <xf numFmtId="167" fontId="8" fillId="3" borderId="39" xfId="1" applyNumberFormat="1" applyFont="1" applyFill="1" applyBorder="1" applyAlignment="1" applyProtection="1">
      <alignment horizontal="right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3" fontId="8" fillId="3" borderId="3" xfId="0" applyNumberFormat="1" applyFont="1" applyFill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center" vertical="center"/>
    </xf>
    <xf numFmtId="167" fontId="13" fillId="3" borderId="0" xfId="0" applyNumberFormat="1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0" xfId="0" applyFont="1" applyFill="1" applyBorder="1"/>
    <xf numFmtId="0" fontId="8" fillId="3" borderId="8" xfId="0" applyFont="1" applyFill="1" applyBorder="1"/>
    <xf numFmtId="0" fontId="8" fillId="3" borderId="0" xfId="0" applyFont="1" applyFill="1" applyBorder="1" applyAlignment="1"/>
    <xf numFmtId="168" fontId="8" fillId="3" borderId="0" xfId="0" applyNumberFormat="1" applyFont="1" applyFill="1"/>
    <xf numFmtId="0" fontId="18" fillId="3" borderId="7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wrapText="1"/>
    </xf>
    <xf numFmtId="0" fontId="8" fillId="3" borderId="10" xfId="0" applyFont="1" applyFill="1" applyBorder="1"/>
    <xf numFmtId="0" fontId="8" fillId="3" borderId="11" xfId="0" applyFont="1" applyFill="1" applyBorder="1"/>
    <xf numFmtId="49" fontId="0" fillId="3" borderId="0" xfId="0" applyNumberFormat="1" applyFill="1"/>
    <xf numFmtId="0" fontId="0" fillId="3" borderId="0" xfId="0" applyFill="1"/>
    <xf numFmtId="49" fontId="5" fillId="3" borderId="0" xfId="0" applyNumberFormat="1" applyFont="1" applyFill="1"/>
    <xf numFmtId="0" fontId="8" fillId="3" borderId="0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9" fillId="3" borderId="39" xfId="0" applyFont="1" applyFill="1" applyBorder="1" applyAlignment="1">
      <alignment horizontal="left" vertical="center" wrapText="1"/>
    </xf>
    <xf numFmtId="0" fontId="8" fillId="3" borderId="39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 vertical="center" wrapText="1" indent="1"/>
    </xf>
    <xf numFmtId="0" fontId="22" fillId="0" borderId="0" xfId="0" applyFont="1" applyFill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/>
    </xf>
    <xf numFmtId="17" fontId="10" fillId="3" borderId="13" xfId="0" applyNumberFormat="1" applyFont="1" applyFill="1" applyBorder="1" applyAlignment="1">
      <alignment horizontal="center" vertical="center"/>
    </xf>
    <xf numFmtId="167" fontId="8" fillId="0" borderId="16" xfId="3" applyNumberFormat="1" applyFont="1" applyFill="1" applyBorder="1" applyAlignment="1" applyProtection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164" fontId="13" fillId="3" borderId="39" xfId="0" applyNumberFormat="1" applyFont="1" applyFill="1" applyBorder="1" applyAlignment="1">
      <alignment horizontal="center" vertical="center" wrapText="1"/>
    </xf>
    <xf numFmtId="3" fontId="13" fillId="3" borderId="53" xfId="0" applyNumberFormat="1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 wrapText="1"/>
    </xf>
    <xf numFmtId="164" fontId="13" fillId="3" borderId="55" xfId="0" applyNumberFormat="1" applyFont="1" applyFill="1" applyBorder="1" applyAlignment="1">
      <alignment horizontal="center" vertical="center" wrapText="1"/>
    </xf>
    <xf numFmtId="3" fontId="13" fillId="3" borderId="56" xfId="0" applyNumberFormat="1" applyFont="1" applyFill="1" applyBorder="1" applyAlignment="1">
      <alignment horizontal="center" vertical="center" wrapText="1"/>
    </xf>
    <xf numFmtId="167" fontId="8" fillId="0" borderId="0" xfId="0" applyNumberFormat="1" applyFont="1"/>
    <xf numFmtId="168" fontId="8" fillId="0" borderId="0" xfId="0" applyNumberFormat="1" applyFont="1"/>
    <xf numFmtId="0" fontId="1" fillId="0" borderId="0" xfId="5"/>
    <xf numFmtId="0" fontId="25" fillId="0" borderId="3" xfId="5" applyFont="1" applyBorder="1" applyAlignment="1">
      <alignment horizontal="center" vertical="center"/>
    </xf>
    <xf numFmtId="0" fontId="25" fillId="3" borderId="3" xfId="5" applyFont="1" applyFill="1" applyBorder="1" applyAlignment="1">
      <alignment horizontal="center" vertical="center"/>
    </xf>
    <xf numFmtId="3" fontId="25" fillId="3" borderId="3" xfId="5" applyNumberFormat="1" applyFont="1" applyFill="1" applyBorder="1" applyAlignment="1">
      <alignment horizontal="center" vertical="center"/>
    </xf>
    <xf numFmtId="0" fontId="1" fillId="0" borderId="0" xfId="5" applyAlignment="1">
      <alignment vertical="center"/>
    </xf>
    <xf numFmtId="3" fontId="25" fillId="0" borderId="3" xfId="5" applyNumberFormat="1" applyFont="1" applyBorder="1" applyAlignment="1">
      <alignment horizontal="center" vertical="center"/>
    </xf>
    <xf numFmtId="0" fontId="25" fillId="0" borderId="3" xfId="5" applyFont="1" applyFill="1" applyBorder="1" applyAlignment="1">
      <alignment horizontal="center" vertical="center"/>
    </xf>
    <xf numFmtId="0" fontId="1" fillId="0" borderId="3" xfId="5" applyBorder="1" applyAlignment="1">
      <alignment horizontal="center" vertical="center"/>
    </xf>
    <xf numFmtId="0" fontId="1" fillId="0" borderId="0" xfId="5" applyAlignment="1">
      <alignment horizontal="center" vertical="center"/>
    </xf>
    <xf numFmtId="0" fontId="14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 indent="1"/>
    </xf>
    <xf numFmtId="0" fontId="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wrapText="1"/>
    </xf>
    <xf numFmtId="0" fontId="13" fillId="3" borderId="46" xfId="0" applyFont="1" applyFill="1" applyBorder="1" applyAlignment="1">
      <alignment horizontal="left"/>
    </xf>
    <xf numFmtId="0" fontId="13" fillId="3" borderId="47" xfId="0" applyFont="1" applyFill="1" applyBorder="1" applyAlignment="1">
      <alignment horizontal="left"/>
    </xf>
    <xf numFmtId="0" fontId="13" fillId="3" borderId="48" xfId="0" applyFont="1" applyFill="1" applyBorder="1" applyAlignment="1">
      <alignment horizontal="left"/>
    </xf>
    <xf numFmtId="0" fontId="11" fillId="3" borderId="18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 wrapText="1" indent="1"/>
    </xf>
    <xf numFmtId="0" fontId="13" fillId="3" borderId="18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 indent="1"/>
    </xf>
    <xf numFmtId="0" fontId="11" fillId="3" borderId="17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168" fontId="13" fillId="3" borderId="52" xfId="0" applyNumberFormat="1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left" vertical="center" wrapText="1"/>
    </xf>
    <xf numFmtId="0" fontId="8" fillId="3" borderId="55" xfId="0" applyFont="1" applyFill="1" applyBorder="1" applyAlignment="1">
      <alignment horizontal="left" vertical="center" wrapText="1"/>
    </xf>
    <xf numFmtId="0" fontId="8" fillId="0" borderId="44" xfId="0" applyFont="1" applyFill="1" applyBorder="1" applyAlignment="1">
      <alignment horizontal="left" vertical="center" wrapText="1"/>
    </xf>
    <xf numFmtId="0" fontId="8" fillId="0" borderId="45" xfId="0" applyFont="1" applyFill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0" fontId="8" fillId="0" borderId="43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center"/>
    </xf>
    <xf numFmtId="3" fontId="1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8" fillId="0" borderId="13" xfId="0" applyFont="1" applyBorder="1"/>
    <xf numFmtId="0" fontId="17" fillId="0" borderId="13" xfId="0" applyFont="1" applyBorder="1" applyAlignment="1">
      <alignment horizontal="left" indent="1"/>
    </xf>
    <xf numFmtId="0" fontId="8" fillId="0" borderId="15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17" fillId="0" borderId="24" xfId="0" applyFont="1" applyBorder="1"/>
    <xf numFmtId="0" fontId="17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9" fillId="0" borderId="21" xfId="0" applyFont="1" applyBorder="1" applyAlignment="1">
      <alignment vertical="center" wrapText="1"/>
    </xf>
    <xf numFmtId="0" fontId="19" fillId="0" borderId="36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17" fillId="0" borderId="35" xfId="0" applyFont="1" applyFill="1" applyBorder="1" applyAlignment="1">
      <alignment horizontal="left" vertical="center" wrapText="1" indent="1"/>
    </xf>
    <xf numFmtId="0" fontId="19" fillId="0" borderId="35" xfId="0" applyFont="1" applyBorder="1" applyAlignment="1">
      <alignment horizontal="left" vertical="center" wrapText="1"/>
    </xf>
    <xf numFmtId="0" fontId="8" fillId="0" borderId="23" xfId="0" applyFont="1" applyBorder="1"/>
    <xf numFmtId="0" fontId="1" fillId="4" borderId="3" xfId="5" applyFill="1" applyBorder="1" applyAlignment="1">
      <alignment horizontal="center" vertical="center" wrapTex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4"/>
  <sheetViews>
    <sheetView tabSelected="1" zoomScale="85" zoomScaleNormal="85" workbookViewId="0">
      <selection activeCell="E16" sqref="E16"/>
    </sheetView>
  </sheetViews>
  <sheetFormatPr baseColWidth="10" defaultColWidth="11" defaultRowHeight="13.5" x14ac:dyDescent="0.25"/>
  <cols>
    <col min="1" max="1" width="4.5703125" style="19" customWidth="1"/>
    <col min="2" max="2" width="14.7109375" style="66" customWidth="1"/>
    <col min="3" max="3" width="15.85546875" style="66" customWidth="1"/>
    <col min="4" max="4" width="8.42578125" style="19" customWidth="1"/>
    <col min="5" max="5" width="76.28515625" style="19" customWidth="1"/>
    <col min="6" max="6" width="11" style="19"/>
    <col min="7" max="7" width="10.7109375" style="19" customWidth="1"/>
    <col min="8" max="8" width="13.85546875" style="19" customWidth="1"/>
    <col min="9" max="9" width="18.5703125" style="19" customWidth="1"/>
    <col min="10" max="10" width="11" style="19"/>
    <col min="11" max="11" width="11.7109375" style="19" bestFit="1" customWidth="1"/>
    <col min="12" max="16384" width="11" style="19"/>
  </cols>
  <sheetData>
    <row r="2" spans="1:11" ht="28.5" x14ac:dyDescent="0.4">
      <c r="B2" s="98" t="s">
        <v>0</v>
      </c>
      <c r="C2" s="98"/>
      <c r="D2" s="98"/>
      <c r="E2" s="98"/>
      <c r="F2" s="98"/>
      <c r="G2" s="98"/>
      <c r="H2" s="98"/>
    </row>
    <row r="4" spans="1:11" ht="18" customHeight="1" x14ac:dyDescent="0.25">
      <c r="A4" s="99" t="s">
        <v>1</v>
      </c>
      <c r="B4" s="99"/>
      <c r="C4" s="100" t="s">
        <v>67</v>
      </c>
      <c r="D4" s="100"/>
      <c r="E4" s="100"/>
      <c r="F4" s="24"/>
      <c r="G4" s="25"/>
      <c r="H4" s="24"/>
    </row>
    <row r="5" spans="1:11" ht="27" customHeight="1" x14ac:dyDescent="0.25">
      <c r="A5" s="99" t="s">
        <v>2</v>
      </c>
      <c r="B5" s="99"/>
      <c r="C5" s="100" t="s">
        <v>68</v>
      </c>
      <c r="D5" s="100"/>
      <c r="E5" s="100"/>
      <c r="F5" s="24"/>
      <c r="G5" s="25"/>
      <c r="H5" s="24"/>
    </row>
    <row r="6" spans="1:11" ht="16.5" customHeight="1" x14ac:dyDescent="0.25">
      <c r="A6" s="99" t="s">
        <v>3</v>
      </c>
      <c r="B6" s="99"/>
      <c r="C6" s="74">
        <v>2021</v>
      </c>
      <c r="D6" s="75"/>
      <c r="E6" s="75"/>
      <c r="F6" s="24"/>
      <c r="G6" s="25"/>
      <c r="H6" s="24"/>
    </row>
    <row r="7" spans="1:11" ht="16.5" customHeight="1" x14ac:dyDescent="0.25">
      <c r="A7" s="99" t="s">
        <v>4</v>
      </c>
      <c r="B7" s="99"/>
      <c r="C7" s="74">
        <v>2</v>
      </c>
      <c r="D7" s="75"/>
      <c r="E7" s="75"/>
      <c r="F7" s="24"/>
      <c r="G7" s="25"/>
      <c r="H7" s="24"/>
    </row>
    <row r="8" spans="1:11" ht="14.25" thickBot="1" x14ac:dyDescent="0.3">
      <c r="B8" s="60"/>
      <c r="C8" s="60"/>
      <c r="D8" s="24"/>
      <c r="E8" s="24"/>
      <c r="F8" s="24"/>
      <c r="G8" s="25"/>
      <c r="H8" s="24"/>
    </row>
    <row r="9" spans="1:11" ht="39.75" thickTop="1" thickBot="1" x14ac:dyDescent="0.3">
      <c r="A9" s="26" t="s">
        <v>5</v>
      </c>
      <c r="B9" s="61" t="s">
        <v>6</v>
      </c>
      <c r="C9" s="61" t="s">
        <v>7</v>
      </c>
      <c r="D9" s="26" t="s">
        <v>8</v>
      </c>
      <c r="E9" s="26" t="s">
        <v>9</v>
      </c>
      <c r="F9" s="26" t="s">
        <v>10</v>
      </c>
      <c r="G9" s="27" t="s">
        <v>11</v>
      </c>
      <c r="H9" s="27" t="s">
        <v>12</v>
      </c>
      <c r="I9" s="27" t="s">
        <v>13</v>
      </c>
    </row>
    <row r="10" spans="1:11" ht="28.5" customHeight="1" thickBot="1" x14ac:dyDescent="0.3">
      <c r="A10" s="28">
        <v>1</v>
      </c>
      <c r="B10" s="62" t="s">
        <v>59</v>
      </c>
      <c r="C10" s="63" t="s">
        <v>60</v>
      </c>
      <c r="D10" s="31" t="s">
        <v>61</v>
      </c>
      <c r="E10" s="30" t="s">
        <v>62</v>
      </c>
      <c r="F10" s="29" t="s">
        <v>63</v>
      </c>
      <c r="G10" s="32">
        <v>1500</v>
      </c>
      <c r="H10" s="33">
        <v>81.7</v>
      </c>
      <c r="I10" s="34">
        <v>122550</v>
      </c>
    </row>
    <row r="11" spans="1:11" ht="28.5" customHeight="1" thickBot="1" x14ac:dyDescent="0.3">
      <c r="A11" s="35">
        <v>2</v>
      </c>
      <c r="B11" s="64" t="s">
        <v>64</v>
      </c>
      <c r="C11" s="65" t="s">
        <v>60</v>
      </c>
      <c r="D11" s="36" t="s">
        <v>61</v>
      </c>
      <c r="E11" s="37" t="s">
        <v>65</v>
      </c>
      <c r="F11" s="38" t="s">
        <v>66</v>
      </c>
      <c r="G11" s="39">
        <v>3420</v>
      </c>
      <c r="H11" s="40">
        <v>90.9</v>
      </c>
      <c r="I11" s="34">
        <v>310878</v>
      </c>
    </row>
    <row r="12" spans="1:11" ht="21" customHeight="1" x14ac:dyDescent="0.25">
      <c r="A12" s="103" t="s">
        <v>75</v>
      </c>
      <c r="B12" s="104"/>
      <c r="C12" s="104"/>
      <c r="D12" s="104"/>
      <c r="E12" s="104"/>
      <c r="F12" s="104"/>
      <c r="G12" s="104"/>
      <c r="H12" s="105"/>
      <c r="I12" s="34">
        <v>433428</v>
      </c>
    </row>
    <row r="13" spans="1:11" ht="22.5" customHeight="1" thickBot="1" x14ac:dyDescent="0.3">
      <c r="I13" s="41"/>
    </row>
    <row r="14" spans="1:11" ht="15.75" customHeight="1" x14ac:dyDescent="0.25">
      <c r="B14" s="76" t="s">
        <v>57</v>
      </c>
      <c r="C14" s="67"/>
      <c r="D14" s="42"/>
      <c r="E14" s="42"/>
      <c r="F14" s="42"/>
      <c r="G14" s="42"/>
      <c r="H14" s="42"/>
      <c r="I14" s="43"/>
      <c r="K14" s="47"/>
    </row>
    <row r="15" spans="1:11" ht="16.5" customHeight="1" x14ac:dyDescent="0.25">
      <c r="B15" s="50"/>
      <c r="C15" s="68"/>
      <c r="D15" s="18"/>
      <c r="E15" s="46"/>
      <c r="F15" s="44"/>
      <c r="G15" s="44"/>
      <c r="H15" s="44"/>
      <c r="I15" s="45"/>
    </row>
    <row r="16" spans="1:11" ht="26.25" customHeight="1" x14ac:dyDescent="0.25">
      <c r="B16" s="48" t="s">
        <v>14</v>
      </c>
      <c r="C16" s="22"/>
      <c r="D16" s="44"/>
      <c r="E16" s="49"/>
      <c r="F16" s="44"/>
      <c r="G16" s="44"/>
      <c r="H16" s="44"/>
      <c r="I16" s="45"/>
    </row>
    <row r="17" spans="1:9" ht="113.25" customHeight="1" x14ac:dyDescent="0.25">
      <c r="B17" s="50"/>
      <c r="C17" s="101" t="s">
        <v>69</v>
      </c>
      <c r="D17" s="101"/>
      <c r="E17" s="101"/>
      <c r="F17" s="44"/>
      <c r="G17" s="44"/>
      <c r="H17" s="44"/>
      <c r="I17" s="45"/>
    </row>
    <row r="18" spans="1:9" ht="14.25" customHeight="1" x14ac:dyDescent="0.25">
      <c r="B18" s="51" t="s">
        <v>15</v>
      </c>
      <c r="C18" s="22"/>
      <c r="D18" s="44"/>
      <c r="E18" s="49"/>
      <c r="F18" s="44"/>
      <c r="G18" s="44"/>
      <c r="H18" s="44"/>
      <c r="I18" s="45"/>
    </row>
    <row r="19" spans="1:9" ht="27" customHeight="1" x14ac:dyDescent="0.25">
      <c r="B19" s="50"/>
      <c r="C19" s="101" t="s">
        <v>54</v>
      </c>
      <c r="D19" s="101"/>
      <c r="E19" s="101"/>
      <c r="F19" s="44"/>
      <c r="G19" s="44"/>
      <c r="H19" s="44"/>
      <c r="I19" s="45"/>
    </row>
    <row r="20" spans="1:9" x14ac:dyDescent="0.25">
      <c r="B20" s="51" t="s">
        <v>16</v>
      </c>
      <c r="C20" s="58"/>
      <c r="D20" s="52"/>
      <c r="E20" s="52"/>
      <c r="F20" s="44"/>
      <c r="G20" s="44"/>
      <c r="H20" s="44"/>
      <c r="I20" s="45"/>
    </row>
    <row r="21" spans="1:9" ht="18.75" customHeight="1" x14ac:dyDescent="0.25">
      <c r="B21" s="50"/>
      <c r="C21" s="102" t="s">
        <v>55</v>
      </c>
      <c r="D21" s="102"/>
      <c r="E21" s="102"/>
      <c r="F21" s="44"/>
      <c r="G21" s="44"/>
      <c r="H21" s="44"/>
      <c r="I21" s="45"/>
    </row>
    <row r="22" spans="1:9" x14ac:dyDescent="0.25">
      <c r="B22" s="51" t="s">
        <v>17</v>
      </c>
      <c r="C22" s="22"/>
      <c r="D22" s="44"/>
      <c r="E22" s="44"/>
      <c r="F22" s="44"/>
      <c r="G22" s="44"/>
      <c r="H22" s="44"/>
      <c r="I22" s="45"/>
    </row>
    <row r="23" spans="1:9" ht="14.25" thickBot="1" x14ac:dyDescent="0.3">
      <c r="B23" s="59"/>
      <c r="C23" s="69"/>
      <c r="D23" s="53"/>
      <c r="E23" s="53"/>
      <c r="F23" s="53"/>
      <c r="G23" s="53"/>
      <c r="H23" s="53"/>
      <c r="I23" s="54"/>
    </row>
    <row r="24" spans="1:9" x14ac:dyDescent="0.25">
      <c r="B24" s="22"/>
      <c r="C24" s="22"/>
      <c r="D24" s="44"/>
      <c r="E24" s="44"/>
    </row>
    <row r="25" spans="1:9" x14ac:dyDescent="0.25">
      <c r="B25" s="22"/>
      <c r="C25" s="22"/>
      <c r="D25" s="44"/>
      <c r="E25" s="44"/>
    </row>
    <row r="26" spans="1:9" x14ac:dyDescent="0.25">
      <c r="B26" s="22"/>
      <c r="C26" s="22"/>
      <c r="D26" s="44"/>
      <c r="E26" s="44"/>
    </row>
    <row r="27" spans="1:9" x14ac:dyDescent="0.25">
      <c r="B27" s="22"/>
      <c r="C27" s="22"/>
      <c r="D27" s="44"/>
      <c r="E27" s="44"/>
    </row>
    <row r="28" spans="1:9" x14ac:dyDescent="0.25">
      <c r="B28" s="22"/>
      <c r="C28" s="22"/>
      <c r="D28" s="44"/>
      <c r="E28" s="44"/>
    </row>
    <row r="29" spans="1:9" s="56" customFormat="1" ht="12.75" x14ac:dyDescent="0.2">
      <c r="A29" s="55"/>
      <c r="B29" s="70"/>
      <c r="C29" s="70"/>
      <c r="D29" s="55"/>
    </row>
    <row r="30" spans="1:9" s="56" customFormat="1" ht="12.75" x14ac:dyDescent="0.2">
      <c r="A30" s="55"/>
      <c r="B30" s="70"/>
      <c r="C30" s="70"/>
      <c r="D30" s="55"/>
    </row>
    <row r="31" spans="1:9" s="56" customFormat="1" ht="12.75" x14ac:dyDescent="0.2">
      <c r="A31" s="55"/>
      <c r="B31" s="70"/>
      <c r="C31" s="70"/>
      <c r="D31" s="55"/>
    </row>
    <row r="33" spans="1:4" s="56" customFormat="1" ht="12.75" x14ac:dyDescent="0.2">
      <c r="A33" s="57"/>
      <c r="B33" s="70"/>
      <c r="C33" s="70"/>
      <c r="D33" s="57"/>
    </row>
    <row r="35" spans="1:4" s="56" customFormat="1" ht="12.75" x14ac:dyDescent="0.2">
      <c r="A35" s="57"/>
      <c r="B35" s="70"/>
      <c r="C35" s="70"/>
      <c r="D35" s="57"/>
    </row>
    <row r="36" spans="1:4" s="56" customFormat="1" ht="12.75" x14ac:dyDescent="0.2">
      <c r="A36" s="55"/>
      <c r="B36" s="70"/>
      <c r="C36" s="70"/>
      <c r="D36" s="57"/>
    </row>
    <row r="38" spans="1:4" s="56" customFormat="1" ht="12.75" x14ac:dyDescent="0.2">
      <c r="A38" s="55"/>
      <c r="B38" s="70"/>
      <c r="C38" s="70"/>
      <c r="D38" s="57"/>
    </row>
    <row r="41" spans="1:4" s="56" customFormat="1" ht="12.75" x14ac:dyDescent="0.2">
      <c r="A41" s="55"/>
      <c r="B41" s="70"/>
      <c r="C41" s="70"/>
      <c r="D41" s="57"/>
    </row>
    <row r="43" spans="1:4" s="56" customFormat="1" ht="12.75" x14ac:dyDescent="0.2">
      <c r="A43" s="57"/>
      <c r="B43" s="70"/>
      <c r="C43" s="70"/>
      <c r="D43" s="57"/>
    </row>
    <row r="44" spans="1:4" s="56" customFormat="1" ht="12.75" x14ac:dyDescent="0.2">
      <c r="A44" s="55"/>
      <c r="B44" s="70"/>
      <c r="C44" s="70"/>
      <c r="D44" s="57"/>
    </row>
  </sheetData>
  <mergeCells count="11">
    <mergeCell ref="C17:E17"/>
    <mergeCell ref="C19:E19"/>
    <mergeCell ref="C21:E21"/>
    <mergeCell ref="A6:B6"/>
    <mergeCell ref="A7:B7"/>
    <mergeCell ref="A12:H12"/>
    <mergeCell ref="B2:H2"/>
    <mergeCell ref="A4:B4"/>
    <mergeCell ref="C4:E4"/>
    <mergeCell ref="A5:B5"/>
    <mergeCell ref="C5:E5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85" zoomScaleNormal="85" workbookViewId="0">
      <selection activeCell="A14" sqref="A14:I14"/>
    </sheetView>
  </sheetViews>
  <sheetFormatPr baseColWidth="10" defaultColWidth="9.140625" defaultRowHeight="13.5" x14ac:dyDescent="0.25"/>
  <cols>
    <col min="1" max="1" width="5.5703125" style="18" customWidth="1"/>
    <col min="2" max="2" width="15.140625" style="18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42" style="18" customWidth="1"/>
    <col min="8" max="8" width="9.28515625" style="18" customWidth="1"/>
    <col min="9" max="9" width="15.5703125" style="18" customWidth="1"/>
    <col min="10" max="10" width="14.7109375" style="18" customWidth="1"/>
    <col min="11" max="11" width="15.5703125" style="18" customWidth="1"/>
    <col min="12" max="14" width="5.85546875" style="18" customWidth="1"/>
    <col min="15" max="15" width="12.5703125" style="18" customWidth="1"/>
    <col min="16" max="1024" width="9.140625" style="18"/>
    <col min="1025" max="16384" width="9.140625" style="19"/>
  </cols>
  <sheetData>
    <row r="1" spans="1:11" ht="26.25" customHeight="1" x14ac:dyDescent="0.25">
      <c r="A1" s="110" t="s">
        <v>18</v>
      </c>
      <c r="B1" s="110"/>
      <c r="C1" s="110"/>
      <c r="D1" s="110"/>
      <c r="E1" s="110"/>
      <c r="F1" s="110"/>
      <c r="G1" s="110"/>
      <c r="H1" s="110"/>
      <c r="I1" s="110"/>
      <c r="J1" s="17" t="s">
        <v>19</v>
      </c>
      <c r="K1" s="77" t="s">
        <v>74</v>
      </c>
    </row>
    <row r="2" spans="1:11" ht="18.75" customHeight="1" thickBot="1" x14ac:dyDescent="0.3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</row>
    <row r="3" spans="1:11" ht="18.75" customHeight="1" thickBot="1" x14ac:dyDescent="0.3">
      <c r="A3" s="111" t="s">
        <v>51</v>
      </c>
      <c r="B3" s="111"/>
      <c r="C3" s="111"/>
      <c r="D3" s="112" t="str">
        <f>'Necesidades Trimestrales'!C4</f>
        <v>12 -Ministerio de Trabajo y Recursos Humanos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3">
      <c r="A4" s="113" t="s">
        <v>52</v>
      </c>
      <c r="B4" s="113"/>
      <c r="C4" s="113"/>
      <c r="D4" s="112" t="str">
        <f>'Necesidades Trimestrales'!C5</f>
        <v>22 - Secretaria de Administracion del Ministerio de Trabajo y Recursos Humanos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3">
      <c r="A5" s="113" t="s">
        <v>31</v>
      </c>
      <c r="B5" s="113"/>
      <c r="C5" s="113"/>
      <c r="D5" s="112" t="s">
        <v>72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3">
      <c r="A6" s="111" t="s">
        <v>53</v>
      </c>
      <c r="B6" s="111"/>
      <c r="C6" s="111"/>
      <c r="D6" s="112" t="s">
        <v>72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5">
      <c r="A7" s="113" t="s">
        <v>20</v>
      </c>
      <c r="B7" s="113"/>
      <c r="C7" s="113"/>
      <c r="D7" s="112" t="str">
        <f>'Necesidades Trimestrales'!C7 &amp; "° Trimestre - Año " &amp; 'Necesidades Trimestrales'!C6</f>
        <v>2°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5">
      <c r="A8" s="106" t="s">
        <v>21</v>
      </c>
      <c r="B8" s="106"/>
      <c r="C8" s="106"/>
      <c r="D8" s="107" t="s">
        <v>70</v>
      </c>
      <c r="E8" s="107"/>
      <c r="F8" s="107"/>
      <c r="G8" s="107"/>
      <c r="H8" s="107"/>
      <c r="I8" s="107"/>
      <c r="J8" s="107"/>
      <c r="K8" s="107"/>
    </row>
    <row r="9" spans="1:11" ht="14.25" thickBot="1" x14ac:dyDescent="0.3">
      <c r="A9" s="22"/>
      <c r="B9" s="22"/>
      <c r="C9" s="22"/>
      <c r="D9" s="23"/>
      <c r="E9" s="23"/>
      <c r="F9" s="23"/>
      <c r="G9" s="23"/>
      <c r="H9" s="23"/>
      <c r="I9" s="23"/>
      <c r="J9" s="23"/>
      <c r="K9" s="23"/>
    </row>
    <row r="10" spans="1:11" ht="18.75" customHeight="1" thickBot="1" x14ac:dyDescent="0.3">
      <c r="A10" s="108" t="s">
        <v>22</v>
      </c>
      <c r="B10" s="118" t="s">
        <v>73</v>
      </c>
      <c r="C10" s="118" t="s">
        <v>23</v>
      </c>
      <c r="D10" s="118"/>
      <c r="E10" s="118"/>
      <c r="F10" s="118"/>
      <c r="G10" s="118"/>
      <c r="H10" s="118" t="s">
        <v>24</v>
      </c>
      <c r="I10" s="118" t="s">
        <v>25</v>
      </c>
      <c r="J10" s="118" t="s">
        <v>26</v>
      </c>
      <c r="K10" s="114" t="s">
        <v>27</v>
      </c>
    </row>
    <row r="11" spans="1:11" ht="24" customHeight="1" thickBot="1" x14ac:dyDescent="0.3">
      <c r="A11" s="109"/>
      <c r="B11" s="119"/>
      <c r="C11" s="119"/>
      <c r="D11" s="119"/>
      <c r="E11" s="119"/>
      <c r="F11" s="119"/>
      <c r="G11" s="119"/>
      <c r="H11" s="119"/>
      <c r="I11" s="119"/>
      <c r="J11" s="119"/>
      <c r="K11" s="115"/>
    </row>
    <row r="12" spans="1:11" ht="29.25" customHeight="1" x14ac:dyDescent="0.25">
      <c r="A12" s="79">
        <f>'Necesidades Trimestrales'!A10</f>
        <v>1</v>
      </c>
      <c r="B12" s="80" t="str">
        <f>'Necesidades Trimestrales'!B10</f>
        <v>2.5.6-797.39</v>
      </c>
      <c r="C12" s="120" t="str">
        <f>'Necesidades Trimestrales'!E10</f>
        <v>NAFTA SUPER; TIPO: SUPER, OCTANO: 95, PRESENTACION: POR LITRO, DESTINO: DPTO. S.F.V. DE CATAMARCA</v>
      </c>
      <c r="D12" s="120"/>
      <c r="E12" s="120"/>
      <c r="F12" s="120"/>
      <c r="G12" s="120"/>
      <c r="H12" s="80" t="s">
        <v>28</v>
      </c>
      <c r="I12" s="80" t="str">
        <f>'Necesidades Trimestrales'!F10</f>
        <v>LITRO</v>
      </c>
      <c r="J12" s="81">
        <f>'Necesidades Trimestrales'!H10</f>
        <v>81.7</v>
      </c>
      <c r="K12" s="82">
        <f>'Necesidades Trimestrales'!G10</f>
        <v>1500</v>
      </c>
    </row>
    <row r="13" spans="1:11" ht="29.25" customHeight="1" thickBot="1" x14ac:dyDescent="0.3">
      <c r="A13" s="83">
        <f>'Necesidades Trimestrales'!A11</f>
        <v>2</v>
      </c>
      <c r="B13" s="84" t="str">
        <f>'Necesidades Trimestrales'!B11</f>
        <v>2.5.6-793.31</v>
      </c>
      <c r="C13" s="121" t="str">
        <f>'Necesidades Trimestrales'!E11</f>
        <v>GAS OIL; PRESENTACION: POR LITRO, USO: MOTORES DIESEL, COMERCIALIZACION: GRADO 3,  DESTINO: DPTO. S.F.V. DE CATAMARCA</v>
      </c>
      <c r="D13" s="121"/>
      <c r="E13" s="121"/>
      <c r="F13" s="121"/>
      <c r="G13" s="121"/>
      <c r="H13" s="84" t="s">
        <v>28</v>
      </c>
      <c r="I13" s="84" t="str">
        <f>'Necesidades Trimestrales'!F11</f>
        <v xml:space="preserve">LITROS </v>
      </c>
      <c r="J13" s="85">
        <f>'Necesidades Trimestrales'!H11</f>
        <v>90.9</v>
      </c>
      <c r="K13" s="86">
        <f>'Necesidades Trimestrales'!G11</f>
        <v>3420</v>
      </c>
    </row>
    <row r="14" spans="1:11" ht="20.25" customHeight="1" thickBot="1" x14ac:dyDescent="0.3">
      <c r="A14" s="117" t="str">
        <f>+'Necesidades Trimestrales'!A12:H12</f>
        <v>COSTO TOTAL ESTIMADO: SON PESOS CUATROCIENTOS TREINTA Y TRES MIL CUATROCIENTOS VEINTIOCHO CON 00/100</v>
      </c>
      <c r="B14" s="117"/>
      <c r="C14" s="117"/>
      <c r="D14" s="117"/>
      <c r="E14" s="117"/>
      <c r="F14" s="117"/>
      <c r="G14" s="117"/>
      <c r="H14" s="117"/>
      <c r="I14" s="117"/>
      <c r="J14" s="116">
        <f>SUMPRODUCT(J12:J13,K12:K13)</f>
        <v>433428</v>
      </c>
      <c r="K14" s="116"/>
    </row>
  </sheetData>
  <mergeCells count="24">
    <mergeCell ref="J14:K14"/>
    <mergeCell ref="A14:I14"/>
    <mergeCell ref="B10:B11"/>
    <mergeCell ref="C10:G11"/>
    <mergeCell ref="H10:H11"/>
    <mergeCell ref="I10:I11"/>
    <mergeCell ref="J10:J11"/>
    <mergeCell ref="C12:G12"/>
    <mergeCell ref="C13:G13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11" zoomScale="115" zoomScaleNormal="115" workbookViewId="0">
      <selection activeCell="A25" sqref="A25:Q26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14.7109375" style="1" customWidth="1"/>
    <col min="18" max="18" width="11" style="1"/>
    <col min="19" max="19" width="11.7109375" style="1" bestFit="1" customWidth="1"/>
    <col min="20" max="16384" width="11" style="1"/>
  </cols>
  <sheetData>
    <row r="1" spans="1:19" ht="15.75" customHeight="1" x14ac:dyDescent="0.25">
      <c r="A1" s="126" t="s">
        <v>3</v>
      </c>
      <c r="B1" s="126"/>
      <c r="C1" s="126"/>
      <c r="D1" s="127">
        <f>'Necesidades Trimestrales'!C6</f>
        <v>2021</v>
      </c>
      <c r="E1" s="127"/>
      <c r="F1" s="3"/>
      <c r="G1" s="3"/>
      <c r="H1" s="4"/>
      <c r="I1" s="4"/>
      <c r="J1" s="4"/>
      <c r="K1" s="4"/>
      <c r="L1" s="4"/>
      <c r="M1" s="4"/>
      <c r="N1" s="4"/>
      <c r="P1" s="128" t="s">
        <v>29</v>
      </c>
      <c r="Q1" s="128"/>
    </row>
    <row r="2" spans="1:19" ht="15.75" customHeight="1" x14ac:dyDescent="0.25">
      <c r="H2" s="4"/>
      <c r="I2" s="4"/>
      <c r="J2" s="4"/>
      <c r="K2" s="4"/>
      <c r="L2" s="4"/>
      <c r="M2" s="4"/>
      <c r="N2" s="4"/>
      <c r="P2" s="128"/>
      <c r="Q2" s="128"/>
    </row>
    <row r="4" spans="1:19" ht="18" customHeight="1" thickBot="1" x14ac:dyDescent="0.35">
      <c r="A4" s="129" t="s">
        <v>30</v>
      </c>
      <c r="B4" s="129"/>
      <c r="C4" s="129"/>
      <c r="D4" s="129"/>
      <c r="E4" s="129"/>
      <c r="F4" s="129"/>
      <c r="G4" s="130" t="str">
        <f>' NotaPedido'!D3</f>
        <v>12 -Ministerio de Trabajo y Recursos Humanos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9" ht="18" customHeight="1" thickBot="1" x14ac:dyDescent="0.35">
      <c r="A5" s="131" t="s">
        <v>52</v>
      </c>
      <c r="B5" s="132"/>
      <c r="C5" s="132"/>
      <c r="D5" s="132"/>
      <c r="E5" s="132"/>
      <c r="F5" s="133"/>
      <c r="G5" s="130" t="str">
        <f>' NotaPedido'!D4</f>
        <v>22 - Secretaria de Administracion del Ministerio de Trabajo y Recursos Humanos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9" ht="18" customHeight="1" thickBot="1" x14ac:dyDescent="0.35">
      <c r="A6" s="131" t="s">
        <v>31</v>
      </c>
      <c r="B6" s="132"/>
      <c r="C6" s="132"/>
      <c r="D6" s="132"/>
      <c r="E6" s="132"/>
      <c r="F6" s="133"/>
      <c r="G6" s="130" t="s">
        <v>71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9" ht="18" customHeight="1" thickBot="1" x14ac:dyDescent="0.35">
      <c r="A7" s="131" t="s">
        <v>53</v>
      </c>
      <c r="B7" s="132"/>
      <c r="C7" s="132"/>
      <c r="D7" s="132"/>
      <c r="E7" s="132"/>
      <c r="F7" s="133"/>
      <c r="G7" s="130" t="str">
        <f>' NotaPedido'!D6</f>
        <v xml:space="preserve">Secretaria de Administración 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9" ht="18" customHeight="1" thickBot="1" x14ac:dyDescent="0.3">
      <c r="A8" s="134" t="s">
        <v>56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9" ht="18" customHeight="1" x14ac:dyDescent="0.3">
      <c r="A9" s="135" t="s">
        <v>32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2"/>
      <c r="P9" s="2"/>
      <c r="Q9" s="6"/>
    </row>
    <row r="10" spans="1:19" ht="65.25" customHeight="1" x14ac:dyDescent="0.25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005/2021,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9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5">
      <c r="A12" s="137" t="s">
        <v>33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9" ht="15.75" customHeight="1" x14ac:dyDescent="0.25">
      <c r="A13" s="138" t="s">
        <v>34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35</v>
      </c>
      <c r="P13" s="139"/>
      <c r="Q13" s="140" t="s">
        <v>36</v>
      </c>
    </row>
    <row r="14" spans="1:19" ht="15.75" customHeight="1" thickBot="1" x14ac:dyDescent="0.3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39"/>
      <c r="P14" s="139"/>
      <c r="Q14" s="140"/>
    </row>
    <row r="15" spans="1:19" ht="17.25" customHeight="1" thickBot="1" x14ac:dyDescent="0.3">
      <c r="A15" s="71">
        <v>2</v>
      </c>
      <c r="B15" s="72">
        <v>0</v>
      </c>
      <c r="C15" s="72">
        <v>0</v>
      </c>
      <c r="D15" s="72">
        <v>1</v>
      </c>
      <c r="E15" s="72">
        <v>0</v>
      </c>
      <c r="F15" s="72">
        <v>4901</v>
      </c>
      <c r="G15" s="72">
        <v>3</v>
      </c>
      <c r="H15" s="72">
        <v>6</v>
      </c>
      <c r="I15" s="72">
        <v>2</v>
      </c>
      <c r="J15" s="72">
        <v>5</v>
      </c>
      <c r="K15" s="72">
        <v>6</v>
      </c>
      <c r="L15" s="72">
        <v>0</v>
      </c>
      <c r="M15" s="73">
        <v>1</v>
      </c>
      <c r="N15" s="72" t="s">
        <v>58</v>
      </c>
      <c r="O15" s="122" t="s">
        <v>60</v>
      </c>
      <c r="P15" s="123"/>
      <c r="Q15" s="78">
        <v>253428</v>
      </c>
      <c r="S15" s="88"/>
    </row>
    <row r="16" spans="1:19" ht="17.25" customHeight="1" thickBot="1" x14ac:dyDescent="0.3">
      <c r="A16" s="71">
        <v>3</v>
      </c>
      <c r="B16" s="72">
        <v>0</v>
      </c>
      <c r="C16" s="72">
        <v>0</v>
      </c>
      <c r="D16" s="72">
        <v>1</v>
      </c>
      <c r="E16" s="72">
        <v>0</v>
      </c>
      <c r="F16" s="72">
        <v>4901</v>
      </c>
      <c r="G16" s="72">
        <v>1</v>
      </c>
      <c r="H16" s="72">
        <v>3</v>
      </c>
      <c r="I16" s="72">
        <v>2</v>
      </c>
      <c r="J16" s="72">
        <v>5</v>
      </c>
      <c r="K16" s="72">
        <v>6</v>
      </c>
      <c r="L16" s="72">
        <v>0</v>
      </c>
      <c r="M16" s="73">
        <v>1</v>
      </c>
      <c r="N16" s="72" t="s">
        <v>58</v>
      </c>
      <c r="O16" s="122" t="s">
        <v>60</v>
      </c>
      <c r="P16" s="123"/>
      <c r="Q16" s="78">
        <v>50000</v>
      </c>
    </row>
    <row r="17" spans="1:19" ht="17.25" customHeight="1" thickBot="1" x14ac:dyDescent="0.3">
      <c r="A17" s="71">
        <v>4</v>
      </c>
      <c r="B17" s="72">
        <v>0</v>
      </c>
      <c r="C17" s="72">
        <v>0</v>
      </c>
      <c r="D17" s="72">
        <v>1</v>
      </c>
      <c r="E17" s="72">
        <v>0</v>
      </c>
      <c r="F17" s="72">
        <v>4901</v>
      </c>
      <c r="G17" s="72">
        <v>3</v>
      </c>
      <c r="H17" s="72">
        <v>4</v>
      </c>
      <c r="I17" s="72">
        <v>2</v>
      </c>
      <c r="J17" s="72">
        <v>5</v>
      </c>
      <c r="K17" s="72">
        <v>6</v>
      </c>
      <c r="L17" s="72">
        <v>0</v>
      </c>
      <c r="M17" s="73">
        <v>1</v>
      </c>
      <c r="N17" s="72" t="s">
        <v>58</v>
      </c>
      <c r="O17" s="124" t="s">
        <v>60</v>
      </c>
      <c r="P17" s="125"/>
      <c r="Q17" s="78">
        <v>10000</v>
      </c>
    </row>
    <row r="18" spans="1:19" ht="17.25" customHeight="1" thickBot="1" x14ac:dyDescent="0.3">
      <c r="A18" s="71">
        <v>5</v>
      </c>
      <c r="B18" s="72">
        <v>0</v>
      </c>
      <c r="C18" s="72">
        <v>0</v>
      </c>
      <c r="D18" s="72">
        <v>1</v>
      </c>
      <c r="E18" s="72">
        <v>0</v>
      </c>
      <c r="F18" s="72">
        <v>4901</v>
      </c>
      <c r="G18" s="72">
        <v>3</v>
      </c>
      <c r="H18" s="72">
        <v>6</v>
      </c>
      <c r="I18" s="72">
        <v>2</v>
      </c>
      <c r="J18" s="72">
        <v>5</v>
      </c>
      <c r="K18" s="72">
        <v>6</v>
      </c>
      <c r="L18" s="72">
        <v>0</v>
      </c>
      <c r="M18" s="73">
        <v>1</v>
      </c>
      <c r="N18" s="72" t="s">
        <v>58</v>
      </c>
      <c r="O18" s="122" t="s">
        <v>60</v>
      </c>
      <c r="P18" s="123"/>
      <c r="Q18" s="78">
        <v>30000</v>
      </c>
    </row>
    <row r="19" spans="1:19" ht="17.25" customHeight="1" thickBot="1" x14ac:dyDescent="0.3">
      <c r="A19" s="71">
        <v>6</v>
      </c>
      <c r="B19" s="72">
        <v>0</v>
      </c>
      <c r="C19" s="72">
        <v>0</v>
      </c>
      <c r="D19" s="72">
        <v>2</v>
      </c>
      <c r="E19" s="72">
        <v>0</v>
      </c>
      <c r="F19" s="72">
        <v>4901</v>
      </c>
      <c r="G19" s="72">
        <v>1</v>
      </c>
      <c r="H19" s="72">
        <v>3</v>
      </c>
      <c r="I19" s="72">
        <v>2</v>
      </c>
      <c r="J19" s="72">
        <v>5</v>
      </c>
      <c r="K19" s="72">
        <v>6</v>
      </c>
      <c r="L19" s="72">
        <v>0</v>
      </c>
      <c r="M19" s="73">
        <v>1</v>
      </c>
      <c r="N19" s="72" t="s">
        <v>58</v>
      </c>
      <c r="O19" s="122" t="s">
        <v>60</v>
      </c>
      <c r="P19" s="123"/>
      <c r="Q19" s="78">
        <v>50000</v>
      </c>
    </row>
    <row r="20" spans="1:19" ht="17.25" customHeight="1" thickBot="1" x14ac:dyDescent="0.3">
      <c r="A20" s="71">
        <v>7</v>
      </c>
      <c r="B20" s="72">
        <v>0</v>
      </c>
      <c r="C20" s="72">
        <v>0</v>
      </c>
      <c r="D20" s="72">
        <v>1</v>
      </c>
      <c r="E20" s="72">
        <v>0</v>
      </c>
      <c r="F20" s="72">
        <v>4901</v>
      </c>
      <c r="G20" s="72">
        <v>1</v>
      </c>
      <c r="H20" s="72">
        <v>3</v>
      </c>
      <c r="I20" s="72">
        <v>2</v>
      </c>
      <c r="J20" s="72">
        <v>5</v>
      </c>
      <c r="K20" s="72">
        <v>6</v>
      </c>
      <c r="L20" s="72">
        <v>0</v>
      </c>
      <c r="M20" s="73">
        <v>1</v>
      </c>
      <c r="N20" s="72" t="s">
        <v>58</v>
      </c>
      <c r="O20" s="122" t="s">
        <v>60</v>
      </c>
      <c r="P20" s="123"/>
      <c r="Q20" s="78">
        <v>30000</v>
      </c>
    </row>
    <row r="21" spans="1:19" ht="17.25" customHeight="1" thickBot="1" x14ac:dyDescent="0.3">
      <c r="A21" s="71">
        <v>8</v>
      </c>
      <c r="B21" s="72">
        <v>0</v>
      </c>
      <c r="C21" s="72">
        <v>0</v>
      </c>
      <c r="D21" s="72">
        <v>1</v>
      </c>
      <c r="E21" s="72">
        <v>0</v>
      </c>
      <c r="F21" s="72">
        <v>4901</v>
      </c>
      <c r="G21" s="72">
        <v>3</v>
      </c>
      <c r="H21" s="72">
        <v>6</v>
      </c>
      <c r="I21" s="72">
        <v>2</v>
      </c>
      <c r="J21" s="72">
        <v>5</v>
      </c>
      <c r="K21" s="72">
        <v>6</v>
      </c>
      <c r="L21" s="72">
        <v>0</v>
      </c>
      <c r="M21" s="73">
        <v>1</v>
      </c>
      <c r="N21" s="72" t="s">
        <v>58</v>
      </c>
      <c r="O21" s="124" t="s">
        <v>60</v>
      </c>
      <c r="P21" s="125"/>
      <c r="Q21" s="78">
        <v>10000</v>
      </c>
      <c r="S21" s="87"/>
    </row>
    <row r="22" spans="1:19" ht="28.5" customHeight="1" thickBot="1" x14ac:dyDescent="0.3">
      <c r="A22" s="146" t="str">
        <f>+' NotaPedido'!A14:I14</f>
        <v>COSTO TOTAL ESTIMADO: SON PESOS CUATROCIENTOS TREINTA Y TRES MIL CUATROCIENTOS VEINTIOCHO CON 00/100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6">
        <f>SUM(Q15:Q21)</f>
        <v>433428</v>
      </c>
    </row>
    <row r="23" spans="1:19" ht="18" customHeight="1" thickBot="1" x14ac:dyDescent="0.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</row>
    <row r="24" spans="1:19" ht="17.25" customHeight="1" thickBot="1" x14ac:dyDescent="0.3">
      <c r="A24" s="141" t="s">
        <v>50</v>
      </c>
      <c r="B24" s="142"/>
      <c r="C24" s="142"/>
      <c r="D24" s="142"/>
      <c r="E24" s="142"/>
      <c r="F24" s="143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9" ht="18" customHeight="1" thickBot="1" x14ac:dyDescent="0.3">
      <c r="A25" s="145" t="str">
        <f>' NotaPedido'!D8</f>
        <v>Adquisición de combustible para el parque automotor de este Ministerio.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9" ht="15" customHeight="1" x14ac:dyDescent="0.25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</row>
  </sheetData>
  <mergeCells count="30">
    <mergeCell ref="O21:P21"/>
    <mergeCell ref="A24:F24"/>
    <mergeCell ref="G24:Q24"/>
    <mergeCell ref="A25:Q26"/>
    <mergeCell ref="A22:P22"/>
    <mergeCell ref="A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O20:P20"/>
    <mergeCell ref="O18:P18"/>
    <mergeCell ref="O19:P19"/>
    <mergeCell ref="O15:P15"/>
    <mergeCell ref="O16:P16"/>
    <mergeCell ref="O17:P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sqref="A1:H1"/>
    </sheetView>
  </sheetViews>
  <sheetFormatPr baseColWidth="10" defaultRowHeight="15" x14ac:dyDescent="0.25"/>
  <cols>
    <col min="1" max="1" width="7.42578125" style="97" customWidth="1"/>
    <col min="2" max="2" width="17.7109375" style="97" customWidth="1"/>
    <col min="3" max="3" width="11.42578125" style="97"/>
    <col min="4" max="4" width="25" style="97" customWidth="1"/>
    <col min="5" max="5" width="15.7109375" style="97" customWidth="1"/>
    <col min="6" max="6" width="20" style="97" customWidth="1"/>
    <col min="7" max="7" width="6.5703125" style="97" customWidth="1"/>
    <col min="8" max="8" width="8.7109375" style="97" customWidth="1"/>
    <col min="9" max="16384" width="11.42578125" style="89"/>
  </cols>
  <sheetData>
    <row r="1" spans="1:8" ht="52.5" customHeight="1" x14ac:dyDescent="0.25">
      <c r="A1" s="148" t="s">
        <v>76</v>
      </c>
      <c r="B1" s="148"/>
      <c r="C1" s="148"/>
      <c r="D1" s="148"/>
      <c r="E1" s="148"/>
      <c r="F1" s="148"/>
      <c r="G1" s="148"/>
      <c r="H1" s="148"/>
    </row>
    <row r="2" spans="1:8" ht="30" customHeight="1" x14ac:dyDescent="0.25">
      <c r="A2" s="90" t="s">
        <v>77</v>
      </c>
      <c r="B2" s="90" t="s">
        <v>78</v>
      </c>
      <c r="C2" s="90" t="s">
        <v>79</v>
      </c>
      <c r="D2" s="90" t="s">
        <v>80</v>
      </c>
      <c r="E2" s="90" t="s">
        <v>81</v>
      </c>
      <c r="F2" s="90" t="s">
        <v>82</v>
      </c>
      <c r="G2" s="90" t="s">
        <v>83</v>
      </c>
      <c r="H2" s="90" t="s">
        <v>84</v>
      </c>
    </row>
    <row r="3" spans="1:8" s="93" customFormat="1" x14ac:dyDescent="0.2">
      <c r="A3" s="91">
        <v>1</v>
      </c>
      <c r="B3" s="91" t="s">
        <v>85</v>
      </c>
      <c r="C3" s="91" t="s">
        <v>86</v>
      </c>
      <c r="D3" s="91" t="s">
        <v>87</v>
      </c>
      <c r="E3" s="91" t="s">
        <v>88</v>
      </c>
      <c r="F3" s="91" t="s">
        <v>89</v>
      </c>
      <c r="G3" s="91" t="s">
        <v>90</v>
      </c>
      <c r="H3" s="92">
        <v>2019</v>
      </c>
    </row>
    <row r="4" spans="1:8" x14ac:dyDescent="0.25">
      <c r="A4" s="90">
        <v>2</v>
      </c>
      <c r="B4" s="90" t="s">
        <v>85</v>
      </c>
      <c r="C4" s="90" t="s">
        <v>91</v>
      </c>
      <c r="D4" s="91" t="s">
        <v>92</v>
      </c>
      <c r="E4" s="90" t="s">
        <v>93</v>
      </c>
      <c r="F4" s="90" t="s">
        <v>94</v>
      </c>
      <c r="G4" s="90" t="s">
        <v>90</v>
      </c>
      <c r="H4" s="94">
        <v>2020</v>
      </c>
    </row>
    <row r="5" spans="1:8" x14ac:dyDescent="0.25">
      <c r="A5" s="90">
        <v>3</v>
      </c>
      <c r="B5" s="90" t="s">
        <v>85</v>
      </c>
      <c r="C5" s="90" t="s">
        <v>95</v>
      </c>
      <c r="D5" s="91" t="s">
        <v>96</v>
      </c>
      <c r="E5" s="90" t="s">
        <v>97</v>
      </c>
      <c r="F5" s="90" t="s">
        <v>98</v>
      </c>
      <c r="G5" s="90" t="s">
        <v>90</v>
      </c>
      <c r="H5" s="94">
        <v>2013</v>
      </c>
    </row>
    <row r="6" spans="1:8" x14ac:dyDescent="0.25">
      <c r="A6" s="95">
        <v>4</v>
      </c>
      <c r="B6" s="90" t="s">
        <v>85</v>
      </c>
      <c r="C6" s="95" t="s">
        <v>99</v>
      </c>
      <c r="D6" s="91" t="s">
        <v>100</v>
      </c>
      <c r="E6" s="95" t="s">
        <v>101</v>
      </c>
      <c r="F6" s="95" t="s">
        <v>102</v>
      </c>
      <c r="G6" s="95" t="s">
        <v>90</v>
      </c>
      <c r="H6" s="94">
        <v>2013</v>
      </c>
    </row>
    <row r="7" spans="1:8" x14ac:dyDescent="0.25">
      <c r="A7" s="95">
        <v>5</v>
      </c>
      <c r="B7" s="90" t="s">
        <v>85</v>
      </c>
      <c r="C7" s="90" t="s">
        <v>103</v>
      </c>
      <c r="D7" s="91" t="s">
        <v>96</v>
      </c>
      <c r="E7" s="95" t="s">
        <v>104</v>
      </c>
      <c r="F7" s="95" t="s">
        <v>105</v>
      </c>
      <c r="G7" s="95" t="s">
        <v>90</v>
      </c>
      <c r="H7" s="94">
        <v>2013</v>
      </c>
    </row>
    <row r="8" spans="1:8" x14ac:dyDescent="0.25">
      <c r="A8" s="95">
        <v>6</v>
      </c>
      <c r="B8" s="90" t="s">
        <v>85</v>
      </c>
      <c r="C8" s="95" t="s">
        <v>106</v>
      </c>
      <c r="D8" s="91" t="s">
        <v>107</v>
      </c>
      <c r="E8" s="95" t="s">
        <v>108</v>
      </c>
      <c r="F8" s="95" t="s">
        <v>109</v>
      </c>
      <c r="G8" s="95" t="s">
        <v>90</v>
      </c>
      <c r="H8" s="94">
        <v>2009</v>
      </c>
    </row>
    <row r="9" spans="1:8" x14ac:dyDescent="0.25">
      <c r="A9" s="95">
        <v>7</v>
      </c>
      <c r="B9" s="90" t="s">
        <v>85</v>
      </c>
      <c r="C9" s="95" t="s">
        <v>110</v>
      </c>
      <c r="D9" s="91" t="s">
        <v>111</v>
      </c>
      <c r="E9" s="95" t="s">
        <v>112</v>
      </c>
      <c r="F9" s="95" t="s">
        <v>113</v>
      </c>
      <c r="G9" s="95" t="s">
        <v>90</v>
      </c>
      <c r="H9" s="94">
        <v>2005</v>
      </c>
    </row>
    <row r="10" spans="1:8" x14ac:dyDescent="0.25">
      <c r="A10" s="95">
        <v>8</v>
      </c>
      <c r="B10" s="90" t="s">
        <v>85</v>
      </c>
      <c r="C10" s="95" t="s">
        <v>114</v>
      </c>
      <c r="D10" s="91" t="s">
        <v>111</v>
      </c>
      <c r="E10" s="95" t="s">
        <v>115</v>
      </c>
      <c r="F10" s="95" t="s">
        <v>116</v>
      </c>
      <c r="G10" s="95" t="s">
        <v>90</v>
      </c>
      <c r="H10" s="94">
        <v>2010</v>
      </c>
    </row>
    <row r="11" spans="1:8" x14ac:dyDescent="0.25">
      <c r="A11" s="95">
        <v>9</v>
      </c>
      <c r="B11" s="90" t="s">
        <v>85</v>
      </c>
      <c r="C11" s="95" t="s">
        <v>117</v>
      </c>
      <c r="D11" s="91" t="s">
        <v>118</v>
      </c>
      <c r="E11" s="95" t="s">
        <v>119</v>
      </c>
      <c r="F11" s="95" t="s">
        <v>120</v>
      </c>
      <c r="G11" s="95" t="s">
        <v>90</v>
      </c>
      <c r="H11" s="94">
        <v>2013</v>
      </c>
    </row>
    <row r="12" spans="1:8" x14ac:dyDescent="0.25">
      <c r="A12" s="95">
        <v>10</v>
      </c>
      <c r="B12" s="90" t="s">
        <v>85</v>
      </c>
      <c r="C12" s="95" t="s">
        <v>121</v>
      </c>
      <c r="D12" s="91" t="s">
        <v>122</v>
      </c>
      <c r="E12" s="95" t="s">
        <v>123</v>
      </c>
      <c r="F12" s="95" t="s">
        <v>124</v>
      </c>
      <c r="G12" s="95" t="s">
        <v>90</v>
      </c>
      <c r="H12" s="94">
        <v>2014</v>
      </c>
    </row>
    <row r="13" spans="1:8" x14ac:dyDescent="0.25">
      <c r="A13" s="95">
        <v>11</v>
      </c>
      <c r="B13" s="90" t="s">
        <v>85</v>
      </c>
      <c r="C13" s="95" t="s">
        <v>125</v>
      </c>
      <c r="D13" s="91" t="s">
        <v>122</v>
      </c>
      <c r="E13" s="95" t="s">
        <v>126</v>
      </c>
      <c r="F13" s="95" t="s">
        <v>127</v>
      </c>
      <c r="G13" s="95" t="s">
        <v>90</v>
      </c>
      <c r="H13" s="94">
        <v>2014</v>
      </c>
    </row>
    <row r="14" spans="1:8" x14ac:dyDescent="0.25">
      <c r="A14" s="96">
        <v>12</v>
      </c>
      <c r="B14" s="96" t="s">
        <v>85</v>
      </c>
      <c r="C14" s="96" t="s">
        <v>128</v>
      </c>
      <c r="D14" s="96" t="s">
        <v>129</v>
      </c>
      <c r="E14" s="96" t="s">
        <v>130</v>
      </c>
      <c r="F14" s="96" t="s">
        <v>131</v>
      </c>
      <c r="G14" s="96" t="s">
        <v>90</v>
      </c>
      <c r="H14" s="96">
        <v>2005</v>
      </c>
    </row>
    <row r="15" spans="1:8" x14ac:dyDescent="0.25">
      <c r="A15" s="96">
        <v>13</v>
      </c>
      <c r="B15" s="96" t="s">
        <v>132</v>
      </c>
      <c r="C15" s="96" t="s">
        <v>133</v>
      </c>
      <c r="D15" s="96" t="s">
        <v>134</v>
      </c>
      <c r="E15" s="96" t="s">
        <v>135</v>
      </c>
      <c r="F15" s="96" t="s">
        <v>136</v>
      </c>
      <c r="G15" s="96" t="s">
        <v>90</v>
      </c>
      <c r="H15" s="96">
        <v>2018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PARQUE AUTOMOTOR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dc:description/>
  <cp:lastModifiedBy>COMPRAS</cp:lastModifiedBy>
  <cp:revision>2</cp:revision>
  <cp:lastPrinted>2020-11-24T14:25:44Z</cp:lastPrinted>
  <dcterms:created xsi:type="dcterms:W3CDTF">2020-07-17T23:44:49Z</dcterms:created>
  <dcterms:modified xsi:type="dcterms:W3CDTF">2021-08-17T11:30:16Z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