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2° trimestre 2021\Enviado a la SCA Pos informe\Contrata la SCA\PRODUCTOS MEDICOS Y FARMA ok\Medicamentoss\"/>
    </mc:Choice>
  </mc:AlternateContent>
  <bookViews>
    <workbookView xWindow="0" yWindow="0" windowWidth="28800" windowHeight="1243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Trimestrales'!$A$9:$I$11</definedName>
    <definedName name="_xlnm.Print_Area" localSheetId="1">' NotaPedido'!$A$1:$K$14</definedName>
    <definedName name="_xlnm.Print_Area" localSheetId="2">'Autor Gastar'!$A$1:$Q$25</definedName>
  </definedNames>
  <calcPr calcId="152511"/>
</workbook>
</file>

<file path=xl/calcChain.xml><?xml version="1.0" encoding="utf-8"?>
<calcChain xmlns="http://schemas.openxmlformats.org/spreadsheetml/2006/main">
  <c r="A12" i="2" l="1"/>
  <c r="A13" i="2"/>
  <c r="B12" i="2"/>
  <c r="B13" i="2"/>
  <c r="J12" i="2"/>
  <c r="J13" i="2"/>
  <c r="C12" i="2"/>
  <c r="C13" i="2"/>
  <c r="Q21" i="3"/>
  <c r="K12" i="2" l="1"/>
  <c r="K13" i="2"/>
  <c r="J14" i="2" l="1"/>
  <c r="I13" i="2" l="1"/>
  <c r="I12" i="2" l="1"/>
  <c r="I10" i="1" l="1"/>
  <c r="I11" i="1"/>
  <c r="G6" i="3" l="1"/>
  <c r="G7" i="3"/>
  <c r="G4" i="3"/>
  <c r="G5" i="3"/>
</calcChain>
</file>

<file path=xl/sharedStrings.xml><?xml version="1.0" encoding="utf-8"?>
<sst xmlns="http://schemas.openxmlformats.org/spreadsheetml/2006/main" count="92" uniqueCount="83">
  <si>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</si>
  <si>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</si>
  <si>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</si>
  <si>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</si>
  <si>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</si>
  <si>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</si>
  <si>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</si>
  <si>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</si>
  <si>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</si>
  <si>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</si>
  <si>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</si>
  <si>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</si>
  <si>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</si>
  <si>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</si>
  <si>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</si>
  <si>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</si>
  <si>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</si>
  <si>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</si>
  <si>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</si>
  <si>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</si>
  <si>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</si>
  <si>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</si>
  <si>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</si>
  <si>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</si>
  <si>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</si>
  <si>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</si>
  <si>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</si>
  <si>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</si>
  <si>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</si>
  <si>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</si>
  <si>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</si>
  <si>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</si>
  <si>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</si>
  <si>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</si>
  <si>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</si>
  <si>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</si>
  <si>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</si>
  <si>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</si>
  <si>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</si>
  <si>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</si>
  <si>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</si>
  <si>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</si>
  <si>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</si>
  <si>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</si>
  <si>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</si>
  <si>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</si>
  <si>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</si>
  <si>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</si>
  <si>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</si>
  <si>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</si>
  <si>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</si>
  <si>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</si>
  <si>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</si>
  <si>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</si>
  <si>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</si>
  <si>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PROD. MEDICO/FARMACEUTICOS/LAB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</si>
  <si>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</si>
  <si>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</si>
  <si>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</si>
  <si>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</si>
  <si>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</si>
  <si>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</si>
  <si>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</si>
  <si>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</si>
  <si>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</si>
  <si>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</si>
  <si>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2 TRIMESTRE- AÑO 2021</t>
  </si>
  <si>
    <t>SI</t>
  </si>
  <si>
    <t>2° trimestre</t>
  </si>
  <si>
    <t>10 dias corridos desde la firma del instrumento contractual</t>
  </si>
  <si>
    <t>30 dias corridos</t>
  </si>
  <si>
    <t>INSULINA NPH HUMANA 100 UI FCO AMP 10 ML</t>
  </si>
  <si>
    <t>INSULINA CORRIENTE HUMANA 100 UI FCO AMP 10 ML</t>
  </si>
  <si>
    <t>No deben tener vencimiento menor a un (1) año</t>
  </si>
  <si>
    <t>2.5.2</t>
  </si>
  <si>
    <t xml:space="preserve">Especificidades Item N° : 1 y 2 </t>
  </si>
  <si>
    <t xml:space="preserve">Servicio de Farmcia </t>
  </si>
  <si>
    <t xml:space="preserve"> Adquisición de Productos Medicos anti-diabeticos e insulinas </t>
  </si>
  <si>
    <t>Costo total estimado: SIENTO SETENTA Y UN MIL TRESCIENTOS SESENTA CON 00/100</t>
  </si>
  <si>
    <t>N° 50/2021</t>
  </si>
  <si>
    <t>TOTAL DE PESOS: SIENTO SETENTA Y UN MIL TRESCIENTOS SESENTA CON 00/100</t>
  </si>
  <si>
    <t>Para la adquisición de Adquisición Productos Medicos anti-diabeticos e insulinas , para ser destinados Servicio de Farmacia, de  la Maternidad Provincial 25 de Mayo.-</t>
  </si>
  <si>
    <t>"Autorizo la realización de los  trámites correspondientes, a fin de proveer a  este Organismo los bienes y/o servicios que se detallan en Nota  de Pedido N° 50/2021 ,  afectando la erogación resultante a los créditos presupuestarios aprobados a favor de esta Unidad Ejecutora, conforme al siguiente detalle:"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</si>
</sst>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</borders>
  <cellStyleXfs count="9">
    <xf numFmtId="0" fontId="0" fillId="0" borderId="0"/>
    <xf numFmtId="0" fontId="6" fillId="0" borderId="1" applyProtection="0"/>
    <xf numFmtId="164" fontId="7" fillId="0" borderId="0" applyBorder="0" applyProtection="0"/>
    <xf numFmtId="0" fontId="8" fillId="2" borderId="0" applyBorder="0" applyProtection="0"/>
    <xf numFmtId="165" fontId="15" fillId="0" borderId="0" applyBorder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5" fillId="6" borderId="0" applyNumberFormat="0" applyBorder="0" applyAlignment="0" applyProtection="0"/>
    <xf numFmtId="0" fontId="2" fillId="7" borderId="0" applyNumberFormat="0" applyBorder="0" applyAlignment="0" applyProtection="0"/>
  </cellStyleXfs>
  <cellXfs count="166">
    <xf numFmtId="0" fontId="0" fillId="0" borderId="0" xfId="0"/>
    <xf numFmtId="0" fontId="0" fillId="0" borderId="0" xfId="0" applyBorder="1"/>
    <xf numFmtId="0" fontId="7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7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65" fontId="14" fillId="0" borderId="25" xfId="0" applyNumberFormat="1" applyFont="1" applyBorder="1" applyAlignment="1">
      <alignment horizontal="center" vertical="center"/>
    </xf>
    <xf numFmtId="0" fontId="16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165" fontId="0" fillId="0" borderId="37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19" fillId="3" borderId="0" xfId="0" applyFont="1" applyFill="1"/>
    <xf numFmtId="0" fontId="19" fillId="3" borderId="0" xfId="0" applyFont="1" applyFill="1" applyAlignment="1">
      <alignment horizontal="left" wrapText="1"/>
    </xf>
    <xf numFmtId="0" fontId="19" fillId="3" borderId="0" xfId="0" applyFont="1" applyFill="1" applyAlignment="1">
      <alignment horizontal="center" wrapText="1"/>
    </xf>
    <xf numFmtId="0" fontId="4" fillId="3" borderId="3" xfId="7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/>
    </xf>
    <xf numFmtId="0" fontId="3" fillId="3" borderId="3" xfId="7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left" wrapText="1" indent="1"/>
    </xf>
    <xf numFmtId="0" fontId="24" fillId="3" borderId="0" xfId="0" applyFont="1" applyFill="1" applyAlignment="1">
      <alignment horizontal="left" wrapText="1"/>
    </xf>
    <xf numFmtId="0" fontId="22" fillId="3" borderId="0" xfId="0" applyFont="1" applyFill="1" applyAlignment="1"/>
    <xf numFmtId="0" fontId="16" fillId="0" borderId="49" xfId="0" applyFont="1" applyBorder="1"/>
    <xf numFmtId="0" fontId="16" fillId="0" borderId="0" xfId="0" applyFont="1" applyAlignment="1">
      <alignment horizontal="center" wrapText="1"/>
    </xf>
    <xf numFmtId="0" fontId="16" fillId="0" borderId="53" xfId="0" applyFont="1" applyBorder="1"/>
    <xf numFmtId="0" fontId="16" fillId="0" borderId="0" xfId="0" applyFont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50" xfId="0" applyFont="1" applyBorder="1" applyAlignment="1">
      <alignment vertical="center"/>
    </xf>
    <xf numFmtId="0" fontId="16" fillId="0" borderId="47" xfId="0" applyFont="1" applyBorder="1" applyAlignment="1">
      <alignment horizontal="center" vertical="center"/>
    </xf>
    <xf numFmtId="0" fontId="16" fillId="0" borderId="51" xfId="0" applyFont="1" applyBorder="1" applyAlignment="1">
      <alignment vertical="center"/>
    </xf>
    <xf numFmtId="0" fontId="27" fillId="0" borderId="47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54" xfId="0" applyFont="1" applyBorder="1" applyAlignment="1">
      <alignment vertical="center"/>
    </xf>
    <xf numFmtId="0" fontId="27" fillId="0" borderId="48" xfId="0" applyFont="1" applyBorder="1" applyAlignment="1">
      <alignment horizontal="center" vertical="center"/>
    </xf>
    <xf numFmtId="0" fontId="16" fillId="0" borderId="0" xfId="0" applyFont="1" applyAlignment="1"/>
    <xf numFmtId="0" fontId="16" fillId="0" borderId="51" xfId="0" applyFont="1" applyBorder="1" applyAlignment="1"/>
    <xf numFmtId="0" fontId="16" fillId="0" borderId="0" xfId="0" applyFont="1" applyAlignment="1">
      <alignment wrapText="1"/>
    </xf>
    <xf numFmtId="0" fontId="16" fillId="0" borderId="51" xfId="0" applyFont="1" applyBorder="1" applyAlignment="1">
      <alignment wrapText="1"/>
    </xf>
    <xf numFmtId="0" fontId="29" fillId="3" borderId="5" xfId="0" applyFont="1" applyFill="1" applyBorder="1" applyAlignment="1">
      <alignment horizontal="right" vertical="center"/>
    </xf>
    <xf numFmtId="0" fontId="29" fillId="3" borderId="7" xfId="0" applyFont="1" applyFill="1" applyBorder="1" applyAlignment="1">
      <alignment vertical="center"/>
    </xf>
    <xf numFmtId="0" fontId="29" fillId="3" borderId="0" xfId="0" applyFont="1" applyFill="1" applyBorder="1" applyAlignment="1">
      <alignment vertical="center"/>
    </xf>
    <xf numFmtId="0" fontId="31" fillId="3" borderId="0" xfId="0" applyFont="1" applyFill="1" applyBorder="1" applyAlignment="1">
      <alignment horizontal="left" vertical="center"/>
    </xf>
    <xf numFmtId="0" fontId="30" fillId="3" borderId="0" xfId="0" applyFont="1" applyFill="1" applyBorder="1" applyAlignment="1">
      <alignment horizontal="left" vertical="center" wrapText="1" indent="1"/>
    </xf>
    <xf numFmtId="0" fontId="28" fillId="3" borderId="2" xfId="5" applyFont="1" applyFill="1" applyBorder="1" applyAlignment="1">
      <alignment horizontal="center" vertical="center"/>
    </xf>
    <xf numFmtId="0" fontId="28" fillId="3" borderId="3" xfId="5" applyFont="1" applyFill="1" applyBorder="1" applyAlignment="1">
      <alignment horizontal="center" vertical="center"/>
    </xf>
    <xf numFmtId="0" fontId="28" fillId="3" borderId="3" xfId="5" applyFont="1" applyFill="1" applyBorder="1" applyAlignment="1">
      <alignment horizontal="center" wrapText="1"/>
    </xf>
    <xf numFmtId="0" fontId="28" fillId="3" borderId="33" xfId="5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vertical="center"/>
    </xf>
    <xf numFmtId="0" fontId="34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vertical="center"/>
    </xf>
    <xf numFmtId="166" fontId="28" fillId="3" borderId="3" xfId="6" applyNumberFormat="1" applyFont="1" applyFill="1" applyBorder="1" applyAlignment="1" applyProtection="1">
      <alignment horizontal="center" vertical="center" wrapText="1"/>
    </xf>
    <xf numFmtId="1" fontId="29" fillId="3" borderId="0" xfId="0" applyNumberFormat="1" applyFont="1" applyFill="1" applyBorder="1" applyAlignment="1">
      <alignment vertical="center"/>
    </xf>
    <xf numFmtId="1" fontId="30" fillId="3" borderId="0" xfId="0" applyNumberFormat="1" applyFont="1" applyFill="1" applyBorder="1" applyAlignment="1">
      <alignment horizontal="left" vertical="center" wrapText="1" indent="1"/>
    </xf>
    <xf numFmtId="1" fontId="28" fillId="3" borderId="4" xfId="5" applyNumberFormat="1" applyFont="1" applyFill="1" applyBorder="1" applyAlignment="1">
      <alignment horizontal="center" vertical="center"/>
    </xf>
    <xf numFmtId="1" fontId="7" fillId="3" borderId="0" xfId="0" applyNumberFormat="1" applyFont="1" applyFill="1" applyBorder="1" applyAlignment="1">
      <alignment vertical="center"/>
    </xf>
    <xf numFmtId="0" fontId="24" fillId="3" borderId="56" xfId="0" applyFont="1" applyFill="1" applyBorder="1" applyAlignment="1">
      <alignment horizontal="center" vertical="center" wrapText="1"/>
    </xf>
    <xf numFmtId="0" fontId="24" fillId="3" borderId="57" xfId="0" applyFont="1" applyFill="1" applyBorder="1" applyAlignment="1">
      <alignment horizontal="center" vertical="center" wrapText="1"/>
    </xf>
    <xf numFmtId="0" fontId="24" fillId="3" borderId="58" xfId="0" applyFont="1" applyFill="1" applyBorder="1" applyAlignment="1">
      <alignment horizontal="center" vertical="center" wrapText="1"/>
    </xf>
    <xf numFmtId="0" fontId="30" fillId="3" borderId="59" xfId="0" applyFont="1" applyFill="1" applyBorder="1" applyAlignment="1">
      <alignment horizontal="right" vertical="center"/>
    </xf>
    <xf numFmtId="169" fontId="24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37" fillId="3" borderId="0" xfId="0" applyFont="1" applyFill="1"/>
    <xf numFmtId="169" fontId="4" fillId="3" borderId="38" xfId="7" applyNumberFormat="1" applyFont="1" applyFill="1" applyBorder="1" applyAlignment="1">
      <alignment horizontal="center" vertical="center" wrapText="1"/>
    </xf>
    <xf numFmtId="170" fontId="26" fillId="0" borderId="60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22" fillId="3" borderId="0" xfId="0" applyFont="1" applyFill="1" applyAlignment="1">
      <alignment vertical="center"/>
    </xf>
    <xf numFmtId="0" fontId="24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1" fontId="28" fillId="3" borderId="44" xfId="5" applyNumberFormat="1" applyFont="1" applyFill="1" applyBorder="1" applyAlignment="1">
      <alignment horizontal="center" vertical="center" wrapText="1"/>
    </xf>
    <xf numFmtId="0" fontId="19" fillId="3" borderId="0" xfId="0" applyFont="1" applyFill="1" applyAlignment="1">
      <alignment vertical="center"/>
    </xf>
    <xf numFmtId="0" fontId="25" fillId="3" borderId="55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169" fontId="22" fillId="3" borderId="0" xfId="0" applyNumberFormat="1" applyFont="1" applyFill="1" applyAlignment="1">
      <alignment horizontal="center"/>
    </xf>
    <xf numFmtId="169" fontId="19" fillId="3" borderId="0" xfId="0" applyNumberFormat="1" applyFont="1" applyFill="1" applyAlignment="1">
      <alignment horizontal="center"/>
    </xf>
    <xf numFmtId="169" fontId="16" fillId="0" borderId="0" xfId="0" applyNumberFormat="1" applyFont="1" applyAlignment="1">
      <alignment horizontal="center"/>
    </xf>
    <xf numFmtId="0" fontId="19" fillId="3" borderId="0" xfId="0" applyFont="1" applyFill="1" applyAlignment="1">
      <alignment wrapText="1"/>
    </xf>
    <xf numFmtId="0" fontId="0" fillId="0" borderId="53" xfId="0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53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6" fillId="0" borderId="0" xfId="0" applyFont="1" applyBorder="1"/>
    <xf numFmtId="0" fontId="16" fillId="0" borderId="0" xfId="0" applyFont="1" applyBorder="1" applyAlignment="1">
      <alignment vertical="center"/>
    </xf>
    <xf numFmtId="168" fontId="0" fillId="0" borderId="3" xfId="0" applyNumberFormat="1" applyBorder="1" applyAlignment="1">
      <alignment horizontal="center" vertical="center"/>
    </xf>
    <xf numFmtId="0" fontId="1" fillId="3" borderId="33" xfId="6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6" fillId="0" borderId="51" xfId="0" applyFont="1" applyBorder="1" applyAlignment="1">
      <alignment horizontal="center" vertical="top" wrapText="1"/>
    </xf>
    <xf numFmtId="0" fontId="38" fillId="3" borderId="0" xfId="8" applyFont="1" applyFill="1" applyAlignment="1">
      <alignment horizontal="center" vertical="center"/>
    </xf>
    <xf numFmtId="0" fontId="16" fillId="0" borderId="51" xfId="0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3" fillId="3" borderId="0" xfId="0" applyFont="1" applyFill="1" applyBorder="1" applyAlignment="1">
      <alignment horizontal="left" vertical="center" wrapText="1"/>
    </xf>
    <xf numFmtId="0" fontId="20" fillId="3" borderId="0" xfId="0" applyFont="1" applyFill="1" applyAlignment="1">
      <alignment horizontal="left" wrapText="1" indent="1"/>
    </xf>
    <xf numFmtId="0" fontId="29" fillId="3" borderId="0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left" vertical="center" wrapText="1"/>
    </xf>
    <xf numFmtId="0" fontId="30" fillId="3" borderId="9" xfId="0" applyFont="1" applyFill="1" applyBorder="1" applyAlignment="1">
      <alignment horizontal="left" vertical="center" wrapText="1" indent="1"/>
    </xf>
    <xf numFmtId="0" fontId="31" fillId="3" borderId="10" xfId="0" applyFont="1" applyFill="1" applyBorder="1" applyAlignment="1">
      <alignment horizontal="left" vertical="center" wrapText="1"/>
    </xf>
    <xf numFmtId="0" fontId="31" fillId="3" borderId="11" xfId="0" applyFont="1" applyFill="1" applyBorder="1" applyAlignment="1">
      <alignment horizontal="left" vertical="center"/>
    </xf>
    <xf numFmtId="0" fontId="30" fillId="3" borderId="12" xfId="0" applyFont="1" applyFill="1" applyBorder="1" applyAlignment="1">
      <alignment horizontal="left" vertical="center" wrapText="1" indent="1"/>
    </xf>
    <xf numFmtId="0" fontId="32" fillId="3" borderId="11" xfId="0" applyFont="1" applyFill="1" applyBorder="1" applyAlignment="1">
      <alignment horizontal="center" vertical="center"/>
    </xf>
    <xf numFmtId="0" fontId="32" fillId="3" borderId="29" xfId="0" applyFont="1" applyFill="1" applyBorder="1" applyAlignment="1">
      <alignment horizontal="center" vertical="center"/>
    </xf>
    <xf numFmtId="0" fontId="32" fillId="3" borderId="13" xfId="0" applyFont="1" applyFill="1" applyBorder="1" applyAlignment="1">
      <alignment horizontal="center" vertical="center" wrapText="1"/>
    </xf>
    <xf numFmtId="0" fontId="32" fillId="3" borderId="30" xfId="0" applyFont="1" applyFill="1" applyBorder="1" applyAlignment="1">
      <alignment horizontal="center" vertical="center" wrapText="1"/>
    </xf>
    <xf numFmtId="1" fontId="32" fillId="3" borderId="12" xfId="0" applyNumberFormat="1" applyFont="1" applyFill="1" applyBorder="1" applyAlignment="1">
      <alignment horizontal="center" vertical="center" wrapText="1"/>
    </xf>
    <xf numFmtId="1" fontId="32" fillId="3" borderId="31" xfId="0" applyNumberFormat="1" applyFont="1" applyFill="1" applyBorder="1" applyAlignment="1">
      <alignment horizontal="center" vertical="center" wrapText="1"/>
    </xf>
    <xf numFmtId="165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30" fillId="3" borderId="32" xfId="0" applyFont="1" applyFill="1" applyBorder="1" applyAlignment="1">
      <alignment horizontal="left" vertical="center" wrapText="1" indent="1"/>
    </xf>
    <xf numFmtId="0" fontId="30" fillId="3" borderId="52" xfId="0" applyFont="1" applyFill="1" applyBorder="1" applyAlignment="1">
      <alignment horizontal="left" vertical="center" wrapText="1" indent="1"/>
    </xf>
    <xf numFmtId="166" fontId="33" fillId="3" borderId="45" xfId="0" applyNumberFormat="1" applyFont="1" applyFill="1" applyBorder="1" applyAlignment="1">
      <alignment horizontal="center" vertical="center"/>
    </xf>
    <xf numFmtId="0" fontId="28" fillId="3" borderId="3" xfId="5" applyFont="1" applyFill="1" applyBorder="1" applyAlignment="1">
      <alignment horizontal="center" vertical="center" wrapText="1"/>
    </xf>
    <xf numFmtId="0" fontId="12" fillId="0" borderId="17" xfId="0" applyFont="1" applyBorder="1" applyAlignment="1"/>
    <xf numFmtId="0" fontId="12" fillId="0" borderId="18" xfId="0" applyFont="1" applyBorder="1" applyAlignment="1">
      <alignment horizontal="left" vertical="center" wrapText="1" indent="1"/>
    </xf>
    <xf numFmtId="0" fontId="14" fillId="0" borderId="16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indent="1"/>
    </xf>
    <xf numFmtId="0" fontId="13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0" fillId="0" borderId="15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7" fillId="0" borderId="6" xfId="0" applyFont="1" applyBorder="1" applyAlignment="1"/>
    <xf numFmtId="0" fontId="14" fillId="0" borderId="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left" vertical="center" wrapText="1" indent="1"/>
    </xf>
    <xf numFmtId="0" fontId="40" fillId="0" borderId="25" xfId="0" applyFont="1" applyBorder="1" applyAlignment="1">
      <alignment horizontal="left" vertical="center" wrapText="1"/>
    </xf>
    <xf numFmtId="0" fontId="15" fillId="0" borderId="16" xfId="0" applyFont="1" applyBorder="1" applyAlignment="1"/>
    <xf numFmtId="0" fontId="0" fillId="0" borderId="16" xfId="0" applyBorder="1" applyAlignment="1"/>
    <xf numFmtId="0" fontId="15" fillId="0" borderId="39" xfId="0" applyFont="1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5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10" fillId="0" borderId="14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5" fillId="0" borderId="61" xfId="0" applyFont="1" applyBorder="1" applyAlignment="1">
      <alignment horizontal="center" vertical="center" wrapText="1"/>
    </xf>
    <xf numFmtId="0" fontId="15" fillId="0" borderId="62" xfId="0" applyFont="1" applyBorder="1" applyAlignment="1">
      <alignment horizontal="center" vertical="center" wrapText="1"/>
    </xf>
    <xf numFmtId="0" fontId="4" fillId="0" borderId="3" xfId="7" applyFont="1" applyFill="1" applyBorder="1" applyAlignment="1">
      <alignment horizontal="center" vertical="center" wrapText="1"/>
    </xf>
  </cellXfs>
  <cellStyles count="9">
    <cellStyle name="20% - Énfasis2" xfId="7" builtinId="34"/>
    <cellStyle name="20% - Énfasis5" xfId="8" builtinId="46"/>
    <cellStyle name="Buena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2"/>
  <sheetViews>
    <sheetView tabSelected="1" zoomScale="80" zoomScaleNormal="80" workbookViewId="0">
      <selection activeCell="E24" sqref="E24"/>
    </sheetView>
  </sheetViews>
  <sheetFormatPr baseColWidth="10" defaultColWidth="11" defaultRowHeight="12.75" x14ac:dyDescent="0.2"/>
  <cols>
    <col min="1" max="1" width="7" style="91" customWidth="1"/>
    <col min="2" max="2" width="16.85546875" style="32" customWidth="1"/>
    <col min="3" max="3" width="23.5703125" style="97" customWidth="1"/>
    <col min="4" max="4" width="12.140625" style="32" customWidth="1"/>
    <col min="5" max="5" width="79" style="36" customWidth="1"/>
    <col min="6" max="6" width="11" style="32"/>
    <col min="7" max="7" width="12.7109375" style="91" customWidth="1"/>
    <col min="8" max="8" width="13.85546875" style="82" customWidth="1"/>
    <col min="9" max="9" width="27" style="95" customWidth="1"/>
    <col min="10" max="16384" width="11" style="18"/>
  </cols>
  <sheetData>
    <row r="2" spans="1:9" ht="27" x14ac:dyDescent="0.35">
      <c r="E2" s="40" t="s">
        <v>0</v>
      </c>
      <c r="F2" s="40"/>
      <c r="G2" s="87"/>
      <c r="I2" s="94"/>
    </row>
    <row r="4" spans="1:9" ht="18" customHeight="1" x14ac:dyDescent="0.25">
      <c r="A4" s="112" t="s">
        <v>1</v>
      </c>
      <c r="B4" s="112"/>
      <c r="C4" s="112"/>
      <c r="D4" s="112"/>
      <c r="E4" s="113" t="s">
        <v>61</v>
      </c>
      <c r="F4" s="113"/>
      <c r="G4" s="113"/>
    </row>
    <row r="5" spans="1:9" ht="18" customHeight="1" x14ac:dyDescent="0.25">
      <c r="A5" s="112" t="s">
        <v>2</v>
      </c>
      <c r="B5" s="112"/>
      <c r="C5" s="112"/>
      <c r="D5" s="112"/>
      <c r="E5" s="113" t="s">
        <v>56</v>
      </c>
      <c r="F5" s="113"/>
      <c r="G5" s="113"/>
    </row>
    <row r="6" spans="1:9" ht="16.5" customHeight="1" x14ac:dyDescent="0.25">
      <c r="A6" s="112" t="s">
        <v>3</v>
      </c>
      <c r="B6" s="112"/>
      <c r="C6" s="112"/>
      <c r="D6" s="112"/>
      <c r="E6" s="38">
        <v>2021</v>
      </c>
      <c r="F6" s="39"/>
      <c r="G6" s="88"/>
    </row>
    <row r="7" spans="1:9" ht="16.5" customHeight="1" x14ac:dyDescent="0.25">
      <c r="A7" s="112" t="s">
        <v>4</v>
      </c>
      <c r="B7" s="112"/>
      <c r="C7" s="112"/>
      <c r="D7" s="112"/>
      <c r="E7" s="38" t="s">
        <v>68</v>
      </c>
      <c r="F7" s="39"/>
      <c r="G7" s="88"/>
    </row>
    <row r="8" spans="1:9" ht="13.5" thickBot="1" x14ac:dyDescent="0.25">
      <c r="E8" s="34"/>
      <c r="F8" s="33"/>
      <c r="G8" s="89"/>
    </row>
    <row r="9" spans="1:9" ht="39" thickBot="1" x14ac:dyDescent="0.25">
      <c r="A9" s="77" t="s">
        <v>5</v>
      </c>
      <c r="B9" s="78" t="s">
        <v>6</v>
      </c>
      <c r="C9" s="78" t="s">
        <v>53</v>
      </c>
      <c r="D9" s="78" t="s">
        <v>54</v>
      </c>
      <c r="E9" s="78" t="s">
        <v>7</v>
      </c>
      <c r="F9" s="78" t="s">
        <v>8</v>
      </c>
      <c r="G9" s="79" t="s">
        <v>9</v>
      </c>
      <c r="H9" s="85" t="s">
        <v>10</v>
      </c>
      <c r="I9" s="81" t="s">
        <v>11</v>
      </c>
    </row>
    <row r="10" spans="1:9" ht="42" customHeight="1" thickBot="1" x14ac:dyDescent="0.25">
      <c r="A10" s="92">
        <v>1</v>
      </c>
      <c r="B10" s="35"/>
      <c r="C10" s="37" t="s">
        <v>55</v>
      </c>
      <c r="D10" s="105" t="s">
        <v>74</v>
      </c>
      <c r="E10" s="165" t="s">
        <v>71</v>
      </c>
      <c r="F10" s="35" t="s">
        <v>12</v>
      </c>
      <c r="G10" s="90">
        <v>40</v>
      </c>
      <c r="H10" s="104">
        <v>2142</v>
      </c>
      <c r="I10" s="84">
        <f t="shared" ref="I10:I11" si="0">G10*H10</f>
        <v>85680</v>
      </c>
    </row>
    <row r="11" spans="1:9" ht="42" customHeight="1" x14ac:dyDescent="0.2">
      <c r="A11" s="93">
        <v>2</v>
      </c>
      <c r="B11" s="35"/>
      <c r="C11" s="37" t="s">
        <v>55</v>
      </c>
      <c r="D11" s="105" t="s">
        <v>74</v>
      </c>
      <c r="E11" s="165" t="s">
        <v>72</v>
      </c>
      <c r="F11" s="35" t="s">
        <v>12</v>
      </c>
      <c r="G11" s="90">
        <v>40</v>
      </c>
      <c r="H11" s="104">
        <v>2142</v>
      </c>
      <c r="I11" s="84">
        <f t="shared" si="0"/>
        <v>85680</v>
      </c>
    </row>
    <row r="12" spans="1:9" ht="15.75" x14ac:dyDescent="0.25">
      <c r="A12" s="47"/>
      <c r="B12" s="83"/>
      <c r="E12" s="32"/>
      <c r="I12" s="96"/>
    </row>
    <row r="13" spans="1:9" x14ac:dyDescent="0.2">
      <c r="A13" s="47"/>
      <c r="B13" s="18"/>
      <c r="D13" s="18"/>
      <c r="E13" s="18"/>
      <c r="F13" s="18"/>
      <c r="I13" s="96"/>
    </row>
    <row r="14" spans="1:9" ht="13.5" customHeight="1" thickBot="1" x14ac:dyDescent="0.25">
      <c r="A14" s="47"/>
      <c r="B14" s="86"/>
      <c r="C14" s="98"/>
      <c r="D14" s="46"/>
      <c r="E14"/>
      <c r="F14" s="18"/>
      <c r="G14" s="109"/>
      <c r="H14" s="18"/>
      <c r="I14" s="18"/>
    </row>
    <row r="15" spans="1:9" ht="15" customHeight="1" x14ac:dyDescent="0.2">
      <c r="A15" s="47"/>
      <c r="B15" s="55" t="s">
        <v>75</v>
      </c>
      <c r="C15" s="99"/>
      <c r="D15" s="41"/>
      <c r="E15" s="48"/>
      <c r="F15" s="18"/>
      <c r="G15" s="109"/>
      <c r="H15" s="18"/>
      <c r="I15" s="18"/>
    </row>
    <row r="16" spans="1:9" ht="15" customHeight="1" x14ac:dyDescent="0.2">
      <c r="A16" s="47"/>
      <c r="B16" s="49"/>
      <c r="C16" s="99"/>
      <c r="D16" s="18"/>
      <c r="E16" s="50"/>
      <c r="F16" s="18"/>
      <c r="G16" s="109"/>
      <c r="H16" s="18"/>
      <c r="I16" s="18"/>
    </row>
    <row r="17" spans="1:9" ht="15" customHeight="1" x14ac:dyDescent="0.2">
      <c r="A17" s="47"/>
      <c r="B17" s="51" t="s">
        <v>57</v>
      </c>
      <c r="C17" s="99"/>
      <c r="D17" s="18"/>
      <c r="E17" s="50"/>
      <c r="F17" s="18"/>
      <c r="G17" s="109"/>
      <c r="H17" s="18"/>
      <c r="I17" s="18"/>
    </row>
    <row r="18" spans="1:9" ht="24" customHeight="1" x14ac:dyDescent="0.2">
      <c r="A18" s="47"/>
      <c r="B18" s="51"/>
      <c r="C18" s="107" t="s">
        <v>73</v>
      </c>
      <c r="D18" s="107"/>
      <c r="E18" s="108"/>
      <c r="F18" s="18"/>
      <c r="G18" s="109"/>
      <c r="H18" s="18"/>
      <c r="I18" s="18"/>
    </row>
    <row r="19" spans="1:9" ht="15" customHeight="1" x14ac:dyDescent="0.2">
      <c r="A19" s="47"/>
      <c r="B19" s="52" t="s">
        <v>63</v>
      </c>
      <c r="C19" s="106" t="s">
        <v>69</v>
      </c>
      <c r="D19" s="106"/>
      <c r="E19" s="106"/>
      <c r="F19" s="18"/>
      <c r="G19" s="109"/>
      <c r="H19" s="18"/>
      <c r="I19" s="18"/>
    </row>
    <row r="20" spans="1:9" ht="15" customHeight="1" x14ac:dyDescent="0.2">
      <c r="A20" s="47"/>
      <c r="B20" s="111"/>
      <c r="C20" s="111"/>
      <c r="D20" s="111"/>
      <c r="E20" s="111"/>
      <c r="F20" s="18"/>
      <c r="G20" s="109"/>
      <c r="H20" s="18"/>
      <c r="I20" s="18"/>
    </row>
    <row r="21" spans="1:9" ht="24.75" customHeight="1" x14ac:dyDescent="0.2">
      <c r="A21" s="47"/>
      <c r="B21" s="49" t="s">
        <v>64</v>
      </c>
      <c r="C21" s="106" t="s">
        <v>65</v>
      </c>
      <c r="D21" s="106"/>
      <c r="E21" s="110"/>
      <c r="F21" s="18"/>
      <c r="G21" s="109"/>
      <c r="H21" s="18"/>
      <c r="I21" s="18"/>
    </row>
    <row r="22" spans="1:9" ht="15" customHeight="1" x14ac:dyDescent="0.2">
      <c r="A22" s="47"/>
      <c r="B22" s="49"/>
      <c r="C22" s="58"/>
      <c r="D22" s="56"/>
      <c r="E22" s="57"/>
      <c r="F22" s="18"/>
      <c r="G22" s="109"/>
      <c r="H22" s="18"/>
      <c r="I22" s="18"/>
    </row>
    <row r="23" spans="1:9" ht="12.75" customHeight="1" x14ac:dyDescent="0.2">
      <c r="A23" s="47"/>
      <c r="B23" s="51" t="s">
        <v>58</v>
      </c>
      <c r="C23" s="106"/>
      <c r="D23" s="106"/>
      <c r="E23" s="110"/>
      <c r="F23" s="18"/>
      <c r="G23" s="109"/>
      <c r="H23" s="18"/>
      <c r="I23" s="18"/>
    </row>
    <row r="24" spans="1:9" ht="12.75" customHeight="1" x14ac:dyDescent="0.2">
      <c r="A24" s="47"/>
      <c r="B24" s="49"/>
      <c r="C24" s="58"/>
      <c r="D24" s="58"/>
      <c r="E24" s="59"/>
      <c r="F24" s="18"/>
      <c r="G24" s="109"/>
      <c r="H24" s="18"/>
      <c r="I24" s="18"/>
    </row>
    <row r="25" spans="1:9" ht="15" customHeight="1" x14ac:dyDescent="0.2">
      <c r="A25" s="47"/>
      <c r="B25" s="51" t="s">
        <v>59</v>
      </c>
      <c r="C25" s="44"/>
      <c r="D25" s="42"/>
      <c r="E25" s="45"/>
      <c r="F25" s="18"/>
      <c r="G25" s="109"/>
      <c r="H25" s="18"/>
      <c r="I25" s="18"/>
    </row>
    <row r="26" spans="1:9" ht="15" customHeight="1" x14ac:dyDescent="0.2">
      <c r="A26" s="47"/>
      <c r="B26" s="49"/>
      <c r="C26" s="58"/>
      <c r="D26" s="58"/>
      <c r="E26" s="59" t="s">
        <v>70</v>
      </c>
      <c r="F26" s="18"/>
      <c r="G26" s="109"/>
      <c r="H26" s="18"/>
      <c r="I26" s="18"/>
    </row>
    <row r="27" spans="1:9" ht="15" customHeight="1" x14ac:dyDescent="0.2">
      <c r="A27" s="47"/>
      <c r="B27" s="51" t="s">
        <v>60</v>
      </c>
      <c r="C27" s="99"/>
      <c r="D27" s="18"/>
      <c r="E27" s="50"/>
      <c r="F27" s="18"/>
      <c r="G27" s="109"/>
      <c r="H27" s="18"/>
      <c r="I27" s="18"/>
    </row>
    <row r="28" spans="1:9" ht="15" customHeight="1" x14ac:dyDescent="0.2">
      <c r="A28" s="47"/>
      <c r="B28" s="51"/>
      <c r="C28" s="58"/>
      <c r="D28" s="56"/>
      <c r="E28" s="57"/>
      <c r="F28" s="18"/>
      <c r="G28" s="109"/>
      <c r="H28" s="18"/>
      <c r="I28" s="18"/>
    </row>
    <row r="29" spans="1:9" ht="12.75" customHeight="1" thickBot="1" x14ac:dyDescent="0.25">
      <c r="A29" s="47"/>
      <c r="B29" s="53"/>
      <c r="C29" s="100"/>
      <c r="D29" s="43"/>
      <c r="E29" s="54"/>
      <c r="F29" s="18"/>
      <c r="G29" s="109"/>
      <c r="H29" s="18"/>
      <c r="I29" s="18"/>
    </row>
    <row r="30" spans="1:9" ht="12.75" customHeight="1" x14ac:dyDescent="0.2">
      <c r="A30" s="47"/>
      <c r="B30" s="86"/>
      <c r="C30" s="101"/>
      <c r="D30" s="102"/>
      <c r="E30" s="103"/>
      <c r="F30" s="18"/>
      <c r="G30" s="109"/>
      <c r="H30" s="18"/>
      <c r="I30" s="18"/>
    </row>
    <row r="31" spans="1:9" x14ac:dyDescent="0.2">
      <c r="I31" s="96"/>
    </row>
    <row r="32" spans="1:9" x14ac:dyDescent="0.2">
      <c r="I32" s="96"/>
    </row>
    <row r="33" spans="9:9" x14ac:dyDescent="0.2">
      <c r="I33" s="96"/>
    </row>
    <row r="34" spans="9:9" x14ac:dyDescent="0.2">
      <c r="I34" s="96"/>
    </row>
    <row r="35" spans="9:9" x14ac:dyDescent="0.2">
      <c r="I35" s="96"/>
    </row>
    <row r="36" spans="9:9" ht="27" customHeight="1" x14ac:dyDescent="0.2">
      <c r="I36" s="96"/>
    </row>
    <row r="37" spans="9:9" x14ac:dyDescent="0.2">
      <c r="I37" s="96"/>
    </row>
    <row r="38" spans="9:9" x14ac:dyDescent="0.2">
      <c r="I38" s="96"/>
    </row>
    <row r="39" spans="9:9" x14ac:dyDescent="0.2">
      <c r="I39" s="96"/>
    </row>
    <row r="40" spans="9:9" x14ac:dyDescent="0.2">
      <c r="I40" s="96"/>
    </row>
    <row r="41" spans="9:9" x14ac:dyDescent="0.2">
      <c r="I41" s="96"/>
    </row>
    <row r="42" spans="9:9" x14ac:dyDescent="0.2">
      <c r="I42" s="96"/>
    </row>
    <row r="43" spans="9:9" x14ac:dyDescent="0.2">
      <c r="I43" s="96"/>
    </row>
    <row r="44" spans="9:9" x14ac:dyDescent="0.2">
      <c r="I44" s="96"/>
    </row>
    <row r="45" spans="9:9" x14ac:dyDescent="0.2">
      <c r="I45" s="96"/>
    </row>
    <row r="46" spans="9:9" x14ac:dyDescent="0.2">
      <c r="I46" s="96"/>
    </row>
    <row r="47" spans="9:9" x14ac:dyDescent="0.2">
      <c r="I47" s="96"/>
    </row>
    <row r="48" spans="9:9" x14ac:dyDescent="0.2">
      <c r="I48" s="96"/>
    </row>
    <row r="49" spans="9:9" x14ac:dyDescent="0.2">
      <c r="I49" s="96"/>
    </row>
    <row r="50" spans="9:9" x14ac:dyDescent="0.2">
      <c r="I50" s="96"/>
    </row>
    <row r="51" spans="9:9" x14ac:dyDescent="0.2">
      <c r="I51" s="96"/>
    </row>
    <row r="52" spans="9:9" x14ac:dyDescent="0.2">
      <c r="I52" s="96"/>
    </row>
    <row r="53" spans="9:9" x14ac:dyDescent="0.2">
      <c r="I53" s="96"/>
    </row>
    <row r="54" spans="9:9" x14ac:dyDescent="0.2">
      <c r="I54" s="96"/>
    </row>
    <row r="55" spans="9:9" x14ac:dyDescent="0.2">
      <c r="I55" s="96"/>
    </row>
    <row r="56" spans="9:9" x14ac:dyDescent="0.2">
      <c r="I56" s="96"/>
    </row>
    <row r="57" spans="9:9" x14ac:dyDescent="0.2">
      <c r="I57" s="96"/>
    </row>
    <row r="58" spans="9:9" x14ac:dyDescent="0.2">
      <c r="I58" s="96"/>
    </row>
    <row r="59" spans="9:9" x14ac:dyDescent="0.2">
      <c r="I59" s="96"/>
    </row>
    <row r="60" spans="9:9" x14ac:dyDescent="0.2">
      <c r="I60" s="96"/>
    </row>
    <row r="61" spans="9:9" x14ac:dyDescent="0.2">
      <c r="I61" s="96"/>
    </row>
    <row r="62" spans="9:9" x14ac:dyDescent="0.2">
      <c r="I62" s="96"/>
    </row>
    <row r="63" spans="9:9" x14ac:dyDescent="0.2">
      <c r="I63" s="96"/>
    </row>
    <row r="64" spans="9:9" x14ac:dyDescent="0.2">
      <c r="I64" s="96"/>
    </row>
    <row r="65" spans="9:9" x14ac:dyDescent="0.2">
      <c r="I65" s="96"/>
    </row>
    <row r="66" spans="9:9" x14ac:dyDescent="0.2">
      <c r="I66" s="96"/>
    </row>
    <row r="67" spans="9:9" x14ac:dyDescent="0.2">
      <c r="I67" s="96"/>
    </row>
    <row r="68" spans="9:9" x14ac:dyDescent="0.2">
      <c r="I68" s="96"/>
    </row>
    <row r="69" spans="9:9" x14ac:dyDescent="0.2">
      <c r="I69" s="96"/>
    </row>
    <row r="70" spans="9:9" x14ac:dyDescent="0.2">
      <c r="I70" s="96"/>
    </row>
    <row r="71" spans="9:9" x14ac:dyDescent="0.2">
      <c r="I71" s="96"/>
    </row>
    <row r="72" spans="9:9" x14ac:dyDescent="0.2">
      <c r="I72" s="96"/>
    </row>
    <row r="73" spans="9:9" x14ac:dyDescent="0.2">
      <c r="I73" s="96"/>
    </row>
    <row r="74" spans="9:9" x14ac:dyDescent="0.2">
      <c r="I74" s="96"/>
    </row>
    <row r="75" spans="9:9" x14ac:dyDescent="0.2">
      <c r="I75" s="96"/>
    </row>
    <row r="76" spans="9:9" x14ac:dyDescent="0.2">
      <c r="I76" s="96"/>
    </row>
    <row r="77" spans="9:9" x14ac:dyDescent="0.2">
      <c r="I77" s="96"/>
    </row>
    <row r="78" spans="9:9" x14ac:dyDescent="0.2">
      <c r="I78" s="96"/>
    </row>
    <row r="79" spans="9:9" x14ac:dyDescent="0.2">
      <c r="I79" s="96"/>
    </row>
    <row r="80" spans="9:9" x14ac:dyDescent="0.2">
      <c r="I80" s="96"/>
    </row>
    <row r="81" spans="9:9" x14ac:dyDescent="0.2">
      <c r="I81" s="96"/>
    </row>
    <row r="82" spans="9:9" x14ac:dyDescent="0.2">
      <c r="I82" s="96"/>
    </row>
    <row r="83" spans="9:9" x14ac:dyDescent="0.2">
      <c r="I83" s="96"/>
    </row>
    <row r="84" spans="9:9" x14ac:dyDescent="0.2">
      <c r="I84" s="96"/>
    </row>
    <row r="85" spans="9:9" x14ac:dyDescent="0.2">
      <c r="I85" s="96"/>
    </row>
    <row r="86" spans="9:9" x14ac:dyDescent="0.2">
      <c r="I86" s="96"/>
    </row>
    <row r="87" spans="9:9" x14ac:dyDescent="0.2">
      <c r="I87" s="96"/>
    </row>
    <row r="88" spans="9:9" x14ac:dyDescent="0.2">
      <c r="I88" s="96"/>
    </row>
    <row r="89" spans="9:9" x14ac:dyDescent="0.2">
      <c r="I89" s="96"/>
    </row>
    <row r="90" spans="9:9" x14ac:dyDescent="0.2">
      <c r="I90" s="96"/>
    </row>
    <row r="91" spans="9:9" x14ac:dyDescent="0.2">
      <c r="I91" s="96"/>
    </row>
    <row r="92" spans="9:9" x14ac:dyDescent="0.2">
      <c r="I92" s="96"/>
    </row>
    <row r="93" spans="9:9" x14ac:dyDescent="0.2">
      <c r="I93" s="96"/>
    </row>
    <row r="94" spans="9:9" x14ac:dyDescent="0.2">
      <c r="I94" s="96"/>
    </row>
    <row r="95" spans="9:9" x14ac:dyDescent="0.2">
      <c r="I95" s="96"/>
    </row>
    <row r="96" spans="9:9" x14ac:dyDescent="0.2">
      <c r="I96" s="96"/>
    </row>
    <row r="97" spans="9:9" x14ac:dyDescent="0.2">
      <c r="I97" s="96"/>
    </row>
    <row r="98" spans="9:9" x14ac:dyDescent="0.2">
      <c r="I98" s="96"/>
    </row>
    <row r="99" spans="9:9" x14ac:dyDescent="0.2">
      <c r="I99" s="96"/>
    </row>
    <row r="100" spans="9:9" x14ac:dyDescent="0.2">
      <c r="I100" s="96"/>
    </row>
    <row r="101" spans="9:9" x14ac:dyDescent="0.2">
      <c r="I101" s="96"/>
    </row>
    <row r="102" spans="9:9" x14ac:dyDescent="0.2">
      <c r="I102" s="96"/>
    </row>
    <row r="103" spans="9:9" x14ac:dyDescent="0.2">
      <c r="I103" s="96"/>
    </row>
    <row r="104" spans="9:9" x14ac:dyDescent="0.2">
      <c r="I104" s="96"/>
    </row>
    <row r="105" spans="9:9" x14ac:dyDescent="0.2">
      <c r="I105" s="96"/>
    </row>
    <row r="106" spans="9:9" x14ac:dyDescent="0.2">
      <c r="I106" s="96"/>
    </row>
    <row r="107" spans="9:9" x14ac:dyDescent="0.2">
      <c r="I107" s="96"/>
    </row>
    <row r="108" spans="9:9" x14ac:dyDescent="0.2">
      <c r="I108" s="96"/>
    </row>
    <row r="109" spans="9:9" x14ac:dyDescent="0.2">
      <c r="I109" s="96"/>
    </row>
    <row r="110" spans="9:9" x14ac:dyDescent="0.2">
      <c r="I110" s="96"/>
    </row>
    <row r="111" spans="9:9" x14ac:dyDescent="0.2">
      <c r="I111" s="96"/>
    </row>
    <row r="112" spans="9:9" x14ac:dyDescent="0.2">
      <c r="I112" s="96"/>
    </row>
    <row r="113" spans="9:9" x14ac:dyDescent="0.2">
      <c r="I113" s="96"/>
    </row>
    <row r="114" spans="9:9" x14ac:dyDescent="0.2">
      <c r="I114" s="96"/>
    </row>
    <row r="115" spans="9:9" x14ac:dyDescent="0.2">
      <c r="I115" s="96"/>
    </row>
    <row r="116" spans="9:9" x14ac:dyDescent="0.2">
      <c r="I116" s="96"/>
    </row>
    <row r="117" spans="9:9" x14ac:dyDescent="0.2">
      <c r="I117" s="96"/>
    </row>
    <row r="118" spans="9:9" x14ac:dyDescent="0.2">
      <c r="I118" s="96"/>
    </row>
    <row r="119" spans="9:9" x14ac:dyDescent="0.2">
      <c r="I119" s="96"/>
    </row>
    <row r="120" spans="9:9" x14ac:dyDescent="0.2">
      <c r="I120" s="96"/>
    </row>
    <row r="121" spans="9:9" x14ac:dyDescent="0.2">
      <c r="I121" s="96"/>
    </row>
    <row r="122" spans="9:9" x14ac:dyDescent="0.2">
      <c r="I122" s="96"/>
    </row>
    <row r="123" spans="9:9" x14ac:dyDescent="0.2">
      <c r="I123" s="96"/>
    </row>
    <row r="124" spans="9:9" x14ac:dyDescent="0.2">
      <c r="I124" s="96"/>
    </row>
    <row r="125" spans="9:9" x14ac:dyDescent="0.2">
      <c r="I125" s="96"/>
    </row>
    <row r="126" spans="9:9" x14ac:dyDescent="0.2">
      <c r="I126" s="96"/>
    </row>
    <row r="127" spans="9:9" x14ac:dyDescent="0.2">
      <c r="I127" s="96"/>
    </row>
    <row r="128" spans="9:9" x14ac:dyDescent="0.2">
      <c r="I128" s="96"/>
    </row>
    <row r="129" spans="9:9" x14ac:dyDescent="0.2">
      <c r="I129" s="96"/>
    </row>
    <row r="130" spans="9:9" x14ac:dyDescent="0.2">
      <c r="I130" s="96"/>
    </row>
    <row r="131" spans="9:9" x14ac:dyDescent="0.2">
      <c r="I131" s="96"/>
    </row>
    <row r="132" spans="9:9" x14ac:dyDescent="0.2">
      <c r="I132" s="96"/>
    </row>
    <row r="133" spans="9:9" x14ac:dyDescent="0.2">
      <c r="I133" s="96"/>
    </row>
    <row r="134" spans="9:9" x14ac:dyDescent="0.2">
      <c r="I134" s="96"/>
    </row>
    <row r="135" spans="9:9" x14ac:dyDescent="0.2">
      <c r="I135" s="96"/>
    </row>
    <row r="136" spans="9:9" x14ac:dyDescent="0.2">
      <c r="I136" s="96"/>
    </row>
    <row r="137" spans="9:9" x14ac:dyDescent="0.2">
      <c r="I137" s="96"/>
    </row>
    <row r="138" spans="9:9" x14ac:dyDescent="0.2">
      <c r="I138" s="96"/>
    </row>
    <row r="139" spans="9:9" x14ac:dyDescent="0.2">
      <c r="I139" s="96"/>
    </row>
    <row r="140" spans="9:9" x14ac:dyDescent="0.2">
      <c r="I140" s="96"/>
    </row>
    <row r="141" spans="9:9" x14ac:dyDescent="0.2">
      <c r="I141" s="96"/>
    </row>
    <row r="142" spans="9:9" x14ac:dyDescent="0.2">
      <c r="I142" s="96"/>
    </row>
    <row r="143" spans="9:9" x14ac:dyDescent="0.2">
      <c r="I143" s="96"/>
    </row>
    <row r="144" spans="9:9" x14ac:dyDescent="0.2">
      <c r="I144" s="96"/>
    </row>
    <row r="145" spans="9:9" x14ac:dyDescent="0.2">
      <c r="I145" s="96"/>
    </row>
    <row r="146" spans="9:9" x14ac:dyDescent="0.2">
      <c r="I146" s="96"/>
    </row>
    <row r="147" spans="9:9" x14ac:dyDescent="0.2">
      <c r="I147" s="96"/>
    </row>
    <row r="148" spans="9:9" x14ac:dyDescent="0.2">
      <c r="I148" s="96"/>
    </row>
    <row r="149" spans="9:9" x14ac:dyDescent="0.2">
      <c r="I149" s="96"/>
    </row>
    <row r="150" spans="9:9" x14ac:dyDescent="0.2">
      <c r="I150" s="96"/>
    </row>
    <row r="151" spans="9:9" x14ac:dyDescent="0.2">
      <c r="I151" s="96"/>
    </row>
    <row r="152" spans="9:9" x14ac:dyDescent="0.2">
      <c r="I152" s="96"/>
    </row>
  </sheetData>
  <mergeCells count="12">
    <mergeCell ref="A4:D4"/>
    <mergeCell ref="A5:D5"/>
    <mergeCell ref="A6:D6"/>
    <mergeCell ref="A7:D7"/>
    <mergeCell ref="E4:G4"/>
    <mergeCell ref="E5:G5"/>
    <mergeCell ref="C19:E19"/>
    <mergeCell ref="C18:E18"/>
    <mergeCell ref="G14:G30"/>
    <mergeCell ref="C21:E21"/>
    <mergeCell ref="B20:E20"/>
    <mergeCell ref="C23:E23"/>
  </mergeCells>
  <phoneticPr fontId="21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21"/>
  <sheetViews>
    <sheetView zoomScale="68" zoomScaleNormal="68" workbookViewId="0">
      <selection activeCell="G25" sqref="G25"/>
    </sheetView>
  </sheetViews>
  <sheetFormatPr baseColWidth="10" defaultColWidth="9.140625" defaultRowHeight="12.75" x14ac:dyDescent="0.2"/>
  <cols>
    <col min="1" max="1" width="13.140625" style="69" customWidth="1"/>
    <col min="2" max="2" width="19.5703125" style="69" customWidth="1"/>
    <col min="3" max="3" width="14.140625" style="69" customWidth="1"/>
    <col min="4" max="4" width="26" style="69" customWidth="1"/>
    <col min="5" max="5" width="8" style="69" customWidth="1"/>
    <col min="6" max="6" width="7.85546875" style="69" customWidth="1"/>
    <col min="7" max="7" width="42" style="69" customWidth="1"/>
    <col min="8" max="8" width="9.28515625" style="69" customWidth="1"/>
    <col min="9" max="9" width="15.5703125" style="69" customWidth="1"/>
    <col min="10" max="10" width="20.42578125" style="69" customWidth="1"/>
    <col min="11" max="11" width="30.42578125" style="76" customWidth="1"/>
    <col min="12" max="1013" width="9.140625" style="2"/>
  </cols>
  <sheetData>
    <row r="1" spans="1:1013" ht="18" customHeight="1" x14ac:dyDescent="0.2">
      <c r="A1" s="114" t="s">
        <v>13</v>
      </c>
      <c r="B1" s="114"/>
      <c r="C1" s="114"/>
      <c r="D1" s="114"/>
      <c r="E1" s="114"/>
      <c r="F1" s="114"/>
      <c r="G1" s="114"/>
      <c r="H1" s="114"/>
      <c r="I1" s="114"/>
      <c r="J1" s="60"/>
      <c r="K1" s="80" t="s">
        <v>79</v>
      </c>
    </row>
    <row r="2" spans="1:1013" ht="18.75" customHeight="1" thickBot="1" x14ac:dyDescent="0.25">
      <c r="A2" s="61"/>
      <c r="B2" s="61"/>
      <c r="C2" s="61"/>
      <c r="D2" s="62"/>
      <c r="E2" s="62"/>
      <c r="F2" s="62"/>
      <c r="G2" s="62"/>
      <c r="H2" s="62"/>
      <c r="I2" s="62"/>
      <c r="J2" s="62"/>
      <c r="K2" s="73"/>
    </row>
    <row r="3" spans="1:1013" ht="18.75" customHeight="1" thickBot="1" x14ac:dyDescent="0.25">
      <c r="A3" s="115" t="s">
        <v>14</v>
      </c>
      <c r="B3" s="115"/>
      <c r="C3" s="115"/>
      <c r="D3" s="116" t="s">
        <v>62</v>
      </c>
      <c r="E3" s="116"/>
      <c r="F3" s="116"/>
      <c r="G3" s="116"/>
      <c r="H3" s="116"/>
      <c r="I3" s="116"/>
      <c r="J3" s="116"/>
      <c r="K3" s="116"/>
    </row>
    <row r="4" spans="1:1013" ht="18.75" customHeight="1" thickBot="1" x14ac:dyDescent="0.25">
      <c r="A4" s="117" t="s">
        <v>15</v>
      </c>
      <c r="B4" s="117"/>
      <c r="C4" s="117"/>
      <c r="D4" s="116" t="s">
        <v>56</v>
      </c>
      <c r="E4" s="116"/>
      <c r="F4" s="116"/>
      <c r="G4" s="116"/>
      <c r="H4" s="116"/>
      <c r="I4" s="116"/>
      <c r="J4" s="116"/>
      <c r="K4" s="116"/>
    </row>
    <row r="5" spans="1:1013" ht="18.75" customHeight="1" thickBot="1" x14ac:dyDescent="0.25">
      <c r="A5" s="117" t="s">
        <v>16</v>
      </c>
      <c r="B5" s="117"/>
      <c r="C5" s="117"/>
      <c r="D5" s="116" t="s">
        <v>51</v>
      </c>
      <c r="E5" s="116"/>
      <c r="F5" s="116"/>
      <c r="G5" s="116"/>
      <c r="H5" s="116"/>
      <c r="I5" s="116"/>
      <c r="J5" s="116"/>
      <c r="K5" s="116"/>
    </row>
    <row r="6" spans="1:1013" ht="16.5" customHeight="1" thickBot="1" x14ac:dyDescent="0.25">
      <c r="A6" s="115" t="s">
        <v>17</v>
      </c>
      <c r="B6" s="115"/>
      <c r="C6" s="115"/>
      <c r="D6" s="116" t="s">
        <v>76</v>
      </c>
      <c r="E6" s="116"/>
      <c r="F6" s="116"/>
      <c r="G6" s="116"/>
      <c r="H6" s="116"/>
      <c r="I6" s="116"/>
      <c r="J6" s="116"/>
      <c r="K6" s="116"/>
    </row>
    <row r="7" spans="1:1013" ht="16.5" customHeight="1" thickBot="1" x14ac:dyDescent="0.25">
      <c r="A7" s="117" t="s">
        <v>18</v>
      </c>
      <c r="B7" s="117"/>
      <c r="C7" s="117"/>
      <c r="D7" s="116" t="s">
        <v>66</v>
      </c>
      <c r="E7" s="116"/>
      <c r="F7" s="116"/>
      <c r="G7" s="116"/>
      <c r="H7" s="116"/>
      <c r="I7" s="116"/>
      <c r="J7" s="116"/>
      <c r="K7" s="116"/>
    </row>
    <row r="8" spans="1:1013" ht="16.5" customHeight="1" thickBot="1" x14ac:dyDescent="0.25">
      <c r="A8" s="118" t="s">
        <v>19</v>
      </c>
      <c r="B8" s="118"/>
      <c r="C8" s="118"/>
      <c r="D8" s="119" t="s">
        <v>77</v>
      </c>
      <c r="E8" s="119"/>
      <c r="F8" s="119"/>
      <c r="G8" s="119"/>
      <c r="H8" s="119"/>
      <c r="I8" s="119"/>
      <c r="J8" s="119"/>
      <c r="K8" s="119"/>
    </row>
    <row r="9" spans="1:1013" ht="16.5" thickBot="1" x14ac:dyDescent="0.25">
      <c r="A9" s="63"/>
      <c r="B9" s="63"/>
      <c r="C9" s="63"/>
      <c r="D9" s="64"/>
      <c r="E9" s="64"/>
      <c r="F9" s="64"/>
      <c r="G9" s="64"/>
      <c r="H9" s="64"/>
      <c r="I9" s="64"/>
      <c r="J9" s="64"/>
      <c r="K9" s="74"/>
    </row>
    <row r="10" spans="1:1013" ht="18.75" customHeight="1" thickBot="1" x14ac:dyDescent="0.25">
      <c r="A10" s="120" t="s">
        <v>20</v>
      </c>
      <c r="B10" s="122" t="s">
        <v>21</v>
      </c>
      <c r="C10" s="122" t="s">
        <v>22</v>
      </c>
      <c r="D10" s="122"/>
      <c r="E10" s="122"/>
      <c r="F10" s="122"/>
      <c r="G10" s="122"/>
      <c r="H10" s="122" t="s">
        <v>23</v>
      </c>
      <c r="I10" s="122" t="s">
        <v>24</v>
      </c>
      <c r="J10" s="122" t="s">
        <v>25</v>
      </c>
      <c r="K10" s="124" t="s">
        <v>26</v>
      </c>
    </row>
    <row r="11" spans="1:1013" ht="24" customHeight="1" thickBot="1" x14ac:dyDescent="0.25">
      <c r="A11" s="121"/>
      <c r="B11" s="123"/>
      <c r="C11" s="123"/>
      <c r="D11" s="123"/>
      <c r="E11" s="123"/>
      <c r="F11" s="123"/>
      <c r="G11" s="123"/>
      <c r="H11" s="123"/>
      <c r="I11" s="123"/>
      <c r="J11" s="123"/>
      <c r="K11" s="125"/>
      <c r="ALW11"/>
      <c r="ALX11"/>
      <c r="ALY11"/>
    </row>
    <row r="12" spans="1:1013" ht="43.5" customHeight="1" thickBot="1" x14ac:dyDescent="0.3">
      <c r="A12" s="65">
        <f>'Necesidades Trimestrales'!A10</f>
        <v>1</v>
      </c>
      <c r="B12" s="68">
        <f>'Necesidades Trimestrales'!B10</f>
        <v>0</v>
      </c>
      <c r="C12" s="131" t="str">
        <f>'Necesidades Trimestrales'!E10</f>
        <v>INSULINA NPH HUMANA 100 UI FCO AMP 10 ML</v>
      </c>
      <c r="D12" s="131"/>
      <c r="E12" s="131"/>
      <c r="F12" s="131"/>
      <c r="G12" s="131"/>
      <c r="H12" s="66" t="s">
        <v>27</v>
      </c>
      <c r="I12" s="67" t="str">
        <f>'Necesidades Trimestrales'!F10</f>
        <v>UNIDAD</v>
      </c>
      <c r="J12" s="72">
        <f>'Necesidades Trimestrales'!H10</f>
        <v>2142</v>
      </c>
      <c r="K12" s="75">
        <f>'Necesidades Trimestrales'!G10</f>
        <v>40</v>
      </c>
    </row>
    <row r="13" spans="1:1013" ht="43.5" customHeight="1" x14ac:dyDescent="0.25">
      <c r="A13" s="65">
        <f>'Necesidades Trimestrales'!A11</f>
        <v>2</v>
      </c>
      <c r="B13" s="68">
        <f>'Necesidades Trimestrales'!B11</f>
        <v>0</v>
      </c>
      <c r="C13" s="131" t="str">
        <f>'Necesidades Trimestrales'!E11</f>
        <v>INSULINA CORRIENTE HUMANA 100 UI FCO AMP 10 ML</v>
      </c>
      <c r="D13" s="131"/>
      <c r="E13" s="131"/>
      <c r="F13" s="131"/>
      <c r="G13" s="131"/>
      <c r="H13" s="66" t="s">
        <v>67</v>
      </c>
      <c r="I13" s="67" t="str">
        <f>'Necesidades Trimestrales'!F11</f>
        <v>UNIDAD</v>
      </c>
      <c r="J13" s="72">
        <f>'Necesidades Trimestrales'!H11</f>
        <v>2142</v>
      </c>
      <c r="K13" s="75">
        <f>'Necesidades Trimestrales'!G11</f>
        <v>40</v>
      </c>
    </row>
    <row r="14" spans="1:1013" ht="41.25" customHeight="1" thickBot="1" x14ac:dyDescent="0.25">
      <c r="A14" s="128" t="s">
        <v>78</v>
      </c>
      <c r="B14" s="128"/>
      <c r="C14" s="128"/>
      <c r="D14" s="128"/>
      <c r="E14" s="128"/>
      <c r="F14" s="128"/>
      <c r="G14" s="128"/>
      <c r="H14" s="128"/>
      <c r="I14" s="129"/>
      <c r="J14" s="130">
        <f>SUMPRODUCT(J12:J13*K12:K13)</f>
        <v>171360</v>
      </c>
      <c r="K14" s="130"/>
    </row>
    <row r="17" spans="4:11" x14ac:dyDescent="0.2">
      <c r="J17" s="126"/>
      <c r="K17" s="127"/>
    </row>
    <row r="18" spans="4:11" ht="15" x14ac:dyDescent="0.2">
      <c r="D18" s="70"/>
      <c r="E18" s="70"/>
      <c r="F18" s="70"/>
      <c r="G18" s="70"/>
      <c r="H18" s="70"/>
      <c r="I18" s="70"/>
    </row>
    <row r="19" spans="4:11" ht="15" x14ac:dyDescent="0.2">
      <c r="D19" s="70"/>
      <c r="E19" s="70"/>
      <c r="F19" s="70"/>
      <c r="G19" s="70"/>
      <c r="H19" s="70"/>
      <c r="I19" s="70"/>
    </row>
    <row r="20" spans="4:11" ht="15" x14ac:dyDescent="0.2">
      <c r="D20" s="70"/>
      <c r="E20" s="70"/>
      <c r="F20" s="70"/>
      <c r="G20" s="70"/>
      <c r="H20" s="70"/>
      <c r="I20" s="70"/>
    </row>
    <row r="21" spans="4:11" ht="15.75" x14ac:dyDescent="0.2">
      <c r="D21" s="71"/>
      <c r="E21" s="70"/>
      <c r="F21" s="70"/>
      <c r="G21" s="70"/>
      <c r="H21" s="70"/>
      <c r="I21" s="70"/>
    </row>
  </sheetData>
  <mergeCells count="25">
    <mergeCell ref="C12:G12"/>
    <mergeCell ref="C13:G13"/>
    <mergeCell ref="J17:K17"/>
    <mergeCell ref="A14:I14"/>
    <mergeCell ref="J14:K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honeticPr fontId="36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selection activeCell="V17" sqref="V1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40" t="s">
        <v>3</v>
      </c>
      <c r="B1" s="140"/>
      <c r="C1" s="140"/>
      <c r="D1" s="141">
        <v>2021</v>
      </c>
      <c r="E1" s="141"/>
      <c r="F1" s="4"/>
      <c r="G1" s="4"/>
      <c r="H1" s="5"/>
      <c r="I1" s="5"/>
      <c r="J1" s="5"/>
      <c r="K1" s="5"/>
      <c r="L1" s="5"/>
      <c r="M1" s="5"/>
      <c r="N1" s="5"/>
      <c r="P1" s="142" t="s">
        <v>28</v>
      </c>
      <c r="Q1" s="142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42"/>
      <c r="Q2" s="142"/>
    </row>
    <row r="4" spans="1:17" s="6" customFormat="1" ht="18" customHeight="1" thickBot="1" x14ac:dyDescent="0.25">
      <c r="A4" s="143" t="s">
        <v>29</v>
      </c>
      <c r="B4" s="143"/>
      <c r="C4" s="143"/>
      <c r="D4" s="143"/>
      <c r="E4" s="143"/>
      <c r="F4" s="143"/>
      <c r="G4" s="138" t="str">
        <f>' NotaPedido'!D3</f>
        <v>40- Ministerio de Salud</v>
      </c>
      <c r="H4" s="138"/>
      <c r="I4" s="138"/>
      <c r="J4" s="138"/>
      <c r="K4" s="138"/>
      <c r="L4" s="138"/>
      <c r="M4" s="138"/>
      <c r="N4" s="138"/>
      <c r="O4" s="138"/>
      <c r="P4" s="138"/>
      <c r="Q4" s="138"/>
    </row>
    <row r="5" spans="1:17" s="6" customFormat="1" ht="18" customHeight="1" thickBot="1" x14ac:dyDescent="0.25">
      <c r="A5" s="135" t="s">
        <v>15</v>
      </c>
      <c r="B5" s="136"/>
      <c r="C5" s="136"/>
      <c r="D5" s="136"/>
      <c r="E5" s="136"/>
      <c r="F5" s="137"/>
      <c r="G5" s="138" t="str">
        <f>' NotaPedido'!D4</f>
        <v>28- Maternidad Provincial 25 de Mayo</v>
      </c>
      <c r="H5" s="138"/>
      <c r="I5" s="138"/>
      <c r="J5" s="138"/>
      <c r="K5" s="138"/>
      <c r="L5" s="138"/>
      <c r="M5" s="138"/>
      <c r="N5" s="138"/>
      <c r="O5" s="138"/>
      <c r="P5" s="138"/>
      <c r="Q5" s="138"/>
    </row>
    <row r="6" spans="1:17" s="6" customFormat="1" ht="18" customHeight="1" thickBot="1" x14ac:dyDescent="0.25">
      <c r="A6" s="135" t="s">
        <v>16</v>
      </c>
      <c r="B6" s="136"/>
      <c r="C6" s="136"/>
      <c r="D6" s="136"/>
      <c r="E6" s="136"/>
      <c r="F6" s="137"/>
      <c r="G6" s="138" t="str">
        <f>' NotaPedido'!D5</f>
        <v xml:space="preserve">169- Direccion Asistencial 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</row>
    <row r="7" spans="1:17" s="6" customFormat="1" ht="18" customHeight="1" thickBot="1" x14ac:dyDescent="0.25">
      <c r="A7" s="135" t="s">
        <v>17</v>
      </c>
      <c r="B7" s="136"/>
      <c r="C7" s="136"/>
      <c r="D7" s="136"/>
      <c r="E7" s="136"/>
      <c r="F7" s="137"/>
      <c r="G7" s="138" t="str">
        <f>' NotaPedido'!D6</f>
        <v xml:space="preserve">Servicio de Farmcia </v>
      </c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17" ht="18" customHeight="1" thickBot="1" x14ac:dyDescent="0.25">
      <c r="A8" s="139" t="s">
        <v>30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ht="18" customHeight="1" x14ac:dyDescent="0.2">
      <c r="A9" s="132" t="s">
        <v>31</v>
      </c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"/>
      <c r="P9" s="1"/>
      <c r="Q9" s="7"/>
    </row>
    <row r="10" spans="1:17" ht="54.75" customHeight="1" x14ac:dyDescent="0.2">
      <c r="A10" s="133" t="s">
        <v>82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34" t="s">
        <v>32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</row>
    <row r="13" spans="1:17" ht="15.75" customHeight="1" thickBot="1" x14ac:dyDescent="0.25">
      <c r="A13" s="144" t="s">
        <v>33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5" t="s">
        <v>34</v>
      </c>
      <c r="P13" s="145"/>
      <c r="Q13" s="146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45"/>
      <c r="P14" s="145"/>
      <c r="Q14" s="146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5</v>
      </c>
      <c r="K15" s="25">
        <v>2</v>
      </c>
      <c r="L15" s="25"/>
      <c r="M15" s="26">
        <v>1</v>
      </c>
      <c r="N15" s="25" t="s">
        <v>49</v>
      </c>
      <c r="O15" s="153" t="s">
        <v>52</v>
      </c>
      <c r="P15" s="154"/>
      <c r="Q15" s="31">
        <v>171360</v>
      </c>
    </row>
    <row r="16" spans="1:17" ht="27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63"/>
      <c r="P16" s="164"/>
      <c r="Q16" s="31"/>
    </row>
    <row r="17" spans="1:17" ht="27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163"/>
      <c r="P17" s="164"/>
      <c r="Q17" s="31"/>
    </row>
    <row r="18" spans="1:17" ht="28.5" customHeight="1" x14ac:dyDescent="0.2">
      <c r="A18" s="2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55"/>
      <c r="P18" s="156"/>
      <c r="Q18" s="21"/>
    </row>
    <row r="19" spans="1:17" ht="28.5" customHeight="1" x14ac:dyDescent="0.2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9"/>
      <c r="O19" s="157"/>
      <c r="P19" s="158"/>
      <c r="Q19" s="30"/>
    </row>
    <row r="20" spans="1:17" ht="28.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3"/>
      <c r="O20" s="147"/>
      <c r="P20" s="148"/>
      <c r="Q20" s="31"/>
    </row>
    <row r="21" spans="1:17" ht="31.5" customHeight="1" thickBot="1" x14ac:dyDescent="0.25">
      <c r="A21" s="150" t="s">
        <v>80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7">
        <f>SUM(Q15:Q19)</f>
        <v>171360</v>
      </c>
    </row>
    <row r="22" spans="1:17" ht="18" customHeight="1" thickBot="1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</row>
    <row r="23" spans="1:17" ht="17.25" customHeight="1" thickBot="1" x14ac:dyDescent="0.25">
      <c r="A23" s="159" t="s">
        <v>50</v>
      </c>
      <c r="B23" s="160"/>
      <c r="C23" s="160"/>
      <c r="D23" s="160"/>
      <c r="E23" s="160"/>
      <c r="F23" s="161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</row>
    <row r="24" spans="1:17" ht="18" customHeight="1" thickBot="1" x14ac:dyDescent="0.25">
      <c r="A24" s="149" t="s">
        <v>81</v>
      </c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</row>
    <row r="25" spans="1:17" ht="26.25" customHeight="1" thickBot="1" x14ac:dyDescent="0.25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</row>
  </sheetData>
  <mergeCells count="29"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39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2021-02-26T14:25:47Z</cp:lastPrinted>
  <dcterms:created xsi:type="dcterms:W3CDTF">2020-07-17T23:44:49Z</dcterms:created>
  <dcterms:modified xsi:type="dcterms:W3CDTF">2021-03-23T15:22:31Z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