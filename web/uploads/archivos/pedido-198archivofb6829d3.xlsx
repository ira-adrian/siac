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E:\SILVINA\AGOSTO 2021\CONSOLIDADO DESCARTABLE (Desier.yFracas.II trimestre)\"/>
    </mc:Choice>
  </mc:AlternateContent>
  <xr:revisionPtr revIDLastSave="0" documentId="8_{FF8779A8-C52C-44EF-B745-2B9B3A89D08F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Trimestrales'!$A$9:$J$192</definedName>
    <definedName name="_xlnm.Print_Area" localSheetId="1">' NotaPedido'!$A$1:$K$189</definedName>
    <definedName name="_xlnm.Print_Area" localSheetId="2">'Autor Gastar'!$A$1:$Q$26</definedName>
    <definedName name="_xlnm.Print_Area" localSheetId="0">'Necesidades Trimestrales'!$E$9:$E$107</definedName>
  </definedNames>
  <calcPr calcId="181029"/>
</workbook>
</file>

<file path=xl/calcChain.xml><?xml version="1.0" encoding="utf-8"?>
<calcChain xmlns="http://schemas.openxmlformats.org/spreadsheetml/2006/main">
  <c r="K180" i="2" l="1"/>
  <c r="J180" i="2"/>
  <c r="I180" i="2"/>
  <c r="C180" i="2"/>
  <c r="C179" i="2"/>
  <c r="I178" i="1"/>
  <c r="Q22" i="3" l="1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1" i="2"/>
  <c r="K182" i="2"/>
  <c r="K183" i="2"/>
  <c r="K184" i="2"/>
  <c r="K185" i="2"/>
  <c r="K186" i="2"/>
  <c r="K187" i="2"/>
  <c r="K188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1" i="2"/>
  <c r="J182" i="2"/>
  <c r="J183" i="2"/>
  <c r="J184" i="2"/>
  <c r="J185" i="2"/>
  <c r="J186" i="2"/>
  <c r="J187" i="2"/>
  <c r="J188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81" i="2"/>
  <c r="C182" i="2"/>
  <c r="C183" i="2"/>
  <c r="C184" i="2"/>
  <c r="C185" i="2"/>
  <c r="C186" i="2"/>
  <c r="C187" i="2"/>
  <c r="C188" i="2"/>
  <c r="C155" i="2"/>
  <c r="C156" i="2"/>
  <c r="C157" i="2"/>
  <c r="C158" i="2"/>
  <c r="C159" i="2"/>
  <c r="C160" i="2"/>
  <c r="C161" i="2"/>
  <c r="C162" i="2"/>
  <c r="C163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23" i="2"/>
  <c r="C124" i="2"/>
  <c r="C125" i="2"/>
  <c r="C126" i="2"/>
  <c r="C127" i="2"/>
  <c r="C128" i="2"/>
  <c r="C129" i="2"/>
  <c r="C121" i="2"/>
  <c r="C122" i="2"/>
  <c r="C120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9" i="1"/>
  <c r="I180" i="1"/>
  <c r="I181" i="1"/>
  <c r="I182" i="1"/>
  <c r="I183" i="1"/>
  <c r="I184" i="1"/>
  <c r="I185" i="1"/>
  <c r="I186" i="1"/>
  <c r="I11" i="1"/>
  <c r="I10" i="1"/>
  <c r="C13" i="2" l="1"/>
  <c r="C14" i="2"/>
  <c r="C12" i="2"/>
  <c r="I13" i="2" l="1"/>
  <c r="K13" i="2"/>
  <c r="J13" i="2"/>
  <c r="A10" i="3" l="1"/>
  <c r="G6" i="3" l="1"/>
  <c r="D7" i="2"/>
  <c r="D3" i="2"/>
  <c r="G4" i="3" s="1"/>
  <c r="D4" i="2"/>
  <c r="G5" i="3" s="1"/>
  <c r="D1" i="3" l="1"/>
  <c r="K12" i="2"/>
  <c r="J12" i="2"/>
  <c r="J189" i="2" s="1"/>
  <c r="I12" i="2"/>
</calcChain>
</file>

<file path=xl/sharedStrings.xml><?xml version="1.0" encoding="utf-8"?>
<sst xmlns="http://schemas.openxmlformats.org/spreadsheetml/2006/main" count="980" uniqueCount="266">
  <si>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</si>
  <si>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</si>
  <si>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</si>
  <si>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</si>
  <si>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</si>
  <si>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</si>
  <si>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</si>
  <si>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</si>
  <si>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</si>
  <si>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</si>
  <si>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</si>
  <si>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</si>
  <si>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</si>
  <si>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</si>
  <si>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</si>
  <si>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</si>
  <si>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</si>
  <si>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</si>
  <si>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</si>
  <si>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</si>
  <si>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</si>
  <si>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</si>
  <si>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</si>
  <si>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</si>
  <si>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</si>
  <si>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</si>
  <si>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</si>
  <si>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</si>
  <si>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</si>
  <si>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</si>
  <si>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</si>
  <si>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</si>
  <si>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</si>
  <si>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</si>
  <si>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</si>
  <si>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</si>
  <si>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</si>
  <si>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</si>
  <si>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</si>
  <si>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</si>
  <si>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</si>
  <si>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</si>
  <si>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</si>
  <si>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</si>
  <si>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</si>
  <si>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</si>
  <si>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</si>
  <si>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</si>
  <si>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</si>
  <si>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</si>
  <si>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</si>
  <si>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</si>
  <si>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</si>
  <si>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</si>
  <si>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</si>
  <si>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</si>
  <si>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</si>
  <si>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 FARMACEUTICOS/LAB</t>
  </si>
  <si>
    <t>UTILES MENORES MEDICO, QUIRURGICO Y DE LABORATORIO</t>
  </si>
  <si>
    <t>Plazos y lugares de entrega</t>
  </si>
  <si>
    <t>Descripción técnica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</si>
  <si>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</si>
  <si>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</si>
  <si>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>SI</t>
  </si>
  <si>
    <t>AGUJA ESPINAL 18 G X 3-1/2</t>
  </si>
  <si>
    <t>AGUJA ESPINAL 19 G 3-1/2</t>
  </si>
  <si>
    <t>AGUJA ESPINAL 22 G X 1</t>
  </si>
  <si>
    <t>Aguja ESPINAL 23 G 3 1/2</t>
  </si>
  <si>
    <t>Aguja ESPINAL 25 G 3 1/2</t>
  </si>
  <si>
    <t>AGUJA ESPINAL 25G 31/2 PUNTA LAPIZ</t>
  </si>
  <si>
    <t>Aguja ESPINAL 26 G 31/2</t>
  </si>
  <si>
    <t>Aguja ESPINAL 26 G 31/2  PUNTA LAPIZ</t>
  </si>
  <si>
    <t>Aguja ESPINAL 27 G 3 1/2</t>
  </si>
  <si>
    <t xml:space="preserve">AGUJA ESPINAL 27G 3 1/2 PUNTA LAPIZ </t>
  </si>
  <si>
    <t>AGUJA P/PUNCION/ASP.16G X 70MM T/BLOODLINE</t>
  </si>
  <si>
    <t>AGUJA P/SUTURA CURVAS CV310 X 12 UNID.</t>
  </si>
  <si>
    <t>AGUJA P/SUTURA RECTA X 1</t>
  </si>
  <si>
    <t>AGUJA PARA BLOQUEO PERIFERICO CON PUNTA LAPIZ N°22</t>
  </si>
  <si>
    <t>AGUJA POLY PORT CON PUNTA T/HUBER 621</t>
  </si>
  <si>
    <t>AGUJA POLY PORT CON PUNTA T/HUBER 623</t>
  </si>
  <si>
    <t>AGUJA PUNTA CURVA HUBER Nº 20 X 25 MM</t>
  </si>
  <si>
    <t>AGUJA PUNTA CURVA HUBER Nº 21 X 25 MM</t>
  </si>
  <si>
    <t>AGUJA PUNTA CURVA HUBER Nº 22 X 25 MM</t>
  </si>
  <si>
    <t>AGUJA TROCAR X 1 - 30/12</t>
  </si>
  <si>
    <t>ALAMBRE QUIRURGICO 1,5MM X 1 MT.</t>
  </si>
  <si>
    <t>ALAMBRE QUIRURGICO 1MM X 1 MT.</t>
  </si>
  <si>
    <t>ANTEOJOS ANTI HIV X 1</t>
  </si>
  <si>
    <t>BRAZALETE PNI 1 TUBO  Nº 1  TIPO  WELCH ALLYN/DRAGUER</t>
  </si>
  <si>
    <t>BRAZALETE PNI 1 TUBO  Nº 2  TIPO  WELCH ALLYN/DRAGUER</t>
  </si>
  <si>
    <t>BRAZALETE PNI 1 TUBO  Nº 3  TIPO  WELCH ALLYN/DRAGUER</t>
  </si>
  <si>
    <t>BRAZALETE PNI 1 TUBO  Nº 4  TIPO  WELCH ALLYN/DRAGUER</t>
  </si>
  <si>
    <t>BRAZALETE PNI 2 TUBO  Nº 1  TIPO  WELCH ALLYN/DRAGUER</t>
  </si>
  <si>
    <t>BRAZALETE PNI 2 TUBO  Nº 2  TIPO  WELCH ALLYN/DRAGUER</t>
  </si>
  <si>
    <t>BRAZALETE PNI 2 TUBO  Nº 3  TIPO  WELCH ALLYN/DRAGUER</t>
  </si>
  <si>
    <t>BRAZALETE PNI 2 TUBO  Nº 4  TIPO  WELCH ALLYN/DRAGUER</t>
  </si>
  <si>
    <t>CANULA DE ASPIRACION DE CAMPO QUIRURGICO TIPO K 66</t>
  </si>
  <si>
    <t>CARTUCHO ARTERIAL I-STAT • EG7+ caja x 25 unidades</t>
  </si>
  <si>
    <t>CARTUCHO I-STAT • CHEM8+ caja x 25 unidades</t>
  </si>
  <si>
    <t>CARTUCHO I-STAT • EG7+ caja x 25 unidades</t>
  </si>
  <si>
    <t>CARTUCHO VENOSO I-STAT • CHEM8+ caja x 25 unidades</t>
  </si>
  <si>
    <t>CLAVIJAS DE ACERO 2.5 MM</t>
  </si>
  <si>
    <t>Collar Philadelfia Chico 1unidad (UNICA x 1)</t>
  </si>
  <si>
    <t>Collar Philadelfia Grande 1unidad (UNICA x 1)</t>
  </si>
  <si>
    <t>Collar Philadelfia Mediano 1unidad (UNICA x 1)</t>
  </si>
  <si>
    <t>ESTETOSCOPIO PEDIATRICO - DE CAMAPANA SIMPLE</t>
  </si>
  <si>
    <t>JUEGO DE TRANSDUCTOR SENCILLO T/DTX PLUS DT4812-BD</t>
  </si>
  <si>
    <t>KIT RESUCITADOR MANUAL NEONATAL - TIPO "FISHER PAYKEL" SIN MASCARA</t>
  </si>
  <si>
    <t>MANGO P/CANULA ASP.E IRRIGACION C/CONTROL MANUAL D</t>
  </si>
  <si>
    <t>MANGUITOS NEONATALES 1 TUBO TIPO &lt;ETHOX&gt; tamaño 1 - MODELO 5101</t>
  </si>
  <si>
    <t>MANGUITOS NEONATALES 1 TUBO TIPO &lt;ETHOX&gt; tamaño 2 - MODELO 5102</t>
  </si>
  <si>
    <t>MANGUITOS NEONATALES 1 TUBO TIPO &lt;ETHOX&gt; tamaño 3 - MODELO 5103</t>
  </si>
  <si>
    <t>MASCARA AMBU BORDE INFLABLE Nª1 (INFANTIL)</t>
  </si>
  <si>
    <t>MASCARA AMBU BORDE INFLABLE Nª2 (INFANTIL)</t>
  </si>
  <si>
    <t>MASCARA AMBU BORDE INFLABLE Nª3 (INFANTIL)</t>
  </si>
  <si>
    <t>MASCARA AMBU BORDE INFLABLE Nª4 (INFANTIL)</t>
  </si>
  <si>
    <t>MASCARA FACIAL CON BORDE INFLABLE P/RESUCITADOR MANUAL ADULTO</t>
  </si>
  <si>
    <t>MASCARA FACIAL CON BORDE INFLABLE P/RESUCITADOR MANUAL PEDIATRICA</t>
  </si>
  <si>
    <t xml:space="preserve">Mascara facial para ventilación N° 1, adulto </t>
  </si>
  <si>
    <t xml:space="preserve">Mascara facial para ventilación N° 2, adulto </t>
  </si>
  <si>
    <t>MASCARA LARINGEA N°2</t>
  </si>
  <si>
    <t>MASCARA LARINGEA N°3</t>
  </si>
  <si>
    <t xml:space="preserve">MASCARA LARINGEA N°4 </t>
  </si>
  <si>
    <t>MASCARA P/AERO-KAM SILFAB BEBES COD.PA04</t>
  </si>
  <si>
    <t>MASCARA P/AERO-KAM SILFAB NIÑOS COD.PA02</t>
  </si>
  <si>
    <t>MASCARA P/ALTA CONCENTRACION DE O2 C/RECER.PED.</t>
  </si>
  <si>
    <t>Mascaras ANESTESICA BORDE INFLABLE Nº 0 TIPO  "MERCURY"</t>
  </si>
  <si>
    <t>Mascaras ANESTESICA BORDE INFLABLE Nº 1 TIPO  "MERCURY"</t>
  </si>
  <si>
    <t>RESUCITADOR MANUAL ADULTO REUTILIZABLE</t>
  </si>
  <si>
    <t>RESUCITADOR MANUAL NEONATAL - TIPO "MERCURY" CON MANOMETRO DE PRESION Y  VALVULA DE PIT</t>
  </si>
  <si>
    <t xml:space="preserve">RESUCITADOR MANUAL PEDIATRICO REUTILIZABLE </t>
  </si>
  <si>
    <t>TENSIOMETRO+ESTETOSCOPIO NEONATAL X 1</t>
  </si>
  <si>
    <t>TENSIOMETRO+ESTETOSCOPIO PEDIATRICO X 1</t>
  </si>
  <si>
    <t>TRANSDUCTOR DE PRESION INV COMPLETO T/EDWARDS</t>
  </si>
  <si>
    <t>TUBO DE KHER DE GOMA Nº16</t>
  </si>
  <si>
    <t>TUBO DE KHER DE GOMA Nº18</t>
  </si>
  <si>
    <t>TUBO DE KHER DE GOMA Nº10</t>
  </si>
  <si>
    <t>TUBO DE KHER DE GOMA Nº12</t>
  </si>
  <si>
    <t>TUBO DE KHER DE GOMA Nº14</t>
  </si>
  <si>
    <t>TUBO DE KHER DE GOMA Nº20</t>
  </si>
  <si>
    <t>VARA ESCHMANN N° 6 mm</t>
  </si>
  <si>
    <t>VARA ESCHMANN N° 9 mm</t>
  </si>
  <si>
    <t xml:space="preserve">VENDA COBAN 10CM </t>
  </si>
  <si>
    <t>VENDA COBAN 10CM TIPO 3M</t>
  </si>
  <si>
    <t>JUEGO DE TRANSDUCTOR SENCILLO T/DTX PLUS DT4812-BD MARCA EDWARDS</t>
  </si>
  <si>
    <t>HILO DE SUTURA MONOFILAMENTO 4-0 AGUJA PS-1 3/8 CIRC 24 MM</t>
  </si>
  <si>
    <t>HILO DE SUTURA TIPO SEDA 2-0 COD K833 H</t>
  </si>
  <si>
    <t>SUT.ABS.CATGUT SIMP.2-0 C/A SH Ó CT1 X 1 UNID</t>
  </si>
  <si>
    <t>SUT.ABS.CATGUT SIMP.3-0 C/A SH/CT1 X 1 UNID</t>
  </si>
  <si>
    <t>SUT.ABS.CATGUT SIMP.4-0 C/A SH X 1 UNID.</t>
  </si>
  <si>
    <t>SUT.ABS.CATGUT SIMP.5-0 C/A RB-1 X UNID.</t>
  </si>
  <si>
    <t xml:space="preserve">SUTURA QUIRURGICA ACIDO POLIGLICOLICO Nª 8/0 J546G OFTALMOLOGICO TIPO VICRYL </t>
  </si>
  <si>
    <t>SUTURA QUIRURGICA ACIDO POLIGLICOLICO TRENZADA ABSORBIBLE Nª 7/0 J546G OFTALMOLOGICO TIPO VICRYL</t>
  </si>
  <si>
    <t>COLECTORES DE ORINA PEDIATRICO BOLSA X 1</t>
  </si>
  <si>
    <t>CONTENEDOR ALIMENTACION 250CC T/DEALER (BIOM) X 1</t>
  </si>
  <si>
    <t>GUIA ALIMENTACION BIOM-14E X 1</t>
  </si>
  <si>
    <t>MANOPLAS DE POLIETILENO X 100</t>
  </si>
  <si>
    <t>PASTA CONDUCTORA PARA ELECTRODOS X 250 GRS</t>
  </si>
  <si>
    <t>PASTA CONDUCTORA PARA ELECTRODOS X 400 GRS</t>
  </si>
  <si>
    <t>SONDA FOLEY 2V SILICONA EST. Nº6</t>
  </si>
  <si>
    <t>SONDA FOLEY 2V SILICONA EST.Nº 8</t>
  </si>
  <si>
    <t>SONDA FOLEY 2V SILICONA EST.Nº10</t>
  </si>
  <si>
    <t>SONDA FOLEY 2V SILICONA EST.Nº12</t>
  </si>
  <si>
    <t>SONDA NELATON DE GOMA Nº  8</t>
  </si>
  <si>
    <t>SONDA NELATON DE GOMA Nº 10</t>
  </si>
  <si>
    <t>SONDA NELATON DE GOMA Nº 14</t>
  </si>
  <si>
    <t>SONDA NELATON DE GOMA Nº 18</t>
  </si>
  <si>
    <t>TUBO DE LATEX  3 X 5 X METRO</t>
  </si>
  <si>
    <t>TUBO ENDOTRAQ.S/B N°6-0</t>
  </si>
  <si>
    <t>TUBO ENDOTRAQ.S/B Nº2-5</t>
  </si>
  <si>
    <t>TUBO ENDOTRAQ.S/B Nº4-0</t>
  </si>
  <si>
    <t>TUBO ENDOTRAQ.S/B Nº4-1/2</t>
  </si>
  <si>
    <t>TUBO ENDOTRAQ.S/B Nº5-0</t>
  </si>
  <si>
    <t>TUBO ENDOTRAQ.S/B Nº5-1/2</t>
  </si>
  <si>
    <t>TUBO ENDOTRAQUEALES TIPO RUSH S/B 3</t>
  </si>
  <si>
    <t>TUBO ENDOTRAQUEALES TIPO RUSH S/B 3,5</t>
  </si>
  <si>
    <t>CEPILLO P/LAVAR TUBOS MEDIANOS X 1</t>
  </si>
  <si>
    <t>CEPILLO P/LAVAR TUBOS GRANDES X 1</t>
  </si>
  <si>
    <t>Cassettes P/Sterrad NX x 5 unidades Tipo ASP</t>
  </si>
  <si>
    <t>Bolsas Termosellables P/bib 250 X 100 X 380mm TipoYellow Pack x 1000</t>
  </si>
  <si>
    <t>GASAS; TIPO: CORTADA, MEDIDA: 40 X 40 Cm, PRESENTACION: X KILO</t>
  </si>
  <si>
    <t>GASA HIDROFILA PIEZA X 1,8 KGS. TIPO HIDROSAN</t>
  </si>
  <si>
    <t xml:space="preserve">Espuma deterg. - desinf. de dispositivos medicos.Pulverizador x 750 CC. </t>
  </si>
  <si>
    <t>Compresa de Gasa Cosida; 40cm x 40cm, Rx y Cola, 5u/ doble sobre -Pouch, 50u/Caja Estéril,</t>
  </si>
  <si>
    <t>Polietileno de 40 micrones 25cm. X  100 mts. Tipo MP</t>
  </si>
  <si>
    <t>PAPEL GRADO MEDICO 120 CM X 100 MTS</t>
  </si>
  <si>
    <t>MALLA TUBULAR ALGODÓN 20 CM X 25 MTS</t>
  </si>
  <si>
    <t>LUPAS; POTENCIA: 75 Diop, DIAMETRO: 65 mm, MATERIAL LENTE: VIDRIO, ACCESORIO: C/LUZ, ARMAZON: PLASTICO, ESTRUCTURA: PLASTICO</t>
  </si>
  <si>
    <t>ROLLO EN PAPEL TERMICO  ORIGINALES 57 mm. X 20 mts.</t>
  </si>
  <si>
    <t>LIBRERIA,PAP. Y UTILES OFICINA</t>
  </si>
  <si>
    <t>BOLSA P/ANESTESIA NORMAL X 1LTS.</t>
  </si>
  <si>
    <t>BOLSA P/ANESTESIA NORMAL X 2LTS.</t>
  </si>
  <si>
    <t>BOLSA P/ANESTESIA NORMAL X 3LTS.</t>
  </si>
  <si>
    <t>BOLSA P/ANESTESIA NORMAL X 4 LTS</t>
  </si>
  <si>
    <t>BOLSA P/COLOSTOMIA NEONATAL</t>
  </si>
  <si>
    <t>CATETER DOBLE P/DIAG.NEUMONIA T/BRONCHOCATH DCD</t>
  </si>
  <si>
    <t>CATETER EPICUTANEO CAVA COD.541-50 T/SILMAG</t>
  </si>
  <si>
    <t>CLAVIJAS ULTRAFINAS 0,5 MM</t>
  </si>
  <si>
    <t>DRENAJE DE SILICONA ESTERIL TIPO DRENAJE BLAKE</t>
  </si>
  <si>
    <t>JERINGA DE BONEAU</t>
  </si>
  <si>
    <t>MANGO P/TENSIOMETRO PED.X 1</t>
  </si>
  <si>
    <t>RESUCITADOR PED.MANUAL REUTILIZABLE HAND</t>
  </si>
  <si>
    <t>SET P/ANESTESIA EPIDURAL X 1</t>
  </si>
  <si>
    <t>SONDA FOLEY TRIPLE VIA HEMATURICA Nº18</t>
  </si>
  <si>
    <t>TROCAR P/DRENAJE PLEURAL FR 10</t>
  </si>
  <si>
    <t>TROCAR P/DRENAJE PLEURAL FR 12</t>
  </si>
  <si>
    <t>TROCAR P/DRENAJE PLEURAL FR 14</t>
  </si>
  <si>
    <t>TROCAR P/DRENAJE PLEURAL FR 16</t>
  </si>
  <si>
    <t>TROCAR P/DRENAJE PLEURAL FR 18</t>
  </si>
  <si>
    <t>TROCAR P/DRENAJE PLEURAL FR 20</t>
  </si>
  <si>
    <t>TROCAR P/DRENAJE PLEURAL FR 22</t>
  </si>
  <si>
    <t>TROCAR P/DRENAJE PLEURAL FR 24</t>
  </si>
  <si>
    <t>TROCAR P/DRENAJE PLEURAL FR 28</t>
  </si>
  <si>
    <t>TROCAR P/DRENAJE PLEURAL FR 8</t>
  </si>
  <si>
    <t>TUBO DE INTUBACION SELECTIVA DERECHO CH 25</t>
  </si>
  <si>
    <t>TUBO DE INTUBACION SELECTIVA DERECHO CH 35</t>
  </si>
  <si>
    <t>VALVULA DE PIC P/MASC.AMBU</t>
  </si>
  <si>
    <t xml:space="preserve">AEROCAMARA C/ MASCARA PEDIATRICA  </t>
  </si>
  <si>
    <t>BUTERFLY N 27</t>
  </si>
  <si>
    <t>BUTERFLY Nº 19</t>
  </si>
  <si>
    <t>BUTERFLY Nº 21</t>
  </si>
  <si>
    <t>BUTERFLY Nº 23</t>
  </si>
  <si>
    <t>BUTERFLY Nº 25</t>
  </si>
  <si>
    <t>SONDA FOLEY DOBLE VIA DE LATEX RECUBIERTA CON SILICONA  Nº 14</t>
  </si>
  <si>
    <t>SONDA FOLEY DOBLE VIA DE LATEX RECUBIERTA CON SILICONA  Nº 16</t>
  </si>
  <si>
    <t>SONDA FOLEY DOBLE VIA DE LATEX RECUBIERTA CON SILICONA Nº 18</t>
  </si>
  <si>
    <t>SONDA PARA INTUBACION GASTRICA K 9</t>
  </si>
  <si>
    <t>SONDA PARA INTUBACION GASTRICA K11</t>
  </si>
  <si>
    <t>SET CATETER PERIDURAL N 20</t>
  </si>
  <si>
    <t>SET P/VIA PERCUTANEA 3FR.</t>
  </si>
  <si>
    <t>SET P/VIA PERCUTANEA 4 FR</t>
  </si>
  <si>
    <t>TUBO TRAQUEAL EN "T" COD.260/10 T/SILMAG</t>
  </si>
  <si>
    <t>TINTURA DE IODO FUERTE X 1 LITRO</t>
  </si>
  <si>
    <t>110/2021</t>
  </si>
  <si>
    <t xml:space="preserve">Descartables Desiertos </t>
  </si>
  <si>
    <t>VALVULA DE PEEP 1' MASCARA AMBU</t>
  </si>
  <si>
    <t>TIPO "ELEFIX", PASTA PARA EEG CONDUCTORA Y ADHESIVA DE ELECTRODOS.</t>
  </si>
  <si>
    <t>PARA EQUIPOS DE MARCA ON CALL.</t>
  </si>
  <si>
    <t>Para la adquisición de DESCARTABLES DESIERTOS destinados al Servicio de Farmacia del Hospital Interzonal de Niños Eva Peron, para el normal funcionamiento del organismo.</t>
  </si>
  <si>
    <t>COMPUESTOS QUIMICOS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</si>
  <si>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Compra. </t>
    </r>
  </si>
  <si>
    <t>AGUJA ESPINA Nº 20</t>
  </si>
  <si>
    <t xml:space="preserve">ALCOHOL IODADO 2% X 1 LITRO </t>
  </si>
  <si>
    <t>GLUTARALDEHIDO 2% SIN SURFACTANTE BIDON X 4 LITROS</t>
  </si>
  <si>
    <t>HILO DE SUTURA MONOFILAMENTO 2-0 164 T CON AGUJA</t>
  </si>
  <si>
    <t>HILO DE SUTURA MONOFILAMENTO 3-0 163 T CON AGUJA</t>
  </si>
  <si>
    <t>JERINGA DESCARTABLE PARA INSULINA 100UI CON AGUJA</t>
  </si>
  <si>
    <t>Mascara facial para ventilación N° 3, adulto</t>
  </si>
  <si>
    <t xml:space="preserve">Mascara facial para ventilación N° 4, adulto </t>
  </si>
  <si>
    <t>Tela de Lienzo rollo 100 mts largo x 1,60 mts ancho</t>
  </si>
  <si>
    <t>Tela de Toalla rollo 50 mts largo ( doble ancho)</t>
  </si>
  <si>
    <t>Tela verde brin de algodón rollo 50 mtrs largo (doble ancho) Indantrend</t>
  </si>
  <si>
    <t>TIRAS REACTIVAS PARA DETERMINACION DE GLUCOSA EN SANGRE X 50 UNIDADES</t>
  </si>
  <si>
    <t>2.9.5</t>
  </si>
  <si>
    <t>2.5.2</t>
  </si>
  <si>
    <t>2.5.8</t>
  </si>
  <si>
    <t>2.5.1</t>
  </si>
  <si>
    <t>2.3.4</t>
  </si>
  <si>
    <t>2.2.1</t>
  </si>
  <si>
    <t>unidad</t>
  </si>
  <si>
    <t>Especificidades Item N° 77:</t>
  </si>
  <si>
    <t>Especificidades Item N° 106-107:</t>
  </si>
  <si>
    <t>Especificidades Item N° 144:</t>
  </si>
  <si>
    <t>Especificidades Item N° 174:</t>
  </si>
  <si>
    <t>Especificidades Item N° 177:</t>
  </si>
  <si>
    <t>Costo total estimado: Nueve Millones doscientos catorce Mil Doscientos setenta y siete Con 00/100.</t>
  </si>
  <si>
    <t>TOTAL DE PESOS: Nueve Millones doscientos catorce Mil Doscientos setenta y siete 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</si>
</sst>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  <numFmt numFmtId="171" formatCode="[$$-2C0A]#,##0.00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7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5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167" fontId="16" fillId="0" borderId="38" xfId="0" applyNumberFormat="1" applyFont="1" applyBorder="1" applyAlignment="1">
      <alignment horizontal="center" vertical="center"/>
    </xf>
    <xf numFmtId="0" fontId="8" fillId="3" borderId="12" xfId="0" applyFont="1" applyFill="1" applyBorder="1" applyAlignment="1">
      <alignment horizontal="right" vertical="center"/>
    </xf>
    <xf numFmtId="0" fontId="9" fillId="4" borderId="1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4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7" fillId="3" borderId="4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7" fontId="7" fillId="3" borderId="2" xfId="1" applyNumberFormat="1" applyFont="1" applyFill="1" applyBorder="1" applyAlignment="1" applyProtection="1">
      <alignment horizontal="right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168" fontId="5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167" fontId="0" fillId="0" borderId="53" xfId="3" applyNumberFormat="1" applyFont="1" applyBorder="1" applyAlignment="1" applyProtection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left" vertical="center"/>
    </xf>
    <xf numFmtId="3" fontId="7" fillId="3" borderId="58" xfId="0" applyNumberFormat="1" applyFont="1" applyFill="1" applyBorder="1" applyAlignment="1">
      <alignment horizontal="center" vertical="center"/>
    </xf>
    <xf numFmtId="167" fontId="7" fillId="3" borderId="56" xfId="1" applyNumberFormat="1" applyFont="1" applyFill="1" applyBorder="1" applyAlignment="1" applyProtection="1">
      <alignment horizontal="right" vertical="center" wrapText="1"/>
    </xf>
    <xf numFmtId="0" fontId="7" fillId="4" borderId="56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left" vertical="center"/>
    </xf>
    <xf numFmtId="0" fontId="29" fillId="0" borderId="56" xfId="0" applyFont="1" applyFill="1" applyBorder="1" applyAlignment="1">
      <alignment vertical="center" wrapText="1"/>
    </xf>
    <xf numFmtId="0" fontId="30" fillId="0" borderId="56" xfId="0" applyFont="1" applyFill="1" applyBorder="1" applyAlignment="1">
      <alignment vertical="center" wrapText="1"/>
    </xf>
    <xf numFmtId="0" fontId="29" fillId="0" borderId="56" xfId="7" applyFont="1" applyFill="1" applyBorder="1" applyAlignment="1">
      <alignment vertical="center" wrapText="1"/>
    </xf>
    <xf numFmtId="0" fontId="0" fillId="0" borderId="56" xfId="0" applyFill="1" applyBorder="1" applyAlignment="1">
      <alignment horizontal="center" vertical="center"/>
    </xf>
    <xf numFmtId="0" fontId="17" fillId="0" borderId="56" xfId="0" applyFont="1" applyFill="1" applyBorder="1" applyAlignment="1">
      <alignment vertical="center" wrapText="1"/>
    </xf>
    <xf numFmtId="0" fontId="18" fillId="0" borderId="10" xfId="0" applyFont="1" applyFill="1" applyBorder="1" applyAlignment="1">
      <alignment horizontal="center" wrapText="1"/>
    </xf>
    <xf numFmtId="0" fontId="23" fillId="0" borderId="42" xfId="0" applyFont="1" applyFill="1" applyBorder="1" applyAlignment="1">
      <alignment horizontal="center" vertical="center"/>
    </xf>
    <xf numFmtId="0" fontId="0" fillId="0" borderId="2" xfId="0" applyFill="1" applyBorder="1"/>
    <xf numFmtId="0" fontId="17" fillId="0" borderId="2" xfId="0" applyFont="1" applyFill="1" applyBorder="1" applyAlignment="1">
      <alignment wrapText="1"/>
    </xf>
    <xf numFmtId="0" fontId="2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56" xfId="0" applyFill="1" applyBorder="1"/>
    <xf numFmtId="0" fontId="17" fillId="0" borderId="56" xfId="0" applyFont="1" applyFill="1" applyBorder="1" applyAlignment="1">
      <alignment wrapText="1"/>
    </xf>
    <xf numFmtId="0" fontId="24" fillId="0" borderId="56" xfId="0" applyFont="1" applyFill="1" applyBorder="1" applyAlignment="1">
      <alignment horizontal="center" vertical="center" wrapText="1"/>
    </xf>
    <xf numFmtId="0" fontId="17" fillId="0" borderId="56" xfId="0" applyFont="1" applyFill="1" applyBorder="1" applyAlignment="1">
      <alignment horizontal="left" vertical="center" wrapText="1"/>
    </xf>
    <xf numFmtId="0" fontId="0" fillId="0" borderId="56" xfId="0" applyNumberFormat="1" applyFill="1" applyBorder="1" applyAlignment="1">
      <alignment horizontal="center" vertical="center"/>
    </xf>
    <xf numFmtId="0" fontId="17" fillId="0" borderId="56" xfId="5" applyFont="1" applyFill="1" applyBorder="1" applyAlignment="1">
      <alignment horizontal="left" vertical="center" wrapText="1"/>
    </xf>
    <xf numFmtId="167" fontId="18" fillId="0" borderId="0" xfId="0" applyNumberFormat="1" applyFont="1" applyFill="1"/>
    <xf numFmtId="0" fontId="22" fillId="0" borderId="16" xfId="0" applyFont="1" applyFill="1" applyBorder="1" applyAlignment="1">
      <alignment horizontal="center" vertical="center" wrapText="1"/>
    </xf>
    <xf numFmtId="170" fontId="27" fillId="0" borderId="16" xfId="0" applyNumberFormat="1" applyFont="1" applyFill="1" applyBorder="1" applyAlignment="1">
      <alignment horizontal="center" vertical="center" wrapText="1"/>
    </xf>
    <xf numFmtId="0" fontId="18" fillId="0" borderId="0" xfId="0" applyFont="1" applyFill="1"/>
    <xf numFmtId="164" fontId="0" fillId="0" borderId="56" xfId="0" applyNumberFormat="1" applyFill="1" applyBorder="1" applyAlignment="1">
      <alignment horizontal="center" vertical="center"/>
    </xf>
    <xf numFmtId="0" fontId="0" fillId="0" borderId="56" xfId="0" applyFill="1" applyBorder="1" applyAlignment="1">
      <alignment vertical="center"/>
    </xf>
    <xf numFmtId="0" fontId="29" fillId="0" borderId="56" xfId="8" applyFont="1" applyFill="1" applyBorder="1" applyAlignment="1">
      <alignment horizontal="left" vertical="center" wrapText="1"/>
    </xf>
    <xf numFmtId="0" fontId="31" fillId="0" borderId="56" xfId="0" applyFont="1" applyFill="1" applyBorder="1" applyAlignment="1">
      <alignment horizontal="center" vertical="center"/>
    </xf>
    <xf numFmtId="170" fontId="23" fillId="0" borderId="0" xfId="0" applyNumberFormat="1" applyFont="1" applyFill="1"/>
    <xf numFmtId="0" fontId="25" fillId="0" borderId="4" xfId="0" applyFont="1" applyFill="1" applyBorder="1" applyAlignment="1">
      <alignment horizontal="left" indent="3"/>
    </xf>
    <xf numFmtId="0" fontId="18" fillId="0" borderId="5" xfId="0" applyFont="1" applyFill="1" applyBorder="1"/>
    <xf numFmtId="0" fontId="18" fillId="0" borderId="6" xfId="0" applyFont="1" applyFill="1" applyBorder="1"/>
    <xf numFmtId="0" fontId="18" fillId="0" borderId="7" xfId="0" applyFont="1" applyFill="1" applyBorder="1"/>
    <xf numFmtId="0" fontId="18" fillId="0" borderId="0" xfId="0" applyFont="1" applyFill="1" applyBorder="1"/>
    <xf numFmtId="0" fontId="25" fillId="0" borderId="9" xfId="0" applyFont="1" applyFill="1" applyBorder="1" applyAlignment="1"/>
    <xf numFmtId="0" fontId="18" fillId="0" borderId="11" xfId="0" applyFont="1" applyFill="1" applyBorder="1" applyAlignment="1">
      <alignment horizontal="center" wrapText="1"/>
    </xf>
    <xf numFmtId="0" fontId="21" fillId="0" borderId="0" xfId="0" applyFont="1" applyFill="1" applyAlignment="1">
      <alignment horizontal="left" wrapText="1"/>
    </xf>
    <xf numFmtId="0" fontId="21" fillId="0" borderId="0" xfId="0" applyFont="1" applyFill="1" applyAlignment="1">
      <alignment horizontal="center" wrapText="1"/>
    </xf>
    <xf numFmtId="170" fontId="24" fillId="0" borderId="0" xfId="0" applyNumberFormat="1" applyFont="1" applyFill="1" applyAlignment="1">
      <alignment horizontal="left" wrapText="1"/>
    </xf>
    <xf numFmtId="0" fontId="26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left" wrapText="1"/>
    </xf>
    <xf numFmtId="168" fontId="18" fillId="0" borderId="0" xfId="0" applyNumberFormat="1" applyFont="1" applyFill="1"/>
    <xf numFmtId="171" fontId="18" fillId="0" borderId="0" xfId="0" applyNumberFormat="1" applyFont="1" applyFill="1"/>
    <xf numFmtId="0" fontId="25" fillId="0" borderId="4" xfId="0" applyFont="1" applyFill="1" applyBorder="1"/>
    <xf numFmtId="0" fontId="25" fillId="0" borderId="7" xfId="0" applyFont="1" applyFill="1" applyBorder="1" applyAlignment="1"/>
    <xf numFmtId="0" fontId="18" fillId="0" borderId="8" xfId="0" applyFont="1" applyFill="1" applyBorder="1"/>
    <xf numFmtId="0" fontId="17" fillId="0" borderId="56" xfId="0" applyFont="1" applyBorder="1" applyAlignment="1">
      <alignment wrapText="1"/>
    </xf>
    <xf numFmtId="0" fontId="24" fillId="0" borderId="56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167" fontId="0" fillId="0" borderId="0" xfId="0" applyNumberFormat="1"/>
    <xf numFmtId="0" fontId="17" fillId="0" borderId="2" xfId="0" applyFont="1" applyFill="1" applyBorder="1" applyAlignment="1">
      <alignment vertical="center" wrapText="1"/>
    </xf>
    <xf numFmtId="0" fontId="23" fillId="0" borderId="57" xfId="0" applyFont="1" applyFill="1" applyBorder="1" applyAlignment="1">
      <alignment horizontal="center" vertical="center"/>
    </xf>
    <xf numFmtId="0" fontId="17" fillId="0" borderId="56" xfId="8" applyFont="1" applyFill="1" applyBorder="1" applyAlignment="1">
      <alignment horizontal="left" vertical="center" wrapText="1"/>
    </xf>
    <xf numFmtId="0" fontId="17" fillId="0" borderId="56" xfId="5" applyFont="1" applyFill="1" applyBorder="1" applyAlignment="1">
      <alignment vertical="center" wrapText="1"/>
    </xf>
    <xf numFmtId="0" fontId="29" fillId="0" borderId="56" xfId="8" applyFont="1" applyFill="1" applyBorder="1" applyAlignment="1">
      <alignment vertical="center" wrapText="1"/>
    </xf>
    <xf numFmtId="0" fontId="0" fillId="0" borderId="56" xfId="0" applyFill="1" applyBorder="1" applyAlignment="1">
      <alignment wrapText="1"/>
    </xf>
    <xf numFmtId="0" fontId="25" fillId="0" borderId="4" xfId="0" applyFont="1" applyBorder="1"/>
    <xf numFmtId="0" fontId="18" fillId="0" borderId="5" xfId="0" applyFont="1" applyBorder="1"/>
    <xf numFmtId="0" fontId="18" fillId="0" borderId="6" xfId="0" applyFont="1" applyBorder="1"/>
    <xf numFmtId="0" fontId="25" fillId="0" borderId="7" xfId="0" applyFont="1" applyBorder="1" applyAlignment="1"/>
    <xf numFmtId="0" fontId="18" fillId="0" borderId="0" xfId="0" applyFont="1" applyBorder="1"/>
    <xf numFmtId="0" fontId="18" fillId="0" borderId="8" xfId="0" applyFont="1" applyBorder="1"/>
    <xf numFmtId="164" fontId="0" fillId="0" borderId="2" xfId="1" applyNumberFormat="1" applyFont="1" applyFill="1" applyBorder="1" applyAlignment="1">
      <alignment horizontal="center" vertical="center"/>
    </xf>
    <xf numFmtId="164" fontId="23" fillId="0" borderId="3" xfId="1" applyNumberFormat="1" applyFont="1" applyFill="1" applyBorder="1" applyAlignment="1" applyProtection="1">
      <alignment horizontal="right" vertical="center" wrapText="1"/>
    </xf>
    <xf numFmtId="164" fontId="0" fillId="0" borderId="56" xfId="1" applyNumberFormat="1" applyFont="1" applyFill="1" applyBorder="1" applyAlignment="1">
      <alignment horizontal="center" vertical="center"/>
    </xf>
    <xf numFmtId="164" fontId="23" fillId="0" borderId="58" xfId="1" applyNumberFormat="1" applyFont="1" applyFill="1" applyBorder="1" applyAlignment="1" applyProtection="1">
      <alignment horizontal="right" vertical="center" wrapText="1"/>
    </xf>
    <xf numFmtId="164" fontId="0" fillId="0" borderId="56" xfId="1" applyNumberFormat="1" applyFont="1" applyFill="1" applyBorder="1" applyAlignment="1">
      <alignment horizontal="center"/>
    </xf>
    <xf numFmtId="164" fontId="0" fillId="0" borderId="56" xfId="1" applyNumberFormat="1" applyFont="1" applyFill="1" applyBorder="1"/>
    <xf numFmtId="164" fontId="0" fillId="0" borderId="56" xfId="1" applyNumberFormat="1" applyFont="1" applyBorder="1" applyAlignment="1">
      <alignment horizontal="center" vertical="center" wrapText="1"/>
    </xf>
    <xf numFmtId="164" fontId="0" fillId="0" borderId="56" xfId="1" applyNumberFormat="1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18" fillId="0" borderId="9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wrapText="1" indent="1"/>
    </xf>
    <xf numFmtId="0" fontId="18" fillId="0" borderId="7" xfId="5" applyFont="1" applyFill="1" applyBorder="1" applyAlignment="1">
      <alignment horizontal="left" wrapText="1"/>
    </xf>
    <xf numFmtId="0" fontId="18" fillId="0" borderId="0" xfId="5" applyFont="1" applyFill="1" applyBorder="1" applyAlignment="1">
      <alignment horizontal="left" wrapText="1"/>
    </xf>
    <xf numFmtId="0" fontId="18" fillId="0" borderId="8" xfId="5" applyFont="1" applyFill="1" applyBorder="1" applyAlignment="1">
      <alignment horizontal="left" wrapText="1"/>
    </xf>
    <xf numFmtId="0" fontId="7" fillId="3" borderId="56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 indent="1"/>
    </xf>
    <xf numFmtId="168" fontId="10" fillId="3" borderId="16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 indent="1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4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2" fillId="0" borderId="38" xfId="0" applyFont="1" applyBorder="1" applyAlignment="1">
      <alignment horizontal="left" vertical="center" wrapText="1"/>
    </xf>
    <xf numFmtId="0" fontId="0" fillId="0" borderId="23" xfId="0" applyBorder="1"/>
    <xf numFmtId="0" fontId="28" fillId="0" borderId="30" xfId="0" applyFont="1" applyFill="1" applyBorder="1" applyAlignment="1">
      <alignment horizontal="left" vertical="center" wrapText="1"/>
    </xf>
    <xf numFmtId="0" fontId="12" fillId="0" borderId="21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4" xfId="0" applyFont="1" applyBorder="1"/>
    <xf numFmtId="0" fontId="14" fillId="0" borderId="25" xfId="0" applyFont="1" applyBorder="1" applyAlignment="1">
      <alignment horizontal="left" vertical="center" wrapText="1" indent="1"/>
    </xf>
    <xf numFmtId="0" fontId="16" fillId="0" borderId="2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indent="1"/>
    </xf>
    <xf numFmtId="0" fontId="15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5" fillId="0" borderId="13" xfId="0" applyFont="1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217"/>
  <sheetViews>
    <sheetView tabSelected="1" topLeftCell="A4" zoomScale="93" zoomScaleNormal="93" workbookViewId="0">
      <selection activeCell="J5" sqref="J5"/>
    </sheetView>
  </sheetViews>
  <sheetFormatPr baseColWidth="10" defaultColWidth="11" defaultRowHeight="12.75" x14ac:dyDescent="0.2"/>
  <cols>
    <col min="1" max="1" width="6.42578125" style="78" customWidth="1"/>
    <col min="2" max="2" width="12.5703125" style="78" customWidth="1"/>
    <col min="3" max="3" width="24" style="78" customWidth="1"/>
    <col min="4" max="4" width="8.42578125" style="78" customWidth="1"/>
    <col min="5" max="5" width="64.140625" style="78" customWidth="1"/>
    <col min="6" max="6" width="11" style="78"/>
    <col min="7" max="7" width="10.42578125" style="78" bestFit="1" customWidth="1"/>
    <col min="8" max="8" width="13.85546875" style="83" customWidth="1"/>
    <col min="9" max="9" width="18.5703125" style="78" customWidth="1"/>
    <col min="10" max="10" width="14.7109375" style="78" customWidth="1"/>
    <col min="11" max="11" width="11" style="78"/>
    <col min="12" max="12" width="13.140625" style="78" customWidth="1"/>
    <col min="13" max="16384" width="11" style="78"/>
  </cols>
  <sheetData>
    <row r="2" spans="1:10" ht="27" x14ac:dyDescent="0.35">
      <c r="B2" s="129" t="s">
        <v>0</v>
      </c>
      <c r="C2" s="129"/>
      <c r="D2" s="129"/>
      <c r="E2" s="129"/>
      <c r="F2" s="129"/>
      <c r="G2" s="129"/>
      <c r="H2" s="129"/>
    </row>
    <row r="3" spans="1:10" ht="12" customHeight="1" x14ac:dyDescent="0.2"/>
    <row r="4" spans="1:10" ht="21.75" customHeight="1" x14ac:dyDescent="0.25">
      <c r="A4" s="130" t="s">
        <v>1</v>
      </c>
      <c r="B4" s="130"/>
      <c r="C4" s="131" t="s">
        <v>52</v>
      </c>
      <c r="D4" s="131"/>
      <c r="E4" s="131"/>
      <c r="F4" s="91"/>
      <c r="G4" s="92"/>
      <c r="H4" s="93"/>
    </row>
    <row r="5" spans="1:10" ht="18" customHeight="1" x14ac:dyDescent="0.25">
      <c r="A5" s="130" t="s">
        <v>2</v>
      </c>
      <c r="B5" s="130"/>
      <c r="C5" s="131" t="s">
        <v>51</v>
      </c>
      <c r="D5" s="131"/>
      <c r="E5" s="131"/>
      <c r="F5" s="91"/>
      <c r="G5" s="92" t="s">
        <v>55</v>
      </c>
      <c r="H5" s="93"/>
    </row>
    <row r="6" spans="1:10" ht="16.5" customHeight="1" x14ac:dyDescent="0.25">
      <c r="A6" s="130" t="s">
        <v>3</v>
      </c>
      <c r="B6" s="130"/>
      <c r="C6" s="94">
        <v>2021</v>
      </c>
      <c r="D6" s="95"/>
      <c r="E6" s="95"/>
      <c r="F6" s="91"/>
      <c r="G6" s="92"/>
      <c r="H6" s="93"/>
    </row>
    <row r="7" spans="1:10" ht="16.5" customHeight="1" x14ac:dyDescent="0.25">
      <c r="A7" s="130" t="s">
        <v>4</v>
      </c>
      <c r="B7" s="130"/>
      <c r="C7" s="94">
        <v>2</v>
      </c>
      <c r="D7" s="95"/>
      <c r="E7" s="95"/>
      <c r="F7" s="91"/>
      <c r="G7" s="92"/>
      <c r="H7" s="93"/>
    </row>
    <row r="8" spans="1:10" ht="13.5" thickBot="1" x14ac:dyDescent="0.25">
      <c r="B8" s="91"/>
      <c r="C8" s="92"/>
      <c r="D8" s="91"/>
      <c r="E8" s="91"/>
      <c r="F8" s="91"/>
      <c r="G8" s="92"/>
      <c r="H8" s="93"/>
      <c r="J8" s="96"/>
    </row>
    <row r="9" spans="1:10" ht="36.75" thickBot="1" x14ac:dyDescent="0.25">
      <c r="A9" s="76" t="s">
        <v>5</v>
      </c>
      <c r="B9" s="76" t="s">
        <v>6</v>
      </c>
      <c r="C9" s="76" t="s">
        <v>7</v>
      </c>
      <c r="D9" s="76" t="s">
        <v>8</v>
      </c>
      <c r="E9" s="76" t="s">
        <v>9</v>
      </c>
      <c r="F9" s="76" t="s">
        <v>10</v>
      </c>
      <c r="G9" s="76" t="s">
        <v>11</v>
      </c>
      <c r="H9" s="77" t="s">
        <v>12</v>
      </c>
      <c r="I9" s="76" t="s">
        <v>13</v>
      </c>
    </row>
    <row r="10" spans="1:10" ht="26.25" thickBot="1" x14ac:dyDescent="0.25">
      <c r="A10" s="64">
        <v>1</v>
      </c>
      <c r="B10" s="65"/>
      <c r="C10" s="66" t="s">
        <v>57</v>
      </c>
      <c r="D10" s="67" t="s">
        <v>252</v>
      </c>
      <c r="E10" s="105" t="s">
        <v>216</v>
      </c>
      <c r="F10" s="68" t="s">
        <v>258</v>
      </c>
      <c r="G10" s="68">
        <v>2000</v>
      </c>
      <c r="H10" s="117">
        <v>230</v>
      </c>
      <c r="I10" s="118">
        <f>G10*H10</f>
        <v>460000</v>
      </c>
    </row>
    <row r="11" spans="1:10" ht="26.25" thickBot="1" x14ac:dyDescent="0.25">
      <c r="A11" s="106">
        <v>2</v>
      </c>
      <c r="B11" s="69"/>
      <c r="C11" s="70" t="s">
        <v>57</v>
      </c>
      <c r="D11" s="71" t="s">
        <v>252</v>
      </c>
      <c r="E11" s="62" t="s">
        <v>64</v>
      </c>
      <c r="F11" s="68" t="s">
        <v>258</v>
      </c>
      <c r="G11" s="61">
        <v>50</v>
      </c>
      <c r="H11" s="119">
        <v>520</v>
      </c>
      <c r="I11" s="120">
        <f>G11*H11</f>
        <v>26000</v>
      </c>
    </row>
    <row r="12" spans="1:10" ht="26.25" thickBot="1" x14ac:dyDescent="0.25">
      <c r="A12" s="106">
        <v>3</v>
      </c>
      <c r="B12" s="69"/>
      <c r="C12" s="70" t="s">
        <v>57</v>
      </c>
      <c r="D12" s="71" t="s">
        <v>252</v>
      </c>
      <c r="E12" s="62" t="s">
        <v>65</v>
      </c>
      <c r="F12" s="68" t="s">
        <v>258</v>
      </c>
      <c r="G12" s="61">
        <v>50</v>
      </c>
      <c r="H12" s="119">
        <v>520</v>
      </c>
      <c r="I12" s="120">
        <f t="shared" ref="I12:I75" si="0">G12*H12</f>
        <v>26000</v>
      </c>
    </row>
    <row r="13" spans="1:10" ht="26.25" thickBot="1" x14ac:dyDescent="0.25">
      <c r="A13" s="106">
        <v>4</v>
      </c>
      <c r="B13" s="69"/>
      <c r="C13" s="70" t="s">
        <v>57</v>
      </c>
      <c r="D13" s="71" t="s">
        <v>252</v>
      </c>
      <c r="E13" s="107" t="s">
        <v>240</v>
      </c>
      <c r="F13" s="68" t="s">
        <v>258</v>
      </c>
      <c r="G13" s="61">
        <v>50</v>
      </c>
      <c r="H13" s="119">
        <v>230</v>
      </c>
      <c r="I13" s="120">
        <f t="shared" si="0"/>
        <v>11500</v>
      </c>
    </row>
    <row r="14" spans="1:10" ht="26.25" thickBot="1" x14ac:dyDescent="0.25">
      <c r="A14" s="106">
        <v>5</v>
      </c>
      <c r="B14" s="69"/>
      <c r="C14" s="70" t="s">
        <v>57</v>
      </c>
      <c r="D14" s="71" t="s">
        <v>252</v>
      </c>
      <c r="E14" s="107" t="s">
        <v>66</v>
      </c>
      <c r="F14" s="68" t="s">
        <v>258</v>
      </c>
      <c r="G14" s="61">
        <v>50</v>
      </c>
      <c r="H14" s="119">
        <v>520</v>
      </c>
      <c r="I14" s="120">
        <f t="shared" si="0"/>
        <v>26000</v>
      </c>
    </row>
    <row r="15" spans="1:10" ht="26.25" thickBot="1" x14ac:dyDescent="0.25">
      <c r="A15" s="106">
        <v>6</v>
      </c>
      <c r="B15" s="69"/>
      <c r="C15" s="70" t="s">
        <v>57</v>
      </c>
      <c r="D15" s="71" t="s">
        <v>252</v>
      </c>
      <c r="E15" s="62" t="s">
        <v>67</v>
      </c>
      <c r="F15" s="68" t="s">
        <v>258</v>
      </c>
      <c r="G15" s="61">
        <v>50</v>
      </c>
      <c r="H15" s="119">
        <v>520</v>
      </c>
      <c r="I15" s="120">
        <f t="shared" si="0"/>
        <v>26000</v>
      </c>
    </row>
    <row r="16" spans="1:10" ht="26.25" thickBot="1" x14ac:dyDescent="0.25">
      <c r="A16" s="106">
        <v>7</v>
      </c>
      <c r="B16" s="69"/>
      <c r="C16" s="70" t="s">
        <v>57</v>
      </c>
      <c r="D16" s="71" t="s">
        <v>252</v>
      </c>
      <c r="E16" s="107" t="s">
        <v>68</v>
      </c>
      <c r="F16" s="68" t="s">
        <v>258</v>
      </c>
      <c r="G16" s="61">
        <v>50</v>
      </c>
      <c r="H16" s="119">
        <v>520</v>
      </c>
      <c r="I16" s="120">
        <f t="shared" si="0"/>
        <v>26000</v>
      </c>
    </row>
    <row r="17" spans="1:9" ht="26.25" thickBot="1" x14ac:dyDescent="0.25">
      <c r="A17" s="106">
        <v>8</v>
      </c>
      <c r="B17" s="69"/>
      <c r="C17" s="70" t="s">
        <v>57</v>
      </c>
      <c r="D17" s="71" t="s">
        <v>252</v>
      </c>
      <c r="E17" s="107" t="s">
        <v>69</v>
      </c>
      <c r="F17" s="68" t="s">
        <v>258</v>
      </c>
      <c r="G17" s="61">
        <v>50</v>
      </c>
      <c r="H17" s="119">
        <v>520</v>
      </c>
      <c r="I17" s="120">
        <f t="shared" si="0"/>
        <v>26000</v>
      </c>
    </row>
    <row r="18" spans="1:9" ht="26.25" thickBot="1" x14ac:dyDescent="0.25">
      <c r="A18" s="106">
        <v>9</v>
      </c>
      <c r="B18" s="69"/>
      <c r="C18" s="70" t="s">
        <v>57</v>
      </c>
      <c r="D18" s="71" t="s">
        <v>252</v>
      </c>
      <c r="E18" s="107" t="s">
        <v>70</v>
      </c>
      <c r="F18" s="68" t="s">
        <v>258</v>
      </c>
      <c r="G18" s="61">
        <v>50</v>
      </c>
      <c r="H18" s="119">
        <v>520</v>
      </c>
      <c r="I18" s="120">
        <f t="shared" si="0"/>
        <v>26000</v>
      </c>
    </row>
    <row r="19" spans="1:9" ht="26.25" thickBot="1" x14ac:dyDescent="0.25">
      <c r="A19" s="106">
        <v>10</v>
      </c>
      <c r="B19" s="69"/>
      <c r="C19" s="70" t="s">
        <v>57</v>
      </c>
      <c r="D19" s="71" t="s">
        <v>252</v>
      </c>
      <c r="E19" s="62" t="s">
        <v>71</v>
      </c>
      <c r="F19" s="68" t="s">
        <v>258</v>
      </c>
      <c r="G19" s="61">
        <v>50</v>
      </c>
      <c r="H19" s="119">
        <v>520</v>
      </c>
      <c r="I19" s="120">
        <f t="shared" si="0"/>
        <v>26000</v>
      </c>
    </row>
    <row r="20" spans="1:9" ht="26.25" thickBot="1" x14ac:dyDescent="0.25">
      <c r="A20" s="106">
        <v>11</v>
      </c>
      <c r="B20" s="69"/>
      <c r="C20" s="70" t="s">
        <v>57</v>
      </c>
      <c r="D20" s="71" t="s">
        <v>252</v>
      </c>
      <c r="E20" s="62" t="s">
        <v>72</v>
      </c>
      <c r="F20" s="68" t="s">
        <v>258</v>
      </c>
      <c r="G20" s="61">
        <v>50</v>
      </c>
      <c r="H20" s="119">
        <v>520</v>
      </c>
      <c r="I20" s="120">
        <f t="shared" si="0"/>
        <v>26000</v>
      </c>
    </row>
    <row r="21" spans="1:9" ht="26.25" thickBot="1" x14ac:dyDescent="0.25">
      <c r="A21" s="106">
        <v>12</v>
      </c>
      <c r="B21" s="69"/>
      <c r="C21" s="70" t="s">
        <v>57</v>
      </c>
      <c r="D21" s="71" t="s">
        <v>252</v>
      </c>
      <c r="E21" s="62" t="s">
        <v>73</v>
      </c>
      <c r="F21" s="68" t="s">
        <v>258</v>
      </c>
      <c r="G21" s="61">
        <v>200</v>
      </c>
      <c r="H21" s="119">
        <v>520</v>
      </c>
      <c r="I21" s="120">
        <f t="shared" si="0"/>
        <v>104000</v>
      </c>
    </row>
    <row r="22" spans="1:9" ht="26.25" thickBot="1" x14ac:dyDescent="0.25">
      <c r="A22" s="106">
        <v>13</v>
      </c>
      <c r="B22" s="69"/>
      <c r="C22" s="70" t="s">
        <v>57</v>
      </c>
      <c r="D22" s="71" t="s">
        <v>252</v>
      </c>
      <c r="E22" s="62" t="s">
        <v>74</v>
      </c>
      <c r="F22" s="68" t="s">
        <v>258</v>
      </c>
      <c r="G22" s="61">
        <v>10</v>
      </c>
      <c r="H22" s="119">
        <v>3200</v>
      </c>
      <c r="I22" s="120">
        <f t="shared" si="0"/>
        <v>32000</v>
      </c>
    </row>
    <row r="23" spans="1:9" ht="26.25" thickBot="1" x14ac:dyDescent="0.25">
      <c r="A23" s="106">
        <v>14</v>
      </c>
      <c r="B23" s="69"/>
      <c r="C23" s="70" t="s">
        <v>57</v>
      </c>
      <c r="D23" s="71" t="s">
        <v>252</v>
      </c>
      <c r="E23" s="62" t="s">
        <v>75</v>
      </c>
      <c r="F23" s="68" t="s">
        <v>258</v>
      </c>
      <c r="G23" s="61">
        <v>20</v>
      </c>
      <c r="H23" s="119">
        <v>200</v>
      </c>
      <c r="I23" s="120">
        <f t="shared" si="0"/>
        <v>4000</v>
      </c>
    </row>
    <row r="24" spans="1:9" ht="26.25" thickBot="1" x14ac:dyDescent="0.25">
      <c r="A24" s="106">
        <v>15</v>
      </c>
      <c r="B24" s="69"/>
      <c r="C24" s="70" t="s">
        <v>57</v>
      </c>
      <c r="D24" s="71" t="s">
        <v>252</v>
      </c>
      <c r="E24" s="72" t="s">
        <v>76</v>
      </c>
      <c r="F24" s="68" t="s">
        <v>258</v>
      </c>
      <c r="G24" s="61">
        <v>20</v>
      </c>
      <c r="H24" s="119">
        <v>200</v>
      </c>
      <c r="I24" s="120">
        <f t="shared" si="0"/>
        <v>4000</v>
      </c>
    </row>
    <row r="25" spans="1:9" ht="26.25" thickBot="1" x14ac:dyDescent="0.25">
      <c r="A25" s="106">
        <v>16</v>
      </c>
      <c r="B25" s="69"/>
      <c r="C25" s="70" t="s">
        <v>57</v>
      </c>
      <c r="D25" s="71" t="s">
        <v>252</v>
      </c>
      <c r="E25" s="62" t="s">
        <v>77</v>
      </c>
      <c r="F25" s="68" t="s">
        <v>258</v>
      </c>
      <c r="G25" s="61">
        <v>40</v>
      </c>
      <c r="H25" s="119">
        <v>325</v>
      </c>
      <c r="I25" s="120">
        <f t="shared" si="0"/>
        <v>13000</v>
      </c>
    </row>
    <row r="26" spans="1:9" ht="26.25" thickBot="1" x14ac:dyDescent="0.25">
      <c r="A26" s="106">
        <v>17</v>
      </c>
      <c r="B26" s="69"/>
      <c r="C26" s="70" t="s">
        <v>57</v>
      </c>
      <c r="D26" s="71" t="s">
        <v>252</v>
      </c>
      <c r="E26" s="62" t="s">
        <v>78</v>
      </c>
      <c r="F26" s="68" t="s">
        <v>258</v>
      </c>
      <c r="G26" s="61">
        <v>50</v>
      </c>
      <c r="H26" s="119">
        <v>500</v>
      </c>
      <c r="I26" s="120">
        <f t="shared" si="0"/>
        <v>25000</v>
      </c>
    </row>
    <row r="27" spans="1:9" ht="26.25" thickBot="1" x14ac:dyDescent="0.25">
      <c r="A27" s="106">
        <v>18</v>
      </c>
      <c r="B27" s="69"/>
      <c r="C27" s="70" t="s">
        <v>57</v>
      </c>
      <c r="D27" s="71" t="s">
        <v>252</v>
      </c>
      <c r="E27" s="62" t="s">
        <v>79</v>
      </c>
      <c r="F27" s="68" t="s">
        <v>258</v>
      </c>
      <c r="G27" s="61">
        <v>50</v>
      </c>
      <c r="H27" s="119">
        <v>500</v>
      </c>
      <c r="I27" s="120">
        <f t="shared" si="0"/>
        <v>25000</v>
      </c>
    </row>
    <row r="28" spans="1:9" ht="26.25" thickBot="1" x14ac:dyDescent="0.25">
      <c r="A28" s="106">
        <v>19</v>
      </c>
      <c r="B28" s="69"/>
      <c r="C28" s="70" t="s">
        <v>57</v>
      </c>
      <c r="D28" s="71" t="s">
        <v>252</v>
      </c>
      <c r="E28" s="62" t="s">
        <v>80</v>
      </c>
      <c r="F28" s="68" t="s">
        <v>258</v>
      </c>
      <c r="G28" s="61">
        <v>50</v>
      </c>
      <c r="H28" s="119">
        <v>182</v>
      </c>
      <c r="I28" s="120">
        <f t="shared" si="0"/>
        <v>9100</v>
      </c>
    </row>
    <row r="29" spans="1:9" ht="26.25" thickBot="1" x14ac:dyDescent="0.25">
      <c r="A29" s="106">
        <v>20</v>
      </c>
      <c r="B29" s="69"/>
      <c r="C29" s="70" t="s">
        <v>57</v>
      </c>
      <c r="D29" s="71" t="s">
        <v>252</v>
      </c>
      <c r="E29" s="62" t="s">
        <v>81</v>
      </c>
      <c r="F29" s="68" t="s">
        <v>258</v>
      </c>
      <c r="G29" s="61">
        <v>50</v>
      </c>
      <c r="H29" s="119">
        <v>182</v>
      </c>
      <c r="I29" s="120">
        <f t="shared" si="0"/>
        <v>9100</v>
      </c>
    </row>
    <row r="30" spans="1:9" ht="26.25" thickBot="1" x14ac:dyDescent="0.25">
      <c r="A30" s="106">
        <v>21</v>
      </c>
      <c r="B30" s="69"/>
      <c r="C30" s="70" t="s">
        <v>57</v>
      </c>
      <c r="D30" s="71" t="s">
        <v>252</v>
      </c>
      <c r="E30" s="62" t="s">
        <v>82</v>
      </c>
      <c r="F30" s="68" t="s">
        <v>258</v>
      </c>
      <c r="G30" s="61">
        <v>50</v>
      </c>
      <c r="H30" s="119">
        <v>182</v>
      </c>
      <c r="I30" s="120">
        <f t="shared" si="0"/>
        <v>9100</v>
      </c>
    </row>
    <row r="31" spans="1:9" ht="26.25" thickBot="1" x14ac:dyDescent="0.25">
      <c r="A31" s="106">
        <v>22</v>
      </c>
      <c r="B31" s="69"/>
      <c r="C31" s="70" t="s">
        <v>57</v>
      </c>
      <c r="D31" s="71" t="s">
        <v>252</v>
      </c>
      <c r="E31" s="62" t="s">
        <v>83</v>
      </c>
      <c r="F31" s="68" t="s">
        <v>258</v>
      </c>
      <c r="G31" s="61">
        <v>500</v>
      </c>
      <c r="H31" s="119">
        <v>1.32</v>
      </c>
      <c r="I31" s="120">
        <f t="shared" si="0"/>
        <v>660</v>
      </c>
    </row>
    <row r="32" spans="1:9" ht="26.25" thickBot="1" x14ac:dyDescent="0.25">
      <c r="A32" s="106">
        <v>23</v>
      </c>
      <c r="B32" s="69"/>
      <c r="C32" s="70" t="s">
        <v>57</v>
      </c>
      <c r="D32" s="71" t="s">
        <v>252</v>
      </c>
      <c r="E32" s="62" t="s">
        <v>84</v>
      </c>
      <c r="F32" s="68" t="s">
        <v>258</v>
      </c>
      <c r="G32" s="61">
        <v>100</v>
      </c>
      <c r="H32" s="119">
        <v>391</v>
      </c>
      <c r="I32" s="120">
        <f t="shared" si="0"/>
        <v>39100</v>
      </c>
    </row>
    <row r="33" spans="1:11" ht="26.25" thickBot="1" x14ac:dyDescent="0.25">
      <c r="A33" s="106">
        <v>24</v>
      </c>
      <c r="B33" s="69"/>
      <c r="C33" s="70" t="s">
        <v>57</v>
      </c>
      <c r="D33" s="71" t="s">
        <v>252</v>
      </c>
      <c r="E33" s="62" t="s">
        <v>85</v>
      </c>
      <c r="F33" s="68" t="s">
        <v>258</v>
      </c>
      <c r="G33" s="61">
        <v>210</v>
      </c>
      <c r="H33" s="119">
        <v>391</v>
      </c>
      <c r="I33" s="120">
        <f t="shared" si="0"/>
        <v>82110</v>
      </c>
    </row>
    <row r="34" spans="1:11" ht="26.25" thickBot="1" x14ac:dyDescent="0.25">
      <c r="A34" s="106">
        <v>25</v>
      </c>
      <c r="B34" s="69"/>
      <c r="C34" s="101" t="s">
        <v>57</v>
      </c>
      <c r="D34" s="102" t="s">
        <v>253</v>
      </c>
      <c r="E34" s="72" t="s">
        <v>241</v>
      </c>
      <c r="F34" s="68" t="s">
        <v>258</v>
      </c>
      <c r="G34" s="61">
        <v>70</v>
      </c>
      <c r="H34" s="119">
        <v>850</v>
      </c>
      <c r="I34" s="120">
        <f t="shared" si="0"/>
        <v>59500</v>
      </c>
      <c r="K34" s="75"/>
    </row>
    <row r="35" spans="1:11" ht="26.25" thickBot="1" x14ac:dyDescent="0.25">
      <c r="A35" s="106">
        <v>26</v>
      </c>
      <c r="B35" s="69"/>
      <c r="C35" s="70" t="s">
        <v>57</v>
      </c>
      <c r="D35" s="71" t="s">
        <v>252</v>
      </c>
      <c r="E35" s="58" t="s">
        <v>86</v>
      </c>
      <c r="F35" s="68" t="s">
        <v>258</v>
      </c>
      <c r="G35" s="61">
        <v>300</v>
      </c>
      <c r="H35" s="119">
        <v>200</v>
      </c>
      <c r="I35" s="120">
        <f t="shared" si="0"/>
        <v>60000</v>
      </c>
    </row>
    <row r="36" spans="1:11" ht="26.25" thickBot="1" x14ac:dyDescent="0.25">
      <c r="A36" s="106">
        <v>27</v>
      </c>
      <c r="B36" s="69"/>
      <c r="C36" s="70" t="s">
        <v>57</v>
      </c>
      <c r="D36" s="71" t="s">
        <v>252</v>
      </c>
      <c r="E36" s="60" t="s">
        <v>189</v>
      </c>
      <c r="F36" s="68" t="s">
        <v>258</v>
      </c>
      <c r="G36" s="61">
        <v>100</v>
      </c>
      <c r="H36" s="119">
        <v>495</v>
      </c>
      <c r="I36" s="120">
        <f t="shared" si="0"/>
        <v>49500</v>
      </c>
    </row>
    <row r="37" spans="1:11" ht="26.25" thickBot="1" x14ac:dyDescent="0.25">
      <c r="A37" s="106">
        <v>28</v>
      </c>
      <c r="B37" s="69"/>
      <c r="C37" s="70" t="s">
        <v>57</v>
      </c>
      <c r="D37" s="71" t="s">
        <v>252</v>
      </c>
      <c r="E37" s="60" t="s">
        <v>190</v>
      </c>
      <c r="F37" s="68" t="s">
        <v>258</v>
      </c>
      <c r="G37" s="61">
        <v>100</v>
      </c>
      <c r="H37" s="119">
        <v>520.5</v>
      </c>
      <c r="I37" s="120">
        <f t="shared" si="0"/>
        <v>52050</v>
      </c>
    </row>
    <row r="38" spans="1:11" ht="26.25" thickBot="1" x14ac:dyDescent="0.25">
      <c r="A38" s="106">
        <v>29</v>
      </c>
      <c r="B38" s="69"/>
      <c r="C38" s="70" t="s">
        <v>57</v>
      </c>
      <c r="D38" s="71" t="s">
        <v>252</v>
      </c>
      <c r="E38" s="60" t="s">
        <v>191</v>
      </c>
      <c r="F38" s="68" t="s">
        <v>258</v>
      </c>
      <c r="G38" s="61">
        <v>100</v>
      </c>
      <c r="H38" s="119">
        <v>520.5</v>
      </c>
      <c r="I38" s="120">
        <f t="shared" si="0"/>
        <v>52050</v>
      </c>
    </row>
    <row r="39" spans="1:11" ht="26.25" thickBot="1" x14ac:dyDescent="0.25">
      <c r="A39" s="106">
        <v>30</v>
      </c>
      <c r="B39" s="69"/>
      <c r="C39" s="70" t="s">
        <v>57</v>
      </c>
      <c r="D39" s="71" t="s">
        <v>252</v>
      </c>
      <c r="E39" s="60" t="s">
        <v>192</v>
      </c>
      <c r="F39" s="68" t="s">
        <v>258</v>
      </c>
      <c r="G39" s="61">
        <v>100</v>
      </c>
      <c r="H39" s="119">
        <v>520.5</v>
      </c>
      <c r="I39" s="120">
        <f t="shared" si="0"/>
        <v>52050</v>
      </c>
    </row>
    <row r="40" spans="1:11" ht="26.25" thickBot="1" x14ac:dyDescent="0.25">
      <c r="A40" s="106">
        <v>31</v>
      </c>
      <c r="B40" s="69"/>
      <c r="C40" s="70" t="s">
        <v>57</v>
      </c>
      <c r="D40" s="71" t="s">
        <v>252</v>
      </c>
      <c r="E40" s="60" t="s">
        <v>193</v>
      </c>
      <c r="F40" s="68" t="s">
        <v>258</v>
      </c>
      <c r="G40" s="61">
        <v>50</v>
      </c>
      <c r="H40" s="119">
        <v>156</v>
      </c>
      <c r="I40" s="120">
        <f t="shared" si="0"/>
        <v>7800</v>
      </c>
    </row>
    <row r="41" spans="1:11" ht="26.25" thickBot="1" x14ac:dyDescent="0.25">
      <c r="A41" s="106">
        <v>32</v>
      </c>
      <c r="B41" s="69"/>
      <c r="C41" s="70" t="s">
        <v>57</v>
      </c>
      <c r="D41" s="71" t="s">
        <v>254</v>
      </c>
      <c r="E41" s="60" t="s">
        <v>178</v>
      </c>
      <c r="F41" s="68" t="s">
        <v>258</v>
      </c>
      <c r="G41" s="61">
        <v>10</v>
      </c>
      <c r="H41" s="119">
        <v>5460</v>
      </c>
      <c r="I41" s="120">
        <f t="shared" si="0"/>
        <v>54600</v>
      </c>
    </row>
    <row r="42" spans="1:11" ht="26.25" thickBot="1" x14ac:dyDescent="0.25">
      <c r="A42" s="106">
        <v>33</v>
      </c>
      <c r="B42" s="69"/>
      <c r="C42" s="70" t="s">
        <v>57</v>
      </c>
      <c r="D42" s="71" t="s">
        <v>252</v>
      </c>
      <c r="E42" s="60" t="s">
        <v>87</v>
      </c>
      <c r="F42" s="68" t="s">
        <v>258</v>
      </c>
      <c r="G42" s="61">
        <v>10</v>
      </c>
      <c r="H42" s="119">
        <v>787</v>
      </c>
      <c r="I42" s="120">
        <f t="shared" si="0"/>
        <v>7870</v>
      </c>
    </row>
    <row r="43" spans="1:11" ht="26.25" thickBot="1" x14ac:dyDescent="0.25">
      <c r="A43" s="106">
        <v>34</v>
      </c>
      <c r="B43" s="69"/>
      <c r="C43" s="70" t="s">
        <v>57</v>
      </c>
      <c r="D43" s="71" t="s">
        <v>252</v>
      </c>
      <c r="E43" s="60" t="s">
        <v>88</v>
      </c>
      <c r="F43" s="68" t="s">
        <v>258</v>
      </c>
      <c r="G43" s="61">
        <v>10</v>
      </c>
      <c r="H43" s="119">
        <v>787</v>
      </c>
      <c r="I43" s="120">
        <f t="shared" si="0"/>
        <v>7870</v>
      </c>
    </row>
    <row r="44" spans="1:11" ht="26.25" thickBot="1" x14ac:dyDescent="0.25">
      <c r="A44" s="106">
        <v>35</v>
      </c>
      <c r="B44" s="69"/>
      <c r="C44" s="70" t="s">
        <v>57</v>
      </c>
      <c r="D44" s="71" t="s">
        <v>252</v>
      </c>
      <c r="E44" s="58" t="s">
        <v>89</v>
      </c>
      <c r="F44" s="68" t="s">
        <v>258</v>
      </c>
      <c r="G44" s="61">
        <v>10</v>
      </c>
      <c r="H44" s="119">
        <v>3090</v>
      </c>
      <c r="I44" s="120">
        <f t="shared" si="0"/>
        <v>30900</v>
      </c>
    </row>
    <row r="45" spans="1:11" ht="26.25" thickBot="1" x14ac:dyDescent="0.25">
      <c r="A45" s="106">
        <v>36</v>
      </c>
      <c r="B45" s="69"/>
      <c r="C45" s="70" t="s">
        <v>57</v>
      </c>
      <c r="D45" s="71" t="s">
        <v>252</v>
      </c>
      <c r="E45" s="62" t="s">
        <v>90</v>
      </c>
      <c r="F45" s="68" t="s">
        <v>258</v>
      </c>
      <c r="G45" s="61">
        <v>10</v>
      </c>
      <c r="H45" s="119">
        <v>3090</v>
      </c>
      <c r="I45" s="120">
        <f t="shared" si="0"/>
        <v>30900</v>
      </c>
    </row>
    <row r="46" spans="1:11" ht="26.25" thickBot="1" x14ac:dyDescent="0.25">
      <c r="A46" s="106">
        <v>37</v>
      </c>
      <c r="B46" s="69"/>
      <c r="C46" s="70" t="s">
        <v>57</v>
      </c>
      <c r="D46" s="71" t="s">
        <v>252</v>
      </c>
      <c r="E46" s="60" t="s">
        <v>91</v>
      </c>
      <c r="F46" s="68" t="s">
        <v>258</v>
      </c>
      <c r="G46" s="61">
        <v>10</v>
      </c>
      <c r="H46" s="119">
        <v>3090</v>
      </c>
      <c r="I46" s="120">
        <f t="shared" si="0"/>
        <v>30900</v>
      </c>
    </row>
    <row r="47" spans="1:11" ht="26.25" thickBot="1" x14ac:dyDescent="0.25">
      <c r="A47" s="106">
        <v>38</v>
      </c>
      <c r="B47" s="69"/>
      <c r="C47" s="70" t="s">
        <v>57</v>
      </c>
      <c r="D47" s="71" t="s">
        <v>252</v>
      </c>
      <c r="E47" s="60" t="s">
        <v>92</v>
      </c>
      <c r="F47" s="68" t="s">
        <v>258</v>
      </c>
      <c r="G47" s="61">
        <v>10</v>
      </c>
      <c r="H47" s="119">
        <v>3090</v>
      </c>
      <c r="I47" s="120">
        <f t="shared" si="0"/>
        <v>30900</v>
      </c>
    </row>
    <row r="48" spans="1:11" ht="26.25" thickBot="1" x14ac:dyDescent="0.25">
      <c r="A48" s="106">
        <v>39</v>
      </c>
      <c r="B48" s="69"/>
      <c r="C48" s="70" t="s">
        <v>57</v>
      </c>
      <c r="D48" s="71" t="s">
        <v>252</v>
      </c>
      <c r="E48" s="60" t="s">
        <v>93</v>
      </c>
      <c r="F48" s="68" t="s">
        <v>258</v>
      </c>
      <c r="G48" s="61">
        <v>10</v>
      </c>
      <c r="H48" s="119">
        <v>3090</v>
      </c>
      <c r="I48" s="120">
        <f t="shared" si="0"/>
        <v>30900</v>
      </c>
    </row>
    <row r="49" spans="1:9" ht="26.25" thickBot="1" x14ac:dyDescent="0.25">
      <c r="A49" s="106">
        <v>40</v>
      </c>
      <c r="B49" s="69"/>
      <c r="C49" s="70" t="s">
        <v>57</v>
      </c>
      <c r="D49" s="71" t="s">
        <v>252</v>
      </c>
      <c r="E49" s="60" t="s">
        <v>94</v>
      </c>
      <c r="F49" s="68" t="s">
        <v>258</v>
      </c>
      <c r="G49" s="61">
        <v>10</v>
      </c>
      <c r="H49" s="119">
        <v>3090</v>
      </c>
      <c r="I49" s="120">
        <f t="shared" si="0"/>
        <v>30900</v>
      </c>
    </row>
    <row r="50" spans="1:9" ht="26.25" thickBot="1" x14ac:dyDescent="0.25">
      <c r="A50" s="106">
        <v>41</v>
      </c>
      <c r="B50" s="69"/>
      <c r="C50" s="70" t="s">
        <v>57</v>
      </c>
      <c r="D50" s="71" t="s">
        <v>252</v>
      </c>
      <c r="E50" s="62" t="s">
        <v>218</v>
      </c>
      <c r="F50" s="68" t="s">
        <v>258</v>
      </c>
      <c r="G50" s="61">
        <v>300</v>
      </c>
      <c r="H50" s="119">
        <v>14.5</v>
      </c>
      <c r="I50" s="120">
        <f t="shared" si="0"/>
        <v>4350</v>
      </c>
    </row>
    <row r="51" spans="1:9" ht="26.25" thickBot="1" x14ac:dyDescent="0.25">
      <c r="A51" s="106">
        <v>42</v>
      </c>
      <c r="B51" s="69"/>
      <c r="C51" s="70" t="s">
        <v>57</v>
      </c>
      <c r="D51" s="71" t="s">
        <v>252</v>
      </c>
      <c r="E51" s="81" t="s">
        <v>219</v>
      </c>
      <c r="F51" s="68" t="s">
        <v>258</v>
      </c>
      <c r="G51" s="61">
        <v>300</v>
      </c>
      <c r="H51" s="119">
        <v>14.5</v>
      </c>
      <c r="I51" s="120">
        <f t="shared" si="0"/>
        <v>4350</v>
      </c>
    </row>
    <row r="52" spans="1:9" ht="26.25" thickBot="1" x14ac:dyDescent="0.25">
      <c r="A52" s="106">
        <v>43</v>
      </c>
      <c r="B52" s="69"/>
      <c r="C52" s="70" t="s">
        <v>57</v>
      </c>
      <c r="D52" s="71" t="s">
        <v>252</v>
      </c>
      <c r="E52" s="81" t="s">
        <v>220</v>
      </c>
      <c r="F52" s="68" t="s">
        <v>258</v>
      </c>
      <c r="G52" s="61">
        <v>1000</v>
      </c>
      <c r="H52" s="119">
        <v>14.5</v>
      </c>
      <c r="I52" s="120">
        <f t="shared" si="0"/>
        <v>14500</v>
      </c>
    </row>
    <row r="53" spans="1:9" ht="26.25" thickBot="1" x14ac:dyDescent="0.25">
      <c r="A53" s="106">
        <v>44</v>
      </c>
      <c r="B53" s="69"/>
      <c r="C53" s="70" t="s">
        <v>57</v>
      </c>
      <c r="D53" s="71" t="s">
        <v>252</v>
      </c>
      <c r="E53" s="81" t="s">
        <v>221</v>
      </c>
      <c r="F53" s="68" t="s">
        <v>258</v>
      </c>
      <c r="G53" s="61">
        <v>1000</v>
      </c>
      <c r="H53" s="119">
        <v>14.5</v>
      </c>
      <c r="I53" s="120">
        <f t="shared" si="0"/>
        <v>14500</v>
      </c>
    </row>
    <row r="54" spans="1:9" ht="26.25" thickBot="1" x14ac:dyDescent="0.25">
      <c r="A54" s="106">
        <v>45</v>
      </c>
      <c r="B54" s="69"/>
      <c r="C54" s="70" t="s">
        <v>57</v>
      </c>
      <c r="D54" s="71" t="s">
        <v>252</v>
      </c>
      <c r="E54" s="60" t="s">
        <v>217</v>
      </c>
      <c r="F54" s="68" t="s">
        <v>258</v>
      </c>
      <c r="G54" s="61">
        <v>300</v>
      </c>
      <c r="H54" s="119">
        <v>14.5</v>
      </c>
      <c r="I54" s="120">
        <f t="shared" si="0"/>
        <v>4350</v>
      </c>
    </row>
    <row r="55" spans="1:9" ht="26.25" thickBot="1" x14ac:dyDescent="0.25">
      <c r="A55" s="106">
        <v>46</v>
      </c>
      <c r="B55" s="69"/>
      <c r="C55" s="70" t="s">
        <v>57</v>
      </c>
      <c r="D55" s="71" t="s">
        <v>252</v>
      </c>
      <c r="E55" s="62" t="s">
        <v>95</v>
      </c>
      <c r="F55" s="68" t="s">
        <v>258</v>
      </c>
      <c r="G55" s="61">
        <v>3000</v>
      </c>
      <c r="H55" s="119">
        <v>150</v>
      </c>
      <c r="I55" s="120">
        <f t="shared" si="0"/>
        <v>450000</v>
      </c>
    </row>
    <row r="56" spans="1:9" ht="26.25" thickBot="1" x14ac:dyDescent="0.25">
      <c r="A56" s="106">
        <v>47</v>
      </c>
      <c r="B56" s="69"/>
      <c r="C56" s="70" t="s">
        <v>57</v>
      </c>
      <c r="D56" s="71" t="s">
        <v>252</v>
      </c>
      <c r="E56" s="62" t="s">
        <v>96</v>
      </c>
      <c r="F56" s="68" t="s">
        <v>258</v>
      </c>
      <c r="G56" s="61">
        <v>4</v>
      </c>
      <c r="H56" s="119">
        <v>2000</v>
      </c>
      <c r="I56" s="120">
        <f t="shared" si="0"/>
        <v>8000</v>
      </c>
    </row>
    <row r="57" spans="1:9" ht="26.25" thickBot="1" x14ac:dyDescent="0.25">
      <c r="A57" s="106">
        <v>48</v>
      </c>
      <c r="B57" s="69"/>
      <c r="C57" s="70" t="s">
        <v>57</v>
      </c>
      <c r="D57" s="71" t="s">
        <v>252</v>
      </c>
      <c r="E57" s="62" t="s">
        <v>97</v>
      </c>
      <c r="F57" s="68" t="s">
        <v>258</v>
      </c>
      <c r="G57" s="61">
        <v>4</v>
      </c>
      <c r="H57" s="119">
        <v>2000</v>
      </c>
      <c r="I57" s="120">
        <f t="shared" si="0"/>
        <v>8000</v>
      </c>
    </row>
    <row r="58" spans="1:9" ht="26.25" thickBot="1" x14ac:dyDescent="0.25">
      <c r="A58" s="106">
        <v>49</v>
      </c>
      <c r="B58" s="69"/>
      <c r="C58" s="70" t="s">
        <v>57</v>
      </c>
      <c r="D58" s="71" t="s">
        <v>252</v>
      </c>
      <c r="E58" s="62" t="s">
        <v>98</v>
      </c>
      <c r="F58" s="68" t="s">
        <v>258</v>
      </c>
      <c r="G58" s="61">
        <v>4</v>
      </c>
      <c r="H58" s="119">
        <v>2000</v>
      </c>
      <c r="I58" s="120">
        <f t="shared" si="0"/>
        <v>8000</v>
      </c>
    </row>
    <row r="59" spans="1:9" ht="26.25" thickBot="1" x14ac:dyDescent="0.25">
      <c r="A59" s="106">
        <v>50</v>
      </c>
      <c r="B59" s="69"/>
      <c r="C59" s="70" t="s">
        <v>57</v>
      </c>
      <c r="D59" s="71" t="s">
        <v>252</v>
      </c>
      <c r="E59" s="60" t="s">
        <v>99</v>
      </c>
      <c r="F59" s="68" t="s">
        <v>258</v>
      </c>
      <c r="G59" s="61">
        <v>4</v>
      </c>
      <c r="H59" s="119">
        <v>2000</v>
      </c>
      <c r="I59" s="120">
        <f t="shared" si="0"/>
        <v>8000</v>
      </c>
    </row>
    <row r="60" spans="1:9" ht="26.25" thickBot="1" x14ac:dyDescent="0.25">
      <c r="A60" s="106">
        <v>51</v>
      </c>
      <c r="B60" s="69"/>
      <c r="C60" s="70" t="s">
        <v>57</v>
      </c>
      <c r="D60" s="71" t="s">
        <v>252</v>
      </c>
      <c r="E60" s="62" t="s">
        <v>177</v>
      </c>
      <c r="F60" s="68" t="s">
        <v>258</v>
      </c>
      <c r="G60" s="61">
        <v>2</v>
      </c>
      <c r="H60" s="119">
        <v>82500</v>
      </c>
      <c r="I60" s="120">
        <f t="shared" si="0"/>
        <v>165000</v>
      </c>
    </row>
    <row r="61" spans="1:9" ht="26.25" thickBot="1" x14ac:dyDescent="0.25">
      <c r="A61" s="106">
        <v>52</v>
      </c>
      <c r="B61" s="69"/>
      <c r="C61" s="70" t="s">
        <v>57</v>
      </c>
      <c r="D61" s="71" t="s">
        <v>252</v>
      </c>
      <c r="E61" s="60" t="s">
        <v>194</v>
      </c>
      <c r="F61" s="68" t="s">
        <v>258</v>
      </c>
      <c r="G61" s="61">
        <v>50</v>
      </c>
      <c r="H61" s="119">
        <v>2638</v>
      </c>
      <c r="I61" s="120">
        <f t="shared" si="0"/>
        <v>131900</v>
      </c>
    </row>
    <row r="62" spans="1:9" ht="26.25" thickBot="1" x14ac:dyDescent="0.25">
      <c r="A62" s="106">
        <v>53</v>
      </c>
      <c r="B62" s="69"/>
      <c r="C62" s="70" t="s">
        <v>57</v>
      </c>
      <c r="D62" s="71" t="s">
        <v>252</v>
      </c>
      <c r="E62" s="60" t="s">
        <v>195</v>
      </c>
      <c r="F62" s="68" t="s">
        <v>258</v>
      </c>
      <c r="G62" s="61">
        <v>10</v>
      </c>
      <c r="H62" s="119">
        <v>2760</v>
      </c>
      <c r="I62" s="120">
        <f t="shared" si="0"/>
        <v>27600</v>
      </c>
    </row>
    <row r="63" spans="1:9" ht="26.25" thickBot="1" x14ac:dyDescent="0.25">
      <c r="A63" s="106">
        <v>54</v>
      </c>
      <c r="B63" s="69"/>
      <c r="C63" s="70" t="s">
        <v>57</v>
      </c>
      <c r="D63" s="71" t="s">
        <v>252</v>
      </c>
      <c r="E63" s="60" t="s">
        <v>176</v>
      </c>
      <c r="F63" s="68" t="s">
        <v>258</v>
      </c>
      <c r="G63" s="61">
        <v>10</v>
      </c>
      <c r="H63" s="119">
        <v>290</v>
      </c>
      <c r="I63" s="120">
        <f t="shared" si="0"/>
        <v>2900</v>
      </c>
    </row>
    <row r="64" spans="1:9" ht="26.25" thickBot="1" x14ac:dyDescent="0.25">
      <c r="A64" s="106">
        <v>55</v>
      </c>
      <c r="B64" s="69"/>
      <c r="C64" s="70" t="s">
        <v>57</v>
      </c>
      <c r="D64" s="71" t="s">
        <v>252</v>
      </c>
      <c r="E64" s="62" t="s">
        <v>175</v>
      </c>
      <c r="F64" s="68" t="s">
        <v>258</v>
      </c>
      <c r="G64" s="61">
        <v>10</v>
      </c>
      <c r="H64" s="119">
        <v>310</v>
      </c>
      <c r="I64" s="120">
        <f t="shared" si="0"/>
        <v>3100</v>
      </c>
    </row>
    <row r="65" spans="1:9" ht="26.25" thickBot="1" x14ac:dyDescent="0.25">
      <c r="A65" s="106">
        <v>56</v>
      </c>
      <c r="B65" s="69"/>
      <c r="C65" s="70" t="s">
        <v>57</v>
      </c>
      <c r="D65" s="71" t="s">
        <v>252</v>
      </c>
      <c r="E65" s="62" t="s">
        <v>100</v>
      </c>
      <c r="F65" s="68" t="s">
        <v>258</v>
      </c>
      <c r="G65" s="61">
        <v>200</v>
      </c>
      <c r="H65" s="119">
        <v>990</v>
      </c>
      <c r="I65" s="120">
        <f t="shared" si="0"/>
        <v>198000</v>
      </c>
    </row>
    <row r="66" spans="1:9" ht="26.25" thickBot="1" x14ac:dyDescent="0.25">
      <c r="A66" s="106">
        <v>57</v>
      </c>
      <c r="B66" s="69"/>
      <c r="C66" s="70" t="s">
        <v>57</v>
      </c>
      <c r="D66" s="71" t="s">
        <v>252</v>
      </c>
      <c r="E66" s="62" t="s">
        <v>196</v>
      </c>
      <c r="F66" s="68" t="s">
        <v>258</v>
      </c>
      <c r="G66" s="61">
        <v>300</v>
      </c>
      <c r="H66" s="119">
        <v>180</v>
      </c>
      <c r="I66" s="120">
        <f t="shared" si="0"/>
        <v>54000</v>
      </c>
    </row>
    <row r="67" spans="1:9" ht="26.25" thickBot="1" x14ac:dyDescent="0.25">
      <c r="A67" s="106">
        <v>58</v>
      </c>
      <c r="B67" s="69"/>
      <c r="C67" s="70" t="s">
        <v>57</v>
      </c>
      <c r="D67" s="71" t="s">
        <v>252</v>
      </c>
      <c r="E67" s="62" t="s">
        <v>152</v>
      </c>
      <c r="F67" s="68" t="s">
        <v>258</v>
      </c>
      <c r="G67" s="61">
        <v>2000</v>
      </c>
      <c r="H67" s="119">
        <v>29</v>
      </c>
      <c r="I67" s="120">
        <f t="shared" si="0"/>
        <v>58000</v>
      </c>
    </row>
    <row r="68" spans="1:9" ht="26.25" thickBot="1" x14ac:dyDescent="0.25">
      <c r="A68" s="106">
        <v>59</v>
      </c>
      <c r="B68" s="69"/>
      <c r="C68" s="70" t="s">
        <v>57</v>
      </c>
      <c r="D68" s="71" t="s">
        <v>252</v>
      </c>
      <c r="E68" s="58" t="s">
        <v>101</v>
      </c>
      <c r="F68" s="68" t="s">
        <v>258</v>
      </c>
      <c r="G68" s="61">
        <v>10</v>
      </c>
      <c r="H68" s="119">
        <v>1160</v>
      </c>
      <c r="I68" s="120">
        <f t="shared" si="0"/>
        <v>11600</v>
      </c>
    </row>
    <row r="69" spans="1:9" ht="26.25" thickBot="1" x14ac:dyDescent="0.25">
      <c r="A69" s="106">
        <v>60</v>
      </c>
      <c r="B69" s="69"/>
      <c r="C69" s="70" t="s">
        <v>57</v>
      </c>
      <c r="D69" s="71" t="s">
        <v>252</v>
      </c>
      <c r="E69" s="58" t="s">
        <v>103</v>
      </c>
      <c r="F69" s="68" t="s">
        <v>258</v>
      </c>
      <c r="G69" s="61">
        <v>10</v>
      </c>
      <c r="H69" s="119">
        <v>1160</v>
      </c>
      <c r="I69" s="120">
        <f t="shared" si="0"/>
        <v>11600</v>
      </c>
    </row>
    <row r="70" spans="1:9" ht="26.25" thickBot="1" x14ac:dyDescent="0.25">
      <c r="A70" s="106">
        <v>61</v>
      </c>
      <c r="B70" s="69"/>
      <c r="C70" s="70" t="s">
        <v>57</v>
      </c>
      <c r="D70" s="71" t="s">
        <v>252</v>
      </c>
      <c r="E70" s="59" t="s">
        <v>102</v>
      </c>
      <c r="F70" s="68" t="s">
        <v>258</v>
      </c>
      <c r="G70" s="61">
        <v>10</v>
      </c>
      <c r="H70" s="119">
        <v>1160</v>
      </c>
      <c r="I70" s="120">
        <f t="shared" si="0"/>
        <v>11600</v>
      </c>
    </row>
    <row r="71" spans="1:9" ht="26.25" thickBot="1" x14ac:dyDescent="0.25">
      <c r="A71" s="106">
        <v>62</v>
      </c>
      <c r="B71" s="69"/>
      <c r="C71" s="70" t="s">
        <v>57</v>
      </c>
      <c r="D71" s="71" t="s">
        <v>252</v>
      </c>
      <c r="E71" s="59" t="s">
        <v>182</v>
      </c>
      <c r="F71" s="68" t="s">
        <v>258</v>
      </c>
      <c r="G71" s="61">
        <v>100</v>
      </c>
      <c r="H71" s="119">
        <v>450</v>
      </c>
      <c r="I71" s="120">
        <f t="shared" si="0"/>
        <v>45000</v>
      </c>
    </row>
    <row r="72" spans="1:9" ht="26.25" thickBot="1" x14ac:dyDescent="0.25">
      <c r="A72" s="106">
        <v>63</v>
      </c>
      <c r="B72" s="69"/>
      <c r="C72" s="70" t="s">
        <v>57</v>
      </c>
      <c r="D72" s="71" t="s">
        <v>252</v>
      </c>
      <c r="E72" s="59" t="s">
        <v>153</v>
      </c>
      <c r="F72" s="68" t="s">
        <v>258</v>
      </c>
      <c r="G72" s="61">
        <v>30</v>
      </c>
      <c r="H72" s="119">
        <v>125</v>
      </c>
      <c r="I72" s="120">
        <f t="shared" si="0"/>
        <v>3750</v>
      </c>
    </row>
    <row r="73" spans="1:9" ht="26.25" thickBot="1" x14ac:dyDescent="0.25">
      <c r="A73" s="106">
        <v>64</v>
      </c>
      <c r="B73" s="69"/>
      <c r="C73" s="70" t="s">
        <v>57</v>
      </c>
      <c r="D73" s="71" t="s">
        <v>252</v>
      </c>
      <c r="E73" s="59" t="s">
        <v>197</v>
      </c>
      <c r="F73" s="68" t="s">
        <v>258</v>
      </c>
      <c r="G73" s="61">
        <v>100</v>
      </c>
      <c r="H73" s="119">
        <v>320</v>
      </c>
      <c r="I73" s="120">
        <f t="shared" si="0"/>
        <v>32000</v>
      </c>
    </row>
    <row r="74" spans="1:9" ht="26.25" thickBot="1" x14ac:dyDescent="0.25">
      <c r="A74" s="106">
        <v>65</v>
      </c>
      <c r="B74" s="69"/>
      <c r="C74" s="70" t="s">
        <v>57</v>
      </c>
      <c r="D74" s="71" t="s">
        <v>255</v>
      </c>
      <c r="E74" s="59" t="s">
        <v>181</v>
      </c>
      <c r="F74" s="68" t="s">
        <v>258</v>
      </c>
      <c r="G74" s="61">
        <v>30</v>
      </c>
      <c r="H74" s="119">
        <v>2900</v>
      </c>
      <c r="I74" s="120">
        <f t="shared" si="0"/>
        <v>87000</v>
      </c>
    </row>
    <row r="75" spans="1:9" ht="26.25" thickBot="1" x14ac:dyDescent="0.25">
      <c r="A75" s="106">
        <v>66</v>
      </c>
      <c r="B75" s="69"/>
      <c r="C75" s="70" t="s">
        <v>57</v>
      </c>
      <c r="D75" s="71" t="s">
        <v>252</v>
      </c>
      <c r="E75" s="59" t="s">
        <v>104</v>
      </c>
      <c r="F75" s="68" t="s">
        <v>258</v>
      </c>
      <c r="G75" s="61">
        <v>40</v>
      </c>
      <c r="H75" s="119">
        <v>1300</v>
      </c>
      <c r="I75" s="120">
        <f t="shared" si="0"/>
        <v>52000</v>
      </c>
    </row>
    <row r="76" spans="1:9" ht="26.25" thickBot="1" x14ac:dyDescent="0.25">
      <c r="A76" s="106">
        <v>67</v>
      </c>
      <c r="B76" s="69"/>
      <c r="C76" s="70" t="s">
        <v>57</v>
      </c>
      <c r="D76" s="71" t="s">
        <v>252</v>
      </c>
      <c r="E76" s="59" t="s">
        <v>180</v>
      </c>
      <c r="F76" s="68" t="s">
        <v>258</v>
      </c>
      <c r="G76" s="61">
        <v>300</v>
      </c>
      <c r="H76" s="119">
        <v>1500</v>
      </c>
      <c r="I76" s="120">
        <f t="shared" ref="I76:I139" si="1">G76*H76</f>
        <v>450000</v>
      </c>
    </row>
    <row r="77" spans="1:9" ht="26.25" thickBot="1" x14ac:dyDescent="0.25">
      <c r="A77" s="106">
        <v>68</v>
      </c>
      <c r="B77" s="69"/>
      <c r="C77" s="70" t="s">
        <v>57</v>
      </c>
      <c r="D77" s="71" t="s">
        <v>252</v>
      </c>
      <c r="E77" s="62" t="s">
        <v>179</v>
      </c>
      <c r="F77" s="68" t="s">
        <v>258</v>
      </c>
      <c r="G77" s="61">
        <v>500</v>
      </c>
      <c r="H77" s="119">
        <v>850</v>
      </c>
      <c r="I77" s="120">
        <f t="shared" si="1"/>
        <v>425000</v>
      </c>
    </row>
    <row r="78" spans="1:9" ht="26.25" thickBot="1" x14ac:dyDescent="0.25">
      <c r="A78" s="106">
        <v>69</v>
      </c>
      <c r="B78" s="69"/>
      <c r="C78" s="70" t="s">
        <v>57</v>
      </c>
      <c r="D78" s="71" t="s">
        <v>255</v>
      </c>
      <c r="E78" s="62" t="s">
        <v>242</v>
      </c>
      <c r="F78" s="68" t="s">
        <v>258</v>
      </c>
      <c r="G78" s="61">
        <v>10</v>
      </c>
      <c r="H78" s="119">
        <v>1100</v>
      </c>
      <c r="I78" s="120">
        <f t="shared" si="1"/>
        <v>11000</v>
      </c>
    </row>
    <row r="79" spans="1:9" ht="26.25" thickBot="1" x14ac:dyDescent="0.25">
      <c r="A79" s="106">
        <v>70</v>
      </c>
      <c r="B79" s="69"/>
      <c r="C79" s="70" t="s">
        <v>57</v>
      </c>
      <c r="D79" s="71" t="s">
        <v>252</v>
      </c>
      <c r="E79" s="62" t="s">
        <v>154</v>
      </c>
      <c r="F79" s="68" t="s">
        <v>258</v>
      </c>
      <c r="G79" s="61">
        <v>30</v>
      </c>
      <c r="H79" s="119">
        <v>250</v>
      </c>
      <c r="I79" s="120">
        <f t="shared" si="1"/>
        <v>7500</v>
      </c>
    </row>
    <row r="80" spans="1:9" ht="26.25" thickBot="1" x14ac:dyDescent="0.25">
      <c r="A80" s="106">
        <v>71</v>
      </c>
      <c r="B80" s="69"/>
      <c r="C80" s="70" t="s">
        <v>57</v>
      </c>
      <c r="D80" s="71" t="s">
        <v>252</v>
      </c>
      <c r="E80" s="60" t="s">
        <v>243</v>
      </c>
      <c r="F80" s="68" t="s">
        <v>258</v>
      </c>
      <c r="G80" s="61">
        <v>2000</v>
      </c>
      <c r="H80" s="119">
        <v>180</v>
      </c>
      <c r="I80" s="120">
        <f t="shared" si="1"/>
        <v>360000</v>
      </c>
    </row>
    <row r="81" spans="1:9" ht="26.25" thickBot="1" x14ac:dyDescent="0.25">
      <c r="A81" s="106">
        <v>72</v>
      </c>
      <c r="B81" s="69"/>
      <c r="C81" s="70" t="s">
        <v>57</v>
      </c>
      <c r="D81" s="71" t="s">
        <v>252</v>
      </c>
      <c r="E81" s="60" t="s">
        <v>244</v>
      </c>
      <c r="F81" s="68" t="s">
        <v>258</v>
      </c>
      <c r="G81" s="61">
        <v>2000</v>
      </c>
      <c r="H81" s="119">
        <v>180</v>
      </c>
      <c r="I81" s="120">
        <f t="shared" si="1"/>
        <v>360000</v>
      </c>
    </row>
    <row r="82" spans="1:9" ht="26.25" thickBot="1" x14ac:dyDescent="0.25">
      <c r="A82" s="106">
        <v>73</v>
      </c>
      <c r="B82" s="69"/>
      <c r="C82" s="70" t="s">
        <v>57</v>
      </c>
      <c r="D82" s="71" t="s">
        <v>252</v>
      </c>
      <c r="E82" s="62" t="s">
        <v>144</v>
      </c>
      <c r="F82" s="68" t="s">
        <v>258</v>
      </c>
      <c r="G82" s="61">
        <v>240</v>
      </c>
      <c r="H82" s="119">
        <v>180</v>
      </c>
      <c r="I82" s="120">
        <f t="shared" si="1"/>
        <v>43200</v>
      </c>
    </row>
    <row r="83" spans="1:9" ht="26.25" thickBot="1" x14ac:dyDescent="0.25">
      <c r="A83" s="106">
        <v>74</v>
      </c>
      <c r="B83" s="69"/>
      <c r="C83" s="70" t="s">
        <v>57</v>
      </c>
      <c r="D83" s="71" t="s">
        <v>252</v>
      </c>
      <c r="E83" s="58" t="s">
        <v>145</v>
      </c>
      <c r="F83" s="68" t="s">
        <v>258</v>
      </c>
      <c r="G83" s="61">
        <v>60</v>
      </c>
      <c r="H83" s="119">
        <v>156</v>
      </c>
      <c r="I83" s="120">
        <f t="shared" si="1"/>
        <v>9360</v>
      </c>
    </row>
    <row r="84" spans="1:9" ht="26.25" thickBot="1" x14ac:dyDescent="0.25">
      <c r="A84" s="106">
        <v>75</v>
      </c>
      <c r="B84" s="69"/>
      <c r="C84" s="70" t="s">
        <v>57</v>
      </c>
      <c r="D84" s="71" t="s">
        <v>252</v>
      </c>
      <c r="E84" s="58" t="s">
        <v>198</v>
      </c>
      <c r="F84" s="68" t="s">
        <v>258</v>
      </c>
      <c r="G84" s="61">
        <v>50</v>
      </c>
      <c r="H84" s="119">
        <v>252</v>
      </c>
      <c r="I84" s="120">
        <f t="shared" si="1"/>
        <v>12600</v>
      </c>
    </row>
    <row r="85" spans="1:9" ht="26.25" thickBot="1" x14ac:dyDescent="0.25">
      <c r="A85" s="106">
        <v>76</v>
      </c>
      <c r="B85" s="69"/>
      <c r="C85" s="70" t="s">
        <v>57</v>
      </c>
      <c r="D85" s="71" t="s">
        <v>252</v>
      </c>
      <c r="E85" s="59" t="s">
        <v>245</v>
      </c>
      <c r="F85" s="68" t="s">
        <v>258</v>
      </c>
      <c r="G85" s="61">
        <v>300</v>
      </c>
      <c r="H85" s="119">
        <v>3.15</v>
      </c>
      <c r="I85" s="120">
        <f t="shared" si="1"/>
        <v>945</v>
      </c>
    </row>
    <row r="86" spans="1:9" ht="26.25" thickBot="1" x14ac:dyDescent="0.25">
      <c r="A86" s="106">
        <v>77</v>
      </c>
      <c r="B86" s="69"/>
      <c r="C86" s="70" t="s">
        <v>57</v>
      </c>
      <c r="D86" s="71" t="s">
        <v>252</v>
      </c>
      <c r="E86" s="60" t="s">
        <v>105</v>
      </c>
      <c r="F86" s="68" t="s">
        <v>258</v>
      </c>
      <c r="G86" s="61">
        <v>30</v>
      </c>
      <c r="H86" s="119">
        <v>3100</v>
      </c>
      <c r="I86" s="120">
        <f t="shared" si="1"/>
        <v>93000</v>
      </c>
    </row>
    <row r="87" spans="1:9" ht="26.25" thickBot="1" x14ac:dyDescent="0.25">
      <c r="A87" s="106">
        <v>78</v>
      </c>
      <c r="B87" s="69"/>
      <c r="C87" s="70" t="s">
        <v>57</v>
      </c>
      <c r="D87" s="71" t="s">
        <v>252</v>
      </c>
      <c r="E87" s="59" t="s">
        <v>106</v>
      </c>
      <c r="F87" s="68" t="s">
        <v>258</v>
      </c>
      <c r="G87" s="61">
        <v>4</v>
      </c>
      <c r="H87" s="119">
        <v>2600</v>
      </c>
      <c r="I87" s="120">
        <f t="shared" si="1"/>
        <v>10400</v>
      </c>
    </row>
    <row r="88" spans="1:9" ht="39" thickBot="1" x14ac:dyDescent="0.25">
      <c r="A88" s="106">
        <v>79</v>
      </c>
      <c r="B88" s="69"/>
      <c r="C88" s="70" t="s">
        <v>57</v>
      </c>
      <c r="D88" s="71" t="s">
        <v>252</v>
      </c>
      <c r="E88" s="60" t="s">
        <v>186</v>
      </c>
      <c r="F88" s="68" t="s">
        <v>258</v>
      </c>
      <c r="G88" s="61">
        <v>1</v>
      </c>
      <c r="H88" s="119">
        <v>900</v>
      </c>
      <c r="I88" s="120">
        <f t="shared" si="1"/>
        <v>900</v>
      </c>
    </row>
    <row r="89" spans="1:9" ht="26.25" thickBot="1" x14ac:dyDescent="0.25">
      <c r="A89" s="106">
        <v>80</v>
      </c>
      <c r="B89" s="69"/>
      <c r="C89" s="70" t="s">
        <v>57</v>
      </c>
      <c r="D89" s="71" t="s">
        <v>252</v>
      </c>
      <c r="E89" s="62" t="s">
        <v>185</v>
      </c>
      <c r="F89" s="68" t="s">
        <v>258</v>
      </c>
      <c r="G89" s="61">
        <v>10</v>
      </c>
      <c r="H89" s="119">
        <v>1250</v>
      </c>
      <c r="I89" s="120">
        <f t="shared" si="1"/>
        <v>12500</v>
      </c>
    </row>
    <row r="90" spans="1:9" ht="26.25" thickBot="1" x14ac:dyDescent="0.25">
      <c r="A90" s="106">
        <v>81</v>
      </c>
      <c r="B90" s="69"/>
      <c r="C90" s="70" t="s">
        <v>57</v>
      </c>
      <c r="D90" s="71" t="s">
        <v>252</v>
      </c>
      <c r="E90" s="58" t="s">
        <v>107</v>
      </c>
      <c r="F90" s="68" t="s">
        <v>258</v>
      </c>
      <c r="G90" s="61">
        <v>50</v>
      </c>
      <c r="H90" s="119">
        <v>390</v>
      </c>
      <c r="I90" s="120">
        <f t="shared" si="1"/>
        <v>19500</v>
      </c>
    </row>
    <row r="91" spans="1:9" ht="26.25" thickBot="1" x14ac:dyDescent="0.25">
      <c r="A91" s="106">
        <v>82</v>
      </c>
      <c r="B91" s="69"/>
      <c r="C91" s="70" t="s">
        <v>57</v>
      </c>
      <c r="D91" s="71" t="s">
        <v>252</v>
      </c>
      <c r="E91" s="58" t="s">
        <v>199</v>
      </c>
      <c r="F91" s="68" t="s">
        <v>258</v>
      </c>
      <c r="G91" s="61">
        <v>50</v>
      </c>
      <c r="H91" s="119">
        <v>700</v>
      </c>
      <c r="I91" s="120">
        <f t="shared" si="1"/>
        <v>35000</v>
      </c>
    </row>
    <row r="92" spans="1:9" ht="26.25" thickBot="1" x14ac:dyDescent="0.25">
      <c r="A92" s="106">
        <v>83</v>
      </c>
      <c r="B92" s="69"/>
      <c r="C92" s="70" t="s">
        <v>57</v>
      </c>
      <c r="D92" s="71" t="s">
        <v>252</v>
      </c>
      <c r="E92" s="60" t="s">
        <v>108</v>
      </c>
      <c r="F92" s="68" t="s">
        <v>258</v>
      </c>
      <c r="G92" s="61">
        <v>10</v>
      </c>
      <c r="H92" s="119">
        <v>1643</v>
      </c>
      <c r="I92" s="120">
        <f t="shared" si="1"/>
        <v>16430</v>
      </c>
    </row>
    <row r="93" spans="1:9" ht="26.25" thickBot="1" x14ac:dyDescent="0.25">
      <c r="A93" s="106">
        <v>84</v>
      </c>
      <c r="B93" s="69"/>
      <c r="C93" s="70" t="s">
        <v>57</v>
      </c>
      <c r="D93" s="71" t="s">
        <v>252</v>
      </c>
      <c r="E93" s="62" t="s">
        <v>109</v>
      </c>
      <c r="F93" s="68" t="s">
        <v>258</v>
      </c>
      <c r="G93" s="61">
        <v>10</v>
      </c>
      <c r="H93" s="119">
        <v>1643</v>
      </c>
      <c r="I93" s="120">
        <f t="shared" si="1"/>
        <v>16430</v>
      </c>
    </row>
    <row r="94" spans="1:9" ht="26.25" thickBot="1" x14ac:dyDescent="0.25">
      <c r="A94" s="106">
        <v>85</v>
      </c>
      <c r="B94" s="69"/>
      <c r="C94" s="101" t="s">
        <v>57</v>
      </c>
      <c r="D94" s="102" t="s">
        <v>252</v>
      </c>
      <c r="E94" s="74" t="s">
        <v>110</v>
      </c>
      <c r="F94" s="68" t="s">
        <v>258</v>
      </c>
      <c r="G94" s="61">
        <v>10</v>
      </c>
      <c r="H94" s="119">
        <v>1643</v>
      </c>
      <c r="I94" s="120">
        <f t="shared" si="1"/>
        <v>16430</v>
      </c>
    </row>
    <row r="95" spans="1:9" ht="26.25" thickBot="1" x14ac:dyDescent="0.25">
      <c r="A95" s="106">
        <v>86</v>
      </c>
      <c r="B95" s="69"/>
      <c r="C95" s="70" t="s">
        <v>57</v>
      </c>
      <c r="D95" s="71" t="s">
        <v>252</v>
      </c>
      <c r="E95" s="62" t="s">
        <v>155</v>
      </c>
      <c r="F95" s="68" t="s">
        <v>258</v>
      </c>
      <c r="G95" s="61">
        <v>1000</v>
      </c>
      <c r="H95" s="119">
        <v>79.900000000000006</v>
      </c>
      <c r="I95" s="120">
        <f t="shared" si="1"/>
        <v>79900</v>
      </c>
    </row>
    <row r="96" spans="1:9" ht="26.25" thickBot="1" x14ac:dyDescent="0.25">
      <c r="A96" s="106">
        <v>87</v>
      </c>
      <c r="B96" s="69"/>
      <c r="C96" s="70" t="s">
        <v>57</v>
      </c>
      <c r="D96" s="71" t="s">
        <v>252</v>
      </c>
      <c r="E96" s="62" t="s">
        <v>111</v>
      </c>
      <c r="F96" s="68" t="s">
        <v>258</v>
      </c>
      <c r="G96" s="61">
        <v>200</v>
      </c>
      <c r="H96" s="119">
        <v>408</v>
      </c>
      <c r="I96" s="120">
        <f t="shared" si="1"/>
        <v>81600</v>
      </c>
    </row>
    <row r="97" spans="1:9" ht="26.25" thickBot="1" x14ac:dyDescent="0.25">
      <c r="A97" s="106">
        <v>88</v>
      </c>
      <c r="B97" s="69"/>
      <c r="C97" s="70" t="s">
        <v>57</v>
      </c>
      <c r="D97" s="71" t="s">
        <v>252</v>
      </c>
      <c r="E97" s="62" t="s">
        <v>112</v>
      </c>
      <c r="F97" s="68" t="s">
        <v>258</v>
      </c>
      <c r="G97" s="61">
        <v>200</v>
      </c>
      <c r="H97" s="119">
        <v>408</v>
      </c>
      <c r="I97" s="120">
        <f t="shared" si="1"/>
        <v>81600</v>
      </c>
    </row>
    <row r="98" spans="1:9" ht="26.25" thickBot="1" x14ac:dyDescent="0.25">
      <c r="A98" s="106">
        <v>89</v>
      </c>
      <c r="B98" s="69"/>
      <c r="C98" s="70" t="s">
        <v>57</v>
      </c>
      <c r="D98" s="71" t="s">
        <v>252</v>
      </c>
      <c r="E98" s="62" t="s">
        <v>113</v>
      </c>
      <c r="F98" s="68" t="s">
        <v>258</v>
      </c>
      <c r="G98" s="61">
        <v>200</v>
      </c>
      <c r="H98" s="119">
        <v>408</v>
      </c>
      <c r="I98" s="120">
        <f t="shared" si="1"/>
        <v>81600</v>
      </c>
    </row>
    <row r="99" spans="1:9" ht="26.25" thickBot="1" x14ac:dyDescent="0.25">
      <c r="A99" s="106">
        <v>90</v>
      </c>
      <c r="B99" s="69"/>
      <c r="C99" s="70" t="s">
        <v>57</v>
      </c>
      <c r="D99" s="71" t="s">
        <v>252</v>
      </c>
      <c r="E99" s="62" t="s">
        <v>114</v>
      </c>
      <c r="F99" s="68" t="s">
        <v>258</v>
      </c>
      <c r="G99" s="61">
        <v>200</v>
      </c>
      <c r="H99" s="119">
        <v>408</v>
      </c>
      <c r="I99" s="120">
        <f t="shared" si="1"/>
        <v>81600</v>
      </c>
    </row>
    <row r="100" spans="1:9" ht="26.25" thickBot="1" x14ac:dyDescent="0.25">
      <c r="A100" s="106">
        <v>91</v>
      </c>
      <c r="B100" s="69"/>
      <c r="C100" s="70" t="s">
        <v>57</v>
      </c>
      <c r="D100" s="71" t="s">
        <v>252</v>
      </c>
      <c r="E100" s="62" t="s">
        <v>115</v>
      </c>
      <c r="F100" s="68" t="s">
        <v>258</v>
      </c>
      <c r="G100" s="61">
        <v>100</v>
      </c>
      <c r="H100" s="119">
        <v>408</v>
      </c>
      <c r="I100" s="120">
        <f t="shared" si="1"/>
        <v>40800</v>
      </c>
    </row>
    <row r="101" spans="1:9" ht="26.25" thickBot="1" x14ac:dyDescent="0.25">
      <c r="A101" s="106">
        <v>92</v>
      </c>
      <c r="B101" s="69"/>
      <c r="C101" s="70" t="s">
        <v>57</v>
      </c>
      <c r="D101" s="71" t="s">
        <v>252</v>
      </c>
      <c r="E101" s="62" t="s">
        <v>116</v>
      </c>
      <c r="F101" s="68" t="s">
        <v>258</v>
      </c>
      <c r="G101" s="61">
        <v>100</v>
      </c>
      <c r="H101" s="119">
        <v>408</v>
      </c>
      <c r="I101" s="120">
        <f t="shared" si="1"/>
        <v>40800</v>
      </c>
    </row>
    <row r="102" spans="1:9" ht="26.25" thickBot="1" x14ac:dyDescent="0.25">
      <c r="A102" s="106">
        <v>93</v>
      </c>
      <c r="B102" s="69"/>
      <c r="C102" s="70" t="s">
        <v>57</v>
      </c>
      <c r="D102" s="71" t="s">
        <v>252</v>
      </c>
      <c r="E102" s="62" t="s">
        <v>117</v>
      </c>
      <c r="F102" s="68" t="s">
        <v>258</v>
      </c>
      <c r="G102" s="61">
        <v>100</v>
      </c>
      <c r="H102" s="119">
        <v>390</v>
      </c>
      <c r="I102" s="120">
        <f t="shared" si="1"/>
        <v>39000</v>
      </c>
    </row>
    <row r="103" spans="1:9" ht="26.25" thickBot="1" x14ac:dyDescent="0.25">
      <c r="A103" s="106">
        <v>94</v>
      </c>
      <c r="B103" s="69"/>
      <c r="C103" s="70" t="s">
        <v>57</v>
      </c>
      <c r="D103" s="71" t="s">
        <v>252</v>
      </c>
      <c r="E103" s="62" t="s">
        <v>118</v>
      </c>
      <c r="F103" s="68" t="s">
        <v>258</v>
      </c>
      <c r="G103" s="61">
        <v>100</v>
      </c>
      <c r="H103" s="119">
        <v>390</v>
      </c>
      <c r="I103" s="120">
        <f t="shared" si="1"/>
        <v>39000</v>
      </c>
    </row>
    <row r="104" spans="1:9" ht="26.25" thickBot="1" x14ac:dyDescent="0.25">
      <c r="A104" s="106">
        <v>95</v>
      </c>
      <c r="B104" s="69"/>
      <c r="C104" s="70" t="s">
        <v>57</v>
      </c>
      <c r="D104" s="71" t="s">
        <v>252</v>
      </c>
      <c r="E104" s="62" t="s">
        <v>246</v>
      </c>
      <c r="F104" s="68" t="s">
        <v>258</v>
      </c>
      <c r="G104" s="61">
        <v>100</v>
      </c>
      <c r="H104" s="119">
        <v>390</v>
      </c>
      <c r="I104" s="120">
        <f t="shared" si="1"/>
        <v>39000</v>
      </c>
    </row>
    <row r="105" spans="1:9" ht="26.25" thickBot="1" x14ac:dyDescent="0.25">
      <c r="A105" s="106">
        <v>96</v>
      </c>
      <c r="B105" s="69"/>
      <c r="C105" s="70" t="s">
        <v>57</v>
      </c>
      <c r="D105" s="71" t="s">
        <v>252</v>
      </c>
      <c r="E105" s="59" t="s">
        <v>247</v>
      </c>
      <c r="F105" s="68" t="s">
        <v>258</v>
      </c>
      <c r="G105" s="61">
        <v>100</v>
      </c>
      <c r="H105" s="119">
        <v>390</v>
      </c>
      <c r="I105" s="120">
        <f t="shared" si="1"/>
        <v>39000</v>
      </c>
    </row>
    <row r="106" spans="1:9" ht="26.25" thickBot="1" x14ac:dyDescent="0.25">
      <c r="A106" s="106">
        <v>97</v>
      </c>
      <c r="B106" s="69"/>
      <c r="C106" s="70" t="s">
        <v>57</v>
      </c>
      <c r="D106" s="71" t="s">
        <v>252</v>
      </c>
      <c r="E106" s="59" t="s">
        <v>119</v>
      </c>
      <c r="F106" s="68" t="s">
        <v>258</v>
      </c>
      <c r="G106" s="61">
        <v>50</v>
      </c>
      <c r="H106" s="119">
        <v>860</v>
      </c>
      <c r="I106" s="120">
        <f t="shared" si="1"/>
        <v>43000</v>
      </c>
    </row>
    <row r="107" spans="1:9" ht="26.25" thickBot="1" x14ac:dyDescent="0.25">
      <c r="A107" s="106">
        <v>98</v>
      </c>
      <c r="B107" s="69"/>
      <c r="C107" s="70" t="s">
        <v>57</v>
      </c>
      <c r="D107" s="71" t="s">
        <v>252</v>
      </c>
      <c r="E107" s="62" t="s">
        <v>120</v>
      </c>
      <c r="F107" s="68" t="s">
        <v>258</v>
      </c>
      <c r="G107" s="61">
        <v>50</v>
      </c>
      <c r="H107" s="119">
        <v>860</v>
      </c>
      <c r="I107" s="120">
        <f t="shared" si="1"/>
        <v>43000</v>
      </c>
    </row>
    <row r="108" spans="1:9" ht="26.25" thickBot="1" x14ac:dyDescent="0.25">
      <c r="A108" s="106">
        <v>99</v>
      </c>
      <c r="B108" s="69"/>
      <c r="C108" s="70" t="s">
        <v>57</v>
      </c>
      <c r="D108" s="71" t="s">
        <v>252</v>
      </c>
      <c r="E108" s="108" t="s">
        <v>121</v>
      </c>
      <c r="F108" s="68" t="s">
        <v>258</v>
      </c>
      <c r="G108" s="61">
        <v>50</v>
      </c>
      <c r="H108" s="121">
        <v>860</v>
      </c>
      <c r="I108" s="120">
        <f t="shared" si="1"/>
        <v>43000</v>
      </c>
    </row>
    <row r="109" spans="1:9" ht="26.25" thickBot="1" x14ac:dyDescent="0.25">
      <c r="A109" s="106">
        <v>100</v>
      </c>
      <c r="B109" s="69"/>
      <c r="C109" s="70" t="s">
        <v>57</v>
      </c>
      <c r="D109" s="71" t="s">
        <v>252</v>
      </c>
      <c r="E109" s="108" t="s">
        <v>122</v>
      </c>
      <c r="F109" s="68" t="s">
        <v>258</v>
      </c>
      <c r="G109" s="61">
        <v>1000</v>
      </c>
      <c r="H109" s="121">
        <v>40</v>
      </c>
      <c r="I109" s="120">
        <f t="shared" si="1"/>
        <v>40000</v>
      </c>
    </row>
    <row r="110" spans="1:9" ht="26.25" thickBot="1" x14ac:dyDescent="0.25">
      <c r="A110" s="106">
        <v>101</v>
      </c>
      <c r="B110" s="69"/>
      <c r="C110" s="70" t="s">
        <v>57</v>
      </c>
      <c r="D110" s="71" t="s">
        <v>252</v>
      </c>
      <c r="E110" s="108" t="s">
        <v>123</v>
      </c>
      <c r="F110" s="68" t="s">
        <v>258</v>
      </c>
      <c r="G110" s="61">
        <v>1000</v>
      </c>
      <c r="H110" s="121">
        <v>40</v>
      </c>
      <c r="I110" s="120">
        <f t="shared" si="1"/>
        <v>40000</v>
      </c>
    </row>
    <row r="111" spans="1:9" ht="26.25" thickBot="1" x14ac:dyDescent="0.25">
      <c r="A111" s="106">
        <v>102</v>
      </c>
      <c r="B111" s="69"/>
      <c r="C111" s="70" t="s">
        <v>57</v>
      </c>
      <c r="D111" s="71" t="s">
        <v>252</v>
      </c>
      <c r="E111" s="108" t="s">
        <v>124</v>
      </c>
      <c r="F111" s="68" t="s">
        <v>258</v>
      </c>
      <c r="G111" s="61">
        <v>3000</v>
      </c>
      <c r="H111" s="121">
        <v>235</v>
      </c>
      <c r="I111" s="120">
        <f t="shared" si="1"/>
        <v>705000</v>
      </c>
    </row>
    <row r="112" spans="1:9" ht="26.25" thickBot="1" x14ac:dyDescent="0.25">
      <c r="A112" s="106">
        <v>103</v>
      </c>
      <c r="B112" s="69"/>
      <c r="C112" s="70" t="s">
        <v>57</v>
      </c>
      <c r="D112" s="71" t="s">
        <v>252</v>
      </c>
      <c r="E112" s="62" t="s">
        <v>125</v>
      </c>
      <c r="F112" s="68" t="s">
        <v>258</v>
      </c>
      <c r="G112" s="61">
        <v>50</v>
      </c>
      <c r="H112" s="121">
        <v>2250</v>
      </c>
      <c r="I112" s="120">
        <f t="shared" si="1"/>
        <v>112500</v>
      </c>
    </row>
    <row r="113" spans="1:9" ht="26.25" thickBot="1" x14ac:dyDescent="0.25">
      <c r="A113" s="106">
        <v>104</v>
      </c>
      <c r="B113" s="69"/>
      <c r="C113" s="70" t="s">
        <v>57</v>
      </c>
      <c r="D113" s="71" t="s">
        <v>252</v>
      </c>
      <c r="E113" s="62" t="s">
        <v>126</v>
      </c>
      <c r="F113" s="68" t="s">
        <v>258</v>
      </c>
      <c r="G113" s="61">
        <v>50</v>
      </c>
      <c r="H113" s="121">
        <v>2250</v>
      </c>
      <c r="I113" s="120">
        <f t="shared" si="1"/>
        <v>112500</v>
      </c>
    </row>
    <row r="114" spans="1:9" ht="26.25" thickBot="1" x14ac:dyDescent="0.25">
      <c r="A114" s="106">
        <v>105</v>
      </c>
      <c r="B114" s="69"/>
      <c r="C114" s="70" t="s">
        <v>57</v>
      </c>
      <c r="D114" s="71" t="s">
        <v>256</v>
      </c>
      <c r="E114" s="62" t="s">
        <v>184</v>
      </c>
      <c r="F114" s="68" t="s">
        <v>258</v>
      </c>
      <c r="G114" s="61">
        <v>30</v>
      </c>
      <c r="H114" s="121">
        <v>4500</v>
      </c>
      <c r="I114" s="120">
        <f t="shared" si="1"/>
        <v>135000</v>
      </c>
    </row>
    <row r="115" spans="1:9" ht="26.25" thickBot="1" x14ac:dyDescent="0.25">
      <c r="A115" s="106">
        <v>106</v>
      </c>
      <c r="B115" s="69"/>
      <c r="C115" s="70" t="s">
        <v>57</v>
      </c>
      <c r="D115" s="71" t="s">
        <v>255</v>
      </c>
      <c r="E115" s="62" t="s">
        <v>156</v>
      </c>
      <c r="F115" s="68" t="s">
        <v>258</v>
      </c>
      <c r="G115" s="61">
        <v>5</v>
      </c>
      <c r="H115" s="121">
        <v>4100</v>
      </c>
      <c r="I115" s="120">
        <f t="shared" si="1"/>
        <v>20500</v>
      </c>
    </row>
    <row r="116" spans="1:9" ht="26.25" thickBot="1" x14ac:dyDescent="0.25">
      <c r="A116" s="106">
        <v>107</v>
      </c>
      <c r="B116" s="69"/>
      <c r="C116" s="70" t="s">
        <v>57</v>
      </c>
      <c r="D116" s="71" t="s">
        <v>253</v>
      </c>
      <c r="E116" s="72" t="s">
        <v>157</v>
      </c>
      <c r="F116" s="68" t="s">
        <v>258</v>
      </c>
      <c r="G116" s="61">
        <v>5</v>
      </c>
      <c r="H116" s="121">
        <v>6000</v>
      </c>
      <c r="I116" s="120">
        <f t="shared" si="1"/>
        <v>30000</v>
      </c>
    </row>
    <row r="117" spans="1:9" ht="26.25" thickBot="1" x14ac:dyDescent="0.25">
      <c r="A117" s="106">
        <v>108</v>
      </c>
      <c r="B117" s="69"/>
      <c r="C117" s="70" t="s">
        <v>57</v>
      </c>
      <c r="D117" s="71" t="s">
        <v>254</v>
      </c>
      <c r="E117" s="72" t="s">
        <v>183</v>
      </c>
      <c r="F117" s="68" t="s">
        <v>258</v>
      </c>
      <c r="G117" s="61">
        <v>5</v>
      </c>
      <c r="H117" s="121">
        <v>3900</v>
      </c>
      <c r="I117" s="120">
        <f t="shared" si="1"/>
        <v>19500</v>
      </c>
    </row>
    <row r="118" spans="1:9" ht="26.25" thickBot="1" x14ac:dyDescent="0.25">
      <c r="A118" s="106">
        <v>109</v>
      </c>
      <c r="B118" s="69"/>
      <c r="C118" s="70" t="s">
        <v>57</v>
      </c>
      <c r="D118" s="71" t="s">
        <v>252</v>
      </c>
      <c r="E118" s="58" t="s">
        <v>127</v>
      </c>
      <c r="F118" s="68" t="s">
        <v>258</v>
      </c>
      <c r="G118" s="73">
        <v>50</v>
      </c>
      <c r="H118" s="122">
        <v>4500</v>
      </c>
      <c r="I118" s="120">
        <f t="shared" si="1"/>
        <v>225000</v>
      </c>
    </row>
    <row r="119" spans="1:9" ht="26.25" thickBot="1" x14ac:dyDescent="0.25">
      <c r="A119" s="106">
        <v>110</v>
      </c>
      <c r="B119" s="69"/>
      <c r="C119" s="70" t="s">
        <v>57</v>
      </c>
      <c r="D119" s="71" t="s">
        <v>252</v>
      </c>
      <c r="E119" s="58" t="s">
        <v>128</v>
      </c>
      <c r="F119" s="68" t="s">
        <v>258</v>
      </c>
      <c r="G119" s="73">
        <v>5</v>
      </c>
      <c r="H119" s="122">
        <v>4500</v>
      </c>
      <c r="I119" s="120">
        <f t="shared" si="1"/>
        <v>22500</v>
      </c>
    </row>
    <row r="120" spans="1:9" ht="26.25" thickBot="1" x14ac:dyDescent="0.25">
      <c r="A120" s="106">
        <v>111</v>
      </c>
      <c r="B120" s="69"/>
      <c r="C120" s="70" t="s">
        <v>57</v>
      </c>
      <c r="D120" s="71" t="s">
        <v>252</v>
      </c>
      <c r="E120" s="62" t="s">
        <v>129</v>
      </c>
      <c r="F120" s="68" t="s">
        <v>258</v>
      </c>
      <c r="G120" s="73">
        <v>5</v>
      </c>
      <c r="H120" s="122">
        <v>4500</v>
      </c>
      <c r="I120" s="120">
        <f t="shared" si="1"/>
        <v>22500</v>
      </c>
    </row>
    <row r="121" spans="1:9" ht="26.25" thickBot="1" x14ac:dyDescent="0.25">
      <c r="A121" s="106">
        <v>112</v>
      </c>
      <c r="B121" s="69"/>
      <c r="C121" s="70" t="s">
        <v>57</v>
      </c>
      <c r="D121" s="71" t="s">
        <v>252</v>
      </c>
      <c r="E121" s="62" t="s">
        <v>200</v>
      </c>
      <c r="F121" s="68" t="s">
        <v>258</v>
      </c>
      <c r="G121" s="73">
        <v>100</v>
      </c>
      <c r="H121" s="122">
        <v>4500</v>
      </c>
      <c r="I121" s="120">
        <f t="shared" si="1"/>
        <v>450000</v>
      </c>
    </row>
    <row r="122" spans="1:9" ht="26.25" thickBot="1" x14ac:dyDescent="0.25">
      <c r="A122" s="106">
        <v>113</v>
      </c>
      <c r="B122" s="69"/>
      <c r="C122" s="70" t="s">
        <v>57</v>
      </c>
      <c r="D122" s="71" t="s">
        <v>256</v>
      </c>
      <c r="E122" s="62" t="s">
        <v>187</v>
      </c>
      <c r="F122" s="68" t="s">
        <v>258</v>
      </c>
      <c r="G122" s="73">
        <v>24</v>
      </c>
      <c r="H122" s="122">
        <v>700</v>
      </c>
      <c r="I122" s="120">
        <f t="shared" si="1"/>
        <v>16800</v>
      </c>
    </row>
    <row r="123" spans="1:9" ht="26.25" thickBot="1" x14ac:dyDescent="0.25">
      <c r="A123" s="106">
        <v>114</v>
      </c>
      <c r="B123" s="69"/>
      <c r="C123" s="70" t="s">
        <v>57</v>
      </c>
      <c r="D123" s="71" t="s">
        <v>252</v>
      </c>
      <c r="E123" s="72" t="s">
        <v>227</v>
      </c>
      <c r="F123" s="68" t="s">
        <v>258</v>
      </c>
      <c r="G123" s="73">
        <v>30</v>
      </c>
      <c r="H123" s="122">
        <v>3540</v>
      </c>
      <c r="I123" s="120">
        <f t="shared" si="1"/>
        <v>106200</v>
      </c>
    </row>
    <row r="124" spans="1:9" ht="26.25" thickBot="1" x14ac:dyDescent="0.25">
      <c r="A124" s="106">
        <v>115</v>
      </c>
      <c r="B124" s="69"/>
      <c r="C124" s="70" t="s">
        <v>57</v>
      </c>
      <c r="D124" s="71" t="s">
        <v>252</v>
      </c>
      <c r="E124" s="62" t="s">
        <v>201</v>
      </c>
      <c r="F124" s="68" t="s">
        <v>258</v>
      </c>
      <c r="G124" s="73">
        <v>100</v>
      </c>
      <c r="H124" s="122">
        <v>1800</v>
      </c>
      <c r="I124" s="120">
        <f t="shared" si="1"/>
        <v>180000</v>
      </c>
    </row>
    <row r="125" spans="1:9" ht="26.25" thickBot="1" x14ac:dyDescent="0.25">
      <c r="A125" s="106">
        <v>116</v>
      </c>
      <c r="B125" s="69"/>
      <c r="C125" s="70" t="s">
        <v>57</v>
      </c>
      <c r="D125" s="71" t="s">
        <v>252</v>
      </c>
      <c r="E125" s="74" t="s">
        <v>228</v>
      </c>
      <c r="F125" s="68" t="s">
        <v>258</v>
      </c>
      <c r="G125" s="73">
        <v>10</v>
      </c>
      <c r="H125" s="122">
        <v>1500</v>
      </c>
      <c r="I125" s="120">
        <f t="shared" si="1"/>
        <v>15000</v>
      </c>
    </row>
    <row r="126" spans="1:9" ht="26.25" thickBot="1" x14ac:dyDescent="0.25">
      <c r="A126" s="106">
        <v>117</v>
      </c>
      <c r="B126" s="69"/>
      <c r="C126" s="70" t="s">
        <v>57</v>
      </c>
      <c r="D126" s="71" t="s">
        <v>252</v>
      </c>
      <c r="E126" s="74" t="s">
        <v>229</v>
      </c>
      <c r="F126" s="68" t="s">
        <v>258</v>
      </c>
      <c r="G126" s="73">
        <v>10</v>
      </c>
      <c r="H126" s="122">
        <v>1500</v>
      </c>
      <c r="I126" s="120">
        <f t="shared" si="1"/>
        <v>15000</v>
      </c>
    </row>
    <row r="127" spans="1:9" ht="26.25" thickBot="1" x14ac:dyDescent="0.25">
      <c r="A127" s="106">
        <v>118</v>
      </c>
      <c r="B127" s="69"/>
      <c r="C127" s="70" t="s">
        <v>57</v>
      </c>
      <c r="D127" s="71" t="s">
        <v>252</v>
      </c>
      <c r="E127" s="62" t="s">
        <v>158</v>
      </c>
      <c r="F127" s="68" t="s">
        <v>258</v>
      </c>
      <c r="G127" s="73">
        <v>40</v>
      </c>
      <c r="H127" s="122">
        <v>654</v>
      </c>
      <c r="I127" s="120">
        <f t="shared" si="1"/>
        <v>26160</v>
      </c>
    </row>
    <row r="128" spans="1:9" ht="26.25" thickBot="1" x14ac:dyDescent="0.25">
      <c r="A128" s="106">
        <v>119</v>
      </c>
      <c r="B128" s="69"/>
      <c r="C128" s="70" t="s">
        <v>57</v>
      </c>
      <c r="D128" s="71" t="s">
        <v>252</v>
      </c>
      <c r="E128" s="62" t="s">
        <v>159</v>
      </c>
      <c r="F128" s="68" t="s">
        <v>258</v>
      </c>
      <c r="G128" s="73">
        <v>40</v>
      </c>
      <c r="H128" s="122">
        <v>654</v>
      </c>
      <c r="I128" s="120">
        <f t="shared" si="1"/>
        <v>26160</v>
      </c>
    </row>
    <row r="129" spans="1:9" ht="26.25" thickBot="1" x14ac:dyDescent="0.25">
      <c r="A129" s="106">
        <v>120</v>
      </c>
      <c r="B129" s="69"/>
      <c r="C129" s="70" t="s">
        <v>57</v>
      </c>
      <c r="D129" s="71" t="s">
        <v>252</v>
      </c>
      <c r="E129" s="62" t="s">
        <v>160</v>
      </c>
      <c r="F129" s="68" t="s">
        <v>258</v>
      </c>
      <c r="G129" s="73">
        <v>40</v>
      </c>
      <c r="H129" s="122">
        <v>654</v>
      </c>
      <c r="I129" s="120">
        <f t="shared" si="1"/>
        <v>26160</v>
      </c>
    </row>
    <row r="130" spans="1:9" ht="26.25" thickBot="1" x14ac:dyDescent="0.25">
      <c r="A130" s="106">
        <v>121</v>
      </c>
      <c r="B130" s="69"/>
      <c r="C130" s="70" t="s">
        <v>57</v>
      </c>
      <c r="D130" s="71" t="s">
        <v>252</v>
      </c>
      <c r="E130" s="62" t="s">
        <v>161</v>
      </c>
      <c r="F130" s="68" t="s">
        <v>258</v>
      </c>
      <c r="G130" s="73">
        <v>30</v>
      </c>
      <c r="H130" s="122">
        <v>654</v>
      </c>
      <c r="I130" s="120">
        <f t="shared" si="1"/>
        <v>19620</v>
      </c>
    </row>
    <row r="131" spans="1:9" ht="26.25" thickBot="1" x14ac:dyDescent="0.25">
      <c r="A131" s="106">
        <v>122</v>
      </c>
      <c r="B131" s="69"/>
      <c r="C131" s="70" t="s">
        <v>57</v>
      </c>
      <c r="D131" s="71" t="s">
        <v>252</v>
      </c>
      <c r="E131" s="62" t="s">
        <v>222</v>
      </c>
      <c r="F131" s="68" t="s">
        <v>258</v>
      </c>
      <c r="G131" s="73">
        <v>50</v>
      </c>
      <c r="H131" s="122">
        <v>85</v>
      </c>
      <c r="I131" s="120">
        <f t="shared" si="1"/>
        <v>4250</v>
      </c>
    </row>
    <row r="132" spans="1:9" ht="26.25" thickBot="1" x14ac:dyDescent="0.25">
      <c r="A132" s="106">
        <v>123</v>
      </c>
      <c r="B132" s="69"/>
      <c r="C132" s="70" t="s">
        <v>57</v>
      </c>
      <c r="D132" s="71" t="s">
        <v>252</v>
      </c>
      <c r="E132" s="62" t="s">
        <v>223</v>
      </c>
      <c r="F132" s="68" t="s">
        <v>258</v>
      </c>
      <c r="G132" s="73">
        <v>50</v>
      </c>
      <c r="H132" s="122">
        <v>85</v>
      </c>
      <c r="I132" s="120">
        <f t="shared" si="1"/>
        <v>4250</v>
      </c>
    </row>
    <row r="133" spans="1:9" ht="26.25" thickBot="1" x14ac:dyDescent="0.25">
      <c r="A133" s="106">
        <v>124</v>
      </c>
      <c r="B133" s="69"/>
      <c r="C133" s="70" t="s">
        <v>57</v>
      </c>
      <c r="D133" s="71" t="s">
        <v>252</v>
      </c>
      <c r="E133" s="62" t="s">
        <v>224</v>
      </c>
      <c r="F133" s="68" t="s">
        <v>258</v>
      </c>
      <c r="G133" s="73">
        <v>50</v>
      </c>
      <c r="H133" s="122">
        <v>85</v>
      </c>
      <c r="I133" s="120">
        <f t="shared" si="1"/>
        <v>4250</v>
      </c>
    </row>
    <row r="134" spans="1:9" ht="26.25" thickBot="1" x14ac:dyDescent="0.25">
      <c r="A134" s="106">
        <v>125</v>
      </c>
      <c r="B134" s="69"/>
      <c r="C134" s="70" t="s">
        <v>57</v>
      </c>
      <c r="D134" s="71" t="s">
        <v>252</v>
      </c>
      <c r="E134" s="62" t="s">
        <v>202</v>
      </c>
      <c r="F134" s="68" t="s">
        <v>258</v>
      </c>
      <c r="G134" s="73">
        <v>15</v>
      </c>
      <c r="H134" s="122">
        <v>1350</v>
      </c>
      <c r="I134" s="120">
        <f t="shared" si="1"/>
        <v>20250</v>
      </c>
    </row>
    <row r="135" spans="1:9" ht="26.25" thickBot="1" x14ac:dyDescent="0.25">
      <c r="A135" s="106">
        <v>126</v>
      </c>
      <c r="B135" s="69"/>
      <c r="C135" s="70" t="s">
        <v>57</v>
      </c>
      <c r="D135" s="71" t="s">
        <v>252</v>
      </c>
      <c r="E135" s="62" t="s">
        <v>162</v>
      </c>
      <c r="F135" s="68" t="s">
        <v>258</v>
      </c>
      <c r="G135" s="73">
        <v>50</v>
      </c>
      <c r="H135" s="122">
        <v>348</v>
      </c>
      <c r="I135" s="120">
        <f t="shared" si="1"/>
        <v>17400</v>
      </c>
    </row>
    <row r="136" spans="1:9" ht="26.25" thickBot="1" x14ac:dyDescent="0.25">
      <c r="A136" s="106">
        <v>127</v>
      </c>
      <c r="B136" s="69"/>
      <c r="C136" s="70" t="s">
        <v>57</v>
      </c>
      <c r="D136" s="71" t="s">
        <v>252</v>
      </c>
      <c r="E136" s="62" t="s">
        <v>163</v>
      </c>
      <c r="F136" s="68" t="s">
        <v>258</v>
      </c>
      <c r="G136" s="73">
        <v>50</v>
      </c>
      <c r="H136" s="122">
        <v>348</v>
      </c>
      <c r="I136" s="120">
        <f t="shared" si="1"/>
        <v>17400</v>
      </c>
    </row>
    <row r="137" spans="1:9" ht="26.25" thickBot="1" x14ac:dyDescent="0.25">
      <c r="A137" s="106">
        <v>128</v>
      </c>
      <c r="B137" s="69"/>
      <c r="C137" s="70" t="s">
        <v>57</v>
      </c>
      <c r="D137" s="71" t="s">
        <v>252</v>
      </c>
      <c r="E137" s="62" t="s">
        <v>164</v>
      </c>
      <c r="F137" s="68" t="s">
        <v>258</v>
      </c>
      <c r="G137" s="73">
        <v>50</v>
      </c>
      <c r="H137" s="122">
        <v>348</v>
      </c>
      <c r="I137" s="120">
        <f t="shared" si="1"/>
        <v>17400</v>
      </c>
    </row>
    <row r="138" spans="1:9" ht="26.25" thickBot="1" x14ac:dyDescent="0.25">
      <c r="A138" s="106">
        <v>129</v>
      </c>
      <c r="B138" s="69"/>
      <c r="C138" s="70" t="s">
        <v>57</v>
      </c>
      <c r="D138" s="71" t="s">
        <v>252</v>
      </c>
      <c r="E138" s="62" t="s">
        <v>165</v>
      </c>
      <c r="F138" s="68" t="s">
        <v>258</v>
      </c>
      <c r="G138" s="73">
        <v>50</v>
      </c>
      <c r="H138" s="122">
        <v>348</v>
      </c>
      <c r="I138" s="120">
        <f t="shared" si="1"/>
        <v>17400</v>
      </c>
    </row>
    <row r="139" spans="1:9" ht="26.25" thickBot="1" x14ac:dyDescent="0.25">
      <c r="A139" s="106">
        <v>130</v>
      </c>
      <c r="B139" s="69"/>
      <c r="C139" s="70" t="s">
        <v>57</v>
      </c>
      <c r="D139" s="71" t="s">
        <v>252</v>
      </c>
      <c r="E139" s="62" t="s">
        <v>225</v>
      </c>
      <c r="F139" s="68" t="s">
        <v>258</v>
      </c>
      <c r="G139" s="73">
        <v>300</v>
      </c>
      <c r="H139" s="122">
        <v>19.5</v>
      </c>
      <c r="I139" s="120">
        <f t="shared" si="1"/>
        <v>5850</v>
      </c>
    </row>
    <row r="140" spans="1:9" ht="26.25" thickBot="1" x14ac:dyDescent="0.25">
      <c r="A140" s="106">
        <v>131</v>
      </c>
      <c r="B140" s="69"/>
      <c r="C140" s="70" t="s">
        <v>57</v>
      </c>
      <c r="D140" s="71" t="s">
        <v>252</v>
      </c>
      <c r="E140" s="62" t="s">
        <v>226</v>
      </c>
      <c r="F140" s="68" t="s">
        <v>258</v>
      </c>
      <c r="G140" s="73">
        <v>100</v>
      </c>
      <c r="H140" s="122">
        <v>58.2</v>
      </c>
      <c r="I140" s="120">
        <f t="shared" ref="I140:I186" si="2">G140*H140</f>
        <v>5820</v>
      </c>
    </row>
    <row r="141" spans="1:9" ht="26.25" thickBot="1" x14ac:dyDescent="0.25">
      <c r="A141" s="106">
        <v>132</v>
      </c>
      <c r="B141" s="69"/>
      <c r="C141" s="70" t="s">
        <v>57</v>
      </c>
      <c r="D141" s="71" t="s">
        <v>252</v>
      </c>
      <c r="E141" s="62" t="s">
        <v>146</v>
      </c>
      <c r="F141" s="68" t="s">
        <v>258</v>
      </c>
      <c r="G141" s="73">
        <v>24</v>
      </c>
      <c r="H141" s="122">
        <v>260</v>
      </c>
      <c r="I141" s="120">
        <f t="shared" si="2"/>
        <v>6240</v>
      </c>
    </row>
    <row r="142" spans="1:9" ht="26.25" thickBot="1" x14ac:dyDescent="0.25">
      <c r="A142" s="106">
        <v>133</v>
      </c>
      <c r="B142" s="69"/>
      <c r="C142" s="70" t="s">
        <v>57</v>
      </c>
      <c r="D142" s="71" t="s">
        <v>252</v>
      </c>
      <c r="E142" s="62" t="s">
        <v>147</v>
      </c>
      <c r="F142" s="68" t="s">
        <v>258</v>
      </c>
      <c r="G142" s="73">
        <v>24</v>
      </c>
      <c r="H142" s="122">
        <v>260</v>
      </c>
      <c r="I142" s="120">
        <f t="shared" si="2"/>
        <v>6240</v>
      </c>
    </row>
    <row r="143" spans="1:9" ht="26.25" thickBot="1" x14ac:dyDescent="0.25">
      <c r="A143" s="106">
        <v>134</v>
      </c>
      <c r="B143" s="69"/>
      <c r="C143" s="70" t="s">
        <v>57</v>
      </c>
      <c r="D143" s="71" t="s">
        <v>252</v>
      </c>
      <c r="E143" s="62" t="s">
        <v>148</v>
      </c>
      <c r="F143" s="68" t="s">
        <v>258</v>
      </c>
      <c r="G143" s="73">
        <v>24</v>
      </c>
      <c r="H143" s="122">
        <v>260</v>
      </c>
      <c r="I143" s="120">
        <f t="shared" si="2"/>
        <v>6240</v>
      </c>
    </row>
    <row r="144" spans="1:9" ht="26.25" thickBot="1" x14ac:dyDescent="0.25">
      <c r="A144" s="106">
        <v>135</v>
      </c>
      <c r="B144" s="69"/>
      <c r="C144" s="70" t="s">
        <v>57</v>
      </c>
      <c r="D144" s="71" t="s">
        <v>252</v>
      </c>
      <c r="E144" s="62" t="s">
        <v>149</v>
      </c>
      <c r="F144" s="68" t="s">
        <v>258</v>
      </c>
      <c r="G144" s="73">
        <v>24</v>
      </c>
      <c r="H144" s="122">
        <v>260</v>
      </c>
      <c r="I144" s="120">
        <f t="shared" si="2"/>
        <v>6240</v>
      </c>
    </row>
    <row r="145" spans="1:12" ht="26.25" thickBot="1" x14ac:dyDescent="0.25">
      <c r="A145" s="106">
        <v>136</v>
      </c>
      <c r="B145" s="69"/>
      <c r="C145" s="70" t="s">
        <v>57</v>
      </c>
      <c r="D145" s="71" t="s">
        <v>252</v>
      </c>
      <c r="E145" s="60" t="s">
        <v>150</v>
      </c>
      <c r="F145" s="68" t="s">
        <v>258</v>
      </c>
      <c r="G145" s="73">
        <v>60</v>
      </c>
      <c r="H145" s="122">
        <v>580</v>
      </c>
      <c r="I145" s="120">
        <f t="shared" si="2"/>
        <v>34800</v>
      </c>
    </row>
    <row r="146" spans="1:12" ht="26.25" thickBot="1" x14ac:dyDescent="0.25">
      <c r="A146" s="106">
        <v>137</v>
      </c>
      <c r="B146" s="69"/>
      <c r="C146" s="70" t="s">
        <v>57</v>
      </c>
      <c r="D146" s="71" t="s">
        <v>252</v>
      </c>
      <c r="E146" s="60" t="s">
        <v>151</v>
      </c>
      <c r="F146" s="68" t="s">
        <v>258</v>
      </c>
      <c r="G146" s="73">
        <v>60</v>
      </c>
      <c r="H146" s="122">
        <v>260</v>
      </c>
      <c r="I146" s="120">
        <f t="shared" si="2"/>
        <v>15600</v>
      </c>
    </row>
    <row r="147" spans="1:12" ht="26.25" thickBot="1" x14ac:dyDescent="0.25">
      <c r="A147" s="106">
        <v>138</v>
      </c>
      <c r="B147" s="69"/>
      <c r="C147" s="70" t="s">
        <v>57</v>
      </c>
      <c r="D147" s="71" t="s">
        <v>257</v>
      </c>
      <c r="E147" s="59" t="s">
        <v>248</v>
      </c>
      <c r="F147" s="68" t="s">
        <v>258</v>
      </c>
      <c r="G147" s="73">
        <v>2</v>
      </c>
      <c r="H147" s="122">
        <v>28000</v>
      </c>
      <c r="I147" s="120">
        <f t="shared" si="2"/>
        <v>56000</v>
      </c>
    </row>
    <row r="148" spans="1:12" ht="26.25" thickBot="1" x14ac:dyDescent="0.25">
      <c r="A148" s="106">
        <v>139</v>
      </c>
      <c r="B148" s="69"/>
      <c r="C148" s="101" t="s">
        <v>57</v>
      </c>
      <c r="D148" s="102" t="s">
        <v>257</v>
      </c>
      <c r="E148" s="59" t="s">
        <v>249</v>
      </c>
      <c r="F148" s="68" t="s">
        <v>258</v>
      </c>
      <c r="G148" s="103">
        <v>4</v>
      </c>
      <c r="H148" s="123">
        <v>11000</v>
      </c>
      <c r="I148" s="120">
        <f t="shared" si="2"/>
        <v>44000</v>
      </c>
    </row>
    <row r="149" spans="1:12" ht="26.25" thickBot="1" x14ac:dyDescent="0.25">
      <c r="A149" s="106">
        <v>140</v>
      </c>
      <c r="B149" s="61"/>
      <c r="C149" s="70" t="s">
        <v>57</v>
      </c>
      <c r="D149" s="71" t="s">
        <v>257</v>
      </c>
      <c r="E149" s="74" t="s">
        <v>250</v>
      </c>
      <c r="F149" s="68" t="s">
        <v>258</v>
      </c>
      <c r="G149" s="61">
        <v>4</v>
      </c>
      <c r="H149" s="79">
        <v>22500</v>
      </c>
      <c r="I149" s="120">
        <f t="shared" si="2"/>
        <v>90000</v>
      </c>
      <c r="L149" s="97"/>
    </row>
    <row r="150" spans="1:12" ht="26.25" thickBot="1" x14ac:dyDescent="0.25">
      <c r="A150" s="106">
        <v>141</v>
      </c>
      <c r="B150" s="61"/>
      <c r="C150" s="70" t="s">
        <v>57</v>
      </c>
      <c r="D150" s="71" t="s">
        <v>252</v>
      </c>
      <c r="E150" s="74" t="s">
        <v>130</v>
      </c>
      <c r="F150" s="68" t="s">
        <v>258</v>
      </c>
      <c r="G150" s="61">
        <v>20</v>
      </c>
      <c r="H150" s="79">
        <v>2700</v>
      </c>
      <c r="I150" s="120">
        <f t="shared" si="2"/>
        <v>54000</v>
      </c>
      <c r="L150" s="97"/>
    </row>
    <row r="151" spans="1:12" ht="26.25" thickBot="1" x14ac:dyDescent="0.25">
      <c r="A151" s="106">
        <v>142</v>
      </c>
      <c r="B151" s="61"/>
      <c r="C151" s="101" t="s">
        <v>57</v>
      </c>
      <c r="D151" s="102" t="s">
        <v>252</v>
      </c>
      <c r="E151" s="58" t="s">
        <v>131</v>
      </c>
      <c r="F151" s="68" t="s">
        <v>258</v>
      </c>
      <c r="G151" s="103">
        <v>20</v>
      </c>
      <c r="H151" s="123">
        <v>2700</v>
      </c>
      <c r="I151" s="120">
        <f t="shared" si="2"/>
        <v>54000</v>
      </c>
      <c r="L151" s="97"/>
    </row>
    <row r="152" spans="1:12" ht="26.25" thickBot="1" x14ac:dyDescent="0.25">
      <c r="A152" s="106">
        <v>143</v>
      </c>
      <c r="B152" s="61"/>
      <c r="C152" s="101" t="s">
        <v>57</v>
      </c>
      <c r="D152" s="102" t="s">
        <v>255</v>
      </c>
      <c r="E152" s="58" t="s">
        <v>231</v>
      </c>
      <c r="F152" s="68" t="s">
        <v>258</v>
      </c>
      <c r="G152" s="103">
        <v>3</v>
      </c>
      <c r="H152" s="123">
        <v>829</v>
      </c>
      <c r="I152" s="120">
        <f t="shared" si="2"/>
        <v>2487</v>
      </c>
      <c r="L152" s="97"/>
    </row>
    <row r="153" spans="1:12" ht="26.25" thickBot="1" x14ac:dyDescent="0.25">
      <c r="A153" s="106">
        <v>144</v>
      </c>
      <c r="B153" s="61"/>
      <c r="C153" s="70" t="s">
        <v>57</v>
      </c>
      <c r="D153" s="71" t="s">
        <v>255</v>
      </c>
      <c r="E153" s="62" t="s">
        <v>251</v>
      </c>
      <c r="F153" s="68" t="s">
        <v>258</v>
      </c>
      <c r="G153" s="61">
        <v>150</v>
      </c>
      <c r="H153" s="79">
        <v>1400</v>
      </c>
      <c r="I153" s="120">
        <f t="shared" si="2"/>
        <v>210000</v>
      </c>
      <c r="L153" s="75"/>
    </row>
    <row r="154" spans="1:12" ht="26.25" thickBot="1" x14ac:dyDescent="0.25">
      <c r="A154" s="106">
        <v>145</v>
      </c>
      <c r="B154" s="61"/>
      <c r="C154" s="70" t="s">
        <v>57</v>
      </c>
      <c r="D154" s="71" t="s">
        <v>252</v>
      </c>
      <c r="E154" s="62" t="s">
        <v>132</v>
      </c>
      <c r="F154" s="68" t="s">
        <v>258</v>
      </c>
      <c r="G154" s="61">
        <v>100</v>
      </c>
      <c r="H154" s="79">
        <v>580</v>
      </c>
      <c r="I154" s="120">
        <f t="shared" si="2"/>
        <v>58000</v>
      </c>
    </row>
    <row r="155" spans="1:12" ht="26.25" thickBot="1" x14ac:dyDescent="0.25">
      <c r="A155" s="106">
        <v>146</v>
      </c>
      <c r="B155" s="80"/>
      <c r="C155" s="70" t="s">
        <v>57</v>
      </c>
      <c r="D155" s="71" t="s">
        <v>252</v>
      </c>
      <c r="E155" s="109" t="s">
        <v>212</v>
      </c>
      <c r="F155" s="68" t="s">
        <v>258</v>
      </c>
      <c r="G155" s="61">
        <v>30</v>
      </c>
      <c r="H155" s="79">
        <v>448</v>
      </c>
      <c r="I155" s="120">
        <f t="shared" si="2"/>
        <v>13440</v>
      </c>
    </row>
    <row r="156" spans="1:12" ht="26.25" thickBot="1" x14ac:dyDescent="0.25">
      <c r="A156" s="106">
        <v>147</v>
      </c>
      <c r="B156" s="61"/>
      <c r="C156" s="70" t="s">
        <v>57</v>
      </c>
      <c r="D156" s="71" t="s">
        <v>252</v>
      </c>
      <c r="E156" s="74" t="s">
        <v>203</v>
      </c>
      <c r="F156" s="68" t="s">
        <v>258</v>
      </c>
      <c r="G156" s="61">
        <v>30</v>
      </c>
      <c r="H156" s="79">
        <v>448</v>
      </c>
      <c r="I156" s="120">
        <f t="shared" si="2"/>
        <v>13440</v>
      </c>
    </row>
    <row r="157" spans="1:12" ht="26.25" thickBot="1" x14ac:dyDescent="0.25">
      <c r="A157" s="106">
        <v>148</v>
      </c>
      <c r="B157" s="61"/>
      <c r="C157" s="70" t="s">
        <v>57</v>
      </c>
      <c r="D157" s="71" t="s">
        <v>252</v>
      </c>
      <c r="E157" s="58" t="s">
        <v>204</v>
      </c>
      <c r="F157" s="68" t="s">
        <v>258</v>
      </c>
      <c r="G157" s="61">
        <v>30</v>
      </c>
      <c r="H157" s="79">
        <v>448</v>
      </c>
      <c r="I157" s="120">
        <f t="shared" si="2"/>
        <v>13440</v>
      </c>
    </row>
    <row r="158" spans="1:12" ht="26.25" thickBot="1" x14ac:dyDescent="0.25">
      <c r="A158" s="106">
        <v>149</v>
      </c>
      <c r="B158" s="80"/>
      <c r="C158" s="70" t="s">
        <v>57</v>
      </c>
      <c r="D158" s="71" t="s">
        <v>252</v>
      </c>
      <c r="E158" s="109" t="s">
        <v>205</v>
      </c>
      <c r="F158" s="68" t="s">
        <v>258</v>
      </c>
      <c r="G158" s="61">
        <v>30</v>
      </c>
      <c r="H158" s="79">
        <v>448</v>
      </c>
      <c r="I158" s="120">
        <f t="shared" si="2"/>
        <v>13440</v>
      </c>
    </row>
    <row r="159" spans="1:12" ht="26.25" thickBot="1" x14ac:dyDescent="0.25">
      <c r="A159" s="106">
        <v>150</v>
      </c>
      <c r="B159" s="80"/>
      <c r="C159" s="70" t="s">
        <v>57</v>
      </c>
      <c r="D159" s="71" t="s">
        <v>252</v>
      </c>
      <c r="E159" s="81" t="s">
        <v>206</v>
      </c>
      <c r="F159" s="68" t="s">
        <v>258</v>
      </c>
      <c r="G159" s="61">
        <v>30</v>
      </c>
      <c r="H159" s="79">
        <v>448</v>
      </c>
      <c r="I159" s="120">
        <f t="shared" si="2"/>
        <v>13440</v>
      </c>
    </row>
    <row r="160" spans="1:12" ht="26.25" thickBot="1" x14ac:dyDescent="0.25">
      <c r="A160" s="106">
        <v>151</v>
      </c>
      <c r="B160" s="61"/>
      <c r="C160" s="70" t="s">
        <v>57</v>
      </c>
      <c r="D160" s="71" t="s">
        <v>252</v>
      </c>
      <c r="E160" s="62" t="s">
        <v>207</v>
      </c>
      <c r="F160" s="68" t="s">
        <v>258</v>
      </c>
      <c r="G160" s="61">
        <v>30</v>
      </c>
      <c r="H160" s="79">
        <v>448</v>
      </c>
      <c r="I160" s="120">
        <f t="shared" si="2"/>
        <v>13440</v>
      </c>
    </row>
    <row r="161" spans="1:9" ht="26.25" thickBot="1" x14ac:dyDescent="0.25">
      <c r="A161" s="106">
        <v>152</v>
      </c>
      <c r="B161" s="61"/>
      <c r="C161" s="70" t="s">
        <v>57</v>
      </c>
      <c r="D161" s="71" t="s">
        <v>252</v>
      </c>
      <c r="E161" s="74" t="s">
        <v>208</v>
      </c>
      <c r="F161" s="68" t="s">
        <v>258</v>
      </c>
      <c r="G161" s="61">
        <v>30</v>
      </c>
      <c r="H161" s="79">
        <v>448</v>
      </c>
      <c r="I161" s="120">
        <f t="shared" si="2"/>
        <v>13440</v>
      </c>
    </row>
    <row r="162" spans="1:9" ht="26.25" thickBot="1" x14ac:dyDescent="0.25">
      <c r="A162" s="106">
        <v>153</v>
      </c>
      <c r="B162" s="82"/>
      <c r="C162" s="70" t="s">
        <v>57</v>
      </c>
      <c r="D162" s="71" t="s">
        <v>252</v>
      </c>
      <c r="E162" s="74" t="s">
        <v>209</v>
      </c>
      <c r="F162" s="68" t="s">
        <v>258</v>
      </c>
      <c r="G162" s="61">
        <v>30</v>
      </c>
      <c r="H162" s="79">
        <v>448</v>
      </c>
      <c r="I162" s="120">
        <f t="shared" si="2"/>
        <v>13440</v>
      </c>
    </row>
    <row r="163" spans="1:9" ht="34.5" customHeight="1" thickBot="1" x14ac:dyDescent="0.25">
      <c r="A163" s="106">
        <v>154</v>
      </c>
      <c r="B163" s="61"/>
      <c r="C163" s="110" t="s">
        <v>188</v>
      </c>
      <c r="D163" s="71" t="s">
        <v>252</v>
      </c>
      <c r="E163" s="58" t="s">
        <v>210</v>
      </c>
      <c r="F163" s="68" t="s">
        <v>258</v>
      </c>
      <c r="G163" s="61">
        <v>30</v>
      </c>
      <c r="H163" s="79">
        <v>448</v>
      </c>
      <c r="I163" s="120">
        <f t="shared" si="2"/>
        <v>13440</v>
      </c>
    </row>
    <row r="164" spans="1:9" ht="26.25" thickBot="1" x14ac:dyDescent="0.25">
      <c r="A164" s="106">
        <v>155</v>
      </c>
      <c r="B164" s="69"/>
      <c r="C164" s="70" t="s">
        <v>57</v>
      </c>
      <c r="D164" s="71" t="s">
        <v>252</v>
      </c>
      <c r="E164" s="62" t="s">
        <v>211</v>
      </c>
      <c r="F164" s="68" t="s">
        <v>258</v>
      </c>
      <c r="G164" s="61">
        <v>30</v>
      </c>
      <c r="H164" s="124">
        <v>448</v>
      </c>
      <c r="I164" s="120">
        <f t="shared" si="2"/>
        <v>13440</v>
      </c>
    </row>
    <row r="165" spans="1:9" ht="26.25" thickBot="1" x14ac:dyDescent="0.25">
      <c r="A165" s="106">
        <v>156</v>
      </c>
      <c r="B165" s="69"/>
      <c r="C165" s="70" t="s">
        <v>57</v>
      </c>
      <c r="D165" s="71" t="s">
        <v>252</v>
      </c>
      <c r="E165" s="62" t="s">
        <v>213</v>
      </c>
      <c r="F165" s="68" t="s">
        <v>258</v>
      </c>
      <c r="G165" s="61">
        <v>5</v>
      </c>
      <c r="H165" s="124">
        <v>3900</v>
      </c>
      <c r="I165" s="120">
        <f t="shared" si="2"/>
        <v>19500</v>
      </c>
    </row>
    <row r="166" spans="1:9" ht="26.25" thickBot="1" x14ac:dyDescent="0.25">
      <c r="A166" s="106">
        <v>157</v>
      </c>
      <c r="B166" s="69"/>
      <c r="C166" s="70" t="s">
        <v>57</v>
      </c>
      <c r="D166" s="71" t="s">
        <v>252</v>
      </c>
      <c r="E166" s="62" t="s">
        <v>214</v>
      </c>
      <c r="F166" s="68" t="s">
        <v>258</v>
      </c>
      <c r="G166" s="61">
        <v>5</v>
      </c>
      <c r="H166" s="124">
        <v>3900</v>
      </c>
      <c r="I166" s="120">
        <f t="shared" si="2"/>
        <v>19500</v>
      </c>
    </row>
    <row r="167" spans="1:9" ht="26.25" thickBot="1" x14ac:dyDescent="0.25">
      <c r="A167" s="106">
        <v>158</v>
      </c>
      <c r="B167" s="69"/>
      <c r="C167" s="70" t="s">
        <v>57</v>
      </c>
      <c r="D167" s="71" t="s">
        <v>252</v>
      </c>
      <c r="E167" s="62" t="s">
        <v>135</v>
      </c>
      <c r="F167" s="68" t="s">
        <v>258</v>
      </c>
      <c r="G167" s="61">
        <v>20</v>
      </c>
      <c r="H167" s="124">
        <v>500</v>
      </c>
      <c r="I167" s="120">
        <f t="shared" si="2"/>
        <v>10000</v>
      </c>
    </row>
    <row r="168" spans="1:9" ht="26.25" thickBot="1" x14ac:dyDescent="0.25">
      <c r="A168" s="106">
        <v>159</v>
      </c>
      <c r="B168" s="69"/>
      <c r="C168" s="70" t="s">
        <v>57</v>
      </c>
      <c r="D168" s="71" t="s">
        <v>252</v>
      </c>
      <c r="E168" s="62" t="s">
        <v>136</v>
      </c>
      <c r="F168" s="68" t="s">
        <v>258</v>
      </c>
      <c r="G168" s="61">
        <v>20</v>
      </c>
      <c r="H168" s="124">
        <v>500</v>
      </c>
      <c r="I168" s="120">
        <f t="shared" si="2"/>
        <v>10000</v>
      </c>
    </row>
    <row r="169" spans="1:9" ht="26.25" thickBot="1" x14ac:dyDescent="0.25">
      <c r="A169" s="106">
        <v>160</v>
      </c>
      <c r="B169" s="69"/>
      <c r="C169" s="70" t="s">
        <v>57</v>
      </c>
      <c r="D169" s="71" t="s">
        <v>252</v>
      </c>
      <c r="E169" s="62" t="s">
        <v>137</v>
      </c>
      <c r="F169" s="68" t="s">
        <v>258</v>
      </c>
      <c r="G169" s="61">
        <v>20</v>
      </c>
      <c r="H169" s="124">
        <v>500</v>
      </c>
      <c r="I169" s="120">
        <f t="shared" si="2"/>
        <v>10000</v>
      </c>
    </row>
    <row r="170" spans="1:9" ht="26.25" thickBot="1" x14ac:dyDescent="0.25">
      <c r="A170" s="106">
        <v>161</v>
      </c>
      <c r="B170" s="69"/>
      <c r="C170" s="70" t="s">
        <v>57</v>
      </c>
      <c r="D170" s="71" t="s">
        <v>252</v>
      </c>
      <c r="E170" s="62" t="s">
        <v>133</v>
      </c>
      <c r="F170" s="68" t="s">
        <v>258</v>
      </c>
      <c r="G170" s="61">
        <v>20</v>
      </c>
      <c r="H170" s="124">
        <v>500</v>
      </c>
      <c r="I170" s="120">
        <f t="shared" si="2"/>
        <v>10000</v>
      </c>
    </row>
    <row r="171" spans="1:9" ht="26.25" thickBot="1" x14ac:dyDescent="0.25">
      <c r="A171" s="106">
        <v>162</v>
      </c>
      <c r="B171" s="69"/>
      <c r="C171" s="70" t="s">
        <v>57</v>
      </c>
      <c r="D171" s="71" t="s">
        <v>252</v>
      </c>
      <c r="E171" s="62" t="s">
        <v>134</v>
      </c>
      <c r="F171" s="68" t="s">
        <v>258</v>
      </c>
      <c r="G171" s="61">
        <v>20</v>
      </c>
      <c r="H171" s="124">
        <v>500</v>
      </c>
      <c r="I171" s="120">
        <f t="shared" si="2"/>
        <v>10000</v>
      </c>
    </row>
    <row r="172" spans="1:9" ht="26.25" thickBot="1" x14ac:dyDescent="0.25">
      <c r="A172" s="106">
        <v>163</v>
      </c>
      <c r="B172" s="69"/>
      <c r="C172" s="70" t="s">
        <v>57</v>
      </c>
      <c r="D172" s="71" t="s">
        <v>252</v>
      </c>
      <c r="E172" s="62" t="s">
        <v>138</v>
      </c>
      <c r="F172" s="68" t="s">
        <v>258</v>
      </c>
      <c r="G172" s="61">
        <v>20</v>
      </c>
      <c r="H172" s="124">
        <v>500</v>
      </c>
      <c r="I172" s="120">
        <f t="shared" si="2"/>
        <v>10000</v>
      </c>
    </row>
    <row r="173" spans="1:9" ht="26.25" thickBot="1" x14ac:dyDescent="0.25">
      <c r="A173" s="106">
        <v>164</v>
      </c>
      <c r="B173" s="69"/>
      <c r="C173" s="70" t="s">
        <v>57</v>
      </c>
      <c r="D173" s="71" t="s">
        <v>252</v>
      </c>
      <c r="E173" s="62" t="s">
        <v>166</v>
      </c>
      <c r="F173" s="68" t="s">
        <v>258</v>
      </c>
      <c r="G173" s="61">
        <v>100</v>
      </c>
      <c r="H173" s="124">
        <v>84</v>
      </c>
      <c r="I173" s="120">
        <f t="shared" si="2"/>
        <v>8400</v>
      </c>
    </row>
    <row r="174" spans="1:9" ht="26.25" thickBot="1" x14ac:dyDescent="0.25">
      <c r="A174" s="106">
        <v>165</v>
      </c>
      <c r="B174" s="69"/>
      <c r="C174" s="70" t="s">
        <v>57</v>
      </c>
      <c r="D174" s="71" t="s">
        <v>252</v>
      </c>
      <c r="E174" s="62" t="s">
        <v>168</v>
      </c>
      <c r="F174" s="68" t="s">
        <v>258</v>
      </c>
      <c r="G174" s="61">
        <v>20</v>
      </c>
      <c r="H174" s="124">
        <v>54.5</v>
      </c>
      <c r="I174" s="120">
        <f t="shared" si="2"/>
        <v>1090</v>
      </c>
    </row>
    <row r="175" spans="1:9" ht="26.25" thickBot="1" x14ac:dyDescent="0.25">
      <c r="A175" s="106">
        <v>166</v>
      </c>
      <c r="B175" s="69"/>
      <c r="C175" s="70" t="s">
        <v>57</v>
      </c>
      <c r="D175" s="71" t="s">
        <v>252</v>
      </c>
      <c r="E175" s="58" t="s">
        <v>169</v>
      </c>
      <c r="F175" s="68" t="s">
        <v>258</v>
      </c>
      <c r="G175" s="61">
        <v>50</v>
      </c>
      <c r="H175" s="124">
        <v>54.5</v>
      </c>
      <c r="I175" s="120">
        <f t="shared" si="2"/>
        <v>2725</v>
      </c>
    </row>
    <row r="176" spans="1:9" ht="26.25" thickBot="1" x14ac:dyDescent="0.25">
      <c r="A176" s="106">
        <v>167</v>
      </c>
      <c r="B176" s="69"/>
      <c r="C176" s="70" t="s">
        <v>57</v>
      </c>
      <c r="D176" s="71" t="s">
        <v>252</v>
      </c>
      <c r="E176" s="62" t="s">
        <v>170</v>
      </c>
      <c r="F176" s="68" t="s">
        <v>258</v>
      </c>
      <c r="G176" s="61">
        <v>50</v>
      </c>
      <c r="H176" s="124">
        <v>54.5</v>
      </c>
      <c r="I176" s="120">
        <f t="shared" si="2"/>
        <v>2725</v>
      </c>
    </row>
    <row r="177" spans="1:11" ht="26.25" thickBot="1" x14ac:dyDescent="0.25">
      <c r="A177" s="106">
        <v>168</v>
      </c>
      <c r="B177" s="69"/>
      <c r="C177" s="70" t="s">
        <v>57</v>
      </c>
      <c r="D177" s="71" t="s">
        <v>252</v>
      </c>
      <c r="E177" s="62" t="s">
        <v>171</v>
      </c>
      <c r="F177" s="68" t="s">
        <v>258</v>
      </c>
      <c r="G177" s="61">
        <v>50</v>
      </c>
      <c r="H177" s="124">
        <v>54.5</v>
      </c>
      <c r="I177" s="120">
        <f t="shared" si="2"/>
        <v>2725</v>
      </c>
    </row>
    <row r="178" spans="1:11" ht="26.25" thickBot="1" x14ac:dyDescent="0.25">
      <c r="A178" s="106">
        <v>169</v>
      </c>
      <c r="B178" s="69"/>
      <c r="C178" s="101" t="s">
        <v>57</v>
      </c>
      <c r="D178" s="102" t="s">
        <v>252</v>
      </c>
      <c r="E178" s="72" t="s">
        <v>172</v>
      </c>
      <c r="F178" s="68" t="s">
        <v>258</v>
      </c>
      <c r="G178" s="61">
        <v>20</v>
      </c>
      <c r="H178" s="119">
        <v>54.5</v>
      </c>
      <c r="I178" s="120">
        <f t="shared" si="2"/>
        <v>1090</v>
      </c>
    </row>
    <row r="179" spans="1:11" ht="26.25" thickBot="1" x14ac:dyDescent="0.25">
      <c r="A179" s="106">
        <v>170</v>
      </c>
      <c r="B179" s="69"/>
      <c r="C179" s="70" t="s">
        <v>57</v>
      </c>
      <c r="D179" s="71" t="s">
        <v>252</v>
      </c>
      <c r="E179" s="62" t="s">
        <v>167</v>
      </c>
      <c r="F179" s="68" t="s">
        <v>258</v>
      </c>
      <c r="G179" s="61">
        <v>30</v>
      </c>
      <c r="H179" s="124">
        <v>86</v>
      </c>
      <c r="I179" s="120">
        <f t="shared" si="2"/>
        <v>2580</v>
      </c>
    </row>
    <row r="180" spans="1:11" ht="26.25" thickBot="1" x14ac:dyDescent="0.25">
      <c r="A180" s="106">
        <v>171</v>
      </c>
      <c r="B180" s="69"/>
      <c r="C180" s="70" t="s">
        <v>57</v>
      </c>
      <c r="D180" s="71" t="s">
        <v>252</v>
      </c>
      <c r="E180" s="62" t="s">
        <v>173</v>
      </c>
      <c r="F180" s="68" t="s">
        <v>258</v>
      </c>
      <c r="G180" s="61">
        <v>20</v>
      </c>
      <c r="H180" s="124">
        <v>54.5</v>
      </c>
      <c r="I180" s="120">
        <f t="shared" si="2"/>
        <v>1090</v>
      </c>
    </row>
    <row r="181" spans="1:11" ht="26.25" thickBot="1" x14ac:dyDescent="0.25">
      <c r="A181" s="106">
        <v>172</v>
      </c>
      <c r="B181" s="69"/>
      <c r="C181" s="70" t="s">
        <v>57</v>
      </c>
      <c r="D181" s="71" t="s">
        <v>252</v>
      </c>
      <c r="E181" s="62" t="s">
        <v>174</v>
      </c>
      <c r="F181" s="68" t="s">
        <v>258</v>
      </c>
      <c r="G181" s="61">
        <v>20</v>
      </c>
      <c r="H181" s="124">
        <v>54.5</v>
      </c>
      <c r="I181" s="120">
        <f t="shared" si="2"/>
        <v>1090</v>
      </c>
      <c r="K181" s="78" t="s">
        <v>55</v>
      </c>
    </row>
    <row r="182" spans="1:11" ht="26.25" thickBot="1" x14ac:dyDescent="0.25">
      <c r="A182" s="106">
        <v>173</v>
      </c>
      <c r="B182" s="69"/>
      <c r="C182" s="70" t="s">
        <v>57</v>
      </c>
      <c r="D182" s="71" t="s">
        <v>252</v>
      </c>
      <c r="E182" s="58" t="s">
        <v>230</v>
      </c>
      <c r="F182" s="68" t="s">
        <v>258</v>
      </c>
      <c r="G182" s="61">
        <v>20</v>
      </c>
      <c r="H182" s="124">
        <v>617</v>
      </c>
      <c r="I182" s="120">
        <f t="shared" si="2"/>
        <v>12340</v>
      </c>
    </row>
    <row r="183" spans="1:11" ht="26.25" thickBot="1" x14ac:dyDescent="0.25">
      <c r="A183" s="106">
        <v>174</v>
      </c>
      <c r="B183" s="69"/>
      <c r="C183" s="70" t="s">
        <v>57</v>
      </c>
      <c r="D183" s="71" t="s">
        <v>252</v>
      </c>
      <c r="E183" s="62" t="s">
        <v>215</v>
      </c>
      <c r="F183" s="68" t="s">
        <v>258</v>
      </c>
      <c r="G183" s="61">
        <v>30</v>
      </c>
      <c r="H183" s="124">
        <v>1600</v>
      </c>
      <c r="I183" s="120">
        <f t="shared" si="2"/>
        <v>48000</v>
      </c>
    </row>
    <row r="184" spans="1:11" ht="26.25" thickBot="1" x14ac:dyDescent="0.25">
      <c r="A184" s="106">
        <v>175</v>
      </c>
      <c r="B184" s="69"/>
      <c r="C184" s="70" t="s">
        <v>57</v>
      </c>
      <c r="D184" s="71" t="s">
        <v>252</v>
      </c>
      <c r="E184" s="62" t="s">
        <v>139</v>
      </c>
      <c r="F184" s="68" t="s">
        <v>258</v>
      </c>
      <c r="G184" s="61">
        <v>5</v>
      </c>
      <c r="H184" s="124">
        <v>1875</v>
      </c>
      <c r="I184" s="120">
        <f t="shared" si="2"/>
        <v>9375</v>
      </c>
    </row>
    <row r="185" spans="1:11" ht="26.25" thickBot="1" x14ac:dyDescent="0.25">
      <c r="A185" s="106">
        <v>176</v>
      </c>
      <c r="B185" s="69"/>
      <c r="C185" s="70" t="s">
        <v>57</v>
      </c>
      <c r="D185" s="71" t="s">
        <v>252</v>
      </c>
      <c r="E185" s="62" t="s">
        <v>140</v>
      </c>
      <c r="F185" s="68" t="s">
        <v>258</v>
      </c>
      <c r="G185" s="61">
        <v>5</v>
      </c>
      <c r="H185" s="124">
        <v>1875</v>
      </c>
      <c r="I185" s="120">
        <f t="shared" si="2"/>
        <v>9375</v>
      </c>
    </row>
    <row r="186" spans="1:11" ht="25.5" x14ac:dyDescent="0.2">
      <c r="A186" s="106">
        <v>177</v>
      </c>
      <c r="B186" s="69"/>
      <c r="C186" s="70" t="s">
        <v>57</v>
      </c>
      <c r="D186" s="71" t="s">
        <v>252</v>
      </c>
      <c r="E186" s="62" t="s">
        <v>141</v>
      </c>
      <c r="F186" s="68" t="s">
        <v>258</v>
      </c>
      <c r="G186" s="61">
        <v>50</v>
      </c>
      <c r="H186" s="124">
        <v>230</v>
      </c>
      <c r="I186" s="120">
        <f t="shared" si="2"/>
        <v>11500</v>
      </c>
    </row>
    <row r="187" spans="1:11" ht="24" customHeight="1" thickBot="1" x14ac:dyDescent="0.25">
      <c r="I187" s="75"/>
    </row>
    <row r="188" spans="1:11" x14ac:dyDescent="0.2">
      <c r="B188" s="84" t="s">
        <v>59</v>
      </c>
      <c r="C188" s="85"/>
      <c r="D188" s="85"/>
      <c r="E188" s="86"/>
      <c r="I188" s="75"/>
    </row>
    <row r="189" spans="1:11" ht="13.5" customHeight="1" x14ac:dyDescent="0.2">
      <c r="B189" s="132" t="s">
        <v>61</v>
      </c>
      <c r="C189" s="133"/>
      <c r="D189" s="133"/>
      <c r="E189" s="134"/>
    </row>
    <row r="190" spans="1:11" ht="25.5" customHeight="1" x14ac:dyDescent="0.2">
      <c r="B190" s="132"/>
      <c r="C190" s="133"/>
      <c r="D190" s="133"/>
      <c r="E190" s="134"/>
      <c r="F190" s="87"/>
      <c r="G190" s="88"/>
    </row>
    <row r="191" spans="1:11" x14ac:dyDescent="0.2">
      <c r="B191" s="132" t="s">
        <v>239</v>
      </c>
      <c r="C191" s="133"/>
      <c r="D191" s="133"/>
      <c r="E191" s="134"/>
      <c r="F191" s="87"/>
      <c r="G191" s="88"/>
    </row>
    <row r="192" spans="1:11" ht="13.5" thickBot="1" x14ac:dyDescent="0.25">
      <c r="B192" s="89" t="s">
        <v>62</v>
      </c>
      <c r="C192" s="63"/>
      <c r="D192" s="63"/>
      <c r="E192" s="90"/>
      <c r="F192" s="87"/>
      <c r="G192" s="88"/>
    </row>
    <row r="193" spans="2:5" ht="12" customHeight="1" thickBot="1" x14ac:dyDescent="0.25"/>
    <row r="194" spans="2:5" x14ac:dyDescent="0.2">
      <c r="B194" s="98" t="s">
        <v>259</v>
      </c>
      <c r="C194" s="85"/>
      <c r="D194" s="85"/>
      <c r="E194" s="86"/>
    </row>
    <row r="195" spans="2:5" x14ac:dyDescent="0.2">
      <c r="B195" s="99" t="s">
        <v>60</v>
      </c>
      <c r="C195" s="88"/>
      <c r="D195" s="88"/>
      <c r="E195" s="100"/>
    </row>
    <row r="196" spans="2:5" ht="13.5" thickBot="1" x14ac:dyDescent="0.25">
      <c r="B196" s="126" t="s">
        <v>143</v>
      </c>
      <c r="C196" s="127"/>
      <c r="D196" s="127"/>
      <c r="E196" s="128"/>
    </row>
    <row r="197" spans="2:5" ht="13.5" thickBot="1" x14ac:dyDescent="0.25"/>
    <row r="198" spans="2:5" x14ac:dyDescent="0.2">
      <c r="B198" s="111" t="s">
        <v>260</v>
      </c>
      <c r="C198" s="112"/>
      <c r="D198" s="112"/>
      <c r="E198" s="113"/>
    </row>
    <row r="199" spans="2:5" x14ac:dyDescent="0.2">
      <c r="B199" s="114" t="s">
        <v>60</v>
      </c>
      <c r="C199" s="115"/>
      <c r="D199" s="115"/>
      <c r="E199" s="116"/>
    </row>
    <row r="200" spans="2:5" ht="13.5" thickBot="1" x14ac:dyDescent="0.25">
      <c r="B200" s="126" t="s">
        <v>235</v>
      </c>
      <c r="C200" s="127"/>
      <c r="D200" s="127"/>
      <c r="E200" s="128"/>
    </row>
    <row r="202" spans="2:5" ht="13.5" thickBot="1" x14ac:dyDescent="0.25"/>
    <row r="203" spans="2:5" x14ac:dyDescent="0.2">
      <c r="B203" s="111" t="s">
        <v>261</v>
      </c>
      <c r="C203" s="112"/>
      <c r="D203" s="112"/>
      <c r="E203" s="113"/>
    </row>
    <row r="204" spans="2:5" x14ac:dyDescent="0.2">
      <c r="B204" s="114" t="s">
        <v>60</v>
      </c>
      <c r="C204" s="115"/>
      <c r="D204" s="115"/>
      <c r="E204" s="116"/>
    </row>
    <row r="205" spans="2:5" ht="13.5" thickBot="1" x14ac:dyDescent="0.25">
      <c r="B205" s="126" t="s">
        <v>236</v>
      </c>
      <c r="C205" s="127"/>
      <c r="D205" s="127"/>
      <c r="E205" s="128"/>
    </row>
    <row r="206" spans="2:5" ht="13.5" thickBot="1" x14ac:dyDescent="0.25"/>
    <row r="207" spans="2:5" x14ac:dyDescent="0.2">
      <c r="B207" s="111" t="s">
        <v>262</v>
      </c>
      <c r="C207" s="112"/>
      <c r="D207" s="112"/>
      <c r="E207" s="113"/>
    </row>
    <row r="208" spans="2:5" x14ac:dyDescent="0.2">
      <c r="B208" s="114" t="s">
        <v>60</v>
      </c>
      <c r="C208" s="115"/>
      <c r="D208" s="115"/>
      <c r="E208" s="116"/>
    </row>
    <row r="209" spans="2:5" ht="13.5" thickBot="1" x14ac:dyDescent="0.25">
      <c r="B209" s="126" t="s">
        <v>234</v>
      </c>
      <c r="C209" s="127"/>
      <c r="D209" s="127"/>
      <c r="E209" s="128"/>
    </row>
    <row r="210" spans="2:5" ht="13.5" thickBot="1" x14ac:dyDescent="0.25"/>
    <row r="211" spans="2:5" x14ac:dyDescent="0.2">
      <c r="B211" s="98" t="s">
        <v>263</v>
      </c>
      <c r="C211" s="85"/>
      <c r="D211" s="85"/>
      <c r="E211" s="86"/>
    </row>
    <row r="212" spans="2:5" x14ac:dyDescent="0.2">
      <c r="B212" s="99" t="s">
        <v>60</v>
      </c>
      <c r="C212" s="88"/>
      <c r="D212" s="88"/>
      <c r="E212" s="100"/>
    </row>
    <row r="213" spans="2:5" ht="13.5" thickBot="1" x14ac:dyDescent="0.25">
      <c r="B213" s="126" t="s">
        <v>142</v>
      </c>
      <c r="C213" s="127"/>
      <c r="D213" s="127"/>
      <c r="E213" s="128"/>
    </row>
    <row r="217" spans="2:5" x14ac:dyDescent="0.2">
      <c r="E217" s="78" t="s">
        <v>55</v>
      </c>
    </row>
  </sheetData>
  <mergeCells count="14">
    <mergeCell ref="B213:E213"/>
    <mergeCell ref="B196:E196"/>
    <mergeCell ref="B2:H2"/>
    <mergeCell ref="A4:B4"/>
    <mergeCell ref="C4:E4"/>
    <mergeCell ref="A5:B5"/>
    <mergeCell ref="C5:E5"/>
    <mergeCell ref="A6:B6"/>
    <mergeCell ref="A7:B7"/>
    <mergeCell ref="B189:E190"/>
    <mergeCell ref="B191:E191"/>
    <mergeCell ref="B209:E209"/>
    <mergeCell ref="B200:E200"/>
    <mergeCell ref="B205:E205"/>
  </mergeCells>
  <printOptions horizontalCentered="1"/>
  <pageMargins left="0.11811023622047245" right="0.11811023622047245" top="0.74803149606299213" bottom="0.35433070866141736" header="0.11811023622047245" footer="0"/>
  <pageSetup paperSize="9" firstPageNumber="0" fitToWidth="2" fitToHeight="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89"/>
  <sheetViews>
    <sheetView topLeftCell="A134" zoomScale="80" zoomScaleNormal="80" workbookViewId="0">
      <selection activeCell="A189" sqref="A189:I189"/>
    </sheetView>
  </sheetViews>
  <sheetFormatPr baseColWidth="10" defaultColWidth="9.140625" defaultRowHeight="12.75" x14ac:dyDescent="0.2"/>
  <cols>
    <col min="1" max="1" width="5.5703125" style="28" customWidth="1"/>
    <col min="2" max="2" width="15.140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48.5703125" style="28" customWidth="1"/>
    <col min="8" max="8" width="9.28515625" style="28" customWidth="1"/>
    <col min="9" max="9" width="15.5703125" style="28" customWidth="1"/>
    <col min="10" max="10" width="14.7109375" style="28" customWidth="1"/>
    <col min="11" max="11" width="15.5703125" style="28" customWidth="1"/>
    <col min="12" max="13" width="5.85546875" style="28" customWidth="1"/>
    <col min="14" max="14" width="14.140625" style="28" customWidth="1"/>
    <col min="15" max="15" width="12.5703125" style="28" customWidth="1"/>
    <col min="16" max="1024" width="9.140625" style="28"/>
    <col min="1025" max="16384" width="9.140625" style="29"/>
  </cols>
  <sheetData>
    <row r="1" spans="1:11" ht="18" customHeight="1" x14ac:dyDescent="0.2">
      <c r="A1" s="144" t="s">
        <v>14</v>
      </c>
      <c r="B1" s="144"/>
      <c r="C1" s="144"/>
      <c r="D1" s="144"/>
      <c r="E1" s="144"/>
      <c r="F1" s="144"/>
      <c r="G1" s="144"/>
      <c r="H1" s="144"/>
      <c r="I1" s="144"/>
      <c r="J1" s="26" t="s">
        <v>15</v>
      </c>
      <c r="K1" s="27" t="s">
        <v>232</v>
      </c>
    </row>
    <row r="2" spans="1:11" ht="18.75" customHeight="1" thickBot="1" x14ac:dyDescent="0.25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1" ht="18.75" customHeight="1" thickBot="1" x14ac:dyDescent="0.25">
      <c r="A3" s="145" t="s">
        <v>48</v>
      </c>
      <c r="B3" s="145"/>
      <c r="C3" s="145"/>
      <c r="D3" s="136" t="str">
        <f>'Necesidades Trimestrales'!C4</f>
        <v>040 - Ministerio de Salud</v>
      </c>
      <c r="E3" s="136"/>
      <c r="F3" s="136"/>
      <c r="G3" s="136"/>
      <c r="H3" s="136"/>
      <c r="I3" s="136"/>
      <c r="J3" s="136"/>
      <c r="K3" s="136"/>
    </row>
    <row r="4" spans="1:11" ht="18.75" customHeight="1" thickBot="1" x14ac:dyDescent="0.25">
      <c r="A4" s="146" t="s">
        <v>49</v>
      </c>
      <c r="B4" s="146"/>
      <c r="C4" s="146"/>
      <c r="D4" s="136" t="str">
        <f>'Necesidades Trimestrales'!C5</f>
        <v>024 - Hospital Interzonal de Niños</v>
      </c>
      <c r="E4" s="136"/>
      <c r="F4" s="136"/>
      <c r="G4" s="136"/>
      <c r="H4" s="136"/>
      <c r="I4" s="136"/>
      <c r="J4" s="136"/>
      <c r="K4" s="136"/>
    </row>
    <row r="5" spans="1:11" ht="18.75" customHeight="1" thickBot="1" x14ac:dyDescent="0.25">
      <c r="A5" s="146" t="s">
        <v>27</v>
      </c>
      <c r="B5" s="146"/>
      <c r="C5" s="146"/>
      <c r="D5" s="136" t="s">
        <v>51</v>
      </c>
      <c r="E5" s="136"/>
      <c r="F5" s="136"/>
      <c r="G5" s="136"/>
      <c r="H5" s="136"/>
      <c r="I5" s="136"/>
      <c r="J5" s="136"/>
      <c r="K5" s="136"/>
    </row>
    <row r="6" spans="1:11" ht="16.5" customHeight="1" thickBot="1" x14ac:dyDescent="0.25">
      <c r="A6" s="145" t="s">
        <v>50</v>
      </c>
      <c r="B6" s="145"/>
      <c r="C6" s="145"/>
      <c r="D6" s="136" t="s">
        <v>56</v>
      </c>
      <c r="E6" s="136"/>
      <c r="F6" s="136"/>
      <c r="G6" s="136"/>
      <c r="H6" s="136"/>
      <c r="I6" s="136"/>
      <c r="J6" s="136"/>
      <c r="K6" s="136"/>
    </row>
    <row r="7" spans="1:11" ht="16.5" customHeight="1" x14ac:dyDescent="0.2">
      <c r="A7" s="146" t="s">
        <v>16</v>
      </c>
      <c r="B7" s="146"/>
      <c r="C7" s="146"/>
      <c r="D7" s="136" t="str">
        <f>'Necesidades Trimestrales'!C7 &amp; "° Trimestre - Año " &amp; 'Necesidades Trimestrales'!C6</f>
        <v>2° Trimestre - Año 2021</v>
      </c>
      <c r="E7" s="136"/>
      <c r="F7" s="136"/>
      <c r="G7" s="136"/>
      <c r="H7" s="136"/>
      <c r="I7" s="136"/>
      <c r="J7" s="136"/>
      <c r="K7" s="136"/>
    </row>
    <row r="8" spans="1:11" ht="16.5" customHeight="1" x14ac:dyDescent="0.2">
      <c r="A8" s="143" t="s">
        <v>17</v>
      </c>
      <c r="B8" s="143"/>
      <c r="C8" s="143"/>
      <c r="D8" s="139" t="s">
        <v>233</v>
      </c>
      <c r="E8" s="139"/>
      <c r="F8" s="139"/>
      <c r="G8" s="139"/>
      <c r="H8" s="139"/>
      <c r="I8" s="139"/>
      <c r="J8" s="139"/>
      <c r="K8" s="139"/>
    </row>
    <row r="9" spans="1:11" ht="15.75" x14ac:dyDescent="0.2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1" ht="18.75" customHeight="1" x14ac:dyDescent="0.2">
      <c r="A10" s="140" t="s">
        <v>18</v>
      </c>
      <c r="B10" s="141" t="s">
        <v>19</v>
      </c>
      <c r="C10" s="141" t="s">
        <v>20</v>
      </c>
      <c r="D10" s="141"/>
      <c r="E10" s="141"/>
      <c r="F10" s="141"/>
      <c r="G10" s="141"/>
      <c r="H10" s="141" t="s">
        <v>21</v>
      </c>
      <c r="I10" s="141" t="s">
        <v>22</v>
      </c>
      <c r="J10" s="141" t="s">
        <v>23</v>
      </c>
      <c r="K10" s="142" t="s">
        <v>24</v>
      </c>
    </row>
    <row r="11" spans="1:11" ht="24" customHeight="1" thickBot="1" x14ac:dyDescent="0.25">
      <c r="A11" s="140"/>
      <c r="B11" s="141"/>
      <c r="C11" s="141"/>
      <c r="D11" s="141"/>
      <c r="E11" s="141"/>
      <c r="F11" s="141"/>
      <c r="G11" s="141"/>
      <c r="H11" s="141"/>
      <c r="I11" s="141"/>
      <c r="J11" s="141"/>
      <c r="K11" s="142"/>
    </row>
    <row r="12" spans="1:11" ht="27.75" customHeight="1" x14ac:dyDescent="0.2">
      <c r="A12" s="34">
        <v>1</v>
      </c>
      <c r="B12" s="35"/>
      <c r="C12" s="138" t="str">
        <f>'Necesidades Trimestrales'!E10</f>
        <v xml:space="preserve">AEROCAMARA C/ MASCARA PEDIATRICA  </v>
      </c>
      <c r="D12" s="138"/>
      <c r="E12" s="138"/>
      <c r="F12" s="138"/>
      <c r="G12" s="138"/>
      <c r="H12" s="36" t="s">
        <v>54</v>
      </c>
      <c r="I12" s="37" t="str">
        <f>'Necesidades Trimestrales'!F10</f>
        <v>unidad</v>
      </c>
      <c r="J12" s="38">
        <f>'Necesidades Trimestrales'!H10</f>
        <v>230</v>
      </c>
      <c r="K12" s="39">
        <f>'Necesidades Trimestrales'!G10</f>
        <v>2000</v>
      </c>
    </row>
    <row r="13" spans="1:11" ht="27.75" customHeight="1" x14ac:dyDescent="0.2">
      <c r="A13" s="51">
        <v>2</v>
      </c>
      <c r="B13" s="52"/>
      <c r="C13" s="135" t="str">
        <f>'Necesidades Trimestrales'!E11</f>
        <v>AGUJA ESPINAL 18 G X 3-1/2</v>
      </c>
      <c r="D13" s="135"/>
      <c r="E13" s="135"/>
      <c r="F13" s="135"/>
      <c r="G13" s="135"/>
      <c r="H13" s="55" t="s">
        <v>54</v>
      </c>
      <c r="I13" s="56" t="str">
        <f>'Necesidades Trimestrales'!F11</f>
        <v>unidad</v>
      </c>
      <c r="J13" s="54">
        <f>'Necesidades Trimestrales'!H11</f>
        <v>520</v>
      </c>
      <c r="K13" s="53">
        <f>'Necesidades Trimestrales'!G11</f>
        <v>50</v>
      </c>
    </row>
    <row r="14" spans="1:11" ht="27.75" customHeight="1" x14ac:dyDescent="0.2">
      <c r="A14" s="51">
        <v>3</v>
      </c>
      <c r="B14" s="52"/>
      <c r="C14" s="135" t="str">
        <f>'Necesidades Trimestrales'!E12</f>
        <v>AGUJA ESPINAL 19 G 3-1/2</v>
      </c>
      <c r="D14" s="135"/>
      <c r="E14" s="135"/>
      <c r="F14" s="135"/>
      <c r="G14" s="135"/>
      <c r="H14" s="55" t="s">
        <v>54</v>
      </c>
      <c r="I14" s="56" t="str">
        <f>'Necesidades Trimestrales'!F12</f>
        <v>unidad</v>
      </c>
      <c r="J14" s="54">
        <f>'Necesidades Trimestrales'!H12</f>
        <v>520</v>
      </c>
      <c r="K14" s="53">
        <f>'Necesidades Trimestrales'!G12</f>
        <v>50</v>
      </c>
    </row>
    <row r="15" spans="1:11" ht="27.75" customHeight="1" x14ac:dyDescent="0.2">
      <c r="A15" s="51">
        <v>4</v>
      </c>
      <c r="B15" s="52"/>
      <c r="C15" s="135" t="str">
        <f>'Necesidades Trimestrales'!E13</f>
        <v>AGUJA ESPINA Nº 20</v>
      </c>
      <c r="D15" s="135"/>
      <c r="E15" s="135"/>
      <c r="F15" s="135"/>
      <c r="G15" s="135"/>
      <c r="H15" s="55" t="s">
        <v>54</v>
      </c>
      <c r="I15" s="56" t="str">
        <f>'Necesidades Trimestrales'!F13</f>
        <v>unidad</v>
      </c>
      <c r="J15" s="54">
        <f>'Necesidades Trimestrales'!H13</f>
        <v>230</v>
      </c>
      <c r="K15" s="53">
        <f>'Necesidades Trimestrales'!G13</f>
        <v>50</v>
      </c>
    </row>
    <row r="16" spans="1:11" ht="27.75" customHeight="1" x14ac:dyDescent="0.2">
      <c r="A16" s="51">
        <v>5</v>
      </c>
      <c r="B16" s="52"/>
      <c r="C16" s="135" t="str">
        <f>'Necesidades Trimestrales'!E14</f>
        <v>AGUJA ESPINAL 22 G X 1</v>
      </c>
      <c r="D16" s="135"/>
      <c r="E16" s="135"/>
      <c r="F16" s="135"/>
      <c r="G16" s="135"/>
      <c r="H16" s="55" t="s">
        <v>54</v>
      </c>
      <c r="I16" s="56" t="str">
        <f>'Necesidades Trimestrales'!F14</f>
        <v>unidad</v>
      </c>
      <c r="J16" s="54">
        <f>'Necesidades Trimestrales'!H14</f>
        <v>520</v>
      </c>
      <c r="K16" s="53">
        <f>'Necesidades Trimestrales'!G14</f>
        <v>50</v>
      </c>
    </row>
    <row r="17" spans="1:11" ht="27.75" customHeight="1" x14ac:dyDescent="0.2">
      <c r="A17" s="51">
        <v>6</v>
      </c>
      <c r="B17" s="52"/>
      <c r="C17" s="135" t="str">
        <f>'Necesidades Trimestrales'!E15</f>
        <v>Aguja ESPINAL 23 G 3 1/2</v>
      </c>
      <c r="D17" s="135"/>
      <c r="E17" s="135"/>
      <c r="F17" s="135"/>
      <c r="G17" s="135"/>
      <c r="H17" s="55" t="s">
        <v>54</v>
      </c>
      <c r="I17" s="56" t="str">
        <f>'Necesidades Trimestrales'!F15</f>
        <v>unidad</v>
      </c>
      <c r="J17" s="54">
        <f>'Necesidades Trimestrales'!H15</f>
        <v>520</v>
      </c>
      <c r="K17" s="53">
        <f>'Necesidades Trimestrales'!G15</f>
        <v>50</v>
      </c>
    </row>
    <row r="18" spans="1:11" ht="27.75" customHeight="1" x14ac:dyDescent="0.2">
      <c r="A18" s="51">
        <v>7</v>
      </c>
      <c r="B18" s="52"/>
      <c r="C18" s="135" t="str">
        <f>'Necesidades Trimestrales'!E16</f>
        <v>Aguja ESPINAL 25 G 3 1/2</v>
      </c>
      <c r="D18" s="135"/>
      <c r="E18" s="135"/>
      <c r="F18" s="135"/>
      <c r="G18" s="135"/>
      <c r="H18" s="55" t="s">
        <v>54</v>
      </c>
      <c r="I18" s="56" t="str">
        <f>'Necesidades Trimestrales'!F16</f>
        <v>unidad</v>
      </c>
      <c r="J18" s="54">
        <f>'Necesidades Trimestrales'!H16</f>
        <v>520</v>
      </c>
      <c r="K18" s="53">
        <f>'Necesidades Trimestrales'!G16</f>
        <v>50</v>
      </c>
    </row>
    <row r="19" spans="1:11" ht="27.75" customHeight="1" x14ac:dyDescent="0.2">
      <c r="A19" s="51">
        <v>8</v>
      </c>
      <c r="B19" s="52"/>
      <c r="C19" s="135" t="str">
        <f>'Necesidades Trimestrales'!E17</f>
        <v>AGUJA ESPINAL 25G 31/2 PUNTA LAPIZ</v>
      </c>
      <c r="D19" s="135"/>
      <c r="E19" s="135"/>
      <c r="F19" s="135"/>
      <c r="G19" s="135"/>
      <c r="H19" s="55" t="s">
        <v>54</v>
      </c>
      <c r="I19" s="56" t="str">
        <f>'Necesidades Trimestrales'!F17</f>
        <v>unidad</v>
      </c>
      <c r="J19" s="54">
        <f>'Necesidades Trimestrales'!H17</f>
        <v>520</v>
      </c>
      <c r="K19" s="53">
        <f>'Necesidades Trimestrales'!G17</f>
        <v>50</v>
      </c>
    </row>
    <row r="20" spans="1:11" ht="27.75" customHeight="1" x14ac:dyDescent="0.2">
      <c r="A20" s="51">
        <v>9</v>
      </c>
      <c r="B20" s="52"/>
      <c r="C20" s="135" t="str">
        <f>'Necesidades Trimestrales'!E18</f>
        <v>Aguja ESPINAL 26 G 31/2</v>
      </c>
      <c r="D20" s="135"/>
      <c r="E20" s="135"/>
      <c r="F20" s="135"/>
      <c r="G20" s="135"/>
      <c r="H20" s="55" t="s">
        <v>54</v>
      </c>
      <c r="I20" s="56" t="str">
        <f>'Necesidades Trimestrales'!F18</f>
        <v>unidad</v>
      </c>
      <c r="J20" s="54">
        <f>'Necesidades Trimestrales'!H18</f>
        <v>520</v>
      </c>
      <c r="K20" s="53">
        <f>'Necesidades Trimestrales'!G18</f>
        <v>50</v>
      </c>
    </row>
    <row r="21" spans="1:11" ht="27.75" customHeight="1" x14ac:dyDescent="0.2">
      <c r="A21" s="51">
        <v>10</v>
      </c>
      <c r="B21" s="52"/>
      <c r="C21" s="135" t="str">
        <f>'Necesidades Trimestrales'!E19</f>
        <v>Aguja ESPINAL 26 G 31/2  PUNTA LAPIZ</v>
      </c>
      <c r="D21" s="135"/>
      <c r="E21" s="135"/>
      <c r="F21" s="135"/>
      <c r="G21" s="135"/>
      <c r="H21" s="55" t="s">
        <v>54</v>
      </c>
      <c r="I21" s="56" t="str">
        <f>'Necesidades Trimestrales'!F19</f>
        <v>unidad</v>
      </c>
      <c r="J21" s="54">
        <f>'Necesidades Trimestrales'!H19</f>
        <v>520</v>
      </c>
      <c r="K21" s="53">
        <f>'Necesidades Trimestrales'!G19</f>
        <v>50</v>
      </c>
    </row>
    <row r="22" spans="1:11" ht="27.75" customHeight="1" x14ac:dyDescent="0.2">
      <c r="A22" s="51">
        <v>11</v>
      </c>
      <c r="B22" s="52"/>
      <c r="C22" s="135" t="str">
        <f>'Necesidades Trimestrales'!E20</f>
        <v>Aguja ESPINAL 27 G 3 1/2</v>
      </c>
      <c r="D22" s="135"/>
      <c r="E22" s="135"/>
      <c r="F22" s="135"/>
      <c r="G22" s="135"/>
      <c r="H22" s="55" t="s">
        <v>54</v>
      </c>
      <c r="I22" s="56" t="str">
        <f>'Necesidades Trimestrales'!F20</f>
        <v>unidad</v>
      </c>
      <c r="J22" s="54">
        <f>'Necesidades Trimestrales'!H20</f>
        <v>520</v>
      </c>
      <c r="K22" s="53">
        <f>'Necesidades Trimestrales'!G20</f>
        <v>50</v>
      </c>
    </row>
    <row r="23" spans="1:11" ht="27.75" customHeight="1" x14ac:dyDescent="0.2">
      <c r="A23" s="51">
        <v>12</v>
      </c>
      <c r="B23" s="52"/>
      <c r="C23" s="135" t="str">
        <f>'Necesidades Trimestrales'!E21</f>
        <v xml:space="preserve">AGUJA ESPINAL 27G 3 1/2 PUNTA LAPIZ </v>
      </c>
      <c r="D23" s="135"/>
      <c r="E23" s="135"/>
      <c r="F23" s="135"/>
      <c r="G23" s="135"/>
      <c r="H23" s="55" t="s">
        <v>54</v>
      </c>
      <c r="I23" s="56" t="str">
        <f>'Necesidades Trimestrales'!F21</f>
        <v>unidad</v>
      </c>
      <c r="J23" s="54">
        <f>'Necesidades Trimestrales'!H21</f>
        <v>520</v>
      </c>
      <c r="K23" s="53">
        <f>'Necesidades Trimestrales'!G21</f>
        <v>200</v>
      </c>
    </row>
    <row r="24" spans="1:11" ht="27.75" customHeight="1" x14ac:dyDescent="0.2">
      <c r="A24" s="51">
        <v>13</v>
      </c>
      <c r="B24" s="52"/>
      <c r="C24" s="135" t="str">
        <f>'Necesidades Trimestrales'!E22</f>
        <v>AGUJA P/PUNCION/ASP.16G X 70MM T/BLOODLINE</v>
      </c>
      <c r="D24" s="135"/>
      <c r="E24" s="135"/>
      <c r="F24" s="135"/>
      <c r="G24" s="135"/>
      <c r="H24" s="55" t="s">
        <v>54</v>
      </c>
      <c r="I24" s="56" t="str">
        <f>'Necesidades Trimestrales'!F22</f>
        <v>unidad</v>
      </c>
      <c r="J24" s="54">
        <f>'Necesidades Trimestrales'!H22</f>
        <v>3200</v>
      </c>
      <c r="K24" s="53">
        <f>'Necesidades Trimestrales'!G22</f>
        <v>10</v>
      </c>
    </row>
    <row r="25" spans="1:11" ht="27.75" customHeight="1" x14ac:dyDescent="0.2">
      <c r="A25" s="51">
        <v>14</v>
      </c>
      <c r="B25" s="52"/>
      <c r="C25" s="135" t="str">
        <f>'Necesidades Trimestrales'!E23</f>
        <v>AGUJA P/SUTURA CURVAS CV310 X 12 UNID.</v>
      </c>
      <c r="D25" s="135"/>
      <c r="E25" s="135"/>
      <c r="F25" s="135"/>
      <c r="G25" s="135"/>
      <c r="H25" s="55" t="s">
        <v>54</v>
      </c>
      <c r="I25" s="56" t="str">
        <f>'Necesidades Trimestrales'!F23</f>
        <v>unidad</v>
      </c>
      <c r="J25" s="54">
        <f>'Necesidades Trimestrales'!H23</f>
        <v>200</v>
      </c>
      <c r="K25" s="53">
        <f>'Necesidades Trimestrales'!G23</f>
        <v>20</v>
      </c>
    </row>
    <row r="26" spans="1:11" ht="27.75" customHeight="1" x14ac:dyDescent="0.2">
      <c r="A26" s="51">
        <v>15</v>
      </c>
      <c r="B26" s="52"/>
      <c r="C26" s="135" t="str">
        <f>'Necesidades Trimestrales'!E24</f>
        <v>AGUJA P/SUTURA RECTA X 1</v>
      </c>
      <c r="D26" s="135"/>
      <c r="E26" s="135"/>
      <c r="F26" s="135"/>
      <c r="G26" s="135"/>
      <c r="H26" s="55" t="s">
        <v>54</v>
      </c>
      <c r="I26" s="56" t="str">
        <f>'Necesidades Trimestrales'!F24</f>
        <v>unidad</v>
      </c>
      <c r="J26" s="54">
        <f>'Necesidades Trimestrales'!H24</f>
        <v>200</v>
      </c>
      <c r="K26" s="53">
        <f>'Necesidades Trimestrales'!G24</f>
        <v>20</v>
      </c>
    </row>
    <row r="27" spans="1:11" ht="27.75" customHeight="1" x14ac:dyDescent="0.2">
      <c r="A27" s="51">
        <v>16</v>
      </c>
      <c r="B27" s="52"/>
      <c r="C27" s="135" t="str">
        <f>'Necesidades Trimestrales'!E25</f>
        <v>AGUJA PARA BLOQUEO PERIFERICO CON PUNTA LAPIZ N°22</v>
      </c>
      <c r="D27" s="135"/>
      <c r="E27" s="135"/>
      <c r="F27" s="135"/>
      <c r="G27" s="135"/>
      <c r="H27" s="55" t="s">
        <v>54</v>
      </c>
      <c r="I27" s="56" t="str">
        <f>'Necesidades Trimestrales'!F25</f>
        <v>unidad</v>
      </c>
      <c r="J27" s="54">
        <f>'Necesidades Trimestrales'!H25</f>
        <v>325</v>
      </c>
      <c r="K27" s="53">
        <f>'Necesidades Trimestrales'!G25</f>
        <v>40</v>
      </c>
    </row>
    <row r="28" spans="1:11" ht="27.75" customHeight="1" x14ac:dyDescent="0.2">
      <c r="A28" s="51">
        <v>17</v>
      </c>
      <c r="B28" s="52"/>
      <c r="C28" s="135" t="str">
        <f>'Necesidades Trimestrales'!E26</f>
        <v>AGUJA POLY PORT CON PUNTA T/HUBER 621</v>
      </c>
      <c r="D28" s="135"/>
      <c r="E28" s="135"/>
      <c r="F28" s="135"/>
      <c r="G28" s="135"/>
      <c r="H28" s="55" t="s">
        <v>54</v>
      </c>
      <c r="I28" s="56" t="str">
        <f>'Necesidades Trimestrales'!F26</f>
        <v>unidad</v>
      </c>
      <c r="J28" s="54">
        <f>'Necesidades Trimestrales'!H26</f>
        <v>500</v>
      </c>
      <c r="K28" s="53">
        <f>'Necesidades Trimestrales'!G26</f>
        <v>50</v>
      </c>
    </row>
    <row r="29" spans="1:11" ht="27.75" customHeight="1" x14ac:dyDescent="0.2">
      <c r="A29" s="51">
        <v>18</v>
      </c>
      <c r="B29" s="52"/>
      <c r="C29" s="135" t="str">
        <f>'Necesidades Trimestrales'!E27</f>
        <v>AGUJA POLY PORT CON PUNTA T/HUBER 623</v>
      </c>
      <c r="D29" s="135"/>
      <c r="E29" s="135"/>
      <c r="F29" s="135"/>
      <c r="G29" s="135"/>
      <c r="H29" s="55" t="s">
        <v>54</v>
      </c>
      <c r="I29" s="56" t="str">
        <f>'Necesidades Trimestrales'!F27</f>
        <v>unidad</v>
      </c>
      <c r="J29" s="54">
        <f>'Necesidades Trimestrales'!H27</f>
        <v>500</v>
      </c>
      <c r="K29" s="53">
        <f>'Necesidades Trimestrales'!G27</f>
        <v>50</v>
      </c>
    </row>
    <row r="30" spans="1:11" ht="27.75" customHeight="1" x14ac:dyDescent="0.2">
      <c r="A30" s="51">
        <v>19</v>
      </c>
      <c r="B30" s="52"/>
      <c r="C30" s="135" t="str">
        <f>'Necesidades Trimestrales'!E28</f>
        <v>AGUJA PUNTA CURVA HUBER Nº 20 X 25 MM</v>
      </c>
      <c r="D30" s="135"/>
      <c r="E30" s="135"/>
      <c r="F30" s="135"/>
      <c r="G30" s="135"/>
      <c r="H30" s="55" t="s">
        <v>54</v>
      </c>
      <c r="I30" s="56" t="str">
        <f>'Necesidades Trimestrales'!F28</f>
        <v>unidad</v>
      </c>
      <c r="J30" s="54">
        <f>'Necesidades Trimestrales'!H28</f>
        <v>182</v>
      </c>
      <c r="K30" s="53">
        <f>'Necesidades Trimestrales'!G28</f>
        <v>50</v>
      </c>
    </row>
    <row r="31" spans="1:11" ht="27.75" customHeight="1" x14ac:dyDescent="0.2">
      <c r="A31" s="51">
        <v>20</v>
      </c>
      <c r="B31" s="52"/>
      <c r="C31" s="135" t="str">
        <f>'Necesidades Trimestrales'!E29</f>
        <v>AGUJA PUNTA CURVA HUBER Nº 21 X 25 MM</v>
      </c>
      <c r="D31" s="135"/>
      <c r="E31" s="135"/>
      <c r="F31" s="135"/>
      <c r="G31" s="135"/>
      <c r="H31" s="55" t="s">
        <v>54</v>
      </c>
      <c r="I31" s="56" t="str">
        <f>'Necesidades Trimestrales'!F29</f>
        <v>unidad</v>
      </c>
      <c r="J31" s="54">
        <f>'Necesidades Trimestrales'!H29</f>
        <v>182</v>
      </c>
      <c r="K31" s="53">
        <f>'Necesidades Trimestrales'!G29</f>
        <v>50</v>
      </c>
    </row>
    <row r="32" spans="1:11" ht="27.75" customHeight="1" x14ac:dyDescent="0.2">
      <c r="A32" s="51">
        <v>21</v>
      </c>
      <c r="B32" s="57"/>
      <c r="C32" s="135" t="str">
        <f>'Necesidades Trimestrales'!E30</f>
        <v>AGUJA PUNTA CURVA HUBER Nº 22 X 25 MM</v>
      </c>
      <c r="D32" s="135"/>
      <c r="E32" s="135"/>
      <c r="F32" s="135"/>
      <c r="G32" s="135"/>
      <c r="H32" s="55" t="s">
        <v>54</v>
      </c>
      <c r="I32" s="56" t="str">
        <f>'Necesidades Trimestrales'!F30</f>
        <v>unidad</v>
      </c>
      <c r="J32" s="54">
        <f>'Necesidades Trimestrales'!H30</f>
        <v>182</v>
      </c>
      <c r="K32" s="53">
        <f>'Necesidades Trimestrales'!G30</f>
        <v>50</v>
      </c>
    </row>
    <row r="33" spans="1:14" ht="27.75" customHeight="1" x14ac:dyDescent="0.2">
      <c r="A33" s="51">
        <v>22</v>
      </c>
      <c r="B33" s="57"/>
      <c r="C33" s="135" t="str">
        <f>'Necesidades Trimestrales'!E31</f>
        <v>AGUJA TROCAR X 1 - 30/12</v>
      </c>
      <c r="D33" s="135"/>
      <c r="E33" s="135"/>
      <c r="F33" s="135"/>
      <c r="G33" s="135"/>
      <c r="H33" s="55" t="s">
        <v>54</v>
      </c>
      <c r="I33" s="56" t="str">
        <f>'Necesidades Trimestrales'!F31</f>
        <v>unidad</v>
      </c>
      <c r="J33" s="54">
        <f>'Necesidades Trimestrales'!H31</f>
        <v>1.32</v>
      </c>
      <c r="K33" s="53">
        <f>'Necesidades Trimestrales'!G31</f>
        <v>500</v>
      </c>
    </row>
    <row r="34" spans="1:14" ht="27.75" customHeight="1" x14ac:dyDescent="0.2">
      <c r="A34" s="51">
        <v>23</v>
      </c>
      <c r="B34" s="57"/>
      <c r="C34" s="135" t="str">
        <f>'Necesidades Trimestrales'!E32</f>
        <v>ALAMBRE QUIRURGICO 1,5MM X 1 MT.</v>
      </c>
      <c r="D34" s="135"/>
      <c r="E34" s="135"/>
      <c r="F34" s="135"/>
      <c r="G34" s="135"/>
      <c r="H34" s="55" t="s">
        <v>54</v>
      </c>
      <c r="I34" s="56" t="str">
        <f>'Necesidades Trimestrales'!F32</f>
        <v>unidad</v>
      </c>
      <c r="J34" s="54">
        <f>'Necesidades Trimestrales'!H32</f>
        <v>391</v>
      </c>
      <c r="K34" s="53">
        <f>'Necesidades Trimestrales'!G32</f>
        <v>100</v>
      </c>
    </row>
    <row r="35" spans="1:14" ht="27.75" customHeight="1" x14ac:dyDescent="0.2">
      <c r="A35" s="51">
        <v>24</v>
      </c>
      <c r="B35" s="57"/>
      <c r="C35" s="135" t="str">
        <f>'Necesidades Trimestrales'!E33</f>
        <v>ALAMBRE QUIRURGICO 1MM X 1 MT.</v>
      </c>
      <c r="D35" s="135"/>
      <c r="E35" s="135"/>
      <c r="F35" s="135"/>
      <c r="G35" s="135"/>
      <c r="H35" s="55" t="s">
        <v>54</v>
      </c>
      <c r="I35" s="56" t="str">
        <f>'Necesidades Trimestrales'!F33</f>
        <v>unidad</v>
      </c>
      <c r="J35" s="54">
        <f>'Necesidades Trimestrales'!H33</f>
        <v>391</v>
      </c>
      <c r="K35" s="53">
        <f>'Necesidades Trimestrales'!G33</f>
        <v>210</v>
      </c>
    </row>
    <row r="36" spans="1:14" ht="27.75" customHeight="1" x14ac:dyDescent="0.2">
      <c r="A36" s="51">
        <v>25</v>
      </c>
      <c r="B36" s="57"/>
      <c r="C36" s="135" t="str">
        <f>'Necesidades Trimestrales'!E34</f>
        <v xml:space="preserve">ALCOHOL IODADO 2% X 1 LITRO </v>
      </c>
      <c r="D36" s="135"/>
      <c r="E36" s="135"/>
      <c r="F36" s="135"/>
      <c r="G36" s="135"/>
      <c r="H36" s="55" t="s">
        <v>54</v>
      </c>
      <c r="I36" s="56" t="str">
        <f>'Necesidades Trimestrales'!F34</f>
        <v>unidad</v>
      </c>
      <c r="J36" s="54">
        <f>'Necesidades Trimestrales'!H34</f>
        <v>850</v>
      </c>
      <c r="K36" s="53">
        <f>'Necesidades Trimestrales'!G34</f>
        <v>70</v>
      </c>
    </row>
    <row r="37" spans="1:14" ht="27.75" customHeight="1" x14ac:dyDescent="0.2">
      <c r="A37" s="51">
        <v>26</v>
      </c>
      <c r="B37" s="57"/>
      <c r="C37" s="135" t="str">
        <f>'Necesidades Trimestrales'!E35</f>
        <v>ANTEOJOS ANTI HIV X 1</v>
      </c>
      <c r="D37" s="135"/>
      <c r="E37" s="135"/>
      <c r="F37" s="135"/>
      <c r="G37" s="135"/>
      <c r="H37" s="55" t="s">
        <v>54</v>
      </c>
      <c r="I37" s="56" t="str">
        <f>'Necesidades Trimestrales'!F35</f>
        <v>unidad</v>
      </c>
      <c r="J37" s="54">
        <f>'Necesidades Trimestrales'!H35</f>
        <v>200</v>
      </c>
      <c r="K37" s="53">
        <f>'Necesidades Trimestrales'!G35</f>
        <v>300</v>
      </c>
    </row>
    <row r="38" spans="1:14" ht="27.75" customHeight="1" x14ac:dyDescent="0.2">
      <c r="A38" s="51">
        <v>27</v>
      </c>
      <c r="B38" s="57"/>
      <c r="C38" s="135" t="str">
        <f>'Necesidades Trimestrales'!E36</f>
        <v>BOLSA P/ANESTESIA NORMAL X 1LTS.</v>
      </c>
      <c r="D38" s="135"/>
      <c r="E38" s="135"/>
      <c r="F38" s="135"/>
      <c r="G38" s="135"/>
      <c r="H38" s="55" t="s">
        <v>54</v>
      </c>
      <c r="I38" s="56" t="str">
        <f>'Necesidades Trimestrales'!F36</f>
        <v>unidad</v>
      </c>
      <c r="J38" s="54">
        <f>'Necesidades Trimestrales'!H36</f>
        <v>495</v>
      </c>
      <c r="K38" s="53">
        <f>'Necesidades Trimestrales'!G36</f>
        <v>100</v>
      </c>
    </row>
    <row r="39" spans="1:14" ht="27.75" customHeight="1" x14ac:dyDescent="0.2">
      <c r="A39" s="51">
        <v>28</v>
      </c>
      <c r="B39" s="57"/>
      <c r="C39" s="135" t="str">
        <f>'Necesidades Trimestrales'!E37</f>
        <v>BOLSA P/ANESTESIA NORMAL X 2LTS.</v>
      </c>
      <c r="D39" s="135"/>
      <c r="E39" s="135"/>
      <c r="F39" s="135"/>
      <c r="G39" s="135"/>
      <c r="H39" s="55" t="s">
        <v>54</v>
      </c>
      <c r="I39" s="56" t="str">
        <f>'Necesidades Trimestrales'!F37</f>
        <v>unidad</v>
      </c>
      <c r="J39" s="54">
        <f>'Necesidades Trimestrales'!H37</f>
        <v>520.5</v>
      </c>
      <c r="K39" s="53">
        <f>'Necesidades Trimestrales'!G37</f>
        <v>100</v>
      </c>
    </row>
    <row r="40" spans="1:14" ht="27.75" customHeight="1" x14ac:dyDescent="0.2">
      <c r="A40" s="51">
        <v>29</v>
      </c>
      <c r="B40" s="57"/>
      <c r="C40" s="135" t="str">
        <f>'Necesidades Trimestrales'!E38</f>
        <v>BOLSA P/ANESTESIA NORMAL X 3LTS.</v>
      </c>
      <c r="D40" s="135"/>
      <c r="E40" s="135"/>
      <c r="F40" s="135"/>
      <c r="G40" s="135"/>
      <c r="H40" s="55" t="s">
        <v>54</v>
      </c>
      <c r="I40" s="56" t="str">
        <f>'Necesidades Trimestrales'!F38</f>
        <v>unidad</v>
      </c>
      <c r="J40" s="54">
        <f>'Necesidades Trimestrales'!H38</f>
        <v>520.5</v>
      </c>
      <c r="K40" s="53">
        <f>'Necesidades Trimestrales'!G38</f>
        <v>100</v>
      </c>
    </row>
    <row r="41" spans="1:14" ht="27.75" customHeight="1" x14ac:dyDescent="0.2">
      <c r="A41" s="51">
        <v>30</v>
      </c>
      <c r="B41" s="57"/>
      <c r="C41" s="135" t="str">
        <f>'Necesidades Trimestrales'!E39</f>
        <v>BOLSA P/ANESTESIA NORMAL X 4 LTS</v>
      </c>
      <c r="D41" s="135"/>
      <c r="E41" s="135"/>
      <c r="F41" s="135"/>
      <c r="G41" s="135"/>
      <c r="H41" s="55" t="s">
        <v>54</v>
      </c>
      <c r="I41" s="56" t="str">
        <f>'Necesidades Trimestrales'!F39</f>
        <v>unidad</v>
      </c>
      <c r="J41" s="54">
        <f>'Necesidades Trimestrales'!H39</f>
        <v>520.5</v>
      </c>
      <c r="K41" s="53">
        <f>'Necesidades Trimestrales'!G39</f>
        <v>100</v>
      </c>
    </row>
    <row r="42" spans="1:14" ht="27.75" customHeight="1" x14ac:dyDescent="0.2">
      <c r="A42" s="51">
        <v>31</v>
      </c>
      <c r="B42" s="57"/>
      <c r="C42" s="135" t="str">
        <f>'Necesidades Trimestrales'!E40</f>
        <v>BOLSA P/COLOSTOMIA NEONATAL</v>
      </c>
      <c r="D42" s="135"/>
      <c r="E42" s="135"/>
      <c r="F42" s="135"/>
      <c r="G42" s="135"/>
      <c r="H42" s="55" t="s">
        <v>54</v>
      </c>
      <c r="I42" s="56" t="str">
        <f>'Necesidades Trimestrales'!F40</f>
        <v>unidad</v>
      </c>
      <c r="J42" s="54">
        <f>'Necesidades Trimestrales'!H40</f>
        <v>156</v>
      </c>
      <c r="K42" s="53">
        <f>'Necesidades Trimestrales'!G40</f>
        <v>50</v>
      </c>
    </row>
    <row r="43" spans="1:14" ht="27.75" customHeight="1" x14ac:dyDescent="0.2">
      <c r="A43" s="51">
        <v>32</v>
      </c>
      <c r="B43" s="57"/>
      <c r="C43" s="135" t="str">
        <f>'Necesidades Trimestrales'!E41</f>
        <v>Bolsas Termosellables P/bib 250 X 100 X 380mm TipoYellow Pack x 1000</v>
      </c>
      <c r="D43" s="135"/>
      <c r="E43" s="135"/>
      <c r="F43" s="135"/>
      <c r="G43" s="135"/>
      <c r="H43" s="55" t="s">
        <v>54</v>
      </c>
      <c r="I43" s="56" t="str">
        <f>'Necesidades Trimestrales'!F41</f>
        <v>unidad</v>
      </c>
      <c r="J43" s="54">
        <f>'Necesidades Trimestrales'!H41</f>
        <v>5460</v>
      </c>
      <c r="K43" s="53">
        <f>'Necesidades Trimestrales'!G41</f>
        <v>10</v>
      </c>
    </row>
    <row r="44" spans="1:14" ht="27.75" customHeight="1" x14ac:dyDescent="0.2">
      <c r="A44" s="51">
        <v>33</v>
      </c>
      <c r="B44" s="57"/>
      <c r="C44" s="135" t="str">
        <f>'Necesidades Trimestrales'!E42</f>
        <v>BRAZALETE PNI 1 TUBO  Nº 1  TIPO  WELCH ALLYN/DRAGUER</v>
      </c>
      <c r="D44" s="135"/>
      <c r="E44" s="135"/>
      <c r="F44" s="135"/>
      <c r="G44" s="135"/>
      <c r="H44" s="55" t="s">
        <v>54</v>
      </c>
      <c r="I44" s="56" t="str">
        <f>'Necesidades Trimestrales'!F42</f>
        <v>unidad</v>
      </c>
      <c r="J44" s="54">
        <f>'Necesidades Trimestrales'!H42</f>
        <v>787</v>
      </c>
      <c r="K44" s="53">
        <f>'Necesidades Trimestrales'!G42</f>
        <v>10</v>
      </c>
    </row>
    <row r="45" spans="1:14" ht="27.75" customHeight="1" x14ac:dyDescent="0.2">
      <c r="A45" s="51">
        <v>34</v>
      </c>
      <c r="B45" s="57"/>
      <c r="C45" s="135" t="str">
        <f>'Necesidades Trimestrales'!E43</f>
        <v>BRAZALETE PNI 1 TUBO  Nº 2  TIPO  WELCH ALLYN/DRAGUER</v>
      </c>
      <c r="D45" s="135"/>
      <c r="E45" s="135"/>
      <c r="F45" s="135"/>
      <c r="G45" s="135"/>
      <c r="H45" s="55" t="s">
        <v>54</v>
      </c>
      <c r="I45" s="56" t="str">
        <f>'Necesidades Trimestrales'!F43</f>
        <v>unidad</v>
      </c>
      <c r="J45" s="54">
        <f>'Necesidades Trimestrales'!H43</f>
        <v>787</v>
      </c>
      <c r="K45" s="53">
        <f>'Necesidades Trimestrales'!G43</f>
        <v>10</v>
      </c>
    </row>
    <row r="46" spans="1:14" ht="27.75" customHeight="1" x14ac:dyDescent="0.2">
      <c r="A46" s="51">
        <v>35</v>
      </c>
      <c r="B46" s="57"/>
      <c r="C46" s="135" t="str">
        <f>'Necesidades Trimestrales'!E44</f>
        <v>BRAZALETE PNI 1 TUBO  Nº 3  TIPO  WELCH ALLYN/DRAGUER</v>
      </c>
      <c r="D46" s="135"/>
      <c r="E46" s="135"/>
      <c r="F46" s="135"/>
      <c r="G46" s="135"/>
      <c r="H46" s="55" t="s">
        <v>54</v>
      </c>
      <c r="I46" s="56" t="str">
        <f>'Necesidades Trimestrales'!F44</f>
        <v>unidad</v>
      </c>
      <c r="J46" s="54">
        <f>'Necesidades Trimestrales'!H44</f>
        <v>3090</v>
      </c>
      <c r="K46" s="53">
        <f>'Necesidades Trimestrales'!G44</f>
        <v>10</v>
      </c>
    </row>
    <row r="47" spans="1:14" ht="27.75" customHeight="1" x14ac:dyDescent="0.2">
      <c r="A47" s="51">
        <v>36</v>
      </c>
      <c r="B47" s="57"/>
      <c r="C47" s="135" t="str">
        <f>'Necesidades Trimestrales'!E45</f>
        <v>BRAZALETE PNI 1 TUBO  Nº 4  TIPO  WELCH ALLYN/DRAGUER</v>
      </c>
      <c r="D47" s="135"/>
      <c r="E47" s="135"/>
      <c r="F47" s="135"/>
      <c r="G47" s="135"/>
      <c r="H47" s="55" t="s">
        <v>54</v>
      </c>
      <c r="I47" s="56" t="str">
        <f>'Necesidades Trimestrales'!F45</f>
        <v>unidad</v>
      </c>
      <c r="J47" s="54">
        <f>'Necesidades Trimestrales'!H45</f>
        <v>3090</v>
      </c>
      <c r="K47" s="53">
        <f>'Necesidades Trimestrales'!G45</f>
        <v>10</v>
      </c>
      <c r="N47" s="28" t="s">
        <v>55</v>
      </c>
    </row>
    <row r="48" spans="1:14" ht="27.75" customHeight="1" x14ac:dyDescent="0.2">
      <c r="A48" s="51">
        <v>37</v>
      </c>
      <c r="B48" s="57"/>
      <c r="C48" s="135" t="str">
        <f>'Necesidades Trimestrales'!E46</f>
        <v>BRAZALETE PNI 2 TUBO  Nº 1  TIPO  WELCH ALLYN/DRAGUER</v>
      </c>
      <c r="D48" s="135"/>
      <c r="E48" s="135"/>
      <c r="F48" s="135"/>
      <c r="G48" s="135"/>
      <c r="H48" s="55" t="s">
        <v>54</v>
      </c>
      <c r="I48" s="56" t="str">
        <f>'Necesidades Trimestrales'!F46</f>
        <v>unidad</v>
      </c>
      <c r="J48" s="54">
        <f>'Necesidades Trimestrales'!H46</f>
        <v>3090</v>
      </c>
      <c r="K48" s="53">
        <f>'Necesidades Trimestrales'!G46</f>
        <v>10</v>
      </c>
    </row>
    <row r="49" spans="1:11" ht="27.75" customHeight="1" x14ac:dyDescent="0.2">
      <c r="A49" s="51">
        <v>38</v>
      </c>
      <c r="B49" s="57"/>
      <c r="C49" s="135" t="str">
        <f>'Necesidades Trimestrales'!E47</f>
        <v>BRAZALETE PNI 2 TUBO  Nº 2  TIPO  WELCH ALLYN/DRAGUER</v>
      </c>
      <c r="D49" s="135"/>
      <c r="E49" s="135"/>
      <c r="F49" s="135"/>
      <c r="G49" s="135"/>
      <c r="H49" s="55" t="s">
        <v>54</v>
      </c>
      <c r="I49" s="56" t="str">
        <f>'Necesidades Trimestrales'!F47</f>
        <v>unidad</v>
      </c>
      <c r="J49" s="54">
        <f>'Necesidades Trimestrales'!H47</f>
        <v>3090</v>
      </c>
      <c r="K49" s="53">
        <f>'Necesidades Trimestrales'!G47</f>
        <v>10</v>
      </c>
    </row>
    <row r="50" spans="1:11" ht="27.75" customHeight="1" x14ac:dyDescent="0.2">
      <c r="A50" s="51">
        <v>39</v>
      </c>
      <c r="B50" s="57"/>
      <c r="C50" s="135" t="str">
        <f>'Necesidades Trimestrales'!E48</f>
        <v>BRAZALETE PNI 2 TUBO  Nº 3  TIPO  WELCH ALLYN/DRAGUER</v>
      </c>
      <c r="D50" s="135"/>
      <c r="E50" s="135"/>
      <c r="F50" s="135"/>
      <c r="G50" s="135"/>
      <c r="H50" s="55" t="s">
        <v>54</v>
      </c>
      <c r="I50" s="56" t="str">
        <f>'Necesidades Trimestrales'!F48</f>
        <v>unidad</v>
      </c>
      <c r="J50" s="54">
        <f>'Necesidades Trimestrales'!H48</f>
        <v>3090</v>
      </c>
      <c r="K50" s="53">
        <f>'Necesidades Trimestrales'!G48</f>
        <v>10</v>
      </c>
    </row>
    <row r="51" spans="1:11" ht="27.75" customHeight="1" x14ac:dyDescent="0.2">
      <c r="A51" s="51">
        <v>40</v>
      </c>
      <c r="B51" s="57"/>
      <c r="C51" s="135" t="str">
        <f>'Necesidades Trimestrales'!E49</f>
        <v>BRAZALETE PNI 2 TUBO  Nº 4  TIPO  WELCH ALLYN/DRAGUER</v>
      </c>
      <c r="D51" s="135"/>
      <c r="E51" s="135"/>
      <c r="F51" s="135"/>
      <c r="G51" s="135"/>
      <c r="H51" s="55" t="s">
        <v>54</v>
      </c>
      <c r="I51" s="56" t="str">
        <f>'Necesidades Trimestrales'!F49</f>
        <v>unidad</v>
      </c>
      <c r="J51" s="54">
        <f>'Necesidades Trimestrales'!H49</f>
        <v>3090</v>
      </c>
      <c r="K51" s="53">
        <f>'Necesidades Trimestrales'!G49</f>
        <v>10</v>
      </c>
    </row>
    <row r="52" spans="1:11" ht="27.75" customHeight="1" x14ac:dyDescent="0.2">
      <c r="A52" s="51">
        <v>41</v>
      </c>
      <c r="B52" s="57"/>
      <c r="C52" s="135" t="str">
        <f>'Necesidades Trimestrales'!E50</f>
        <v>BUTERFLY Nº 19</v>
      </c>
      <c r="D52" s="135"/>
      <c r="E52" s="135"/>
      <c r="F52" s="135"/>
      <c r="G52" s="135"/>
      <c r="H52" s="55" t="s">
        <v>54</v>
      </c>
      <c r="I52" s="56" t="str">
        <f>'Necesidades Trimestrales'!F50</f>
        <v>unidad</v>
      </c>
      <c r="J52" s="54">
        <f>'Necesidades Trimestrales'!H50</f>
        <v>14.5</v>
      </c>
      <c r="K52" s="53">
        <f>'Necesidades Trimestrales'!G50</f>
        <v>300</v>
      </c>
    </row>
    <row r="53" spans="1:11" ht="27.75" customHeight="1" x14ac:dyDescent="0.2">
      <c r="A53" s="51">
        <v>42</v>
      </c>
      <c r="B53" s="57"/>
      <c r="C53" s="135" t="str">
        <f>'Necesidades Trimestrales'!E51</f>
        <v>BUTERFLY Nº 21</v>
      </c>
      <c r="D53" s="135"/>
      <c r="E53" s="135"/>
      <c r="F53" s="135"/>
      <c r="G53" s="135"/>
      <c r="H53" s="55" t="s">
        <v>54</v>
      </c>
      <c r="I53" s="56" t="str">
        <f>'Necesidades Trimestrales'!F51</f>
        <v>unidad</v>
      </c>
      <c r="J53" s="54">
        <f>'Necesidades Trimestrales'!H51</f>
        <v>14.5</v>
      </c>
      <c r="K53" s="53">
        <f>'Necesidades Trimestrales'!G51</f>
        <v>300</v>
      </c>
    </row>
    <row r="54" spans="1:11" ht="27.75" customHeight="1" x14ac:dyDescent="0.2">
      <c r="A54" s="51">
        <v>43</v>
      </c>
      <c r="B54" s="57"/>
      <c r="C54" s="135" t="str">
        <f>'Necesidades Trimestrales'!E52</f>
        <v>BUTERFLY Nº 23</v>
      </c>
      <c r="D54" s="135"/>
      <c r="E54" s="135"/>
      <c r="F54" s="135"/>
      <c r="G54" s="135"/>
      <c r="H54" s="55" t="s">
        <v>54</v>
      </c>
      <c r="I54" s="56" t="str">
        <f>'Necesidades Trimestrales'!F52</f>
        <v>unidad</v>
      </c>
      <c r="J54" s="54">
        <f>'Necesidades Trimestrales'!H52</f>
        <v>14.5</v>
      </c>
      <c r="K54" s="53">
        <f>'Necesidades Trimestrales'!G52</f>
        <v>1000</v>
      </c>
    </row>
    <row r="55" spans="1:11" ht="27.75" customHeight="1" x14ac:dyDescent="0.2">
      <c r="A55" s="51">
        <v>44</v>
      </c>
      <c r="B55" s="57"/>
      <c r="C55" s="135" t="str">
        <f>'Necesidades Trimestrales'!E53</f>
        <v>BUTERFLY Nº 25</v>
      </c>
      <c r="D55" s="135"/>
      <c r="E55" s="135"/>
      <c r="F55" s="135"/>
      <c r="G55" s="135"/>
      <c r="H55" s="55" t="s">
        <v>54</v>
      </c>
      <c r="I55" s="56" t="str">
        <f>'Necesidades Trimestrales'!F53</f>
        <v>unidad</v>
      </c>
      <c r="J55" s="54">
        <f>'Necesidades Trimestrales'!H53</f>
        <v>14.5</v>
      </c>
      <c r="K55" s="53">
        <f>'Necesidades Trimestrales'!G53</f>
        <v>1000</v>
      </c>
    </row>
    <row r="56" spans="1:11" ht="27.75" customHeight="1" x14ac:dyDescent="0.2">
      <c r="A56" s="51">
        <v>45</v>
      </c>
      <c r="B56" s="57"/>
      <c r="C56" s="135" t="str">
        <f>'Necesidades Trimestrales'!E54</f>
        <v>BUTERFLY N 27</v>
      </c>
      <c r="D56" s="135"/>
      <c r="E56" s="135"/>
      <c r="F56" s="135"/>
      <c r="G56" s="135"/>
      <c r="H56" s="55" t="s">
        <v>54</v>
      </c>
      <c r="I56" s="56" t="str">
        <f>'Necesidades Trimestrales'!F54</f>
        <v>unidad</v>
      </c>
      <c r="J56" s="54">
        <f>'Necesidades Trimestrales'!H54</f>
        <v>14.5</v>
      </c>
      <c r="K56" s="53">
        <f>'Necesidades Trimestrales'!G54</f>
        <v>300</v>
      </c>
    </row>
    <row r="57" spans="1:11" ht="27.75" customHeight="1" x14ac:dyDescent="0.2">
      <c r="A57" s="51">
        <v>46</v>
      </c>
      <c r="B57" s="57"/>
      <c r="C57" s="135" t="str">
        <f>'Necesidades Trimestrales'!E55</f>
        <v>CANULA DE ASPIRACION DE CAMPO QUIRURGICO TIPO K 66</v>
      </c>
      <c r="D57" s="135"/>
      <c r="E57" s="135"/>
      <c r="F57" s="135"/>
      <c r="G57" s="135"/>
      <c r="H57" s="55" t="s">
        <v>54</v>
      </c>
      <c r="I57" s="56" t="str">
        <f>'Necesidades Trimestrales'!F55</f>
        <v>unidad</v>
      </c>
      <c r="J57" s="54">
        <f>'Necesidades Trimestrales'!H55</f>
        <v>150</v>
      </c>
      <c r="K57" s="53">
        <f>'Necesidades Trimestrales'!G55</f>
        <v>3000</v>
      </c>
    </row>
    <row r="58" spans="1:11" ht="27.75" customHeight="1" x14ac:dyDescent="0.2">
      <c r="A58" s="51">
        <v>47</v>
      </c>
      <c r="B58" s="57"/>
      <c r="C58" s="135" t="str">
        <f>'Necesidades Trimestrales'!E56</f>
        <v>CARTUCHO ARTERIAL I-STAT • EG7+ caja x 25 unidades</v>
      </c>
      <c r="D58" s="135"/>
      <c r="E58" s="135"/>
      <c r="F58" s="135"/>
      <c r="G58" s="135"/>
      <c r="H58" s="55" t="s">
        <v>54</v>
      </c>
      <c r="I58" s="56" t="str">
        <f>'Necesidades Trimestrales'!F56</f>
        <v>unidad</v>
      </c>
      <c r="J58" s="54">
        <f>'Necesidades Trimestrales'!H56</f>
        <v>2000</v>
      </c>
      <c r="K58" s="53">
        <f>'Necesidades Trimestrales'!G56</f>
        <v>4</v>
      </c>
    </row>
    <row r="59" spans="1:11" ht="27.75" customHeight="1" x14ac:dyDescent="0.2">
      <c r="A59" s="51">
        <v>48</v>
      </c>
      <c r="B59" s="57"/>
      <c r="C59" s="135" t="str">
        <f>'Necesidades Trimestrales'!E57</f>
        <v>CARTUCHO I-STAT • CHEM8+ caja x 25 unidades</v>
      </c>
      <c r="D59" s="135"/>
      <c r="E59" s="135"/>
      <c r="F59" s="135"/>
      <c r="G59" s="135"/>
      <c r="H59" s="55" t="s">
        <v>54</v>
      </c>
      <c r="I59" s="56" t="str">
        <f>'Necesidades Trimestrales'!F57</f>
        <v>unidad</v>
      </c>
      <c r="J59" s="54">
        <f>'Necesidades Trimestrales'!H57</f>
        <v>2000</v>
      </c>
      <c r="K59" s="53">
        <f>'Necesidades Trimestrales'!G57</f>
        <v>4</v>
      </c>
    </row>
    <row r="60" spans="1:11" ht="27.75" customHeight="1" x14ac:dyDescent="0.2">
      <c r="A60" s="51">
        <v>49</v>
      </c>
      <c r="B60" s="57"/>
      <c r="C60" s="135" t="str">
        <f>'Necesidades Trimestrales'!E58</f>
        <v>CARTUCHO I-STAT • EG7+ caja x 25 unidades</v>
      </c>
      <c r="D60" s="135"/>
      <c r="E60" s="135"/>
      <c r="F60" s="135"/>
      <c r="G60" s="135"/>
      <c r="H60" s="55" t="s">
        <v>54</v>
      </c>
      <c r="I60" s="56" t="str">
        <f>'Necesidades Trimestrales'!F58</f>
        <v>unidad</v>
      </c>
      <c r="J60" s="54">
        <f>'Necesidades Trimestrales'!H58</f>
        <v>2000</v>
      </c>
      <c r="K60" s="53">
        <f>'Necesidades Trimestrales'!G58</f>
        <v>4</v>
      </c>
    </row>
    <row r="61" spans="1:11" ht="27.75" customHeight="1" x14ac:dyDescent="0.2">
      <c r="A61" s="51">
        <v>50</v>
      </c>
      <c r="B61" s="57"/>
      <c r="C61" s="135" t="str">
        <f>'Necesidades Trimestrales'!E59</f>
        <v>CARTUCHO VENOSO I-STAT • CHEM8+ caja x 25 unidades</v>
      </c>
      <c r="D61" s="135"/>
      <c r="E61" s="135"/>
      <c r="F61" s="135"/>
      <c r="G61" s="135"/>
      <c r="H61" s="55" t="s">
        <v>54</v>
      </c>
      <c r="I61" s="56" t="str">
        <f>'Necesidades Trimestrales'!F59</f>
        <v>unidad</v>
      </c>
      <c r="J61" s="54">
        <f>'Necesidades Trimestrales'!H59</f>
        <v>2000</v>
      </c>
      <c r="K61" s="53">
        <f>'Necesidades Trimestrales'!G59</f>
        <v>4</v>
      </c>
    </row>
    <row r="62" spans="1:11" ht="27.75" customHeight="1" x14ac:dyDescent="0.2">
      <c r="A62" s="51">
        <v>51</v>
      </c>
      <c r="B62" s="57"/>
      <c r="C62" s="135" t="str">
        <f>'Necesidades Trimestrales'!E60</f>
        <v>Cassettes P/Sterrad NX x 5 unidades Tipo ASP</v>
      </c>
      <c r="D62" s="135"/>
      <c r="E62" s="135"/>
      <c r="F62" s="135"/>
      <c r="G62" s="135"/>
      <c r="H62" s="55" t="s">
        <v>63</v>
      </c>
      <c r="I62" s="56" t="str">
        <f>'Necesidades Trimestrales'!F60</f>
        <v>unidad</v>
      </c>
      <c r="J62" s="54">
        <f>'Necesidades Trimestrales'!H60</f>
        <v>82500</v>
      </c>
      <c r="K62" s="53">
        <f>'Necesidades Trimestrales'!G60</f>
        <v>2</v>
      </c>
    </row>
    <row r="63" spans="1:11" ht="27.75" customHeight="1" x14ac:dyDescent="0.2">
      <c r="A63" s="51">
        <v>52</v>
      </c>
      <c r="B63" s="57"/>
      <c r="C63" s="135" t="str">
        <f>'Necesidades Trimestrales'!E61</f>
        <v>CATETER DOBLE P/DIAG.NEUMONIA T/BRONCHOCATH DCD</v>
      </c>
      <c r="D63" s="135"/>
      <c r="E63" s="135"/>
      <c r="F63" s="135"/>
      <c r="G63" s="135"/>
      <c r="H63" s="55" t="s">
        <v>54</v>
      </c>
      <c r="I63" s="56" t="str">
        <f>'Necesidades Trimestrales'!F61</f>
        <v>unidad</v>
      </c>
      <c r="J63" s="54">
        <f>'Necesidades Trimestrales'!H61</f>
        <v>2638</v>
      </c>
      <c r="K63" s="53">
        <f>'Necesidades Trimestrales'!G61</f>
        <v>50</v>
      </c>
    </row>
    <row r="64" spans="1:11" ht="27.75" customHeight="1" x14ac:dyDescent="0.2">
      <c r="A64" s="51">
        <v>53</v>
      </c>
      <c r="B64" s="57"/>
      <c r="C64" s="135" t="str">
        <f>'Necesidades Trimestrales'!E62</f>
        <v>CATETER EPICUTANEO CAVA COD.541-50 T/SILMAG</v>
      </c>
      <c r="D64" s="135"/>
      <c r="E64" s="135"/>
      <c r="F64" s="135"/>
      <c r="G64" s="135"/>
      <c r="H64" s="55" t="s">
        <v>63</v>
      </c>
      <c r="I64" s="56" t="str">
        <f>'Necesidades Trimestrales'!F62</f>
        <v>unidad</v>
      </c>
      <c r="J64" s="54">
        <f>'Necesidades Trimestrales'!H62</f>
        <v>2760</v>
      </c>
      <c r="K64" s="53">
        <f>'Necesidades Trimestrales'!G62</f>
        <v>10</v>
      </c>
    </row>
    <row r="65" spans="1:15" ht="27.75" customHeight="1" x14ac:dyDescent="0.2">
      <c r="A65" s="51">
        <v>54</v>
      </c>
      <c r="B65" s="57"/>
      <c r="C65" s="135" t="str">
        <f>'Necesidades Trimestrales'!E63</f>
        <v>CEPILLO P/LAVAR TUBOS GRANDES X 1</v>
      </c>
      <c r="D65" s="135"/>
      <c r="E65" s="135"/>
      <c r="F65" s="135"/>
      <c r="G65" s="135"/>
      <c r="H65" s="55" t="s">
        <v>54</v>
      </c>
      <c r="I65" s="56" t="str">
        <f>'Necesidades Trimestrales'!F63</f>
        <v>unidad</v>
      </c>
      <c r="J65" s="54">
        <f>'Necesidades Trimestrales'!H63</f>
        <v>290</v>
      </c>
      <c r="K65" s="53">
        <f>'Necesidades Trimestrales'!G63</f>
        <v>10</v>
      </c>
    </row>
    <row r="66" spans="1:15" ht="27.75" customHeight="1" x14ac:dyDescent="0.2">
      <c r="A66" s="51">
        <v>55</v>
      </c>
      <c r="B66" s="57"/>
      <c r="C66" s="135" t="str">
        <f>'Necesidades Trimestrales'!E64</f>
        <v>CEPILLO P/LAVAR TUBOS MEDIANOS X 1</v>
      </c>
      <c r="D66" s="135"/>
      <c r="E66" s="135"/>
      <c r="F66" s="135"/>
      <c r="G66" s="135"/>
      <c r="H66" s="55" t="s">
        <v>54</v>
      </c>
      <c r="I66" s="56" t="str">
        <f>'Necesidades Trimestrales'!F64</f>
        <v>unidad</v>
      </c>
      <c r="J66" s="54">
        <f>'Necesidades Trimestrales'!H64</f>
        <v>310</v>
      </c>
      <c r="K66" s="53">
        <f>'Necesidades Trimestrales'!G64</f>
        <v>10</v>
      </c>
    </row>
    <row r="67" spans="1:15" ht="27.75" customHeight="1" x14ac:dyDescent="0.2">
      <c r="A67" s="51">
        <v>56</v>
      </c>
      <c r="B67" s="57"/>
      <c r="C67" s="135" t="str">
        <f>'Necesidades Trimestrales'!E65</f>
        <v>CLAVIJAS DE ACERO 2.5 MM</v>
      </c>
      <c r="D67" s="135"/>
      <c r="E67" s="135"/>
      <c r="F67" s="135"/>
      <c r="G67" s="135"/>
      <c r="H67" s="55" t="s">
        <v>54</v>
      </c>
      <c r="I67" s="56" t="str">
        <f>'Necesidades Trimestrales'!F65</f>
        <v>unidad</v>
      </c>
      <c r="J67" s="54">
        <f>'Necesidades Trimestrales'!H65</f>
        <v>990</v>
      </c>
      <c r="K67" s="53">
        <f>'Necesidades Trimestrales'!G65</f>
        <v>200</v>
      </c>
    </row>
    <row r="68" spans="1:15" ht="27.75" customHeight="1" x14ac:dyDescent="0.2">
      <c r="A68" s="51">
        <v>57</v>
      </c>
      <c r="B68" s="57"/>
      <c r="C68" s="135" t="str">
        <f>'Necesidades Trimestrales'!E66</f>
        <v>CLAVIJAS ULTRAFINAS 0,5 MM</v>
      </c>
      <c r="D68" s="135"/>
      <c r="E68" s="135"/>
      <c r="F68" s="135"/>
      <c r="G68" s="135"/>
      <c r="H68" s="55" t="s">
        <v>54</v>
      </c>
      <c r="I68" s="56" t="str">
        <f>'Necesidades Trimestrales'!F66</f>
        <v>unidad</v>
      </c>
      <c r="J68" s="54">
        <f>'Necesidades Trimestrales'!H66</f>
        <v>180</v>
      </c>
      <c r="K68" s="53">
        <f>'Necesidades Trimestrales'!G66</f>
        <v>300</v>
      </c>
    </row>
    <row r="69" spans="1:15" ht="27.75" customHeight="1" x14ac:dyDescent="0.2">
      <c r="A69" s="51">
        <v>58</v>
      </c>
      <c r="B69" s="57"/>
      <c r="C69" s="135" t="str">
        <f>'Necesidades Trimestrales'!E67</f>
        <v>COLECTORES DE ORINA PEDIATRICO BOLSA X 1</v>
      </c>
      <c r="D69" s="135"/>
      <c r="E69" s="135"/>
      <c r="F69" s="135"/>
      <c r="G69" s="135"/>
      <c r="H69" s="55" t="s">
        <v>54</v>
      </c>
      <c r="I69" s="56" t="str">
        <f>'Necesidades Trimestrales'!F67</f>
        <v>unidad</v>
      </c>
      <c r="J69" s="54">
        <f>'Necesidades Trimestrales'!H67</f>
        <v>29</v>
      </c>
      <c r="K69" s="53">
        <f>'Necesidades Trimestrales'!G67</f>
        <v>2000</v>
      </c>
    </row>
    <row r="70" spans="1:15" ht="27.75" customHeight="1" x14ac:dyDescent="0.2">
      <c r="A70" s="51">
        <v>59</v>
      </c>
      <c r="B70" s="57"/>
      <c r="C70" s="135" t="str">
        <f>'Necesidades Trimestrales'!E68</f>
        <v>Collar Philadelfia Chico 1unidad (UNICA x 1)</v>
      </c>
      <c r="D70" s="135"/>
      <c r="E70" s="135"/>
      <c r="F70" s="135"/>
      <c r="G70" s="135"/>
      <c r="H70" s="55" t="s">
        <v>54</v>
      </c>
      <c r="I70" s="56" t="str">
        <f>'Necesidades Trimestrales'!F68</f>
        <v>unidad</v>
      </c>
      <c r="J70" s="54">
        <f>'Necesidades Trimestrales'!H68</f>
        <v>1160</v>
      </c>
      <c r="K70" s="53">
        <f>'Necesidades Trimestrales'!G68</f>
        <v>10</v>
      </c>
    </row>
    <row r="71" spans="1:15" ht="27.75" customHeight="1" x14ac:dyDescent="0.2">
      <c r="A71" s="51">
        <v>60</v>
      </c>
      <c r="B71" s="57"/>
      <c r="C71" s="135" t="str">
        <f>'Necesidades Trimestrales'!E69</f>
        <v>Collar Philadelfia Mediano 1unidad (UNICA x 1)</v>
      </c>
      <c r="D71" s="135"/>
      <c r="E71" s="135"/>
      <c r="F71" s="135"/>
      <c r="G71" s="135"/>
      <c r="H71" s="55" t="s">
        <v>54</v>
      </c>
      <c r="I71" s="56" t="str">
        <f>'Necesidades Trimestrales'!F69</f>
        <v>unidad</v>
      </c>
      <c r="J71" s="54">
        <f>'Necesidades Trimestrales'!H69</f>
        <v>1160</v>
      </c>
      <c r="K71" s="53">
        <f>'Necesidades Trimestrales'!G69</f>
        <v>10</v>
      </c>
    </row>
    <row r="72" spans="1:15" ht="27.75" customHeight="1" x14ac:dyDescent="0.2">
      <c r="A72" s="51">
        <v>61</v>
      </c>
      <c r="B72" s="57"/>
      <c r="C72" s="135" t="str">
        <f>'Necesidades Trimestrales'!E70</f>
        <v>Collar Philadelfia Grande 1unidad (UNICA x 1)</v>
      </c>
      <c r="D72" s="135"/>
      <c r="E72" s="135"/>
      <c r="F72" s="135"/>
      <c r="G72" s="135"/>
      <c r="H72" s="55" t="s">
        <v>54</v>
      </c>
      <c r="I72" s="56" t="str">
        <f>'Necesidades Trimestrales'!F70</f>
        <v>unidad</v>
      </c>
      <c r="J72" s="54">
        <f>'Necesidades Trimestrales'!H70</f>
        <v>1160</v>
      </c>
      <c r="K72" s="53">
        <f>'Necesidades Trimestrales'!G70</f>
        <v>10</v>
      </c>
    </row>
    <row r="73" spans="1:15" ht="27.75" customHeight="1" x14ac:dyDescent="0.2">
      <c r="A73" s="51">
        <v>62</v>
      </c>
      <c r="B73" s="57"/>
      <c r="C73" s="135" t="str">
        <f>'Necesidades Trimestrales'!E71</f>
        <v>Compresa de Gasa Cosida; 40cm x 40cm, Rx y Cola, 5u/ doble sobre -Pouch, 50u/Caja Estéril,</v>
      </c>
      <c r="D73" s="135"/>
      <c r="E73" s="135"/>
      <c r="F73" s="135"/>
      <c r="G73" s="135"/>
      <c r="H73" s="55" t="s">
        <v>54</v>
      </c>
      <c r="I73" s="56" t="str">
        <f>'Necesidades Trimestrales'!F71</f>
        <v>unidad</v>
      </c>
      <c r="J73" s="54">
        <f>'Necesidades Trimestrales'!H71</f>
        <v>450</v>
      </c>
      <c r="K73" s="53">
        <f>'Necesidades Trimestrales'!G71</f>
        <v>100</v>
      </c>
    </row>
    <row r="74" spans="1:15" ht="27.75" customHeight="1" x14ac:dyDescent="0.2">
      <c r="A74" s="51">
        <v>63</v>
      </c>
      <c r="B74" s="57"/>
      <c r="C74" s="135" t="str">
        <f>'Necesidades Trimestrales'!E72</f>
        <v>CONTENEDOR ALIMENTACION 250CC T/DEALER (BIOM) X 1</v>
      </c>
      <c r="D74" s="135"/>
      <c r="E74" s="135"/>
      <c r="F74" s="135"/>
      <c r="G74" s="135"/>
      <c r="H74" s="55" t="s">
        <v>54</v>
      </c>
      <c r="I74" s="56" t="str">
        <f>'Necesidades Trimestrales'!F72</f>
        <v>unidad</v>
      </c>
      <c r="J74" s="54">
        <f>'Necesidades Trimestrales'!H72</f>
        <v>125</v>
      </c>
      <c r="K74" s="53">
        <f>'Necesidades Trimestrales'!G72</f>
        <v>30</v>
      </c>
    </row>
    <row r="75" spans="1:15" ht="27.75" customHeight="1" x14ac:dyDescent="0.2">
      <c r="A75" s="51">
        <v>64</v>
      </c>
      <c r="B75" s="57"/>
      <c r="C75" s="135" t="str">
        <f>'Necesidades Trimestrales'!E73</f>
        <v>DRENAJE DE SILICONA ESTERIL TIPO DRENAJE BLAKE</v>
      </c>
      <c r="D75" s="135"/>
      <c r="E75" s="135"/>
      <c r="F75" s="135"/>
      <c r="G75" s="135"/>
      <c r="H75" s="55" t="s">
        <v>54</v>
      </c>
      <c r="I75" s="56" t="str">
        <f>'Necesidades Trimestrales'!F73</f>
        <v>unidad</v>
      </c>
      <c r="J75" s="54">
        <f>'Necesidades Trimestrales'!H73</f>
        <v>320</v>
      </c>
      <c r="K75" s="53">
        <f>'Necesidades Trimestrales'!G73</f>
        <v>100</v>
      </c>
      <c r="O75" s="28" t="s">
        <v>55</v>
      </c>
    </row>
    <row r="76" spans="1:15" ht="27.75" customHeight="1" x14ac:dyDescent="0.2">
      <c r="A76" s="51">
        <v>65</v>
      </c>
      <c r="B76" s="57"/>
      <c r="C76" s="135" t="str">
        <f>'Necesidades Trimestrales'!E74</f>
        <v xml:space="preserve">Espuma deterg. - desinf. de dispositivos medicos.Pulverizador x 750 CC. </v>
      </c>
      <c r="D76" s="135"/>
      <c r="E76" s="135"/>
      <c r="F76" s="135"/>
      <c r="G76" s="135"/>
      <c r="H76" s="55" t="s">
        <v>54</v>
      </c>
      <c r="I76" s="56" t="str">
        <f>'Necesidades Trimestrales'!F74</f>
        <v>unidad</v>
      </c>
      <c r="J76" s="54">
        <f>'Necesidades Trimestrales'!H74</f>
        <v>2900</v>
      </c>
      <c r="K76" s="53">
        <f>'Necesidades Trimestrales'!G74</f>
        <v>30</v>
      </c>
    </row>
    <row r="77" spans="1:15" ht="27.75" customHeight="1" x14ac:dyDescent="0.2">
      <c r="A77" s="51">
        <v>66</v>
      </c>
      <c r="B77" s="57"/>
      <c r="C77" s="135" t="str">
        <f>'Necesidades Trimestrales'!E75</f>
        <v>ESTETOSCOPIO PEDIATRICO - DE CAMAPANA SIMPLE</v>
      </c>
      <c r="D77" s="135"/>
      <c r="E77" s="135"/>
      <c r="F77" s="135"/>
      <c r="G77" s="135"/>
      <c r="H77" s="55" t="s">
        <v>54</v>
      </c>
      <c r="I77" s="56" t="str">
        <f>'Necesidades Trimestrales'!F75</f>
        <v>unidad</v>
      </c>
      <c r="J77" s="54">
        <f>'Necesidades Trimestrales'!H75</f>
        <v>1300</v>
      </c>
      <c r="K77" s="53">
        <f>'Necesidades Trimestrales'!G75</f>
        <v>40</v>
      </c>
    </row>
    <row r="78" spans="1:15" ht="27.75" customHeight="1" x14ac:dyDescent="0.2">
      <c r="A78" s="51">
        <v>67</v>
      </c>
      <c r="B78" s="57"/>
      <c r="C78" s="135" t="str">
        <f>'Necesidades Trimestrales'!E76</f>
        <v>GASA HIDROFILA PIEZA X 1,8 KGS. TIPO HIDROSAN</v>
      </c>
      <c r="D78" s="135"/>
      <c r="E78" s="135"/>
      <c r="F78" s="135"/>
      <c r="G78" s="135"/>
      <c r="H78" s="55" t="s">
        <v>54</v>
      </c>
      <c r="I78" s="56" t="str">
        <f>'Necesidades Trimestrales'!F76</f>
        <v>unidad</v>
      </c>
      <c r="J78" s="54">
        <f>'Necesidades Trimestrales'!H76</f>
        <v>1500</v>
      </c>
      <c r="K78" s="53">
        <f>'Necesidades Trimestrales'!G76</f>
        <v>300</v>
      </c>
    </row>
    <row r="79" spans="1:15" ht="27.75" customHeight="1" x14ac:dyDescent="0.2">
      <c r="A79" s="51">
        <v>68</v>
      </c>
      <c r="B79" s="57"/>
      <c r="C79" s="135" t="str">
        <f>'Necesidades Trimestrales'!E77</f>
        <v>GASAS; TIPO: CORTADA, MEDIDA: 40 X 40 Cm, PRESENTACION: X KILO</v>
      </c>
      <c r="D79" s="135"/>
      <c r="E79" s="135"/>
      <c r="F79" s="135"/>
      <c r="G79" s="135"/>
      <c r="H79" s="55" t="s">
        <v>54</v>
      </c>
      <c r="I79" s="56" t="str">
        <f>'Necesidades Trimestrales'!F77</f>
        <v>unidad</v>
      </c>
      <c r="J79" s="54">
        <f>'Necesidades Trimestrales'!H77</f>
        <v>850</v>
      </c>
      <c r="K79" s="53">
        <f>'Necesidades Trimestrales'!G77</f>
        <v>500</v>
      </c>
    </row>
    <row r="80" spans="1:15" ht="27.75" customHeight="1" x14ac:dyDescent="0.2">
      <c r="A80" s="51">
        <v>69</v>
      </c>
      <c r="B80" s="57"/>
      <c r="C80" s="135" t="str">
        <f>'Necesidades Trimestrales'!E78</f>
        <v>GLUTARALDEHIDO 2% SIN SURFACTANTE BIDON X 4 LITROS</v>
      </c>
      <c r="D80" s="135"/>
      <c r="E80" s="135"/>
      <c r="F80" s="135"/>
      <c r="G80" s="135"/>
      <c r="H80" s="55" t="s">
        <v>54</v>
      </c>
      <c r="I80" s="56" t="str">
        <f>'Necesidades Trimestrales'!F78</f>
        <v>unidad</v>
      </c>
      <c r="J80" s="54">
        <f>'Necesidades Trimestrales'!H78</f>
        <v>1100</v>
      </c>
      <c r="K80" s="53">
        <f>'Necesidades Trimestrales'!G78</f>
        <v>10</v>
      </c>
    </row>
    <row r="81" spans="1:11" ht="27.75" customHeight="1" x14ac:dyDescent="0.2">
      <c r="A81" s="51">
        <v>70</v>
      </c>
      <c r="B81" s="57"/>
      <c r="C81" s="135" t="str">
        <f>'Necesidades Trimestrales'!E79</f>
        <v>GUIA ALIMENTACION BIOM-14E X 1</v>
      </c>
      <c r="D81" s="135"/>
      <c r="E81" s="135"/>
      <c r="F81" s="135"/>
      <c r="G81" s="135"/>
      <c r="H81" s="55" t="s">
        <v>54</v>
      </c>
      <c r="I81" s="56" t="str">
        <f>'Necesidades Trimestrales'!F79</f>
        <v>unidad</v>
      </c>
      <c r="J81" s="54">
        <f>'Necesidades Trimestrales'!H79</f>
        <v>250</v>
      </c>
      <c r="K81" s="53">
        <f>'Necesidades Trimestrales'!G79</f>
        <v>30</v>
      </c>
    </row>
    <row r="82" spans="1:11" ht="27.75" customHeight="1" x14ac:dyDescent="0.2">
      <c r="A82" s="51">
        <v>71</v>
      </c>
      <c r="B82" s="57"/>
      <c r="C82" s="135" t="str">
        <f>'Necesidades Trimestrales'!E80</f>
        <v>HILO DE SUTURA MONOFILAMENTO 2-0 164 T CON AGUJA</v>
      </c>
      <c r="D82" s="135"/>
      <c r="E82" s="135"/>
      <c r="F82" s="135"/>
      <c r="G82" s="135"/>
      <c r="H82" s="55" t="s">
        <v>54</v>
      </c>
      <c r="I82" s="56" t="str">
        <f>'Necesidades Trimestrales'!F80</f>
        <v>unidad</v>
      </c>
      <c r="J82" s="54">
        <f>'Necesidades Trimestrales'!H80</f>
        <v>180</v>
      </c>
      <c r="K82" s="53">
        <f>'Necesidades Trimestrales'!G80</f>
        <v>2000</v>
      </c>
    </row>
    <row r="83" spans="1:11" ht="27.75" customHeight="1" x14ac:dyDescent="0.2">
      <c r="A83" s="51">
        <v>72</v>
      </c>
      <c r="B83" s="57"/>
      <c r="C83" s="135" t="str">
        <f>'Necesidades Trimestrales'!E81</f>
        <v>HILO DE SUTURA MONOFILAMENTO 3-0 163 T CON AGUJA</v>
      </c>
      <c r="D83" s="135"/>
      <c r="E83" s="135"/>
      <c r="F83" s="135"/>
      <c r="G83" s="135"/>
      <c r="H83" s="55" t="s">
        <v>54</v>
      </c>
      <c r="I83" s="56" t="str">
        <f>'Necesidades Trimestrales'!F81</f>
        <v>unidad</v>
      </c>
      <c r="J83" s="54">
        <f>'Necesidades Trimestrales'!H81</f>
        <v>180</v>
      </c>
      <c r="K83" s="53">
        <f>'Necesidades Trimestrales'!G81</f>
        <v>2000</v>
      </c>
    </row>
    <row r="84" spans="1:11" ht="27.75" customHeight="1" x14ac:dyDescent="0.2">
      <c r="A84" s="51">
        <v>73</v>
      </c>
      <c r="B84" s="57"/>
      <c r="C84" s="135" t="str">
        <f>'Necesidades Trimestrales'!E82</f>
        <v>HILO DE SUTURA MONOFILAMENTO 4-0 AGUJA PS-1 3/8 CIRC 24 MM</v>
      </c>
      <c r="D84" s="135"/>
      <c r="E84" s="135"/>
      <c r="F84" s="135"/>
      <c r="G84" s="135"/>
      <c r="H84" s="55" t="s">
        <v>54</v>
      </c>
      <c r="I84" s="56" t="str">
        <f>'Necesidades Trimestrales'!F82</f>
        <v>unidad</v>
      </c>
      <c r="J84" s="54">
        <f>'Necesidades Trimestrales'!H82</f>
        <v>180</v>
      </c>
      <c r="K84" s="53">
        <f>'Necesidades Trimestrales'!G82</f>
        <v>240</v>
      </c>
    </row>
    <row r="85" spans="1:11" ht="27.75" customHeight="1" x14ac:dyDescent="0.2">
      <c r="A85" s="51">
        <v>74</v>
      </c>
      <c r="B85" s="57"/>
      <c r="C85" s="135" t="str">
        <f>'Necesidades Trimestrales'!E83</f>
        <v>HILO DE SUTURA TIPO SEDA 2-0 COD K833 H</v>
      </c>
      <c r="D85" s="135"/>
      <c r="E85" s="135"/>
      <c r="F85" s="135"/>
      <c r="G85" s="135"/>
      <c r="H85" s="55" t="s">
        <v>54</v>
      </c>
      <c r="I85" s="56" t="str">
        <f>'Necesidades Trimestrales'!F83</f>
        <v>unidad</v>
      </c>
      <c r="J85" s="54">
        <f>'Necesidades Trimestrales'!H83</f>
        <v>156</v>
      </c>
      <c r="K85" s="53">
        <f>'Necesidades Trimestrales'!G83</f>
        <v>60</v>
      </c>
    </row>
    <row r="86" spans="1:11" ht="27.75" customHeight="1" x14ac:dyDescent="0.2">
      <c r="A86" s="51">
        <v>75</v>
      </c>
      <c r="B86" s="57"/>
      <c r="C86" s="135" t="str">
        <f>'Necesidades Trimestrales'!E84</f>
        <v>JERINGA DE BONEAU</v>
      </c>
      <c r="D86" s="135"/>
      <c r="E86" s="135"/>
      <c r="F86" s="135"/>
      <c r="G86" s="135"/>
      <c r="H86" s="55" t="s">
        <v>54</v>
      </c>
      <c r="I86" s="56" t="str">
        <f>'Necesidades Trimestrales'!F84</f>
        <v>unidad</v>
      </c>
      <c r="J86" s="54">
        <f>'Necesidades Trimestrales'!H84</f>
        <v>252</v>
      </c>
      <c r="K86" s="53">
        <f>'Necesidades Trimestrales'!G84</f>
        <v>50</v>
      </c>
    </row>
    <row r="87" spans="1:11" ht="27.75" customHeight="1" x14ac:dyDescent="0.2">
      <c r="A87" s="51">
        <v>76</v>
      </c>
      <c r="B87" s="57"/>
      <c r="C87" s="135" t="str">
        <f>'Necesidades Trimestrales'!E85</f>
        <v>JERINGA DESCARTABLE PARA INSULINA 100UI CON AGUJA</v>
      </c>
      <c r="D87" s="135"/>
      <c r="E87" s="135"/>
      <c r="F87" s="135"/>
      <c r="G87" s="135"/>
      <c r="H87" s="55" t="s">
        <v>54</v>
      </c>
      <c r="I87" s="56" t="str">
        <f>'Necesidades Trimestrales'!F85</f>
        <v>unidad</v>
      </c>
      <c r="J87" s="54">
        <f>'Necesidades Trimestrales'!H85</f>
        <v>3.15</v>
      </c>
      <c r="K87" s="53">
        <f>'Necesidades Trimestrales'!G85</f>
        <v>300</v>
      </c>
    </row>
    <row r="88" spans="1:11" ht="27.75" customHeight="1" x14ac:dyDescent="0.2">
      <c r="A88" s="51">
        <v>77</v>
      </c>
      <c r="B88" s="57"/>
      <c r="C88" s="135" t="str">
        <f>'Necesidades Trimestrales'!E86</f>
        <v>JUEGO DE TRANSDUCTOR SENCILLO T/DTX PLUS DT4812-BD</v>
      </c>
      <c r="D88" s="135"/>
      <c r="E88" s="135"/>
      <c r="F88" s="135"/>
      <c r="G88" s="135"/>
      <c r="H88" s="55" t="s">
        <v>54</v>
      </c>
      <c r="I88" s="56" t="str">
        <f>'Necesidades Trimestrales'!F86</f>
        <v>unidad</v>
      </c>
      <c r="J88" s="54">
        <f>'Necesidades Trimestrales'!H86</f>
        <v>3100</v>
      </c>
      <c r="K88" s="53">
        <f>'Necesidades Trimestrales'!G86</f>
        <v>30</v>
      </c>
    </row>
    <row r="89" spans="1:11" ht="27.75" customHeight="1" x14ac:dyDescent="0.2">
      <c r="A89" s="51">
        <v>78</v>
      </c>
      <c r="B89" s="57"/>
      <c r="C89" s="135" t="str">
        <f>'Necesidades Trimestrales'!E87</f>
        <v>KIT RESUCITADOR MANUAL NEONATAL - TIPO "FISHER PAYKEL" SIN MASCARA</v>
      </c>
      <c r="D89" s="135"/>
      <c r="E89" s="135"/>
      <c r="F89" s="135"/>
      <c r="G89" s="135"/>
      <c r="H89" s="55" t="s">
        <v>54</v>
      </c>
      <c r="I89" s="56" t="str">
        <f>'Necesidades Trimestrales'!F87</f>
        <v>unidad</v>
      </c>
      <c r="J89" s="54">
        <f>'Necesidades Trimestrales'!H87</f>
        <v>2600</v>
      </c>
      <c r="K89" s="53">
        <f>'Necesidades Trimestrales'!G87</f>
        <v>4</v>
      </c>
    </row>
    <row r="90" spans="1:11" ht="27.75" customHeight="1" x14ac:dyDescent="0.2">
      <c r="A90" s="51">
        <v>79</v>
      </c>
      <c r="B90" s="57"/>
      <c r="C90" s="135" t="str">
        <f>'Necesidades Trimestrales'!E88</f>
        <v>LUPAS; POTENCIA: 75 Diop, DIAMETRO: 65 mm, MATERIAL LENTE: VIDRIO, ACCESORIO: C/LUZ, ARMAZON: PLASTICO, ESTRUCTURA: PLASTICO</v>
      </c>
      <c r="D90" s="135"/>
      <c r="E90" s="135"/>
      <c r="F90" s="135"/>
      <c r="G90" s="135"/>
      <c r="H90" s="55" t="s">
        <v>54</v>
      </c>
      <c r="I90" s="56" t="str">
        <f>'Necesidades Trimestrales'!F88</f>
        <v>unidad</v>
      </c>
      <c r="J90" s="54">
        <f>'Necesidades Trimestrales'!H88</f>
        <v>900</v>
      </c>
      <c r="K90" s="53">
        <f>'Necesidades Trimestrales'!G88</f>
        <v>1</v>
      </c>
    </row>
    <row r="91" spans="1:11" ht="27.75" customHeight="1" x14ac:dyDescent="0.2">
      <c r="A91" s="51">
        <v>80</v>
      </c>
      <c r="B91" s="57"/>
      <c r="C91" s="135" t="str">
        <f>'Necesidades Trimestrales'!E89</f>
        <v>MALLA TUBULAR ALGODÓN 20 CM X 25 MTS</v>
      </c>
      <c r="D91" s="135"/>
      <c r="E91" s="135"/>
      <c r="F91" s="135"/>
      <c r="G91" s="135"/>
      <c r="H91" s="55" t="s">
        <v>54</v>
      </c>
      <c r="I91" s="56" t="str">
        <f>'Necesidades Trimestrales'!F89</f>
        <v>unidad</v>
      </c>
      <c r="J91" s="54">
        <f>'Necesidades Trimestrales'!H89</f>
        <v>1250</v>
      </c>
      <c r="K91" s="53">
        <f>'Necesidades Trimestrales'!G89</f>
        <v>10</v>
      </c>
    </row>
    <row r="92" spans="1:11" ht="27.75" customHeight="1" x14ac:dyDescent="0.2">
      <c r="A92" s="51">
        <v>81</v>
      </c>
      <c r="B92" s="57"/>
      <c r="C92" s="135" t="str">
        <f>'Necesidades Trimestrales'!E90</f>
        <v>MANGO P/CANULA ASP.E IRRIGACION C/CONTROL MANUAL D</v>
      </c>
      <c r="D92" s="135"/>
      <c r="E92" s="135"/>
      <c r="F92" s="135"/>
      <c r="G92" s="135"/>
      <c r="H92" s="55" t="s">
        <v>63</v>
      </c>
      <c r="I92" s="56" t="str">
        <f>'Necesidades Trimestrales'!F90</f>
        <v>unidad</v>
      </c>
      <c r="J92" s="54">
        <f>'Necesidades Trimestrales'!H90</f>
        <v>390</v>
      </c>
      <c r="K92" s="53">
        <f>'Necesidades Trimestrales'!G90</f>
        <v>50</v>
      </c>
    </row>
    <row r="93" spans="1:11" ht="27.75" customHeight="1" x14ac:dyDescent="0.2">
      <c r="A93" s="51">
        <v>82</v>
      </c>
      <c r="B93" s="57"/>
      <c r="C93" s="135" t="str">
        <f>'Necesidades Trimestrales'!E91</f>
        <v>MANGO P/TENSIOMETRO PED.X 1</v>
      </c>
      <c r="D93" s="135"/>
      <c r="E93" s="135"/>
      <c r="F93" s="135"/>
      <c r="G93" s="135"/>
      <c r="H93" s="55" t="s">
        <v>54</v>
      </c>
      <c r="I93" s="56" t="str">
        <f>'Necesidades Trimestrales'!F91</f>
        <v>unidad</v>
      </c>
      <c r="J93" s="54">
        <f>'Necesidades Trimestrales'!H91</f>
        <v>700</v>
      </c>
      <c r="K93" s="53">
        <f>'Necesidades Trimestrales'!G91</f>
        <v>50</v>
      </c>
    </row>
    <row r="94" spans="1:11" ht="27.75" customHeight="1" x14ac:dyDescent="0.2">
      <c r="A94" s="51">
        <v>83</v>
      </c>
      <c r="B94" s="57"/>
      <c r="C94" s="135" t="str">
        <f>'Necesidades Trimestrales'!E92</f>
        <v>MANGUITOS NEONATALES 1 TUBO TIPO &lt;ETHOX&gt; tamaño 1 - MODELO 5101</v>
      </c>
      <c r="D94" s="135"/>
      <c r="E94" s="135"/>
      <c r="F94" s="135"/>
      <c r="G94" s="135"/>
      <c r="H94" s="55" t="s">
        <v>54</v>
      </c>
      <c r="I94" s="56" t="str">
        <f>'Necesidades Trimestrales'!F92</f>
        <v>unidad</v>
      </c>
      <c r="J94" s="54">
        <f>'Necesidades Trimestrales'!H92</f>
        <v>1643</v>
      </c>
      <c r="K94" s="53">
        <f>'Necesidades Trimestrales'!G92</f>
        <v>10</v>
      </c>
    </row>
    <row r="95" spans="1:11" ht="27.75" customHeight="1" x14ac:dyDescent="0.2">
      <c r="A95" s="51">
        <v>84</v>
      </c>
      <c r="B95" s="57"/>
      <c r="C95" s="135" t="str">
        <f>'Necesidades Trimestrales'!E93</f>
        <v>MANGUITOS NEONATALES 1 TUBO TIPO &lt;ETHOX&gt; tamaño 2 - MODELO 5102</v>
      </c>
      <c r="D95" s="135"/>
      <c r="E95" s="135"/>
      <c r="F95" s="135"/>
      <c r="G95" s="135"/>
      <c r="H95" s="55" t="s">
        <v>54</v>
      </c>
      <c r="I95" s="56" t="str">
        <f>'Necesidades Trimestrales'!F93</f>
        <v>unidad</v>
      </c>
      <c r="J95" s="54">
        <f>'Necesidades Trimestrales'!H93</f>
        <v>1643</v>
      </c>
      <c r="K95" s="53">
        <f>'Necesidades Trimestrales'!G93</f>
        <v>10</v>
      </c>
    </row>
    <row r="96" spans="1:11" ht="27.75" customHeight="1" x14ac:dyDescent="0.2">
      <c r="A96" s="51">
        <v>85</v>
      </c>
      <c r="B96" s="57"/>
      <c r="C96" s="135" t="str">
        <f>'Necesidades Trimestrales'!E94</f>
        <v>MANGUITOS NEONATALES 1 TUBO TIPO &lt;ETHOX&gt; tamaño 3 - MODELO 5103</v>
      </c>
      <c r="D96" s="135"/>
      <c r="E96" s="135"/>
      <c r="F96" s="135"/>
      <c r="G96" s="135"/>
      <c r="H96" s="55" t="s">
        <v>63</v>
      </c>
      <c r="I96" s="56" t="str">
        <f>'Necesidades Trimestrales'!F94</f>
        <v>unidad</v>
      </c>
      <c r="J96" s="54">
        <f>'Necesidades Trimestrales'!H94</f>
        <v>1643</v>
      </c>
      <c r="K96" s="53">
        <f>'Necesidades Trimestrales'!G94</f>
        <v>10</v>
      </c>
    </row>
    <row r="97" spans="1:11" ht="27.75" customHeight="1" x14ac:dyDescent="0.2">
      <c r="A97" s="51">
        <v>86</v>
      </c>
      <c r="B97" s="57"/>
      <c r="C97" s="135" t="str">
        <f>'Necesidades Trimestrales'!E95</f>
        <v>MANOPLAS DE POLIETILENO X 100</v>
      </c>
      <c r="D97" s="135"/>
      <c r="E97" s="135"/>
      <c r="F97" s="135"/>
      <c r="G97" s="135"/>
      <c r="H97" s="55" t="s">
        <v>54</v>
      </c>
      <c r="I97" s="56" t="str">
        <f>'Necesidades Trimestrales'!F95</f>
        <v>unidad</v>
      </c>
      <c r="J97" s="54">
        <f>'Necesidades Trimestrales'!H95</f>
        <v>79.900000000000006</v>
      </c>
      <c r="K97" s="53">
        <f>'Necesidades Trimestrales'!G95</f>
        <v>1000</v>
      </c>
    </row>
    <row r="98" spans="1:11" ht="27.75" customHeight="1" x14ac:dyDescent="0.2">
      <c r="A98" s="51">
        <v>87</v>
      </c>
      <c r="B98" s="57"/>
      <c r="C98" s="135" t="str">
        <f>'Necesidades Trimestrales'!E96</f>
        <v>MASCARA AMBU BORDE INFLABLE Nª1 (INFANTIL)</v>
      </c>
      <c r="D98" s="135"/>
      <c r="E98" s="135"/>
      <c r="F98" s="135"/>
      <c r="G98" s="135"/>
      <c r="H98" s="55" t="s">
        <v>54</v>
      </c>
      <c r="I98" s="56" t="str">
        <f>'Necesidades Trimestrales'!F96</f>
        <v>unidad</v>
      </c>
      <c r="J98" s="54">
        <f>'Necesidades Trimestrales'!H96</f>
        <v>408</v>
      </c>
      <c r="K98" s="53">
        <f>'Necesidades Trimestrales'!G96</f>
        <v>200</v>
      </c>
    </row>
    <row r="99" spans="1:11" ht="27.75" customHeight="1" x14ac:dyDescent="0.2">
      <c r="A99" s="51">
        <v>88</v>
      </c>
      <c r="B99" s="57"/>
      <c r="C99" s="135" t="str">
        <f>'Necesidades Trimestrales'!E97</f>
        <v>MASCARA AMBU BORDE INFLABLE Nª2 (INFANTIL)</v>
      </c>
      <c r="D99" s="135"/>
      <c r="E99" s="135"/>
      <c r="F99" s="135"/>
      <c r="G99" s="135"/>
      <c r="H99" s="55" t="s">
        <v>54</v>
      </c>
      <c r="I99" s="56" t="str">
        <f>'Necesidades Trimestrales'!F97</f>
        <v>unidad</v>
      </c>
      <c r="J99" s="54">
        <f>'Necesidades Trimestrales'!H97</f>
        <v>408</v>
      </c>
      <c r="K99" s="53">
        <f>'Necesidades Trimestrales'!G97</f>
        <v>200</v>
      </c>
    </row>
    <row r="100" spans="1:11" ht="27.75" customHeight="1" x14ac:dyDescent="0.2">
      <c r="A100" s="51">
        <v>89</v>
      </c>
      <c r="B100" s="57"/>
      <c r="C100" s="135" t="str">
        <f>'Necesidades Trimestrales'!E98</f>
        <v>MASCARA AMBU BORDE INFLABLE Nª3 (INFANTIL)</v>
      </c>
      <c r="D100" s="135"/>
      <c r="E100" s="135"/>
      <c r="F100" s="135"/>
      <c r="G100" s="135"/>
      <c r="H100" s="55" t="s">
        <v>54</v>
      </c>
      <c r="I100" s="56" t="str">
        <f>'Necesidades Trimestrales'!F98</f>
        <v>unidad</v>
      </c>
      <c r="J100" s="54">
        <f>'Necesidades Trimestrales'!H98</f>
        <v>408</v>
      </c>
      <c r="K100" s="53">
        <f>'Necesidades Trimestrales'!G98</f>
        <v>200</v>
      </c>
    </row>
    <row r="101" spans="1:11" ht="27.75" customHeight="1" x14ac:dyDescent="0.2">
      <c r="A101" s="51">
        <v>90</v>
      </c>
      <c r="B101" s="57"/>
      <c r="C101" s="135" t="str">
        <f>'Necesidades Trimestrales'!E99</f>
        <v>MASCARA AMBU BORDE INFLABLE Nª4 (INFANTIL)</v>
      </c>
      <c r="D101" s="135"/>
      <c r="E101" s="135"/>
      <c r="F101" s="135"/>
      <c r="G101" s="135"/>
      <c r="H101" s="55" t="s">
        <v>54</v>
      </c>
      <c r="I101" s="56" t="str">
        <f>'Necesidades Trimestrales'!F99</f>
        <v>unidad</v>
      </c>
      <c r="J101" s="54">
        <f>'Necesidades Trimestrales'!H99</f>
        <v>408</v>
      </c>
      <c r="K101" s="53">
        <f>'Necesidades Trimestrales'!G99</f>
        <v>200</v>
      </c>
    </row>
    <row r="102" spans="1:11" ht="27.75" customHeight="1" x14ac:dyDescent="0.2">
      <c r="A102" s="51">
        <v>91</v>
      </c>
      <c r="B102" s="57"/>
      <c r="C102" s="135" t="str">
        <f>'Necesidades Trimestrales'!E100</f>
        <v>MASCARA FACIAL CON BORDE INFLABLE P/RESUCITADOR MANUAL ADULTO</v>
      </c>
      <c r="D102" s="135"/>
      <c r="E102" s="135"/>
      <c r="F102" s="135"/>
      <c r="G102" s="135"/>
      <c r="H102" s="55" t="s">
        <v>54</v>
      </c>
      <c r="I102" s="56" t="str">
        <f>'Necesidades Trimestrales'!F100</f>
        <v>unidad</v>
      </c>
      <c r="J102" s="54">
        <f>'Necesidades Trimestrales'!H100</f>
        <v>408</v>
      </c>
      <c r="K102" s="53">
        <f>'Necesidades Trimestrales'!G100</f>
        <v>100</v>
      </c>
    </row>
    <row r="103" spans="1:11" ht="27.75" customHeight="1" x14ac:dyDescent="0.2">
      <c r="A103" s="51">
        <v>92</v>
      </c>
      <c r="B103" s="57"/>
      <c r="C103" s="135" t="str">
        <f>'Necesidades Trimestrales'!E101</f>
        <v>MASCARA FACIAL CON BORDE INFLABLE P/RESUCITADOR MANUAL PEDIATRICA</v>
      </c>
      <c r="D103" s="135"/>
      <c r="E103" s="135"/>
      <c r="F103" s="135"/>
      <c r="G103" s="135"/>
      <c r="H103" s="55" t="s">
        <v>54</v>
      </c>
      <c r="I103" s="56" t="str">
        <f>'Necesidades Trimestrales'!F101</f>
        <v>unidad</v>
      </c>
      <c r="J103" s="54">
        <f>'Necesidades Trimestrales'!H101</f>
        <v>408</v>
      </c>
      <c r="K103" s="53">
        <f>'Necesidades Trimestrales'!G101</f>
        <v>100</v>
      </c>
    </row>
    <row r="104" spans="1:11" ht="27.75" customHeight="1" x14ac:dyDescent="0.2">
      <c r="A104" s="51">
        <v>93</v>
      </c>
      <c r="B104" s="57"/>
      <c r="C104" s="135" t="str">
        <f>'Necesidades Trimestrales'!E102</f>
        <v xml:space="preserve">Mascara facial para ventilación N° 1, adulto </v>
      </c>
      <c r="D104" s="135"/>
      <c r="E104" s="135"/>
      <c r="F104" s="135"/>
      <c r="G104" s="135"/>
      <c r="H104" s="55" t="s">
        <v>54</v>
      </c>
      <c r="I104" s="56" t="str">
        <f>'Necesidades Trimestrales'!F102</f>
        <v>unidad</v>
      </c>
      <c r="J104" s="54">
        <f>'Necesidades Trimestrales'!H102</f>
        <v>390</v>
      </c>
      <c r="K104" s="53">
        <f>'Necesidades Trimestrales'!G102</f>
        <v>100</v>
      </c>
    </row>
    <row r="105" spans="1:11" ht="27.75" customHeight="1" x14ac:dyDescent="0.2">
      <c r="A105" s="51">
        <v>94</v>
      </c>
      <c r="B105" s="57"/>
      <c r="C105" s="135" t="str">
        <f>'Necesidades Trimestrales'!E103</f>
        <v xml:space="preserve">Mascara facial para ventilación N° 2, adulto </v>
      </c>
      <c r="D105" s="135"/>
      <c r="E105" s="135"/>
      <c r="F105" s="135"/>
      <c r="G105" s="135"/>
      <c r="H105" s="55" t="s">
        <v>54</v>
      </c>
      <c r="I105" s="56" t="str">
        <f>'Necesidades Trimestrales'!F103</f>
        <v>unidad</v>
      </c>
      <c r="J105" s="54">
        <f>'Necesidades Trimestrales'!H103</f>
        <v>390</v>
      </c>
      <c r="K105" s="53">
        <f>'Necesidades Trimestrales'!G103</f>
        <v>100</v>
      </c>
    </row>
    <row r="106" spans="1:11" ht="27.75" customHeight="1" x14ac:dyDescent="0.2">
      <c r="A106" s="51">
        <v>95</v>
      </c>
      <c r="B106" s="57"/>
      <c r="C106" s="135" t="str">
        <f>'Necesidades Trimestrales'!E104</f>
        <v>Mascara facial para ventilación N° 3, adulto</v>
      </c>
      <c r="D106" s="135"/>
      <c r="E106" s="135"/>
      <c r="F106" s="135"/>
      <c r="G106" s="135"/>
      <c r="H106" s="55" t="s">
        <v>54</v>
      </c>
      <c r="I106" s="56" t="str">
        <f>'Necesidades Trimestrales'!F104</f>
        <v>unidad</v>
      </c>
      <c r="J106" s="54">
        <f>'Necesidades Trimestrales'!H104</f>
        <v>390</v>
      </c>
      <c r="K106" s="53">
        <f>'Necesidades Trimestrales'!G104</f>
        <v>100</v>
      </c>
    </row>
    <row r="107" spans="1:11" ht="27.75" customHeight="1" x14ac:dyDescent="0.2">
      <c r="A107" s="51">
        <v>96</v>
      </c>
      <c r="B107" s="57"/>
      <c r="C107" s="135" t="str">
        <f>'Necesidades Trimestrales'!E105</f>
        <v xml:space="preserve">Mascara facial para ventilación N° 4, adulto </v>
      </c>
      <c r="D107" s="135"/>
      <c r="E107" s="135"/>
      <c r="F107" s="135"/>
      <c r="G107" s="135"/>
      <c r="H107" s="55" t="s">
        <v>54</v>
      </c>
      <c r="I107" s="56" t="str">
        <f>'Necesidades Trimestrales'!F105</f>
        <v>unidad</v>
      </c>
      <c r="J107" s="54">
        <f>'Necesidades Trimestrales'!H105</f>
        <v>390</v>
      </c>
      <c r="K107" s="53">
        <f>'Necesidades Trimestrales'!G105</f>
        <v>100</v>
      </c>
    </row>
    <row r="108" spans="1:11" ht="27.75" customHeight="1" x14ac:dyDescent="0.2">
      <c r="A108" s="51">
        <v>97</v>
      </c>
      <c r="B108" s="57"/>
      <c r="C108" s="135" t="str">
        <f>'Necesidades Trimestrales'!E106</f>
        <v>MASCARA LARINGEA N°2</v>
      </c>
      <c r="D108" s="135"/>
      <c r="E108" s="135"/>
      <c r="F108" s="135"/>
      <c r="G108" s="135"/>
      <c r="H108" s="55" t="s">
        <v>54</v>
      </c>
      <c r="I108" s="56" t="str">
        <f>'Necesidades Trimestrales'!F106</f>
        <v>unidad</v>
      </c>
      <c r="J108" s="54">
        <f>'Necesidades Trimestrales'!H106</f>
        <v>860</v>
      </c>
      <c r="K108" s="53">
        <f>'Necesidades Trimestrales'!G106</f>
        <v>50</v>
      </c>
    </row>
    <row r="109" spans="1:11" ht="27.75" customHeight="1" x14ac:dyDescent="0.2">
      <c r="A109" s="51">
        <v>98</v>
      </c>
      <c r="B109" s="57"/>
      <c r="C109" s="135" t="str">
        <f>'Necesidades Trimestrales'!E107</f>
        <v>MASCARA LARINGEA N°3</v>
      </c>
      <c r="D109" s="135"/>
      <c r="E109" s="135"/>
      <c r="F109" s="135"/>
      <c r="G109" s="135"/>
      <c r="H109" s="55" t="s">
        <v>54</v>
      </c>
      <c r="I109" s="56" t="str">
        <f>'Necesidades Trimestrales'!F107</f>
        <v>unidad</v>
      </c>
      <c r="J109" s="54">
        <f>'Necesidades Trimestrales'!H107</f>
        <v>860</v>
      </c>
      <c r="K109" s="53">
        <f>'Necesidades Trimestrales'!G107</f>
        <v>50</v>
      </c>
    </row>
    <row r="110" spans="1:11" ht="27.75" customHeight="1" x14ac:dyDescent="0.2">
      <c r="A110" s="51">
        <v>99</v>
      </c>
      <c r="B110" s="57"/>
      <c r="C110" s="135" t="str">
        <f>'Necesidades Trimestrales'!E108</f>
        <v xml:space="preserve">MASCARA LARINGEA N°4 </v>
      </c>
      <c r="D110" s="135"/>
      <c r="E110" s="135"/>
      <c r="F110" s="135"/>
      <c r="G110" s="135"/>
      <c r="H110" s="55" t="s">
        <v>54</v>
      </c>
      <c r="I110" s="56" t="str">
        <f>'Necesidades Trimestrales'!F108</f>
        <v>unidad</v>
      </c>
      <c r="J110" s="54">
        <f>'Necesidades Trimestrales'!H108</f>
        <v>860</v>
      </c>
      <c r="K110" s="53">
        <f>'Necesidades Trimestrales'!G108</f>
        <v>50</v>
      </c>
    </row>
    <row r="111" spans="1:11" ht="27.75" customHeight="1" x14ac:dyDescent="0.2">
      <c r="A111" s="51">
        <v>100</v>
      </c>
      <c r="B111" s="57"/>
      <c r="C111" s="135" t="str">
        <f>'Necesidades Trimestrales'!E109</f>
        <v>MASCARA P/AERO-KAM SILFAB BEBES COD.PA04</v>
      </c>
      <c r="D111" s="135"/>
      <c r="E111" s="135"/>
      <c r="F111" s="135"/>
      <c r="G111" s="135"/>
      <c r="H111" s="55" t="s">
        <v>54</v>
      </c>
      <c r="I111" s="56" t="str">
        <f>'Necesidades Trimestrales'!F109</f>
        <v>unidad</v>
      </c>
      <c r="J111" s="54">
        <f>'Necesidades Trimestrales'!H109</f>
        <v>40</v>
      </c>
      <c r="K111" s="53">
        <f>'Necesidades Trimestrales'!G109</f>
        <v>1000</v>
      </c>
    </row>
    <row r="112" spans="1:11" ht="27.75" customHeight="1" x14ac:dyDescent="0.2">
      <c r="A112" s="51">
        <v>101</v>
      </c>
      <c r="B112" s="57"/>
      <c r="C112" s="135" t="str">
        <f>'Necesidades Trimestrales'!E110</f>
        <v>MASCARA P/AERO-KAM SILFAB NIÑOS COD.PA02</v>
      </c>
      <c r="D112" s="135"/>
      <c r="E112" s="135"/>
      <c r="F112" s="135"/>
      <c r="G112" s="135"/>
      <c r="H112" s="55" t="s">
        <v>54</v>
      </c>
      <c r="I112" s="56" t="str">
        <f>'Necesidades Trimestrales'!F110</f>
        <v>unidad</v>
      </c>
      <c r="J112" s="54">
        <f>'Necesidades Trimestrales'!H110</f>
        <v>40</v>
      </c>
      <c r="K112" s="53">
        <f>'Necesidades Trimestrales'!G110</f>
        <v>1000</v>
      </c>
    </row>
    <row r="113" spans="1:11" ht="27.75" customHeight="1" x14ac:dyDescent="0.2">
      <c r="A113" s="51">
        <v>102</v>
      </c>
      <c r="B113" s="57"/>
      <c r="C113" s="135" t="str">
        <f>'Necesidades Trimestrales'!E111</f>
        <v>MASCARA P/ALTA CONCENTRACION DE O2 C/RECER.PED.</v>
      </c>
      <c r="D113" s="135"/>
      <c r="E113" s="135"/>
      <c r="F113" s="135"/>
      <c r="G113" s="135"/>
      <c r="H113" s="55" t="s">
        <v>54</v>
      </c>
      <c r="I113" s="56" t="str">
        <f>'Necesidades Trimestrales'!F111</f>
        <v>unidad</v>
      </c>
      <c r="J113" s="54">
        <f>'Necesidades Trimestrales'!H111</f>
        <v>235</v>
      </c>
      <c r="K113" s="53">
        <f>'Necesidades Trimestrales'!G111</f>
        <v>3000</v>
      </c>
    </row>
    <row r="114" spans="1:11" ht="27.75" customHeight="1" x14ac:dyDescent="0.2">
      <c r="A114" s="51">
        <v>103</v>
      </c>
      <c r="B114" s="57"/>
      <c r="C114" s="135" t="str">
        <f>'Necesidades Trimestrales'!E112</f>
        <v>Mascaras ANESTESICA BORDE INFLABLE Nº 0 TIPO  "MERCURY"</v>
      </c>
      <c r="D114" s="135"/>
      <c r="E114" s="135"/>
      <c r="F114" s="135"/>
      <c r="G114" s="135"/>
      <c r="H114" s="55" t="s">
        <v>54</v>
      </c>
      <c r="I114" s="56" t="str">
        <f>'Necesidades Trimestrales'!F112</f>
        <v>unidad</v>
      </c>
      <c r="J114" s="54">
        <f>'Necesidades Trimestrales'!H112</f>
        <v>2250</v>
      </c>
      <c r="K114" s="53">
        <f>'Necesidades Trimestrales'!G112</f>
        <v>50</v>
      </c>
    </row>
    <row r="115" spans="1:11" ht="27.75" customHeight="1" x14ac:dyDescent="0.2">
      <c r="A115" s="51">
        <v>104</v>
      </c>
      <c r="B115" s="57"/>
      <c r="C115" s="135" t="str">
        <f>'Necesidades Trimestrales'!E113</f>
        <v>Mascaras ANESTESICA BORDE INFLABLE Nº 1 TIPO  "MERCURY"</v>
      </c>
      <c r="D115" s="135"/>
      <c r="E115" s="135"/>
      <c r="F115" s="135"/>
      <c r="G115" s="135"/>
      <c r="H115" s="55" t="s">
        <v>54</v>
      </c>
      <c r="I115" s="56" t="str">
        <f>'Necesidades Trimestrales'!F113</f>
        <v>unidad</v>
      </c>
      <c r="J115" s="54">
        <f>'Necesidades Trimestrales'!H113</f>
        <v>2250</v>
      </c>
      <c r="K115" s="53">
        <f>'Necesidades Trimestrales'!G113</f>
        <v>50</v>
      </c>
    </row>
    <row r="116" spans="1:11" ht="27.75" customHeight="1" x14ac:dyDescent="0.2">
      <c r="A116" s="51">
        <v>105</v>
      </c>
      <c r="B116" s="57"/>
      <c r="C116" s="135" t="str">
        <f>'Necesidades Trimestrales'!E114</f>
        <v>PAPEL GRADO MEDICO 120 CM X 100 MTS</v>
      </c>
      <c r="D116" s="135"/>
      <c r="E116" s="135"/>
      <c r="F116" s="135"/>
      <c r="G116" s="135"/>
      <c r="H116" s="55" t="s">
        <v>54</v>
      </c>
      <c r="I116" s="56" t="str">
        <f>'Necesidades Trimestrales'!F114</f>
        <v>unidad</v>
      </c>
      <c r="J116" s="54">
        <f>'Necesidades Trimestrales'!H114</f>
        <v>4500</v>
      </c>
      <c r="K116" s="53">
        <f>'Necesidades Trimestrales'!G114</f>
        <v>30</v>
      </c>
    </row>
    <row r="117" spans="1:11" ht="27.75" customHeight="1" x14ac:dyDescent="0.2">
      <c r="A117" s="51">
        <v>106</v>
      </c>
      <c r="B117" s="57"/>
      <c r="C117" s="135" t="str">
        <f>'Necesidades Trimestrales'!E115</f>
        <v>PASTA CONDUCTORA PARA ELECTRODOS X 250 GRS</v>
      </c>
      <c r="D117" s="135"/>
      <c r="E117" s="135"/>
      <c r="F117" s="135"/>
      <c r="G117" s="135"/>
      <c r="H117" s="55" t="s">
        <v>54</v>
      </c>
      <c r="I117" s="56" t="str">
        <f>'Necesidades Trimestrales'!F115</f>
        <v>unidad</v>
      </c>
      <c r="J117" s="54">
        <f>'Necesidades Trimestrales'!H115</f>
        <v>4100</v>
      </c>
      <c r="K117" s="53">
        <f>'Necesidades Trimestrales'!G115</f>
        <v>5</v>
      </c>
    </row>
    <row r="118" spans="1:11" ht="27.75" customHeight="1" x14ac:dyDescent="0.2">
      <c r="A118" s="51">
        <v>107</v>
      </c>
      <c r="B118" s="57"/>
      <c r="C118" s="135" t="str">
        <f>'Necesidades Trimestrales'!E116</f>
        <v>PASTA CONDUCTORA PARA ELECTRODOS X 400 GRS</v>
      </c>
      <c r="D118" s="135"/>
      <c r="E118" s="135"/>
      <c r="F118" s="135"/>
      <c r="G118" s="135"/>
      <c r="H118" s="55" t="s">
        <v>54</v>
      </c>
      <c r="I118" s="56" t="str">
        <f>'Necesidades Trimestrales'!F116</f>
        <v>unidad</v>
      </c>
      <c r="J118" s="54">
        <f>'Necesidades Trimestrales'!H116</f>
        <v>6000</v>
      </c>
      <c r="K118" s="53">
        <f>'Necesidades Trimestrales'!G116</f>
        <v>5</v>
      </c>
    </row>
    <row r="119" spans="1:11" ht="27.75" customHeight="1" x14ac:dyDescent="0.2">
      <c r="A119" s="51">
        <v>108</v>
      </c>
      <c r="B119" s="57"/>
      <c r="C119" s="135" t="str">
        <f>'Necesidades Trimestrales'!E117</f>
        <v>Polietileno de 40 micrones 25cm. X  100 mts. Tipo MP</v>
      </c>
      <c r="D119" s="135"/>
      <c r="E119" s="135"/>
      <c r="F119" s="135"/>
      <c r="G119" s="135"/>
      <c r="H119" s="55" t="s">
        <v>54</v>
      </c>
      <c r="I119" s="56" t="str">
        <f>'Necesidades Trimestrales'!F117</f>
        <v>unidad</v>
      </c>
      <c r="J119" s="54">
        <f>'Necesidades Trimestrales'!H117</f>
        <v>3900</v>
      </c>
      <c r="K119" s="53">
        <f>'Necesidades Trimestrales'!G117</f>
        <v>5</v>
      </c>
    </row>
    <row r="120" spans="1:11" ht="27.75" customHeight="1" x14ac:dyDescent="0.2">
      <c r="A120" s="51">
        <v>109</v>
      </c>
      <c r="B120" s="57"/>
      <c r="C120" s="135" t="str">
        <f>'Necesidades Trimestrales'!E118</f>
        <v>RESUCITADOR MANUAL ADULTO REUTILIZABLE</v>
      </c>
      <c r="D120" s="135"/>
      <c r="E120" s="135"/>
      <c r="F120" s="135"/>
      <c r="G120" s="135"/>
      <c r="H120" s="55" t="s">
        <v>54</v>
      </c>
      <c r="I120" s="56" t="str">
        <f>'Necesidades Trimestrales'!F118</f>
        <v>unidad</v>
      </c>
      <c r="J120" s="54">
        <f>'Necesidades Trimestrales'!H118</f>
        <v>4500</v>
      </c>
      <c r="K120" s="53">
        <f>'Necesidades Trimestrales'!G118</f>
        <v>50</v>
      </c>
    </row>
    <row r="121" spans="1:11" ht="27.75" customHeight="1" x14ac:dyDescent="0.2">
      <c r="A121" s="51">
        <v>110</v>
      </c>
      <c r="B121" s="57"/>
      <c r="C121" s="135" t="str">
        <f>'Necesidades Trimestrales'!E119</f>
        <v>RESUCITADOR MANUAL NEONATAL - TIPO "MERCURY" CON MANOMETRO DE PRESION Y  VALVULA DE PIT</v>
      </c>
      <c r="D121" s="135"/>
      <c r="E121" s="135"/>
      <c r="F121" s="135"/>
      <c r="G121" s="135"/>
      <c r="H121" s="55" t="s">
        <v>54</v>
      </c>
      <c r="I121" s="56" t="str">
        <f>'Necesidades Trimestrales'!F119</f>
        <v>unidad</v>
      </c>
      <c r="J121" s="54">
        <f>'Necesidades Trimestrales'!H119</f>
        <v>4500</v>
      </c>
      <c r="K121" s="53">
        <f>'Necesidades Trimestrales'!G119</f>
        <v>5</v>
      </c>
    </row>
    <row r="122" spans="1:11" ht="27.75" customHeight="1" x14ac:dyDescent="0.2">
      <c r="A122" s="51">
        <v>111</v>
      </c>
      <c r="B122" s="57"/>
      <c r="C122" s="135" t="str">
        <f>'Necesidades Trimestrales'!E120</f>
        <v xml:space="preserve">RESUCITADOR MANUAL PEDIATRICO REUTILIZABLE </v>
      </c>
      <c r="D122" s="135"/>
      <c r="E122" s="135"/>
      <c r="F122" s="135"/>
      <c r="G122" s="135"/>
      <c r="H122" s="55" t="s">
        <v>54</v>
      </c>
      <c r="I122" s="56" t="str">
        <f>'Necesidades Trimestrales'!F120</f>
        <v>unidad</v>
      </c>
      <c r="J122" s="54">
        <f>'Necesidades Trimestrales'!H120</f>
        <v>4500</v>
      </c>
      <c r="K122" s="53">
        <f>'Necesidades Trimestrales'!G120</f>
        <v>5</v>
      </c>
    </row>
    <row r="123" spans="1:11" ht="27.75" customHeight="1" x14ac:dyDescent="0.2">
      <c r="A123" s="51">
        <v>112</v>
      </c>
      <c r="B123" s="57"/>
      <c r="C123" s="135" t="str">
        <f>'Necesidades Trimestrales'!E121</f>
        <v>RESUCITADOR PED.MANUAL REUTILIZABLE HAND</v>
      </c>
      <c r="D123" s="135"/>
      <c r="E123" s="135"/>
      <c r="F123" s="135"/>
      <c r="G123" s="135"/>
      <c r="H123" s="55" t="s">
        <v>54</v>
      </c>
      <c r="I123" s="56" t="str">
        <f>'Necesidades Trimestrales'!F121</f>
        <v>unidad</v>
      </c>
      <c r="J123" s="54">
        <f>'Necesidades Trimestrales'!H121</f>
        <v>4500</v>
      </c>
      <c r="K123" s="53">
        <f>'Necesidades Trimestrales'!G121</f>
        <v>100</v>
      </c>
    </row>
    <row r="124" spans="1:11" ht="27.75" customHeight="1" x14ac:dyDescent="0.2">
      <c r="A124" s="51">
        <v>113</v>
      </c>
      <c r="B124" s="57"/>
      <c r="C124" s="135" t="str">
        <f>'Necesidades Trimestrales'!E122</f>
        <v>ROLLO EN PAPEL TERMICO  ORIGINALES 57 mm. X 20 mts.</v>
      </c>
      <c r="D124" s="135"/>
      <c r="E124" s="135"/>
      <c r="F124" s="135"/>
      <c r="G124" s="135"/>
      <c r="H124" s="55" t="s">
        <v>54</v>
      </c>
      <c r="I124" s="56" t="str">
        <f>'Necesidades Trimestrales'!F122</f>
        <v>unidad</v>
      </c>
      <c r="J124" s="54">
        <f>'Necesidades Trimestrales'!H122</f>
        <v>700</v>
      </c>
      <c r="K124" s="53">
        <f>'Necesidades Trimestrales'!G122</f>
        <v>24</v>
      </c>
    </row>
    <row r="125" spans="1:11" ht="27.75" customHeight="1" x14ac:dyDescent="0.2">
      <c r="A125" s="51">
        <v>114</v>
      </c>
      <c r="B125" s="57"/>
      <c r="C125" s="135" t="str">
        <f>'Necesidades Trimestrales'!E123</f>
        <v>SET CATETER PERIDURAL N 20</v>
      </c>
      <c r="D125" s="135"/>
      <c r="E125" s="135"/>
      <c r="F125" s="135"/>
      <c r="G125" s="135"/>
      <c r="H125" s="55" t="s">
        <v>54</v>
      </c>
      <c r="I125" s="56" t="str">
        <f>'Necesidades Trimestrales'!F123</f>
        <v>unidad</v>
      </c>
      <c r="J125" s="54">
        <f>'Necesidades Trimestrales'!H123</f>
        <v>3540</v>
      </c>
      <c r="K125" s="53">
        <f>'Necesidades Trimestrales'!G123</f>
        <v>30</v>
      </c>
    </row>
    <row r="126" spans="1:11" ht="27.75" customHeight="1" x14ac:dyDescent="0.2">
      <c r="A126" s="51">
        <v>115</v>
      </c>
      <c r="B126" s="57"/>
      <c r="C126" s="135" t="str">
        <f>'Necesidades Trimestrales'!E124</f>
        <v>SET P/ANESTESIA EPIDURAL X 1</v>
      </c>
      <c r="D126" s="135"/>
      <c r="E126" s="135"/>
      <c r="F126" s="135"/>
      <c r="G126" s="135"/>
      <c r="H126" s="55" t="s">
        <v>54</v>
      </c>
      <c r="I126" s="56" t="str">
        <f>'Necesidades Trimestrales'!F124</f>
        <v>unidad</v>
      </c>
      <c r="J126" s="54">
        <f>'Necesidades Trimestrales'!H124</f>
        <v>1800</v>
      </c>
      <c r="K126" s="53">
        <f>'Necesidades Trimestrales'!G124</f>
        <v>100</v>
      </c>
    </row>
    <row r="127" spans="1:11" ht="27.75" customHeight="1" x14ac:dyDescent="0.2">
      <c r="A127" s="51">
        <v>116</v>
      </c>
      <c r="B127" s="57"/>
      <c r="C127" s="135" t="str">
        <f>'Necesidades Trimestrales'!E125</f>
        <v>SET P/VIA PERCUTANEA 3FR.</v>
      </c>
      <c r="D127" s="135"/>
      <c r="E127" s="135"/>
      <c r="F127" s="135"/>
      <c r="G127" s="135"/>
      <c r="H127" s="55" t="s">
        <v>54</v>
      </c>
      <c r="I127" s="56" t="str">
        <f>'Necesidades Trimestrales'!F125</f>
        <v>unidad</v>
      </c>
      <c r="J127" s="54">
        <f>'Necesidades Trimestrales'!H125</f>
        <v>1500</v>
      </c>
      <c r="K127" s="53">
        <f>'Necesidades Trimestrales'!G125</f>
        <v>10</v>
      </c>
    </row>
    <row r="128" spans="1:11" ht="27.75" customHeight="1" x14ac:dyDescent="0.2">
      <c r="A128" s="51">
        <v>117</v>
      </c>
      <c r="B128" s="57"/>
      <c r="C128" s="135" t="str">
        <f>'Necesidades Trimestrales'!E126</f>
        <v>SET P/VIA PERCUTANEA 4 FR</v>
      </c>
      <c r="D128" s="135"/>
      <c r="E128" s="135"/>
      <c r="F128" s="135"/>
      <c r="G128" s="135"/>
      <c r="H128" s="55" t="s">
        <v>54</v>
      </c>
      <c r="I128" s="56" t="str">
        <f>'Necesidades Trimestrales'!F126</f>
        <v>unidad</v>
      </c>
      <c r="J128" s="54">
        <f>'Necesidades Trimestrales'!H126</f>
        <v>1500</v>
      </c>
      <c r="K128" s="53">
        <f>'Necesidades Trimestrales'!G126</f>
        <v>10</v>
      </c>
    </row>
    <row r="129" spans="1:11" ht="27.75" customHeight="1" x14ac:dyDescent="0.2">
      <c r="A129" s="51">
        <v>118</v>
      </c>
      <c r="B129" s="57"/>
      <c r="C129" s="135" t="str">
        <f>'Necesidades Trimestrales'!E127</f>
        <v>SONDA FOLEY 2V SILICONA EST. Nº6</v>
      </c>
      <c r="D129" s="135"/>
      <c r="E129" s="135"/>
      <c r="F129" s="135"/>
      <c r="G129" s="135"/>
      <c r="H129" s="55" t="s">
        <v>54</v>
      </c>
      <c r="I129" s="56" t="str">
        <f>'Necesidades Trimestrales'!F127</f>
        <v>unidad</v>
      </c>
      <c r="J129" s="54">
        <f>'Necesidades Trimestrales'!H127</f>
        <v>654</v>
      </c>
      <c r="K129" s="53">
        <f>'Necesidades Trimestrales'!G127</f>
        <v>40</v>
      </c>
    </row>
    <row r="130" spans="1:11" ht="27.75" customHeight="1" x14ac:dyDescent="0.2">
      <c r="A130" s="51">
        <v>119</v>
      </c>
      <c r="B130" s="57"/>
      <c r="C130" s="135" t="str">
        <f>'Necesidades Trimestrales'!E128</f>
        <v>SONDA FOLEY 2V SILICONA EST.Nº 8</v>
      </c>
      <c r="D130" s="135"/>
      <c r="E130" s="135"/>
      <c r="F130" s="135"/>
      <c r="G130" s="135"/>
      <c r="H130" s="55" t="s">
        <v>54</v>
      </c>
      <c r="I130" s="56" t="str">
        <f>'Necesidades Trimestrales'!F128</f>
        <v>unidad</v>
      </c>
      <c r="J130" s="54">
        <f>'Necesidades Trimestrales'!H128</f>
        <v>654</v>
      </c>
      <c r="K130" s="53">
        <f>'Necesidades Trimestrales'!G128</f>
        <v>40</v>
      </c>
    </row>
    <row r="131" spans="1:11" ht="27.75" customHeight="1" x14ac:dyDescent="0.2">
      <c r="A131" s="51">
        <v>120</v>
      </c>
      <c r="B131" s="57"/>
      <c r="C131" s="135" t="str">
        <f>'Necesidades Trimestrales'!E129</f>
        <v>SONDA FOLEY 2V SILICONA EST.Nº10</v>
      </c>
      <c r="D131" s="135"/>
      <c r="E131" s="135"/>
      <c r="F131" s="135"/>
      <c r="G131" s="135"/>
      <c r="H131" s="55" t="s">
        <v>54</v>
      </c>
      <c r="I131" s="56" t="str">
        <f>'Necesidades Trimestrales'!F129</f>
        <v>unidad</v>
      </c>
      <c r="J131" s="54">
        <f>'Necesidades Trimestrales'!H129</f>
        <v>654</v>
      </c>
      <c r="K131" s="53">
        <f>'Necesidades Trimestrales'!G129</f>
        <v>40</v>
      </c>
    </row>
    <row r="132" spans="1:11" ht="27.75" customHeight="1" x14ac:dyDescent="0.2">
      <c r="A132" s="51">
        <v>121</v>
      </c>
      <c r="B132" s="57"/>
      <c r="C132" s="135" t="str">
        <f>'Necesidades Trimestrales'!E130</f>
        <v>SONDA FOLEY 2V SILICONA EST.Nº12</v>
      </c>
      <c r="D132" s="135"/>
      <c r="E132" s="135"/>
      <c r="F132" s="135"/>
      <c r="G132" s="135"/>
      <c r="H132" s="55" t="s">
        <v>54</v>
      </c>
      <c r="I132" s="56" t="str">
        <f>'Necesidades Trimestrales'!F130</f>
        <v>unidad</v>
      </c>
      <c r="J132" s="54">
        <f>'Necesidades Trimestrales'!H130</f>
        <v>654</v>
      </c>
      <c r="K132" s="53">
        <f>'Necesidades Trimestrales'!G130</f>
        <v>30</v>
      </c>
    </row>
    <row r="133" spans="1:11" ht="27.75" customHeight="1" x14ac:dyDescent="0.2">
      <c r="A133" s="51">
        <v>122</v>
      </c>
      <c r="B133" s="57"/>
      <c r="C133" s="135" t="str">
        <f>'Necesidades Trimestrales'!E131</f>
        <v>SONDA FOLEY DOBLE VIA DE LATEX RECUBIERTA CON SILICONA  Nº 14</v>
      </c>
      <c r="D133" s="135"/>
      <c r="E133" s="135"/>
      <c r="F133" s="135"/>
      <c r="G133" s="135"/>
      <c r="H133" s="55" t="s">
        <v>54</v>
      </c>
      <c r="I133" s="56" t="str">
        <f>'Necesidades Trimestrales'!F131</f>
        <v>unidad</v>
      </c>
      <c r="J133" s="54">
        <f>'Necesidades Trimestrales'!H131</f>
        <v>85</v>
      </c>
      <c r="K133" s="53">
        <f>'Necesidades Trimestrales'!G131</f>
        <v>50</v>
      </c>
    </row>
    <row r="134" spans="1:11" ht="27.75" customHeight="1" x14ac:dyDescent="0.2">
      <c r="A134" s="51">
        <v>123</v>
      </c>
      <c r="B134" s="57"/>
      <c r="C134" s="135" t="str">
        <f>'Necesidades Trimestrales'!E132</f>
        <v>SONDA FOLEY DOBLE VIA DE LATEX RECUBIERTA CON SILICONA  Nº 16</v>
      </c>
      <c r="D134" s="135"/>
      <c r="E134" s="135"/>
      <c r="F134" s="135"/>
      <c r="G134" s="135"/>
      <c r="H134" s="55" t="s">
        <v>54</v>
      </c>
      <c r="I134" s="56" t="str">
        <f>'Necesidades Trimestrales'!F132</f>
        <v>unidad</v>
      </c>
      <c r="J134" s="54">
        <f>'Necesidades Trimestrales'!H132</f>
        <v>85</v>
      </c>
      <c r="K134" s="53">
        <f>'Necesidades Trimestrales'!G132</f>
        <v>50</v>
      </c>
    </row>
    <row r="135" spans="1:11" ht="27.75" customHeight="1" x14ac:dyDescent="0.2">
      <c r="A135" s="51">
        <v>124</v>
      </c>
      <c r="B135" s="57"/>
      <c r="C135" s="135" t="str">
        <f>'Necesidades Trimestrales'!E133</f>
        <v>SONDA FOLEY DOBLE VIA DE LATEX RECUBIERTA CON SILICONA Nº 18</v>
      </c>
      <c r="D135" s="135"/>
      <c r="E135" s="135"/>
      <c r="F135" s="135"/>
      <c r="G135" s="135"/>
      <c r="H135" s="55" t="s">
        <v>54</v>
      </c>
      <c r="I135" s="56" t="str">
        <f>'Necesidades Trimestrales'!F133</f>
        <v>unidad</v>
      </c>
      <c r="J135" s="54">
        <f>'Necesidades Trimestrales'!H133</f>
        <v>85</v>
      </c>
      <c r="K135" s="53">
        <f>'Necesidades Trimestrales'!G133</f>
        <v>50</v>
      </c>
    </row>
    <row r="136" spans="1:11" ht="27.75" customHeight="1" x14ac:dyDescent="0.2">
      <c r="A136" s="51">
        <v>125</v>
      </c>
      <c r="B136" s="57"/>
      <c r="C136" s="135" t="str">
        <f>'Necesidades Trimestrales'!E134</f>
        <v>SONDA FOLEY TRIPLE VIA HEMATURICA Nº18</v>
      </c>
      <c r="D136" s="135"/>
      <c r="E136" s="135"/>
      <c r="F136" s="135"/>
      <c r="G136" s="135"/>
      <c r="H136" s="55" t="s">
        <v>54</v>
      </c>
      <c r="I136" s="56" t="str">
        <f>'Necesidades Trimestrales'!F134</f>
        <v>unidad</v>
      </c>
      <c r="J136" s="54">
        <f>'Necesidades Trimestrales'!H134</f>
        <v>1350</v>
      </c>
      <c r="K136" s="53">
        <f>'Necesidades Trimestrales'!G134</f>
        <v>15</v>
      </c>
    </row>
    <row r="137" spans="1:11" ht="27.75" customHeight="1" x14ac:dyDescent="0.2">
      <c r="A137" s="51">
        <v>126</v>
      </c>
      <c r="B137" s="57"/>
      <c r="C137" s="135" t="str">
        <f>'Necesidades Trimestrales'!E135</f>
        <v>SONDA NELATON DE GOMA Nº  8</v>
      </c>
      <c r="D137" s="135"/>
      <c r="E137" s="135"/>
      <c r="F137" s="135"/>
      <c r="G137" s="135"/>
      <c r="H137" s="55" t="s">
        <v>54</v>
      </c>
      <c r="I137" s="56" t="str">
        <f>'Necesidades Trimestrales'!F135</f>
        <v>unidad</v>
      </c>
      <c r="J137" s="54">
        <f>'Necesidades Trimestrales'!H135</f>
        <v>348</v>
      </c>
      <c r="K137" s="53">
        <f>'Necesidades Trimestrales'!G135</f>
        <v>50</v>
      </c>
    </row>
    <row r="138" spans="1:11" ht="27.75" customHeight="1" x14ac:dyDescent="0.2">
      <c r="A138" s="51">
        <v>127</v>
      </c>
      <c r="B138" s="57"/>
      <c r="C138" s="135" t="str">
        <f>'Necesidades Trimestrales'!E136</f>
        <v>SONDA NELATON DE GOMA Nº 10</v>
      </c>
      <c r="D138" s="135"/>
      <c r="E138" s="135"/>
      <c r="F138" s="135"/>
      <c r="G138" s="135"/>
      <c r="H138" s="55" t="s">
        <v>54</v>
      </c>
      <c r="I138" s="56" t="str">
        <f>'Necesidades Trimestrales'!F136</f>
        <v>unidad</v>
      </c>
      <c r="J138" s="54">
        <f>'Necesidades Trimestrales'!H136</f>
        <v>348</v>
      </c>
      <c r="K138" s="53">
        <f>'Necesidades Trimestrales'!G136</f>
        <v>50</v>
      </c>
    </row>
    <row r="139" spans="1:11" ht="27.75" customHeight="1" x14ac:dyDescent="0.2">
      <c r="A139" s="51">
        <v>128</v>
      </c>
      <c r="B139" s="57"/>
      <c r="C139" s="135" t="str">
        <f>'Necesidades Trimestrales'!E137</f>
        <v>SONDA NELATON DE GOMA Nº 14</v>
      </c>
      <c r="D139" s="135"/>
      <c r="E139" s="135"/>
      <c r="F139" s="135"/>
      <c r="G139" s="135"/>
      <c r="H139" s="55" t="s">
        <v>54</v>
      </c>
      <c r="I139" s="56" t="str">
        <f>'Necesidades Trimestrales'!F137</f>
        <v>unidad</v>
      </c>
      <c r="J139" s="54">
        <f>'Necesidades Trimestrales'!H137</f>
        <v>348</v>
      </c>
      <c r="K139" s="53">
        <f>'Necesidades Trimestrales'!G137</f>
        <v>50</v>
      </c>
    </row>
    <row r="140" spans="1:11" ht="27.75" customHeight="1" x14ac:dyDescent="0.2">
      <c r="A140" s="51">
        <v>129</v>
      </c>
      <c r="B140" s="57"/>
      <c r="C140" s="135" t="str">
        <f>'Necesidades Trimestrales'!E138</f>
        <v>SONDA NELATON DE GOMA Nº 18</v>
      </c>
      <c r="D140" s="135"/>
      <c r="E140" s="135"/>
      <c r="F140" s="135"/>
      <c r="G140" s="135"/>
      <c r="H140" s="55" t="s">
        <v>54</v>
      </c>
      <c r="I140" s="56" t="str">
        <f>'Necesidades Trimestrales'!F138</f>
        <v>unidad</v>
      </c>
      <c r="J140" s="54">
        <f>'Necesidades Trimestrales'!H138</f>
        <v>348</v>
      </c>
      <c r="K140" s="53">
        <f>'Necesidades Trimestrales'!G138</f>
        <v>50</v>
      </c>
    </row>
    <row r="141" spans="1:11" ht="27.75" customHeight="1" x14ac:dyDescent="0.2">
      <c r="A141" s="51">
        <v>130</v>
      </c>
      <c r="B141" s="57"/>
      <c r="C141" s="135" t="str">
        <f>'Necesidades Trimestrales'!E139</f>
        <v>SONDA PARA INTUBACION GASTRICA K 9</v>
      </c>
      <c r="D141" s="135"/>
      <c r="E141" s="135"/>
      <c r="F141" s="135"/>
      <c r="G141" s="135"/>
      <c r="H141" s="55" t="s">
        <v>54</v>
      </c>
      <c r="I141" s="56" t="str">
        <f>'Necesidades Trimestrales'!F139</f>
        <v>unidad</v>
      </c>
      <c r="J141" s="54">
        <f>'Necesidades Trimestrales'!H139</f>
        <v>19.5</v>
      </c>
      <c r="K141" s="53">
        <f>'Necesidades Trimestrales'!G139</f>
        <v>300</v>
      </c>
    </row>
    <row r="142" spans="1:11" ht="27.75" customHeight="1" x14ac:dyDescent="0.2">
      <c r="A142" s="51">
        <v>131</v>
      </c>
      <c r="B142" s="57"/>
      <c r="C142" s="135" t="str">
        <f>'Necesidades Trimestrales'!E140</f>
        <v>SONDA PARA INTUBACION GASTRICA K11</v>
      </c>
      <c r="D142" s="135"/>
      <c r="E142" s="135"/>
      <c r="F142" s="135"/>
      <c r="G142" s="135"/>
      <c r="H142" s="55" t="s">
        <v>54</v>
      </c>
      <c r="I142" s="56" t="str">
        <f>'Necesidades Trimestrales'!F140</f>
        <v>unidad</v>
      </c>
      <c r="J142" s="54">
        <f>'Necesidades Trimestrales'!H140</f>
        <v>58.2</v>
      </c>
      <c r="K142" s="53">
        <f>'Necesidades Trimestrales'!G140</f>
        <v>100</v>
      </c>
    </row>
    <row r="143" spans="1:11" ht="27.75" customHeight="1" x14ac:dyDescent="0.2">
      <c r="A143" s="51">
        <v>132</v>
      </c>
      <c r="B143" s="57"/>
      <c r="C143" s="135" t="str">
        <f>'Necesidades Trimestrales'!E141</f>
        <v>SUT.ABS.CATGUT SIMP.2-0 C/A SH Ó CT1 X 1 UNID</v>
      </c>
      <c r="D143" s="135"/>
      <c r="E143" s="135"/>
      <c r="F143" s="135"/>
      <c r="G143" s="135"/>
      <c r="H143" s="55" t="s">
        <v>54</v>
      </c>
      <c r="I143" s="56" t="str">
        <f>'Necesidades Trimestrales'!F141</f>
        <v>unidad</v>
      </c>
      <c r="J143" s="54">
        <f>'Necesidades Trimestrales'!H141</f>
        <v>260</v>
      </c>
      <c r="K143" s="53">
        <f>'Necesidades Trimestrales'!G141</f>
        <v>24</v>
      </c>
    </row>
    <row r="144" spans="1:11" ht="27.75" customHeight="1" x14ac:dyDescent="0.2">
      <c r="A144" s="51">
        <v>133</v>
      </c>
      <c r="B144" s="57"/>
      <c r="C144" s="135" t="str">
        <f>'Necesidades Trimestrales'!E142</f>
        <v>SUT.ABS.CATGUT SIMP.3-0 C/A SH/CT1 X 1 UNID</v>
      </c>
      <c r="D144" s="135"/>
      <c r="E144" s="135"/>
      <c r="F144" s="135"/>
      <c r="G144" s="135"/>
      <c r="H144" s="55" t="s">
        <v>54</v>
      </c>
      <c r="I144" s="56" t="str">
        <f>'Necesidades Trimestrales'!F142</f>
        <v>unidad</v>
      </c>
      <c r="J144" s="54">
        <f>'Necesidades Trimestrales'!H142</f>
        <v>260</v>
      </c>
      <c r="K144" s="53">
        <f>'Necesidades Trimestrales'!G142</f>
        <v>24</v>
      </c>
    </row>
    <row r="145" spans="1:11" ht="27.75" customHeight="1" x14ac:dyDescent="0.2">
      <c r="A145" s="51">
        <v>134</v>
      </c>
      <c r="B145" s="57"/>
      <c r="C145" s="135" t="str">
        <f>'Necesidades Trimestrales'!E143</f>
        <v>SUT.ABS.CATGUT SIMP.4-0 C/A SH X 1 UNID.</v>
      </c>
      <c r="D145" s="135"/>
      <c r="E145" s="135"/>
      <c r="F145" s="135"/>
      <c r="G145" s="135"/>
      <c r="H145" s="55" t="s">
        <v>54</v>
      </c>
      <c r="I145" s="56" t="str">
        <f>'Necesidades Trimestrales'!F143</f>
        <v>unidad</v>
      </c>
      <c r="J145" s="54">
        <f>'Necesidades Trimestrales'!H143</f>
        <v>260</v>
      </c>
      <c r="K145" s="53">
        <f>'Necesidades Trimestrales'!G143</f>
        <v>24</v>
      </c>
    </row>
    <row r="146" spans="1:11" ht="27.75" customHeight="1" x14ac:dyDescent="0.2">
      <c r="A146" s="51">
        <v>135</v>
      </c>
      <c r="B146" s="57"/>
      <c r="C146" s="135" t="str">
        <f>'Necesidades Trimestrales'!E144</f>
        <v>SUT.ABS.CATGUT SIMP.5-0 C/A RB-1 X UNID.</v>
      </c>
      <c r="D146" s="135"/>
      <c r="E146" s="135"/>
      <c r="F146" s="135"/>
      <c r="G146" s="135"/>
      <c r="H146" s="55" t="s">
        <v>54</v>
      </c>
      <c r="I146" s="56" t="str">
        <f>'Necesidades Trimestrales'!F144</f>
        <v>unidad</v>
      </c>
      <c r="J146" s="54">
        <f>'Necesidades Trimestrales'!H144</f>
        <v>260</v>
      </c>
      <c r="K146" s="53">
        <f>'Necesidades Trimestrales'!G144</f>
        <v>24</v>
      </c>
    </row>
    <row r="147" spans="1:11" ht="27.75" customHeight="1" x14ac:dyDescent="0.2">
      <c r="A147" s="51">
        <v>136</v>
      </c>
      <c r="B147" s="57"/>
      <c r="C147" s="135" t="str">
        <f>'Necesidades Trimestrales'!E145</f>
        <v xml:space="preserve">SUTURA QUIRURGICA ACIDO POLIGLICOLICO Nª 8/0 J546G OFTALMOLOGICO TIPO VICRYL </v>
      </c>
      <c r="D147" s="135"/>
      <c r="E147" s="135"/>
      <c r="F147" s="135"/>
      <c r="G147" s="135"/>
      <c r="H147" s="55" t="s">
        <v>54</v>
      </c>
      <c r="I147" s="56" t="str">
        <f>'Necesidades Trimestrales'!F145</f>
        <v>unidad</v>
      </c>
      <c r="J147" s="54">
        <f>'Necesidades Trimestrales'!H145</f>
        <v>580</v>
      </c>
      <c r="K147" s="53">
        <f>'Necesidades Trimestrales'!G145</f>
        <v>60</v>
      </c>
    </row>
    <row r="148" spans="1:11" ht="27.75" customHeight="1" x14ac:dyDescent="0.2">
      <c r="A148" s="51">
        <v>137</v>
      </c>
      <c r="B148" s="57"/>
      <c r="C148" s="135" t="str">
        <f>'Necesidades Trimestrales'!E146</f>
        <v>SUTURA QUIRURGICA ACIDO POLIGLICOLICO TRENZADA ABSORBIBLE Nª 7/0 J546G OFTALMOLOGICO TIPO VICRYL</v>
      </c>
      <c r="D148" s="135"/>
      <c r="E148" s="135"/>
      <c r="F148" s="135"/>
      <c r="G148" s="135"/>
      <c r="H148" s="55" t="s">
        <v>54</v>
      </c>
      <c r="I148" s="56" t="str">
        <f>'Necesidades Trimestrales'!F146</f>
        <v>unidad</v>
      </c>
      <c r="J148" s="54">
        <f>'Necesidades Trimestrales'!H146</f>
        <v>260</v>
      </c>
      <c r="K148" s="53">
        <f>'Necesidades Trimestrales'!G146</f>
        <v>60</v>
      </c>
    </row>
    <row r="149" spans="1:11" ht="27.75" customHeight="1" x14ac:dyDescent="0.2">
      <c r="A149" s="51">
        <v>138</v>
      </c>
      <c r="B149" s="57"/>
      <c r="C149" s="135" t="str">
        <f>'Necesidades Trimestrales'!E147</f>
        <v>Tela de Lienzo rollo 100 mts largo x 1,60 mts ancho</v>
      </c>
      <c r="D149" s="135"/>
      <c r="E149" s="135"/>
      <c r="F149" s="135"/>
      <c r="G149" s="135"/>
      <c r="H149" s="55" t="s">
        <v>54</v>
      </c>
      <c r="I149" s="56" t="str">
        <f>'Necesidades Trimestrales'!F147</f>
        <v>unidad</v>
      </c>
      <c r="J149" s="54">
        <f>'Necesidades Trimestrales'!H147</f>
        <v>28000</v>
      </c>
      <c r="K149" s="53">
        <f>'Necesidades Trimestrales'!G147</f>
        <v>2</v>
      </c>
    </row>
    <row r="150" spans="1:11" ht="27.75" customHeight="1" x14ac:dyDescent="0.2">
      <c r="A150" s="51">
        <v>139</v>
      </c>
      <c r="B150" s="57"/>
      <c r="C150" s="135" t="str">
        <f>'Necesidades Trimestrales'!E148</f>
        <v>Tela de Toalla rollo 50 mts largo ( doble ancho)</v>
      </c>
      <c r="D150" s="135"/>
      <c r="E150" s="135"/>
      <c r="F150" s="135"/>
      <c r="G150" s="135"/>
      <c r="H150" s="55" t="s">
        <v>54</v>
      </c>
      <c r="I150" s="56" t="str">
        <f>'Necesidades Trimestrales'!F148</f>
        <v>unidad</v>
      </c>
      <c r="J150" s="54">
        <f>'Necesidades Trimestrales'!H148</f>
        <v>11000</v>
      </c>
      <c r="K150" s="53">
        <f>'Necesidades Trimestrales'!G148</f>
        <v>4</v>
      </c>
    </row>
    <row r="151" spans="1:11" ht="27.75" customHeight="1" x14ac:dyDescent="0.2">
      <c r="A151" s="51">
        <v>140</v>
      </c>
      <c r="B151" s="57"/>
      <c r="C151" s="135" t="str">
        <f>'Necesidades Trimestrales'!E149</f>
        <v>Tela verde brin de algodón rollo 50 mtrs largo (doble ancho) Indantrend</v>
      </c>
      <c r="D151" s="135"/>
      <c r="E151" s="135"/>
      <c r="F151" s="135"/>
      <c r="G151" s="135"/>
      <c r="H151" s="55" t="s">
        <v>54</v>
      </c>
      <c r="I151" s="56" t="str">
        <f>'Necesidades Trimestrales'!F149</f>
        <v>unidad</v>
      </c>
      <c r="J151" s="54">
        <f>'Necesidades Trimestrales'!H149</f>
        <v>22500</v>
      </c>
      <c r="K151" s="53">
        <f>'Necesidades Trimestrales'!G149</f>
        <v>4</v>
      </c>
    </row>
    <row r="152" spans="1:11" ht="27.75" customHeight="1" x14ac:dyDescent="0.2">
      <c r="A152" s="51">
        <v>141</v>
      </c>
      <c r="B152" s="57"/>
      <c r="C152" s="135" t="str">
        <f>'Necesidades Trimestrales'!E150</f>
        <v>TENSIOMETRO+ESTETOSCOPIO NEONATAL X 1</v>
      </c>
      <c r="D152" s="135"/>
      <c r="E152" s="135"/>
      <c r="F152" s="135"/>
      <c r="G152" s="135"/>
      <c r="H152" s="55" t="s">
        <v>54</v>
      </c>
      <c r="I152" s="56" t="str">
        <f>'Necesidades Trimestrales'!F150</f>
        <v>unidad</v>
      </c>
      <c r="J152" s="54">
        <f>'Necesidades Trimestrales'!H150</f>
        <v>2700</v>
      </c>
      <c r="K152" s="53">
        <f>'Necesidades Trimestrales'!G150</f>
        <v>20</v>
      </c>
    </row>
    <row r="153" spans="1:11" ht="27.75" customHeight="1" x14ac:dyDescent="0.2">
      <c r="A153" s="51">
        <v>142</v>
      </c>
      <c r="B153" s="57"/>
      <c r="C153" s="135" t="str">
        <f>'Necesidades Trimestrales'!E151</f>
        <v>TENSIOMETRO+ESTETOSCOPIO PEDIATRICO X 1</v>
      </c>
      <c r="D153" s="135"/>
      <c r="E153" s="135"/>
      <c r="F153" s="135"/>
      <c r="G153" s="135"/>
      <c r="H153" s="55" t="s">
        <v>54</v>
      </c>
      <c r="I153" s="56" t="str">
        <f>'Necesidades Trimestrales'!F151</f>
        <v>unidad</v>
      </c>
      <c r="J153" s="54">
        <f>'Necesidades Trimestrales'!H151</f>
        <v>2700</v>
      </c>
      <c r="K153" s="53">
        <f>'Necesidades Trimestrales'!G151</f>
        <v>20</v>
      </c>
    </row>
    <row r="154" spans="1:11" ht="27.75" customHeight="1" x14ac:dyDescent="0.2">
      <c r="A154" s="51">
        <v>143</v>
      </c>
      <c r="B154" s="57"/>
      <c r="C154" s="135" t="str">
        <f>'Necesidades Trimestrales'!E152</f>
        <v>TINTURA DE IODO FUERTE X 1 LITRO</v>
      </c>
      <c r="D154" s="135"/>
      <c r="E154" s="135"/>
      <c r="F154" s="135"/>
      <c r="G154" s="135"/>
      <c r="H154" s="55" t="s">
        <v>54</v>
      </c>
      <c r="I154" s="56" t="str">
        <f>'Necesidades Trimestrales'!F152</f>
        <v>unidad</v>
      </c>
      <c r="J154" s="54">
        <f>'Necesidades Trimestrales'!H152</f>
        <v>829</v>
      </c>
      <c r="K154" s="53">
        <f>'Necesidades Trimestrales'!G152</f>
        <v>3</v>
      </c>
    </row>
    <row r="155" spans="1:11" ht="27.75" customHeight="1" x14ac:dyDescent="0.2">
      <c r="A155" s="51">
        <v>144</v>
      </c>
      <c r="B155" s="57"/>
      <c r="C155" s="135" t="str">
        <f>'Necesidades Trimestrales'!E153</f>
        <v>TIRAS REACTIVAS PARA DETERMINACION DE GLUCOSA EN SANGRE X 50 UNIDADES</v>
      </c>
      <c r="D155" s="135"/>
      <c r="E155" s="135"/>
      <c r="F155" s="135"/>
      <c r="G155" s="135"/>
      <c r="H155" s="55" t="s">
        <v>54</v>
      </c>
      <c r="I155" s="56" t="str">
        <f>'Necesidades Trimestrales'!F153</f>
        <v>unidad</v>
      </c>
      <c r="J155" s="54">
        <f>'Necesidades Trimestrales'!H153</f>
        <v>1400</v>
      </c>
      <c r="K155" s="53">
        <f>'Necesidades Trimestrales'!G153</f>
        <v>150</v>
      </c>
    </row>
    <row r="156" spans="1:11" ht="27.75" customHeight="1" x14ac:dyDescent="0.2">
      <c r="A156" s="51">
        <v>145</v>
      </c>
      <c r="B156" s="57"/>
      <c r="C156" s="135" t="str">
        <f>'Necesidades Trimestrales'!E154</f>
        <v>TRANSDUCTOR DE PRESION INV COMPLETO T/EDWARDS</v>
      </c>
      <c r="D156" s="135"/>
      <c r="E156" s="135"/>
      <c r="F156" s="135"/>
      <c r="G156" s="135"/>
      <c r="H156" s="55" t="s">
        <v>54</v>
      </c>
      <c r="I156" s="56" t="str">
        <f>'Necesidades Trimestrales'!F154</f>
        <v>unidad</v>
      </c>
      <c r="J156" s="54">
        <f>'Necesidades Trimestrales'!H154</f>
        <v>580</v>
      </c>
      <c r="K156" s="53">
        <f>'Necesidades Trimestrales'!G154</f>
        <v>100</v>
      </c>
    </row>
    <row r="157" spans="1:11" ht="27.75" customHeight="1" x14ac:dyDescent="0.2">
      <c r="A157" s="51">
        <v>146</v>
      </c>
      <c r="B157" s="57"/>
      <c r="C157" s="135" t="str">
        <f>'Necesidades Trimestrales'!E155</f>
        <v>TROCAR P/DRENAJE PLEURAL FR 8</v>
      </c>
      <c r="D157" s="135"/>
      <c r="E157" s="135"/>
      <c r="F157" s="135"/>
      <c r="G157" s="135"/>
      <c r="H157" s="55" t="s">
        <v>54</v>
      </c>
      <c r="I157" s="56" t="str">
        <f>'Necesidades Trimestrales'!F155</f>
        <v>unidad</v>
      </c>
      <c r="J157" s="54">
        <f>'Necesidades Trimestrales'!H155</f>
        <v>448</v>
      </c>
      <c r="K157" s="53">
        <f>'Necesidades Trimestrales'!G155</f>
        <v>30</v>
      </c>
    </row>
    <row r="158" spans="1:11" ht="27.75" customHeight="1" x14ac:dyDescent="0.2">
      <c r="A158" s="51">
        <v>147</v>
      </c>
      <c r="B158" s="57"/>
      <c r="C158" s="135" t="str">
        <f>'Necesidades Trimestrales'!E156</f>
        <v>TROCAR P/DRENAJE PLEURAL FR 10</v>
      </c>
      <c r="D158" s="135"/>
      <c r="E158" s="135"/>
      <c r="F158" s="135"/>
      <c r="G158" s="135"/>
      <c r="H158" s="55" t="s">
        <v>54</v>
      </c>
      <c r="I158" s="56" t="str">
        <f>'Necesidades Trimestrales'!F156</f>
        <v>unidad</v>
      </c>
      <c r="J158" s="54">
        <f>'Necesidades Trimestrales'!H156</f>
        <v>448</v>
      </c>
      <c r="K158" s="53">
        <f>'Necesidades Trimestrales'!G156</f>
        <v>30</v>
      </c>
    </row>
    <row r="159" spans="1:11" ht="27.75" customHeight="1" x14ac:dyDescent="0.2">
      <c r="A159" s="51">
        <v>148</v>
      </c>
      <c r="B159" s="57"/>
      <c r="C159" s="135" t="str">
        <f>'Necesidades Trimestrales'!E157</f>
        <v>TROCAR P/DRENAJE PLEURAL FR 12</v>
      </c>
      <c r="D159" s="135"/>
      <c r="E159" s="135"/>
      <c r="F159" s="135"/>
      <c r="G159" s="135"/>
      <c r="H159" s="55" t="s">
        <v>54</v>
      </c>
      <c r="I159" s="56" t="str">
        <f>'Necesidades Trimestrales'!F157</f>
        <v>unidad</v>
      </c>
      <c r="J159" s="54">
        <f>'Necesidades Trimestrales'!H157</f>
        <v>448</v>
      </c>
      <c r="K159" s="53">
        <f>'Necesidades Trimestrales'!G157</f>
        <v>30</v>
      </c>
    </row>
    <row r="160" spans="1:11" ht="27.75" customHeight="1" x14ac:dyDescent="0.2">
      <c r="A160" s="51">
        <v>149</v>
      </c>
      <c r="B160" s="57"/>
      <c r="C160" s="135" t="str">
        <f>'Necesidades Trimestrales'!E158</f>
        <v>TROCAR P/DRENAJE PLEURAL FR 14</v>
      </c>
      <c r="D160" s="135"/>
      <c r="E160" s="135"/>
      <c r="F160" s="135"/>
      <c r="G160" s="135"/>
      <c r="H160" s="55" t="s">
        <v>54</v>
      </c>
      <c r="I160" s="56" t="str">
        <f>'Necesidades Trimestrales'!F158</f>
        <v>unidad</v>
      </c>
      <c r="J160" s="54">
        <f>'Necesidades Trimestrales'!H158</f>
        <v>448</v>
      </c>
      <c r="K160" s="53">
        <f>'Necesidades Trimestrales'!G158</f>
        <v>30</v>
      </c>
    </row>
    <row r="161" spans="1:11" ht="27.75" customHeight="1" x14ac:dyDescent="0.2">
      <c r="A161" s="51">
        <v>150</v>
      </c>
      <c r="B161" s="57"/>
      <c r="C161" s="135" t="str">
        <f>'Necesidades Trimestrales'!E159</f>
        <v>TROCAR P/DRENAJE PLEURAL FR 16</v>
      </c>
      <c r="D161" s="135"/>
      <c r="E161" s="135"/>
      <c r="F161" s="135"/>
      <c r="G161" s="135"/>
      <c r="H161" s="55" t="s">
        <v>54</v>
      </c>
      <c r="I161" s="56" t="str">
        <f>'Necesidades Trimestrales'!F159</f>
        <v>unidad</v>
      </c>
      <c r="J161" s="54">
        <f>'Necesidades Trimestrales'!H159</f>
        <v>448</v>
      </c>
      <c r="K161" s="53">
        <f>'Necesidades Trimestrales'!G159</f>
        <v>30</v>
      </c>
    </row>
    <row r="162" spans="1:11" ht="27.75" customHeight="1" x14ac:dyDescent="0.2">
      <c r="A162" s="51">
        <v>151</v>
      </c>
      <c r="B162" s="57"/>
      <c r="C162" s="135" t="str">
        <f>'Necesidades Trimestrales'!E160</f>
        <v>TROCAR P/DRENAJE PLEURAL FR 18</v>
      </c>
      <c r="D162" s="135"/>
      <c r="E162" s="135"/>
      <c r="F162" s="135"/>
      <c r="G162" s="135"/>
      <c r="H162" s="55" t="s">
        <v>54</v>
      </c>
      <c r="I162" s="56" t="str">
        <f>'Necesidades Trimestrales'!F160</f>
        <v>unidad</v>
      </c>
      <c r="J162" s="54">
        <f>'Necesidades Trimestrales'!H160</f>
        <v>448</v>
      </c>
      <c r="K162" s="53">
        <f>'Necesidades Trimestrales'!G160</f>
        <v>30</v>
      </c>
    </row>
    <row r="163" spans="1:11" ht="27.75" customHeight="1" x14ac:dyDescent="0.2">
      <c r="A163" s="51">
        <v>152</v>
      </c>
      <c r="B163" s="57"/>
      <c r="C163" s="135" t="str">
        <f>'Necesidades Trimestrales'!E161</f>
        <v>TROCAR P/DRENAJE PLEURAL FR 20</v>
      </c>
      <c r="D163" s="135"/>
      <c r="E163" s="135"/>
      <c r="F163" s="135"/>
      <c r="G163" s="135"/>
      <c r="H163" s="55" t="s">
        <v>54</v>
      </c>
      <c r="I163" s="56" t="str">
        <f>'Necesidades Trimestrales'!F161</f>
        <v>unidad</v>
      </c>
      <c r="J163" s="54">
        <f>'Necesidades Trimestrales'!H161</f>
        <v>448</v>
      </c>
      <c r="K163" s="53">
        <f>'Necesidades Trimestrales'!G161</f>
        <v>30</v>
      </c>
    </row>
    <row r="164" spans="1:11" ht="27.75" customHeight="1" x14ac:dyDescent="0.2">
      <c r="A164" s="51">
        <v>153</v>
      </c>
      <c r="B164" s="57"/>
      <c r="C164" s="135" t="str">
        <f>'Necesidades Trimestrales'!E162</f>
        <v>TROCAR P/DRENAJE PLEURAL FR 22</v>
      </c>
      <c r="D164" s="135"/>
      <c r="E164" s="135"/>
      <c r="F164" s="135"/>
      <c r="G164" s="135"/>
      <c r="H164" s="55" t="s">
        <v>54</v>
      </c>
      <c r="I164" s="56" t="str">
        <f>'Necesidades Trimestrales'!F162</f>
        <v>unidad</v>
      </c>
      <c r="J164" s="54">
        <f>'Necesidades Trimestrales'!H162</f>
        <v>448</v>
      </c>
      <c r="K164" s="53">
        <f>'Necesidades Trimestrales'!G162</f>
        <v>30</v>
      </c>
    </row>
    <row r="165" spans="1:11" ht="27.75" customHeight="1" x14ac:dyDescent="0.2">
      <c r="A165" s="51">
        <v>154</v>
      </c>
      <c r="B165" s="57"/>
      <c r="C165" s="135" t="str">
        <f>'Necesidades Trimestrales'!E163</f>
        <v>TROCAR P/DRENAJE PLEURAL FR 24</v>
      </c>
      <c r="D165" s="135"/>
      <c r="E165" s="135"/>
      <c r="F165" s="135"/>
      <c r="G165" s="135"/>
      <c r="H165" s="55" t="s">
        <v>54</v>
      </c>
      <c r="I165" s="56" t="str">
        <f>'Necesidades Trimestrales'!F163</f>
        <v>unidad</v>
      </c>
      <c r="J165" s="54">
        <f>'Necesidades Trimestrales'!H163</f>
        <v>448</v>
      </c>
      <c r="K165" s="53">
        <f>'Necesidades Trimestrales'!G163</f>
        <v>30</v>
      </c>
    </row>
    <row r="166" spans="1:11" ht="27.75" customHeight="1" x14ac:dyDescent="0.2">
      <c r="A166" s="51">
        <v>155</v>
      </c>
      <c r="B166" s="57"/>
      <c r="C166" s="135" t="str">
        <f>'Necesidades Trimestrales'!E164</f>
        <v>TROCAR P/DRENAJE PLEURAL FR 28</v>
      </c>
      <c r="D166" s="135"/>
      <c r="E166" s="135"/>
      <c r="F166" s="135"/>
      <c r="G166" s="135"/>
      <c r="H166" s="55" t="s">
        <v>54</v>
      </c>
      <c r="I166" s="56" t="str">
        <f>'Necesidades Trimestrales'!F164</f>
        <v>unidad</v>
      </c>
      <c r="J166" s="54">
        <f>'Necesidades Trimestrales'!H164</f>
        <v>448</v>
      </c>
      <c r="K166" s="53">
        <f>'Necesidades Trimestrales'!G164</f>
        <v>30</v>
      </c>
    </row>
    <row r="167" spans="1:11" ht="27.75" customHeight="1" x14ac:dyDescent="0.2">
      <c r="A167" s="51">
        <v>156</v>
      </c>
      <c r="B167" s="57"/>
      <c r="C167" s="135" t="str">
        <f>'Necesidades Trimestrales'!E165</f>
        <v>TUBO DE INTUBACION SELECTIVA DERECHO CH 25</v>
      </c>
      <c r="D167" s="135"/>
      <c r="E167" s="135"/>
      <c r="F167" s="135"/>
      <c r="G167" s="135"/>
      <c r="H167" s="55" t="s">
        <v>54</v>
      </c>
      <c r="I167" s="56" t="str">
        <f>'Necesidades Trimestrales'!F165</f>
        <v>unidad</v>
      </c>
      <c r="J167" s="54">
        <f>'Necesidades Trimestrales'!H165</f>
        <v>3900</v>
      </c>
      <c r="K167" s="53">
        <f>'Necesidades Trimestrales'!G165</f>
        <v>5</v>
      </c>
    </row>
    <row r="168" spans="1:11" ht="27.75" customHeight="1" x14ac:dyDescent="0.2">
      <c r="A168" s="51">
        <v>157</v>
      </c>
      <c r="B168" s="57"/>
      <c r="C168" s="135" t="str">
        <f>'Necesidades Trimestrales'!E166</f>
        <v>TUBO DE INTUBACION SELECTIVA DERECHO CH 35</v>
      </c>
      <c r="D168" s="135"/>
      <c r="E168" s="135"/>
      <c r="F168" s="135"/>
      <c r="G168" s="135"/>
      <c r="H168" s="55" t="s">
        <v>54</v>
      </c>
      <c r="I168" s="56" t="str">
        <f>'Necesidades Trimestrales'!F166</f>
        <v>unidad</v>
      </c>
      <c r="J168" s="54">
        <f>'Necesidades Trimestrales'!H166</f>
        <v>3900</v>
      </c>
      <c r="K168" s="53">
        <f>'Necesidades Trimestrales'!G166</f>
        <v>5</v>
      </c>
    </row>
    <row r="169" spans="1:11" ht="27.75" customHeight="1" x14ac:dyDescent="0.2">
      <c r="A169" s="51">
        <v>158</v>
      </c>
      <c r="B169" s="57"/>
      <c r="C169" s="135" t="str">
        <f>'Necesidades Trimestrales'!E167</f>
        <v>TUBO DE KHER DE GOMA Nº10</v>
      </c>
      <c r="D169" s="135"/>
      <c r="E169" s="135"/>
      <c r="F169" s="135"/>
      <c r="G169" s="135"/>
      <c r="H169" s="55" t="s">
        <v>54</v>
      </c>
      <c r="I169" s="56" t="str">
        <f>'Necesidades Trimestrales'!F167</f>
        <v>unidad</v>
      </c>
      <c r="J169" s="54">
        <f>'Necesidades Trimestrales'!H167</f>
        <v>500</v>
      </c>
      <c r="K169" s="53">
        <f>'Necesidades Trimestrales'!G167</f>
        <v>20</v>
      </c>
    </row>
    <row r="170" spans="1:11" ht="27.75" customHeight="1" x14ac:dyDescent="0.2">
      <c r="A170" s="51">
        <v>159</v>
      </c>
      <c r="B170" s="57"/>
      <c r="C170" s="135" t="str">
        <f>'Necesidades Trimestrales'!E168</f>
        <v>TUBO DE KHER DE GOMA Nº12</v>
      </c>
      <c r="D170" s="135"/>
      <c r="E170" s="135"/>
      <c r="F170" s="135"/>
      <c r="G170" s="135"/>
      <c r="H170" s="55" t="s">
        <v>54</v>
      </c>
      <c r="I170" s="56" t="str">
        <f>'Necesidades Trimestrales'!F168</f>
        <v>unidad</v>
      </c>
      <c r="J170" s="54">
        <f>'Necesidades Trimestrales'!H168</f>
        <v>500</v>
      </c>
      <c r="K170" s="53">
        <f>'Necesidades Trimestrales'!G168</f>
        <v>20</v>
      </c>
    </row>
    <row r="171" spans="1:11" ht="27.75" customHeight="1" x14ac:dyDescent="0.2">
      <c r="A171" s="51">
        <v>160</v>
      </c>
      <c r="B171" s="57"/>
      <c r="C171" s="135" t="str">
        <f>'Necesidades Trimestrales'!E169</f>
        <v>TUBO DE KHER DE GOMA Nº14</v>
      </c>
      <c r="D171" s="135"/>
      <c r="E171" s="135"/>
      <c r="F171" s="135"/>
      <c r="G171" s="135"/>
      <c r="H171" s="55" t="s">
        <v>54</v>
      </c>
      <c r="I171" s="56" t="str">
        <f>'Necesidades Trimestrales'!F169</f>
        <v>unidad</v>
      </c>
      <c r="J171" s="54">
        <f>'Necesidades Trimestrales'!H169</f>
        <v>500</v>
      </c>
      <c r="K171" s="53">
        <f>'Necesidades Trimestrales'!G169</f>
        <v>20</v>
      </c>
    </row>
    <row r="172" spans="1:11" ht="27.75" customHeight="1" x14ac:dyDescent="0.2">
      <c r="A172" s="51">
        <v>161</v>
      </c>
      <c r="B172" s="57"/>
      <c r="C172" s="135" t="str">
        <f>'Necesidades Trimestrales'!E170</f>
        <v>TUBO DE KHER DE GOMA Nº16</v>
      </c>
      <c r="D172" s="135"/>
      <c r="E172" s="135"/>
      <c r="F172" s="135"/>
      <c r="G172" s="135"/>
      <c r="H172" s="55" t="s">
        <v>54</v>
      </c>
      <c r="I172" s="56" t="str">
        <f>'Necesidades Trimestrales'!F170</f>
        <v>unidad</v>
      </c>
      <c r="J172" s="54">
        <f>'Necesidades Trimestrales'!H170</f>
        <v>500</v>
      </c>
      <c r="K172" s="53">
        <f>'Necesidades Trimestrales'!G170</f>
        <v>20</v>
      </c>
    </row>
    <row r="173" spans="1:11" ht="27.75" customHeight="1" x14ac:dyDescent="0.2">
      <c r="A173" s="51">
        <v>162</v>
      </c>
      <c r="B173" s="57"/>
      <c r="C173" s="135" t="str">
        <f>'Necesidades Trimestrales'!E171</f>
        <v>TUBO DE KHER DE GOMA Nº18</v>
      </c>
      <c r="D173" s="135"/>
      <c r="E173" s="135"/>
      <c r="F173" s="135"/>
      <c r="G173" s="135"/>
      <c r="H173" s="55" t="s">
        <v>54</v>
      </c>
      <c r="I173" s="56" t="str">
        <f>'Necesidades Trimestrales'!F171</f>
        <v>unidad</v>
      </c>
      <c r="J173" s="54">
        <f>'Necesidades Trimestrales'!H171</f>
        <v>500</v>
      </c>
      <c r="K173" s="53">
        <f>'Necesidades Trimestrales'!G171</f>
        <v>20</v>
      </c>
    </row>
    <row r="174" spans="1:11" ht="27.75" customHeight="1" x14ac:dyDescent="0.2">
      <c r="A174" s="51">
        <v>163</v>
      </c>
      <c r="B174" s="57"/>
      <c r="C174" s="135" t="str">
        <f>'Necesidades Trimestrales'!E172</f>
        <v>TUBO DE KHER DE GOMA Nº20</v>
      </c>
      <c r="D174" s="135"/>
      <c r="E174" s="135"/>
      <c r="F174" s="135"/>
      <c r="G174" s="135"/>
      <c r="H174" s="55" t="s">
        <v>54</v>
      </c>
      <c r="I174" s="56" t="str">
        <f>'Necesidades Trimestrales'!F172</f>
        <v>unidad</v>
      </c>
      <c r="J174" s="54">
        <f>'Necesidades Trimestrales'!H172</f>
        <v>500</v>
      </c>
      <c r="K174" s="53">
        <f>'Necesidades Trimestrales'!G172</f>
        <v>20</v>
      </c>
    </row>
    <row r="175" spans="1:11" ht="27.75" customHeight="1" x14ac:dyDescent="0.2">
      <c r="A175" s="51">
        <v>164</v>
      </c>
      <c r="B175" s="57"/>
      <c r="C175" s="135" t="str">
        <f>'Necesidades Trimestrales'!E173</f>
        <v>TUBO DE LATEX  3 X 5 X METRO</v>
      </c>
      <c r="D175" s="135"/>
      <c r="E175" s="135"/>
      <c r="F175" s="135"/>
      <c r="G175" s="135"/>
      <c r="H175" s="55" t="s">
        <v>54</v>
      </c>
      <c r="I175" s="56" t="str">
        <f>'Necesidades Trimestrales'!F173</f>
        <v>unidad</v>
      </c>
      <c r="J175" s="54">
        <f>'Necesidades Trimestrales'!H173</f>
        <v>84</v>
      </c>
      <c r="K175" s="53">
        <f>'Necesidades Trimestrales'!G173</f>
        <v>100</v>
      </c>
    </row>
    <row r="176" spans="1:11" ht="27.75" customHeight="1" x14ac:dyDescent="0.2">
      <c r="A176" s="51">
        <v>165</v>
      </c>
      <c r="B176" s="57"/>
      <c r="C176" s="135" t="str">
        <f>'Necesidades Trimestrales'!E174</f>
        <v>TUBO ENDOTRAQ.S/B Nº2-5</v>
      </c>
      <c r="D176" s="135"/>
      <c r="E176" s="135"/>
      <c r="F176" s="135"/>
      <c r="G176" s="135"/>
      <c r="H176" s="55" t="s">
        <v>54</v>
      </c>
      <c r="I176" s="56" t="str">
        <f>'Necesidades Trimestrales'!F174</f>
        <v>unidad</v>
      </c>
      <c r="J176" s="54">
        <f>'Necesidades Trimestrales'!H174</f>
        <v>54.5</v>
      </c>
      <c r="K176" s="53">
        <f>'Necesidades Trimestrales'!G174</f>
        <v>20</v>
      </c>
    </row>
    <row r="177" spans="1:14" ht="27.75" customHeight="1" x14ac:dyDescent="0.2">
      <c r="A177" s="51">
        <v>166</v>
      </c>
      <c r="B177" s="57"/>
      <c r="C177" s="135" t="str">
        <f>'Necesidades Trimestrales'!E175</f>
        <v>TUBO ENDOTRAQ.S/B Nº4-0</v>
      </c>
      <c r="D177" s="135"/>
      <c r="E177" s="135"/>
      <c r="F177" s="135"/>
      <c r="G177" s="135"/>
      <c r="H177" s="55" t="s">
        <v>54</v>
      </c>
      <c r="I177" s="56" t="str">
        <f>'Necesidades Trimestrales'!F175</f>
        <v>unidad</v>
      </c>
      <c r="J177" s="54">
        <f>'Necesidades Trimestrales'!H175</f>
        <v>54.5</v>
      </c>
      <c r="K177" s="53">
        <f>'Necesidades Trimestrales'!G175</f>
        <v>50</v>
      </c>
    </row>
    <row r="178" spans="1:14" ht="27.75" customHeight="1" x14ac:dyDescent="0.2">
      <c r="A178" s="51">
        <v>167</v>
      </c>
      <c r="B178" s="57"/>
      <c r="C178" s="135" t="str">
        <f>'Necesidades Trimestrales'!E176</f>
        <v>TUBO ENDOTRAQ.S/B Nº4-1/2</v>
      </c>
      <c r="D178" s="135"/>
      <c r="E178" s="135"/>
      <c r="F178" s="135"/>
      <c r="G178" s="135"/>
      <c r="H178" s="55" t="s">
        <v>54</v>
      </c>
      <c r="I178" s="56" t="str">
        <f>'Necesidades Trimestrales'!F176</f>
        <v>unidad</v>
      </c>
      <c r="J178" s="54">
        <f>'Necesidades Trimestrales'!H176</f>
        <v>54.5</v>
      </c>
      <c r="K178" s="53">
        <f>'Necesidades Trimestrales'!G176</f>
        <v>50</v>
      </c>
    </row>
    <row r="179" spans="1:14" ht="27.75" customHeight="1" x14ac:dyDescent="0.2">
      <c r="A179" s="51">
        <v>168</v>
      </c>
      <c r="B179" s="57"/>
      <c r="C179" s="135" t="str">
        <f>'Necesidades Trimestrales'!E177</f>
        <v>TUBO ENDOTRAQ.S/B Nº5-0</v>
      </c>
      <c r="D179" s="135"/>
      <c r="E179" s="135"/>
      <c r="F179" s="135"/>
      <c r="G179" s="135"/>
      <c r="H179" s="55" t="s">
        <v>54</v>
      </c>
      <c r="I179" s="56" t="str">
        <f>'Necesidades Trimestrales'!F177</f>
        <v>unidad</v>
      </c>
      <c r="J179" s="54">
        <f>'Necesidades Trimestrales'!H177</f>
        <v>54.5</v>
      </c>
      <c r="K179" s="53">
        <f>'Necesidades Trimestrales'!G177</f>
        <v>50</v>
      </c>
    </row>
    <row r="180" spans="1:14" ht="27.75" customHeight="1" x14ac:dyDescent="0.2">
      <c r="A180" s="51">
        <v>169</v>
      </c>
      <c r="B180" s="57"/>
      <c r="C180" s="135" t="str">
        <f>'Necesidades Trimestrales'!E178</f>
        <v>TUBO ENDOTRAQ.S/B Nº5-1/2</v>
      </c>
      <c r="D180" s="135"/>
      <c r="E180" s="135"/>
      <c r="F180" s="135"/>
      <c r="G180" s="135"/>
      <c r="H180" s="55" t="s">
        <v>54</v>
      </c>
      <c r="I180" s="56" t="str">
        <f>'Necesidades Trimestrales'!F178</f>
        <v>unidad</v>
      </c>
      <c r="J180" s="54">
        <f>'Necesidades Trimestrales'!H178</f>
        <v>54.5</v>
      </c>
      <c r="K180" s="53">
        <f>'Necesidades Trimestrales'!G178</f>
        <v>20</v>
      </c>
    </row>
    <row r="181" spans="1:14" ht="27.75" customHeight="1" x14ac:dyDescent="0.2">
      <c r="A181" s="51">
        <v>170</v>
      </c>
      <c r="B181" s="57"/>
      <c r="C181" s="135" t="str">
        <f>'Necesidades Trimestrales'!E179</f>
        <v>TUBO ENDOTRAQ.S/B N°6-0</v>
      </c>
      <c r="D181" s="135"/>
      <c r="E181" s="135"/>
      <c r="F181" s="135"/>
      <c r="G181" s="135"/>
      <c r="H181" s="55" t="s">
        <v>54</v>
      </c>
      <c r="I181" s="56" t="str">
        <f>'Necesidades Trimestrales'!F179</f>
        <v>unidad</v>
      </c>
      <c r="J181" s="54">
        <f>'Necesidades Trimestrales'!H179</f>
        <v>86</v>
      </c>
      <c r="K181" s="53">
        <f>'Necesidades Trimestrales'!G179</f>
        <v>30</v>
      </c>
    </row>
    <row r="182" spans="1:14" ht="27.75" customHeight="1" x14ac:dyDescent="0.2">
      <c r="A182" s="51">
        <v>171</v>
      </c>
      <c r="B182" s="57"/>
      <c r="C182" s="135" t="str">
        <f>'Necesidades Trimestrales'!E180</f>
        <v>TUBO ENDOTRAQUEALES TIPO RUSH S/B 3</v>
      </c>
      <c r="D182" s="135"/>
      <c r="E182" s="135"/>
      <c r="F182" s="135"/>
      <c r="G182" s="135"/>
      <c r="H182" s="55" t="s">
        <v>54</v>
      </c>
      <c r="I182" s="56" t="str">
        <f>'Necesidades Trimestrales'!F180</f>
        <v>unidad</v>
      </c>
      <c r="J182" s="54">
        <f>'Necesidades Trimestrales'!H180</f>
        <v>54.5</v>
      </c>
      <c r="K182" s="53">
        <f>'Necesidades Trimestrales'!G180</f>
        <v>20</v>
      </c>
    </row>
    <row r="183" spans="1:14" ht="27.75" customHeight="1" x14ac:dyDescent="0.2">
      <c r="A183" s="51">
        <v>172</v>
      </c>
      <c r="B183" s="57"/>
      <c r="C183" s="135" t="str">
        <f>'Necesidades Trimestrales'!E181</f>
        <v>TUBO ENDOTRAQUEALES TIPO RUSH S/B 3,5</v>
      </c>
      <c r="D183" s="135"/>
      <c r="E183" s="135"/>
      <c r="F183" s="135"/>
      <c r="G183" s="135"/>
      <c r="H183" s="55" t="s">
        <v>54</v>
      </c>
      <c r="I183" s="56" t="str">
        <f>'Necesidades Trimestrales'!F181</f>
        <v>unidad</v>
      </c>
      <c r="J183" s="54">
        <f>'Necesidades Trimestrales'!H181</f>
        <v>54.5</v>
      </c>
      <c r="K183" s="53">
        <f>'Necesidades Trimestrales'!G181</f>
        <v>20</v>
      </c>
    </row>
    <row r="184" spans="1:14" ht="27.75" customHeight="1" x14ac:dyDescent="0.2">
      <c r="A184" s="51">
        <v>173</v>
      </c>
      <c r="B184" s="57"/>
      <c r="C184" s="135" t="str">
        <f>'Necesidades Trimestrales'!E182</f>
        <v>TUBO TRAQUEAL EN "T" COD.260/10 T/SILMAG</v>
      </c>
      <c r="D184" s="135"/>
      <c r="E184" s="135"/>
      <c r="F184" s="135"/>
      <c r="G184" s="135"/>
      <c r="H184" s="55" t="s">
        <v>54</v>
      </c>
      <c r="I184" s="56" t="str">
        <f>'Necesidades Trimestrales'!F182</f>
        <v>unidad</v>
      </c>
      <c r="J184" s="54">
        <f>'Necesidades Trimestrales'!H182</f>
        <v>617</v>
      </c>
      <c r="K184" s="53">
        <f>'Necesidades Trimestrales'!G182</f>
        <v>20</v>
      </c>
    </row>
    <row r="185" spans="1:14" ht="27.75" customHeight="1" x14ac:dyDescent="0.2">
      <c r="A185" s="51">
        <v>174</v>
      </c>
      <c r="B185" s="57"/>
      <c r="C185" s="135" t="str">
        <f>'Necesidades Trimestrales'!E183</f>
        <v>VALVULA DE PIC P/MASC.AMBU</v>
      </c>
      <c r="D185" s="135"/>
      <c r="E185" s="135"/>
      <c r="F185" s="135"/>
      <c r="G185" s="135"/>
      <c r="H185" s="55" t="s">
        <v>54</v>
      </c>
      <c r="I185" s="56" t="str">
        <f>'Necesidades Trimestrales'!F183</f>
        <v>unidad</v>
      </c>
      <c r="J185" s="54">
        <f>'Necesidades Trimestrales'!H183</f>
        <v>1600</v>
      </c>
      <c r="K185" s="53">
        <f>'Necesidades Trimestrales'!G183</f>
        <v>30</v>
      </c>
    </row>
    <row r="186" spans="1:14" ht="27.75" customHeight="1" x14ac:dyDescent="0.2">
      <c r="A186" s="51">
        <v>175</v>
      </c>
      <c r="B186" s="57"/>
      <c r="C186" s="135" t="str">
        <f>'Necesidades Trimestrales'!E184</f>
        <v>VARA ESCHMANN N° 6 mm</v>
      </c>
      <c r="D186" s="135"/>
      <c r="E186" s="135"/>
      <c r="F186" s="135"/>
      <c r="G186" s="135"/>
      <c r="H186" s="55" t="s">
        <v>54</v>
      </c>
      <c r="I186" s="56" t="str">
        <f>'Necesidades Trimestrales'!F184</f>
        <v>unidad</v>
      </c>
      <c r="J186" s="54">
        <f>'Necesidades Trimestrales'!H184</f>
        <v>1875</v>
      </c>
      <c r="K186" s="53">
        <f>'Necesidades Trimestrales'!G184</f>
        <v>5</v>
      </c>
    </row>
    <row r="187" spans="1:14" ht="27.75" customHeight="1" x14ac:dyDescent="0.2">
      <c r="A187" s="51">
        <v>176</v>
      </c>
      <c r="B187" s="57"/>
      <c r="C187" s="135" t="str">
        <f>'Necesidades Trimestrales'!E185</f>
        <v>VARA ESCHMANN N° 9 mm</v>
      </c>
      <c r="D187" s="135"/>
      <c r="E187" s="135"/>
      <c r="F187" s="135"/>
      <c r="G187" s="135"/>
      <c r="H187" s="55" t="s">
        <v>54</v>
      </c>
      <c r="I187" s="56" t="str">
        <f>'Necesidades Trimestrales'!F185</f>
        <v>unidad</v>
      </c>
      <c r="J187" s="54">
        <f>'Necesidades Trimestrales'!H185</f>
        <v>1875</v>
      </c>
      <c r="K187" s="53">
        <f>'Necesidades Trimestrales'!G185</f>
        <v>5</v>
      </c>
    </row>
    <row r="188" spans="1:14" ht="27.75" customHeight="1" thickBot="1" x14ac:dyDescent="0.25">
      <c r="A188" s="51">
        <v>177</v>
      </c>
      <c r="B188" s="57"/>
      <c r="C188" s="135" t="str">
        <f>'Necesidades Trimestrales'!E186</f>
        <v xml:space="preserve">VENDA COBAN 10CM </v>
      </c>
      <c r="D188" s="135"/>
      <c r="E188" s="135"/>
      <c r="F188" s="135"/>
      <c r="G188" s="135"/>
      <c r="H188" s="55" t="s">
        <v>54</v>
      </c>
      <c r="I188" s="56" t="str">
        <f>'Necesidades Trimestrales'!F186</f>
        <v>unidad</v>
      </c>
      <c r="J188" s="54">
        <f>'Necesidades Trimestrales'!H186</f>
        <v>230</v>
      </c>
      <c r="K188" s="53">
        <f>'Necesidades Trimestrales'!G186</f>
        <v>50</v>
      </c>
    </row>
    <row r="189" spans="1:14" ht="20.25" customHeight="1" thickBot="1" x14ac:dyDescent="0.25">
      <c r="A189" s="136" t="s">
        <v>264</v>
      </c>
      <c r="B189" s="136"/>
      <c r="C189" s="136"/>
      <c r="D189" s="136"/>
      <c r="E189" s="136"/>
      <c r="F189" s="136"/>
      <c r="G189" s="136"/>
      <c r="H189" s="136"/>
      <c r="I189" s="136"/>
      <c r="J189" s="137">
        <f>SUMPRODUCT(J12:J188,K12:K188)</f>
        <v>9214277</v>
      </c>
      <c r="K189" s="137"/>
      <c r="N189" s="40"/>
    </row>
  </sheetData>
  <mergeCells count="199">
    <mergeCell ref="C73:G73"/>
    <mergeCell ref="C74:G74"/>
    <mergeCell ref="C75:G75"/>
    <mergeCell ref="C68:G68"/>
    <mergeCell ref="C69:G69"/>
    <mergeCell ref="C70:G70"/>
    <mergeCell ref="C71:G71"/>
    <mergeCell ref="C72:G72"/>
    <mergeCell ref="C59:G59"/>
    <mergeCell ref="C60:G60"/>
    <mergeCell ref="C61:G61"/>
    <mergeCell ref="C63:G63"/>
    <mergeCell ref="C64:G64"/>
    <mergeCell ref="C65:G65"/>
    <mergeCell ref="C66:G66"/>
    <mergeCell ref="C67:G67"/>
    <mergeCell ref="C62:G62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46:G46"/>
    <mergeCell ref="C47:G47"/>
    <mergeCell ref="C41:G41"/>
    <mergeCell ref="C42:G42"/>
    <mergeCell ref="C43:G43"/>
    <mergeCell ref="C44:G44"/>
    <mergeCell ref="C45:G45"/>
    <mergeCell ref="C48:G48"/>
    <mergeCell ref="C49:G4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C35:G35"/>
    <mergeCell ref="C36:G36"/>
    <mergeCell ref="C31:G31"/>
    <mergeCell ref="C26:G26"/>
    <mergeCell ref="C27:G27"/>
    <mergeCell ref="C28:G28"/>
    <mergeCell ref="C29:G29"/>
    <mergeCell ref="C30:G30"/>
    <mergeCell ref="C76:G76"/>
    <mergeCell ref="C77:G77"/>
    <mergeCell ref="C78:G78"/>
    <mergeCell ref="C79:G79"/>
    <mergeCell ref="C80:G80"/>
    <mergeCell ref="A189:I189"/>
    <mergeCell ref="J189:K18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38:G38"/>
    <mergeCell ref="C39:G39"/>
    <mergeCell ref="C40:G40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84:G184"/>
    <mergeCell ref="C185:G185"/>
    <mergeCell ref="C186:G186"/>
    <mergeCell ref="C187:G187"/>
    <mergeCell ref="C188:G188"/>
    <mergeCell ref="C174:G174"/>
    <mergeCell ref="C175:G175"/>
    <mergeCell ref="C176:G176"/>
    <mergeCell ref="C177:G177"/>
    <mergeCell ref="C178:G178"/>
    <mergeCell ref="C179:G179"/>
    <mergeCell ref="C181:G181"/>
    <mergeCell ref="C182:G182"/>
    <mergeCell ref="C183:G183"/>
    <mergeCell ref="C180:G18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opLeftCell="A4" zoomScale="130" zoomScaleNormal="130" workbookViewId="0">
      <selection activeCell="G24" sqref="G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1.7109375" bestFit="1" customWidth="1"/>
  </cols>
  <sheetData>
    <row r="1" spans="1:19" ht="15.75" customHeight="1" x14ac:dyDescent="0.25">
      <c r="A1" s="174" t="s">
        <v>3</v>
      </c>
      <c r="B1" s="174"/>
      <c r="C1" s="174"/>
      <c r="D1" s="175">
        <f>'Necesidades Trimestrales'!C6</f>
        <v>2021</v>
      </c>
      <c r="E1" s="175"/>
      <c r="F1" s="3"/>
      <c r="G1" s="3"/>
      <c r="H1" s="4"/>
      <c r="I1" s="4"/>
      <c r="J1" s="4"/>
      <c r="K1" s="4"/>
      <c r="L1" s="4"/>
      <c r="M1" s="4"/>
      <c r="N1" s="4"/>
      <c r="P1" s="176" t="s">
        <v>25</v>
      </c>
      <c r="Q1" s="176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76"/>
      <c r="Q2" s="176"/>
    </row>
    <row r="4" spans="1:19" s="5" customFormat="1" ht="18" customHeight="1" thickBot="1" x14ac:dyDescent="0.25">
      <c r="A4" s="177" t="s">
        <v>26</v>
      </c>
      <c r="B4" s="177"/>
      <c r="C4" s="177"/>
      <c r="D4" s="177"/>
      <c r="E4" s="177"/>
      <c r="F4" s="177"/>
      <c r="G4" s="172" t="str">
        <f>' NotaPedido'!D3</f>
        <v>040 - Ministerio de Salud</v>
      </c>
      <c r="H4" s="172"/>
      <c r="I4" s="172"/>
      <c r="J4" s="172"/>
      <c r="K4" s="172"/>
      <c r="L4" s="172"/>
      <c r="M4" s="172"/>
      <c r="N4" s="172"/>
      <c r="O4" s="172"/>
      <c r="P4" s="172"/>
      <c r="Q4" s="172"/>
    </row>
    <row r="5" spans="1:19" s="5" customFormat="1" ht="18" customHeight="1" thickBot="1" x14ac:dyDescent="0.25">
      <c r="A5" s="169" t="s">
        <v>49</v>
      </c>
      <c r="B5" s="170"/>
      <c r="C5" s="170"/>
      <c r="D5" s="170"/>
      <c r="E5" s="170"/>
      <c r="F5" s="171"/>
      <c r="G5" s="172" t="str">
        <f>' NotaPedido'!D4</f>
        <v>024 - Hospital Interzonal de Niños</v>
      </c>
      <c r="H5" s="172"/>
      <c r="I5" s="172"/>
      <c r="J5" s="172"/>
      <c r="K5" s="172"/>
      <c r="L5" s="172"/>
      <c r="M5" s="172"/>
      <c r="N5" s="172"/>
      <c r="O5" s="172"/>
      <c r="P5" s="172"/>
      <c r="Q5" s="172"/>
    </row>
    <row r="6" spans="1:19" s="5" customFormat="1" ht="18" customHeight="1" thickBot="1" x14ac:dyDescent="0.25">
      <c r="A6" s="169" t="s">
        <v>27</v>
      </c>
      <c r="B6" s="170"/>
      <c r="C6" s="170"/>
      <c r="D6" s="170"/>
      <c r="E6" s="170"/>
      <c r="F6" s="171"/>
      <c r="G6" s="172" t="str">
        <f>' NotaPedido'!D5</f>
        <v>024 - Hospital Interzonal de Niños</v>
      </c>
      <c r="H6" s="172"/>
      <c r="I6" s="172"/>
      <c r="J6" s="172"/>
      <c r="K6" s="172"/>
      <c r="L6" s="172"/>
      <c r="M6" s="172"/>
      <c r="N6" s="172"/>
      <c r="O6" s="172"/>
      <c r="P6" s="172"/>
      <c r="Q6" s="172"/>
    </row>
    <row r="7" spans="1:19" s="5" customFormat="1" ht="18" customHeight="1" thickBot="1" x14ac:dyDescent="0.25">
      <c r="A7" s="169" t="s">
        <v>50</v>
      </c>
      <c r="B7" s="170"/>
      <c r="C7" s="170"/>
      <c r="D7" s="170"/>
      <c r="E7" s="170"/>
      <c r="F7" s="171"/>
      <c r="G7" s="172" t="s">
        <v>56</v>
      </c>
      <c r="H7" s="172"/>
      <c r="I7" s="172"/>
      <c r="J7" s="172"/>
      <c r="K7" s="172"/>
      <c r="L7" s="172"/>
      <c r="M7" s="172"/>
      <c r="N7" s="172"/>
      <c r="O7" s="172"/>
      <c r="P7" s="172"/>
      <c r="Q7" s="172"/>
    </row>
    <row r="8" spans="1:19" ht="18" customHeight="1" thickBot="1" x14ac:dyDescent="0.25">
      <c r="A8" s="173" t="s">
        <v>28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9" ht="18" customHeight="1" x14ac:dyDescent="0.2">
      <c r="A9" s="158" t="s">
        <v>29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"/>
      <c r="P9" s="1"/>
      <c r="Q9" s="6"/>
    </row>
    <row r="10" spans="1:19" ht="54.75" customHeight="1" x14ac:dyDescent="0.2">
      <c r="A10" s="15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110/2021,  afectando la erogación resultante a los créditos presupuestarios aprobados a favor de esta Unidad Ejecutora, conforme al siguiente detalle: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thickBot="1" x14ac:dyDescent="0.25">
      <c r="A12" s="160" t="s">
        <v>30</v>
      </c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</row>
    <row r="13" spans="1:19" ht="15.75" customHeight="1" thickBot="1" x14ac:dyDescent="0.25">
      <c r="A13" s="161" t="s">
        <v>31</v>
      </c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3" t="s">
        <v>32</v>
      </c>
      <c r="P13" s="164"/>
      <c r="Q13" s="167" t="s">
        <v>33</v>
      </c>
    </row>
    <row r="14" spans="1:19" ht="15.75" customHeight="1" thickBot="1" x14ac:dyDescent="0.25">
      <c r="A14" s="45" t="s">
        <v>34</v>
      </c>
      <c r="B14" s="46" t="s">
        <v>35</v>
      </c>
      <c r="C14" s="46" t="s">
        <v>36</v>
      </c>
      <c r="D14" s="46" t="s">
        <v>37</v>
      </c>
      <c r="E14" s="46" t="s">
        <v>38</v>
      </c>
      <c r="F14" s="46" t="s">
        <v>39</v>
      </c>
      <c r="G14" s="47" t="s">
        <v>40</v>
      </c>
      <c r="H14" s="46" t="s">
        <v>41</v>
      </c>
      <c r="I14" s="46" t="s">
        <v>42</v>
      </c>
      <c r="J14" s="46" t="s">
        <v>43</v>
      </c>
      <c r="K14" s="46" t="s">
        <v>43</v>
      </c>
      <c r="L14" s="46" t="s">
        <v>44</v>
      </c>
      <c r="M14" s="48" t="s">
        <v>45</v>
      </c>
      <c r="N14" s="49" t="s">
        <v>46</v>
      </c>
      <c r="O14" s="165"/>
      <c r="P14" s="166"/>
      <c r="Q14" s="168"/>
    </row>
    <row r="15" spans="1:19" ht="26.25" customHeight="1" x14ac:dyDescent="0.2">
      <c r="A15" s="41">
        <v>36</v>
      </c>
      <c r="B15" s="42"/>
      <c r="C15" s="42"/>
      <c r="D15" s="42">
        <v>1</v>
      </c>
      <c r="E15" s="42"/>
      <c r="F15" s="42">
        <v>4901</v>
      </c>
      <c r="G15" s="42">
        <v>3</v>
      </c>
      <c r="H15" s="42">
        <v>310</v>
      </c>
      <c r="I15" s="42">
        <v>2</v>
      </c>
      <c r="J15" s="42">
        <v>5</v>
      </c>
      <c r="K15" s="42">
        <v>1</v>
      </c>
      <c r="L15" s="42"/>
      <c r="M15" s="43">
        <v>1</v>
      </c>
      <c r="N15" s="44" t="s">
        <v>53</v>
      </c>
      <c r="O15" s="153" t="s">
        <v>238</v>
      </c>
      <c r="P15" s="153"/>
      <c r="Q15" s="50">
        <v>330987</v>
      </c>
      <c r="S15" s="104"/>
    </row>
    <row r="16" spans="1:19" ht="30" customHeight="1" x14ac:dyDescent="0.2">
      <c r="A16" s="41">
        <v>36</v>
      </c>
      <c r="B16" s="42"/>
      <c r="C16" s="42"/>
      <c r="D16" s="42">
        <v>1</v>
      </c>
      <c r="E16" s="42"/>
      <c r="F16" s="42">
        <v>4901</v>
      </c>
      <c r="G16" s="42">
        <v>3</v>
      </c>
      <c r="H16" s="42">
        <v>310</v>
      </c>
      <c r="I16" s="42">
        <v>2</v>
      </c>
      <c r="J16" s="42">
        <v>9</v>
      </c>
      <c r="K16" s="42">
        <v>5</v>
      </c>
      <c r="L16" s="42"/>
      <c r="M16" s="43">
        <v>1</v>
      </c>
      <c r="N16" s="44" t="s">
        <v>53</v>
      </c>
      <c r="O16" s="153" t="s">
        <v>58</v>
      </c>
      <c r="P16" s="153"/>
      <c r="Q16" s="15">
        <v>8377890</v>
      </c>
    </row>
    <row r="17" spans="1:18" ht="21" customHeight="1" x14ac:dyDescent="0.2">
      <c r="A17" s="41"/>
      <c r="B17" s="42"/>
      <c r="C17" s="42"/>
      <c r="D17" s="42"/>
      <c r="E17" s="42"/>
      <c r="F17" s="42"/>
      <c r="G17" s="42"/>
      <c r="H17" s="42"/>
      <c r="I17" s="42">
        <v>2</v>
      </c>
      <c r="J17" s="42">
        <v>2</v>
      </c>
      <c r="K17" s="42">
        <v>1</v>
      </c>
      <c r="L17" s="42"/>
      <c r="M17" s="43">
        <v>1</v>
      </c>
      <c r="N17" s="44" t="s">
        <v>53</v>
      </c>
      <c r="O17" s="153"/>
      <c r="P17" s="153"/>
      <c r="Q17" s="15">
        <v>190000</v>
      </c>
    </row>
    <row r="18" spans="1:18" ht="23.25" customHeight="1" x14ac:dyDescent="0.2">
      <c r="A18" s="41"/>
      <c r="B18" s="42"/>
      <c r="C18" s="42"/>
      <c r="D18" s="42"/>
      <c r="E18" s="42"/>
      <c r="F18" s="42"/>
      <c r="G18" s="42"/>
      <c r="H18" s="42"/>
      <c r="I18" s="42">
        <v>2</v>
      </c>
      <c r="J18" s="42">
        <v>3</v>
      </c>
      <c r="K18" s="42">
        <v>4</v>
      </c>
      <c r="L18" s="42"/>
      <c r="M18" s="43"/>
      <c r="N18" s="44"/>
      <c r="O18" s="153"/>
      <c r="P18" s="153"/>
      <c r="Q18" s="15">
        <v>151800</v>
      </c>
    </row>
    <row r="19" spans="1:18" ht="17.25" customHeight="1" x14ac:dyDescent="0.2">
      <c r="A19" s="11"/>
      <c r="B19" s="12"/>
      <c r="C19" s="12"/>
      <c r="D19" s="12"/>
      <c r="E19" s="12"/>
      <c r="F19" s="14"/>
      <c r="G19" s="12"/>
      <c r="H19" s="12"/>
      <c r="I19" s="12">
        <v>2</v>
      </c>
      <c r="J19" s="12">
        <v>5</v>
      </c>
      <c r="K19" s="12">
        <v>2</v>
      </c>
      <c r="L19" s="12"/>
      <c r="M19" s="13"/>
      <c r="N19" s="14"/>
      <c r="O19" s="148"/>
      <c r="P19" s="148"/>
      <c r="Q19" s="15">
        <v>89500</v>
      </c>
    </row>
    <row r="20" spans="1:18" ht="17.25" customHeight="1" x14ac:dyDescent="0.2">
      <c r="A20" s="16"/>
      <c r="B20" s="17"/>
      <c r="C20" s="17"/>
      <c r="D20" s="17"/>
      <c r="E20" s="17"/>
      <c r="F20" s="18"/>
      <c r="G20" s="17"/>
      <c r="H20" s="17"/>
      <c r="I20" s="125">
        <v>2</v>
      </c>
      <c r="J20" s="125">
        <v>5</v>
      </c>
      <c r="K20" s="125">
        <v>8</v>
      </c>
      <c r="L20" s="17"/>
      <c r="M20" s="19"/>
      <c r="N20" s="20"/>
      <c r="O20" s="149"/>
      <c r="P20" s="149"/>
      <c r="Q20" s="15">
        <v>74100</v>
      </c>
      <c r="R20" s="1"/>
    </row>
    <row r="21" spans="1:18" ht="17.25" customHeight="1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22"/>
      <c r="O21" s="150"/>
      <c r="P21" s="150"/>
      <c r="Q21" s="24"/>
    </row>
    <row r="22" spans="1:18" ht="29.25" customHeight="1" x14ac:dyDescent="0.2">
      <c r="A22" s="151" t="s">
        <v>265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25">
        <f>SUM(Q15:Q21)</f>
        <v>9214277</v>
      </c>
    </row>
    <row r="23" spans="1:18" ht="18" customHeight="1" thickBot="1" x14ac:dyDescent="0.25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</row>
    <row r="24" spans="1:18" ht="17.25" customHeight="1" thickBot="1" x14ac:dyDescent="0.25">
      <c r="A24" s="154" t="s">
        <v>47</v>
      </c>
      <c r="B24" s="155"/>
      <c r="C24" s="155"/>
      <c r="D24" s="155"/>
      <c r="E24" s="155"/>
      <c r="F24" s="156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</row>
    <row r="25" spans="1:18" ht="18" customHeight="1" thickBot="1" x14ac:dyDescent="0.25">
      <c r="A25" s="147" t="s">
        <v>237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</row>
    <row r="26" spans="1:18" ht="26.25" customHeight="1" x14ac:dyDescent="0.2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A24:F24"/>
    <mergeCell ref="G24:Q24"/>
    <mergeCell ref="O17:P17"/>
    <mergeCell ref="O18:P18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SILVINA ATENCIO</cp:lastModifiedBy>
  <cp:revision>2</cp:revision>
  <cp:lastPrinted>2021-06-23T13:21:08Z</cp:lastPrinted>
  <dcterms:created xsi:type="dcterms:W3CDTF">2020-07-17T23:44:49Z</dcterms:created>
  <dcterms:modified xsi:type="dcterms:W3CDTF">2021-08-17T13:53:41Z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