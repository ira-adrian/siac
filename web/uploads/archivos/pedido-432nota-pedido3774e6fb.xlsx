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2"/>
  </bookViews>
  <sheets>
    <sheet name="NEC.TRIM." sheetId="1" r:id="rId1"/>
    <sheet name="NP" sheetId="2" r:id="rId2"/>
    <sheet name="APG" sheetId="3" r:id="rId3"/>
  </sheets>
  <externalReferences>
    <externalReference r:id="rId4"/>
  </externalReferences>
  <definedNames>
    <definedName name="_xlnm.Print_Area" localSheetId="0">NEC.TRIM.!$A$1:$I$37</definedName>
    <definedName name="_xlnm.Print_Area" localSheetId="1">NP!$A$1:$K$39</definedName>
  </definedNames>
  <calcPr calcId="144525"/>
</workbook>
</file>

<file path=xl/calcChain.xml><?xml version="1.0" encoding="utf-8"?>
<calcChain xmlns="http://schemas.openxmlformats.org/spreadsheetml/2006/main">
  <c r="E23" i="1" l="1"/>
  <c r="Q19" i="3"/>
  <c r="I32" i="1"/>
  <c r="C33" i="2"/>
  <c r="B23" i="1"/>
  <c r="D31" i="1"/>
  <c r="I21" i="2" l="1"/>
  <c r="I31" i="2"/>
  <c r="Q20" i="3" l="1"/>
  <c r="A10" i="3"/>
  <c r="G5" i="3"/>
  <c r="G4" i="3"/>
  <c r="D1" i="3"/>
  <c r="J38" i="2" l="1"/>
  <c r="I37" i="2"/>
  <c r="C37" i="2"/>
  <c r="B37" i="2"/>
  <c r="I36" i="2"/>
  <c r="C36" i="2"/>
  <c r="B36" i="2"/>
  <c r="I35" i="2"/>
  <c r="C35" i="2"/>
  <c r="B35" i="2"/>
  <c r="I34" i="2"/>
  <c r="C34" i="2"/>
  <c r="B34" i="2"/>
  <c r="I33" i="2"/>
  <c r="B33" i="2"/>
  <c r="I32" i="2"/>
  <c r="C32" i="2"/>
  <c r="B32" i="2"/>
  <c r="C31" i="2"/>
  <c r="B31" i="2"/>
  <c r="I30" i="2"/>
  <c r="C30" i="2"/>
  <c r="B30" i="2"/>
  <c r="I29" i="2"/>
  <c r="C29" i="2"/>
  <c r="B29" i="2"/>
  <c r="I28" i="2"/>
  <c r="C28" i="2"/>
  <c r="B28" i="2"/>
  <c r="I27" i="2"/>
  <c r="C27" i="2"/>
  <c r="B27" i="2"/>
  <c r="I26" i="2"/>
  <c r="C26" i="2"/>
  <c r="B26" i="2"/>
  <c r="I25" i="2"/>
  <c r="I24" i="2"/>
  <c r="C24" i="2"/>
  <c r="B24" i="2"/>
  <c r="I23" i="2"/>
  <c r="C23" i="2"/>
  <c r="B23" i="2"/>
  <c r="I22" i="2"/>
  <c r="C22" i="2"/>
  <c r="B22" i="2"/>
  <c r="C21" i="2"/>
  <c r="B21" i="2"/>
  <c r="I20" i="2"/>
  <c r="C20" i="2"/>
  <c r="B20" i="2"/>
  <c r="I19" i="2"/>
  <c r="C19" i="2"/>
  <c r="B19" i="2"/>
  <c r="I18" i="2"/>
  <c r="C18" i="2"/>
  <c r="B18" i="2"/>
  <c r="I17" i="2"/>
  <c r="C17" i="2"/>
  <c r="B17" i="2"/>
  <c r="I16" i="2"/>
  <c r="C16" i="2"/>
  <c r="B16" i="2"/>
  <c r="I15" i="2"/>
  <c r="C15" i="2"/>
  <c r="B15" i="2"/>
  <c r="I14" i="2"/>
  <c r="C14" i="2"/>
  <c r="B14" i="2"/>
  <c r="I13" i="2"/>
  <c r="C13" i="2"/>
  <c r="B13" i="2"/>
  <c r="I12" i="2"/>
  <c r="C12" i="2"/>
  <c r="B12" i="2"/>
  <c r="D7" i="2"/>
  <c r="D4" i="2"/>
  <c r="D3" i="2"/>
  <c r="I35" i="1" l="1"/>
  <c r="E35" i="1"/>
  <c r="C35" i="1"/>
  <c r="B35" i="1"/>
  <c r="I34" i="1"/>
  <c r="E34" i="1"/>
  <c r="C34" i="1"/>
  <c r="B34" i="1"/>
  <c r="I33" i="1"/>
  <c r="E33" i="1"/>
  <c r="C33" i="1"/>
  <c r="B33" i="1"/>
  <c r="E32" i="1"/>
  <c r="C32" i="1"/>
  <c r="B32" i="1"/>
  <c r="I31" i="1"/>
  <c r="I30" i="1"/>
  <c r="E30" i="1"/>
  <c r="C30" i="1"/>
  <c r="B30" i="1"/>
  <c r="D30" i="1" s="1"/>
  <c r="I29" i="1"/>
  <c r="E29" i="1"/>
  <c r="C29" i="1"/>
  <c r="B29" i="1"/>
  <c r="D29" i="1" s="1"/>
  <c r="I28" i="1"/>
  <c r="E28" i="1"/>
  <c r="C28" i="1"/>
  <c r="B28" i="1"/>
  <c r="I27" i="1"/>
  <c r="E27" i="1"/>
  <c r="C27" i="1"/>
  <c r="B27" i="1"/>
  <c r="I26" i="1"/>
  <c r="E26" i="1"/>
  <c r="C26" i="1"/>
  <c r="B26" i="1"/>
  <c r="I25" i="1"/>
  <c r="E25" i="1"/>
  <c r="C25" i="1"/>
  <c r="B25" i="1"/>
  <c r="I24" i="1"/>
  <c r="E24" i="1"/>
  <c r="C24" i="1"/>
  <c r="B24" i="1"/>
  <c r="I23" i="1"/>
  <c r="I22" i="1"/>
  <c r="E22" i="1"/>
  <c r="C22" i="1"/>
  <c r="B22" i="1"/>
  <c r="D22" i="1" s="1"/>
  <c r="I21" i="1"/>
  <c r="E21" i="1"/>
  <c r="C21" i="1"/>
  <c r="B21" i="1"/>
  <c r="D21" i="1" s="1"/>
  <c r="I20" i="1"/>
  <c r="E20" i="1"/>
  <c r="C20" i="1"/>
  <c r="B20" i="1"/>
  <c r="D20" i="1" s="1"/>
  <c r="I19" i="1"/>
  <c r="E19" i="1"/>
  <c r="C19" i="1"/>
  <c r="B19" i="1"/>
  <c r="D19" i="1" s="1"/>
  <c r="I18" i="1"/>
  <c r="E18" i="1"/>
  <c r="C18" i="1"/>
  <c r="B18" i="1"/>
  <c r="D18" i="1" s="1"/>
  <c r="I17" i="1"/>
  <c r="E17" i="1"/>
  <c r="C17" i="1"/>
  <c r="B17" i="1"/>
  <c r="D17" i="1" s="1"/>
  <c r="I16" i="1"/>
  <c r="E16" i="1"/>
  <c r="C16" i="1"/>
  <c r="B16" i="1"/>
  <c r="D16" i="1" s="1"/>
  <c r="I15" i="1"/>
  <c r="E15" i="1"/>
  <c r="C15" i="1"/>
  <c r="B15" i="1"/>
  <c r="D15" i="1" s="1"/>
  <c r="I14" i="1"/>
  <c r="E14" i="1"/>
  <c r="C14" i="1"/>
  <c r="B14" i="1"/>
  <c r="D14" i="1" s="1"/>
  <c r="I13" i="1"/>
  <c r="E13" i="1"/>
  <c r="C13" i="1"/>
  <c r="B13" i="1"/>
  <c r="I12" i="1"/>
  <c r="E12" i="1"/>
  <c r="C12" i="1"/>
  <c r="B12" i="1"/>
  <c r="I11" i="1"/>
  <c r="E11" i="1"/>
  <c r="C11" i="1"/>
  <c r="B11" i="1"/>
  <c r="D11" i="1" s="1"/>
  <c r="I10" i="1"/>
  <c r="E10" i="1"/>
  <c r="C10" i="1"/>
  <c r="B10" i="1"/>
  <c r="I36" i="1" l="1"/>
  <c r="L9" i="1"/>
  <c r="D25" i="1"/>
  <c r="D26" i="1"/>
  <c r="D10" i="1"/>
  <c r="D27" i="1"/>
  <c r="D35" i="1"/>
  <c r="D12" i="1"/>
  <c r="D13" i="1"/>
  <c r="D28" i="1"/>
</calcChain>
</file>

<file path=xl/sharedStrings.xml><?xml version="1.0" encoding="utf-8"?>
<sst xmlns="http://schemas.openxmlformats.org/spreadsheetml/2006/main" count="452" uniqueCount="133">
  <si>
    <t>Pedido de Necesidades Trimestrales</t>
  </si>
  <si>
    <t>JURISDICCION:</t>
  </si>
  <si>
    <t>45- Ministerio de Desarrollo Social y Deporte</t>
  </si>
  <si>
    <t xml:space="preserve">SAF N°: </t>
  </si>
  <si>
    <t>25- Direccion Provincial de Gestion  Administrativa y RRHH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</si>
  <si>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</si>
  <si>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</si>
  <si>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</si>
  <si>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</si>
  <si>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</si>
  <si>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</si>
  <si>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</si>
  <si>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</si>
  <si>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</si>
  <si>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</si>
  <si>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</si>
  <si>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</si>
  <si>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</si>
  <si>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</si>
  <si>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Pelota de futbol tipo Nassau Pro , material PU , cosida a mano, Nº5, uso profesional, tipo de superficie: cesped natural.</t>
  </si>
  <si>
    <t>Plazos y lugares de entrega</t>
  </si>
  <si>
    <t>10 dias</t>
  </si>
  <si>
    <t>Secretaria de Deporte y Recreacion- Polideportivo Capital cito en calle: RAMON J. LUNA S/N San Fernando del Valle de Catamarca</t>
  </si>
  <si>
    <t>Calidad Minima esperada</t>
  </si>
  <si>
    <t>ALTA</t>
  </si>
  <si>
    <t>Mantenimiento</t>
  </si>
  <si>
    <t>60 dias</t>
  </si>
  <si>
    <t>Garantia</t>
  </si>
  <si>
    <t>S/E</t>
  </si>
  <si>
    <t>Especificidades Item N°2:</t>
  </si>
  <si>
    <t>Juego completo de camisetas, pantalón y medias para futbol, talles M-L.XL, colores varios, tipo Nassau.</t>
  </si>
  <si>
    <t>Especificidades Item N°3:</t>
  </si>
  <si>
    <t>Juego de pecheras para entrenamiento de futbol, tela set de poliester , talles M - L - XL</t>
  </si>
  <si>
    <t>Especificidades Item N°4:</t>
  </si>
  <si>
    <t>Red de futbol, tejido doble malla 14 x 14, hilo de 4 mm (el par)</t>
  </si>
  <si>
    <t>Especificidades Item N°5:</t>
  </si>
  <si>
    <t>Trofeo de 30 cm, material plastico, base de marmol , con grabado.</t>
  </si>
  <si>
    <t>Especificidades Item N°06:</t>
  </si>
  <si>
    <t>Trofeo de 40 cm, material plastico, base de marmol , con grabado.</t>
  </si>
  <si>
    <t>Especificidades Item N°07:</t>
  </si>
  <si>
    <t>Trofeo de 50 cm, material plastico, base de marmol , con grabado.</t>
  </si>
  <si>
    <t>Especificidades Item N°08:</t>
  </si>
  <si>
    <t>Trofeo de 60 cm, material plastico, base de marmol , con grabado.</t>
  </si>
  <si>
    <t>Especificidades Item N°09:</t>
  </si>
  <si>
    <t>Trofeo de 70 cm, material plastico, base de marmol , con grabado.</t>
  </si>
  <si>
    <t>Especificidades Item N°10:</t>
  </si>
  <si>
    <t>Trofeo de 80 cm, material plastico, base de marmol , con grabado.</t>
  </si>
  <si>
    <t>Especificidades Item N°11:</t>
  </si>
  <si>
    <t>Medalla de 40 mm de diámetro, material zamac, color plateado a viejo, con grabado.</t>
  </si>
  <si>
    <t>Especificidades Item N°12:</t>
  </si>
  <si>
    <t>Medalla de 50 mm de diámetro, material zamac, color plateado a viejo, con grabado.</t>
  </si>
  <si>
    <t>Especificidades Item N°13:</t>
  </si>
  <si>
    <t>Medalla de 60 mm de diámetro, material zamac, color plateado a viejo, con grabado.</t>
  </si>
  <si>
    <t>Especificidades Item N°14:</t>
  </si>
  <si>
    <t>Especificidades Item N°15:</t>
  </si>
  <si>
    <t>Baston para hockey, materialfibra de vidrio y carbono, de 37".-</t>
  </si>
  <si>
    <t>Especificidades Item N°16:</t>
  </si>
  <si>
    <t>Bocha de hockey tipo Nassau, punteada , material PVC , nucleo hueco.</t>
  </si>
  <si>
    <t>Especificidades Item N°17:</t>
  </si>
  <si>
    <t>Pelotas de basquet N°7  tipo Molten GG7X, tamaño y peso oficiales Liga Nacional Basquet, Cuero compuesto premium, 12 paneles , camara Nylon enrollado butilo vejiga, Construcción Laminado, uso en interiores</t>
  </si>
  <si>
    <t>Especificidades Item N°18:</t>
  </si>
  <si>
    <t xml:space="preserve">Red de basquet tejido doble hilo, 4 mm, polietileno, el par        </t>
  </si>
  <si>
    <t>Especificidades Item N°19:</t>
  </si>
  <si>
    <t>Pelotas de basquet N°5  tipo Molten GG7X, tamaño y peso oficiales Liga Nacional Basquet, Cuero compuesto premium, 12 paneles , camara Nylon enrollado butilo vejiga, Construcción Laminado, uso en interiores</t>
  </si>
  <si>
    <t>Especificidades Item N°20:</t>
  </si>
  <si>
    <t xml:space="preserve">Pelotas de Voley tipo Mi Kasa oficial, Federación Internacional Voley - FIVB </t>
  </si>
  <si>
    <t>Especificidades Item N° 21:</t>
  </si>
  <si>
    <t>Red de voley con cable doble banda  PVC, malla 10 x10 polietileno</t>
  </si>
  <si>
    <t>Especificidades Item N°22:</t>
  </si>
  <si>
    <t>Especificidades Item N°23:</t>
  </si>
  <si>
    <t>Escalera de cordinacion, material PVC, con 10 escalones regulables.</t>
  </si>
  <si>
    <t>Especificidades Item N°24:</t>
  </si>
  <si>
    <t>Valla regulable de 1 mts de altura, material PVC.</t>
  </si>
  <si>
    <t>Especificidades Item N°25:</t>
  </si>
  <si>
    <t>Manopla de natacion, material polipropileno, tamaño L.</t>
  </si>
  <si>
    <t>Especificidades Item N°26:</t>
  </si>
  <si>
    <t>Flotador tipo tabla para natacion</t>
  </si>
  <si>
    <t>NOTA DE PEDIDO</t>
  </si>
  <si>
    <t>N°</t>
  </si>
  <si>
    <t>70/20</t>
  </si>
  <si>
    <t xml:space="preserve">JURISDICCIÓN: </t>
  </si>
  <si>
    <t>SAF:</t>
  </si>
  <si>
    <t>UNIDAD EJECUTORA:</t>
  </si>
  <si>
    <t>Secretaria de Deporte y Recreacion</t>
  </si>
  <si>
    <t xml:space="preserve">DEPENDENCIA SOLICITANTE: </t>
  </si>
  <si>
    <t>Actividad Central</t>
  </si>
  <si>
    <t>PERIODO UTILIZACIÓN:</t>
  </si>
  <si>
    <t>OBJETO:</t>
  </si>
  <si>
    <t>Adquisicion de Elementos deportivos para las distintas  Instituciones Dependientes del Ministerio de Desarrollo Social y Deporte.-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</si>
  <si>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</si>
  <si>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</si>
  <si>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</si>
  <si>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</si>
  <si>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</si>
  <si>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</si>
  <si>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</si>
  <si>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</si>
  <si>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NOVECIENTOS NOVENTA Y NUEVE MIL SETENTA CON 00/100.-</t>
  </si>
  <si>
    <t>AUTORIZACION PARA GASTAR</t>
  </si>
  <si>
    <t>JURISDICCIÓN:</t>
  </si>
  <si>
    <r>
      <rPr>
        <b/>
        <u/>
        <sz val="10"/>
        <rFont val="Arial"/>
      </rPr>
      <t>AUTORIZACIÓN</t>
    </r>
    <r>
      <rPr>
        <b/>
        <sz val="10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</si>
  <si>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</si>
  <si>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</si>
  <si>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</si>
  <si>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</si>
  <si>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</si>
  <si>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</si>
  <si>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</si>
  <si>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</si>
  <si>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</si>
  <si>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</si>
  <si>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</si>
  <si>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</si>
  <si>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</si>
  <si>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</si>
  <si>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</si>
  <si>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</si>
  <si>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</si>
  <si>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</si>
  <si>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</si>
  <si>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PRENDAS DE VESTIR</t>
  </si>
  <si>
    <t>PRODUCTOS NO FERROSOS</t>
  </si>
  <si>
    <t>OTROS N.E.P.</t>
  </si>
  <si>
    <t>JUSTIFICACIÓN:</t>
  </si>
  <si>
    <t>TOTAL DE PESOS: NOVECIENTOS NOVENTA Y NUEVE MIL SETENTA CON 00/100</t>
  </si>
  <si>
    <t>2.9.6</t>
  </si>
  <si>
    <t>RESPUESTOS Y ACCESORIOS</t>
  </si>
  <si>
    <t>2.9.9-2448.52</t>
  </si>
  <si>
    <t>UTILES Y PRODUCTOS DEPORTIVOS</t>
  </si>
  <si>
    <t>PELOTAS; MATERIAL: GRIP SINTETICA, TIPO: RUGBY, NUMERO: 6</t>
  </si>
  <si>
    <t>2.9.9-2448.45</t>
  </si>
  <si>
    <t>PELOTAS; MATERIAL: GOMA/LATEX, TIPO: ESFERODINAMIA, NUMERO: DIAM. 65 Cm</t>
  </si>
  <si>
    <t>2.9.9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</si>
</sst>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\ #,##0.00"/>
    <numFmt numFmtId="165" formatCode="[$$-2C0A]\ #,##0.00;[$$-2C0A]&quot; -&quot;#,##0.00"/>
    <numFmt numFmtId="166" formatCode="[$$-2C0A]\ #,##0.00"/>
    <numFmt numFmtId="167" formatCode="dd\-mm\-yy"/>
    <numFmt numFmtId="168" formatCode="_ [$$-2C0A]\ * #,##0.00_ ;_ [$$-2C0A]\ * \-#,##0.00_ ;_ [$$-2C0A]\ * &quot;-&quot;??_ ;_ @_ "/>
    <numFmt numFmtId="169" formatCode="_-[$$-2C0A]\ * #,##0.00_-;\-[$$-2C0A]\ * #,##0.00_-;_-[$$-2C0A]\ * &quot;-&quot;??_-;_-@"/>
  </numFmts>
  <fonts count="29" x14ac:knownFonts="1">
    <font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22"/>
      <color theme="1"/>
      <name val="Times New Roman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name val="Arial"/>
    </font>
    <font>
      <sz val="10"/>
      <color rgb="FF000000"/>
      <name val="Times New Roman"/>
    </font>
    <font>
      <b/>
      <sz val="10"/>
      <color rgb="FF000000"/>
      <name val="Times New Roman"/>
    </font>
    <font>
      <sz val="9"/>
      <color theme="1"/>
      <name val="Times New Roman"/>
    </font>
    <font>
      <sz val="10"/>
      <color theme="1"/>
      <name val="Arial"/>
    </font>
    <font>
      <sz val="9"/>
      <color rgb="FF000000"/>
      <name val="Times New Roman"/>
    </font>
    <font>
      <u/>
      <sz val="10"/>
      <color theme="1"/>
      <name val="Times New Roman"/>
    </font>
    <font>
      <sz val="10"/>
      <color theme="1"/>
      <name val="Calibri"/>
    </font>
    <font>
      <b/>
      <u/>
      <sz val="12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u/>
      <sz val="10"/>
      <color theme="1"/>
      <name val="Arial"/>
    </font>
    <font>
      <b/>
      <u/>
      <sz val="10"/>
      <name val="Arial"/>
    </font>
    <font>
      <b/>
      <sz val="10"/>
      <name val="Arial"/>
    </font>
    <font>
      <b/>
      <sz val="10"/>
      <color theme="1"/>
      <name val="Arial"/>
    </font>
    <font>
      <sz val="9"/>
      <color theme="1"/>
      <name val="Arial"/>
    </font>
    <font>
      <sz val="8"/>
      <color theme="1"/>
      <name val="Arial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  <xf numFmtId="0" fontId="10" fillId="0" borderId="10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right" vertical="center" wrapText="1"/>
    </xf>
    <xf numFmtId="165" fontId="8" fillId="2" borderId="14" xfId="0" applyNumberFormat="1" applyFont="1" applyFill="1" applyBorder="1" applyAlignment="1">
      <alignment horizontal="right" vertical="center" wrapText="1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10" fillId="0" borderId="17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wrapText="1"/>
    </xf>
    <xf numFmtId="164" fontId="8" fillId="2" borderId="18" xfId="0" applyNumberFormat="1" applyFont="1" applyFill="1" applyBorder="1" applyAlignment="1">
      <alignment horizontal="right" vertical="center" wrapText="1"/>
    </xf>
    <xf numFmtId="165" fontId="8" fillId="2" borderId="19" xfId="0" applyNumberFormat="1" applyFont="1" applyFill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 wrapText="1"/>
    </xf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/>
    <xf numFmtId="0" fontId="9" fillId="0" borderId="23" xfId="0" applyFont="1" applyBorder="1"/>
    <xf numFmtId="0" fontId="10" fillId="0" borderId="24" xfId="0" applyFont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164" fontId="8" fillId="2" borderId="25" xfId="0" applyNumberFormat="1" applyFont="1" applyFill="1" applyBorder="1" applyAlignment="1">
      <alignment horizontal="right" vertical="center" wrapText="1"/>
    </xf>
    <xf numFmtId="165" fontId="8" fillId="2" borderId="26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165" fontId="1" fillId="0" borderId="0" xfId="0" applyNumberFormat="1" applyFont="1"/>
    <xf numFmtId="0" fontId="8" fillId="0" borderId="0" xfId="0" applyFont="1" applyAlignment="1">
      <alignment horizontal="center" vertical="center"/>
    </xf>
    <xf numFmtId="0" fontId="1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1" fillId="0" borderId="30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left"/>
    </xf>
    <xf numFmtId="0" fontId="1" fillId="0" borderId="33" xfId="0" applyFont="1" applyBorder="1"/>
    <xf numFmtId="0" fontId="1" fillId="0" borderId="34" xfId="0" applyFont="1" applyBorder="1"/>
    <xf numFmtId="0" fontId="11" fillId="0" borderId="27" xfId="0" applyFont="1" applyBorder="1" applyAlignment="1"/>
    <xf numFmtId="0" fontId="11" fillId="0" borderId="0" xfId="0" applyFont="1" applyAlignment="1"/>
    <xf numFmtId="0" fontId="11" fillId="0" borderId="0" xfId="0" applyFont="1"/>
    <xf numFmtId="0" fontId="12" fillId="0" borderId="31" xfId="0" applyFont="1" applyBorder="1" applyAlignment="1"/>
    <xf numFmtId="0" fontId="11" fillId="0" borderId="28" xfId="0" applyFont="1" applyBorder="1" applyAlignment="1"/>
    <xf numFmtId="0" fontId="12" fillId="0" borderId="28" xfId="0" applyFont="1" applyBorder="1" applyAlignment="1"/>
    <xf numFmtId="0" fontId="12" fillId="0" borderId="29" xfId="0" applyFont="1" applyBorder="1" applyAlignment="1"/>
    <xf numFmtId="0" fontId="12" fillId="0" borderId="0" xfId="0" applyFont="1" applyAlignment="1"/>
    <xf numFmtId="0" fontId="12" fillId="0" borderId="0" xfId="0" applyFont="1" applyBorder="1" applyAlignment="1"/>
    <xf numFmtId="0" fontId="11" fillId="0" borderId="0" xfId="0" applyFont="1" applyBorder="1" applyAlignment="1"/>
    <xf numFmtId="0" fontId="12" fillId="0" borderId="33" xfId="0" applyFont="1" applyBorder="1" applyAlignment="1"/>
    <xf numFmtId="0" fontId="12" fillId="0" borderId="34" xfId="0" applyFont="1" applyBorder="1" applyAlignment="1"/>
    <xf numFmtId="0" fontId="0" fillId="0" borderId="0" xfId="0" applyFont="1" applyAlignment="1"/>
    <xf numFmtId="0" fontId="13" fillId="0" borderId="35" xfId="0" applyFont="1" applyBorder="1" applyAlignment="1">
      <alignment horizontal="right" vertical="center"/>
    </xf>
    <xf numFmtId="0" fontId="14" fillId="2" borderId="36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3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" fillId="0" borderId="57" xfId="0" applyFont="1" applyBorder="1" applyAlignment="1">
      <alignment horizontal="center" vertical="center"/>
    </xf>
    <xf numFmtId="0" fontId="1" fillId="2" borderId="57" xfId="0" applyFont="1" applyFill="1" applyBorder="1" applyAlignment="1">
      <alignment horizontal="left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 wrapText="1"/>
    </xf>
    <xf numFmtId="165" fontId="1" fillId="2" borderId="57" xfId="0" applyNumberFormat="1" applyFont="1" applyFill="1" applyBorder="1" applyAlignment="1">
      <alignment horizontal="right" vertical="center" wrapText="1"/>
    </xf>
    <xf numFmtId="3" fontId="1" fillId="2" borderId="57" xfId="0" applyNumberFormat="1" applyFont="1" applyFill="1" applyBorder="1" applyAlignment="1">
      <alignment horizontal="center" vertical="center"/>
    </xf>
    <xf numFmtId="165" fontId="9" fillId="0" borderId="0" xfId="0" applyNumberFormat="1" applyFont="1"/>
    <xf numFmtId="166" fontId="9" fillId="0" borderId="0" xfId="0" applyNumberFormat="1" applyFont="1"/>
    <xf numFmtId="165" fontId="12" fillId="0" borderId="0" xfId="0" applyNumberFormat="1" applyFont="1"/>
    <xf numFmtId="0" fontId="12" fillId="0" borderId="0" xfId="0" applyFont="1"/>
    <xf numFmtId="166" fontId="14" fillId="0" borderId="0" xfId="0" applyNumberFormat="1" applyFont="1" applyAlignment="1">
      <alignment horizontal="center" vertical="center"/>
    </xf>
    <xf numFmtId="3" fontId="17" fillId="0" borderId="0" xfId="0" applyNumberFormat="1" applyFont="1"/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35" xfId="0" applyFont="1" applyBorder="1"/>
    <xf numFmtId="0" fontId="9" fillId="0" borderId="62" xfId="0" applyFont="1" applyBorder="1"/>
    <xf numFmtId="0" fontId="9" fillId="0" borderId="37" xfId="0" applyFont="1" applyBorder="1"/>
    <xf numFmtId="0" fontId="9" fillId="0" borderId="37" xfId="0" applyFont="1" applyBorder="1" applyAlignment="1">
      <alignment horizontal="left"/>
    </xf>
    <xf numFmtId="0" fontId="9" fillId="0" borderId="63" xfId="0" applyFont="1" applyBorder="1"/>
    <xf numFmtId="0" fontId="23" fillId="0" borderId="66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67" xfId="0" applyFont="1" applyBorder="1" applyAlignment="1">
      <alignment horizontal="left" vertical="center"/>
    </xf>
    <xf numFmtId="0" fontId="23" fillId="0" borderId="6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4" fillId="2" borderId="70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4" fillId="2" borderId="18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68" fontId="24" fillId="0" borderId="73" xfId="0" applyNumberFormat="1" applyFont="1" applyBorder="1" applyAlignment="1"/>
    <xf numFmtId="0" fontId="24" fillId="2" borderId="9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/>
    </xf>
    <xf numFmtId="0" fontId="24" fillId="2" borderId="75" xfId="0" applyFont="1" applyFill="1" applyBorder="1" applyAlignment="1">
      <alignment horizontal="center" vertical="center"/>
    </xf>
    <xf numFmtId="169" fontId="24" fillId="0" borderId="76" xfId="0" applyNumberFormat="1" applyFont="1" applyBorder="1" applyAlignment="1"/>
    <xf numFmtId="165" fontId="23" fillId="0" borderId="77" xfId="0" applyNumberFormat="1" applyFont="1" applyBorder="1" applyAlignment="1">
      <alignment horizontal="center" vertical="center"/>
    </xf>
    <xf numFmtId="0" fontId="0" fillId="0" borderId="0" xfId="0" applyFont="1" applyAlignment="1"/>
    <xf numFmtId="0" fontId="9" fillId="0" borderId="79" xfId="0" applyFont="1" applyBorder="1"/>
    <xf numFmtId="0" fontId="0" fillId="0" borderId="78" xfId="0" applyBorder="1"/>
    <xf numFmtId="0" fontId="9" fillId="3" borderId="16" xfId="0" applyFont="1" applyFill="1" applyBorder="1"/>
    <xf numFmtId="0" fontId="9" fillId="3" borderId="9" xfId="0" applyFont="1" applyFill="1" applyBorder="1"/>
    <xf numFmtId="4" fontId="1" fillId="0" borderId="0" xfId="0" applyNumberFormat="1" applyFont="1"/>
    <xf numFmtId="0" fontId="26" fillId="3" borderId="13" xfId="0" applyFont="1" applyFill="1" applyBorder="1" applyAlignment="1">
      <alignment horizontal="center" vertical="center" wrapText="1"/>
    </xf>
    <xf numFmtId="0" fontId="28" fillId="0" borderId="9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  <xf numFmtId="0" fontId="1" fillId="2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5" fillId="0" borderId="31" xfId="0" applyFont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center"/>
    </xf>
    <xf numFmtId="0" fontId="27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wrapText="1"/>
    </xf>
    <xf numFmtId="0" fontId="1" fillId="2" borderId="58" xfId="0" applyFont="1" applyFill="1" applyBorder="1" applyAlignment="1">
      <alignment horizontal="left" vertical="center" wrapText="1"/>
    </xf>
    <xf numFmtId="0" fontId="5" fillId="0" borderId="59" xfId="0" applyFont="1" applyBorder="1"/>
    <xf numFmtId="0" fontId="5" fillId="0" borderId="60" xfId="0" applyFont="1" applyBorder="1"/>
    <xf numFmtId="0" fontId="14" fillId="0" borderId="40" xfId="0" applyFont="1" applyBorder="1" applyAlignment="1">
      <alignment horizontal="left" vertical="center" wrapText="1"/>
    </xf>
    <xf numFmtId="0" fontId="5" fillId="0" borderId="41" xfId="0" applyFont="1" applyBorder="1"/>
    <xf numFmtId="0" fontId="5" fillId="0" borderId="42" xfId="0" applyFont="1" applyBorder="1"/>
    <xf numFmtId="166" fontId="14" fillId="0" borderId="40" xfId="0" applyNumberFormat="1" applyFont="1" applyBorder="1" applyAlignment="1">
      <alignment horizontal="center" vertical="center"/>
    </xf>
    <xf numFmtId="0" fontId="27" fillId="2" borderId="58" xfId="0" applyFont="1" applyFill="1" applyBorder="1" applyAlignment="1">
      <alignment horizontal="left" vertical="center" wrapText="1"/>
    </xf>
    <xf numFmtId="0" fontId="16" fillId="0" borderId="51" xfId="0" applyFont="1" applyBorder="1" applyAlignment="1">
      <alignment horizontal="center" vertical="center" wrapText="1"/>
    </xf>
    <xf numFmtId="0" fontId="5" fillId="0" borderId="56" xfId="0" applyFont="1" applyBorder="1"/>
    <xf numFmtId="0" fontId="1" fillId="2" borderId="40" xfId="0" applyFont="1" applyFill="1" applyBorder="1" applyAlignment="1">
      <alignment horizontal="left" vertical="center" wrapText="1"/>
    </xf>
    <xf numFmtId="0" fontId="16" fillId="0" borderId="48" xfId="0" applyFont="1" applyBorder="1" applyAlignment="1">
      <alignment horizontal="center" vertical="center" wrapText="1"/>
    </xf>
    <xf numFmtId="0" fontId="5" fillId="0" borderId="53" xfId="0" applyFont="1" applyBorder="1"/>
    <xf numFmtId="0" fontId="16" fillId="0" borderId="47" xfId="0" applyFont="1" applyBorder="1" applyAlignment="1">
      <alignment horizontal="center" vertical="center"/>
    </xf>
    <xf numFmtId="0" fontId="5" fillId="0" borderId="52" xfId="0" applyFont="1" applyBorder="1"/>
    <xf numFmtId="0" fontId="16" fillId="0" borderId="49" xfId="0" applyFont="1" applyBorder="1" applyAlignment="1">
      <alignment horizontal="center" vertical="center" wrapText="1"/>
    </xf>
    <xf numFmtId="0" fontId="5" fillId="0" borderId="28" xfId="0" applyFont="1" applyBorder="1"/>
    <xf numFmtId="0" fontId="5" fillId="0" borderId="50" xfId="0" applyFont="1" applyBorder="1"/>
    <xf numFmtId="0" fontId="5" fillId="0" borderId="54" xfId="0" applyFont="1" applyBorder="1"/>
    <xf numFmtId="0" fontId="5" fillId="0" borderId="33" xfId="0" applyFont="1" applyBorder="1"/>
    <xf numFmtId="0" fontId="5" fillId="0" borderId="55" xfId="0" applyFont="1" applyBorder="1"/>
    <xf numFmtId="0" fontId="15" fillId="0" borderId="38" xfId="0" applyFont="1" applyBorder="1" applyAlignment="1">
      <alignment horizontal="left" vertical="center" wrapText="1"/>
    </xf>
    <xf numFmtId="0" fontId="5" fillId="0" borderId="39" xfId="0" applyFont="1" applyBorder="1"/>
    <xf numFmtId="0" fontId="14" fillId="2" borderId="40" xfId="0" applyFont="1" applyFill="1" applyBorder="1" applyAlignment="1">
      <alignment horizontal="left" vertical="center" wrapText="1"/>
    </xf>
    <xf numFmtId="0" fontId="15" fillId="0" borderId="43" xfId="0" applyFont="1" applyBorder="1" applyAlignment="1">
      <alignment horizontal="left" vertical="center" wrapText="1"/>
    </xf>
    <xf numFmtId="0" fontId="5" fillId="0" borderId="44" xfId="0" applyFont="1" applyBorder="1"/>
    <xf numFmtId="0" fontId="15" fillId="0" borderId="40" xfId="0" applyFont="1" applyBorder="1" applyAlignment="1">
      <alignment horizontal="left" vertical="center"/>
    </xf>
    <xf numFmtId="0" fontId="5" fillId="0" borderId="45" xfId="0" applyFont="1" applyBorder="1"/>
    <xf numFmtId="0" fontId="14" fillId="2" borderId="4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9" fillId="0" borderId="65" xfId="0" applyFont="1" applyBorder="1"/>
    <xf numFmtId="0" fontId="9" fillId="0" borderId="40" xfId="0" applyFont="1" applyBorder="1" applyAlignment="1">
      <alignment horizontal="center"/>
    </xf>
    <xf numFmtId="3" fontId="17" fillId="0" borderId="41" xfId="0" applyNumberFormat="1" applyFont="1" applyBorder="1" applyAlignment="1">
      <alignment horizontal="center"/>
    </xf>
    <xf numFmtId="0" fontId="18" fillId="0" borderId="43" xfId="0" applyFont="1" applyBorder="1" applyAlignment="1">
      <alignment horizontal="center" vertical="center" wrapText="1"/>
    </xf>
    <xf numFmtId="0" fontId="5" fillId="0" borderId="61" xfId="0" applyFont="1" applyBorder="1"/>
    <xf numFmtId="0" fontId="5" fillId="0" borderId="62" xfId="0" applyFont="1" applyBorder="1"/>
    <xf numFmtId="0" fontId="5" fillId="0" borderId="63" xfId="0" applyFont="1" applyBorder="1"/>
    <xf numFmtId="0" fontId="9" fillId="0" borderId="38" xfId="0" applyFont="1" applyBorder="1"/>
    <xf numFmtId="0" fontId="5" fillId="0" borderId="64" xfId="0" applyFont="1" applyBorder="1"/>
    <xf numFmtId="0" fontId="19" fillId="0" borderId="38" xfId="0" applyFont="1" applyBorder="1" applyAlignment="1">
      <alignment horizontal="left"/>
    </xf>
    <xf numFmtId="0" fontId="1" fillId="0" borderId="38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left"/>
    </xf>
    <xf numFmtId="0" fontId="19" fillId="0" borderId="65" xfId="0" applyFont="1" applyBorder="1" applyAlignment="1">
      <alignment horizontal="left" vertical="center" wrapText="1"/>
    </xf>
    <xf numFmtId="0" fontId="5" fillId="0" borderId="35" xfId="0" applyFont="1" applyBorder="1"/>
    <xf numFmtId="0" fontId="23" fillId="0" borderId="43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 wrapText="1"/>
    </xf>
    <xf numFmtId="0" fontId="5" fillId="0" borderId="65" xfId="0" applyFont="1" applyBorder="1"/>
    <xf numFmtId="0" fontId="23" fillId="0" borderId="61" xfId="0" applyFont="1" applyBorder="1" applyAlignment="1">
      <alignment horizontal="center" vertical="center"/>
    </xf>
    <xf numFmtId="0" fontId="17" fillId="0" borderId="40" xfId="0" applyFont="1" applyBorder="1" applyAlignment="1">
      <alignment vertical="center" wrapText="1"/>
    </xf>
    <xf numFmtId="0" fontId="19" fillId="0" borderId="44" xfId="0" applyFont="1" applyBorder="1" applyAlignment="1">
      <alignment vertical="center" wrapText="1"/>
    </xf>
    <xf numFmtId="0" fontId="17" fillId="2" borderId="65" xfId="0" applyFont="1" applyFill="1" applyBorder="1" applyAlignment="1">
      <alignment horizontal="left" vertical="center" wrapText="1"/>
    </xf>
    <xf numFmtId="0" fontId="5" fillId="0" borderId="37" xfId="0" applyFont="1" applyBorder="1"/>
    <xf numFmtId="0" fontId="25" fillId="0" borderId="71" xfId="0" applyFont="1" applyBorder="1" applyAlignment="1">
      <alignment horizontal="left" vertical="center"/>
    </xf>
    <xf numFmtId="0" fontId="5" fillId="0" borderId="72" xfId="0" applyFont="1" applyBorder="1"/>
    <xf numFmtId="0" fontId="25" fillId="0" borderId="74" xfId="0" applyFont="1" applyBorder="1" applyAlignment="1">
      <alignment horizontal="left" vertical="center"/>
    </xf>
    <xf numFmtId="0" fontId="23" fillId="0" borderId="62" xfId="0" applyFont="1" applyBorder="1" applyAlignment="1">
      <alignment horizontal="left" vertical="center" wrapText="1"/>
    </xf>
    <xf numFmtId="0" fontId="9" fillId="0" borderId="4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drigo/Downloads/NecesidadesTrimestrales%20Defini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catalogados"/>
      <sheetName val="Necesidades Trimestrales"/>
      <sheetName val=" NotaPedido"/>
      <sheetName val="Autor Gastar"/>
    </sheetNames>
    <sheetDataSet>
      <sheetData sheetId="0">
        <row r="2">
          <cell r="B2" t="str">
            <v>2.9.9-2448.11</v>
          </cell>
          <cell r="C2" t="str">
            <v>UTILES Y PRODUCTOS DEPORTIVOS</v>
          </cell>
          <cell r="E2" t="str">
            <v>PELOTAS; MATERIAL: SINTETICA COSIDA, TIPO: FUTBOL, NUMERO: 5</v>
          </cell>
        </row>
        <row r="10">
          <cell r="B10" t="str">
            <v>2.2.2-1045.73</v>
          </cell>
          <cell r="C10" t="str">
            <v>INDUMENT TEXTIL Y CONFECCIONES</v>
          </cell>
          <cell r="E10" t="str">
            <v>INDUMENTARIA P/PRACTICA DEPORT; USO: PRACTICA DE FUTBOL, TELA: MICRO PIQUE 100% POLIESTER, CRITERIO SOCIAL: SIN</v>
          </cell>
        </row>
        <row r="11">
          <cell r="B11" t="str">
            <v>2.9.9-2761.3</v>
          </cell>
          <cell r="E11" t="str">
            <v>REDES P/DEPORTES; MATERIAL: POLIETILENO, USO: FUTBOL</v>
          </cell>
        </row>
        <row r="12">
          <cell r="B12" t="str">
            <v>2.9.9-2761.3</v>
          </cell>
          <cell r="C12" t="str">
            <v>UTILES Y PRODUCTOS DEPORTIVOS</v>
          </cell>
          <cell r="E12" t="str">
            <v>REDES P/DEPORTES; MATERIAL: POLIETILENO, USO: FUTBOL</v>
          </cell>
        </row>
        <row r="13">
          <cell r="B13" t="str">
            <v>2.7.9-1540.31</v>
          </cell>
          <cell r="C13" t="str">
            <v>EQUIPOS</v>
          </cell>
          <cell r="E13" t="str">
            <v>TROFEOS; MATERIAL: PLASTICO, BASE: MARMOL, GRABADO: CON</v>
          </cell>
        </row>
        <row r="14">
          <cell r="B14" t="str">
            <v>2.7.9-1540.31</v>
          </cell>
          <cell r="C14" t="str">
            <v>EQUIPOS</v>
          </cell>
          <cell r="E14" t="str">
            <v>TROFEOS; MATERIAL: PLASTICO, BASE: MARMOL, GRABADO: CON</v>
          </cell>
        </row>
        <row r="15">
          <cell r="B15" t="str">
            <v>2.7.9-1540.31</v>
          </cell>
          <cell r="C15" t="str">
            <v>EQUIPOS</v>
          </cell>
          <cell r="E15" t="str">
            <v>TROFEOS; MATERIAL: PLASTICO, BASE: MARMOL, GRABADO: CON</v>
          </cell>
        </row>
        <row r="16">
          <cell r="B16" t="str">
            <v>2.7.9-1540.31</v>
          </cell>
          <cell r="C16" t="str">
            <v>EQUIPOS</v>
          </cell>
          <cell r="E16" t="str">
            <v>TROFEOS; MATERIAL: PLASTICO, BASE: MARMOL, GRABADO: CON</v>
          </cell>
        </row>
        <row r="17">
          <cell r="B17" t="str">
            <v>2.7.9-1540.31</v>
          </cell>
          <cell r="C17" t="str">
            <v>EQUIPOS</v>
          </cell>
          <cell r="E17" t="str">
            <v>TROFEOS; MATERIAL: PLASTICO, BASE: MARMOL, GRABADO: CON</v>
          </cell>
        </row>
        <row r="18">
          <cell r="B18" t="str">
            <v>2.7.9-1540.31</v>
          </cell>
          <cell r="C18" t="str">
            <v>EQUIPOS</v>
          </cell>
          <cell r="E18" t="str">
            <v>TROFEOS; MATERIAL: PLASTICO, BASE: MARMOL, GRABADO: CON</v>
          </cell>
        </row>
        <row r="23">
          <cell r="B23" t="str">
            <v>2.7.2-2038.16</v>
          </cell>
          <cell r="C23" t="str">
            <v>JOYERIA Y ORFEBRERIA</v>
          </cell>
          <cell r="E23" t="str">
            <v>MEDALLAS; MATERIAL: ZAMAC PLATEADO A VIEJO, DIAMETRO: 55 mm, GRABADO: CON</v>
          </cell>
        </row>
        <row r="24">
          <cell r="B24" t="str">
            <v>2.7.2-2038.16</v>
          </cell>
          <cell r="C24" t="str">
            <v>JOYERIA Y ORFEBRERIA</v>
          </cell>
          <cell r="E24" t="str">
            <v>MEDALLAS; MATERIAL: ZAMAC PLATEADO A VIEJO, DIAMETRO: 55 mm, GRABADO: CON</v>
          </cell>
        </row>
        <row r="25">
          <cell r="B25" t="str">
            <v>2.7.2-2038.16</v>
          </cell>
          <cell r="C25" t="str">
            <v>JOYERIA Y ORFEBRERIA</v>
          </cell>
          <cell r="E25" t="str">
            <v>MEDALLAS; MATERIAL: ZAMAC PLATEADO A VIEJO, DIAMETRO: 55 mm, GRABADO: CON</v>
          </cell>
        </row>
        <row r="30">
          <cell r="B30" t="str">
            <v>2.9.6-9084.6</v>
          </cell>
          <cell r="C30" t="str">
            <v>UTILES Y PRODUCTOS DEPORTIVOS</v>
          </cell>
          <cell r="E30" t="str">
            <v>R. Y A. P/PRACTICA DEPORTIVA; ELEMENTO: BASTON P/HOCKEY</v>
          </cell>
        </row>
        <row r="31">
          <cell r="B31" t="str">
            <v>2.9.9-2448.43</v>
          </cell>
          <cell r="C31" t="str">
            <v>UTILES Y PRODUCTOS DEPORTIVOS</v>
          </cell>
          <cell r="E31" t="str">
            <v>PELOTAS; MATERIAL: PVC, TIPO: HOCKEY, NUMERO: 235 mm</v>
          </cell>
        </row>
        <row r="33">
          <cell r="B33" t="str">
            <v>2.9.9-2448.10</v>
          </cell>
          <cell r="C33" t="str">
            <v>UTILES Y PRODUCTOS DEPORTIVOS</v>
          </cell>
          <cell r="E33" t="str">
            <v>PELOTAS; MATERIAL: GOMA, TIPO: BASQUET, NUMERO: P/ MAYORES</v>
          </cell>
        </row>
        <row r="35">
          <cell r="B35" t="str">
            <v>2.9.9-2761.5</v>
          </cell>
          <cell r="C35" t="str">
            <v>UTILES Y PRODUCTOS DEPORTIVOS</v>
          </cell>
          <cell r="E35" t="str">
            <v>REDES P/DEPORTES; MATERIAL: POLIETILENO, USO: BASQUET</v>
          </cell>
        </row>
        <row r="36">
          <cell r="B36" t="str">
            <v>2.9.9-2448.25</v>
          </cell>
          <cell r="C36" t="str">
            <v>UTILES Y PRODUCTOS DEPORTIVOS</v>
          </cell>
          <cell r="E36" t="str">
            <v>PELOTAS; MATERIAL: GOMA, TIPO: BASQUET, NUMERO: 5</v>
          </cell>
        </row>
        <row r="37">
          <cell r="B37" t="str">
            <v>2.9.9-2448.40</v>
          </cell>
          <cell r="E37" t="str">
            <v>PELOTAS; MATERIAL: SINTETICO, TIPO: VOLEY, NUMERO: 65 Cm</v>
          </cell>
        </row>
        <row r="38">
          <cell r="B38" t="str">
            <v>2.9.9-2448.40</v>
          </cell>
          <cell r="C38" t="str">
            <v>UTILES Y PRODUCTOS DEPORTIVOS</v>
          </cell>
          <cell r="E38" t="str">
            <v>PELOTAS; MATERIAL: SINTETICO, TIPO: VOLEY, NUMERO: 65 Cm</v>
          </cell>
        </row>
        <row r="40">
          <cell r="B40" t="str">
            <v>2.9.9-2761.2</v>
          </cell>
          <cell r="C40" t="str">
            <v>UTILES Y PRODUCTOS DEPORTIVOS</v>
          </cell>
          <cell r="E40" t="str">
            <v>REDES P/DEPORTES; USO: VOLEY, MATERIAL: POLIETILENO</v>
          </cell>
        </row>
        <row r="42">
          <cell r="B42" t="str">
            <v>2.9.9-2448.52</v>
          </cell>
        </row>
        <row r="44">
          <cell r="B44" t="str">
            <v>2.9.6-9084.35</v>
          </cell>
          <cell r="E44" t="str">
            <v>R. Y A. P/PRACTICA DEPORTIVA; ELEMENTO: PECHERA DE ENTRENAMIENTO</v>
          </cell>
        </row>
        <row r="45">
          <cell r="C45" t="str">
            <v>UTILES Y PRODUCTOS DEPORTIVOS</v>
          </cell>
          <cell r="E45" t="str">
            <v>R. Y A. P/PRACTICA DEPORTIVA; ELEMENTO: PECHERA DE ENTRENAMIENTO</v>
          </cell>
        </row>
        <row r="46">
          <cell r="B46" t="str">
            <v>2.9.6-9084.38</v>
          </cell>
          <cell r="C46" t="str">
            <v>UTILES Y PRODUCTOS DEPORTIVOS</v>
          </cell>
          <cell r="E46" t="str">
            <v>R. Y A. P/PRACTICA DEPORTIVA; ELEMENTO: ESCALERA P/COORDINACION</v>
          </cell>
        </row>
        <row r="47">
          <cell r="B47" t="str">
            <v>2.9.6-9084.76</v>
          </cell>
          <cell r="C47" t="str">
            <v>UTILES Y PRODUCTOS DEPORTIVOS</v>
          </cell>
          <cell r="E47" t="str">
            <v>R. Y A. P/PRACTICA DEPORTIVA; ELEMENTO: VALLA REGULABLE</v>
          </cell>
        </row>
        <row r="48">
          <cell r="B48" t="str">
            <v>2.9.6-9084.20</v>
          </cell>
          <cell r="C48" t="str">
            <v>UTILES Y PRODUCTOS DEPORTIVOS</v>
          </cell>
          <cell r="E48" t="str">
            <v>R. Y A. P/PRACTICA DEPORTIVA; ELEMENTO: MANOPLA P/NATACION</v>
          </cell>
        </row>
        <row r="50">
          <cell r="B50" t="str">
            <v>2.9.9-3889.1</v>
          </cell>
          <cell r="C50" t="str">
            <v>UTILES Y PRODUCTOS DEPORTIVOS</v>
          </cell>
          <cell r="E50" t="str">
            <v>FLOTADORES; DIMENSION: 17 X 10 X 3 Cm, TIPO: TABLA, MATERIAL: POLIETILENO</v>
          </cell>
        </row>
      </sheetData>
      <sheetData sheetId="1">
        <row r="4">
          <cell r="C4" t="str">
            <v>45- Ministerio de Desarrollo Social y Deporte</v>
          </cell>
        </row>
        <row r="5">
          <cell r="C5" t="str">
            <v>25- Direccion Provincial de Gestion  Administrativa y RRHH</v>
          </cell>
        </row>
        <row r="6">
          <cell r="C6">
            <v>2020</v>
          </cell>
        </row>
        <row r="7">
          <cell r="C7">
            <v>4</v>
          </cell>
        </row>
        <row r="10">
          <cell r="B10" t="str">
            <v>2.9.9-2448.11</v>
          </cell>
          <cell r="E10" t="str">
            <v>PELOTAS; MATERIAL: SINTETICA COSIDA, TIPO: FUTBOL, NUMERO: 5</v>
          </cell>
          <cell r="F10" t="str">
            <v>UNIDAD</v>
          </cell>
        </row>
        <row r="11">
          <cell r="B11" t="str">
            <v>2.2.2-1045.73</v>
          </cell>
          <cell r="E11" t="str">
            <v>INDUMENTARIA P/PRACTICA DEPORT; USO: PRACTICA DE FUTBOL, TELA: MICRO PIQUE 100% POLIESTER, CRITERIO SOCIAL: SIN</v>
          </cell>
          <cell r="F11" t="str">
            <v>UNIDAD</v>
          </cell>
        </row>
        <row r="12">
          <cell r="F12" t="str">
            <v>UNIDAD</v>
          </cell>
        </row>
        <row r="13">
          <cell r="F13" t="str">
            <v>UNIDAD</v>
          </cell>
        </row>
        <row r="14">
          <cell r="F14" t="str">
            <v>UNIDAD</v>
          </cell>
        </row>
        <row r="15">
          <cell r="F15" t="str">
            <v>UNIDAD</v>
          </cell>
        </row>
        <row r="16">
          <cell r="F16" t="str">
            <v>UNIDAD</v>
          </cell>
        </row>
        <row r="17">
          <cell r="F17" t="str">
            <v>UNIDAD</v>
          </cell>
        </row>
        <row r="20">
          <cell r="F20" t="str">
            <v>UNIDAD</v>
          </cell>
        </row>
        <row r="21">
          <cell r="F21" t="str">
            <v>UNIDAD</v>
          </cell>
        </row>
        <row r="23">
          <cell r="F23" t="str">
            <v>UNIDAD</v>
          </cell>
        </row>
        <row r="24">
          <cell r="F24" t="str">
            <v>UNIDAD</v>
          </cell>
        </row>
        <row r="25">
          <cell r="F25" t="str">
            <v>UNIDAD</v>
          </cell>
        </row>
        <row r="26">
          <cell r="F26" t="str">
            <v>UNIDAD</v>
          </cell>
        </row>
        <row r="29">
          <cell r="F29" t="str">
            <v>UNIDAD</v>
          </cell>
        </row>
        <row r="30">
          <cell r="F30" t="str">
            <v>UNIDAD</v>
          </cell>
        </row>
        <row r="31">
          <cell r="F31" t="str">
            <v>UNIDAD</v>
          </cell>
        </row>
        <row r="32">
          <cell r="F32" t="str">
            <v>UNIDAD</v>
          </cell>
        </row>
        <row r="33">
          <cell r="F33" t="str">
            <v>UNIDAD</v>
          </cell>
        </row>
        <row r="34">
          <cell r="F34" t="str">
            <v>UNIDAD</v>
          </cell>
        </row>
      </sheetData>
      <sheetData sheetId="2">
        <row r="1">
          <cell r="K1" t="str">
            <v>70/20</v>
          </cell>
        </row>
        <row r="3">
          <cell r="D3" t="str">
            <v>45- Ministerio de Desarrollo Social y Deporte</v>
          </cell>
        </row>
        <row r="4">
          <cell r="D4" t="str">
            <v>25- Direccion Provincial de Gestion  Administrativa y RRHH</v>
          </cell>
        </row>
        <row r="14">
          <cell r="B14" t="str">
            <v>2.9.6-9084.35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2"/>
  <sheetViews>
    <sheetView zoomScale="70" zoomScaleNormal="70" workbookViewId="0">
      <selection activeCell="R371" sqref="R371"/>
    </sheetView>
  </sheetViews>
  <sheetFormatPr baseColWidth="10" defaultColWidth="14.42578125" defaultRowHeight="15" x14ac:dyDescent="0.25"/>
  <cols>
    <col min="1" max="1" width="7.42578125" style="2" bestFit="1" customWidth="1"/>
    <col min="2" max="2" width="22" style="2" bestFit="1" customWidth="1"/>
    <col min="3" max="3" width="35.85546875" style="2" bestFit="1" customWidth="1"/>
    <col min="4" max="4" width="9.7109375" style="2" bestFit="1" customWidth="1"/>
    <col min="5" max="5" width="120" style="2" bestFit="1" customWidth="1"/>
    <col min="6" max="6" width="22.7109375" style="2" bestFit="1" customWidth="1"/>
    <col min="7" max="7" width="15" style="2" bestFit="1" customWidth="1"/>
    <col min="8" max="8" width="14.5703125" style="2" customWidth="1"/>
    <col min="9" max="9" width="18.5703125" style="2" customWidth="1"/>
    <col min="10" max="26" width="11" style="2" customWidth="1"/>
    <col min="27" max="16384" width="14.425781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x14ac:dyDescent="0.35">
      <c r="A2" s="1"/>
      <c r="B2" s="130" t="s">
        <v>0</v>
      </c>
      <c r="C2" s="123"/>
      <c r="D2" s="123"/>
      <c r="E2" s="123"/>
      <c r="F2" s="123"/>
      <c r="G2" s="123"/>
      <c r="H2" s="1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22" t="s">
        <v>1</v>
      </c>
      <c r="B4" s="123"/>
      <c r="C4" s="131" t="s">
        <v>2</v>
      </c>
      <c r="D4" s="125"/>
      <c r="E4" s="125"/>
      <c r="F4" s="4"/>
      <c r="G4" s="5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22" t="s">
        <v>3</v>
      </c>
      <c r="B5" s="123"/>
      <c r="C5" s="131" t="s">
        <v>4</v>
      </c>
      <c r="D5" s="125"/>
      <c r="E5" s="125"/>
      <c r="F5" s="4"/>
      <c r="G5" s="5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22" t="s">
        <v>5</v>
      </c>
      <c r="B6" s="123"/>
      <c r="C6" s="6">
        <v>2020</v>
      </c>
      <c r="D6" s="7"/>
      <c r="E6" s="7"/>
      <c r="F6" s="4"/>
      <c r="G6" s="5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22" t="s">
        <v>6</v>
      </c>
      <c r="B7" s="123"/>
      <c r="C7" s="6">
        <v>4</v>
      </c>
      <c r="D7" s="7"/>
      <c r="E7" s="7"/>
      <c r="F7" s="4"/>
      <c r="G7" s="5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thickBot="1" x14ac:dyDescent="0.3">
      <c r="A8" s="1"/>
      <c r="B8" s="4"/>
      <c r="C8" s="5"/>
      <c r="D8" s="4"/>
      <c r="E8" s="4"/>
      <c r="F8" s="4"/>
      <c r="G8" s="5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6.75" customHeight="1" thickBot="1" x14ac:dyDescent="0.3">
      <c r="A9" s="8" t="s">
        <v>7</v>
      </c>
      <c r="B9" s="9" t="s">
        <v>8</v>
      </c>
      <c r="C9" s="9" t="s">
        <v>9</v>
      </c>
      <c r="D9" s="10" t="s">
        <v>10</v>
      </c>
      <c r="E9" s="9" t="s">
        <v>11</v>
      </c>
      <c r="F9" s="11" t="s">
        <v>12</v>
      </c>
      <c r="G9" s="12" t="s">
        <v>13</v>
      </c>
      <c r="H9" s="12" t="s">
        <v>14</v>
      </c>
      <c r="I9" s="13" t="s">
        <v>15</v>
      </c>
      <c r="J9" s="1"/>
      <c r="K9" s="1"/>
      <c r="L9" s="119">
        <f>I10+I12+I13+I25+I26+I27+I28+I29+I30+I31+I3+I35+I23</f>
        <v>523200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4">
        <v>1</v>
      </c>
      <c r="B10" s="15" t="str">
        <f>+'[1]Articulos catalogados'!B2</f>
        <v>2.9.9-2448.11</v>
      </c>
      <c r="C10" s="16" t="str">
        <f>+'[1]Articulos catalogados'!C2</f>
        <v>UTILES Y PRODUCTOS DEPORTIVOS</v>
      </c>
      <c r="D10" s="17" t="str">
        <f t="shared" ref="D10:D11" si="0">LEFT(B10,5)</f>
        <v>2.9.9</v>
      </c>
      <c r="E10" s="16" t="str">
        <f>+'[1]Articulos catalogados'!E2</f>
        <v>PELOTAS; MATERIAL: SINTETICA COSIDA, TIPO: FUTBOL, NUMERO: 5</v>
      </c>
      <c r="F10" s="18" t="s">
        <v>16</v>
      </c>
      <c r="G10" s="19">
        <v>74</v>
      </c>
      <c r="H10" s="20">
        <v>2600</v>
      </c>
      <c r="I10" s="21">
        <f t="shared" ref="I10:I35" si="1">(G10*H10)</f>
        <v>192400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22">
        <v>2</v>
      </c>
      <c r="B11" s="23" t="str">
        <f>+'[1]Articulos catalogados'!B10</f>
        <v>2.2.2-1045.73</v>
      </c>
      <c r="C11" s="16" t="str">
        <f>+'[1]Articulos catalogados'!C10</f>
        <v>INDUMENT TEXTIL Y CONFECCIONES</v>
      </c>
      <c r="D11" s="24" t="str">
        <f t="shared" si="0"/>
        <v>2.2.2</v>
      </c>
      <c r="E11" s="16" t="str">
        <f>+'[1]Articulos catalogados'!E10</f>
        <v>INDUMENTARIA P/PRACTICA DEPORT; USO: PRACTICA DE FUTBOL, TELA: MICRO PIQUE 100% POLIESTER, CRITERIO SOCIAL: SIN</v>
      </c>
      <c r="F11" s="25" t="s">
        <v>16</v>
      </c>
      <c r="G11" s="26">
        <v>9</v>
      </c>
      <c r="H11" s="27">
        <v>40000</v>
      </c>
      <c r="I11" s="28">
        <f t="shared" si="1"/>
        <v>360000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22">
        <v>3</v>
      </c>
      <c r="B12" s="23" t="str">
        <f>'[1] NotaPedido'!B14</f>
        <v>2.9.6-9084.35</v>
      </c>
      <c r="C12" s="16" t="str">
        <f>'[1]Articulos catalogados'!C45</f>
        <v>UTILES Y PRODUCTOS DEPORTIVOS</v>
      </c>
      <c r="D12" s="24" t="str">
        <f>LEFT(B10,5)</f>
        <v>2.9.9</v>
      </c>
      <c r="E12" s="16" t="str">
        <f>'[1]Articulos catalogados'!E45</f>
        <v>R. Y A. P/PRACTICA DEPORTIVA; ELEMENTO: PECHERA DE ENTRENAMIENTO</v>
      </c>
      <c r="F12" s="25" t="s">
        <v>16</v>
      </c>
      <c r="G12" s="26">
        <v>5</v>
      </c>
      <c r="H12" s="27">
        <v>25000</v>
      </c>
      <c r="I12" s="28">
        <f t="shared" si="1"/>
        <v>125000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22">
        <v>4</v>
      </c>
      <c r="B13" s="23" t="str">
        <f>'[1]Articulos catalogados'!B12</f>
        <v>2.9.9-2761.3</v>
      </c>
      <c r="C13" s="16" t="str">
        <f>'[1]Articulos catalogados'!C12</f>
        <v>UTILES Y PRODUCTOS DEPORTIVOS</v>
      </c>
      <c r="D13" s="24" t="str">
        <f>LEFT(B10,5)</f>
        <v>2.9.9</v>
      </c>
      <c r="E13" s="16" t="str">
        <f>'[1]Articulos catalogados'!E12</f>
        <v>REDES P/DEPORTES; MATERIAL: POLIETILENO, USO: FUTBOL</v>
      </c>
      <c r="F13" s="25" t="s">
        <v>16</v>
      </c>
      <c r="G13" s="26">
        <v>5</v>
      </c>
      <c r="H13" s="27">
        <v>12000</v>
      </c>
      <c r="I13" s="28">
        <f t="shared" si="1"/>
        <v>60000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22">
        <v>5</v>
      </c>
      <c r="B14" s="23" t="str">
        <f>+'[1]Articulos catalogados'!B13</f>
        <v>2.7.9-1540.31</v>
      </c>
      <c r="C14" s="16" t="str">
        <f>+'[1]Articulos catalogados'!C13</f>
        <v>EQUIPOS</v>
      </c>
      <c r="D14" s="29" t="str">
        <f t="shared" ref="D14:D22" si="2">LEFT(B14,5)</f>
        <v>2.7.9</v>
      </c>
      <c r="E14" s="16" t="str">
        <f>+'[1]Articulos catalogados'!E13</f>
        <v>TROFEOS; MATERIAL: PLASTICO, BASE: MARMOL, GRABADO: CON</v>
      </c>
      <c r="F14" s="25" t="s">
        <v>16</v>
      </c>
      <c r="G14" s="26">
        <v>18</v>
      </c>
      <c r="H14" s="27">
        <v>290</v>
      </c>
      <c r="I14" s="28">
        <f t="shared" si="1"/>
        <v>5220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22">
        <v>6</v>
      </c>
      <c r="B15" s="23" t="str">
        <f>+'[1]Articulos catalogados'!B14</f>
        <v>2.7.9-1540.31</v>
      </c>
      <c r="C15" s="16" t="str">
        <f>+'[1]Articulos catalogados'!C14</f>
        <v>EQUIPOS</v>
      </c>
      <c r="D15" s="30" t="str">
        <f t="shared" si="2"/>
        <v>2.7.9</v>
      </c>
      <c r="E15" s="16" t="str">
        <f>+'[1]Articulos catalogados'!E14</f>
        <v>TROFEOS; MATERIAL: PLASTICO, BASE: MARMOL, GRABADO: CON</v>
      </c>
      <c r="F15" s="25" t="s">
        <v>16</v>
      </c>
      <c r="G15" s="26">
        <v>18</v>
      </c>
      <c r="H15" s="27">
        <v>385</v>
      </c>
      <c r="I15" s="28">
        <f t="shared" si="1"/>
        <v>6930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22">
        <v>7</v>
      </c>
      <c r="B16" s="23" t="str">
        <f>+'[1]Articulos catalogados'!B15</f>
        <v>2.7.9-1540.31</v>
      </c>
      <c r="C16" s="16" t="str">
        <f>+'[1]Articulos catalogados'!C15</f>
        <v>EQUIPOS</v>
      </c>
      <c r="D16" s="24" t="str">
        <f t="shared" si="2"/>
        <v>2.7.9</v>
      </c>
      <c r="E16" s="16" t="str">
        <f>+'[1]Articulos catalogados'!E15</f>
        <v>TROFEOS; MATERIAL: PLASTICO, BASE: MARMOL, GRABADO: CON</v>
      </c>
      <c r="F16" s="25" t="s">
        <v>16</v>
      </c>
      <c r="G16" s="26">
        <v>18</v>
      </c>
      <c r="H16" s="27">
        <v>595</v>
      </c>
      <c r="I16" s="28">
        <f t="shared" si="1"/>
        <v>10710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22">
        <v>8</v>
      </c>
      <c r="B17" s="23" t="str">
        <f>+'[1]Articulos catalogados'!B16</f>
        <v>2.7.9-1540.31</v>
      </c>
      <c r="C17" s="16" t="str">
        <f>+'[1]Articulos catalogados'!C16</f>
        <v>EQUIPOS</v>
      </c>
      <c r="D17" s="24" t="str">
        <f t="shared" si="2"/>
        <v>2.7.9</v>
      </c>
      <c r="E17" s="16" t="str">
        <f>+'[1]Articulos catalogados'!E16</f>
        <v>TROFEOS; MATERIAL: PLASTICO, BASE: MARMOL, GRABADO: CON</v>
      </c>
      <c r="F17" s="25" t="s">
        <v>16</v>
      </c>
      <c r="G17" s="26">
        <v>18</v>
      </c>
      <c r="H17" s="27">
        <v>785</v>
      </c>
      <c r="I17" s="28">
        <f t="shared" si="1"/>
        <v>14130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22">
        <v>9</v>
      </c>
      <c r="B18" s="23" t="str">
        <f>+'[1]Articulos catalogados'!B17</f>
        <v>2.7.9-1540.31</v>
      </c>
      <c r="C18" s="16" t="str">
        <f>+'[1]Articulos catalogados'!C17</f>
        <v>EQUIPOS</v>
      </c>
      <c r="D18" s="24" t="str">
        <f t="shared" si="2"/>
        <v>2.7.9</v>
      </c>
      <c r="E18" s="16" t="str">
        <f>+'[1]Articulos catalogados'!E17</f>
        <v>TROFEOS; MATERIAL: PLASTICO, BASE: MARMOL, GRABADO: CON</v>
      </c>
      <c r="F18" s="25" t="s">
        <v>16</v>
      </c>
      <c r="G18" s="26">
        <v>18</v>
      </c>
      <c r="H18" s="27">
        <v>900</v>
      </c>
      <c r="I18" s="28">
        <f t="shared" si="1"/>
        <v>16200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22">
        <v>10</v>
      </c>
      <c r="B19" s="23" t="str">
        <f>+'[1]Articulos catalogados'!B18</f>
        <v>2.7.9-1540.31</v>
      </c>
      <c r="C19" s="16" t="str">
        <f>+'[1]Articulos catalogados'!C18</f>
        <v>EQUIPOS</v>
      </c>
      <c r="D19" s="24" t="str">
        <f t="shared" si="2"/>
        <v>2.7.9</v>
      </c>
      <c r="E19" s="16" t="str">
        <f>+'[1]Articulos catalogados'!E18</f>
        <v>TROFEOS; MATERIAL: PLASTICO, BASE: MARMOL, GRABADO: CON</v>
      </c>
      <c r="F19" s="25" t="s">
        <v>16</v>
      </c>
      <c r="G19" s="26">
        <v>18</v>
      </c>
      <c r="H19" s="27">
        <v>1020</v>
      </c>
      <c r="I19" s="28">
        <f t="shared" si="1"/>
        <v>18360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22">
        <v>11</v>
      </c>
      <c r="B20" s="23" t="str">
        <f>+'[1]Articulos catalogados'!B23</f>
        <v>2.7.2-2038.16</v>
      </c>
      <c r="C20" s="16" t="str">
        <f>+'[1]Articulos catalogados'!C23</f>
        <v>JOYERIA Y ORFEBRERIA</v>
      </c>
      <c r="D20" s="24" t="str">
        <f t="shared" si="2"/>
        <v>2.7.2</v>
      </c>
      <c r="E20" s="16" t="str">
        <f>+'[1]Articulos catalogados'!E23</f>
        <v>MEDALLAS; MATERIAL: ZAMAC PLATEADO A VIEJO, DIAMETRO: 55 mm, GRABADO: CON</v>
      </c>
      <c r="F20" s="25" t="s">
        <v>16</v>
      </c>
      <c r="G20" s="26">
        <v>10</v>
      </c>
      <c r="H20" s="27">
        <v>200</v>
      </c>
      <c r="I20" s="28">
        <f t="shared" si="1"/>
        <v>2000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22">
        <v>12</v>
      </c>
      <c r="B21" s="23" t="str">
        <f>+'[1]Articulos catalogados'!B24</f>
        <v>2.7.2-2038.16</v>
      </c>
      <c r="C21" s="16" t="str">
        <f>+'[1]Articulos catalogados'!C24</f>
        <v>JOYERIA Y ORFEBRERIA</v>
      </c>
      <c r="D21" s="24" t="str">
        <f t="shared" si="2"/>
        <v>2.7.2</v>
      </c>
      <c r="E21" s="16" t="str">
        <f>+'[1]Articulos catalogados'!E24</f>
        <v>MEDALLAS; MATERIAL: ZAMAC PLATEADO A VIEJO, DIAMETRO: 55 mm, GRABADO: CON</v>
      </c>
      <c r="F21" s="25" t="s">
        <v>16</v>
      </c>
      <c r="G21" s="26">
        <v>10</v>
      </c>
      <c r="H21" s="27">
        <v>250</v>
      </c>
      <c r="I21" s="28">
        <f t="shared" si="1"/>
        <v>2500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22">
        <v>13</v>
      </c>
      <c r="B22" s="23" t="str">
        <f>+'[1]Articulos catalogados'!B25</f>
        <v>2.7.2-2038.16</v>
      </c>
      <c r="C22" s="16" t="str">
        <f>+'[1]Articulos catalogados'!C25</f>
        <v>JOYERIA Y ORFEBRERIA</v>
      </c>
      <c r="D22" s="29" t="str">
        <f t="shared" si="2"/>
        <v>2.7.2</v>
      </c>
      <c r="E22" s="16" t="str">
        <f>+'[1]Articulos catalogados'!E25</f>
        <v>MEDALLAS; MATERIAL: ZAMAC PLATEADO A VIEJO, DIAMETRO: 55 mm, GRABADO: CON</v>
      </c>
      <c r="F22" s="25" t="s">
        <v>16</v>
      </c>
      <c r="G22" s="26">
        <v>10</v>
      </c>
      <c r="H22" s="27">
        <v>300</v>
      </c>
      <c r="I22" s="28">
        <f t="shared" si="1"/>
        <v>3000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22">
        <v>14</v>
      </c>
      <c r="B23" s="117" t="str">
        <f>NP!B25</f>
        <v>2.9.9-2448.45</v>
      </c>
      <c r="C23" s="118" t="s">
        <v>128</v>
      </c>
      <c r="D23" s="120" t="s">
        <v>132</v>
      </c>
      <c r="E23" s="118" t="str">
        <f>NP!C25</f>
        <v>PELOTAS; MATERIAL: GOMA/LATEX, TIPO: ESFERODINAMIA, NUMERO: DIAM. 65 Cm</v>
      </c>
      <c r="F23" s="25" t="s">
        <v>16</v>
      </c>
      <c r="G23" s="26">
        <v>4</v>
      </c>
      <c r="H23" s="27">
        <v>800</v>
      </c>
      <c r="I23" s="28">
        <f t="shared" si="1"/>
        <v>3200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22">
        <v>15</v>
      </c>
      <c r="B24" s="23" t="str">
        <f>'[1]Articulos catalogados'!B30</f>
        <v>2.9.6-9084.6</v>
      </c>
      <c r="C24" s="16" t="str">
        <f>'[1]Articulos catalogados'!C30</f>
        <v>UTILES Y PRODUCTOS DEPORTIVOS</v>
      </c>
      <c r="D24" s="24" t="s">
        <v>125</v>
      </c>
      <c r="E24" s="16" t="str">
        <f>'[1]Articulos catalogados'!E30</f>
        <v>R. Y A. P/PRACTICA DEPORTIVA; ELEMENTO: BASTON P/HOCKEY</v>
      </c>
      <c r="F24" s="25" t="s">
        <v>16</v>
      </c>
      <c r="G24" s="26">
        <v>10</v>
      </c>
      <c r="H24" s="27">
        <v>2600</v>
      </c>
      <c r="I24" s="28">
        <f t="shared" si="1"/>
        <v>26000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22">
        <v>16</v>
      </c>
      <c r="B25" s="23" t="str">
        <f>'[1]Articulos catalogados'!B31</f>
        <v>2.9.9-2448.43</v>
      </c>
      <c r="C25" s="16" t="str">
        <f>'[1]Articulos catalogados'!C31</f>
        <v>UTILES Y PRODUCTOS DEPORTIVOS</v>
      </c>
      <c r="D25" s="24" t="str">
        <f t="shared" ref="D25:D27" si="3">LEFT(B29,5)</f>
        <v>2.9.9</v>
      </c>
      <c r="E25" s="16" t="str">
        <f>'[1]Articulos catalogados'!E31</f>
        <v>PELOTAS; MATERIAL: PVC, TIPO: HOCKEY, NUMERO: 235 mm</v>
      </c>
      <c r="F25" s="25" t="s">
        <v>16</v>
      </c>
      <c r="G25" s="26">
        <v>10</v>
      </c>
      <c r="H25" s="27">
        <v>320</v>
      </c>
      <c r="I25" s="28">
        <f t="shared" si="1"/>
        <v>3200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22">
        <v>17</v>
      </c>
      <c r="B26" s="23" t="str">
        <f>'[1]Articulos catalogados'!B33</f>
        <v>2.9.9-2448.10</v>
      </c>
      <c r="C26" s="16" t="str">
        <f>'[1]Articulos catalogados'!C33</f>
        <v>UTILES Y PRODUCTOS DEPORTIVOS</v>
      </c>
      <c r="D26" s="24" t="str">
        <f t="shared" si="3"/>
        <v>2.9.9</v>
      </c>
      <c r="E26" s="16" t="str">
        <f>'[1]Articulos catalogados'!E33</f>
        <v>PELOTAS; MATERIAL: GOMA, TIPO: BASQUET, NUMERO: P/ MAYORES</v>
      </c>
      <c r="F26" s="25" t="s">
        <v>16</v>
      </c>
      <c r="G26" s="26">
        <v>10</v>
      </c>
      <c r="H26" s="27">
        <v>1800</v>
      </c>
      <c r="I26" s="28">
        <f t="shared" si="1"/>
        <v>18000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22">
        <v>18</v>
      </c>
      <c r="B27" s="23" t="str">
        <f>'[1]Articulos catalogados'!B35</f>
        <v>2.9.9-2761.5</v>
      </c>
      <c r="C27" s="16" t="str">
        <f>'[1]Articulos catalogados'!C35</f>
        <v>UTILES Y PRODUCTOS DEPORTIVOS</v>
      </c>
      <c r="D27" s="24" t="str">
        <f t="shared" si="3"/>
        <v>2.9.9</v>
      </c>
      <c r="E27" s="16" t="str">
        <f>'[1]Articulos catalogados'!E35</f>
        <v>REDES P/DEPORTES; MATERIAL: POLIETILENO, USO: BASQUET</v>
      </c>
      <c r="F27" s="25" t="s">
        <v>16</v>
      </c>
      <c r="G27" s="26">
        <v>6</v>
      </c>
      <c r="H27" s="27">
        <v>4500</v>
      </c>
      <c r="I27" s="28">
        <f t="shared" si="1"/>
        <v>27000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22">
        <v>19</v>
      </c>
      <c r="B28" s="23" t="str">
        <f>'[1]Articulos catalogados'!B36</f>
        <v>2.9.9-2448.25</v>
      </c>
      <c r="C28" s="16" t="str">
        <f>'[1]Articulos catalogados'!C36</f>
        <v>UTILES Y PRODUCTOS DEPORTIVOS</v>
      </c>
      <c r="D28" s="24" t="str">
        <f>LEFT(B31,5)</f>
        <v>2.9.9</v>
      </c>
      <c r="E28" s="16" t="str">
        <f>'[1]Articulos catalogados'!E36</f>
        <v>PELOTAS; MATERIAL: GOMA, TIPO: BASQUET, NUMERO: 5</v>
      </c>
      <c r="F28" s="25" t="s">
        <v>16</v>
      </c>
      <c r="G28" s="26">
        <v>6</v>
      </c>
      <c r="H28" s="27">
        <v>2700</v>
      </c>
      <c r="I28" s="28">
        <f t="shared" si="1"/>
        <v>16200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22">
        <v>20</v>
      </c>
      <c r="B29" s="23" t="str">
        <f>+'[1]Articulos catalogados'!B38</f>
        <v>2.9.9-2448.40</v>
      </c>
      <c r="C29" s="16" t="str">
        <f>+'[1]Articulos catalogados'!C38</f>
        <v>UTILES Y PRODUCTOS DEPORTIVOS</v>
      </c>
      <c r="D29" s="24" t="str">
        <f t="shared" ref="D29:D31" si="4">LEFT(B29,5)</f>
        <v>2.9.9</v>
      </c>
      <c r="E29" s="16" t="str">
        <f>+'[1]Articulos catalogados'!E38</f>
        <v>PELOTAS; MATERIAL: SINTETICO, TIPO: VOLEY, NUMERO: 65 Cm</v>
      </c>
      <c r="F29" s="25" t="s">
        <v>16</v>
      </c>
      <c r="G29" s="26">
        <v>10</v>
      </c>
      <c r="H29" s="27">
        <v>3300</v>
      </c>
      <c r="I29" s="28">
        <f t="shared" si="1"/>
        <v>33000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22">
        <v>21</v>
      </c>
      <c r="B30" s="23" t="str">
        <f>+'[1]Articulos catalogados'!B40</f>
        <v>2.9.9-2761.2</v>
      </c>
      <c r="C30" s="115" t="str">
        <f>+'[1]Articulos catalogados'!C40</f>
        <v>UTILES Y PRODUCTOS DEPORTIVOS</v>
      </c>
      <c r="D30" s="24" t="str">
        <f t="shared" si="4"/>
        <v>2.9.9</v>
      </c>
      <c r="E30" s="16" t="str">
        <f>+'[1]Articulos catalogados'!E40</f>
        <v>REDES P/DEPORTES; USO: VOLEY, MATERIAL: POLIETILENO</v>
      </c>
      <c r="F30" s="25" t="s">
        <v>16</v>
      </c>
      <c r="G30" s="26">
        <v>6</v>
      </c>
      <c r="H30" s="27">
        <v>4100</v>
      </c>
      <c r="I30" s="28">
        <f t="shared" si="1"/>
        <v>24600</v>
      </c>
      <c r="J30" s="31"/>
      <c r="K30" s="3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22">
        <v>22</v>
      </c>
      <c r="B31" t="s">
        <v>127</v>
      </c>
      <c r="C31" s="116" t="s">
        <v>128</v>
      </c>
      <c r="D31" s="24" t="str">
        <f t="shared" si="4"/>
        <v>2.9.9</v>
      </c>
      <c r="E31" s="121" t="s">
        <v>129</v>
      </c>
      <c r="F31" s="25" t="s">
        <v>16</v>
      </c>
      <c r="G31" s="26">
        <v>10</v>
      </c>
      <c r="H31" s="27">
        <v>1800</v>
      </c>
      <c r="I31" s="28">
        <f t="shared" si="1"/>
        <v>18000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22">
        <v>23</v>
      </c>
      <c r="B32" s="23" t="str">
        <f>'[1]Articulos catalogados'!B46</f>
        <v>2.9.6-9084.38</v>
      </c>
      <c r="C32" s="16" t="str">
        <f>'[1]Articulos catalogados'!C46</f>
        <v>UTILES Y PRODUCTOS DEPORTIVOS</v>
      </c>
      <c r="D32" s="24" t="s">
        <v>125</v>
      </c>
      <c r="E32" s="16" t="str">
        <f>'[1]Articulos catalogados'!E46</f>
        <v>R. Y A. P/PRACTICA DEPORTIVA; ELEMENTO: ESCALERA P/COORDINACION</v>
      </c>
      <c r="F32" s="25" t="s">
        <v>16</v>
      </c>
      <c r="G32" s="25">
        <v>6</v>
      </c>
      <c r="H32" s="27">
        <v>900</v>
      </c>
      <c r="I32" s="28">
        <f>(G32*H32)</f>
        <v>5400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22">
        <v>24</v>
      </c>
      <c r="B33" s="23" t="str">
        <f>'[1]Articulos catalogados'!B47</f>
        <v>2.9.6-9084.76</v>
      </c>
      <c r="C33" s="16" t="str">
        <f>'[1]Articulos catalogados'!C47</f>
        <v>UTILES Y PRODUCTOS DEPORTIVOS</v>
      </c>
      <c r="D33" s="24" t="s">
        <v>125</v>
      </c>
      <c r="E33" s="16" t="str">
        <f>'[1]Articulos catalogados'!E47</f>
        <v>R. Y A. P/PRACTICA DEPORTIVA; ELEMENTO: VALLA REGULABLE</v>
      </c>
      <c r="F33" s="25" t="s">
        <v>16</v>
      </c>
      <c r="G33" s="25">
        <v>6</v>
      </c>
      <c r="H33" s="27">
        <v>450</v>
      </c>
      <c r="I33" s="28">
        <f t="shared" si="1"/>
        <v>2700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22">
        <v>25</v>
      </c>
      <c r="B34" s="23" t="str">
        <f>'[1]Articulos catalogados'!B48</f>
        <v>2.9.6-9084.20</v>
      </c>
      <c r="C34" s="16" t="str">
        <f>'[1]Articulos catalogados'!C48</f>
        <v>UTILES Y PRODUCTOS DEPORTIVOS</v>
      </c>
      <c r="D34" s="24" t="s">
        <v>125</v>
      </c>
      <c r="E34" s="16" t="str">
        <f>'[1]Articulos catalogados'!E48</f>
        <v>R. Y A. P/PRACTICA DEPORTIVA; ELEMENTO: MANOPLA P/NATACION</v>
      </c>
      <c r="F34" s="25" t="s">
        <v>16</v>
      </c>
      <c r="G34" s="25">
        <v>4</v>
      </c>
      <c r="H34" s="27">
        <v>680</v>
      </c>
      <c r="I34" s="28">
        <f t="shared" si="1"/>
        <v>2720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thickBot="1" x14ac:dyDescent="0.3">
      <c r="A35" s="32">
        <v>26</v>
      </c>
      <c r="B35" s="33" t="str">
        <f>'[1]Articulos catalogados'!B50</f>
        <v>2.9.9-3889.1</v>
      </c>
      <c r="C35" s="34" t="str">
        <f>'[1]Articulos catalogados'!C50</f>
        <v>UTILES Y PRODUCTOS DEPORTIVOS</v>
      </c>
      <c r="D35" s="35" t="str">
        <f>LEFT(B31,5)</f>
        <v>2.9.9</v>
      </c>
      <c r="E35" s="34" t="str">
        <f>'[1]Articulos catalogados'!E50</f>
        <v>FLOTADORES; DIMENSION: 17 X 10 X 3 Cm, TIPO: TABLA, MATERIAL: POLIETILENO</v>
      </c>
      <c r="F35" s="36" t="s">
        <v>16</v>
      </c>
      <c r="G35" s="36">
        <v>4</v>
      </c>
      <c r="H35" s="37">
        <v>650</v>
      </c>
      <c r="I35" s="38">
        <f t="shared" si="1"/>
        <v>2600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39"/>
      <c r="B36" s="40"/>
      <c r="C36" s="40"/>
      <c r="D36" s="41"/>
      <c r="E36" s="40"/>
      <c r="F36" s="1"/>
      <c r="G36" s="1"/>
      <c r="H36" s="1"/>
      <c r="I36" s="42">
        <f>SUM(I10:I35)</f>
        <v>999070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43"/>
      <c r="B37" s="40"/>
      <c r="C37" s="40"/>
      <c r="D37" s="41"/>
      <c r="E37" s="4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43"/>
      <c r="B38" s="40"/>
      <c r="C38" s="40"/>
      <c r="D38" s="41"/>
      <c r="E38" s="4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43"/>
      <c r="B39" s="40"/>
      <c r="C39" s="40"/>
      <c r="D39" s="41"/>
      <c r="E39" s="4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thickBot="1" x14ac:dyDescent="0.3">
      <c r="A40" s="43"/>
      <c r="B40" s="40"/>
      <c r="C40" s="40"/>
      <c r="D40" s="41"/>
      <c r="E40" s="4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44" t="s">
        <v>17</v>
      </c>
      <c r="C41" s="45"/>
      <c r="D41" s="45"/>
      <c r="E41" s="4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.25" customHeight="1" x14ac:dyDescent="0.25">
      <c r="A42" s="1"/>
      <c r="B42" s="47"/>
      <c r="C42" s="1"/>
      <c r="D42" s="1"/>
      <c r="E42" s="4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49" t="s">
        <v>18</v>
      </c>
      <c r="C43" s="1"/>
      <c r="D43" s="1"/>
      <c r="E43" s="4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1.25" customHeight="1" x14ac:dyDescent="0.25">
      <c r="A44" s="1"/>
      <c r="B44" s="49"/>
      <c r="C44" s="124" t="s">
        <v>19</v>
      </c>
      <c r="D44" s="125"/>
      <c r="E44" s="12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49" t="s">
        <v>20</v>
      </c>
      <c r="C45" s="1"/>
      <c r="D45" s="1"/>
      <c r="E45" s="4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50"/>
      <c r="C46" s="127" t="s">
        <v>21</v>
      </c>
      <c r="D46" s="125"/>
      <c r="E46" s="12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50"/>
      <c r="C47" s="127" t="s">
        <v>22</v>
      </c>
      <c r="D47" s="125"/>
      <c r="E47" s="12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49" t="s">
        <v>23</v>
      </c>
      <c r="C48" s="51"/>
      <c r="D48" s="51"/>
      <c r="E48" s="5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25" customHeight="1" x14ac:dyDescent="0.25">
      <c r="A49" s="1"/>
      <c r="B49" s="50"/>
      <c r="C49" s="128" t="s">
        <v>24</v>
      </c>
      <c r="D49" s="125"/>
      <c r="E49" s="12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49" t="s">
        <v>25</v>
      </c>
      <c r="C50" s="53"/>
      <c r="D50" s="53"/>
      <c r="E50" s="5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25" customHeight="1" x14ac:dyDescent="0.25">
      <c r="A51" s="1"/>
      <c r="B51" s="50"/>
      <c r="C51" s="129" t="s">
        <v>26</v>
      </c>
      <c r="D51" s="125"/>
      <c r="E51" s="12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49" t="s">
        <v>27</v>
      </c>
      <c r="C52" s="51"/>
      <c r="D52" s="51"/>
      <c r="E52" s="5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3.25" customHeight="1" x14ac:dyDescent="0.25">
      <c r="A53" s="1"/>
      <c r="B53" s="49"/>
      <c r="C53" s="132" t="s">
        <v>28</v>
      </c>
      <c r="D53" s="125"/>
      <c r="E53" s="12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thickBot="1" x14ac:dyDescent="0.3">
      <c r="A54" s="1"/>
      <c r="B54" s="55"/>
      <c r="C54" s="56"/>
      <c r="D54" s="56"/>
      <c r="E54" s="5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58" t="s">
        <v>29</v>
      </c>
      <c r="C56" s="45"/>
      <c r="D56" s="45"/>
      <c r="E56" s="4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47"/>
      <c r="C57" s="1"/>
      <c r="D57" s="1"/>
      <c r="E57" s="4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49" t="s">
        <v>18</v>
      </c>
      <c r="C58" s="1"/>
      <c r="D58" s="1"/>
      <c r="E58" s="4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 x14ac:dyDescent="0.25">
      <c r="A59" s="1"/>
      <c r="B59" s="49"/>
      <c r="C59" s="124" t="s">
        <v>30</v>
      </c>
      <c r="D59" s="125"/>
      <c r="E59" s="12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49" t="s">
        <v>20</v>
      </c>
      <c r="C60" s="1"/>
      <c r="D60" s="1"/>
      <c r="E60" s="4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50"/>
      <c r="C61" s="127" t="s">
        <v>21</v>
      </c>
      <c r="D61" s="125"/>
      <c r="E61" s="12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50"/>
      <c r="C62" s="127" t="s">
        <v>22</v>
      </c>
      <c r="D62" s="125"/>
      <c r="E62" s="12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49" t="s">
        <v>23</v>
      </c>
      <c r="C63" s="51"/>
      <c r="D63" s="5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50"/>
      <c r="C64" s="128" t="s">
        <v>24</v>
      </c>
      <c r="D64" s="125"/>
      <c r="E64" s="12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49" t="s">
        <v>25</v>
      </c>
      <c r="C65" s="53"/>
      <c r="D65" s="53"/>
      <c r="E65" s="5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50"/>
      <c r="C66" s="129" t="s">
        <v>26</v>
      </c>
      <c r="D66" s="125"/>
      <c r="E66" s="12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49" t="s">
        <v>27</v>
      </c>
      <c r="C67" s="51"/>
      <c r="D67" s="5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49"/>
      <c r="C68" s="132" t="s">
        <v>28</v>
      </c>
      <c r="D68" s="125"/>
      <c r="E68" s="12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thickBot="1" x14ac:dyDescent="0.3">
      <c r="A69" s="1"/>
      <c r="B69" s="55"/>
      <c r="C69" s="56"/>
      <c r="D69" s="56"/>
      <c r="E69" s="5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thickBot="1" x14ac:dyDescent="0.3">
      <c r="A70" s="1"/>
      <c r="B70" s="5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58" t="s">
        <v>31</v>
      </c>
      <c r="C71" s="45"/>
      <c r="D71" s="45"/>
      <c r="E71" s="4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47"/>
      <c r="C72" s="1"/>
      <c r="D72" s="1"/>
      <c r="E72" s="4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49" t="s">
        <v>18</v>
      </c>
      <c r="C73" s="1"/>
      <c r="D73" s="1"/>
      <c r="E73" s="4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 x14ac:dyDescent="0.25">
      <c r="A74" s="1"/>
      <c r="B74" s="49"/>
      <c r="C74" s="124" t="s">
        <v>32</v>
      </c>
      <c r="D74" s="125"/>
      <c r="E74" s="12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49" t="s">
        <v>20</v>
      </c>
      <c r="C75" s="1"/>
      <c r="D75" s="1"/>
      <c r="E75" s="4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50"/>
      <c r="C76" s="127" t="s">
        <v>21</v>
      </c>
      <c r="D76" s="125"/>
      <c r="E76" s="12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50"/>
      <c r="C77" s="127" t="s">
        <v>22</v>
      </c>
      <c r="D77" s="125"/>
      <c r="E77" s="12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49" t="s">
        <v>23</v>
      </c>
      <c r="C78" s="51"/>
      <c r="D78" s="51"/>
      <c r="E78" s="5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50"/>
      <c r="C79" s="128" t="s">
        <v>24</v>
      </c>
      <c r="D79" s="125"/>
      <c r="E79" s="12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49" t="s">
        <v>25</v>
      </c>
      <c r="C80" s="53"/>
      <c r="D80" s="53"/>
      <c r="E80" s="5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50"/>
      <c r="C81" s="129" t="s">
        <v>26</v>
      </c>
      <c r="D81" s="125"/>
      <c r="E81" s="12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49" t="s">
        <v>27</v>
      </c>
      <c r="C82" s="51"/>
      <c r="D82" s="51"/>
      <c r="E82" s="5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49"/>
      <c r="C83" s="132" t="s">
        <v>28</v>
      </c>
      <c r="D83" s="125"/>
      <c r="E83" s="12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thickBot="1" x14ac:dyDescent="0.3">
      <c r="A84" s="1"/>
      <c r="B84" s="55"/>
      <c r="C84" s="56"/>
      <c r="D84" s="56"/>
      <c r="E84" s="5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thickBot="1" x14ac:dyDescent="0.3">
      <c r="A85" s="1"/>
      <c r="B85" s="5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58" t="s">
        <v>33</v>
      </c>
      <c r="C86" s="45"/>
      <c r="D86" s="45"/>
      <c r="E86" s="4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47"/>
      <c r="C87" s="1"/>
      <c r="D87" s="1"/>
      <c r="E87" s="4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49" t="s">
        <v>18</v>
      </c>
      <c r="C88" s="1"/>
      <c r="D88" s="1"/>
      <c r="E88" s="4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0.75" customHeight="1" x14ac:dyDescent="0.25">
      <c r="A89" s="1"/>
      <c r="B89" s="49"/>
      <c r="C89" s="124" t="s">
        <v>34</v>
      </c>
      <c r="D89" s="125"/>
      <c r="E89" s="12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49" t="s">
        <v>20</v>
      </c>
      <c r="C90" s="1"/>
      <c r="D90" s="1"/>
      <c r="E90" s="4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50"/>
      <c r="C91" s="127" t="s">
        <v>21</v>
      </c>
      <c r="D91" s="125"/>
      <c r="E91" s="12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50"/>
      <c r="C92" s="127" t="s">
        <v>22</v>
      </c>
      <c r="D92" s="125"/>
      <c r="E92" s="12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49" t="s">
        <v>23</v>
      </c>
      <c r="C93" s="51"/>
      <c r="D93" s="51"/>
      <c r="E93" s="5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50"/>
      <c r="C94" s="128" t="s">
        <v>24</v>
      </c>
      <c r="D94" s="125"/>
      <c r="E94" s="12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49" t="s">
        <v>25</v>
      </c>
      <c r="C95" s="53"/>
      <c r="D95" s="53"/>
      <c r="E95" s="5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50"/>
      <c r="C96" s="129" t="s">
        <v>26</v>
      </c>
      <c r="D96" s="125"/>
      <c r="E96" s="12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49" t="s">
        <v>27</v>
      </c>
      <c r="C97" s="51"/>
      <c r="D97" s="51"/>
      <c r="E97" s="5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49"/>
      <c r="C98" s="132" t="s">
        <v>28</v>
      </c>
      <c r="D98" s="125"/>
      <c r="E98" s="12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thickBot="1" x14ac:dyDescent="0.3">
      <c r="A99" s="1"/>
      <c r="B99" s="55"/>
      <c r="C99" s="56"/>
      <c r="D99" s="56"/>
      <c r="E99" s="5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thickBot="1" x14ac:dyDescent="0.3">
      <c r="A100" s="1"/>
      <c r="B100" s="5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58" t="s">
        <v>35</v>
      </c>
      <c r="C101" s="45"/>
      <c r="D101" s="45"/>
      <c r="E101" s="4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47"/>
      <c r="C102" s="1"/>
      <c r="D102" s="1"/>
      <c r="E102" s="4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49" t="s">
        <v>18</v>
      </c>
      <c r="C103" s="1"/>
      <c r="D103" s="1"/>
      <c r="E103" s="4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3.25" customHeight="1" x14ac:dyDescent="0.25">
      <c r="A104" s="1"/>
      <c r="B104" s="49"/>
      <c r="C104" s="124" t="s">
        <v>36</v>
      </c>
      <c r="D104" s="125"/>
      <c r="E104" s="12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49" t="s">
        <v>20</v>
      </c>
      <c r="C105" s="1"/>
      <c r="D105" s="1"/>
      <c r="E105" s="4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50"/>
      <c r="C106" s="127" t="s">
        <v>21</v>
      </c>
      <c r="D106" s="125"/>
      <c r="E106" s="12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50"/>
      <c r="C107" s="127" t="s">
        <v>22</v>
      </c>
      <c r="D107" s="125"/>
      <c r="E107" s="12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49" t="s">
        <v>23</v>
      </c>
      <c r="C108" s="51"/>
      <c r="D108" s="51"/>
      <c r="E108" s="5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50"/>
      <c r="C109" s="128" t="s">
        <v>24</v>
      </c>
      <c r="D109" s="125"/>
      <c r="E109" s="12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49" t="s">
        <v>25</v>
      </c>
      <c r="C110" s="53"/>
      <c r="D110" s="53"/>
      <c r="E110" s="5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50"/>
      <c r="C111" s="129" t="s">
        <v>26</v>
      </c>
      <c r="D111" s="125"/>
      <c r="E111" s="12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49" t="s">
        <v>27</v>
      </c>
      <c r="C112" s="51"/>
      <c r="D112" s="51"/>
      <c r="E112" s="5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49"/>
      <c r="C113" s="132" t="s">
        <v>28</v>
      </c>
      <c r="D113" s="125"/>
      <c r="E113" s="12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thickBot="1" x14ac:dyDescent="0.3">
      <c r="A114" s="1"/>
      <c r="B114" s="55"/>
      <c r="C114" s="56"/>
      <c r="D114" s="56"/>
      <c r="E114" s="5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thickBot="1" x14ac:dyDescent="0.3">
      <c r="A115" s="1"/>
      <c r="B115" s="5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58" t="s">
        <v>37</v>
      </c>
      <c r="C116" s="45"/>
      <c r="D116" s="45"/>
      <c r="E116" s="4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47"/>
      <c r="C117" s="1"/>
      <c r="D117" s="1"/>
      <c r="E117" s="4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49" t="s">
        <v>18</v>
      </c>
      <c r="C118" s="1"/>
      <c r="D118" s="1"/>
      <c r="E118" s="4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 customHeight="1" x14ac:dyDescent="0.25">
      <c r="A119" s="1"/>
      <c r="B119" s="49"/>
      <c r="C119" s="124" t="s">
        <v>38</v>
      </c>
      <c r="D119" s="125"/>
      <c r="E119" s="12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49" t="s">
        <v>20</v>
      </c>
      <c r="C120" s="1"/>
      <c r="D120" s="1"/>
      <c r="E120" s="4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50"/>
      <c r="C121" s="127" t="s">
        <v>21</v>
      </c>
      <c r="D121" s="125"/>
      <c r="E121" s="12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50"/>
      <c r="C122" s="127" t="s">
        <v>22</v>
      </c>
      <c r="D122" s="125"/>
      <c r="E122" s="12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49" t="s">
        <v>23</v>
      </c>
      <c r="C123" s="51"/>
      <c r="D123" s="51"/>
      <c r="E123" s="5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50"/>
      <c r="C124" s="128" t="s">
        <v>24</v>
      </c>
      <c r="D124" s="125"/>
      <c r="E124" s="12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49" t="s">
        <v>25</v>
      </c>
      <c r="C125" s="53"/>
      <c r="D125" s="53"/>
      <c r="E125" s="5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50"/>
      <c r="C126" s="129" t="s">
        <v>26</v>
      </c>
      <c r="D126" s="125"/>
      <c r="E126" s="12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49" t="s">
        <v>27</v>
      </c>
      <c r="C127" s="51"/>
      <c r="D127" s="51"/>
      <c r="E127" s="5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49"/>
      <c r="C128" s="132" t="s">
        <v>28</v>
      </c>
      <c r="D128" s="125"/>
      <c r="E128" s="12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thickBot="1" x14ac:dyDescent="0.3">
      <c r="A129" s="1"/>
      <c r="B129" s="55"/>
      <c r="C129" s="56"/>
      <c r="D129" s="56"/>
      <c r="E129" s="5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1" spans="1:26" ht="12.75" customHeight="1" x14ac:dyDescent="0.25">
      <c r="A131" s="1"/>
      <c r="B131" s="58" t="s">
        <v>39</v>
      </c>
      <c r="C131" s="45"/>
      <c r="D131" s="45"/>
      <c r="E131" s="4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47"/>
      <c r="C132" s="1"/>
      <c r="D132" s="1"/>
      <c r="E132" s="4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49" t="s">
        <v>18</v>
      </c>
      <c r="C133" s="1"/>
      <c r="D133" s="1"/>
      <c r="E133" s="4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.75" customHeight="1" x14ac:dyDescent="0.25">
      <c r="A134" s="1"/>
      <c r="B134" s="49"/>
      <c r="C134" s="124" t="s">
        <v>40</v>
      </c>
      <c r="D134" s="125"/>
      <c r="E134" s="12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49" t="s">
        <v>20</v>
      </c>
      <c r="C135" s="1"/>
      <c r="D135" s="1"/>
      <c r="E135" s="4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50"/>
      <c r="C136" s="127" t="s">
        <v>21</v>
      </c>
      <c r="D136" s="125"/>
      <c r="E136" s="12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50"/>
      <c r="C137" s="127" t="s">
        <v>22</v>
      </c>
      <c r="D137" s="125"/>
      <c r="E137" s="12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49" t="s">
        <v>23</v>
      </c>
      <c r="C138" s="51"/>
      <c r="D138" s="51"/>
      <c r="E138" s="5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50"/>
      <c r="C139" s="128" t="s">
        <v>24</v>
      </c>
      <c r="D139" s="125"/>
      <c r="E139" s="12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49" t="s">
        <v>25</v>
      </c>
      <c r="C140" s="53"/>
      <c r="D140" s="53"/>
      <c r="E140" s="5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50"/>
      <c r="C141" s="129" t="s">
        <v>26</v>
      </c>
      <c r="D141" s="125"/>
      <c r="E141" s="12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49" t="s">
        <v>27</v>
      </c>
      <c r="C142" s="51"/>
      <c r="D142" s="51"/>
      <c r="E142" s="5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49"/>
      <c r="C143" s="132" t="s">
        <v>28</v>
      </c>
      <c r="D143" s="125"/>
      <c r="E143" s="12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thickBot="1" x14ac:dyDescent="0.3">
      <c r="A144" s="1"/>
      <c r="B144" s="55"/>
      <c r="C144" s="56"/>
      <c r="D144" s="56"/>
      <c r="E144" s="5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thickBot="1" x14ac:dyDescent="0.3">
      <c r="A145" s="1"/>
      <c r="B145" s="6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58" t="s">
        <v>41</v>
      </c>
      <c r="C146" s="45"/>
      <c r="D146" s="45"/>
      <c r="E146" s="4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47"/>
      <c r="C147" s="1"/>
      <c r="D147" s="1"/>
      <c r="E147" s="4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49" t="s">
        <v>18</v>
      </c>
      <c r="C148" s="1"/>
      <c r="D148" s="1"/>
      <c r="E148" s="4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.75" customHeight="1" x14ac:dyDescent="0.25">
      <c r="A149" s="1"/>
      <c r="B149" s="49"/>
      <c r="C149" s="124" t="s">
        <v>42</v>
      </c>
      <c r="D149" s="125"/>
      <c r="E149" s="12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49" t="s">
        <v>20</v>
      </c>
      <c r="C150" s="1"/>
      <c r="D150" s="1"/>
      <c r="E150" s="4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50"/>
      <c r="C151" s="127" t="s">
        <v>21</v>
      </c>
      <c r="D151" s="125"/>
      <c r="E151" s="12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50"/>
      <c r="C152" s="127" t="s">
        <v>22</v>
      </c>
      <c r="D152" s="125"/>
      <c r="E152" s="12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49" t="s">
        <v>23</v>
      </c>
      <c r="C153" s="51"/>
      <c r="D153" s="51"/>
      <c r="E153" s="5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50"/>
      <c r="C154" s="128" t="s">
        <v>24</v>
      </c>
      <c r="D154" s="125"/>
      <c r="E154" s="12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49" t="s">
        <v>25</v>
      </c>
      <c r="C155" s="53"/>
      <c r="D155" s="53"/>
      <c r="E155" s="5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50"/>
      <c r="C156" s="129" t="s">
        <v>26</v>
      </c>
      <c r="D156" s="125"/>
      <c r="E156" s="12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49" t="s">
        <v>27</v>
      </c>
      <c r="C157" s="51"/>
      <c r="D157" s="51"/>
      <c r="E157" s="5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49"/>
      <c r="C158" s="132" t="s">
        <v>28</v>
      </c>
      <c r="D158" s="125"/>
      <c r="E158" s="12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thickBot="1" x14ac:dyDescent="0.3">
      <c r="A159" s="1"/>
      <c r="B159" s="55"/>
      <c r="C159" s="56"/>
      <c r="D159" s="56"/>
      <c r="E159" s="5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thickBot="1" x14ac:dyDescent="0.3">
      <c r="A160" s="1"/>
      <c r="B160" s="6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58" t="s">
        <v>43</v>
      </c>
      <c r="C161" s="45"/>
      <c r="D161" s="45"/>
      <c r="E161" s="4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47"/>
      <c r="C162" s="1"/>
      <c r="D162" s="1"/>
      <c r="E162" s="4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49" t="s">
        <v>18</v>
      </c>
      <c r="C163" s="1"/>
      <c r="D163" s="1"/>
      <c r="E163" s="4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6.25" customHeight="1" x14ac:dyDescent="0.25">
      <c r="A164" s="1"/>
      <c r="B164" s="49"/>
      <c r="C164" s="124" t="s">
        <v>44</v>
      </c>
      <c r="D164" s="125"/>
      <c r="E164" s="12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49" t="s">
        <v>20</v>
      </c>
      <c r="C165" s="1"/>
      <c r="D165" s="1"/>
      <c r="E165" s="4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50"/>
      <c r="C166" s="127" t="s">
        <v>21</v>
      </c>
      <c r="D166" s="125"/>
      <c r="E166" s="12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50"/>
      <c r="C167" s="127" t="s">
        <v>22</v>
      </c>
      <c r="D167" s="125"/>
      <c r="E167" s="12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49" t="s">
        <v>23</v>
      </c>
      <c r="C168" s="51"/>
      <c r="D168" s="51"/>
      <c r="E168" s="5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50"/>
      <c r="C169" s="128" t="s">
        <v>24</v>
      </c>
      <c r="D169" s="125"/>
      <c r="E169" s="12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49" t="s">
        <v>25</v>
      </c>
      <c r="C170" s="53"/>
      <c r="D170" s="53"/>
      <c r="E170" s="5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50"/>
      <c r="C171" s="129" t="s">
        <v>26</v>
      </c>
      <c r="D171" s="125"/>
      <c r="E171" s="12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49" t="s">
        <v>27</v>
      </c>
      <c r="C172" s="51"/>
      <c r="D172" s="51"/>
      <c r="E172" s="5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49"/>
      <c r="C173" s="132" t="s">
        <v>28</v>
      </c>
      <c r="D173" s="125"/>
      <c r="E173" s="12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thickBot="1" x14ac:dyDescent="0.3">
      <c r="A174" s="1"/>
      <c r="B174" s="55"/>
      <c r="C174" s="56"/>
      <c r="D174" s="56"/>
      <c r="E174" s="5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thickBot="1" x14ac:dyDescent="0.3">
      <c r="A175" s="1"/>
      <c r="B175" s="6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58" t="s">
        <v>45</v>
      </c>
      <c r="C176" s="45"/>
      <c r="D176" s="45"/>
      <c r="E176" s="4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47"/>
      <c r="C177" s="1"/>
      <c r="D177" s="1"/>
      <c r="E177" s="4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49" t="s">
        <v>18</v>
      </c>
      <c r="C178" s="1"/>
      <c r="D178" s="1"/>
      <c r="E178" s="4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25">
      <c r="A179" s="1"/>
      <c r="B179" s="49"/>
      <c r="C179" s="124" t="s">
        <v>46</v>
      </c>
      <c r="D179" s="125"/>
      <c r="E179" s="12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49" t="s">
        <v>20</v>
      </c>
      <c r="C180" s="1"/>
      <c r="D180" s="1"/>
      <c r="E180" s="4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50"/>
      <c r="C181" s="127" t="s">
        <v>21</v>
      </c>
      <c r="D181" s="125"/>
      <c r="E181" s="12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50"/>
      <c r="C182" s="127" t="s">
        <v>22</v>
      </c>
      <c r="D182" s="125"/>
      <c r="E182" s="12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49" t="s">
        <v>23</v>
      </c>
      <c r="C183" s="51"/>
      <c r="D183" s="51"/>
      <c r="E183" s="5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50"/>
      <c r="C184" s="128" t="s">
        <v>24</v>
      </c>
      <c r="D184" s="125"/>
      <c r="E184" s="12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49" t="s">
        <v>25</v>
      </c>
      <c r="C185" s="53"/>
      <c r="D185" s="53"/>
      <c r="E185" s="5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50"/>
      <c r="C186" s="129" t="s">
        <v>26</v>
      </c>
      <c r="D186" s="125"/>
      <c r="E186" s="12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49" t="s">
        <v>27</v>
      </c>
      <c r="C187" s="51"/>
      <c r="D187" s="51"/>
      <c r="E187" s="5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49"/>
      <c r="C188" s="132" t="s">
        <v>28</v>
      </c>
      <c r="D188" s="125"/>
      <c r="E188" s="12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thickBot="1" x14ac:dyDescent="0.3">
      <c r="A189" s="1"/>
      <c r="B189" s="55"/>
      <c r="C189" s="56"/>
      <c r="D189" s="56"/>
      <c r="E189" s="5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6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thickBot="1" x14ac:dyDescent="0.3">
      <c r="A191" s="1"/>
      <c r="B191" s="6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58" t="s">
        <v>47</v>
      </c>
      <c r="C192" s="45"/>
      <c r="D192" s="45"/>
      <c r="E192" s="4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47"/>
      <c r="C193" s="1"/>
      <c r="D193" s="1"/>
      <c r="E193" s="4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49" t="s">
        <v>18</v>
      </c>
      <c r="C194" s="1"/>
      <c r="D194" s="1"/>
      <c r="E194" s="4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3.25" customHeight="1" x14ac:dyDescent="0.25">
      <c r="A195" s="1"/>
      <c r="B195" s="49"/>
      <c r="C195" s="124" t="s">
        <v>48</v>
      </c>
      <c r="D195" s="125"/>
      <c r="E195" s="12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49" t="s">
        <v>20</v>
      </c>
      <c r="C196" s="1"/>
      <c r="D196" s="1"/>
      <c r="E196" s="4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50"/>
      <c r="C197" s="127" t="s">
        <v>21</v>
      </c>
      <c r="D197" s="125"/>
      <c r="E197" s="12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50"/>
      <c r="C198" s="127" t="s">
        <v>22</v>
      </c>
      <c r="D198" s="125"/>
      <c r="E198" s="12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49" t="s">
        <v>23</v>
      </c>
      <c r="C199" s="51"/>
      <c r="D199" s="51"/>
      <c r="E199" s="5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50"/>
      <c r="C200" s="128" t="s">
        <v>24</v>
      </c>
      <c r="D200" s="125"/>
      <c r="E200" s="12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49" t="s">
        <v>25</v>
      </c>
      <c r="C201" s="53"/>
      <c r="D201" s="53"/>
      <c r="E201" s="5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50"/>
      <c r="C202" s="129" t="s">
        <v>26</v>
      </c>
      <c r="D202" s="125"/>
      <c r="E202" s="12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49" t="s">
        <v>27</v>
      </c>
      <c r="C203" s="51"/>
      <c r="D203" s="51"/>
      <c r="E203" s="5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49"/>
      <c r="C204" s="132" t="s">
        <v>28</v>
      </c>
      <c r="D204" s="125"/>
      <c r="E204" s="12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thickBot="1" x14ac:dyDescent="0.3">
      <c r="A205" s="1"/>
      <c r="B205" s="55"/>
      <c r="C205" s="56"/>
      <c r="D205" s="56"/>
      <c r="E205" s="5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thickBot="1" x14ac:dyDescent="0.3">
      <c r="A206" s="1"/>
      <c r="B206" s="6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58" t="s">
        <v>49</v>
      </c>
      <c r="C207" s="45"/>
      <c r="D207" s="45"/>
      <c r="E207" s="4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47"/>
      <c r="C208" s="1"/>
      <c r="D208" s="1"/>
      <c r="E208" s="4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49" t="s">
        <v>18</v>
      </c>
      <c r="C209" s="1"/>
      <c r="D209" s="1"/>
      <c r="E209" s="4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 customHeight="1" x14ac:dyDescent="0.25">
      <c r="A210" s="1"/>
      <c r="B210" s="49"/>
      <c r="C210" s="124" t="s">
        <v>50</v>
      </c>
      <c r="D210" s="125"/>
      <c r="E210" s="12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49" t="s">
        <v>20</v>
      </c>
      <c r="C211" s="1"/>
      <c r="D211" s="1"/>
      <c r="E211" s="4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50"/>
      <c r="C212" s="127" t="s">
        <v>21</v>
      </c>
      <c r="D212" s="125"/>
      <c r="E212" s="12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50"/>
      <c r="C213" s="127" t="s">
        <v>22</v>
      </c>
      <c r="D213" s="125"/>
      <c r="E213" s="12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49" t="s">
        <v>23</v>
      </c>
      <c r="C214" s="51"/>
      <c r="D214" s="51"/>
      <c r="E214" s="5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50"/>
      <c r="C215" s="128" t="s">
        <v>24</v>
      </c>
      <c r="D215" s="125"/>
      <c r="E215" s="12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49" t="s">
        <v>25</v>
      </c>
      <c r="C216" s="53"/>
      <c r="D216" s="53"/>
      <c r="E216" s="5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50"/>
      <c r="C217" s="129" t="s">
        <v>26</v>
      </c>
      <c r="D217" s="125"/>
      <c r="E217" s="12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49" t="s">
        <v>27</v>
      </c>
      <c r="C218" s="51"/>
      <c r="D218" s="51"/>
      <c r="E218" s="5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49"/>
      <c r="C219" s="132" t="s">
        <v>28</v>
      </c>
      <c r="D219" s="125"/>
      <c r="E219" s="12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thickBot="1" x14ac:dyDescent="0.3">
      <c r="A220" s="1"/>
      <c r="B220" s="55"/>
      <c r="C220" s="56"/>
      <c r="D220" s="56"/>
      <c r="E220" s="5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thickBot="1" x14ac:dyDescent="0.3">
      <c r="A221" s="1"/>
      <c r="B221" s="6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58" t="s">
        <v>51</v>
      </c>
      <c r="C222" s="45"/>
      <c r="D222" s="45"/>
      <c r="E222" s="4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47"/>
      <c r="C223" s="1"/>
      <c r="D223" s="1"/>
      <c r="E223" s="4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49" t="s">
        <v>18</v>
      </c>
      <c r="C224" s="1"/>
      <c r="D224" s="1"/>
      <c r="E224" s="4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 customHeight="1" x14ac:dyDescent="0.25">
      <c r="A225" s="1"/>
      <c r="B225" s="49"/>
      <c r="C225" s="124" t="s">
        <v>52</v>
      </c>
      <c r="D225" s="125"/>
      <c r="E225" s="12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49" t="s">
        <v>20</v>
      </c>
      <c r="C226" s="1"/>
      <c r="D226" s="1"/>
      <c r="E226" s="4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50"/>
      <c r="C227" s="127" t="s">
        <v>21</v>
      </c>
      <c r="D227" s="125"/>
      <c r="E227" s="12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50"/>
      <c r="C228" s="127" t="s">
        <v>22</v>
      </c>
      <c r="D228" s="125"/>
      <c r="E228" s="12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49" t="s">
        <v>23</v>
      </c>
      <c r="C229" s="51"/>
      <c r="D229" s="51"/>
      <c r="E229" s="5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50"/>
      <c r="C230" s="128" t="s">
        <v>24</v>
      </c>
      <c r="D230" s="125"/>
      <c r="E230" s="12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49" t="s">
        <v>25</v>
      </c>
      <c r="C231" s="53"/>
      <c r="D231" s="53"/>
      <c r="E231" s="5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50"/>
      <c r="C232" s="129" t="s">
        <v>26</v>
      </c>
      <c r="D232" s="125"/>
      <c r="E232" s="12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49" t="s">
        <v>27</v>
      </c>
      <c r="C233" s="51"/>
      <c r="D233" s="51"/>
      <c r="E233" s="5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49"/>
      <c r="C234" s="132" t="s">
        <v>28</v>
      </c>
      <c r="D234" s="125"/>
      <c r="E234" s="12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thickBot="1" x14ac:dyDescent="0.3">
      <c r="A235" s="1"/>
      <c r="B235" s="55"/>
      <c r="C235" s="56"/>
      <c r="D235" s="56"/>
      <c r="E235" s="5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thickBot="1" x14ac:dyDescent="0.3">
      <c r="A236" s="1"/>
      <c r="B236" s="6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58" t="s">
        <v>53</v>
      </c>
      <c r="C237" s="45"/>
      <c r="D237" s="45"/>
      <c r="E237" s="4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47"/>
      <c r="C238" s="1"/>
      <c r="D238" s="1"/>
      <c r="E238" s="4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49" t="s">
        <v>18</v>
      </c>
      <c r="C239" s="1"/>
      <c r="D239" s="1"/>
      <c r="E239" s="4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 customHeight="1" x14ac:dyDescent="0.25">
      <c r="A240" s="1"/>
      <c r="B240" s="49"/>
      <c r="C240" s="133" t="s">
        <v>131</v>
      </c>
      <c r="D240" s="125"/>
      <c r="E240" s="12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49" t="s">
        <v>20</v>
      </c>
      <c r="C241" s="1"/>
      <c r="D241" s="1"/>
      <c r="E241" s="4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50"/>
      <c r="C242" s="127" t="s">
        <v>21</v>
      </c>
      <c r="D242" s="125"/>
      <c r="E242" s="12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50"/>
      <c r="C243" s="127" t="s">
        <v>22</v>
      </c>
      <c r="D243" s="125"/>
      <c r="E243" s="12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49" t="s">
        <v>23</v>
      </c>
      <c r="C244" s="51"/>
      <c r="D244" s="51"/>
      <c r="E244" s="5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50"/>
      <c r="C245" s="128" t="s">
        <v>24</v>
      </c>
      <c r="D245" s="125"/>
      <c r="E245" s="12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49" t="s">
        <v>25</v>
      </c>
      <c r="C246" s="53"/>
      <c r="D246" s="53"/>
      <c r="E246" s="5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50"/>
      <c r="C247" s="129" t="s">
        <v>26</v>
      </c>
      <c r="D247" s="125"/>
      <c r="E247" s="12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49" t="s">
        <v>27</v>
      </c>
      <c r="C248" s="51"/>
      <c r="D248" s="51"/>
      <c r="E248" s="5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49"/>
      <c r="C249" s="132" t="s">
        <v>28</v>
      </c>
      <c r="D249" s="125"/>
      <c r="E249" s="12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thickBot="1" x14ac:dyDescent="0.3">
      <c r="A250" s="1"/>
      <c r="B250" s="55"/>
      <c r="C250" s="56"/>
      <c r="D250" s="56"/>
      <c r="E250" s="5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thickBot="1" x14ac:dyDescent="0.3">
      <c r="A251" s="1"/>
      <c r="B251" s="6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58" t="s">
        <v>54</v>
      </c>
      <c r="C252" s="45"/>
      <c r="D252" s="45"/>
      <c r="E252" s="4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47"/>
      <c r="C253" s="1"/>
      <c r="D253" s="1"/>
      <c r="E253" s="4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49" t="s">
        <v>18</v>
      </c>
      <c r="C254" s="1"/>
      <c r="D254" s="1"/>
      <c r="E254" s="4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6.25" customHeight="1" x14ac:dyDescent="0.25">
      <c r="A255" s="1"/>
      <c r="B255" s="49"/>
      <c r="C255" s="124" t="s">
        <v>55</v>
      </c>
      <c r="D255" s="125"/>
      <c r="E255" s="12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49" t="s">
        <v>20</v>
      </c>
      <c r="C256" s="1"/>
      <c r="D256" s="1"/>
      <c r="E256" s="4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50"/>
      <c r="C257" s="127" t="s">
        <v>21</v>
      </c>
      <c r="D257" s="125"/>
      <c r="E257" s="12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50"/>
      <c r="C258" s="127" t="s">
        <v>22</v>
      </c>
      <c r="D258" s="125"/>
      <c r="E258" s="12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49" t="s">
        <v>23</v>
      </c>
      <c r="C259" s="51"/>
      <c r="D259" s="51"/>
      <c r="E259" s="5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50"/>
      <c r="C260" s="128" t="s">
        <v>24</v>
      </c>
      <c r="D260" s="125"/>
      <c r="E260" s="12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49" t="s">
        <v>25</v>
      </c>
      <c r="C261" s="53"/>
      <c r="D261" s="53"/>
      <c r="E261" s="5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50"/>
      <c r="C262" s="129" t="s">
        <v>26</v>
      </c>
      <c r="D262" s="125"/>
      <c r="E262" s="12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49" t="s">
        <v>27</v>
      </c>
      <c r="C263" s="51"/>
      <c r="D263" s="51"/>
      <c r="E263" s="5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49"/>
      <c r="C264" s="132" t="s">
        <v>28</v>
      </c>
      <c r="D264" s="125"/>
      <c r="E264" s="12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thickBot="1" x14ac:dyDescent="0.3">
      <c r="A265" s="1"/>
      <c r="B265" s="55"/>
      <c r="C265" s="56"/>
      <c r="D265" s="56"/>
      <c r="E265" s="5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61"/>
      <c r="B267" s="62" t="s">
        <v>56</v>
      </c>
      <c r="C267" s="63"/>
      <c r="D267" s="63"/>
      <c r="E267" s="64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2.75" customHeight="1" x14ac:dyDescent="0.25">
      <c r="A268" s="61"/>
      <c r="B268" s="65"/>
      <c r="C268" s="65"/>
      <c r="D268" s="65"/>
      <c r="E268" s="61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2.75" customHeight="1" x14ac:dyDescent="0.25">
      <c r="A269" s="61"/>
      <c r="B269" s="59" t="s">
        <v>18</v>
      </c>
      <c r="C269" s="66"/>
      <c r="D269" s="66"/>
      <c r="E269" s="61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26.25" customHeight="1" x14ac:dyDescent="0.25">
      <c r="A270" s="61"/>
      <c r="B270" s="67"/>
      <c r="C270" s="134" t="s">
        <v>57</v>
      </c>
      <c r="D270" s="125"/>
      <c r="E270" s="126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2.75" customHeight="1" x14ac:dyDescent="0.25">
      <c r="A271" s="61"/>
      <c r="B271" s="67" t="s">
        <v>20</v>
      </c>
      <c r="C271" s="66"/>
      <c r="D271" s="66"/>
      <c r="E271" s="61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2.75" customHeight="1" x14ac:dyDescent="0.25">
      <c r="A272" s="61"/>
      <c r="B272" s="66"/>
      <c r="C272" s="132" t="s">
        <v>21</v>
      </c>
      <c r="D272" s="125"/>
      <c r="E272" s="126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2.75" customHeight="1" x14ac:dyDescent="0.25">
      <c r="A273" s="61"/>
      <c r="B273" s="66"/>
      <c r="C273" s="132" t="s">
        <v>22</v>
      </c>
      <c r="D273" s="125"/>
      <c r="E273" s="126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2.75" customHeight="1" x14ac:dyDescent="0.25">
      <c r="A274" s="61"/>
      <c r="B274" s="67" t="s">
        <v>23</v>
      </c>
      <c r="C274" s="66"/>
      <c r="D274" s="66"/>
      <c r="E274" s="61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2.75" customHeight="1" x14ac:dyDescent="0.25">
      <c r="A275" s="61"/>
      <c r="B275" s="66"/>
      <c r="C275" s="129" t="s">
        <v>24</v>
      </c>
      <c r="D275" s="125"/>
      <c r="E275" s="126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2.75" customHeight="1" x14ac:dyDescent="0.25">
      <c r="A276" s="61"/>
      <c r="B276" s="59" t="s">
        <v>25</v>
      </c>
      <c r="C276" s="66"/>
      <c r="D276" s="66"/>
      <c r="E276" s="61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2.75" customHeight="1" x14ac:dyDescent="0.25">
      <c r="A277" s="61"/>
      <c r="B277" s="66"/>
      <c r="C277" s="129" t="s">
        <v>26</v>
      </c>
      <c r="D277" s="125"/>
      <c r="E277" s="126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2.75" customHeight="1" x14ac:dyDescent="0.25">
      <c r="A278" s="61"/>
      <c r="B278" s="59" t="s">
        <v>27</v>
      </c>
      <c r="C278" s="66"/>
      <c r="D278" s="66"/>
      <c r="E278" s="61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2.75" customHeight="1" x14ac:dyDescent="0.25">
      <c r="A279" s="61"/>
      <c r="B279" s="67"/>
      <c r="C279" s="132" t="s">
        <v>28</v>
      </c>
      <c r="D279" s="125"/>
      <c r="E279" s="126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2.75" customHeight="1" thickBot="1" x14ac:dyDescent="0.3">
      <c r="A280" s="61"/>
      <c r="B280" s="68"/>
      <c r="C280" s="68"/>
      <c r="D280" s="68"/>
      <c r="E280" s="6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2.75" customHeight="1" thickBot="1" x14ac:dyDescent="0.3">
      <c r="A281" s="1"/>
      <c r="B281" s="5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58" t="s">
        <v>58</v>
      </c>
      <c r="C282" s="45"/>
      <c r="D282" s="45"/>
      <c r="E282" s="4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47"/>
      <c r="C283" s="1"/>
      <c r="D283" s="1"/>
      <c r="E283" s="4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49" t="s">
        <v>18</v>
      </c>
      <c r="C284" s="1"/>
      <c r="D284" s="1"/>
      <c r="E284" s="4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6.25" customHeight="1" x14ac:dyDescent="0.25">
      <c r="A285" s="1"/>
      <c r="B285" s="49"/>
      <c r="C285" s="124" t="s">
        <v>59</v>
      </c>
      <c r="D285" s="125"/>
      <c r="E285" s="12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49" t="s">
        <v>20</v>
      </c>
      <c r="C286" s="1"/>
      <c r="D286" s="1"/>
      <c r="E286" s="4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50"/>
      <c r="C287" s="127" t="s">
        <v>21</v>
      </c>
      <c r="D287" s="125"/>
      <c r="E287" s="12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50"/>
      <c r="C288" s="127" t="s">
        <v>22</v>
      </c>
      <c r="D288" s="125"/>
      <c r="E288" s="12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49" t="s">
        <v>23</v>
      </c>
      <c r="C289" s="51"/>
      <c r="D289" s="51"/>
      <c r="E289" s="5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50"/>
      <c r="C290" s="128" t="s">
        <v>24</v>
      </c>
      <c r="D290" s="125"/>
      <c r="E290" s="12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49" t="s">
        <v>25</v>
      </c>
      <c r="C291" s="53"/>
      <c r="D291" s="53"/>
      <c r="E291" s="5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50"/>
      <c r="C292" s="129" t="s">
        <v>26</v>
      </c>
      <c r="D292" s="125"/>
      <c r="E292" s="12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49" t="s">
        <v>27</v>
      </c>
      <c r="C293" s="51"/>
      <c r="D293" s="51"/>
      <c r="E293" s="5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49"/>
      <c r="C294" s="132" t="s">
        <v>28</v>
      </c>
      <c r="D294" s="125"/>
      <c r="E294" s="12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thickBot="1" x14ac:dyDescent="0.3">
      <c r="A295" s="1"/>
      <c r="B295" s="55"/>
      <c r="C295" s="56"/>
      <c r="D295" s="56"/>
      <c r="E295" s="5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thickBot="1" x14ac:dyDescent="0.3">
      <c r="A296" s="1"/>
      <c r="B296" s="5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58" t="s">
        <v>60</v>
      </c>
      <c r="C297" s="45"/>
      <c r="D297" s="45"/>
      <c r="E297" s="4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47"/>
      <c r="C298" s="1"/>
      <c r="D298" s="1"/>
      <c r="E298" s="4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49" t="s">
        <v>18</v>
      </c>
      <c r="C299" s="1"/>
      <c r="D299" s="1"/>
      <c r="E299" s="4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.75" customHeight="1" x14ac:dyDescent="0.25">
      <c r="A300" s="1"/>
      <c r="B300" s="49"/>
      <c r="C300" s="124" t="s">
        <v>61</v>
      </c>
      <c r="D300" s="125"/>
      <c r="E300" s="12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49" t="s">
        <v>20</v>
      </c>
      <c r="C301" s="1"/>
      <c r="D301" s="1"/>
      <c r="E301" s="4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50"/>
      <c r="C302" s="127" t="s">
        <v>21</v>
      </c>
      <c r="D302" s="125"/>
      <c r="E302" s="12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50"/>
      <c r="C303" s="127" t="s">
        <v>22</v>
      </c>
      <c r="D303" s="125"/>
      <c r="E303" s="12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49" t="s">
        <v>23</v>
      </c>
      <c r="C304" s="51"/>
      <c r="D304" s="51"/>
      <c r="E304" s="5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50"/>
      <c r="C305" s="128" t="s">
        <v>24</v>
      </c>
      <c r="D305" s="125"/>
      <c r="E305" s="12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49" t="s">
        <v>25</v>
      </c>
      <c r="C306" s="53"/>
      <c r="D306" s="53"/>
      <c r="E306" s="5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50"/>
      <c r="C307" s="129" t="s">
        <v>26</v>
      </c>
      <c r="D307" s="125"/>
      <c r="E307" s="12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49" t="s">
        <v>27</v>
      </c>
      <c r="C308" s="51"/>
      <c r="D308" s="51"/>
      <c r="E308" s="5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49"/>
      <c r="C309" s="132" t="s">
        <v>28</v>
      </c>
      <c r="D309" s="125"/>
      <c r="E309" s="12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thickBot="1" x14ac:dyDescent="0.3">
      <c r="A310" s="1"/>
      <c r="B310" s="55"/>
      <c r="C310" s="56"/>
      <c r="D310" s="56"/>
      <c r="E310" s="5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thickBot="1" x14ac:dyDescent="0.3">
      <c r="A311" s="1"/>
      <c r="B311" s="5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58" t="s">
        <v>62</v>
      </c>
      <c r="C312" s="45"/>
      <c r="D312" s="45"/>
      <c r="E312" s="4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47"/>
      <c r="C313" s="1"/>
      <c r="D313" s="1"/>
      <c r="E313" s="4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49" t="s">
        <v>18</v>
      </c>
      <c r="C314" s="1"/>
      <c r="D314" s="1"/>
      <c r="E314" s="4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8.5" customHeight="1" x14ac:dyDescent="0.25">
      <c r="A315" s="1"/>
      <c r="B315" s="49"/>
      <c r="C315" s="124" t="s">
        <v>63</v>
      </c>
      <c r="D315" s="125"/>
      <c r="E315" s="12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49" t="s">
        <v>20</v>
      </c>
      <c r="C316" s="1"/>
      <c r="D316" s="1"/>
      <c r="E316" s="4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50"/>
      <c r="C317" s="127" t="s">
        <v>21</v>
      </c>
      <c r="D317" s="125"/>
      <c r="E317" s="12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50"/>
      <c r="C318" s="127" t="s">
        <v>22</v>
      </c>
      <c r="D318" s="125"/>
      <c r="E318" s="12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49" t="s">
        <v>23</v>
      </c>
      <c r="C319" s="51"/>
      <c r="D319" s="51"/>
      <c r="E319" s="5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50"/>
      <c r="C320" s="128" t="s">
        <v>24</v>
      </c>
      <c r="D320" s="125"/>
      <c r="E320" s="12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49" t="s">
        <v>25</v>
      </c>
      <c r="C321" s="53"/>
      <c r="D321" s="53"/>
      <c r="E321" s="5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50"/>
      <c r="C322" s="129" t="s">
        <v>26</v>
      </c>
      <c r="D322" s="125"/>
      <c r="E322" s="12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49" t="s">
        <v>27</v>
      </c>
      <c r="C323" s="51"/>
      <c r="D323" s="51"/>
      <c r="E323" s="5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49"/>
      <c r="C324" s="132" t="s">
        <v>28</v>
      </c>
      <c r="D324" s="125"/>
      <c r="E324" s="12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thickBot="1" x14ac:dyDescent="0.3">
      <c r="A325" s="1"/>
      <c r="B325" s="55"/>
      <c r="C325" s="56"/>
      <c r="D325" s="56"/>
      <c r="E325" s="5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thickBot="1" x14ac:dyDescent="0.3">
      <c r="A326" s="1"/>
      <c r="B326" s="5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58" t="s">
        <v>64</v>
      </c>
      <c r="C327" s="45"/>
      <c r="D327" s="45"/>
      <c r="E327" s="4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47"/>
      <c r="C328" s="1"/>
      <c r="D328" s="1"/>
      <c r="E328" s="4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49" t="s">
        <v>18</v>
      </c>
      <c r="C329" s="1"/>
      <c r="D329" s="1"/>
      <c r="E329" s="4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9.25" customHeight="1" x14ac:dyDescent="0.25">
      <c r="A330" s="1"/>
      <c r="B330" s="49"/>
      <c r="C330" s="124" t="s">
        <v>65</v>
      </c>
      <c r="D330" s="125"/>
      <c r="E330" s="12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49" t="s">
        <v>20</v>
      </c>
      <c r="C331" s="1"/>
      <c r="D331" s="1"/>
      <c r="E331" s="4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50"/>
      <c r="C332" s="127" t="s">
        <v>21</v>
      </c>
      <c r="D332" s="125"/>
      <c r="E332" s="12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50"/>
      <c r="C333" s="127" t="s">
        <v>22</v>
      </c>
      <c r="D333" s="125"/>
      <c r="E333" s="12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49" t="s">
        <v>23</v>
      </c>
      <c r="C334" s="51"/>
      <c r="D334" s="51"/>
      <c r="E334" s="5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50"/>
      <c r="C335" s="128" t="s">
        <v>24</v>
      </c>
      <c r="D335" s="125"/>
      <c r="E335" s="12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49" t="s">
        <v>25</v>
      </c>
      <c r="C336" s="53"/>
      <c r="D336" s="53"/>
      <c r="E336" s="5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50"/>
      <c r="C337" s="129" t="s">
        <v>26</v>
      </c>
      <c r="D337" s="125"/>
      <c r="E337" s="12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49" t="s">
        <v>27</v>
      </c>
      <c r="C338" s="51"/>
      <c r="D338" s="51"/>
      <c r="E338" s="5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49"/>
      <c r="C339" s="132" t="s">
        <v>28</v>
      </c>
      <c r="D339" s="125"/>
      <c r="E339" s="12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thickBot="1" x14ac:dyDescent="0.3">
      <c r="A340" s="1"/>
      <c r="B340" s="55"/>
      <c r="C340" s="56"/>
      <c r="D340" s="56"/>
      <c r="E340" s="5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58" t="s">
        <v>66</v>
      </c>
      <c r="C342" s="45"/>
      <c r="D342" s="45"/>
      <c r="E342" s="4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47"/>
      <c r="C343" s="1"/>
      <c r="D343" s="1"/>
      <c r="E343" s="4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49" t="s">
        <v>18</v>
      </c>
      <c r="C344" s="1"/>
      <c r="D344" s="1"/>
      <c r="E344" s="4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9.25" customHeight="1" x14ac:dyDescent="0.25">
      <c r="A345" s="1"/>
      <c r="B345" s="49"/>
      <c r="C345" s="124" t="s">
        <v>67</v>
      </c>
      <c r="D345" s="125"/>
      <c r="E345" s="12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49" t="s">
        <v>20</v>
      </c>
      <c r="C346" s="1"/>
      <c r="D346" s="1"/>
      <c r="E346" s="4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50"/>
      <c r="C347" s="127" t="s">
        <v>21</v>
      </c>
      <c r="D347" s="125"/>
      <c r="E347" s="12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50"/>
      <c r="C348" s="127" t="s">
        <v>22</v>
      </c>
      <c r="D348" s="125"/>
      <c r="E348" s="12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49" t="s">
        <v>23</v>
      </c>
      <c r="C349" s="51"/>
      <c r="D349" s="51"/>
      <c r="E349" s="5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50"/>
      <c r="C350" s="128" t="s">
        <v>24</v>
      </c>
      <c r="D350" s="125"/>
      <c r="E350" s="12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49" t="s">
        <v>25</v>
      </c>
      <c r="C351" s="53"/>
      <c r="D351" s="53"/>
      <c r="E351" s="5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50"/>
      <c r="C352" s="129" t="s">
        <v>26</v>
      </c>
      <c r="D352" s="125"/>
      <c r="E352" s="12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49" t="s">
        <v>27</v>
      </c>
      <c r="C353" s="51"/>
      <c r="D353" s="51"/>
      <c r="E353" s="5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49"/>
      <c r="C354" s="132" t="s">
        <v>28</v>
      </c>
      <c r="D354" s="125"/>
      <c r="E354" s="12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thickBot="1" x14ac:dyDescent="0.3">
      <c r="A355" s="1"/>
      <c r="B355" s="55"/>
      <c r="C355" s="56"/>
      <c r="D355" s="56"/>
      <c r="E355" s="5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thickBot="1" x14ac:dyDescent="0.3">
      <c r="A356" s="1"/>
      <c r="B356" s="5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58" t="s">
        <v>68</v>
      </c>
      <c r="C357" s="45"/>
      <c r="D357" s="45"/>
      <c r="E357" s="4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47"/>
      <c r="C358" s="1"/>
      <c r="D358" s="1"/>
      <c r="E358" s="4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49" t="s">
        <v>18</v>
      </c>
      <c r="C359" s="1"/>
      <c r="D359" s="1"/>
      <c r="E359" s="4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 x14ac:dyDescent="0.25">
      <c r="A360" s="1"/>
      <c r="B360" s="49"/>
      <c r="C360" s="133" t="s">
        <v>129</v>
      </c>
      <c r="D360" s="125"/>
      <c r="E360" s="12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49" t="s">
        <v>20</v>
      </c>
      <c r="C361" s="1"/>
      <c r="D361" s="1"/>
      <c r="E361" s="4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50"/>
      <c r="C362" s="127" t="s">
        <v>21</v>
      </c>
      <c r="D362" s="125"/>
      <c r="E362" s="12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50"/>
      <c r="C363" s="127" t="s">
        <v>22</v>
      </c>
      <c r="D363" s="125"/>
      <c r="E363" s="12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49" t="s">
        <v>23</v>
      </c>
      <c r="C364" s="51"/>
      <c r="D364" s="51"/>
      <c r="E364" s="5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50"/>
      <c r="C365" s="128" t="s">
        <v>24</v>
      </c>
      <c r="D365" s="125"/>
      <c r="E365" s="12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49" t="s">
        <v>25</v>
      </c>
      <c r="C366" s="53"/>
      <c r="D366" s="53"/>
      <c r="E366" s="5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50"/>
      <c r="C367" s="129" t="s">
        <v>26</v>
      </c>
      <c r="D367" s="125"/>
      <c r="E367" s="12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49" t="s">
        <v>27</v>
      </c>
      <c r="C368" s="51"/>
      <c r="D368" s="51"/>
      <c r="E368" s="5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49"/>
      <c r="C369" s="132" t="s">
        <v>28</v>
      </c>
      <c r="D369" s="125"/>
      <c r="E369" s="12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thickBot="1" x14ac:dyDescent="0.3">
      <c r="A370" s="1"/>
      <c r="B370" s="55"/>
      <c r="C370" s="56"/>
      <c r="D370" s="56"/>
      <c r="E370" s="5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58" t="s">
        <v>69</v>
      </c>
      <c r="C372" s="45"/>
      <c r="D372" s="45"/>
      <c r="E372" s="4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47"/>
      <c r="C373" s="1"/>
      <c r="D373" s="1"/>
      <c r="E373" s="4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49" t="s">
        <v>18</v>
      </c>
      <c r="C374" s="1"/>
      <c r="D374" s="1"/>
      <c r="E374" s="4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6.25" customHeight="1" x14ac:dyDescent="0.25">
      <c r="A375" s="1"/>
      <c r="B375" s="49"/>
      <c r="C375" s="124" t="s">
        <v>70</v>
      </c>
      <c r="D375" s="125"/>
      <c r="E375" s="12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49" t="s">
        <v>20</v>
      </c>
      <c r="C376" s="1"/>
      <c r="D376" s="1"/>
      <c r="E376" s="4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50"/>
      <c r="C377" s="127" t="s">
        <v>21</v>
      </c>
      <c r="D377" s="125"/>
      <c r="E377" s="12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50"/>
      <c r="C378" s="127" t="s">
        <v>22</v>
      </c>
      <c r="D378" s="125"/>
      <c r="E378" s="12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49" t="s">
        <v>23</v>
      </c>
      <c r="C379" s="51"/>
      <c r="D379" s="51"/>
      <c r="E379" s="5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50"/>
      <c r="C380" s="128" t="s">
        <v>24</v>
      </c>
      <c r="D380" s="125"/>
      <c r="E380" s="12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49" t="s">
        <v>25</v>
      </c>
      <c r="C381" s="53"/>
      <c r="D381" s="53"/>
      <c r="E381" s="5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50"/>
      <c r="C382" s="129" t="s">
        <v>26</v>
      </c>
      <c r="D382" s="125"/>
      <c r="E382" s="12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49" t="s">
        <v>27</v>
      </c>
      <c r="C383" s="51"/>
      <c r="D383" s="51"/>
      <c r="E383" s="5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49"/>
      <c r="C384" s="132" t="s">
        <v>28</v>
      </c>
      <c r="D384" s="125"/>
      <c r="E384" s="12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thickBot="1" x14ac:dyDescent="0.3">
      <c r="A385" s="1"/>
      <c r="B385" s="55"/>
      <c r="C385" s="56"/>
      <c r="D385" s="56"/>
      <c r="E385" s="5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thickBot="1" x14ac:dyDescent="0.3">
      <c r="A386" s="1"/>
      <c r="B386" s="5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58" t="s">
        <v>71</v>
      </c>
      <c r="C387" s="45"/>
      <c r="D387" s="45"/>
      <c r="E387" s="4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47"/>
      <c r="C388" s="1"/>
      <c r="D388" s="1"/>
      <c r="E388" s="4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49" t="s">
        <v>18</v>
      </c>
      <c r="C389" s="1"/>
      <c r="D389" s="1"/>
      <c r="E389" s="4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1.5" customHeight="1" x14ac:dyDescent="0.25">
      <c r="A390" s="1"/>
      <c r="B390" s="49"/>
      <c r="C390" s="124" t="s">
        <v>72</v>
      </c>
      <c r="D390" s="125"/>
      <c r="E390" s="12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49" t="s">
        <v>20</v>
      </c>
      <c r="C391" s="1"/>
      <c r="D391" s="1"/>
      <c r="E391" s="4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50"/>
      <c r="C392" s="127" t="s">
        <v>21</v>
      </c>
      <c r="D392" s="125"/>
      <c r="E392" s="12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50"/>
      <c r="C393" s="127" t="s">
        <v>22</v>
      </c>
      <c r="D393" s="125"/>
      <c r="E393" s="12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49" t="s">
        <v>23</v>
      </c>
      <c r="C394" s="51"/>
      <c r="D394" s="51"/>
      <c r="E394" s="5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50"/>
      <c r="C395" s="128" t="s">
        <v>24</v>
      </c>
      <c r="D395" s="125"/>
      <c r="E395" s="12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49" t="s">
        <v>25</v>
      </c>
      <c r="C396" s="53"/>
      <c r="D396" s="53"/>
      <c r="E396" s="5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50"/>
      <c r="C397" s="129" t="s">
        <v>26</v>
      </c>
      <c r="D397" s="125"/>
      <c r="E397" s="12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49" t="s">
        <v>27</v>
      </c>
      <c r="C398" s="51"/>
      <c r="D398" s="51"/>
      <c r="E398" s="5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49"/>
      <c r="C399" s="132" t="s">
        <v>28</v>
      </c>
      <c r="D399" s="125"/>
      <c r="E399" s="12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thickBot="1" x14ac:dyDescent="0.3">
      <c r="A400" s="1"/>
      <c r="B400" s="55"/>
      <c r="C400" s="56"/>
      <c r="D400" s="56"/>
      <c r="E400" s="5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thickBot="1" x14ac:dyDescent="0.3">
      <c r="A401" s="1"/>
      <c r="B401" s="5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58" t="s">
        <v>73</v>
      </c>
      <c r="C402" s="45"/>
      <c r="D402" s="45"/>
      <c r="E402" s="4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47"/>
      <c r="C403" s="1"/>
      <c r="D403" s="1"/>
      <c r="E403" s="4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49" t="s">
        <v>18</v>
      </c>
      <c r="C404" s="1"/>
      <c r="D404" s="1"/>
      <c r="E404" s="4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6.25" customHeight="1" x14ac:dyDescent="0.25">
      <c r="A405" s="1"/>
      <c r="B405" s="49"/>
      <c r="C405" s="124" t="s">
        <v>74</v>
      </c>
      <c r="D405" s="125"/>
      <c r="E405" s="12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49" t="s">
        <v>20</v>
      </c>
      <c r="C406" s="1"/>
      <c r="D406" s="1"/>
      <c r="E406" s="4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50"/>
      <c r="C407" s="127" t="s">
        <v>21</v>
      </c>
      <c r="D407" s="125"/>
      <c r="E407" s="12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50"/>
      <c r="C408" s="127" t="s">
        <v>22</v>
      </c>
      <c r="D408" s="125"/>
      <c r="E408" s="12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49" t="s">
        <v>23</v>
      </c>
      <c r="C409" s="51"/>
      <c r="D409" s="51"/>
      <c r="E409" s="5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50"/>
      <c r="C410" s="128" t="s">
        <v>24</v>
      </c>
      <c r="D410" s="125"/>
      <c r="E410" s="12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49" t="s">
        <v>25</v>
      </c>
      <c r="C411" s="53"/>
      <c r="D411" s="53"/>
      <c r="E411" s="5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50"/>
      <c r="C412" s="129" t="s">
        <v>26</v>
      </c>
      <c r="D412" s="125"/>
      <c r="E412" s="12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49" t="s">
        <v>27</v>
      </c>
      <c r="C413" s="51"/>
      <c r="D413" s="51"/>
      <c r="E413" s="5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49"/>
      <c r="C414" s="132" t="s">
        <v>28</v>
      </c>
      <c r="D414" s="125"/>
      <c r="E414" s="12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thickBot="1" x14ac:dyDescent="0.3">
      <c r="A415" s="1"/>
      <c r="B415" s="55"/>
      <c r="C415" s="56"/>
      <c r="D415" s="56"/>
      <c r="E415" s="5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thickBot="1" x14ac:dyDescent="0.3">
      <c r="A416" s="1"/>
      <c r="B416" s="5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58" t="s">
        <v>75</v>
      </c>
      <c r="C417" s="45"/>
      <c r="D417" s="45"/>
      <c r="E417" s="4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47"/>
      <c r="C418" s="1"/>
      <c r="D418" s="1"/>
      <c r="E418" s="4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49" t="s">
        <v>18</v>
      </c>
      <c r="C419" s="1"/>
      <c r="D419" s="1"/>
      <c r="E419" s="4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0" customHeight="1" x14ac:dyDescent="0.25">
      <c r="A420" s="1"/>
      <c r="B420" s="49"/>
      <c r="C420" s="124" t="s">
        <v>76</v>
      </c>
      <c r="D420" s="125"/>
      <c r="E420" s="12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49" t="s">
        <v>20</v>
      </c>
      <c r="C421" s="1"/>
      <c r="D421" s="1"/>
      <c r="E421" s="4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50"/>
      <c r="C422" s="127" t="s">
        <v>21</v>
      </c>
      <c r="D422" s="125"/>
      <c r="E422" s="12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50"/>
      <c r="C423" s="127" t="s">
        <v>22</v>
      </c>
      <c r="D423" s="125"/>
      <c r="E423" s="12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49" t="s">
        <v>23</v>
      </c>
      <c r="C424" s="51"/>
      <c r="D424" s="51"/>
      <c r="E424" s="5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50"/>
      <c r="C425" s="128" t="s">
        <v>24</v>
      </c>
      <c r="D425" s="125"/>
      <c r="E425" s="12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49" t="s">
        <v>25</v>
      </c>
      <c r="C426" s="53"/>
      <c r="D426" s="53"/>
      <c r="E426" s="5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50"/>
      <c r="C427" s="129" t="s">
        <v>26</v>
      </c>
      <c r="D427" s="125"/>
      <c r="E427" s="12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49" t="s">
        <v>27</v>
      </c>
      <c r="C428" s="51"/>
      <c r="D428" s="51"/>
      <c r="E428" s="5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49"/>
      <c r="C429" s="132" t="s">
        <v>28</v>
      </c>
      <c r="D429" s="125"/>
      <c r="E429" s="12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thickBot="1" x14ac:dyDescent="0.3">
      <c r="A430" s="1"/>
      <c r="B430" s="55"/>
      <c r="C430" s="56"/>
      <c r="D430" s="56"/>
      <c r="E430" s="5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5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5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5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5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5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5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5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5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5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5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5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5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5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5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5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5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5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5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5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5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5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5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5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5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5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5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x14ac:dyDescent="0.25"/>
  </sheetData>
  <mergeCells count="163">
    <mergeCell ref="C429:E429"/>
    <mergeCell ref="C414:E414"/>
    <mergeCell ref="C420:E420"/>
    <mergeCell ref="C422:E422"/>
    <mergeCell ref="C423:E423"/>
    <mergeCell ref="C425:E425"/>
    <mergeCell ref="C427:E427"/>
    <mergeCell ref="C399:E399"/>
    <mergeCell ref="C405:E405"/>
    <mergeCell ref="C407:E407"/>
    <mergeCell ref="C408:E408"/>
    <mergeCell ref="C410:E410"/>
    <mergeCell ref="C412:E412"/>
    <mergeCell ref="C384:E384"/>
    <mergeCell ref="C390:E390"/>
    <mergeCell ref="C392:E392"/>
    <mergeCell ref="C393:E393"/>
    <mergeCell ref="C395:E395"/>
    <mergeCell ref="C397:E397"/>
    <mergeCell ref="C369:E369"/>
    <mergeCell ref="C375:E375"/>
    <mergeCell ref="C377:E377"/>
    <mergeCell ref="C378:E378"/>
    <mergeCell ref="C380:E380"/>
    <mergeCell ref="C382:E382"/>
    <mergeCell ref="C354:E354"/>
    <mergeCell ref="C360:E360"/>
    <mergeCell ref="C362:E362"/>
    <mergeCell ref="C363:E363"/>
    <mergeCell ref="C365:E365"/>
    <mergeCell ref="C367:E367"/>
    <mergeCell ref="C339:E339"/>
    <mergeCell ref="C345:E345"/>
    <mergeCell ref="C347:E347"/>
    <mergeCell ref="C348:E348"/>
    <mergeCell ref="C350:E350"/>
    <mergeCell ref="C352:E352"/>
    <mergeCell ref="C324:E324"/>
    <mergeCell ref="C330:E330"/>
    <mergeCell ref="C332:E332"/>
    <mergeCell ref="C333:E333"/>
    <mergeCell ref="C335:E335"/>
    <mergeCell ref="C337:E337"/>
    <mergeCell ref="C309:E309"/>
    <mergeCell ref="C315:E315"/>
    <mergeCell ref="C317:E317"/>
    <mergeCell ref="C318:E318"/>
    <mergeCell ref="C320:E320"/>
    <mergeCell ref="C322:E322"/>
    <mergeCell ref="C294:E294"/>
    <mergeCell ref="C300:E300"/>
    <mergeCell ref="C302:E302"/>
    <mergeCell ref="C303:E303"/>
    <mergeCell ref="C305:E305"/>
    <mergeCell ref="C307:E307"/>
    <mergeCell ref="C279:E279"/>
    <mergeCell ref="C285:E285"/>
    <mergeCell ref="C287:E287"/>
    <mergeCell ref="C288:E288"/>
    <mergeCell ref="C290:E290"/>
    <mergeCell ref="C292:E292"/>
    <mergeCell ref="C264:E264"/>
    <mergeCell ref="C270:E270"/>
    <mergeCell ref="C272:E272"/>
    <mergeCell ref="C273:E273"/>
    <mergeCell ref="C275:E275"/>
    <mergeCell ref="C277:E277"/>
    <mergeCell ref="C249:E249"/>
    <mergeCell ref="C255:E255"/>
    <mergeCell ref="C257:E257"/>
    <mergeCell ref="C258:E258"/>
    <mergeCell ref="C260:E260"/>
    <mergeCell ref="C262:E262"/>
    <mergeCell ref="C234:E234"/>
    <mergeCell ref="C240:E240"/>
    <mergeCell ref="C242:E242"/>
    <mergeCell ref="C243:E243"/>
    <mergeCell ref="C245:E245"/>
    <mergeCell ref="C247:E247"/>
    <mergeCell ref="C219:E219"/>
    <mergeCell ref="C225:E225"/>
    <mergeCell ref="C227:E227"/>
    <mergeCell ref="C228:E228"/>
    <mergeCell ref="C230:E230"/>
    <mergeCell ref="C232:E232"/>
    <mergeCell ref="C204:E204"/>
    <mergeCell ref="C210:E210"/>
    <mergeCell ref="C212:E212"/>
    <mergeCell ref="C213:E213"/>
    <mergeCell ref="C215:E215"/>
    <mergeCell ref="C217:E217"/>
    <mergeCell ref="C188:E188"/>
    <mergeCell ref="C195:E195"/>
    <mergeCell ref="C197:E197"/>
    <mergeCell ref="C198:E198"/>
    <mergeCell ref="C200:E200"/>
    <mergeCell ref="C202:E202"/>
    <mergeCell ref="C173:E173"/>
    <mergeCell ref="C179:E179"/>
    <mergeCell ref="C181:E181"/>
    <mergeCell ref="C182:E182"/>
    <mergeCell ref="C184:E184"/>
    <mergeCell ref="C186:E186"/>
    <mergeCell ref="C158:E158"/>
    <mergeCell ref="C164:E164"/>
    <mergeCell ref="C166:E166"/>
    <mergeCell ref="C167:E167"/>
    <mergeCell ref="C169:E169"/>
    <mergeCell ref="C171:E171"/>
    <mergeCell ref="C143:E143"/>
    <mergeCell ref="C149:E149"/>
    <mergeCell ref="C151:E151"/>
    <mergeCell ref="C152:E152"/>
    <mergeCell ref="C154:E154"/>
    <mergeCell ref="C156:E156"/>
    <mergeCell ref="C128:E128"/>
    <mergeCell ref="C134:E134"/>
    <mergeCell ref="C136:E136"/>
    <mergeCell ref="C137:E137"/>
    <mergeCell ref="C139:E139"/>
    <mergeCell ref="C141:E141"/>
    <mergeCell ref="C113:E113"/>
    <mergeCell ref="C119:E119"/>
    <mergeCell ref="C121:E121"/>
    <mergeCell ref="C122:E122"/>
    <mergeCell ref="C124:E124"/>
    <mergeCell ref="C126:E126"/>
    <mergeCell ref="C98:E98"/>
    <mergeCell ref="C104:E104"/>
    <mergeCell ref="C106:E106"/>
    <mergeCell ref="C107:E107"/>
    <mergeCell ref="C109:E109"/>
    <mergeCell ref="C111:E111"/>
    <mergeCell ref="C83:E83"/>
    <mergeCell ref="C89:E89"/>
    <mergeCell ref="C91:E91"/>
    <mergeCell ref="C92:E92"/>
    <mergeCell ref="C94:E94"/>
    <mergeCell ref="C96:E96"/>
    <mergeCell ref="C68:E68"/>
    <mergeCell ref="C74:E74"/>
    <mergeCell ref="C76:E76"/>
    <mergeCell ref="C77:E77"/>
    <mergeCell ref="C79:E79"/>
    <mergeCell ref="C81:E81"/>
    <mergeCell ref="C53:E53"/>
    <mergeCell ref="C59:E59"/>
    <mergeCell ref="C61:E61"/>
    <mergeCell ref="C62:E62"/>
    <mergeCell ref="C64:E64"/>
    <mergeCell ref="C66:E66"/>
    <mergeCell ref="A7:B7"/>
    <mergeCell ref="C44:E44"/>
    <mergeCell ref="C46:E46"/>
    <mergeCell ref="C47:E47"/>
    <mergeCell ref="C49:E49"/>
    <mergeCell ref="C51:E51"/>
    <mergeCell ref="B2:H2"/>
    <mergeCell ref="A4:B4"/>
    <mergeCell ref="C4:E4"/>
    <mergeCell ref="A5:B5"/>
    <mergeCell ref="C5:E5"/>
    <mergeCell ref="A6:B6"/>
  </mergeCells>
  <pageMargins left="0" right="0" top="0.74803149606299213" bottom="0" header="0.31496062992125984" footer="0.31496062992125984"/>
  <pageSetup paperSize="5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86"/>
  <sheetViews>
    <sheetView topLeftCell="A26" zoomScale="74" zoomScaleNormal="74" workbookViewId="0">
      <selection activeCell="C25" sqref="C25:G25"/>
    </sheetView>
  </sheetViews>
  <sheetFormatPr baseColWidth="10" defaultColWidth="14.42578125" defaultRowHeight="15" x14ac:dyDescent="0.25"/>
  <cols>
    <col min="1" max="1" width="5.5703125" style="3" customWidth="1"/>
    <col min="2" max="2" width="15.14062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7" width="42" style="3" customWidth="1"/>
    <col min="8" max="8" width="9.28515625" style="3" customWidth="1"/>
    <col min="9" max="9" width="15.5703125" style="3" customWidth="1"/>
    <col min="10" max="10" width="14.7109375" style="3" customWidth="1"/>
    <col min="11" max="11" width="15.5703125" style="3" customWidth="1"/>
    <col min="12" max="13" width="5.85546875" style="3" customWidth="1"/>
    <col min="14" max="14" width="11.7109375" style="3" customWidth="1"/>
    <col min="15" max="15" width="12.5703125" style="3" customWidth="1"/>
    <col min="16" max="16" width="9.140625" style="3" customWidth="1"/>
    <col min="17" max="17" width="13.28515625" style="3" customWidth="1"/>
    <col min="18" max="40" width="9.140625" style="3" customWidth="1"/>
    <col min="41" max="16384" width="14.42578125" style="3"/>
  </cols>
  <sheetData>
    <row r="1" spans="1:40" ht="18" customHeight="1" thickBot="1" x14ac:dyDescent="0.3">
      <c r="A1" s="164" t="s">
        <v>77</v>
      </c>
      <c r="B1" s="123"/>
      <c r="C1" s="123"/>
      <c r="D1" s="123"/>
      <c r="E1" s="123"/>
      <c r="F1" s="123"/>
      <c r="G1" s="123"/>
      <c r="H1" s="123"/>
      <c r="I1" s="123"/>
      <c r="J1" s="71" t="s">
        <v>78</v>
      </c>
      <c r="K1" s="72" t="s">
        <v>79</v>
      </c>
      <c r="AF1" s="73"/>
      <c r="AG1" s="73"/>
      <c r="AH1" s="73"/>
      <c r="AI1" s="73"/>
      <c r="AJ1" s="73"/>
      <c r="AK1" s="73"/>
      <c r="AL1" s="73"/>
      <c r="AM1" s="73"/>
      <c r="AN1" s="73"/>
    </row>
    <row r="2" spans="1:40" ht="18.75" customHeight="1" thickBot="1" x14ac:dyDescent="0.3">
      <c r="A2" s="74"/>
      <c r="B2" s="74"/>
      <c r="C2" s="74"/>
      <c r="D2" s="75"/>
      <c r="E2" s="75"/>
      <c r="F2" s="75"/>
      <c r="G2" s="75"/>
      <c r="H2" s="75"/>
      <c r="I2" s="75"/>
      <c r="J2" s="75"/>
      <c r="K2" s="75"/>
      <c r="AF2" s="73"/>
      <c r="AG2" s="73"/>
      <c r="AH2" s="73"/>
      <c r="AI2" s="73"/>
      <c r="AJ2" s="73"/>
      <c r="AK2" s="73"/>
      <c r="AL2" s="73"/>
      <c r="AM2" s="73"/>
      <c r="AN2" s="73"/>
    </row>
    <row r="3" spans="1:40" ht="18.75" customHeight="1" thickBot="1" x14ac:dyDescent="0.3">
      <c r="A3" s="156" t="s">
        <v>80</v>
      </c>
      <c r="B3" s="157"/>
      <c r="C3" s="157"/>
      <c r="D3" s="158" t="str">
        <f>'[1]Necesidades Trimestrales'!C4</f>
        <v>45- Ministerio de Desarrollo Social y Deporte</v>
      </c>
      <c r="E3" s="139"/>
      <c r="F3" s="139"/>
      <c r="G3" s="139"/>
      <c r="H3" s="139"/>
      <c r="I3" s="139"/>
      <c r="J3" s="139"/>
      <c r="K3" s="140"/>
      <c r="AF3" s="73"/>
      <c r="AG3" s="73"/>
      <c r="AH3" s="73"/>
      <c r="AI3" s="73"/>
      <c r="AJ3" s="73"/>
      <c r="AK3" s="73"/>
      <c r="AL3" s="73"/>
      <c r="AM3" s="73"/>
      <c r="AN3" s="73"/>
    </row>
    <row r="4" spans="1:40" ht="18.75" customHeight="1" thickBot="1" x14ac:dyDescent="0.3">
      <c r="A4" s="159" t="s">
        <v>81</v>
      </c>
      <c r="B4" s="160"/>
      <c r="C4" s="160"/>
      <c r="D4" s="158" t="str">
        <f>'[1]Necesidades Trimestrales'!C5</f>
        <v>25- Direccion Provincial de Gestion  Administrativa y RRHH</v>
      </c>
      <c r="E4" s="139"/>
      <c r="F4" s="139"/>
      <c r="G4" s="139"/>
      <c r="H4" s="139"/>
      <c r="I4" s="139"/>
      <c r="J4" s="139"/>
      <c r="K4" s="140"/>
      <c r="AF4" s="73"/>
      <c r="AG4" s="73"/>
      <c r="AH4" s="73"/>
      <c r="AI4" s="73"/>
      <c r="AJ4" s="73"/>
      <c r="AK4" s="73"/>
      <c r="AL4" s="73"/>
      <c r="AM4" s="73"/>
      <c r="AN4" s="73"/>
    </row>
    <row r="5" spans="1:40" ht="18.75" customHeight="1" thickBot="1" x14ac:dyDescent="0.3">
      <c r="A5" s="159" t="s">
        <v>82</v>
      </c>
      <c r="B5" s="160"/>
      <c r="C5" s="160"/>
      <c r="D5" s="158" t="s">
        <v>83</v>
      </c>
      <c r="E5" s="139"/>
      <c r="F5" s="139"/>
      <c r="G5" s="139"/>
      <c r="H5" s="139"/>
      <c r="I5" s="139"/>
      <c r="J5" s="139"/>
      <c r="K5" s="140"/>
      <c r="AF5" s="73"/>
      <c r="AG5" s="73"/>
      <c r="AH5" s="73"/>
      <c r="AI5" s="73"/>
      <c r="AJ5" s="73"/>
      <c r="AK5" s="73"/>
      <c r="AL5" s="73"/>
      <c r="AM5" s="73"/>
      <c r="AN5" s="73"/>
    </row>
    <row r="6" spans="1:40" ht="16.5" customHeight="1" thickBot="1" x14ac:dyDescent="0.3">
      <c r="A6" s="156" t="s">
        <v>84</v>
      </c>
      <c r="B6" s="157"/>
      <c r="C6" s="157"/>
      <c r="D6" s="158" t="s">
        <v>85</v>
      </c>
      <c r="E6" s="139"/>
      <c r="F6" s="139"/>
      <c r="G6" s="139"/>
      <c r="H6" s="139"/>
      <c r="I6" s="139"/>
      <c r="J6" s="139"/>
      <c r="K6" s="140"/>
      <c r="AF6" s="73"/>
      <c r="AG6" s="73"/>
      <c r="AH6" s="73"/>
      <c r="AI6" s="73"/>
      <c r="AJ6" s="73"/>
      <c r="AK6" s="73"/>
      <c r="AL6" s="73"/>
      <c r="AM6" s="73"/>
      <c r="AN6" s="73"/>
    </row>
    <row r="7" spans="1:40" ht="16.5" customHeight="1" thickBot="1" x14ac:dyDescent="0.3">
      <c r="A7" s="159" t="s">
        <v>86</v>
      </c>
      <c r="B7" s="160"/>
      <c r="C7" s="160"/>
      <c r="D7" s="158" t="str">
        <f>'[1]Necesidades Trimestrales'!C7 &amp; "° Trimestre - Año " &amp; '[1]Necesidades Trimestrales'!C6</f>
        <v>4° Trimestre - Año 2020</v>
      </c>
      <c r="E7" s="139"/>
      <c r="F7" s="139"/>
      <c r="G7" s="139"/>
      <c r="H7" s="139"/>
      <c r="I7" s="139"/>
      <c r="J7" s="139"/>
      <c r="K7" s="140"/>
      <c r="AF7" s="73"/>
      <c r="AG7" s="73"/>
      <c r="AH7" s="73"/>
      <c r="AI7" s="73"/>
      <c r="AJ7" s="73"/>
      <c r="AK7" s="73"/>
      <c r="AL7" s="73"/>
      <c r="AM7" s="73"/>
      <c r="AN7" s="73"/>
    </row>
    <row r="8" spans="1:40" ht="16.5" customHeight="1" thickBot="1" x14ac:dyDescent="0.3">
      <c r="A8" s="161" t="s">
        <v>87</v>
      </c>
      <c r="B8" s="139"/>
      <c r="C8" s="162"/>
      <c r="D8" s="163" t="s">
        <v>88</v>
      </c>
      <c r="E8" s="139"/>
      <c r="F8" s="139"/>
      <c r="G8" s="139"/>
      <c r="H8" s="139"/>
      <c r="I8" s="139"/>
      <c r="J8" s="139"/>
      <c r="K8" s="140"/>
      <c r="AF8" s="73"/>
      <c r="AG8" s="73"/>
      <c r="AH8" s="73"/>
      <c r="AI8" s="73"/>
      <c r="AJ8" s="73"/>
      <c r="AK8" s="73"/>
      <c r="AL8" s="73"/>
      <c r="AM8" s="73"/>
      <c r="AN8" s="73"/>
    </row>
    <row r="9" spans="1:40" ht="12.75" customHeight="1" thickBot="1" x14ac:dyDescent="0.3">
      <c r="A9" s="76"/>
      <c r="B9" s="76"/>
      <c r="C9" s="76"/>
      <c r="D9" s="77"/>
      <c r="E9" s="77"/>
      <c r="F9" s="77"/>
      <c r="G9" s="77"/>
      <c r="H9" s="77"/>
      <c r="I9" s="77"/>
      <c r="J9" s="77"/>
      <c r="K9" s="77"/>
      <c r="AF9" s="73"/>
      <c r="AG9" s="73"/>
      <c r="AH9" s="73"/>
      <c r="AI9" s="73"/>
      <c r="AJ9" s="73"/>
      <c r="AK9" s="73"/>
      <c r="AL9" s="73"/>
      <c r="AM9" s="73"/>
      <c r="AN9" s="73"/>
    </row>
    <row r="10" spans="1:40" ht="18.75" customHeight="1" x14ac:dyDescent="0.25">
      <c r="A10" s="148" t="s">
        <v>89</v>
      </c>
      <c r="B10" s="146" t="s">
        <v>90</v>
      </c>
      <c r="C10" s="150" t="s">
        <v>91</v>
      </c>
      <c r="D10" s="151"/>
      <c r="E10" s="151"/>
      <c r="F10" s="151"/>
      <c r="G10" s="152"/>
      <c r="H10" s="146" t="s">
        <v>92</v>
      </c>
      <c r="I10" s="146" t="s">
        <v>93</v>
      </c>
      <c r="J10" s="146" t="s">
        <v>94</v>
      </c>
      <c r="K10" s="143" t="s">
        <v>95</v>
      </c>
      <c r="AF10" s="73"/>
      <c r="AG10" s="73"/>
      <c r="AH10" s="73"/>
      <c r="AI10" s="73"/>
      <c r="AJ10" s="73"/>
      <c r="AK10" s="73"/>
      <c r="AL10" s="73"/>
      <c r="AM10" s="73"/>
      <c r="AN10" s="73"/>
    </row>
    <row r="11" spans="1:40" ht="24" customHeight="1" thickBot="1" x14ac:dyDescent="0.3">
      <c r="A11" s="149"/>
      <c r="B11" s="147"/>
      <c r="C11" s="153"/>
      <c r="D11" s="154"/>
      <c r="E11" s="154"/>
      <c r="F11" s="154"/>
      <c r="G11" s="155"/>
      <c r="H11" s="147"/>
      <c r="I11" s="147"/>
      <c r="J11" s="147"/>
      <c r="K11" s="144"/>
      <c r="R11" s="65"/>
      <c r="S11" s="65"/>
      <c r="AL11" s="73"/>
      <c r="AM11" s="73"/>
      <c r="AN11" s="73"/>
    </row>
    <row r="12" spans="1:40" ht="31.5" customHeight="1" thickBot="1" x14ac:dyDescent="0.3">
      <c r="A12" s="78">
        <v>1</v>
      </c>
      <c r="B12" s="79" t="str">
        <f>'[1]Necesidades Trimestrales'!B10</f>
        <v>2.9.9-2448.11</v>
      </c>
      <c r="C12" s="135" t="str">
        <f>'[1]Necesidades Trimestrales'!E10</f>
        <v>PELOTAS; MATERIAL: SINTETICA COSIDA, TIPO: FUTBOL, NUMERO: 5</v>
      </c>
      <c r="D12" s="136"/>
      <c r="E12" s="136"/>
      <c r="F12" s="136"/>
      <c r="G12" s="137"/>
      <c r="H12" s="80" t="s">
        <v>96</v>
      </c>
      <c r="I12" s="81" t="str">
        <f>'[1]Necesidades Trimestrales'!F10</f>
        <v>UNIDAD</v>
      </c>
      <c r="J12" s="82">
        <v>2600</v>
      </c>
      <c r="K12" s="83">
        <v>74</v>
      </c>
      <c r="M12" s="65"/>
      <c r="N12" s="84"/>
      <c r="O12" s="65"/>
      <c r="Q12" s="85"/>
      <c r="R12" s="65"/>
      <c r="S12" s="86"/>
      <c r="AL12" s="73"/>
      <c r="AM12" s="73"/>
      <c r="AN12" s="73"/>
    </row>
    <row r="13" spans="1:40" ht="33.75" customHeight="1" thickBot="1" x14ac:dyDescent="0.3">
      <c r="A13" s="78">
        <v>2</v>
      </c>
      <c r="B13" s="79" t="str">
        <f>'[1]Necesidades Trimestrales'!B11</f>
        <v>2.2.2-1045.73</v>
      </c>
      <c r="C13" s="145" t="str">
        <f>'[1]Necesidades Trimestrales'!E11</f>
        <v>INDUMENTARIA P/PRACTICA DEPORT; USO: PRACTICA DE FUTBOL, TELA: MICRO PIQUE 100% POLIESTER, CRITERIO SOCIAL: SIN</v>
      </c>
      <c r="D13" s="139"/>
      <c r="E13" s="139"/>
      <c r="F13" s="139"/>
      <c r="G13" s="140"/>
      <c r="H13" s="80" t="s">
        <v>96</v>
      </c>
      <c r="I13" s="81" t="str">
        <f>'[1]Necesidades Trimestrales'!F11</f>
        <v>UNIDAD</v>
      </c>
      <c r="J13" s="82">
        <v>40000</v>
      </c>
      <c r="K13" s="83">
        <v>9</v>
      </c>
      <c r="M13" s="65"/>
      <c r="N13" s="84"/>
      <c r="O13" s="65"/>
      <c r="Q13" s="85"/>
      <c r="R13" s="65"/>
      <c r="S13" s="86"/>
      <c r="AL13" s="73"/>
      <c r="AM13" s="73"/>
      <c r="AN13" s="73"/>
    </row>
    <row r="14" spans="1:40" ht="20.25" customHeight="1" thickBot="1" x14ac:dyDescent="0.3">
      <c r="A14" s="78">
        <v>3</v>
      </c>
      <c r="B14" s="79" t="str">
        <f>+'[1]Articulos catalogados'!B44</f>
        <v>2.9.6-9084.35</v>
      </c>
      <c r="C14" s="135" t="str">
        <f>+'[1]Articulos catalogados'!E44</f>
        <v>R. Y A. P/PRACTICA DEPORTIVA; ELEMENTO: PECHERA DE ENTRENAMIENTO</v>
      </c>
      <c r="D14" s="136"/>
      <c r="E14" s="136"/>
      <c r="F14" s="136"/>
      <c r="G14" s="137"/>
      <c r="H14" s="80" t="s">
        <v>96</v>
      </c>
      <c r="I14" s="81" t="str">
        <f>'[1]Necesidades Trimestrales'!F12</f>
        <v>UNIDAD</v>
      </c>
      <c r="J14" s="82">
        <v>25000</v>
      </c>
      <c r="K14" s="83">
        <v>5</v>
      </c>
      <c r="M14" s="65"/>
      <c r="N14" s="84"/>
      <c r="O14" s="65"/>
      <c r="Q14" s="85"/>
      <c r="R14" s="65"/>
      <c r="S14" s="86"/>
      <c r="AL14" s="73"/>
      <c r="AM14" s="73"/>
      <c r="AN14" s="73"/>
    </row>
    <row r="15" spans="1:40" ht="26.25" customHeight="1" thickBot="1" x14ac:dyDescent="0.3">
      <c r="A15" s="78">
        <v>4</v>
      </c>
      <c r="B15" s="79" t="str">
        <f>+'[1]Articulos catalogados'!B11</f>
        <v>2.9.9-2761.3</v>
      </c>
      <c r="C15" s="135" t="str">
        <f>+'[1]Articulos catalogados'!E11</f>
        <v>REDES P/DEPORTES; MATERIAL: POLIETILENO, USO: FUTBOL</v>
      </c>
      <c r="D15" s="136"/>
      <c r="E15" s="136"/>
      <c r="F15" s="136"/>
      <c r="G15" s="137"/>
      <c r="H15" s="80" t="s">
        <v>96</v>
      </c>
      <c r="I15" s="81" t="str">
        <f>'[1]Necesidades Trimestrales'!F13</f>
        <v>UNIDAD</v>
      </c>
      <c r="J15" s="82">
        <v>12000</v>
      </c>
      <c r="K15" s="83">
        <v>5</v>
      </c>
      <c r="M15" s="65"/>
      <c r="N15" s="84"/>
      <c r="O15" s="65"/>
      <c r="Q15" s="85"/>
      <c r="R15" s="65"/>
      <c r="S15" s="86"/>
      <c r="AL15" s="73"/>
      <c r="AM15" s="73"/>
      <c r="AN15" s="73"/>
    </row>
    <row r="16" spans="1:40" ht="26.25" customHeight="1" thickBot="1" x14ac:dyDescent="0.3">
      <c r="A16" s="78">
        <v>5</v>
      </c>
      <c r="B16" s="79" t="str">
        <f>+'[1]Articulos catalogados'!B13</f>
        <v>2.7.9-1540.31</v>
      </c>
      <c r="C16" s="135" t="str">
        <f>+'[1]Articulos catalogados'!E13</f>
        <v>TROFEOS; MATERIAL: PLASTICO, BASE: MARMOL, GRABADO: CON</v>
      </c>
      <c r="D16" s="136"/>
      <c r="E16" s="136"/>
      <c r="F16" s="136"/>
      <c r="G16" s="137"/>
      <c r="H16" s="80" t="s">
        <v>96</v>
      </c>
      <c r="I16" s="81" t="str">
        <f>'[1]Necesidades Trimestrales'!F14</f>
        <v>UNIDAD</v>
      </c>
      <c r="J16" s="82">
        <v>290</v>
      </c>
      <c r="K16" s="83">
        <v>18</v>
      </c>
      <c r="M16" s="65"/>
      <c r="N16" s="84"/>
      <c r="O16" s="65"/>
      <c r="Q16" s="85"/>
      <c r="S16" s="87"/>
      <c r="AL16" s="73"/>
      <c r="AM16" s="73"/>
      <c r="AN16" s="73"/>
    </row>
    <row r="17" spans="1:40" ht="26.25" customHeight="1" thickBot="1" x14ac:dyDescent="0.3">
      <c r="A17" s="78">
        <v>6</v>
      </c>
      <c r="B17" s="79" t="str">
        <f>+'[1]Articulos catalogados'!B14</f>
        <v>2.7.9-1540.31</v>
      </c>
      <c r="C17" s="135" t="str">
        <f>+'[1]Articulos catalogados'!E14</f>
        <v>TROFEOS; MATERIAL: PLASTICO, BASE: MARMOL, GRABADO: CON</v>
      </c>
      <c r="D17" s="136"/>
      <c r="E17" s="136"/>
      <c r="F17" s="136"/>
      <c r="G17" s="137"/>
      <c r="H17" s="80" t="s">
        <v>96</v>
      </c>
      <c r="I17" s="81" t="str">
        <f>'[1]Necesidades Trimestrales'!F15</f>
        <v>UNIDAD</v>
      </c>
      <c r="J17" s="82">
        <v>385</v>
      </c>
      <c r="K17" s="83">
        <v>18</v>
      </c>
      <c r="M17" s="65"/>
      <c r="N17" s="84"/>
      <c r="O17" s="65"/>
      <c r="Q17" s="85"/>
      <c r="AL17" s="73"/>
      <c r="AM17" s="73"/>
      <c r="AN17" s="73"/>
    </row>
    <row r="18" spans="1:40" ht="26.25" customHeight="1" thickBot="1" x14ac:dyDescent="0.3">
      <c r="A18" s="78">
        <v>7</v>
      </c>
      <c r="B18" s="79" t="str">
        <f>+'[1]Articulos catalogados'!B15</f>
        <v>2.7.9-1540.31</v>
      </c>
      <c r="C18" s="135" t="str">
        <f>+'[1]Articulos catalogados'!E15</f>
        <v>TROFEOS; MATERIAL: PLASTICO, BASE: MARMOL, GRABADO: CON</v>
      </c>
      <c r="D18" s="136"/>
      <c r="E18" s="136"/>
      <c r="F18" s="136"/>
      <c r="G18" s="137"/>
      <c r="H18" s="80" t="s">
        <v>96</v>
      </c>
      <c r="I18" s="81" t="str">
        <f>'[1]Necesidades Trimestrales'!F11</f>
        <v>UNIDAD</v>
      </c>
      <c r="J18" s="82">
        <v>595</v>
      </c>
      <c r="K18" s="83">
        <v>18</v>
      </c>
      <c r="M18" s="65"/>
      <c r="N18" s="84"/>
      <c r="O18" s="65"/>
      <c r="Q18" s="85"/>
      <c r="AL18" s="73"/>
      <c r="AM18" s="73"/>
      <c r="AN18" s="73"/>
    </row>
    <row r="19" spans="1:40" ht="26.25" customHeight="1" thickBot="1" x14ac:dyDescent="0.3">
      <c r="A19" s="78">
        <v>8</v>
      </c>
      <c r="B19" s="79" t="str">
        <f>+'[1]Articulos catalogados'!B16</f>
        <v>2.7.9-1540.31</v>
      </c>
      <c r="C19" s="135" t="str">
        <f>+'[1]Articulos catalogados'!E16</f>
        <v>TROFEOS; MATERIAL: PLASTICO, BASE: MARMOL, GRABADO: CON</v>
      </c>
      <c r="D19" s="136"/>
      <c r="E19" s="136"/>
      <c r="F19" s="136"/>
      <c r="G19" s="137"/>
      <c r="H19" s="80" t="s">
        <v>96</v>
      </c>
      <c r="I19" s="81" t="str">
        <f>'[1]Necesidades Trimestrales'!F12</f>
        <v>UNIDAD</v>
      </c>
      <c r="J19" s="82">
        <v>785</v>
      </c>
      <c r="K19" s="83">
        <v>18</v>
      </c>
      <c r="M19" s="65"/>
      <c r="N19" s="84"/>
      <c r="O19" s="65"/>
      <c r="Q19" s="85"/>
      <c r="AL19" s="73"/>
      <c r="AM19" s="73"/>
      <c r="AN19" s="73"/>
    </row>
    <row r="20" spans="1:40" ht="26.25" customHeight="1" thickBot="1" x14ac:dyDescent="0.3">
      <c r="A20" s="78">
        <v>9</v>
      </c>
      <c r="B20" s="79" t="str">
        <f>+'[1]Articulos catalogados'!B17</f>
        <v>2.7.9-1540.31</v>
      </c>
      <c r="C20" s="135" t="str">
        <f>+'[1]Articulos catalogados'!E17</f>
        <v>TROFEOS; MATERIAL: PLASTICO, BASE: MARMOL, GRABADO: CON</v>
      </c>
      <c r="D20" s="136"/>
      <c r="E20" s="136"/>
      <c r="F20" s="136"/>
      <c r="G20" s="137"/>
      <c r="H20" s="80" t="s">
        <v>96</v>
      </c>
      <c r="I20" s="81" t="str">
        <f>'[1]Necesidades Trimestrales'!F13</f>
        <v>UNIDAD</v>
      </c>
      <c r="J20" s="82">
        <v>900</v>
      </c>
      <c r="K20" s="83">
        <v>18</v>
      </c>
      <c r="M20" s="65"/>
      <c r="N20" s="84"/>
      <c r="O20" s="65"/>
      <c r="Q20" s="85"/>
      <c r="AL20" s="73"/>
      <c r="AM20" s="73"/>
      <c r="AN20" s="73"/>
    </row>
    <row r="21" spans="1:40" ht="26.25" customHeight="1" thickBot="1" x14ac:dyDescent="0.3">
      <c r="A21" s="78">
        <v>10</v>
      </c>
      <c r="B21" s="79" t="str">
        <f>+'[1]Articulos catalogados'!B18</f>
        <v>2.7.9-1540.31</v>
      </c>
      <c r="C21" s="135" t="str">
        <f>+'[1]Articulos catalogados'!E18</f>
        <v>TROFEOS; MATERIAL: PLASTICO, BASE: MARMOL, GRABADO: CON</v>
      </c>
      <c r="D21" s="136"/>
      <c r="E21" s="136"/>
      <c r="F21" s="136"/>
      <c r="G21" s="137"/>
      <c r="H21" s="80" t="s">
        <v>96</v>
      </c>
      <c r="I21" s="81" t="str">
        <f>'[1]Necesidades Trimestrales'!F14</f>
        <v>UNIDAD</v>
      </c>
      <c r="J21" s="82">
        <v>1020</v>
      </c>
      <c r="K21" s="83">
        <v>18</v>
      </c>
      <c r="M21" s="65"/>
      <c r="N21" s="84"/>
      <c r="O21" s="65"/>
      <c r="Q21" s="85"/>
      <c r="AL21" s="73"/>
      <c r="AM21" s="73"/>
      <c r="AN21" s="73"/>
    </row>
    <row r="22" spans="1:40" ht="26.25" customHeight="1" thickBot="1" x14ac:dyDescent="0.3">
      <c r="A22" s="78">
        <v>11</v>
      </c>
      <c r="B22" s="79" t="str">
        <f>+'[1]Articulos catalogados'!B23</f>
        <v>2.7.2-2038.16</v>
      </c>
      <c r="C22" s="135" t="str">
        <f>+'[1]Articulos catalogados'!E23</f>
        <v>MEDALLAS; MATERIAL: ZAMAC PLATEADO A VIEJO, DIAMETRO: 55 mm, GRABADO: CON</v>
      </c>
      <c r="D22" s="136"/>
      <c r="E22" s="136"/>
      <c r="F22" s="136"/>
      <c r="G22" s="137"/>
      <c r="H22" s="80" t="s">
        <v>96</v>
      </c>
      <c r="I22" s="81" t="str">
        <f>'[1]Necesidades Trimestrales'!F14</f>
        <v>UNIDAD</v>
      </c>
      <c r="J22" s="82">
        <v>200</v>
      </c>
      <c r="K22" s="83">
        <v>10</v>
      </c>
      <c r="M22" s="65"/>
      <c r="N22" s="84"/>
      <c r="O22" s="65"/>
      <c r="Q22" s="85"/>
      <c r="AL22" s="73"/>
      <c r="AM22" s="73"/>
      <c r="AN22" s="73"/>
    </row>
    <row r="23" spans="1:40" ht="26.25" customHeight="1" thickBot="1" x14ac:dyDescent="0.3">
      <c r="A23" s="78">
        <v>12</v>
      </c>
      <c r="B23" s="79" t="str">
        <f>+'[1]Articulos catalogados'!B24</f>
        <v>2.7.2-2038.16</v>
      </c>
      <c r="C23" s="135" t="str">
        <f>+'[1]Articulos catalogados'!E24</f>
        <v>MEDALLAS; MATERIAL: ZAMAC PLATEADO A VIEJO, DIAMETRO: 55 mm, GRABADO: CON</v>
      </c>
      <c r="D23" s="136"/>
      <c r="E23" s="136"/>
      <c r="F23" s="136"/>
      <c r="G23" s="137"/>
      <c r="H23" s="80" t="s">
        <v>96</v>
      </c>
      <c r="I23" s="81" t="str">
        <f>'[1]Necesidades Trimestrales'!F15</f>
        <v>UNIDAD</v>
      </c>
      <c r="J23" s="82">
        <v>250</v>
      </c>
      <c r="K23" s="83">
        <v>10</v>
      </c>
      <c r="M23" s="65"/>
      <c r="N23" s="84"/>
      <c r="O23" s="65"/>
      <c r="Q23" s="85"/>
      <c r="AL23" s="73"/>
      <c r="AM23" s="73"/>
      <c r="AN23" s="73"/>
    </row>
    <row r="24" spans="1:40" ht="26.25" customHeight="1" thickBot="1" x14ac:dyDescent="0.3">
      <c r="A24" s="78">
        <v>13</v>
      </c>
      <c r="B24" s="79" t="str">
        <f>+'[1]Articulos catalogados'!B25</f>
        <v>2.7.2-2038.16</v>
      </c>
      <c r="C24" s="135" t="str">
        <f>+'[1]Articulos catalogados'!E25</f>
        <v>MEDALLAS; MATERIAL: ZAMAC PLATEADO A VIEJO, DIAMETRO: 55 mm, GRABADO: CON</v>
      </c>
      <c r="D24" s="136"/>
      <c r="E24" s="136"/>
      <c r="F24" s="136"/>
      <c r="G24" s="137"/>
      <c r="H24" s="80" t="s">
        <v>96</v>
      </c>
      <c r="I24" s="81" t="str">
        <f>'[1]Necesidades Trimestrales'!F16</f>
        <v>UNIDAD</v>
      </c>
      <c r="J24" s="82">
        <v>300</v>
      </c>
      <c r="K24" s="83">
        <v>10</v>
      </c>
      <c r="M24" s="65"/>
      <c r="N24" s="84"/>
      <c r="O24" s="65"/>
      <c r="Q24" s="85"/>
      <c r="AL24" s="73"/>
      <c r="AM24" s="73"/>
      <c r="AN24" s="73"/>
    </row>
    <row r="25" spans="1:40" ht="26.25" customHeight="1" thickBot="1" x14ac:dyDescent="0.3">
      <c r="A25" s="78">
        <v>14</v>
      </c>
      <c r="B25" s="79" t="s">
        <v>130</v>
      </c>
      <c r="C25" s="142" t="s">
        <v>131</v>
      </c>
      <c r="D25" s="136"/>
      <c r="E25" s="136"/>
      <c r="F25" s="136"/>
      <c r="G25" s="137"/>
      <c r="H25" s="80" t="s">
        <v>96</v>
      </c>
      <c r="I25" s="81" t="str">
        <f>'[1]Necesidades Trimestrales'!F17</f>
        <v>UNIDAD</v>
      </c>
      <c r="J25" s="82">
        <v>800</v>
      </c>
      <c r="K25" s="83">
        <v>4</v>
      </c>
      <c r="M25" s="65"/>
      <c r="N25" s="84"/>
      <c r="Q25" s="85"/>
      <c r="AL25" s="73"/>
      <c r="AM25" s="73"/>
      <c r="AN25" s="73"/>
    </row>
    <row r="26" spans="1:40" ht="26.25" customHeight="1" thickBot="1" x14ac:dyDescent="0.3">
      <c r="A26" s="78">
        <v>15</v>
      </c>
      <c r="B26" s="79" t="str">
        <f>+'[1]Articulos catalogados'!B30</f>
        <v>2.9.6-9084.6</v>
      </c>
      <c r="C26" s="135" t="str">
        <f>+'[1]Articulos catalogados'!E30</f>
        <v>R. Y A. P/PRACTICA DEPORTIVA; ELEMENTO: BASTON P/HOCKEY</v>
      </c>
      <c r="D26" s="136"/>
      <c r="E26" s="136"/>
      <c r="F26" s="136"/>
      <c r="G26" s="137"/>
      <c r="H26" s="80" t="s">
        <v>96</v>
      </c>
      <c r="I26" s="81" t="str">
        <f>'[1]Necesidades Trimestrales'!F20</f>
        <v>UNIDAD</v>
      </c>
      <c r="J26" s="82">
        <v>2600</v>
      </c>
      <c r="K26" s="83">
        <v>10</v>
      </c>
      <c r="M26" s="65"/>
      <c r="N26" s="84"/>
      <c r="O26" s="65"/>
      <c r="Q26" s="85"/>
      <c r="AL26" s="73"/>
      <c r="AM26" s="73"/>
      <c r="AN26" s="73"/>
    </row>
    <row r="27" spans="1:40" ht="26.25" customHeight="1" thickBot="1" x14ac:dyDescent="0.3">
      <c r="A27" s="78">
        <v>16</v>
      </c>
      <c r="B27" s="79" t="str">
        <f>+'[1]Articulos catalogados'!B31</f>
        <v>2.9.9-2448.43</v>
      </c>
      <c r="C27" s="135" t="str">
        <f>+'[1]Articulos catalogados'!E31</f>
        <v>PELOTAS; MATERIAL: PVC, TIPO: HOCKEY, NUMERO: 235 mm</v>
      </c>
      <c r="D27" s="136"/>
      <c r="E27" s="136"/>
      <c r="F27" s="136"/>
      <c r="G27" s="137"/>
      <c r="H27" s="80" t="s">
        <v>96</v>
      </c>
      <c r="I27" s="81" t="str">
        <f>'[1]Necesidades Trimestrales'!F21</f>
        <v>UNIDAD</v>
      </c>
      <c r="J27" s="82">
        <v>320</v>
      </c>
      <c r="K27" s="83">
        <v>10</v>
      </c>
      <c r="M27" s="65"/>
      <c r="N27" s="84"/>
      <c r="O27" s="65"/>
      <c r="Q27" s="85"/>
      <c r="AL27" s="73"/>
      <c r="AM27" s="73"/>
      <c r="AN27" s="73"/>
    </row>
    <row r="28" spans="1:40" ht="26.25" customHeight="1" thickBot="1" x14ac:dyDescent="0.3">
      <c r="A28" s="78">
        <v>17</v>
      </c>
      <c r="B28" s="79" t="str">
        <f>+'[1]Articulos catalogados'!B33</f>
        <v>2.9.9-2448.10</v>
      </c>
      <c r="C28" s="135" t="str">
        <f>+'[1]Articulos catalogados'!E33</f>
        <v>PELOTAS; MATERIAL: GOMA, TIPO: BASQUET, NUMERO: P/ MAYORES</v>
      </c>
      <c r="D28" s="136"/>
      <c r="E28" s="136"/>
      <c r="F28" s="136"/>
      <c r="G28" s="137"/>
      <c r="H28" s="80" t="s">
        <v>96</v>
      </c>
      <c r="I28" s="81" t="str">
        <f>'[1]Necesidades Trimestrales'!F23</f>
        <v>UNIDAD</v>
      </c>
      <c r="J28" s="82">
        <v>1800</v>
      </c>
      <c r="K28" s="83">
        <v>10</v>
      </c>
      <c r="M28" s="65"/>
      <c r="N28" s="84"/>
      <c r="O28" s="65"/>
      <c r="Q28" s="85"/>
      <c r="AL28" s="73"/>
      <c r="AM28" s="73"/>
      <c r="AN28" s="73"/>
    </row>
    <row r="29" spans="1:40" ht="26.25" customHeight="1" thickBot="1" x14ac:dyDescent="0.3">
      <c r="A29" s="78">
        <v>18</v>
      </c>
      <c r="B29" s="79" t="str">
        <f>+'[1]Articulos catalogados'!B35</f>
        <v>2.9.9-2761.5</v>
      </c>
      <c r="C29" s="135" t="str">
        <f>+'[1]Articulos catalogados'!E35</f>
        <v>REDES P/DEPORTES; MATERIAL: POLIETILENO, USO: BASQUET</v>
      </c>
      <c r="D29" s="136"/>
      <c r="E29" s="136"/>
      <c r="F29" s="136"/>
      <c r="G29" s="137"/>
      <c r="H29" s="80" t="s">
        <v>96</v>
      </c>
      <c r="I29" s="81" t="str">
        <f>'[1]Necesidades Trimestrales'!F24</f>
        <v>UNIDAD</v>
      </c>
      <c r="J29" s="82">
        <v>4500</v>
      </c>
      <c r="K29" s="83">
        <v>6</v>
      </c>
      <c r="M29" s="65"/>
      <c r="N29" s="84"/>
      <c r="O29" s="65"/>
      <c r="Q29" s="85"/>
      <c r="AL29" s="73"/>
      <c r="AM29" s="73"/>
      <c r="AN29" s="73"/>
    </row>
    <row r="30" spans="1:40" ht="26.25" customHeight="1" thickBot="1" x14ac:dyDescent="0.3">
      <c r="A30" s="78">
        <v>19</v>
      </c>
      <c r="B30" s="79" t="str">
        <f>+'[1]Articulos catalogados'!B36</f>
        <v>2.9.9-2448.25</v>
      </c>
      <c r="C30" s="135" t="str">
        <f>+'[1]Articulos catalogados'!E36</f>
        <v>PELOTAS; MATERIAL: GOMA, TIPO: BASQUET, NUMERO: 5</v>
      </c>
      <c r="D30" s="136"/>
      <c r="E30" s="136"/>
      <c r="F30" s="136"/>
      <c r="G30" s="137"/>
      <c r="H30" s="80" t="s">
        <v>96</v>
      </c>
      <c r="I30" s="81" t="str">
        <f>'[1]Necesidades Trimestrales'!F25</f>
        <v>UNIDAD</v>
      </c>
      <c r="J30" s="82">
        <v>2700</v>
      </c>
      <c r="K30" s="83">
        <v>6</v>
      </c>
      <c r="M30" s="65"/>
      <c r="N30" s="84"/>
      <c r="O30" s="65"/>
      <c r="Q30" s="85"/>
      <c r="AL30" s="73"/>
      <c r="AM30" s="73"/>
      <c r="AN30" s="73"/>
    </row>
    <row r="31" spans="1:40" ht="26.25" customHeight="1" thickBot="1" x14ac:dyDescent="0.3">
      <c r="A31" s="78">
        <v>20</v>
      </c>
      <c r="B31" s="79" t="str">
        <f>+'[1]Articulos catalogados'!B37</f>
        <v>2.9.9-2448.40</v>
      </c>
      <c r="C31" s="135" t="str">
        <f>+'[1]Articulos catalogados'!E37</f>
        <v>PELOTAS; MATERIAL: SINTETICO, TIPO: VOLEY, NUMERO: 65 Cm</v>
      </c>
      <c r="D31" s="136"/>
      <c r="E31" s="136"/>
      <c r="F31" s="136"/>
      <c r="G31" s="137"/>
      <c r="H31" s="80" t="s">
        <v>96</v>
      </c>
      <c r="I31" s="81" t="str">
        <f>'[1]Necesidades Trimestrales'!F26</f>
        <v>UNIDAD</v>
      </c>
      <c r="J31" s="82">
        <v>3300</v>
      </c>
      <c r="K31" s="83">
        <v>10</v>
      </c>
      <c r="M31" s="65"/>
      <c r="N31" s="84"/>
      <c r="O31" s="65"/>
      <c r="Q31" s="85"/>
      <c r="AL31" s="73"/>
      <c r="AM31" s="73"/>
      <c r="AN31" s="73"/>
    </row>
    <row r="32" spans="1:40" ht="26.25" customHeight="1" thickBot="1" x14ac:dyDescent="0.3">
      <c r="A32" s="78">
        <v>21</v>
      </c>
      <c r="B32" s="79" t="str">
        <f>+'[1]Articulos catalogados'!B40</f>
        <v>2.9.9-2761.2</v>
      </c>
      <c r="C32" s="135" t="str">
        <f>+'[1]Articulos catalogados'!E40</f>
        <v>REDES P/DEPORTES; USO: VOLEY, MATERIAL: POLIETILENO</v>
      </c>
      <c r="D32" s="136"/>
      <c r="E32" s="136"/>
      <c r="F32" s="136"/>
      <c r="G32" s="137"/>
      <c r="H32" s="80" t="s">
        <v>96</v>
      </c>
      <c r="I32" s="81" t="str">
        <f>'[1]Necesidades Trimestrales'!F29</f>
        <v>UNIDAD</v>
      </c>
      <c r="J32" s="82">
        <v>4100</v>
      </c>
      <c r="K32" s="83">
        <v>6</v>
      </c>
      <c r="M32" s="65"/>
      <c r="N32" s="84"/>
      <c r="O32" s="65"/>
      <c r="Q32" s="85"/>
      <c r="AL32" s="73"/>
      <c r="AM32" s="73"/>
      <c r="AN32" s="73"/>
    </row>
    <row r="33" spans="1:40" ht="26.25" customHeight="1" thickBot="1" x14ac:dyDescent="0.3">
      <c r="A33" s="78">
        <v>22</v>
      </c>
      <c r="B33" s="79" t="str">
        <f>+'[1]Articulos catalogados'!B42</f>
        <v>2.9.9-2448.52</v>
      </c>
      <c r="C33" s="135" t="str">
        <f>NEC.TRIM.!E31</f>
        <v>PELOTAS; MATERIAL: GRIP SINTETICA, TIPO: RUGBY, NUMERO: 6</v>
      </c>
      <c r="D33" s="136"/>
      <c r="E33" s="136"/>
      <c r="F33" s="136"/>
      <c r="G33" s="137"/>
      <c r="H33" s="80" t="s">
        <v>96</v>
      </c>
      <c r="I33" s="81" t="str">
        <f>'[1]Necesidades Trimestrales'!F30</f>
        <v>UNIDAD</v>
      </c>
      <c r="J33" s="82">
        <v>1800</v>
      </c>
      <c r="K33" s="83">
        <v>10</v>
      </c>
      <c r="M33" s="65"/>
      <c r="N33" s="84"/>
      <c r="O33" s="65"/>
      <c r="Q33" s="85"/>
      <c r="AL33" s="73"/>
      <c r="AM33" s="73"/>
      <c r="AN33" s="73"/>
    </row>
    <row r="34" spans="1:40" ht="26.25" customHeight="1" thickBot="1" x14ac:dyDescent="0.3">
      <c r="A34" s="78">
        <v>23</v>
      </c>
      <c r="B34" s="79" t="str">
        <f>+'[1]Articulos catalogados'!B46</f>
        <v>2.9.6-9084.38</v>
      </c>
      <c r="C34" s="135" t="str">
        <f>+'[1]Articulos catalogados'!E46</f>
        <v>R. Y A. P/PRACTICA DEPORTIVA; ELEMENTO: ESCALERA P/COORDINACION</v>
      </c>
      <c r="D34" s="136"/>
      <c r="E34" s="136"/>
      <c r="F34" s="136"/>
      <c r="G34" s="137"/>
      <c r="H34" s="80" t="s">
        <v>96</v>
      </c>
      <c r="I34" s="81" t="str">
        <f>'[1]Necesidades Trimestrales'!F31</f>
        <v>UNIDAD</v>
      </c>
      <c r="J34" s="82">
        <v>900</v>
      </c>
      <c r="K34" s="83">
        <v>6</v>
      </c>
      <c r="M34" s="65"/>
      <c r="N34" s="84"/>
      <c r="O34" s="65"/>
      <c r="Q34" s="85"/>
      <c r="AL34" s="73"/>
      <c r="AM34" s="73"/>
      <c r="AN34" s="73"/>
    </row>
    <row r="35" spans="1:40" ht="26.25" customHeight="1" thickBot="1" x14ac:dyDescent="0.3">
      <c r="A35" s="78">
        <v>24</v>
      </c>
      <c r="B35" s="79" t="str">
        <f>+'[1]Articulos catalogados'!B47</f>
        <v>2.9.6-9084.76</v>
      </c>
      <c r="C35" s="135" t="str">
        <f>+'[1]Articulos catalogados'!E47</f>
        <v>R. Y A. P/PRACTICA DEPORTIVA; ELEMENTO: VALLA REGULABLE</v>
      </c>
      <c r="D35" s="136"/>
      <c r="E35" s="136"/>
      <c r="F35" s="136"/>
      <c r="G35" s="137"/>
      <c r="H35" s="80" t="s">
        <v>96</v>
      </c>
      <c r="I35" s="81" t="str">
        <f>'[1]Necesidades Trimestrales'!F32</f>
        <v>UNIDAD</v>
      </c>
      <c r="J35" s="82">
        <v>450</v>
      </c>
      <c r="K35" s="83">
        <v>6</v>
      </c>
      <c r="M35" s="65"/>
      <c r="N35" s="84"/>
      <c r="O35" s="65"/>
      <c r="Q35" s="85"/>
      <c r="AL35" s="73"/>
      <c r="AM35" s="73"/>
      <c r="AN35" s="73"/>
    </row>
    <row r="36" spans="1:40" ht="26.25" customHeight="1" thickBot="1" x14ac:dyDescent="0.3">
      <c r="A36" s="78">
        <v>25</v>
      </c>
      <c r="B36" s="79" t="str">
        <f>+'[1]Articulos catalogados'!B48</f>
        <v>2.9.6-9084.20</v>
      </c>
      <c r="C36" s="135" t="str">
        <f>+'[1]Articulos catalogados'!E48</f>
        <v>R. Y A. P/PRACTICA DEPORTIVA; ELEMENTO: MANOPLA P/NATACION</v>
      </c>
      <c r="D36" s="136"/>
      <c r="E36" s="136"/>
      <c r="F36" s="136"/>
      <c r="G36" s="137"/>
      <c r="H36" s="80" t="s">
        <v>96</v>
      </c>
      <c r="I36" s="81" t="str">
        <f>'[1]Necesidades Trimestrales'!F33</f>
        <v>UNIDAD</v>
      </c>
      <c r="J36" s="82">
        <v>680</v>
      </c>
      <c r="K36" s="83">
        <v>4</v>
      </c>
      <c r="M36" s="65"/>
      <c r="N36" s="84"/>
      <c r="O36" s="65"/>
      <c r="Q36" s="85"/>
      <c r="AL36" s="73"/>
      <c r="AM36" s="73"/>
      <c r="AN36" s="73"/>
    </row>
    <row r="37" spans="1:40" ht="26.25" customHeight="1" thickBot="1" x14ac:dyDescent="0.3">
      <c r="A37" s="78">
        <v>26</v>
      </c>
      <c r="B37" s="79" t="str">
        <f>+'[1]Articulos catalogados'!B50</f>
        <v>2.9.9-3889.1</v>
      </c>
      <c r="C37" s="135" t="str">
        <f>+'[1]Articulos catalogados'!E50</f>
        <v>FLOTADORES; DIMENSION: 17 X 10 X 3 Cm, TIPO: TABLA, MATERIAL: POLIETILENO</v>
      </c>
      <c r="D37" s="136"/>
      <c r="E37" s="136"/>
      <c r="F37" s="136"/>
      <c r="G37" s="137"/>
      <c r="H37" s="80" t="s">
        <v>96</v>
      </c>
      <c r="I37" s="81" t="str">
        <f>'[1]Necesidades Trimestrales'!F34</f>
        <v>UNIDAD</v>
      </c>
      <c r="J37" s="82">
        <v>650</v>
      </c>
      <c r="K37" s="83">
        <v>4</v>
      </c>
      <c r="M37" s="65"/>
      <c r="N37" s="84"/>
      <c r="O37" s="65"/>
      <c r="Q37" s="85"/>
    </row>
    <row r="38" spans="1:40" ht="26.25" customHeight="1" thickBot="1" x14ac:dyDescent="0.3">
      <c r="A38" s="138" t="s">
        <v>97</v>
      </c>
      <c r="B38" s="139"/>
      <c r="C38" s="139"/>
      <c r="D38" s="139"/>
      <c r="E38" s="139"/>
      <c r="F38" s="139"/>
      <c r="G38" s="139"/>
      <c r="H38" s="139"/>
      <c r="I38" s="140"/>
      <c r="J38" s="141">
        <f>SUMPRODUCT(J12:J37,K12:K37)</f>
        <v>999070</v>
      </c>
      <c r="K38" s="140"/>
      <c r="N38" s="86"/>
      <c r="Q38" s="85"/>
    </row>
    <row r="39" spans="1:40" ht="26.25" customHeight="1" x14ac:dyDescent="0.25">
      <c r="A39" s="77"/>
      <c r="B39" s="77"/>
      <c r="C39" s="77"/>
      <c r="D39" s="77"/>
      <c r="E39" s="77"/>
      <c r="F39" s="77"/>
      <c r="G39" s="77"/>
      <c r="H39" s="77"/>
      <c r="I39" s="77"/>
      <c r="J39" s="88"/>
      <c r="K39" s="88"/>
    </row>
    <row r="40" spans="1:40" ht="26.25" customHeight="1" x14ac:dyDescent="0.25">
      <c r="A40" s="77"/>
      <c r="B40" s="77"/>
      <c r="C40" s="77"/>
      <c r="D40" s="77"/>
      <c r="E40" s="77"/>
      <c r="F40" s="77"/>
      <c r="G40" s="77"/>
      <c r="H40" s="77"/>
      <c r="I40" s="77"/>
      <c r="J40" s="88"/>
      <c r="K40" s="88"/>
    </row>
    <row r="41" spans="1:40" ht="26.25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2" spans="1:40" ht="26.25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</row>
    <row r="43" spans="1:40" ht="26.25" customHeight="1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</row>
    <row r="44" spans="1:40" ht="26.25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</row>
    <row r="45" spans="1:40" ht="26.25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</row>
    <row r="46" spans="1:40" ht="26.2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40" ht="26.2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40" ht="26.2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40" ht="26.2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</row>
    <row r="50" spans="1:40" ht="26.2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</row>
    <row r="51" spans="1:40" ht="26.25" customHeight="1" x14ac:dyDescent="0.25"/>
    <row r="52" spans="1:40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</row>
    <row r="53" spans="1:40" ht="12.75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</row>
    <row r="54" spans="1:40" ht="12.75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</row>
    <row r="55" spans="1:40" ht="12.75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</row>
    <row r="56" spans="1:40" ht="12.75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</row>
    <row r="57" spans="1:40" ht="12.75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</row>
    <row r="58" spans="1:40" ht="12.75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</row>
    <row r="59" spans="1:40" ht="12.75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</row>
    <row r="60" spans="1:40" ht="12.75" customHeight="1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</row>
    <row r="61" spans="1:40" ht="12.75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 spans="1:40" ht="12.75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 spans="1:40" ht="12.75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</row>
    <row r="64" spans="1:40" ht="12.75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</row>
    <row r="65" spans="1:40" ht="12.75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</row>
    <row r="66" spans="1:40" ht="12.75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</row>
    <row r="67" spans="1:40" ht="12.75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 spans="1:40" ht="12.75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 spans="1:40" ht="12.75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</row>
    <row r="70" spans="1:40" ht="12.75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</row>
    <row r="71" spans="1:40" ht="12.75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</row>
    <row r="72" spans="1:40" ht="12.75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</row>
    <row r="73" spans="1:40" ht="12.75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</row>
    <row r="74" spans="1:40" ht="12.75" customHeight="1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</row>
    <row r="75" spans="1:40" ht="12.75" customHeight="1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</row>
    <row r="76" spans="1:40" ht="12.75" customHeight="1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</row>
    <row r="77" spans="1:40" ht="12.75" customHeight="1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</row>
    <row r="78" spans="1:40" ht="12.75" customHeight="1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</row>
    <row r="79" spans="1:40" ht="12.75" customHeight="1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 spans="1:40" ht="12.75" customHeight="1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 spans="1:40" ht="12.75" customHeight="1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 spans="1:40" ht="12.75" customHeight="1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 spans="1:40" ht="12.75" customHeight="1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 spans="1:40" ht="12.75" customHeight="1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 spans="1:40" ht="12.75" customHeight="1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 spans="1:40" ht="12.75" customHeight="1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 spans="1:40" ht="12.75" customHeight="1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 spans="1:40" ht="12.75" customHeight="1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 spans="1:40" ht="12.75" customHeight="1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 spans="1:40" ht="12.75" customHeight="1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 spans="1:40" ht="12.75" customHeight="1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</row>
    <row r="92" spans="1:40" ht="12.75" customHeight="1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</row>
    <row r="93" spans="1:40" ht="12.75" customHeight="1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</row>
    <row r="94" spans="1:40" ht="12.75" customHeight="1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</row>
    <row r="95" spans="1:40" ht="12.75" customHeight="1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</row>
    <row r="96" spans="1:40" ht="12.75" customHeight="1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</row>
    <row r="97" spans="1:40" ht="12.75" customHeight="1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</row>
    <row r="98" spans="1:40" ht="12.75" customHeight="1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</row>
    <row r="99" spans="1:40" ht="12.75" customHeight="1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</row>
    <row r="100" spans="1:40" ht="12.75" customHeight="1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</row>
    <row r="101" spans="1:40" ht="12.75" customHeight="1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</row>
    <row r="102" spans="1:40" ht="12.75" customHeight="1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</row>
    <row r="103" spans="1:40" ht="12.75" customHeight="1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</row>
    <row r="104" spans="1:40" ht="12.75" customHeight="1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 spans="1:40" ht="12.75" customHeight="1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 spans="1:40" ht="12.75" customHeight="1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 spans="1:40" ht="12.75" customHeight="1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spans="1:40" ht="12.75" customHeight="1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spans="1:40" ht="12.75" customHeight="1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 spans="1:40" ht="12.75" customHeight="1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 spans="1:40" ht="12.75" customHeight="1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 spans="1:40" ht="12.75" customHeight="1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 spans="1:40" ht="12.75" customHeight="1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 spans="1:40" ht="12.75" customHeight="1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 spans="1:40" ht="12.75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 spans="1:40" ht="12.75" customHeight="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 spans="1:40" ht="12.75" customHeight="1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 spans="1:40" ht="12.75" customHeight="1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 spans="1:40" ht="12.75" customHeight="1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 spans="1:40" ht="12.75" customHeight="1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 spans="1:40" ht="12.75" customHeight="1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 spans="1:40" ht="12.75" customHeight="1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 spans="1:40" ht="12.75" customHeight="1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 spans="1:40" ht="12.75" customHeight="1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 spans="1:40" ht="12.75" customHeight="1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 spans="1:40" ht="12.75" customHeight="1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 spans="1:40" ht="12.75" customHeight="1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 spans="1:40" ht="12.75" customHeight="1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 spans="1:40" ht="12.75" customHeight="1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 spans="1:40" ht="12.75" customHeight="1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 spans="1:40" ht="12.75" customHeight="1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 spans="1:40" ht="12.75" customHeight="1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 spans="1:40" ht="12.75" customHeight="1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  <row r="134" spans="1:40" ht="12.75" customHeight="1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</row>
    <row r="135" spans="1:40" ht="12.75" customHeight="1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</row>
    <row r="136" spans="1:40" ht="12.75" customHeight="1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</row>
    <row r="137" spans="1:40" ht="12.75" customHeight="1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</row>
    <row r="138" spans="1:40" ht="12.75" customHeight="1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</row>
    <row r="139" spans="1:40" ht="12.75" customHeight="1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</row>
    <row r="140" spans="1:40" ht="12.75" customHeight="1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</row>
    <row r="141" spans="1:40" ht="12.75" customHeight="1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</row>
    <row r="142" spans="1:40" ht="12.75" customHeight="1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</row>
    <row r="143" spans="1:40" ht="12.75" customHeight="1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</row>
    <row r="144" spans="1:40" ht="12.75" customHeight="1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</row>
    <row r="145" spans="1:40" ht="12.75" customHeight="1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</row>
    <row r="146" spans="1:40" ht="12.75" customHeight="1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</row>
    <row r="147" spans="1:40" ht="12.75" customHeight="1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</row>
    <row r="148" spans="1:40" ht="12.75" customHeight="1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</row>
    <row r="149" spans="1:40" ht="12.75" customHeight="1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</row>
    <row r="150" spans="1:40" ht="12.75" customHeight="1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</row>
    <row r="151" spans="1:40" ht="12.75" customHeight="1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</row>
    <row r="152" spans="1:40" ht="12.75" customHeight="1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</row>
    <row r="153" spans="1:40" ht="12.75" customHeight="1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</row>
    <row r="154" spans="1:40" ht="12.75" customHeight="1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</row>
    <row r="155" spans="1:40" ht="12.75" customHeight="1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</row>
    <row r="156" spans="1:40" ht="12.75" customHeight="1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</row>
    <row r="157" spans="1:40" ht="12.75" customHeight="1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</row>
    <row r="158" spans="1:40" ht="12.75" customHeight="1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</row>
    <row r="159" spans="1:40" ht="12.75" customHeight="1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</row>
    <row r="160" spans="1:40" ht="12.75" customHeight="1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</row>
    <row r="161" spans="1:40" ht="12.75" customHeight="1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</row>
    <row r="162" spans="1:40" ht="12.75" customHeight="1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</row>
    <row r="163" spans="1:40" ht="12.75" customHeight="1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</row>
    <row r="164" spans="1:40" ht="12.75" customHeight="1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</row>
    <row r="165" spans="1:40" ht="12.75" customHeight="1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</row>
    <row r="166" spans="1:40" ht="12.75" customHeight="1" x14ac:dyDescent="0.2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</row>
    <row r="167" spans="1:40" ht="12.75" customHeight="1" x14ac:dyDescent="0.2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</row>
    <row r="168" spans="1:40" ht="12.75" customHeight="1" x14ac:dyDescent="0.2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</row>
    <row r="169" spans="1:40" ht="12.75" customHeight="1" x14ac:dyDescent="0.2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2.75" customHeight="1" x14ac:dyDescent="0.2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</row>
    <row r="171" spans="1:40" ht="12.75" customHeight="1" x14ac:dyDescent="0.2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</row>
    <row r="172" spans="1:40" ht="12.75" customHeight="1" x14ac:dyDescent="0.2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</row>
    <row r="173" spans="1:40" ht="12.75" customHeight="1" x14ac:dyDescent="0.2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</row>
    <row r="174" spans="1:40" ht="12.75" customHeight="1" x14ac:dyDescent="0.2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</row>
    <row r="175" spans="1:40" ht="12.75" customHeight="1" x14ac:dyDescent="0.2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</row>
    <row r="176" spans="1:40" ht="12.75" customHeight="1" x14ac:dyDescent="0.2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</row>
    <row r="177" spans="1:40" ht="12.75" customHeight="1" x14ac:dyDescent="0.2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</row>
    <row r="178" spans="1:40" ht="12.75" customHeight="1" x14ac:dyDescent="0.2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</row>
    <row r="179" spans="1:40" ht="12.75" customHeight="1" x14ac:dyDescent="0.2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</row>
    <row r="180" spans="1:40" ht="12.75" customHeight="1" x14ac:dyDescent="0.2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</row>
    <row r="181" spans="1:40" ht="12.75" customHeight="1" x14ac:dyDescent="0.2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</row>
    <row r="182" spans="1:40" ht="12.75" customHeight="1" x14ac:dyDescent="0.2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</row>
    <row r="183" spans="1:40" ht="12.75" customHeight="1" x14ac:dyDescent="0.2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</row>
    <row r="184" spans="1:40" ht="12.75" customHeight="1" x14ac:dyDescent="0.2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</row>
    <row r="185" spans="1:40" ht="12.75" customHeight="1" x14ac:dyDescent="0.2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</row>
    <row r="186" spans="1:40" ht="12.75" customHeight="1" x14ac:dyDescent="0.2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</row>
    <row r="187" spans="1:40" ht="12.75" customHeight="1" x14ac:dyDescent="0.2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</row>
    <row r="188" spans="1:40" ht="12.75" customHeight="1" x14ac:dyDescent="0.2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</row>
    <row r="189" spans="1:40" ht="12.75" customHeight="1" x14ac:dyDescent="0.2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</row>
    <row r="190" spans="1:40" ht="12.75" customHeight="1" x14ac:dyDescent="0.2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</row>
    <row r="191" spans="1:40" ht="12.75" customHeight="1" x14ac:dyDescent="0.2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</row>
    <row r="192" spans="1:40" ht="12.75" customHeight="1" x14ac:dyDescent="0.2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</row>
    <row r="193" spans="1:40" ht="12.75" customHeight="1" x14ac:dyDescent="0.2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</row>
    <row r="194" spans="1:40" ht="12.75" customHeight="1" x14ac:dyDescent="0.2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</row>
    <row r="195" spans="1:40" ht="12.75" customHeight="1" x14ac:dyDescent="0.2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</row>
    <row r="196" spans="1:40" ht="12.75" customHeight="1" x14ac:dyDescent="0.2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</row>
    <row r="197" spans="1:40" ht="12.75" customHeight="1" x14ac:dyDescent="0.2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</row>
    <row r="198" spans="1:40" ht="12.75" customHeight="1" x14ac:dyDescent="0.2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</row>
    <row r="199" spans="1:40" ht="12.75" customHeight="1" x14ac:dyDescent="0.2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</row>
    <row r="200" spans="1:40" ht="12.75" customHeight="1" x14ac:dyDescent="0.2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</row>
    <row r="201" spans="1:40" ht="12.75" customHeight="1" x14ac:dyDescent="0.2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</row>
    <row r="202" spans="1:40" ht="12.75" customHeight="1" x14ac:dyDescent="0.2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</row>
    <row r="203" spans="1:40" ht="12.75" customHeight="1" x14ac:dyDescent="0.2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</row>
    <row r="204" spans="1:40" ht="12.75" customHeight="1" x14ac:dyDescent="0.2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</row>
    <row r="205" spans="1:40" ht="12.75" customHeight="1" x14ac:dyDescent="0.2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</row>
    <row r="206" spans="1:40" ht="12.75" customHeight="1" x14ac:dyDescent="0.2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</row>
    <row r="207" spans="1:40" ht="12.75" customHeight="1" x14ac:dyDescent="0.2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</row>
    <row r="208" spans="1:40" ht="12.75" customHeight="1" x14ac:dyDescent="0.2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</row>
    <row r="209" spans="1:40" ht="12.75" customHeight="1" x14ac:dyDescent="0.2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</row>
    <row r="210" spans="1:40" ht="12.75" customHeight="1" x14ac:dyDescent="0.2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</row>
    <row r="211" spans="1:40" ht="12.75" customHeight="1" x14ac:dyDescent="0.2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</row>
    <row r="212" spans="1:40" ht="12.75" customHeight="1" x14ac:dyDescent="0.2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</row>
    <row r="213" spans="1:40" ht="12.75" customHeight="1" x14ac:dyDescent="0.2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</row>
    <row r="214" spans="1:40" ht="12.75" customHeight="1" x14ac:dyDescent="0.2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</row>
    <row r="215" spans="1:40" ht="12.75" customHeight="1" x14ac:dyDescent="0.2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</row>
    <row r="216" spans="1:40" ht="12.75" customHeight="1" x14ac:dyDescent="0.2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</row>
    <row r="217" spans="1:40" ht="12.75" customHeight="1" x14ac:dyDescent="0.2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</row>
    <row r="218" spans="1:40" ht="12.75" customHeight="1" x14ac:dyDescent="0.2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</row>
    <row r="219" spans="1:40" ht="12.75" customHeight="1" x14ac:dyDescent="0.2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</row>
    <row r="220" spans="1:40" ht="12.75" customHeight="1" x14ac:dyDescent="0.2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</row>
    <row r="221" spans="1:40" ht="12.75" customHeight="1" x14ac:dyDescent="0.2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</row>
    <row r="222" spans="1:40" ht="12.75" customHeight="1" x14ac:dyDescent="0.2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</row>
    <row r="223" spans="1:40" ht="12.75" customHeight="1" x14ac:dyDescent="0.2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</row>
    <row r="224" spans="1:40" ht="12.75" customHeight="1" x14ac:dyDescent="0.2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</row>
    <row r="225" spans="1:40" ht="12.75" customHeight="1" x14ac:dyDescent="0.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</row>
    <row r="226" spans="1:40" ht="12.75" customHeight="1" x14ac:dyDescent="0.2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</row>
    <row r="227" spans="1:40" ht="12.75" customHeight="1" x14ac:dyDescent="0.2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</row>
    <row r="228" spans="1:40" ht="12.75" customHeight="1" x14ac:dyDescent="0.2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</row>
    <row r="229" spans="1:40" ht="12.75" customHeight="1" x14ac:dyDescent="0.2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</row>
    <row r="230" spans="1:40" ht="12.75" customHeight="1" x14ac:dyDescent="0.2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</row>
    <row r="231" spans="1:40" ht="12.75" customHeight="1" x14ac:dyDescent="0.2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</row>
    <row r="232" spans="1:40" ht="12.75" customHeight="1" x14ac:dyDescent="0.2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</row>
    <row r="233" spans="1:40" ht="12.75" customHeight="1" x14ac:dyDescent="0.2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</row>
    <row r="234" spans="1:40" ht="12.75" customHeight="1" x14ac:dyDescent="0.2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</row>
    <row r="235" spans="1:40" ht="12.75" customHeight="1" x14ac:dyDescent="0.2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</row>
    <row r="236" spans="1:40" ht="12.75" customHeight="1" x14ac:dyDescent="0.2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</row>
    <row r="237" spans="1:40" ht="12.75" customHeight="1" x14ac:dyDescent="0.2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2.75" customHeight="1" x14ac:dyDescent="0.2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</row>
    <row r="239" spans="1:40" ht="12.75" customHeight="1" x14ac:dyDescent="0.2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</row>
    <row r="240" spans="1:40" ht="12.75" customHeight="1" x14ac:dyDescent="0.2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</row>
    <row r="241" spans="1:40" ht="12.75" customHeight="1" x14ac:dyDescent="0.2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</row>
    <row r="242" spans="1:40" ht="12.75" customHeight="1" x14ac:dyDescent="0.2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</row>
    <row r="243" spans="1:40" ht="12.75" customHeight="1" x14ac:dyDescent="0.2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</row>
    <row r="244" spans="1:40" ht="12.75" customHeight="1" x14ac:dyDescent="0.2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</row>
    <row r="245" spans="1:40" ht="12.75" customHeight="1" x14ac:dyDescent="0.2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</row>
    <row r="246" spans="1:40" ht="12.75" customHeight="1" x14ac:dyDescent="0.2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</row>
    <row r="247" spans="1:40" ht="12.75" customHeight="1" x14ac:dyDescent="0.2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</row>
    <row r="248" spans="1:40" ht="12.75" customHeight="1" x14ac:dyDescent="0.2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</row>
    <row r="249" spans="1:40" ht="12.75" customHeight="1" x14ac:dyDescent="0.2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</row>
    <row r="250" spans="1:40" ht="12.75" customHeight="1" x14ac:dyDescent="0.2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</row>
    <row r="251" spans="1:40" ht="12.75" customHeight="1" x14ac:dyDescent="0.2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</row>
    <row r="252" spans="1:40" ht="12.75" customHeight="1" x14ac:dyDescent="0.2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</row>
    <row r="253" spans="1:40" ht="12.75" customHeight="1" x14ac:dyDescent="0.2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</row>
    <row r="254" spans="1:40" ht="12.75" customHeight="1" x14ac:dyDescent="0.2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</row>
    <row r="255" spans="1:40" ht="12.75" customHeight="1" x14ac:dyDescent="0.2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</row>
    <row r="256" spans="1:40" ht="12.75" customHeight="1" x14ac:dyDescent="0.2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</row>
    <row r="257" spans="1:40" ht="12.75" customHeight="1" x14ac:dyDescent="0.2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</row>
    <row r="258" spans="1:40" ht="12.75" customHeight="1" x14ac:dyDescent="0.2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</row>
    <row r="259" spans="1:40" ht="12.75" customHeight="1" x14ac:dyDescent="0.2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</row>
    <row r="260" spans="1:40" ht="12.75" customHeight="1" x14ac:dyDescent="0.2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</row>
    <row r="261" spans="1:40" ht="12.75" customHeight="1" x14ac:dyDescent="0.2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</row>
    <row r="262" spans="1:40" ht="12.75" customHeight="1" x14ac:dyDescent="0.2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</row>
    <row r="263" spans="1:40" ht="12.75" customHeight="1" x14ac:dyDescent="0.2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</row>
    <row r="264" spans="1:40" ht="12.75" customHeight="1" x14ac:dyDescent="0.2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</row>
    <row r="265" spans="1:40" ht="12.75" customHeight="1" x14ac:dyDescent="0.2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</row>
    <row r="266" spans="1:40" ht="12.75" customHeight="1" x14ac:dyDescent="0.2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</row>
    <row r="267" spans="1:40" ht="12.75" customHeight="1" x14ac:dyDescent="0.2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</row>
    <row r="268" spans="1:40" ht="12.75" customHeight="1" x14ac:dyDescent="0.2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</row>
    <row r="269" spans="1:40" ht="12.75" customHeight="1" x14ac:dyDescent="0.2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</row>
    <row r="270" spans="1:40" ht="12.75" customHeight="1" x14ac:dyDescent="0.2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</row>
    <row r="271" spans="1:40" ht="12.75" customHeight="1" x14ac:dyDescent="0.2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</row>
    <row r="272" spans="1:40" ht="12.75" customHeight="1" x14ac:dyDescent="0.2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</row>
    <row r="273" spans="1:40" ht="12.75" customHeight="1" x14ac:dyDescent="0.2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</row>
    <row r="274" spans="1:40" ht="12.75" customHeight="1" x14ac:dyDescent="0.2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</row>
    <row r="275" spans="1:40" ht="12.75" customHeight="1" x14ac:dyDescent="0.2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</row>
    <row r="276" spans="1:40" ht="12.75" customHeight="1" x14ac:dyDescent="0.2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</row>
    <row r="277" spans="1:40" ht="12.75" customHeight="1" x14ac:dyDescent="0.2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</row>
    <row r="278" spans="1:40" ht="12.75" customHeight="1" x14ac:dyDescent="0.2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</row>
    <row r="279" spans="1:40" ht="12.75" customHeight="1" x14ac:dyDescent="0.2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</row>
    <row r="280" spans="1:40" ht="12.75" customHeight="1" x14ac:dyDescent="0.2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</row>
    <row r="281" spans="1:40" ht="12.75" customHeight="1" x14ac:dyDescent="0.2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</row>
    <row r="282" spans="1:40" ht="12.75" customHeight="1" x14ac:dyDescent="0.2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</row>
    <row r="283" spans="1:40" ht="12.75" customHeight="1" x14ac:dyDescent="0.2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</row>
    <row r="284" spans="1:40" ht="12.75" customHeight="1" x14ac:dyDescent="0.2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</row>
    <row r="285" spans="1:40" ht="12.75" customHeight="1" x14ac:dyDescent="0.2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</row>
    <row r="286" spans="1:40" ht="12.75" customHeight="1" x14ac:dyDescent="0.2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</row>
    <row r="287" spans="1:40" ht="12.75" customHeight="1" x14ac:dyDescent="0.2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</row>
    <row r="288" spans="1:40" ht="12.75" customHeight="1" x14ac:dyDescent="0.2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</row>
    <row r="289" spans="1:40" ht="12.75" customHeight="1" x14ac:dyDescent="0.2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</row>
    <row r="290" spans="1:40" ht="12.75" customHeight="1" x14ac:dyDescent="0.2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</row>
    <row r="291" spans="1:40" ht="12.75" customHeight="1" x14ac:dyDescent="0.2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</row>
    <row r="292" spans="1:40" ht="12.75" customHeight="1" x14ac:dyDescent="0.2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</row>
    <row r="293" spans="1:40" ht="12.75" customHeight="1" x14ac:dyDescent="0.2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</row>
    <row r="294" spans="1:40" ht="12.75" customHeight="1" x14ac:dyDescent="0.2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</row>
    <row r="295" spans="1:40" ht="12.75" customHeight="1" x14ac:dyDescent="0.2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</row>
    <row r="296" spans="1:40" ht="12.75" customHeight="1" x14ac:dyDescent="0.2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</row>
    <row r="297" spans="1:40" ht="12.75" customHeight="1" x14ac:dyDescent="0.2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</row>
    <row r="298" spans="1:40" ht="12.75" customHeight="1" x14ac:dyDescent="0.2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</row>
    <row r="299" spans="1:40" ht="12.75" customHeight="1" x14ac:dyDescent="0.2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</row>
    <row r="300" spans="1:40" ht="12.75" customHeight="1" x14ac:dyDescent="0.2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</row>
    <row r="301" spans="1:40" ht="12.75" customHeight="1" x14ac:dyDescent="0.2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</row>
    <row r="302" spans="1:40" ht="12.75" customHeight="1" x14ac:dyDescent="0.2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</row>
    <row r="303" spans="1:40" ht="12.75" customHeight="1" x14ac:dyDescent="0.2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</row>
    <row r="304" spans="1:40" ht="12.75" customHeight="1" x14ac:dyDescent="0.2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</row>
    <row r="305" spans="1:40" ht="12.75" customHeight="1" x14ac:dyDescent="0.2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</row>
    <row r="306" spans="1:40" ht="12.75" customHeight="1" x14ac:dyDescent="0.2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</row>
    <row r="307" spans="1:40" ht="12.75" customHeight="1" x14ac:dyDescent="0.2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</row>
    <row r="308" spans="1:40" ht="12.75" customHeight="1" x14ac:dyDescent="0.2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</row>
    <row r="309" spans="1:40" ht="12.75" customHeight="1" x14ac:dyDescent="0.2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</row>
    <row r="310" spans="1:40" ht="12.75" customHeight="1" x14ac:dyDescent="0.2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</row>
    <row r="311" spans="1:40" ht="12.75" customHeight="1" x14ac:dyDescent="0.2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</row>
    <row r="312" spans="1:40" ht="12.75" customHeight="1" x14ac:dyDescent="0.2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</row>
    <row r="313" spans="1:40" ht="12.75" customHeight="1" x14ac:dyDescent="0.2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</row>
    <row r="314" spans="1:40" ht="12.75" customHeight="1" x14ac:dyDescent="0.2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</row>
    <row r="315" spans="1:40" ht="12.75" customHeight="1" x14ac:dyDescent="0.2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</row>
    <row r="316" spans="1:40" ht="12.75" customHeight="1" x14ac:dyDescent="0.2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</row>
    <row r="317" spans="1:40" ht="12.75" customHeight="1" x14ac:dyDescent="0.2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</row>
    <row r="318" spans="1:40" ht="12.75" customHeight="1" x14ac:dyDescent="0.2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</row>
    <row r="319" spans="1:40" ht="12.75" customHeight="1" x14ac:dyDescent="0.2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</row>
    <row r="320" spans="1:40" ht="12.75" customHeight="1" x14ac:dyDescent="0.2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</row>
    <row r="321" spans="1:40" ht="12.75" customHeight="1" x14ac:dyDescent="0.2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</row>
    <row r="322" spans="1:40" ht="12.75" customHeight="1" x14ac:dyDescent="0.2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</row>
    <row r="323" spans="1:40" ht="12.75" customHeight="1" x14ac:dyDescent="0.2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</row>
    <row r="324" spans="1:40" ht="12.75" customHeight="1" x14ac:dyDescent="0.2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</row>
    <row r="325" spans="1:40" ht="12.75" customHeight="1" x14ac:dyDescent="0.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</row>
    <row r="326" spans="1:40" ht="12.75" customHeight="1" x14ac:dyDescent="0.2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</row>
    <row r="327" spans="1:40" ht="12.75" customHeight="1" x14ac:dyDescent="0.2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</row>
    <row r="328" spans="1:40" ht="12.75" customHeight="1" x14ac:dyDescent="0.2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</row>
    <row r="329" spans="1:40" ht="12.75" customHeight="1" x14ac:dyDescent="0.2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</row>
    <row r="330" spans="1:40" ht="12.75" customHeight="1" x14ac:dyDescent="0.2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</row>
    <row r="331" spans="1:40" ht="12.75" customHeight="1" x14ac:dyDescent="0.2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</row>
    <row r="332" spans="1:40" ht="12.75" customHeight="1" x14ac:dyDescent="0.2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</row>
    <row r="333" spans="1:40" ht="12.75" customHeight="1" x14ac:dyDescent="0.2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</row>
    <row r="334" spans="1:40" ht="12.75" customHeight="1" x14ac:dyDescent="0.2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</row>
    <row r="335" spans="1:40" ht="12.75" customHeight="1" x14ac:dyDescent="0.2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</row>
    <row r="336" spans="1:40" ht="12.75" customHeight="1" x14ac:dyDescent="0.2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</row>
    <row r="337" spans="1:40" ht="12.75" customHeight="1" x14ac:dyDescent="0.2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</row>
    <row r="338" spans="1:40" ht="12.75" customHeight="1" x14ac:dyDescent="0.2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</row>
    <row r="339" spans="1:40" ht="12.75" customHeight="1" x14ac:dyDescent="0.2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</row>
    <row r="340" spans="1:40" ht="12.75" customHeight="1" x14ac:dyDescent="0.2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</row>
    <row r="341" spans="1:40" ht="12.75" customHeight="1" x14ac:dyDescent="0.2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</row>
    <row r="342" spans="1:40" ht="12.75" customHeight="1" x14ac:dyDescent="0.2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</row>
    <row r="343" spans="1:40" ht="12.75" customHeight="1" x14ac:dyDescent="0.2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</row>
    <row r="344" spans="1:40" ht="12.75" customHeight="1" x14ac:dyDescent="0.2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</row>
    <row r="345" spans="1:40" ht="12.75" customHeight="1" x14ac:dyDescent="0.2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</row>
    <row r="346" spans="1:40" ht="12.75" customHeight="1" x14ac:dyDescent="0.2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</row>
    <row r="347" spans="1:40" ht="12.75" customHeight="1" x14ac:dyDescent="0.2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</row>
    <row r="348" spans="1:40" ht="12.75" customHeight="1" x14ac:dyDescent="0.2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</row>
    <row r="349" spans="1:40" ht="12.75" customHeight="1" x14ac:dyDescent="0.2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</row>
    <row r="350" spans="1:40" ht="12.75" customHeight="1" x14ac:dyDescent="0.2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</row>
    <row r="351" spans="1:40" ht="12.75" customHeight="1" x14ac:dyDescent="0.2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</row>
    <row r="352" spans="1:40" ht="12.75" customHeight="1" x14ac:dyDescent="0.2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</row>
    <row r="353" spans="1:40" ht="12.75" customHeight="1" x14ac:dyDescent="0.2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</row>
    <row r="354" spans="1:40" ht="12.75" customHeight="1" x14ac:dyDescent="0.2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</row>
    <row r="355" spans="1:40" ht="12.75" customHeight="1" x14ac:dyDescent="0.2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</row>
    <row r="356" spans="1:40" ht="12.75" customHeight="1" x14ac:dyDescent="0.2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</row>
    <row r="357" spans="1:40" ht="12.75" customHeight="1" x14ac:dyDescent="0.2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</row>
    <row r="358" spans="1:40" ht="12.75" customHeight="1" x14ac:dyDescent="0.2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</row>
    <row r="359" spans="1:40" ht="12.75" customHeight="1" x14ac:dyDescent="0.2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</row>
    <row r="360" spans="1:40" ht="12.75" customHeight="1" x14ac:dyDescent="0.2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</row>
    <row r="361" spans="1:40" ht="12.75" customHeight="1" x14ac:dyDescent="0.2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</row>
    <row r="362" spans="1:40" ht="12.75" customHeight="1" x14ac:dyDescent="0.2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</row>
    <row r="363" spans="1:40" ht="12.75" customHeight="1" x14ac:dyDescent="0.2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</row>
    <row r="364" spans="1:40" ht="12.75" customHeight="1" x14ac:dyDescent="0.2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</row>
    <row r="365" spans="1:40" ht="12.75" customHeight="1" x14ac:dyDescent="0.2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</row>
    <row r="366" spans="1:40" ht="12.75" customHeight="1" x14ac:dyDescent="0.2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</row>
    <row r="367" spans="1:40" ht="12.75" customHeight="1" x14ac:dyDescent="0.2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</row>
    <row r="368" spans="1:40" ht="12.75" customHeight="1" x14ac:dyDescent="0.2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</row>
    <row r="369" spans="1:40" ht="12.75" customHeight="1" x14ac:dyDescent="0.2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</row>
    <row r="370" spans="1:40" ht="12.75" customHeight="1" x14ac:dyDescent="0.2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</row>
    <row r="371" spans="1:40" ht="12.75" customHeight="1" x14ac:dyDescent="0.2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</row>
    <row r="372" spans="1:40" ht="12.75" customHeight="1" x14ac:dyDescent="0.2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</row>
    <row r="373" spans="1:40" ht="12.75" customHeight="1" x14ac:dyDescent="0.2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</row>
    <row r="374" spans="1:40" ht="12.75" customHeight="1" x14ac:dyDescent="0.2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</row>
    <row r="375" spans="1:40" ht="12.75" customHeight="1" x14ac:dyDescent="0.2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</row>
    <row r="376" spans="1:40" ht="12.75" customHeight="1" x14ac:dyDescent="0.2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</row>
    <row r="377" spans="1:40" ht="12.75" customHeight="1" x14ac:dyDescent="0.2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</row>
    <row r="378" spans="1:40" ht="12.75" customHeight="1" x14ac:dyDescent="0.2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</row>
    <row r="379" spans="1:40" ht="12.75" customHeight="1" x14ac:dyDescent="0.2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</row>
    <row r="380" spans="1:40" ht="12.75" customHeight="1" x14ac:dyDescent="0.2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</row>
    <row r="381" spans="1:40" ht="12.75" customHeight="1" x14ac:dyDescent="0.2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</row>
    <row r="382" spans="1:40" ht="12.75" customHeight="1" x14ac:dyDescent="0.2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</row>
    <row r="383" spans="1:40" ht="12.75" customHeight="1" x14ac:dyDescent="0.2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</row>
    <row r="384" spans="1:40" ht="12.75" customHeight="1" x14ac:dyDescent="0.2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</row>
    <row r="385" spans="1:40" ht="12.75" customHeight="1" x14ac:dyDescent="0.2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</row>
    <row r="386" spans="1:40" ht="12.75" customHeight="1" x14ac:dyDescent="0.2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</row>
    <row r="387" spans="1:40" ht="12.75" customHeight="1" x14ac:dyDescent="0.2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</row>
    <row r="388" spans="1:40" ht="12.75" customHeight="1" x14ac:dyDescent="0.2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</row>
    <row r="389" spans="1:40" ht="12.75" customHeight="1" x14ac:dyDescent="0.2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</row>
    <row r="390" spans="1:40" ht="12.75" customHeight="1" x14ac:dyDescent="0.2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</row>
    <row r="391" spans="1:40" ht="12.75" customHeight="1" x14ac:dyDescent="0.2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</row>
    <row r="392" spans="1:40" ht="12.75" customHeight="1" x14ac:dyDescent="0.2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</row>
    <row r="393" spans="1:40" ht="12.75" customHeight="1" x14ac:dyDescent="0.2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</row>
    <row r="394" spans="1:40" ht="12.75" customHeight="1" x14ac:dyDescent="0.2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</row>
    <row r="395" spans="1:40" ht="12.75" customHeight="1" x14ac:dyDescent="0.2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</row>
    <row r="396" spans="1:40" ht="12.75" customHeight="1" x14ac:dyDescent="0.2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</row>
    <row r="397" spans="1:40" ht="12.75" customHeight="1" x14ac:dyDescent="0.2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</row>
    <row r="398" spans="1:40" ht="12.75" customHeight="1" x14ac:dyDescent="0.2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</row>
    <row r="399" spans="1:40" ht="12.75" customHeight="1" x14ac:dyDescent="0.2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</row>
    <row r="400" spans="1:40" ht="12.75" customHeight="1" x14ac:dyDescent="0.2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</row>
    <row r="401" spans="1:40" ht="12.75" customHeight="1" x14ac:dyDescent="0.2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</row>
    <row r="402" spans="1:40" ht="12.75" customHeight="1" x14ac:dyDescent="0.2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</row>
    <row r="403" spans="1:40" ht="12.75" customHeight="1" x14ac:dyDescent="0.2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</row>
    <row r="404" spans="1:40" ht="12.75" customHeight="1" x14ac:dyDescent="0.2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</row>
    <row r="405" spans="1:40" ht="12.75" customHeight="1" x14ac:dyDescent="0.2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</row>
    <row r="406" spans="1:40" ht="12.75" customHeight="1" x14ac:dyDescent="0.2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</row>
    <row r="407" spans="1:40" ht="12.75" customHeight="1" x14ac:dyDescent="0.2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</row>
    <row r="408" spans="1:40" ht="12.75" customHeight="1" x14ac:dyDescent="0.2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</row>
    <row r="409" spans="1:40" ht="12.75" customHeight="1" x14ac:dyDescent="0.2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</row>
    <row r="410" spans="1:40" ht="12.75" customHeight="1" x14ac:dyDescent="0.2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</row>
    <row r="411" spans="1:40" ht="12.75" customHeight="1" x14ac:dyDescent="0.2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</row>
    <row r="412" spans="1:40" ht="12.75" customHeight="1" x14ac:dyDescent="0.2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</row>
    <row r="413" spans="1:40" ht="12.75" customHeight="1" x14ac:dyDescent="0.2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</row>
    <row r="414" spans="1:40" ht="12.75" customHeight="1" x14ac:dyDescent="0.2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</row>
    <row r="415" spans="1:40" ht="12.75" customHeight="1" x14ac:dyDescent="0.2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</row>
    <row r="416" spans="1:40" ht="12.75" customHeight="1" x14ac:dyDescent="0.2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</row>
    <row r="417" spans="1:40" ht="12.75" customHeight="1" x14ac:dyDescent="0.2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</row>
    <row r="418" spans="1:40" ht="12.75" customHeight="1" x14ac:dyDescent="0.2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</row>
    <row r="419" spans="1:40" ht="12.75" customHeight="1" x14ac:dyDescent="0.2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</row>
    <row r="420" spans="1:40" ht="12.75" customHeight="1" x14ac:dyDescent="0.2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</row>
    <row r="421" spans="1:40" ht="12.75" customHeight="1" x14ac:dyDescent="0.2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</row>
    <row r="422" spans="1:40" ht="12.75" customHeight="1" x14ac:dyDescent="0.2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</row>
    <row r="423" spans="1:40" ht="12.75" customHeight="1" x14ac:dyDescent="0.2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</row>
    <row r="424" spans="1:40" ht="12.75" customHeight="1" x14ac:dyDescent="0.2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</row>
    <row r="425" spans="1:40" ht="12.75" customHeight="1" x14ac:dyDescent="0.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</row>
    <row r="426" spans="1:40" ht="12.75" customHeight="1" x14ac:dyDescent="0.2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</row>
    <row r="427" spans="1:40" ht="12.75" customHeight="1" x14ac:dyDescent="0.2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</row>
    <row r="428" spans="1:40" ht="12.75" customHeight="1" x14ac:dyDescent="0.2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</row>
    <row r="429" spans="1:40" ht="12.75" customHeight="1" x14ac:dyDescent="0.2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</row>
    <row r="430" spans="1:40" ht="12.75" customHeight="1" x14ac:dyDescent="0.2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</row>
    <row r="431" spans="1:40" ht="12.75" customHeight="1" x14ac:dyDescent="0.2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</row>
    <row r="432" spans="1:40" ht="12.75" customHeight="1" x14ac:dyDescent="0.2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</row>
    <row r="433" spans="1:40" ht="12.75" customHeight="1" x14ac:dyDescent="0.2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</row>
    <row r="434" spans="1:40" ht="12.75" customHeight="1" x14ac:dyDescent="0.2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</row>
    <row r="435" spans="1:40" ht="12.75" customHeight="1" x14ac:dyDescent="0.2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</row>
    <row r="436" spans="1:40" ht="12.75" customHeight="1" x14ac:dyDescent="0.2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</row>
    <row r="437" spans="1:40" ht="12.75" customHeight="1" x14ac:dyDescent="0.2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</row>
    <row r="438" spans="1:40" ht="12.75" customHeight="1" x14ac:dyDescent="0.2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</row>
    <row r="439" spans="1:40" ht="12.75" customHeight="1" x14ac:dyDescent="0.2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</row>
    <row r="440" spans="1:40" ht="12.75" customHeight="1" x14ac:dyDescent="0.2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</row>
    <row r="441" spans="1:40" ht="12.75" customHeight="1" x14ac:dyDescent="0.2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</row>
    <row r="442" spans="1:40" ht="12.75" customHeight="1" x14ac:dyDescent="0.2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</row>
    <row r="443" spans="1:40" ht="12.75" customHeight="1" x14ac:dyDescent="0.2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</row>
    <row r="444" spans="1:40" ht="12.75" customHeight="1" x14ac:dyDescent="0.2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</row>
    <row r="445" spans="1:40" ht="12.75" customHeight="1" x14ac:dyDescent="0.2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</row>
    <row r="446" spans="1:40" ht="12.75" customHeight="1" x14ac:dyDescent="0.2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</row>
    <row r="447" spans="1:40" ht="12.75" customHeight="1" x14ac:dyDescent="0.2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</row>
    <row r="448" spans="1:40" ht="12.75" customHeight="1" x14ac:dyDescent="0.2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</row>
    <row r="449" spans="1:40" ht="12.75" customHeight="1" x14ac:dyDescent="0.2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</row>
    <row r="450" spans="1:40" ht="12.75" customHeight="1" x14ac:dyDescent="0.2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</row>
    <row r="451" spans="1:40" ht="12.75" customHeight="1" x14ac:dyDescent="0.2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</row>
    <row r="452" spans="1:40" ht="12.75" customHeight="1" x14ac:dyDescent="0.2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</row>
    <row r="453" spans="1:40" ht="12.75" customHeight="1" x14ac:dyDescent="0.2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</row>
    <row r="454" spans="1:40" ht="12.75" customHeight="1" x14ac:dyDescent="0.2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</row>
    <row r="455" spans="1:40" ht="12.75" customHeight="1" x14ac:dyDescent="0.2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</row>
    <row r="456" spans="1:40" ht="12.75" customHeight="1" x14ac:dyDescent="0.2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</row>
    <row r="457" spans="1:40" ht="12.75" customHeight="1" x14ac:dyDescent="0.2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</row>
    <row r="458" spans="1:40" ht="12.75" customHeight="1" x14ac:dyDescent="0.2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</row>
    <row r="459" spans="1:40" ht="12.75" customHeight="1" x14ac:dyDescent="0.2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</row>
    <row r="460" spans="1:40" ht="12.75" customHeight="1" x14ac:dyDescent="0.2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</row>
    <row r="461" spans="1:40" ht="12.75" customHeight="1" x14ac:dyDescent="0.2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</row>
    <row r="462" spans="1:40" ht="12.75" customHeight="1" x14ac:dyDescent="0.2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</row>
    <row r="463" spans="1:40" ht="12.75" customHeight="1" x14ac:dyDescent="0.2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</row>
    <row r="464" spans="1:40" ht="12.75" customHeight="1" x14ac:dyDescent="0.2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</row>
    <row r="465" spans="1:40" ht="12.75" customHeight="1" x14ac:dyDescent="0.2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</row>
    <row r="466" spans="1:40" ht="12.75" customHeight="1" x14ac:dyDescent="0.2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</row>
    <row r="467" spans="1:40" ht="12.75" customHeight="1" x14ac:dyDescent="0.2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</row>
    <row r="468" spans="1:40" ht="12.75" customHeight="1" x14ac:dyDescent="0.2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</row>
    <row r="469" spans="1:40" ht="12.75" customHeight="1" x14ac:dyDescent="0.2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</row>
    <row r="470" spans="1:40" ht="12.75" customHeight="1" x14ac:dyDescent="0.2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</row>
    <row r="471" spans="1:40" ht="12.75" customHeight="1" x14ac:dyDescent="0.2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</row>
    <row r="472" spans="1:40" ht="12.75" customHeight="1" x14ac:dyDescent="0.2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</row>
    <row r="473" spans="1:40" ht="12.75" customHeight="1" x14ac:dyDescent="0.2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</row>
    <row r="474" spans="1:40" ht="12.75" customHeight="1" x14ac:dyDescent="0.2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</row>
    <row r="475" spans="1:40" ht="12.75" customHeight="1" x14ac:dyDescent="0.2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</row>
    <row r="476" spans="1:40" ht="12.75" customHeight="1" x14ac:dyDescent="0.2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</row>
    <row r="477" spans="1:40" ht="12.75" customHeight="1" x14ac:dyDescent="0.2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</row>
    <row r="478" spans="1:40" ht="12.75" customHeight="1" x14ac:dyDescent="0.2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</row>
    <row r="479" spans="1:40" ht="12.75" customHeight="1" x14ac:dyDescent="0.2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</row>
    <row r="480" spans="1:40" ht="12.75" customHeight="1" x14ac:dyDescent="0.2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</row>
    <row r="481" spans="1:40" ht="12.75" customHeight="1" x14ac:dyDescent="0.2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</row>
    <row r="482" spans="1:40" ht="12.75" customHeight="1" x14ac:dyDescent="0.2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</row>
    <row r="483" spans="1:40" ht="12.75" customHeight="1" x14ac:dyDescent="0.2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</row>
    <row r="484" spans="1:40" ht="12.75" customHeight="1" x14ac:dyDescent="0.2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</row>
    <row r="485" spans="1:40" ht="12.75" customHeight="1" x14ac:dyDescent="0.2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</row>
    <row r="486" spans="1:40" ht="12.75" customHeight="1" x14ac:dyDescent="0.2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</row>
    <row r="487" spans="1:40" ht="12.75" customHeight="1" x14ac:dyDescent="0.2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</row>
    <row r="488" spans="1:40" ht="12.75" customHeight="1" x14ac:dyDescent="0.2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</row>
    <row r="489" spans="1:40" ht="12.75" customHeight="1" x14ac:dyDescent="0.2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</row>
    <row r="490" spans="1:40" ht="12.75" customHeight="1" x14ac:dyDescent="0.2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</row>
    <row r="491" spans="1:40" ht="12.75" customHeight="1" x14ac:dyDescent="0.2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</row>
    <row r="492" spans="1:40" ht="12.75" customHeight="1" x14ac:dyDescent="0.2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</row>
    <row r="493" spans="1:40" ht="12.75" customHeight="1" x14ac:dyDescent="0.2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</row>
    <row r="494" spans="1:40" ht="12.75" customHeight="1" x14ac:dyDescent="0.2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</row>
    <row r="495" spans="1:40" ht="12.75" customHeight="1" x14ac:dyDescent="0.2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</row>
    <row r="496" spans="1:40" ht="12.75" customHeight="1" x14ac:dyDescent="0.2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</row>
    <row r="497" spans="1:40" ht="12.75" customHeight="1" x14ac:dyDescent="0.2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</row>
    <row r="498" spans="1:40" ht="12.75" customHeight="1" x14ac:dyDescent="0.2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</row>
    <row r="499" spans="1:40" ht="12.75" customHeight="1" x14ac:dyDescent="0.2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</row>
    <row r="500" spans="1:40" ht="12.75" customHeight="1" x14ac:dyDescent="0.2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</row>
    <row r="501" spans="1:40" ht="12.75" customHeight="1" x14ac:dyDescent="0.2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</row>
    <row r="502" spans="1:40" ht="12.75" customHeight="1" x14ac:dyDescent="0.2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</row>
    <row r="503" spans="1:40" ht="12.75" customHeight="1" x14ac:dyDescent="0.2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</row>
    <row r="504" spans="1:40" ht="12.75" customHeight="1" x14ac:dyDescent="0.2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</row>
    <row r="505" spans="1:40" ht="12.75" customHeight="1" x14ac:dyDescent="0.2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</row>
    <row r="506" spans="1:40" ht="12.75" customHeight="1" x14ac:dyDescent="0.2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</row>
    <row r="507" spans="1:40" ht="12.75" customHeight="1" x14ac:dyDescent="0.2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</row>
    <row r="508" spans="1:40" ht="12.75" customHeight="1" x14ac:dyDescent="0.2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</row>
    <row r="509" spans="1:40" ht="12.75" customHeight="1" x14ac:dyDescent="0.2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</row>
    <row r="510" spans="1:40" ht="12.75" customHeight="1" x14ac:dyDescent="0.2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</row>
    <row r="511" spans="1:40" ht="12.75" customHeight="1" x14ac:dyDescent="0.2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</row>
    <row r="512" spans="1:40" ht="12.75" customHeight="1" x14ac:dyDescent="0.2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</row>
    <row r="513" spans="1:40" ht="12.75" customHeight="1" x14ac:dyDescent="0.2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</row>
    <row r="514" spans="1:40" ht="12.75" customHeight="1" x14ac:dyDescent="0.2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</row>
    <row r="515" spans="1:40" ht="12.75" customHeight="1" x14ac:dyDescent="0.2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</row>
    <row r="516" spans="1:40" ht="12.75" customHeight="1" x14ac:dyDescent="0.2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</row>
    <row r="517" spans="1:40" ht="12.75" customHeight="1" x14ac:dyDescent="0.2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</row>
    <row r="518" spans="1:40" ht="12.75" customHeight="1" x14ac:dyDescent="0.2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</row>
    <row r="519" spans="1:40" ht="12.75" customHeight="1" x14ac:dyDescent="0.2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</row>
    <row r="520" spans="1:40" ht="12.75" customHeight="1" x14ac:dyDescent="0.2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</row>
    <row r="521" spans="1:40" ht="12.75" customHeight="1" x14ac:dyDescent="0.2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</row>
    <row r="522" spans="1:40" ht="12.75" customHeight="1" x14ac:dyDescent="0.2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</row>
    <row r="523" spans="1:40" ht="12.75" customHeight="1" x14ac:dyDescent="0.2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</row>
    <row r="524" spans="1:40" ht="12.75" customHeight="1" x14ac:dyDescent="0.2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</row>
    <row r="525" spans="1:40" ht="12.75" customHeight="1" x14ac:dyDescent="0.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</row>
    <row r="526" spans="1:40" ht="12.75" customHeight="1" x14ac:dyDescent="0.2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</row>
    <row r="527" spans="1:40" ht="12.75" customHeight="1" x14ac:dyDescent="0.2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</row>
    <row r="528" spans="1:40" ht="12.75" customHeight="1" x14ac:dyDescent="0.2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</row>
    <row r="529" spans="1:40" ht="12.75" customHeight="1" x14ac:dyDescent="0.2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</row>
    <row r="530" spans="1:40" ht="12.75" customHeight="1" x14ac:dyDescent="0.2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</row>
    <row r="531" spans="1:40" ht="12.75" customHeight="1" x14ac:dyDescent="0.2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</row>
    <row r="532" spans="1:40" ht="12.75" customHeight="1" x14ac:dyDescent="0.2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</row>
    <row r="533" spans="1:40" ht="12.75" customHeight="1" x14ac:dyDescent="0.2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</row>
    <row r="534" spans="1:40" ht="12.75" customHeight="1" x14ac:dyDescent="0.2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</row>
    <row r="535" spans="1:40" ht="12.75" customHeight="1" x14ac:dyDescent="0.2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</row>
    <row r="536" spans="1:40" ht="12.75" customHeight="1" x14ac:dyDescent="0.2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</row>
    <row r="537" spans="1:40" ht="12.75" customHeight="1" x14ac:dyDescent="0.2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</row>
    <row r="538" spans="1:40" ht="12.75" customHeight="1" x14ac:dyDescent="0.2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</row>
    <row r="539" spans="1:40" ht="12.75" customHeight="1" x14ac:dyDescent="0.2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</row>
    <row r="540" spans="1:40" ht="12.75" customHeight="1" x14ac:dyDescent="0.2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</row>
    <row r="541" spans="1:40" ht="12.75" customHeight="1" x14ac:dyDescent="0.2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</row>
    <row r="542" spans="1:40" ht="12.75" customHeight="1" x14ac:dyDescent="0.2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</row>
    <row r="543" spans="1:40" ht="12.75" customHeight="1" x14ac:dyDescent="0.2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</row>
    <row r="544" spans="1:40" ht="12.75" customHeight="1" x14ac:dyDescent="0.2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</row>
    <row r="545" spans="1:40" ht="12.75" customHeight="1" x14ac:dyDescent="0.2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</row>
    <row r="546" spans="1:40" ht="12.75" customHeight="1" x14ac:dyDescent="0.2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</row>
    <row r="547" spans="1:40" ht="12.75" customHeight="1" x14ac:dyDescent="0.2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</row>
    <row r="548" spans="1:40" ht="12.75" customHeight="1" x14ac:dyDescent="0.2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</row>
    <row r="549" spans="1:40" ht="12.75" customHeight="1" x14ac:dyDescent="0.2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</row>
    <row r="550" spans="1:40" ht="12.75" customHeight="1" x14ac:dyDescent="0.2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</row>
    <row r="551" spans="1:40" ht="12.75" customHeight="1" x14ac:dyDescent="0.2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</row>
    <row r="552" spans="1:40" ht="12.75" customHeight="1" x14ac:dyDescent="0.2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</row>
    <row r="553" spans="1:40" ht="12.75" customHeight="1" x14ac:dyDescent="0.2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</row>
    <row r="554" spans="1:40" ht="12.75" customHeight="1" x14ac:dyDescent="0.2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</row>
    <row r="555" spans="1:40" ht="12.75" customHeight="1" x14ac:dyDescent="0.2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</row>
    <row r="556" spans="1:40" ht="12.75" customHeight="1" x14ac:dyDescent="0.2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</row>
    <row r="557" spans="1:40" ht="12.75" customHeight="1" x14ac:dyDescent="0.2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</row>
    <row r="558" spans="1:40" ht="12.75" customHeight="1" x14ac:dyDescent="0.2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</row>
    <row r="559" spans="1:40" ht="12.75" customHeight="1" x14ac:dyDescent="0.2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</row>
    <row r="560" spans="1:40" ht="12.75" customHeight="1" x14ac:dyDescent="0.2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</row>
    <row r="561" spans="1:40" ht="12.75" customHeight="1" x14ac:dyDescent="0.2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</row>
    <row r="562" spans="1:40" ht="12.75" customHeight="1" x14ac:dyDescent="0.2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</row>
    <row r="563" spans="1:40" ht="12.75" customHeight="1" x14ac:dyDescent="0.2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</row>
    <row r="564" spans="1:40" ht="12.75" customHeight="1" x14ac:dyDescent="0.2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</row>
    <row r="565" spans="1:40" ht="12.75" customHeight="1" x14ac:dyDescent="0.2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</row>
    <row r="566" spans="1:40" ht="12.75" customHeight="1" x14ac:dyDescent="0.2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</row>
    <row r="567" spans="1:40" ht="12.75" customHeight="1" x14ac:dyDescent="0.2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</row>
    <row r="568" spans="1:40" ht="12.75" customHeight="1" x14ac:dyDescent="0.2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</row>
    <row r="569" spans="1:40" ht="12.75" customHeight="1" x14ac:dyDescent="0.2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</row>
    <row r="570" spans="1:40" ht="12.75" customHeight="1" x14ac:dyDescent="0.2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</row>
    <row r="571" spans="1:40" ht="12.75" customHeight="1" x14ac:dyDescent="0.2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</row>
    <row r="572" spans="1:40" ht="12.75" customHeight="1" x14ac:dyDescent="0.2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</row>
    <row r="573" spans="1:40" ht="12.75" customHeight="1" x14ac:dyDescent="0.2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</row>
    <row r="574" spans="1:40" ht="12.75" customHeight="1" x14ac:dyDescent="0.2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</row>
    <row r="575" spans="1:40" ht="12.75" customHeight="1" x14ac:dyDescent="0.2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</row>
    <row r="576" spans="1:40" ht="12.75" customHeight="1" x14ac:dyDescent="0.2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</row>
    <row r="577" spans="1:40" ht="12.75" customHeight="1" x14ac:dyDescent="0.2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</row>
    <row r="578" spans="1:40" ht="12.75" customHeight="1" x14ac:dyDescent="0.2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</row>
    <row r="579" spans="1:40" ht="12.75" customHeight="1" x14ac:dyDescent="0.2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</row>
    <row r="580" spans="1:40" ht="12.75" customHeight="1" x14ac:dyDescent="0.2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</row>
    <row r="581" spans="1:40" ht="12.75" customHeight="1" x14ac:dyDescent="0.2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</row>
    <row r="582" spans="1:40" ht="12.75" customHeight="1" x14ac:dyDescent="0.2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</row>
    <row r="583" spans="1:40" ht="12.75" customHeight="1" x14ac:dyDescent="0.2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</row>
    <row r="584" spans="1:40" ht="12.75" customHeight="1" x14ac:dyDescent="0.2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</row>
    <row r="585" spans="1:40" ht="12.75" customHeight="1" x14ac:dyDescent="0.2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</row>
    <row r="586" spans="1:40" ht="12.75" customHeight="1" x14ac:dyDescent="0.2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</row>
    <row r="587" spans="1:40" ht="12.75" customHeight="1" x14ac:dyDescent="0.2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</row>
    <row r="588" spans="1:40" ht="12.75" customHeight="1" x14ac:dyDescent="0.2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</row>
    <row r="589" spans="1:40" ht="12.75" customHeight="1" x14ac:dyDescent="0.2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</row>
    <row r="590" spans="1:40" ht="12.75" customHeight="1" x14ac:dyDescent="0.2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</row>
    <row r="591" spans="1:40" ht="12.75" customHeight="1" x14ac:dyDescent="0.2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</row>
    <row r="592" spans="1:40" ht="12.75" customHeight="1" x14ac:dyDescent="0.2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</row>
    <row r="593" spans="1:40" ht="12.75" customHeight="1" x14ac:dyDescent="0.2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</row>
    <row r="594" spans="1:40" ht="12.75" customHeight="1" x14ac:dyDescent="0.2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</row>
    <row r="595" spans="1:40" ht="12.75" customHeight="1" x14ac:dyDescent="0.2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</row>
    <row r="596" spans="1:40" ht="12.75" customHeight="1" x14ac:dyDescent="0.2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</row>
    <row r="597" spans="1:40" ht="12.75" customHeight="1" x14ac:dyDescent="0.2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</row>
    <row r="598" spans="1:40" ht="12.75" customHeight="1" x14ac:dyDescent="0.2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</row>
    <row r="599" spans="1:40" ht="12.75" customHeight="1" x14ac:dyDescent="0.2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</row>
    <row r="600" spans="1:40" ht="12.75" customHeight="1" x14ac:dyDescent="0.2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</row>
    <row r="601" spans="1:40" ht="12.75" customHeight="1" x14ac:dyDescent="0.2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</row>
    <row r="602" spans="1:40" ht="12.75" customHeight="1" x14ac:dyDescent="0.2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</row>
    <row r="603" spans="1:40" ht="12.75" customHeight="1" x14ac:dyDescent="0.2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</row>
    <row r="604" spans="1:40" ht="12.75" customHeight="1" x14ac:dyDescent="0.2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</row>
    <row r="605" spans="1:40" ht="12.75" customHeight="1" x14ac:dyDescent="0.2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</row>
    <row r="606" spans="1:40" ht="12.75" customHeight="1" x14ac:dyDescent="0.2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</row>
    <row r="607" spans="1:40" ht="12.75" customHeight="1" x14ac:dyDescent="0.2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</row>
    <row r="608" spans="1:40" ht="12.75" customHeight="1" x14ac:dyDescent="0.2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</row>
    <row r="609" spans="1:40" ht="12.75" customHeight="1" x14ac:dyDescent="0.2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</row>
    <row r="610" spans="1:40" ht="12.75" customHeight="1" x14ac:dyDescent="0.2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</row>
    <row r="611" spans="1:40" ht="12.75" customHeight="1" x14ac:dyDescent="0.2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</row>
    <row r="612" spans="1:40" ht="12.75" customHeight="1" x14ac:dyDescent="0.2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</row>
    <row r="613" spans="1:40" ht="12.75" customHeight="1" x14ac:dyDescent="0.2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</row>
    <row r="614" spans="1:40" ht="12.75" customHeight="1" x14ac:dyDescent="0.2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</row>
    <row r="615" spans="1:40" ht="12.75" customHeight="1" x14ac:dyDescent="0.2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</row>
    <row r="616" spans="1:40" ht="12.75" customHeight="1" x14ac:dyDescent="0.2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</row>
    <row r="617" spans="1:40" ht="12.75" customHeight="1" x14ac:dyDescent="0.2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</row>
    <row r="618" spans="1:40" ht="12.75" customHeight="1" x14ac:dyDescent="0.2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</row>
    <row r="619" spans="1:40" ht="12.75" customHeight="1" x14ac:dyDescent="0.2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</row>
    <row r="620" spans="1:40" ht="12.75" customHeight="1" x14ac:dyDescent="0.2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</row>
    <row r="621" spans="1:40" ht="12.75" customHeight="1" x14ac:dyDescent="0.2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</row>
    <row r="622" spans="1:40" ht="12.75" customHeight="1" x14ac:dyDescent="0.2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</row>
    <row r="623" spans="1:40" ht="12.75" customHeight="1" x14ac:dyDescent="0.2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</row>
    <row r="624" spans="1:40" ht="12.75" customHeight="1" x14ac:dyDescent="0.2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</row>
    <row r="625" spans="1:40" ht="12.75" customHeight="1" x14ac:dyDescent="0.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</row>
    <row r="626" spans="1:40" ht="12.75" customHeight="1" x14ac:dyDescent="0.2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</row>
    <row r="627" spans="1:40" ht="12.75" customHeight="1" x14ac:dyDescent="0.2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</row>
    <row r="628" spans="1:40" ht="12.75" customHeight="1" x14ac:dyDescent="0.2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</row>
    <row r="629" spans="1:40" ht="12.75" customHeight="1" x14ac:dyDescent="0.2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</row>
    <row r="630" spans="1:40" ht="12.75" customHeight="1" x14ac:dyDescent="0.2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</row>
    <row r="631" spans="1:40" ht="12.75" customHeight="1" x14ac:dyDescent="0.2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</row>
    <row r="632" spans="1:40" ht="12.75" customHeight="1" x14ac:dyDescent="0.2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</row>
    <row r="633" spans="1:40" ht="12.75" customHeight="1" x14ac:dyDescent="0.2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</row>
    <row r="634" spans="1:40" ht="12.75" customHeight="1" x14ac:dyDescent="0.2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</row>
    <row r="635" spans="1:40" ht="12.75" customHeight="1" x14ac:dyDescent="0.2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</row>
    <row r="636" spans="1:40" ht="12.75" customHeight="1" x14ac:dyDescent="0.2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</row>
    <row r="637" spans="1:40" ht="12.75" customHeight="1" x14ac:dyDescent="0.2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</row>
    <row r="638" spans="1:40" ht="12.75" customHeight="1" x14ac:dyDescent="0.2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</row>
    <row r="639" spans="1:40" ht="12.75" customHeight="1" x14ac:dyDescent="0.2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</row>
    <row r="640" spans="1:40" ht="12.75" customHeight="1" x14ac:dyDescent="0.2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</row>
    <row r="641" spans="1:40" ht="12.75" customHeight="1" x14ac:dyDescent="0.2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</row>
    <row r="642" spans="1:40" ht="12.75" customHeight="1" x14ac:dyDescent="0.2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</row>
    <row r="643" spans="1:40" ht="12.75" customHeight="1" x14ac:dyDescent="0.2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</row>
    <row r="644" spans="1:40" ht="12.75" customHeight="1" x14ac:dyDescent="0.2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</row>
    <row r="645" spans="1:40" ht="12.75" customHeight="1" x14ac:dyDescent="0.2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</row>
    <row r="646" spans="1:40" ht="12.75" customHeight="1" x14ac:dyDescent="0.2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</row>
    <row r="647" spans="1:40" ht="12.75" customHeight="1" x14ac:dyDescent="0.2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</row>
    <row r="648" spans="1:40" ht="12.75" customHeight="1" x14ac:dyDescent="0.2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</row>
    <row r="649" spans="1:40" ht="12.75" customHeight="1" x14ac:dyDescent="0.2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</row>
    <row r="650" spans="1:40" ht="12.75" customHeight="1" x14ac:dyDescent="0.2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</row>
    <row r="651" spans="1:40" ht="12.75" customHeight="1" x14ac:dyDescent="0.2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</row>
    <row r="652" spans="1:40" ht="12.75" customHeight="1" x14ac:dyDescent="0.2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</row>
    <row r="653" spans="1:40" ht="12.75" customHeight="1" x14ac:dyDescent="0.2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</row>
    <row r="654" spans="1:40" ht="12.75" customHeight="1" x14ac:dyDescent="0.2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</row>
    <row r="655" spans="1:40" ht="12.75" customHeight="1" x14ac:dyDescent="0.2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</row>
    <row r="656" spans="1:40" ht="12.75" customHeight="1" x14ac:dyDescent="0.2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</row>
    <row r="657" spans="1:40" ht="12.75" customHeight="1" x14ac:dyDescent="0.2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</row>
    <row r="658" spans="1:40" ht="12.75" customHeight="1" x14ac:dyDescent="0.2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</row>
    <row r="659" spans="1:40" ht="12.75" customHeight="1" x14ac:dyDescent="0.2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</row>
    <row r="660" spans="1:40" ht="12.75" customHeight="1" x14ac:dyDescent="0.2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</row>
    <row r="661" spans="1:40" ht="12.75" customHeight="1" x14ac:dyDescent="0.2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</row>
    <row r="662" spans="1:40" ht="12.75" customHeight="1" x14ac:dyDescent="0.2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</row>
    <row r="663" spans="1:40" ht="12.75" customHeight="1" x14ac:dyDescent="0.2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</row>
    <row r="664" spans="1:40" ht="12.75" customHeight="1" x14ac:dyDescent="0.2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</row>
    <row r="665" spans="1:40" ht="12.75" customHeight="1" x14ac:dyDescent="0.2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</row>
    <row r="666" spans="1:40" ht="12.75" customHeight="1" x14ac:dyDescent="0.2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</row>
    <row r="667" spans="1:40" ht="12.75" customHeight="1" x14ac:dyDescent="0.2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</row>
    <row r="668" spans="1:40" ht="12.75" customHeight="1" x14ac:dyDescent="0.2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</row>
    <row r="669" spans="1:40" ht="12.75" customHeight="1" x14ac:dyDescent="0.2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</row>
    <row r="670" spans="1:40" ht="12.75" customHeight="1" x14ac:dyDescent="0.2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</row>
    <row r="671" spans="1:40" ht="12.75" customHeight="1" x14ac:dyDescent="0.2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</row>
    <row r="672" spans="1:40" ht="12.75" customHeight="1" x14ac:dyDescent="0.2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</row>
    <row r="673" spans="1:40" ht="12.75" customHeight="1" x14ac:dyDescent="0.2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</row>
    <row r="674" spans="1:40" ht="12.75" customHeight="1" x14ac:dyDescent="0.2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</row>
    <row r="675" spans="1:40" ht="12.75" customHeight="1" x14ac:dyDescent="0.2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</row>
    <row r="676" spans="1:40" ht="12.75" customHeight="1" x14ac:dyDescent="0.2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</row>
    <row r="677" spans="1:40" ht="12.75" customHeight="1" x14ac:dyDescent="0.2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</row>
    <row r="678" spans="1:40" ht="12.75" customHeight="1" x14ac:dyDescent="0.2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</row>
    <row r="679" spans="1:40" ht="12.75" customHeight="1" x14ac:dyDescent="0.2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</row>
    <row r="680" spans="1:40" ht="12.75" customHeight="1" x14ac:dyDescent="0.2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</row>
    <row r="681" spans="1:40" ht="12.75" customHeight="1" x14ac:dyDescent="0.2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</row>
    <row r="682" spans="1:40" ht="12.75" customHeight="1" x14ac:dyDescent="0.2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</row>
    <row r="683" spans="1:40" ht="12.75" customHeight="1" x14ac:dyDescent="0.2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</row>
    <row r="684" spans="1:40" ht="12.75" customHeight="1" x14ac:dyDescent="0.2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</row>
    <row r="685" spans="1:40" ht="12.75" customHeight="1" x14ac:dyDescent="0.2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</row>
    <row r="686" spans="1:40" ht="12.75" customHeight="1" x14ac:dyDescent="0.2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</row>
    <row r="687" spans="1:40" ht="12.75" customHeight="1" x14ac:dyDescent="0.2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</row>
    <row r="688" spans="1:40" ht="12.75" customHeight="1" x14ac:dyDescent="0.2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</row>
    <row r="689" spans="1:40" ht="12.75" customHeight="1" x14ac:dyDescent="0.2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</row>
    <row r="690" spans="1:40" ht="12.75" customHeight="1" x14ac:dyDescent="0.2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</row>
    <row r="691" spans="1:40" ht="12.75" customHeight="1" x14ac:dyDescent="0.2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</row>
    <row r="692" spans="1:40" ht="12.75" customHeight="1" x14ac:dyDescent="0.2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</row>
    <row r="693" spans="1:40" ht="12.75" customHeight="1" x14ac:dyDescent="0.2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</row>
    <row r="694" spans="1:40" ht="12.75" customHeight="1" x14ac:dyDescent="0.2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</row>
    <row r="695" spans="1:40" ht="12.75" customHeight="1" x14ac:dyDescent="0.2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</row>
    <row r="696" spans="1:40" ht="12.75" customHeight="1" x14ac:dyDescent="0.2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</row>
    <row r="697" spans="1:40" ht="12.75" customHeight="1" x14ac:dyDescent="0.2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</row>
    <row r="698" spans="1:40" ht="12.75" customHeight="1" x14ac:dyDescent="0.2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</row>
    <row r="699" spans="1:40" ht="12.75" customHeight="1" x14ac:dyDescent="0.2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</row>
    <row r="700" spans="1:40" ht="12.75" customHeight="1" x14ac:dyDescent="0.2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</row>
    <row r="701" spans="1:40" ht="12.75" customHeight="1" x14ac:dyDescent="0.2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</row>
    <row r="702" spans="1:40" ht="12.75" customHeight="1" x14ac:dyDescent="0.2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</row>
    <row r="703" spans="1:40" ht="12.75" customHeight="1" x14ac:dyDescent="0.2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</row>
    <row r="704" spans="1:40" ht="12.75" customHeight="1" x14ac:dyDescent="0.2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</row>
    <row r="705" spans="1:40" ht="12.75" customHeight="1" x14ac:dyDescent="0.2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</row>
    <row r="706" spans="1:40" ht="12.75" customHeight="1" x14ac:dyDescent="0.2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</row>
    <row r="707" spans="1:40" ht="12.75" customHeight="1" x14ac:dyDescent="0.2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</row>
    <row r="708" spans="1:40" ht="12.75" customHeight="1" x14ac:dyDescent="0.2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</row>
    <row r="709" spans="1:40" ht="12.75" customHeight="1" x14ac:dyDescent="0.2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</row>
    <row r="710" spans="1:40" ht="12.75" customHeight="1" x14ac:dyDescent="0.2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</row>
    <row r="711" spans="1:40" ht="12.75" customHeight="1" x14ac:dyDescent="0.2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</row>
    <row r="712" spans="1:40" ht="12.75" customHeight="1" x14ac:dyDescent="0.2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</row>
    <row r="713" spans="1:40" ht="12.75" customHeight="1" x14ac:dyDescent="0.2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</row>
    <row r="714" spans="1:40" ht="12.75" customHeight="1" x14ac:dyDescent="0.2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</row>
    <row r="715" spans="1:40" ht="12.75" customHeight="1" x14ac:dyDescent="0.2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</row>
    <row r="716" spans="1:40" ht="12.75" customHeight="1" x14ac:dyDescent="0.2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</row>
    <row r="717" spans="1:40" ht="12.75" customHeight="1" x14ac:dyDescent="0.2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</row>
    <row r="718" spans="1:40" ht="12.75" customHeight="1" x14ac:dyDescent="0.2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</row>
    <row r="719" spans="1:40" ht="12.75" customHeight="1" x14ac:dyDescent="0.2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</row>
    <row r="720" spans="1:40" ht="12.75" customHeight="1" x14ac:dyDescent="0.2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</row>
    <row r="721" spans="1:40" ht="12.75" customHeight="1" x14ac:dyDescent="0.2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</row>
    <row r="722" spans="1:40" ht="12.75" customHeight="1" x14ac:dyDescent="0.2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</row>
    <row r="723" spans="1:40" ht="12.75" customHeight="1" x14ac:dyDescent="0.2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</row>
    <row r="724" spans="1:40" ht="12.75" customHeight="1" x14ac:dyDescent="0.2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</row>
    <row r="725" spans="1:40" ht="12.75" customHeight="1" x14ac:dyDescent="0.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</row>
    <row r="726" spans="1:40" ht="12.75" customHeight="1" x14ac:dyDescent="0.2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</row>
    <row r="727" spans="1:40" ht="12.75" customHeight="1" x14ac:dyDescent="0.2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</row>
    <row r="728" spans="1:40" ht="12.75" customHeight="1" x14ac:dyDescent="0.2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</row>
    <row r="729" spans="1:40" ht="12.75" customHeight="1" x14ac:dyDescent="0.2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</row>
    <row r="730" spans="1:40" ht="12.75" customHeight="1" x14ac:dyDescent="0.2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</row>
    <row r="731" spans="1:40" ht="12.75" customHeight="1" x14ac:dyDescent="0.2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</row>
    <row r="732" spans="1:40" ht="12.75" customHeight="1" x14ac:dyDescent="0.2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</row>
    <row r="733" spans="1:40" ht="12.75" customHeight="1" x14ac:dyDescent="0.2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</row>
    <row r="734" spans="1:40" ht="12.75" customHeight="1" x14ac:dyDescent="0.2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</row>
    <row r="735" spans="1:40" ht="12.75" customHeight="1" x14ac:dyDescent="0.2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</row>
    <row r="736" spans="1:40" ht="12.75" customHeight="1" x14ac:dyDescent="0.2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</row>
    <row r="737" spans="1:40" ht="12.75" customHeight="1" x14ac:dyDescent="0.2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</row>
    <row r="738" spans="1:40" ht="12.75" customHeight="1" x14ac:dyDescent="0.2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</row>
    <row r="739" spans="1:40" ht="12.75" customHeight="1" x14ac:dyDescent="0.2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</row>
    <row r="740" spans="1:40" ht="12.75" customHeight="1" x14ac:dyDescent="0.2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</row>
    <row r="741" spans="1:40" ht="12.75" customHeight="1" x14ac:dyDescent="0.2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</row>
    <row r="742" spans="1:40" ht="12.75" customHeight="1" x14ac:dyDescent="0.2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</row>
    <row r="743" spans="1:40" ht="12.75" customHeight="1" x14ac:dyDescent="0.2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</row>
    <row r="744" spans="1:40" ht="12.75" customHeight="1" x14ac:dyDescent="0.2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</row>
    <row r="745" spans="1:40" ht="12.75" customHeight="1" x14ac:dyDescent="0.2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</row>
    <row r="746" spans="1:40" ht="12.75" customHeight="1" x14ac:dyDescent="0.2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</row>
    <row r="747" spans="1:40" ht="12.75" customHeight="1" x14ac:dyDescent="0.2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</row>
    <row r="748" spans="1:40" ht="12.75" customHeight="1" x14ac:dyDescent="0.2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</row>
    <row r="749" spans="1:40" ht="12.75" customHeight="1" x14ac:dyDescent="0.2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</row>
    <row r="750" spans="1:40" ht="12.75" customHeight="1" x14ac:dyDescent="0.2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</row>
    <row r="751" spans="1:40" ht="12.75" customHeight="1" x14ac:dyDescent="0.2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</row>
    <row r="752" spans="1:40" ht="12.75" customHeight="1" x14ac:dyDescent="0.2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</row>
    <row r="753" spans="1:40" ht="12.75" customHeight="1" x14ac:dyDescent="0.2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</row>
    <row r="754" spans="1:40" ht="12.75" customHeight="1" x14ac:dyDescent="0.2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</row>
    <row r="755" spans="1:40" ht="12.75" customHeight="1" x14ac:dyDescent="0.2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</row>
    <row r="756" spans="1:40" ht="12.75" customHeight="1" x14ac:dyDescent="0.2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</row>
    <row r="757" spans="1:40" ht="12.75" customHeight="1" x14ac:dyDescent="0.2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</row>
    <row r="758" spans="1:40" ht="12.75" customHeight="1" x14ac:dyDescent="0.2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</row>
    <row r="759" spans="1:40" ht="12.75" customHeight="1" x14ac:dyDescent="0.2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</row>
    <row r="760" spans="1:40" ht="12.75" customHeight="1" x14ac:dyDescent="0.2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</row>
    <row r="761" spans="1:40" ht="12.75" customHeight="1" x14ac:dyDescent="0.2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</row>
    <row r="762" spans="1:40" ht="12.75" customHeight="1" x14ac:dyDescent="0.2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</row>
    <row r="763" spans="1:40" ht="12.75" customHeight="1" x14ac:dyDescent="0.2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</row>
    <row r="764" spans="1:40" ht="12.75" customHeight="1" x14ac:dyDescent="0.2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</row>
    <row r="765" spans="1:40" ht="12.75" customHeight="1" x14ac:dyDescent="0.2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</row>
    <row r="766" spans="1:40" ht="12.75" customHeight="1" x14ac:dyDescent="0.2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</row>
    <row r="767" spans="1:40" ht="12.75" customHeight="1" x14ac:dyDescent="0.2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</row>
    <row r="768" spans="1:40" ht="12.75" customHeight="1" x14ac:dyDescent="0.2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</row>
    <row r="769" spans="1:40" ht="12.75" customHeight="1" x14ac:dyDescent="0.2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</row>
    <row r="770" spans="1:40" ht="12.75" customHeight="1" x14ac:dyDescent="0.2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</row>
    <row r="771" spans="1:40" ht="12.75" customHeight="1" x14ac:dyDescent="0.2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</row>
    <row r="772" spans="1:40" ht="12.75" customHeight="1" x14ac:dyDescent="0.2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</row>
    <row r="773" spans="1:40" ht="12.75" customHeight="1" x14ac:dyDescent="0.2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</row>
    <row r="774" spans="1:40" ht="12.75" customHeight="1" x14ac:dyDescent="0.2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</row>
    <row r="775" spans="1:40" ht="12.75" customHeight="1" x14ac:dyDescent="0.2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</row>
    <row r="776" spans="1:40" ht="12.75" customHeight="1" x14ac:dyDescent="0.2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</row>
    <row r="777" spans="1:40" ht="12.75" customHeight="1" x14ac:dyDescent="0.2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</row>
    <row r="778" spans="1:40" ht="12.75" customHeight="1" x14ac:dyDescent="0.2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</row>
    <row r="779" spans="1:40" ht="12.75" customHeight="1" x14ac:dyDescent="0.2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</row>
    <row r="780" spans="1:40" ht="12.75" customHeight="1" x14ac:dyDescent="0.2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</row>
    <row r="781" spans="1:40" ht="12.75" customHeight="1" x14ac:dyDescent="0.2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</row>
    <row r="782" spans="1:40" ht="12.75" customHeight="1" x14ac:dyDescent="0.2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</row>
    <row r="783" spans="1:40" ht="12.75" customHeight="1" x14ac:dyDescent="0.2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</row>
    <row r="784" spans="1:40" ht="12.75" customHeight="1" x14ac:dyDescent="0.2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</row>
    <row r="785" spans="1:40" ht="12.75" customHeight="1" x14ac:dyDescent="0.2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</row>
    <row r="786" spans="1:40" ht="12.75" customHeight="1" x14ac:dyDescent="0.2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</row>
    <row r="787" spans="1:40" ht="12.75" customHeight="1" x14ac:dyDescent="0.2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</row>
    <row r="788" spans="1:40" ht="12.75" customHeight="1" x14ac:dyDescent="0.2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</row>
    <row r="789" spans="1:40" ht="12.75" customHeight="1" x14ac:dyDescent="0.2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</row>
    <row r="790" spans="1:40" ht="12.75" customHeight="1" x14ac:dyDescent="0.2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</row>
    <row r="791" spans="1:40" ht="12.75" customHeight="1" x14ac:dyDescent="0.2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</row>
    <row r="792" spans="1:40" ht="12.75" customHeight="1" x14ac:dyDescent="0.2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</row>
    <row r="793" spans="1:40" ht="12.75" customHeight="1" x14ac:dyDescent="0.2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</row>
    <row r="794" spans="1:40" ht="12.75" customHeight="1" x14ac:dyDescent="0.2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</row>
    <row r="795" spans="1:40" ht="12.75" customHeight="1" x14ac:dyDescent="0.2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</row>
    <row r="796" spans="1:40" ht="12.75" customHeight="1" x14ac:dyDescent="0.2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</row>
    <row r="797" spans="1:40" ht="12.75" customHeight="1" x14ac:dyDescent="0.2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</row>
    <row r="798" spans="1:40" ht="12.75" customHeight="1" x14ac:dyDescent="0.2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</row>
    <row r="799" spans="1:40" ht="12.75" customHeight="1" x14ac:dyDescent="0.2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</row>
    <row r="800" spans="1:40" ht="12.75" customHeight="1" x14ac:dyDescent="0.2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</row>
    <row r="801" spans="1:40" ht="12.75" customHeight="1" x14ac:dyDescent="0.2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</row>
    <row r="802" spans="1:40" ht="12.75" customHeight="1" x14ac:dyDescent="0.2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</row>
    <row r="803" spans="1:40" ht="12.75" customHeight="1" x14ac:dyDescent="0.2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</row>
    <row r="804" spans="1:40" ht="12.75" customHeight="1" x14ac:dyDescent="0.2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</row>
    <row r="805" spans="1:40" ht="12.75" customHeight="1" x14ac:dyDescent="0.2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</row>
    <row r="806" spans="1:40" ht="12.75" customHeight="1" x14ac:dyDescent="0.2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</row>
    <row r="807" spans="1:40" ht="12.75" customHeight="1" x14ac:dyDescent="0.2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</row>
    <row r="808" spans="1:40" ht="12.75" customHeight="1" x14ac:dyDescent="0.2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</row>
    <row r="809" spans="1:40" ht="12.75" customHeight="1" x14ac:dyDescent="0.2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</row>
    <row r="810" spans="1:40" ht="12.75" customHeight="1" x14ac:dyDescent="0.2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</row>
    <row r="811" spans="1:40" ht="12.75" customHeight="1" x14ac:dyDescent="0.2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</row>
    <row r="812" spans="1:40" ht="12.75" customHeight="1" x14ac:dyDescent="0.2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</row>
    <row r="813" spans="1:40" ht="12.75" customHeight="1" x14ac:dyDescent="0.2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</row>
    <row r="814" spans="1:40" ht="12.75" customHeight="1" x14ac:dyDescent="0.2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</row>
    <row r="815" spans="1:40" ht="12.75" customHeight="1" x14ac:dyDescent="0.2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</row>
    <row r="816" spans="1:40" ht="12.75" customHeight="1" x14ac:dyDescent="0.2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</row>
    <row r="817" spans="1:40" ht="12.75" customHeight="1" x14ac:dyDescent="0.2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</row>
    <row r="818" spans="1:40" ht="12.75" customHeight="1" x14ac:dyDescent="0.2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</row>
    <row r="819" spans="1:40" ht="12.75" customHeight="1" x14ac:dyDescent="0.2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</row>
    <row r="820" spans="1:40" ht="12.75" customHeight="1" x14ac:dyDescent="0.2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</row>
    <row r="821" spans="1:40" ht="12.75" customHeight="1" x14ac:dyDescent="0.2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</row>
    <row r="822" spans="1:40" ht="12.75" customHeight="1" x14ac:dyDescent="0.2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</row>
    <row r="823" spans="1:40" ht="12.75" customHeight="1" x14ac:dyDescent="0.2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</row>
    <row r="824" spans="1:40" ht="12.75" customHeight="1" x14ac:dyDescent="0.2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</row>
    <row r="825" spans="1:40" ht="12.75" customHeight="1" x14ac:dyDescent="0.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</row>
    <row r="826" spans="1:40" ht="12.75" customHeight="1" x14ac:dyDescent="0.2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</row>
    <row r="827" spans="1:40" ht="12.75" customHeight="1" x14ac:dyDescent="0.2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</row>
    <row r="828" spans="1:40" ht="12.75" customHeight="1" x14ac:dyDescent="0.2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</row>
    <row r="829" spans="1:40" ht="12.75" customHeight="1" x14ac:dyDescent="0.2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</row>
    <row r="830" spans="1:40" ht="12.75" customHeight="1" x14ac:dyDescent="0.2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</row>
    <row r="831" spans="1:40" ht="12.75" customHeight="1" x14ac:dyDescent="0.2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</row>
    <row r="832" spans="1:40" ht="12.75" customHeight="1" x14ac:dyDescent="0.2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</row>
    <row r="833" spans="1:40" ht="12.75" customHeight="1" x14ac:dyDescent="0.2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</row>
    <row r="834" spans="1:40" ht="12.75" customHeight="1" x14ac:dyDescent="0.2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</row>
    <row r="835" spans="1:40" ht="12.75" customHeight="1" x14ac:dyDescent="0.2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</row>
    <row r="836" spans="1:40" ht="12.75" customHeight="1" x14ac:dyDescent="0.2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</row>
    <row r="837" spans="1:40" ht="12.75" customHeight="1" x14ac:dyDescent="0.2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</row>
    <row r="838" spans="1:40" ht="12.75" customHeight="1" x14ac:dyDescent="0.2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</row>
    <row r="839" spans="1:40" ht="12.75" customHeight="1" x14ac:dyDescent="0.2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</row>
    <row r="840" spans="1:40" ht="12.75" customHeight="1" x14ac:dyDescent="0.2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</row>
    <row r="841" spans="1:40" ht="12.75" customHeight="1" x14ac:dyDescent="0.2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</row>
    <row r="842" spans="1:40" ht="12.75" customHeight="1" x14ac:dyDescent="0.2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</row>
    <row r="843" spans="1:40" ht="12.75" customHeight="1" x14ac:dyDescent="0.2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</row>
    <row r="844" spans="1:40" ht="12.75" customHeight="1" x14ac:dyDescent="0.2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</row>
    <row r="845" spans="1:40" ht="12.75" customHeight="1" x14ac:dyDescent="0.2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</row>
    <row r="846" spans="1:40" ht="12.75" customHeight="1" x14ac:dyDescent="0.2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</row>
    <row r="847" spans="1:40" ht="12.75" customHeight="1" x14ac:dyDescent="0.2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</row>
    <row r="848" spans="1:40" ht="12.75" customHeight="1" x14ac:dyDescent="0.2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</row>
    <row r="849" spans="1:40" ht="12.75" customHeight="1" x14ac:dyDescent="0.2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</row>
    <row r="850" spans="1:40" ht="12.75" customHeight="1" x14ac:dyDescent="0.2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</row>
    <row r="851" spans="1:40" ht="12.75" customHeight="1" x14ac:dyDescent="0.2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</row>
    <row r="852" spans="1:40" ht="12.75" customHeight="1" x14ac:dyDescent="0.2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</row>
    <row r="853" spans="1:40" ht="12.75" customHeight="1" x14ac:dyDescent="0.2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</row>
    <row r="854" spans="1:40" ht="12.75" customHeight="1" x14ac:dyDescent="0.2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</row>
    <row r="855" spans="1:40" ht="12.75" customHeight="1" x14ac:dyDescent="0.2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</row>
    <row r="856" spans="1:40" ht="12.75" customHeight="1" x14ac:dyDescent="0.2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</row>
    <row r="857" spans="1:40" ht="12.75" customHeight="1" x14ac:dyDescent="0.2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</row>
    <row r="858" spans="1:40" ht="12.75" customHeight="1" x14ac:dyDescent="0.2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</row>
    <row r="859" spans="1:40" ht="12.75" customHeight="1" x14ac:dyDescent="0.2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</row>
    <row r="860" spans="1:40" ht="12.75" customHeight="1" x14ac:dyDescent="0.2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</row>
    <row r="861" spans="1:40" ht="12.75" customHeight="1" x14ac:dyDescent="0.2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</row>
    <row r="862" spans="1:40" ht="12.75" customHeight="1" x14ac:dyDescent="0.2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</row>
    <row r="863" spans="1:40" ht="12.75" customHeight="1" x14ac:dyDescent="0.2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</row>
    <row r="864" spans="1:40" ht="12.75" customHeight="1" x14ac:dyDescent="0.2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</row>
    <row r="865" spans="1:40" ht="12.75" customHeight="1" x14ac:dyDescent="0.2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</row>
    <row r="866" spans="1:40" ht="12.75" customHeight="1" x14ac:dyDescent="0.2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</row>
    <row r="867" spans="1:40" ht="12.75" customHeight="1" x14ac:dyDescent="0.2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</row>
    <row r="868" spans="1:40" ht="12.75" customHeight="1" x14ac:dyDescent="0.2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</row>
    <row r="869" spans="1:40" ht="12.75" customHeight="1" x14ac:dyDescent="0.2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</row>
    <row r="870" spans="1:40" ht="12.75" customHeight="1" x14ac:dyDescent="0.2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</row>
    <row r="871" spans="1:40" ht="12.75" customHeight="1" x14ac:dyDescent="0.2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</row>
    <row r="872" spans="1:40" ht="12.75" customHeight="1" x14ac:dyDescent="0.2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</row>
    <row r="873" spans="1:40" ht="12.75" customHeight="1" x14ac:dyDescent="0.2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</row>
    <row r="874" spans="1:40" ht="12.75" customHeight="1" x14ac:dyDescent="0.2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</row>
    <row r="875" spans="1:40" ht="12.75" customHeight="1" x14ac:dyDescent="0.2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</row>
    <row r="876" spans="1:40" ht="12.75" customHeight="1" x14ac:dyDescent="0.2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</row>
    <row r="877" spans="1:40" ht="12.75" customHeight="1" x14ac:dyDescent="0.2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</row>
    <row r="878" spans="1:40" ht="12.75" customHeight="1" x14ac:dyDescent="0.2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</row>
    <row r="879" spans="1:40" ht="12.75" customHeight="1" x14ac:dyDescent="0.2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</row>
    <row r="880" spans="1:40" ht="12.75" customHeight="1" x14ac:dyDescent="0.2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</row>
    <row r="881" spans="1:40" ht="12.75" customHeight="1" x14ac:dyDescent="0.2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</row>
    <row r="882" spans="1:40" ht="12.75" customHeight="1" x14ac:dyDescent="0.2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</row>
    <row r="883" spans="1:40" ht="12.75" customHeight="1" x14ac:dyDescent="0.2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</row>
    <row r="884" spans="1:40" ht="12.75" customHeight="1" x14ac:dyDescent="0.2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</row>
    <row r="885" spans="1:40" ht="12.75" customHeight="1" x14ac:dyDescent="0.2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</row>
    <row r="886" spans="1:40" ht="12.75" customHeight="1" x14ac:dyDescent="0.2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</row>
    <row r="887" spans="1:40" ht="12.75" customHeight="1" x14ac:dyDescent="0.2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</row>
    <row r="888" spans="1:40" ht="12.75" customHeight="1" x14ac:dyDescent="0.2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</row>
    <row r="889" spans="1:40" ht="12.75" customHeight="1" x14ac:dyDescent="0.2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</row>
    <row r="890" spans="1:40" ht="12.75" customHeight="1" x14ac:dyDescent="0.2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</row>
    <row r="891" spans="1:40" ht="12.75" customHeight="1" x14ac:dyDescent="0.2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</row>
    <row r="892" spans="1:40" ht="12.75" customHeight="1" x14ac:dyDescent="0.2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</row>
    <row r="893" spans="1:40" ht="12.75" customHeight="1" x14ac:dyDescent="0.2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</row>
    <row r="894" spans="1:40" ht="12.75" customHeight="1" x14ac:dyDescent="0.2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</row>
    <row r="895" spans="1:40" ht="12.75" customHeight="1" x14ac:dyDescent="0.2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</row>
    <row r="896" spans="1:40" ht="12.75" customHeight="1" x14ac:dyDescent="0.2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</row>
    <row r="897" spans="1:40" ht="12.75" customHeight="1" x14ac:dyDescent="0.2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</row>
    <row r="898" spans="1:40" ht="12.75" customHeight="1" x14ac:dyDescent="0.2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</row>
    <row r="899" spans="1:40" ht="12.75" customHeight="1" x14ac:dyDescent="0.2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</row>
    <row r="900" spans="1:40" ht="12.75" customHeight="1" x14ac:dyDescent="0.2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</row>
    <row r="901" spans="1:40" ht="12.75" customHeight="1" x14ac:dyDescent="0.2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</row>
    <row r="902" spans="1:40" ht="12.75" customHeight="1" x14ac:dyDescent="0.2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</row>
    <row r="903" spans="1:40" ht="12.75" customHeight="1" x14ac:dyDescent="0.2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</row>
    <row r="904" spans="1:40" ht="12.75" customHeight="1" x14ac:dyDescent="0.2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</row>
    <row r="905" spans="1:40" ht="12.75" customHeight="1" x14ac:dyDescent="0.2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</row>
    <row r="906" spans="1:40" ht="12.75" customHeight="1" x14ac:dyDescent="0.2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</row>
    <row r="907" spans="1:40" ht="12.75" customHeight="1" x14ac:dyDescent="0.2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</row>
    <row r="908" spans="1:40" ht="12.75" customHeight="1" x14ac:dyDescent="0.2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</row>
    <row r="909" spans="1:40" ht="12.75" customHeight="1" x14ac:dyDescent="0.2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</row>
    <row r="910" spans="1:40" ht="12.75" customHeight="1" x14ac:dyDescent="0.2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</row>
    <row r="911" spans="1:40" ht="12.75" customHeight="1" x14ac:dyDescent="0.2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</row>
    <row r="912" spans="1:40" ht="12.75" customHeight="1" x14ac:dyDescent="0.2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</row>
    <row r="913" spans="1:40" ht="12.75" customHeight="1" x14ac:dyDescent="0.2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</row>
    <row r="914" spans="1:40" ht="12.75" customHeight="1" x14ac:dyDescent="0.2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</row>
    <row r="915" spans="1:40" ht="12.75" customHeight="1" x14ac:dyDescent="0.2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</row>
    <row r="916" spans="1:40" ht="12.75" customHeight="1" x14ac:dyDescent="0.2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</row>
    <row r="917" spans="1:40" ht="12.75" customHeight="1" x14ac:dyDescent="0.2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</row>
    <row r="918" spans="1:40" ht="12.75" customHeight="1" x14ac:dyDescent="0.2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</row>
    <row r="919" spans="1:40" ht="12.75" customHeight="1" x14ac:dyDescent="0.2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</row>
    <row r="920" spans="1:40" ht="12.75" customHeight="1" x14ac:dyDescent="0.2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</row>
    <row r="921" spans="1:40" ht="12.75" customHeight="1" x14ac:dyDescent="0.2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</row>
    <row r="922" spans="1:40" ht="12.75" customHeight="1" x14ac:dyDescent="0.2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</row>
    <row r="923" spans="1:40" ht="12.75" customHeight="1" x14ac:dyDescent="0.2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</row>
    <row r="924" spans="1:40" ht="12.75" customHeight="1" x14ac:dyDescent="0.2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</row>
    <row r="925" spans="1:40" ht="12.75" customHeight="1" x14ac:dyDescent="0.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</row>
    <row r="926" spans="1:40" ht="12.75" customHeight="1" x14ac:dyDescent="0.2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</row>
    <row r="927" spans="1:40" ht="12.75" customHeight="1" x14ac:dyDescent="0.2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</row>
    <row r="928" spans="1:40" ht="12.75" customHeight="1" x14ac:dyDescent="0.2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</row>
    <row r="929" spans="1:40" ht="12.75" customHeight="1" x14ac:dyDescent="0.2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</row>
    <row r="930" spans="1:40" ht="12.75" customHeight="1" x14ac:dyDescent="0.2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</row>
    <row r="931" spans="1:40" ht="12.75" customHeight="1" x14ac:dyDescent="0.2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</row>
    <row r="932" spans="1:40" ht="12.75" customHeight="1" x14ac:dyDescent="0.2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</row>
    <row r="933" spans="1:40" ht="12.75" customHeight="1" x14ac:dyDescent="0.2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</row>
    <row r="934" spans="1:40" ht="12.75" customHeight="1" x14ac:dyDescent="0.2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</row>
    <row r="935" spans="1:40" ht="12.75" customHeight="1" x14ac:dyDescent="0.2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</row>
    <row r="936" spans="1:40" ht="12.75" customHeight="1" x14ac:dyDescent="0.2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</row>
    <row r="937" spans="1:40" ht="12.75" customHeight="1" x14ac:dyDescent="0.2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</row>
    <row r="938" spans="1:40" ht="12.75" customHeight="1" x14ac:dyDescent="0.2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</row>
    <row r="939" spans="1:40" ht="12.75" customHeight="1" x14ac:dyDescent="0.2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</row>
    <row r="940" spans="1:40" ht="12.75" customHeight="1" x14ac:dyDescent="0.2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</row>
    <row r="941" spans="1:40" ht="12.75" customHeight="1" x14ac:dyDescent="0.2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</row>
    <row r="942" spans="1:40" ht="12.75" customHeight="1" x14ac:dyDescent="0.2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</row>
    <row r="943" spans="1:40" ht="12.75" customHeight="1" x14ac:dyDescent="0.2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</row>
    <row r="944" spans="1:40" ht="12.75" customHeight="1" x14ac:dyDescent="0.2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</row>
    <row r="945" spans="1:40" ht="12.75" customHeight="1" x14ac:dyDescent="0.2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</row>
    <row r="946" spans="1:40" ht="12.75" customHeight="1" x14ac:dyDescent="0.2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</row>
    <row r="947" spans="1:40" ht="12.75" customHeight="1" x14ac:dyDescent="0.2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</row>
    <row r="948" spans="1:40" ht="12.75" customHeight="1" x14ac:dyDescent="0.2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</row>
    <row r="949" spans="1:40" ht="12.75" customHeight="1" x14ac:dyDescent="0.2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</row>
    <row r="950" spans="1:40" ht="12.75" customHeight="1" x14ac:dyDescent="0.2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</row>
    <row r="951" spans="1:40" ht="12.75" customHeight="1" x14ac:dyDescent="0.2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</row>
    <row r="952" spans="1:40" ht="12.75" customHeight="1" x14ac:dyDescent="0.2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</row>
    <row r="953" spans="1:40" ht="12.75" customHeight="1" x14ac:dyDescent="0.2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</row>
    <row r="954" spans="1:40" ht="12.75" customHeight="1" x14ac:dyDescent="0.2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</row>
    <row r="955" spans="1:40" ht="12.75" customHeight="1" x14ac:dyDescent="0.2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</row>
    <row r="956" spans="1:40" ht="12.75" customHeight="1" x14ac:dyDescent="0.2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</row>
    <row r="957" spans="1:40" ht="12.75" customHeight="1" x14ac:dyDescent="0.2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</row>
    <row r="958" spans="1:40" ht="12.75" customHeight="1" x14ac:dyDescent="0.2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</row>
    <row r="959" spans="1:40" ht="12.75" customHeight="1" x14ac:dyDescent="0.2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</row>
    <row r="960" spans="1:40" ht="12.75" customHeight="1" x14ac:dyDescent="0.2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</row>
    <row r="961" spans="1:40" ht="12.75" customHeight="1" x14ac:dyDescent="0.2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</row>
    <row r="962" spans="1:40" ht="12.75" customHeight="1" x14ac:dyDescent="0.2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</row>
    <row r="963" spans="1:40" ht="12.75" customHeight="1" x14ac:dyDescent="0.2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</row>
    <row r="964" spans="1:40" ht="12.75" customHeight="1" x14ac:dyDescent="0.2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</row>
    <row r="965" spans="1:40" ht="12.75" customHeight="1" x14ac:dyDescent="0.2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</row>
    <row r="966" spans="1:40" ht="12.75" customHeight="1" x14ac:dyDescent="0.2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</row>
    <row r="967" spans="1:40" ht="12.75" customHeight="1" x14ac:dyDescent="0.2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</row>
    <row r="968" spans="1:40" ht="12.75" customHeight="1" x14ac:dyDescent="0.2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</row>
    <row r="969" spans="1:40" ht="12.75" customHeight="1" x14ac:dyDescent="0.2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</row>
    <row r="970" spans="1:40" ht="12.75" customHeight="1" x14ac:dyDescent="0.2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</row>
    <row r="971" spans="1:40" ht="12.75" customHeight="1" x14ac:dyDescent="0.2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</row>
    <row r="972" spans="1:40" ht="12.75" customHeight="1" x14ac:dyDescent="0.2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</row>
    <row r="973" spans="1:40" ht="12.75" customHeight="1" x14ac:dyDescent="0.2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</row>
    <row r="974" spans="1:40" ht="12.75" customHeight="1" x14ac:dyDescent="0.2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</row>
    <row r="975" spans="1:40" ht="12.75" customHeight="1" x14ac:dyDescent="0.2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</row>
    <row r="976" spans="1:40" ht="12.75" customHeight="1" x14ac:dyDescent="0.2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</row>
    <row r="977" spans="1:40" ht="12.75" customHeight="1" x14ac:dyDescent="0.2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</row>
    <row r="978" spans="1:40" ht="12.75" customHeight="1" x14ac:dyDescent="0.2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</row>
    <row r="979" spans="1:40" ht="12.75" customHeight="1" x14ac:dyDescent="0.2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</row>
    <row r="980" spans="1:40" ht="12.75" customHeight="1" x14ac:dyDescent="0.2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</row>
    <row r="981" spans="1:40" ht="12.75" customHeight="1" x14ac:dyDescent="0.2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</row>
    <row r="982" spans="1:40" ht="12.75" customHeight="1" x14ac:dyDescent="0.2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</row>
    <row r="983" spans="1:40" ht="12.75" customHeight="1" x14ac:dyDescent="0.2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</row>
    <row r="984" spans="1:40" ht="12.75" customHeight="1" x14ac:dyDescent="0.2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</row>
    <row r="985" spans="1:40" ht="12.75" customHeight="1" x14ac:dyDescent="0.2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</row>
    <row r="986" spans="1:40" ht="12.75" customHeight="1" x14ac:dyDescent="0.2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</row>
  </sheetData>
  <mergeCells count="4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4:G34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5:G35"/>
    <mergeCell ref="C36:G36"/>
    <mergeCell ref="C37:G37"/>
    <mergeCell ref="A38:I38"/>
    <mergeCell ref="J38:K38"/>
  </mergeCells>
  <pageMargins left="0" right="0" top="0.35433070866141736" bottom="0" header="0.31496062992125984" footer="0.31496062992125984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Q20" sqref="Q20"/>
    </sheetView>
  </sheetViews>
  <sheetFormatPr baseColWidth="10" defaultColWidth="14.42578125" defaultRowHeight="15" x14ac:dyDescent="0.25"/>
  <cols>
    <col min="1" max="14" width="4.42578125" style="70" customWidth="1"/>
    <col min="15" max="16" width="14.85546875" style="70" customWidth="1"/>
    <col min="17" max="17" width="15.5703125" style="70" customWidth="1"/>
    <col min="18" max="26" width="11" style="70" customWidth="1"/>
    <col min="27" max="16384" width="14.42578125" style="70"/>
  </cols>
  <sheetData>
    <row r="1" spans="1:26" ht="15.75" customHeight="1" thickBot="1" x14ac:dyDescent="0.3">
      <c r="A1" s="166" t="s">
        <v>5</v>
      </c>
      <c r="B1" s="139"/>
      <c r="C1" s="139"/>
      <c r="D1" s="167">
        <f>'[1]Necesidades Trimestrales'!C6</f>
        <v>2020</v>
      </c>
      <c r="E1" s="140"/>
      <c r="F1" s="89"/>
      <c r="G1" s="89"/>
      <c r="H1" s="90"/>
      <c r="I1" s="90"/>
      <c r="J1" s="90"/>
      <c r="K1" s="90"/>
      <c r="L1" s="90"/>
      <c r="M1" s="90"/>
      <c r="N1" s="90"/>
      <c r="P1" s="168" t="s">
        <v>98</v>
      </c>
      <c r="Q1" s="169"/>
    </row>
    <row r="2" spans="1:26" ht="15.75" customHeight="1" thickBot="1" x14ac:dyDescent="0.3">
      <c r="G2" s="91"/>
      <c r="H2" s="90"/>
      <c r="I2" s="90"/>
      <c r="J2" s="90"/>
      <c r="K2" s="90"/>
      <c r="L2" s="90"/>
      <c r="M2" s="90"/>
      <c r="N2" s="90"/>
      <c r="P2" s="170"/>
      <c r="Q2" s="171"/>
    </row>
    <row r="3" spans="1:26" ht="12.75" customHeight="1" thickBot="1" x14ac:dyDescent="0.3">
      <c r="G3" s="91"/>
    </row>
    <row r="4" spans="1:26" ht="18" customHeight="1" thickBot="1" x14ac:dyDescent="0.3">
      <c r="A4" s="172" t="s">
        <v>99</v>
      </c>
      <c r="B4" s="157"/>
      <c r="C4" s="157"/>
      <c r="D4" s="157"/>
      <c r="E4" s="157"/>
      <c r="F4" s="173"/>
      <c r="G4" s="174" t="str">
        <f>'[1] NotaPedido'!D3</f>
        <v>45- Ministerio de Desarrollo Social y Deporte</v>
      </c>
      <c r="H4" s="157"/>
      <c r="I4" s="157"/>
      <c r="J4" s="157"/>
      <c r="K4" s="157"/>
      <c r="L4" s="157"/>
      <c r="M4" s="157"/>
      <c r="N4" s="157"/>
      <c r="O4" s="157"/>
      <c r="P4" s="157"/>
      <c r="Q4" s="173"/>
      <c r="R4" s="40"/>
      <c r="S4" s="40"/>
      <c r="T4" s="40"/>
      <c r="U4" s="40"/>
      <c r="V4" s="40"/>
      <c r="W4" s="40"/>
      <c r="X4" s="40"/>
      <c r="Y4" s="40"/>
      <c r="Z4" s="40"/>
    </row>
    <row r="5" spans="1:26" ht="18" customHeight="1" thickBot="1" x14ac:dyDescent="0.3">
      <c r="A5" s="175" t="s">
        <v>81</v>
      </c>
      <c r="B5" s="157"/>
      <c r="C5" s="157"/>
      <c r="D5" s="157"/>
      <c r="E5" s="157"/>
      <c r="F5" s="173"/>
      <c r="G5" s="174" t="str">
        <f>'[1] NotaPedido'!D4</f>
        <v>25- Direccion Provincial de Gestion  Administrativa y RRHH</v>
      </c>
      <c r="H5" s="157"/>
      <c r="I5" s="157"/>
      <c r="J5" s="157"/>
      <c r="K5" s="157"/>
      <c r="L5" s="157"/>
      <c r="M5" s="157"/>
      <c r="N5" s="157"/>
      <c r="O5" s="157"/>
      <c r="P5" s="157"/>
      <c r="Q5" s="173"/>
      <c r="R5" s="40"/>
      <c r="S5" s="40"/>
      <c r="T5" s="40"/>
      <c r="U5" s="40"/>
      <c r="V5" s="40"/>
      <c r="W5" s="40"/>
      <c r="X5" s="40"/>
      <c r="Y5" s="40"/>
      <c r="Z5" s="40"/>
    </row>
    <row r="6" spans="1:26" ht="18" customHeight="1" thickBot="1" x14ac:dyDescent="0.3">
      <c r="A6" s="175" t="s">
        <v>82</v>
      </c>
      <c r="B6" s="157"/>
      <c r="C6" s="157"/>
      <c r="D6" s="157"/>
      <c r="E6" s="157"/>
      <c r="F6" s="173"/>
      <c r="G6" s="174" t="s">
        <v>83</v>
      </c>
      <c r="H6" s="157"/>
      <c r="I6" s="157"/>
      <c r="J6" s="157"/>
      <c r="K6" s="157"/>
      <c r="L6" s="157"/>
      <c r="M6" s="157"/>
      <c r="N6" s="157"/>
      <c r="O6" s="157"/>
      <c r="P6" s="157"/>
      <c r="Q6" s="173"/>
      <c r="R6" s="40"/>
      <c r="S6" s="40"/>
      <c r="T6" s="40"/>
      <c r="U6" s="40"/>
      <c r="V6" s="40"/>
      <c r="W6" s="40"/>
      <c r="X6" s="40"/>
      <c r="Y6" s="40"/>
      <c r="Z6" s="40"/>
    </row>
    <row r="7" spans="1:26" ht="18" customHeight="1" thickBot="1" x14ac:dyDescent="0.3">
      <c r="A7" s="175" t="s">
        <v>84</v>
      </c>
      <c r="B7" s="157"/>
      <c r="C7" s="157"/>
      <c r="D7" s="157"/>
      <c r="E7" s="157"/>
      <c r="F7" s="173"/>
      <c r="G7" s="174" t="s">
        <v>85</v>
      </c>
      <c r="H7" s="157"/>
      <c r="I7" s="157"/>
      <c r="J7" s="157"/>
      <c r="K7" s="157"/>
      <c r="L7" s="157"/>
      <c r="M7" s="157"/>
      <c r="N7" s="157"/>
      <c r="O7" s="157"/>
      <c r="P7" s="157"/>
      <c r="Q7" s="173"/>
      <c r="R7" s="40"/>
      <c r="S7" s="40"/>
      <c r="T7" s="40"/>
      <c r="U7" s="40"/>
      <c r="V7" s="40"/>
      <c r="W7" s="40"/>
      <c r="X7" s="40"/>
      <c r="Y7" s="40"/>
      <c r="Z7" s="40"/>
    </row>
    <row r="8" spans="1:26" ht="18" customHeight="1" thickBot="1" x14ac:dyDescent="0.3">
      <c r="A8" s="176" t="s">
        <v>100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73"/>
    </row>
    <row r="9" spans="1:26" ht="18" customHeight="1" x14ac:dyDescent="0.25">
      <c r="A9" s="165" t="s">
        <v>101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40"/>
      <c r="P9" s="40"/>
      <c r="Q9" s="92"/>
    </row>
    <row r="10" spans="1:26" ht="54.75" customHeight="1" x14ac:dyDescent="0.25">
      <c r="A10" s="177" t="str">
        <f>"Autorizo la realización de los  trámites correspondientes, a fin de proveer a  este Organismo los bienes y/o servicios que se detallan en Nota  de Pedido N° " &amp; '[1]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70/20,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78"/>
    </row>
    <row r="11" spans="1:26" ht="9" customHeight="1" thickBot="1" x14ac:dyDescent="0.3">
      <c r="A11" s="93"/>
      <c r="B11" s="94"/>
      <c r="C11" s="94"/>
      <c r="D11" s="94"/>
      <c r="E11" s="94"/>
      <c r="F11" s="94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6"/>
    </row>
    <row r="12" spans="1:26" ht="15.75" customHeight="1" thickBot="1" x14ac:dyDescent="0.3">
      <c r="A12" s="179" t="s">
        <v>102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9"/>
    </row>
    <row r="13" spans="1:26" ht="15.75" customHeight="1" thickBot="1" x14ac:dyDescent="0.3">
      <c r="A13" s="180" t="s">
        <v>103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73"/>
      <c r="O13" s="181" t="s">
        <v>104</v>
      </c>
      <c r="P13" s="169"/>
      <c r="Q13" s="183" t="s">
        <v>105</v>
      </c>
    </row>
    <row r="14" spans="1:26" ht="15.75" customHeight="1" x14ac:dyDescent="0.25">
      <c r="A14" s="97" t="s">
        <v>106</v>
      </c>
      <c r="B14" s="98" t="s">
        <v>107</v>
      </c>
      <c r="C14" s="98" t="s">
        <v>108</v>
      </c>
      <c r="D14" s="98" t="s">
        <v>109</v>
      </c>
      <c r="E14" s="98" t="s">
        <v>110</v>
      </c>
      <c r="F14" s="98" t="s">
        <v>111</v>
      </c>
      <c r="G14" s="99" t="s">
        <v>112</v>
      </c>
      <c r="H14" s="98" t="s">
        <v>113</v>
      </c>
      <c r="I14" s="98" t="s">
        <v>114</v>
      </c>
      <c r="J14" s="98" t="s">
        <v>115</v>
      </c>
      <c r="K14" s="98" t="s">
        <v>115</v>
      </c>
      <c r="L14" s="98" t="s">
        <v>116</v>
      </c>
      <c r="M14" s="100" t="s">
        <v>117</v>
      </c>
      <c r="N14" s="101" t="s">
        <v>118</v>
      </c>
      <c r="O14" s="182"/>
      <c r="P14" s="178"/>
      <c r="Q14" s="178"/>
    </row>
    <row r="15" spans="1:26" ht="18" customHeight="1" x14ac:dyDescent="0.25">
      <c r="A15" s="102">
        <v>44</v>
      </c>
      <c r="B15" s="103"/>
      <c r="C15" s="103"/>
      <c r="D15" s="103">
        <v>1</v>
      </c>
      <c r="E15" s="104"/>
      <c r="F15" s="105">
        <v>10</v>
      </c>
      <c r="G15" s="106">
        <v>3</v>
      </c>
      <c r="H15" s="103">
        <v>4</v>
      </c>
      <c r="I15" s="107">
        <v>2</v>
      </c>
      <c r="J15" s="107">
        <v>2</v>
      </c>
      <c r="K15" s="107">
        <v>2</v>
      </c>
      <c r="L15" s="103"/>
      <c r="M15" s="104">
        <v>1</v>
      </c>
      <c r="N15" s="103" t="s">
        <v>119</v>
      </c>
      <c r="O15" s="188" t="s">
        <v>120</v>
      </c>
      <c r="P15" s="189"/>
      <c r="Q15" s="108">
        <v>360000</v>
      </c>
    </row>
    <row r="16" spans="1:26" x14ac:dyDescent="0.25">
      <c r="A16" s="102">
        <v>44</v>
      </c>
      <c r="B16" s="103"/>
      <c r="C16" s="103"/>
      <c r="D16" s="103">
        <v>1</v>
      </c>
      <c r="E16" s="104"/>
      <c r="F16" s="109">
        <v>10</v>
      </c>
      <c r="G16" s="106">
        <v>3</v>
      </c>
      <c r="H16" s="103">
        <v>4</v>
      </c>
      <c r="I16" s="107">
        <v>2</v>
      </c>
      <c r="J16" s="107">
        <v>7</v>
      </c>
      <c r="K16" s="107">
        <v>2</v>
      </c>
      <c r="L16" s="103"/>
      <c r="M16" s="104">
        <v>1</v>
      </c>
      <c r="N16" s="110" t="s">
        <v>119</v>
      </c>
      <c r="O16" s="190" t="s">
        <v>121</v>
      </c>
      <c r="P16" s="189"/>
      <c r="Q16" s="108">
        <v>7500</v>
      </c>
    </row>
    <row r="17" spans="1:18" x14ac:dyDescent="0.25">
      <c r="A17" s="102">
        <v>44</v>
      </c>
      <c r="B17" s="103"/>
      <c r="C17" s="103"/>
      <c r="D17" s="103">
        <v>1</v>
      </c>
      <c r="E17" s="104"/>
      <c r="F17" s="111">
        <v>10</v>
      </c>
      <c r="G17" s="103">
        <v>3</v>
      </c>
      <c r="H17" s="103">
        <v>4</v>
      </c>
      <c r="I17" s="107">
        <v>2</v>
      </c>
      <c r="J17" s="107">
        <v>7</v>
      </c>
      <c r="K17" s="107">
        <v>9</v>
      </c>
      <c r="L17" s="103"/>
      <c r="M17" s="104">
        <v>1</v>
      </c>
      <c r="N17" s="110" t="s">
        <v>119</v>
      </c>
      <c r="O17" s="190" t="s">
        <v>122</v>
      </c>
      <c r="P17" s="189"/>
      <c r="Q17" s="108">
        <v>71550</v>
      </c>
    </row>
    <row r="18" spans="1:18" s="114" customFormat="1" x14ac:dyDescent="0.25">
      <c r="A18" s="102">
        <v>44</v>
      </c>
      <c r="B18" s="103"/>
      <c r="C18" s="103"/>
      <c r="D18" s="103">
        <v>1</v>
      </c>
      <c r="E18" s="104"/>
      <c r="F18" s="111">
        <v>10</v>
      </c>
      <c r="G18" s="103">
        <v>3</v>
      </c>
      <c r="H18" s="103">
        <v>4</v>
      </c>
      <c r="I18" s="107">
        <v>2</v>
      </c>
      <c r="J18" s="107">
        <v>9</v>
      </c>
      <c r="K18" s="107">
        <v>6</v>
      </c>
      <c r="L18" s="103"/>
      <c r="M18" s="104">
        <v>1</v>
      </c>
      <c r="N18" s="110" t="s">
        <v>119</v>
      </c>
      <c r="O18" s="190" t="s">
        <v>126</v>
      </c>
      <c r="P18" s="189"/>
      <c r="Q18" s="108">
        <v>36820</v>
      </c>
    </row>
    <row r="19" spans="1:18" ht="15.75" thickBot="1" x14ac:dyDescent="0.3">
      <c r="A19" s="103">
        <v>44</v>
      </c>
      <c r="B19" s="103"/>
      <c r="C19" s="103"/>
      <c r="D19" s="103">
        <v>1</v>
      </c>
      <c r="E19" s="103"/>
      <c r="F19" s="105">
        <v>10</v>
      </c>
      <c r="G19" s="103">
        <v>3</v>
      </c>
      <c r="H19" s="103">
        <v>4</v>
      </c>
      <c r="I19" s="107">
        <v>2</v>
      </c>
      <c r="J19" s="107">
        <v>9</v>
      </c>
      <c r="K19" s="107">
        <v>9</v>
      </c>
      <c r="L19" s="103"/>
      <c r="M19" s="103">
        <v>1</v>
      </c>
      <c r="N19" s="103" t="s">
        <v>119</v>
      </c>
      <c r="O19" s="190" t="s">
        <v>122</v>
      </c>
      <c r="P19" s="189"/>
      <c r="Q19" s="112">
        <f>520000+3200</f>
        <v>523200</v>
      </c>
    </row>
    <row r="20" spans="1:18" ht="15.75" thickBot="1" x14ac:dyDescent="0.3">
      <c r="A20" s="191" t="s">
        <v>124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71"/>
      <c r="Q20" s="113">
        <f>SUM(Q15:Q19)</f>
        <v>999070</v>
      </c>
      <c r="R20" s="40"/>
    </row>
    <row r="21" spans="1:18" ht="15.75" thickBot="1" x14ac:dyDescent="0.3">
      <c r="A21" s="192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9"/>
    </row>
    <row r="22" spans="1:18" ht="15.75" thickBot="1" x14ac:dyDescent="0.3">
      <c r="A22" s="184" t="s">
        <v>123</v>
      </c>
      <c r="B22" s="139"/>
      <c r="C22" s="139"/>
      <c r="D22" s="139"/>
      <c r="E22" s="139"/>
      <c r="F22" s="140"/>
      <c r="G22" s="185"/>
      <c r="H22" s="160"/>
      <c r="I22" s="160"/>
      <c r="J22" s="160"/>
      <c r="K22" s="160"/>
      <c r="L22" s="160"/>
      <c r="M22" s="160"/>
      <c r="N22" s="160"/>
      <c r="O22" s="160"/>
      <c r="P22" s="160"/>
      <c r="Q22" s="169"/>
    </row>
    <row r="23" spans="1:18" x14ac:dyDescent="0.25">
      <c r="A23" s="186" t="s">
        <v>88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78"/>
    </row>
    <row r="24" spans="1:18" ht="15.75" thickBot="1" x14ac:dyDescent="0.3">
      <c r="A24" s="170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71"/>
    </row>
    <row r="25" spans="1:18" x14ac:dyDescent="0.25">
      <c r="G25" s="91"/>
    </row>
    <row r="26" spans="1:18" x14ac:dyDescent="0.25">
      <c r="G26" s="91"/>
    </row>
    <row r="27" spans="1:18" x14ac:dyDescent="0.25">
      <c r="G27" s="91"/>
    </row>
    <row r="28" spans="1:18" x14ac:dyDescent="0.25">
      <c r="G28" s="91"/>
    </row>
    <row r="29" spans="1:18" x14ac:dyDescent="0.25">
      <c r="G29" s="91"/>
    </row>
    <row r="30" spans="1:18" x14ac:dyDescent="0.25">
      <c r="G30" s="91"/>
    </row>
    <row r="31" spans="1:18" x14ac:dyDescent="0.25">
      <c r="G31" s="91"/>
    </row>
    <row r="32" spans="1:18" x14ac:dyDescent="0.25">
      <c r="G32" s="91"/>
    </row>
    <row r="33" spans="7:7" x14ac:dyDescent="0.25">
      <c r="G33" s="91"/>
    </row>
    <row r="34" spans="7:7" x14ac:dyDescent="0.25">
      <c r="G34" s="91"/>
    </row>
    <row r="35" spans="7:7" x14ac:dyDescent="0.25">
      <c r="G35" s="91"/>
    </row>
    <row r="36" spans="7:7" x14ac:dyDescent="0.25">
      <c r="G36" s="91"/>
    </row>
    <row r="37" spans="7:7" x14ac:dyDescent="0.25">
      <c r="G37" s="91"/>
    </row>
    <row r="38" spans="7:7" x14ac:dyDescent="0.25">
      <c r="G38" s="91"/>
    </row>
    <row r="39" spans="7:7" x14ac:dyDescent="0.25">
      <c r="G39" s="91"/>
    </row>
    <row r="40" spans="7:7" x14ac:dyDescent="0.25">
      <c r="G40" s="91"/>
    </row>
    <row r="41" spans="7:7" x14ac:dyDescent="0.25">
      <c r="G41" s="91"/>
    </row>
    <row r="42" spans="7:7" x14ac:dyDescent="0.25">
      <c r="G42" s="91"/>
    </row>
    <row r="43" spans="7:7" x14ac:dyDescent="0.25">
      <c r="G43" s="91"/>
    </row>
    <row r="44" spans="7:7" x14ac:dyDescent="0.25">
      <c r="G44" s="91"/>
    </row>
    <row r="45" spans="7:7" x14ac:dyDescent="0.25">
      <c r="G45" s="91"/>
    </row>
    <row r="46" spans="7:7" x14ac:dyDescent="0.25">
      <c r="G46" s="91"/>
    </row>
    <row r="47" spans="7:7" x14ac:dyDescent="0.25">
      <c r="G47" s="91"/>
    </row>
    <row r="48" spans="7:7" x14ac:dyDescent="0.25">
      <c r="G48" s="91"/>
    </row>
    <row r="49" spans="7:7" x14ac:dyDescent="0.25">
      <c r="G49" s="91"/>
    </row>
    <row r="50" spans="7:7" x14ac:dyDescent="0.25">
      <c r="G50" s="91"/>
    </row>
    <row r="51" spans="7:7" x14ac:dyDescent="0.25">
      <c r="G51" s="91"/>
    </row>
    <row r="52" spans="7:7" x14ac:dyDescent="0.25">
      <c r="G52" s="91"/>
    </row>
    <row r="53" spans="7:7" x14ac:dyDescent="0.25">
      <c r="G53" s="91"/>
    </row>
    <row r="54" spans="7:7" x14ac:dyDescent="0.25">
      <c r="G54" s="91"/>
    </row>
    <row r="55" spans="7:7" x14ac:dyDescent="0.25">
      <c r="G55" s="91"/>
    </row>
    <row r="56" spans="7:7" x14ac:dyDescent="0.25">
      <c r="G56" s="91"/>
    </row>
    <row r="57" spans="7:7" x14ac:dyDescent="0.25">
      <c r="G57" s="91"/>
    </row>
    <row r="58" spans="7:7" x14ac:dyDescent="0.25">
      <c r="G58" s="91"/>
    </row>
    <row r="59" spans="7:7" x14ac:dyDescent="0.25">
      <c r="G59" s="91"/>
    </row>
    <row r="60" spans="7:7" x14ac:dyDescent="0.25">
      <c r="G60" s="91"/>
    </row>
    <row r="61" spans="7:7" x14ac:dyDescent="0.25">
      <c r="G61" s="91"/>
    </row>
    <row r="62" spans="7:7" x14ac:dyDescent="0.25">
      <c r="G62" s="91"/>
    </row>
    <row r="63" spans="7:7" x14ac:dyDescent="0.25">
      <c r="G63" s="91"/>
    </row>
    <row r="64" spans="7:7" x14ac:dyDescent="0.25">
      <c r="G64" s="91"/>
    </row>
    <row r="65" spans="7:7" x14ac:dyDescent="0.25">
      <c r="G65" s="91"/>
    </row>
    <row r="66" spans="7:7" x14ac:dyDescent="0.25">
      <c r="G66" s="91"/>
    </row>
    <row r="67" spans="7:7" x14ac:dyDescent="0.25">
      <c r="G67" s="91"/>
    </row>
    <row r="68" spans="7:7" x14ac:dyDescent="0.25">
      <c r="G68" s="91"/>
    </row>
    <row r="69" spans="7:7" x14ac:dyDescent="0.25">
      <c r="G69" s="91"/>
    </row>
    <row r="70" spans="7:7" x14ac:dyDescent="0.25">
      <c r="G70" s="91"/>
    </row>
    <row r="71" spans="7:7" x14ac:dyDescent="0.25">
      <c r="G71" s="91"/>
    </row>
    <row r="72" spans="7:7" x14ac:dyDescent="0.25">
      <c r="G72" s="91"/>
    </row>
    <row r="73" spans="7:7" x14ac:dyDescent="0.25">
      <c r="G73" s="91"/>
    </row>
    <row r="74" spans="7:7" x14ac:dyDescent="0.25">
      <c r="G74" s="91"/>
    </row>
    <row r="75" spans="7:7" x14ac:dyDescent="0.25">
      <c r="G75" s="91"/>
    </row>
    <row r="76" spans="7:7" x14ac:dyDescent="0.25">
      <c r="G76" s="91"/>
    </row>
    <row r="77" spans="7:7" x14ac:dyDescent="0.25">
      <c r="G77" s="91"/>
    </row>
    <row r="78" spans="7:7" x14ac:dyDescent="0.25">
      <c r="G78" s="91"/>
    </row>
    <row r="79" spans="7:7" x14ac:dyDescent="0.25">
      <c r="G79" s="91"/>
    </row>
    <row r="80" spans="7:7" x14ac:dyDescent="0.25">
      <c r="G80" s="91"/>
    </row>
    <row r="81" spans="7:7" x14ac:dyDescent="0.25">
      <c r="G81" s="91"/>
    </row>
    <row r="82" spans="7:7" x14ac:dyDescent="0.25">
      <c r="G82" s="91"/>
    </row>
    <row r="83" spans="7:7" x14ac:dyDescent="0.25">
      <c r="G83" s="91"/>
    </row>
    <row r="84" spans="7:7" x14ac:dyDescent="0.25">
      <c r="G84" s="91"/>
    </row>
    <row r="85" spans="7:7" x14ac:dyDescent="0.25">
      <c r="G85" s="91"/>
    </row>
    <row r="86" spans="7:7" x14ac:dyDescent="0.25">
      <c r="G86" s="91"/>
    </row>
    <row r="87" spans="7:7" x14ac:dyDescent="0.25">
      <c r="G87" s="91"/>
    </row>
    <row r="88" spans="7:7" x14ac:dyDescent="0.25">
      <c r="G88" s="91"/>
    </row>
    <row r="89" spans="7:7" x14ac:dyDescent="0.25">
      <c r="G89" s="91"/>
    </row>
    <row r="90" spans="7:7" x14ac:dyDescent="0.25">
      <c r="G90" s="91"/>
    </row>
    <row r="91" spans="7:7" x14ac:dyDescent="0.25">
      <c r="G91" s="91"/>
    </row>
    <row r="92" spans="7:7" x14ac:dyDescent="0.25">
      <c r="G92" s="91"/>
    </row>
    <row r="93" spans="7:7" x14ac:dyDescent="0.25">
      <c r="G93" s="91"/>
    </row>
    <row r="94" spans="7:7" x14ac:dyDescent="0.25">
      <c r="G94" s="91"/>
    </row>
    <row r="95" spans="7:7" x14ac:dyDescent="0.25">
      <c r="G95" s="91"/>
    </row>
    <row r="96" spans="7:7" x14ac:dyDescent="0.25">
      <c r="G96" s="91"/>
    </row>
    <row r="97" spans="7:7" x14ac:dyDescent="0.25">
      <c r="G97" s="91"/>
    </row>
    <row r="98" spans="7:7" x14ac:dyDescent="0.25">
      <c r="G98" s="91"/>
    </row>
    <row r="99" spans="7:7" x14ac:dyDescent="0.25">
      <c r="G99" s="91"/>
    </row>
    <row r="100" spans="7:7" x14ac:dyDescent="0.25">
      <c r="G100" s="91"/>
    </row>
    <row r="101" spans="7:7" x14ac:dyDescent="0.25">
      <c r="G101" s="91"/>
    </row>
    <row r="102" spans="7:7" x14ac:dyDescent="0.25">
      <c r="G102" s="91"/>
    </row>
    <row r="103" spans="7:7" x14ac:dyDescent="0.25">
      <c r="G103" s="91"/>
    </row>
    <row r="104" spans="7:7" x14ac:dyDescent="0.25">
      <c r="G104" s="91"/>
    </row>
    <row r="105" spans="7:7" x14ac:dyDescent="0.25">
      <c r="G105" s="91"/>
    </row>
    <row r="106" spans="7:7" x14ac:dyDescent="0.25">
      <c r="G106" s="91"/>
    </row>
    <row r="107" spans="7:7" x14ac:dyDescent="0.25">
      <c r="G107" s="91"/>
    </row>
    <row r="108" spans="7:7" x14ac:dyDescent="0.25">
      <c r="G108" s="91"/>
    </row>
    <row r="109" spans="7:7" x14ac:dyDescent="0.25">
      <c r="G109" s="91"/>
    </row>
    <row r="110" spans="7:7" x14ac:dyDescent="0.25">
      <c r="G110" s="91"/>
    </row>
    <row r="111" spans="7:7" x14ac:dyDescent="0.25">
      <c r="G111" s="91"/>
    </row>
    <row r="112" spans="7:7" x14ac:dyDescent="0.25">
      <c r="G112" s="91"/>
    </row>
    <row r="113" spans="7:7" x14ac:dyDescent="0.25">
      <c r="G113" s="91"/>
    </row>
    <row r="114" spans="7:7" x14ac:dyDescent="0.25">
      <c r="G114" s="91"/>
    </row>
    <row r="115" spans="7:7" x14ac:dyDescent="0.25">
      <c r="G115" s="91"/>
    </row>
    <row r="116" spans="7:7" x14ac:dyDescent="0.25">
      <c r="G116" s="91"/>
    </row>
    <row r="117" spans="7:7" x14ac:dyDescent="0.25">
      <c r="G117" s="91"/>
    </row>
    <row r="118" spans="7:7" x14ac:dyDescent="0.25">
      <c r="G118" s="91"/>
    </row>
    <row r="119" spans="7:7" x14ac:dyDescent="0.25">
      <c r="G119" s="91"/>
    </row>
    <row r="120" spans="7:7" x14ac:dyDescent="0.25">
      <c r="G120" s="91"/>
    </row>
    <row r="121" spans="7:7" x14ac:dyDescent="0.25">
      <c r="G121" s="91"/>
    </row>
    <row r="122" spans="7:7" x14ac:dyDescent="0.25">
      <c r="G122" s="91"/>
    </row>
    <row r="123" spans="7:7" x14ac:dyDescent="0.25">
      <c r="G123" s="91"/>
    </row>
    <row r="124" spans="7:7" x14ac:dyDescent="0.25">
      <c r="G124" s="91"/>
    </row>
    <row r="125" spans="7:7" x14ac:dyDescent="0.25">
      <c r="G125" s="91"/>
    </row>
    <row r="126" spans="7:7" x14ac:dyDescent="0.25">
      <c r="G126" s="91"/>
    </row>
    <row r="127" spans="7:7" x14ac:dyDescent="0.25">
      <c r="G127" s="91"/>
    </row>
    <row r="128" spans="7:7" x14ac:dyDescent="0.25">
      <c r="G128" s="91"/>
    </row>
    <row r="129" spans="7:7" x14ac:dyDescent="0.25">
      <c r="G129" s="91"/>
    </row>
    <row r="130" spans="7:7" x14ac:dyDescent="0.25">
      <c r="G130" s="91"/>
    </row>
    <row r="131" spans="7:7" x14ac:dyDescent="0.25">
      <c r="G131" s="91"/>
    </row>
    <row r="132" spans="7:7" x14ac:dyDescent="0.25">
      <c r="G132" s="91"/>
    </row>
    <row r="133" spans="7:7" x14ac:dyDescent="0.25">
      <c r="G133" s="91"/>
    </row>
    <row r="134" spans="7:7" x14ac:dyDescent="0.25">
      <c r="G134" s="91"/>
    </row>
    <row r="135" spans="7:7" x14ac:dyDescent="0.25">
      <c r="G135" s="91"/>
    </row>
    <row r="136" spans="7:7" x14ac:dyDescent="0.25">
      <c r="G136" s="91"/>
    </row>
    <row r="137" spans="7:7" x14ac:dyDescent="0.25">
      <c r="G137" s="91"/>
    </row>
    <row r="138" spans="7:7" x14ac:dyDescent="0.25">
      <c r="G138" s="91"/>
    </row>
    <row r="139" spans="7:7" x14ac:dyDescent="0.25">
      <c r="G139" s="91"/>
    </row>
    <row r="140" spans="7:7" x14ac:dyDescent="0.25">
      <c r="G140" s="91"/>
    </row>
    <row r="141" spans="7:7" x14ac:dyDescent="0.25">
      <c r="G141" s="91"/>
    </row>
    <row r="142" spans="7:7" x14ac:dyDescent="0.25">
      <c r="G142" s="91"/>
    </row>
    <row r="143" spans="7:7" x14ac:dyDescent="0.25">
      <c r="G143" s="91"/>
    </row>
    <row r="144" spans="7:7" x14ac:dyDescent="0.25">
      <c r="G144" s="91"/>
    </row>
    <row r="145" spans="7:7" x14ac:dyDescent="0.25">
      <c r="G145" s="91"/>
    </row>
    <row r="146" spans="7:7" x14ac:dyDescent="0.25">
      <c r="G146" s="91"/>
    </row>
    <row r="147" spans="7:7" x14ac:dyDescent="0.25">
      <c r="G147" s="91"/>
    </row>
    <row r="148" spans="7:7" x14ac:dyDescent="0.25">
      <c r="G148" s="91"/>
    </row>
    <row r="149" spans="7:7" x14ac:dyDescent="0.25">
      <c r="G149" s="91"/>
    </row>
    <row r="150" spans="7:7" x14ac:dyDescent="0.25">
      <c r="G150" s="91"/>
    </row>
    <row r="151" spans="7:7" x14ac:dyDescent="0.25">
      <c r="G151" s="91"/>
    </row>
    <row r="152" spans="7:7" x14ac:dyDescent="0.25">
      <c r="G152" s="91"/>
    </row>
    <row r="153" spans="7:7" x14ac:dyDescent="0.25">
      <c r="G153" s="91"/>
    </row>
    <row r="154" spans="7:7" x14ac:dyDescent="0.25">
      <c r="G154" s="91"/>
    </row>
    <row r="155" spans="7:7" x14ac:dyDescent="0.25">
      <c r="G155" s="91"/>
    </row>
    <row r="156" spans="7:7" x14ac:dyDescent="0.25">
      <c r="G156" s="91"/>
    </row>
    <row r="157" spans="7:7" x14ac:dyDescent="0.25">
      <c r="G157" s="91"/>
    </row>
    <row r="158" spans="7:7" x14ac:dyDescent="0.25">
      <c r="G158" s="91"/>
    </row>
    <row r="159" spans="7:7" x14ac:dyDescent="0.25">
      <c r="G159" s="91"/>
    </row>
    <row r="160" spans="7:7" x14ac:dyDescent="0.25">
      <c r="G160" s="91"/>
    </row>
    <row r="161" spans="7:7" x14ac:dyDescent="0.25">
      <c r="G161" s="91"/>
    </row>
    <row r="162" spans="7:7" x14ac:dyDescent="0.25">
      <c r="G162" s="91"/>
    </row>
    <row r="163" spans="7:7" x14ac:dyDescent="0.25">
      <c r="G163" s="91"/>
    </row>
    <row r="164" spans="7:7" x14ac:dyDescent="0.25">
      <c r="G164" s="91"/>
    </row>
    <row r="165" spans="7:7" x14ac:dyDescent="0.25">
      <c r="G165" s="91"/>
    </row>
    <row r="166" spans="7:7" x14ac:dyDescent="0.25">
      <c r="G166" s="91"/>
    </row>
    <row r="167" spans="7:7" x14ac:dyDescent="0.25">
      <c r="G167" s="91"/>
    </row>
    <row r="168" spans="7:7" x14ac:dyDescent="0.25">
      <c r="G168" s="91"/>
    </row>
    <row r="169" spans="7:7" x14ac:dyDescent="0.25">
      <c r="G169" s="91"/>
    </row>
    <row r="170" spans="7:7" x14ac:dyDescent="0.25">
      <c r="G170" s="91"/>
    </row>
    <row r="171" spans="7:7" x14ac:dyDescent="0.25">
      <c r="G171" s="91"/>
    </row>
    <row r="172" spans="7:7" x14ac:dyDescent="0.25">
      <c r="G172" s="91"/>
    </row>
    <row r="173" spans="7:7" x14ac:dyDescent="0.25">
      <c r="G173" s="91"/>
    </row>
    <row r="174" spans="7:7" x14ac:dyDescent="0.25">
      <c r="G174" s="91"/>
    </row>
    <row r="175" spans="7:7" x14ac:dyDescent="0.25">
      <c r="G175" s="91"/>
    </row>
    <row r="176" spans="7:7" x14ac:dyDescent="0.25">
      <c r="G176" s="91"/>
    </row>
    <row r="177" spans="7:7" x14ac:dyDescent="0.25">
      <c r="G177" s="91"/>
    </row>
    <row r="178" spans="7:7" x14ac:dyDescent="0.25">
      <c r="G178" s="91"/>
    </row>
    <row r="179" spans="7:7" x14ac:dyDescent="0.25">
      <c r="G179" s="91"/>
    </row>
    <row r="180" spans="7:7" x14ac:dyDescent="0.25">
      <c r="G180" s="91"/>
    </row>
    <row r="181" spans="7:7" x14ac:dyDescent="0.25">
      <c r="G181" s="91"/>
    </row>
    <row r="182" spans="7:7" x14ac:dyDescent="0.25">
      <c r="G182" s="91"/>
    </row>
    <row r="183" spans="7:7" x14ac:dyDescent="0.25">
      <c r="G183" s="91"/>
    </row>
    <row r="184" spans="7:7" x14ac:dyDescent="0.25">
      <c r="G184" s="91"/>
    </row>
    <row r="185" spans="7:7" x14ac:dyDescent="0.25">
      <c r="G185" s="91"/>
    </row>
    <row r="186" spans="7:7" x14ac:dyDescent="0.25">
      <c r="G186" s="91"/>
    </row>
    <row r="187" spans="7:7" x14ac:dyDescent="0.25">
      <c r="G187" s="91"/>
    </row>
    <row r="188" spans="7:7" x14ac:dyDescent="0.25">
      <c r="G188" s="91"/>
    </row>
    <row r="189" spans="7:7" x14ac:dyDescent="0.25">
      <c r="G189" s="91"/>
    </row>
    <row r="190" spans="7:7" x14ac:dyDescent="0.25">
      <c r="G190" s="91"/>
    </row>
    <row r="191" spans="7:7" x14ac:dyDescent="0.25">
      <c r="G191" s="91"/>
    </row>
    <row r="192" spans="7:7" x14ac:dyDescent="0.25">
      <c r="G192" s="91"/>
    </row>
    <row r="193" spans="7:7" x14ac:dyDescent="0.25">
      <c r="G193" s="91"/>
    </row>
    <row r="194" spans="7:7" x14ac:dyDescent="0.25">
      <c r="G194" s="91"/>
    </row>
    <row r="195" spans="7:7" x14ac:dyDescent="0.25">
      <c r="G195" s="91"/>
    </row>
    <row r="196" spans="7:7" x14ac:dyDescent="0.25">
      <c r="G196" s="91"/>
    </row>
    <row r="197" spans="7:7" x14ac:dyDescent="0.25">
      <c r="G197" s="91"/>
    </row>
    <row r="198" spans="7:7" x14ac:dyDescent="0.25">
      <c r="G198" s="91"/>
    </row>
    <row r="199" spans="7:7" x14ac:dyDescent="0.25">
      <c r="G199" s="91"/>
    </row>
    <row r="200" spans="7:7" x14ac:dyDescent="0.25">
      <c r="G200" s="91"/>
    </row>
    <row r="201" spans="7:7" x14ac:dyDescent="0.25">
      <c r="G201" s="91"/>
    </row>
    <row r="202" spans="7:7" x14ac:dyDescent="0.25">
      <c r="G202" s="91"/>
    </row>
    <row r="203" spans="7:7" x14ac:dyDescent="0.25">
      <c r="G203" s="91"/>
    </row>
    <row r="204" spans="7:7" x14ac:dyDescent="0.25">
      <c r="G204" s="91"/>
    </row>
    <row r="205" spans="7:7" x14ac:dyDescent="0.25">
      <c r="G205" s="91"/>
    </row>
    <row r="206" spans="7:7" x14ac:dyDescent="0.25">
      <c r="G206" s="91"/>
    </row>
    <row r="207" spans="7:7" x14ac:dyDescent="0.25">
      <c r="G207" s="91"/>
    </row>
    <row r="208" spans="7:7" x14ac:dyDescent="0.25">
      <c r="G208" s="91"/>
    </row>
    <row r="209" spans="7:7" x14ac:dyDescent="0.25">
      <c r="G209" s="91"/>
    </row>
    <row r="210" spans="7:7" x14ac:dyDescent="0.25">
      <c r="G210" s="91"/>
    </row>
    <row r="211" spans="7:7" x14ac:dyDescent="0.25">
      <c r="G211" s="91"/>
    </row>
    <row r="212" spans="7:7" x14ac:dyDescent="0.25">
      <c r="G212" s="91"/>
    </row>
    <row r="213" spans="7:7" x14ac:dyDescent="0.25">
      <c r="G213" s="91"/>
    </row>
    <row r="214" spans="7:7" x14ac:dyDescent="0.25">
      <c r="G214" s="91"/>
    </row>
    <row r="215" spans="7:7" x14ac:dyDescent="0.25">
      <c r="G215" s="91"/>
    </row>
    <row r="216" spans="7:7" x14ac:dyDescent="0.25">
      <c r="G216" s="91"/>
    </row>
    <row r="217" spans="7:7" x14ac:dyDescent="0.25">
      <c r="G217" s="91"/>
    </row>
    <row r="218" spans="7:7" x14ac:dyDescent="0.25">
      <c r="G218" s="91"/>
    </row>
    <row r="219" spans="7:7" x14ac:dyDescent="0.25">
      <c r="G219" s="91"/>
    </row>
    <row r="220" spans="7:7" x14ac:dyDescent="0.25">
      <c r="G220" s="91"/>
    </row>
    <row r="221" spans="7:7" x14ac:dyDescent="0.25">
      <c r="G221" s="91"/>
    </row>
    <row r="222" spans="7:7" x14ac:dyDescent="0.25">
      <c r="G222" s="91"/>
    </row>
    <row r="223" spans="7:7" x14ac:dyDescent="0.25">
      <c r="G223" s="91"/>
    </row>
    <row r="224" spans="7:7" x14ac:dyDescent="0.25">
      <c r="G224" s="91"/>
    </row>
    <row r="225" spans="7:7" x14ac:dyDescent="0.25">
      <c r="G225" s="91"/>
    </row>
    <row r="226" spans="7:7" x14ac:dyDescent="0.25">
      <c r="G226" s="91"/>
    </row>
    <row r="227" spans="7:7" x14ac:dyDescent="0.25">
      <c r="G227" s="91"/>
    </row>
    <row r="228" spans="7:7" x14ac:dyDescent="0.25">
      <c r="G228" s="91"/>
    </row>
    <row r="229" spans="7:7" x14ac:dyDescent="0.25">
      <c r="G229" s="91"/>
    </row>
    <row r="230" spans="7:7" x14ac:dyDescent="0.25">
      <c r="G230" s="91"/>
    </row>
    <row r="231" spans="7:7" x14ac:dyDescent="0.25">
      <c r="G231" s="91"/>
    </row>
    <row r="232" spans="7:7" x14ac:dyDescent="0.25">
      <c r="G232" s="91"/>
    </row>
    <row r="233" spans="7:7" x14ac:dyDescent="0.25">
      <c r="G233" s="91"/>
    </row>
    <row r="234" spans="7:7" x14ac:dyDescent="0.25">
      <c r="G234" s="91"/>
    </row>
    <row r="235" spans="7:7" x14ac:dyDescent="0.25">
      <c r="G235" s="91"/>
    </row>
    <row r="236" spans="7:7" x14ac:dyDescent="0.25">
      <c r="G236" s="91"/>
    </row>
    <row r="237" spans="7:7" x14ac:dyDescent="0.25">
      <c r="G237" s="91"/>
    </row>
    <row r="238" spans="7:7" x14ac:dyDescent="0.25">
      <c r="G238" s="91"/>
    </row>
    <row r="239" spans="7:7" x14ac:dyDescent="0.25">
      <c r="G239" s="91"/>
    </row>
    <row r="240" spans="7:7" x14ac:dyDescent="0.25">
      <c r="G240" s="91"/>
    </row>
    <row r="241" spans="7:7" x14ac:dyDescent="0.25">
      <c r="G241" s="91"/>
    </row>
    <row r="242" spans="7:7" x14ac:dyDescent="0.25">
      <c r="G242" s="91"/>
    </row>
    <row r="243" spans="7:7" x14ac:dyDescent="0.25">
      <c r="G243" s="91"/>
    </row>
    <row r="244" spans="7:7" x14ac:dyDescent="0.25">
      <c r="G244" s="91"/>
    </row>
    <row r="245" spans="7:7" x14ac:dyDescent="0.25">
      <c r="G245" s="91"/>
    </row>
    <row r="246" spans="7:7" x14ac:dyDescent="0.25">
      <c r="G246" s="91"/>
    </row>
    <row r="247" spans="7:7" x14ac:dyDescent="0.25">
      <c r="G247" s="91"/>
    </row>
    <row r="248" spans="7:7" x14ac:dyDescent="0.25">
      <c r="G248" s="91"/>
    </row>
    <row r="249" spans="7:7" x14ac:dyDescent="0.25">
      <c r="G249" s="91"/>
    </row>
    <row r="250" spans="7:7" x14ac:dyDescent="0.25">
      <c r="G250" s="91"/>
    </row>
    <row r="251" spans="7:7" x14ac:dyDescent="0.25">
      <c r="G251" s="91"/>
    </row>
    <row r="252" spans="7:7" x14ac:dyDescent="0.25">
      <c r="G252" s="91"/>
    </row>
    <row r="253" spans="7:7" x14ac:dyDescent="0.25">
      <c r="G253" s="91"/>
    </row>
    <row r="254" spans="7:7" x14ac:dyDescent="0.25">
      <c r="G254" s="91"/>
    </row>
    <row r="255" spans="7:7" x14ac:dyDescent="0.25">
      <c r="G255" s="91"/>
    </row>
    <row r="256" spans="7:7" x14ac:dyDescent="0.25">
      <c r="G256" s="91"/>
    </row>
    <row r="257" spans="7:7" x14ac:dyDescent="0.25">
      <c r="G257" s="91"/>
    </row>
    <row r="258" spans="7:7" x14ac:dyDescent="0.25">
      <c r="G258" s="91"/>
    </row>
    <row r="259" spans="7:7" x14ac:dyDescent="0.25">
      <c r="G259" s="91"/>
    </row>
    <row r="260" spans="7:7" x14ac:dyDescent="0.25">
      <c r="G260" s="91"/>
    </row>
    <row r="261" spans="7:7" x14ac:dyDescent="0.25">
      <c r="G261" s="91"/>
    </row>
    <row r="262" spans="7:7" x14ac:dyDescent="0.25">
      <c r="G262" s="91"/>
    </row>
    <row r="263" spans="7:7" x14ac:dyDescent="0.25">
      <c r="G263" s="91"/>
    </row>
    <row r="264" spans="7:7" x14ac:dyDescent="0.25">
      <c r="G264" s="91"/>
    </row>
    <row r="265" spans="7:7" x14ac:dyDescent="0.25">
      <c r="G265" s="91"/>
    </row>
    <row r="266" spans="7:7" x14ac:dyDescent="0.25">
      <c r="G266" s="91"/>
    </row>
    <row r="267" spans="7:7" x14ac:dyDescent="0.25">
      <c r="G267" s="91"/>
    </row>
    <row r="268" spans="7:7" x14ac:dyDescent="0.25">
      <c r="G268" s="91"/>
    </row>
    <row r="269" spans="7:7" x14ac:dyDescent="0.25">
      <c r="G269" s="91"/>
    </row>
    <row r="270" spans="7:7" x14ac:dyDescent="0.25">
      <c r="G270" s="91"/>
    </row>
    <row r="271" spans="7:7" x14ac:dyDescent="0.25">
      <c r="G271" s="91"/>
    </row>
    <row r="272" spans="7:7" x14ac:dyDescent="0.25">
      <c r="G272" s="91"/>
    </row>
    <row r="273" spans="7:7" x14ac:dyDescent="0.25">
      <c r="G273" s="91"/>
    </row>
    <row r="274" spans="7:7" x14ac:dyDescent="0.25">
      <c r="G274" s="91"/>
    </row>
    <row r="275" spans="7:7" x14ac:dyDescent="0.25">
      <c r="G275" s="91"/>
    </row>
    <row r="276" spans="7:7" x14ac:dyDescent="0.25">
      <c r="G276" s="91"/>
    </row>
    <row r="277" spans="7:7" x14ac:dyDescent="0.25">
      <c r="G277" s="91"/>
    </row>
    <row r="278" spans="7:7" x14ac:dyDescent="0.25">
      <c r="G278" s="91"/>
    </row>
    <row r="279" spans="7:7" x14ac:dyDescent="0.25">
      <c r="G279" s="91"/>
    </row>
    <row r="280" spans="7:7" x14ac:dyDescent="0.25">
      <c r="G280" s="91"/>
    </row>
    <row r="281" spans="7:7" x14ac:dyDescent="0.25">
      <c r="G281" s="91"/>
    </row>
    <row r="282" spans="7:7" x14ac:dyDescent="0.25">
      <c r="G282" s="91"/>
    </row>
    <row r="283" spans="7:7" x14ac:dyDescent="0.25">
      <c r="G283" s="91"/>
    </row>
    <row r="284" spans="7:7" x14ac:dyDescent="0.25">
      <c r="G284" s="91"/>
    </row>
    <row r="285" spans="7:7" x14ac:dyDescent="0.25">
      <c r="G285" s="91"/>
    </row>
    <row r="286" spans="7:7" x14ac:dyDescent="0.25">
      <c r="G286" s="91"/>
    </row>
    <row r="287" spans="7:7" x14ac:dyDescent="0.25">
      <c r="G287" s="91"/>
    </row>
    <row r="288" spans="7:7" x14ac:dyDescent="0.25">
      <c r="G288" s="91"/>
    </row>
    <row r="289" spans="7:7" x14ac:dyDescent="0.25">
      <c r="G289" s="91"/>
    </row>
    <row r="290" spans="7:7" x14ac:dyDescent="0.25">
      <c r="G290" s="91"/>
    </row>
    <row r="291" spans="7:7" x14ac:dyDescent="0.25">
      <c r="G291" s="91"/>
    </row>
    <row r="292" spans="7:7" x14ac:dyDescent="0.25">
      <c r="G292" s="91"/>
    </row>
    <row r="293" spans="7:7" x14ac:dyDescent="0.25">
      <c r="G293" s="91"/>
    </row>
    <row r="294" spans="7:7" x14ac:dyDescent="0.25">
      <c r="G294" s="91"/>
    </row>
    <row r="295" spans="7:7" x14ac:dyDescent="0.25">
      <c r="G295" s="91"/>
    </row>
    <row r="296" spans="7:7" x14ac:dyDescent="0.25">
      <c r="G296" s="91"/>
    </row>
    <row r="297" spans="7:7" x14ac:dyDescent="0.25">
      <c r="G297" s="91"/>
    </row>
    <row r="298" spans="7:7" x14ac:dyDescent="0.25">
      <c r="G298" s="91"/>
    </row>
    <row r="299" spans="7:7" x14ac:dyDescent="0.25">
      <c r="G299" s="91"/>
    </row>
    <row r="300" spans="7:7" x14ac:dyDescent="0.25">
      <c r="G300" s="91"/>
    </row>
    <row r="301" spans="7:7" x14ac:dyDescent="0.25">
      <c r="G301" s="91"/>
    </row>
    <row r="302" spans="7:7" x14ac:dyDescent="0.25">
      <c r="G302" s="91"/>
    </row>
    <row r="303" spans="7:7" x14ac:dyDescent="0.25">
      <c r="G303" s="91"/>
    </row>
    <row r="304" spans="7:7" x14ac:dyDescent="0.25">
      <c r="G304" s="91"/>
    </row>
    <row r="305" spans="7:7" x14ac:dyDescent="0.25">
      <c r="G305" s="91"/>
    </row>
    <row r="306" spans="7:7" x14ac:dyDescent="0.25">
      <c r="G306" s="91"/>
    </row>
    <row r="307" spans="7:7" x14ac:dyDescent="0.25">
      <c r="G307" s="91"/>
    </row>
    <row r="308" spans="7:7" x14ac:dyDescent="0.25">
      <c r="G308" s="91"/>
    </row>
    <row r="309" spans="7:7" x14ac:dyDescent="0.25">
      <c r="G309" s="91"/>
    </row>
    <row r="310" spans="7:7" x14ac:dyDescent="0.25">
      <c r="G310" s="91"/>
    </row>
    <row r="311" spans="7:7" x14ac:dyDescent="0.25">
      <c r="G311" s="91"/>
    </row>
    <row r="312" spans="7:7" x14ac:dyDescent="0.25">
      <c r="G312" s="91"/>
    </row>
    <row r="313" spans="7:7" x14ac:dyDescent="0.25">
      <c r="G313" s="91"/>
    </row>
    <row r="314" spans="7:7" x14ac:dyDescent="0.25">
      <c r="G314" s="91"/>
    </row>
    <row r="315" spans="7:7" x14ac:dyDescent="0.25">
      <c r="G315" s="91"/>
    </row>
    <row r="316" spans="7:7" x14ac:dyDescent="0.25">
      <c r="G316" s="91"/>
    </row>
    <row r="317" spans="7:7" x14ac:dyDescent="0.25">
      <c r="G317" s="91"/>
    </row>
    <row r="318" spans="7:7" x14ac:dyDescent="0.25">
      <c r="G318" s="91"/>
    </row>
    <row r="319" spans="7:7" x14ac:dyDescent="0.25">
      <c r="G319" s="91"/>
    </row>
    <row r="320" spans="7:7" x14ac:dyDescent="0.25">
      <c r="G320" s="91"/>
    </row>
    <row r="321" spans="7:7" x14ac:dyDescent="0.25">
      <c r="G321" s="91"/>
    </row>
    <row r="322" spans="7:7" x14ac:dyDescent="0.25">
      <c r="G322" s="91"/>
    </row>
    <row r="323" spans="7:7" x14ac:dyDescent="0.25">
      <c r="G323" s="91"/>
    </row>
    <row r="324" spans="7:7" x14ac:dyDescent="0.25">
      <c r="G324" s="91"/>
    </row>
    <row r="325" spans="7:7" x14ac:dyDescent="0.25">
      <c r="G325" s="91"/>
    </row>
    <row r="326" spans="7:7" x14ac:dyDescent="0.25">
      <c r="G326" s="91"/>
    </row>
    <row r="327" spans="7:7" x14ac:dyDescent="0.25">
      <c r="G327" s="91"/>
    </row>
    <row r="328" spans="7:7" x14ac:dyDescent="0.25">
      <c r="G328" s="91"/>
    </row>
    <row r="329" spans="7:7" x14ac:dyDescent="0.25">
      <c r="G329" s="91"/>
    </row>
    <row r="330" spans="7:7" x14ac:dyDescent="0.25">
      <c r="G330" s="91"/>
    </row>
    <row r="331" spans="7:7" x14ac:dyDescent="0.25">
      <c r="G331" s="91"/>
    </row>
    <row r="332" spans="7:7" x14ac:dyDescent="0.25">
      <c r="G332" s="91"/>
    </row>
    <row r="333" spans="7:7" x14ac:dyDescent="0.25">
      <c r="G333" s="91"/>
    </row>
    <row r="334" spans="7:7" x14ac:dyDescent="0.25">
      <c r="G334" s="91"/>
    </row>
    <row r="335" spans="7:7" x14ac:dyDescent="0.25">
      <c r="G335" s="91"/>
    </row>
    <row r="336" spans="7:7" x14ac:dyDescent="0.25">
      <c r="G336" s="91"/>
    </row>
    <row r="337" spans="7:7" x14ac:dyDescent="0.25">
      <c r="G337" s="91"/>
    </row>
    <row r="338" spans="7:7" x14ac:dyDescent="0.25">
      <c r="G338" s="91"/>
    </row>
    <row r="339" spans="7:7" x14ac:dyDescent="0.25">
      <c r="G339" s="91"/>
    </row>
    <row r="340" spans="7:7" x14ac:dyDescent="0.25">
      <c r="G340" s="91"/>
    </row>
    <row r="341" spans="7:7" x14ac:dyDescent="0.25">
      <c r="G341" s="91"/>
    </row>
    <row r="342" spans="7:7" x14ac:dyDescent="0.25">
      <c r="G342" s="91"/>
    </row>
    <row r="343" spans="7:7" x14ac:dyDescent="0.25">
      <c r="G343" s="91"/>
    </row>
    <row r="344" spans="7:7" x14ac:dyDescent="0.25">
      <c r="G344" s="91"/>
    </row>
    <row r="345" spans="7:7" x14ac:dyDescent="0.25">
      <c r="G345" s="91"/>
    </row>
    <row r="346" spans="7:7" x14ac:dyDescent="0.25">
      <c r="G346" s="91"/>
    </row>
    <row r="347" spans="7:7" x14ac:dyDescent="0.25">
      <c r="G347" s="91"/>
    </row>
    <row r="348" spans="7:7" x14ac:dyDescent="0.25">
      <c r="G348" s="91"/>
    </row>
    <row r="349" spans="7:7" x14ac:dyDescent="0.25">
      <c r="G349" s="91"/>
    </row>
    <row r="350" spans="7:7" x14ac:dyDescent="0.25">
      <c r="G350" s="91"/>
    </row>
    <row r="351" spans="7:7" x14ac:dyDescent="0.25">
      <c r="G351" s="91"/>
    </row>
    <row r="352" spans="7:7" x14ac:dyDescent="0.25">
      <c r="G352" s="91"/>
    </row>
    <row r="353" spans="7:7" x14ac:dyDescent="0.25">
      <c r="G353" s="91"/>
    </row>
    <row r="354" spans="7:7" x14ac:dyDescent="0.25">
      <c r="G354" s="91"/>
    </row>
    <row r="355" spans="7:7" x14ac:dyDescent="0.25">
      <c r="G355" s="91"/>
    </row>
    <row r="356" spans="7:7" x14ac:dyDescent="0.25">
      <c r="G356" s="91"/>
    </row>
    <row r="357" spans="7:7" x14ac:dyDescent="0.25">
      <c r="G357" s="91"/>
    </row>
    <row r="358" spans="7:7" x14ac:dyDescent="0.25">
      <c r="G358" s="91"/>
    </row>
    <row r="359" spans="7:7" x14ac:dyDescent="0.25">
      <c r="G359" s="91"/>
    </row>
    <row r="360" spans="7:7" x14ac:dyDescent="0.25">
      <c r="G360" s="91"/>
    </row>
    <row r="361" spans="7:7" x14ac:dyDescent="0.25">
      <c r="G361" s="91"/>
    </row>
    <row r="362" spans="7:7" x14ac:dyDescent="0.25">
      <c r="G362" s="91"/>
    </row>
    <row r="363" spans="7:7" x14ac:dyDescent="0.25">
      <c r="G363" s="91"/>
    </row>
    <row r="364" spans="7:7" x14ac:dyDescent="0.25">
      <c r="G364" s="91"/>
    </row>
    <row r="365" spans="7:7" x14ac:dyDescent="0.25">
      <c r="G365" s="91"/>
    </row>
    <row r="366" spans="7:7" x14ac:dyDescent="0.25">
      <c r="G366" s="91"/>
    </row>
    <row r="367" spans="7:7" x14ac:dyDescent="0.25">
      <c r="G367" s="91"/>
    </row>
    <row r="368" spans="7:7" x14ac:dyDescent="0.25">
      <c r="G368" s="91"/>
    </row>
    <row r="369" spans="7:7" x14ac:dyDescent="0.25">
      <c r="G369" s="91"/>
    </row>
    <row r="370" spans="7:7" x14ac:dyDescent="0.25">
      <c r="G370" s="91"/>
    </row>
    <row r="371" spans="7:7" x14ac:dyDescent="0.25">
      <c r="G371" s="91"/>
    </row>
    <row r="372" spans="7:7" x14ac:dyDescent="0.25">
      <c r="G372" s="91"/>
    </row>
    <row r="373" spans="7:7" x14ac:dyDescent="0.25">
      <c r="G373" s="91"/>
    </row>
    <row r="374" spans="7:7" x14ac:dyDescent="0.25">
      <c r="G374" s="91"/>
    </row>
    <row r="375" spans="7:7" x14ac:dyDescent="0.25">
      <c r="G375" s="91"/>
    </row>
    <row r="376" spans="7:7" x14ac:dyDescent="0.25">
      <c r="G376" s="91"/>
    </row>
    <row r="377" spans="7:7" x14ac:dyDescent="0.25">
      <c r="G377" s="91"/>
    </row>
    <row r="378" spans="7:7" x14ac:dyDescent="0.25">
      <c r="G378" s="91"/>
    </row>
    <row r="379" spans="7:7" x14ac:dyDescent="0.25">
      <c r="G379" s="91"/>
    </row>
    <row r="380" spans="7:7" x14ac:dyDescent="0.25">
      <c r="G380" s="91"/>
    </row>
    <row r="381" spans="7:7" x14ac:dyDescent="0.25">
      <c r="G381" s="91"/>
    </row>
    <row r="382" spans="7:7" x14ac:dyDescent="0.25">
      <c r="G382" s="91"/>
    </row>
    <row r="383" spans="7:7" x14ac:dyDescent="0.25">
      <c r="G383" s="91"/>
    </row>
    <row r="384" spans="7:7" x14ac:dyDescent="0.25">
      <c r="G384" s="91"/>
    </row>
    <row r="385" spans="7:7" x14ac:dyDescent="0.25">
      <c r="G385" s="91"/>
    </row>
    <row r="386" spans="7:7" x14ac:dyDescent="0.25">
      <c r="G386" s="91"/>
    </row>
    <row r="387" spans="7:7" x14ac:dyDescent="0.25">
      <c r="G387" s="91"/>
    </row>
    <row r="388" spans="7:7" x14ac:dyDescent="0.25">
      <c r="G388" s="91"/>
    </row>
    <row r="389" spans="7:7" x14ac:dyDescent="0.25">
      <c r="G389" s="91"/>
    </row>
    <row r="390" spans="7:7" x14ac:dyDescent="0.25">
      <c r="G390" s="91"/>
    </row>
    <row r="391" spans="7:7" x14ac:dyDescent="0.25">
      <c r="G391" s="91"/>
    </row>
    <row r="392" spans="7:7" x14ac:dyDescent="0.25">
      <c r="G392" s="91"/>
    </row>
    <row r="393" spans="7:7" x14ac:dyDescent="0.25">
      <c r="G393" s="91"/>
    </row>
    <row r="394" spans="7:7" x14ac:dyDescent="0.25">
      <c r="G394" s="91"/>
    </row>
    <row r="395" spans="7:7" x14ac:dyDescent="0.25">
      <c r="G395" s="91"/>
    </row>
    <row r="396" spans="7:7" x14ac:dyDescent="0.25">
      <c r="G396" s="91"/>
    </row>
    <row r="397" spans="7:7" x14ac:dyDescent="0.25">
      <c r="G397" s="91"/>
    </row>
    <row r="398" spans="7:7" x14ac:dyDescent="0.25">
      <c r="G398" s="91"/>
    </row>
    <row r="399" spans="7:7" x14ac:dyDescent="0.25">
      <c r="G399" s="91"/>
    </row>
    <row r="400" spans="7:7" x14ac:dyDescent="0.25">
      <c r="G400" s="91"/>
    </row>
    <row r="401" spans="7:7" x14ac:dyDescent="0.25">
      <c r="G401" s="91"/>
    </row>
    <row r="402" spans="7:7" x14ac:dyDescent="0.25">
      <c r="G402" s="91"/>
    </row>
    <row r="403" spans="7:7" x14ac:dyDescent="0.25">
      <c r="G403" s="91"/>
    </row>
    <row r="404" spans="7:7" x14ac:dyDescent="0.25">
      <c r="G404" s="91"/>
    </row>
    <row r="405" spans="7:7" x14ac:dyDescent="0.25">
      <c r="G405" s="91"/>
    </row>
    <row r="406" spans="7:7" x14ac:dyDescent="0.25">
      <c r="G406" s="91"/>
    </row>
    <row r="407" spans="7:7" x14ac:dyDescent="0.25">
      <c r="G407" s="91"/>
    </row>
    <row r="408" spans="7:7" x14ac:dyDescent="0.25">
      <c r="G408" s="91"/>
    </row>
    <row r="409" spans="7:7" x14ac:dyDescent="0.25">
      <c r="G409" s="91"/>
    </row>
    <row r="410" spans="7:7" x14ac:dyDescent="0.25">
      <c r="G410" s="91"/>
    </row>
    <row r="411" spans="7:7" x14ac:dyDescent="0.25">
      <c r="G411" s="91"/>
    </row>
    <row r="412" spans="7:7" x14ac:dyDescent="0.25">
      <c r="G412" s="91"/>
    </row>
    <row r="413" spans="7:7" x14ac:dyDescent="0.25">
      <c r="G413" s="91"/>
    </row>
    <row r="414" spans="7:7" x14ac:dyDescent="0.25">
      <c r="G414" s="91"/>
    </row>
    <row r="415" spans="7:7" x14ac:dyDescent="0.25">
      <c r="G415" s="91"/>
    </row>
    <row r="416" spans="7:7" x14ac:dyDescent="0.25">
      <c r="G416" s="91"/>
    </row>
    <row r="417" spans="7:7" x14ac:dyDescent="0.25">
      <c r="G417" s="91"/>
    </row>
    <row r="418" spans="7:7" x14ac:dyDescent="0.25">
      <c r="G418" s="91"/>
    </row>
    <row r="419" spans="7:7" x14ac:dyDescent="0.25">
      <c r="G419" s="91"/>
    </row>
    <row r="420" spans="7:7" x14ac:dyDescent="0.25">
      <c r="G420" s="91"/>
    </row>
    <row r="421" spans="7:7" x14ac:dyDescent="0.25">
      <c r="G421" s="91"/>
    </row>
    <row r="422" spans="7:7" x14ac:dyDescent="0.25">
      <c r="G422" s="91"/>
    </row>
    <row r="423" spans="7:7" x14ac:dyDescent="0.25">
      <c r="G423" s="91"/>
    </row>
    <row r="424" spans="7:7" x14ac:dyDescent="0.25">
      <c r="G424" s="91"/>
    </row>
    <row r="425" spans="7:7" x14ac:dyDescent="0.25">
      <c r="G425" s="91"/>
    </row>
    <row r="426" spans="7:7" x14ac:dyDescent="0.25">
      <c r="G426" s="91"/>
    </row>
    <row r="427" spans="7:7" x14ac:dyDescent="0.25">
      <c r="G427" s="91"/>
    </row>
    <row r="428" spans="7:7" x14ac:dyDescent="0.25">
      <c r="G428" s="91"/>
    </row>
    <row r="429" spans="7:7" x14ac:dyDescent="0.25">
      <c r="G429" s="91"/>
    </row>
    <row r="430" spans="7:7" x14ac:dyDescent="0.25">
      <c r="G430" s="91"/>
    </row>
    <row r="431" spans="7:7" x14ac:dyDescent="0.25">
      <c r="G431" s="91"/>
    </row>
    <row r="432" spans="7:7" x14ac:dyDescent="0.25">
      <c r="G432" s="91"/>
    </row>
    <row r="433" spans="7:7" x14ac:dyDescent="0.25">
      <c r="G433" s="91"/>
    </row>
    <row r="434" spans="7:7" x14ac:dyDescent="0.25">
      <c r="G434" s="91"/>
    </row>
    <row r="435" spans="7:7" x14ac:dyDescent="0.25">
      <c r="G435" s="91"/>
    </row>
    <row r="436" spans="7:7" x14ac:dyDescent="0.25">
      <c r="G436" s="91"/>
    </row>
    <row r="437" spans="7:7" x14ac:dyDescent="0.25">
      <c r="G437" s="91"/>
    </row>
    <row r="438" spans="7:7" x14ac:dyDescent="0.25">
      <c r="G438" s="91"/>
    </row>
    <row r="439" spans="7:7" x14ac:dyDescent="0.25">
      <c r="G439" s="91"/>
    </row>
    <row r="440" spans="7:7" x14ac:dyDescent="0.25">
      <c r="G440" s="91"/>
    </row>
    <row r="441" spans="7:7" x14ac:dyDescent="0.25">
      <c r="G441" s="91"/>
    </row>
    <row r="442" spans="7:7" x14ac:dyDescent="0.25">
      <c r="G442" s="91"/>
    </row>
    <row r="443" spans="7:7" x14ac:dyDescent="0.25">
      <c r="G443" s="91"/>
    </row>
    <row r="444" spans="7:7" x14ac:dyDescent="0.25">
      <c r="G444" s="91"/>
    </row>
    <row r="445" spans="7:7" x14ac:dyDescent="0.25">
      <c r="G445" s="91"/>
    </row>
    <row r="446" spans="7:7" x14ac:dyDescent="0.25">
      <c r="G446" s="91"/>
    </row>
    <row r="447" spans="7:7" x14ac:dyDescent="0.25">
      <c r="G447" s="91"/>
    </row>
    <row r="448" spans="7:7" x14ac:dyDescent="0.25">
      <c r="G448" s="91"/>
    </row>
    <row r="449" spans="7:7" x14ac:dyDescent="0.25">
      <c r="G449" s="91"/>
    </row>
    <row r="450" spans="7:7" x14ac:dyDescent="0.25">
      <c r="G450" s="91"/>
    </row>
    <row r="451" spans="7:7" x14ac:dyDescent="0.25">
      <c r="G451" s="91"/>
    </row>
    <row r="452" spans="7:7" x14ac:dyDescent="0.25">
      <c r="G452" s="91"/>
    </row>
    <row r="453" spans="7:7" x14ac:dyDescent="0.25">
      <c r="G453" s="91"/>
    </row>
    <row r="454" spans="7:7" x14ac:dyDescent="0.25">
      <c r="G454" s="91"/>
    </row>
    <row r="455" spans="7:7" x14ac:dyDescent="0.25">
      <c r="G455" s="91"/>
    </row>
    <row r="456" spans="7:7" x14ac:dyDescent="0.25">
      <c r="G456" s="91"/>
    </row>
    <row r="457" spans="7:7" x14ac:dyDescent="0.25">
      <c r="G457" s="91"/>
    </row>
    <row r="458" spans="7:7" x14ac:dyDescent="0.25">
      <c r="G458" s="91"/>
    </row>
    <row r="459" spans="7:7" x14ac:dyDescent="0.25">
      <c r="G459" s="91"/>
    </row>
    <row r="460" spans="7:7" x14ac:dyDescent="0.25">
      <c r="G460" s="91"/>
    </row>
    <row r="461" spans="7:7" x14ac:dyDescent="0.25">
      <c r="G461" s="91"/>
    </row>
    <row r="462" spans="7:7" x14ac:dyDescent="0.25">
      <c r="G462" s="91"/>
    </row>
    <row r="463" spans="7:7" x14ac:dyDescent="0.25">
      <c r="G463" s="91"/>
    </row>
    <row r="464" spans="7:7" x14ac:dyDescent="0.25">
      <c r="G464" s="91"/>
    </row>
    <row r="465" spans="7:7" x14ac:dyDescent="0.25">
      <c r="G465" s="91"/>
    </row>
    <row r="466" spans="7:7" x14ac:dyDescent="0.25">
      <c r="G466" s="91"/>
    </row>
    <row r="467" spans="7:7" x14ac:dyDescent="0.25">
      <c r="G467" s="91"/>
    </row>
    <row r="468" spans="7:7" x14ac:dyDescent="0.25">
      <c r="G468" s="91"/>
    </row>
    <row r="469" spans="7:7" x14ac:dyDescent="0.25">
      <c r="G469" s="91"/>
    </row>
    <row r="470" spans="7:7" x14ac:dyDescent="0.25">
      <c r="G470" s="91"/>
    </row>
    <row r="471" spans="7:7" x14ac:dyDescent="0.25">
      <c r="G471" s="91"/>
    </row>
    <row r="472" spans="7:7" x14ac:dyDescent="0.25">
      <c r="G472" s="91"/>
    </row>
    <row r="473" spans="7:7" x14ac:dyDescent="0.25">
      <c r="G473" s="91"/>
    </row>
    <row r="474" spans="7:7" x14ac:dyDescent="0.25">
      <c r="G474" s="91"/>
    </row>
    <row r="475" spans="7:7" x14ac:dyDescent="0.25">
      <c r="G475" s="91"/>
    </row>
    <row r="476" spans="7:7" x14ac:dyDescent="0.25">
      <c r="G476" s="91"/>
    </row>
    <row r="477" spans="7:7" x14ac:dyDescent="0.25">
      <c r="G477" s="91"/>
    </row>
    <row r="478" spans="7:7" x14ac:dyDescent="0.25">
      <c r="G478" s="91"/>
    </row>
    <row r="479" spans="7:7" x14ac:dyDescent="0.25">
      <c r="G479" s="91"/>
    </row>
    <row r="480" spans="7:7" x14ac:dyDescent="0.25">
      <c r="G480" s="91"/>
    </row>
    <row r="481" spans="7:7" x14ac:dyDescent="0.25">
      <c r="G481" s="91"/>
    </row>
    <row r="482" spans="7:7" x14ac:dyDescent="0.25">
      <c r="G482" s="91"/>
    </row>
    <row r="483" spans="7:7" x14ac:dyDescent="0.25">
      <c r="G483" s="91"/>
    </row>
    <row r="484" spans="7:7" x14ac:dyDescent="0.25">
      <c r="G484" s="91"/>
    </row>
    <row r="485" spans="7:7" x14ac:dyDescent="0.25">
      <c r="G485" s="91"/>
    </row>
    <row r="486" spans="7:7" x14ac:dyDescent="0.25">
      <c r="G486" s="91"/>
    </row>
    <row r="487" spans="7:7" x14ac:dyDescent="0.25">
      <c r="G487" s="91"/>
    </row>
    <row r="488" spans="7:7" x14ac:dyDescent="0.25">
      <c r="G488" s="91"/>
    </row>
    <row r="489" spans="7:7" x14ac:dyDescent="0.25">
      <c r="G489" s="91"/>
    </row>
    <row r="490" spans="7:7" x14ac:dyDescent="0.25">
      <c r="G490" s="91"/>
    </row>
    <row r="491" spans="7:7" x14ac:dyDescent="0.25">
      <c r="G491" s="91"/>
    </row>
    <row r="492" spans="7:7" x14ac:dyDescent="0.25">
      <c r="G492" s="91"/>
    </row>
    <row r="493" spans="7:7" x14ac:dyDescent="0.25">
      <c r="G493" s="91"/>
    </row>
    <row r="494" spans="7:7" x14ac:dyDescent="0.25">
      <c r="G494" s="91"/>
    </row>
    <row r="495" spans="7:7" x14ac:dyDescent="0.25">
      <c r="G495" s="91"/>
    </row>
    <row r="496" spans="7:7" x14ac:dyDescent="0.25">
      <c r="G496" s="91"/>
    </row>
    <row r="497" spans="7:7" x14ac:dyDescent="0.25">
      <c r="G497" s="91"/>
    </row>
    <row r="498" spans="7:7" x14ac:dyDescent="0.25">
      <c r="G498" s="91"/>
    </row>
    <row r="499" spans="7:7" x14ac:dyDescent="0.25">
      <c r="G499" s="91"/>
    </row>
    <row r="500" spans="7:7" x14ac:dyDescent="0.25">
      <c r="G500" s="91"/>
    </row>
    <row r="501" spans="7:7" x14ac:dyDescent="0.25">
      <c r="G501" s="91"/>
    </row>
    <row r="502" spans="7:7" x14ac:dyDescent="0.25">
      <c r="G502" s="91"/>
    </row>
    <row r="503" spans="7:7" x14ac:dyDescent="0.25">
      <c r="G503" s="91"/>
    </row>
    <row r="504" spans="7:7" x14ac:dyDescent="0.25">
      <c r="G504" s="91"/>
    </row>
    <row r="505" spans="7:7" x14ac:dyDescent="0.25">
      <c r="G505" s="91"/>
    </row>
    <row r="506" spans="7:7" x14ac:dyDescent="0.25">
      <c r="G506" s="91"/>
    </row>
    <row r="507" spans="7:7" x14ac:dyDescent="0.25">
      <c r="G507" s="91"/>
    </row>
    <row r="508" spans="7:7" x14ac:dyDescent="0.25">
      <c r="G508" s="91"/>
    </row>
    <row r="509" spans="7:7" x14ac:dyDescent="0.25">
      <c r="G509" s="91"/>
    </row>
    <row r="510" spans="7:7" x14ac:dyDescent="0.25">
      <c r="G510" s="91"/>
    </row>
    <row r="511" spans="7:7" x14ac:dyDescent="0.25">
      <c r="G511" s="91"/>
    </row>
    <row r="512" spans="7:7" x14ac:dyDescent="0.25">
      <c r="G512" s="91"/>
    </row>
    <row r="513" spans="7:7" x14ac:dyDescent="0.25">
      <c r="G513" s="91"/>
    </row>
    <row r="514" spans="7:7" x14ac:dyDescent="0.25">
      <c r="G514" s="91"/>
    </row>
    <row r="515" spans="7:7" x14ac:dyDescent="0.25">
      <c r="G515" s="91"/>
    </row>
    <row r="516" spans="7:7" x14ac:dyDescent="0.25">
      <c r="G516" s="91"/>
    </row>
    <row r="517" spans="7:7" x14ac:dyDescent="0.25">
      <c r="G517" s="91"/>
    </row>
    <row r="518" spans="7:7" x14ac:dyDescent="0.25">
      <c r="G518" s="91"/>
    </row>
    <row r="519" spans="7:7" x14ac:dyDescent="0.25">
      <c r="G519" s="91"/>
    </row>
    <row r="520" spans="7:7" x14ac:dyDescent="0.25">
      <c r="G520" s="91"/>
    </row>
    <row r="521" spans="7:7" x14ac:dyDescent="0.25">
      <c r="G521" s="91"/>
    </row>
    <row r="522" spans="7:7" x14ac:dyDescent="0.25">
      <c r="G522" s="91"/>
    </row>
    <row r="523" spans="7:7" x14ac:dyDescent="0.25">
      <c r="G523" s="91"/>
    </row>
    <row r="524" spans="7:7" x14ac:dyDescent="0.25">
      <c r="G524" s="91"/>
    </row>
    <row r="525" spans="7:7" x14ac:dyDescent="0.25">
      <c r="G525" s="91"/>
    </row>
    <row r="526" spans="7:7" x14ac:dyDescent="0.25">
      <c r="G526" s="91"/>
    </row>
    <row r="527" spans="7:7" x14ac:dyDescent="0.25">
      <c r="G527" s="91"/>
    </row>
    <row r="528" spans="7:7" x14ac:dyDescent="0.25">
      <c r="G528" s="91"/>
    </row>
    <row r="529" spans="7:7" x14ac:dyDescent="0.25">
      <c r="G529" s="91"/>
    </row>
    <row r="530" spans="7:7" x14ac:dyDescent="0.25">
      <c r="G530" s="91"/>
    </row>
    <row r="531" spans="7:7" x14ac:dyDescent="0.25">
      <c r="G531" s="91"/>
    </row>
    <row r="532" spans="7:7" x14ac:dyDescent="0.25">
      <c r="G532" s="91"/>
    </row>
    <row r="533" spans="7:7" x14ac:dyDescent="0.25">
      <c r="G533" s="91"/>
    </row>
    <row r="534" spans="7:7" x14ac:dyDescent="0.25">
      <c r="G534" s="91"/>
    </row>
    <row r="535" spans="7:7" x14ac:dyDescent="0.25">
      <c r="G535" s="91"/>
    </row>
    <row r="536" spans="7:7" x14ac:dyDescent="0.25">
      <c r="G536" s="91"/>
    </row>
    <row r="537" spans="7:7" x14ac:dyDescent="0.25">
      <c r="G537" s="91"/>
    </row>
    <row r="538" spans="7:7" x14ac:dyDescent="0.25">
      <c r="G538" s="91"/>
    </row>
    <row r="539" spans="7:7" x14ac:dyDescent="0.25">
      <c r="G539" s="91"/>
    </row>
    <row r="540" spans="7:7" x14ac:dyDescent="0.25">
      <c r="G540" s="91"/>
    </row>
    <row r="541" spans="7:7" x14ac:dyDescent="0.25">
      <c r="G541" s="91"/>
    </row>
    <row r="542" spans="7:7" x14ac:dyDescent="0.25">
      <c r="G542" s="91"/>
    </row>
    <row r="543" spans="7:7" x14ac:dyDescent="0.25">
      <c r="G543" s="91"/>
    </row>
    <row r="544" spans="7:7" x14ac:dyDescent="0.25">
      <c r="G544" s="91"/>
    </row>
    <row r="545" spans="7:7" x14ac:dyDescent="0.25">
      <c r="G545" s="91"/>
    </row>
    <row r="546" spans="7:7" x14ac:dyDescent="0.25">
      <c r="G546" s="91"/>
    </row>
    <row r="547" spans="7:7" x14ac:dyDescent="0.25">
      <c r="G547" s="91"/>
    </row>
    <row r="548" spans="7:7" x14ac:dyDescent="0.25">
      <c r="G548" s="91"/>
    </row>
    <row r="549" spans="7:7" x14ac:dyDescent="0.25">
      <c r="G549" s="91"/>
    </row>
    <row r="550" spans="7:7" x14ac:dyDescent="0.25">
      <c r="G550" s="91"/>
    </row>
    <row r="551" spans="7:7" x14ac:dyDescent="0.25">
      <c r="G551" s="91"/>
    </row>
    <row r="552" spans="7:7" x14ac:dyDescent="0.25">
      <c r="G552" s="91"/>
    </row>
    <row r="553" spans="7:7" x14ac:dyDescent="0.25">
      <c r="G553" s="91"/>
    </row>
    <row r="554" spans="7:7" x14ac:dyDescent="0.25">
      <c r="G554" s="91"/>
    </row>
    <row r="555" spans="7:7" x14ac:dyDescent="0.25">
      <c r="G555" s="91"/>
    </row>
    <row r="556" spans="7:7" x14ac:dyDescent="0.25">
      <c r="G556" s="91"/>
    </row>
    <row r="557" spans="7:7" x14ac:dyDescent="0.25">
      <c r="G557" s="91"/>
    </row>
    <row r="558" spans="7:7" x14ac:dyDescent="0.25">
      <c r="G558" s="91"/>
    </row>
    <row r="559" spans="7:7" x14ac:dyDescent="0.25">
      <c r="G559" s="91"/>
    </row>
    <row r="560" spans="7:7" x14ac:dyDescent="0.25">
      <c r="G560" s="91"/>
    </row>
    <row r="561" spans="7:7" x14ac:dyDescent="0.25">
      <c r="G561" s="91"/>
    </row>
    <row r="562" spans="7:7" x14ac:dyDescent="0.25">
      <c r="G562" s="91"/>
    </row>
    <row r="563" spans="7:7" x14ac:dyDescent="0.25">
      <c r="G563" s="91"/>
    </row>
    <row r="564" spans="7:7" x14ac:dyDescent="0.25">
      <c r="G564" s="91"/>
    </row>
    <row r="565" spans="7:7" x14ac:dyDescent="0.25">
      <c r="G565" s="91"/>
    </row>
    <row r="566" spans="7:7" x14ac:dyDescent="0.25">
      <c r="G566" s="91"/>
    </row>
    <row r="567" spans="7:7" x14ac:dyDescent="0.25">
      <c r="G567" s="91"/>
    </row>
    <row r="568" spans="7:7" x14ac:dyDescent="0.25">
      <c r="G568" s="91"/>
    </row>
    <row r="569" spans="7:7" x14ac:dyDescent="0.25">
      <c r="G569" s="91"/>
    </row>
    <row r="570" spans="7:7" x14ac:dyDescent="0.25">
      <c r="G570" s="91"/>
    </row>
    <row r="571" spans="7:7" x14ac:dyDescent="0.25">
      <c r="G571" s="91"/>
    </row>
    <row r="572" spans="7:7" x14ac:dyDescent="0.25">
      <c r="G572" s="91"/>
    </row>
    <row r="573" spans="7:7" x14ac:dyDescent="0.25">
      <c r="G573" s="91"/>
    </row>
    <row r="574" spans="7:7" x14ac:dyDescent="0.25">
      <c r="G574" s="91"/>
    </row>
    <row r="575" spans="7:7" x14ac:dyDescent="0.25">
      <c r="G575" s="91"/>
    </row>
    <row r="576" spans="7:7" x14ac:dyDescent="0.25">
      <c r="G576" s="91"/>
    </row>
    <row r="577" spans="7:7" x14ac:dyDescent="0.25">
      <c r="G577" s="91"/>
    </row>
    <row r="578" spans="7:7" x14ac:dyDescent="0.25">
      <c r="G578" s="91"/>
    </row>
    <row r="579" spans="7:7" x14ac:dyDescent="0.25">
      <c r="G579" s="91"/>
    </row>
    <row r="580" spans="7:7" x14ac:dyDescent="0.25">
      <c r="G580" s="91"/>
    </row>
    <row r="581" spans="7:7" x14ac:dyDescent="0.25">
      <c r="G581" s="91"/>
    </row>
    <row r="582" spans="7:7" x14ac:dyDescent="0.25">
      <c r="G582" s="91"/>
    </row>
    <row r="583" spans="7:7" x14ac:dyDescent="0.25">
      <c r="G583" s="91"/>
    </row>
    <row r="584" spans="7:7" x14ac:dyDescent="0.25">
      <c r="G584" s="91"/>
    </row>
    <row r="585" spans="7:7" x14ac:dyDescent="0.25">
      <c r="G585" s="91"/>
    </row>
    <row r="586" spans="7:7" x14ac:dyDescent="0.25">
      <c r="G586" s="91"/>
    </row>
    <row r="587" spans="7:7" x14ac:dyDescent="0.25">
      <c r="G587" s="91"/>
    </row>
    <row r="588" spans="7:7" x14ac:dyDescent="0.25">
      <c r="G588" s="91"/>
    </row>
    <row r="589" spans="7:7" x14ac:dyDescent="0.25">
      <c r="G589" s="91"/>
    </row>
    <row r="590" spans="7:7" x14ac:dyDescent="0.25">
      <c r="G590" s="91"/>
    </row>
    <row r="591" spans="7:7" x14ac:dyDescent="0.25">
      <c r="G591" s="91"/>
    </row>
    <row r="592" spans="7:7" x14ac:dyDescent="0.25">
      <c r="G592" s="91"/>
    </row>
    <row r="593" spans="7:7" x14ac:dyDescent="0.25">
      <c r="G593" s="91"/>
    </row>
    <row r="594" spans="7:7" x14ac:dyDescent="0.25">
      <c r="G594" s="91"/>
    </row>
    <row r="595" spans="7:7" x14ac:dyDescent="0.25">
      <c r="G595" s="91"/>
    </row>
    <row r="596" spans="7:7" x14ac:dyDescent="0.25">
      <c r="G596" s="91"/>
    </row>
    <row r="597" spans="7:7" x14ac:dyDescent="0.25">
      <c r="G597" s="91"/>
    </row>
    <row r="598" spans="7:7" x14ac:dyDescent="0.25">
      <c r="G598" s="91"/>
    </row>
    <row r="599" spans="7:7" x14ac:dyDescent="0.25">
      <c r="G599" s="91"/>
    </row>
    <row r="600" spans="7:7" x14ac:dyDescent="0.25">
      <c r="G600" s="91"/>
    </row>
    <row r="601" spans="7:7" x14ac:dyDescent="0.25">
      <c r="G601" s="91"/>
    </row>
    <row r="602" spans="7:7" x14ac:dyDescent="0.25">
      <c r="G602" s="91"/>
    </row>
    <row r="603" spans="7:7" x14ac:dyDescent="0.25">
      <c r="G603" s="91"/>
    </row>
    <row r="604" spans="7:7" x14ac:dyDescent="0.25">
      <c r="G604" s="91"/>
    </row>
    <row r="605" spans="7:7" x14ac:dyDescent="0.25">
      <c r="G605" s="91"/>
    </row>
    <row r="606" spans="7:7" x14ac:dyDescent="0.25">
      <c r="G606" s="91"/>
    </row>
    <row r="607" spans="7:7" x14ac:dyDescent="0.25">
      <c r="G607" s="91"/>
    </row>
    <row r="608" spans="7:7" x14ac:dyDescent="0.25">
      <c r="G608" s="91"/>
    </row>
    <row r="609" spans="7:7" x14ac:dyDescent="0.25">
      <c r="G609" s="91"/>
    </row>
    <row r="610" spans="7:7" x14ac:dyDescent="0.25">
      <c r="G610" s="91"/>
    </row>
    <row r="611" spans="7:7" x14ac:dyDescent="0.25">
      <c r="G611" s="91"/>
    </row>
    <row r="612" spans="7:7" x14ac:dyDescent="0.25">
      <c r="G612" s="91"/>
    </row>
    <row r="613" spans="7:7" x14ac:dyDescent="0.25">
      <c r="G613" s="91"/>
    </row>
    <row r="614" spans="7:7" x14ac:dyDescent="0.25">
      <c r="G614" s="91"/>
    </row>
    <row r="615" spans="7:7" x14ac:dyDescent="0.25">
      <c r="G615" s="91"/>
    </row>
    <row r="616" spans="7:7" x14ac:dyDescent="0.25">
      <c r="G616" s="91"/>
    </row>
    <row r="617" spans="7:7" x14ac:dyDescent="0.25">
      <c r="G617" s="91"/>
    </row>
    <row r="618" spans="7:7" x14ac:dyDescent="0.25">
      <c r="G618" s="91"/>
    </row>
    <row r="619" spans="7:7" x14ac:dyDescent="0.25">
      <c r="G619" s="91"/>
    </row>
    <row r="620" spans="7:7" x14ac:dyDescent="0.25">
      <c r="G620" s="91"/>
    </row>
    <row r="621" spans="7:7" x14ac:dyDescent="0.25">
      <c r="G621" s="91"/>
    </row>
    <row r="622" spans="7:7" x14ac:dyDescent="0.25">
      <c r="G622" s="91"/>
    </row>
    <row r="623" spans="7:7" x14ac:dyDescent="0.25">
      <c r="G623" s="91"/>
    </row>
    <row r="624" spans="7:7" x14ac:dyDescent="0.25">
      <c r="G624" s="91"/>
    </row>
    <row r="625" spans="7:7" x14ac:dyDescent="0.25">
      <c r="G625" s="91"/>
    </row>
    <row r="626" spans="7:7" x14ac:dyDescent="0.25">
      <c r="G626" s="91"/>
    </row>
    <row r="627" spans="7:7" x14ac:dyDescent="0.25">
      <c r="G627" s="91"/>
    </row>
    <row r="628" spans="7:7" x14ac:dyDescent="0.25">
      <c r="G628" s="91"/>
    </row>
    <row r="629" spans="7:7" x14ac:dyDescent="0.25">
      <c r="G629" s="91"/>
    </row>
    <row r="630" spans="7:7" x14ac:dyDescent="0.25">
      <c r="G630" s="91"/>
    </row>
    <row r="631" spans="7:7" x14ac:dyDescent="0.25">
      <c r="G631" s="91"/>
    </row>
    <row r="632" spans="7:7" x14ac:dyDescent="0.25">
      <c r="G632" s="91"/>
    </row>
    <row r="633" spans="7:7" x14ac:dyDescent="0.25">
      <c r="G633" s="91"/>
    </row>
    <row r="634" spans="7:7" x14ac:dyDescent="0.25">
      <c r="G634" s="91"/>
    </row>
    <row r="635" spans="7:7" x14ac:dyDescent="0.25">
      <c r="G635" s="91"/>
    </row>
    <row r="636" spans="7:7" x14ac:dyDescent="0.25">
      <c r="G636" s="91"/>
    </row>
    <row r="637" spans="7:7" x14ac:dyDescent="0.25">
      <c r="G637" s="91"/>
    </row>
    <row r="638" spans="7:7" x14ac:dyDescent="0.25">
      <c r="G638" s="91"/>
    </row>
    <row r="639" spans="7:7" x14ac:dyDescent="0.25">
      <c r="G639" s="91"/>
    </row>
    <row r="640" spans="7:7" x14ac:dyDescent="0.25">
      <c r="G640" s="91"/>
    </row>
    <row r="641" spans="7:7" x14ac:dyDescent="0.25">
      <c r="G641" s="91"/>
    </row>
    <row r="642" spans="7:7" x14ac:dyDescent="0.25">
      <c r="G642" s="91"/>
    </row>
    <row r="643" spans="7:7" x14ac:dyDescent="0.25">
      <c r="G643" s="91"/>
    </row>
    <row r="644" spans="7:7" x14ac:dyDescent="0.25">
      <c r="G644" s="91"/>
    </row>
    <row r="645" spans="7:7" x14ac:dyDescent="0.25">
      <c r="G645" s="91"/>
    </row>
    <row r="646" spans="7:7" x14ac:dyDescent="0.25">
      <c r="G646" s="91"/>
    </row>
    <row r="647" spans="7:7" x14ac:dyDescent="0.25">
      <c r="G647" s="91"/>
    </row>
    <row r="648" spans="7:7" x14ac:dyDescent="0.25">
      <c r="G648" s="91"/>
    </row>
    <row r="649" spans="7:7" x14ac:dyDescent="0.25">
      <c r="G649" s="91"/>
    </row>
    <row r="650" spans="7:7" x14ac:dyDescent="0.25">
      <c r="G650" s="91"/>
    </row>
    <row r="651" spans="7:7" x14ac:dyDescent="0.25">
      <c r="G651" s="91"/>
    </row>
    <row r="652" spans="7:7" x14ac:dyDescent="0.25">
      <c r="G652" s="91"/>
    </row>
    <row r="653" spans="7:7" x14ac:dyDescent="0.25">
      <c r="G653" s="91"/>
    </row>
    <row r="654" spans="7:7" x14ac:dyDescent="0.25">
      <c r="G654" s="91"/>
    </row>
    <row r="655" spans="7:7" x14ac:dyDescent="0.25">
      <c r="G655" s="91"/>
    </row>
    <row r="656" spans="7:7" x14ac:dyDescent="0.25">
      <c r="G656" s="91"/>
    </row>
    <row r="657" spans="7:7" x14ac:dyDescent="0.25">
      <c r="G657" s="91"/>
    </row>
    <row r="658" spans="7:7" x14ac:dyDescent="0.25">
      <c r="G658" s="91"/>
    </row>
    <row r="659" spans="7:7" x14ac:dyDescent="0.25">
      <c r="G659" s="91"/>
    </row>
    <row r="660" spans="7:7" x14ac:dyDescent="0.25">
      <c r="G660" s="91"/>
    </row>
    <row r="661" spans="7:7" x14ac:dyDescent="0.25">
      <c r="G661" s="91"/>
    </row>
    <row r="662" spans="7:7" x14ac:dyDescent="0.25">
      <c r="G662" s="91"/>
    </row>
    <row r="663" spans="7:7" x14ac:dyDescent="0.25">
      <c r="G663" s="91"/>
    </row>
    <row r="664" spans="7:7" x14ac:dyDescent="0.25">
      <c r="G664" s="91"/>
    </row>
    <row r="665" spans="7:7" x14ac:dyDescent="0.25">
      <c r="G665" s="91"/>
    </row>
    <row r="666" spans="7:7" x14ac:dyDescent="0.25">
      <c r="G666" s="91"/>
    </row>
    <row r="667" spans="7:7" x14ac:dyDescent="0.25">
      <c r="G667" s="91"/>
    </row>
    <row r="668" spans="7:7" x14ac:dyDescent="0.25">
      <c r="G668" s="91"/>
    </row>
    <row r="669" spans="7:7" x14ac:dyDescent="0.25">
      <c r="G669" s="91"/>
    </row>
    <row r="670" spans="7:7" x14ac:dyDescent="0.25">
      <c r="G670" s="91"/>
    </row>
    <row r="671" spans="7:7" x14ac:dyDescent="0.25">
      <c r="G671" s="91"/>
    </row>
    <row r="672" spans="7:7" x14ac:dyDescent="0.25">
      <c r="G672" s="91"/>
    </row>
    <row r="673" spans="7:7" x14ac:dyDescent="0.25">
      <c r="G673" s="91"/>
    </row>
    <row r="674" spans="7:7" x14ac:dyDescent="0.25">
      <c r="G674" s="91"/>
    </row>
    <row r="675" spans="7:7" x14ac:dyDescent="0.25">
      <c r="G675" s="91"/>
    </row>
    <row r="676" spans="7:7" x14ac:dyDescent="0.25">
      <c r="G676" s="91"/>
    </row>
    <row r="677" spans="7:7" x14ac:dyDescent="0.25">
      <c r="G677" s="91"/>
    </row>
    <row r="678" spans="7:7" x14ac:dyDescent="0.25">
      <c r="G678" s="91"/>
    </row>
    <row r="679" spans="7:7" x14ac:dyDescent="0.25">
      <c r="G679" s="91"/>
    </row>
    <row r="680" spans="7:7" x14ac:dyDescent="0.25">
      <c r="G680" s="91"/>
    </row>
    <row r="681" spans="7:7" x14ac:dyDescent="0.25">
      <c r="G681" s="91"/>
    </row>
    <row r="682" spans="7:7" x14ac:dyDescent="0.25">
      <c r="G682" s="91"/>
    </row>
    <row r="683" spans="7:7" x14ac:dyDescent="0.25">
      <c r="G683" s="91"/>
    </row>
    <row r="684" spans="7:7" x14ac:dyDescent="0.25">
      <c r="G684" s="91"/>
    </row>
    <row r="685" spans="7:7" x14ac:dyDescent="0.25">
      <c r="G685" s="91"/>
    </row>
    <row r="686" spans="7:7" x14ac:dyDescent="0.25">
      <c r="G686" s="91"/>
    </row>
    <row r="687" spans="7:7" x14ac:dyDescent="0.25">
      <c r="G687" s="91"/>
    </row>
    <row r="688" spans="7:7" x14ac:dyDescent="0.25">
      <c r="G688" s="91"/>
    </row>
    <row r="689" spans="7:7" x14ac:dyDescent="0.25">
      <c r="G689" s="91"/>
    </row>
    <row r="690" spans="7:7" x14ac:dyDescent="0.25">
      <c r="G690" s="91"/>
    </row>
    <row r="691" spans="7:7" x14ac:dyDescent="0.25">
      <c r="G691" s="91"/>
    </row>
    <row r="692" spans="7:7" x14ac:dyDescent="0.25">
      <c r="G692" s="91"/>
    </row>
    <row r="693" spans="7:7" x14ac:dyDescent="0.25">
      <c r="G693" s="91"/>
    </row>
    <row r="694" spans="7:7" x14ac:dyDescent="0.25">
      <c r="G694" s="91"/>
    </row>
    <row r="695" spans="7:7" x14ac:dyDescent="0.25">
      <c r="G695" s="91"/>
    </row>
    <row r="696" spans="7:7" x14ac:dyDescent="0.25">
      <c r="G696" s="91"/>
    </row>
    <row r="697" spans="7:7" x14ac:dyDescent="0.25">
      <c r="G697" s="91"/>
    </row>
    <row r="698" spans="7:7" x14ac:dyDescent="0.25">
      <c r="G698" s="91"/>
    </row>
    <row r="699" spans="7:7" x14ac:dyDescent="0.25">
      <c r="G699" s="91"/>
    </row>
    <row r="700" spans="7:7" x14ac:dyDescent="0.25">
      <c r="G700" s="91"/>
    </row>
    <row r="701" spans="7:7" x14ac:dyDescent="0.25">
      <c r="G701" s="91"/>
    </row>
    <row r="702" spans="7:7" x14ac:dyDescent="0.25">
      <c r="G702" s="91"/>
    </row>
    <row r="703" spans="7:7" x14ac:dyDescent="0.25">
      <c r="G703" s="91"/>
    </row>
    <row r="704" spans="7:7" x14ac:dyDescent="0.25">
      <c r="G704" s="91"/>
    </row>
    <row r="705" spans="7:7" x14ac:dyDescent="0.25">
      <c r="G705" s="91"/>
    </row>
    <row r="706" spans="7:7" x14ac:dyDescent="0.25">
      <c r="G706" s="91"/>
    </row>
    <row r="707" spans="7:7" x14ac:dyDescent="0.25">
      <c r="G707" s="91"/>
    </row>
    <row r="708" spans="7:7" x14ac:dyDescent="0.25">
      <c r="G708" s="91"/>
    </row>
    <row r="709" spans="7:7" x14ac:dyDescent="0.25">
      <c r="G709" s="91"/>
    </row>
    <row r="710" spans="7:7" x14ac:dyDescent="0.25">
      <c r="G710" s="91"/>
    </row>
    <row r="711" spans="7:7" x14ac:dyDescent="0.25">
      <c r="G711" s="91"/>
    </row>
    <row r="712" spans="7:7" x14ac:dyDescent="0.25">
      <c r="G712" s="91"/>
    </row>
    <row r="713" spans="7:7" x14ac:dyDescent="0.25">
      <c r="G713" s="91"/>
    </row>
    <row r="714" spans="7:7" x14ac:dyDescent="0.25">
      <c r="G714" s="91"/>
    </row>
    <row r="715" spans="7:7" x14ac:dyDescent="0.25">
      <c r="G715" s="91"/>
    </row>
    <row r="716" spans="7:7" x14ac:dyDescent="0.25">
      <c r="G716" s="91"/>
    </row>
    <row r="717" spans="7:7" x14ac:dyDescent="0.25">
      <c r="G717" s="91"/>
    </row>
    <row r="718" spans="7:7" x14ac:dyDescent="0.25">
      <c r="G718" s="91"/>
    </row>
    <row r="719" spans="7:7" x14ac:dyDescent="0.25">
      <c r="G719" s="91"/>
    </row>
    <row r="720" spans="7:7" x14ac:dyDescent="0.25">
      <c r="G720" s="91"/>
    </row>
    <row r="721" spans="7:7" x14ac:dyDescent="0.25">
      <c r="G721" s="91"/>
    </row>
    <row r="722" spans="7:7" x14ac:dyDescent="0.25">
      <c r="G722" s="91"/>
    </row>
    <row r="723" spans="7:7" x14ac:dyDescent="0.25">
      <c r="G723" s="91"/>
    </row>
    <row r="724" spans="7:7" x14ac:dyDescent="0.25">
      <c r="G724" s="91"/>
    </row>
    <row r="725" spans="7:7" x14ac:dyDescent="0.25">
      <c r="G725" s="91"/>
    </row>
    <row r="726" spans="7:7" x14ac:dyDescent="0.25">
      <c r="G726" s="91"/>
    </row>
    <row r="727" spans="7:7" x14ac:dyDescent="0.25">
      <c r="G727" s="91"/>
    </row>
    <row r="728" spans="7:7" x14ac:dyDescent="0.25">
      <c r="G728" s="91"/>
    </row>
    <row r="729" spans="7:7" x14ac:dyDescent="0.25">
      <c r="G729" s="91"/>
    </row>
    <row r="730" spans="7:7" x14ac:dyDescent="0.25">
      <c r="G730" s="91"/>
    </row>
    <row r="731" spans="7:7" x14ac:dyDescent="0.25">
      <c r="G731" s="91"/>
    </row>
    <row r="732" spans="7:7" x14ac:dyDescent="0.25">
      <c r="G732" s="91"/>
    </row>
    <row r="733" spans="7:7" x14ac:dyDescent="0.25">
      <c r="G733" s="91"/>
    </row>
    <row r="734" spans="7:7" x14ac:dyDescent="0.25">
      <c r="G734" s="91"/>
    </row>
    <row r="735" spans="7:7" x14ac:dyDescent="0.25">
      <c r="G735" s="91"/>
    </row>
    <row r="736" spans="7:7" x14ac:dyDescent="0.25">
      <c r="G736" s="91"/>
    </row>
    <row r="737" spans="7:7" x14ac:dyDescent="0.25">
      <c r="G737" s="91"/>
    </row>
    <row r="738" spans="7:7" x14ac:dyDescent="0.25">
      <c r="G738" s="91"/>
    </row>
    <row r="739" spans="7:7" x14ac:dyDescent="0.25">
      <c r="G739" s="91"/>
    </row>
    <row r="740" spans="7:7" x14ac:dyDescent="0.25">
      <c r="G740" s="91"/>
    </row>
    <row r="741" spans="7:7" x14ac:dyDescent="0.25">
      <c r="G741" s="91"/>
    </row>
    <row r="742" spans="7:7" x14ac:dyDescent="0.25">
      <c r="G742" s="91"/>
    </row>
    <row r="743" spans="7:7" x14ac:dyDescent="0.25">
      <c r="G743" s="91"/>
    </row>
    <row r="744" spans="7:7" x14ac:dyDescent="0.25">
      <c r="G744" s="91"/>
    </row>
    <row r="745" spans="7:7" x14ac:dyDescent="0.25">
      <c r="G745" s="91"/>
    </row>
    <row r="746" spans="7:7" x14ac:dyDescent="0.25">
      <c r="G746" s="91"/>
    </row>
    <row r="747" spans="7:7" x14ac:dyDescent="0.25">
      <c r="G747" s="91"/>
    </row>
    <row r="748" spans="7:7" x14ac:dyDescent="0.25">
      <c r="G748" s="91"/>
    </row>
    <row r="749" spans="7:7" x14ac:dyDescent="0.25">
      <c r="G749" s="91"/>
    </row>
    <row r="750" spans="7:7" x14ac:dyDescent="0.25">
      <c r="G750" s="91"/>
    </row>
    <row r="751" spans="7:7" x14ac:dyDescent="0.25">
      <c r="G751" s="91"/>
    </row>
    <row r="752" spans="7:7" x14ac:dyDescent="0.25">
      <c r="G752" s="91"/>
    </row>
    <row r="753" spans="7:7" x14ac:dyDescent="0.25">
      <c r="G753" s="91"/>
    </row>
    <row r="754" spans="7:7" x14ac:dyDescent="0.25">
      <c r="G754" s="91"/>
    </row>
    <row r="755" spans="7:7" x14ac:dyDescent="0.25">
      <c r="G755" s="91"/>
    </row>
    <row r="756" spans="7:7" x14ac:dyDescent="0.25">
      <c r="G756" s="91"/>
    </row>
    <row r="757" spans="7:7" x14ac:dyDescent="0.25">
      <c r="G757" s="91"/>
    </row>
    <row r="758" spans="7:7" x14ac:dyDescent="0.25">
      <c r="G758" s="91"/>
    </row>
    <row r="759" spans="7:7" x14ac:dyDescent="0.25">
      <c r="G759" s="91"/>
    </row>
    <row r="760" spans="7:7" x14ac:dyDescent="0.25">
      <c r="G760" s="91"/>
    </row>
    <row r="761" spans="7:7" x14ac:dyDescent="0.25">
      <c r="G761" s="91"/>
    </row>
    <row r="762" spans="7:7" x14ac:dyDescent="0.25">
      <c r="G762" s="91"/>
    </row>
    <row r="763" spans="7:7" x14ac:dyDescent="0.25">
      <c r="G763" s="91"/>
    </row>
    <row r="764" spans="7:7" x14ac:dyDescent="0.25">
      <c r="G764" s="91"/>
    </row>
    <row r="765" spans="7:7" x14ac:dyDescent="0.25">
      <c r="G765" s="91"/>
    </row>
    <row r="766" spans="7:7" x14ac:dyDescent="0.25">
      <c r="G766" s="91"/>
    </row>
    <row r="767" spans="7:7" x14ac:dyDescent="0.25">
      <c r="G767" s="91"/>
    </row>
    <row r="768" spans="7:7" x14ac:dyDescent="0.25">
      <c r="G768" s="91"/>
    </row>
    <row r="769" spans="7:7" x14ac:dyDescent="0.25">
      <c r="G769" s="91"/>
    </row>
    <row r="770" spans="7:7" x14ac:dyDescent="0.25">
      <c r="G770" s="91"/>
    </row>
    <row r="771" spans="7:7" x14ac:dyDescent="0.25">
      <c r="G771" s="91"/>
    </row>
    <row r="772" spans="7:7" x14ac:dyDescent="0.25">
      <c r="G772" s="91"/>
    </row>
    <row r="773" spans="7:7" x14ac:dyDescent="0.25">
      <c r="G773" s="91"/>
    </row>
    <row r="774" spans="7:7" x14ac:dyDescent="0.25">
      <c r="G774" s="91"/>
    </row>
    <row r="775" spans="7:7" x14ac:dyDescent="0.25">
      <c r="G775" s="91"/>
    </row>
    <row r="776" spans="7:7" x14ac:dyDescent="0.25">
      <c r="G776" s="91"/>
    </row>
    <row r="777" spans="7:7" x14ac:dyDescent="0.25">
      <c r="G777" s="91"/>
    </row>
    <row r="778" spans="7:7" x14ac:dyDescent="0.25">
      <c r="G778" s="91"/>
    </row>
    <row r="779" spans="7:7" x14ac:dyDescent="0.25">
      <c r="G779" s="91"/>
    </row>
    <row r="780" spans="7:7" x14ac:dyDescent="0.25">
      <c r="G780" s="91"/>
    </row>
    <row r="781" spans="7:7" x14ac:dyDescent="0.25">
      <c r="G781" s="91"/>
    </row>
    <row r="782" spans="7:7" x14ac:dyDescent="0.25">
      <c r="G782" s="91"/>
    </row>
    <row r="783" spans="7:7" x14ac:dyDescent="0.25">
      <c r="G783" s="91"/>
    </row>
    <row r="784" spans="7:7" x14ac:dyDescent="0.25">
      <c r="G784" s="91"/>
    </row>
    <row r="785" spans="7:7" x14ac:dyDescent="0.25">
      <c r="G785" s="91"/>
    </row>
    <row r="786" spans="7:7" x14ac:dyDescent="0.25">
      <c r="G786" s="91"/>
    </row>
    <row r="787" spans="7:7" x14ac:dyDescent="0.25">
      <c r="G787" s="91"/>
    </row>
    <row r="788" spans="7:7" x14ac:dyDescent="0.25">
      <c r="G788" s="91"/>
    </row>
    <row r="789" spans="7:7" x14ac:dyDescent="0.25">
      <c r="G789" s="91"/>
    </row>
    <row r="790" spans="7:7" x14ac:dyDescent="0.25">
      <c r="G790" s="91"/>
    </row>
    <row r="791" spans="7:7" x14ac:dyDescent="0.25">
      <c r="G791" s="91"/>
    </row>
    <row r="792" spans="7:7" x14ac:dyDescent="0.25">
      <c r="G792" s="91"/>
    </row>
    <row r="793" spans="7:7" x14ac:dyDescent="0.25">
      <c r="G793" s="91"/>
    </row>
    <row r="794" spans="7:7" x14ac:dyDescent="0.25">
      <c r="G794" s="91"/>
    </row>
    <row r="795" spans="7:7" x14ac:dyDescent="0.25">
      <c r="G795" s="91"/>
    </row>
    <row r="796" spans="7:7" x14ac:dyDescent="0.25">
      <c r="G796" s="91"/>
    </row>
    <row r="797" spans="7:7" x14ac:dyDescent="0.25">
      <c r="G797" s="91"/>
    </row>
    <row r="798" spans="7:7" x14ac:dyDescent="0.25">
      <c r="G798" s="91"/>
    </row>
    <row r="799" spans="7:7" x14ac:dyDescent="0.25">
      <c r="G799" s="91"/>
    </row>
    <row r="800" spans="7:7" x14ac:dyDescent="0.25">
      <c r="G800" s="91"/>
    </row>
    <row r="801" spans="7:7" x14ac:dyDescent="0.25">
      <c r="G801" s="91"/>
    </row>
    <row r="802" spans="7:7" x14ac:dyDescent="0.25">
      <c r="G802" s="91"/>
    </row>
    <row r="803" spans="7:7" x14ac:dyDescent="0.25">
      <c r="G803" s="91"/>
    </row>
    <row r="804" spans="7:7" x14ac:dyDescent="0.25">
      <c r="G804" s="91"/>
    </row>
    <row r="805" spans="7:7" x14ac:dyDescent="0.25">
      <c r="G805" s="91"/>
    </row>
    <row r="806" spans="7:7" x14ac:dyDescent="0.25">
      <c r="G806" s="91"/>
    </row>
    <row r="807" spans="7:7" x14ac:dyDescent="0.25">
      <c r="G807" s="91"/>
    </row>
    <row r="808" spans="7:7" x14ac:dyDescent="0.25">
      <c r="G808" s="91"/>
    </row>
    <row r="809" spans="7:7" x14ac:dyDescent="0.25">
      <c r="G809" s="91"/>
    </row>
    <row r="810" spans="7:7" x14ac:dyDescent="0.25">
      <c r="G810" s="91"/>
    </row>
    <row r="811" spans="7:7" x14ac:dyDescent="0.25">
      <c r="G811" s="91"/>
    </row>
    <row r="812" spans="7:7" x14ac:dyDescent="0.25">
      <c r="G812" s="91"/>
    </row>
    <row r="813" spans="7:7" x14ac:dyDescent="0.25">
      <c r="G813" s="91"/>
    </row>
    <row r="814" spans="7:7" x14ac:dyDescent="0.25">
      <c r="G814" s="91"/>
    </row>
    <row r="815" spans="7:7" x14ac:dyDescent="0.25">
      <c r="G815" s="91"/>
    </row>
    <row r="816" spans="7:7" x14ac:dyDescent="0.25">
      <c r="G816" s="91"/>
    </row>
    <row r="817" spans="7:7" x14ac:dyDescent="0.25">
      <c r="G817" s="91"/>
    </row>
    <row r="818" spans="7:7" x14ac:dyDescent="0.25">
      <c r="G818" s="91"/>
    </row>
    <row r="819" spans="7:7" x14ac:dyDescent="0.25">
      <c r="G819" s="91"/>
    </row>
    <row r="820" spans="7:7" x14ac:dyDescent="0.25">
      <c r="G820" s="91"/>
    </row>
    <row r="821" spans="7:7" x14ac:dyDescent="0.25">
      <c r="G821" s="91"/>
    </row>
    <row r="822" spans="7:7" x14ac:dyDescent="0.25">
      <c r="G822" s="91"/>
    </row>
    <row r="823" spans="7:7" x14ac:dyDescent="0.25">
      <c r="G823" s="91"/>
    </row>
    <row r="824" spans="7:7" x14ac:dyDescent="0.25">
      <c r="G824" s="91"/>
    </row>
    <row r="825" spans="7:7" x14ac:dyDescent="0.25">
      <c r="G825" s="91"/>
    </row>
    <row r="826" spans="7:7" x14ac:dyDescent="0.25">
      <c r="G826" s="91"/>
    </row>
    <row r="827" spans="7:7" x14ac:dyDescent="0.25">
      <c r="G827" s="91"/>
    </row>
    <row r="828" spans="7:7" x14ac:dyDescent="0.25">
      <c r="G828" s="91"/>
    </row>
    <row r="829" spans="7:7" x14ac:dyDescent="0.25">
      <c r="G829" s="91"/>
    </row>
    <row r="830" spans="7:7" x14ac:dyDescent="0.25">
      <c r="G830" s="91"/>
    </row>
    <row r="831" spans="7:7" x14ac:dyDescent="0.25">
      <c r="G831" s="91"/>
    </row>
    <row r="832" spans="7:7" x14ac:dyDescent="0.25">
      <c r="G832" s="91"/>
    </row>
    <row r="833" spans="7:7" x14ac:dyDescent="0.25">
      <c r="G833" s="91"/>
    </row>
    <row r="834" spans="7:7" x14ac:dyDescent="0.25">
      <c r="G834" s="91"/>
    </row>
    <row r="835" spans="7:7" x14ac:dyDescent="0.25">
      <c r="G835" s="91"/>
    </row>
    <row r="836" spans="7:7" x14ac:dyDescent="0.25">
      <c r="G836" s="91"/>
    </row>
    <row r="837" spans="7:7" x14ac:dyDescent="0.25">
      <c r="G837" s="91"/>
    </row>
    <row r="838" spans="7:7" x14ac:dyDescent="0.25">
      <c r="G838" s="91"/>
    </row>
    <row r="839" spans="7:7" x14ac:dyDescent="0.25">
      <c r="G839" s="91"/>
    </row>
    <row r="840" spans="7:7" x14ac:dyDescent="0.25">
      <c r="G840" s="91"/>
    </row>
    <row r="841" spans="7:7" x14ac:dyDescent="0.25">
      <c r="G841" s="91"/>
    </row>
    <row r="842" spans="7:7" x14ac:dyDescent="0.25">
      <c r="G842" s="91"/>
    </row>
    <row r="843" spans="7:7" x14ac:dyDescent="0.25">
      <c r="G843" s="91"/>
    </row>
    <row r="844" spans="7:7" x14ac:dyDescent="0.25">
      <c r="G844" s="91"/>
    </row>
    <row r="845" spans="7:7" x14ac:dyDescent="0.25">
      <c r="G845" s="91"/>
    </row>
    <row r="846" spans="7:7" x14ac:dyDescent="0.25">
      <c r="G846" s="91"/>
    </row>
    <row r="847" spans="7:7" x14ac:dyDescent="0.25">
      <c r="G847" s="91"/>
    </row>
    <row r="848" spans="7:7" x14ac:dyDescent="0.25">
      <c r="G848" s="91"/>
    </row>
    <row r="849" spans="7:7" x14ac:dyDescent="0.25">
      <c r="G849" s="91"/>
    </row>
    <row r="850" spans="7:7" x14ac:dyDescent="0.25">
      <c r="G850" s="91"/>
    </row>
    <row r="851" spans="7:7" x14ac:dyDescent="0.25">
      <c r="G851" s="91"/>
    </row>
    <row r="852" spans="7:7" x14ac:dyDescent="0.25">
      <c r="G852" s="91"/>
    </row>
    <row r="853" spans="7:7" x14ac:dyDescent="0.25">
      <c r="G853" s="91"/>
    </row>
    <row r="854" spans="7:7" x14ac:dyDescent="0.25">
      <c r="G854" s="91"/>
    </row>
    <row r="855" spans="7:7" x14ac:dyDescent="0.25">
      <c r="G855" s="91"/>
    </row>
    <row r="856" spans="7:7" x14ac:dyDescent="0.25">
      <c r="G856" s="91"/>
    </row>
    <row r="857" spans="7:7" x14ac:dyDescent="0.25">
      <c r="G857" s="91"/>
    </row>
    <row r="858" spans="7:7" x14ac:dyDescent="0.25">
      <c r="G858" s="91"/>
    </row>
    <row r="859" spans="7:7" x14ac:dyDescent="0.25">
      <c r="G859" s="91"/>
    </row>
    <row r="860" spans="7:7" x14ac:dyDescent="0.25">
      <c r="G860" s="91"/>
    </row>
    <row r="861" spans="7:7" x14ac:dyDescent="0.25">
      <c r="G861" s="91"/>
    </row>
    <row r="862" spans="7:7" x14ac:dyDescent="0.25">
      <c r="G862" s="91"/>
    </row>
    <row r="863" spans="7:7" x14ac:dyDescent="0.25">
      <c r="G863" s="91"/>
    </row>
    <row r="864" spans="7:7" x14ac:dyDescent="0.25">
      <c r="G864" s="91"/>
    </row>
    <row r="865" spans="7:7" x14ac:dyDescent="0.25">
      <c r="G865" s="91"/>
    </row>
    <row r="866" spans="7:7" x14ac:dyDescent="0.25">
      <c r="G866" s="91"/>
    </row>
    <row r="867" spans="7:7" x14ac:dyDescent="0.25">
      <c r="G867" s="91"/>
    </row>
    <row r="868" spans="7:7" x14ac:dyDescent="0.25">
      <c r="G868" s="91"/>
    </row>
    <row r="869" spans="7:7" x14ac:dyDescent="0.25">
      <c r="G869" s="91"/>
    </row>
    <row r="870" spans="7:7" x14ac:dyDescent="0.25">
      <c r="G870" s="91"/>
    </row>
    <row r="871" spans="7:7" x14ac:dyDescent="0.25">
      <c r="G871" s="91"/>
    </row>
    <row r="872" spans="7:7" x14ac:dyDescent="0.25">
      <c r="G872" s="91"/>
    </row>
    <row r="873" spans="7:7" x14ac:dyDescent="0.25">
      <c r="G873" s="91"/>
    </row>
    <row r="874" spans="7:7" x14ac:dyDescent="0.25">
      <c r="G874" s="91"/>
    </row>
    <row r="875" spans="7:7" x14ac:dyDescent="0.25">
      <c r="G875" s="91"/>
    </row>
    <row r="876" spans="7:7" x14ac:dyDescent="0.25">
      <c r="G876" s="91"/>
    </row>
    <row r="877" spans="7:7" x14ac:dyDescent="0.25">
      <c r="G877" s="91"/>
    </row>
    <row r="878" spans="7:7" x14ac:dyDescent="0.25">
      <c r="G878" s="91"/>
    </row>
    <row r="879" spans="7:7" x14ac:dyDescent="0.25">
      <c r="G879" s="91"/>
    </row>
    <row r="880" spans="7:7" x14ac:dyDescent="0.25">
      <c r="G880" s="91"/>
    </row>
    <row r="881" spans="7:7" x14ac:dyDescent="0.25">
      <c r="G881" s="91"/>
    </row>
    <row r="882" spans="7:7" x14ac:dyDescent="0.25">
      <c r="G882" s="91"/>
    </row>
    <row r="883" spans="7:7" x14ac:dyDescent="0.25">
      <c r="G883" s="91"/>
    </row>
    <row r="884" spans="7:7" x14ac:dyDescent="0.25">
      <c r="G884" s="91"/>
    </row>
    <row r="885" spans="7:7" x14ac:dyDescent="0.25">
      <c r="G885" s="91"/>
    </row>
    <row r="886" spans="7:7" x14ac:dyDescent="0.25">
      <c r="G886" s="91"/>
    </row>
    <row r="887" spans="7:7" x14ac:dyDescent="0.25">
      <c r="G887" s="91"/>
    </row>
    <row r="888" spans="7:7" x14ac:dyDescent="0.25">
      <c r="G888" s="91"/>
    </row>
    <row r="889" spans="7:7" x14ac:dyDescent="0.25">
      <c r="G889" s="91"/>
    </row>
    <row r="890" spans="7:7" x14ac:dyDescent="0.25">
      <c r="G890" s="91"/>
    </row>
    <row r="891" spans="7:7" x14ac:dyDescent="0.25">
      <c r="G891" s="91"/>
    </row>
    <row r="892" spans="7:7" x14ac:dyDescent="0.25">
      <c r="G892" s="91"/>
    </row>
    <row r="893" spans="7:7" x14ac:dyDescent="0.25">
      <c r="G893" s="91"/>
    </row>
    <row r="894" spans="7:7" x14ac:dyDescent="0.25">
      <c r="G894" s="91"/>
    </row>
    <row r="895" spans="7:7" x14ac:dyDescent="0.25">
      <c r="G895" s="91"/>
    </row>
    <row r="896" spans="7:7" x14ac:dyDescent="0.25">
      <c r="G896" s="91"/>
    </row>
    <row r="897" spans="7:7" x14ac:dyDescent="0.25">
      <c r="G897" s="91"/>
    </row>
    <row r="898" spans="7:7" x14ac:dyDescent="0.25">
      <c r="G898" s="91"/>
    </row>
    <row r="899" spans="7:7" x14ac:dyDescent="0.25">
      <c r="G899" s="91"/>
    </row>
    <row r="900" spans="7:7" x14ac:dyDescent="0.25">
      <c r="G900" s="91"/>
    </row>
    <row r="901" spans="7:7" x14ac:dyDescent="0.25">
      <c r="G901" s="91"/>
    </row>
    <row r="902" spans="7:7" x14ac:dyDescent="0.25">
      <c r="G902" s="91"/>
    </row>
    <row r="903" spans="7:7" x14ac:dyDescent="0.25">
      <c r="G903" s="91"/>
    </row>
    <row r="904" spans="7:7" x14ac:dyDescent="0.25">
      <c r="G904" s="91"/>
    </row>
    <row r="905" spans="7:7" x14ac:dyDescent="0.25">
      <c r="G905" s="91"/>
    </row>
    <row r="906" spans="7:7" x14ac:dyDescent="0.25">
      <c r="G906" s="91"/>
    </row>
    <row r="907" spans="7:7" x14ac:dyDescent="0.25">
      <c r="G907" s="91"/>
    </row>
    <row r="908" spans="7:7" x14ac:dyDescent="0.25">
      <c r="G908" s="91"/>
    </row>
    <row r="909" spans="7:7" x14ac:dyDescent="0.25">
      <c r="G909" s="91"/>
    </row>
    <row r="910" spans="7:7" x14ac:dyDescent="0.25">
      <c r="G910" s="91"/>
    </row>
    <row r="911" spans="7:7" x14ac:dyDescent="0.25">
      <c r="G911" s="91"/>
    </row>
    <row r="912" spans="7:7" x14ac:dyDescent="0.25">
      <c r="G912" s="91"/>
    </row>
    <row r="913" spans="7:7" x14ac:dyDescent="0.25">
      <c r="G913" s="91"/>
    </row>
    <row r="914" spans="7:7" x14ac:dyDescent="0.25">
      <c r="G914" s="91"/>
    </row>
    <row r="915" spans="7:7" x14ac:dyDescent="0.25">
      <c r="G915" s="91"/>
    </row>
    <row r="916" spans="7:7" x14ac:dyDescent="0.25">
      <c r="G916" s="91"/>
    </row>
    <row r="917" spans="7:7" x14ac:dyDescent="0.25">
      <c r="G917" s="91"/>
    </row>
    <row r="918" spans="7:7" x14ac:dyDescent="0.25">
      <c r="G918" s="91"/>
    </row>
    <row r="919" spans="7:7" x14ac:dyDescent="0.25">
      <c r="G919" s="91"/>
    </row>
    <row r="920" spans="7:7" x14ac:dyDescent="0.25">
      <c r="G920" s="91"/>
    </row>
    <row r="921" spans="7:7" x14ac:dyDescent="0.25">
      <c r="G921" s="91"/>
    </row>
    <row r="922" spans="7:7" x14ac:dyDescent="0.25">
      <c r="G922" s="91"/>
    </row>
    <row r="923" spans="7:7" x14ac:dyDescent="0.25">
      <c r="G923" s="91"/>
    </row>
    <row r="924" spans="7:7" x14ac:dyDescent="0.25">
      <c r="G924" s="91"/>
    </row>
    <row r="925" spans="7:7" x14ac:dyDescent="0.25">
      <c r="G925" s="91"/>
    </row>
    <row r="926" spans="7:7" x14ac:dyDescent="0.25">
      <c r="G926" s="91"/>
    </row>
    <row r="927" spans="7:7" x14ac:dyDescent="0.25">
      <c r="G927" s="91"/>
    </row>
    <row r="928" spans="7:7" x14ac:dyDescent="0.25">
      <c r="G928" s="91"/>
    </row>
    <row r="929" spans="7:7" x14ac:dyDescent="0.25">
      <c r="G929" s="91"/>
    </row>
    <row r="930" spans="7:7" x14ac:dyDescent="0.25">
      <c r="G930" s="91"/>
    </row>
    <row r="931" spans="7:7" x14ac:dyDescent="0.25">
      <c r="G931" s="91"/>
    </row>
    <row r="932" spans="7:7" x14ac:dyDescent="0.25">
      <c r="G932" s="91"/>
    </row>
    <row r="933" spans="7:7" x14ac:dyDescent="0.25">
      <c r="G933" s="91"/>
    </row>
    <row r="934" spans="7:7" x14ac:dyDescent="0.25">
      <c r="G934" s="91"/>
    </row>
    <row r="935" spans="7:7" x14ac:dyDescent="0.25">
      <c r="G935" s="91"/>
    </row>
    <row r="936" spans="7:7" x14ac:dyDescent="0.25">
      <c r="G936" s="91"/>
    </row>
    <row r="937" spans="7:7" x14ac:dyDescent="0.25">
      <c r="G937" s="91"/>
    </row>
    <row r="938" spans="7:7" x14ac:dyDescent="0.25">
      <c r="G938" s="91"/>
    </row>
    <row r="939" spans="7:7" x14ac:dyDescent="0.25">
      <c r="G939" s="91"/>
    </row>
    <row r="940" spans="7:7" x14ac:dyDescent="0.25">
      <c r="G940" s="91"/>
    </row>
    <row r="941" spans="7:7" x14ac:dyDescent="0.25">
      <c r="G941" s="91"/>
    </row>
    <row r="942" spans="7:7" x14ac:dyDescent="0.25">
      <c r="G942" s="91"/>
    </row>
    <row r="943" spans="7:7" x14ac:dyDescent="0.25">
      <c r="G943" s="91"/>
    </row>
    <row r="944" spans="7:7" x14ac:dyDescent="0.25">
      <c r="G944" s="91"/>
    </row>
    <row r="945" spans="7:7" x14ac:dyDescent="0.25">
      <c r="G945" s="91"/>
    </row>
    <row r="946" spans="7:7" x14ac:dyDescent="0.25">
      <c r="G946" s="91"/>
    </row>
    <row r="947" spans="7:7" x14ac:dyDescent="0.25">
      <c r="G947" s="91"/>
    </row>
    <row r="948" spans="7:7" x14ac:dyDescent="0.25">
      <c r="G948" s="91"/>
    </row>
    <row r="949" spans="7:7" x14ac:dyDescent="0.25">
      <c r="G949" s="91"/>
    </row>
    <row r="950" spans="7:7" x14ac:dyDescent="0.25">
      <c r="G950" s="91"/>
    </row>
    <row r="951" spans="7:7" x14ac:dyDescent="0.25">
      <c r="G951" s="91"/>
    </row>
    <row r="952" spans="7:7" x14ac:dyDescent="0.25">
      <c r="G952" s="91"/>
    </row>
    <row r="953" spans="7:7" x14ac:dyDescent="0.25">
      <c r="G953" s="91"/>
    </row>
    <row r="954" spans="7:7" x14ac:dyDescent="0.25">
      <c r="G954" s="91"/>
    </row>
    <row r="955" spans="7:7" x14ac:dyDescent="0.25">
      <c r="G955" s="91"/>
    </row>
    <row r="956" spans="7:7" x14ac:dyDescent="0.25">
      <c r="G956" s="91"/>
    </row>
    <row r="957" spans="7:7" x14ac:dyDescent="0.25">
      <c r="G957" s="91"/>
    </row>
    <row r="958" spans="7:7" x14ac:dyDescent="0.25">
      <c r="G958" s="91"/>
    </row>
    <row r="959" spans="7:7" x14ac:dyDescent="0.25">
      <c r="G959" s="91"/>
    </row>
    <row r="960" spans="7:7" x14ac:dyDescent="0.25">
      <c r="G960" s="91"/>
    </row>
    <row r="961" spans="7:7" x14ac:dyDescent="0.25">
      <c r="G961" s="91"/>
    </row>
    <row r="962" spans="7:7" x14ac:dyDescent="0.25">
      <c r="G962" s="91"/>
    </row>
    <row r="963" spans="7:7" x14ac:dyDescent="0.25">
      <c r="G963" s="91"/>
    </row>
    <row r="964" spans="7:7" x14ac:dyDescent="0.25">
      <c r="G964" s="91"/>
    </row>
    <row r="965" spans="7:7" x14ac:dyDescent="0.25">
      <c r="G965" s="91"/>
    </row>
    <row r="966" spans="7:7" x14ac:dyDescent="0.25">
      <c r="G966" s="91"/>
    </row>
    <row r="967" spans="7:7" x14ac:dyDescent="0.25">
      <c r="G967" s="91"/>
    </row>
    <row r="968" spans="7:7" x14ac:dyDescent="0.25">
      <c r="G968" s="91"/>
    </row>
    <row r="969" spans="7:7" x14ac:dyDescent="0.25">
      <c r="G969" s="91"/>
    </row>
    <row r="970" spans="7:7" x14ac:dyDescent="0.25">
      <c r="G970" s="91"/>
    </row>
    <row r="971" spans="7:7" x14ac:dyDescent="0.25">
      <c r="G971" s="91"/>
    </row>
    <row r="972" spans="7:7" x14ac:dyDescent="0.25">
      <c r="G972" s="91"/>
    </row>
    <row r="973" spans="7:7" x14ac:dyDescent="0.25">
      <c r="G973" s="91"/>
    </row>
    <row r="974" spans="7:7" x14ac:dyDescent="0.25">
      <c r="G974" s="91"/>
    </row>
    <row r="975" spans="7:7" x14ac:dyDescent="0.25">
      <c r="G975" s="91"/>
    </row>
    <row r="976" spans="7:7" x14ac:dyDescent="0.25">
      <c r="G976" s="91"/>
    </row>
    <row r="977" spans="7:7" x14ac:dyDescent="0.25">
      <c r="G977" s="91"/>
    </row>
    <row r="978" spans="7:7" x14ac:dyDescent="0.25">
      <c r="G978" s="91"/>
    </row>
    <row r="979" spans="7:7" x14ac:dyDescent="0.25">
      <c r="G979" s="91"/>
    </row>
    <row r="980" spans="7:7" x14ac:dyDescent="0.25">
      <c r="G980" s="91"/>
    </row>
    <row r="981" spans="7:7" x14ac:dyDescent="0.25">
      <c r="G981" s="91"/>
    </row>
    <row r="982" spans="7:7" x14ac:dyDescent="0.25">
      <c r="G982" s="91"/>
    </row>
    <row r="983" spans="7:7" x14ac:dyDescent="0.25">
      <c r="G983" s="91"/>
    </row>
    <row r="984" spans="7:7" x14ac:dyDescent="0.25">
      <c r="G984" s="91"/>
    </row>
    <row r="985" spans="7:7" x14ac:dyDescent="0.25">
      <c r="G985" s="91"/>
    </row>
    <row r="986" spans="7:7" x14ac:dyDescent="0.25">
      <c r="G986" s="91"/>
    </row>
    <row r="987" spans="7:7" x14ac:dyDescent="0.25">
      <c r="G987" s="91"/>
    </row>
    <row r="988" spans="7:7" x14ac:dyDescent="0.25">
      <c r="G988" s="91"/>
    </row>
    <row r="989" spans="7:7" x14ac:dyDescent="0.25">
      <c r="G989" s="91"/>
    </row>
    <row r="990" spans="7:7" x14ac:dyDescent="0.25">
      <c r="G990" s="91"/>
    </row>
    <row r="991" spans="7:7" x14ac:dyDescent="0.25">
      <c r="G991" s="91"/>
    </row>
    <row r="992" spans="7:7" x14ac:dyDescent="0.25">
      <c r="G992" s="91"/>
    </row>
    <row r="993" spans="7:7" x14ac:dyDescent="0.25">
      <c r="G993" s="91"/>
    </row>
    <row r="994" spans="7:7" x14ac:dyDescent="0.25">
      <c r="G994" s="91"/>
    </row>
    <row r="995" spans="7:7" x14ac:dyDescent="0.25">
      <c r="G995" s="91"/>
    </row>
    <row r="996" spans="7:7" x14ac:dyDescent="0.25">
      <c r="G996" s="91"/>
    </row>
    <row r="997" spans="7:7" x14ac:dyDescent="0.25">
      <c r="G997" s="91"/>
    </row>
    <row r="998" spans="7:7" x14ac:dyDescent="0.25">
      <c r="G998" s="91"/>
    </row>
    <row r="999" spans="7:7" x14ac:dyDescent="0.25">
      <c r="G999" s="91"/>
    </row>
    <row r="1000" spans="7:7" x14ac:dyDescent="0.25">
      <c r="G1000" s="91"/>
    </row>
    <row r="1001" spans="7:7" x14ac:dyDescent="0.25">
      <c r="G1001" s="91"/>
    </row>
  </sheetData>
  <mergeCells count="28">
    <mergeCell ref="A22:F22"/>
    <mergeCell ref="G22:Q22"/>
    <mergeCell ref="A23:Q24"/>
    <mergeCell ref="O15:P15"/>
    <mergeCell ref="O16:P16"/>
    <mergeCell ref="O17:P17"/>
    <mergeCell ref="O19:P19"/>
    <mergeCell ref="A20:P20"/>
    <mergeCell ref="A21:Q21"/>
    <mergeCell ref="O18:P18"/>
    <mergeCell ref="A10:Q10"/>
    <mergeCell ref="A12:Q12"/>
    <mergeCell ref="A13:N13"/>
    <mergeCell ref="O13:P14"/>
    <mergeCell ref="Q13:Q14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NEC.TRIM.</vt:lpstr>
      <vt:lpstr>NP</vt:lpstr>
      <vt:lpstr>APG</vt:lpstr>
      <vt:lpstr>NEC.TRIM.!Área_de_impresión</vt:lpstr>
      <vt:lpstr>NP!Área_de_impresión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2020-12-04T15:58:02Z</dcterms:modified>
</cp:coreProperties>
</file>