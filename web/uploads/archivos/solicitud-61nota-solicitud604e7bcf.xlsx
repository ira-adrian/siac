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Acuerdo Marco\"/>
    </mc:Choice>
  </mc:AlternateContent>
  <xr:revisionPtr revIDLastSave="0" documentId="13_ncr:1_{22F70520-2E74-44B0-BC19-558585C0B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externalReferences>
    <externalReference r:id="rId2"/>
  </externalReferences>
  <definedNames>
    <definedName name="_xlnm._FilterDatabase" localSheetId="0" hidden="1">'Table 1'!$A$8:$I$24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J21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</calcChain>
</file>

<file path=xl/sharedStrings.xml><?xml version="1.0" encoding="utf-8"?>
<sst xmlns="http://schemas.openxmlformats.org/spreadsheetml/2006/main" count="68" uniqueCount="48">
  <si>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</si>
  <si>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</si>
  <si>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1° PROVISION ACUERDO MARCO N° 100-4-AM22-ADQUISICIÓN DE ANTISÉPTICOS Y DESINFECTANTES PARA DISTINTOS ORGANISMOS DE SALUD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</si>
  <si>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1° PROVISION ACUERDO MARCO N° 100-4-AM22-ADQUISICIÓN DE ANTISÉPTICOS Y DESINFECTANTES PARA DISTINTOS ORGANISMOS DE SALUD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</si>
  <si>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</si>
  <si>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</si>
  <si>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</si>
  <si>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</si>
  <si>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</si>
  <si>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</si>
  <si>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</si>
  <si>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</si>
  <si>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</si>
  <si>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</si>
  <si>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>ANTISEPTICOS    LOCALES    P/PERSONA; TIPO:         DESINFECTANTE,         DROGA GENERICA:         ALCOHOL        YODADO, FORMA    FARMACEUTICA:    SOLUCION, PRESENTACION: ENVASE X 1000 mL</t>
    </r>
  </si>
  <si>
    <r>
      <rPr>
        <sz val="12"/>
        <rFont val="Times New Roman"/>
        <family val="1"/>
      </rPr>
      <t>DESINFECTANTES     Y     DETERGENTES; PRINCIPIO            ACTIVO:            AMONIO CUATERNARIO, CALIDAD: COMERCIAL, CONCENTRACION/PUREZA:        99        %,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</si>
  <si>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</si>
  <si>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>ANTISEPTICOS    LOCALES    P/PERSONA; TIPO:            MONODROGA,            DROGA GENERICA:    CLORHEXIDINA    AL    2%, FORMA     FARMACEUTICA:    SOLUCION ACUOSA,   PRESENTACION:   ENVASE   X 250 ML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</si>
  <si>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</si>
  <si>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>ANTISEPTICOS    LOCALES    P/PERSONA; TIPO:            MONODROGA,            DROGA GENERICA:    CLORHEXIDINA    AL    4%, FORMA        FARMACEUTICA:        JABON MEDICINAL,   PRESENTACION:   ENVASE X 500 mL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</si>
  <si>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</si>
  <si>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</si>
  <si>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</si>
  <si>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>ANTISEPTICOS    LOCALES    P/PERSONA; TIPO:            MONODROGA,            DROGA GENERICA:  GLUTARALDEHIDO  AL  2%, FORMA    FARMACEUTICA:    SOLUCION, PRESENTACION: ENVASE X 4 L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</si>
  <si>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</si>
  <si>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>ANTISEPTICOS    LOCALES    P/PERSONA; TIPO:            MONODROGA,            DROGA GENERICA:      IODOPOVIDONA      5      %, FORMA        FARMACEUTICA:        JABON LIQUIDO,  PRESENTACION:  ENVASE  X  5 L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</si>
  <si>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</si>
  <si>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</si>
  <si>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</si>
  <si>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1.361.721,30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</si>
  <si>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2022.10.28 09:15:37 -03'00'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</si>
  <si>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2022.10.28 09:15:38 -03'00'</t>
    </r>
  </si>
  <si>
    <t xml:space="preserve">Número: </t>
  </si>
  <si>
    <t xml:space="preserve"> DOCFI-2022-02084796-CAT-DA#MP SAN FERNANDO DEL VALLE DE CATAMARCA, CATAMARCA</t>
  </si>
  <si>
    <t>DESINFECTANTES     Y     DETERGENTES; PRINCIPIO   ACTIVO:  MONOPERSUFATO DE   POTASIO,   CONTROL:   BACTERIAS, HONGOS,       VIRUS,       PRESENTACION: SOBRE X 20 G</t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</si>
  <si>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</si>
  <si>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1723.110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</si>
  <si>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9065.27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</si>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</sst>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right" vertical="center" shrinkToFit="1"/>
    </xf>
    <xf numFmtId="1" fontId="3" fillId="0" borderId="5" xfId="0" applyNumberFormat="1" applyFont="1" applyBorder="1" applyAlignment="1">
      <alignment horizontal="right" vertical="center" indent="2" shrinkToFi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right" vertical="center" shrinkToFit="1"/>
    </xf>
    <xf numFmtId="2" fontId="3" fillId="0" borderId="6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right" vertical="center" indent="2" shrinkToFit="1"/>
    </xf>
    <xf numFmtId="1" fontId="3" fillId="0" borderId="1" xfId="0" applyNumberFormat="1" applyFont="1" applyBorder="1" applyAlignment="1">
      <alignment horizontal="right" vertical="center" indent="1" shrinkToFit="1"/>
    </xf>
    <xf numFmtId="0" fontId="4" fillId="0" borderId="1" xfId="0" applyFont="1" applyBorder="1" applyAlignment="1">
      <alignment horizontal="left" vertical="center" wrapText="1" indent="1"/>
    </xf>
    <xf numFmtId="1" fontId="3" fillId="0" borderId="3" xfId="0" applyNumberFormat="1" applyFont="1" applyBorder="1" applyAlignment="1">
      <alignment horizontal="right" vertical="center" indent="1" shrinkToFit="1"/>
    </xf>
    <xf numFmtId="0" fontId="4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right" vertical="center" shrinkToFit="1"/>
    </xf>
    <xf numFmtId="2" fontId="3" fillId="0" borderId="4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443258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643408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6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TRIMESTRALES%20MEDICAMENTOS%20Y%20DESCARTABLES/ANTISEPT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B10" t="str">
            <v>2.5.1-5771.12</v>
          </cell>
          <cell r="C10" t="str">
            <v>PROD. MEDICO/FARMACEUTICOS/LAB</v>
          </cell>
          <cell r="D10">
            <v>251</v>
          </cell>
          <cell r="E10" t="str">
            <v>ANTISEPTICOS P/ MATERIALES; COMPUESTO QUIMICO: AC.ACETICO, ESTADO SOLIDO, CALIDAD FARMACEUTICA, CONCENTRACION/PUREZA 25/30 % , PRESENTACION: 5 KG, USO: EQUIPO</v>
          </cell>
          <cell r="F10" t="str">
            <v>BIDON</v>
          </cell>
          <cell r="H10">
            <v>3478</v>
          </cell>
        </row>
        <row r="11">
          <cell r="B11" t="str">
            <v>2.5.1-9065.52</v>
          </cell>
          <cell r="C11" t="str">
            <v>QUIMICOS</v>
          </cell>
          <cell r="D11">
            <v>251</v>
          </cell>
          <cell r="E11" t="str">
            <v>DESINFECTANTES Y DETERGENTES; PRINCIPIO ACTIVO: AC. PERACETICO, CALIDAD: COMERCIAL, CONCENTRACION/PUREZA: 3 %, PRESENTACION: ENVASE X 5 L</v>
          </cell>
          <cell r="F11" t="str">
            <v>BIDON</v>
          </cell>
          <cell r="H11">
            <v>9100</v>
          </cell>
        </row>
        <row r="12">
          <cell r="B12" t="str">
            <v>2.5.1-5771.13</v>
          </cell>
          <cell r="C12" t="str">
            <v>PROD. MEDICO/FARMACEUTICOS/LAB</v>
          </cell>
          <cell r="D12">
            <v>251</v>
          </cell>
          <cell r="E12" t="str">
            <v>ANTISEPTICOS P/ MATERIALES ; COMPUESTO QUIMICO: AC. CITRICO, ESTADO: SOLIDO, CALIDAD: BIOLOGIA MOLECULAR, CONCENTRACION/PUREZA: 99,99 %, PRESENTACION: ENVASE X 1 KG</v>
          </cell>
          <cell r="F12" t="str">
            <v>UNIDAD</v>
          </cell>
          <cell r="H12">
            <v>6800</v>
          </cell>
        </row>
        <row r="13">
          <cell r="B13" t="str">
            <v>2.5.2-710.4</v>
          </cell>
          <cell r="C13" t="str">
            <v>PROD. MEDICO/FARMACEUTICOS/LAB</v>
          </cell>
          <cell r="D13">
            <v>252</v>
          </cell>
          <cell r="E13" t="str">
            <v>AGUA OXIGENADA; CAPACIDAD: 1000 CM3, VOLUMEN: 10, PRESENTACION: ENVASE X 1000 CM3</v>
          </cell>
          <cell r="F13" t="str">
            <v>BOTELLA</v>
          </cell>
          <cell r="H13">
            <v>219</v>
          </cell>
        </row>
        <row r="14">
          <cell r="B14" t="str">
            <v>2.5.2-711.15</v>
          </cell>
          <cell r="C14" t="str">
            <v>PROD. MEDICO/FARMACEUTICOS/LAB</v>
          </cell>
          <cell r="D14">
            <v>252</v>
          </cell>
          <cell r="E14" t="str">
            <v>ALCOHOL USO MEDICINAL; PUREZA: 70 %, PRESENTACION: ENVASE X 1 L</v>
          </cell>
          <cell r="F14" t="str">
            <v>BOTELLA</v>
          </cell>
          <cell r="H14">
            <v>290</v>
          </cell>
        </row>
        <row r="15">
          <cell r="B15" t="str">
            <v>2.5.2-711.29</v>
          </cell>
          <cell r="C15" t="str">
            <v>PROD. MEDICO/FARMACEUTICOS/LAB</v>
          </cell>
          <cell r="D15">
            <v>252</v>
          </cell>
          <cell r="E15" t="str">
            <v>ALCOHOL USO MEDICINAL; PUREZA: 70 %, PRESENTACION: ENVASE X 500 mL</v>
          </cell>
          <cell r="F15" t="str">
            <v>BOTELLA</v>
          </cell>
          <cell r="H15">
            <v>169</v>
          </cell>
        </row>
        <row r="16">
          <cell r="B16" t="str">
            <v>2.5.2-711.1</v>
          </cell>
          <cell r="C16" t="str">
            <v>PROD. MEDICO/FARMACEUTICOS/LAB</v>
          </cell>
          <cell r="D16">
            <v>252</v>
          </cell>
          <cell r="E16" t="str">
            <v>ALCOHOL USO MEDICINAL; PUREZA: 96 %, PRESENTACION: ENVASE X 500 CM3, CAPACIDAD: 500 CM3</v>
          </cell>
          <cell r="F16" t="str">
            <v>BOTELLA</v>
          </cell>
          <cell r="H16">
            <v>183.5</v>
          </cell>
        </row>
        <row r="17">
          <cell r="B17" t="str">
            <v>2.5.2-711.32</v>
          </cell>
          <cell r="C17" t="str">
            <v>PROD. MEDICO/FARMACEUTICOS/LAB</v>
          </cell>
          <cell r="D17">
            <v>252</v>
          </cell>
          <cell r="E17" t="str">
            <v>ALCOHOL USO MEDICINAL; PUREZA: 96 %, PRESENTACION: ENVASE X 1000 CM3</v>
          </cell>
          <cell r="F17" t="str">
            <v>BOTELLA</v>
          </cell>
          <cell r="H17">
            <v>355</v>
          </cell>
        </row>
        <row r="18">
          <cell r="B18" t="str">
            <v>2.5.2-711.41</v>
          </cell>
          <cell r="C18" t="str">
            <v>PROD. MEDICO/FARMACEUTICOS/LAB</v>
          </cell>
          <cell r="D18">
            <v>252</v>
          </cell>
          <cell r="E18" t="str">
            <v>ALCOHOL USO MEDICINAL; PUREZA: 70 %, PRESENTACION: GEL ENVASE X 250 CM3</v>
          </cell>
          <cell r="F18" t="str">
            <v>UNIDAD</v>
          </cell>
          <cell r="H18">
            <v>199</v>
          </cell>
        </row>
        <row r="19">
          <cell r="B19" t="str">
            <v>2.5.2-711.35</v>
          </cell>
          <cell r="C19" t="str">
            <v>PROD. MEDICO/FARMACEUTICOS/LAB</v>
          </cell>
          <cell r="D19">
            <v>252</v>
          </cell>
          <cell r="E19" t="str">
            <v>ALCOHOL USO MEDICINAL; PUREZA: 70 %, PRESENTACION: GEL ENVASE X 500</v>
          </cell>
          <cell r="F19" t="str">
            <v>UNIDAD</v>
          </cell>
          <cell r="H19">
            <v>355</v>
          </cell>
        </row>
        <row r="20">
          <cell r="B20" t="str">
            <v>2.5.2-1723.110</v>
          </cell>
          <cell r="C20" t="str">
            <v>PROD. MEDICO/FARMACEUTICOS/LAB</v>
          </cell>
          <cell r="D20">
            <v>252</v>
          </cell>
          <cell r="E20" t="str">
            <v>ANTISEPTICOS LOCALES P/PERSONA; TIPO: DESINFECTANTE, DROGA GENERICA: ALCOHOL YODADO, FORMA FARMACEUTICA: SOLUCION, PRESENTACION: ENVASE X 1000 mL</v>
          </cell>
          <cell r="F20" t="str">
            <v>BOTELLA</v>
          </cell>
          <cell r="H20">
            <v>2080</v>
          </cell>
        </row>
        <row r="21">
          <cell r="B21" t="str">
            <v>2.5.1-9065.27</v>
          </cell>
          <cell r="C21" t="str">
            <v>QUIMICOS</v>
          </cell>
          <cell r="D21">
            <v>251</v>
          </cell>
          <cell r="E21" t="str">
            <v>DESINFECTANTES Y DETERGENTES; PRINCIPIO ACTIVO: AMONIO CUATERNARIO, CALIDAD: COMERCIAL, CONCENTRACION/PUREZA: 99 %, PRESENTACION: ENVASE X 5 L</v>
          </cell>
          <cell r="F21" t="str">
            <v>BIDON</v>
          </cell>
          <cell r="H21">
            <v>11586</v>
          </cell>
        </row>
        <row r="22">
          <cell r="B22" t="str">
            <v>2.5.2-1723.171</v>
          </cell>
          <cell r="C22" t="str">
            <v>PROD. MEDICO/FARMACEUTICOS/LAB</v>
          </cell>
          <cell r="D22">
            <v>252</v>
          </cell>
          <cell r="E22" t="str">
            <v>ANTISEPTICOS LOCALES P/PERSONA; TIPO: ASOCIACION, DROGA GENERICA: 2% CLORHEXIDINA+ALCOHOL, FORMA FARMACEUTICA: SOLUCION, PRESENTACION: ENVASE X 250 ML</v>
          </cell>
          <cell r="F22" t="str">
            <v>FRASCO</v>
          </cell>
          <cell r="H22">
            <v>1074.1199999999999</v>
          </cell>
        </row>
        <row r="23">
          <cell r="B23" t="str">
            <v>2.5.2-1723.172</v>
          </cell>
          <cell r="C23" t="str">
            <v>PROD. MEDICO/FARMACEUTICOS/LAB</v>
          </cell>
          <cell r="D23">
            <v>252</v>
          </cell>
          <cell r="E23" t="str">
            <v>ANTISEPTICOS LOCALES P/PERSONA; TIPO: MONODROGA, DROGA GENERICA: CLORHEXIDINA AL 2%, FORMA FARMACEUTICA: SOLUCION ACUOSA, PRESENTACION: ENVASE X 250 ML</v>
          </cell>
          <cell r="F23" t="str">
            <v>FRASCO</v>
          </cell>
          <cell r="H23">
            <v>439</v>
          </cell>
        </row>
        <row r="24">
          <cell r="B24" t="str">
            <v>2.5.2-1723.166</v>
          </cell>
          <cell r="C24" t="str">
            <v>PROD. MEDICO/FARMACEUTICOS/LAB</v>
          </cell>
          <cell r="D24">
            <v>252</v>
          </cell>
          <cell r="E24" t="str">
            <v>ANTISEPTICOS LOCALES P/PERSONA; TIPO: MONODROGA, DROGA GENERICA: CLORHEXIDINA AL 4%, FORMA FARMACEUTICA: JABON MEDICINAL, PRESENTACION: ENVASE X 500 mL</v>
          </cell>
          <cell r="F24" t="str">
            <v>FRASCO</v>
          </cell>
          <cell r="H24">
            <v>750</v>
          </cell>
        </row>
        <row r="25">
          <cell r="B25" t="str">
            <v>2.5.2-1723.69</v>
          </cell>
          <cell r="C25" t="str">
            <v>PROD. MEDICO/FARMACEUTICOS/LAB</v>
          </cell>
          <cell r="D25">
            <v>252</v>
          </cell>
          <cell r="E25" t="str">
            <v>ANTISEPTICOS LOCALES P/PERSONA; TIPO: MONODROGA, DROGA GENERICA: CLOROXILENOL, FORMA FARMACEUTICA: SOLUCION, PRESENTACION: ENVASE X 5 L</v>
          </cell>
          <cell r="F25" t="str">
            <v>BIDON</v>
          </cell>
          <cell r="H25">
            <v>5725</v>
          </cell>
        </row>
        <row r="26">
          <cell r="B26" t="str">
            <v>2.5.1-9065.16</v>
          </cell>
          <cell r="C26" t="str">
            <v>QUIMICOS</v>
          </cell>
          <cell r="D26">
            <v>251</v>
          </cell>
          <cell r="E26" t="str">
            <v>DESINFECTANTES Y DETERGENTES; PRINCIPIO ACTIVO: AMILASA, PROTEASA, LIPASA, CALIDAD: COMERCIAL, CONCENTRACION/PUREZA: 100 %, PRESENTACION: ENVASE X 5 L</v>
          </cell>
          <cell r="F26" t="str">
            <v>BIDON</v>
          </cell>
          <cell r="H26">
            <v>8470</v>
          </cell>
        </row>
        <row r="27">
          <cell r="B27" t="str">
            <v>2.5.2-1726.492</v>
          </cell>
          <cell r="C27" t="str">
            <v>PROD. MEDICO/FARMACEUTICOS/LAB</v>
          </cell>
          <cell r="D27">
            <v>251</v>
          </cell>
          <cell r="E27" t="str">
            <v>SOLUCIONES P/MEDICINA; TIPO: FORMOL AL 40 %, PRESENTACION: ENVASE X 1 L</v>
          </cell>
          <cell r="F27" t="str">
            <v>BOTELLA</v>
          </cell>
          <cell r="H27">
            <v>979</v>
          </cell>
        </row>
        <row r="28">
          <cell r="B28" t="str">
            <v>2.5.2-1723.173</v>
          </cell>
          <cell r="C28" t="str">
            <v>PROD. MEDICO/FARMACEUTICOS/LAB</v>
          </cell>
          <cell r="D28">
            <v>295</v>
          </cell>
          <cell r="E28" t="str">
            <v>ANTISEPTICOS LOCALES P/PERSONA; TIPO: MONODROGA, DROGA GENERICA: IODOFORMADA AL 10% , FORMA FARMACEUTICA: GASA, PRESENTACION: DE 10X10, 15 UNIDADES POR PACK</v>
          </cell>
          <cell r="F28" t="str">
            <v>CAJA</v>
          </cell>
          <cell r="H28">
            <v>950</v>
          </cell>
        </row>
        <row r="29">
          <cell r="B29" t="str">
            <v>2.5.1-9065.53</v>
          </cell>
          <cell r="C29" t="str">
            <v>QUIMICOS</v>
          </cell>
          <cell r="D29">
            <v>251</v>
          </cell>
          <cell r="E29" t="str">
            <v>DESINFECTANTES Y DETERGENTES; PRINCIPIO ACTIVO: GLUTARALDEHIDO CON SULFACTANTE, CALIDAD: BIOLOGIA MOLECULAR, CONCENTRACION/PUREZA: 2 %, PRESENTACION: ENVASE X 4 L</v>
          </cell>
          <cell r="F29" t="str">
            <v>BIDON</v>
          </cell>
          <cell r="H29">
            <v>1680</v>
          </cell>
        </row>
        <row r="30">
          <cell r="B30" t="str">
            <v>2.5.2-1723.143</v>
          </cell>
          <cell r="C30" t="str">
            <v>PROD. MEDICO/FARMACEUTICOS/LAB</v>
          </cell>
          <cell r="D30">
            <v>251</v>
          </cell>
          <cell r="E30" t="str">
            <v>ANTISEPTICOS LOCALES P/PERSONA; TIPO: MONODROGA, DROGA GENERICA: GLUTARALDEHIDO AL 2%, FORMA FARMACEUTICA: SOLUCION, PRESENTACION: ENVASE X 4 L</v>
          </cell>
          <cell r="F30" t="str">
            <v>BIDON</v>
          </cell>
          <cell r="H30">
            <v>4775</v>
          </cell>
        </row>
        <row r="31">
          <cell r="B31" t="str">
            <v>2.5.2-1723.30</v>
          </cell>
          <cell r="C31" t="str">
            <v>PROD. MEDICO/FARMACEUTICOS/LAB</v>
          </cell>
          <cell r="D31">
            <v>252</v>
          </cell>
          <cell r="E31" t="str">
            <v>ANTISEPTICOS LOCALES P/PERSONA; TIPO: MONODROGA, DROGA GENERICA: IODOPOVIDONA, FORMA FARMACEUTICA: SOLUCION, PRESENTACION: BIDON X 5 L</v>
          </cell>
          <cell r="F31" t="str">
            <v>BIDON</v>
          </cell>
          <cell r="H31">
            <v>3200</v>
          </cell>
        </row>
        <row r="32">
          <cell r="B32" t="str">
            <v>2.5.2-1723.50</v>
          </cell>
          <cell r="C32" t="str">
            <v>PROD. MEDICO/FARMACEUTICOS/LAB</v>
          </cell>
          <cell r="D32">
            <v>252</v>
          </cell>
          <cell r="E32" t="str">
            <v>ANTISEPTICOS LOCALES P/PERSONA; DROGA GENERICA: IODOPOVIDONA 10%, FORMA FARMACEUTICA: SOLUCION, PRESENTACION: ENVASE X 1 L, TIPO: MONODROGA</v>
          </cell>
          <cell r="F32" t="str">
            <v>BOTELLA</v>
          </cell>
          <cell r="H32">
            <v>1114</v>
          </cell>
        </row>
        <row r="33">
          <cell r="B33" t="str">
            <v>2.5.2-1723.104</v>
          </cell>
          <cell r="C33" t="str">
            <v>PROD. MEDICO/FARMACEUTICOS/LAB</v>
          </cell>
          <cell r="D33">
            <v>252</v>
          </cell>
          <cell r="E33" t="str">
            <v>ANTISEPTICOS LOCALES P/PERSONA; TIPO: MONODROGA, DROGA GENERICA: IODOPOVIDONA 5 %, FORMA FARMACEUTICA: JABON LIQUIDO, PRESENTACION: ENVASE X 1 L</v>
          </cell>
          <cell r="F33" t="str">
            <v>BOTELLA</v>
          </cell>
          <cell r="H33">
            <v>625</v>
          </cell>
        </row>
        <row r="34">
          <cell r="B34" t="str">
            <v>2.5.2-1723.146</v>
          </cell>
          <cell r="C34" t="str">
            <v>PROD. MEDICO/FARMACEUTICOS/LAB</v>
          </cell>
          <cell r="D34">
            <v>252</v>
          </cell>
          <cell r="E34" t="str">
            <v>ANTISEPTICOS LOCALES P/PERSONA; TIPO: MONODROGA, DROGA GENERICA: IODOPOVIDONA 5 %, FORMA FARMACEUTICA: JABON LIQUIDO, PRESENTACION: ENVASE X 5 L</v>
          </cell>
          <cell r="F34" t="str">
            <v>BIDON</v>
          </cell>
          <cell r="H34">
            <v>2449</v>
          </cell>
        </row>
        <row r="35">
          <cell r="B35" t="str">
            <v>2.5.2-1723.174</v>
          </cell>
          <cell r="C35" t="str">
            <v>PROD. MEDICO/FARMACEUTICOS/LAB</v>
          </cell>
          <cell r="D35">
            <v>252</v>
          </cell>
          <cell r="E35" t="str">
            <v>ANTISEPTICOS LOCALES P/PERSONA; TIPO: ANTIBACTERIANO, DROGA GENERICA: CLORHEXIDINA, FORMA FARMACEUTICA: JABON LIQUIDO, PRESENTACION: ENVASE X 800 ML BAG IN BOX</v>
          </cell>
          <cell r="F35" t="str">
            <v>BAG IN BOX</v>
          </cell>
          <cell r="H35">
            <v>1420</v>
          </cell>
        </row>
        <row r="36">
          <cell r="B36" t="str">
            <v>2.5.2-1723.177</v>
          </cell>
          <cell r="C36" t="str">
            <v>PROD. MEDICO/FARMACEUTICOS/LAB</v>
          </cell>
          <cell r="D36">
            <v>252</v>
          </cell>
          <cell r="E36" t="str">
            <v>ANTISEPTICOS LOCALES P/PERSONA; TIPO: ASOCIACION, DROGA GENERICA: GLICERINA CON DERIVADOS DEL OLIVO, FORMA FARMACEUTICA: JABON LIQUIDO HIPOALERGENICO, PRESENTACION: ENVASE X 800 ML BAG IN BOX</v>
          </cell>
          <cell r="F36" t="str">
            <v>BAG IN BOX</v>
          </cell>
          <cell r="H36">
            <v>1512.5</v>
          </cell>
        </row>
        <row r="37">
          <cell r="B37" t="str">
            <v>2.5.2-1723.175</v>
          </cell>
          <cell r="C37" t="str">
            <v>PROD. MEDICO/FARMACEUTICOS/LAB</v>
          </cell>
          <cell r="D37">
            <v>252</v>
          </cell>
          <cell r="E37" t="str">
            <v>ANTISEPTICOS LOCALES P/PERSONA; TIPO: ANTIBACTERIANO, DROGA GENERICA: CLORHEXIDINA, FORMA FARMACEUTICA: LOCION ALCOHOLICA BACTERICIDA, PRESENTACION: ENVASE X 800 ML BAG IN BOX</v>
          </cell>
          <cell r="F37" t="str">
            <v>BAG IN BOX</v>
          </cell>
          <cell r="H37">
            <v>1524.6</v>
          </cell>
        </row>
        <row r="38">
          <cell r="B38" t="str">
            <v>2.5.2-1723.178</v>
          </cell>
          <cell r="C38" t="str">
            <v>PROD. MEDICO/FARMACEUTICOS/LAB</v>
          </cell>
          <cell r="D38">
            <v>252</v>
          </cell>
          <cell r="E38" t="str">
            <v>ANTISEPTICOS LOCALES P/PERSONA; TIPO: ANTIBACTERIANO, DROGA GENERICA: ALCOHOL AL 70 % + EMOLIENTES, FORMA FARMACEUTICA: LOCION BACTERICIDA, PRESENTACION: ENVASE X 800 ML BAG IN BOX</v>
          </cell>
          <cell r="F38" t="str">
            <v>BAG IN BOX</v>
          </cell>
          <cell r="H38">
            <v>1391.5</v>
          </cell>
        </row>
        <row r="39">
          <cell r="B39" t="str">
            <v>2.5.1-9065.54</v>
          </cell>
          <cell r="C39" t="str">
            <v>QUIMICOS</v>
          </cell>
          <cell r="D39">
            <v>251</v>
          </cell>
          <cell r="E39" t="str">
            <v>DESINFECTANTES Y DETERGENTES; PRINCIPIO ACTIVO: MONOPERSUFATO DE POTASIO, CONTROL: BACTERIAS, HONGOS, VIRUS, PRESENTACION: SOBRE X 20 G</v>
          </cell>
          <cell r="F39" t="str">
            <v>SOBRE</v>
          </cell>
          <cell r="H39">
            <v>278.3</v>
          </cell>
        </row>
        <row r="40">
          <cell r="B40" t="str">
            <v>2.5.1-9065.55</v>
          </cell>
          <cell r="C40" t="str">
            <v>QUIMICOS</v>
          </cell>
          <cell r="D40">
            <v>251</v>
          </cell>
          <cell r="E40" t="str">
            <v>DESINFECTANTES Y DETERGENTES; PRINCIPIO ACTIVO: MONOPERSULFATO DE POTASIO; CONTROL: BACTERIAS, HONGOS, VIRUS; PRESENTACION: BIDON 6 KG</v>
          </cell>
          <cell r="F40" t="str">
            <v>BIDON</v>
          </cell>
          <cell r="H40">
            <v>26620</v>
          </cell>
        </row>
        <row r="41">
          <cell r="B41" t="str">
            <v>2.5.2-1723.35</v>
          </cell>
          <cell r="C41" t="str">
            <v>PROD. MEDICO/FARMACEUTICOS/LAB</v>
          </cell>
          <cell r="D41">
            <v>252</v>
          </cell>
          <cell r="E41" t="str">
            <v>ANTISEPTICOS LOCALES P/PERSONA; TIPO: MONODROGA, DROGA GENERICA: NITROFURAZONA, FORMA FARMACEUTICA: SOLUCION, PRESENTACION: FRASCO X 1 L</v>
          </cell>
          <cell r="F41" t="str">
            <v>BOTELLA</v>
          </cell>
          <cell r="H41">
            <v>1139</v>
          </cell>
        </row>
        <row r="42">
          <cell r="B42" t="str">
            <v>2.5.2-1723.99</v>
          </cell>
          <cell r="C42" t="str">
            <v>PROD. MEDICO/FARMACEUTICOS/LAB</v>
          </cell>
          <cell r="D42">
            <v>251</v>
          </cell>
          <cell r="E42" t="str">
            <v>ANTISEPTICOS LOCALES P/PERSONA; TIPO: MONODROGA, DROGA GENERICA: ORTOFTALDEHIDO, FORMA FARMACEUTICA: SOLUCION, PRESENTACION: ENVASE X 5 L</v>
          </cell>
          <cell r="F42" t="str">
            <v>BIDON</v>
          </cell>
          <cell r="H42">
            <v>12975</v>
          </cell>
        </row>
        <row r="43">
          <cell r="B43" t="str">
            <v>2.5.1-5771.11</v>
          </cell>
          <cell r="C43" t="str">
            <v>PROD. MEDICO/FARMACEUTICOS/LAB</v>
          </cell>
          <cell r="D43">
            <v>251</v>
          </cell>
          <cell r="E43" t="str">
            <v>ANTISEPTICOS P/MATERIALES; TIPO: ASOCIACION, DROGA GENERICA: PEROXIDO DE HIDROGENO+ ACIDO PERACETICO, FORMA FARMACEUTICA: SOLUCION, PRESENTACION: ENVASE X 5LT, USO: EQUIPO</v>
          </cell>
          <cell r="F43" t="str">
            <v>BIDON</v>
          </cell>
          <cell r="H43">
            <v>5715.9</v>
          </cell>
        </row>
        <row r="44">
          <cell r="B44" t="str">
            <v>2.5.2-1723.89</v>
          </cell>
          <cell r="C44" t="str">
            <v>PROD. MEDICO/FARMACEUTICOS/LAB</v>
          </cell>
          <cell r="D44">
            <v>252</v>
          </cell>
          <cell r="E44" t="str">
            <v>ANTISEPTICOS LOCALES P/PERSONA; TIPO: MONODROGA, DROGA GENERICA: TINTURA DE IODO FUERTE, FORMA FARMACEUTICA: SOLUCION, PRESENTACION: ENVASE X 1 L</v>
          </cell>
          <cell r="F44" t="str">
            <v>BOTELLA</v>
          </cell>
          <cell r="H44">
            <v>989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2" workbookViewId="0">
      <selection activeCell="L8" sqref="L8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4" customWidth="1"/>
    <col min="4" max="4" width="8.83203125" customWidth="1"/>
    <col min="5" max="5" width="13.5" customWidth="1"/>
    <col min="6" max="6" width="12" customWidth="1"/>
    <col min="7" max="7" width="12.5" customWidth="1"/>
    <col min="8" max="8" width="3.1640625" customWidth="1"/>
    <col min="9" max="9" width="9.33203125" style="39"/>
    <col min="10" max="10" width="11.5" bestFit="1" customWidth="1"/>
  </cols>
  <sheetData>
    <row r="1" spans="1:10" ht="31.5" customHeight="1" x14ac:dyDescent="0.2">
      <c r="A1" s="24" t="s">
        <v>0</v>
      </c>
      <c r="B1" s="24"/>
      <c r="C1" s="24"/>
      <c r="D1" s="24"/>
      <c r="E1" s="24"/>
      <c r="F1" s="24"/>
      <c r="G1" s="24"/>
      <c r="H1" s="24"/>
    </row>
    <row r="2" spans="1:10" ht="15.75" customHeight="1" x14ac:dyDescent="0.2">
      <c r="A2" s="25" t="s">
        <v>1</v>
      </c>
      <c r="B2" s="25"/>
      <c r="C2" s="25"/>
      <c r="D2" s="25"/>
      <c r="E2" s="25"/>
      <c r="F2" s="25"/>
      <c r="G2" s="25"/>
      <c r="H2" s="25"/>
    </row>
    <row r="3" spans="1:10" ht="15.75" customHeight="1" x14ac:dyDescent="0.2">
      <c r="A3" s="31" t="s">
        <v>32</v>
      </c>
      <c r="B3" s="30" t="s">
        <v>33</v>
      </c>
      <c r="C3" s="30"/>
      <c r="D3" s="30"/>
      <c r="E3" s="30"/>
      <c r="F3" s="30"/>
      <c r="G3" s="30"/>
      <c r="H3" s="29"/>
    </row>
    <row r="4" spans="1:10" ht="31.5" customHeight="1" x14ac:dyDescent="0.2">
      <c r="A4" s="31"/>
      <c r="B4" s="30"/>
      <c r="C4" s="30"/>
      <c r="D4" s="30"/>
      <c r="E4" s="30"/>
      <c r="F4" s="30"/>
      <c r="G4" s="30"/>
      <c r="H4" s="29"/>
    </row>
    <row r="5" spans="1:10" ht="85.35" customHeight="1" x14ac:dyDescent="0.2">
      <c r="A5" s="26" t="s">
        <v>2</v>
      </c>
      <c r="B5" s="26"/>
      <c r="C5" s="26"/>
      <c r="D5" s="26"/>
      <c r="E5" s="26"/>
      <c r="F5" s="26"/>
      <c r="G5" s="26"/>
      <c r="H5" s="26"/>
    </row>
    <row r="6" spans="1:10" ht="169.7" customHeight="1" x14ac:dyDescent="0.2">
      <c r="A6" s="28" t="s">
        <v>3</v>
      </c>
      <c r="B6" s="28"/>
      <c r="C6" s="28"/>
      <c r="D6" s="28"/>
      <c r="E6" s="28"/>
      <c r="F6" s="28"/>
      <c r="G6" s="28"/>
      <c r="H6" s="28"/>
    </row>
    <row r="7" spans="1:10" ht="45" customHeight="1" x14ac:dyDescent="0.2"/>
    <row r="8" spans="1:10" ht="44.85" customHeight="1" x14ac:dyDescent="0.2">
      <c r="A8" s="1" t="s">
        <v>4</v>
      </c>
      <c r="B8" s="2" t="s">
        <v>5</v>
      </c>
      <c r="C8" s="1" t="s">
        <v>6</v>
      </c>
      <c r="D8" s="3" t="s">
        <v>7</v>
      </c>
      <c r="E8" s="3" t="s">
        <v>8</v>
      </c>
      <c r="F8" s="4" t="s">
        <v>9</v>
      </c>
      <c r="G8" s="5" t="s">
        <v>10</v>
      </c>
    </row>
    <row r="9" spans="1:10" ht="44.85" customHeight="1" x14ac:dyDescent="0.2">
      <c r="A9" s="6">
        <v>1</v>
      </c>
      <c r="B9" s="33" t="s">
        <v>35</v>
      </c>
      <c r="C9" s="7" t="s">
        <v>11</v>
      </c>
      <c r="D9" s="8" t="s">
        <v>12</v>
      </c>
      <c r="E9" s="8" t="s">
        <v>13</v>
      </c>
      <c r="F9" s="9">
        <v>219</v>
      </c>
      <c r="G9" s="10">
        <v>100</v>
      </c>
      <c r="I9" s="39">
        <f>+VLOOKUP(B9,'[1]Necesidades Trimestrales'!$B$10:$H$44,3,0)</f>
        <v>252</v>
      </c>
      <c r="J9" s="40">
        <f>+F9*G9</f>
        <v>21900</v>
      </c>
    </row>
    <row r="10" spans="1:10" ht="71.25" customHeight="1" x14ac:dyDescent="0.2">
      <c r="A10" s="6">
        <v>2</v>
      </c>
      <c r="B10" s="34" t="s">
        <v>36</v>
      </c>
      <c r="C10" s="7" t="s">
        <v>14</v>
      </c>
      <c r="D10" s="8" t="s">
        <v>12</v>
      </c>
      <c r="E10" s="8" t="s">
        <v>13</v>
      </c>
      <c r="F10" s="11">
        <v>2080</v>
      </c>
      <c r="G10" s="10">
        <v>30</v>
      </c>
      <c r="I10" s="39">
        <f>+VLOOKUP(B10,'[1]Necesidades Trimestrales'!$B$10:$H$44,3,0)</f>
        <v>252</v>
      </c>
      <c r="J10" s="40">
        <f t="shared" ref="J10:J21" si="0">+F10*G10</f>
        <v>62400</v>
      </c>
    </row>
    <row r="11" spans="1:10" ht="71.25" customHeight="1" x14ac:dyDescent="0.2">
      <c r="A11" s="6">
        <v>3</v>
      </c>
      <c r="B11" s="35" t="s">
        <v>37</v>
      </c>
      <c r="C11" s="7" t="s">
        <v>15</v>
      </c>
      <c r="D11" s="8" t="s">
        <v>12</v>
      </c>
      <c r="E11" s="8" t="s">
        <v>16</v>
      </c>
      <c r="F11" s="11">
        <v>10066.86</v>
      </c>
      <c r="G11" s="10">
        <v>5</v>
      </c>
      <c r="I11" s="39">
        <f>+VLOOKUP(B11,'[1]Necesidades Trimestrales'!$B$10:$H$44,3,0)</f>
        <v>251</v>
      </c>
      <c r="J11" s="40">
        <f t="shared" si="0"/>
        <v>50334.3</v>
      </c>
    </row>
    <row r="12" spans="1:10" ht="83.45" customHeight="1" x14ac:dyDescent="0.2">
      <c r="A12" s="12">
        <v>4</v>
      </c>
      <c r="B12" s="36" t="s">
        <v>38</v>
      </c>
      <c r="C12" s="13" t="s">
        <v>17</v>
      </c>
      <c r="D12" s="14" t="s">
        <v>12</v>
      </c>
      <c r="E12" s="14" t="s">
        <v>18</v>
      </c>
      <c r="F12" s="15">
        <v>439</v>
      </c>
      <c r="G12" s="16">
        <v>60</v>
      </c>
      <c r="I12" s="39">
        <f>+VLOOKUP(B12,'[1]Necesidades Trimestrales'!$B$10:$H$44,3,0)</f>
        <v>252</v>
      </c>
      <c r="J12" s="40">
        <f t="shared" si="0"/>
        <v>26340</v>
      </c>
    </row>
    <row r="13" spans="1:10" ht="84.75" customHeight="1" x14ac:dyDescent="0.2">
      <c r="A13" s="17">
        <v>5</v>
      </c>
      <c r="B13" s="34" t="s">
        <v>39</v>
      </c>
      <c r="C13" s="7" t="s">
        <v>19</v>
      </c>
      <c r="D13" s="8" t="s">
        <v>12</v>
      </c>
      <c r="E13" s="8" t="s">
        <v>18</v>
      </c>
      <c r="F13" s="9">
        <v>750</v>
      </c>
      <c r="G13" s="10">
        <v>150</v>
      </c>
      <c r="I13" s="39">
        <f>+VLOOKUP(B13,'[1]Necesidades Trimestrales'!$B$10:$H$44,3,0)</f>
        <v>252</v>
      </c>
      <c r="J13" s="40">
        <f t="shared" si="0"/>
        <v>112500</v>
      </c>
    </row>
    <row r="14" spans="1:10" ht="71.25" customHeight="1" x14ac:dyDescent="0.2">
      <c r="A14" s="17">
        <v>6</v>
      </c>
      <c r="B14" s="35" t="s">
        <v>40</v>
      </c>
      <c r="C14" s="7" t="s">
        <v>20</v>
      </c>
      <c r="D14" s="8" t="s">
        <v>12</v>
      </c>
      <c r="E14" s="8" t="s">
        <v>16</v>
      </c>
      <c r="F14" s="11">
        <v>5725</v>
      </c>
      <c r="G14" s="10">
        <v>20</v>
      </c>
      <c r="I14" s="39">
        <f>+VLOOKUP(B14,'[1]Necesidades Trimestrales'!$B$10:$H$44,3,0)</f>
        <v>252</v>
      </c>
      <c r="J14" s="40">
        <f t="shared" si="0"/>
        <v>114500</v>
      </c>
    </row>
    <row r="15" spans="1:10" ht="84.75" customHeight="1" x14ac:dyDescent="0.2">
      <c r="A15" s="17">
        <v>7</v>
      </c>
      <c r="B15" s="35" t="s">
        <v>41</v>
      </c>
      <c r="C15" s="7" t="s">
        <v>21</v>
      </c>
      <c r="D15" s="8" t="s">
        <v>12</v>
      </c>
      <c r="E15" s="8" t="s">
        <v>16</v>
      </c>
      <c r="F15" s="11">
        <v>8470</v>
      </c>
      <c r="G15" s="10">
        <v>45</v>
      </c>
      <c r="I15" s="39">
        <f>+VLOOKUP(B15,'[1]Necesidades Trimestrales'!$B$10:$H$44,3,0)</f>
        <v>251</v>
      </c>
      <c r="J15" s="40">
        <f t="shared" si="0"/>
        <v>381150</v>
      </c>
    </row>
    <row r="16" spans="1:10" ht="44.25" customHeight="1" x14ac:dyDescent="0.2">
      <c r="A16" s="17">
        <v>8</v>
      </c>
      <c r="B16" s="37" t="s">
        <v>42</v>
      </c>
      <c r="C16" s="7" t="s">
        <v>22</v>
      </c>
      <c r="D16" s="8" t="s">
        <v>12</v>
      </c>
      <c r="E16" s="8" t="s">
        <v>13</v>
      </c>
      <c r="F16" s="9">
        <v>942</v>
      </c>
      <c r="G16" s="10">
        <v>35</v>
      </c>
      <c r="I16" s="39">
        <f>+VLOOKUP(B16,'[1]Necesidades Trimestrales'!$B$10:$H$44,3,0)</f>
        <v>251</v>
      </c>
      <c r="J16" s="40">
        <f t="shared" si="0"/>
        <v>32970</v>
      </c>
    </row>
    <row r="17" spans="1:10" ht="71.25" customHeight="1" x14ac:dyDescent="0.2">
      <c r="A17" s="17">
        <v>9</v>
      </c>
      <c r="B17" s="34" t="s">
        <v>43</v>
      </c>
      <c r="C17" s="7" t="s">
        <v>23</v>
      </c>
      <c r="D17" s="8" t="s">
        <v>12</v>
      </c>
      <c r="E17" s="8" t="s">
        <v>16</v>
      </c>
      <c r="F17" s="11">
        <v>4775</v>
      </c>
      <c r="G17" s="10">
        <v>15</v>
      </c>
      <c r="I17" s="39">
        <f>+VLOOKUP(B17,'[1]Necesidades Trimestrales'!$B$10:$H$44,3,0)</f>
        <v>251</v>
      </c>
      <c r="J17" s="40">
        <f t="shared" si="0"/>
        <v>71625</v>
      </c>
    </row>
    <row r="18" spans="1:10" ht="71.25" customHeight="1" x14ac:dyDescent="0.2">
      <c r="A18" s="18">
        <v>10</v>
      </c>
      <c r="B18" s="35" t="s">
        <v>44</v>
      </c>
      <c r="C18" s="7" t="s">
        <v>24</v>
      </c>
      <c r="D18" s="8" t="s">
        <v>12</v>
      </c>
      <c r="E18" s="8" t="s">
        <v>16</v>
      </c>
      <c r="F18" s="11">
        <v>4045</v>
      </c>
      <c r="G18" s="10">
        <v>90</v>
      </c>
      <c r="I18" s="39">
        <f>+VLOOKUP(B18,'[1]Necesidades Trimestrales'!$B$10:$H$44,3,0)</f>
        <v>252</v>
      </c>
      <c r="J18" s="40">
        <f t="shared" si="0"/>
        <v>364050</v>
      </c>
    </row>
    <row r="19" spans="1:10" ht="84.75" customHeight="1" x14ac:dyDescent="0.2">
      <c r="A19" s="18">
        <v>11</v>
      </c>
      <c r="B19" s="34" t="s">
        <v>45</v>
      </c>
      <c r="C19" s="7" t="s">
        <v>25</v>
      </c>
      <c r="D19" s="8" t="s">
        <v>12</v>
      </c>
      <c r="E19" s="8" t="s">
        <v>16</v>
      </c>
      <c r="F19" s="11">
        <v>2449</v>
      </c>
      <c r="G19" s="10">
        <v>10</v>
      </c>
      <c r="I19" s="39">
        <f>+VLOOKUP(B19,'[1]Necesidades Trimestrales'!$B$10:$H$44,3,0)</f>
        <v>252</v>
      </c>
      <c r="J19" s="40">
        <f t="shared" si="0"/>
        <v>24490</v>
      </c>
    </row>
    <row r="20" spans="1:10" ht="84.75" customHeight="1" x14ac:dyDescent="0.2">
      <c r="A20" s="18">
        <v>12</v>
      </c>
      <c r="B20" s="34" t="s">
        <v>46</v>
      </c>
      <c r="C20" s="7" t="s">
        <v>26</v>
      </c>
      <c r="D20" s="8" t="s">
        <v>12</v>
      </c>
      <c r="E20" s="19" t="s">
        <v>27</v>
      </c>
      <c r="F20" s="11">
        <v>1923.9</v>
      </c>
      <c r="G20" s="10">
        <v>30</v>
      </c>
      <c r="I20" s="39">
        <f>+VLOOKUP(B20,'[1]Necesidades Trimestrales'!$B$10:$H$44,3,0)</f>
        <v>252</v>
      </c>
      <c r="J20" s="40">
        <f t="shared" si="0"/>
        <v>57717</v>
      </c>
    </row>
    <row r="21" spans="1:10" ht="59.25" customHeight="1" x14ac:dyDescent="0.2">
      <c r="A21" s="20">
        <v>13</v>
      </c>
      <c r="B21" s="38" t="s">
        <v>47</v>
      </c>
      <c r="C21" s="32" t="s">
        <v>34</v>
      </c>
      <c r="D21" s="21" t="s">
        <v>12</v>
      </c>
      <c r="E21" s="21" t="s">
        <v>28</v>
      </c>
      <c r="F21" s="22">
        <v>278.3</v>
      </c>
      <c r="G21" s="23">
        <v>150</v>
      </c>
      <c r="I21" s="39">
        <f>+VLOOKUP(B21,'[1]Necesidades Trimestrales'!$B$10:$H$44,3,0)</f>
        <v>251</v>
      </c>
      <c r="J21" s="40">
        <f t="shared" si="0"/>
        <v>41745</v>
      </c>
    </row>
    <row r="22" spans="1:10" ht="17.25" customHeight="1" x14ac:dyDescent="0.2">
      <c r="A22" s="28" t="s">
        <v>29</v>
      </c>
      <c r="B22" s="28"/>
      <c r="C22" s="28"/>
      <c r="D22" s="28"/>
      <c r="E22" s="28"/>
      <c r="F22" s="28"/>
      <c r="G22" s="28"/>
      <c r="H22" s="28"/>
    </row>
    <row r="23" spans="1:10" ht="85.7" customHeight="1" x14ac:dyDescent="0.2">
      <c r="A23" s="28" t="s">
        <v>30</v>
      </c>
      <c r="B23" s="28"/>
      <c r="C23" s="28"/>
      <c r="D23" s="28"/>
      <c r="E23" s="28"/>
      <c r="F23" s="28"/>
      <c r="G23" s="28"/>
      <c r="H23" s="28"/>
    </row>
    <row r="24" spans="1:10" ht="29.45" customHeight="1" x14ac:dyDescent="0.2">
      <c r="A24" s="27" t="s">
        <v>31</v>
      </c>
      <c r="B24" s="27"/>
      <c r="C24" s="27"/>
      <c r="D24" s="27"/>
      <c r="E24" s="27"/>
      <c r="F24" s="27"/>
      <c r="G24" s="27"/>
      <c r="H24" s="27"/>
    </row>
  </sheetData>
  <autoFilter ref="A8:I24" xr:uid="{00000000-0001-0000-0000-000000000000}"/>
  <mergeCells count="9">
    <mergeCell ref="A6:H6"/>
    <mergeCell ref="A22:H22"/>
    <mergeCell ref="A23:H23"/>
    <mergeCell ref="A24:H24"/>
    <mergeCell ref="B3:G4"/>
    <mergeCell ref="A3:A4"/>
    <mergeCell ref="A1:H1"/>
    <mergeCell ref="A2:H2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D:\livecycle\tmp\pdfg-IOPGDEMSLCT01_\8b\22d7-ef948e-1a991e-4ee7d8-2ccfd2-667b5a\File.html</dc:title>
  <cp:lastModifiedBy>COMPRAR</cp:lastModifiedBy>
  <dcterms:created xsi:type="dcterms:W3CDTF">2022-10-28T13:43:45Z</dcterms:created>
  <dcterms:modified xsi:type="dcterms:W3CDTF">2022-10-28T13:52:49Z</dcterms:modified>
</cp:coreProperties>
</file>