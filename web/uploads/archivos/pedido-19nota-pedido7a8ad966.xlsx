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44409-CAT-DPPR#MHP\"/>
    </mc:Choice>
  </mc:AlternateContent>
  <xr:revisionPtr revIDLastSave="0" documentId="13_ncr:1_{BD251ADF-67A2-44C7-AF2D-CF1AB464C55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ntrol Íte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17" i="1" l="1"/>
</calcChain>
</file>

<file path=xl/sharedStrings.xml><?xml version="1.0" encoding="utf-8"?>
<sst xmlns="http://schemas.openxmlformats.org/spreadsheetml/2006/main" count="80" uniqueCount="49">
  <si>
    <t>ID</t>
  </si>
  <si>
    <t>CODIGO ITEM</t>
  </si>
  <si>
    <t>RUBRO DE COMPRA</t>
  </si>
  <si>
    <t xml:space="preserve">I.P.P. </t>
  </si>
  <si>
    <t>UNIDAD DE MEDIDA</t>
  </si>
  <si>
    <t>CANTIDAD TOTAL</t>
  </si>
  <si>
    <t>2.4.4-6818.986</t>
  </si>
  <si>
    <t>REPUESTOS</t>
  </si>
  <si>
    <t>2.4.4</t>
  </si>
  <si>
    <t>NEUMATICOS; VEHICULO: AMBULANCIA/FURGON/MINIBUS, CONSTRUCCION: RADIAL, ARMADO: S/CAMARA, MEDIDA: 205/75R16</t>
  </si>
  <si>
    <t xml:space="preserve">UNIDAD </t>
  </si>
  <si>
    <t>2.4.4-6818.266</t>
  </si>
  <si>
    <t>NEUMATICOS; VEHICULO: CAMIONETA, CONSTRUCCION: RADIAL, ARMADO: S/CAMARA, MEDIDA: 205/70R15</t>
  </si>
  <si>
    <t>UNIDAD</t>
  </si>
  <si>
    <t>2.4.4-6818.52</t>
  </si>
  <si>
    <t>NEUMATICOS; VEHICULO: CAMIONETA, CONSTRUCCION: RADIAL, ARMADO: S/CAMARA, MEDIDA: 215/80R16</t>
  </si>
  <si>
    <t>2.4.4-6818.989</t>
  </si>
  <si>
    <t>NEUMATICOS; VEHICULO: CAMIONETA, CONSTRUCCION: RADIAL, ARMADO: S/CAMARA, MEDIDA: 225/70 R17</t>
  </si>
  <si>
    <t>2.4.4-6818.744</t>
  </si>
  <si>
    <t>NEUMATICOS; VEHICULO: CAMIONETA, CONSTRUCCION: RADIAL, ARMADO: S/CAMARA, MEDIDA: 235/70R16</t>
  </si>
  <si>
    <t>2.4.4-6818.751</t>
  </si>
  <si>
    <t>NEUMATICOS; VEHICULO: CAMIONETA, CONSTRUCCION: RADIAL, ARMADO: S/CAMARA, MEDIDA: 245/65 R17</t>
  </si>
  <si>
    <t>2.4.4-6818.779</t>
  </si>
  <si>
    <t>NEUMATICOS; VEHICULO: CAMIONETA, CONSTRUCCION: RADIAL, ARMADO: S/CAMARA, MEDIDA: 255/70R15</t>
  </si>
  <si>
    <t>2.4.4-6818.811</t>
  </si>
  <si>
    <t>NEUMATICOS; VEHICULO: CAMIONETA, CONSTRUCCION: RADIAL, ARMADO: S/CAMARA, MEDIDA: 265/70R16</t>
  </si>
  <si>
    <t>2.4.4-6818.48</t>
  </si>
  <si>
    <t>NEUMATICOS; VEHICULO: CAMIONETA, CONSTRUCCION: RADIAL, MEDIDA: 235/75R15, ARMADO: S/CAMARA</t>
  </si>
  <si>
    <t>2.4.4-6818.782</t>
  </si>
  <si>
    <t>NEUMATICOS; VEHICULO: MOTO, CONSTRUCCION: RADIAL, ARMADO: S/CAMARA, MEDIDA: 100/90 R19D</t>
  </si>
  <si>
    <t>2.4.4-6818.341</t>
  </si>
  <si>
    <t>NEUMATICOS; VEHICULO: MOTO, CONSTRUCCION: RADIAL, ARMADO: S/CAMARA, MEDIDA: SIN VALOR</t>
  </si>
  <si>
    <t>2.4.4-6818.993</t>
  </si>
  <si>
    <t>NEUMATICOS; VEHICULO: UTILITARIO, CONSTRUCCION: RADIAL, ARMADO: S/CAMARA, MEDIDA: 225/75-R16C</t>
  </si>
  <si>
    <t xml:space="preserve"> PRECIO UNITARIO ESTIMADO </t>
  </si>
  <si>
    <t xml:space="preserve"> IMPORTE TOTAL ESTIMADO  </t>
  </si>
  <si>
    <t>Especificidades ítem N° 11</t>
  </si>
  <si>
    <t>medidas 100/90/17</t>
  </si>
  <si>
    <t>cinco (5) dias habiles</t>
  </si>
  <si>
    <t>Lugar de Entrega:</t>
  </si>
  <si>
    <t>DIR. PROV. DE AMINISTRACION - CHACABUCO N° 169 - en el horario de 8:00hs a 12:00hs de lunes a viernes</t>
  </si>
  <si>
    <t>cuarenta y cinco (45) días</t>
  </si>
  <si>
    <t>un (1) año</t>
  </si>
  <si>
    <t>Plazos de entrega:</t>
  </si>
  <si>
    <t>Mantenimiento:</t>
  </si>
  <si>
    <t>Garantia:</t>
  </si>
  <si>
    <t>SE ADJUNTA ANEXO CON LOS DOMINIOS Y MATRICULA DE LOS VEHICULOS PARA LO CUAL SE SOLICITA LAS CUBIERTAS</t>
  </si>
  <si>
    <t>NO-2021-00726169-CAT-DPAS#MS (PEDIDO 3° TRIMESTRE - ADQ. DE CUBIERTAS)</t>
  </si>
  <si>
    <t>DESCRIPCION s/NEC.Trim. Y Npe N° 21/2021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</si>
</sst>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">
    <xf numFmtId="0" fontId="0" fillId="0" borderId="0"/>
    <xf numFmtId="0" fontId="3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6" fillId="0" borderId="0" applyBorder="0" applyProtection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8" fontId="0" fillId="0" borderId="2" xfId="0" applyNumberFormat="1" applyBorder="1" applyAlignment="1">
      <alignment horizontal="center" vertical="center" wrapText="1"/>
    </xf>
    <xf numFmtId="0" fontId="7" fillId="0" borderId="0" xfId="0" applyFont="1"/>
    <xf numFmtId="8" fontId="2" fillId="3" borderId="6" xfId="0" applyNumberFormat="1" applyFont="1" applyFill="1" applyBorder="1"/>
    <xf numFmtId="0" fontId="8" fillId="0" borderId="2" xfId="0" applyFon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8" fontId="0" fillId="0" borderId="9" xfId="0" applyNumberFormat="1" applyBorder="1" applyAlignment="1">
      <alignment horizontal="center" vertical="center" wrapText="1"/>
    </xf>
    <xf numFmtId="8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8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8" fontId="0" fillId="0" borderId="14" xfId="0" applyNumberFormat="1" applyBorder="1" applyAlignment="1">
      <alignment horizontal="center" vertical="center" wrapText="1"/>
    </xf>
    <xf numFmtId="8" fontId="0" fillId="0" borderId="15" xfId="0" applyNumberForma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10" fillId="4" borderId="11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12" xfId="0" applyFont="1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</cellXfs>
  <cellStyles count="26">
    <cellStyle name="Encabezado 1 2" xfId="13" xr:uid="{00000000-0005-0000-0000-000000000000}"/>
    <cellStyle name="Encabezado 1 3" xfId="3" xr:uid="{00000000-0005-0000-0000-000001000000}"/>
    <cellStyle name="Millares 2" xfId="20" xr:uid="{00000000-0005-0000-0000-000002000000}"/>
    <cellStyle name="Moneda 2" xfId="6" xr:uid="{00000000-0005-0000-0000-000003000000}"/>
    <cellStyle name="Moneda 2 2" xfId="15" xr:uid="{00000000-0005-0000-0000-000004000000}"/>
    <cellStyle name="Moneda 3" xfId="12" xr:uid="{00000000-0005-0000-0000-000005000000}"/>
    <cellStyle name="Moneda 4" xfId="22" xr:uid="{00000000-0005-0000-0000-000006000000}"/>
    <cellStyle name="Moneda 5" xfId="2" xr:uid="{00000000-0005-0000-0000-000007000000}"/>
    <cellStyle name="Neutral 1" xfId="4" xr:uid="{00000000-0005-0000-0000-000008000000}"/>
    <cellStyle name="Normal" xfId="0" builtinId="0"/>
    <cellStyle name="Normal 2" xfId="5" xr:uid="{00000000-0005-0000-0000-00000A000000}"/>
    <cellStyle name="Normal 2 2" xfId="14" xr:uid="{00000000-0005-0000-0000-00000B000000}"/>
    <cellStyle name="Normal 3" xfId="7" xr:uid="{00000000-0005-0000-0000-00000C000000}"/>
    <cellStyle name="Normal 3 2" xfId="8" xr:uid="{00000000-0005-0000-0000-00000D000000}"/>
    <cellStyle name="Normal 3 2 2" xfId="17" xr:uid="{00000000-0005-0000-0000-00000E000000}"/>
    <cellStyle name="Normal 3 3" xfId="16" xr:uid="{00000000-0005-0000-0000-00000F000000}"/>
    <cellStyle name="Normal 3 4" xfId="23" xr:uid="{00000000-0005-0000-0000-000010000000}"/>
    <cellStyle name="Normal 4" xfId="9" xr:uid="{00000000-0005-0000-0000-000011000000}"/>
    <cellStyle name="Normal 4 2" xfId="18" xr:uid="{00000000-0005-0000-0000-000012000000}"/>
    <cellStyle name="Normal 4 3" xfId="24" xr:uid="{00000000-0005-0000-0000-000013000000}"/>
    <cellStyle name="Normal 5" xfId="10" xr:uid="{00000000-0005-0000-0000-000014000000}"/>
    <cellStyle name="Normal 5 2" xfId="21" xr:uid="{00000000-0005-0000-0000-000015000000}"/>
    <cellStyle name="Normal 5 3" xfId="25" xr:uid="{00000000-0005-0000-0000-000016000000}"/>
    <cellStyle name="Normal 6" xfId="11" xr:uid="{00000000-0005-0000-0000-000017000000}"/>
    <cellStyle name="Normal 7" xfId="19" xr:uid="{00000000-0005-0000-0000-000018000000}"/>
    <cellStyle name="Normal 8" xfId="1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15" sqref="C15"/>
    </sheetView>
  </sheetViews>
  <sheetFormatPr baseColWidth="10" defaultRowHeight="15" x14ac:dyDescent="0.25"/>
  <cols>
    <col min="1" max="1" width="2.85546875" bestFit="1" customWidth="1"/>
    <col min="2" max="2" width="13.140625" customWidth="1"/>
    <col min="3" max="3" width="13.85546875" customWidth="1"/>
    <col min="4" max="4" width="5.42578125" bestFit="1" customWidth="1"/>
    <col min="5" max="5" width="69" customWidth="1"/>
    <col min="6" max="8" width="10.85546875" customWidth="1"/>
    <col min="9" max="9" width="12.85546875" customWidth="1"/>
    <col min="10" max="10" width="13.85546875" customWidth="1"/>
    <col min="11" max="11" width="20.5703125" customWidth="1"/>
    <col min="12" max="12" width="7.140625" customWidth="1"/>
  </cols>
  <sheetData>
    <row r="1" spans="1:11" ht="18.75" x14ac:dyDescent="0.3">
      <c r="C1" s="4" t="s">
        <v>47</v>
      </c>
    </row>
    <row r="2" spans="1:11" ht="15.75" thickBot="1" x14ac:dyDescent="0.3"/>
    <row r="3" spans="1:11" ht="45.75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48</v>
      </c>
      <c r="F3" s="8" t="s">
        <v>4</v>
      </c>
      <c r="G3" s="8" t="s">
        <v>5</v>
      </c>
      <c r="H3" s="8" t="s">
        <v>34</v>
      </c>
      <c r="I3" s="22" t="s">
        <v>35</v>
      </c>
    </row>
    <row r="4" spans="1:11" ht="30" x14ac:dyDescent="0.25">
      <c r="A4" s="10">
        <v>1</v>
      </c>
      <c r="B4" s="11" t="s">
        <v>6</v>
      </c>
      <c r="C4" s="11" t="s">
        <v>7</v>
      </c>
      <c r="D4" s="11" t="s">
        <v>8</v>
      </c>
      <c r="E4" s="12" t="s">
        <v>9</v>
      </c>
      <c r="F4" s="11" t="s">
        <v>10</v>
      </c>
      <c r="G4" s="11">
        <v>54</v>
      </c>
      <c r="H4" s="13">
        <v>33150</v>
      </c>
      <c r="I4" s="14">
        <f>G4*H4</f>
        <v>1790100</v>
      </c>
    </row>
    <row r="5" spans="1:11" ht="30" x14ac:dyDescent="0.25">
      <c r="A5" s="15">
        <v>2</v>
      </c>
      <c r="B5" s="2" t="s">
        <v>11</v>
      </c>
      <c r="C5" s="2" t="s">
        <v>7</v>
      </c>
      <c r="D5" s="2" t="s">
        <v>8</v>
      </c>
      <c r="E5" s="1" t="s">
        <v>12</v>
      </c>
      <c r="F5" s="2" t="s">
        <v>13</v>
      </c>
      <c r="G5" s="2">
        <v>4</v>
      </c>
      <c r="H5" s="3">
        <v>28350</v>
      </c>
      <c r="I5" s="16">
        <f t="shared" ref="I5:I15" si="0">G5*H5</f>
        <v>113400</v>
      </c>
    </row>
    <row r="6" spans="1:11" ht="30" x14ac:dyDescent="0.25">
      <c r="A6" s="15">
        <v>3</v>
      </c>
      <c r="B6" s="2" t="s">
        <v>14</v>
      </c>
      <c r="C6" s="2" t="s">
        <v>7</v>
      </c>
      <c r="D6" s="2" t="s">
        <v>8</v>
      </c>
      <c r="E6" s="1" t="s">
        <v>15</v>
      </c>
      <c r="F6" s="2" t="s">
        <v>10</v>
      </c>
      <c r="G6" s="2">
        <v>16</v>
      </c>
      <c r="H6" s="3">
        <v>29750</v>
      </c>
      <c r="I6" s="16">
        <f t="shared" si="0"/>
        <v>476000</v>
      </c>
    </row>
    <row r="7" spans="1:11" ht="30" x14ac:dyDescent="0.25">
      <c r="A7" s="15">
        <v>4</v>
      </c>
      <c r="B7" s="2" t="s">
        <v>16</v>
      </c>
      <c r="C7" s="2" t="s">
        <v>7</v>
      </c>
      <c r="D7" s="2" t="s">
        <v>8</v>
      </c>
      <c r="E7" s="1" t="s">
        <v>17</v>
      </c>
      <c r="F7" s="2" t="s">
        <v>10</v>
      </c>
      <c r="G7" s="2">
        <v>12</v>
      </c>
      <c r="H7" s="3">
        <v>51079</v>
      </c>
      <c r="I7" s="16">
        <f t="shared" si="0"/>
        <v>612948</v>
      </c>
    </row>
    <row r="8" spans="1:11" ht="30" x14ac:dyDescent="0.25">
      <c r="A8" s="15">
        <v>5</v>
      </c>
      <c r="B8" s="2" t="s">
        <v>18</v>
      </c>
      <c r="C8" s="2" t="s">
        <v>7</v>
      </c>
      <c r="D8" s="2">
        <v>244</v>
      </c>
      <c r="E8" s="1" t="s">
        <v>19</v>
      </c>
      <c r="F8" s="2" t="s">
        <v>13</v>
      </c>
      <c r="G8" s="2">
        <v>26</v>
      </c>
      <c r="H8" s="3">
        <v>33100</v>
      </c>
      <c r="I8" s="16">
        <f t="shared" si="0"/>
        <v>860600</v>
      </c>
    </row>
    <row r="9" spans="1:11" ht="30" x14ac:dyDescent="0.25">
      <c r="A9" s="15">
        <v>6</v>
      </c>
      <c r="B9" s="2" t="s">
        <v>20</v>
      </c>
      <c r="C9" s="2" t="s">
        <v>7</v>
      </c>
      <c r="D9" s="2" t="s">
        <v>8</v>
      </c>
      <c r="E9" s="1" t="s">
        <v>21</v>
      </c>
      <c r="F9" s="2" t="s">
        <v>10</v>
      </c>
      <c r="G9" s="2">
        <v>20</v>
      </c>
      <c r="H9" s="3">
        <v>35650</v>
      </c>
      <c r="I9" s="16">
        <f t="shared" si="0"/>
        <v>713000</v>
      </c>
    </row>
    <row r="10" spans="1:11" ht="30" x14ac:dyDescent="0.25">
      <c r="A10" s="15">
        <v>7</v>
      </c>
      <c r="B10" s="2" t="s">
        <v>22</v>
      </c>
      <c r="C10" s="2" t="s">
        <v>7</v>
      </c>
      <c r="D10" s="2" t="s">
        <v>8</v>
      </c>
      <c r="E10" s="1" t="s">
        <v>23</v>
      </c>
      <c r="F10" s="2" t="s">
        <v>13</v>
      </c>
      <c r="G10" s="2">
        <v>5</v>
      </c>
      <c r="H10" s="3">
        <v>29800</v>
      </c>
      <c r="I10" s="16">
        <f t="shared" si="0"/>
        <v>149000</v>
      </c>
    </row>
    <row r="11" spans="1:11" ht="30" x14ac:dyDescent="0.25">
      <c r="A11" s="15">
        <v>8</v>
      </c>
      <c r="B11" s="2" t="s">
        <v>24</v>
      </c>
      <c r="C11" s="2" t="s">
        <v>7</v>
      </c>
      <c r="D11" s="2" t="s">
        <v>8</v>
      </c>
      <c r="E11" s="1" t="s">
        <v>25</v>
      </c>
      <c r="F11" s="2" t="s">
        <v>10</v>
      </c>
      <c r="G11" s="2">
        <v>4</v>
      </c>
      <c r="H11" s="3">
        <v>37000</v>
      </c>
      <c r="I11" s="16">
        <f t="shared" si="0"/>
        <v>148000</v>
      </c>
    </row>
    <row r="12" spans="1:11" ht="30" x14ac:dyDescent="0.25">
      <c r="A12" s="15">
        <v>9</v>
      </c>
      <c r="B12" s="2" t="s">
        <v>26</v>
      </c>
      <c r="C12" s="2" t="s">
        <v>7</v>
      </c>
      <c r="D12" s="2" t="s">
        <v>8</v>
      </c>
      <c r="E12" s="1" t="s">
        <v>27</v>
      </c>
      <c r="F12" s="2" t="s">
        <v>10</v>
      </c>
      <c r="G12" s="2">
        <v>29</v>
      </c>
      <c r="H12" s="3">
        <v>29000</v>
      </c>
      <c r="I12" s="16">
        <f t="shared" si="0"/>
        <v>841000</v>
      </c>
    </row>
    <row r="13" spans="1:11" ht="30" x14ac:dyDescent="0.25">
      <c r="A13" s="15">
        <v>10</v>
      </c>
      <c r="B13" s="2" t="s">
        <v>28</v>
      </c>
      <c r="C13" s="2" t="s">
        <v>7</v>
      </c>
      <c r="D13" s="2" t="s">
        <v>8</v>
      </c>
      <c r="E13" s="1" t="s">
        <v>29</v>
      </c>
      <c r="F13" s="2" t="s">
        <v>13</v>
      </c>
      <c r="G13" s="2">
        <v>2</v>
      </c>
      <c r="H13" s="3">
        <v>13000</v>
      </c>
      <c r="I13" s="16">
        <f t="shared" si="0"/>
        <v>26000</v>
      </c>
    </row>
    <row r="14" spans="1:11" ht="30" x14ac:dyDescent="0.25">
      <c r="A14" s="15">
        <v>11</v>
      </c>
      <c r="B14" s="2" t="s">
        <v>30</v>
      </c>
      <c r="C14" s="2" t="s">
        <v>7</v>
      </c>
      <c r="D14" s="2" t="s">
        <v>8</v>
      </c>
      <c r="E14" s="1" t="s">
        <v>31</v>
      </c>
      <c r="F14" s="2" t="s">
        <v>13</v>
      </c>
      <c r="G14" s="2">
        <v>2</v>
      </c>
      <c r="H14" s="3">
        <v>12000</v>
      </c>
      <c r="I14" s="16">
        <f t="shared" si="0"/>
        <v>24000</v>
      </c>
      <c r="J14" s="9" t="s">
        <v>36</v>
      </c>
      <c r="K14" s="6" t="s">
        <v>37</v>
      </c>
    </row>
    <row r="15" spans="1:11" ht="30.75" thickBot="1" x14ac:dyDescent="0.3">
      <c r="A15" s="17">
        <v>12</v>
      </c>
      <c r="B15" s="18" t="s">
        <v>32</v>
      </c>
      <c r="C15" s="18" t="s">
        <v>7</v>
      </c>
      <c r="D15" s="18" t="s">
        <v>8</v>
      </c>
      <c r="E15" s="19" t="s">
        <v>33</v>
      </c>
      <c r="F15" s="18" t="s">
        <v>10</v>
      </c>
      <c r="G15" s="18">
        <v>5</v>
      </c>
      <c r="H15" s="20">
        <v>33900</v>
      </c>
      <c r="I15" s="21">
        <f t="shared" si="0"/>
        <v>169500</v>
      </c>
    </row>
    <row r="16" spans="1:11" ht="15.75" thickBot="1" x14ac:dyDescent="0.3"/>
    <row r="17" spans="2:9" ht="15.75" thickBot="1" x14ac:dyDescent="0.3">
      <c r="B17" s="23" t="s">
        <v>43</v>
      </c>
      <c r="C17" s="24"/>
      <c r="D17" s="24"/>
      <c r="E17" s="24"/>
      <c r="F17" s="24"/>
      <c r="G17" s="25"/>
      <c r="I17" s="5">
        <f>SUM(I4:I16)</f>
        <v>5923548</v>
      </c>
    </row>
    <row r="18" spans="2:9" x14ac:dyDescent="0.25">
      <c r="B18" s="26" t="s">
        <v>38</v>
      </c>
      <c r="C18" s="27"/>
      <c r="D18" s="27"/>
      <c r="E18" s="27"/>
      <c r="F18" s="27"/>
      <c r="G18" s="28"/>
    </row>
    <row r="19" spans="2:9" x14ac:dyDescent="0.25">
      <c r="B19" s="29" t="s">
        <v>39</v>
      </c>
      <c r="C19" s="30"/>
      <c r="D19" s="30"/>
      <c r="E19" s="30"/>
      <c r="F19" s="30"/>
      <c r="G19" s="31"/>
    </row>
    <row r="20" spans="2:9" x14ac:dyDescent="0.25">
      <c r="B20" s="26" t="s">
        <v>40</v>
      </c>
      <c r="C20" s="27"/>
      <c r="D20" s="27"/>
      <c r="E20" s="27"/>
      <c r="F20" s="27"/>
      <c r="G20" s="28"/>
    </row>
    <row r="21" spans="2:9" x14ac:dyDescent="0.25">
      <c r="B21" s="29" t="s">
        <v>44</v>
      </c>
      <c r="C21" s="30"/>
      <c r="D21" s="30"/>
      <c r="E21" s="30"/>
      <c r="F21" s="30"/>
      <c r="G21" s="31"/>
    </row>
    <row r="22" spans="2:9" x14ac:dyDescent="0.25">
      <c r="B22" s="26" t="s">
        <v>41</v>
      </c>
      <c r="C22" s="27"/>
      <c r="D22" s="27"/>
      <c r="E22" s="27"/>
      <c r="F22" s="27"/>
      <c r="G22" s="28"/>
    </row>
    <row r="23" spans="2:9" x14ac:dyDescent="0.25">
      <c r="B23" s="29" t="s">
        <v>45</v>
      </c>
      <c r="C23" s="30"/>
      <c r="D23" s="30"/>
      <c r="E23" s="30"/>
      <c r="F23" s="30"/>
      <c r="G23" s="31"/>
    </row>
    <row r="24" spans="2:9" x14ac:dyDescent="0.25">
      <c r="B24" s="26" t="s">
        <v>42</v>
      </c>
      <c r="C24" s="27"/>
      <c r="D24" s="27"/>
      <c r="E24" s="27"/>
      <c r="F24" s="27"/>
      <c r="G24" s="28"/>
    </row>
    <row r="25" spans="2:9" ht="15.75" thickBot="1" x14ac:dyDescent="0.3">
      <c r="B25" s="32" t="s">
        <v>46</v>
      </c>
      <c r="C25" s="33"/>
      <c r="D25" s="33"/>
      <c r="E25" s="33"/>
      <c r="F25" s="33"/>
      <c r="G25" s="34"/>
    </row>
  </sheetData>
  <mergeCells count="9">
    <mergeCell ref="B22:G22"/>
    <mergeCell ref="B23:G23"/>
    <mergeCell ref="B24:G24"/>
    <mergeCell ref="B25:G25"/>
    <mergeCell ref="B17:G17"/>
    <mergeCell ref="B18:G18"/>
    <mergeCell ref="B19:G19"/>
    <mergeCell ref="B20:G20"/>
    <mergeCell ref="B21:G2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Ítems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COMPRAS</cp:lastModifiedBy>
  <dcterms:created xsi:type="dcterms:W3CDTF">2021-07-13T14:55:10Z</dcterms:created>
  <dcterms:modified xsi:type="dcterms:W3CDTF">2021-08-04T13:32:02Z</dcterms:modified>
</cp:coreProperties>
</file>