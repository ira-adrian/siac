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1D8F8D6A-DA51-49FF-8533-796D2EA66B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44" i="2" l="1"/>
  <c r="M44" i="2"/>
  <c r="Q44" i="2"/>
  <c r="U44" i="2"/>
  <c r="Y44" i="2"/>
  <c r="AC44" i="2"/>
</calcChain>
</file>

<file path=xl/sharedStrings.xml><?xml version="1.0" encoding="utf-8"?>
<sst xmlns="http://schemas.openxmlformats.org/spreadsheetml/2006/main" count="289" uniqueCount="187">
  <si>
    <t>Número expediente:</t>
  </si>
  <si>
    <t>EX-2022-00095305-   -CAT-DPCBS#MEC</t>
  </si>
  <si>
    <t>Número proceso de compra:</t>
  </si>
  <si>
    <t>100-0006-CPR22</t>
  </si>
  <si>
    <t>Nombre descriptivo proceso de compra:</t>
  </si>
  <si>
    <t>ADQUISICIÓN DE ALIMENTOS DESTINADOS A COMEDORES EMERGENTES-MDS</t>
  </si>
  <si>
    <t>Unidad Operativa de Compras:</t>
  </si>
  <si>
    <t>Secretaria de Compras y Abastecimiento</t>
  </si>
  <si>
    <t>Fecha de Apertura:</t>
  </si>
  <si>
    <t>08/02/2022</t>
  </si>
  <si>
    <t>Renglón</t>
  </si>
  <si>
    <t>ALL TRADING SRL</t>
  </si>
  <si>
    <t>LUJAIKO SRL</t>
  </si>
  <si>
    <t>maria angela mascareño</t>
  </si>
  <si>
    <t>JUAN ANGEL PERNA</t>
  </si>
  <si>
    <t>E-CO S. R. L.</t>
  </si>
  <si>
    <t>C.A.M.I.N.O.  S.A.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</si>
  <si>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</si>
  <si>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</si>
  <si>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</si>
  <si>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</si>
  <si>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</si>
  <si>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</si>
  <si>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</si>
  <si>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</si>
  <si>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</si>
  <si>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</si>
  <si>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2.1.1-2868.55 </t>
  </si>
  <si>
    <t xml:space="preserve">FIDEOS SECOS; VARIEDAD: TALLARIN, RELLENO: SIN, PRESENTACION: ENVASE X 500 
GR, MATERIAL ENVASE: PLASTICO 1 (PET), ELEM. TRANSPORTE: SIN, MATERIAL 
ELEM. TRANSPORTE: SIN, CERTIFICADO FORESTAL (GFS): SIN, LIBRE DE GLUTEN: 
NO </t>
  </si>
  <si>
    <t xml:space="preserve">UNIDAD </t>
  </si>
  <si>
    <t xml:space="preserve">FIDEOS SECOS TALLARIN x 500gr (MARCA "LA PROVIDENCIA") </t>
  </si>
  <si>
    <t xml:space="preserve">.FIDEOS SECOS; VARIEDAD: TALLARIN, RELLENO: SIN, PRESENTACION: ENVASE X 500 
GR, MATERIAL ENVASE: PLASTICO 1 (PET), ELEM. TRANSPORTE: SIN, MATERIAL 
ELEM. TRANSPORTE: SIN, CERTIFICADO FORESTAL (GFS): SIN, LIBRE DE GLUTEN: 
NO MARCA DONACI </t>
  </si>
  <si>
    <t xml:space="preserve">FIDEOS TALLARIN PAQUETE X 500 GR MARCA: MOLTO </t>
  </si>
  <si>
    <t xml:space="preserve">2 </t>
  </si>
  <si>
    <t xml:space="preserve">2.1.1-541.49 </t>
  </si>
  <si>
    <t xml:space="preserve">CARNES; ESPECIE: VACUNA, CORTE: NALGA, TIPO: VACUNA </t>
  </si>
  <si>
    <t xml:space="preserve">CARNES; ESPECIE: VACUNA, CORTE: NALGA, TIPO: VACUNA. KG </t>
  </si>
  <si>
    <t xml:space="preserve">CARNES; ESPECIE: VACUNA, CORTE: NALGA, TIPO: VACUNA 1ª CALIDAD </t>
  </si>
  <si>
    <t xml:space="preserve">CARNES; ESPECIE: VACUNA, CORTE: NALGA, TIPO: VACUNA 1º CALIDAD </t>
  </si>
  <si>
    <t xml:space="preserve">3 </t>
  </si>
  <si>
    <t xml:space="preserve">2.1.1-541.7 </t>
  </si>
  <si>
    <t xml:space="preserve">CARNES; ESPECIE: VACUNA, CORTE: PICADA ESPECIAL, TIPO: VACUNA </t>
  </si>
  <si>
    <t xml:space="preserve">CARNES; ESPECIE: VACUNA, CORTE: PICADA ESPECIAL, TIPO: VACUNA. KG </t>
  </si>
  <si>
    <t xml:space="preserve">CARNES; ESPECIE: VACUNA, CORTE: PICADA ESPECIAL, TIPO: VACUNA 1ª CALIDAD 
</t>
  </si>
  <si>
    <t xml:space="preserve">CARNES; ESPECIE: VACUNA, CORTE: PICADA ESPECIAL, TIPO: VACUNA 1º CALIDAD 
</t>
  </si>
  <si>
    <t xml:space="preserve">4 </t>
  </si>
  <si>
    <t xml:space="preserve">2.1.1-6546.46 </t>
  </si>
  <si>
    <t xml:space="preserve">VERDURAS Y HORTALIZAS; VARIEDAD: CEBOLLA, ESTADO: NATURAL, PRESENTACION: GRANEL, PESO: 
SIN VALOR </t>
  </si>
  <si>
    <t xml:space="preserve">CEBOLLA (NATURAL A GRANEL) </t>
  </si>
  <si>
    <t xml:space="preserve">5 </t>
  </si>
  <si>
    <t xml:space="preserve">2.1.1-6546.403 </t>
  </si>
  <si>
    <t xml:space="preserve">VERDURAS Y HORTALIZAS; VARIEDAD: ZANAHORIA, ESTADO: NATURAL, PRESENTACION: BOLSA, PESO: 
NO CORRESPONDE, ELEM. TRANSPORTE: SIN, MATERIAL ELEM. TRANSPORTE: SIN, LIBRE 
DE GLUTEN: SI, ORGANICO: NO </t>
  </si>
  <si>
    <t xml:space="preserve">ZANAHORIA (NATURAL EN BOLSA) </t>
  </si>
  <si>
    <t xml:space="preserve">VERDURAS Y HORTALIZAS; VARIEDAD: ZANAHORIA, ESTADO: NATURAL, PRESENTACION: BOLSA X 
1 KG </t>
  </si>
  <si>
    <t xml:space="preserve">6 </t>
  </si>
  <si>
    <t xml:space="preserve">2.1.1-6546.95 </t>
  </si>
  <si>
    <t xml:space="preserve">VERDURAS Y HORTALIZAS; VARIEDAD: MORRON VERDE, ESTADO: NATURAL, PRESENTACION: GRANEL, 
PESO: SIN VALOR </t>
  </si>
  <si>
    <t xml:space="preserve">MORRON VERDE (NATURAL A GRANEL) </t>
  </si>
  <si>
    <t xml:space="preserve">VERDURAS Y HORTALIZAS; VARIEDAD: MORRON VERDE, ESTADO: NATURAL, PRESENTACION: GRANEL, 
PESO: SIN VALOR. X UNIDAD </t>
  </si>
  <si>
    <t xml:space="preserve">7 </t>
  </si>
  <si>
    <t xml:space="preserve">2.1.1-6546.4 </t>
  </si>
  <si>
    <t xml:space="preserve">VERDURAS Y HORTALIZAS; VARIEDAD: TOMATE PERITA, ESTADO: TRITURADO, PRESENTACION: BOTELLA, 
PESO: 950 GR </t>
  </si>
  <si>
    <t xml:space="preserve">TOMATE PERITA, ESTADO: TRITURADO, PRESENTACION: BOTELLA, PESO: 950 GR MARCA 
SABORES DEL VALLE </t>
  </si>
  <si>
    <t xml:space="preserve">8 </t>
  </si>
  <si>
    <t xml:space="preserve">2.1.1-439.67 </t>
  </si>
  <si>
    <t xml:space="preserve">ACEITES COMESTIBLES; TIPO: GIRASOL, PRESENTACION: ENVASE X 900 CM3, MATERIAL 
ENVASE: PLASTICO 1 (PET), ELEM. TRANSPORTE: SIN, MATERIAL ELEM. TRANSPORTE 
: SIN, LIBRE DE GLUTEN: NO </t>
  </si>
  <si>
    <t xml:space="preserve">  ACEITES COMESTIBLES; TIPO: GIRASOL, PRESENTACION: ENVASE X 900 
CM3, MATERIAL ENVASE: PLASTICO 1 (PET), ELEM. TRANSPORTE: SIN, MATERIAL 
ELEM. TRANSPORTE : SIN, LIBRE DE GLUTEN: NO MARCA SOLEIL 
</t>
  </si>
  <si>
    <t xml:space="preserve">9 </t>
  </si>
  <si>
    <t xml:space="preserve">2.1.1-6546.132 </t>
  </si>
  <si>
    <t xml:space="preserve">VERDURAS Y HORTALIZAS; VARIEDAD: PEREJIL, ESTADO: NATURAL, PRESENTACION: GRANEL, PESO: 
SIN VALOR </t>
  </si>
  <si>
    <t xml:space="preserve">PEREJIL (NATURAL A GRANEL) </t>
  </si>
  <si>
    <t xml:space="preserve">VERDURAS Y HORTALIZAS; VARIEDAD: PEREJIL, ESTADO: NATURAL, PRESENTACION: GRANEL, PESO: 
SIN VALOR. X ATADO DE 150 GR </t>
  </si>
  <si>
    <t xml:space="preserve">10 </t>
  </si>
  <si>
    <t xml:space="preserve">2.1.1-435.60 </t>
  </si>
  <si>
    <t xml:space="preserve">ARROZ; TIPO GRANO: LARGO-FINO, TIPO: BLANCO, PROCESO: SIN CASCARA, PRESENTACION: 
BOLSA X 1 Kg, MATERIAL ENVASE: PLASTICO, CERTIFICADO FORESTAL (GFS): 
SIN, ELEM. TRANSPORTE: SIN, MATERIAL ELEM. TRANSPORTE: SIN, LIBRE DE 
GLUTEN: SI </t>
  </si>
  <si>
    <t xml:space="preserve">ARROZ LARGO-FINO BLANCO (BOLSA X 1KG, MARCA "CELADOR") </t>
  </si>
  <si>
    <t xml:space="preserve">ARROZ; TIPO GRANO: LARGO-FINO, TIPO: BLANCO, PROCESO: SIN CASCARA, PRESENTACION: 
BOLSA X 1 Kg, MATERIAL ENVASE: PLASTICO, CERTIFICADO FORESTAL (GFS): 
SIN, ELEM. TRANSPORTE: SIN, MATERIAL ELEM. TRANSPORTE: SIN, LIBRE DE 
GLUTEN: SI MARCA PRIMOR </t>
  </si>
  <si>
    <t xml:space="preserve">ARROZ BLANCO LARGO FINO CALIDAD 00000 X 1 KG MARCA: 
MOLTO </t>
  </si>
  <si>
    <t xml:space="preserve">11 </t>
  </si>
  <si>
    <t xml:space="preserve">2.1.1-6546.2 </t>
  </si>
  <si>
    <t xml:space="preserve">VERDURAS Y HORTALIZAS; VARIEDAD: TOMATE REDONDO, ESTADO: NATURAL, PRESENTACION: GRANEL, 
PESO: SIN VALOR </t>
  </si>
  <si>
    <t xml:space="preserve">TOMATE REDONDO (NATURAL A GRANEL) </t>
  </si>
  <si>
    <t xml:space="preserve">VERDURAS Y HORTALIZAS; VARIEDAD: TOMATE REDONDO, ESTADO: NATURAL, PRESENTACION: GRANEL, 
PESO: SIN VALOR. KG </t>
  </si>
  <si>
    <t xml:space="preserve">12 </t>
  </si>
  <si>
    <t xml:space="preserve">2.1.1-621.3 </t>
  </si>
  <si>
    <t xml:space="preserve">AVES; PRESENTACION: TROZADO SIN PIEL, ESPECIE: POLLO, EVISCERADO: SIN VALOR, 
TIPO: POLLO </t>
  </si>
  <si>
    <t xml:space="preserve">AVES; PRESENTACION: TROZADO SIN PIEL, ESPECIE: POLLO, EVISCERADO: SIN VALOR, 
TIPO: POLLO. X KG </t>
  </si>
  <si>
    <t xml:space="preserve">13 </t>
  </si>
  <si>
    <t xml:space="preserve">2.1.1-6546.100 </t>
  </si>
  <si>
    <t xml:space="preserve">VERDURAS Y HORTALIZAS; ESTADO: NATURAL, PRESENTACION: GRANEL, VARIEDAD: PAPA BLANCA, 
PESO: SIN VALOR </t>
  </si>
  <si>
    <t xml:space="preserve">PAPA BLANCA (NATURAL A GRANEL) </t>
  </si>
  <si>
    <t xml:space="preserve">VERDURAS Y HORTALIZAS; ESTADO: NATURAL, PRESENTACION: GRANEL, VARIEDAD: PAPA BLANCA, 
PESO: X KG </t>
  </si>
  <si>
    <t xml:space="preserve">14 </t>
  </si>
  <si>
    <t xml:space="preserve">2.1.1-6547.17 </t>
  </si>
  <si>
    <t xml:space="preserve">LEGUMBRES; VARIEDAD: ARVEJA, ESTADO: REMOJADO EN CONSERVA, PRESENTACION: LATA, PESO: 
350 GR </t>
  </si>
  <si>
    <t xml:space="preserve">LEGUMBRES; VARIEDAD: ARVEJA, ESTADO: REMOJADO EN CONSERVA, PRESENTACION: LATA, PESO: 
350 GR MARCA: INALPA </t>
  </si>
  <si>
    <t xml:space="preserve">ARVEJAS SECAS REMOJADAS X 350 GRAMOS, EN ENVASES DE LATA, 
SIN TACC, MARCA IDOLO. </t>
  </si>
  <si>
    <t xml:space="preserve">15 </t>
  </si>
  <si>
    <t xml:space="preserve">2.1.1-483.33 </t>
  </si>
  <si>
    <t xml:space="preserve">HUEVO DE GALLINA; TAMAÑO: MEDIANOS, COLOR: BLANCOS, PRESENTACION: 30 </t>
  </si>
  <si>
    <t xml:space="preserve">HUEVO DE GALLINA (MEDIANO BLANCO MAPLE X 30 unid) </t>
  </si>
  <si>
    <t xml:space="preserve">HUEVO DE GALLINA; TAMAÑO: MEDIANOS, COLOR: BLANCOS, PRESENTACION: 30. </t>
  </si>
  <si>
    <t xml:space="preserve">16 </t>
  </si>
  <si>
    <t xml:space="preserve">2.1.1-6546.401 </t>
  </si>
  <si>
    <t xml:space="preserve">VERDURAS Y HORTALIZAS; VARIEDAD: AJO, ESTADO: NATURAL, PRESENTACION: UNIDAD, PESO: 
NO CORRESPONDE, ELEM. TRANSPORTE: SIN, MATERIAL ELEM. TRANSPORTE: SIN, LIBRE 
DE GLUTEN: SI, ORGANICO: NO </t>
  </si>
  <si>
    <t xml:space="preserve">AJO (NATURAL POR UNIDAD) </t>
  </si>
  <si>
    <t xml:space="preserve">VERDURAS Y HORTALIZAS; VARIEDAD: AJO, ESTADO: NATURAL, PRESENTACION: UNIDAD, PESO: 
NO CORRESPONDE, ELEM. TRANSPORTE: SIN, MATERIAL ELEM. TRANSPORTE: SIN, LIBRE 
DE GLUTEN: SI, ORGANICO: NO X CABEZA </t>
  </si>
  <si>
    <t xml:space="preserve">17 </t>
  </si>
  <si>
    <t xml:space="preserve">2.1.1-6546.158 </t>
  </si>
  <si>
    <t xml:space="preserve">VERDURAS Y HORTALIZAS; ESTADO: NATURAL, VARIEDAD: ZAPALLO ANCO, PRESENTACION: GRANEL, 
PESO: SIN VALOR </t>
  </si>
  <si>
    <t xml:space="preserve">ZAPALLO (NATURAL A GRANEL) </t>
  </si>
  <si>
    <t xml:space="preserve">VERDURAS Y HORTALIZAS; ESTADO: NATURAL, VARIEDAD: ZAPALLO ANCO, PRESENTACION: GRANEL, 
PESO: X KG </t>
  </si>
  <si>
    <t xml:space="preserve">18 </t>
  </si>
  <si>
    <t xml:space="preserve">2.1.1-969.82 </t>
  </si>
  <si>
    <t xml:space="preserve">FIAMBRES; TIPO: JAMON COCIDO, PRESENTACION: AL PESO </t>
  </si>
  <si>
    <t xml:space="preserve">FIAMBRES; TIPO: JAMON COCIDO, PRESENTACION: AL PESO X KG. MARCA 
CAMPO AUSTRAL </t>
  </si>
  <si>
    <t xml:space="preserve">19 </t>
  </si>
  <si>
    <t xml:space="preserve">2.1.1-669.25 </t>
  </si>
  <si>
    <t xml:space="preserve">PANES; TIPO: RALLADO, PRESENTACION: BOLSA DE 1000 GR </t>
  </si>
  <si>
    <t xml:space="preserve">PAN RALLADO X 1 KG DE 1º CALIDAD PANIFICADORA SAN 
VALENTIN </t>
  </si>
  <si>
    <t xml:space="preserve">20 </t>
  </si>
  <si>
    <t xml:space="preserve">2.1.1-6546.374 </t>
  </si>
  <si>
    <t xml:space="preserve">VERDURAS Y HORTALIZAS; VARIEDAD: LECHUGA ARREPOLLADA, ESTADO: NATURAL, PRESENTACION: A 
GRANEL, PESO: 300 GR CADA PLANTA, ELEM. TRANSPORTE: SIN, MATERIAL 
ELEM. TRANSPORTE: SIN, LIBRE DE GLUTEN: SI </t>
  </si>
  <si>
    <t xml:space="preserve">LECHUGA ARREPOLLADA (NATURAL A GRANEL) </t>
  </si>
  <si>
    <t xml:space="preserve">VERDURAS Y HORTALIZAS; VARIEDAD: LECHUGA ARREPOLLADA, ESTADO: NATURAL, PRESENTACION: A 
GRANEL, PESO: 300 GR CADA PLANTA, ELEM. TRANSPORTE: SIN, MATERIAL 
ELEM. TRANSPORTE: SIN, LIBRE DE GLUTEN: SI X KG </t>
  </si>
  <si>
    <t xml:space="preserve">21 </t>
  </si>
  <si>
    <t xml:space="preserve">2.1.1-6546.242 </t>
  </si>
  <si>
    <t xml:space="preserve">VERDURAS Y HORTALIZAS; VARIEDAD: CHOCLO EN GRANO, ESTADO: NATURAL, PRESENTACION: 
LATA, PESO: 380 GR </t>
  </si>
  <si>
    <t xml:space="preserve">CHOCLO EN GRANO, ESTADO: NATURAL, PRESENTACION: LATA, PESO: 380 GR 
MARCA: INALPA </t>
  </si>
  <si>
    <t xml:space="preserve">CHOCLO GRANO AMARILLO , EN ENVASES DE LATA X 350GRAMOS, 
SIN TACC, MARCA IDOLO. </t>
  </si>
  <si>
    <t xml:space="preserve">22 </t>
  </si>
  <si>
    <t xml:space="preserve">2.1.1-489.132 </t>
  </si>
  <si>
    <t xml:space="preserve">ESPECIAS; TIPO: PIMIENTA BLANCA, PRESENTACION: ENVASE X 1 Kg </t>
  </si>
  <si>
    <t xml:space="preserve">ESPECIAS; TIPO: PIMIENTA BLANCA, PRESENTACION: ENVASE X 1 Kg MARCA 
DON NICO </t>
  </si>
  <si>
    <t xml:space="preserve">23 </t>
  </si>
  <si>
    <t xml:space="preserve">2.1.1-489.66 </t>
  </si>
  <si>
    <t xml:space="preserve">ESPECIAS; TIPO: OREGANO, PRESENTACION: BOLSA DE 1 Kg </t>
  </si>
  <si>
    <t xml:space="preserve">ESPECIAS; TIPO: OREGANO, PRESENTACION: BOLSA DE 1 Kg MARCA DON 
NICO </t>
  </si>
  <si>
    <t xml:space="preserve">24 </t>
  </si>
  <si>
    <t xml:space="preserve">2.1.1-489.67 </t>
  </si>
  <si>
    <t xml:space="preserve">ESPECIAS; TIPO: PIMENTON, PRESENTACION: BOLSA DE 1 Kg </t>
  </si>
  <si>
    <t xml:space="preserve">SPECIAS; TIPO: PIMENTON, PRESENTACION: BOLSA DE 1 Kg MARCA DON 
NICO </t>
  </si>
  <si>
    <t xml:space="preserve">25 </t>
  </si>
  <si>
    <t xml:space="preserve">2.1.1-489.109 </t>
  </si>
  <si>
    <t xml:space="preserve">ESPECIAS; TIPO: PROVENZAL, PRESENTACION: PAQUETE X 1 Kg </t>
  </si>
  <si>
    <t xml:space="preserve">ESPECIAS; TIPO: PROVENZAL, PRESENTACION: PAQUETE X 1 Kg MARCA DON 
NICO </t>
  </si>
  <si>
    <t xml:space="preserve">26 </t>
  </si>
  <si>
    <t xml:space="preserve">2.1.1-669.35 </t>
  </si>
  <si>
    <t xml:space="preserve">PANES; TIPO: FRANCES, PRESENTACION: GRANEL </t>
  </si>
  <si>
    <t xml:space="preserve">PAN TIPO FRANCES FRESCO DE 1º CALIDAD PANIFICADORA SAN VALENTIN 
</t>
  </si>
  <si>
    <t xml:space="preserve">27 </t>
  </si>
  <si>
    <t xml:space="preserve">2.1.1-514.2 </t>
  </si>
  <si>
    <t xml:space="preserve">SAL DE MESA; CONSISTENCIA: FINA, PESO: 500 GR, TIPO: SIN 
VALOR, ENVASE: PAQUETE </t>
  </si>
  <si>
    <t xml:space="preserve">SAL DE MESA; CONSISTENCIA: FINA, PESO: 500 GR, TIPO: SIN 
VALOR, ENVASE: PAQUETE MARCA: MANTO BLANCO </t>
  </si>
  <si>
    <t xml:space="preserve">28 </t>
  </si>
  <si>
    <t xml:space="preserve">2.1.1-514.15 </t>
  </si>
  <si>
    <t xml:space="preserve">SAL DE MESA; CONSISTENCIA: GRUESA, ENVASE: BOLSA, PESO: 1 Kg, 
TIPO: SIN VALOR </t>
  </si>
  <si>
    <t xml:space="preserve">SAL DE MESA; CONSISTENCIA: GRUESA, ENVASE: BOLSA, PESO: 1 Kg, 
TIPO: SIN VALOR MARCA MANTO BLANCO </t>
  </si>
  <si>
    <t xml:space="preserve">29 </t>
  </si>
  <si>
    <t xml:space="preserve">2.1.1-489.9 </t>
  </si>
  <si>
    <t xml:space="preserve">ESPECIAS; TIPO: AZAFRAN, PRESENTACION: POLVO </t>
  </si>
  <si>
    <t xml:space="preserve">30 </t>
  </si>
  <si>
    <t xml:space="preserve">2.1.1-6546.124 </t>
  </si>
  <si>
    <t xml:space="preserve">VERDURAS Y HORTALIZAS; PESO: SIN VALOR, VARIEDAD: REMOLACHA, ESTADO: NATURAL, 
PRESENTACION: GRANEL </t>
  </si>
  <si>
    <t xml:space="preserve">REMOLACHA (NATURAL A GRANEL) </t>
  </si>
  <si>
    <t xml:space="preserve">VERDURAS Y HORTALIZAS; PESO: SIN VALOR, VARIEDAD: REMOLACHA, ESTADO: NATURAL, 
PRESENTACION: GRANEL X ATADO </t>
  </si>
  <si>
    <t xml:space="preserve">31 </t>
  </si>
  <si>
    <t xml:space="preserve">2.1.1-6539.8 </t>
  </si>
  <si>
    <t xml:space="preserve">FRUTAS; VARIEDAD: NARANJA ESPECIAL, ESTADO: NATURAL, PRESENTACION: CAJON, PESO: SIN 
VALOR </t>
  </si>
  <si>
    <t xml:space="preserve">NARANJA ESPECIAL (NATURAL EN CAJON) </t>
  </si>
  <si>
    <t xml:space="preserve">FRUTAS; VARIEDAD: NARANJA ESPECIAL, ESTADO: NATURAL, PRESENTACION: CAJON X 18 
KG </t>
  </si>
  <si>
    <t xml:space="preserve">32 </t>
  </si>
  <si>
    <t xml:space="preserve">2.1.1-6539.19 </t>
  </si>
  <si>
    <t xml:space="preserve">FRUTAS; ESTADO: NATURAL, VARIEDAD: MANZANA RED ELEGIDA, PRESENTACION: CAJON, PESO: 
SIN VALOR </t>
  </si>
  <si>
    <t xml:space="preserve">MANZANA RED ELEGIDA (NATURAL EN CAJON) </t>
  </si>
  <si>
    <t xml:space="preserve">FRUTAS; ESTADO: NATURAL, VARIEDAD: MANZANA RED ELEGIDA, PRESENTACION: CAJON X 
20 KG </t>
  </si>
  <si>
    <t xml:space="preserve">33 </t>
  </si>
  <si>
    <t xml:space="preserve">2.1.1-6539.30 </t>
  </si>
  <si>
    <t xml:space="preserve">FRUTAS; VARIEDAD: BANANA, PRESENTACION: CAJON, ESTADO: NATURAL, PESO: SIN VALOR 
</t>
  </si>
  <si>
    <t xml:space="preserve">BANANA (NATURAL EN CAJON) </t>
  </si>
  <si>
    <t xml:space="preserve">FRUTAS; VARIEDAD: BANANA, PRESENTACION: CAJON, ESTADO: NATURAL, CAJON X 20 
KG </t>
  </si>
  <si>
    <t xml:space="preserve">34 </t>
  </si>
  <si>
    <t xml:space="preserve">2.1.1-6539.32 </t>
  </si>
  <si>
    <t xml:space="preserve">FRUTAS; VARIEDAD: PERA AMARILLA, ESTADO: NATURAL, PRESENTACION: CAJON, PESO: SIN 
VALOR </t>
  </si>
  <si>
    <t xml:space="preserve">PERA AMARILLA (NATURAL EN CAJON) </t>
  </si>
  <si>
    <t xml:space="preserve">FRUTAS; VARIEDAD: PERA AMARILLA, ESTADO: NATURAL, PRESENTACION: CAJON X 18 
KG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</si>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</sst>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44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44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44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44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44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44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A9:AD44" totalsRowCount="1">
  <tableColumns count="4">
    <tableColumn id="1" xr3:uid="{00000000-0010-0000-0600-000001000000}" name="Precio unitario"/>
    <tableColumn id="2" xr3:uid="{00000000-0010-0000-0600-000002000000}" name="Cantidad ofertada"/>
    <tableColumn id="3" xr3:uid="{00000000-0010-0000-0600-000003000000}" name="Total por renglón" totalsRowFunction="sum"/>
    <tableColumn id="4" xr3:uid="{00000000-0010-0000-06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0.85546875" customWidth="1"/>
    <col min="5" max="5" width="69.855468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57" customWidth="1"/>
    <col min="11" max="11" width="14.28515625" customWidth="1"/>
    <col min="12" max="12" width="17.28515625" customWidth="1"/>
    <col min="13" max="13" width="16.5703125" customWidth="1"/>
    <col min="14" max="14" width="91.28515625" customWidth="1"/>
    <col min="15" max="15" width="14.28515625" customWidth="1"/>
    <col min="16" max="16" width="17.28515625" customWidth="1"/>
    <col min="17" max="17" width="16.5703125" customWidth="1"/>
    <col min="18" max="18" width="65" customWidth="1"/>
    <col min="19" max="19" width="14.28515625" customWidth="1"/>
    <col min="20" max="20" width="17.28515625" customWidth="1"/>
    <col min="21" max="21" width="16.5703125" customWidth="1"/>
    <col min="22" max="22" width="71.28515625" customWidth="1"/>
    <col min="23" max="23" width="14.28515625" customWidth="1"/>
    <col min="24" max="24" width="17.28515625" customWidth="1"/>
    <col min="25" max="25" width="16.5703125" customWidth="1"/>
    <col min="26" max="26" width="91.28515625" customWidth="1"/>
    <col min="27" max="27" width="14.28515625" customWidth="1"/>
    <col min="28" max="28" width="17.28515625" customWidth="1"/>
    <col min="29" max="29" width="16.5703125" customWidth="1"/>
    <col min="30" max="30" width="59.28515625" customWidth="1"/>
  </cols>
  <sheetData>
    <row r="1" spans="1:30" x14ac:dyDescent="0.25">
      <c r="D1" s="2" t="s">
        <v>0</v>
      </c>
      <c r="E1" s="2" t="s">
        <v>1</v>
      </c>
    </row>
    <row r="2" spans="1:30" x14ac:dyDescent="0.25">
      <c r="D2" s="2" t="s">
        <v>2</v>
      </c>
      <c r="E2" s="2" t="s">
        <v>3</v>
      </c>
    </row>
    <row r="3" spans="1:30" x14ac:dyDescent="0.25">
      <c r="D3" s="2" t="s">
        <v>4</v>
      </c>
      <c r="E3" s="2" t="s">
        <v>5</v>
      </c>
    </row>
    <row r="4" spans="1:30" x14ac:dyDescent="0.25">
      <c r="D4" s="2" t="s">
        <v>6</v>
      </c>
      <c r="E4" s="2" t="s">
        <v>7</v>
      </c>
    </row>
    <row r="5" spans="1:30" x14ac:dyDescent="0.25">
      <c r="D5" s="2" t="s">
        <v>8</v>
      </c>
      <c r="E5" s="2" t="s">
        <v>9</v>
      </c>
    </row>
    <row r="8" spans="1:3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</row>
    <row r="9" spans="1:30" x14ac:dyDescent="0.25">
      <c r="A9" t="s">
        <v>10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s="3" t="s">
        <v>22</v>
      </c>
      <c r="H9" s="3" t="s">
        <v>23</v>
      </c>
      <c r="I9" t="s">
        <v>24</v>
      </c>
      <c r="J9" t="s">
        <v>25</v>
      </c>
      <c r="K9" s="3" t="s">
        <v>22</v>
      </c>
      <c r="L9" s="3" t="s">
        <v>23</v>
      </c>
      <c r="M9" t="s">
        <v>24</v>
      </c>
      <c r="N9" t="s">
        <v>25</v>
      </c>
      <c r="O9" s="3" t="s">
        <v>22</v>
      </c>
      <c r="P9" s="3" t="s">
        <v>23</v>
      </c>
      <c r="Q9" t="s">
        <v>24</v>
      </c>
      <c r="R9" t="s">
        <v>25</v>
      </c>
      <c r="S9" s="3" t="s">
        <v>22</v>
      </c>
      <c r="T9" s="3" t="s">
        <v>23</v>
      </c>
      <c r="U9" t="s">
        <v>24</v>
      </c>
      <c r="V9" t="s">
        <v>25</v>
      </c>
      <c r="W9" s="3" t="s">
        <v>22</v>
      </c>
      <c r="X9" s="3" t="s">
        <v>23</v>
      </c>
      <c r="Y9" t="s">
        <v>24</v>
      </c>
      <c r="Z9" t="s">
        <v>25</v>
      </c>
      <c r="AA9" s="3" t="s">
        <v>22</v>
      </c>
      <c r="AB9" s="3" t="s">
        <v>23</v>
      </c>
      <c r="AC9" t="s">
        <v>24</v>
      </c>
      <c r="AD9" t="s">
        <v>25</v>
      </c>
    </row>
    <row r="10" spans="1:30" ht="60" x14ac:dyDescent="0.25">
      <c r="A10" t="s">
        <v>26</v>
      </c>
      <c r="B10" t="s">
        <v>26</v>
      </c>
      <c r="C10" t="s">
        <v>27</v>
      </c>
      <c r="D10" s="4" t="s">
        <v>28</v>
      </c>
      <c r="E10">
        <v>15840</v>
      </c>
      <c r="F10" t="s">
        <v>29</v>
      </c>
      <c r="G10" s="3">
        <v>85</v>
      </c>
      <c r="H10" s="3">
        <v>15840</v>
      </c>
      <c r="I10" s="5">
        <v>1346400</v>
      </c>
      <c r="J10" t="s">
        <v>30</v>
      </c>
      <c r="K10" s="3">
        <v>62</v>
      </c>
      <c r="L10" s="3">
        <v>15840</v>
      </c>
      <c r="M10" s="5">
        <v>982080</v>
      </c>
      <c r="N10" s="4" t="s">
        <v>31</v>
      </c>
      <c r="O10" s="3">
        <v>81.94</v>
      </c>
      <c r="P10" s="3">
        <v>15840</v>
      </c>
      <c r="Q10" s="5">
        <v>1297929.6000000001</v>
      </c>
      <c r="R10" t="s">
        <v>32</v>
      </c>
      <c r="S10" s="3"/>
      <c r="T10" s="3"/>
      <c r="U10" s="5"/>
      <c r="W10" s="3"/>
      <c r="X10" s="3"/>
      <c r="Y10" s="5"/>
      <c r="AA10" s="3"/>
      <c r="AB10" s="3"/>
      <c r="AC10" s="5"/>
    </row>
    <row r="11" spans="1:30" x14ac:dyDescent="0.25">
      <c r="A11" t="s">
        <v>33</v>
      </c>
      <c r="B11" t="s">
        <v>26</v>
      </c>
      <c r="C11" t="s">
        <v>34</v>
      </c>
      <c r="D11" t="s">
        <v>35</v>
      </c>
      <c r="E11">
        <v>6600</v>
      </c>
      <c r="F11" t="s">
        <v>29</v>
      </c>
      <c r="G11" s="3"/>
      <c r="H11" s="3"/>
      <c r="I11" s="5"/>
      <c r="K11" s="3">
        <v>1250</v>
      </c>
      <c r="L11" s="3">
        <v>6600</v>
      </c>
      <c r="M11" s="5">
        <v>8250000</v>
      </c>
      <c r="N11" t="s">
        <v>36</v>
      </c>
      <c r="O11" s="3"/>
      <c r="P11" s="3"/>
      <c r="Q11" s="5"/>
      <c r="S11" s="3">
        <v>1350</v>
      </c>
      <c r="T11" s="3">
        <v>5000</v>
      </c>
      <c r="U11" s="5">
        <v>6750000</v>
      </c>
      <c r="V11" t="s">
        <v>37</v>
      </c>
      <c r="W11" s="3">
        <v>1090</v>
      </c>
      <c r="X11" s="3">
        <v>6600</v>
      </c>
      <c r="Y11" s="5">
        <v>7194000</v>
      </c>
      <c r="Z11" t="s">
        <v>38</v>
      </c>
      <c r="AA11" s="3"/>
      <c r="AB11" s="3"/>
      <c r="AC11" s="5"/>
    </row>
    <row r="12" spans="1:30" ht="45" x14ac:dyDescent="0.25">
      <c r="A12" t="s">
        <v>39</v>
      </c>
      <c r="B12" t="s">
        <v>26</v>
      </c>
      <c r="C12" t="s">
        <v>40</v>
      </c>
      <c r="D12" t="s">
        <v>41</v>
      </c>
      <c r="E12">
        <v>13200</v>
      </c>
      <c r="F12" t="s">
        <v>29</v>
      </c>
      <c r="G12" s="3"/>
      <c r="H12" s="3"/>
      <c r="I12" s="5"/>
      <c r="K12" s="3">
        <v>850</v>
      </c>
      <c r="L12" s="3">
        <v>13200</v>
      </c>
      <c r="M12" s="5">
        <v>11220000</v>
      </c>
      <c r="N12" t="s">
        <v>42</v>
      </c>
      <c r="O12" s="3"/>
      <c r="P12" s="3"/>
      <c r="Q12" s="5"/>
      <c r="S12" s="3">
        <v>1150</v>
      </c>
      <c r="T12" s="3">
        <v>13000</v>
      </c>
      <c r="U12" s="5">
        <v>14950000</v>
      </c>
      <c r="V12" s="4" t="s">
        <v>43</v>
      </c>
      <c r="W12" s="3">
        <v>790</v>
      </c>
      <c r="X12" s="3">
        <v>13200</v>
      </c>
      <c r="Y12" s="5">
        <v>10428000</v>
      </c>
      <c r="Z12" s="4" t="s">
        <v>44</v>
      </c>
      <c r="AA12" s="3"/>
      <c r="AB12" s="3"/>
      <c r="AC12" s="5"/>
    </row>
    <row r="13" spans="1:30" ht="30" x14ac:dyDescent="0.25">
      <c r="A13" t="s">
        <v>45</v>
      </c>
      <c r="B13" t="s">
        <v>26</v>
      </c>
      <c r="C13" t="s">
        <v>46</v>
      </c>
      <c r="D13" s="4" t="s">
        <v>47</v>
      </c>
      <c r="E13">
        <v>8628</v>
      </c>
      <c r="F13" t="s">
        <v>29</v>
      </c>
      <c r="G13" s="3">
        <v>79</v>
      </c>
      <c r="H13" s="3">
        <v>8628</v>
      </c>
      <c r="I13" s="5">
        <v>681612</v>
      </c>
      <c r="J13" t="s">
        <v>48</v>
      </c>
      <c r="K13" s="3">
        <v>80</v>
      </c>
      <c r="L13" s="3">
        <v>8628</v>
      </c>
      <c r="M13" s="5">
        <v>690240</v>
      </c>
      <c r="N13" s="4" t="s">
        <v>47</v>
      </c>
      <c r="O13" s="3"/>
      <c r="P13" s="3"/>
      <c r="Q13" s="5"/>
      <c r="S13" s="3"/>
      <c r="T13" s="3"/>
      <c r="U13" s="5"/>
      <c r="W13" s="3">
        <v>150</v>
      </c>
      <c r="X13" s="3">
        <v>8628</v>
      </c>
      <c r="Y13" s="5">
        <v>1294200</v>
      </c>
      <c r="Z13" s="4" t="s">
        <v>47</v>
      </c>
      <c r="AA13" s="3"/>
      <c r="AB13" s="3"/>
      <c r="AC13" s="5"/>
    </row>
    <row r="14" spans="1:30" ht="60" x14ac:dyDescent="0.25">
      <c r="A14" t="s">
        <v>49</v>
      </c>
      <c r="B14" t="s">
        <v>26</v>
      </c>
      <c r="C14" t="s">
        <v>50</v>
      </c>
      <c r="D14" s="4" t="s">
        <v>51</v>
      </c>
      <c r="E14">
        <v>17868</v>
      </c>
      <c r="F14" t="s">
        <v>29</v>
      </c>
      <c r="G14" s="3">
        <v>169</v>
      </c>
      <c r="H14" s="3">
        <v>17868</v>
      </c>
      <c r="I14" s="5">
        <v>3019692</v>
      </c>
      <c r="J14" t="s">
        <v>52</v>
      </c>
      <c r="K14" s="3">
        <v>120</v>
      </c>
      <c r="L14" s="3">
        <v>17868</v>
      </c>
      <c r="M14" s="5">
        <v>2144160</v>
      </c>
      <c r="N14" s="4" t="s">
        <v>53</v>
      </c>
      <c r="O14" s="3"/>
      <c r="P14" s="3"/>
      <c r="Q14" s="5"/>
      <c r="S14" s="3"/>
      <c r="T14" s="3"/>
      <c r="U14" s="5"/>
      <c r="W14" s="3">
        <v>250</v>
      </c>
      <c r="X14" s="3">
        <v>17868</v>
      </c>
      <c r="Y14" s="5">
        <v>4467000</v>
      </c>
      <c r="Z14" s="4" t="s">
        <v>51</v>
      </c>
      <c r="AA14" s="3"/>
      <c r="AB14" s="3"/>
      <c r="AC14" s="5"/>
    </row>
    <row r="15" spans="1:30" ht="45" x14ac:dyDescent="0.25">
      <c r="A15" t="s">
        <v>54</v>
      </c>
      <c r="B15" t="s">
        <v>26</v>
      </c>
      <c r="C15" t="s">
        <v>55</v>
      </c>
      <c r="D15" s="4" t="s">
        <v>56</v>
      </c>
      <c r="E15">
        <v>17160</v>
      </c>
      <c r="F15" t="s">
        <v>29</v>
      </c>
      <c r="G15" s="3">
        <v>39</v>
      </c>
      <c r="H15" s="3">
        <v>17160</v>
      </c>
      <c r="I15" s="5">
        <v>669240</v>
      </c>
      <c r="J15" t="s">
        <v>57</v>
      </c>
      <c r="K15" s="3">
        <v>80</v>
      </c>
      <c r="L15" s="3">
        <v>17160</v>
      </c>
      <c r="M15" s="5">
        <v>1372800</v>
      </c>
      <c r="N15" s="4" t="s">
        <v>58</v>
      </c>
      <c r="O15" s="3"/>
      <c r="P15" s="3"/>
      <c r="Q15" s="5"/>
      <c r="S15" s="3"/>
      <c r="T15" s="3"/>
      <c r="U15" s="5"/>
      <c r="W15" s="3">
        <v>60</v>
      </c>
      <c r="X15" s="3">
        <v>17160</v>
      </c>
      <c r="Y15" s="5">
        <v>1029600</v>
      </c>
      <c r="Z15" s="4" t="s">
        <v>56</v>
      </c>
      <c r="AA15" s="3"/>
      <c r="AB15" s="3"/>
      <c r="AC15" s="5"/>
    </row>
    <row r="16" spans="1:30" ht="45" x14ac:dyDescent="0.25">
      <c r="A16" t="s">
        <v>59</v>
      </c>
      <c r="B16" t="s">
        <v>26</v>
      </c>
      <c r="C16" t="s">
        <v>60</v>
      </c>
      <c r="D16" s="4" t="s">
        <v>61</v>
      </c>
      <c r="E16">
        <v>10560</v>
      </c>
      <c r="F16" t="s">
        <v>29</v>
      </c>
      <c r="G16" s="3"/>
      <c r="H16" s="3"/>
      <c r="I16" s="5"/>
      <c r="K16" s="3">
        <v>199</v>
      </c>
      <c r="L16" s="3">
        <v>10560</v>
      </c>
      <c r="M16" s="5">
        <v>2101440</v>
      </c>
      <c r="N16" s="4" t="s">
        <v>62</v>
      </c>
      <c r="O16" s="3"/>
      <c r="P16" s="3"/>
      <c r="Q16" s="5"/>
      <c r="S16" s="3"/>
      <c r="T16" s="3"/>
      <c r="U16" s="5"/>
      <c r="W16" s="3"/>
      <c r="X16" s="3"/>
      <c r="Y16" s="5"/>
      <c r="AA16" s="3"/>
      <c r="AB16" s="3"/>
      <c r="AC16" s="5"/>
    </row>
    <row r="17" spans="1:30" ht="60" x14ac:dyDescent="0.25">
      <c r="A17" t="s">
        <v>63</v>
      </c>
      <c r="B17" t="s">
        <v>26</v>
      </c>
      <c r="C17" t="s">
        <v>64</v>
      </c>
      <c r="D17" s="4" t="s">
        <v>65</v>
      </c>
      <c r="E17">
        <v>5988</v>
      </c>
      <c r="F17" t="s">
        <v>29</v>
      </c>
      <c r="G17" s="3"/>
      <c r="H17" s="3"/>
      <c r="I17" s="5"/>
      <c r="K17" s="3">
        <v>265</v>
      </c>
      <c r="L17" s="3">
        <v>5988</v>
      </c>
      <c r="M17" s="5">
        <v>1586820</v>
      </c>
      <c r="N17" s="4" t="s">
        <v>66</v>
      </c>
      <c r="O17" s="3"/>
      <c r="P17" s="3"/>
      <c r="Q17" s="5"/>
      <c r="S17" s="3"/>
      <c r="T17" s="3"/>
      <c r="U17" s="5"/>
      <c r="W17" s="3"/>
      <c r="X17" s="3"/>
      <c r="Y17" s="5"/>
      <c r="AA17" s="3"/>
      <c r="AB17" s="3"/>
      <c r="AC17" s="5"/>
    </row>
    <row r="18" spans="1:30" ht="30" x14ac:dyDescent="0.25">
      <c r="A18" t="s">
        <v>67</v>
      </c>
      <c r="B18" t="s">
        <v>26</v>
      </c>
      <c r="C18" t="s">
        <v>68</v>
      </c>
      <c r="D18" s="4" t="s">
        <v>69</v>
      </c>
      <c r="E18">
        <v>2640</v>
      </c>
      <c r="F18" t="s">
        <v>29</v>
      </c>
      <c r="G18" s="3">
        <v>380</v>
      </c>
      <c r="H18" s="3">
        <v>2640</v>
      </c>
      <c r="I18" s="5">
        <v>1003200</v>
      </c>
      <c r="J18" t="s">
        <v>70</v>
      </c>
      <c r="K18" s="3">
        <v>60</v>
      </c>
      <c r="L18" s="3">
        <v>2640</v>
      </c>
      <c r="M18" s="5">
        <v>158400</v>
      </c>
      <c r="N18" s="4" t="s">
        <v>71</v>
      </c>
      <c r="O18" s="3"/>
      <c r="P18" s="3"/>
      <c r="Q18" s="5"/>
      <c r="S18" s="3"/>
      <c r="T18" s="3"/>
      <c r="U18" s="5"/>
      <c r="W18" s="3">
        <v>75</v>
      </c>
      <c r="X18" s="3">
        <v>2640</v>
      </c>
      <c r="Y18" s="5">
        <v>198000</v>
      </c>
      <c r="Z18" s="4" t="s">
        <v>69</v>
      </c>
      <c r="AA18" s="3"/>
      <c r="AB18" s="3"/>
      <c r="AC18" s="5"/>
    </row>
    <row r="19" spans="1:30" ht="60" x14ac:dyDescent="0.25">
      <c r="A19" t="s">
        <v>72</v>
      </c>
      <c r="B19" t="s">
        <v>26</v>
      </c>
      <c r="C19" t="s">
        <v>73</v>
      </c>
      <c r="D19" s="4" t="s">
        <v>74</v>
      </c>
      <c r="E19">
        <v>7920</v>
      </c>
      <c r="F19" t="s">
        <v>29</v>
      </c>
      <c r="G19" s="3">
        <v>109</v>
      </c>
      <c r="H19" s="3">
        <v>7920</v>
      </c>
      <c r="I19" s="5">
        <v>863280</v>
      </c>
      <c r="J19" t="s">
        <v>75</v>
      </c>
      <c r="K19" s="3">
        <v>120</v>
      </c>
      <c r="L19" s="3">
        <v>7920</v>
      </c>
      <c r="M19" s="5">
        <v>950400</v>
      </c>
      <c r="N19" s="4" t="s">
        <v>76</v>
      </c>
      <c r="O19" s="3">
        <v>138.9</v>
      </c>
      <c r="P19" s="3">
        <v>7920</v>
      </c>
      <c r="Q19" s="5">
        <v>1100088</v>
      </c>
      <c r="R19" s="4" t="s">
        <v>77</v>
      </c>
      <c r="S19" s="3"/>
      <c r="T19" s="3"/>
      <c r="U19" s="5"/>
      <c r="W19" s="3"/>
      <c r="X19" s="3"/>
      <c r="Y19" s="5"/>
      <c r="AA19" s="3"/>
      <c r="AB19" s="3"/>
      <c r="AC19" s="5"/>
    </row>
    <row r="20" spans="1:30" ht="45" x14ac:dyDescent="0.25">
      <c r="A20" t="s">
        <v>78</v>
      </c>
      <c r="B20" t="s">
        <v>26</v>
      </c>
      <c r="C20" t="s">
        <v>79</v>
      </c>
      <c r="D20" s="4" t="s">
        <v>80</v>
      </c>
      <c r="E20">
        <v>6600</v>
      </c>
      <c r="F20" t="s">
        <v>29</v>
      </c>
      <c r="G20" s="3">
        <v>300</v>
      </c>
      <c r="H20" s="3">
        <v>6600</v>
      </c>
      <c r="I20" s="5">
        <v>1980000</v>
      </c>
      <c r="J20" t="s">
        <v>81</v>
      </c>
      <c r="K20" s="3">
        <v>250</v>
      </c>
      <c r="L20" s="3">
        <v>6600</v>
      </c>
      <c r="M20" s="5">
        <v>1650000</v>
      </c>
      <c r="N20" s="4" t="s">
        <v>82</v>
      </c>
      <c r="O20" s="3"/>
      <c r="P20" s="3"/>
      <c r="Q20" s="5"/>
      <c r="S20" s="3"/>
      <c r="T20" s="3"/>
      <c r="U20" s="5"/>
      <c r="W20" s="3">
        <v>280</v>
      </c>
      <c r="X20" s="3">
        <v>6600</v>
      </c>
      <c r="Y20" s="5">
        <v>1848000</v>
      </c>
      <c r="Z20" s="4" t="s">
        <v>80</v>
      </c>
      <c r="AA20" s="3"/>
      <c r="AB20" s="3"/>
      <c r="AC20" s="5"/>
    </row>
    <row r="21" spans="1:30" ht="30" x14ac:dyDescent="0.25">
      <c r="A21" t="s">
        <v>83</v>
      </c>
      <c r="B21" t="s">
        <v>26</v>
      </c>
      <c r="C21" t="s">
        <v>84</v>
      </c>
      <c r="D21" s="4" t="s">
        <v>85</v>
      </c>
      <c r="E21">
        <v>16548</v>
      </c>
      <c r="F21" t="s">
        <v>29</v>
      </c>
      <c r="G21" s="3"/>
      <c r="H21" s="3"/>
      <c r="I21" s="5"/>
      <c r="K21" s="3">
        <v>320</v>
      </c>
      <c r="L21" s="3">
        <v>16548</v>
      </c>
      <c r="M21" s="5">
        <v>5295360</v>
      </c>
      <c r="N21" s="4" t="s">
        <v>86</v>
      </c>
      <c r="O21" s="3"/>
      <c r="P21" s="3"/>
      <c r="Q21" s="5"/>
      <c r="S21" s="3"/>
      <c r="T21" s="3"/>
      <c r="U21" s="5"/>
      <c r="W21" s="3"/>
      <c r="X21" s="3"/>
      <c r="Y21" s="5"/>
      <c r="AA21" s="3"/>
      <c r="AB21" s="3"/>
      <c r="AC21" s="5"/>
    </row>
    <row r="22" spans="1:30" ht="30" x14ac:dyDescent="0.25">
      <c r="A22" t="s">
        <v>87</v>
      </c>
      <c r="B22" t="s">
        <v>26</v>
      </c>
      <c r="C22" t="s">
        <v>88</v>
      </c>
      <c r="D22" s="4" t="s">
        <v>89</v>
      </c>
      <c r="E22">
        <v>33000</v>
      </c>
      <c r="F22" t="s">
        <v>29</v>
      </c>
      <c r="G22" s="3">
        <v>65</v>
      </c>
      <c r="H22" s="3">
        <v>33000</v>
      </c>
      <c r="I22" s="5">
        <v>2145000</v>
      </c>
      <c r="J22" t="s">
        <v>90</v>
      </c>
      <c r="K22" s="3">
        <v>60</v>
      </c>
      <c r="L22" s="3">
        <v>33000</v>
      </c>
      <c r="M22" s="5">
        <v>1980000</v>
      </c>
      <c r="N22" s="4" t="s">
        <v>91</v>
      </c>
      <c r="O22" s="3"/>
      <c r="P22" s="3"/>
      <c r="Q22" s="5"/>
      <c r="S22" s="3"/>
      <c r="T22" s="3"/>
      <c r="U22" s="5"/>
      <c r="W22" s="3">
        <v>45</v>
      </c>
      <c r="X22" s="3">
        <v>33000</v>
      </c>
      <c r="Y22" s="5">
        <v>1485000</v>
      </c>
      <c r="Z22" s="4" t="s">
        <v>89</v>
      </c>
      <c r="AA22" s="3"/>
      <c r="AB22" s="3"/>
      <c r="AC22" s="5"/>
    </row>
    <row r="23" spans="1:30" ht="45" x14ac:dyDescent="0.25">
      <c r="A23" t="s">
        <v>92</v>
      </c>
      <c r="B23" t="s">
        <v>26</v>
      </c>
      <c r="C23" t="s">
        <v>93</v>
      </c>
      <c r="D23" s="4" t="s">
        <v>94</v>
      </c>
      <c r="E23">
        <v>17160</v>
      </c>
      <c r="F23" t="s">
        <v>29</v>
      </c>
      <c r="G23" s="3"/>
      <c r="H23" s="3"/>
      <c r="I23" s="5"/>
      <c r="K23" s="3">
        <v>52</v>
      </c>
      <c r="L23" s="3">
        <v>17160</v>
      </c>
      <c r="M23" s="5">
        <v>892320</v>
      </c>
      <c r="N23" s="4" t="s">
        <v>95</v>
      </c>
      <c r="O23" s="3"/>
      <c r="P23" s="3"/>
      <c r="Q23" s="5"/>
      <c r="S23" s="3"/>
      <c r="T23" s="3"/>
      <c r="U23" s="5"/>
      <c r="W23" s="3"/>
      <c r="X23" s="3"/>
      <c r="Y23" s="5"/>
      <c r="AA23" s="3">
        <v>46</v>
      </c>
      <c r="AB23" s="3">
        <v>17160</v>
      </c>
      <c r="AC23" s="5">
        <v>789360</v>
      </c>
      <c r="AD23" s="4" t="s">
        <v>96</v>
      </c>
    </row>
    <row r="24" spans="1:30" x14ac:dyDescent="0.25">
      <c r="A24" t="s">
        <v>97</v>
      </c>
      <c r="B24" t="s">
        <v>26</v>
      </c>
      <c r="C24" t="s">
        <v>98</v>
      </c>
      <c r="D24" t="s">
        <v>99</v>
      </c>
      <c r="E24">
        <v>3960</v>
      </c>
      <c r="F24" t="s">
        <v>29</v>
      </c>
      <c r="G24" s="3">
        <v>570</v>
      </c>
      <c r="H24" s="3">
        <v>3960</v>
      </c>
      <c r="I24" s="5">
        <v>2257200</v>
      </c>
      <c r="J24" t="s">
        <v>100</v>
      </c>
      <c r="K24" s="3">
        <v>600</v>
      </c>
      <c r="L24" s="3">
        <v>3960</v>
      </c>
      <c r="M24" s="5">
        <v>2376000</v>
      </c>
      <c r="N24" t="s">
        <v>101</v>
      </c>
      <c r="O24" s="3"/>
      <c r="P24" s="3"/>
      <c r="Q24" s="5"/>
      <c r="S24" s="3"/>
      <c r="T24" s="3"/>
      <c r="U24" s="5"/>
      <c r="W24" s="3"/>
      <c r="X24" s="3"/>
      <c r="Y24" s="5"/>
      <c r="AA24" s="3"/>
      <c r="AB24" s="3"/>
      <c r="AC24" s="5"/>
    </row>
    <row r="25" spans="1:30" ht="45" x14ac:dyDescent="0.25">
      <c r="A25" t="s">
        <v>102</v>
      </c>
      <c r="B25" t="s">
        <v>26</v>
      </c>
      <c r="C25" t="s">
        <v>103</v>
      </c>
      <c r="D25" s="4" t="s">
        <v>104</v>
      </c>
      <c r="E25">
        <v>2640</v>
      </c>
      <c r="F25" t="s">
        <v>29</v>
      </c>
      <c r="G25" s="3">
        <v>50</v>
      </c>
      <c r="H25" s="3">
        <v>2640</v>
      </c>
      <c r="I25" s="5">
        <v>132000</v>
      </c>
      <c r="J25" t="s">
        <v>105</v>
      </c>
      <c r="K25" s="3">
        <v>60</v>
      </c>
      <c r="L25" s="3">
        <v>2640</v>
      </c>
      <c r="M25" s="5">
        <v>158400</v>
      </c>
      <c r="N25" s="4" t="s">
        <v>106</v>
      </c>
      <c r="O25" s="3"/>
      <c r="P25" s="3"/>
      <c r="Q25" s="5"/>
      <c r="S25" s="3"/>
      <c r="T25" s="3"/>
      <c r="U25" s="5"/>
      <c r="W25" s="3">
        <v>75</v>
      </c>
      <c r="X25" s="3">
        <v>2640</v>
      </c>
      <c r="Y25" s="5">
        <v>198000</v>
      </c>
      <c r="Z25" s="4" t="s">
        <v>104</v>
      </c>
      <c r="AA25" s="3"/>
      <c r="AB25" s="3"/>
      <c r="AC25" s="5"/>
    </row>
    <row r="26" spans="1:30" ht="30" x14ac:dyDescent="0.25">
      <c r="A26" t="s">
        <v>107</v>
      </c>
      <c r="B26" t="s">
        <v>26</v>
      </c>
      <c r="C26" t="s">
        <v>108</v>
      </c>
      <c r="D26" s="4" t="s">
        <v>109</v>
      </c>
      <c r="E26">
        <v>11880</v>
      </c>
      <c r="F26" t="s">
        <v>29</v>
      </c>
      <c r="G26" s="3">
        <v>59</v>
      </c>
      <c r="H26" s="3">
        <v>11880</v>
      </c>
      <c r="I26" s="5">
        <v>700920</v>
      </c>
      <c r="J26" t="s">
        <v>110</v>
      </c>
      <c r="K26" s="3">
        <v>90</v>
      </c>
      <c r="L26" s="3">
        <v>11880</v>
      </c>
      <c r="M26" s="5">
        <v>1069200</v>
      </c>
      <c r="N26" s="4" t="s">
        <v>111</v>
      </c>
      <c r="O26" s="3"/>
      <c r="P26" s="3"/>
      <c r="Q26" s="5"/>
      <c r="S26" s="3"/>
      <c r="T26" s="3"/>
      <c r="U26" s="5"/>
      <c r="W26" s="3"/>
      <c r="X26" s="3"/>
      <c r="Y26" s="5"/>
      <c r="AA26" s="3"/>
      <c r="AB26" s="3"/>
      <c r="AC26" s="5"/>
    </row>
    <row r="27" spans="1:30" ht="30" x14ac:dyDescent="0.25">
      <c r="A27" t="s">
        <v>112</v>
      </c>
      <c r="B27" t="s">
        <v>26</v>
      </c>
      <c r="C27" t="s">
        <v>113</v>
      </c>
      <c r="D27" t="s">
        <v>114</v>
      </c>
      <c r="E27">
        <v>3348</v>
      </c>
      <c r="F27" t="s">
        <v>29</v>
      </c>
      <c r="G27" s="3"/>
      <c r="H27" s="3"/>
      <c r="I27" s="5"/>
      <c r="K27" s="3">
        <v>1100</v>
      </c>
      <c r="L27" s="3">
        <v>3348</v>
      </c>
      <c r="M27" s="5">
        <v>3682800</v>
      </c>
      <c r="N27" s="4" t="s">
        <v>115</v>
      </c>
      <c r="O27" s="3"/>
      <c r="P27" s="3"/>
      <c r="Q27" s="5"/>
      <c r="S27" s="3"/>
      <c r="T27" s="3"/>
      <c r="U27" s="5"/>
      <c r="W27" s="3"/>
      <c r="X27" s="3"/>
      <c r="Y27" s="5"/>
      <c r="AA27" s="3"/>
      <c r="AB27" s="3"/>
      <c r="AC27" s="5"/>
    </row>
    <row r="28" spans="1:30" ht="30" x14ac:dyDescent="0.25">
      <c r="A28" t="s">
        <v>116</v>
      </c>
      <c r="B28" t="s">
        <v>26</v>
      </c>
      <c r="C28" t="s">
        <v>117</v>
      </c>
      <c r="D28" t="s">
        <v>118</v>
      </c>
      <c r="E28">
        <v>3348</v>
      </c>
      <c r="F28" t="s">
        <v>29</v>
      </c>
      <c r="G28" s="3"/>
      <c r="H28" s="3"/>
      <c r="I28" s="5"/>
      <c r="K28" s="3"/>
      <c r="L28" s="3"/>
      <c r="M28" s="5"/>
      <c r="O28" s="3">
        <v>182.6</v>
      </c>
      <c r="P28" s="3">
        <v>3348</v>
      </c>
      <c r="Q28" s="5">
        <v>611344.80000000005</v>
      </c>
      <c r="R28" s="4" t="s">
        <v>119</v>
      </c>
      <c r="S28" s="3"/>
      <c r="T28" s="3"/>
      <c r="U28" s="5"/>
      <c r="W28" s="3">
        <v>175</v>
      </c>
      <c r="X28" s="3">
        <v>3348</v>
      </c>
      <c r="Y28" s="5">
        <v>585900</v>
      </c>
      <c r="Z28" t="s">
        <v>118</v>
      </c>
      <c r="AA28" s="3"/>
      <c r="AB28" s="3"/>
      <c r="AC28" s="5"/>
    </row>
    <row r="29" spans="1:30" ht="60" x14ac:dyDescent="0.25">
      <c r="A29" t="s">
        <v>120</v>
      </c>
      <c r="B29" t="s">
        <v>26</v>
      </c>
      <c r="C29" t="s">
        <v>121</v>
      </c>
      <c r="D29" s="4" t="s">
        <v>122</v>
      </c>
      <c r="E29">
        <v>5280</v>
      </c>
      <c r="F29" t="s">
        <v>29</v>
      </c>
      <c r="G29" s="3">
        <v>175</v>
      </c>
      <c r="H29" s="3">
        <v>5280</v>
      </c>
      <c r="I29" s="5">
        <v>924000</v>
      </c>
      <c r="J29" t="s">
        <v>123</v>
      </c>
      <c r="K29" s="3">
        <v>276</v>
      </c>
      <c r="L29" s="3">
        <v>5280</v>
      </c>
      <c r="M29" s="5">
        <v>1457280</v>
      </c>
      <c r="N29" s="4" t="s">
        <v>124</v>
      </c>
      <c r="O29" s="3"/>
      <c r="P29" s="3"/>
      <c r="Q29" s="5"/>
      <c r="S29" s="3"/>
      <c r="T29" s="3"/>
      <c r="U29" s="5"/>
      <c r="W29" s="3"/>
      <c r="X29" s="3"/>
      <c r="Y29" s="5"/>
      <c r="AA29" s="3"/>
      <c r="AB29" s="3"/>
      <c r="AC29" s="5"/>
    </row>
    <row r="30" spans="1:30" ht="45" x14ac:dyDescent="0.25">
      <c r="A30" t="s">
        <v>125</v>
      </c>
      <c r="B30" t="s">
        <v>26</v>
      </c>
      <c r="C30" t="s">
        <v>126</v>
      </c>
      <c r="D30" s="4" t="s">
        <v>127</v>
      </c>
      <c r="E30">
        <v>6600</v>
      </c>
      <c r="F30" t="s">
        <v>29</v>
      </c>
      <c r="G30" s="3"/>
      <c r="H30" s="3"/>
      <c r="I30" s="5"/>
      <c r="K30" s="3">
        <v>100</v>
      </c>
      <c r="L30" s="3">
        <v>6600</v>
      </c>
      <c r="M30" s="5">
        <v>660000</v>
      </c>
      <c r="N30" s="4" t="s">
        <v>128</v>
      </c>
      <c r="O30" s="3"/>
      <c r="P30" s="3"/>
      <c r="Q30" s="5"/>
      <c r="S30" s="3"/>
      <c r="T30" s="3"/>
      <c r="U30" s="5"/>
      <c r="W30" s="3"/>
      <c r="X30" s="3"/>
      <c r="Y30" s="5"/>
      <c r="AA30" s="3">
        <v>80</v>
      </c>
      <c r="AB30" s="3">
        <v>6600</v>
      </c>
      <c r="AC30" s="5">
        <v>528000</v>
      </c>
      <c r="AD30" s="4" t="s">
        <v>129</v>
      </c>
    </row>
    <row r="31" spans="1:30" ht="30" x14ac:dyDescent="0.25">
      <c r="A31" t="s">
        <v>130</v>
      </c>
      <c r="B31" t="s">
        <v>26</v>
      </c>
      <c r="C31" t="s">
        <v>131</v>
      </c>
      <c r="D31" t="s">
        <v>132</v>
      </c>
      <c r="E31">
        <v>120</v>
      </c>
      <c r="F31" t="s">
        <v>29</v>
      </c>
      <c r="G31" s="3"/>
      <c r="H31" s="3"/>
      <c r="I31" s="5"/>
      <c r="K31" s="3">
        <v>560</v>
      </c>
      <c r="L31" s="3">
        <v>120</v>
      </c>
      <c r="M31" s="5">
        <v>67200</v>
      </c>
      <c r="N31" s="4" t="s">
        <v>133</v>
      </c>
      <c r="O31" s="3"/>
      <c r="P31" s="3"/>
      <c r="Q31" s="5"/>
      <c r="S31" s="3"/>
      <c r="T31" s="3"/>
      <c r="U31" s="5"/>
      <c r="W31" s="3"/>
      <c r="X31" s="3"/>
      <c r="Y31" s="5"/>
      <c r="AA31" s="3"/>
      <c r="AB31" s="3"/>
      <c r="AC31" s="5"/>
    </row>
    <row r="32" spans="1:30" ht="30" x14ac:dyDescent="0.25">
      <c r="A32" t="s">
        <v>134</v>
      </c>
      <c r="B32" t="s">
        <v>26</v>
      </c>
      <c r="C32" t="s">
        <v>135</v>
      </c>
      <c r="D32" t="s">
        <v>136</v>
      </c>
      <c r="E32">
        <v>120</v>
      </c>
      <c r="F32" t="s">
        <v>29</v>
      </c>
      <c r="G32" s="3"/>
      <c r="H32" s="3"/>
      <c r="I32" s="5"/>
      <c r="K32" s="3">
        <v>600</v>
      </c>
      <c r="L32" s="3">
        <v>120</v>
      </c>
      <c r="M32" s="5">
        <v>72000</v>
      </c>
      <c r="N32" s="4" t="s">
        <v>137</v>
      </c>
      <c r="O32" s="3"/>
      <c r="P32" s="3"/>
      <c r="Q32" s="5"/>
      <c r="S32" s="3"/>
      <c r="T32" s="3"/>
      <c r="U32" s="5"/>
      <c r="W32" s="3"/>
      <c r="X32" s="3"/>
      <c r="Y32" s="5"/>
      <c r="AA32" s="3"/>
      <c r="AB32" s="3"/>
      <c r="AC32" s="5"/>
    </row>
    <row r="33" spans="1:29" ht="30" x14ac:dyDescent="0.25">
      <c r="A33" t="s">
        <v>138</v>
      </c>
      <c r="B33" t="s">
        <v>26</v>
      </c>
      <c r="C33" t="s">
        <v>139</v>
      </c>
      <c r="D33" t="s">
        <v>140</v>
      </c>
      <c r="E33">
        <v>120</v>
      </c>
      <c r="F33" t="s">
        <v>29</v>
      </c>
      <c r="G33" s="3"/>
      <c r="H33" s="3"/>
      <c r="I33" s="5"/>
      <c r="K33" s="3">
        <v>500</v>
      </c>
      <c r="L33" s="3">
        <v>120</v>
      </c>
      <c r="M33" s="5">
        <v>60000</v>
      </c>
      <c r="N33" s="4" t="s">
        <v>141</v>
      </c>
      <c r="O33" s="3"/>
      <c r="P33" s="3"/>
      <c r="Q33" s="5"/>
      <c r="S33" s="3"/>
      <c r="T33" s="3"/>
      <c r="U33" s="5"/>
      <c r="W33" s="3"/>
      <c r="X33" s="3"/>
      <c r="Y33" s="5"/>
      <c r="AA33" s="3"/>
      <c r="AB33" s="3"/>
      <c r="AC33" s="5"/>
    </row>
    <row r="34" spans="1:29" ht="30" x14ac:dyDescent="0.25">
      <c r="A34" t="s">
        <v>142</v>
      </c>
      <c r="B34" t="s">
        <v>26</v>
      </c>
      <c r="C34" t="s">
        <v>143</v>
      </c>
      <c r="D34" t="s">
        <v>144</v>
      </c>
      <c r="E34">
        <v>120</v>
      </c>
      <c r="F34" t="s">
        <v>29</v>
      </c>
      <c r="G34" s="3"/>
      <c r="H34" s="3"/>
      <c r="I34" s="5"/>
      <c r="K34" s="3">
        <v>600</v>
      </c>
      <c r="L34" s="3">
        <v>120</v>
      </c>
      <c r="M34" s="5">
        <v>72000</v>
      </c>
      <c r="N34" s="4" t="s">
        <v>145</v>
      </c>
      <c r="O34" s="3"/>
      <c r="P34" s="3"/>
      <c r="Q34" s="5"/>
      <c r="S34" s="3"/>
      <c r="T34" s="3"/>
      <c r="U34" s="5"/>
      <c r="W34" s="3"/>
      <c r="X34" s="3"/>
      <c r="Y34" s="5"/>
      <c r="AA34" s="3"/>
      <c r="AB34" s="3"/>
      <c r="AC34" s="5"/>
    </row>
    <row r="35" spans="1:29" ht="45" x14ac:dyDescent="0.25">
      <c r="A35" t="s">
        <v>146</v>
      </c>
      <c r="B35" t="s">
        <v>26</v>
      </c>
      <c r="C35" t="s">
        <v>147</v>
      </c>
      <c r="D35" t="s">
        <v>148</v>
      </c>
      <c r="E35">
        <v>39600</v>
      </c>
      <c r="F35" t="s">
        <v>29</v>
      </c>
      <c r="G35" s="3"/>
      <c r="H35" s="3"/>
      <c r="I35" s="5"/>
      <c r="K35" s="3"/>
      <c r="L35" s="3"/>
      <c r="M35" s="5"/>
      <c r="O35" s="3">
        <v>182.6</v>
      </c>
      <c r="P35" s="3">
        <v>39600</v>
      </c>
      <c r="Q35" s="5">
        <v>7230960</v>
      </c>
      <c r="R35" s="4" t="s">
        <v>149</v>
      </c>
      <c r="S35" s="3"/>
      <c r="T35" s="3"/>
      <c r="U35" s="5"/>
      <c r="W35" s="3">
        <v>195</v>
      </c>
      <c r="X35" s="3">
        <v>39600</v>
      </c>
      <c r="Y35" s="5">
        <v>7722000</v>
      </c>
      <c r="Z35" t="s">
        <v>148</v>
      </c>
      <c r="AA35" s="3"/>
      <c r="AB35" s="3"/>
      <c r="AC35" s="5"/>
    </row>
    <row r="36" spans="1:29" ht="30" x14ac:dyDescent="0.25">
      <c r="A36" t="s">
        <v>150</v>
      </c>
      <c r="B36" t="s">
        <v>26</v>
      </c>
      <c r="C36" t="s">
        <v>151</v>
      </c>
      <c r="D36" s="4" t="s">
        <v>152</v>
      </c>
      <c r="E36">
        <v>1320</v>
      </c>
      <c r="F36" t="s">
        <v>29</v>
      </c>
      <c r="G36" s="3"/>
      <c r="H36" s="3"/>
      <c r="I36" s="5"/>
      <c r="K36" s="3">
        <v>42</v>
      </c>
      <c r="L36" s="3">
        <v>1320</v>
      </c>
      <c r="M36" s="5">
        <v>55440</v>
      </c>
      <c r="N36" s="4" t="s">
        <v>153</v>
      </c>
      <c r="O36" s="3"/>
      <c r="P36" s="3"/>
      <c r="Q36" s="5"/>
      <c r="S36" s="3"/>
      <c r="T36" s="3"/>
      <c r="U36" s="5"/>
      <c r="W36" s="3"/>
      <c r="X36" s="3"/>
      <c r="Y36" s="5"/>
      <c r="AA36" s="3"/>
      <c r="AB36" s="3"/>
      <c r="AC36" s="5"/>
    </row>
    <row r="37" spans="1:29" ht="30" x14ac:dyDescent="0.25">
      <c r="A37" t="s">
        <v>154</v>
      </c>
      <c r="B37" t="s">
        <v>26</v>
      </c>
      <c r="C37" t="s">
        <v>155</v>
      </c>
      <c r="D37" s="4" t="s">
        <v>156</v>
      </c>
      <c r="E37">
        <v>708</v>
      </c>
      <c r="F37" t="s">
        <v>29</v>
      </c>
      <c r="G37" s="3"/>
      <c r="H37" s="3"/>
      <c r="I37" s="5"/>
      <c r="K37" s="3">
        <v>84</v>
      </c>
      <c r="L37" s="3">
        <v>708</v>
      </c>
      <c r="M37" s="5">
        <v>59472</v>
      </c>
      <c r="N37" s="4" t="s">
        <v>157</v>
      </c>
      <c r="O37" s="3"/>
      <c r="P37" s="3"/>
      <c r="Q37" s="5"/>
      <c r="S37" s="3"/>
      <c r="T37" s="3"/>
      <c r="U37" s="5"/>
      <c r="W37" s="3"/>
      <c r="X37" s="3"/>
      <c r="Y37" s="5"/>
      <c r="AA37" s="3"/>
      <c r="AB37" s="3"/>
      <c r="AC37" s="5"/>
    </row>
    <row r="38" spans="1:29" x14ac:dyDescent="0.25">
      <c r="A38" t="s">
        <v>158</v>
      </c>
      <c r="B38" t="s">
        <v>26</v>
      </c>
      <c r="C38" t="s">
        <v>159</v>
      </c>
      <c r="D38" t="s">
        <v>160</v>
      </c>
      <c r="E38">
        <v>708</v>
      </c>
      <c r="F38" t="s">
        <v>29</v>
      </c>
      <c r="G38" s="3"/>
      <c r="H38" s="3"/>
      <c r="I38" s="5"/>
      <c r="K38" s="3"/>
      <c r="L38" s="3"/>
      <c r="M38" s="5"/>
      <c r="O38" s="3"/>
      <c r="P38" s="3"/>
      <c r="Q38" s="5"/>
      <c r="S38" s="3"/>
      <c r="T38" s="3"/>
      <c r="U38" s="5"/>
      <c r="W38" s="3"/>
      <c r="X38" s="3"/>
      <c r="Y38" s="5"/>
      <c r="AA38" s="3"/>
      <c r="AB38" s="3"/>
      <c r="AC38" s="5"/>
    </row>
    <row r="39" spans="1:29" ht="30" x14ac:dyDescent="0.25">
      <c r="A39" t="s">
        <v>161</v>
      </c>
      <c r="B39" t="s">
        <v>26</v>
      </c>
      <c r="C39" t="s">
        <v>162</v>
      </c>
      <c r="D39" s="4" t="s">
        <v>163</v>
      </c>
      <c r="E39">
        <v>2640</v>
      </c>
      <c r="F39" t="s">
        <v>29</v>
      </c>
      <c r="G39" s="3">
        <v>215</v>
      </c>
      <c r="H39" s="3">
        <v>2640</v>
      </c>
      <c r="I39" s="5">
        <v>567600</v>
      </c>
      <c r="J39" t="s">
        <v>164</v>
      </c>
      <c r="K39" s="3">
        <v>448</v>
      </c>
      <c r="L39" s="3">
        <v>2640</v>
      </c>
      <c r="M39" s="5">
        <v>1182720</v>
      </c>
      <c r="N39" s="4" t="s">
        <v>165</v>
      </c>
      <c r="O39" s="3"/>
      <c r="P39" s="3"/>
      <c r="Q39" s="5"/>
      <c r="S39" s="3"/>
      <c r="T39" s="3"/>
      <c r="U39" s="5"/>
      <c r="W39" s="3"/>
      <c r="X39" s="3"/>
      <c r="Y39" s="5"/>
      <c r="AA39" s="3"/>
      <c r="AB39" s="3"/>
      <c r="AC39" s="5"/>
    </row>
    <row r="40" spans="1:29" ht="30" x14ac:dyDescent="0.25">
      <c r="A40" t="s">
        <v>166</v>
      </c>
      <c r="B40" t="s">
        <v>26</v>
      </c>
      <c r="C40" t="s">
        <v>167</v>
      </c>
      <c r="D40" s="4" t="s">
        <v>168</v>
      </c>
      <c r="E40">
        <v>384</v>
      </c>
      <c r="F40" t="s">
        <v>29</v>
      </c>
      <c r="G40" s="3">
        <v>2390</v>
      </c>
      <c r="H40" s="3">
        <v>384</v>
      </c>
      <c r="I40" s="5">
        <v>917760</v>
      </c>
      <c r="J40" t="s">
        <v>169</v>
      </c>
      <c r="K40" s="3">
        <v>2000</v>
      </c>
      <c r="L40" s="3">
        <v>384</v>
      </c>
      <c r="M40" s="5">
        <v>768000</v>
      </c>
      <c r="N40" s="4" t="s">
        <v>170</v>
      </c>
      <c r="O40" s="3"/>
      <c r="P40" s="3"/>
      <c r="Q40" s="5"/>
      <c r="S40" s="3"/>
      <c r="T40" s="3"/>
      <c r="U40" s="5"/>
      <c r="W40" s="3">
        <v>2500</v>
      </c>
      <c r="X40" s="3">
        <v>384</v>
      </c>
      <c r="Y40" s="5">
        <v>960000</v>
      </c>
      <c r="Z40" s="4" t="s">
        <v>168</v>
      </c>
      <c r="AA40" s="3"/>
      <c r="AB40" s="3"/>
      <c r="AC40" s="5"/>
    </row>
    <row r="41" spans="1:29" ht="30" x14ac:dyDescent="0.25">
      <c r="A41" t="s">
        <v>171</v>
      </c>
      <c r="B41" t="s">
        <v>26</v>
      </c>
      <c r="C41" t="s">
        <v>172</v>
      </c>
      <c r="D41" s="4" t="s">
        <v>173</v>
      </c>
      <c r="E41">
        <v>342</v>
      </c>
      <c r="F41" t="s">
        <v>29</v>
      </c>
      <c r="G41" s="3">
        <v>3890</v>
      </c>
      <c r="H41" s="3">
        <v>342</v>
      </c>
      <c r="I41" s="5">
        <v>1330380</v>
      </c>
      <c r="J41" t="s">
        <v>174</v>
      </c>
      <c r="K41" s="3">
        <v>5500</v>
      </c>
      <c r="L41" s="3">
        <v>342</v>
      </c>
      <c r="M41" s="5">
        <v>1881000</v>
      </c>
      <c r="N41" s="4" t="s">
        <v>175</v>
      </c>
      <c r="O41" s="3"/>
      <c r="P41" s="3"/>
      <c r="Q41" s="5"/>
      <c r="S41" s="3"/>
      <c r="T41" s="3"/>
      <c r="U41" s="5"/>
      <c r="W41" s="3">
        <v>4500</v>
      </c>
      <c r="X41" s="3">
        <v>342</v>
      </c>
      <c r="Y41" s="5">
        <v>1539000</v>
      </c>
      <c r="Z41" s="4" t="s">
        <v>173</v>
      </c>
      <c r="AA41" s="3"/>
      <c r="AB41" s="3"/>
      <c r="AC41" s="5"/>
    </row>
    <row r="42" spans="1:29" ht="30" x14ac:dyDescent="0.25">
      <c r="A42" t="s">
        <v>176</v>
      </c>
      <c r="B42" t="s">
        <v>26</v>
      </c>
      <c r="C42" t="s">
        <v>177</v>
      </c>
      <c r="D42" s="4" t="s">
        <v>178</v>
      </c>
      <c r="E42">
        <v>342</v>
      </c>
      <c r="F42" t="s">
        <v>29</v>
      </c>
      <c r="G42" s="3">
        <v>4380</v>
      </c>
      <c r="H42" s="3">
        <v>342</v>
      </c>
      <c r="I42" s="5">
        <v>1497960</v>
      </c>
      <c r="J42" t="s">
        <v>179</v>
      </c>
      <c r="K42" s="3">
        <v>6000</v>
      </c>
      <c r="L42" s="3">
        <v>342</v>
      </c>
      <c r="M42" s="5">
        <v>2052000</v>
      </c>
      <c r="N42" s="4" t="s">
        <v>180</v>
      </c>
      <c r="O42" s="3"/>
      <c r="P42" s="3"/>
      <c r="Q42" s="5"/>
      <c r="S42" s="3"/>
      <c r="T42" s="3"/>
      <c r="U42" s="5"/>
      <c r="W42" s="3">
        <v>5800</v>
      </c>
      <c r="X42" s="3">
        <v>342</v>
      </c>
      <c r="Y42" s="5">
        <v>1983600</v>
      </c>
      <c r="Z42" s="4" t="s">
        <v>178</v>
      </c>
      <c r="AA42" s="3"/>
      <c r="AB42" s="3"/>
      <c r="AC42" s="5"/>
    </row>
    <row r="43" spans="1:29" ht="30" x14ac:dyDescent="0.25">
      <c r="A43" t="s">
        <v>181</v>
      </c>
      <c r="B43" t="s">
        <v>26</v>
      </c>
      <c r="C43" t="s">
        <v>182</v>
      </c>
      <c r="D43" s="4" t="s">
        <v>183</v>
      </c>
      <c r="E43">
        <v>318</v>
      </c>
      <c r="F43" t="s">
        <v>29</v>
      </c>
      <c r="G43" s="3">
        <v>3590</v>
      </c>
      <c r="H43" s="3">
        <v>318</v>
      </c>
      <c r="I43" s="5">
        <v>1141620</v>
      </c>
      <c r="J43" t="s">
        <v>184</v>
      </c>
      <c r="K43" s="3">
        <v>4500</v>
      </c>
      <c r="L43" s="3">
        <v>318</v>
      </c>
      <c r="M43" s="5">
        <v>1431000</v>
      </c>
      <c r="N43" s="4" t="s">
        <v>185</v>
      </c>
      <c r="O43" s="3"/>
      <c r="P43" s="3"/>
      <c r="Q43" s="5"/>
      <c r="S43" s="3"/>
      <c r="T43" s="3"/>
      <c r="U43" s="5"/>
      <c r="W43" s="3">
        <v>3800</v>
      </c>
      <c r="X43" s="3">
        <v>318</v>
      </c>
      <c r="Y43" s="5">
        <v>1208400</v>
      </c>
      <c r="Z43" s="4" t="s">
        <v>183</v>
      </c>
      <c r="AA43" s="3"/>
      <c r="AB43" s="3"/>
      <c r="AC43" s="5"/>
    </row>
    <row r="44" spans="1:29" x14ac:dyDescent="0.25">
      <c r="C44" t="s">
        <v>186</v>
      </c>
      <c r="D44" s="4"/>
      <c r="G44" s="3"/>
      <c r="H44" s="3"/>
      <c r="I44" s="5">
        <f>SUBTOTAL(109,Table2[Total por renglón])</f>
        <v>21177864</v>
      </c>
      <c r="K44" s="3"/>
      <c r="L44" s="3"/>
      <c r="M44" s="5">
        <f>SUBTOTAL(109,Table3[Total por renglón])</f>
        <v>56378532</v>
      </c>
      <c r="N44" s="4"/>
      <c r="O44" s="3"/>
      <c r="P44" s="3"/>
      <c r="Q44" s="5">
        <f>SUBTOTAL(109,Table4[Total por renglón])</f>
        <v>10240322.4</v>
      </c>
      <c r="S44" s="3"/>
      <c r="T44" s="3"/>
      <c r="U44" s="5">
        <f>SUBTOTAL(109,Table5[Total por renglón])</f>
        <v>21700000</v>
      </c>
      <c r="W44" s="3"/>
      <c r="X44" s="3"/>
      <c r="Y44" s="5">
        <f>SUBTOTAL(109,Table6[Total por renglón])</f>
        <v>42140700</v>
      </c>
      <c r="Z44" s="4"/>
      <c r="AA44" s="3"/>
      <c r="AB44" s="3"/>
      <c r="AC44" s="5">
        <f>SUBTOTAL(109,Table7[Total por renglón])</f>
        <v>1317360</v>
      </c>
    </row>
  </sheetData>
  <mergeCells count="7">
    <mergeCell ref="AA8:AD8"/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2022-02-24T13:18:39Z</dcterms:created>
  <dcterms:modified xsi:type="dcterms:W3CDTF">2022-02-24T13:18:47Z</dcterms:modified>
</cp:coreProperties>
</file>