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40" windowHeight="1560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K12" i="2" l="1"/>
  <c r="I10" i="1"/>
  <c r="Q15" i="3" s="1"/>
  <c r="Q23" i="3" s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<sst xmlns="http://schemas.openxmlformats.org/spreadsheetml/2006/main" count="83" uniqueCount="77">
  <si>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</si>
  <si>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</si>
  <si>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</si>
  <si>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</si>
  <si>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</si>
  <si>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</si>
  <si>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</si>
  <si>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</si>
  <si>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</si>
  <si>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</si>
  <si>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</si>
  <si>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</si>
  <si>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</si>
  <si>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</si>
  <si>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</si>
  <si>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</si>
  <si>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</si>
  <si>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</si>
  <si>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</si>
  <si>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</si>
  <si>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</si>
  <si>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</si>
  <si>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</si>
  <si>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</si>
  <si>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</si>
  <si>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</si>
  <si>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</si>
  <si>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</si>
  <si>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</si>
  <si>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</si>
  <si>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</si>
  <si>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</si>
  <si>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</si>
  <si>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</si>
  <si>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</si>
  <si>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</si>
  <si>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</si>
  <si>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</si>
  <si>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</si>
  <si>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</si>
  <si>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</si>
  <si>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</si>
  <si>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</si>
  <si>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</si>
  <si>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</si>
  <si>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</si>
  <si>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</si>
  <si>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</si>
  <si>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</si>
  <si>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</si>
  <si>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</si>
  <si>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</si>
  <si>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</si>
  <si>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</si>
  <si>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</si>
  <si>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</si>
  <si>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</si>
  <si>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</si>
  <si>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</si>
  <si>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</si>
  <si>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</si>
  <si>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</si>
  <si>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UNIDAD</t>
  </si>
  <si>
    <t>NUEVO</t>
  </si>
  <si>
    <t>30 Dias.</t>
  </si>
  <si>
    <t>Adquisicion de Nylon  para cubrir emergencias de personas afectadas por inclemencias climaticas.</t>
  </si>
  <si>
    <t>PRODUCTOS DE MATERIAL PLASTICO</t>
  </si>
  <si>
    <t>SI</t>
  </si>
  <si>
    <t>DEBIENDO CORRER LOS GASTOS DE FLETES, ACARREO, CARGA Y DESCARGA POR PARTE DEL ADJUDICATARIO.</t>
  </si>
  <si>
    <t>DENTRO DE LOS 15 DIAS HABILES, A PARTIR DEL PERFECCIONAMIENTO DEL DOCUMENTO CONTRACTUAL.</t>
  </si>
  <si>
    <t>Costo total estimado: Cuatro Millones quinientos Cuarenta y Cuatro Mil con 00/100</t>
  </si>
  <si>
    <t>TOTAL DE PESOS: Cuatro Millones quinientos Cuarenta y Cuatro Mil con 00/100</t>
  </si>
  <si>
    <t>2.5.8-1922.47</t>
  </si>
  <si>
    <t>FERRETERIA</t>
  </si>
  <si>
    <t>NAILON; ANCHO: 4 M, ESPESOR: 200 Mn</t>
  </si>
  <si>
    <t>Adquisicion de Nailon  para cubrir emergencias de personas afectadas por inclemencias climaticas.</t>
  </si>
  <si>
    <t>ROLLO DE NAILON POR 4 METROS DE ANCHO, 50 METRO DE LARGO Y 200 MICRONES DE ESPESOR.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</si>
</sst>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166" fontId="19" fillId="0" borderId="8" xfId="0" applyNumberFormat="1" applyFont="1" applyFill="1" applyBorder="1" applyAlignment="1">
      <alignment horizontal="right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166" fontId="21" fillId="0" borderId="57" xfId="1" applyNumberFormat="1" applyFont="1" applyFill="1" applyBorder="1" applyAlignment="1" applyProtection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5" fillId="0" borderId="57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26" fillId="0" borderId="41" xfId="0" applyFont="1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4" fillId="0" borderId="53" xfId="0" applyFont="1" applyBorder="1" applyAlignment="1">
      <alignment horizontal="left" vertical="center" wrapText="1"/>
    </xf>
    <xf numFmtId="0" fontId="0" fillId="0" borderId="31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zoomScaleNormal="100" workbookViewId="0">
      <selection activeCell="G18" sqref="G18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2" t="s">
        <v>0</v>
      </c>
      <c r="C2" s="92"/>
      <c r="D2" s="92"/>
      <c r="E2" s="92"/>
      <c r="F2" s="92"/>
      <c r="G2" s="92"/>
      <c r="H2" s="92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3" t="s">
        <v>1</v>
      </c>
      <c r="B4" s="93"/>
      <c r="C4" s="94" t="s">
        <v>59</v>
      </c>
      <c r="D4" s="94"/>
      <c r="E4" s="94"/>
      <c r="F4" s="47"/>
      <c r="G4" s="48"/>
      <c r="H4" s="47"/>
      <c r="I4" s="46"/>
      <c r="J4" s="46"/>
    </row>
    <row r="5" spans="1:10" ht="18" customHeight="1" x14ac:dyDescent="0.25">
      <c r="A5" s="93" t="s">
        <v>2</v>
      </c>
      <c r="B5" s="93"/>
      <c r="C5" s="94" t="s">
        <v>61</v>
      </c>
      <c r="D5" s="94"/>
      <c r="E5" s="94"/>
      <c r="F5" s="47"/>
      <c r="G5" s="48"/>
      <c r="H5" s="47"/>
      <c r="I5" s="46"/>
      <c r="J5" s="46"/>
    </row>
    <row r="6" spans="1:10" ht="16.5" customHeight="1" x14ac:dyDescent="0.25">
      <c r="A6" s="93" t="s">
        <v>3</v>
      </c>
      <c r="B6" s="93"/>
      <c r="C6" s="49">
        <v>2022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3" t="s">
        <v>4</v>
      </c>
      <c r="B7" s="93"/>
      <c r="C7" s="49">
        <v>4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3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4" t="s">
        <v>12</v>
      </c>
      <c r="I9" s="75" t="s">
        <v>13</v>
      </c>
      <c r="J9" s="46"/>
    </row>
    <row r="10" spans="1:10" x14ac:dyDescent="0.2">
      <c r="A10" s="52">
        <v>1</v>
      </c>
      <c r="B10" s="68" t="s">
        <v>72</v>
      </c>
      <c r="C10" s="91" t="s">
        <v>73</v>
      </c>
      <c r="D10" s="68" t="str">
        <f>LEFT(B10,5)</f>
        <v>2.5.8</v>
      </c>
      <c r="E10" s="69" t="s">
        <v>74</v>
      </c>
      <c r="F10" s="68" t="s">
        <v>62</v>
      </c>
      <c r="G10" s="68">
        <v>320</v>
      </c>
      <c r="H10" s="89">
        <v>14200</v>
      </c>
      <c r="I10" s="76">
        <f>G10*H10</f>
        <v>4544000</v>
      </c>
      <c r="J10" s="51"/>
    </row>
    <row r="11" spans="1:10" x14ac:dyDescent="0.2">
      <c r="A11" s="52"/>
      <c r="B11" s="71"/>
      <c r="C11" s="72"/>
      <c r="D11" s="68"/>
      <c r="E11" s="72"/>
      <c r="F11" s="68"/>
      <c r="G11" s="68"/>
      <c r="H11" s="70"/>
      <c r="I11" s="76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57">
        <f>SUM(I10:I11)</f>
        <v>4544000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8" t="s">
        <v>14</v>
      </c>
      <c r="C15" s="59"/>
      <c r="D15" s="59"/>
      <c r="E15" s="60"/>
      <c r="F15" s="46"/>
      <c r="G15" s="46"/>
      <c r="H15" s="46"/>
      <c r="I15" s="46"/>
      <c r="J15" s="46"/>
    </row>
    <row r="16" spans="1:10" ht="5.25" customHeight="1" x14ac:dyDescent="0.2">
      <c r="A16" s="46"/>
      <c r="B16" s="61"/>
      <c r="C16" s="62"/>
      <c r="D16" s="62"/>
      <c r="E16" s="63"/>
      <c r="F16" s="46"/>
      <c r="G16" s="46"/>
      <c r="H16" s="46"/>
      <c r="I16" s="46"/>
      <c r="J16" s="46"/>
    </row>
    <row r="17" spans="1:10" x14ac:dyDescent="0.2">
      <c r="A17" s="46"/>
      <c r="B17" s="64" t="s">
        <v>15</v>
      </c>
      <c r="C17" s="62"/>
      <c r="D17" s="62"/>
      <c r="E17" s="63"/>
      <c r="F17" s="46"/>
      <c r="G17" s="46"/>
      <c r="H17" s="46"/>
      <c r="I17" s="46"/>
      <c r="J17" s="46"/>
    </row>
    <row r="18" spans="1:10" ht="41.25" customHeight="1" x14ac:dyDescent="0.2">
      <c r="A18" s="46"/>
      <c r="B18" s="64"/>
      <c r="C18" s="97" t="s">
        <v>76</v>
      </c>
      <c r="D18" s="97"/>
      <c r="E18" s="98"/>
      <c r="F18" s="46"/>
      <c r="G18" s="46"/>
      <c r="H18" s="46"/>
      <c r="I18" s="46"/>
      <c r="J18" s="46"/>
    </row>
    <row r="19" spans="1:10" x14ac:dyDescent="0.2">
      <c r="A19" s="46"/>
      <c r="B19" s="64" t="s">
        <v>16</v>
      </c>
      <c r="C19" s="62"/>
      <c r="D19" s="62"/>
      <c r="E19" s="63"/>
      <c r="F19" s="46"/>
      <c r="G19" s="46"/>
      <c r="H19" s="46"/>
      <c r="I19" s="46"/>
      <c r="J19" s="46"/>
    </row>
    <row r="20" spans="1:10" x14ac:dyDescent="0.2">
      <c r="A20" s="46"/>
      <c r="B20" s="65"/>
      <c r="C20" s="96" t="s">
        <v>69</v>
      </c>
      <c r="D20" s="96"/>
      <c r="E20" s="96"/>
      <c r="F20" s="46"/>
      <c r="G20" s="46"/>
      <c r="H20" s="46"/>
      <c r="I20" s="46"/>
      <c r="J20" s="46"/>
    </row>
    <row r="21" spans="1:10" x14ac:dyDescent="0.2">
      <c r="A21" s="46"/>
      <c r="B21" s="65"/>
      <c r="C21" s="96" t="s">
        <v>57</v>
      </c>
      <c r="D21" s="96"/>
      <c r="E21" s="96"/>
      <c r="F21" s="46"/>
      <c r="G21" s="46"/>
      <c r="H21" s="46"/>
      <c r="I21" s="46"/>
      <c r="J21" s="46"/>
    </row>
    <row r="22" spans="1:10" x14ac:dyDescent="0.2">
      <c r="A22" s="46"/>
      <c r="B22" s="65"/>
      <c r="C22" s="99" t="s">
        <v>68</v>
      </c>
      <c r="D22" s="99"/>
      <c r="E22" s="96"/>
      <c r="F22" s="46"/>
      <c r="G22" s="46"/>
      <c r="H22" s="46"/>
      <c r="I22" s="46"/>
      <c r="J22" s="46"/>
    </row>
    <row r="23" spans="1:10" x14ac:dyDescent="0.2">
      <c r="A23" s="46"/>
      <c r="B23" s="64" t="s">
        <v>17</v>
      </c>
      <c r="C23" s="62"/>
      <c r="D23" s="62"/>
      <c r="E23" s="63"/>
      <c r="F23" s="46"/>
      <c r="G23" s="46"/>
      <c r="H23" s="46"/>
      <c r="I23" s="46"/>
      <c r="J23" s="46"/>
    </row>
    <row r="24" spans="1:10" ht="26.25" customHeight="1" x14ac:dyDescent="0.2">
      <c r="A24" s="46"/>
      <c r="B24" s="65"/>
      <c r="C24" s="95" t="s">
        <v>63</v>
      </c>
      <c r="D24" s="95"/>
      <c r="E24" s="95"/>
      <c r="F24" s="46"/>
      <c r="G24" s="46"/>
      <c r="H24" s="46"/>
      <c r="I24" s="46"/>
      <c r="J24" s="46"/>
    </row>
    <row r="25" spans="1:10" x14ac:dyDescent="0.2">
      <c r="A25" s="46"/>
      <c r="B25" s="64" t="s">
        <v>18</v>
      </c>
      <c r="C25" s="66"/>
      <c r="D25" s="66"/>
      <c r="E25" s="67"/>
      <c r="F25" s="46"/>
      <c r="G25" s="46"/>
      <c r="H25" s="46"/>
      <c r="I25" s="46"/>
      <c r="J25" s="46"/>
    </row>
    <row r="26" spans="1:10" ht="26.25" customHeight="1" x14ac:dyDescent="0.2">
      <c r="A26" s="46"/>
      <c r="B26" s="65"/>
      <c r="C26" s="95" t="s">
        <v>64</v>
      </c>
      <c r="D26" s="95"/>
      <c r="E26" s="95"/>
      <c r="F26" s="46"/>
      <c r="G26" s="46"/>
      <c r="H26" s="46"/>
      <c r="I26" s="46"/>
      <c r="J26" s="46"/>
    </row>
    <row r="27" spans="1:10" x14ac:dyDescent="0.2">
      <c r="A27" s="46"/>
      <c r="B27" s="64" t="s">
        <v>19</v>
      </c>
      <c r="C27" s="62"/>
      <c r="D27" s="62"/>
      <c r="E27" s="63"/>
      <c r="F27" s="46"/>
      <c r="G27" s="46"/>
      <c r="H27" s="46"/>
      <c r="I27" s="46"/>
      <c r="J27" s="46"/>
    </row>
    <row r="28" spans="1:10" ht="23.25" customHeight="1" x14ac:dyDescent="0.2">
      <c r="A28" s="46"/>
      <c r="B28" s="64"/>
      <c r="C28" s="96"/>
      <c r="D28" s="96"/>
      <c r="E28" s="96"/>
      <c r="F28" s="46"/>
      <c r="G28" s="46"/>
      <c r="H28" s="46"/>
      <c r="I28" s="46"/>
      <c r="J28" s="46"/>
    </row>
    <row r="29" spans="1:10" ht="13.5" thickBot="1" x14ac:dyDescent="0.25">
      <c r="B29" s="39"/>
      <c r="C29" s="40"/>
      <c r="D29" s="40"/>
      <c r="E29" s="41"/>
    </row>
  </sheetData>
  <mergeCells count="14">
    <mergeCell ref="C24:E24"/>
    <mergeCell ref="C26:E26"/>
    <mergeCell ref="C28:E28"/>
    <mergeCell ref="A6:B6"/>
    <mergeCell ref="A7:B7"/>
    <mergeCell ref="C18:E18"/>
    <mergeCell ref="C20:E20"/>
    <mergeCell ref="C21:E21"/>
    <mergeCell ref="C22:E22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5"/>
  <sheetViews>
    <sheetView zoomScaleNormal="100" workbookViewId="0">
      <selection activeCell="D7" sqref="D7:K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0" t="s">
        <v>20</v>
      </c>
      <c r="B1" s="100"/>
      <c r="C1" s="100"/>
      <c r="D1" s="100"/>
      <c r="E1" s="100"/>
      <c r="F1" s="100"/>
      <c r="G1" s="100"/>
      <c r="H1" s="100"/>
      <c r="I1" s="100"/>
      <c r="J1" s="77" t="s">
        <v>21</v>
      </c>
      <c r="K1" s="78"/>
    </row>
    <row r="2" spans="1:11" ht="18.75" customHeight="1" thickBot="1" x14ac:dyDescent="0.25">
      <c r="A2" s="79"/>
      <c r="B2" s="79"/>
      <c r="C2" s="79"/>
      <c r="D2" s="80"/>
      <c r="E2" s="80"/>
      <c r="F2" s="80"/>
      <c r="G2" s="80"/>
      <c r="H2" s="80"/>
      <c r="I2" s="80"/>
      <c r="J2" s="80"/>
      <c r="K2" s="80"/>
    </row>
    <row r="3" spans="1:11" ht="18.75" customHeight="1" thickBot="1" x14ac:dyDescent="0.25">
      <c r="A3" s="101" t="s">
        <v>54</v>
      </c>
      <c r="B3" s="101"/>
      <c r="C3" s="101"/>
      <c r="D3" s="102" t="str">
        <f>'Necesidades Trimestrales'!C4</f>
        <v>35 - Ministerio de Vivienda y Urbanizacion</v>
      </c>
      <c r="E3" s="102"/>
      <c r="F3" s="102"/>
      <c r="G3" s="102"/>
      <c r="H3" s="102"/>
      <c r="I3" s="102"/>
      <c r="J3" s="102"/>
      <c r="K3" s="102"/>
    </row>
    <row r="4" spans="1:11" ht="18.75" customHeight="1" thickBot="1" x14ac:dyDescent="0.25">
      <c r="A4" s="103" t="s">
        <v>55</v>
      </c>
      <c r="B4" s="103"/>
      <c r="C4" s="103"/>
      <c r="D4" s="102" t="str">
        <f>'Necesidades Trimestrales'!C5</f>
        <v>48 - Direccion Provincial de Gestion de Administracion y Recursos Humanos</v>
      </c>
      <c r="E4" s="102"/>
      <c r="F4" s="102"/>
      <c r="G4" s="102"/>
      <c r="H4" s="102"/>
      <c r="I4" s="102"/>
      <c r="J4" s="102"/>
      <c r="K4" s="102"/>
    </row>
    <row r="5" spans="1:11" ht="18.75" customHeight="1" thickBot="1" x14ac:dyDescent="0.25">
      <c r="A5" s="103" t="s">
        <v>33</v>
      </c>
      <c r="B5" s="103"/>
      <c r="C5" s="103"/>
      <c r="D5" s="102" t="s">
        <v>60</v>
      </c>
      <c r="E5" s="102"/>
      <c r="F5" s="102"/>
      <c r="G5" s="102"/>
      <c r="H5" s="102"/>
      <c r="I5" s="102"/>
      <c r="J5" s="102"/>
      <c r="K5" s="102"/>
    </row>
    <row r="6" spans="1:11" ht="16.5" customHeight="1" thickBot="1" x14ac:dyDescent="0.25">
      <c r="A6" s="101" t="s">
        <v>56</v>
      </c>
      <c r="B6" s="101"/>
      <c r="C6" s="101"/>
      <c r="D6" s="102" t="s">
        <v>60</v>
      </c>
      <c r="E6" s="102"/>
      <c r="F6" s="102"/>
      <c r="G6" s="102"/>
      <c r="H6" s="102"/>
      <c r="I6" s="102"/>
      <c r="J6" s="102"/>
      <c r="K6" s="102"/>
    </row>
    <row r="7" spans="1:11" ht="16.5" customHeight="1" x14ac:dyDescent="0.2">
      <c r="A7" s="103" t="s">
        <v>22</v>
      </c>
      <c r="B7" s="103"/>
      <c r="C7" s="103"/>
      <c r="D7" s="102" t="str">
        <f>'Necesidades Trimestrales'!C7 &amp; "° Trimestre - Año " &amp; 'Necesidades Trimestrales'!C6</f>
        <v>4° Trimestre - Año 2022</v>
      </c>
      <c r="E7" s="102"/>
      <c r="F7" s="102"/>
      <c r="G7" s="102"/>
      <c r="H7" s="102"/>
      <c r="I7" s="102"/>
      <c r="J7" s="102"/>
      <c r="K7" s="102"/>
    </row>
    <row r="8" spans="1:11" ht="33" customHeight="1" x14ac:dyDescent="0.2">
      <c r="A8" s="104" t="s">
        <v>23</v>
      </c>
      <c r="B8" s="104"/>
      <c r="C8" s="104"/>
      <c r="D8" s="105" t="s">
        <v>75</v>
      </c>
      <c r="E8" s="105"/>
      <c r="F8" s="105"/>
      <c r="G8" s="105"/>
      <c r="H8" s="105"/>
      <c r="I8" s="105"/>
      <c r="J8" s="105"/>
      <c r="K8" s="105"/>
    </row>
    <row r="9" spans="1:11" ht="15.75" x14ac:dyDescent="0.2">
      <c r="A9" s="81"/>
      <c r="B9" s="81"/>
      <c r="C9" s="81"/>
      <c r="D9" s="82"/>
      <c r="E9" s="82"/>
      <c r="F9" s="82"/>
      <c r="G9" s="82"/>
      <c r="H9" s="82"/>
      <c r="I9" s="82"/>
      <c r="J9" s="82"/>
      <c r="K9" s="82"/>
    </row>
    <row r="10" spans="1:11" ht="18.75" customHeight="1" x14ac:dyDescent="0.2">
      <c r="A10" s="106" t="s">
        <v>24</v>
      </c>
      <c r="B10" s="107" t="s">
        <v>25</v>
      </c>
      <c r="C10" s="107" t="s">
        <v>26</v>
      </c>
      <c r="D10" s="107"/>
      <c r="E10" s="107"/>
      <c r="F10" s="107"/>
      <c r="G10" s="107"/>
      <c r="H10" s="107" t="s">
        <v>27</v>
      </c>
      <c r="I10" s="107" t="s">
        <v>28</v>
      </c>
      <c r="J10" s="107" t="s">
        <v>29</v>
      </c>
      <c r="K10" s="108" t="s">
        <v>30</v>
      </c>
    </row>
    <row r="11" spans="1:11" ht="24" customHeight="1" thickBot="1" x14ac:dyDescent="0.25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8"/>
    </row>
    <row r="12" spans="1:11" ht="36" customHeight="1" thickBot="1" x14ac:dyDescent="0.25">
      <c r="A12" s="83">
        <v>1</v>
      </c>
      <c r="B12" s="83" t="str">
        <f>'Necesidades Trimestrales'!B10</f>
        <v>2.5.8-1922.47</v>
      </c>
      <c r="C12" s="111" t="str">
        <f>'Necesidades Trimestrales'!E10</f>
        <v>NAILON; ANCHO: 4 M, ESPESOR: 200 Mn</v>
      </c>
      <c r="D12" s="111"/>
      <c r="E12" s="111"/>
      <c r="F12" s="111"/>
      <c r="G12" s="111"/>
      <c r="H12" s="83" t="s">
        <v>67</v>
      </c>
      <c r="I12" s="85" t="str">
        <f>'Necesidades Trimestrales'!F10</f>
        <v>UNIDAD</v>
      </c>
      <c r="J12" s="90">
        <f>'Necesidades Trimestrales'!H10</f>
        <v>14200</v>
      </c>
      <c r="K12" s="87">
        <f>'Necesidades Trimestrales'!G10</f>
        <v>320</v>
      </c>
    </row>
    <row r="13" spans="1:11" ht="27.75" customHeight="1" x14ac:dyDescent="0.2">
      <c r="A13" s="88"/>
      <c r="B13" s="84"/>
      <c r="C13" s="111"/>
      <c r="D13" s="111"/>
      <c r="E13" s="111"/>
      <c r="F13" s="111"/>
      <c r="G13" s="111"/>
      <c r="H13" s="83"/>
      <c r="I13" s="85"/>
      <c r="J13" s="86"/>
      <c r="K13" s="87"/>
    </row>
    <row r="14" spans="1:11" ht="20.25" customHeight="1" thickBot="1" x14ac:dyDescent="0.25">
      <c r="A14" s="3"/>
      <c r="B14" s="4"/>
      <c r="C14" s="112"/>
      <c r="D14" s="112"/>
      <c r="E14" s="112"/>
      <c r="F14" s="112"/>
      <c r="G14" s="112"/>
      <c r="H14" s="5"/>
      <c r="I14" s="6"/>
      <c r="J14" s="6"/>
      <c r="K14" s="7"/>
    </row>
    <row r="15" spans="1:11" ht="20.25" customHeight="1" x14ac:dyDescent="0.2">
      <c r="A15" s="109" t="s">
        <v>70</v>
      </c>
      <c r="B15" s="109"/>
      <c r="C15" s="109"/>
      <c r="D15" s="109"/>
      <c r="E15" s="109"/>
      <c r="F15" s="109"/>
      <c r="G15" s="109"/>
      <c r="H15" s="109"/>
      <c r="I15" s="109"/>
      <c r="J15" s="110">
        <f>SUMPRODUCT(J12:J14,K12:K14)</f>
        <v>4544000</v>
      </c>
      <c r="K15" s="110"/>
    </row>
  </sheetData>
  <mergeCells count="25">
    <mergeCell ref="A15:I15"/>
    <mergeCell ref="J15:K15"/>
    <mergeCell ref="C12:G12"/>
    <mergeCell ref="C13:G13"/>
    <mergeCell ref="C14:G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13"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3" t="s">
        <v>3</v>
      </c>
      <c r="B1" s="113"/>
      <c r="C1" s="113"/>
      <c r="D1" s="114">
        <f>'Necesidades Trimestrales'!C6</f>
        <v>2022</v>
      </c>
      <c r="E1" s="114"/>
      <c r="F1" s="9"/>
      <c r="G1" s="9"/>
      <c r="H1" s="10"/>
      <c r="I1" s="10"/>
      <c r="J1" s="10"/>
      <c r="K1" s="10"/>
      <c r="L1" s="10"/>
      <c r="M1" s="10"/>
      <c r="N1" s="10"/>
      <c r="P1" s="115" t="s">
        <v>31</v>
      </c>
      <c r="Q1" s="115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15"/>
      <c r="Q2" s="115"/>
    </row>
    <row r="4" spans="1:17" s="11" customFormat="1" ht="18" customHeight="1" thickBot="1" x14ac:dyDescent="0.25">
      <c r="A4" s="116" t="s">
        <v>32</v>
      </c>
      <c r="B4" s="116"/>
      <c r="C4" s="116"/>
      <c r="D4" s="116"/>
      <c r="E4" s="116"/>
      <c r="F4" s="116"/>
      <c r="G4" s="117" t="str">
        <f>' NotaPedido'!D3</f>
        <v>35 - Ministerio de Vivienda y Urbanizacion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s="11" customFormat="1" ht="18" customHeight="1" thickBot="1" x14ac:dyDescent="0.25">
      <c r="A5" s="118" t="s">
        <v>55</v>
      </c>
      <c r="B5" s="119"/>
      <c r="C5" s="119"/>
      <c r="D5" s="119"/>
      <c r="E5" s="119"/>
      <c r="F5" s="120"/>
      <c r="G5" s="117" t="str">
        <f>' NotaPedido'!D4</f>
        <v>48 - Direccion Provincial de Gestion de Administracion y Recursos Humanos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s="11" customFormat="1" ht="18" customHeight="1" thickBot="1" x14ac:dyDescent="0.25">
      <c r="A6" s="118" t="s">
        <v>33</v>
      </c>
      <c r="B6" s="119"/>
      <c r="C6" s="119"/>
      <c r="D6" s="119"/>
      <c r="E6" s="119"/>
      <c r="F6" s="120"/>
      <c r="G6" s="117" t="str">
        <f>' NotaPedido'!D5</f>
        <v>Ministerio de Vivienda y Urbanizacion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1:17" s="11" customFormat="1" ht="18" customHeight="1" thickBot="1" x14ac:dyDescent="0.25">
      <c r="A7" s="118" t="s">
        <v>56</v>
      </c>
      <c r="B7" s="119"/>
      <c r="C7" s="119"/>
      <c r="D7" s="119"/>
      <c r="E7" s="119"/>
      <c r="F7" s="120"/>
      <c r="G7" s="117" t="str">
        <f>' NotaPedido'!D6</f>
        <v>Ministerio de Vivienda y Urbanizacion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</row>
    <row r="8" spans="1:17" ht="18" customHeight="1" thickBot="1" x14ac:dyDescent="0.25">
      <c r="A8" s="121" t="s">
        <v>34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</row>
    <row r="9" spans="1:17" ht="18" customHeight="1" x14ac:dyDescent="0.2">
      <c r="A9" s="122" t="s">
        <v>35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"/>
      <c r="P9" s="1"/>
      <c r="Q9" s="12"/>
    </row>
    <row r="10" spans="1:17" ht="54.75" customHeight="1" x14ac:dyDescent="0.2">
      <c r="A10" s="12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,  afectando la erogación resultante a los créditos presupuestarios aprobados a favor de esta Unidad Ejecutora, conforme al siguiente detalle: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4" t="s">
        <v>36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</row>
    <row r="13" spans="1:17" ht="15.75" customHeight="1" x14ac:dyDescent="0.2">
      <c r="A13" s="125" t="s">
        <v>37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6" t="s">
        <v>38</v>
      </c>
      <c r="P13" s="126"/>
      <c r="Q13" s="127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6"/>
      <c r="P14" s="126"/>
      <c r="Q14" s="127"/>
    </row>
    <row r="15" spans="1:17" ht="17.25" customHeight="1" x14ac:dyDescent="0.2">
      <c r="A15" s="42">
        <v>21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8</v>
      </c>
      <c r="L15" s="43">
        <v>0</v>
      </c>
      <c r="M15" s="44">
        <v>1</v>
      </c>
      <c r="N15" s="45" t="s">
        <v>58</v>
      </c>
      <c r="O15" s="128" t="s">
        <v>66</v>
      </c>
      <c r="P15" s="128"/>
      <c r="Q15" s="22">
        <f>'Necesidades Trimestrales'!I10</f>
        <v>4544000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29"/>
      <c r="P16" s="129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29"/>
      <c r="P17" s="129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29"/>
      <c r="P18" s="129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29"/>
      <c r="P19" s="129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29"/>
      <c r="P20" s="129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35"/>
      <c r="P21" s="135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36"/>
      <c r="P22" s="136"/>
      <c r="Q22" s="36"/>
    </row>
    <row r="23" spans="1:18" ht="20.25" customHeight="1" x14ac:dyDescent="0.2">
      <c r="A23" s="137" t="s">
        <v>71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37">
        <f>Q15</f>
        <v>4544000</v>
      </c>
    </row>
    <row r="24" spans="1:18" ht="18" customHeight="1" thickBot="1" x14ac:dyDescent="0.25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</row>
    <row r="25" spans="1:18" ht="17.25" customHeight="1" thickBot="1" x14ac:dyDescent="0.25">
      <c r="A25" s="130" t="s">
        <v>53</v>
      </c>
      <c r="B25" s="131"/>
      <c r="C25" s="131"/>
      <c r="D25" s="131"/>
      <c r="E25" s="131"/>
      <c r="F25" s="132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</row>
    <row r="26" spans="1:18" ht="23.25" customHeight="1" thickBot="1" x14ac:dyDescent="0.25">
      <c r="A26" s="134" t="s">
        <v>65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</row>
    <row r="27" spans="1:18" ht="20.25" customHeight="1" x14ac:dyDescent="0.2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Contable</cp:lastModifiedBy>
  <cp:revision>2</cp:revision>
  <cp:lastPrinted>2022-06-01T13:19:57Z</cp:lastPrinted>
  <dcterms:created xsi:type="dcterms:W3CDTF">2020-07-17T23:44:49Z</dcterms:created>
  <dcterms:modified xsi:type="dcterms:W3CDTF">2022-10-03T14:24:49Z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