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A#MP" sheetId="2" r:id="rId5"/>
    <sheet name="APG DA#MP" sheetId="3" r:id="rId6"/>
    <sheet name="Nota Pedido DA#HSJB" sheetId="4" r:id="rId7"/>
    <sheet name="APG DA#HSJB" sheetId="5" r:id="rId8"/>
    <sheet name="Nota Pedido DPA#MS" sheetId="6" r:id="rId9"/>
    <sheet name="APG DPA#MS" sheetId="7" r:id="rId10"/>
    <sheet name="Nota Pedido DA#HNEP" sheetId="8" r:id="rId11"/>
    <sheet name="APG DA#HNEP" sheetId="9" r:id="rId12"/>
  </sheets>
  <definedNames>
    <definedName name="_xlnm.Print_Area" localSheetId="1">'Nota Pedido DA#MP'!$A$1:$G$58</definedName>
    <definedName name="_xlnm.Print_Area" localSheetId="2">'APG DA#MP'!$A$1:$Q$24</definedName>
    <definedName name="_xlnm.Print_Area" localSheetId="3">'Nota Pedido DA#HSJB'!$A$1:$G$46</definedName>
    <definedName name="_xlnm.Print_Area" localSheetId="4">'APG DA#HSJB'!$A$1:$Q$24</definedName>
    <definedName name="_xlnm.Print_Area" localSheetId="5">'Nota Pedido DPA#MS'!$A$1:$G$60</definedName>
    <definedName name="_xlnm.Print_Area" localSheetId="6">'APG DPA#MS'!$A$1:$Q$24</definedName>
    <definedName name="_xlnm.Print_Area" localSheetId="7">'Nota Pedido DA#HNEP'!$A$1:$G$53</definedName>
    <definedName name="_xlnm.Print_Area" localSheetId="8">'APG DA#HNEP'!$A$1:$Q$24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<sst xmlns="http://schemas.openxmlformats.org/spreadsheetml/2006/main" uniqueCount="216">
  <si>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</si>
  <si>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</si>
  <si>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</si>
  <si>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</si>
  <si>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</si>
  <si>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</si>
  <si>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</si>
  <si>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</si>
  <si>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</si>
  <si>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</si>
  <si>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</si>
  <si>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</si>
  <si>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</si>
  <si>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</si>
  <si>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</si>
  <si>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</si>
  <si>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</si>
  <si>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</si>
  <si>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2.5.2-2476.12</t>
  </si>
  <si>
    <t>PROD. MEDICO/FARMACEUTICOS/LAB</t>
  </si>
  <si>
    <t>2.5.2</t>
  </si>
  <si>
    <t>ANTIALERGICOS-ANTIHISTAMINICOS; TIPO: MONODROGA, DROGA GENERICA: LORATADINA, FORMA FARMACEUTICA: COMPRIMIDO, PRESENTACION: 10 MGR</t>
  </si>
  <si>
    <t>COMPRIMIDO</t>
  </si>
  <si>
    <t>2.5.2-2476.36</t>
  </si>
  <si>
    <t>ANTIALERGICOS-ANTIHISTAMINICOS; TIPO: MONODROGA, DROGA GENERICA: DIFENHIDRAMINA, FORMA FARMACEUTICA: COMPRIMIDO, PRESENTACION: 50 MGR</t>
  </si>
  <si>
    <t>2.5.2-2200.4</t>
  </si>
  <si>
    <t>CORTICOIDES; DROGA GENERICA: MEPREDNISONA, FORMA FARMACEUTICA: COMPRIMIDO, PRESENTACION: 4 MGR, TIPO: MONODROGA</t>
  </si>
  <si>
    <t>2.5.2-1855.86</t>
  </si>
  <si>
    <t>CORTICOESTEROIDES; TIPO: MONODROGA, DROGA GENERICA: DEXAMETASONA, FORMA FARMACEUTICA: COMPRIMIDO, PRESENTACION: 8 MGR</t>
  </si>
  <si>
    <t>2.5.2-1855.105</t>
  </si>
  <si>
    <t>CORTICOESTEROIDES; TIPO: MONODROGA, DROGA GENERICA: MEPREDNISONA 8 MGR, FORMA FARMACEUTICA: COMPRIMIDO, PRESENTACION: UNIDAD</t>
  </si>
  <si>
    <t>2.5.2-5559.10</t>
  </si>
  <si>
    <t>NORMALIZADORES TIROIDEOS; TIPO: MONODROGA, PRESENTACION: UNIDAD, DROGA GENERICA: LEVOTIROXINA 100 µGR, FORMA FARMACEUTICA: COMPRIMIDO</t>
  </si>
  <si>
    <t>2.5.2-1851.29</t>
  </si>
  <si>
    <t>GENITOURINARIO; TIPO: MONODROGA, DROGA GENERICA: NISTATINA, FORMA FARMACEUTICA: COMPRIMIDO VAGINAL, PRESENTACION: 100000 UI</t>
  </si>
  <si>
    <t>2.5.2-1875.133</t>
  </si>
  <si>
    <t>ANTIASMATICO BRONCODILATADOR; TIPO: MONODROGA, DROGA GENERICA: N-ACETIL CISTEINA 600 MGR, FORMA FARMACEUTICA: TABLETA EFERVESCENTE, PRESENTACION: UNIDAD</t>
  </si>
  <si>
    <t>UNIDAD</t>
  </si>
  <si>
    <t>2.5.2-1853.2</t>
  </si>
  <si>
    <t>OCITOCICOS; TIPO: MONODROGA, DROGA GENERICA: OXITOCINA SINTETICA, PRESENTACION: 10 UI, FORMA FARMACEUTICA: AMPOLLA</t>
  </si>
  <si>
    <t>AMPOLLA</t>
  </si>
  <si>
    <t>2.5.2-1853.4</t>
  </si>
  <si>
    <t>OCITOCICOS; TIPO: MONODROGA, DROGA GENERICA: ERGONOVINA, PRESENTACION: 0.2 MGR, FORMA FARMACEUTICA: AMPOLLAS</t>
  </si>
  <si>
    <t>2.5.2-1855.7</t>
  </si>
  <si>
    <t>CORTICOESTEROIDES; TIPO: MONODROGA, DROGA GENERICA: DEXAMETASONA, FORMA FARMACEUTICA: AMPOLLA, PRESENTACION: 8 MGR</t>
  </si>
  <si>
    <t>2.5.2-1902.10</t>
  </si>
  <si>
    <t>DROGAS UTERINAS; TIPO: MONODROGA, DROGA GENERICA: ISOXUPRINA 10 MGR, FORMA FARMACEUTICA: AMPOLLA, PRESENTACION: UNIDAD</t>
  </si>
  <si>
    <t>2.5.2-1821.487</t>
  </si>
  <si>
    <t>ANTIBIOTICOS P/PERSONAS; TIPO: MONODROGA, DROGA GENERICA: METRONIDAZOL, FORMA FARMACEUTICA: OVULO, PRESENTACION: UNIDAD</t>
  </si>
  <si>
    <t>2.5.2-2476.44</t>
  </si>
  <si>
    <t>ANTIALERGICOS-ANTIHISTAMINICOS; TIPO: MONODROGA, DROGA GENERICA: DIFENHIDRAMINA, FORMA FARMACEUTICA: AMPOLLA, PRESENTACION: 10 MGR</t>
  </si>
  <si>
    <t>2.5.2-2200.19</t>
  </si>
  <si>
    <t>CORTICOIDES; DROGA GENERICA: MEPREDNISONA, FORMA FARMACEUTICA: COMPRIMIDO, PRESENTACION: 40 MGR, TIPO: MONODROGA</t>
  </si>
  <si>
    <t>2.5.2-1875.74</t>
  </si>
  <si>
    <t>ANTIASMATICO BRONCODILATADOR; TIPO: MONODROGA, DROGA GENERICA: AMINOFILINA 240MGR, FORMA FARMACEUTICA: AMPOLLA, PRESENTACION: ENVASE X 10 ML</t>
  </si>
  <si>
    <t>2.5.2-1875.11</t>
  </si>
  <si>
    <t>ANTIASMATICO BRONCODILATADOR; TIPO: MONODROGA, PRESENTACION: 20 ML, FORMA FARMACEUTICA: GOTAS, DROGA GENERICA: SALBUTAMOL</t>
  </si>
  <si>
    <t>GOTERO</t>
  </si>
  <si>
    <t>2.5.2-1875.9</t>
  </si>
  <si>
    <t>ANTIASMATICO BRONCODILATADOR; TIPO: MONODROGA, DROGA GENERICA: BROMURO DE IPRATROPIO, FORMA FARMACEUTICA: SOLUCION, PRESENTACION: 20 ML</t>
  </si>
  <si>
    <t>2.5.2-1855.47</t>
  </si>
  <si>
    <t>CORTICOESTEROIDES; TIPO: MONODROGA, DROGA GENERICA: HIDROCORTISONA, FORMA FARMACEUTICA: AMPOLLA/FRASCO, PRESENTACION: 100 MGR</t>
  </si>
  <si>
    <t>2.5.2-1895.61</t>
  </si>
  <si>
    <t>HORMONAS MEDICINALES; TIPO: MONODROGA, DROGA GENERICA: CITRATO DE CLOMIFENO 50 MGR, FORMA FARMACEUTICA: COMPRIMIDO, PRESENTACION: UNIDAD, USO: SEXUAL</t>
  </si>
  <si>
    <t>2.5.2-2476.3</t>
  </si>
  <si>
    <t>ANTIALERGICOS-ANTIHISTAMINICOS; TIPO: ASOCIACION, DROGA GENERICA: LORATADINA, FORMA FARMACEUTICA: JARABE, PRESENTACION: 60 ML</t>
  </si>
  <si>
    <t>FRASCO</t>
  </si>
  <si>
    <t>2.5.2-2476.74</t>
  </si>
  <si>
    <t>ANTIALERGICOS-ANTIHISTAMINICOS; TIPO: MONODROGA, DROGA GENERICA: DIFENHIDRAMINA 250 MG, FORMA FARMACEUTICA: JARABE, PRESENTACION: FRASCO X 120 ML</t>
  </si>
  <si>
    <t>2.5.2-1855.77</t>
  </si>
  <si>
    <t>CORTICOESTEROIDES; TIPO: MONODROGA, DROGA GENERICA: HIDROCORTISONA, FORMA FARMACEUTICA: FRASCO AMPOLLA, PRESENTACION: ENVASE X 500 MGR</t>
  </si>
  <si>
    <t>2.5.2-1823.24</t>
  </si>
  <si>
    <t>ANTIMICOTICOS; TIPO: MONODROGA, FORMA FARMACEUTICA: CREMA, PRESENTACION: 15 GR, DROGA GENERICA: KETOCONAZOL</t>
  </si>
  <si>
    <t>2.5.2-1855.23</t>
  </si>
  <si>
    <t>CORTICOESTEROIDES; TIPO: MONODROGA, DROGA GENERICA: BETAMETASONA, FORMA FARMACEUTICA: CREMA, PRESENTACION: 15 GR</t>
  </si>
  <si>
    <t>2.5.2-1823.67</t>
  </si>
  <si>
    <t>ANTIMICOTICOS; TIPO: MONODROGA, DROGA GENERICA: CLOTRIMAZOL 1%, FORMA FARMACEUTICA: CREMA POR 20 GR, PRESENTACION: UNIDAD</t>
  </si>
  <si>
    <t>2.5.2-1829.25</t>
  </si>
  <si>
    <t>ANTIVIRALES; TIPO: MONODROGA, DROGA GENERICA: ACICLOVIR 5 %, FORMA FARMACEUTICA: CREMA, PRESENTACION: ENVASE X 5 GR</t>
  </si>
  <si>
    <t>2.5.2-1855.83</t>
  </si>
  <si>
    <t>CORTICOESTEROIDES; TIPO: ASOCIACION, DROGA GENERICA: BETAMETASONA ACETATO+FOSFATO, FORMA FARMACEUTICA: AMPOLLA, PRESENTACION: ENVASE X 2 ML</t>
  </si>
  <si>
    <t>2.5.2-1895.19</t>
  </si>
  <si>
    <t>HORMONAS MEDICINALES; TIPO: MONODROGA, DROGA GENERICA: CABERGOLINA, FORMA FARMACEUTICA: COMPRIMIDO, PRESENTACION: 0,5 MGR, USO: SEXUAL</t>
  </si>
  <si>
    <t>2.5.2-2200.41</t>
  </si>
  <si>
    <t>CORTICOIDES; DROGA GENERICA: MEPREDNISONA 4 ML/MG, FORMA FARMACEUTICA: GOTAS</t>
  </si>
  <si>
    <t>TIPO DELTISONA GOTAS X 20 ML</t>
  </si>
  <si>
    <t>2.5.2-2476.50</t>
  </si>
  <si>
    <t>ANTIALERGICOS-ANTIHISTAMINICOS; TIPO: MONODROGA, DROGA GENERICA: BUDESONIDA 1 MG/ML, FORMA FARMACEUTICA: GOTAS, PRESENTACION: ENVASE X 20 ML</t>
  </si>
  <si>
    <t>2.5.2-1895.88</t>
  </si>
  <si>
    <t>HORMONAS MEDICINALES; TIPO: MONODROGA, DROGA GENERICA: PROGESTERONA MICRONIZADA 200 MG, FORMA FARMACEUTICA: CAPSULAS, USO: SEXUAL</t>
  </si>
  <si>
    <t>CAPSULA</t>
  </si>
  <si>
    <t>2.5.2-1855.18</t>
  </si>
  <si>
    <t>CORTICOESTEROIDES; TIPO: MONODROGA, DROGA GENERICA: BETAMETASONA, FORMA FARMACEUTICA: GOTAS, PRESENTACION: 15 ML</t>
  </si>
  <si>
    <t>TIPO CORTEROID GTS</t>
  </si>
  <si>
    <t>2.5.2-9500.2</t>
  </si>
  <si>
    <t>INDUCTOR DEL PARTO; TIPO: MONODROGA, DROGA GENERICA: MISOPROSTOL 200 MGR, FORMA FARMACEUTICA: COMPRIMIDO VAGINAL, PRESENTACION: UNIDAD</t>
  </si>
  <si>
    <t>2.9.5-427.39</t>
  </si>
  <si>
    <t>APOSITOS; TIPO: HIDROCOLOIDE, TAMAÑO: 10 X 10 CM</t>
  </si>
  <si>
    <t>2.5.2-1821.189</t>
  </si>
  <si>
    <t>ANTIBIOTICOS P/PERSONAS; DROGA GENERICA: ACIDO FUSIDICO 20MG, FORMA FARMACEUTICA: CREMA, PRESENTACION: POMO X 15 GR, TIPO: MONODROGA</t>
  </si>
  <si>
    <t>2.5.2-2200.24</t>
  </si>
  <si>
    <t>CORTICOIDES; DROGA GENERICA: METILPREDNISOLONA, FORMA FARMACEUTICA: FRASCO AMPOLLA, PRESENTACION: 500, TIPO: MONODROGA</t>
  </si>
  <si>
    <t>2.5.2-1875.134</t>
  </si>
  <si>
    <t>ANTIASMATICO BRONCODILATADOR; TIPO: MONODROGA, DROGA GENERICA: BUDESONIDE 200 µGR, FORMA FARMACEUTICA: AEROSOL, PRESENTACION: 100 DOSIS</t>
  </si>
  <si>
    <t>2.5.2-2198.8</t>
  </si>
  <si>
    <t>ANTIDIURETICOS; DROGA GENERICA: VASOPRESINA ACUOSA, FORMA FARMACEUTICA: AMPOLLA, PRESENTACION: 1 ML, TIPO: MONODROGA</t>
  </si>
  <si>
    <t>CAJA</t>
  </si>
  <si>
    <t>VASOPRESINA 20UI AMPOLLA CAJA X 5 UNIDADES TIPO NOVOPRESSINA - V</t>
  </si>
  <si>
    <t>2.5.2-1723.122</t>
  </si>
  <si>
    <t>ANTISEPTICOS LOCALES P/PERSONA; TIPO: MONODROGA, DROGA GENERICA: NITROFURAZONA, FORMA FARMACEUTICA: APOSITO, PRESENTACION: ENVASE X 20 UN</t>
  </si>
  <si>
    <t>2.9.5-427.33</t>
  </si>
  <si>
    <t>APOSITOS; TIPO: HIDROCOLOIDE, TAMAÑO: 15 X 17,5 CM</t>
  </si>
  <si>
    <t>2.5.2-1883.189</t>
  </si>
  <si>
    <t>ANESTESICOS LOCALES; TIPO: ANALGESICO LOCAL Y ANTIBACTERIANO, DROGA GENERICA: LIDOCAINA + SULFADIAZINA + VITAMINA A, FORMA FARMACEUTICA: CREMA, PRESENTACION: ENVASE X 100 GR</t>
  </si>
  <si>
    <t>2.5.2-1902.14</t>
  </si>
  <si>
    <t>DROGAS UTERINAS; TIPO: MONODROGA, DROGA GENERICA: CARBETOCIN 100 MCG, FORMA FARMACEUTICA: AMPOLLA, PRESENTACION: UNIDAD</t>
  </si>
  <si>
    <t>2.5.2-2481.3</t>
  </si>
  <si>
    <t>LAXANTES; TIPO: MONODROGA, DROGA GENERICA: VASELINA, FORMA FARMACEUTICA: SOLIDO, PRESENTACION: 1000 GR</t>
  </si>
  <si>
    <t>2.5.2-1875.108</t>
  </si>
  <si>
    <t>ANTIASMATICO BRONCODILATADOR; TIPO: MONODROGA, DROGA GENERICA: BROMURO DE IPRATROPIO 20 µGR, FORMA FARMACEUTICA: AEROSOL, PRESENTACION: UNIDAD</t>
  </si>
  <si>
    <t>2.5.2-1875.55</t>
  </si>
  <si>
    <t>ANTIASMATICO BRONCODILATADOR; TIPO: MONODROGA, DROGA GENERICA: SALBUTAMOL, FORMA FARMACEUTICA: AEROSOL, PRESENTACION: 250 DOSIS</t>
  </si>
  <si>
    <t>Con AEROCAMARA</t>
  </si>
  <si>
    <t>2.5.2-2198.3</t>
  </si>
  <si>
    <t>ANTIDIURETICOS; DROGA GENERICA: DESMOPRESINA, FORMA FARMACEUTICA: AMPOLLA, PRESENTACION: 1 ML, TIPO: MONODROGA</t>
  </si>
  <si>
    <t>2.5.2-1895.89</t>
  </si>
  <si>
    <t>HORMONAS MEDICINALES; TIPO: MONODROGA, DROGA GENERICA: OCTREOTIDA, FORMA FARMACEUTICA: AMPOLLA, PRESENTACION: 0,1 MG / ML, USO: INHIBIDOR HORMONA CRECIMIENTO</t>
  </si>
  <si>
    <t>AMPOLLA 0,1 MG/ML CAJA X 5 UNIDADES DE 1 ML  TIPO GASTERINA o SANDOSTATIN</t>
  </si>
  <si>
    <t>2.5.2-1875.68</t>
  </si>
  <si>
    <t>ANTIASMATICO BRONCODILATADOR; TIPO: MONODROGA, DROGA GENERICA: SURFACTANTE PULMONAR BOVI 30MG, FORMA FARMACEUTICA: AMPOLLA, PRESENTACION: ENVASE X 4 ML</t>
  </si>
  <si>
    <t>2.5.2-5661.11</t>
  </si>
  <si>
    <t>QUIMICOS</t>
  </si>
  <si>
    <t>REGULADORES HORMONALES; TIPO: MONODROGA, DROGA GENERICA: ATOSIBAN, FORMA FARMACEUTICA: AMPOLLA, PRESENTACION: ENVASE X 0,9 ML</t>
  </si>
  <si>
    <t>CINCUENTA Y DOS MILLONES OCHENTA Y OCHO MIL SEISCIENTOS NOVENTA Y SIETE CON 50/100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</si>
  <si>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</si>
  <si>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</si>
  <si>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</si>
  <si>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</si>
  <si>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</si>
  <si>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</si>
  <si>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</si>
  <si>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</si>
  <si>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</si>
  <si>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</si>
  <si>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</si>
  <si>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537 / 2022</t>
  </si>
  <si>
    <t xml:space="preserve">JURISDICCIÓN: </t>
  </si>
  <si>
    <t>SAF:</t>
  </si>
  <si>
    <t>UNIDAD EJECUTORA:</t>
  </si>
  <si>
    <t>SAF 28 - MATERNIDAD PROVINCIAL 25 DE MAYO</t>
  </si>
  <si>
    <t xml:space="preserve">DEPENDENCIA SOLICITANTE: </t>
  </si>
  <si>
    <t>PERIODO UTILIZACIÓN:</t>
  </si>
  <si>
    <t>4° TRIMESTRE - 2022</t>
  </si>
  <si>
    <t>OBJETO:</t>
  </si>
  <si>
    <t>252 - PRODUCTOS FARMACÉUTICOS Y MEDICINALES (TERAPIA DERMATOLOGICA -Insumos)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</si>
  <si>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</si>
  <si>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</si>
  <si>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</si>
  <si>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</si>
  <si>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</si>
  <si>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</si>
  <si>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</si>
  <si>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</si>
  <si>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SÍ</t>
  </si>
  <si>
    <t xml:space="preserve">Costo total estimado: </t>
  </si>
  <si>
    <t>CUATRO MILLONES QUINIENTOS NOVENTA Y SEIS MIL QUINIENTOS NOVENTA Y UNO CON 00/100 PESOS</t>
  </si>
  <si>
    <t>DETALLE TECNICO</t>
  </si>
  <si>
    <t>ITEM 2</t>
  </si>
  <si>
    <t>ITEM 31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</si>
  <si>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</si>
  <si>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</si>
  <si>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</si>
  <si>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</si>
  <si>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537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</si>
  <si>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</si>
  <si>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</si>
  <si>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</si>
  <si>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</si>
  <si>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</si>
  <si>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</si>
  <si>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</si>
  <si>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</si>
  <si>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</si>
  <si>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</si>
  <si>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</si>
  <si>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</si>
  <si>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</si>
  <si>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</si>
  <si>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</si>
  <si>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</si>
  <si>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</si>
  <si>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PRODUCTOS FARMACÉUTICOS Y MEDICINALES</t>
  </si>
  <si>
    <t xml:space="preserve">TOTAL DE PESOS: </t>
  </si>
  <si>
    <t>JUSTIFICACIÓN:</t>
  </si>
  <si>
    <t>OBSERVACIONES:</t>
  </si>
  <si>
    <t>544 / 2022</t>
  </si>
  <si>
    <t>SAF 23 - HOSPITAL INTERZONAL SAN JUAN BAUTISTA</t>
  </si>
  <si>
    <t>DOS MILLONES QUINIENTOS SETENTA Y SEIS MIL QUINIENTOS SESENTA Y UNO CON 50/100 PESOS</t>
  </si>
  <si>
    <t>ITEM 19</t>
  </si>
  <si>
    <t xml:space="preserve"> Autorizo la realización de los  trámites correspondientes, a fin de proveer a  este Organismo los bienes y/o servicios que se detallan en Nota  de Pedido N° 544 / 2022,  afectando la erogación resultante a los créditos presupuestarios aprobados a favor de esta Unidad Ejecutora, conforme al siguiente detalle:</t>
  </si>
  <si>
    <t>545 / 2022</t>
  </si>
  <si>
    <t>SAF 11 - MINISTERIO DE SALUD</t>
  </si>
  <si>
    <t>TREINTA Y SIETE MILLONES CIENTO OCHENTA Y OCHO MIL TRESCIENTOS NOVENTA CON 00/100 PESOS</t>
  </si>
  <si>
    <t>ITEM 16</t>
  </si>
  <si>
    <t>ITEM 25</t>
  </si>
  <si>
    <t>ITEM 32</t>
  </si>
  <si>
    <t xml:space="preserve"> Autorizo la realización de los  trámites correspondientes, a fin de proveer a  este Organismo los bienes y/o servicios que se detallan en Nota  de Pedido N° 545 / 2022,  afectando la erogación resultante a los créditos presupuestarios aprobados a favor de esta Unidad Ejecutora, conforme al siguiente detalle:</t>
  </si>
  <si>
    <t>570 / 2022</t>
  </si>
  <si>
    <t>SAF 24 - HOSPITAL INTERZONAL DE NIÑOS EVA PERON</t>
  </si>
  <si>
    <t>252 - PRODUCTOS FARMACÉUTICOS Y MEDICINALES (TERAPIA DERMATOLOGICA - Insumos)</t>
  </si>
  <si>
    <t>SIETE MILLONES SETECIENTOS VEINTISIETE MIL CIENTO CINCUENTA Y CINCO CON 00/100 PESOS</t>
  </si>
  <si>
    <t>ITEM 12</t>
  </si>
  <si>
    <t>ITEM 18</t>
  </si>
  <si>
    <t>ITEM 22</t>
  </si>
  <si>
    <t>ITEM 23</t>
  </si>
  <si>
    <t xml:space="preserve"> Autorizo la realización de los  trámites correspondientes, a fin de proveer a  este Organismo los bienes y/o servicios que se detallan en Nota  de Pedido N° 570 / 2022,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</si>
</sst>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2"/>
  <sheetViews>
    <sheetView tabSelected="1" workbookViewId="0" showGridLines="true" showRowColHeaders="1">
      <selection activeCell="I62" sqref="I62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60030</v>
      </c>
      <c r="H10" s="82">
        <v>3.44</v>
      </c>
      <c r="I10" s="82">
        <v>206503.2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22</v>
      </c>
      <c r="G11" s="81">
        <v>51050</v>
      </c>
      <c r="H11" s="82">
        <v>4.65</v>
      </c>
      <c r="I11" s="82">
        <v>237382.5</v>
      </c>
      <c r="J11" s="80"/>
    </row>
    <row r="12" spans="1:10" customHeight="1" ht="20.25">
      <c r="A12" s="79">
        <v>3</v>
      </c>
      <c r="B12" s="80" t="s">
        <v>25</v>
      </c>
      <c r="C12" s="80" t="s">
        <v>19</v>
      </c>
      <c r="D12" s="79" t="s">
        <v>20</v>
      </c>
      <c r="E12" s="80" t="s">
        <v>26</v>
      </c>
      <c r="F12" s="81" t="s">
        <v>22</v>
      </c>
      <c r="G12" s="81">
        <v>2030</v>
      </c>
      <c r="H12" s="82">
        <v>9.8</v>
      </c>
      <c r="I12" s="82">
        <v>19894.0</v>
      </c>
      <c r="J12" s="80"/>
    </row>
    <row r="13" spans="1:10" customHeight="1" ht="20.25">
      <c r="A13" s="79">
        <v>4</v>
      </c>
      <c r="B13" s="80" t="s">
        <v>27</v>
      </c>
      <c r="C13" s="80" t="s">
        <v>19</v>
      </c>
      <c r="D13" s="79" t="s">
        <v>20</v>
      </c>
      <c r="E13" s="80" t="s">
        <v>28</v>
      </c>
      <c r="F13" s="81" t="s">
        <v>22</v>
      </c>
      <c r="G13" s="81">
        <v>200</v>
      </c>
      <c r="H13" s="82">
        <v>15.0</v>
      </c>
      <c r="I13" s="82">
        <v>3000.0</v>
      </c>
      <c r="J13" s="80"/>
    </row>
    <row r="14" spans="1:10" customHeight="1" ht="20.25">
      <c r="A14" s="79">
        <v>5</v>
      </c>
      <c r="B14" s="80" t="s">
        <v>29</v>
      </c>
      <c r="C14" s="80" t="s">
        <v>19</v>
      </c>
      <c r="D14" s="79" t="s">
        <v>20</v>
      </c>
      <c r="E14" s="80" t="s">
        <v>30</v>
      </c>
      <c r="F14" s="81" t="s">
        <v>22</v>
      </c>
      <c r="G14" s="81">
        <v>2030</v>
      </c>
      <c r="H14" s="82">
        <v>17.35</v>
      </c>
      <c r="I14" s="82">
        <v>35220.5</v>
      </c>
      <c r="J14" s="80"/>
    </row>
    <row r="15" spans="1:10" customHeight="1" ht="20.25">
      <c r="A15" s="79">
        <v>6</v>
      </c>
      <c r="B15" s="80" t="s">
        <v>31</v>
      </c>
      <c r="C15" s="80" t="s">
        <v>19</v>
      </c>
      <c r="D15" s="79" t="s">
        <v>20</v>
      </c>
      <c r="E15" s="80" t="s">
        <v>32</v>
      </c>
      <c r="F15" s="81" t="s">
        <v>22</v>
      </c>
      <c r="G15" s="81">
        <v>650</v>
      </c>
      <c r="H15" s="82">
        <v>18.3</v>
      </c>
      <c r="I15" s="82">
        <v>11895.0</v>
      </c>
      <c r="J15" s="80"/>
    </row>
    <row r="16" spans="1:10" customHeight="1" ht="20.25">
      <c r="A16" s="79">
        <v>7</v>
      </c>
      <c r="B16" s="80" t="s">
        <v>33</v>
      </c>
      <c r="C16" s="80" t="s">
        <v>19</v>
      </c>
      <c r="D16" s="79" t="s">
        <v>20</v>
      </c>
      <c r="E16" s="80" t="s">
        <v>34</v>
      </c>
      <c r="F16" s="81" t="s">
        <v>22</v>
      </c>
      <c r="G16" s="81">
        <v>1130</v>
      </c>
      <c r="H16" s="82">
        <v>33.5</v>
      </c>
      <c r="I16" s="82">
        <v>37855.0</v>
      </c>
      <c r="J16" s="80"/>
    </row>
    <row r="17" spans="1:10" customHeight="1" ht="20.25">
      <c r="A17" s="79">
        <v>8</v>
      </c>
      <c r="B17" s="80" t="s">
        <v>35</v>
      </c>
      <c r="C17" s="80" t="s">
        <v>19</v>
      </c>
      <c r="D17" s="79" t="s">
        <v>20</v>
      </c>
      <c r="E17" s="80" t="s">
        <v>36</v>
      </c>
      <c r="F17" s="81" t="s">
        <v>37</v>
      </c>
      <c r="G17" s="81">
        <v>1140</v>
      </c>
      <c r="H17" s="82">
        <v>35.24</v>
      </c>
      <c r="I17" s="82">
        <v>40173.6</v>
      </c>
      <c r="J17" s="80"/>
    </row>
    <row r="18" spans="1:10" customHeight="1" ht="20.25">
      <c r="A18" s="79">
        <v>9</v>
      </c>
      <c r="B18" s="80" t="s">
        <v>38</v>
      </c>
      <c r="C18" s="80" t="s">
        <v>19</v>
      </c>
      <c r="D18" s="79" t="s">
        <v>20</v>
      </c>
      <c r="E18" s="80" t="s">
        <v>39</v>
      </c>
      <c r="F18" s="81" t="s">
        <v>40</v>
      </c>
      <c r="G18" s="81">
        <v>10000</v>
      </c>
      <c r="H18" s="82">
        <v>36.0</v>
      </c>
      <c r="I18" s="82">
        <v>360000.0</v>
      </c>
      <c r="J18" s="80"/>
    </row>
    <row r="19" spans="1:10" customHeight="1" ht="20.25">
      <c r="A19" s="79">
        <v>10</v>
      </c>
      <c r="B19" s="80" t="s">
        <v>41</v>
      </c>
      <c r="C19" s="80" t="s">
        <v>19</v>
      </c>
      <c r="D19" s="79" t="s">
        <v>20</v>
      </c>
      <c r="E19" s="80" t="s">
        <v>42</v>
      </c>
      <c r="F19" s="81" t="s">
        <v>40</v>
      </c>
      <c r="G19" s="81">
        <v>2400</v>
      </c>
      <c r="H19" s="82">
        <v>41.0</v>
      </c>
      <c r="I19" s="82">
        <v>98400.0</v>
      </c>
      <c r="J19" s="80"/>
    </row>
    <row r="20" spans="1:10" customHeight="1" ht="20.25">
      <c r="A20" s="79">
        <v>11</v>
      </c>
      <c r="B20" s="80" t="s">
        <v>43</v>
      </c>
      <c r="C20" s="80" t="s">
        <v>19</v>
      </c>
      <c r="D20" s="79" t="s">
        <v>20</v>
      </c>
      <c r="E20" s="80" t="s">
        <v>44</v>
      </c>
      <c r="F20" s="81" t="s">
        <v>40</v>
      </c>
      <c r="G20" s="81">
        <v>135900</v>
      </c>
      <c r="H20" s="82">
        <v>45.0</v>
      </c>
      <c r="I20" s="82">
        <v>6115500.0</v>
      </c>
      <c r="J20" s="80"/>
    </row>
    <row r="21" spans="1:10" customHeight="1" ht="20.25">
      <c r="A21" s="79">
        <v>12</v>
      </c>
      <c r="B21" s="80" t="s">
        <v>45</v>
      </c>
      <c r="C21" s="80" t="s">
        <v>19</v>
      </c>
      <c r="D21" s="79" t="s">
        <v>20</v>
      </c>
      <c r="E21" s="80" t="s">
        <v>46</v>
      </c>
      <c r="F21" s="81" t="s">
        <v>40</v>
      </c>
      <c r="G21" s="81">
        <v>2900</v>
      </c>
      <c r="H21" s="82">
        <v>45.0</v>
      </c>
      <c r="I21" s="82">
        <v>130500.0</v>
      </c>
      <c r="J21" s="80"/>
    </row>
    <row r="22" spans="1:10" customHeight="1" ht="20.25">
      <c r="A22" s="79">
        <v>13</v>
      </c>
      <c r="B22" s="80" t="s">
        <v>47</v>
      </c>
      <c r="C22" s="80" t="s">
        <v>19</v>
      </c>
      <c r="D22" s="79" t="s">
        <v>20</v>
      </c>
      <c r="E22" s="80" t="s">
        <v>48</v>
      </c>
      <c r="F22" s="81" t="s">
        <v>37</v>
      </c>
      <c r="G22" s="81">
        <v>3280</v>
      </c>
      <c r="H22" s="82">
        <v>47.24</v>
      </c>
      <c r="I22" s="82">
        <v>154947.2</v>
      </c>
      <c r="J22" s="80"/>
    </row>
    <row r="23" spans="1:10" customHeight="1" ht="20.25">
      <c r="A23" s="79">
        <v>14</v>
      </c>
      <c r="B23" s="80" t="s">
        <v>49</v>
      </c>
      <c r="C23" s="80" t="s">
        <v>19</v>
      </c>
      <c r="D23" s="79" t="s">
        <v>20</v>
      </c>
      <c r="E23" s="80" t="s">
        <v>50</v>
      </c>
      <c r="F23" s="81" t="s">
        <v>40</v>
      </c>
      <c r="G23" s="81">
        <v>57800</v>
      </c>
      <c r="H23" s="82">
        <v>55.0</v>
      </c>
      <c r="I23" s="82">
        <v>3179000.0</v>
      </c>
      <c r="J23" s="80"/>
    </row>
    <row r="24" spans="1:10" customHeight="1" ht="20.25">
      <c r="A24" s="79">
        <v>15</v>
      </c>
      <c r="B24" s="80" t="s">
        <v>51</v>
      </c>
      <c r="C24" s="80" t="s">
        <v>19</v>
      </c>
      <c r="D24" s="79" t="s">
        <v>20</v>
      </c>
      <c r="E24" s="80" t="s">
        <v>52</v>
      </c>
      <c r="F24" s="81" t="s">
        <v>22</v>
      </c>
      <c r="G24" s="81">
        <v>3430</v>
      </c>
      <c r="H24" s="82">
        <v>55.0</v>
      </c>
      <c r="I24" s="82">
        <v>188650.0</v>
      </c>
      <c r="J24" s="80"/>
    </row>
    <row r="25" spans="1:10" customHeight="1" ht="20.25">
      <c r="A25" s="79">
        <v>16</v>
      </c>
      <c r="B25" s="80" t="s">
        <v>53</v>
      </c>
      <c r="C25" s="80" t="s">
        <v>19</v>
      </c>
      <c r="D25" s="79" t="s">
        <v>20</v>
      </c>
      <c r="E25" s="80" t="s">
        <v>54</v>
      </c>
      <c r="F25" s="81" t="s">
        <v>40</v>
      </c>
      <c r="G25" s="81">
        <v>1100</v>
      </c>
      <c r="H25" s="82">
        <v>86.0</v>
      </c>
      <c r="I25" s="82">
        <v>94600.0</v>
      </c>
      <c r="J25" s="80"/>
    </row>
    <row r="26" spans="1:10" customHeight="1" ht="20.25">
      <c r="A26" s="79">
        <v>17</v>
      </c>
      <c r="B26" s="80" t="s">
        <v>55</v>
      </c>
      <c r="C26" s="80" t="s">
        <v>19</v>
      </c>
      <c r="D26" s="79" t="s">
        <v>20</v>
      </c>
      <c r="E26" s="80" t="s">
        <v>56</v>
      </c>
      <c r="F26" s="81" t="s">
        <v>57</v>
      </c>
      <c r="G26" s="81">
        <v>4150</v>
      </c>
      <c r="H26" s="82">
        <v>95.0</v>
      </c>
      <c r="I26" s="82">
        <v>394250.0</v>
      </c>
      <c r="J26" s="80"/>
    </row>
    <row r="27" spans="1:10" customHeight="1" ht="20.25">
      <c r="A27" s="79">
        <v>18</v>
      </c>
      <c r="B27" s="80" t="s">
        <v>58</v>
      </c>
      <c r="C27" s="80" t="s">
        <v>19</v>
      </c>
      <c r="D27" s="79" t="s">
        <v>20</v>
      </c>
      <c r="E27" s="80" t="s">
        <v>59</v>
      </c>
      <c r="F27" s="81" t="s">
        <v>57</v>
      </c>
      <c r="G27" s="81">
        <v>3030</v>
      </c>
      <c r="H27" s="82">
        <v>98.0</v>
      </c>
      <c r="I27" s="82">
        <v>296940.0</v>
      </c>
      <c r="J27" s="80"/>
    </row>
    <row r="28" spans="1:10" customHeight="1" ht="20.25">
      <c r="A28" s="79">
        <v>19</v>
      </c>
      <c r="B28" s="80" t="s">
        <v>60</v>
      </c>
      <c r="C28" s="80" t="s">
        <v>19</v>
      </c>
      <c r="D28" s="79" t="s">
        <v>20</v>
      </c>
      <c r="E28" s="80" t="s">
        <v>61</v>
      </c>
      <c r="F28" s="81" t="s">
        <v>40</v>
      </c>
      <c r="G28" s="81">
        <v>7900</v>
      </c>
      <c r="H28" s="82">
        <v>120.0</v>
      </c>
      <c r="I28" s="82">
        <v>948000.0</v>
      </c>
      <c r="J28" s="80"/>
    </row>
    <row r="29" spans="1:10" customHeight="1" ht="20.25">
      <c r="A29" s="79">
        <v>20</v>
      </c>
      <c r="B29" s="80" t="s">
        <v>62</v>
      </c>
      <c r="C29" s="80" t="s">
        <v>19</v>
      </c>
      <c r="D29" s="79" t="s">
        <v>20</v>
      </c>
      <c r="E29" s="80" t="s">
        <v>63</v>
      </c>
      <c r="F29" s="81" t="s">
        <v>22</v>
      </c>
      <c r="G29" s="81">
        <v>60</v>
      </c>
      <c r="H29" s="82">
        <v>149.35</v>
      </c>
      <c r="I29" s="82">
        <v>8961.0</v>
      </c>
      <c r="J29" s="80"/>
    </row>
    <row r="30" spans="1:10" customHeight="1" ht="20.25">
      <c r="A30" s="79">
        <v>21</v>
      </c>
      <c r="B30" s="80" t="s">
        <v>64</v>
      </c>
      <c r="C30" s="80" t="s">
        <v>19</v>
      </c>
      <c r="D30" s="79" t="s">
        <v>20</v>
      </c>
      <c r="E30" s="80" t="s">
        <v>65</v>
      </c>
      <c r="F30" s="81" t="s">
        <v>66</v>
      </c>
      <c r="G30" s="81">
        <v>6000</v>
      </c>
      <c r="H30" s="82">
        <v>180.0</v>
      </c>
      <c r="I30" s="82">
        <v>1080000.0</v>
      </c>
      <c r="J30" s="80"/>
    </row>
    <row r="31" spans="1:10" customHeight="1" ht="20.25">
      <c r="A31" s="79">
        <v>22</v>
      </c>
      <c r="B31" s="80" t="s">
        <v>67</v>
      </c>
      <c r="C31" s="80" t="s">
        <v>19</v>
      </c>
      <c r="D31" s="79" t="s">
        <v>20</v>
      </c>
      <c r="E31" s="80" t="s">
        <v>68</v>
      </c>
      <c r="F31" s="81" t="s">
        <v>66</v>
      </c>
      <c r="G31" s="81">
        <v>16100</v>
      </c>
      <c r="H31" s="82">
        <v>199.0</v>
      </c>
      <c r="I31" s="82">
        <v>3203900.0</v>
      </c>
      <c r="J31" s="80"/>
    </row>
    <row r="32" spans="1:10" customHeight="1" ht="20.25">
      <c r="A32" s="79">
        <v>23</v>
      </c>
      <c r="B32" s="80" t="s">
        <v>69</v>
      </c>
      <c r="C32" s="80" t="s">
        <v>19</v>
      </c>
      <c r="D32" s="79" t="s">
        <v>20</v>
      </c>
      <c r="E32" s="80" t="s">
        <v>70</v>
      </c>
      <c r="F32" s="81" t="s">
        <v>40</v>
      </c>
      <c r="G32" s="81">
        <v>12700</v>
      </c>
      <c r="H32" s="82">
        <v>222.0</v>
      </c>
      <c r="I32" s="82">
        <v>2819400.0</v>
      </c>
      <c r="J32" s="80"/>
    </row>
    <row r="33" spans="1:10" customHeight="1" ht="20.25">
      <c r="A33" s="79">
        <v>24</v>
      </c>
      <c r="B33" s="80" t="s">
        <v>71</v>
      </c>
      <c r="C33" s="80" t="s">
        <v>19</v>
      </c>
      <c r="D33" s="79" t="s">
        <v>20</v>
      </c>
      <c r="E33" s="80" t="s">
        <v>72</v>
      </c>
      <c r="F33" s="81" t="s">
        <v>37</v>
      </c>
      <c r="G33" s="81">
        <v>1005</v>
      </c>
      <c r="H33" s="82">
        <v>250.0</v>
      </c>
      <c r="I33" s="82">
        <v>251250.0</v>
      </c>
      <c r="J33" s="80"/>
    </row>
    <row r="34" spans="1:10" customHeight="1" ht="20.25">
      <c r="A34" s="79">
        <v>25</v>
      </c>
      <c r="B34" s="80" t="s">
        <v>73</v>
      </c>
      <c r="C34" s="80" t="s">
        <v>19</v>
      </c>
      <c r="D34" s="79" t="s">
        <v>20</v>
      </c>
      <c r="E34" s="80" t="s">
        <v>74</v>
      </c>
      <c r="F34" s="81" t="s">
        <v>37</v>
      </c>
      <c r="G34" s="81">
        <v>1040</v>
      </c>
      <c r="H34" s="82">
        <v>280.0</v>
      </c>
      <c r="I34" s="82">
        <v>291200.0</v>
      </c>
      <c r="J34" s="80"/>
    </row>
    <row r="35" spans="1:10" customHeight="1" ht="20.25">
      <c r="A35" s="79">
        <v>26</v>
      </c>
      <c r="B35" s="80" t="s">
        <v>75</v>
      </c>
      <c r="C35" s="80" t="s">
        <v>19</v>
      </c>
      <c r="D35" s="79" t="s">
        <v>20</v>
      </c>
      <c r="E35" s="80" t="s">
        <v>76</v>
      </c>
      <c r="F35" s="81" t="s">
        <v>37</v>
      </c>
      <c r="G35" s="81">
        <v>1000</v>
      </c>
      <c r="H35" s="82">
        <v>280.0</v>
      </c>
      <c r="I35" s="82">
        <v>280000.0</v>
      </c>
      <c r="J35" s="80"/>
    </row>
    <row r="36" spans="1:10" customHeight="1" ht="20.25">
      <c r="A36" s="79">
        <v>27</v>
      </c>
      <c r="B36" s="80" t="s">
        <v>77</v>
      </c>
      <c r="C36" s="80" t="s">
        <v>19</v>
      </c>
      <c r="D36" s="79" t="s">
        <v>20</v>
      </c>
      <c r="E36" s="80" t="s">
        <v>78</v>
      </c>
      <c r="F36" s="81" t="s">
        <v>37</v>
      </c>
      <c r="G36" s="81">
        <v>100</v>
      </c>
      <c r="H36" s="82">
        <v>285.0</v>
      </c>
      <c r="I36" s="82">
        <v>28500.0</v>
      </c>
      <c r="J36" s="80"/>
    </row>
    <row r="37" spans="1:10" customHeight="1" ht="20.25">
      <c r="A37" s="79">
        <v>28</v>
      </c>
      <c r="B37" s="80" t="s">
        <v>79</v>
      </c>
      <c r="C37" s="80" t="s">
        <v>19</v>
      </c>
      <c r="D37" s="79" t="s">
        <v>20</v>
      </c>
      <c r="E37" s="80" t="s">
        <v>80</v>
      </c>
      <c r="F37" s="81" t="s">
        <v>40</v>
      </c>
      <c r="G37" s="81">
        <v>10900</v>
      </c>
      <c r="H37" s="82">
        <v>295.0</v>
      </c>
      <c r="I37" s="82">
        <v>3215500.0</v>
      </c>
      <c r="J37" s="80"/>
    </row>
    <row r="38" spans="1:10" customHeight="1" ht="20.25">
      <c r="A38" s="79">
        <v>29</v>
      </c>
      <c r="B38" s="80" t="s">
        <v>81</v>
      </c>
      <c r="C38" s="80" t="s">
        <v>19</v>
      </c>
      <c r="D38" s="79" t="s">
        <v>20</v>
      </c>
      <c r="E38" s="80" t="s">
        <v>82</v>
      </c>
      <c r="F38" s="81" t="s">
        <v>22</v>
      </c>
      <c r="G38" s="81">
        <v>48</v>
      </c>
      <c r="H38" s="82">
        <v>306.75</v>
      </c>
      <c r="I38" s="82">
        <v>14724.0</v>
      </c>
      <c r="J38" s="80"/>
    </row>
    <row r="39" spans="1:10" customHeight="1" ht="20.25">
      <c r="A39" s="79">
        <v>30</v>
      </c>
      <c r="B39" s="80" t="s">
        <v>83</v>
      </c>
      <c r="C39" s="80" t="s">
        <v>19</v>
      </c>
      <c r="D39" s="79" t="s">
        <v>20</v>
      </c>
      <c r="E39" s="80" t="s">
        <v>84</v>
      </c>
      <c r="F39" s="81" t="s">
        <v>57</v>
      </c>
      <c r="G39" s="81">
        <v>7000</v>
      </c>
      <c r="H39" s="82">
        <v>315.0</v>
      </c>
      <c r="I39" s="82">
        <v>2205000.0</v>
      </c>
      <c r="J39" s="80" t="s">
        <v>85</v>
      </c>
    </row>
    <row r="40" spans="1:10" customHeight="1" ht="20.25">
      <c r="A40" s="79">
        <v>31</v>
      </c>
      <c r="B40" s="80" t="s">
        <v>86</v>
      </c>
      <c r="C40" s="80" t="s">
        <v>19</v>
      </c>
      <c r="D40" s="79" t="s">
        <v>20</v>
      </c>
      <c r="E40" s="80" t="s">
        <v>87</v>
      </c>
      <c r="F40" s="81" t="s">
        <v>37</v>
      </c>
      <c r="G40" s="81">
        <v>820</v>
      </c>
      <c r="H40" s="82">
        <v>327.0</v>
      </c>
      <c r="I40" s="82">
        <v>268140.0</v>
      </c>
      <c r="J40" s="80"/>
    </row>
    <row r="41" spans="1:10" customHeight="1" ht="20.25">
      <c r="A41" s="79">
        <v>32</v>
      </c>
      <c r="B41" s="80" t="s">
        <v>88</v>
      </c>
      <c r="C41" s="80" t="s">
        <v>19</v>
      </c>
      <c r="D41" s="79" t="s">
        <v>20</v>
      </c>
      <c r="E41" s="80" t="s">
        <v>89</v>
      </c>
      <c r="F41" s="81" t="s">
        <v>90</v>
      </c>
      <c r="G41" s="81">
        <v>100</v>
      </c>
      <c r="H41" s="82">
        <v>330.0</v>
      </c>
      <c r="I41" s="82">
        <v>33000.0</v>
      </c>
      <c r="J41" s="80"/>
    </row>
    <row r="42" spans="1:10" customHeight="1" ht="20.25">
      <c r="A42" s="79">
        <v>33</v>
      </c>
      <c r="B42" s="80" t="s">
        <v>91</v>
      </c>
      <c r="C42" s="80" t="s">
        <v>19</v>
      </c>
      <c r="D42" s="79" t="s">
        <v>20</v>
      </c>
      <c r="E42" s="80" t="s">
        <v>92</v>
      </c>
      <c r="F42" s="81" t="s">
        <v>37</v>
      </c>
      <c r="G42" s="81">
        <v>2060</v>
      </c>
      <c r="H42" s="82">
        <v>340.0</v>
      </c>
      <c r="I42" s="82">
        <v>700400.0</v>
      </c>
      <c r="J42" s="80" t="s">
        <v>93</v>
      </c>
    </row>
    <row r="43" spans="1:10" customHeight="1" ht="20.25">
      <c r="A43" s="79">
        <v>34</v>
      </c>
      <c r="B43" s="80" t="s">
        <v>94</v>
      </c>
      <c r="C43" s="80" t="s">
        <v>19</v>
      </c>
      <c r="D43" s="79" t="s">
        <v>20</v>
      </c>
      <c r="E43" s="80" t="s">
        <v>95</v>
      </c>
      <c r="F43" s="81" t="s">
        <v>22</v>
      </c>
      <c r="G43" s="81">
        <v>2000</v>
      </c>
      <c r="H43" s="82">
        <v>520.0</v>
      </c>
      <c r="I43" s="82">
        <v>1040000.0</v>
      </c>
      <c r="J43" s="80"/>
    </row>
    <row r="44" spans="1:10" customHeight="1" ht="20.25">
      <c r="A44" s="79">
        <v>35</v>
      </c>
      <c r="B44" s="80" t="s">
        <v>96</v>
      </c>
      <c r="C44" s="80" t="s">
        <v>19</v>
      </c>
      <c r="D44" s="79" t="s">
        <v>20</v>
      </c>
      <c r="E44" s="80" t="s">
        <v>97</v>
      </c>
      <c r="F44" s="81" t="s">
        <v>37</v>
      </c>
      <c r="G44" s="81">
        <v>220</v>
      </c>
      <c r="H44" s="82">
        <v>580.0</v>
      </c>
      <c r="I44" s="82">
        <v>127600.0</v>
      </c>
      <c r="J44" s="80"/>
    </row>
    <row r="45" spans="1:10" customHeight="1" ht="20.25">
      <c r="A45" s="79">
        <v>36</v>
      </c>
      <c r="B45" s="80" t="s">
        <v>98</v>
      </c>
      <c r="C45" s="80" t="s">
        <v>19</v>
      </c>
      <c r="D45" s="79" t="s">
        <v>20</v>
      </c>
      <c r="E45" s="80" t="s">
        <v>99</v>
      </c>
      <c r="F45" s="81" t="s">
        <v>37</v>
      </c>
      <c r="G45" s="81">
        <v>20</v>
      </c>
      <c r="H45" s="82">
        <v>650.0</v>
      </c>
      <c r="I45" s="82">
        <v>13000.0</v>
      </c>
      <c r="J45" s="80"/>
    </row>
    <row r="46" spans="1:10" customHeight="1" ht="20.25">
      <c r="A46" s="79">
        <v>37</v>
      </c>
      <c r="B46" s="80" t="s">
        <v>100</v>
      </c>
      <c r="C46" s="80" t="s">
        <v>19</v>
      </c>
      <c r="D46" s="79" t="s">
        <v>20</v>
      </c>
      <c r="E46" s="80" t="s">
        <v>101</v>
      </c>
      <c r="F46" s="81" t="s">
        <v>40</v>
      </c>
      <c r="G46" s="81">
        <v>230</v>
      </c>
      <c r="H46" s="82">
        <v>689.0</v>
      </c>
      <c r="I46" s="82">
        <v>158470.0</v>
      </c>
      <c r="J46" s="80"/>
    </row>
    <row r="47" spans="1:10" customHeight="1" ht="20.25">
      <c r="A47" s="79">
        <v>38</v>
      </c>
      <c r="B47" s="80" t="s">
        <v>102</v>
      </c>
      <c r="C47" s="80" t="s">
        <v>19</v>
      </c>
      <c r="D47" s="79" t="s">
        <v>20</v>
      </c>
      <c r="E47" s="80" t="s">
        <v>103</v>
      </c>
      <c r="F47" s="81" t="s">
        <v>37</v>
      </c>
      <c r="G47" s="81">
        <v>2550</v>
      </c>
      <c r="H47" s="82">
        <v>750.0</v>
      </c>
      <c r="I47" s="82">
        <v>1912500.0</v>
      </c>
      <c r="J47" s="80"/>
    </row>
    <row r="48" spans="1:10" customHeight="1" ht="20.25">
      <c r="A48" s="79">
        <v>39</v>
      </c>
      <c r="B48" s="80" t="s">
        <v>104</v>
      </c>
      <c r="C48" s="80" t="s">
        <v>19</v>
      </c>
      <c r="D48" s="79" t="s">
        <v>20</v>
      </c>
      <c r="E48" s="80" t="s">
        <v>105</v>
      </c>
      <c r="F48" s="81" t="s">
        <v>106</v>
      </c>
      <c r="G48" s="81">
        <v>40</v>
      </c>
      <c r="H48" s="82">
        <v>775.0</v>
      </c>
      <c r="I48" s="82">
        <v>31000.0</v>
      </c>
      <c r="J48" s="80" t="s">
        <v>107</v>
      </c>
    </row>
    <row r="49" spans="1:10" customHeight="1" ht="20.25">
      <c r="A49" s="79">
        <v>40</v>
      </c>
      <c r="B49" s="80" t="s">
        <v>108</v>
      </c>
      <c r="C49" s="80" t="s">
        <v>19</v>
      </c>
      <c r="D49" s="79" t="s">
        <v>20</v>
      </c>
      <c r="E49" s="80" t="s">
        <v>109</v>
      </c>
      <c r="F49" s="81" t="s">
        <v>106</v>
      </c>
      <c r="G49" s="81">
        <v>736</v>
      </c>
      <c r="H49" s="82">
        <v>830.0</v>
      </c>
      <c r="I49" s="82">
        <v>610880.0</v>
      </c>
      <c r="J49" s="80"/>
    </row>
    <row r="50" spans="1:10" customHeight="1" ht="20.25">
      <c r="A50" s="79">
        <v>41</v>
      </c>
      <c r="B50" s="80" t="s">
        <v>110</v>
      </c>
      <c r="C50" s="80" t="s">
        <v>19</v>
      </c>
      <c r="D50" s="79" t="s">
        <v>20</v>
      </c>
      <c r="E50" s="80" t="s">
        <v>111</v>
      </c>
      <c r="F50" s="81" t="s">
        <v>37</v>
      </c>
      <c r="G50" s="81">
        <v>170</v>
      </c>
      <c r="H50" s="82">
        <v>1120.0</v>
      </c>
      <c r="I50" s="82">
        <v>190400.0</v>
      </c>
      <c r="J50" s="80"/>
    </row>
    <row r="51" spans="1:10" customHeight="1" ht="20.25">
      <c r="A51" s="79">
        <v>42</v>
      </c>
      <c r="B51" s="80" t="s">
        <v>112</v>
      </c>
      <c r="C51" s="80" t="s">
        <v>19</v>
      </c>
      <c r="D51" s="79" t="s">
        <v>20</v>
      </c>
      <c r="E51" s="80" t="s">
        <v>113</v>
      </c>
      <c r="F51" s="81" t="s">
        <v>37</v>
      </c>
      <c r="G51" s="81">
        <v>1340</v>
      </c>
      <c r="H51" s="82">
        <v>1120.0</v>
      </c>
      <c r="I51" s="82">
        <v>1500800.0</v>
      </c>
      <c r="J51" s="80"/>
    </row>
    <row r="52" spans="1:10" customHeight="1" ht="20.25">
      <c r="A52" s="79">
        <v>43</v>
      </c>
      <c r="B52" s="80" t="s">
        <v>114</v>
      </c>
      <c r="C52" s="80" t="s">
        <v>19</v>
      </c>
      <c r="D52" s="79" t="s">
        <v>20</v>
      </c>
      <c r="E52" s="80" t="s">
        <v>115</v>
      </c>
      <c r="F52" s="81" t="s">
        <v>40</v>
      </c>
      <c r="G52" s="81">
        <v>40</v>
      </c>
      <c r="H52" s="82">
        <v>1200.0</v>
      </c>
      <c r="I52" s="82">
        <v>48000.0</v>
      </c>
      <c r="J52" s="80"/>
    </row>
    <row r="53" spans="1:10" customHeight="1" ht="20.25">
      <c r="A53" s="79">
        <v>44</v>
      </c>
      <c r="B53" s="80" t="s">
        <v>116</v>
      </c>
      <c r="C53" s="80" t="s">
        <v>19</v>
      </c>
      <c r="D53" s="79" t="s">
        <v>20</v>
      </c>
      <c r="E53" s="80" t="s">
        <v>117</v>
      </c>
      <c r="F53" s="81" t="s">
        <v>37</v>
      </c>
      <c r="G53" s="81">
        <v>95</v>
      </c>
      <c r="H53" s="82">
        <v>1260.0</v>
      </c>
      <c r="I53" s="82">
        <v>119700.0</v>
      </c>
      <c r="J53" s="80"/>
    </row>
    <row r="54" spans="1:10" customHeight="1" ht="20.25">
      <c r="A54" s="79">
        <v>45</v>
      </c>
      <c r="B54" s="80" t="s">
        <v>118</v>
      </c>
      <c r="C54" s="80" t="s">
        <v>19</v>
      </c>
      <c r="D54" s="79" t="s">
        <v>20</v>
      </c>
      <c r="E54" s="80" t="s">
        <v>119</v>
      </c>
      <c r="F54" s="81" t="s">
        <v>37</v>
      </c>
      <c r="G54" s="81">
        <v>100</v>
      </c>
      <c r="H54" s="82">
        <v>1298.0</v>
      </c>
      <c r="I54" s="82">
        <v>129800.0</v>
      </c>
      <c r="J54" s="80"/>
    </row>
    <row r="55" spans="1:10" customHeight="1" ht="20.25">
      <c r="A55" s="79">
        <v>46</v>
      </c>
      <c r="B55" s="80" t="s">
        <v>120</v>
      </c>
      <c r="C55" s="80" t="s">
        <v>19</v>
      </c>
      <c r="D55" s="79" t="s">
        <v>20</v>
      </c>
      <c r="E55" s="80" t="s">
        <v>121</v>
      </c>
      <c r="F55" s="81" t="s">
        <v>37</v>
      </c>
      <c r="G55" s="81">
        <v>10350</v>
      </c>
      <c r="H55" s="82">
        <v>1580.0</v>
      </c>
      <c r="I55" s="82">
        <v>16353000.0</v>
      </c>
      <c r="J55" s="80" t="s">
        <v>122</v>
      </c>
    </row>
    <row r="56" spans="1:10" customHeight="1" ht="20.25">
      <c r="A56" s="79">
        <v>47</v>
      </c>
      <c r="B56" s="80" t="s">
        <v>123</v>
      </c>
      <c r="C56" s="80" t="s">
        <v>19</v>
      </c>
      <c r="D56" s="79" t="s">
        <v>20</v>
      </c>
      <c r="E56" s="80" t="s">
        <v>124</v>
      </c>
      <c r="F56" s="81" t="s">
        <v>40</v>
      </c>
      <c r="G56" s="81">
        <v>50</v>
      </c>
      <c r="H56" s="82">
        <v>1615.0</v>
      </c>
      <c r="I56" s="82">
        <v>80750.0</v>
      </c>
      <c r="J56" s="80"/>
    </row>
    <row r="57" spans="1:10" customHeight="1" ht="20.25">
      <c r="A57" s="79">
        <v>48</v>
      </c>
      <c r="B57" s="80" t="s">
        <v>125</v>
      </c>
      <c r="C57" s="80" t="s">
        <v>19</v>
      </c>
      <c r="D57" s="79" t="s">
        <v>20</v>
      </c>
      <c r="E57" s="80" t="s">
        <v>126</v>
      </c>
      <c r="F57" s="81" t="s">
        <v>106</v>
      </c>
      <c r="G57" s="81">
        <v>70</v>
      </c>
      <c r="H57" s="82">
        <v>7904.45</v>
      </c>
      <c r="I57" s="82">
        <v>553311.5</v>
      </c>
      <c r="J57" s="80" t="s">
        <v>127</v>
      </c>
    </row>
    <row r="58" spans="1:10" customHeight="1" ht="20.25">
      <c r="A58" s="79">
        <v>49</v>
      </c>
      <c r="B58" s="80" t="s">
        <v>128</v>
      </c>
      <c r="C58" s="80" t="s">
        <v>19</v>
      </c>
      <c r="D58" s="79" t="s">
        <v>20</v>
      </c>
      <c r="E58" s="80" t="s">
        <v>129</v>
      </c>
      <c r="F58" s="81" t="s">
        <v>40</v>
      </c>
      <c r="G58" s="81">
        <v>60</v>
      </c>
      <c r="H58" s="82">
        <v>10300.0</v>
      </c>
      <c r="I58" s="82">
        <v>618000.0</v>
      </c>
      <c r="J58" s="80"/>
    </row>
    <row r="59" spans="1:10" customHeight="1" ht="20.25">
      <c r="A59" s="79">
        <v>50</v>
      </c>
      <c r="B59" s="80" t="s">
        <v>130</v>
      </c>
      <c r="C59" s="80" t="s">
        <v>131</v>
      </c>
      <c r="D59" s="79" t="s">
        <v>20</v>
      </c>
      <c r="E59" s="80" t="s">
        <v>132</v>
      </c>
      <c r="F59" s="81" t="s">
        <v>66</v>
      </c>
      <c r="G59" s="81">
        <v>90</v>
      </c>
      <c r="H59" s="82">
        <v>18320.0</v>
      </c>
      <c r="I59" s="82">
        <v>1648800.0</v>
      </c>
      <c r="J59" s="80"/>
    </row>
    <row r="60" spans="1:10" customHeight="1" ht="20.25">
      <c r="A60" s="79"/>
      <c r="B60" s="80"/>
      <c r="C60" s="80"/>
      <c r="D60" s="79"/>
      <c r="E60" s="80"/>
      <c r="F60" s="81"/>
      <c r="G60" s="81"/>
      <c r="H60" s="82"/>
      <c r="I60" s="82"/>
      <c r="J60" s="80"/>
    </row>
    <row r="61" spans="1:10" customHeight="1" ht="17.25" s="22" customFormat="1">
      <c r="A61" s="23"/>
      <c r="B61" s="27"/>
      <c r="C61" s="27"/>
      <c r="D61" s="23"/>
      <c r="E61" s="80"/>
      <c r="F61" s="23"/>
      <c r="G61" s="23"/>
      <c r="H61" s="24"/>
      <c r="I61" s="24"/>
      <c r="J61" s="80"/>
    </row>
    <row r="62" spans="1:10" customHeight="1" ht="13.5">
      <c r="C62" s="10" t="s">
        <v>133</v>
      </c>
      <c r="H62" s="25" t="s">
        <v>134</v>
      </c>
      <c r="I62" s="26">
        <f>SUM(I10:I61)</f>
        <v>52088697.5</v>
      </c>
      <c r="J62" s="10"/>
    </row>
    <row r="63" spans="1:10" customHeight="1" ht="15">
      <c r="B63" s="11"/>
      <c r="C63" s="12"/>
      <c r="D63" s="12"/>
      <c r="E63" s="13"/>
      <c r="F63" s="9"/>
    </row>
    <row r="64" spans="1:10" customHeight="1" ht="15">
      <c r="B64" s="87" t="s">
        <v>135</v>
      </c>
      <c r="C64" s="88"/>
      <c r="D64" s="88"/>
      <c r="E64" s="89"/>
    </row>
    <row r="65" spans="1:10" customHeight="1" ht="128.25">
      <c r="B65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65" s="94"/>
      <c r="D65" s="94"/>
      <c r="E65" s="95"/>
    </row>
    <row r="66" spans="1:10" customHeight="1" ht="16.5">
      <c r="B66" s="87" t="s">
        <v>137</v>
      </c>
      <c r="C66" s="88"/>
      <c r="D66" s="88"/>
      <c r="E66" s="89"/>
    </row>
    <row r="67" spans="1:10" customHeight="1" ht="15">
      <c r="B67" s="90" t="s">
        <v>138</v>
      </c>
      <c r="C67" s="91"/>
      <c r="D67" s="91"/>
      <c r="E67" s="92"/>
    </row>
    <row r="68" spans="1:10" customHeight="1" ht="15">
      <c r="B68" s="87" t="s">
        <v>139</v>
      </c>
      <c r="C68" s="88"/>
      <c r="D68" s="88"/>
      <c r="E68" s="89"/>
    </row>
    <row r="69" spans="1:10" customHeight="1" ht="15">
      <c r="B69" s="90" t="s">
        <v>140</v>
      </c>
      <c r="C69" s="91"/>
      <c r="D69" s="91"/>
      <c r="E69" s="92"/>
    </row>
    <row r="70" spans="1:10" customHeight="1" ht="15">
      <c r="B70" s="87" t="s">
        <v>141</v>
      </c>
      <c r="C70" s="88"/>
      <c r="D70" s="88"/>
      <c r="E70" s="89"/>
    </row>
    <row r="71" spans="1:10" customHeight="1" ht="31.5">
      <c r="B71" s="84" t="s">
        <v>142</v>
      </c>
      <c r="C71" s="85"/>
      <c r="D71" s="85"/>
      <c r="E71" s="86"/>
    </row>
    <row r="72" spans="1:10" customHeight="1" ht="12.75">
      <c r="C72" s="2"/>
      <c r="D72" s="2"/>
      <c r="E72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69:E69"/>
    <mergeCell ref="A4:B4"/>
    <mergeCell ref="A5:B5"/>
    <mergeCell ref="A6:B6"/>
    <mergeCell ref="A7:B7"/>
    <mergeCell ref="B71:E71"/>
    <mergeCell ref="B64:E64"/>
    <mergeCell ref="B66:E66"/>
    <mergeCell ref="B68:E68"/>
    <mergeCell ref="B70:E70"/>
    <mergeCell ref="B67:E67"/>
    <mergeCell ref="B65:E65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8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143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144</v>
      </c>
      <c r="G2" s="41" t="s">
        <v>145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146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147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148</v>
      </c>
      <c r="B6" s="128"/>
      <c r="C6" s="112" t="s">
        <v>149</v>
      </c>
      <c r="D6" s="113"/>
      <c r="E6" s="113"/>
      <c r="F6" s="113"/>
      <c r="G6" s="114"/>
    </row>
    <row r="7" spans="1:7" customHeight="1" ht="32.25">
      <c r="A7" s="127" t="s">
        <v>150</v>
      </c>
      <c r="B7" s="128"/>
      <c r="C7" s="112" t="s">
        <v>149</v>
      </c>
      <c r="D7" s="113"/>
      <c r="E7" s="113"/>
      <c r="F7" s="113"/>
      <c r="G7" s="114"/>
    </row>
    <row r="8" spans="1:7" customHeight="1" ht="16.5">
      <c r="A8" s="127" t="s">
        <v>151</v>
      </c>
      <c r="B8" s="128"/>
      <c r="C8" s="112" t="s">
        <v>152</v>
      </c>
      <c r="D8" s="113"/>
      <c r="E8" s="113"/>
      <c r="F8" s="113"/>
      <c r="G8" s="114"/>
    </row>
    <row r="9" spans="1:7" customHeight="1" ht="27.75">
      <c r="A9" s="117" t="s">
        <v>153</v>
      </c>
      <c r="B9" s="118"/>
      <c r="C9" s="124" t="s">
        <v>154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155</v>
      </c>
      <c r="B11" s="131" t="s">
        <v>156</v>
      </c>
      <c r="C11" s="119" t="s">
        <v>157</v>
      </c>
      <c r="D11" s="135" t="s">
        <v>158</v>
      </c>
      <c r="E11" s="135" t="s">
        <v>159</v>
      </c>
      <c r="F11" s="135" t="s">
        <v>160</v>
      </c>
      <c r="G11" s="135" t="s">
        <v>161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35</v>
      </c>
      <c r="C13" s="35" t="s">
        <v>36</v>
      </c>
      <c r="D13" s="31" t="s">
        <v>162</v>
      </c>
      <c r="E13" s="31" t="s">
        <v>37</v>
      </c>
      <c r="F13" s="32">
        <v>35.24</v>
      </c>
      <c r="G13" s="33">
        <v>90</v>
      </c>
    </row>
    <row r="14" spans="1:7" customHeight="1" ht="15">
      <c r="A14" s="44">
        <v>2</v>
      </c>
      <c r="B14" s="34" t="s">
        <v>104</v>
      </c>
      <c r="C14" s="35" t="s">
        <v>105</v>
      </c>
      <c r="D14" s="31" t="s">
        <v>163</v>
      </c>
      <c r="E14" s="31" t="s">
        <v>106</v>
      </c>
      <c r="F14" s="32">
        <v>775.0</v>
      </c>
      <c r="G14" s="33">
        <v>20</v>
      </c>
    </row>
    <row r="15" spans="1:7" customHeight="1" ht="15">
      <c r="A15" s="44">
        <v>3</v>
      </c>
      <c r="B15" s="34" t="s">
        <v>110</v>
      </c>
      <c r="C15" s="35" t="s">
        <v>111</v>
      </c>
      <c r="D15" s="31" t="s">
        <v>162</v>
      </c>
      <c r="E15" s="31" t="s">
        <v>37</v>
      </c>
      <c r="F15" s="32">
        <v>1120.0</v>
      </c>
      <c r="G15" s="33">
        <v>20</v>
      </c>
    </row>
    <row r="16" spans="1:7" customHeight="1" ht="15">
      <c r="A16" s="44">
        <v>4</v>
      </c>
      <c r="B16" s="34" t="s">
        <v>96</v>
      </c>
      <c r="C16" s="35" t="s">
        <v>97</v>
      </c>
      <c r="D16" s="31" t="s">
        <v>162</v>
      </c>
      <c r="E16" s="31" t="s">
        <v>37</v>
      </c>
      <c r="F16" s="32">
        <v>580.0</v>
      </c>
      <c r="G16" s="33">
        <v>20</v>
      </c>
    </row>
    <row r="17" spans="1:7" customHeight="1" ht="15">
      <c r="A17" s="44">
        <v>5</v>
      </c>
      <c r="B17" s="34" t="s">
        <v>130</v>
      </c>
      <c r="C17" s="35" t="s">
        <v>132</v>
      </c>
      <c r="D17" s="31" t="s">
        <v>162</v>
      </c>
      <c r="E17" s="31" t="s">
        <v>66</v>
      </c>
      <c r="F17" s="32">
        <v>18320.0</v>
      </c>
      <c r="G17" s="33">
        <v>90</v>
      </c>
    </row>
    <row r="18" spans="1:7" customHeight="1" ht="15">
      <c r="A18" s="44">
        <v>6</v>
      </c>
      <c r="B18" s="34" t="s">
        <v>73</v>
      </c>
      <c r="C18" s="35" t="s">
        <v>74</v>
      </c>
      <c r="D18" s="31" t="s">
        <v>162</v>
      </c>
      <c r="E18" s="31" t="s">
        <v>37</v>
      </c>
      <c r="F18" s="32">
        <v>280.0</v>
      </c>
      <c r="G18" s="33">
        <v>30</v>
      </c>
    </row>
    <row r="19" spans="1:7" customHeight="1" ht="15">
      <c r="A19" s="44">
        <v>7</v>
      </c>
      <c r="B19" s="34" t="s">
        <v>79</v>
      </c>
      <c r="C19" s="35" t="s">
        <v>80</v>
      </c>
      <c r="D19" s="31" t="s">
        <v>162</v>
      </c>
      <c r="E19" s="31" t="s">
        <v>40</v>
      </c>
      <c r="F19" s="32">
        <v>295.0</v>
      </c>
      <c r="G19" s="33">
        <v>600</v>
      </c>
    </row>
    <row r="20" spans="1:7" customHeight="1" ht="15">
      <c r="A20" s="44">
        <v>8</v>
      </c>
      <c r="B20" s="34" t="s">
        <v>102</v>
      </c>
      <c r="C20" s="35" t="s">
        <v>103</v>
      </c>
      <c r="D20" s="31" t="s">
        <v>162</v>
      </c>
      <c r="E20" s="31" t="s">
        <v>37</v>
      </c>
      <c r="F20" s="32">
        <v>750.0</v>
      </c>
      <c r="G20" s="33">
        <v>50</v>
      </c>
    </row>
    <row r="21" spans="1:7" customHeight="1" ht="15">
      <c r="A21" s="44">
        <v>9</v>
      </c>
      <c r="B21" s="34" t="s">
        <v>81</v>
      </c>
      <c r="C21" s="35" t="s">
        <v>82</v>
      </c>
      <c r="D21" s="31" t="s">
        <v>162</v>
      </c>
      <c r="E21" s="31" t="s">
        <v>22</v>
      </c>
      <c r="F21" s="32">
        <v>306.75</v>
      </c>
      <c r="G21" s="33">
        <v>48</v>
      </c>
    </row>
    <row r="22" spans="1:7" customHeight="1" ht="15">
      <c r="A22" s="44">
        <v>10</v>
      </c>
      <c r="B22" s="34" t="s">
        <v>114</v>
      </c>
      <c r="C22" s="35" t="s">
        <v>115</v>
      </c>
      <c r="D22" s="31" t="s">
        <v>162</v>
      </c>
      <c r="E22" s="31" t="s">
        <v>40</v>
      </c>
      <c r="F22" s="32">
        <v>1200.0</v>
      </c>
      <c r="G22" s="33">
        <v>40</v>
      </c>
    </row>
    <row r="23" spans="1:7" customHeight="1" ht="15">
      <c r="A23" s="44">
        <v>11</v>
      </c>
      <c r="B23" s="34" t="s">
        <v>62</v>
      </c>
      <c r="C23" s="35" t="s">
        <v>63</v>
      </c>
      <c r="D23" s="31" t="s">
        <v>162</v>
      </c>
      <c r="E23" s="31" t="s">
        <v>22</v>
      </c>
      <c r="F23" s="32">
        <v>149.35</v>
      </c>
      <c r="G23" s="33">
        <v>60</v>
      </c>
    </row>
    <row r="24" spans="1:7" customHeight="1" ht="15">
      <c r="A24" s="44">
        <v>12</v>
      </c>
      <c r="B24" s="34" t="s">
        <v>43</v>
      </c>
      <c r="C24" s="35" t="s">
        <v>44</v>
      </c>
      <c r="D24" s="31" t="s">
        <v>162</v>
      </c>
      <c r="E24" s="31" t="s">
        <v>40</v>
      </c>
      <c r="F24" s="32">
        <v>45.0</v>
      </c>
      <c r="G24" s="33">
        <v>3200</v>
      </c>
    </row>
    <row r="25" spans="1:7" customHeight="1" ht="15">
      <c r="A25" s="44">
        <v>13</v>
      </c>
      <c r="B25" s="34" t="s">
        <v>23</v>
      </c>
      <c r="C25" s="35" t="s">
        <v>24</v>
      </c>
      <c r="D25" s="31" t="s">
        <v>162</v>
      </c>
      <c r="E25" s="31" t="s">
        <v>22</v>
      </c>
      <c r="F25" s="32">
        <v>4.65</v>
      </c>
      <c r="G25" s="33">
        <v>50</v>
      </c>
    </row>
    <row r="26" spans="1:7" customHeight="1" ht="15">
      <c r="A26" s="44">
        <v>14</v>
      </c>
      <c r="B26" s="34" t="s">
        <v>49</v>
      </c>
      <c r="C26" s="35" t="s">
        <v>50</v>
      </c>
      <c r="D26" s="31" t="s">
        <v>162</v>
      </c>
      <c r="E26" s="31" t="s">
        <v>40</v>
      </c>
      <c r="F26" s="32">
        <v>55.0</v>
      </c>
      <c r="G26" s="33">
        <v>500</v>
      </c>
    </row>
    <row r="27" spans="1:7" customHeight="1" ht="15">
      <c r="A27" s="44">
        <v>15</v>
      </c>
      <c r="B27" s="34" t="s">
        <v>41</v>
      </c>
      <c r="C27" s="35" t="s">
        <v>42</v>
      </c>
      <c r="D27" s="31" t="s">
        <v>162</v>
      </c>
      <c r="E27" s="31" t="s">
        <v>40</v>
      </c>
      <c r="F27" s="32">
        <v>41.0</v>
      </c>
      <c r="G27" s="33">
        <v>400</v>
      </c>
    </row>
    <row r="28" spans="1:7" customHeight="1" ht="15">
      <c r="A28" s="44">
        <v>16</v>
      </c>
      <c r="B28" s="34" t="s">
        <v>60</v>
      </c>
      <c r="C28" s="35" t="s">
        <v>61</v>
      </c>
      <c r="D28" s="31" t="s">
        <v>162</v>
      </c>
      <c r="E28" s="31" t="s">
        <v>40</v>
      </c>
      <c r="F28" s="32">
        <v>120.0</v>
      </c>
      <c r="G28" s="33">
        <v>400</v>
      </c>
    </row>
    <row r="29" spans="1:7" customHeight="1" ht="15">
      <c r="A29" s="44">
        <v>17</v>
      </c>
      <c r="B29" s="34" t="s">
        <v>69</v>
      </c>
      <c r="C29" s="35" t="s">
        <v>70</v>
      </c>
      <c r="D29" s="31" t="s">
        <v>162</v>
      </c>
      <c r="E29" s="31" t="s">
        <v>40</v>
      </c>
      <c r="F29" s="32">
        <v>222.0</v>
      </c>
      <c r="G29" s="33">
        <v>200</v>
      </c>
    </row>
    <row r="30" spans="1:7" customHeight="1" ht="15">
      <c r="A30" s="44">
        <v>18</v>
      </c>
      <c r="B30" s="34" t="s">
        <v>58</v>
      </c>
      <c r="C30" s="35" t="s">
        <v>59</v>
      </c>
      <c r="D30" s="31" t="s">
        <v>162</v>
      </c>
      <c r="E30" s="31" t="s">
        <v>57</v>
      </c>
      <c r="F30" s="32">
        <v>98.0</v>
      </c>
      <c r="G30" s="33">
        <v>30</v>
      </c>
    </row>
    <row r="31" spans="1:7" customHeight="1" ht="15">
      <c r="A31" s="44">
        <v>19</v>
      </c>
      <c r="B31" s="34" t="s">
        <v>45</v>
      </c>
      <c r="C31" s="35" t="s">
        <v>46</v>
      </c>
      <c r="D31" s="31" t="s">
        <v>162</v>
      </c>
      <c r="E31" s="31" t="s">
        <v>40</v>
      </c>
      <c r="F31" s="32">
        <v>45.0</v>
      </c>
      <c r="G31" s="33">
        <v>900</v>
      </c>
    </row>
    <row r="32" spans="1:7" customHeight="1" ht="15">
      <c r="A32" s="44">
        <v>20</v>
      </c>
      <c r="B32" s="34" t="s">
        <v>31</v>
      </c>
      <c r="C32" s="35" t="s">
        <v>32</v>
      </c>
      <c r="D32" s="31" t="s">
        <v>162</v>
      </c>
      <c r="E32" s="31" t="s">
        <v>22</v>
      </c>
      <c r="F32" s="32">
        <v>18.3</v>
      </c>
      <c r="G32" s="33">
        <v>50</v>
      </c>
    </row>
    <row r="33" spans="1:7" customHeight="1" ht="15">
      <c r="A33" s="44">
        <v>21</v>
      </c>
      <c r="B33" s="34" t="s">
        <v>18</v>
      </c>
      <c r="C33" s="35" t="s">
        <v>21</v>
      </c>
      <c r="D33" s="31" t="s">
        <v>162</v>
      </c>
      <c r="E33" s="31" t="s">
        <v>22</v>
      </c>
      <c r="F33" s="32">
        <v>3.44</v>
      </c>
      <c r="G33" s="33">
        <v>30</v>
      </c>
    </row>
    <row r="34" spans="1:7" customHeight="1" ht="15">
      <c r="A34" s="44">
        <v>22</v>
      </c>
      <c r="B34" s="34" t="s">
        <v>25</v>
      </c>
      <c r="C34" s="35" t="s">
        <v>26</v>
      </c>
      <c r="D34" s="31" t="s">
        <v>162</v>
      </c>
      <c r="E34" s="31" t="s">
        <v>22</v>
      </c>
      <c r="F34" s="32">
        <v>9.8</v>
      </c>
      <c r="G34" s="33">
        <v>30</v>
      </c>
    </row>
    <row r="35" spans="1:7" customHeight="1" ht="15">
      <c r="A35" s="44">
        <v>23</v>
      </c>
      <c r="B35" s="34" t="s">
        <v>100</v>
      </c>
      <c r="C35" s="35" t="s">
        <v>101</v>
      </c>
      <c r="D35" s="31" t="s">
        <v>162</v>
      </c>
      <c r="E35" s="31" t="s">
        <v>40</v>
      </c>
      <c r="F35" s="32">
        <v>689.0</v>
      </c>
      <c r="G35" s="33">
        <v>30</v>
      </c>
    </row>
    <row r="36" spans="1:7" customHeight="1" ht="15">
      <c r="A36" s="44">
        <v>24</v>
      </c>
      <c r="B36" s="34" t="s">
        <v>51</v>
      </c>
      <c r="C36" s="35" t="s">
        <v>52</v>
      </c>
      <c r="D36" s="31" t="s">
        <v>162</v>
      </c>
      <c r="E36" s="31" t="s">
        <v>22</v>
      </c>
      <c r="F36" s="32">
        <v>55.0</v>
      </c>
      <c r="G36" s="33">
        <v>30</v>
      </c>
    </row>
    <row r="37" spans="1:7" customHeight="1" ht="15">
      <c r="A37" s="44">
        <v>25</v>
      </c>
      <c r="B37" s="34" t="s">
        <v>29</v>
      </c>
      <c r="C37" s="35" t="s">
        <v>30</v>
      </c>
      <c r="D37" s="31" t="s">
        <v>162</v>
      </c>
      <c r="E37" s="31" t="s">
        <v>22</v>
      </c>
      <c r="F37" s="32">
        <v>17.35</v>
      </c>
      <c r="G37" s="33">
        <v>30</v>
      </c>
    </row>
    <row r="38" spans="1:7" customHeight="1" ht="15">
      <c r="A38" s="44">
        <v>26</v>
      </c>
      <c r="B38" s="34" t="s">
        <v>47</v>
      </c>
      <c r="C38" s="35" t="s">
        <v>48</v>
      </c>
      <c r="D38" s="31" t="s">
        <v>162</v>
      </c>
      <c r="E38" s="31" t="s">
        <v>37</v>
      </c>
      <c r="F38" s="32">
        <v>47.24</v>
      </c>
      <c r="G38" s="33">
        <v>80</v>
      </c>
    </row>
    <row r="39" spans="1:7" customHeight="1" ht="15">
      <c r="A39" s="44">
        <v>27</v>
      </c>
      <c r="B39" s="34" t="s">
        <v>94</v>
      </c>
      <c r="C39" s="35" t="s">
        <v>95</v>
      </c>
      <c r="D39" s="31" t="s">
        <v>162</v>
      </c>
      <c r="E39" s="31" t="s">
        <v>22</v>
      </c>
      <c r="F39" s="32">
        <v>520.0</v>
      </c>
      <c r="G39" s="33">
        <v>2000</v>
      </c>
    </row>
    <row r="40" spans="1:7" customHeight="1" ht="15">
      <c r="A40" s="44">
        <v>28</v>
      </c>
      <c r="B40" s="34" t="s">
        <v>33</v>
      </c>
      <c r="C40" s="35" t="s">
        <v>34</v>
      </c>
      <c r="D40" s="31" t="s">
        <v>162</v>
      </c>
      <c r="E40" s="31" t="s">
        <v>22</v>
      </c>
      <c r="F40" s="32">
        <v>33.5</v>
      </c>
      <c r="G40" s="33">
        <v>80</v>
      </c>
    </row>
    <row r="41" spans="1:7" customHeight="1" ht="15">
      <c r="A41" s="44">
        <v>29</v>
      </c>
      <c r="B41" s="34" t="s">
        <v>38</v>
      </c>
      <c r="C41" s="35" t="s">
        <v>39</v>
      </c>
      <c r="D41" s="31" t="s">
        <v>162</v>
      </c>
      <c r="E41" s="31" t="s">
        <v>40</v>
      </c>
      <c r="F41" s="32">
        <v>36.0</v>
      </c>
      <c r="G41" s="33">
        <v>4000</v>
      </c>
    </row>
    <row r="42" spans="1:7" customHeight="1" ht="15">
      <c r="A42" s="44">
        <v>30</v>
      </c>
      <c r="B42" s="34" t="s">
        <v>88</v>
      </c>
      <c r="C42" s="35" t="s">
        <v>89</v>
      </c>
      <c r="D42" s="31" t="s">
        <v>162</v>
      </c>
      <c r="E42" s="31" t="s">
        <v>90</v>
      </c>
      <c r="F42" s="32">
        <v>330.0</v>
      </c>
      <c r="G42" s="33">
        <v>100</v>
      </c>
    </row>
    <row r="43" spans="1:7" customHeight="1" ht="15">
      <c r="A43" s="44">
        <v>31</v>
      </c>
      <c r="B43" s="34" t="s">
        <v>120</v>
      </c>
      <c r="C43" s="35" t="s">
        <v>121</v>
      </c>
      <c r="D43" s="31" t="s">
        <v>163</v>
      </c>
      <c r="E43" s="31" t="s">
        <v>37</v>
      </c>
      <c r="F43" s="32">
        <v>1580.0</v>
      </c>
      <c r="G43" s="33">
        <v>250</v>
      </c>
    </row>
    <row r="44" spans="1:7" customHeight="1" ht="15">
      <c r="A44" s="44">
        <v>32</v>
      </c>
      <c r="B44" s="34" t="s">
        <v>55</v>
      </c>
      <c r="C44" s="35" t="s">
        <v>56</v>
      </c>
      <c r="D44" s="31" t="s">
        <v>162</v>
      </c>
      <c r="E44" s="31" t="s">
        <v>57</v>
      </c>
      <c r="F44" s="32">
        <v>95.0</v>
      </c>
      <c r="G44" s="33">
        <v>50</v>
      </c>
    </row>
    <row r="45" spans="1:7" customHeight="1" ht="15">
      <c r="A45" s="44">
        <v>33</v>
      </c>
      <c r="B45" s="34" t="s">
        <v>112</v>
      </c>
      <c r="C45" s="35" t="s">
        <v>113</v>
      </c>
      <c r="D45" s="31" t="s">
        <v>162</v>
      </c>
      <c r="E45" s="31" t="s">
        <v>37</v>
      </c>
      <c r="F45" s="32">
        <v>1120.0</v>
      </c>
      <c r="G45" s="33">
        <v>10</v>
      </c>
    </row>
    <row r="46" spans="1:7" customHeight="1" ht="15">
      <c r="A46" s="44">
        <v>34</v>
      </c>
      <c r="B46" s="34" t="s">
        <v>128</v>
      </c>
      <c r="C46" s="35" t="s">
        <v>129</v>
      </c>
      <c r="D46" s="31" t="s">
        <v>162</v>
      </c>
      <c r="E46" s="31" t="s">
        <v>40</v>
      </c>
      <c r="F46" s="32">
        <v>10300.0</v>
      </c>
      <c r="G46" s="33">
        <v>60</v>
      </c>
    </row>
    <row r="47" spans="1:7" customHeight="1" ht="15">
      <c r="A47" s="44"/>
      <c r="B47" s="34"/>
      <c r="C47" s="35"/>
      <c r="D47" s="31"/>
      <c r="E47" s="31"/>
      <c r="F47" s="32"/>
      <c r="G47" s="33"/>
    </row>
    <row r="48" spans="1:7" customHeight="1" ht="15.75">
      <c r="A48" s="45"/>
      <c r="B48" s="36"/>
      <c r="C48" s="37"/>
      <c r="D48" s="28"/>
      <c r="E48" s="28"/>
      <c r="F48" s="29"/>
      <c r="G48" s="30"/>
    </row>
    <row r="49" spans="1:7" customHeight="1" ht="20.25">
      <c r="A49" s="122" t="s">
        <v>164</v>
      </c>
      <c r="B49" s="123"/>
      <c r="C49" s="133" t="s">
        <v>165</v>
      </c>
      <c r="D49" s="133"/>
      <c r="E49" s="134"/>
      <c r="F49" s="121">
        <f>SUMPRODUCT(F13:F48,G13:G48)</f>
        <v>4596591</v>
      </c>
      <c r="G49" s="121"/>
    </row>
    <row r="53" spans="1:7" customHeight="1" ht="13.5"/>
    <row r="54" spans="1:7" customHeight="1" ht="15.75">
      <c r="A54" s="46"/>
      <c r="B54" s="115" t="s">
        <v>166</v>
      </c>
      <c r="C54" s="115"/>
      <c r="D54" s="116"/>
    </row>
    <row r="55" spans="1:7" customHeight="1" ht="18.75">
      <c r="A55" s="47" t="s">
        <v>167</v>
      </c>
      <c r="B55" s="48" t="s">
        <v>107</v>
      </c>
      <c r="C55" s="49"/>
      <c r="D55" s="50"/>
    </row>
    <row r="56" spans="1:7" customHeight="1" ht="18.75">
      <c r="A56" s="47" t="s">
        <v>168</v>
      </c>
      <c r="B56" s="48" t="s">
        <v>122</v>
      </c>
      <c r="C56" s="49"/>
      <c r="D56" s="50"/>
    </row>
    <row r="57" spans="1:7" customHeight="1" ht="18.75">
      <c r="A57" s="47"/>
      <c r="B57" s="48"/>
      <c r="C57" s="49"/>
      <c r="D57" s="50"/>
    </row>
    <row r="58" spans="1:7" customHeight="1" ht="18.75">
      <c r="A58" s="51"/>
      <c r="B58" s="52"/>
      <c r="C58" s="53"/>
      <c r="D58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49:B49"/>
    <mergeCell ref="C9:G9"/>
    <mergeCell ref="A8:B8"/>
    <mergeCell ref="A11:A12"/>
    <mergeCell ref="B11:B12"/>
    <mergeCell ref="C49:E49"/>
    <mergeCell ref="F11:F12"/>
    <mergeCell ref="G11:G12"/>
    <mergeCell ref="E11:E12"/>
    <mergeCell ref="A1:G1"/>
    <mergeCell ref="C4:G4"/>
    <mergeCell ref="C5:G5"/>
    <mergeCell ref="C6:G6"/>
    <mergeCell ref="C7:G7"/>
    <mergeCell ref="B54:D54"/>
    <mergeCell ref="C8:G8"/>
    <mergeCell ref="A9:B9"/>
    <mergeCell ref="C11:C12"/>
    <mergeCell ref="F49:G49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169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170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147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148</v>
      </c>
      <c r="B6" s="165"/>
      <c r="C6" s="165"/>
      <c r="D6" s="165"/>
      <c r="E6" s="165"/>
      <c r="F6" s="166"/>
      <c r="G6" s="163" t="s">
        <v>149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150</v>
      </c>
      <c r="B7" s="165"/>
      <c r="C7" s="165"/>
      <c r="D7" s="165"/>
      <c r="E7" s="165"/>
      <c r="F7" s="166"/>
      <c r="G7" s="170" t="s">
        <v>149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171</v>
      </c>
      <c r="B8" s="139"/>
      <c r="C8" s="139" t="s">
        <v>152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172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173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174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175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176</v>
      </c>
      <c r="P13" s="149"/>
      <c r="Q13" s="152" t="s">
        <v>177</v>
      </c>
    </row>
    <row r="14" spans="1:17" customHeight="1" ht="15.75">
      <c r="A14" s="66" t="s">
        <v>178</v>
      </c>
      <c r="B14" s="66" t="s">
        <v>179</v>
      </c>
      <c r="C14" s="66" t="s">
        <v>180</v>
      </c>
      <c r="D14" s="66" t="s">
        <v>181</v>
      </c>
      <c r="E14" s="66" t="s">
        <v>182</v>
      </c>
      <c r="F14" s="66" t="s">
        <v>183</v>
      </c>
      <c r="G14" s="67" t="s">
        <v>184</v>
      </c>
      <c r="H14" s="66" t="s">
        <v>185</v>
      </c>
      <c r="I14" s="66" t="s">
        <v>186</v>
      </c>
      <c r="J14" s="66" t="s">
        <v>187</v>
      </c>
      <c r="K14" s="66" t="s">
        <v>187</v>
      </c>
      <c r="L14" s="66" t="s">
        <v>188</v>
      </c>
      <c r="M14" s="66" t="s">
        <v>189</v>
      </c>
      <c r="N14" s="66" t="s">
        <v>190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2</v>
      </c>
      <c r="L15" s="69">
        <v>0</v>
      </c>
      <c r="M15" s="70">
        <v>1</v>
      </c>
      <c r="N15" s="83">
        <v>11</v>
      </c>
      <c r="O15" s="78" t="s">
        <v>191</v>
      </c>
      <c r="P15" s="77"/>
      <c r="Q15" s="71">
        <v>4596591.0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192</v>
      </c>
      <c r="B18" s="155"/>
      <c r="C18" s="156" t="s">
        <v>165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4596591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193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154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194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143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144</v>
      </c>
      <c r="G2" s="41" t="s">
        <v>195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146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147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148</v>
      </c>
      <c r="B6" s="128"/>
      <c r="C6" s="112" t="s">
        <v>196</v>
      </c>
      <c r="D6" s="113"/>
      <c r="E6" s="113"/>
      <c r="F6" s="113"/>
      <c r="G6" s="114"/>
    </row>
    <row r="7" spans="1:7" customHeight="1" ht="32.25">
      <c r="A7" s="127" t="s">
        <v>150</v>
      </c>
      <c r="B7" s="128"/>
      <c r="C7" s="112" t="s">
        <v>196</v>
      </c>
      <c r="D7" s="113"/>
      <c r="E7" s="113"/>
      <c r="F7" s="113"/>
      <c r="G7" s="114"/>
    </row>
    <row r="8" spans="1:7" customHeight="1" ht="16.5">
      <c r="A8" s="127" t="s">
        <v>151</v>
      </c>
      <c r="B8" s="128"/>
      <c r="C8" s="112" t="s">
        <v>152</v>
      </c>
      <c r="D8" s="113"/>
      <c r="E8" s="113"/>
      <c r="F8" s="113"/>
      <c r="G8" s="114"/>
    </row>
    <row r="9" spans="1:7" customHeight="1" ht="27.75">
      <c r="A9" s="117" t="s">
        <v>153</v>
      </c>
      <c r="B9" s="118"/>
      <c r="C9" s="124" t="s">
        <v>154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155</v>
      </c>
      <c r="B11" s="131" t="s">
        <v>156</v>
      </c>
      <c r="C11" s="119" t="s">
        <v>157</v>
      </c>
      <c r="D11" s="135" t="s">
        <v>158</v>
      </c>
      <c r="E11" s="135" t="s">
        <v>159</v>
      </c>
      <c r="F11" s="135" t="s">
        <v>160</v>
      </c>
      <c r="G11" s="135" t="s">
        <v>161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35</v>
      </c>
      <c r="C13" s="35" t="s">
        <v>36</v>
      </c>
      <c r="D13" s="31" t="s">
        <v>162</v>
      </c>
      <c r="E13" s="31" t="s">
        <v>37</v>
      </c>
      <c r="F13" s="32">
        <v>35.24</v>
      </c>
      <c r="G13" s="33">
        <v>400</v>
      </c>
    </row>
    <row r="14" spans="1:7" customHeight="1" ht="15">
      <c r="A14" s="44">
        <v>2</v>
      </c>
      <c r="B14" s="34" t="s">
        <v>104</v>
      </c>
      <c r="C14" s="35" t="s">
        <v>105</v>
      </c>
      <c r="D14" s="31" t="s">
        <v>163</v>
      </c>
      <c r="E14" s="31" t="s">
        <v>106</v>
      </c>
      <c r="F14" s="32">
        <v>775.0</v>
      </c>
      <c r="G14" s="33">
        <v>10</v>
      </c>
    </row>
    <row r="15" spans="1:7" customHeight="1" ht="15">
      <c r="A15" s="44">
        <v>3</v>
      </c>
      <c r="B15" s="34" t="s">
        <v>53</v>
      </c>
      <c r="C15" s="35" t="s">
        <v>54</v>
      </c>
      <c r="D15" s="31" t="s">
        <v>162</v>
      </c>
      <c r="E15" s="31" t="s">
        <v>40</v>
      </c>
      <c r="F15" s="32">
        <v>86.0</v>
      </c>
      <c r="G15" s="33">
        <v>100</v>
      </c>
    </row>
    <row r="16" spans="1:7" customHeight="1" ht="15">
      <c r="A16" s="44">
        <v>4</v>
      </c>
      <c r="B16" s="34" t="s">
        <v>79</v>
      </c>
      <c r="C16" s="35" t="s">
        <v>80</v>
      </c>
      <c r="D16" s="31" t="s">
        <v>162</v>
      </c>
      <c r="E16" s="31" t="s">
        <v>40</v>
      </c>
      <c r="F16" s="32">
        <v>295.0</v>
      </c>
      <c r="G16" s="33">
        <v>300</v>
      </c>
    </row>
    <row r="17" spans="1:7" customHeight="1" ht="15">
      <c r="A17" s="44">
        <v>5</v>
      </c>
      <c r="B17" s="34" t="s">
        <v>102</v>
      </c>
      <c r="C17" s="35" t="s">
        <v>103</v>
      </c>
      <c r="D17" s="31" t="s">
        <v>162</v>
      </c>
      <c r="E17" s="31" t="s">
        <v>37</v>
      </c>
      <c r="F17" s="32">
        <v>750.0</v>
      </c>
      <c r="G17" s="33">
        <v>200</v>
      </c>
    </row>
    <row r="18" spans="1:7" customHeight="1" ht="15">
      <c r="A18" s="44">
        <v>6</v>
      </c>
      <c r="B18" s="34" t="s">
        <v>86</v>
      </c>
      <c r="C18" s="35" t="s">
        <v>87</v>
      </c>
      <c r="D18" s="31" t="s">
        <v>162</v>
      </c>
      <c r="E18" s="31" t="s">
        <v>37</v>
      </c>
      <c r="F18" s="32">
        <v>327.0</v>
      </c>
      <c r="G18" s="33">
        <v>20</v>
      </c>
    </row>
    <row r="19" spans="1:7" customHeight="1" ht="15">
      <c r="A19" s="44">
        <v>7</v>
      </c>
      <c r="B19" s="34" t="s">
        <v>123</v>
      </c>
      <c r="C19" s="35" t="s">
        <v>124</v>
      </c>
      <c r="D19" s="31" t="s">
        <v>162</v>
      </c>
      <c r="E19" s="31" t="s">
        <v>40</v>
      </c>
      <c r="F19" s="32">
        <v>1615.0</v>
      </c>
      <c r="G19" s="33">
        <v>50</v>
      </c>
    </row>
    <row r="20" spans="1:7" customHeight="1" ht="15">
      <c r="A20" s="44">
        <v>8</v>
      </c>
      <c r="B20" s="34" t="s">
        <v>43</v>
      </c>
      <c r="C20" s="35" t="s">
        <v>44</v>
      </c>
      <c r="D20" s="31" t="s">
        <v>162</v>
      </c>
      <c r="E20" s="31" t="s">
        <v>40</v>
      </c>
      <c r="F20" s="32">
        <v>45.0</v>
      </c>
      <c r="G20" s="33">
        <v>12000</v>
      </c>
    </row>
    <row r="21" spans="1:7" customHeight="1" ht="15">
      <c r="A21" s="44">
        <v>9</v>
      </c>
      <c r="B21" s="34" t="s">
        <v>27</v>
      </c>
      <c r="C21" s="35" t="s">
        <v>28</v>
      </c>
      <c r="D21" s="31" t="s">
        <v>162</v>
      </c>
      <c r="E21" s="31" t="s">
        <v>22</v>
      </c>
      <c r="F21" s="32">
        <v>15.0</v>
      </c>
      <c r="G21" s="33">
        <v>200</v>
      </c>
    </row>
    <row r="22" spans="1:7" customHeight="1" ht="15">
      <c r="A22" s="44">
        <v>10</v>
      </c>
      <c r="B22" s="34" t="s">
        <v>49</v>
      </c>
      <c r="C22" s="35" t="s">
        <v>50</v>
      </c>
      <c r="D22" s="31" t="s">
        <v>162</v>
      </c>
      <c r="E22" s="31" t="s">
        <v>40</v>
      </c>
      <c r="F22" s="32">
        <v>55.0</v>
      </c>
      <c r="G22" s="33">
        <v>6000</v>
      </c>
    </row>
    <row r="23" spans="1:7" customHeight="1" ht="15">
      <c r="A23" s="44">
        <v>11</v>
      </c>
      <c r="B23" s="34" t="s">
        <v>69</v>
      </c>
      <c r="C23" s="35" t="s">
        <v>70</v>
      </c>
      <c r="D23" s="31" t="s">
        <v>162</v>
      </c>
      <c r="E23" s="31" t="s">
        <v>40</v>
      </c>
      <c r="F23" s="32">
        <v>222.0</v>
      </c>
      <c r="G23" s="33">
        <v>1000</v>
      </c>
    </row>
    <row r="24" spans="1:7" customHeight="1" ht="15">
      <c r="A24" s="44">
        <v>12</v>
      </c>
      <c r="B24" s="34" t="s">
        <v>118</v>
      </c>
      <c r="C24" s="35" t="s">
        <v>119</v>
      </c>
      <c r="D24" s="31" t="s">
        <v>162</v>
      </c>
      <c r="E24" s="31" t="s">
        <v>37</v>
      </c>
      <c r="F24" s="32">
        <v>1298.0</v>
      </c>
      <c r="G24" s="33">
        <v>100</v>
      </c>
    </row>
    <row r="25" spans="1:7" customHeight="1" ht="15">
      <c r="A25" s="44">
        <v>13</v>
      </c>
      <c r="B25" s="34" t="s">
        <v>31</v>
      </c>
      <c r="C25" s="35" t="s">
        <v>32</v>
      </c>
      <c r="D25" s="31" t="s">
        <v>162</v>
      </c>
      <c r="E25" s="31" t="s">
        <v>22</v>
      </c>
      <c r="F25" s="32">
        <v>18.3</v>
      </c>
      <c r="G25" s="33">
        <v>600</v>
      </c>
    </row>
    <row r="26" spans="1:7" customHeight="1" ht="15">
      <c r="A26" s="44">
        <v>14</v>
      </c>
      <c r="B26" s="34" t="s">
        <v>100</v>
      </c>
      <c r="C26" s="35" t="s">
        <v>101</v>
      </c>
      <c r="D26" s="31" t="s">
        <v>162</v>
      </c>
      <c r="E26" s="31" t="s">
        <v>40</v>
      </c>
      <c r="F26" s="32">
        <v>689.0</v>
      </c>
      <c r="G26" s="33">
        <v>200</v>
      </c>
    </row>
    <row r="27" spans="1:7" customHeight="1" ht="15">
      <c r="A27" s="44">
        <v>15</v>
      </c>
      <c r="B27" s="34" t="s">
        <v>51</v>
      </c>
      <c r="C27" s="35" t="s">
        <v>52</v>
      </c>
      <c r="D27" s="31" t="s">
        <v>162</v>
      </c>
      <c r="E27" s="31" t="s">
        <v>22</v>
      </c>
      <c r="F27" s="32">
        <v>55.0</v>
      </c>
      <c r="G27" s="33">
        <v>400</v>
      </c>
    </row>
    <row r="28" spans="1:7" customHeight="1" ht="15">
      <c r="A28" s="44">
        <v>16</v>
      </c>
      <c r="B28" s="34" t="s">
        <v>47</v>
      </c>
      <c r="C28" s="35" t="s">
        <v>48</v>
      </c>
      <c r="D28" s="31" t="s">
        <v>162</v>
      </c>
      <c r="E28" s="31" t="s">
        <v>37</v>
      </c>
      <c r="F28" s="32">
        <v>47.24</v>
      </c>
      <c r="G28" s="33">
        <v>200</v>
      </c>
    </row>
    <row r="29" spans="1:7" customHeight="1" ht="15">
      <c r="A29" s="44">
        <v>17</v>
      </c>
      <c r="B29" s="34" t="s">
        <v>33</v>
      </c>
      <c r="C29" s="35" t="s">
        <v>34</v>
      </c>
      <c r="D29" s="31" t="s">
        <v>162</v>
      </c>
      <c r="E29" s="31" t="s">
        <v>22</v>
      </c>
      <c r="F29" s="32">
        <v>33.5</v>
      </c>
      <c r="G29" s="33">
        <v>50</v>
      </c>
    </row>
    <row r="30" spans="1:7" customHeight="1" ht="15">
      <c r="A30" s="44">
        <v>18</v>
      </c>
      <c r="B30" s="34" t="s">
        <v>108</v>
      </c>
      <c r="C30" s="35" t="s">
        <v>109</v>
      </c>
      <c r="D30" s="31" t="s">
        <v>162</v>
      </c>
      <c r="E30" s="31" t="s">
        <v>106</v>
      </c>
      <c r="F30" s="32">
        <v>830.0</v>
      </c>
      <c r="G30" s="33">
        <v>200</v>
      </c>
    </row>
    <row r="31" spans="1:7" customHeight="1" ht="15">
      <c r="A31" s="44">
        <v>19</v>
      </c>
      <c r="B31" s="34" t="s">
        <v>125</v>
      </c>
      <c r="C31" s="35" t="s">
        <v>126</v>
      </c>
      <c r="D31" s="31" t="s">
        <v>163</v>
      </c>
      <c r="E31" s="31" t="s">
        <v>106</v>
      </c>
      <c r="F31" s="32">
        <v>7904.45</v>
      </c>
      <c r="G31" s="33">
        <v>50</v>
      </c>
    </row>
    <row r="32" spans="1:7" customHeight="1" ht="15">
      <c r="A32" s="44">
        <v>20</v>
      </c>
      <c r="B32" s="34" t="s">
        <v>55</v>
      </c>
      <c r="C32" s="35" t="s">
        <v>56</v>
      </c>
      <c r="D32" s="31" t="s">
        <v>162</v>
      </c>
      <c r="E32" s="31" t="s">
        <v>57</v>
      </c>
      <c r="F32" s="32">
        <v>95.0</v>
      </c>
      <c r="G32" s="33">
        <v>100</v>
      </c>
    </row>
    <row r="33" spans="1:7" customHeight="1" ht="15">
      <c r="A33" s="44">
        <v>21</v>
      </c>
      <c r="B33" s="34" t="s">
        <v>112</v>
      </c>
      <c r="C33" s="35" t="s">
        <v>113</v>
      </c>
      <c r="D33" s="31" t="s">
        <v>162</v>
      </c>
      <c r="E33" s="31" t="s">
        <v>37</v>
      </c>
      <c r="F33" s="32">
        <v>1120.0</v>
      </c>
      <c r="G33" s="33">
        <v>200</v>
      </c>
    </row>
    <row r="34" spans="1:7" customHeight="1" ht="15">
      <c r="A34" s="44">
        <v>22</v>
      </c>
      <c r="B34" s="34" t="s">
        <v>116</v>
      </c>
      <c r="C34" s="35" t="s">
        <v>117</v>
      </c>
      <c r="D34" s="31" t="s">
        <v>162</v>
      </c>
      <c r="E34" s="31" t="s">
        <v>37</v>
      </c>
      <c r="F34" s="32">
        <v>1260.0</v>
      </c>
      <c r="G34" s="33">
        <v>15</v>
      </c>
    </row>
    <row r="35" spans="1:7" customHeight="1" ht="15">
      <c r="A35" s="44"/>
      <c r="B35" s="34"/>
      <c r="C35" s="35"/>
      <c r="D35" s="31"/>
      <c r="E35" s="31"/>
      <c r="F35" s="32"/>
      <c r="G35" s="33"/>
    </row>
    <row r="36" spans="1:7" customHeight="1" ht="15.75">
      <c r="A36" s="45"/>
      <c r="B36" s="36"/>
      <c r="C36" s="37"/>
      <c r="D36" s="28"/>
      <c r="E36" s="28"/>
      <c r="F36" s="29"/>
      <c r="G36" s="30"/>
    </row>
    <row r="37" spans="1:7" customHeight="1" ht="20.25">
      <c r="A37" s="122" t="s">
        <v>164</v>
      </c>
      <c r="B37" s="123"/>
      <c r="C37" s="133" t="s">
        <v>197</v>
      </c>
      <c r="D37" s="133"/>
      <c r="E37" s="134"/>
      <c r="F37" s="121">
        <f>SUMPRODUCT(F13:F36,G13:G36)</f>
        <v>2576561.5</v>
      </c>
      <c r="G37" s="121"/>
    </row>
    <row r="41" spans="1:7" customHeight="1" ht="13.5"/>
    <row r="42" spans="1:7" customHeight="1" ht="15.75">
      <c r="A42" s="46"/>
      <c r="B42" s="115" t="s">
        <v>166</v>
      </c>
      <c r="C42" s="115"/>
      <c r="D42" s="116"/>
    </row>
    <row r="43" spans="1:7" customHeight="1" ht="18.75">
      <c r="A43" s="47" t="s">
        <v>167</v>
      </c>
      <c r="B43" s="48" t="s">
        <v>107</v>
      </c>
      <c r="C43" s="49"/>
      <c r="D43" s="50"/>
    </row>
    <row r="44" spans="1:7" customHeight="1" ht="18.75">
      <c r="A44" s="47" t="s">
        <v>198</v>
      </c>
      <c r="B44" s="48" t="s">
        <v>127</v>
      </c>
      <c r="C44" s="49"/>
      <c r="D44" s="50"/>
    </row>
    <row r="45" spans="1:7" customHeight="1" ht="18.75">
      <c r="A45" s="47"/>
      <c r="B45" s="48"/>
      <c r="C45" s="49"/>
      <c r="D45" s="50"/>
    </row>
    <row r="46" spans="1:7" customHeight="1" ht="18.75">
      <c r="A46" s="51"/>
      <c r="B46" s="52"/>
      <c r="C46" s="53"/>
      <c r="D46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37:B37"/>
    <mergeCell ref="C9:G9"/>
    <mergeCell ref="A8:B8"/>
    <mergeCell ref="A11:A12"/>
    <mergeCell ref="B11:B12"/>
    <mergeCell ref="C37:E37"/>
    <mergeCell ref="F11:F12"/>
    <mergeCell ref="G11:G12"/>
    <mergeCell ref="E11:E12"/>
    <mergeCell ref="A1:G1"/>
    <mergeCell ref="C4:G4"/>
    <mergeCell ref="C5:G5"/>
    <mergeCell ref="C6:G6"/>
    <mergeCell ref="C7:G7"/>
    <mergeCell ref="B42:D42"/>
    <mergeCell ref="C8:G8"/>
    <mergeCell ref="A9:B9"/>
    <mergeCell ref="C11:C12"/>
    <mergeCell ref="F37:G37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169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170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147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148</v>
      </c>
      <c r="B6" s="165"/>
      <c r="C6" s="165"/>
      <c r="D6" s="165"/>
      <c r="E6" s="165"/>
      <c r="F6" s="166"/>
      <c r="G6" s="163" t="s">
        <v>196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150</v>
      </c>
      <c r="B7" s="165"/>
      <c r="C7" s="165"/>
      <c r="D7" s="165"/>
      <c r="E7" s="165"/>
      <c r="F7" s="166"/>
      <c r="G7" s="170" t="s">
        <v>196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171</v>
      </c>
      <c r="B8" s="139"/>
      <c r="C8" s="139" t="s">
        <v>152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172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199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174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175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176</v>
      </c>
      <c r="P13" s="149"/>
      <c r="Q13" s="152" t="s">
        <v>177</v>
      </c>
    </row>
    <row r="14" spans="1:17" customHeight="1" ht="15.75">
      <c r="A14" s="66" t="s">
        <v>178</v>
      </c>
      <c r="B14" s="66" t="s">
        <v>179</v>
      </c>
      <c r="C14" s="66" t="s">
        <v>180</v>
      </c>
      <c r="D14" s="66" t="s">
        <v>181</v>
      </c>
      <c r="E14" s="66" t="s">
        <v>182</v>
      </c>
      <c r="F14" s="66" t="s">
        <v>183</v>
      </c>
      <c r="G14" s="67" t="s">
        <v>184</v>
      </c>
      <c r="H14" s="66" t="s">
        <v>185</v>
      </c>
      <c r="I14" s="66" t="s">
        <v>186</v>
      </c>
      <c r="J14" s="66" t="s">
        <v>187</v>
      </c>
      <c r="K14" s="66" t="s">
        <v>187</v>
      </c>
      <c r="L14" s="66" t="s">
        <v>188</v>
      </c>
      <c r="M14" s="66" t="s">
        <v>189</v>
      </c>
      <c r="N14" s="66" t="s">
        <v>190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2</v>
      </c>
      <c r="L15" s="69">
        <v>0</v>
      </c>
      <c r="M15" s="70">
        <v>1</v>
      </c>
      <c r="N15" s="83">
        <v>11</v>
      </c>
      <c r="O15" s="78" t="s">
        <v>191</v>
      </c>
      <c r="P15" s="77"/>
      <c r="Q15" s="71">
        <v>2576561.5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192</v>
      </c>
      <c r="B18" s="155"/>
      <c r="C18" s="156" t="s">
        <v>197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2576561.5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193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154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194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0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143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144</v>
      </c>
      <c r="G2" s="41" t="s">
        <v>200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146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147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148</v>
      </c>
      <c r="B6" s="128"/>
      <c r="C6" s="112" t="s">
        <v>201</v>
      </c>
      <c r="D6" s="113"/>
      <c r="E6" s="113"/>
      <c r="F6" s="113"/>
      <c r="G6" s="114"/>
    </row>
    <row r="7" spans="1:7" customHeight="1" ht="32.25">
      <c r="A7" s="127" t="s">
        <v>150</v>
      </c>
      <c r="B7" s="128"/>
      <c r="C7" s="112" t="s">
        <v>201</v>
      </c>
      <c r="D7" s="113"/>
      <c r="E7" s="113"/>
      <c r="F7" s="113"/>
      <c r="G7" s="114"/>
    </row>
    <row r="8" spans="1:7" customHeight="1" ht="16.5">
      <c r="A8" s="127" t="s">
        <v>151</v>
      </c>
      <c r="B8" s="128"/>
      <c r="C8" s="112" t="s">
        <v>152</v>
      </c>
      <c r="D8" s="113"/>
      <c r="E8" s="113"/>
      <c r="F8" s="113"/>
      <c r="G8" s="114"/>
    </row>
    <row r="9" spans="1:7" customHeight="1" ht="27.75">
      <c r="A9" s="117" t="s">
        <v>153</v>
      </c>
      <c r="B9" s="118"/>
      <c r="C9" s="124" t="s">
        <v>154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155</v>
      </c>
      <c r="B11" s="131" t="s">
        <v>156</v>
      </c>
      <c r="C11" s="119" t="s">
        <v>157</v>
      </c>
      <c r="D11" s="135" t="s">
        <v>158</v>
      </c>
      <c r="E11" s="135" t="s">
        <v>159</v>
      </c>
      <c r="F11" s="135" t="s">
        <v>160</v>
      </c>
      <c r="G11" s="135" t="s">
        <v>161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35</v>
      </c>
      <c r="C13" s="35" t="s">
        <v>36</v>
      </c>
      <c r="D13" s="31" t="s">
        <v>162</v>
      </c>
      <c r="E13" s="31" t="s">
        <v>37</v>
      </c>
      <c r="F13" s="32">
        <v>35.24</v>
      </c>
      <c r="G13" s="33">
        <v>500</v>
      </c>
    </row>
    <row r="14" spans="1:7" customHeight="1" ht="15">
      <c r="A14" s="44">
        <v>2</v>
      </c>
      <c r="B14" s="34" t="s">
        <v>77</v>
      </c>
      <c r="C14" s="35" t="s">
        <v>78</v>
      </c>
      <c r="D14" s="31" t="s">
        <v>162</v>
      </c>
      <c r="E14" s="31" t="s">
        <v>37</v>
      </c>
      <c r="F14" s="32">
        <v>285.0</v>
      </c>
      <c r="G14" s="33">
        <v>100</v>
      </c>
    </row>
    <row r="15" spans="1:7" customHeight="1" ht="15">
      <c r="A15" s="44">
        <v>3</v>
      </c>
      <c r="B15" s="34" t="s">
        <v>53</v>
      </c>
      <c r="C15" s="35" t="s">
        <v>54</v>
      </c>
      <c r="D15" s="31" t="s">
        <v>162</v>
      </c>
      <c r="E15" s="31" t="s">
        <v>40</v>
      </c>
      <c r="F15" s="32">
        <v>86.0</v>
      </c>
      <c r="G15" s="33">
        <v>1000</v>
      </c>
    </row>
    <row r="16" spans="1:7" customHeight="1" ht="15">
      <c r="A16" s="44">
        <v>4</v>
      </c>
      <c r="B16" s="34" t="s">
        <v>110</v>
      </c>
      <c r="C16" s="35" t="s">
        <v>111</v>
      </c>
      <c r="D16" s="31" t="s">
        <v>162</v>
      </c>
      <c r="E16" s="31" t="s">
        <v>37</v>
      </c>
      <c r="F16" s="32">
        <v>1120.0</v>
      </c>
      <c r="G16" s="33">
        <v>50</v>
      </c>
    </row>
    <row r="17" spans="1:7" customHeight="1" ht="15">
      <c r="A17" s="44">
        <v>5</v>
      </c>
      <c r="B17" s="34" t="s">
        <v>96</v>
      </c>
      <c r="C17" s="35" t="s">
        <v>97</v>
      </c>
      <c r="D17" s="31" t="s">
        <v>162</v>
      </c>
      <c r="E17" s="31" t="s">
        <v>37</v>
      </c>
      <c r="F17" s="32">
        <v>580.0</v>
      </c>
      <c r="G17" s="33">
        <v>100</v>
      </c>
    </row>
    <row r="18" spans="1:7" customHeight="1" ht="15">
      <c r="A18" s="44">
        <v>6</v>
      </c>
      <c r="B18" s="34" t="s">
        <v>73</v>
      </c>
      <c r="C18" s="35" t="s">
        <v>74</v>
      </c>
      <c r="D18" s="31" t="s">
        <v>162</v>
      </c>
      <c r="E18" s="31" t="s">
        <v>37</v>
      </c>
      <c r="F18" s="32">
        <v>280.0</v>
      </c>
      <c r="G18" s="33">
        <v>1000</v>
      </c>
    </row>
    <row r="19" spans="1:7" customHeight="1" ht="15">
      <c r="A19" s="44">
        <v>7</v>
      </c>
      <c r="B19" s="34" t="s">
        <v>79</v>
      </c>
      <c r="C19" s="35" t="s">
        <v>80</v>
      </c>
      <c r="D19" s="31" t="s">
        <v>162</v>
      </c>
      <c r="E19" s="31" t="s">
        <v>40</v>
      </c>
      <c r="F19" s="32">
        <v>295.0</v>
      </c>
      <c r="G19" s="33">
        <v>10000</v>
      </c>
    </row>
    <row r="20" spans="1:7" customHeight="1" ht="15">
      <c r="A20" s="44">
        <v>8</v>
      </c>
      <c r="B20" s="34" t="s">
        <v>102</v>
      </c>
      <c r="C20" s="35" t="s">
        <v>103</v>
      </c>
      <c r="D20" s="31" t="s">
        <v>162</v>
      </c>
      <c r="E20" s="31" t="s">
        <v>37</v>
      </c>
      <c r="F20" s="32">
        <v>750.0</v>
      </c>
      <c r="G20" s="33">
        <v>2000</v>
      </c>
    </row>
    <row r="21" spans="1:7" customHeight="1" ht="15">
      <c r="A21" s="44">
        <v>9</v>
      </c>
      <c r="B21" s="34" t="s">
        <v>86</v>
      </c>
      <c r="C21" s="35" t="s">
        <v>87</v>
      </c>
      <c r="D21" s="31" t="s">
        <v>162</v>
      </c>
      <c r="E21" s="31" t="s">
        <v>37</v>
      </c>
      <c r="F21" s="32">
        <v>327.0</v>
      </c>
      <c r="G21" s="33">
        <v>300</v>
      </c>
    </row>
    <row r="22" spans="1:7" customHeight="1" ht="15">
      <c r="A22" s="44">
        <v>10</v>
      </c>
      <c r="B22" s="34" t="s">
        <v>75</v>
      </c>
      <c r="C22" s="35" t="s">
        <v>76</v>
      </c>
      <c r="D22" s="31" t="s">
        <v>162</v>
      </c>
      <c r="E22" s="31" t="s">
        <v>37</v>
      </c>
      <c r="F22" s="32">
        <v>280.0</v>
      </c>
      <c r="G22" s="33">
        <v>1000</v>
      </c>
    </row>
    <row r="23" spans="1:7" customHeight="1" ht="15">
      <c r="A23" s="44">
        <v>11</v>
      </c>
      <c r="B23" s="34" t="s">
        <v>43</v>
      </c>
      <c r="C23" s="35" t="s">
        <v>44</v>
      </c>
      <c r="D23" s="31" t="s">
        <v>162</v>
      </c>
      <c r="E23" s="31" t="s">
        <v>40</v>
      </c>
      <c r="F23" s="32">
        <v>45.0</v>
      </c>
      <c r="G23" s="33">
        <v>120700</v>
      </c>
    </row>
    <row r="24" spans="1:7" customHeight="1" ht="15">
      <c r="A24" s="44">
        <v>12</v>
      </c>
      <c r="B24" s="34" t="s">
        <v>67</v>
      </c>
      <c r="C24" s="35" t="s">
        <v>68</v>
      </c>
      <c r="D24" s="31" t="s">
        <v>162</v>
      </c>
      <c r="E24" s="31" t="s">
        <v>66</v>
      </c>
      <c r="F24" s="32">
        <v>199.0</v>
      </c>
      <c r="G24" s="33">
        <v>15100</v>
      </c>
    </row>
    <row r="25" spans="1:7" customHeight="1" ht="15">
      <c r="A25" s="44">
        <v>13</v>
      </c>
      <c r="B25" s="34" t="s">
        <v>23</v>
      </c>
      <c r="C25" s="35" t="s">
        <v>24</v>
      </c>
      <c r="D25" s="31" t="s">
        <v>162</v>
      </c>
      <c r="E25" s="31" t="s">
        <v>22</v>
      </c>
      <c r="F25" s="32">
        <v>4.65</v>
      </c>
      <c r="G25" s="33">
        <v>50000</v>
      </c>
    </row>
    <row r="26" spans="1:7" customHeight="1" ht="15">
      <c r="A26" s="44">
        <v>14</v>
      </c>
      <c r="B26" s="34" t="s">
        <v>49</v>
      </c>
      <c r="C26" s="35" t="s">
        <v>50</v>
      </c>
      <c r="D26" s="31" t="s">
        <v>162</v>
      </c>
      <c r="E26" s="31" t="s">
        <v>40</v>
      </c>
      <c r="F26" s="32">
        <v>55.0</v>
      </c>
      <c r="G26" s="33">
        <v>50300</v>
      </c>
    </row>
    <row r="27" spans="1:7" customHeight="1" ht="15">
      <c r="A27" s="44">
        <v>15</v>
      </c>
      <c r="B27" s="34" t="s">
        <v>41</v>
      </c>
      <c r="C27" s="35" t="s">
        <v>42</v>
      </c>
      <c r="D27" s="31" t="s">
        <v>162</v>
      </c>
      <c r="E27" s="31" t="s">
        <v>40</v>
      </c>
      <c r="F27" s="32">
        <v>41.0</v>
      </c>
      <c r="G27" s="33">
        <v>2000</v>
      </c>
    </row>
    <row r="28" spans="1:7" customHeight="1" ht="15">
      <c r="A28" s="44">
        <v>16</v>
      </c>
      <c r="B28" s="34" t="s">
        <v>91</v>
      </c>
      <c r="C28" s="35" t="s">
        <v>92</v>
      </c>
      <c r="D28" s="31" t="s">
        <v>163</v>
      </c>
      <c r="E28" s="31" t="s">
        <v>37</v>
      </c>
      <c r="F28" s="32">
        <v>340.0</v>
      </c>
      <c r="G28" s="33">
        <v>60</v>
      </c>
    </row>
    <row r="29" spans="1:7" customHeight="1" ht="15">
      <c r="A29" s="44">
        <v>17</v>
      </c>
      <c r="B29" s="34" t="s">
        <v>60</v>
      </c>
      <c r="C29" s="35" t="s">
        <v>61</v>
      </c>
      <c r="D29" s="31" t="s">
        <v>162</v>
      </c>
      <c r="E29" s="31" t="s">
        <v>40</v>
      </c>
      <c r="F29" s="32">
        <v>120.0</v>
      </c>
      <c r="G29" s="33">
        <v>6500</v>
      </c>
    </row>
    <row r="30" spans="1:7" customHeight="1" ht="15">
      <c r="A30" s="44">
        <v>18</v>
      </c>
      <c r="B30" s="34" t="s">
        <v>69</v>
      </c>
      <c r="C30" s="35" t="s">
        <v>70</v>
      </c>
      <c r="D30" s="31" t="s">
        <v>162</v>
      </c>
      <c r="E30" s="31" t="s">
        <v>40</v>
      </c>
      <c r="F30" s="32">
        <v>222.0</v>
      </c>
      <c r="G30" s="33">
        <v>10500</v>
      </c>
    </row>
    <row r="31" spans="1:7" customHeight="1" ht="15">
      <c r="A31" s="44">
        <v>19</v>
      </c>
      <c r="B31" s="34" t="s">
        <v>58</v>
      </c>
      <c r="C31" s="35" t="s">
        <v>59</v>
      </c>
      <c r="D31" s="31" t="s">
        <v>162</v>
      </c>
      <c r="E31" s="31" t="s">
        <v>57</v>
      </c>
      <c r="F31" s="32">
        <v>98.0</v>
      </c>
      <c r="G31" s="33">
        <v>2000</v>
      </c>
    </row>
    <row r="32" spans="1:7" customHeight="1" ht="15">
      <c r="A32" s="44">
        <v>20</v>
      </c>
      <c r="B32" s="34" t="s">
        <v>45</v>
      </c>
      <c r="C32" s="35" t="s">
        <v>46</v>
      </c>
      <c r="D32" s="31" t="s">
        <v>162</v>
      </c>
      <c r="E32" s="31" t="s">
        <v>40</v>
      </c>
      <c r="F32" s="32">
        <v>45.0</v>
      </c>
      <c r="G32" s="33">
        <v>2000</v>
      </c>
    </row>
    <row r="33" spans="1:7" customHeight="1" ht="15">
      <c r="A33" s="44">
        <v>21</v>
      </c>
      <c r="B33" s="34" t="s">
        <v>71</v>
      </c>
      <c r="C33" s="35" t="s">
        <v>72</v>
      </c>
      <c r="D33" s="31" t="s">
        <v>162</v>
      </c>
      <c r="E33" s="31" t="s">
        <v>37</v>
      </c>
      <c r="F33" s="32">
        <v>250.0</v>
      </c>
      <c r="G33" s="33">
        <v>1000</v>
      </c>
    </row>
    <row r="34" spans="1:7" customHeight="1" ht="15">
      <c r="A34" s="44">
        <v>22</v>
      </c>
      <c r="B34" s="34" t="s">
        <v>18</v>
      </c>
      <c r="C34" s="35" t="s">
        <v>21</v>
      </c>
      <c r="D34" s="31" t="s">
        <v>162</v>
      </c>
      <c r="E34" s="31" t="s">
        <v>22</v>
      </c>
      <c r="F34" s="32">
        <v>3.44</v>
      </c>
      <c r="G34" s="33">
        <v>60000</v>
      </c>
    </row>
    <row r="35" spans="1:7" customHeight="1" ht="15">
      <c r="A35" s="44">
        <v>23</v>
      </c>
      <c r="B35" s="34" t="s">
        <v>64</v>
      </c>
      <c r="C35" s="35" t="s">
        <v>65</v>
      </c>
      <c r="D35" s="31" t="s">
        <v>162</v>
      </c>
      <c r="E35" s="31" t="s">
        <v>66</v>
      </c>
      <c r="F35" s="32">
        <v>180.0</v>
      </c>
      <c r="G35" s="33">
        <v>6000</v>
      </c>
    </row>
    <row r="36" spans="1:7" customHeight="1" ht="15">
      <c r="A36" s="44">
        <v>24</v>
      </c>
      <c r="B36" s="34" t="s">
        <v>25</v>
      </c>
      <c r="C36" s="35" t="s">
        <v>26</v>
      </c>
      <c r="D36" s="31" t="s">
        <v>162</v>
      </c>
      <c r="E36" s="31" t="s">
        <v>22</v>
      </c>
      <c r="F36" s="32">
        <v>9.8</v>
      </c>
      <c r="G36" s="33">
        <v>1000</v>
      </c>
    </row>
    <row r="37" spans="1:7" customHeight="1" ht="15">
      <c r="A37" s="44">
        <v>25</v>
      </c>
      <c r="B37" s="34" t="s">
        <v>83</v>
      </c>
      <c r="C37" s="35" t="s">
        <v>84</v>
      </c>
      <c r="D37" s="31" t="s">
        <v>163</v>
      </c>
      <c r="E37" s="31" t="s">
        <v>57</v>
      </c>
      <c r="F37" s="32">
        <v>315.0</v>
      </c>
      <c r="G37" s="33">
        <v>6000</v>
      </c>
    </row>
    <row r="38" spans="1:7" customHeight="1" ht="15">
      <c r="A38" s="44">
        <v>26</v>
      </c>
      <c r="B38" s="34" t="s">
        <v>51</v>
      </c>
      <c r="C38" s="35" t="s">
        <v>52</v>
      </c>
      <c r="D38" s="31" t="s">
        <v>162</v>
      </c>
      <c r="E38" s="31" t="s">
        <v>22</v>
      </c>
      <c r="F38" s="32">
        <v>55.0</v>
      </c>
      <c r="G38" s="33">
        <v>2000</v>
      </c>
    </row>
    <row r="39" spans="1:7" customHeight="1" ht="15">
      <c r="A39" s="44">
        <v>27</v>
      </c>
      <c r="B39" s="34" t="s">
        <v>29</v>
      </c>
      <c r="C39" s="35" t="s">
        <v>30</v>
      </c>
      <c r="D39" s="31" t="s">
        <v>162</v>
      </c>
      <c r="E39" s="31" t="s">
        <v>22</v>
      </c>
      <c r="F39" s="32">
        <v>17.35</v>
      </c>
      <c r="G39" s="33">
        <v>1000</v>
      </c>
    </row>
    <row r="40" spans="1:7" customHeight="1" ht="15">
      <c r="A40" s="44">
        <v>28</v>
      </c>
      <c r="B40" s="34" t="s">
        <v>47</v>
      </c>
      <c r="C40" s="35" t="s">
        <v>48</v>
      </c>
      <c r="D40" s="31" t="s">
        <v>162</v>
      </c>
      <c r="E40" s="31" t="s">
        <v>37</v>
      </c>
      <c r="F40" s="32">
        <v>47.24</v>
      </c>
      <c r="G40" s="33">
        <v>3000</v>
      </c>
    </row>
    <row r="41" spans="1:7" customHeight="1" ht="15">
      <c r="A41" s="44">
        <v>29</v>
      </c>
      <c r="B41" s="34" t="s">
        <v>33</v>
      </c>
      <c r="C41" s="35" t="s">
        <v>34</v>
      </c>
      <c r="D41" s="31" t="s">
        <v>162</v>
      </c>
      <c r="E41" s="31" t="s">
        <v>22</v>
      </c>
      <c r="F41" s="32">
        <v>33.5</v>
      </c>
      <c r="G41" s="33">
        <v>1000</v>
      </c>
    </row>
    <row r="42" spans="1:7" customHeight="1" ht="15">
      <c r="A42" s="44">
        <v>30</v>
      </c>
      <c r="B42" s="34" t="s">
        <v>108</v>
      </c>
      <c r="C42" s="35" t="s">
        <v>109</v>
      </c>
      <c r="D42" s="31" t="s">
        <v>162</v>
      </c>
      <c r="E42" s="31" t="s">
        <v>106</v>
      </c>
      <c r="F42" s="32">
        <v>830.0</v>
      </c>
      <c r="G42" s="33">
        <v>500</v>
      </c>
    </row>
    <row r="43" spans="1:7" customHeight="1" ht="15">
      <c r="A43" s="44">
        <v>31</v>
      </c>
      <c r="B43" s="34" t="s">
        <v>38</v>
      </c>
      <c r="C43" s="35" t="s">
        <v>39</v>
      </c>
      <c r="D43" s="31" t="s">
        <v>162</v>
      </c>
      <c r="E43" s="31" t="s">
        <v>40</v>
      </c>
      <c r="F43" s="32">
        <v>36.0</v>
      </c>
      <c r="G43" s="33">
        <v>6000</v>
      </c>
    </row>
    <row r="44" spans="1:7" customHeight="1" ht="15">
      <c r="A44" s="44">
        <v>32</v>
      </c>
      <c r="B44" s="34" t="s">
        <v>120</v>
      </c>
      <c r="C44" s="35" t="s">
        <v>121</v>
      </c>
      <c r="D44" s="31" t="s">
        <v>163</v>
      </c>
      <c r="E44" s="31" t="s">
        <v>37</v>
      </c>
      <c r="F44" s="32">
        <v>1580.0</v>
      </c>
      <c r="G44" s="33">
        <v>7100</v>
      </c>
    </row>
    <row r="45" spans="1:7" customHeight="1" ht="15">
      <c r="A45" s="44">
        <v>33</v>
      </c>
      <c r="B45" s="34" t="s">
        <v>55</v>
      </c>
      <c r="C45" s="35" t="s">
        <v>56</v>
      </c>
      <c r="D45" s="31" t="s">
        <v>162</v>
      </c>
      <c r="E45" s="31" t="s">
        <v>57</v>
      </c>
      <c r="F45" s="32">
        <v>95.0</v>
      </c>
      <c r="G45" s="33">
        <v>1000</v>
      </c>
    </row>
    <row r="46" spans="1:7" customHeight="1" ht="15">
      <c r="A46" s="44">
        <v>34</v>
      </c>
      <c r="B46" s="34" t="s">
        <v>112</v>
      </c>
      <c r="C46" s="35" t="s">
        <v>113</v>
      </c>
      <c r="D46" s="31" t="s">
        <v>162</v>
      </c>
      <c r="E46" s="31" t="s">
        <v>37</v>
      </c>
      <c r="F46" s="32">
        <v>1120.0</v>
      </c>
      <c r="G46" s="33">
        <v>1030</v>
      </c>
    </row>
    <row r="47" spans="1:7" customHeight="1" ht="15">
      <c r="A47" s="44">
        <v>35</v>
      </c>
      <c r="B47" s="34" t="s">
        <v>116</v>
      </c>
      <c r="C47" s="35" t="s">
        <v>117</v>
      </c>
      <c r="D47" s="31" t="s">
        <v>162</v>
      </c>
      <c r="E47" s="31" t="s">
        <v>37</v>
      </c>
      <c r="F47" s="32">
        <v>1260.0</v>
      </c>
      <c r="G47" s="33">
        <v>50</v>
      </c>
    </row>
    <row r="48" spans="1:7" customHeight="1" ht="15">
      <c r="A48" s="44"/>
      <c r="B48" s="34"/>
      <c r="C48" s="35"/>
      <c r="D48" s="31"/>
      <c r="E48" s="31"/>
      <c r="F48" s="32"/>
      <c r="G48" s="33"/>
    </row>
    <row r="49" spans="1:7" customHeight="1" ht="15.75">
      <c r="A49" s="45"/>
      <c r="B49" s="36"/>
      <c r="C49" s="37"/>
      <c r="D49" s="28"/>
      <c r="E49" s="28"/>
      <c r="F49" s="29"/>
      <c r="G49" s="30"/>
    </row>
    <row r="50" spans="1:7" customHeight="1" ht="20.25">
      <c r="A50" s="122" t="s">
        <v>164</v>
      </c>
      <c r="B50" s="123"/>
      <c r="C50" s="133" t="s">
        <v>202</v>
      </c>
      <c r="D50" s="133"/>
      <c r="E50" s="134"/>
      <c r="F50" s="121">
        <f>SUMPRODUCT(F13:F49,G13:G49)</f>
        <v>37188390</v>
      </c>
      <c r="G50" s="121"/>
    </row>
    <row r="54" spans="1:7" customHeight="1" ht="13.5"/>
    <row r="55" spans="1:7" customHeight="1" ht="15.75">
      <c r="A55" s="46"/>
      <c r="B55" s="115" t="s">
        <v>166</v>
      </c>
      <c r="C55" s="115"/>
      <c r="D55" s="116"/>
    </row>
    <row r="56" spans="1:7" customHeight="1" ht="18.75">
      <c r="A56" s="47" t="s">
        <v>203</v>
      </c>
      <c r="B56" s="48" t="s">
        <v>93</v>
      </c>
      <c r="C56" s="49"/>
      <c r="D56" s="50"/>
    </row>
    <row r="57" spans="1:7" customHeight="1" ht="18.75">
      <c r="A57" s="47" t="s">
        <v>204</v>
      </c>
      <c r="B57" s="48" t="s">
        <v>85</v>
      </c>
      <c r="C57" s="49"/>
      <c r="D57" s="50"/>
    </row>
    <row r="58" spans="1:7" customHeight="1" ht="18.75">
      <c r="A58" s="47" t="s">
        <v>205</v>
      </c>
      <c r="B58" s="48" t="s">
        <v>122</v>
      </c>
      <c r="C58" s="49"/>
      <c r="D58" s="50"/>
    </row>
    <row r="59" spans="1:7" customHeight="1" ht="18.75">
      <c r="A59" s="47"/>
      <c r="B59" s="48"/>
      <c r="C59" s="49"/>
      <c r="D59" s="50"/>
    </row>
    <row r="60" spans="1:7" customHeight="1" ht="18.75">
      <c r="A60" s="51"/>
      <c r="B60" s="52"/>
      <c r="C60" s="53"/>
      <c r="D60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50:B50"/>
    <mergeCell ref="C9:G9"/>
    <mergeCell ref="A8:B8"/>
    <mergeCell ref="A11:A12"/>
    <mergeCell ref="B11:B12"/>
    <mergeCell ref="C50:E50"/>
    <mergeCell ref="F11:F12"/>
    <mergeCell ref="G11:G12"/>
    <mergeCell ref="E11:E12"/>
    <mergeCell ref="A1:G1"/>
    <mergeCell ref="C4:G4"/>
    <mergeCell ref="C5:G5"/>
    <mergeCell ref="C6:G6"/>
    <mergeCell ref="C7:G7"/>
    <mergeCell ref="B55:D55"/>
    <mergeCell ref="C8:G8"/>
    <mergeCell ref="A9:B9"/>
    <mergeCell ref="C11:C12"/>
    <mergeCell ref="F50:G50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169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170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147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148</v>
      </c>
      <c r="B6" s="165"/>
      <c r="C6" s="165"/>
      <c r="D6" s="165"/>
      <c r="E6" s="165"/>
      <c r="F6" s="166"/>
      <c r="G6" s="163" t="s">
        <v>201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150</v>
      </c>
      <c r="B7" s="165"/>
      <c r="C7" s="165"/>
      <c r="D7" s="165"/>
      <c r="E7" s="165"/>
      <c r="F7" s="166"/>
      <c r="G7" s="170" t="s">
        <v>201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171</v>
      </c>
      <c r="B8" s="139"/>
      <c r="C8" s="139" t="s">
        <v>152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172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206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174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175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176</v>
      </c>
      <c r="P13" s="149"/>
      <c r="Q13" s="152" t="s">
        <v>177</v>
      </c>
    </row>
    <row r="14" spans="1:17" customHeight="1" ht="15.75">
      <c r="A14" s="66" t="s">
        <v>178</v>
      </c>
      <c r="B14" s="66" t="s">
        <v>179</v>
      </c>
      <c r="C14" s="66" t="s">
        <v>180</v>
      </c>
      <c r="D14" s="66" t="s">
        <v>181</v>
      </c>
      <c r="E14" s="66" t="s">
        <v>182</v>
      </c>
      <c r="F14" s="66" t="s">
        <v>183</v>
      </c>
      <c r="G14" s="67" t="s">
        <v>184</v>
      </c>
      <c r="H14" s="66" t="s">
        <v>185</v>
      </c>
      <c r="I14" s="66" t="s">
        <v>186</v>
      </c>
      <c r="J14" s="66" t="s">
        <v>187</v>
      </c>
      <c r="K14" s="66" t="s">
        <v>187</v>
      </c>
      <c r="L14" s="66" t="s">
        <v>188</v>
      </c>
      <c r="M14" s="66" t="s">
        <v>189</v>
      </c>
      <c r="N14" s="66" t="s">
        <v>190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2</v>
      </c>
      <c r="L15" s="69">
        <v>0</v>
      </c>
      <c r="M15" s="70">
        <v>1</v>
      </c>
      <c r="N15" s="83">
        <v>11</v>
      </c>
      <c r="O15" s="78" t="s">
        <v>191</v>
      </c>
      <c r="P15" s="77"/>
      <c r="Q15" s="71">
        <v>37188390.0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192</v>
      </c>
      <c r="B18" s="155"/>
      <c r="C18" s="156" t="s">
        <v>202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37188390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193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154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194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143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144</v>
      </c>
      <c r="G2" s="41" t="s">
        <v>207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146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147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148</v>
      </c>
      <c r="B6" s="128"/>
      <c r="C6" s="112" t="s">
        <v>208</v>
      </c>
      <c r="D6" s="113"/>
      <c r="E6" s="113"/>
      <c r="F6" s="113"/>
      <c r="G6" s="114"/>
    </row>
    <row r="7" spans="1:7" customHeight="1" ht="32.25">
      <c r="A7" s="127" t="s">
        <v>150</v>
      </c>
      <c r="B7" s="128"/>
      <c r="C7" s="112" t="s">
        <v>208</v>
      </c>
      <c r="D7" s="113"/>
      <c r="E7" s="113"/>
      <c r="F7" s="113"/>
      <c r="G7" s="114"/>
    </row>
    <row r="8" spans="1:7" customHeight="1" ht="16.5">
      <c r="A8" s="127" t="s">
        <v>151</v>
      </c>
      <c r="B8" s="128"/>
      <c r="C8" s="112" t="s">
        <v>152</v>
      </c>
      <c r="D8" s="113"/>
      <c r="E8" s="113"/>
      <c r="F8" s="113"/>
      <c r="G8" s="114"/>
    </row>
    <row r="9" spans="1:7" customHeight="1" ht="27.75">
      <c r="A9" s="117" t="s">
        <v>153</v>
      </c>
      <c r="B9" s="118"/>
      <c r="C9" s="124" t="s">
        <v>209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155</v>
      </c>
      <c r="B11" s="131" t="s">
        <v>156</v>
      </c>
      <c r="C11" s="119" t="s">
        <v>157</v>
      </c>
      <c r="D11" s="135" t="s">
        <v>158</v>
      </c>
      <c r="E11" s="135" t="s">
        <v>159</v>
      </c>
      <c r="F11" s="135" t="s">
        <v>160</v>
      </c>
      <c r="G11" s="135" t="s">
        <v>161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35</v>
      </c>
      <c r="C13" s="35" t="s">
        <v>36</v>
      </c>
      <c r="D13" s="31" t="s">
        <v>162</v>
      </c>
      <c r="E13" s="31" t="s">
        <v>37</v>
      </c>
      <c r="F13" s="32">
        <v>35.24</v>
      </c>
      <c r="G13" s="33">
        <v>150</v>
      </c>
    </row>
    <row r="14" spans="1:7" customHeight="1" ht="15">
      <c r="A14" s="44">
        <v>2</v>
      </c>
      <c r="B14" s="34" t="s">
        <v>104</v>
      </c>
      <c r="C14" s="35" t="s">
        <v>105</v>
      </c>
      <c r="D14" s="31" t="s">
        <v>163</v>
      </c>
      <c r="E14" s="31" t="s">
        <v>106</v>
      </c>
      <c r="F14" s="32">
        <v>775.0</v>
      </c>
      <c r="G14" s="33">
        <v>10</v>
      </c>
    </row>
    <row r="15" spans="1:7" customHeight="1" ht="15">
      <c r="A15" s="44">
        <v>3</v>
      </c>
      <c r="B15" s="34" t="s">
        <v>98</v>
      </c>
      <c r="C15" s="35" t="s">
        <v>99</v>
      </c>
      <c r="D15" s="31" t="s">
        <v>162</v>
      </c>
      <c r="E15" s="31" t="s">
        <v>37</v>
      </c>
      <c r="F15" s="32">
        <v>650.0</v>
      </c>
      <c r="G15" s="33">
        <v>20</v>
      </c>
    </row>
    <row r="16" spans="1:7" customHeight="1" ht="15">
      <c r="A16" s="44">
        <v>4</v>
      </c>
      <c r="B16" s="34" t="s">
        <v>110</v>
      </c>
      <c r="C16" s="35" t="s">
        <v>111</v>
      </c>
      <c r="D16" s="31" t="s">
        <v>162</v>
      </c>
      <c r="E16" s="31" t="s">
        <v>37</v>
      </c>
      <c r="F16" s="32">
        <v>1120.0</v>
      </c>
      <c r="G16" s="33">
        <v>100</v>
      </c>
    </row>
    <row r="17" spans="1:7" customHeight="1" ht="15">
      <c r="A17" s="44">
        <v>5</v>
      </c>
      <c r="B17" s="34" t="s">
        <v>96</v>
      </c>
      <c r="C17" s="35" t="s">
        <v>97</v>
      </c>
      <c r="D17" s="31" t="s">
        <v>162</v>
      </c>
      <c r="E17" s="31" t="s">
        <v>37</v>
      </c>
      <c r="F17" s="32">
        <v>580.0</v>
      </c>
      <c r="G17" s="33">
        <v>100</v>
      </c>
    </row>
    <row r="18" spans="1:7" customHeight="1" ht="15">
      <c r="A18" s="44">
        <v>6</v>
      </c>
      <c r="B18" s="34" t="s">
        <v>73</v>
      </c>
      <c r="C18" s="35" t="s">
        <v>74</v>
      </c>
      <c r="D18" s="31" t="s">
        <v>162</v>
      </c>
      <c r="E18" s="31" t="s">
        <v>37</v>
      </c>
      <c r="F18" s="32">
        <v>280.0</v>
      </c>
      <c r="G18" s="33">
        <v>10</v>
      </c>
    </row>
    <row r="19" spans="1:7" customHeight="1" ht="15">
      <c r="A19" s="44">
        <v>7</v>
      </c>
      <c r="B19" s="34" t="s">
        <v>102</v>
      </c>
      <c r="C19" s="35" t="s">
        <v>103</v>
      </c>
      <c r="D19" s="31" t="s">
        <v>162</v>
      </c>
      <c r="E19" s="31" t="s">
        <v>37</v>
      </c>
      <c r="F19" s="32">
        <v>750.0</v>
      </c>
      <c r="G19" s="33">
        <v>300</v>
      </c>
    </row>
    <row r="20" spans="1:7" customHeight="1" ht="15">
      <c r="A20" s="44">
        <v>8</v>
      </c>
      <c r="B20" s="34" t="s">
        <v>86</v>
      </c>
      <c r="C20" s="35" t="s">
        <v>87</v>
      </c>
      <c r="D20" s="31" t="s">
        <v>162</v>
      </c>
      <c r="E20" s="31" t="s">
        <v>37</v>
      </c>
      <c r="F20" s="32">
        <v>327.0</v>
      </c>
      <c r="G20" s="33">
        <v>500</v>
      </c>
    </row>
    <row r="21" spans="1:7" customHeight="1" ht="15">
      <c r="A21" s="44">
        <v>9</v>
      </c>
      <c r="B21" s="34" t="s">
        <v>67</v>
      </c>
      <c r="C21" s="35" t="s">
        <v>68</v>
      </c>
      <c r="D21" s="31" t="s">
        <v>162</v>
      </c>
      <c r="E21" s="31" t="s">
        <v>66</v>
      </c>
      <c r="F21" s="32">
        <v>199.0</v>
      </c>
      <c r="G21" s="33">
        <v>1000</v>
      </c>
    </row>
    <row r="22" spans="1:7" customHeight="1" ht="15">
      <c r="A22" s="44">
        <v>10</v>
      </c>
      <c r="B22" s="34" t="s">
        <v>23</v>
      </c>
      <c r="C22" s="35" t="s">
        <v>24</v>
      </c>
      <c r="D22" s="31" t="s">
        <v>162</v>
      </c>
      <c r="E22" s="31" t="s">
        <v>22</v>
      </c>
      <c r="F22" s="32">
        <v>4.65</v>
      </c>
      <c r="G22" s="33">
        <v>1000</v>
      </c>
    </row>
    <row r="23" spans="1:7" customHeight="1" ht="15">
      <c r="A23" s="44">
        <v>11</v>
      </c>
      <c r="B23" s="34" t="s">
        <v>49</v>
      </c>
      <c r="C23" s="35" t="s">
        <v>50</v>
      </c>
      <c r="D23" s="31" t="s">
        <v>162</v>
      </c>
      <c r="E23" s="31" t="s">
        <v>40</v>
      </c>
      <c r="F23" s="32">
        <v>55.0</v>
      </c>
      <c r="G23" s="33">
        <v>1000</v>
      </c>
    </row>
    <row r="24" spans="1:7" customHeight="1" ht="15">
      <c r="A24" s="44">
        <v>12</v>
      </c>
      <c r="B24" s="34" t="s">
        <v>91</v>
      </c>
      <c r="C24" s="35" t="s">
        <v>92</v>
      </c>
      <c r="D24" s="31" t="s">
        <v>163</v>
      </c>
      <c r="E24" s="31" t="s">
        <v>37</v>
      </c>
      <c r="F24" s="32">
        <v>340.0</v>
      </c>
      <c r="G24" s="33">
        <v>2000</v>
      </c>
    </row>
    <row r="25" spans="1:7" customHeight="1" ht="15">
      <c r="A25" s="44">
        <v>13</v>
      </c>
      <c r="B25" s="34" t="s">
        <v>60</v>
      </c>
      <c r="C25" s="35" t="s">
        <v>61</v>
      </c>
      <c r="D25" s="31" t="s">
        <v>162</v>
      </c>
      <c r="E25" s="31" t="s">
        <v>40</v>
      </c>
      <c r="F25" s="32">
        <v>120.0</v>
      </c>
      <c r="G25" s="33">
        <v>1000</v>
      </c>
    </row>
    <row r="26" spans="1:7" customHeight="1" ht="15">
      <c r="A26" s="44">
        <v>14</v>
      </c>
      <c r="B26" s="34" t="s">
        <v>69</v>
      </c>
      <c r="C26" s="35" t="s">
        <v>70</v>
      </c>
      <c r="D26" s="31" t="s">
        <v>162</v>
      </c>
      <c r="E26" s="31" t="s">
        <v>40</v>
      </c>
      <c r="F26" s="32">
        <v>222.0</v>
      </c>
      <c r="G26" s="33">
        <v>1000</v>
      </c>
    </row>
    <row r="27" spans="1:7" customHeight="1" ht="15">
      <c r="A27" s="44">
        <v>15</v>
      </c>
      <c r="B27" s="34" t="s">
        <v>58</v>
      </c>
      <c r="C27" s="35" t="s">
        <v>59</v>
      </c>
      <c r="D27" s="31" t="s">
        <v>162</v>
      </c>
      <c r="E27" s="31" t="s">
        <v>57</v>
      </c>
      <c r="F27" s="32">
        <v>98.0</v>
      </c>
      <c r="G27" s="33">
        <v>1000</v>
      </c>
    </row>
    <row r="28" spans="1:7" customHeight="1" ht="15">
      <c r="A28" s="44">
        <v>16</v>
      </c>
      <c r="B28" s="34" t="s">
        <v>71</v>
      </c>
      <c r="C28" s="35" t="s">
        <v>72</v>
      </c>
      <c r="D28" s="31" t="s">
        <v>162</v>
      </c>
      <c r="E28" s="31" t="s">
        <v>37</v>
      </c>
      <c r="F28" s="32">
        <v>250.0</v>
      </c>
      <c r="G28" s="33">
        <v>5</v>
      </c>
    </row>
    <row r="29" spans="1:7" customHeight="1" ht="15">
      <c r="A29" s="44">
        <v>17</v>
      </c>
      <c r="B29" s="34" t="s">
        <v>25</v>
      </c>
      <c r="C29" s="35" t="s">
        <v>26</v>
      </c>
      <c r="D29" s="31" t="s">
        <v>162</v>
      </c>
      <c r="E29" s="31" t="s">
        <v>22</v>
      </c>
      <c r="F29" s="32">
        <v>9.8</v>
      </c>
      <c r="G29" s="33">
        <v>1000</v>
      </c>
    </row>
    <row r="30" spans="1:7" customHeight="1" ht="15">
      <c r="A30" s="44">
        <v>18</v>
      </c>
      <c r="B30" s="34" t="s">
        <v>83</v>
      </c>
      <c r="C30" s="35" t="s">
        <v>84</v>
      </c>
      <c r="D30" s="31" t="s">
        <v>163</v>
      </c>
      <c r="E30" s="31" t="s">
        <v>57</v>
      </c>
      <c r="F30" s="32">
        <v>315.0</v>
      </c>
      <c r="G30" s="33">
        <v>1000</v>
      </c>
    </row>
    <row r="31" spans="1:7" customHeight="1" ht="15">
      <c r="A31" s="44">
        <v>19</v>
      </c>
      <c r="B31" s="34" t="s">
        <v>51</v>
      </c>
      <c r="C31" s="35" t="s">
        <v>52</v>
      </c>
      <c r="D31" s="31" t="s">
        <v>162</v>
      </c>
      <c r="E31" s="31" t="s">
        <v>22</v>
      </c>
      <c r="F31" s="32">
        <v>55.0</v>
      </c>
      <c r="G31" s="33">
        <v>1000</v>
      </c>
    </row>
    <row r="32" spans="1:7" customHeight="1" ht="15">
      <c r="A32" s="44">
        <v>20</v>
      </c>
      <c r="B32" s="34" t="s">
        <v>29</v>
      </c>
      <c r="C32" s="35" t="s">
        <v>30</v>
      </c>
      <c r="D32" s="31" t="s">
        <v>162</v>
      </c>
      <c r="E32" s="31" t="s">
        <v>22</v>
      </c>
      <c r="F32" s="32">
        <v>17.35</v>
      </c>
      <c r="G32" s="33">
        <v>1000</v>
      </c>
    </row>
    <row r="33" spans="1:7" customHeight="1" ht="15">
      <c r="A33" s="44">
        <v>21</v>
      </c>
      <c r="B33" s="34" t="s">
        <v>108</v>
      </c>
      <c r="C33" s="35" t="s">
        <v>109</v>
      </c>
      <c r="D33" s="31" t="s">
        <v>162</v>
      </c>
      <c r="E33" s="31" t="s">
        <v>106</v>
      </c>
      <c r="F33" s="32">
        <v>830.0</v>
      </c>
      <c r="G33" s="33">
        <v>36</v>
      </c>
    </row>
    <row r="34" spans="1:7" customHeight="1" ht="15">
      <c r="A34" s="44">
        <v>22</v>
      </c>
      <c r="B34" s="34" t="s">
        <v>125</v>
      </c>
      <c r="C34" s="35" t="s">
        <v>126</v>
      </c>
      <c r="D34" s="31" t="s">
        <v>163</v>
      </c>
      <c r="E34" s="31" t="s">
        <v>106</v>
      </c>
      <c r="F34" s="32">
        <v>7904.45</v>
      </c>
      <c r="G34" s="33">
        <v>20</v>
      </c>
    </row>
    <row r="35" spans="1:7" customHeight="1" ht="15">
      <c r="A35" s="44">
        <v>23</v>
      </c>
      <c r="B35" s="34" t="s">
        <v>120</v>
      </c>
      <c r="C35" s="35" t="s">
        <v>121</v>
      </c>
      <c r="D35" s="31" t="s">
        <v>163</v>
      </c>
      <c r="E35" s="31" t="s">
        <v>37</v>
      </c>
      <c r="F35" s="32">
        <v>1580.0</v>
      </c>
      <c r="G35" s="33">
        <v>3000</v>
      </c>
    </row>
    <row r="36" spans="1:7" customHeight="1" ht="15">
      <c r="A36" s="44">
        <v>24</v>
      </c>
      <c r="B36" s="34" t="s">
        <v>55</v>
      </c>
      <c r="C36" s="35" t="s">
        <v>56</v>
      </c>
      <c r="D36" s="31" t="s">
        <v>162</v>
      </c>
      <c r="E36" s="31" t="s">
        <v>57</v>
      </c>
      <c r="F36" s="32">
        <v>95.0</v>
      </c>
      <c r="G36" s="33">
        <v>3000</v>
      </c>
    </row>
    <row r="37" spans="1:7" customHeight="1" ht="15">
      <c r="A37" s="44">
        <v>25</v>
      </c>
      <c r="B37" s="34" t="s">
        <v>112</v>
      </c>
      <c r="C37" s="35" t="s">
        <v>113</v>
      </c>
      <c r="D37" s="31" t="s">
        <v>162</v>
      </c>
      <c r="E37" s="31" t="s">
        <v>37</v>
      </c>
      <c r="F37" s="32">
        <v>1120.0</v>
      </c>
      <c r="G37" s="33">
        <v>100</v>
      </c>
    </row>
    <row r="38" spans="1:7" customHeight="1" ht="15">
      <c r="A38" s="44">
        <v>26</v>
      </c>
      <c r="B38" s="34" t="s">
        <v>116</v>
      </c>
      <c r="C38" s="35" t="s">
        <v>117</v>
      </c>
      <c r="D38" s="31" t="s">
        <v>162</v>
      </c>
      <c r="E38" s="31" t="s">
        <v>37</v>
      </c>
      <c r="F38" s="32">
        <v>1260.0</v>
      </c>
      <c r="G38" s="33">
        <v>30</v>
      </c>
    </row>
    <row r="39" spans="1:7" customHeight="1" ht="15">
      <c r="A39" s="44"/>
      <c r="B39" s="34"/>
      <c r="C39" s="35"/>
      <c r="D39" s="31"/>
      <c r="E39" s="31"/>
      <c r="F39" s="32"/>
      <c r="G39" s="33"/>
    </row>
    <row r="40" spans="1:7" customHeight="1" ht="15.75">
      <c r="A40" s="45"/>
      <c r="B40" s="36"/>
      <c r="C40" s="37"/>
      <c r="D40" s="28"/>
      <c r="E40" s="28"/>
      <c r="F40" s="29"/>
      <c r="G40" s="30"/>
    </row>
    <row r="41" spans="1:7" customHeight="1" ht="20.25">
      <c r="A41" s="122" t="s">
        <v>164</v>
      </c>
      <c r="B41" s="123"/>
      <c r="C41" s="133" t="s">
        <v>210</v>
      </c>
      <c r="D41" s="133"/>
      <c r="E41" s="134"/>
      <c r="F41" s="121">
        <f>SUMPRODUCT(F13:F40,G13:G40)</f>
        <v>7727155</v>
      </c>
      <c r="G41" s="121"/>
    </row>
    <row r="45" spans="1:7" customHeight="1" ht="13.5"/>
    <row r="46" spans="1:7" customHeight="1" ht="15.75">
      <c r="A46" s="46"/>
      <c r="B46" s="115" t="s">
        <v>166</v>
      </c>
      <c r="C46" s="115"/>
      <c r="D46" s="116"/>
    </row>
    <row r="47" spans="1:7" customHeight="1" ht="18.75">
      <c r="A47" s="47" t="s">
        <v>167</v>
      </c>
      <c r="B47" s="48" t="s">
        <v>107</v>
      </c>
      <c r="C47" s="49"/>
      <c r="D47" s="50"/>
    </row>
    <row r="48" spans="1:7" customHeight="1" ht="18.75">
      <c r="A48" s="47" t="s">
        <v>211</v>
      </c>
      <c r="B48" s="48" t="s">
        <v>93</v>
      </c>
      <c r="C48" s="49"/>
      <c r="D48" s="50"/>
    </row>
    <row r="49" spans="1:7" customHeight="1" ht="18.75">
      <c r="A49" s="47" t="s">
        <v>212</v>
      </c>
      <c r="B49" s="48" t="s">
        <v>85</v>
      </c>
      <c r="C49" s="49"/>
      <c r="D49" s="50"/>
    </row>
    <row r="50" spans="1:7" customHeight="1" ht="18.75">
      <c r="A50" s="47" t="s">
        <v>213</v>
      </c>
      <c r="B50" s="48" t="s">
        <v>127</v>
      </c>
      <c r="C50" s="49"/>
      <c r="D50" s="50"/>
    </row>
    <row r="51" spans="1:7" customHeight="1" ht="18.75">
      <c r="A51" s="47" t="s">
        <v>214</v>
      </c>
      <c r="B51" s="48" t="s">
        <v>122</v>
      </c>
      <c r="C51" s="49"/>
      <c r="D51" s="50"/>
    </row>
    <row r="52" spans="1:7" customHeight="1" ht="18.75">
      <c r="A52" s="47"/>
      <c r="B52" s="48"/>
      <c r="C52" s="49"/>
      <c r="D52" s="50"/>
    </row>
    <row r="53" spans="1:7" customHeight="1" ht="18.75">
      <c r="A53" s="51"/>
      <c r="B53" s="52"/>
      <c r="C53" s="53"/>
      <c r="D5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41:B41"/>
    <mergeCell ref="C9:G9"/>
    <mergeCell ref="A8:B8"/>
    <mergeCell ref="A11:A12"/>
    <mergeCell ref="B11:B12"/>
    <mergeCell ref="C41:E41"/>
    <mergeCell ref="F11:F12"/>
    <mergeCell ref="G11:G12"/>
    <mergeCell ref="E11:E12"/>
    <mergeCell ref="A1:G1"/>
    <mergeCell ref="C4:G4"/>
    <mergeCell ref="C5:G5"/>
    <mergeCell ref="C6:G6"/>
    <mergeCell ref="C7:G7"/>
    <mergeCell ref="B46:D46"/>
    <mergeCell ref="C8:G8"/>
    <mergeCell ref="A9:B9"/>
    <mergeCell ref="C11:C12"/>
    <mergeCell ref="F41:G41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169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170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147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148</v>
      </c>
      <c r="B6" s="165"/>
      <c r="C6" s="165"/>
      <c r="D6" s="165"/>
      <c r="E6" s="165"/>
      <c r="F6" s="166"/>
      <c r="G6" s="163" t="s">
        <v>208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150</v>
      </c>
      <c r="B7" s="165"/>
      <c r="C7" s="165"/>
      <c r="D7" s="165"/>
      <c r="E7" s="165"/>
      <c r="F7" s="166"/>
      <c r="G7" s="170" t="s">
        <v>208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171</v>
      </c>
      <c r="B8" s="139"/>
      <c r="C8" s="139" t="s">
        <v>152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172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215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174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175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176</v>
      </c>
      <c r="P13" s="149"/>
      <c r="Q13" s="152" t="s">
        <v>177</v>
      </c>
    </row>
    <row r="14" spans="1:17" customHeight="1" ht="15.75">
      <c r="A14" s="66" t="s">
        <v>178</v>
      </c>
      <c r="B14" s="66" t="s">
        <v>179</v>
      </c>
      <c r="C14" s="66" t="s">
        <v>180</v>
      </c>
      <c r="D14" s="66" t="s">
        <v>181</v>
      </c>
      <c r="E14" s="66" t="s">
        <v>182</v>
      </c>
      <c r="F14" s="66" t="s">
        <v>183</v>
      </c>
      <c r="G14" s="67" t="s">
        <v>184</v>
      </c>
      <c r="H14" s="66" t="s">
        <v>185</v>
      </c>
      <c r="I14" s="66" t="s">
        <v>186</v>
      </c>
      <c r="J14" s="66" t="s">
        <v>187</v>
      </c>
      <c r="K14" s="66" t="s">
        <v>187</v>
      </c>
      <c r="L14" s="66" t="s">
        <v>188</v>
      </c>
      <c r="M14" s="66" t="s">
        <v>189</v>
      </c>
      <c r="N14" s="66" t="s">
        <v>190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2</v>
      </c>
      <c r="L15" s="69">
        <v>0</v>
      </c>
      <c r="M15" s="70">
        <v>1</v>
      </c>
      <c r="N15" s="83">
        <v>11</v>
      </c>
      <c r="O15" s="78" t="s">
        <v>191</v>
      </c>
      <c r="P15" s="77"/>
      <c r="Q15" s="71">
        <v>7727155.0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192</v>
      </c>
      <c r="B18" s="155"/>
      <c r="C18" s="156" t="s">
        <v>210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7727155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193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209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194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Necesidades Trimestrales</vt:lpstr>
      <vt:lpstr>Nota Pedido DA#MP</vt:lpstr>
      <vt:lpstr>APG DA#MP</vt:lpstr>
      <vt:lpstr>Nota Pedido DA#HSJB</vt:lpstr>
      <vt:lpstr>APG DA#HSJB</vt:lpstr>
      <vt:lpstr>Nota Pedido DPA#MS</vt:lpstr>
      <vt:lpstr>APG DPA#MS</vt:lpstr>
      <vt:lpstr>Nota Pedido DA#HNEP</vt:lpstr>
      <vt:lpstr>APG DA#HNEP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