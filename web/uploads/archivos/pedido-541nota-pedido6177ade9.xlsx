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0">'Necesidades Trimestrales'!$A$1:$I$42</definedName>
    <definedName name="_xlnm.Print_Area" localSheetId="1">NotaPedido!$A$1:$K$45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1" i="1" l="1"/>
  <c r="I39" i="1"/>
  <c r="I37" i="1"/>
  <c r="I35" i="1"/>
  <c r="I33" i="1"/>
  <c r="I31" i="1"/>
  <c r="I29" i="1"/>
  <c r="I27" i="1"/>
  <c r="I25" i="1"/>
  <c r="I23" i="1"/>
  <c r="I21" i="1"/>
  <c r="I19" i="1"/>
  <c r="I17" i="1"/>
  <c r="I15" i="1"/>
  <c r="I13" i="1"/>
  <c r="I11" i="1"/>
  <c r="I12" i="1"/>
  <c r="I14" i="1"/>
  <c r="I16" i="1"/>
  <c r="I18" i="1"/>
  <c r="I20" i="1"/>
  <c r="I22" i="1"/>
  <c r="I24" i="1"/>
  <c r="I26" i="1"/>
  <c r="I28" i="1"/>
  <c r="I30" i="1"/>
  <c r="I32" i="1"/>
  <c r="I34" i="1"/>
  <c r="I36" i="1"/>
  <c r="I38" i="1"/>
  <c r="I40" i="1"/>
  <c r="I42" i="1"/>
  <c r="A26" i="3"/>
  <c r="B43" i="2"/>
  <c r="C43" i="2"/>
  <c r="I43" i="2"/>
  <c r="J43" i="2"/>
  <c r="K43" i="2"/>
  <c r="B44" i="2"/>
  <c r="C44" i="2"/>
  <c r="I44" i="2"/>
  <c r="J44" i="2"/>
  <c r="K44" i="2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0" i="1"/>
  <c r="I44" i="1" s="1"/>
  <c r="J45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<sst xmlns="http://schemas.openxmlformats.org/spreadsheetml/2006/main" count="500" uniqueCount="180">
  <si>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</si>
  <si>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</si>
  <si>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</si>
  <si>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</si>
  <si>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</si>
  <si>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</si>
  <si>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</si>
  <si>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</si>
  <si>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</si>
  <si>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</si>
  <si>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</si>
  <si>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</si>
  <si>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</si>
  <si>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</si>
  <si>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</si>
  <si>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</si>
  <si>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</si>
  <si>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</si>
  <si>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</si>
  <si>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</si>
  <si>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</si>
  <si>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</si>
  <si>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</si>
  <si>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</si>
  <si>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</si>
  <si>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</si>
  <si>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</si>
  <si>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</si>
  <si>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</si>
  <si>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</si>
  <si>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</si>
  <si>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</si>
  <si>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</si>
  <si>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</si>
  <si>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</si>
  <si>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</si>
  <si>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</si>
  <si>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</si>
  <si>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</si>
  <si>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</si>
  <si>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</si>
  <si>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</si>
  <si>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</si>
  <si>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</si>
  <si>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</si>
  <si>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</si>
  <si>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</si>
  <si>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</si>
  <si>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</si>
  <si>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</si>
  <si>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</si>
  <si>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</si>
  <si>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</si>
  <si>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</si>
  <si>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</si>
  <si>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</si>
  <si>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</si>
  <si>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</si>
  <si>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</si>
  <si>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</si>
  <si>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</si>
  <si>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1.1</t>
  </si>
  <si>
    <t>2.9.6-1355.1368</t>
  </si>
  <si>
    <t>REPUESTOS</t>
  </si>
  <si>
    <t>CARTUCHOS DE TINTA; CODIGO: 840C 6615, USO: HEWLETT PACKARD</t>
  </si>
  <si>
    <t>UNIDAD</t>
  </si>
  <si>
    <t>2.9.6-1355.1369</t>
  </si>
  <si>
    <t>2.9.6-1355.1409</t>
  </si>
  <si>
    <t>CARTUCHOS DE TINTA; CODIGO: HP 21, USO: HEWLETT PACKARD</t>
  </si>
  <si>
    <t>2.9.6-1355.1140</t>
  </si>
  <si>
    <t>CARTUCHOS DE TINTA; CODIGO: C9352AL, DESCRIPCION: SIN VALOR, COLOR: SIN VALOR, USO: HEWLETT PACKARD</t>
  </si>
  <si>
    <t>2.9.6-401.2193</t>
  </si>
  <si>
    <t>CARTUCHOS DE TONER; CODIGO: SP 310 DNW, USO: LASER RICOH</t>
  </si>
  <si>
    <t>2.9.6-401.2377</t>
  </si>
  <si>
    <t>CARTUCHOS DE TONER; CODIGO: CF279A, USO: HEWLETT PACKARD</t>
  </si>
  <si>
    <t>2.9.6-401.932</t>
  </si>
  <si>
    <t>CARTUCHOS DE TONER; CODIGO: Q7551A, COLOR: NEGRO, DESCRIPCION: CARTUCHO TONER, USO: HEWLETT PACKARD</t>
  </si>
  <si>
    <t>2.9.6-401.2024</t>
  </si>
  <si>
    <t>CARTUCHOS DE TONER; CODIGO: MLT-D111S, USO: SAMSUNG</t>
  </si>
  <si>
    <t>2.9.6-401.2093</t>
  </si>
  <si>
    <t>CARTUCHOS DE TONER; CODIGO: SP5210DN, USO: LANIER RICOH</t>
  </si>
  <si>
    <t>2.9.6-401.2045</t>
  </si>
  <si>
    <t>CARTUCHOS DE TONER; CODIGO: TN 1060, USO: BROTHER</t>
  </si>
  <si>
    <t>2.9.6-1355.1631</t>
  </si>
  <si>
    <t>CARTUCHOS DE TINTA; CODIGO: CH561HL, USO: HEWLETT PACKARD</t>
  </si>
  <si>
    <t>2.9.6-1355.1630</t>
  </si>
  <si>
    <t>CARTUCHOS DE TINTA; CODIGO: CH562HL, USO: HEWLETT PACKARD</t>
  </si>
  <si>
    <t>2.9.6-401.1172</t>
  </si>
  <si>
    <t>CARTUCHOS DE TONER; CODIGO: CC364A, USO: HEWLETT PACKARD</t>
  </si>
  <si>
    <t>2.9.6-1355.1988</t>
  </si>
  <si>
    <t>CARTUCHOS DE TINTA; CODIGO: 664, USO: HEWLET PACKARD</t>
  </si>
  <si>
    <t>2.9.6-401.2128</t>
  </si>
  <si>
    <t>CARTUCHOS DE TONER; CODIGO: CF226A, USO: HEWLETT PACKARD</t>
  </si>
  <si>
    <t>2.9.6-401.2378</t>
  </si>
  <si>
    <t>CARTUCHOS DE TONER; CODIGO: W1105A, USO: HEWLETT PACKARD</t>
  </si>
  <si>
    <t>2.9.6-401.1136</t>
  </si>
  <si>
    <t>CARTUCHOS DE TONER; CODIGO: T1200, USO: TOSHIBA</t>
  </si>
  <si>
    <t>2.9.6-401.1289</t>
  </si>
  <si>
    <t>CARTUCHOS DE TONER; CODIGO: T 1640, USO: TOSHIBA ESTUDIO 166</t>
  </si>
  <si>
    <t>2.9.6-401.2379</t>
  </si>
  <si>
    <t>CARTUCHOS DE TONER; CODIGO: T-4530A, USO: TOSHIBA</t>
  </si>
  <si>
    <t>2.9.6-401.2328</t>
  </si>
  <si>
    <t>CARTUCHOS DE TONER; CODIGO: 74710U, USO: TOSHIBA</t>
  </si>
  <si>
    <t>CARTUCHOS DE TONER; CODIGO: 841768, USO: RICOH</t>
  </si>
  <si>
    <t>2.9.6-401.2161</t>
  </si>
  <si>
    <t>2.9.6-401.2285</t>
  </si>
  <si>
    <t>CARTUCHOS DE TONER; CODIGO: MP 301, USO: RICOH</t>
  </si>
  <si>
    <t>2.9.6-401.2380</t>
  </si>
  <si>
    <t>CARTUCHOS DE TONER; CODIGO: 408284, USO: RICOH</t>
  </si>
  <si>
    <t>2.9.6-1355.1114</t>
  </si>
  <si>
    <t>CARTUCHOS DE TINTA; CODIGO: HP74, DESCRIPCION: CARTUCHO DE TINTA, COLOR: NEGRO, USO: HEWLETT PACKARD</t>
  </si>
  <si>
    <t>2.9.6-1355.1113</t>
  </si>
  <si>
    <t>CARTUCHOS DE TINTA; CODIGO: HP75, DESCRIPCION: CARTUCHO DE TINTA, COLOR: TRICOLOR, USO: HEWLETT PACKARD</t>
  </si>
  <si>
    <t>2.9.6-401.1362</t>
  </si>
  <si>
    <t>CARTUCHOS DE TONER; CODIGO: CE285A, USO: HEWLETT PACKARD</t>
  </si>
  <si>
    <t>2.9.6-401.1859</t>
  </si>
  <si>
    <t>CARTUCHOS DE TONER; CODIGO: MLT-D101S, USO: SAMSUNG 2165</t>
  </si>
  <si>
    <t>Mantenimiento de Oferta: 45 dias habiles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</si>
  <si>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</si>
  <si>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</si>
  <si>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</si>
  <si>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</si>
  <si>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</si>
  <si>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</si>
  <si>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</si>
  <si>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</si>
  <si>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</si>
  <si>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</si>
  <si>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</si>
  <si>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</si>
  <si>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</si>
  <si>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</si>
  <si>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</si>
  <si>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</si>
  <si>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</si>
  <si>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</si>
  <si>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</si>
  <si>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</si>
  <si>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</si>
  <si>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</si>
  <si>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</si>
  <si>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</si>
  <si>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</si>
  <si>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</si>
  <si>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</si>
  <si>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</si>
  <si>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Especificidades Item N° 31:</t>
  </si>
  <si>
    <t>172 - Direccion de Administracion</t>
  </si>
  <si>
    <t>Division Patrimonio</t>
  </si>
  <si>
    <t>Adquisición de Tintas y Toners para Impresoras</t>
  </si>
  <si>
    <t>MASTER PARA DUPLICADORA RICOH - PRIPORT MASTER DX 2430 - ORIGINAL</t>
  </si>
  <si>
    <t>Especificidades Item N° 32:</t>
  </si>
  <si>
    <t>Especificidades Item N° 33:</t>
  </si>
  <si>
    <t>Plazo de entrega: 15 dias habiles</t>
  </si>
  <si>
    <t>Lugar de entrega: Division Patrimonio - Avda. Illia y Mariano Moreno de lunes a viernes en el horario de 08:00 a 12:00 horas</t>
  </si>
  <si>
    <t>2.9.6-401.2383</t>
  </si>
  <si>
    <t>2.9.2</t>
  </si>
  <si>
    <t>2.9.6-3365.85</t>
  </si>
  <si>
    <t>REP. Y ACC. P/IMPRENTA; REPUESTO: MASTER, USO: RICOH</t>
  </si>
  <si>
    <t>Utiles de Escritorio, Oficina y Enseñanza</t>
  </si>
  <si>
    <t>SI</t>
  </si>
  <si>
    <t>CARTUCHOS DE TINTA; CODIGO: HP662, USO: HP</t>
  </si>
  <si>
    <t>2.9.6-1355.1808</t>
  </si>
  <si>
    <t>TINTA COLOR - ALTERNATIVO</t>
  </si>
  <si>
    <t>TINTA NEGRA - ALTERNATIVO</t>
  </si>
  <si>
    <t>TINTA PARA DUPLICADORA RICOH PRIPORT INK DX 2430 - EDP CODE 817222 - COLOR NEGRO - ALTERNATIVO</t>
  </si>
  <si>
    <t xml:space="preserve"> </t>
  </si>
  <si>
    <t>TONER NEGRO - ORIGINAL</t>
  </si>
  <si>
    <t>TONER NEGRO - ALTERNATIVO</t>
  </si>
  <si>
    <t>TINTA NEGRA - ORIGINAL</t>
  </si>
  <si>
    <t>TONER NEGRO - ORIGINAL CON CHIPS</t>
  </si>
  <si>
    <t xml:space="preserve">CARTUCHO DE TONER NEGRO - ORIGINAL </t>
  </si>
  <si>
    <t>2.9.6-401.2386</t>
  </si>
  <si>
    <t>CARTUCHOS DE TONER; CODIGO: 56F4X00, USO: LEXMARK</t>
  </si>
  <si>
    <t>TONER NEGRO - ORIGINAL O ALTERNATIVO</t>
  </si>
  <si>
    <r>
      <t xml:space="preserve">Costo total estimado:   </t>
    </r>
    <r>
      <rPr>
        <b/>
        <sz val="10"/>
        <rFont val="Times New Roman"/>
        <family val="1"/>
      </rPr>
      <t xml:space="preserve"> PESOS TRES MILLONES TRESCIENTOS CINCUENTA Y SIETE MIL SEISCIENTOS CUATRO CON 00/100</t>
    </r>
  </si>
  <si>
    <t>117/2022</t>
  </si>
  <si>
    <t>TOTAL DE PESOS:  TRES MILLONES TRESCIENTOS CINCUENTA Y SIETE MIL SEISCIENTOS CUATRO CON 00/100</t>
  </si>
  <si>
    <t>CARTUCHOS DE TINTA; CODIGO: 840C 6625, USO: DESK JET</t>
  </si>
  <si>
    <t>CARTUCHOS DE TONER; CODIGO: EDP CODE 817222, USO: DUPLICADORA RICOH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</si>
</sst>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16"/>
      <name val="Times New Roman"/>
      <family val="1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6" fillId="0" borderId="0"/>
    <xf numFmtId="164" fontId="14" fillId="0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66" fontId="15" fillId="0" borderId="0" xfId="0" applyNumberFormat="1" applyFont="1"/>
    <xf numFmtId="0" fontId="15" fillId="0" borderId="0" xfId="0" applyFont="1" applyFill="1"/>
    <xf numFmtId="0" fontId="11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7" fillId="6" borderId="20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0" xfId="0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7">
    <cellStyle name="Encabezado 1" xfId="2"/>
    <cellStyle name="Moneda" xfId="1" builtinId="4"/>
    <cellStyle name="Moneda 2" xfId="6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49"/>
  <sheetViews>
    <sheetView topLeftCell="A40" zoomScale="85" zoomScaleNormal="85" workbookViewId="0">
      <selection activeCell="H42" sqref="H42"/>
    </sheetView>
  </sheetViews>
  <sheetFormatPr baseColWidth="10" defaultColWidth="11" defaultRowHeight="12.75" x14ac:dyDescent="0.2"/>
  <cols>
    <col min="1" max="1" width="4.5703125" style="39" customWidth="1"/>
    <col min="2" max="2" width="14.85546875" style="39" customWidth="1"/>
    <col min="3" max="3" width="15.85546875" style="39" customWidth="1"/>
    <col min="4" max="4" width="8.42578125" style="39" customWidth="1"/>
    <col min="5" max="5" width="76.140625" style="39" customWidth="1"/>
    <col min="6" max="6" width="9.28515625" style="39" customWidth="1"/>
    <col min="7" max="7" width="9.140625" style="39" customWidth="1"/>
    <col min="8" max="8" width="12.28515625" style="39" customWidth="1"/>
    <col min="9" max="9" width="13.140625" style="39" customWidth="1"/>
    <col min="10" max="16384" width="11" style="39"/>
  </cols>
  <sheetData>
    <row r="2" spans="1:11" ht="27" x14ac:dyDescent="0.35">
      <c r="B2" s="82" t="s">
        <v>0</v>
      </c>
      <c r="C2" s="82"/>
      <c r="D2" s="82"/>
      <c r="E2" s="82"/>
      <c r="F2" s="82"/>
      <c r="G2" s="82"/>
      <c r="H2" s="82"/>
    </row>
    <row r="4" spans="1:11" ht="18" customHeight="1" x14ac:dyDescent="0.25">
      <c r="A4" s="83" t="s">
        <v>1</v>
      </c>
      <c r="B4" s="83"/>
      <c r="C4" s="84" t="s">
        <v>58</v>
      </c>
      <c r="D4" s="84"/>
      <c r="E4" s="84"/>
      <c r="F4" s="40"/>
      <c r="G4" s="41"/>
      <c r="H4" s="40"/>
    </row>
    <row r="5" spans="1:11" ht="18" customHeight="1" x14ac:dyDescent="0.25">
      <c r="A5" s="83" t="s">
        <v>2</v>
      </c>
      <c r="B5" s="83"/>
      <c r="C5" s="84" t="s">
        <v>59</v>
      </c>
      <c r="D5" s="84"/>
      <c r="E5" s="84"/>
      <c r="F5" s="40"/>
      <c r="G5" s="41"/>
      <c r="H5" s="40"/>
    </row>
    <row r="6" spans="1:11" ht="16.5" customHeight="1" x14ac:dyDescent="0.25">
      <c r="A6" s="83" t="s">
        <v>3</v>
      </c>
      <c r="B6" s="83"/>
      <c r="C6" s="63">
        <v>2022</v>
      </c>
      <c r="D6" s="64"/>
      <c r="E6" s="64"/>
      <c r="F6" s="40"/>
      <c r="G6" s="41"/>
      <c r="H6" s="40"/>
    </row>
    <row r="7" spans="1:11" ht="16.5" customHeight="1" x14ac:dyDescent="0.25">
      <c r="A7" s="83" t="s">
        <v>4</v>
      </c>
      <c r="B7" s="83"/>
      <c r="C7" s="63">
        <v>4</v>
      </c>
      <c r="D7" s="64"/>
      <c r="E7" s="64"/>
      <c r="F7" s="40"/>
      <c r="G7" s="41"/>
      <c r="H7" s="40"/>
    </row>
    <row r="8" spans="1:11" ht="13.5" thickBot="1" x14ac:dyDescent="0.25">
      <c r="B8" s="40"/>
      <c r="C8" s="41"/>
      <c r="D8" s="40"/>
      <c r="E8" s="40"/>
      <c r="F8" s="40"/>
      <c r="G8" s="41"/>
      <c r="H8" s="40"/>
    </row>
    <row r="9" spans="1:11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11" ht="31.9" customHeight="1" thickBot="1" x14ac:dyDescent="0.25">
      <c r="A10" s="56">
        <v>1</v>
      </c>
      <c r="B10" s="60" t="s">
        <v>62</v>
      </c>
      <c r="C10" s="57" t="s">
        <v>63</v>
      </c>
      <c r="D10" s="58" t="s">
        <v>156</v>
      </c>
      <c r="E10" s="59" t="s">
        <v>64</v>
      </c>
      <c r="F10" s="60" t="s">
        <v>65</v>
      </c>
      <c r="G10" s="60">
        <v>4</v>
      </c>
      <c r="H10" s="61">
        <v>5301</v>
      </c>
      <c r="I10" s="62">
        <f t="shared" ref="I10:I42" si="0">G10*H10</f>
        <v>21204</v>
      </c>
    </row>
    <row r="11" spans="1:11" ht="31.9" customHeight="1" thickBot="1" x14ac:dyDescent="0.25">
      <c r="A11" s="56">
        <v>2</v>
      </c>
      <c r="B11" s="60" t="s">
        <v>66</v>
      </c>
      <c r="C11" s="57" t="s">
        <v>63</v>
      </c>
      <c r="D11" s="58" t="s">
        <v>156</v>
      </c>
      <c r="E11" s="59" t="s">
        <v>178</v>
      </c>
      <c r="F11" s="60" t="s">
        <v>65</v>
      </c>
      <c r="G11" s="60">
        <v>4</v>
      </c>
      <c r="H11" s="61">
        <v>9000</v>
      </c>
      <c r="I11" s="62">
        <f>G11*H11</f>
        <v>36000</v>
      </c>
    </row>
    <row r="12" spans="1:11" ht="31.9" customHeight="1" thickBot="1" x14ac:dyDescent="0.25">
      <c r="A12" s="56">
        <v>3</v>
      </c>
      <c r="B12" s="60" t="s">
        <v>67</v>
      </c>
      <c r="C12" s="57" t="s">
        <v>63</v>
      </c>
      <c r="D12" s="58" t="s">
        <v>156</v>
      </c>
      <c r="E12" s="59" t="s">
        <v>68</v>
      </c>
      <c r="F12" s="60" t="s">
        <v>65</v>
      </c>
      <c r="G12" s="60">
        <v>20</v>
      </c>
      <c r="H12" s="61">
        <v>4500</v>
      </c>
      <c r="I12" s="62">
        <f t="shared" si="0"/>
        <v>90000</v>
      </c>
    </row>
    <row r="13" spans="1:11" ht="31.9" customHeight="1" thickBot="1" x14ac:dyDescent="0.25">
      <c r="A13" s="56">
        <v>4</v>
      </c>
      <c r="B13" s="60" t="s">
        <v>69</v>
      </c>
      <c r="C13" s="57" t="s">
        <v>63</v>
      </c>
      <c r="D13" s="58" t="s">
        <v>156</v>
      </c>
      <c r="E13" s="59" t="s">
        <v>70</v>
      </c>
      <c r="F13" s="60" t="s">
        <v>65</v>
      </c>
      <c r="G13" s="60">
        <v>20</v>
      </c>
      <c r="H13" s="61">
        <v>3500</v>
      </c>
      <c r="I13" s="62">
        <f>G13*H13</f>
        <v>70000</v>
      </c>
    </row>
    <row r="14" spans="1:11" ht="31.9" customHeight="1" thickBot="1" x14ac:dyDescent="0.25">
      <c r="A14" s="56">
        <v>5</v>
      </c>
      <c r="B14" s="60" t="s">
        <v>71</v>
      </c>
      <c r="C14" s="57" t="s">
        <v>63</v>
      </c>
      <c r="D14" s="58" t="s">
        <v>156</v>
      </c>
      <c r="E14" s="59" t="s">
        <v>72</v>
      </c>
      <c r="F14" s="60" t="s">
        <v>65</v>
      </c>
      <c r="G14" s="60">
        <v>8</v>
      </c>
      <c r="H14" s="61">
        <v>12000</v>
      </c>
      <c r="I14" s="62">
        <f t="shared" si="0"/>
        <v>96000</v>
      </c>
      <c r="J14" s="80"/>
      <c r="K14" s="80"/>
    </row>
    <row r="15" spans="1:11" ht="31.9" customHeight="1" thickBot="1" x14ac:dyDescent="0.25">
      <c r="A15" s="56">
        <v>6</v>
      </c>
      <c r="B15" s="60" t="s">
        <v>73</v>
      </c>
      <c r="C15" s="57" t="s">
        <v>63</v>
      </c>
      <c r="D15" s="58" t="s">
        <v>156</v>
      </c>
      <c r="E15" s="59" t="s">
        <v>74</v>
      </c>
      <c r="F15" s="60" t="s">
        <v>65</v>
      </c>
      <c r="G15" s="60">
        <v>5</v>
      </c>
      <c r="H15" s="61">
        <v>4500</v>
      </c>
      <c r="I15" s="62">
        <f>G15*H15</f>
        <v>22500</v>
      </c>
      <c r="J15" s="80"/>
      <c r="K15" s="80"/>
    </row>
    <row r="16" spans="1:11" ht="31.9" customHeight="1" thickBot="1" x14ac:dyDescent="0.25">
      <c r="A16" s="56">
        <v>7</v>
      </c>
      <c r="B16" s="60" t="s">
        <v>75</v>
      </c>
      <c r="C16" s="57" t="s">
        <v>63</v>
      </c>
      <c r="D16" s="58" t="s">
        <v>156</v>
      </c>
      <c r="E16" s="59" t="s">
        <v>76</v>
      </c>
      <c r="F16" s="60" t="s">
        <v>65</v>
      </c>
      <c r="G16" s="60">
        <v>2</v>
      </c>
      <c r="H16" s="61">
        <v>11000</v>
      </c>
      <c r="I16" s="62">
        <f t="shared" si="0"/>
        <v>22000</v>
      </c>
      <c r="J16" s="80"/>
      <c r="K16" s="80"/>
    </row>
    <row r="17" spans="1:11" ht="31.9" customHeight="1" thickBot="1" x14ac:dyDescent="0.25">
      <c r="A17" s="56">
        <v>8</v>
      </c>
      <c r="B17" s="60" t="s">
        <v>77</v>
      </c>
      <c r="C17" s="57" t="s">
        <v>63</v>
      </c>
      <c r="D17" s="58" t="s">
        <v>156</v>
      </c>
      <c r="E17" s="59" t="s">
        <v>78</v>
      </c>
      <c r="F17" s="60" t="s">
        <v>65</v>
      </c>
      <c r="G17" s="60">
        <v>8</v>
      </c>
      <c r="H17" s="61">
        <v>15000</v>
      </c>
      <c r="I17" s="62">
        <f>G17*H17</f>
        <v>120000</v>
      </c>
      <c r="J17" s="80"/>
      <c r="K17" s="80"/>
    </row>
    <row r="18" spans="1:11" ht="31.9" customHeight="1" thickBot="1" x14ac:dyDescent="0.25">
      <c r="A18" s="56">
        <v>9</v>
      </c>
      <c r="B18" s="60" t="s">
        <v>79</v>
      </c>
      <c r="C18" s="57" t="s">
        <v>63</v>
      </c>
      <c r="D18" s="58" t="s">
        <v>156</v>
      </c>
      <c r="E18" s="59" t="s">
        <v>80</v>
      </c>
      <c r="F18" s="60" t="s">
        <v>65</v>
      </c>
      <c r="G18" s="60">
        <v>3</v>
      </c>
      <c r="H18" s="61">
        <v>23000</v>
      </c>
      <c r="I18" s="62">
        <f t="shared" si="0"/>
        <v>69000</v>
      </c>
      <c r="J18" s="80"/>
      <c r="K18" s="80"/>
    </row>
    <row r="19" spans="1:11" ht="31.9" customHeight="1" thickBot="1" x14ac:dyDescent="0.25">
      <c r="A19" s="56">
        <v>10</v>
      </c>
      <c r="B19" s="60" t="s">
        <v>81</v>
      </c>
      <c r="C19" s="57" t="s">
        <v>63</v>
      </c>
      <c r="D19" s="58" t="s">
        <v>156</v>
      </c>
      <c r="E19" s="59" t="s">
        <v>82</v>
      </c>
      <c r="F19" s="60" t="s">
        <v>65</v>
      </c>
      <c r="G19" s="60">
        <v>50</v>
      </c>
      <c r="H19" s="61">
        <v>2730</v>
      </c>
      <c r="I19" s="62">
        <f>G19*H19</f>
        <v>136500</v>
      </c>
      <c r="J19" s="80"/>
      <c r="K19" s="80"/>
    </row>
    <row r="20" spans="1:11" ht="31.9" customHeight="1" thickBot="1" x14ac:dyDescent="0.25">
      <c r="A20" s="56">
        <v>11</v>
      </c>
      <c r="B20" s="60" t="s">
        <v>83</v>
      </c>
      <c r="C20" s="57" t="s">
        <v>63</v>
      </c>
      <c r="D20" s="58" t="s">
        <v>156</v>
      </c>
      <c r="E20" s="59" t="s">
        <v>84</v>
      </c>
      <c r="F20" s="60" t="s">
        <v>65</v>
      </c>
      <c r="G20" s="60">
        <v>8</v>
      </c>
      <c r="H20" s="61">
        <v>3500</v>
      </c>
      <c r="I20" s="62">
        <f t="shared" si="0"/>
        <v>28000</v>
      </c>
      <c r="J20" s="80"/>
      <c r="K20" s="80"/>
    </row>
    <row r="21" spans="1:11" ht="31.9" customHeight="1" thickBot="1" x14ac:dyDescent="0.25">
      <c r="A21" s="56">
        <v>12</v>
      </c>
      <c r="B21" s="60" t="s">
        <v>85</v>
      </c>
      <c r="C21" s="57" t="s">
        <v>63</v>
      </c>
      <c r="D21" s="58" t="s">
        <v>156</v>
      </c>
      <c r="E21" s="59" t="s">
        <v>86</v>
      </c>
      <c r="F21" s="60" t="s">
        <v>65</v>
      </c>
      <c r="G21" s="60">
        <v>8</v>
      </c>
      <c r="H21" s="61">
        <v>4500</v>
      </c>
      <c r="I21" s="62">
        <f>G21*H21</f>
        <v>36000</v>
      </c>
      <c r="J21" s="80"/>
      <c r="K21" s="80"/>
    </row>
    <row r="22" spans="1:11" ht="31.9" customHeight="1" thickBot="1" x14ac:dyDescent="0.25">
      <c r="A22" s="56">
        <v>13</v>
      </c>
      <c r="B22" s="60" t="s">
        <v>87</v>
      </c>
      <c r="C22" s="57" t="s">
        <v>63</v>
      </c>
      <c r="D22" s="58" t="s">
        <v>156</v>
      </c>
      <c r="E22" s="59" t="s">
        <v>88</v>
      </c>
      <c r="F22" s="60" t="s">
        <v>65</v>
      </c>
      <c r="G22" s="60">
        <v>4</v>
      </c>
      <c r="H22" s="61">
        <v>54000</v>
      </c>
      <c r="I22" s="62">
        <f t="shared" si="0"/>
        <v>216000</v>
      </c>
      <c r="J22" s="80"/>
      <c r="K22" s="80"/>
    </row>
    <row r="23" spans="1:11" ht="31.9" customHeight="1" thickBot="1" x14ac:dyDescent="0.25">
      <c r="A23" s="56">
        <v>14</v>
      </c>
      <c r="B23" s="60" t="s">
        <v>162</v>
      </c>
      <c r="C23" s="57" t="s">
        <v>63</v>
      </c>
      <c r="D23" s="58" t="s">
        <v>156</v>
      </c>
      <c r="E23" s="59" t="s">
        <v>161</v>
      </c>
      <c r="F23" s="60" t="s">
        <v>65</v>
      </c>
      <c r="G23" s="60">
        <v>15</v>
      </c>
      <c r="H23" s="61">
        <v>6000</v>
      </c>
      <c r="I23" s="62">
        <f>G23*H23</f>
        <v>90000</v>
      </c>
      <c r="J23" s="80"/>
      <c r="K23" s="80"/>
    </row>
    <row r="24" spans="1:11" ht="31.9" customHeight="1" thickBot="1" x14ac:dyDescent="0.25">
      <c r="A24" s="56">
        <v>15</v>
      </c>
      <c r="B24" s="60" t="s">
        <v>162</v>
      </c>
      <c r="C24" s="57" t="s">
        <v>63</v>
      </c>
      <c r="D24" s="58" t="s">
        <v>156</v>
      </c>
      <c r="E24" s="59" t="s">
        <v>161</v>
      </c>
      <c r="F24" s="60" t="s">
        <v>65</v>
      </c>
      <c r="G24" s="60">
        <v>15</v>
      </c>
      <c r="H24" s="61">
        <v>6000</v>
      </c>
      <c r="I24" s="62">
        <f t="shared" si="0"/>
        <v>90000</v>
      </c>
      <c r="J24" s="80"/>
      <c r="K24" s="80"/>
    </row>
    <row r="25" spans="1:11" ht="31.9" customHeight="1" thickBot="1" x14ac:dyDescent="0.25">
      <c r="A25" s="56">
        <v>16</v>
      </c>
      <c r="B25" s="60" t="s">
        <v>89</v>
      </c>
      <c r="C25" s="57" t="s">
        <v>63</v>
      </c>
      <c r="D25" s="58" t="s">
        <v>156</v>
      </c>
      <c r="E25" s="59" t="s">
        <v>90</v>
      </c>
      <c r="F25" s="60" t="s">
        <v>65</v>
      </c>
      <c r="G25" s="60">
        <v>8</v>
      </c>
      <c r="H25" s="61">
        <v>6500</v>
      </c>
      <c r="I25" s="62">
        <f>G25*H25</f>
        <v>52000</v>
      </c>
      <c r="J25" s="80"/>
      <c r="K25" s="80"/>
    </row>
    <row r="26" spans="1:11" ht="31.9" customHeight="1" thickBot="1" x14ac:dyDescent="0.25">
      <c r="A26" s="56">
        <v>17</v>
      </c>
      <c r="B26" s="60" t="s">
        <v>89</v>
      </c>
      <c r="C26" s="57" t="s">
        <v>63</v>
      </c>
      <c r="D26" s="58" t="s">
        <v>156</v>
      </c>
      <c r="E26" s="59" t="s">
        <v>90</v>
      </c>
      <c r="F26" s="60" t="s">
        <v>65</v>
      </c>
      <c r="G26" s="60">
        <v>8</v>
      </c>
      <c r="H26" s="61">
        <v>6500</v>
      </c>
      <c r="I26" s="62">
        <f t="shared" si="0"/>
        <v>52000</v>
      </c>
      <c r="J26" s="80"/>
      <c r="K26" s="80"/>
    </row>
    <row r="27" spans="1:11" ht="31.9" customHeight="1" thickBot="1" x14ac:dyDescent="0.25">
      <c r="A27" s="56">
        <v>18</v>
      </c>
      <c r="B27" s="60" t="s">
        <v>91</v>
      </c>
      <c r="C27" s="57" t="s">
        <v>63</v>
      </c>
      <c r="D27" s="58" t="s">
        <v>156</v>
      </c>
      <c r="E27" s="59" t="s">
        <v>92</v>
      </c>
      <c r="F27" s="60" t="s">
        <v>65</v>
      </c>
      <c r="G27" s="60">
        <v>4</v>
      </c>
      <c r="H27" s="61">
        <v>42000</v>
      </c>
      <c r="I27" s="62">
        <f>G27*H27</f>
        <v>168000</v>
      </c>
      <c r="J27" s="80"/>
      <c r="K27" s="80"/>
    </row>
    <row r="28" spans="1:11" ht="31.9" customHeight="1" thickBot="1" x14ac:dyDescent="0.25">
      <c r="A28" s="56">
        <v>19</v>
      </c>
      <c r="B28" s="60" t="s">
        <v>93</v>
      </c>
      <c r="C28" s="57" t="s">
        <v>63</v>
      </c>
      <c r="D28" s="58" t="s">
        <v>156</v>
      </c>
      <c r="E28" s="59" t="s">
        <v>94</v>
      </c>
      <c r="F28" s="60" t="s">
        <v>65</v>
      </c>
      <c r="G28" s="60">
        <v>16</v>
      </c>
      <c r="H28" s="61">
        <v>25000</v>
      </c>
      <c r="I28" s="62">
        <f t="shared" si="0"/>
        <v>400000</v>
      </c>
      <c r="J28" s="80"/>
      <c r="K28" s="80"/>
    </row>
    <row r="29" spans="1:11" ht="31.9" customHeight="1" thickBot="1" x14ac:dyDescent="0.25">
      <c r="A29" s="56">
        <v>20</v>
      </c>
      <c r="B29" s="60" t="s">
        <v>95</v>
      </c>
      <c r="C29" s="57" t="s">
        <v>63</v>
      </c>
      <c r="D29" s="58" t="s">
        <v>156</v>
      </c>
      <c r="E29" s="59" t="s">
        <v>96</v>
      </c>
      <c r="F29" s="60" t="s">
        <v>65</v>
      </c>
      <c r="G29" s="60">
        <v>6</v>
      </c>
      <c r="H29" s="61">
        <v>13000</v>
      </c>
      <c r="I29" s="62">
        <f>G29*H29</f>
        <v>78000</v>
      </c>
      <c r="J29" s="80"/>
      <c r="K29" s="80"/>
    </row>
    <row r="30" spans="1:11" ht="31.9" customHeight="1" thickBot="1" x14ac:dyDescent="0.25">
      <c r="A30" s="56">
        <v>21</v>
      </c>
      <c r="B30" s="60" t="s">
        <v>97</v>
      </c>
      <c r="C30" s="57" t="s">
        <v>63</v>
      </c>
      <c r="D30" s="58" t="s">
        <v>156</v>
      </c>
      <c r="E30" s="59" t="s">
        <v>98</v>
      </c>
      <c r="F30" s="60" t="s">
        <v>65</v>
      </c>
      <c r="G30" s="60">
        <v>7</v>
      </c>
      <c r="H30" s="61">
        <v>13500</v>
      </c>
      <c r="I30" s="62">
        <f t="shared" si="0"/>
        <v>94500</v>
      </c>
      <c r="J30" s="80"/>
      <c r="K30" s="80"/>
    </row>
    <row r="31" spans="1:11" ht="31.9" customHeight="1" thickBot="1" x14ac:dyDescent="0.25">
      <c r="A31" s="56">
        <v>22</v>
      </c>
      <c r="B31" s="60" t="s">
        <v>99</v>
      </c>
      <c r="C31" s="57" t="s">
        <v>63</v>
      </c>
      <c r="D31" s="58" t="s">
        <v>156</v>
      </c>
      <c r="E31" s="59" t="s">
        <v>100</v>
      </c>
      <c r="F31" s="60" t="s">
        <v>65</v>
      </c>
      <c r="G31" s="60">
        <v>3</v>
      </c>
      <c r="H31" s="61">
        <v>22000</v>
      </c>
      <c r="I31" s="62">
        <f>G31*H31</f>
        <v>66000</v>
      </c>
      <c r="J31" s="80"/>
      <c r="K31" s="80"/>
    </row>
    <row r="32" spans="1:11" ht="31.9" customHeight="1" thickBot="1" x14ac:dyDescent="0.25">
      <c r="A32" s="56">
        <v>23</v>
      </c>
      <c r="B32" s="60" t="s">
        <v>101</v>
      </c>
      <c r="C32" s="57" t="s">
        <v>63</v>
      </c>
      <c r="D32" s="58" t="s">
        <v>156</v>
      </c>
      <c r="E32" s="59" t="s">
        <v>102</v>
      </c>
      <c r="F32" s="60" t="s">
        <v>65</v>
      </c>
      <c r="G32" s="60">
        <v>3</v>
      </c>
      <c r="H32" s="61">
        <v>13000</v>
      </c>
      <c r="I32" s="62">
        <f t="shared" si="0"/>
        <v>39000</v>
      </c>
      <c r="J32" s="80"/>
      <c r="K32" s="80"/>
    </row>
    <row r="33" spans="1:11" ht="31.9" customHeight="1" thickBot="1" x14ac:dyDescent="0.25">
      <c r="A33" s="56">
        <v>24</v>
      </c>
      <c r="B33" s="60" t="s">
        <v>104</v>
      </c>
      <c r="C33" s="57" t="s">
        <v>63</v>
      </c>
      <c r="D33" s="58" t="s">
        <v>156</v>
      </c>
      <c r="E33" s="59" t="s">
        <v>103</v>
      </c>
      <c r="F33" s="60" t="s">
        <v>65</v>
      </c>
      <c r="G33" s="60">
        <v>2</v>
      </c>
      <c r="H33" s="61">
        <v>7200</v>
      </c>
      <c r="I33" s="62">
        <f>G33*H33</f>
        <v>14400</v>
      </c>
      <c r="J33" s="80"/>
      <c r="K33" s="80"/>
    </row>
    <row r="34" spans="1:11" ht="31.9" customHeight="1" thickBot="1" x14ac:dyDescent="0.25">
      <c r="A34" s="56">
        <v>25</v>
      </c>
      <c r="B34" s="60" t="s">
        <v>105</v>
      </c>
      <c r="C34" s="57" t="s">
        <v>63</v>
      </c>
      <c r="D34" s="58" t="s">
        <v>156</v>
      </c>
      <c r="E34" s="59" t="s">
        <v>106</v>
      </c>
      <c r="F34" s="60" t="s">
        <v>65</v>
      </c>
      <c r="G34" s="60">
        <v>4</v>
      </c>
      <c r="H34" s="61">
        <v>12000</v>
      </c>
      <c r="I34" s="62">
        <f t="shared" si="0"/>
        <v>48000</v>
      </c>
      <c r="J34" s="80"/>
      <c r="K34" s="80"/>
    </row>
    <row r="35" spans="1:11" ht="38.25" customHeight="1" thickBot="1" x14ac:dyDescent="0.25">
      <c r="A35" s="56">
        <v>26</v>
      </c>
      <c r="B35" s="60" t="s">
        <v>107</v>
      </c>
      <c r="C35" s="57" t="s">
        <v>63</v>
      </c>
      <c r="D35" s="58" t="s">
        <v>156</v>
      </c>
      <c r="E35" s="59" t="s">
        <v>108</v>
      </c>
      <c r="F35" s="60" t="s">
        <v>65</v>
      </c>
      <c r="G35" s="60">
        <v>3</v>
      </c>
      <c r="H35" s="61">
        <v>19000</v>
      </c>
      <c r="I35" s="62">
        <f>G35*H35</f>
        <v>57000</v>
      </c>
      <c r="J35" s="80"/>
      <c r="K35" s="80"/>
    </row>
    <row r="36" spans="1:11" ht="47.25" customHeight="1" thickBot="1" x14ac:dyDescent="0.25">
      <c r="A36" s="56">
        <v>27</v>
      </c>
      <c r="B36" s="60" t="s">
        <v>109</v>
      </c>
      <c r="C36" s="57" t="s">
        <v>63</v>
      </c>
      <c r="D36" s="58" t="s">
        <v>156</v>
      </c>
      <c r="E36" s="59" t="s">
        <v>110</v>
      </c>
      <c r="F36" s="60" t="s">
        <v>65</v>
      </c>
      <c r="G36" s="60">
        <v>4</v>
      </c>
      <c r="H36" s="61">
        <v>5000</v>
      </c>
      <c r="I36" s="62">
        <f t="shared" si="0"/>
        <v>20000</v>
      </c>
      <c r="J36" s="80"/>
      <c r="K36" s="80"/>
    </row>
    <row r="37" spans="1:11" ht="50.25" customHeight="1" thickBot="1" x14ac:dyDescent="0.25">
      <c r="A37" s="56">
        <v>28</v>
      </c>
      <c r="B37" s="60" t="s">
        <v>111</v>
      </c>
      <c r="C37" s="57" t="s">
        <v>63</v>
      </c>
      <c r="D37" s="58" t="s">
        <v>156</v>
      </c>
      <c r="E37" s="59" t="s">
        <v>112</v>
      </c>
      <c r="F37" s="60" t="s">
        <v>65</v>
      </c>
      <c r="G37" s="60">
        <v>4</v>
      </c>
      <c r="H37" s="61">
        <v>5500</v>
      </c>
      <c r="I37" s="62">
        <f>G37*H37</f>
        <v>22000</v>
      </c>
      <c r="J37" s="80"/>
      <c r="K37" s="80"/>
    </row>
    <row r="38" spans="1:11" ht="31.9" customHeight="1" thickBot="1" x14ac:dyDescent="0.25">
      <c r="A38" s="56">
        <v>29</v>
      </c>
      <c r="B38" s="60" t="s">
        <v>172</v>
      </c>
      <c r="C38" s="57" t="s">
        <v>63</v>
      </c>
      <c r="D38" s="58" t="s">
        <v>156</v>
      </c>
      <c r="E38" s="59" t="s">
        <v>173</v>
      </c>
      <c r="F38" s="60" t="s">
        <v>65</v>
      </c>
      <c r="G38" s="60">
        <v>20</v>
      </c>
      <c r="H38" s="61">
        <v>45000</v>
      </c>
      <c r="I38" s="62">
        <f t="shared" si="0"/>
        <v>900000</v>
      </c>
      <c r="J38" s="80"/>
      <c r="K38" s="80"/>
    </row>
    <row r="39" spans="1:11" ht="31.9" customHeight="1" thickBot="1" x14ac:dyDescent="0.25">
      <c r="A39" s="56">
        <v>30</v>
      </c>
      <c r="B39" s="60" t="s">
        <v>113</v>
      </c>
      <c r="C39" s="57" t="s">
        <v>63</v>
      </c>
      <c r="D39" s="58" t="s">
        <v>156</v>
      </c>
      <c r="E39" s="59" t="s">
        <v>114</v>
      </c>
      <c r="F39" s="60" t="s">
        <v>65</v>
      </c>
      <c r="G39" s="60">
        <v>35</v>
      </c>
      <c r="H39" s="61">
        <v>1300</v>
      </c>
      <c r="I39" s="62">
        <f>G39*H39</f>
        <v>45500</v>
      </c>
      <c r="J39" s="80"/>
      <c r="K39" s="80"/>
    </row>
    <row r="40" spans="1:11" ht="31.9" customHeight="1" thickBot="1" x14ac:dyDescent="0.25">
      <c r="A40" s="56">
        <v>31</v>
      </c>
      <c r="B40" s="60" t="s">
        <v>115</v>
      </c>
      <c r="C40" s="57" t="s">
        <v>63</v>
      </c>
      <c r="D40" s="58" t="s">
        <v>156</v>
      </c>
      <c r="E40" s="59" t="s">
        <v>116</v>
      </c>
      <c r="F40" s="60" t="s">
        <v>65</v>
      </c>
      <c r="G40" s="60">
        <v>10</v>
      </c>
      <c r="H40" s="61">
        <v>1800</v>
      </c>
      <c r="I40" s="62">
        <f t="shared" si="0"/>
        <v>18000</v>
      </c>
      <c r="J40" s="80"/>
      <c r="K40" s="80"/>
    </row>
    <row r="41" spans="1:11" ht="31.9" customHeight="1" thickBot="1" x14ac:dyDescent="0.25">
      <c r="A41" s="56">
        <v>32</v>
      </c>
      <c r="B41" s="60" t="s">
        <v>155</v>
      </c>
      <c r="C41" s="57" t="s">
        <v>63</v>
      </c>
      <c r="D41" s="58" t="s">
        <v>156</v>
      </c>
      <c r="E41" s="59" t="s">
        <v>179</v>
      </c>
      <c r="F41" s="60" t="s">
        <v>65</v>
      </c>
      <c r="G41" s="60">
        <v>30</v>
      </c>
      <c r="H41" s="61">
        <v>3500</v>
      </c>
      <c r="I41" s="62">
        <f>G41*H41</f>
        <v>105000</v>
      </c>
      <c r="J41" s="80"/>
      <c r="K41" s="80"/>
    </row>
    <row r="42" spans="1:11" ht="31.9" customHeight="1" thickBot="1" x14ac:dyDescent="0.25">
      <c r="A42" s="56">
        <v>33</v>
      </c>
      <c r="B42" s="60" t="s">
        <v>157</v>
      </c>
      <c r="C42" s="57" t="s">
        <v>63</v>
      </c>
      <c r="D42" s="58" t="s">
        <v>156</v>
      </c>
      <c r="E42" s="59" t="s">
        <v>158</v>
      </c>
      <c r="F42" s="60" t="s">
        <v>65</v>
      </c>
      <c r="G42" s="60">
        <v>5</v>
      </c>
      <c r="H42" s="61">
        <v>7000</v>
      </c>
      <c r="I42" s="62">
        <f t="shared" si="0"/>
        <v>35000</v>
      </c>
      <c r="J42" s="80"/>
      <c r="K42" s="80"/>
    </row>
    <row r="43" spans="1:11" ht="13.5" thickBot="1" x14ac:dyDescent="0.25">
      <c r="J43" s="80"/>
      <c r="K43" s="80"/>
    </row>
    <row r="44" spans="1:11" ht="24.6" customHeight="1" thickBot="1" x14ac:dyDescent="0.25">
      <c r="B44" s="90" t="s">
        <v>153</v>
      </c>
      <c r="C44" s="91"/>
      <c r="D44" s="91"/>
      <c r="E44" s="92"/>
      <c r="I44" s="79">
        <f>SUM(I10:I43)</f>
        <v>3357604</v>
      </c>
      <c r="J44" s="80"/>
      <c r="K44" s="80"/>
    </row>
    <row r="45" spans="1:11" ht="48" customHeight="1" thickBot="1" x14ac:dyDescent="0.25">
      <c r="B45" s="93" t="s">
        <v>154</v>
      </c>
      <c r="C45" s="94"/>
      <c r="D45" s="94"/>
      <c r="E45" s="95"/>
      <c r="I45" s="79"/>
      <c r="J45" s="80"/>
      <c r="K45" s="80"/>
    </row>
    <row r="46" spans="1:11" ht="24.6" customHeight="1" thickBot="1" x14ac:dyDescent="0.25">
      <c r="B46" s="90" t="s">
        <v>117</v>
      </c>
      <c r="C46" s="91"/>
      <c r="D46" s="91"/>
      <c r="E46" s="92"/>
      <c r="I46" s="79"/>
      <c r="J46" s="80"/>
      <c r="K46" s="80"/>
    </row>
    <row r="47" spans="1:11" ht="13.5" thickBot="1" x14ac:dyDescent="0.25">
      <c r="J47" s="80"/>
      <c r="K47" s="80"/>
    </row>
    <row r="48" spans="1:11" x14ac:dyDescent="0.2">
      <c r="B48" s="42" t="s">
        <v>14</v>
      </c>
      <c r="C48" s="43"/>
      <c r="D48" s="43"/>
      <c r="E48" s="44"/>
      <c r="J48" s="80"/>
      <c r="K48" s="80"/>
    </row>
    <row r="49" spans="2:11" ht="5.25" customHeight="1" x14ac:dyDescent="0.2">
      <c r="B49" s="45"/>
      <c r="C49" s="46"/>
      <c r="D49" s="46"/>
      <c r="E49" s="47"/>
      <c r="J49" s="80"/>
      <c r="K49" s="80"/>
    </row>
    <row r="50" spans="2:11" x14ac:dyDescent="0.2">
      <c r="B50" s="48" t="s">
        <v>15</v>
      </c>
      <c r="C50" s="46"/>
      <c r="D50" s="46"/>
      <c r="E50" s="47"/>
      <c r="J50" s="80"/>
      <c r="K50" s="80"/>
    </row>
    <row r="51" spans="2:11" ht="41.25" customHeight="1" x14ac:dyDescent="0.2">
      <c r="B51" s="48"/>
      <c r="C51" s="85" t="s">
        <v>164</v>
      </c>
      <c r="D51" s="85"/>
      <c r="E51" s="85"/>
      <c r="J51" s="80"/>
      <c r="K51" s="80"/>
    </row>
    <row r="52" spans="2:11" x14ac:dyDescent="0.2">
      <c r="B52" s="48" t="s">
        <v>16</v>
      </c>
      <c r="C52" s="46"/>
      <c r="D52" s="46"/>
      <c r="E52" s="47"/>
      <c r="J52" s="80"/>
      <c r="K52" s="80"/>
    </row>
    <row r="53" spans="2:11" x14ac:dyDescent="0.2">
      <c r="B53" s="49"/>
      <c r="C53" s="88"/>
      <c r="D53" s="88"/>
      <c r="E53" s="88"/>
      <c r="J53" s="80"/>
      <c r="K53" s="80"/>
    </row>
    <row r="54" spans="2:11" x14ac:dyDescent="0.2">
      <c r="B54" s="49"/>
      <c r="C54" s="89"/>
      <c r="D54" s="89"/>
      <c r="E54" s="89"/>
      <c r="J54" s="80"/>
      <c r="K54" s="80"/>
    </row>
    <row r="55" spans="2:11" x14ac:dyDescent="0.2">
      <c r="B55" s="48" t="s">
        <v>17</v>
      </c>
      <c r="C55" s="46"/>
      <c r="D55" s="46"/>
      <c r="E55" s="47"/>
      <c r="J55" s="80"/>
      <c r="K55" s="80"/>
    </row>
    <row r="56" spans="2:11" ht="26.25" customHeight="1" x14ac:dyDescent="0.2">
      <c r="B56" s="49"/>
      <c r="C56" s="85"/>
      <c r="D56" s="85"/>
      <c r="E56" s="85"/>
      <c r="J56" s="80"/>
      <c r="K56" s="80"/>
    </row>
    <row r="57" spans="2:11" x14ac:dyDescent="0.2">
      <c r="B57" s="48" t="s">
        <v>18</v>
      </c>
      <c r="C57" s="50"/>
      <c r="D57" s="50"/>
      <c r="E57" s="51"/>
      <c r="J57" s="80"/>
      <c r="K57" s="80"/>
    </row>
    <row r="58" spans="2:11" ht="26.25" customHeight="1" x14ac:dyDescent="0.2">
      <c r="B58" s="49"/>
      <c r="C58" s="86"/>
      <c r="D58" s="86"/>
      <c r="E58" s="86"/>
      <c r="J58" s="80"/>
      <c r="K58" s="80"/>
    </row>
    <row r="59" spans="2:11" x14ac:dyDescent="0.2">
      <c r="B59" s="48" t="s">
        <v>19</v>
      </c>
      <c r="C59" s="46"/>
      <c r="D59" s="46"/>
      <c r="E59" s="47"/>
      <c r="J59" s="80"/>
      <c r="K59" s="80"/>
    </row>
    <row r="60" spans="2:11" ht="23.25" customHeight="1" x14ac:dyDescent="0.2">
      <c r="B60" s="48"/>
      <c r="C60" s="87"/>
      <c r="D60" s="87"/>
      <c r="E60" s="87"/>
      <c r="J60" s="80"/>
      <c r="K60" s="80"/>
    </row>
    <row r="61" spans="2:11" x14ac:dyDescent="0.2">
      <c r="B61" s="52"/>
      <c r="C61" s="53"/>
      <c r="D61" s="53"/>
      <c r="E61" s="54"/>
      <c r="J61" s="80"/>
      <c r="K61" s="80"/>
    </row>
    <row r="62" spans="2:11" ht="13.5" thickBot="1" x14ac:dyDescent="0.25">
      <c r="J62" s="80"/>
      <c r="K62" s="80"/>
    </row>
    <row r="63" spans="2:11" x14ac:dyDescent="0.2">
      <c r="B63" s="42" t="s">
        <v>20</v>
      </c>
      <c r="C63" s="43"/>
      <c r="D63" s="43"/>
      <c r="E63" s="44"/>
      <c r="J63" s="80"/>
      <c r="K63" s="80"/>
    </row>
    <row r="64" spans="2:11" ht="5.25" customHeight="1" x14ac:dyDescent="0.2">
      <c r="B64" s="45"/>
      <c r="C64" s="46"/>
      <c r="D64" s="46"/>
      <c r="E64" s="47"/>
      <c r="J64" s="80"/>
      <c r="K64" s="80"/>
    </row>
    <row r="65" spans="2:11" x14ac:dyDescent="0.2">
      <c r="B65" s="48" t="s">
        <v>15</v>
      </c>
      <c r="C65" s="46"/>
      <c r="D65" s="46"/>
      <c r="E65" s="47"/>
      <c r="J65" s="80"/>
      <c r="K65" s="80"/>
    </row>
    <row r="66" spans="2:11" ht="41.25" customHeight="1" x14ac:dyDescent="0.2">
      <c r="B66" s="48"/>
      <c r="C66" s="85" t="s">
        <v>163</v>
      </c>
      <c r="D66" s="85"/>
      <c r="E66" s="85"/>
      <c r="J66" s="80"/>
      <c r="K66" s="80"/>
    </row>
    <row r="67" spans="2:11" x14ac:dyDescent="0.2">
      <c r="B67" s="48" t="s">
        <v>16</v>
      </c>
      <c r="C67" s="46"/>
      <c r="D67" s="46"/>
      <c r="E67" s="47"/>
      <c r="J67" s="80"/>
      <c r="K67" s="80"/>
    </row>
    <row r="68" spans="2:11" x14ac:dyDescent="0.2">
      <c r="B68" s="49"/>
      <c r="C68" s="88"/>
      <c r="D68" s="88"/>
      <c r="E68" s="88"/>
      <c r="J68" s="80"/>
      <c r="K68" s="80"/>
    </row>
    <row r="69" spans="2:11" x14ac:dyDescent="0.2">
      <c r="B69" s="49"/>
      <c r="C69" s="89"/>
      <c r="D69" s="89"/>
      <c r="E69" s="89"/>
      <c r="J69" s="80"/>
      <c r="K69" s="80"/>
    </row>
    <row r="70" spans="2:11" x14ac:dyDescent="0.2">
      <c r="B70" s="48" t="s">
        <v>17</v>
      </c>
      <c r="C70" s="46"/>
      <c r="D70" s="46"/>
      <c r="E70" s="47"/>
      <c r="J70" s="80"/>
      <c r="K70" s="80"/>
    </row>
    <row r="71" spans="2:11" ht="26.25" customHeight="1" x14ac:dyDescent="0.2">
      <c r="B71" s="49"/>
      <c r="C71" s="85"/>
      <c r="D71" s="85"/>
      <c r="E71" s="85"/>
      <c r="J71" s="80"/>
      <c r="K71" s="80"/>
    </row>
    <row r="72" spans="2:11" x14ac:dyDescent="0.2">
      <c r="B72" s="48" t="s">
        <v>18</v>
      </c>
      <c r="C72" s="50"/>
      <c r="D72" s="50"/>
      <c r="E72" s="51"/>
      <c r="J72" s="80"/>
      <c r="K72" s="80"/>
    </row>
    <row r="73" spans="2:11" ht="26.25" customHeight="1" x14ac:dyDescent="0.2">
      <c r="B73" s="49"/>
      <c r="C73" s="86"/>
      <c r="D73" s="86"/>
      <c r="E73" s="86"/>
      <c r="J73" s="80"/>
      <c r="K73" s="80"/>
    </row>
    <row r="74" spans="2:11" x14ac:dyDescent="0.2">
      <c r="B74" s="48" t="s">
        <v>19</v>
      </c>
      <c r="C74" s="46"/>
      <c r="D74" s="46"/>
      <c r="E74" s="47"/>
      <c r="J74" s="80"/>
      <c r="K74" s="80"/>
    </row>
    <row r="75" spans="2:11" ht="23.25" customHeight="1" x14ac:dyDescent="0.2">
      <c r="B75" s="48"/>
      <c r="C75" s="87"/>
      <c r="D75" s="87"/>
      <c r="E75" s="87"/>
      <c r="J75" s="80"/>
      <c r="K75" s="80"/>
    </row>
    <row r="76" spans="2:11" ht="13.5" thickBot="1" x14ac:dyDescent="0.25">
      <c r="B76" s="52"/>
      <c r="C76" s="53"/>
      <c r="D76" s="53"/>
      <c r="E76" s="54"/>
      <c r="J76" s="80"/>
      <c r="K76" s="80"/>
    </row>
    <row r="77" spans="2:11" x14ac:dyDescent="0.2">
      <c r="J77" s="80"/>
      <c r="K77" s="80"/>
    </row>
    <row r="78" spans="2:11" ht="13.5" thickBot="1" x14ac:dyDescent="0.25"/>
    <row r="79" spans="2:11" x14ac:dyDescent="0.2">
      <c r="B79" s="42" t="s">
        <v>118</v>
      </c>
      <c r="C79" s="43"/>
      <c r="D79" s="43"/>
      <c r="E79" s="44"/>
    </row>
    <row r="80" spans="2:11" ht="5.25" customHeight="1" x14ac:dyDescent="0.2">
      <c r="B80" s="45"/>
      <c r="C80" s="46"/>
      <c r="D80" s="46"/>
      <c r="E80" s="47"/>
    </row>
    <row r="81" spans="2:5" x14ac:dyDescent="0.2">
      <c r="B81" s="48" t="s">
        <v>15</v>
      </c>
      <c r="C81" s="46"/>
      <c r="D81" s="46"/>
      <c r="E81" s="47"/>
    </row>
    <row r="82" spans="2:5" ht="41.25" customHeight="1" x14ac:dyDescent="0.2">
      <c r="B82" s="48"/>
      <c r="C82" s="85" t="s">
        <v>164</v>
      </c>
      <c r="D82" s="85"/>
      <c r="E82" s="85"/>
    </row>
    <row r="83" spans="2:5" x14ac:dyDescent="0.2">
      <c r="B83" s="48" t="s">
        <v>16</v>
      </c>
      <c r="C83" s="46"/>
      <c r="D83" s="46"/>
      <c r="E83" s="47"/>
    </row>
    <row r="84" spans="2:5" x14ac:dyDescent="0.2">
      <c r="B84" s="49"/>
      <c r="C84" s="88"/>
      <c r="D84" s="88"/>
      <c r="E84" s="88"/>
    </row>
    <row r="85" spans="2:5" x14ac:dyDescent="0.2">
      <c r="B85" s="49"/>
      <c r="C85" s="89"/>
      <c r="D85" s="89"/>
      <c r="E85" s="89"/>
    </row>
    <row r="86" spans="2:5" x14ac:dyDescent="0.2">
      <c r="B86" s="48" t="s">
        <v>17</v>
      </c>
      <c r="C86" s="46"/>
      <c r="D86" s="46"/>
      <c r="E86" s="47"/>
    </row>
    <row r="87" spans="2:5" ht="26.25" customHeight="1" x14ac:dyDescent="0.2">
      <c r="B87" s="49"/>
      <c r="C87" s="85"/>
      <c r="D87" s="85"/>
      <c r="E87" s="85"/>
    </row>
    <row r="88" spans="2:5" x14ac:dyDescent="0.2">
      <c r="B88" s="48" t="s">
        <v>18</v>
      </c>
      <c r="C88" s="50"/>
      <c r="D88" s="50"/>
      <c r="E88" s="51"/>
    </row>
    <row r="89" spans="2:5" ht="26.25" customHeight="1" x14ac:dyDescent="0.2">
      <c r="B89" s="49"/>
      <c r="C89" s="86"/>
      <c r="D89" s="86"/>
      <c r="E89" s="86"/>
    </row>
    <row r="90" spans="2:5" x14ac:dyDescent="0.2">
      <c r="B90" s="48" t="s">
        <v>19</v>
      </c>
      <c r="C90" s="46"/>
      <c r="D90" s="46"/>
      <c r="E90" s="47"/>
    </row>
    <row r="91" spans="2:5" ht="23.25" customHeight="1" x14ac:dyDescent="0.2">
      <c r="B91" s="48"/>
      <c r="C91" s="87"/>
      <c r="D91" s="87"/>
      <c r="E91" s="87"/>
    </row>
    <row r="92" spans="2:5" ht="13.5" thickBot="1" x14ac:dyDescent="0.25">
      <c r="B92" s="52"/>
      <c r="C92" s="53"/>
      <c r="D92" s="53"/>
      <c r="E92" s="54"/>
    </row>
    <row r="93" spans="2:5" ht="13.5" thickBot="1" x14ac:dyDescent="0.25"/>
    <row r="94" spans="2:5" x14ac:dyDescent="0.2">
      <c r="B94" s="42" t="s">
        <v>119</v>
      </c>
      <c r="C94" s="43"/>
      <c r="D94" s="43"/>
      <c r="E94" s="44"/>
    </row>
    <row r="95" spans="2:5" ht="5.25" customHeight="1" x14ac:dyDescent="0.2">
      <c r="B95" s="45"/>
      <c r="C95" s="46"/>
      <c r="D95" s="46"/>
      <c r="E95" s="47"/>
    </row>
    <row r="96" spans="2:5" x14ac:dyDescent="0.2">
      <c r="B96" s="48" t="s">
        <v>15</v>
      </c>
      <c r="C96" s="46"/>
      <c r="D96" s="46"/>
      <c r="E96" s="47"/>
    </row>
    <row r="97" spans="2:5" ht="41.25" customHeight="1" x14ac:dyDescent="0.2">
      <c r="B97" s="48"/>
      <c r="C97" s="85" t="s">
        <v>163</v>
      </c>
      <c r="D97" s="85"/>
      <c r="E97" s="85"/>
    </row>
    <row r="98" spans="2:5" x14ac:dyDescent="0.2">
      <c r="B98" s="48" t="s">
        <v>16</v>
      </c>
      <c r="C98" s="46"/>
      <c r="D98" s="46"/>
      <c r="E98" s="47"/>
    </row>
    <row r="99" spans="2:5" x14ac:dyDescent="0.2">
      <c r="B99" s="49"/>
      <c r="C99" s="88"/>
      <c r="D99" s="88"/>
      <c r="E99" s="88"/>
    </row>
    <row r="100" spans="2:5" x14ac:dyDescent="0.2">
      <c r="B100" s="49"/>
      <c r="C100" s="89"/>
      <c r="D100" s="89"/>
      <c r="E100" s="89"/>
    </row>
    <row r="101" spans="2:5" x14ac:dyDescent="0.2">
      <c r="B101" s="48" t="s">
        <v>17</v>
      </c>
      <c r="C101" s="46"/>
      <c r="D101" s="46"/>
      <c r="E101" s="47"/>
    </row>
    <row r="102" spans="2:5" ht="26.25" customHeight="1" x14ac:dyDescent="0.2">
      <c r="B102" s="49"/>
      <c r="C102" s="85"/>
      <c r="D102" s="85"/>
      <c r="E102" s="85"/>
    </row>
    <row r="103" spans="2:5" x14ac:dyDescent="0.2">
      <c r="B103" s="48" t="s">
        <v>18</v>
      </c>
      <c r="C103" s="50"/>
      <c r="D103" s="50"/>
      <c r="E103" s="51"/>
    </row>
    <row r="104" spans="2:5" ht="26.25" customHeight="1" x14ac:dyDescent="0.2">
      <c r="B104" s="49"/>
      <c r="C104" s="86"/>
      <c r="D104" s="86"/>
      <c r="E104" s="86"/>
    </row>
    <row r="105" spans="2:5" x14ac:dyDescent="0.2">
      <c r="B105" s="48" t="s">
        <v>19</v>
      </c>
      <c r="C105" s="46"/>
      <c r="D105" s="46"/>
      <c r="E105" s="47"/>
    </row>
    <row r="106" spans="2:5" ht="23.25" customHeight="1" x14ac:dyDescent="0.2">
      <c r="B106" s="48"/>
      <c r="C106" s="87"/>
      <c r="D106" s="87"/>
      <c r="E106" s="87"/>
    </row>
    <row r="107" spans="2:5" ht="13.5" thickBot="1" x14ac:dyDescent="0.25">
      <c r="B107" s="52"/>
      <c r="C107" s="53"/>
      <c r="D107" s="53"/>
      <c r="E107" s="54"/>
    </row>
    <row r="108" spans="2:5" ht="13.5" thickBot="1" x14ac:dyDescent="0.25"/>
    <row r="109" spans="2:5" x14ac:dyDescent="0.2">
      <c r="B109" s="42" t="s">
        <v>120</v>
      </c>
      <c r="C109" s="43"/>
      <c r="D109" s="43"/>
      <c r="E109" s="44"/>
    </row>
    <row r="110" spans="2:5" ht="5.25" customHeight="1" x14ac:dyDescent="0.2">
      <c r="B110" s="45"/>
      <c r="C110" s="46"/>
      <c r="D110" s="46"/>
      <c r="E110" s="47"/>
    </row>
    <row r="111" spans="2:5" x14ac:dyDescent="0.2">
      <c r="B111" s="48" t="s">
        <v>15</v>
      </c>
      <c r="C111" s="46"/>
      <c r="D111" s="46"/>
      <c r="E111" s="47"/>
    </row>
    <row r="112" spans="2:5" ht="41.25" customHeight="1" x14ac:dyDescent="0.2">
      <c r="B112" s="48"/>
      <c r="C112" s="85" t="s">
        <v>167</v>
      </c>
      <c r="D112" s="85"/>
      <c r="E112" s="85"/>
    </row>
    <row r="113" spans="2:5" x14ac:dyDescent="0.2">
      <c r="B113" s="48" t="s">
        <v>16</v>
      </c>
      <c r="C113" s="46"/>
      <c r="D113" s="46"/>
      <c r="E113" s="47"/>
    </row>
    <row r="114" spans="2:5" x14ac:dyDescent="0.2">
      <c r="B114" s="49"/>
      <c r="C114" s="88"/>
      <c r="D114" s="88"/>
      <c r="E114" s="88"/>
    </row>
    <row r="115" spans="2:5" x14ac:dyDescent="0.2">
      <c r="B115" s="49"/>
      <c r="C115" s="89"/>
      <c r="D115" s="89"/>
      <c r="E115" s="89"/>
    </row>
    <row r="116" spans="2:5" x14ac:dyDescent="0.2">
      <c r="B116" s="48" t="s">
        <v>17</v>
      </c>
      <c r="C116" s="46"/>
      <c r="D116" s="46"/>
      <c r="E116" s="47"/>
    </row>
    <row r="117" spans="2:5" ht="26.25" customHeight="1" x14ac:dyDescent="0.2">
      <c r="B117" s="49"/>
      <c r="C117" s="85"/>
      <c r="D117" s="85"/>
      <c r="E117" s="85"/>
    </row>
    <row r="118" spans="2:5" x14ac:dyDescent="0.2">
      <c r="B118" s="48" t="s">
        <v>18</v>
      </c>
      <c r="C118" s="50"/>
      <c r="D118" s="50"/>
      <c r="E118" s="51"/>
    </row>
    <row r="119" spans="2:5" ht="26.25" customHeight="1" x14ac:dyDescent="0.2">
      <c r="B119" s="49"/>
      <c r="C119" s="86"/>
      <c r="D119" s="86"/>
      <c r="E119" s="86"/>
    </row>
    <row r="120" spans="2:5" x14ac:dyDescent="0.2">
      <c r="B120" s="48" t="s">
        <v>19</v>
      </c>
      <c r="C120" s="46"/>
      <c r="D120" s="46"/>
      <c r="E120" s="47"/>
    </row>
    <row r="121" spans="2:5" ht="23.25" customHeight="1" x14ac:dyDescent="0.2">
      <c r="B121" s="48"/>
      <c r="C121" s="87"/>
      <c r="D121" s="87"/>
      <c r="E121" s="87"/>
    </row>
    <row r="122" spans="2:5" ht="13.5" thickBot="1" x14ac:dyDescent="0.25">
      <c r="B122" s="52"/>
      <c r="C122" s="53"/>
      <c r="D122" s="53"/>
      <c r="E122" s="54"/>
    </row>
    <row r="123" spans="2:5" ht="13.5" thickBot="1" x14ac:dyDescent="0.25"/>
    <row r="124" spans="2:5" x14ac:dyDescent="0.2">
      <c r="B124" s="42" t="s">
        <v>121</v>
      </c>
      <c r="C124" s="43"/>
      <c r="D124" s="43"/>
      <c r="E124" s="44"/>
    </row>
    <row r="125" spans="2:5" ht="5.25" customHeight="1" x14ac:dyDescent="0.2">
      <c r="B125" s="45"/>
      <c r="C125" s="46"/>
      <c r="D125" s="46"/>
      <c r="E125" s="47"/>
    </row>
    <row r="126" spans="2:5" x14ac:dyDescent="0.2">
      <c r="B126" s="48" t="s">
        <v>15</v>
      </c>
      <c r="C126" s="46"/>
      <c r="D126" s="46"/>
      <c r="E126" s="47"/>
    </row>
    <row r="127" spans="2:5" ht="41.25" customHeight="1" x14ac:dyDescent="0.2">
      <c r="B127" s="48"/>
      <c r="C127" s="85" t="s">
        <v>168</v>
      </c>
      <c r="D127" s="85"/>
      <c r="E127" s="85"/>
    </row>
    <row r="128" spans="2:5" x14ac:dyDescent="0.2">
      <c r="B128" s="48" t="s">
        <v>16</v>
      </c>
      <c r="C128" s="46"/>
      <c r="D128" s="46"/>
      <c r="E128" s="47"/>
    </row>
    <row r="129" spans="2:5" x14ac:dyDescent="0.2">
      <c r="B129" s="49"/>
      <c r="C129" s="88"/>
      <c r="D129" s="88"/>
      <c r="E129" s="88"/>
    </row>
    <row r="130" spans="2:5" x14ac:dyDescent="0.2">
      <c r="B130" s="49"/>
      <c r="C130" s="89"/>
      <c r="D130" s="89"/>
      <c r="E130" s="89"/>
    </row>
    <row r="131" spans="2:5" x14ac:dyDescent="0.2">
      <c r="B131" s="48" t="s">
        <v>17</v>
      </c>
      <c r="C131" s="46"/>
      <c r="D131" s="46"/>
      <c r="E131" s="47"/>
    </row>
    <row r="132" spans="2:5" ht="26.25" customHeight="1" x14ac:dyDescent="0.2">
      <c r="B132" s="49"/>
      <c r="C132" s="85"/>
      <c r="D132" s="85"/>
      <c r="E132" s="85"/>
    </row>
    <row r="133" spans="2:5" x14ac:dyDescent="0.2">
      <c r="B133" s="48" t="s">
        <v>18</v>
      </c>
      <c r="C133" s="50"/>
      <c r="D133" s="50"/>
      <c r="E133" s="51"/>
    </row>
    <row r="134" spans="2:5" ht="26.25" customHeight="1" x14ac:dyDescent="0.2">
      <c r="B134" s="49"/>
      <c r="C134" s="86"/>
      <c r="D134" s="86"/>
      <c r="E134" s="86"/>
    </row>
    <row r="135" spans="2:5" x14ac:dyDescent="0.2">
      <c r="B135" s="48" t="s">
        <v>19</v>
      </c>
      <c r="C135" s="46"/>
      <c r="D135" s="46"/>
      <c r="E135" s="47"/>
    </row>
    <row r="136" spans="2:5" ht="23.25" customHeight="1" x14ac:dyDescent="0.2">
      <c r="B136" s="48"/>
      <c r="C136" s="87"/>
      <c r="D136" s="87"/>
      <c r="E136" s="87"/>
    </row>
    <row r="137" spans="2:5" ht="13.5" thickBot="1" x14ac:dyDescent="0.25">
      <c r="B137" s="52"/>
      <c r="C137" s="53"/>
      <c r="D137" s="53"/>
      <c r="E137" s="54"/>
    </row>
    <row r="139" spans="2:5" ht="13.5" thickBot="1" x14ac:dyDescent="0.25"/>
    <row r="140" spans="2:5" x14ac:dyDescent="0.2">
      <c r="B140" s="42" t="s">
        <v>122</v>
      </c>
      <c r="C140" s="43"/>
      <c r="D140" s="43"/>
      <c r="E140" s="44"/>
    </row>
    <row r="141" spans="2:5" ht="5.25" customHeight="1" x14ac:dyDescent="0.2">
      <c r="B141" s="45"/>
      <c r="C141" s="46"/>
      <c r="D141" s="46"/>
      <c r="E141" s="47"/>
    </row>
    <row r="142" spans="2:5" x14ac:dyDescent="0.2">
      <c r="B142" s="48" t="s">
        <v>15</v>
      </c>
      <c r="C142" s="46"/>
      <c r="D142" s="46"/>
      <c r="E142" s="47"/>
    </row>
    <row r="143" spans="2:5" ht="41.25" customHeight="1" x14ac:dyDescent="0.2">
      <c r="B143" s="48"/>
      <c r="C143" s="85" t="s">
        <v>167</v>
      </c>
      <c r="D143" s="85"/>
      <c r="E143" s="85"/>
    </row>
    <row r="144" spans="2:5" x14ac:dyDescent="0.2">
      <c r="B144" s="48" t="s">
        <v>16</v>
      </c>
      <c r="C144" s="46"/>
      <c r="D144" s="46"/>
      <c r="E144" s="47"/>
    </row>
    <row r="145" spans="2:5" x14ac:dyDescent="0.2">
      <c r="B145" s="49"/>
      <c r="C145" s="88"/>
      <c r="D145" s="88"/>
      <c r="E145" s="88"/>
    </row>
    <row r="146" spans="2:5" x14ac:dyDescent="0.2">
      <c r="B146" s="49"/>
      <c r="C146" s="89"/>
      <c r="D146" s="89"/>
      <c r="E146" s="89"/>
    </row>
    <row r="147" spans="2:5" x14ac:dyDescent="0.2">
      <c r="B147" s="48" t="s">
        <v>17</v>
      </c>
      <c r="C147" s="46"/>
      <c r="D147" s="46"/>
      <c r="E147" s="47"/>
    </row>
    <row r="148" spans="2:5" ht="26.25" customHeight="1" x14ac:dyDescent="0.2">
      <c r="B148" s="49"/>
      <c r="C148" s="85"/>
      <c r="D148" s="85"/>
      <c r="E148" s="85"/>
    </row>
    <row r="149" spans="2:5" x14ac:dyDescent="0.2">
      <c r="B149" s="48" t="s">
        <v>18</v>
      </c>
      <c r="C149" s="50"/>
      <c r="D149" s="50"/>
      <c r="E149" s="51"/>
    </row>
    <row r="150" spans="2:5" ht="26.25" customHeight="1" x14ac:dyDescent="0.2">
      <c r="B150" s="49"/>
      <c r="C150" s="86"/>
      <c r="D150" s="86"/>
      <c r="E150" s="86"/>
    </row>
    <row r="151" spans="2:5" x14ac:dyDescent="0.2">
      <c r="B151" s="48" t="s">
        <v>19</v>
      </c>
      <c r="C151" s="46"/>
      <c r="D151" s="46"/>
      <c r="E151" s="47"/>
    </row>
    <row r="152" spans="2:5" ht="23.25" customHeight="1" x14ac:dyDescent="0.2">
      <c r="B152" s="48"/>
      <c r="C152" s="87"/>
      <c r="D152" s="87"/>
      <c r="E152" s="87"/>
    </row>
    <row r="153" spans="2:5" ht="13.5" thickBot="1" x14ac:dyDescent="0.25">
      <c r="B153" s="52"/>
      <c r="C153" s="53"/>
      <c r="D153" s="53"/>
      <c r="E153" s="54"/>
    </row>
    <row r="154" spans="2:5" ht="13.5" thickBot="1" x14ac:dyDescent="0.25"/>
    <row r="155" spans="2:5" x14ac:dyDescent="0.2">
      <c r="B155" s="42" t="s">
        <v>123</v>
      </c>
      <c r="C155" s="43"/>
      <c r="D155" s="43"/>
      <c r="E155" s="44"/>
    </row>
    <row r="156" spans="2:5" ht="5.25" customHeight="1" x14ac:dyDescent="0.2">
      <c r="B156" s="45"/>
      <c r="C156" s="46"/>
      <c r="D156" s="46"/>
      <c r="E156" s="47"/>
    </row>
    <row r="157" spans="2:5" x14ac:dyDescent="0.2">
      <c r="B157" s="48" t="s">
        <v>15</v>
      </c>
      <c r="C157" s="46"/>
      <c r="D157" s="46"/>
      <c r="E157" s="47"/>
    </row>
    <row r="158" spans="2:5" ht="41.25" customHeight="1" x14ac:dyDescent="0.2">
      <c r="B158" s="48"/>
      <c r="C158" s="85" t="s">
        <v>167</v>
      </c>
      <c r="D158" s="85"/>
      <c r="E158" s="85"/>
    </row>
    <row r="159" spans="2:5" x14ac:dyDescent="0.2">
      <c r="B159" s="48" t="s">
        <v>16</v>
      </c>
      <c r="C159" s="46"/>
      <c r="D159" s="46"/>
      <c r="E159" s="47"/>
    </row>
    <row r="160" spans="2:5" x14ac:dyDescent="0.2">
      <c r="B160" s="49"/>
      <c r="C160" s="88"/>
      <c r="D160" s="88"/>
      <c r="E160" s="88"/>
    </row>
    <row r="161" spans="2:5" x14ac:dyDescent="0.2">
      <c r="B161" s="49"/>
      <c r="C161" s="89"/>
      <c r="D161" s="89"/>
      <c r="E161" s="89"/>
    </row>
    <row r="162" spans="2:5" x14ac:dyDescent="0.2">
      <c r="B162" s="48" t="s">
        <v>17</v>
      </c>
      <c r="C162" s="46"/>
      <c r="D162" s="46"/>
      <c r="E162" s="47"/>
    </row>
    <row r="163" spans="2:5" ht="26.25" customHeight="1" x14ac:dyDescent="0.2">
      <c r="B163" s="49"/>
      <c r="C163" s="85"/>
      <c r="D163" s="85"/>
      <c r="E163" s="85"/>
    </row>
    <row r="164" spans="2:5" x14ac:dyDescent="0.2">
      <c r="B164" s="48" t="s">
        <v>18</v>
      </c>
      <c r="C164" s="50"/>
      <c r="D164" s="50"/>
      <c r="E164" s="51"/>
    </row>
    <row r="165" spans="2:5" ht="26.25" customHeight="1" x14ac:dyDescent="0.2">
      <c r="B165" s="49"/>
      <c r="C165" s="86"/>
      <c r="D165" s="86"/>
      <c r="E165" s="86"/>
    </row>
    <row r="166" spans="2:5" x14ac:dyDescent="0.2">
      <c r="B166" s="48" t="s">
        <v>19</v>
      </c>
      <c r="C166" s="46"/>
      <c r="D166" s="46"/>
      <c r="E166" s="47"/>
    </row>
    <row r="167" spans="2:5" ht="23.25" customHeight="1" x14ac:dyDescent="0.2">
      <c r="B167" s="48"/>
      <c r="C167" s="87"/>
      <c r="D167" s="87"/>
      <c r="E167" s="87"/>
    </row>
    <row r="168" spans="2:5" ht="13.5" thickBot="1" x14ac:dyDescent="0.25">
      <c r="B168" s="52"/>
      <c r="C168" s="53"/>
      <c r="D168" s="53"/>
      <c r="E168" s="54"/>
    </row>
    <row r="169" spans="2:5" ht="13.5" thickBot="1" x14ac:dyDescent="0.25"/>
    <row r="170" spans="2:5" x14ac:dyDescent="0.2">
      <c r="B170" s="42" t="s">
        <v>124</v>
      </c>
      <c r="C170" s="43"/>
      <c r="D170" s="43"/>
      <c r="E170" s="44"/>
    </row>
    <row r="171" spans="2:5" ht="5.25" customHeight="1" x14ac:dyDescent="0.2">
      <c r="B171" s="45"/>
      <c r="C171" s="46"/>
      <c r="D171" s="46"/>
      <c r="E171" s="47"/>
    </row>
    <row r="172" spans="2:5" x14ac:dyDescent="0.2">
      <c r="B172" s="48" t="s">
        <v>15</v>
      </c>
      <c r="C172" s="46"/>
      <c r="D172" s="46"/>
      <c r="E172" s="47"/>
    </row>
    <row r="173" spans="2:5" ht="41.25" customHeight="1" x14ac:dyDescent="0.2">
      <c r="B173" s="48"/>
      <c r="C173" s="85" t="s">
        <v>167</v>
      </c>
      <c r="D173" s="85"/>
      <c r="E173" s="85"/>
    </row>
    <row r="174" spans="2:5" x14ac:dyDescent="0.2">
      <c r="B174" s="48" t="s">
        <v>16</v>
      </c>
      <c r="C174" s="46"/>
      <c r="D174" s="46"/>
      <c r="E174" s="47"/>
    </row>
    <row r="175" spans="2:5" x14ac:dyDescent="0.2">
      <c r="B175" s="49"/>
      <c r="C175" s="88"/>
      <c r="D175" s="88"/>
      <c r="E175" s="88"/>
    </row>
    <row r="176" spans="2:5" x14ac:dyDescent="0.2">
      <c r="B176" s="49"/>
      <c r="C176" s="89"/>
      <c r="D176" s="89"/>
      <c r="E176" s="89"/>
    </row>
    <row r="177" spans="2:5" x14ac:dyDescent="0.2">
      <c r="B177" s="48" t="s">
        <v>17</v>
      </c>
      <c r="C177" s="46"/>
      <c r="D177" s="46"/>
      <c r="E177" s="47"/>
    </row>
    <row r="178" spans="2:5" ht="26.25" customHeight="1" x14ac:dyDescent="0.2">
      <c r="B178" s="49"/>
      <c r="C178" s="85"/>
      <c r="D178" s="85"/>
      <c r="E178" s="85"/>
    </row>
    <row r="179" spans="2:5" x14ac:dyDescent="0.2">
      <c r="B179" s="48" t="s">
        <v>18</v>
      </c>
      <c r="C179" s="50"/>
      <c r="D179" s="50"/>
      <c r="E179" s="51"/>
    </row>
    <row r="180" spans="2:5" ht="26.25" customHeight="1" x14ac:dyDescent="0.2">
      <c r="B180" s="49"/>
      <c r="C180" s="86"/>
      <c r="D180" s="86"/>
      <c r="E180" s="86"/>
    </row>
    <row r="181" spans="2:5" x14ac:dyDescent="0.2">
      <c r="B181" s="48" t="s">
        <v>19</v>
      </c>
      <c r="C181" s="46"/>
      <c r="D181" s="46"/>
      <c r="E181" s="47"/>
    </row>
    <row r="182" spans="2:5" ht="23.25" customHeight="1" x14ac:dyDescent="0.2">
      <c r="B182" s="48"/>
      <c r="C182" s="87"/>
      <c r="D182" s="87"/>
      <c r="E182" s="87"/>
    </row>
    <row r="183" spans="2:5" ht="13.5" thickBot="1" x14ac:dyDescent="0.25">
      <c r="B183" s="52"/>
      <c r="C183" s="53"/>
      <c r="D183" s="53"/>
      <c r="E183" s="54"/>
    </row>
    <row r="184" spans="2:5" ht="13.5" thickBot="1" x14ac:dyDescent="0.25"/>
    <row r="185" spans="2:5" x14ac:dyDescent="0.2">
      <c r="B185" s="42" t="s">
        <v>125</v>
      </c>
      <c r="C185" s="43"/>
      <c r="D185" s="43"/>
      <c r="E185" s="44"/>
    </row>
    <row r="186" spans="2:5" ht="5.25" customHeight="1" x14ac:dyDescent="0.2">
      <c r="B186" s="45"/>
      <c r="C186" s="46"/>
      <c r="D186" s="46"/>
      <c r="E186" s="47"/>
    </row>
    <row r="187" spans="2:5" x14ac:dyDescent="0.2">
      <c r="B187" s="48" t="s">
        <v>15</v>
      </c>
      <c r="C187" s="46"/>
      <c r="D187" s="46"/>
      <c r="E187" s="47"/>
    </row>
    <row r="188" spans="2:5" ht="41.25" customHeight="1" x14ac:dyDescent="0.2">
      <c r="B188" s="48"/>
      <c r="C188" s="85" t="s">
        <v>168</v>
      </c>
      <c r="D188" s="85"/>
      <c r="E188" s="85"/>
    </row>
    <row r="189" spans="2:5" x14ac:dyDescent="0.2">
      <c r="B189" s="48" t="s">
        <v>16</v>
      </c>
      <c r="C189" s="46"/>
      <c r="D189" s="46"/>
      <c r="E189" s="47"/>
    </row>
    <row r="190" spans="2:5" x14ac:dyDescent="0.2">
      <c r="B190" s="49"/>
      <c r="C190" s="88"/>
      <c r="D190" s="88"/>
      <c r="E190" s="88"/>
    </row>
    <row r="191" spans="2:5" x14ac:dyDescent="0.2">
      <c r="B191" s="49"/>
      <c r="C191" s="89"/>
      <c r="D191" s="89"/>
      <c r="E191" s="89"/>
    </row>
    <row r="192" spans="2:5" x14ac:dyDescent="0.2">
      <c r="B192" s="48" t="s">
        <v>17</v>
      </c>
      <c r="C192" s="46"/>
      <c r="D192" s="46"/>
      <c r="E192" s="47"/>
    </row>
    <row r="193" spans="2:5" ht="26.25" customHeight="1" x14ac:dyDescent="0.2">
      <c r="B193" s="49"/>
      <c r="C193" s="85"/>
      <c r="D193" s="85"/>
      <c r="E193" s="85"/>
    </row>
    <row r="194" spans="2:5" x14ac:dyDescent="0.2">
      <c r="B194" s="48" t="s">
        <v>18</v>
      </c>
      <c r="C194" s="50"/>
      <c r="D194" s="50"/>
      <c r="E194" s="51"/>
    </row>
    <row r="195" spans="2:5" ht="26.25" customHeight="1" x14ac:dyDescent="0.2">
      <c r="B195" s="49"/>
      <c r="C195" s="86"/>
      <c r="D195" s="86"/>
      <c r="E195" s="86"/>
    </row>
    <row r="196" spans="2:5" x14ac:dyDescent="0.2">
      <c r="B196" s="48" t="s">
        <v>19</v>
      </c>
      <c r="C196" s="46"/>
      <c r="D196" s="46"/>
      <c r="E196" s="47"/>
    </row>
    <row r="197" spans="2:5" ht="23.25" customHeight="1" x14ac:dyDescent="0.2">
      <c r="B197" s="48"/>
      <c r="C197" s="87"/>
      <c r="D197" s="87"/>
      <c r="E197" s="87"/>
    </row>
    <row r="198" spans="2:5" ht="13.5" thickBot="1" x14ac:dyDescent="0.25">
      <c r="B198" s="52"/>
      <c r="C198" s="53"/>
      <c r="D198" s="53"/>
      <c r="E198" s="54"/>
    </row>
    <row r="200" spans="2:5" ht="13.5" thickBot="1" x14ac:dyDescent="0.25"/>
    <row r="201" spans="2:5" x14ac:dyDescent="0.2">
      <c r="B201" s="42" t="s">
        <v>126</v>
      </c>
      <c r="C201" s="43"/>
      <c r="D201" s="43"/>
      <c r="E201" s="44"/>
    </row>
    <row r="202" spans="2:5" ht="5.25" customHeight="1" x14ac:dyDescent="0.2">
      <c r="B202" s="45"/>
      <c r="C202" s="46"/>
      <c r="D202" s="46"/>
      <c r="E202" s="47"/>
    </row>
    <row r="203" spans="2:5" x14ac:dyDescent="0.2">
      <c r="B203" s="48" t="s">
        <v>15</v>
      </c>
      <c r="C203" s="46"/>
      <c r="D203" s="46"/>
      <c r="E203" s="47"/>
    </row>
    <row r="204" spans="2:5" ht="41.25" customHeight="1" x14ac:dyDescent="0.2">
      <c r="B204" s="48"/>
      <c r="C204" s="85" t="s">
        <v>164</v>
      </c>
      <c r="D204" s="85"/>
      <c r="E204" s="85"/>
    </row>
    <row r="205" spans="2:5" x14ac:dyDescent="0.2">
      <c r="B205" s="48" t="s">
        <v>16</v>
      </c>
      <c r="C205" s="46"/>
      <c r="D205" s="46"/>
      <c r="E205" s="47"/>
    </row>
    <row r="206" spans="2:5" x14ac:dyDescent="0.2">
      <c r="B206" s="49"/>
      <c r="C206" s="88"/>
      <c r="D206" s="88"/>
      <c r="E206" s="88"/>
    </row>
    <row r="207" spans="2:5" x14ac:dyDescent="0.2">
      <c r="B207" s="49"/>
      <c r="C207" s="89"/>
      <c r="D207" s="89"/>
      <c r="E207" s="89"/>
    </row>
    <row r="208" spans="2:5" x14ac:dyDescent="0.2">
      <c r="B208" s="48" t="s">
        <v>17</v>
      </c>
      <c r="C208" s="46"/>
      <c r="D208" s="46"/>
      <c r="E208" s="47"/>
    </row>
    <row r="209" spans="2:5" ht="26.25" customHeight="1" x14ac:dyDescent="0.2">
      <c r="B209" s="49"/>
      <c r="C209" s="85"/>
      <c r="D209" s="85"/>
      <c r="E209" s="85"/>
    </row>
    <row r="210" spans="2:5" x14ac:dyDescent="0.2">
      <c r="B210" s="48" t="s">
        <v>18</v>
      </c>
      <c r="C210" s="50"/>
      <c r="D210" s="50"/>
      <c r="E210" s="51"/>
    </row>
    <row r="211" spans="2:5" ht="26.25" customHeight="1" x14ac:dyDescent="0.2">
      <c r="B211" s="49"/>
      <c r="C211" s="86"/>
      <c r="D211" s="86"/>
      <c r="E211" s="86"/>
    </row>
    <row r="212" spans="2:5" x14ac:dyDescent="0.2">
      <c r="B212" s="48" t="s">
        <v>19</v>
      </c>
      <c r="C212" s="46"/>
      <c r="D212" s="46"/>
      <c r="E212" s="47"/>
    </row>
    <row r="213" spans="2:5" ht="23.25" customHeight="1" x14ac:dyDescent="0.2">
      <c r="B213" s="48"/>
      <c r="C213" s="87"/>
      <c r="D213" s="87"/>
      <c r="E213" s="87"/>
    </row>
    <row r="214" spans="2:5" ht="13.5" thickBot="1" x14ac:dyDescent="0.25">
      <c r="B214" s="52"/>
      <c r="C214" s="53"/>
      <c r="D214" s="53"/>
      <c r="E214" s="54"/>
    </row>
    <row r="215" spans="2:5" ht="13.5" thickBot="1" x14ac:dyDescent="0.25"/>
    <row r="216" spans="2:5" x14ac:dyDescent="0.2">
      <c r="B216" s="42" t="s">
        <v>127</v>
      </c>
      <c r="C216" s="43"/>
      <c r="D216" s="43"/>
      <c r="E216" s="44"/>
    </row>
    <row r="217" spans="2:5" ht="5.25" customHeight="1" x14ac:dyDescent="0.2">
      <c r="B217" s="45"/>
      <c r="C217" s="46"/>
      <c r="D217" s="46"/>
      <c r="E217" s="47"/>
    </row>
    <row r="218" spans="2:5" x14ac:dyDescent="0.2">
      <c r="B218" s="48" t="s">
        <v>15</v>
      </c>
      <c r="C218" s="46"/>
      <c r="D218" s="46"/>
      <c r="E218" s="47"/>
    </row>
    <row r="219" spans="2:5" ht="41.25" customHeight="1" x14ac:dyDescent="0.2">
      <c r="B219" s="48"/>
      <c r="C219" s="85" t="s">
        <v>163</v>
      </c>
      <c r="D219" s="85"/>
      <c r="E219" s="85"/>
    </row>
    <row r="220" spans="2:5" x14ac:dyDescent="0.2">
      <c r="B220" s="48" t="s">
        <v>16</v>
      </c>
      <c r="C220" s="46"/>
      <c r="D220" s="46"/>
      <c r="E220" s="47"/>
    </row>
    <row r="221" spans="2:5" x14ac:dyDescent="0.2">
      <c r="B221" s="49"/>
      <c r="C221" s="88"/>
      <c r="D221" s="88"/>
      <c r="E221" s="88"/>
    </row>
    <row r="222" spans="2:5" x14ac:dyDescent="0.2">
      <c r="B222" s="49"/>
      <c r="C222" s="89"/>
      <c r="D222" s="89"/>
      <c r="E222" s="89"/>
    </row>
    <row r="223" spans="2:5" x14ac:dyDescent="0.2">
      <c r="B223" s="48" t="s">
        <v>17</v>
      </c>
      <c r="C223" s="46"/>
      <c r="D223" s="46"/>
      <c r="E223" s="47"/>
    </row>
    <row r="224" spans="2:5" ht="26.25" customHeight="1" x14ac:dyDescent="0.2">
      <c r="B224" s="49"/>
      <c r="C224" s="85"/>
      <c r="D224" s="85"/>
      <c r="E224" s="85"/>
    </row>
    <row r="225" spans="2:5" x14ac:dyDescent="0.2">
      <c r="B225" s="48" t="s">
        <v>18</v>
      </c>
      <c r="C225" s="50"/>
      <c r="D225" s="50"/>
      <c r="E225" s="51"/>
    </row>
    <row r="226" spans="2:5" ht="26.25" customHeight="1" x14ac:dyDescent="0.2">
      <c r="B226" s="49"/>
      <c r="C226" s="86"/>
      <c r="D226" s="86"/>
      <c r="E226" s="86"/>
    </row>
    <row r="227" spans="2:5" x14ac:dyDescent="0.2">
      <c r="B227" s="48" t="s">
        <v>19</v>
      </c>
      <c r="C227" s="46"/>
      <c r="D227" s="46"/>
      <c r="E227" s="47"/>
    </row>
    <row r="228" spans="2:5" ht="23.25" customHeight="1" x14ac:dyDescent="0.2">
      <c r="B228" s="48"/>
      <c r="C228" s="87"/>
      <c r="D228" s="87"/>
      <c r="E228" s="87"/>
    </row>
    <row r="229" spans="2:5" ht="13.5" thickBot="1" x14ac:dyDescent="0.25">
      <c r="B229" s="52"/>
      <c r="C229" s="53"/>
      <c r="D229" s="53"/>
      <c r="E229" s="54"/>
    </row>
    <row r="230" spans="2:5" ht="13.5" thickBot="1" x14ac:dyDescent="0.25"/>
    <row r="231" spans="2:5" x14ac:dyDescent="0.2">
      <c r="B231" s="42" t="s">
        <v>128</v>
      </c>
      <c r="C231" s="43"/>
      <c r="D231" s="43"/>
      <c r="E231" s="44"/>
    </row>
    <row r="232" spans="2:5" ht="5.25" customHeight="1" x14ac:dyDescent="0.2">
      <c r="B232" s="45"/>
      <c r="C232" s="46"/>
      <c r="D232" s="46"/>
      <c r="E232" s="47"/>
    </row>
    <row r="233" spans="2:5" x14ac:dyDescent="0.2">
      <c r="B233" s="48" t="s">
        <v>15</v>
      </c>
      <c r="C233" s="46"/>
      <c r="D233" s="46"/>
      <c r="E233" s="47"/>
    </row>
    <row r="234" spans="2:5" ht="41.25" customHeight="1" x14ac:dyDescent="0.2">
      <c r="B234" s="48"/>
      <c r="C234" s="85" t="s">
        <v>167</v>
      </c>
      <c r="D234" s="85"/>
      <c r="E234" s="85"/>
    </row>
    <row r="235" spans="2:5" x14ac:dyDescent="0.2">
      <c r="B235" s="48" t="s">
        <v>16</v>
      </c>
      <c r="C235" s="46"/>
      <c r="D235" s="46"/>
      <c r="E235" s="47"/>
    </row>
    <row r="236" spans="2:5" x14ac:dyDescent="0.2">
      <c r="B236" s="49"/>
      <c r="C236" s="88"/>
      <c r="D236" s="88"/>
      <c r="E236" s="88"/>
    </row>
    <row r="237" spans="2:5" x14ac:dyDescent="0.2">
      <c r="B237" s="49"/>
      <c r="C237" s="89"/>
      <c r="D237" s="89"/>
      <c r="E237" s="89"/>
    </row>
    <row r="238" spans="2:5" x14ac:dyDescent="0.2">
      <c r="B238" s="48" t="s">
        <v>17</v>
      </c>
      <c r="C238" s="46"/>
      <c r="D238" s="46"/>
      <c r="E238" s="47"/>
    </row>
    <row r="239" spans="2:5" ht="26.25" customHeight="1" x14ac:dyDescent="0.2">
      <c r="B239" s="49"/>
      <c r="C239" s="85"/>
      <c r="D239" s="85"/>
      <c r="E239" s="85"/>
    </row>
    <row r="240" spans="2:5" x14ac:dyDescent="0.2">
      <c r="B240" s="48" t="s">
        <v>18</v>
      </c>
      <c r="C240" s="50"/>
      <c r="D240" s="50"/>
      <c r="E240" s="51"/>
    </row>
    <row r="241" spans="2:5" ht="26.25" customHeight="1" x14ac:dyDescent="0.2">
      <c r="B241" s="49"/>
      <c r="C241" s="86"/>
      <c r="D241" s="86"/>
      <c r="E241" s="86"/>
    </row>
    <row r="242" spans="2:5" x14ac:dyDescent="0.2">
      <c r="B242" s="48" t="s">
        <v>19</v>
      </c>
      <c r="C242" s="46"/>
      <c r="D242" s="46"/>
      <c r="E242" s="47"/>
    </row>
    <row r="243" spans="2:5" ht="23.25" customHeight="1" x14ac:dyDescent="0.2">
      <c r="B243" s="48"/>
      <c r="C243" s="87"/>
      <c r="D243" s="87"/>
      <c r="E243" s="87"/>
    </row>
    <row r="244" spans="2:5" ht="13.5" thickBot="1" x14ac:dyDescent="0.25">
      <c r="B244" s="52"/>
      <c r="C244" s="53"/>
      <c r="D244" s="53"/>
      <c r="E244" s="54"/>
    </row>
    <row r="245" spans="2:5" ht="13.5" thickBot="1" x14ac:dyDescent="0.25"/>
    <row r="246" spans="2:5" x14ac:dyDescent="0.2">
      <c r="B246" s="42" t="s">
        <v>129</v>
      </c>
      <c r="C246" s="43"/>
      <c r="D246" s="43"/>
      <c r="E246" s="44"/>
    </row>
    <row r="247" spans="2:5" ht="5.25" customHeight="1" x14ac:dyDescent="0.2">
      <c r="B247" s="45"/>
      <c r="C247" s="46"/>
      <c r="D247" s="46"/>
      <c r="E247" s="47"/>
    </row>
    <row r="248" spans="2:5" x14ac:dyDescent="0.2">
      <c r="B248" s="48" t="s">
        <v>15</v>
      </c>
      <c r="C248" s="46"/>
      <c r="D248" s="46"/>
      <c r="E248" s="47"/>
    </row>
    <row r="249" spans="2:5" ht="41.25" customHeight="1" x14ac:dyDescent="0.2">
      <c r="B249" s="48"/>
      <c r="C249" s="85" t="s">
        <v>164</v>
      </c>
      <c r="D249" s="85"/>
      <c r="E249" s="85"/>
    </row>
    <row r="250" spans="2:5" x14ac:dyDescent="0.2">
      <c r="B250" s="48" t="s">
        <v>16</v>
      </c>
      <c r="C250" s="46"/>
      <c r="D250" s="46"/>
      <c r="E250" s="47"/>
    </row>
    <row r="251" spans="2:5" x14ac:dyDescent="0.2">
      <c r="B251" s="49"/>
      <c r="C251" s="88"/>
      <c r="D251" s="88"/>
      <c r="E251" s="88"/>
    </row>
    <row r="252" spans="2:5" x14ac:dyDescent="0.2">
      <c r="B252" s="49"/>
      <c r="C252" s="89"/>
      <c r="D252" s="89"/>
      <c r="E252" s="89"/>
    </row>
    <row r="253" spans="2:5" x14ac:dyDescent="0.2">
      <c r="B253" s="48" t="s">
        <v>17</v>
      </c>
      <c r="C253" s="46"/>
      <c r="D253" s="46"/>
      <c r="E253" s="47"/>
    </row>
    <row r="254" spans="2:5" ht="26.25" customHeight="1" x14ac:dyDescent="0.2">
      <c r="B254" s="49"/>
      <c r="C254" s="85"/>
      <c r="D254" s="85"/>
      <c r="E254" s="85"/>
    </row>
    <row r="255" spans="2:5" x14ac:dyDescent="0.2">
      <c r="B255" s="48" t="s">
        <v>18</v>
      </c>
      <c r="C255" s="50"/>
      <c r="D255" s="50"/>
      <c r="E255" s="51"/>
    </row>
    <row r="256" spans="2:5" ht="26.25" customHeight="1" x14ac:dyDescent="0.2">
      <c r="B256" s="49"/>
      <c r="C256" s="86"/>
      <c r="D256" s="86"/>
      <c r="E256" s="86"/>
    </row>
    <row r="257" spans="2:5" x14ac:dyDescent="0.2">
      <c r="B257" s="48" t="s">
        <v>19</v>
      </c>
      <c r="C257" s="46"/>
      <c r="D257" s="46"/>
      <c r="E257" s="47"/>
    </row>
    <row r="258" spans="2:5" ht="23.25" customHeight="1" x14ac:dyDescent="0.2">
      <c r="B258" s="48"/>
      <c r="C258" s="87"/>
      <c r="D258" s="87"/>
      <c r="E258" s="87"/>
    </row>
    <row r="259" spans="2:5" ht="13.5" thickBot="1" x14ac:dyDescent="0.25">
      <c r="B259" s="52"/>
      <c r="C259" s="53"/>
      <c r="D259" s="53"/>
      <c r="E259" s="54"/>
    </row>
    <row r="261" spans="2:5" ht="13.5" thickBot="1" x14ac:dyDescent="0.25"/>
    <row r="262" spans="2:5" x14ac:dyDescent="0.2">
      <c r="B262" s="42" t="s">
        <v>130</v>
      </c>
      <c r="C262" s="43"/>
      <c r="D262" s="43"/>
      <c r="E262" s="44"/>
    </row>
    <row r="263" spans="2:5" ht="5.25" customHeight="1" x14ac:dyDescent="0.2">
      <c r="B263" s="45"/>
      <c r="C263" s="46"/>
      <c r="D263" s="46"/>
      <c r="E263" s="47"/>
    </row>
    <row r="264" spans="2:5" x14ac:dyDescent="0.2">
      <c r="B264" s="48" t="s">
        <v>15</v>
      </c>
      <c r="C264" s="46"/>
      <c r="D264" s="46"/>
      <c r="E264" s="47"/>
    </row>
    <row r="265" spans="2:5" ht="41.25" customHeight="1" x14ac:dyDescent="0.2">
      <c r="B265" s="48"/>
      <c r="C265" s="85" t="s">
        <v>163</v>
      </c>
      <c r="D265" s="85"/>
      <c r="E265" s="85"/>
    </row>
    <row r="266" spans="2:5" x14ac:dyDescent="0.2">
      <c r="B266" s="48" t="s">
        <v>16</v>
      </c>
      <c r="C266" s="46"/>
      <c r="D266" s="46"/>
      <c r="E266" s="47"/>
    </row>
    <row r="267" spans="2:5" x14ac:dyDescent="0.2">
      <c r="B267" s="49"/>
      <c r="C267" s="88"/>
      <c r="D267" s="88"/>
      <c r="E267" s="88"/>
    </row>
    <row r="268" spans="2:5" x14ac:dyDescent="0.2">
      <c r="B268" s="49"/>
      <c r="C268" s="89"/>
      <c r="D268" s="89"/>
      <c r="E268" s="89"/>
    </row>
    <row r="269" spans="2:5" x14ac:dyDescent="0.2">
      <c r="B269" s="48" t="s">
        <v>17</v>
      </c>
      <c r="C269" s="46"/>
      <c r="D269" s="46"/>
      <c r="E269" s="47"/>
    </row>
    <row r="270" spans="2:5" ht="26.25" customHeight="1" x14ac:dyDescent="0.2">
      <c r="B270" s="49"/>
      <c r="C270" s="85"/>
      <c r="D270" s="85"/>
      <c r="E270" s="85"/>
    </row>
    <row r="271" spans="2:5" x14ac:dyDescent="0.2">
      <c r="B271" s="48" t="s">
        <v>18</v>
      </c>
      <c r="C271" s="50"/>
      <c r="D271" s="50"/>
      <c r="E271" s="51"/>
    </row>
    <row r="272" spans="2:5" ht="26.25" customHeight="1" x14ac:dyDescent="0.2">
      <c r="B272" s="49"/>
      <c r="C272" s="86"/>
      <c r="D272" s="86"/>
      <c r="E272" s="86"/>
    </row>
    <row r="273" spans="2:5" x14ac:dyDescent="0.2">
      <c r="B273" s="48" t="s">
        <v>19</v>
      </c>
      <c r="C273" s="46"/>
      <c r="D273" s="46"/>
      <c r="E273" s="47"/>
    </row>
    <row r="274" spans="2:5" ht="23.25" customHeight="1" x14ac:dyDescent="0.2">
      <c r="B274" s="48"/>
      <c r="C274" s="87"/>
      <c r="D274" s="87"/>
      <c r="E274" s="87"/>
    </row>
    <row r="275" spans="2:5" ht="13.5" thickBot="1" x14ac:dyDescent="0.25">
      <c r="B275" s="52"/>
      <c r="C275" s="53"/>
      <c r="D275" s="53"/>
      <c r="E275" s="54"/>
    </row>
    <row r="276" spans="2:5" ht="13.5" thickBot="1" x14ac:dyDescent="0.25"/>
    <row r="277" spans="2:5" x14ac:dyDescent="0.2">
      <c r="B277" s="42" t="s">
        <v>131</v>
      </c>
      <c r="C277" s="43"/>
      <c r="D277" s="43"/>
      <c r="E277" s="44"/>
    </row>
    <row r="278" spans="2:5" ht="5.25" customHeight="1" x14ac:dyDescent="0.2">
      <c r="B278" s="45"/>
      <c r="C278" s="46"/>
      <c r="D278" s="46"/>
      <c r="E278" s="47"/>
    </row>
    <row r="279" spans="2:5" x14ac:dyDescent="0.2">
      <c r="B279" s="48" t="s">
        <v>15</v>
      </c>
      <c r="C279" s="46"/>
      <c r="D279" s="46"/>
      <c r="E279" s="47"/>
    </row>
    <row r="280" spans="2:5" ht="41.25" customHeight="1" x14ac:dyDescent="0.2">
      <c r="B280" s="48"/>
      <c r="C280" s="85" t="s">
        <v>164</v>
      </c>
      <c r="D280" s="85"/>
      <c r="E280" s="85"/>
    </row>
    <row r="281" spans="2:5" x14ac:dyDescent="0.2">
      <c r="B281" s="48" t="s">
        <v>16</v>
      </c>
      <c r="C281" s="46"/>
      <c r="D281" s="46"/>
      <c r="E281" s="47"/>
    </row>
    <row r="282" spans="2:5" x14ac:dyDescent="0.2">
      <c r="B282" s="49"/>
      <c r="C282" s="88"/>
      <c r="D282" s="88"/>
      <c r="E282" s="88"/>
    </row>
    <row r="283" spans="2:5" x14ac:dyDescent="0.2">
      <c r="B283" s="49"/>
      <c r="C283" s="89"/>
      <c r="D283" s="89"/>
      <c r="E283" s="89"/>
    </row>
    <row r="284" spans="2:5" x14ac:dyDescent="0.2">
      <c r="B284" s="48" t="s">
        <v>17</v>
      </c>
      <c r="C284" s="46"/>
      <c r="D284" s="46"/>
      <c r="E284" s="47"/>
    </row>
    <row r="285" spans="2:5" ht="26.25" customHeight="1" x14ac:dyDescent="0.2">
      <c r="B285" s="49"/>
      <c r="C285" s="85"/>
      <c r="D285" s="85"/>
      <c r="E285" s="85"/>
    </row>
    <row r="286" spans="2:5" x14ac:dyDescent="0.2">
      <c r="B286" s="48" t="s">
        <v>18</v>
      </c>
      <c r="C286" s="50"/>
      <c r="D286" s="50"/>
      <c r="E286" s="51"/>
    </row>
    <row r="287" spans="2:5" ht="26.25" customHeight="1" x14ac:dyDescent="0.2">
      <c r="B287" s="49"/>
      <c r="C287" s="86"/>
      <c r="D287" s="86"/>
      <c r="E287" s="86"/>
    </row>
    <row r="288" spans="2:5" x14ac:dyDescent="0.2">
      <c r="B288" s="48" t="s">
        <v>19</v>
      </c>
      <c r="C288" s="46"/>
      <c r="D288" s="46"/>
      <c r="E288" s="47"/>
    </row>
    <row r="289" spans="2:5" ht="23.25" customHeight="1" x14ac:dyDescent="0.2">
      <c r="B289" s="48"/>
      <c r="C289" s="87"/>
      <c r="D289" s="87"/>
      <c r="E289" s="87"/>
    </row>
    <row r="290" spans="2:5" ht="13.5" thickBot="1" x14ac:dyDescent="0.25">
      <c r="B290" s="52"/>
      <c r="C290" s="53"/>
      <c r="D290" s="53"/>
      <c r="E290" s="54"/>
    </row>
    <row r="291" spans="2:5" ht="13.5" thickBot="1" x14ac:dyDescent="0.25"/>
    <row r="292" spans="2:5" x14ac:dyDescent="0.2">
      <c r="B292" s="42" t="s">
        <v>132</v>
      </c>
      <c r="C292" s="43"/>
      <c r="D292" s="43"/>
      <c r="E292" s="44"/>
    </row>
    <row r="293" spans="2:5" ht="5.25" customHeight="1" x14ac:dyDescent="0.2">
      <c r="B293" s="45"/>
      <c r="C293" s="46"/>
      <c r="D293" s="46"/>
      <c r="E293" s="47"/>
    </row>
    <row r="294" spans="2:5" x14ac:dyDescent="0.2">
      <c r="B294" s="48" t="s">
        <v>15</v>
      </c>
      <c r="C294" s="46"/>
      <c r="D294" s="46"/>
      <c r="E294" s="47"/>
    </row>
    <row r="295" spans="2:5" ht="41.25" customHeight="1" x14ac:dyDescent="0.2">
      <c r="B295" s="48"/>
      <c r="C295" s="85" t="s">
        <v>163</v>
      </c>
      <c r="D295" s="85"/>
      <c r="E295" s="85"/>
    </row>
    <row r="296" spans="2:5" x14ac:dyDescent="0.2">
      <c r="B296" s="48" t="s">
        <v>16</v>
      </c>
      <c r="C296" s="46"/>
      <c r="D296" s="46"/>
      <c r="E296" s="47"/>
    </row>
    <row r="297" spans="2:5" x14ac:dyDescent="0.2">
      <c r="B297" s="49"/>
      <c r="C297" s="88"/>
      <c r="D297" s="88"/>
      <c r="E297" s="88"/>
    </row>
    <row r="298" spans="2:5" x14ac:dyDescent="0.2">
      <c r="B298" s="49"/>
      <c r="C298" s="89"/>
      <c r="D298" s="89"/>
      <c r="E298" s="89"/>
    </row>
    <row r="299" spans="2:5" x14ac:dyDescent="0.2">
      <c r="B299" s="48" t="s">
        <v>17</v>
      </c>
      <c r="C299" s="46"/>
      <c r="D299" s="46"/>
      <c r="E299" s="47"/>
    </row>
    <row r="300" spans="2:5" ht="26.25" customHeight="1" x14ac:dyDescent="0.2">
      <c r="B300" s="49"/>
      <c r="C300" s="85"/>
      <c r="D300" s="85"/>
      <c r="E300" s="85"/>
    </row>
    <row r="301" spans="2:5" x14ac:dyDescent="0.2">
      <c r="B301" s="48" t="s">
        <v>18</v>
      </c>
      <c r="C301" s="50"/>
      <c r="D301" s="50"/>
      <c r="E301" s="51"/>
    </row>
    <row r="302" spans="2:5" ht="26.25" customHeight="1" x14ac:dyDescent="0.2">
      <c r="B302" s="49"/>
      <c r="C302" s="86"/>
      <c r="D302" s="86"/>
      <c r="E302" s="86"/>
    </row>
    <row r="303" spans="2:5" x14ac:dyDescent="0.2">
      <c r="B303" s="48" t="s">
        <v>19</v>
      </c>
      <c r="C303" s="46"/>
      <c r="D303" s="46"/>
      <c r="E303" s="47"/>
    </row>
    <row r="304" spans="2:5" ht="23.25" customHeight="1" x14ac:dyDescent="0.2">
      <c r="B304" s="48"/>
      <c r="C304" s="87"/>
      <c r="D304" s="87"/>
      <c r="E304" s="87"/>
    </row>
    <row r="305" spans="2:5" ht="13.5" thickBot="1" x14ac:dyDescent="0.25">
      <c r="B305" s="52"/>
      <c r="C305" s="53"/>
      <c r="D305" s="53"/>
      <c r="E305" s="54"/>
    </row>
    <row r="306" spans="2:5" ht="13.5" thickBot="1" x14ac:dyDescent="0.25"/>
    <row r="307" spans="2:5" x14ac:dyDescent="0.2">
      <c r="B307" s="42" t="s">
        <v>133</v>
      </c>
      <c r="C307" s="43"/>
      <c r="D307" s="43"/>
      <c r="E307" s="44"/>
    </row>
    <row r="308" spans="2:5" ht="5.25" customHeight="1" x14ac:dyDescent="0.2">
      <c r="B308" s="45"/>
      <c r="C308" s="46"/>
      <c r="D308" s="46"/>
      <c r="E308" s="47"/>
    </row>
    <row r="309" spans="2:5" x14ac:dyDescent="0.2">
      <c r="B309" s="48" t="s">
        <v>15</v>
      </c>
      <c r="C309" s="46"/>
      <c r="D309" s="46"/>
      <c r="E309" s="47"/>
    </row>
    <row r="310" spans="2:5" ht="41.25" customHeight="1" x14ac:dyDescent="0.2">
      <c r="B310" s="48"/>
      <c r="C310" s="85" t="s">
        <v>169</v>
      </c>
      <c r="D310" s="85"/>
      <c r="E310" s="85"/>
    </row>
    <row r="311" spans="2:5" x14ac:dyDescent="0.2">
      <c r="B311" s="48" t="s">
        <v>16</v>
      </c>
      <c r="C311" s="46"/>
      <c r="D311" s="46"/>
      <c r="E311" s="47"/>
    </row>
    <row r="312" spans="2:5" x14ac:dyDescent="0.2">
      <c r="B312" s="49"/>
      <c r="C312" s="88"/>
      <c r="D312" s="88"/>
      <c r="E312" s="88"/>
    </row>
    <row r="313" spans="2:5" x14ac:dyDescent="0.2">
      <c r="B313" s="49"/>
      <c r="C313" s="89"/>
      <c r="D313" s="89"/>
      <c r="E313" s="89"/>
    </row>
    <row r="314" spans="2:5" x14ac:dyDescent="0.2">
      <c r="B314" s="48" t="s">
        <v>17</v>
      </c>
      <c r="C314" s="46"/>
      <c r="D314" s="46"/>
      <c r="E314" s="47"/>
    </row>
    <row r="315" spans="2:5" ht="26.25" customHeight="1" x14ac:dyDescent="0.2">
      <c r="B315" s="49"/>
      <c r="C315" s="85"/>
      <c r="D315" s="85"/>
      <c r="E315" s="85"/>
    </row>
    <row r="316" spans="2:5" x14ac:dyDescent="0.2">
      <c r="B316" s="48" t="s">
        <v>18</v>
      </c>
      <c r="C316" s="50"/>
      <c r="D316" s="50"/>
      <c r="E316" s="51"/>
    </row>
    <row r="317" spans="2:5" ht="26.25" customHeight="1" x14ac:dyDescent="0.2">
      <c r="B317" s="49"/>
      <c r="C317" s="86"/>
      <c r="D317" s="86"/>
      <c r="E317" s="86"/>
    </row>
    <row r="318" spans="2:5" x14ac:dyDescent="0.2">
      <c r="B318" s="48" t="s">
        <v>19</v>
      </c>
      <c r="C318" s="46"/>
      <c r="D318" s="46"/>
      <c r="E318" s="47"/>
    </row>
    <row r="319" spans="2:5" ht="23.25" customHeight="1" x14ac:dyDescent="0.2">
      <c r="B319" s="48"/>
      <c r="C319" s="87"/>
      <c r="D319" s="87"/>
      <c r="E319" s="87"/>
    </row>
    <row r="320" spans="2:5" ht="13.5" thickBot="1" x14ac:dyDescent="0.25">
      <c r="B320" s="52"/>
      <c r="C320" s="53"/>
      <c r="D320" s="53"/>
      <c r="E320" s="54"/>
    </row>
    <row r="322" spans="2:5" ht="13.5" thickBot="1" x14ac:dyDescent="0.25"/>
    <row r="323" spans="2:5" x14ac:dyDescent="0.2">
      <c r="B323" s="42" t="s">
        <v>134</v>
      </c>
      <c r="C323" s="43"/>
      <c r="D323" s="43"/>
      <c r="E323" s="44"/>
    </row>
    <row r="324" spans="2:5" ht="5.25" customHeight="1" x14ac:dyDescent="0.2">
      <c r="B324" s="45"/>
      <c r="C324" s="46"/>
      <c r="D324" s="46"/>
      <c r="E324" s="47"/>
    </row>
    <row r="325" spans="2:5" x14ac:dyDescent="0.2">
      <c r="B325" s="48" t="s">
        <v>15</v>
      </c>
      <c r="C325" s="46"/>
      <c r="D325" s="46"/>
      <c r="E325" s="47"/>
    </row>
    <row r="326" spans="2:5" ht="41.25" customHeight="1" x14ac:dyDescent="0.2">
      <c r="B326" s="48"/>
      <c r="C326" s="85" t="s">
        <v>170</v>
      </c>
      <c r="D326" s="85"/>
      <c r="E326" s="85"/>
    </row>
    <row r="327" spans="2:5" x14ac:dyDescent="0.2">
      <c r="B327" s="48" t="s">
        <v>16</v>
      </c>
      <c r="C327" s="46"/>
      <c r="D327" s="46"/>
      <c r="E327" s="47"/>
    </row>
    <row r="328" spans="2:5" x14ac:dyDescent="0.2">
      <c r="B328" s="49"/>
      <c r="C328" s="88"/>
      <c r="D328" s="88"/>
      <c r="E328" s="88"/>
    </row>
    <row r="329" spans="2:5" x14ac:dyDescent="0.2">
      <c r="B329" s="49"/>
      <c r="C329" s="89"/>
      <c r="D329" s="89"/>
      <c r="E329" s="89"/>
    </row>
    <row r="330" spans="2:5" x14ac:dyDescent="0.2">
      <c r="B330" s="48" t="s">
        <v>17</v>
      </c>
      <c r="C330" s="46"/>
      <c r="D330" s="46"/>
      <c r="E330" s="47"/>
    </row>
    <row r="331" spans="2:5" ht="26.25" customHeight="1" x14ac:dyDescent="0.2">
      <c r="B331" s="49"/>
      <c r="C331" s="85"/>
      <c r="D331" s="85"/>
      <c r="E331" s="85"/>
    </row>
    <row r="332" spans="2:5" x14ac:dyDescent="0.2">
      <c r="B332" s="48" t="s">
        <v>18</v>
      </c>
      <c r="C332" s="50"/>
      <c r="D332" s="50"/>
      <c r="E332" s="51"/>
    </row>
    <row r="333" spans="2:5" ht="26.25" customHeight="1" x14ac:dyDescent="0.2">
      <c r="B333" s="49"/>
      <c r="C333" s="86"/>
      <c r="D333" s="86"/>
      <c r="E333" s="86"/>
    </row>
    <row r="334" spans="2:5" x14ac:dyDescent="0.2">
      <c r="B334" s="48" t="s">
        <v>19</v>
      </c>
      <c r="C334" s="46"/>
      <c r="D334" s="46"/>
      <c r="E334" s="47"/>
    </row>
    <row r="335" spans="2:5" ht="23.25" customHeight="1" x14ac:dyDescent="0.2">
      <c r="B335" s="48"/>
      <c r="C335" s="87"/>
      <c r="D335" s="87"/>
      <c r="E335" s="87"/>
    </row>
    <row r="336" spans="2:5" ht="13.5" thickBot="1" x14ac:dyDescent="0.25">
      <c r="B336" s="52"/>
      <c r="C336" s="53"/>
      <c r="D336" s="53"/>
      <c r="E336" s="54"/>
    </row>
    <row r="337" spans="2:5" ht="13.5" thickBot="1" x14ac:dyDescent="0.25"/>
    <row r="338" spans="2:5" x14ac:dyDescent="0.2">
      <c r="B338" s="42" t="s">
        <v>135</v>
      </c>
      <c r="C338" s="43"/>
      <c r="D338" s="43"/>
      <c r="E338" s="44"/>
    </row>
    <row r="339" spans="2:5" ht="5.25" customHeight="1" x14ac:dyDescent="0.2">
      <c r="B339" s="45"/>
      <c r="C339" s="46"/>
      <c r="D339" s="46"/>
      <c r="E339" s="47"/>
    </row>
    <row r="340" spans="2:5" x14ac:dyDescent="0.2">
      <c r="B340" s="48" t="s">
        <v>15</v>
      </c>
      <c r="C340" s="46"/>
      <c r="D340" s="46"/>
      <c r="E340" s="47"/>
    </row>
    <row r="341" spans="2:5" ht="41.25" customHeight="1" x14ac:dyDescent="0.2">
      <c r="B341" s="48"/>
      <c r="C341" s="85" t="s">
        <v>167</v>
      </c>
      <c r="D341" s="85"/>
      <c r="E341" s="85"/>
    </row>
    <row r="342" spans="2:5" x14ac:dyDescent="0.2">
      <c r="B342" s="48" t="s">
        <v>16</v>
      </c>
      <c r="C342" s="46"/>
      <c r="D342" s="46"/>
      <c r="E342" s="47"/>
    </row>
    <row r="343" spans="2:5" x14ac:dyDescent="0.2">
      <c r="B343" s="49"/>
      <c r="C343" s="88"/>
      <c r="D343" s="88"/>
      <c r="E343" s="88"/>
    </row>
    <row r="344" spans="2:5" x14ac:dyDescent="0.2">
      <c r="B344" s="49"/>
      <c r="C344" s="89"/>
      <c r="D344" s="89"/>
      <c r="E344" s="89"/>
    </row>
    <row r="345" spans="2:5" x14ac:dyDescent="0.2">
      <c r="B345" s="48" t="s">
        <v>17</v>
      </c>
      <c r="C345" s="46"/>
      <c r="D345" s="46"/>
      <c r="E345" s="47"/>
    </row>
    <row r="346" spans="2:5" ht="26.25" customHeight="1" x14ac:dyDescent="0.2">
      <c r="B346" s="49"/>
      <c r="C346" s="85"/>
      <c r="D346" s="85"/>
      <c r="E346" s="85"/>
    </row>
    <row r="347" spans="2:5" x14ac:dyDescent="0.2">
      <c r="B347" s="48" t="s">
        <v>18</v>
      </c>
      <c r="C347" s="50"/>
      <c r="D347" s="50"/>
      <c r="E347" s="51"/>
    </row>
    <row r="348" spans="2:5" ht="26.25" customHeight="1" x14ac:dyDescent="0.2">
      <c r="B348" s="49"/>
      <c r="C348" s="86"/>
      <c r="D348" s="86"/>
      <c r="E348" s="86"/>
    </row>
    <row r="349" spans="2:5" x14ac:dyDescent="0.2">
      <c r="B349" s="48" t="s">
        <v>19</v>
      </c>
      <c r="C349" s="46"/>
      <c r="D349" s="46"/>
      <c r="E349" s="47"/>
    </row>
    <row r="350" spans="2:5" ht="23.25" customHeight="1" x14ac:dyDescent="0.2">
      <c r="B350" s="48"/>
      <c r="C350" s="87"/>
      <c r="D350" s="87"/>
      <c r="E350" s="87"/>
    </row>
    <row r="351" spans="2:5" ht="13.5" thickBot="1" x14ac:dyDescent="0.25">
      <c r="B351" s="52"/>
      <c r="C351" s="53"/>
      <c r="D351" s="53"/>
      <c r="E351" s="54"/>
    </row>
    <row r="352" spans="2:5" ht="13.5" thickBot="1" x14ac:dyDescent="0.25"/>
    <row r="353" spans="2:5" x14ac:dyDescent="0.2">
      <c r="B353" s="42" t="s">
        <v>136</v>
      </c>
      <c r="C353" s="43"/>
      <c r="D353" s="43"/>
      <c r="E353" s="44"/>
    </row>
    <row r="354" spans="2:5" ht="5.25" customHeight="1" x14ac:dyDescent="0.2">
      <c r="B354" s="45"/>
      <c r="C354" s="46"/>
      <c r="D354" s="46"/>
      <c r="E354" s="47"/>
    </row>
    <row r="355" spans="2:5" x14ac:dyDescent="0.2">
      <c r="B355" s="48" t="s">
        <v>15</v>
      </c>
      <c r="C355" s="46"/>
      <c r="D355" s="46"/>
      <c r="E355" s="47"/>
    </row>
    <row r="356" spans="2:5" ht="41.25" customHeight="1" x14ac:dyDescent="0.2">
      <c r="B356" s="48"/>
      <c r="C356" s="96" t="s">
        <v>171</v>
      </c>
      <c r="D356" s="96"/>
      <c r="E356" s="85"/>
    </row>
    <row r="357" spans="2:5" x14ac:dyDescent="0.2">
      <c r="B357" s="48" t="s">
        <v>16</v>
      </c>
      <c r="C357" s="46"/>
      <c r="D357" s="46"/>
      <c r="E357" s="47"/>
    </row>
    <row r="358" spans="2:5" x14ac:dyDescent="0.2">
      <c r="B358" s="49"/>
      <c r="C358" s="88"/>
      <c r="D358" s="88"/>
      <c r="E358" s="88"/>
    </row>
    <row r="359" spans="2:5" x14ac:dyDescent="0.2">
      <c r="B359" s="49"/>
      <c r="C359" s="89"/>
      <c r="D359" s="89"/>
      <c r="E359" s="89"/>
    </row>
    <row r="360" spans="2:5" x14ac:dyDescent="0.2">
      <c r="B360" s="48" t="s">
        <v>17</v>
      </c>
      <c r="C360" s="46"/>
      <c r="D360" s="46"/>
      <c r="E360" s="47"/>
    </row>
    <row r="361" spans="2:5" ht="26.25" customHeight="1" x14ac:dyDescent="0.2">
      <c r="B361" s="49"/>
      <c r="C361" s="85"/>
      <c r="D361" s="85"/>
      <c r="E361" s="85"/>
    </row>
    <row r="362" spans="2:5" x14ac:dyDescent="0.2">
      <c r="B362" s="48" t="s">
        <v>18</v>
      </c>
      <c r="C362" s="50"/>
      <c r="D362" s="50"/>
      <c r="E362" s="51"/>
    </row>
    <row r="363" spans="2:5" ht="26.25" customHeight="1" x14ac:dyDescent="0.2">
      <c r="B363" s="49"/>
      <c r="C363" s="86"/>
      <c r="D363" s="86"/>
      <c r="E363" s="86"/>
    </row>
    <row r="364" spans="2:5" x14ac:dyDescent="0.2">
      <c r="B364" s="48" t="s">
        <v>19</v>
      </c>
      <c r="C364" s="46"/>
      <c r="D364" s="46"/>
      <c r="E364" s="47"/>
    </row>
    <row r="365" spans="2:5" ht="23.25" customHeight="1" x14ac:dyDescent="0.2">
      <c r="B365" s="48"/>
      <c r="C365" s="87"/>
      <c r="D365" s="87"/>
      <c r="E365" s="87"/>
    </row>
    <row r="366" spans="2:5" ht="13.5" thickBot="1" x14ac:dyDescent="0.25">
      <c r="B366" s="52"/>
      <c r="C366" s="53"/>
      <c r="D366" s="53"/>
      <c r="E366" s="54"/>
    </row>
    <row r="367" spans="2:5" ht="13.5" thickBot="1" x14ac:dyDescent="0.25"/>
    <row r="368" spans="2:5" x14ac:dyDescent="0.2">
      <c r="B368" s="42" t="s">
        <v>137</v>
      </c>
      <c r="C368" s="43"/>
      <c r="D368" s="43"/>
      <c r="E368" s="44"/>
    </row>
    <row r="369" spans="2:5" ht="5.25" customHeight="1" x14ac:dyDescent="0.2">
      <c r="B369" s="45"/>
      <c r="C369" s="46"/>
      <c r="D369" s="46"/>
      <c r="E369" s="47"/>
    </row>
    <row r="370" spans="2:5" x14ac:dyDescent="0.2">
      <c r="B370" s="48" t="s">
        <v>15</v>
      </c>
      <c r="C370" s="46"/>
      <c r="D370" s="46"/>
      <c r="E370" s="47"/>
    </row>
    <row r="371" spans="2:5" ht="41.25" customHeight="1" x14ac:dyDescent="0.2">
      <c r="B371" s="48"/>
      <c r="C371" s="85" t="s">
        <v>167</v>
      </c>
      <c r="D371" s="85"/>
      <c r="E371" s="85"/>
    </row>
    <row r="372" spans="2:5" x14ac:dyDescent="0.2">
      <c r="B372" s="48" t="s">
        <v>16</v>
      </c>
      <c r="C372" s="46"/>
      <c r="D372" s="46"/>
      <c r="E372" s="47"/>
    </row>
    <row r="373" spans="2:5" x14ac:dyDescent="0.2">
      <c r="B373" s="49"/>
      <c r="C373" s="88"/>
      <c r="D373" s="88"/>
      <c r="E373" s="88"/>
    </row>
    <row r="374" spans="2:5" x14ac:dyDescent="0.2">
      <c r="B374" s="49"/>
      <c r="C374" s="89"/>
      <c r="D374" s="89"/>
      <c r="E374" s="89"/>
    </row>
    <row r="375" spans="2:5" x14ac:dyDescent="0.2">
      <c r="B375" s="48" t="s">
        <v>17</v>
      </c>
      <c r="C375" s="46"/>
      <c r="D375" s="46"/>
      <c r="E375" s="47"/>
    </row>
    <row r="376" spans="2:5" ht="26.25" customHeight="1" x14ac:dyDescent="0.2">
      <c r="B376" s="49"/>
      <c r="C376" s="85"/>
      <c r="D376" s="85"/>
      <c r="E376" s="85"/>
    </row>
    <row r="377" spans="2:5" x14ac:dyDescent="0.2">
      <c r="B377" s="48" t="s">
        <v>18</v>
      </c>
      <c r="C377" s="50"/>
      <c r="D377" s="50"/>
      <c r="E377" s="51"/>
    </row>
    <row r="378" spans="2:5" ht="26.25" customHeight="1" x14ac:dyDescent="0.2">
      <c r="B378" s="49"/>
      <c r="C378" s="86"/>
      <c r="D378" s="86"/>
      <c r="E378" s="86"/>
    </row>
    <row r="379" spans="2:5" x14ac:dyDescent="0.2">
      <c r="B379" s="48" t="s">
        <v>19</v>
      </c>
      <c r="C379" s="46"/>
      <c r="D379" s="46"/>
      <c r="E379" s="47"/>
    </row>
    <row r="380" spans="2:5" ht="23.25" customHeight="1" x14ac:dyDescent="0.2">
      <c r="B380" s="48"/>
      <c r="C380" s="87"/>
      <c r="D380" s="87"/>
      <c r="E380" s="87"/>
    </row>
    <row r="381" spans="2:5" ht="13.5" thickBot="1" x14ac:dyDescent="0.25">
      <c r="B381" s="52"/>
      <c r="C381" s="53"/>
      <c r="D381" s="53"/>
      <c r="E381" s="54"/>
    </row>
    <row r="383" spans="2:5" ht="13.5" thickBot="1" x14ac:dyDescent="0.25"/>
    <row r="384" spans="2:5" x14ac:dyDescent="0.2">
      <c r="B384" s="42" t="s">
        <v>138</v>
      </c>
      <c r="C384" s="43"/>
      <c r="D384" s="43"/>
      <c r="E384" s="44"/>
    </row>
    <row r="385" spans="2:5" ht="5.25" customHeight="1" x14ac:dyDescent="0.2">
      <c r="B385" s="45"/>
      <c r="C385" s="46"/>
      <c r="D385" s="46"/>
      <c r="E385" s="47"/>
    </row>
    <row r="386" spans="2:5" x14ac:dyDescent="0.2">
      <c r="B386" s="48" t="s">
        <v>15</v>
      </c>
      <c r="C386" s="46"/>
      <c r="D386" s="46"/>
      <c r="E386" s="47"/>
    </row>
    <row r="387" spans="2:5" ht="41.25" customHeight="1" x14ac:dyDescent="0.2">
      <c r="B387" s="48"/>
      <c r="C387" s="85" t="s">
        <v>167</v>
      </c>
      <c r="D387" s="85"/>
      <c r="E387" s="85"/>
    </row>
    <row r="388" spans="2:5" x14ac:dyDescent="0.2">
      <c r="B388" s="48" t="s">
        <v>16</v>
      </c>
      <c r="C388" s="46"/>
      <c r="D388" s="46"/>
      <c r="E388" s="47"/>
    </row>
    <row r="389" spans="2:5" x14ac:dyDescent="0.2">
      <c r="B389" s="49"/>
      <c r="C389" s="88"/>
      <c r="D389" s="88"/>
      <c r="E389" s="88"/>
    </row>
    <row r="390" spans="2:5" x14ac:dyDescent="0.2">
      <c r="B390" s="49"/>
      <c r="C390" s="89"/>
      <c r="D390" s="89"/>
      <c r="E390" s="89"/>
    </row>
    <row r="391" spans="2:5" x14ac:dyDescent="0.2">
      <c r="B391" s="48" t="s">
        <v>17</v>
      </c>
      <c r="C391" s="46"/>
      <c r="D391" s="46"/>
      <c r="E391" s="47"/>
    </row>
    <row r="392" spans="2:5" ht="26.25" customHeight="1" x14ac:dyDescent="0.2">
      <c r="B392" s="49"/>
      <c r="C392" s="85"/>
      <c r="D392" s="85"/>
      <c r="E392" s="85"/>
    </row>
    <row r="393" spans="2:5" x14ac:dyDescent="0.2">
      <c r="B393" s="48" t="s">
        <v>18</v>
      </c>
      <c r="C393" s="50"/>
      <c r="D393" s="50"/>
      <c r="E393" s="51"/>
    </row>
    <row r="394" spans="2:5" ht="26.25" customHeight="1" x14ac:dyDescent="0.2">
      <c r="B394" s="49"/>
      <c r="C394" s="86"/>
      <c r="D394" s="86"/>
      <c r="E394" s="86"/>
    </row>
    <row r="395" spans="2:5" x14ac:dyDescent="0.2">
      <c r="B395" s="48" t="s">
        <v>19</v>
      </c>
      <c r="C395" s="46"/>
      <c r="D395" s="46"/>
      <c r="E395" s="47"/>
    </row>
    <row r="396" spans="2:5" ht="23.25" customHeight="1" x14ac:dyDescent="0.2">
      <c r="B396" s="48"/>
      <c r="C396" s="87"/>
      <c r="D396" s="87"/>
      <c r="E396" s="87"/>
    </row>
    <row r="397" spans="2:5" ht="13.5" thickBot="1" x14ac:dyDescent="0.25">
      <c r="B397" s="52"/>
      <c r="C397" s="53"/>
      <c r="D397" s="53"/>
      <c r="E397" s="54"/>
    </row>
    <row r="398" spans="2:5" ht="13.5" thickBot="1" x14ac:dyDescent="0.25"/>
    <row r="399" spans="2:5" x14ac:dyDescent="0.2">
      <c r="B399" s="42" t="s">
        <v>139</v>
      </c>
      <c r="C399" s="43"/>
      <c r="D399" s="43"/>
      <c r="E399" s="44"/>
    </row>
    <row r="400" spans="2:5" ht="5.25" customHeight="1" x14ac:dyDescent="0.2">
      <c r="B400" s="45"/>
      <c r="C400" s="46"/>
      <c r="D400" s="46"/>
      <c r="E400" s="47"/>
    </row>
    <row r="401" spans="2:5" x14ac:dyDescent="0.2">
      <c r="B401" s="48" t="s">
        <v>15</v>
      </c>
      <c r="C401" s="46"/>
      <c r="D401" s="46"/>
      <c r="E401" s="47"/>
    </row>
    <row r="402" spans="2:5" ht="41.25" customHeight="1" x14ac:dyDescent="0.2">
      <c r="B402" s="48"/>
      <c r="C402" s="85" t="s">
        <v>167</v>
      </c>
      <c r="D402" s="85"/>
      <c r="E402" s="85"/>
    </row>
    <row r="403" spans="2:5" x14ac:dyDescent="0.2">
      <c r="B403" s="48" t="s">
        <v>16</v>
      </c>
      <c r="C403" s="46"/>
      <c r="D403" s="46"/>
      <c r="E403" s="47"/>
    </row>
    <row r="404" spans="2:5" x14ac:dyDescent="0.2">
      <c r="B404" s="49"/>
      <c r="C404" s="88"/>
      <c r="D404" s="88"/>
      <c r="E404" s="88"/>
    </row>
    <row r="405" spans="2:5" x14ac:dyDescent="0.2">
      <c r="B405" s="49"/>
      <c r="C405" s="89"/>
      <c r="D405" s="89"/>
      <c r="E405" s="89"/>
    </row>
    <row r="406" spans="2:5" x14ac:dyDescent="0.2">
      <c r="B406" s="48" t="s">
        <v>17</v>
      </c>
      <c r="C406" s="46"/>
      <c r="D406" s="46"/>
      <c r="E406" s="47"/>
    </row>
    <row r="407" spans="2:5" ht="26.25" customHeight="1" x14ac:dyDescent="0.2">
      <c r="B407" s="49"/>
      <c r="C407" s="85"/>
      <c r="D407" s="85"/>
      <c r="E407" s="85"/>
    </row>
    <row r="408" spans="2:5" x14ac:dyDescent="0.2">
      <c r="B408" s="48" t="s">
        <v>18</v>
      </c>
      <c r="C408" s="50"/>
      <c r="D408" s="50"/>
      <c r="E408" s="51"/>
    </row>
    <row r="409" spans="2:5" ht="26.25" customHeight="1" x14ac:dyDescent="0.2">
      <c r="B409" s="49"/>
      <c r="C409" s="86"/>
      <c r="D409" s="86"/>
      <c r="E409" s="86"/>
    </row>
    <row r="410" spans="2:5" x14ac:dyDescent="0.2">
      <c r="B410" s="48" t="s">
        <v>19</v>
      </c>
      <c r="C410" s="46"/>
      <c r="D410" s="46"/>
      <c r="E410" s="47"/>
    </row>
    <row r="411" spans="2:5" ht="23.25" customHeight="1" x14ac:dyDescent="0.2">
      <c r="B411" s="48"/>
      <c r="C411" s="87"/>
      <c r="D411" s="87"/>
      <c r="E411" s="87"/>
    </row>
    <row r="412" spans="2:5" ht="13.5" thickBot="1" x14ac:dyDescent="0.25">
      <c r="B412" s="52"/>
      <c r="C412" s="53"/>
      <c r="D412" s="53"/>
      <c r="E412" s="54"/>
    </row>
    <row r="413" spans="2:5" ht="13.5" thickBot="1" x14ac:dyDescent="0.25"/>
    <row r="414" spans="2:5" x14ac:dyDescent="0.2">
      <c r="B414" s="42" t="s">
        <v>140</v>
      </c>
      <c r="C414" s="43"/>
      <c r="D414" s="43"/>
      <c r="E414" s="44"/>
    </row>
    <row r="415" spans="2:5" ht="5.25" customHeight="1" x14ac:dyDescent="0.2">
      <c r="B415" s="45"/>
      <c r="C415" s="46"/>
      <c r="D415" s="46"/>
      <c r="E415" s="47"/>
    </row>
    <row r="416" spans="2:5" x14ac:dyDescent="0.2">
      <c r="B416" s="48" t="s">
        <v>15</v>
      </c>
      <c r="C416" s="46"/>
      <c r="D416" s="46"/>
      <c r="E416" s="47"/>
    </row>
    <row r="417" spans="2:5" ht="41.25" customHeight="1" x14ac:dyDescent="0.2">
      <c r="B417" s="48"/>
      <c r="C417" s="85" t="s">
        <v>167</v>
      </c>
      <c r="D417" s="85"/>
      <c r="E417" s="85"/>
    </row>
    <row r="418" spans="2:5" x14ac:dyDescent="0.2">
      <c r="B418" s="48" t="s">
        <v>16</v>
      </c>
      <c r="C418" s="46"/>
      <c r="D418" s="46"/>
      <c r="E418" s="47"/>
    </row>
    <row r="419" spans="2:5" x14ac:dyDescent="0.2">
      <c r="B419" s="49"/>
      <c r="C419" s="88"/>
      <c r="D419" s="88"/>
      <c r="E419" s="88"/>
    </row>
    <row r="420" spans="2:5" x14ac:dyDescent="0.2">
      <c r="B420" s="49"/>
      <c r="C420" s="89"/>
      <c r="D420" s="89"/>
      <c r="E420" s="89"/>
    </row>
    <row r="421" spans="2:5" x14ac:dyDescent="0.2">
      <c r="B421" s="48" t="s">
        <v>17</v>
      </c>
      <c r="C421" s="46"/>
      <c r="D421" s="46"/>
      <c r="E421" s="47"/>
    </row>
    <row r="422" spans="2:5" ht="26.25" customHeight="1" x14ac:dyDescent="0.2">
      <c r="B422" s="49"/>
      <c r="C422" s="85"/>
      <c r="D422" s="85"/>
      <c r="E422" s="85"/>
    </row>
    <row r="423" spans="2:5" x14ac:dyDescent="0.2">
      <c r="B423" s="48" t="s">
        <v>18</v>
      </c>
      <c r="C423" s="50"/>
      <c r="D423" s="50"/>
      <c r="E423" s="51"/>
    </row>
    <row r="424" spans="2:5" ht="26.25" customHeight="1" x14ac:dyDescent="0.2">
      <c r="B424" s="49"/>
      <c r="C424" s="86"/>
      <c r="D424" s="86"/>
      <c r="E424" s="86"/>
    </row>
    <row r="425" spans="2:5" x14ac:dyDescent="0.2">
      <c r="B425" s="48" t="s">
        <v>19</v>
      </c>
      <c r="C425" s="46"/>
      <c r="D425" s="46"/>
      <c r="E425" s="47"/>
    </row>
    <row r="426" spans="2:5" ht="23.25" customHeight="1" x14ac:dyDescent="0.2">
      <c r="B426" s="48"/>
      <c r="C426" s="87"/>
      <c r="D426" s="87"/>
      <c r="E426" s="87"/>
    </row>
    <row r="427" spans="2:5" ht="13.5" thickBot="1" x14ac:dyDescent="0.25">
      <c r="B427" s="52"/>
      <c r="C427" s="53"/>
      <c r="D427" s="53"/>
      <c r="E427" s="54"/>
    </row>
    <row r="428" spans="2:5" ht="13.5" thickBot="1" x14ac:dyDescent="0.25"/>
    <row r="429" spans="2:5" x14ac:dyDescent="0.2">
      <c r="B429" s="42" t="s">
        <v>141</v>
      </c>
      <c r="C429" s="43"/>
      <c r="D429" s="43"/>
      <c r="E429" s="44"/>
    </row>
    <row r="430" spans="2:5" ht="5.25" customHeight="1" x14ac:dyDescent="0.2">
      <c r="B430" s="45"/>
      <c r="C430" s="46"/>
      <c r="D430" s="46"/>
      <c r="E430" s="47"/>
    </row>
    <row r="431" spans="2:5" x14ac:dyDescent="0.2">
      <c r="B431" s="48" t="s">
        <v>15</v>
      </c>
      <c r="C431" s="46"/>
      <c r="D431" s="46"/>
      <c r="E431" s="47"/>
    </row>
    <row r="432" spans="2:5" ht="41.25" customHeight="1" x14ac:dyDescent="0.2">
      <c r="B432" s="48"/>
      <c r="C432" s="85" t="s">
        <v>167</v>
      </c>
      <c r="D432" s="85"/>
      <c r="E432" s="85"/>
    </row>
    <row r="433" spans="2:5" x14ac:dyDescent="0.2">
      <c r="B433" s="48" t="s">
        <v>16</v>
      </c>
      <c r="C433" s="46"/>
      <c r="D433" s="46"/>
      <c r="E433" s="47"/>
    </row>
    <row r="434" spans="2:5" x14ac:dyDescent="0.2">
      <c r="B434" s="49"/>
      <c r="C434" s="88"/>
      <c r="D434" s="88"/>
      <c r="E434" s="88"/>
    </row>
    <row r="435" spans="2:5" x14ac:dyDescent="0.2">
      <c r="B435" s="49"/>
      <c r="C435" s="89"/>
      <c r="D435" s="89"/>
      <c r="E435" s="89"/>
    </row>
    <row r="436" spans="2:5" x14ac:dyDescent="0.2">
      <c r="B436" s="48" t="s">
        <v>17</v>
      </c>
      <c r="C436" s="46"/>
      <c r="D436" s="46"/>
      <c r="E436" s="47"/>
    </row>
    <row r="437" spans="2:5" ht="26.25" customHeight="1" x14ac:dyDescent="0.2">
      <c r="B437" s="49"/>
      <c r="C437" s="85"/>
      <c r="D437" s="85"/>
      <c r="E437" s="85"/>
    </row>
    <row r="438" spans="2:5" x14ac:dyDescent="0.2">
      <c r="B438" s="48" t="s">
        <v>18</v>
      </c>
      <c r="C438" s="50"/>
      <c r="D438" s="50"/>
      <c r="E438" s="51"/>
    </row>
    <row r="439" spans="2:5" ht="26.25" customHeight="1" x14ac:dyDescent="0.2">
      <c r="B439" s="49"/>
      <c r="C439" s="86"/>
      <c r="D439" s="86"/>
      <c r="E439" s="86"/>
    </row>
    <row r="440" spans="2:5" x14ac:dyDescent="0.2">
      <c r="B440" s="48" t="s">
        <v>19</v>
      </c>
      <c r="C440" s="46"/>
      <c r="D440" s="46"/>
      <c r="E440" s="47"/>
    </row>
    <row r="441" spans="2:5" ht="23.25" customHeight="1" x14ac:dyDescent="0.2">
      <c r="B441" s="48"/>
      <c r="C441" s="87"/>
      <c r="D441" s="87"/>
      <c r="E441" s="87"/>
    </row>
    <row r="442" spans="2:5" ht="13.5" thickBot="1" x14ac:dyDescent="0.25">
      <c r="B442" s="52"/>
      <c r="C442" s="53"/>
      <c r="D442" s="53"/>
      <c r="E442" s="54"/>
    </row>
    <row r="444" spans="2:5" ht="13.5" thickBot="1" x14ac:dyDescent="0.25"/>
    <row r="445" spans="2:5" x14ac:dyDescent="0.2">
      <c r="B445" s="42" t="s">
        <v>142</v>
      </c>
      <c r="C445" s="43"/>
      <c r="D445" s="43"/>
      <c r="E445" s="44"/>
    </row>
    <row r="446" spans="2:5" ht="5.25" customHeight="1" x14ac:dyDescent="0.2">
      <c r="B446" s="45"/>
      <c r="C446" s="46"/>
      <c r="D446" s="46"/>
      <c r="E446" s="47"/>
    </row>
    <row r="447" spans="2:5" x14ac:dyDescent="0.2">
      <c r="B447" s="48" t="s">
        <v>15</v>
      </c>
      <c r="C447" s="46"/>
      <c r="D447" s="46"/>
      <c r="E447" s="47"/>
    </row>
    <row r="448" spans="2:5" ht="41.25" customHeight="1" x14ac:dyDescent="0.2">
      <c r="B448" s="48"/>
      <c r="C448" s="85" t="s">
        <v>164</v>
      </c>
      <c r="D448" s="85"/>
      <c r="E448" s="85"/>
    </row>
    <row r="449" spans="2:5" x14ac:dyDescent="0.2">
      <c r="B449" s="48" t="s">
        <v>16</v>
      </c>
      <c r="C449" s="46"/>
      <c r="D449" s="46"/>
      <c r="E449" s="47"/>
    </row>
    <row r="450" spans="2:5" x14ac:dyDescent="0.2">
      <c r="B450" s="49"/>
      <c r="C450" s="88"/>
      <c r="D450" s="88"/>
      <c r="E450" s="88"/>
    </row>
    <row r="451" spans="2:5" x14ac:dyDescent="0.2">
      <c r="B451" s="49"/>
      <c r="C451" s="89"/>
      <c r="D451" s="89"/>
      <c r="E451" s="89"/>
    </row>
    <row r="452" spans="2:5" x14ac:dyDescent="0.2">
      <c r="B452" s="48" t="s">
        <v>17</v>
      </c>
      <c r="C452" s="46"/>
      <c r="D452" s="46"/>
      <c r="E452" s="47"/>
    </row>
    <row r="453" spans="2:5" ht="26.25" customHeight="1" x14ac:dyDescent="0.2">
      <c r="B453" s="49"/>
      <c r="C453" s="85"/>
      <c r="D453" s="85"/>
      <c r="E453" s="85"/>
    </row>
    <row r="454" spans="2:5" x14ac:dyDescent="0.2">
      <c r="B454" s="48" t="s">
        <v>18</v>
      </c>
      <c r="C454" s="50"/>
      <c r="D454" s="50"/>
      <c r="E454" s="51"/>
    </row>
    <row r="455" spans="2:5" ht="26.25" customHeight="1" x14ac:dyDescent="0.2">
      <c r="B455" s="49"/>
      <c r="C455" s="86"/>
      <c r="D455" s="86"/>
      <c r="E455" s="86"/>
    </row>
    <row r="456" spans="2:5" x14ac:dyDescent="0.2">
      <c r="B456" s="48" t="s">
        <v>19</v>
      </c>
      <c r="C456" s="46"/>
      <c r="D456" s="46"/>
      <c r="E456" s="47"/>
    </row>
    <row r="457" spans="2:5" ht="23.25" customHeight="1" x14ac:dyDescent="0.2">
      <c r="B457" s="48"/>
      <c r="C457" s="87"/>
      <c r="D457" s="87"/>
      <c r="E457" s="87"/>
    </row>
    <row r="458" spans="2:5" ht="13.5" thickBot="1" x14ac:dyDescent="0.25">
      <c r="B458" s="52"/>
      <c r="C458" s="53"/>
      <c r="D458" s="53"/>
      <c r="E458" s="54"/>
    </row>
    <row r="459" spans="2:5" ht="13.5" thickBot="1" x14ac:dyDescent="0.25"/>
    <row r="460" spans="2:5" x14ac:dyDescent="0.2">
      <c r="B460" s="42" t="s">
        <v>143</v>
      </c>
      <c r="C460" s="43"/>
      <c r="D460" s="43"/>
      <c r="E460" s="44"/>
    </row>
    <row r="461" spans="2:5" ht="5.25" customHeight="1" x14ac:dyDescent="0.2">
      <c r="B461" s="45"/>
      <c r="C461" s="46"/>
      <c r="D461" s="46"/>
      <c r="E461" s="47"/>
    </row>
    <row r="462" spans="2:5" x14ac:dyDescent="0.2">
      <c r="B462" s="48" t="s">
        <v>15</v>
      </c>
      <c r="C462" s="46"/>
      <c r="D462" s="46"/>
      <c r="E462" s="47"/>
    </row>
    <row r="463" spans="2:5" ht="41.25" customHeight="1" x14ac:dyDescent="0.2">
      <c r="B463" s="48"/>
      <c r="C463" s="85" t="s">
        <v>163</v>
      </c>
      <c r="D463" s="85"/>
      <c r="E463" s="85"/>
    </row>
    <row r="464" spans="2:5" x14ac:dyDescent="0.2">
      <c r="B464" s="48" t="s">
        <v>16</v>
      </c>
      <c r="C464" s="46"/>
      <c r="D464" s="46"/>
      <c r="E464" s="47"/>
    </row>
    <row r="465" spans="2:5" x14ac:dyDescent="0.2">
      <c r="B465" s="49"/>
      <c r="C465" s="88"/>
      <c r="D465" s="88"/>
      <c r="E465" s="88"/>
    </row>
    <row r="466" spans="2:5" x14ac:dyDescent="0.2">
      <c r="B466" s="49"/>
      <c r="C466" s="89"/>
      <c r="D466" s="89"/>
      <c r="E466" s="89"/>
    </row>
    <row r="467" spans="2:5" x14ac:dyDescent="0.2">
      <c r="B467" s="48" t="s">
        <v>17</v>
      </c>
      <c r="C467" s="46"/>
      <c r="D467" s="46"/>
      <c r="E467" s="47"/>
    </row>
    <row r="468" spans="2:5" ht="26.25" customHeight="1" x14ac:dyDescent="0.2">
      <c r="B468" s="49"/>
      <c r="C468" s="85"/>
      <c r="D468" s="85"/>
      <c r="E468" s="85"/>
    </row>
    <row r="469" spans="2:5" x14ac:dyDescent="0.2">
      <c r="B469" s="48" t="s">
        <v>18</v>
      </c>
      <c r="C469" s="50"/>
      <c r="D469" s="50"/>
      <c r="E469" s="51"/>
    </row>
    <row r="470" spans="2:5" ht="26.25" customHeight="1" x14ac:dyDescent="0.2">
      <c r="B470" s="49"/>
      <c r="C470" s="86"/>
      <c r="D470" s="86"/>
      <c r="E470" s="86"/>
    </row>
    <row r="471" spans="2:5" x14ac:dyDescent="0.2">
      <c r="B471" s="48" t="s">
        <v>19</v>
      </c>
      <c r="C471" s="46"/>
      <c r="D471" s="46"/>
      <c r="E471" s="47"/>
    </row>
    <row r="472" spans="2:5" ht="23.25" customHeight="1" x14ac:dyDescent="0.2">
      <c r="B472" s="48"/>
      <c r="C472" s="87"/>
      <c r="D472" s="87"/>
      <c r="E472" s="87"/>
    </row>
    <row r="473" spans="2:5" ht="13.5" thickBot="1" x14ac:dyDescent="0.25">
      <c r="B473" s="52"/>
      <c r="C473" s="53"/>
      <c r="D473" s="53"/>
      <c r="E473" s="54"/>
    </row>
    <row r="474" spans="2:5" ht="13.5" thickBot="1" x14ac:dyDescent="0.25"/>
    <row r="475" spans="2:5" x14ac:dyDescent="0.2">
      <c r="B475" s="42" t="s">
        <v>144</v>
      </c>
      <c r="C475" s="43"/>
      <c r="D475" s="43"/>
      <c r="E475" s="44"/>
    </row>
    <row r="476" spans="2:5" ht="5.25" customHeight="1" x14ac:dyDescent="0.2">
      <c r="B476" s="45"/>
      <c r="C476" s="46"/>
      <c r="D476" s="46"/>
      <c r="E476" s="47"/>
    </row>
    <row r="477" spans="2:5" x14ac:dyDescent="0.2">
      <c r="B477" s="48" t="s">
        <v>15</v>
      </c>
      <c r="C477" s="46"/>
      <c r="D477" s="46"/>
      <c r="E477" s="47"/>
    </row>
    <row r="478" spans="2:5" ht="41.25" customHeight="1" x14ac:dyDescent="0.2">
      <c r="B478" s="48"/>
      <c r="C478" s="85" t="s">
        <v>174</v>
      </c>
      <c r="D478" s="85"/>
      <c r="E478" s="85"/>
    </row>
    <row r="479" spans="2:5" x14ac:dyDescent="0.2">
      <c r="B479" s="48" t="s">
        <v>16</v>
      </c>
      <c r="C479" s="46"/>
      <c r="D479" s="46"/>
      <c r="E479" s="47"/>
    </row>
    <row r="480" spans="2:5" x14ac:dyDescent="0.2">
      <c r="B480" s="49"/>
      <c r="C480" s="88"/>
      <c r="D480" s="88"/>
      <c r="E480" s="88"/>
    </row>
    <row r="481" spans="2:5" x14ac:dyDescent="0.2">
      <c r="B481" s="49"/>
      <c r="C481" s="89"/>
      <c r="D481" s="89"/>
      <c r="E481" s="89"/>
    </row>
    <row r="482" spans="2:5" x14ac:dyDescent="0.2">
      <c r="B482" s="48" t="s">
        <v>17</v>
      </c>
      <c r="C482" s="46"/>
      <c r="D482" s="46"/>
      <c r="E482" s="47"/>
    </row>
    <row r="483" spans="2:5" ht="26.25" customHeight="1" x14ac:dyDescent="0.2">
      <c r="B483" s="49"/>
      <c r="C483" s="85"/>
      <c r="D483" s="85"/>
      <c r="E483" s="85"/>
    </row>
    <row r="484" spans="2:5" x14ac:dyDescent="0.2">
      <c r="B484" s="48" t="s">
        <v>18</v>
      </c>
      <c r="C484" s="50"/>
      <c r="D484" s="50"/>
      <c r="E484" s="51"/>
    </row>
    <row r="485" spans="2:5" ht="26.25" customHeight="1" x14ac:dyDescent="0.2">
      <c r="B485" s="49"/>
      <c r="C485" s="86"/>
      <c r="D485" s="86"/>
      <c r="E485" s="86"/>
    </row>
    <row r="486" spans="2:5" x14ac:dyDescent="0.2">
      <c r="B486" s="48" t="s">
        <v>19</v>
      </c>
      <c r="C486" s="46"/>
      <c r="D486" s="46"/>
      <c r="E486" s="47"/>
    </row>
    <row r="487" spans="2:5" ht="23.25" customHeight="1" x14ac:dyDescent="0.2">
      <c r="B487" s="48"/>
      <c r="C487" s="87"/>
      <c r="D487" s="87"/>
      <c r="E487" s="87"/>
    </row>
    <row r="488" spans="2:5" ht="13.5" thickBot="1" x14ac:dyDescent="0.25">
      <c r="B488" s="52"/>
      <c r="C488" s="53"/>
      <c r="D488" s="53"/>
      <c r="E488" s="54"/>
    </row>
    <row r="489" spans="2:5" ht="13.5" thickBot="1" x14ac:dyDescent="0.25"/>
    <row r="490" spans="2:5" x14ac:dyDescent="0.2">
      <c r="B490" s="42" t="s">
        <v>145</v>
      </c>
      <c r="C490" s="43"/>
      <c r="D490" s="43"/>
      <c r="E490" s="44"/>
    </row>
    <row r="491" spans="2:5" ht="5.25" customHeight="1" x14ac:dyDescent="0.2">
      <c r="B491" s="45"/>
      <c r="C491" s="46"/>
      <c r="D491" s="46"/>
      <c r="E491" s="47"/>
    </row>
    <row r="492" spans="2:5" x14ac:dyDescent="0.2">
      <c r="B492" s="48" t="s">
        <v>15</v>
      </c>
      <c r="C492" s="46"/>
      <c r="D492" s="46"/>
      <c r="E492" s="47"/>
    </row>
    <row r="493" spans="2:5" ht="41.25" customHeight="1" x14ac:dyDescent="0.2">
      <c r="B493" s="48"/>
      <c r="C493" s="85" t="s">
        <v>167</v>
      </c>
      <c r="D493" s="85"/>
      <c r="E493" s="85"/>
    </row>
    <row r="494" spans="2:5" x14ac:dyDescent="0.2">
      <c r="B494" s="48" t="s">
        <v>16</v>
      </c>
      <c r="C494" s="46"/>
      <c r="D494" s="46"/>
      <c r="E494" s="47"/>
    </row>
    <row r="495" spans="2:5" x14ac:dyDescent="0.2">
      <c r="B495" s="49"/>
      <c r="C495" s="88"/>
      <c r="D495" s="88"/>
      <c r="E495" s="88"/>
    </row>
    <row r="496" spans="2:5" x14ac:dyDescent="0.2">
      <c r="B496" s="49"/>
      <c r="C496" s="89"/>
      <c r="D496" s="89"/>
      <c r="E496" s="89"/>
    </row>
    <row r="497" spans="2:5" x14ac:dyDescent="0.2">
      <c r="B497" s="48" t="s">
        <v>17</v>
      </c>
      <c r="C497" s="46"/>
      <c r="D497" s="46"/>
      <c r="E497" s="47"/>
    </row>
    <row r="498" spans="2:5" ht="26.25" customHeight="1" x14ac:dyDescent="0.2">
      <c r="B498" s="49"/>
      <c r="C498" s="85"/>
      <c r="D498" s="85"/>
      <c r="E498" s="85"/>
    </row>
    <row r="499" spans="2:5" x14ac:dyDescent="0.2">
      <c r="B499" s="48" t="s">
        <v>18</v>
      </c>
      <c r="C499" s="50"/>
      <c r="D499" s="50"/>
      <c r="E499" s="51"/>
    </row>
    <row r="500" spans="2:5" ht="26.25" customHeight="1" x14ac:dyDescent="0.2">
      <c r="B500" s="49"/>
      <c r="C500" s="86"/>
      <c r="D500" s="86"/>
      <c r="E500" s="86"/>
    </row>
    <row r="501" spans="2:5" x14ac:dyDescent="0.2">
      <c r="B501" s="48" t="s">
        <v>19</v>
      </c>
      <c r="C501" s="46"/>
      <c r="D501" s="46"/>
      <c r="E501" s="47"/>
    </row>
    <row r="502" spans="2:5" ht="23.25" customHeight="1" x14ac:dyDescent="0.2">
      <c r="B502" s="48"/>
      <c r="C502" s="87"/>
      <c r="D502" s="87"/>
      <c r="E502" s="87"/>
    </row>
    <row r="503" spans="2:5" ht="13.5" thickBot="1" x14ac:dyDescent="0.25">
      <c r="B503" s="52"/>
      <c r="C503" s="53"/>
      <c r="D503" s="53"/>
      <c r="E503" s="54"/>
    </row>
    <row r="505" spans="2:5" ht="13.5" thickBot="1" x14ac:dyDescent="0.25"/>
    <row r="506" spans="2:5" x14ac:dyDescent="0.2">
      <c r="B506" s="42" t="s">
        <v>146</v>
      </c>
      <c r="C506" s="43"/>
      <c r="D506" s="43"/>
      <c r="E506" s="44"/>
    </row>
    <row r="507" spans="2:5" ht="5.25" customHeight="1" x14ac:dyDescent="0.2">
      <c r="B507" s="45"/>
      <c r="C507" s="46"/>
      <c r="D507" s="46"/>
      <c r="E507" s="47"/>
    </row>
    <row r="508" spans="2:5" x14ac:dyDescent="0.2">
      <c r="B508" s="48" t="s">
        <v>15</v>
      </c>
      <c r="C508" s="46"/>
      <c r="D508" s="46"/>
      <c r="E508" s="47"/>
    </row>
    <row r="509" spans="2:5" ht="41.25" customHeight="1" x14ac:dyDescent="0.2">
      <c r="B509" s="48"/>
      <c r="C509" s="85" t="s">
        <v>168</v>
      </c>
      <c r="D509" s="85"/>
      <c r="E509" s="85"/>
    </row>
    <row r="510" spans="2:5" x14ac:dyDescent="0.2">
      <c r="B510" s="48" t="s">
        <v>16</v>
      </c>
      <c r="C510" s="46"/>
      <c r="D510" s="46"/>
      <c r="E510" s="47"/>
    </row>
    <row r="511" spans="2:5" x14ac:dyDescent="0.2">
      <c r="B511" s="49"/>
      <c r="C511" s="88"/>
      <c r="D511" s="88"/>
      <c r="E511" s="88"/>
    </row>
    <row r="512" spans="2:5" x14ac:dyDescent="0.2">
      <c r="B512" s="49"/>
      <c r="C512" s="89"/>
      <c r="D512" s="89"/>
      <c r="E512" s="89"/>
    </row>
    <row r="513" spans="2:5" x14ac:dyDescent="0.2">
      <c r="B513" s="48" t="s">
        <v>17</v>
      </c>
      <c r="C513" s="46"/>
      <c r="D513" s="46"/>
      <c r="E513" s="47"/>
    </row>
    <row r="514" spans="2:5" ht="26.25" customHeight="1" x14ac:dyDescent="0.2">
      <c r="B514" s="49"/>
      <c r="C514" s="85"/>
      <c r="D514" s="85"/>
      <c r="E514" s="85"/>
    </row>
    <row r="515" spans="2:5" x14ac:dyDescent="0.2">
      <c r="B515" s="48" t="s">
        <v>18</v>
      </c>
      <c r="C515" s="50"/>
      <c r="D515" s="50"/>
      <c r="E515" s="51"/>
    </row>
    <row r="516" spans="2:5" ht="26.25" customHeight="1" x14ac:dyDescent="0.2">
      <c r="B516" s="49"/>
      <c r="C516" s="86"/>
      <c r="D516" s="86"/>
      <c r="E516" s="86"/>
    </row>
    <row r="517" spans="2:5" x14ac:dyDescent="0.2">
      <c r="B517" s="48" t="s">
        <v>19</v>
      </c>
      <c r="C517" s="46"/>
      <c r="D517" s="46"/>
      <c r="E517" s="47"/>
    </row>
    <row r="518" spans="2:5" ht="23.25" customHeight="1" x14ac:dyDescent="0.2">
      <c r="B518" s="48"/>
      <c r="C518" s="87"/>
      <c r="D518" s="87"/>
      <c r="E518" s="87"/>
    </row>
    <row r="519" spans="2:5" ht="13.5" thickBot="1" x14ac:dyDescent="0.25">
      <c r="B519" s="52"/>
      <c r="C519" s="53"/>
      <c r="D519" s="53"/>
      <c r="E519" s="54"/>
    </row>
    <row r="520" spans="2:5" ht="13.5" thickBot="1" x14ac:dyDescent="0.25"/>
    <row r="521" spans="2:5" x14ac:dyDescent="0.2">
      <c r="B521" s="42" t="s">
        <v>151</v>
      </c>
      <c r="C521" s="43"/>
      <c r="D521" s="43"/>
      <c r="E521" s="44"/>
    </row>
    <row r="522" spans="2:5" ht="5.25" customHeight="1" x14ac:dyDescent="0.2">
      <c r="B522" s="45"/>
      <c r="C522" s="46"/>
      <c r="D522" s="46"/>
      <c r="E522" s="47"/>
    </row>
    <row r="523" spans="2:5" x14ac:dyDescent="0.2">
      <c r="B523" s="48" t="s">
        <v>15</v>
      </c>
      <c r="C523" s="46"/>
      <c r="D523" s="46"/>
      <c r="E523" s="47"/>
    </row>
    <row r="524" spans="2:5" ht="41.25" customHeight="1" x14ac:dyDescent="0.2">
      <c r="B524" s="48"/>
      <c r="C524" s="85" t="s">
        <v>165</v>
      </c>
      <c r="D524" s="85"/>
      <c r="E524" s="85"/>
    </row>
    <row r="525" spans="2:5" x14ac:dyDescent="0.2">
      <c r="B525" s="48" t="s">
        <v>16</v>
      </c>
      <c r="C525" s="46"/>
      <c r="D525" s="46"/>
      <c r="E525" s="47"/>
    </row>
    <row r="526" spans="2:5" ht="29.25" customHeight="1" x14ac:dyDescent="0.2">
      <c r="B526" s="49"/>
      <c r="C526" s="97"/>
      <c r="D526" s="97"/>
      <c r="E526" s="98"/>
    </row>
    <row r="527" spans="2:5" x14ac:dyDescent="0.2">
      <c r="B527" s="49"/>
      <c r="C527" s="89"/>
      <c r="D527" s="89"/>
      <c r="E527" s="89"/>
    </row>
    <row r="528" spans="2:5" x14ac:dyDescent="0.2">
      <c r="B528" s="48" t="s">
        <v>17</v>
      </c>
      <c r="C528" s="46"/>
      <c r="D528" s="46"/>
      <c r="E528" s="47"/>
    </row>
    <row r="529" spans="2:5" ht="26.25" customHeight="1" x14ac:dyDescent="0.2">
      <c r="B529" s="49"/>
      <c r="C529" s="85"/>
      <c r="D529" s="85"/>
      <c r="E529" s="85"/>
    </row>
    <row r="530" spans="2:5" x14ac:dyDescent="0.2">
      <c r="B530" s="48" t="s">
        <v>18</v>
      </c>
      <c r="C530" s="50"/>
      <c r="D530" s="50"/>
      <c r="E530" s="51"/>
    </row>
    <row r="531" spans="2:5" ht="26.25" customHeight="1" x14ac:dyDescent="0.2">
      <c r="B531" s="49"/>
      <c r="C531" s="86"/>
      <c r="D531" s="86"/>
      <c r="E531" s="86"/>
    </row>
    <row r="532" spans="2:5" x14ac:dyDescent="0.2">
      <c r="B532" s="48" t="s">
        <v>19</v>
      </c>
      <c r="C532" s="46"/>
      <c r="D532" s="46"/>
      <c r="E532" s="47"/>
    </row>
    <row r="533" spans="2:5" ht="23.25" customHeight="1" x14ac:dyDescent="0.2">
      <c r="B533" s="48"/>
      <c r="C533" s="87"/>
      <c r="D533" s="87"/>
      <c r="E533" s="87"/>
    </row>
    <row r="534" spans="2:5" ht="13.5" thickBot="1" x14ac:dyDescent="0.25">
      <c r="B534" s="52"/>
      <c r="C534" s="53"/>
      <c r="D534" s="53"/>
      <c r="E534" s="54"/>
    </row>
    <row r="535" spans="2:5" ht="13.5" thickBot="1" x14ac:dyDescent="0.25"/>
    <row r="536" spans="2:5" x14ac:dyDescent="0.2">
      <c r="B536" s="42" t="s">
        <v>152</v>
      </c>
      <c r="C536" s="43"/>
      <c r="D536" s="43"/>
      <c r="E536" s="44"/>
    </row>
    <row r="537" spans="2:5" ht="5.25" customHeight="1" x14ac:dyDescent="0.2">
      <c r="B537" s="45"/>
      <c r="C537" s="46"/>
      <c r="D537" s="46"/>
      <c r="E537" s="47"/>
    </row>
    <row r="538" spans="2:5" x14ac:dyDescent="0.2">
      <c r="B538" s="48" t="s">
        <v>15</v>
      </c>
      <c r="C538" s="46"/>
      <c r="D538" s="46"/>
      <c r="E538" s="47"/>
    </row>
    <row r="539" spans="2:5" ht="41.25" customHeight="1" x14ac:dyDescent="0.2">
      <c r="B539" s="48"/>
      <c r="C539" s="85" t="s">
        <v>150</v>
      </c>
      <c r="D539" s="85"/>
      <c r="E539" s="85"/>
    </row>
    <row r="540" spans="2:5" x14ac:dyDescent="0.2">
      <c r="B540" s="48" t="s">
        <v>16</v>
      </c>
      <c r="C540" s="46"/>
      <c r="D540" s="46"/>
      <c r="E540" s="47"/>
    </row>
    <row r="541" spans="2:5" ht="24.75" customHeight="1" x14ac:dyDescent="0.2">
      <c r="B541" s="49"/>
      <c r="C541" s="97"/>
      <c r="D541" s="97"/>
      <c r="E541" s="98"/>
    </row>
    <row r="542" spans="2:5" x14ac:dyDescent="0.2">
      <c r="B542" s="49"/>
      <c r="C542" s="89"/>
      <c r="D542" s="89"/>
      <c r="E542" s="89"/>
    </row>
    <row r="543" spans="2:5" x14ac:dyDescent="0.2">
      <c r="B543" s="48" t="s">
        <v>17</v>
      </c>
      <c r="C543" s="46"/>
      <c r="D543" s="46"/>
      <c r="E543" s="47"/>
    </row>
    <row r="544" spans="2:5" ht="26.25" customHeight="1" x14ac:dyDescent="0.2">
      <c r="B544" s="49"/>
      <c r="C544" s="85"/>
      <c r="D544" s="85"/>
      <c r="E544" s="85"/>
    </row>
    <row r="545" spans="2:5" x14ac:dyDescent="0.2">
      <c r="B545" s="48" t="s">
        <v>18</v>
      </c>
      <c r="C545" s="50"/>
      <c r="D545" s="50"/>
      <c r="E545" s="51"/>
    </row>
    <row r="546" spans="2:5" ht="26.25" customHeight="1" x14ac:dyDescent="0.2">
      <c r="B546" s="49"/>
      <c r="C546" s="86"/>
      <c r="D546" s="86"/>
      <c r="E546" s="86"/>
    </row>
    <row r="547" spans="2:5" x14ac:dyDescent="0.2">
      <c r="B547" s="48" t="s">
        <v>19</v>
      </c>
      <c r="C547" s="46"/>
      <c r="D547" s="46"/>
      <c r="E547" s="47"/>
    </row>
    <row r="548" spans="2:5" ht="23.25" customHeight="1" x14ac:dyDescent="0.2">
      <c r="B548" s="48"/>
      <c r="C548" s="87"/>
      <c r="D548" s="87"/>
      <c r="E548" s="87"/>
    </row>
    <row r="549" spans="2:5" ht="13.5" thickBot="1" x14ac:dyDescent="0.25">
      <c r="B549" s="52"/>
      <c r="C549" s="53"/>
      <c r="D549" s="53"/>
      <c r="E549" s="54"/>
    </row>
  </sheetData>
  <mergeCells count="208">
    <mergeCell ref="C546:E546"/>
    <mergeCell ref="C548:E548"/>
    <mergeCell ref="C524:E524"/>
    <mergeCell ref="C539:E539"/>
    <mergeCell ref="C541:E541"/>
    <mergeCell ref="C542:E542"/>
    <mergeCell ref="C544:E544"/>
    <mergeCell ref="C526:E526"/>
    <mergeCell ref="C527:E527"/>
    <mergeCell ref="C529:E529"/>
    <mergeCell ref="C531:E531"/>
    <mergeCell ref="C533:E533"/>
    <mergeCell ref="C512:E512"/>
    <mergeCell ref="C514:E514"/>
    <mergeCell ref="C516:E516"/>
    <mergeCell ref="C518:E518"/>
    <mergeCell ref="C498:E498"/>
    <mergeCell ref="C500:E500"/>
    <mergeCell ref="C502:E502"/>
    <mergeCell ref="C509:E509"/>
    <mergeCell ref="C511:E511"/>
    <mergeCell ref="C485:E485"/>
    <mergeCell ref="C487:E487"/>
    <mergeCell ref="C493:E493"/>
    <mergeCell ref="C495:E495"/>
    <mergeCell ref="C496:E496"/>
    <mergeCell ref="C472:E472"/>
    <mergeCell ref="C478:E478"/>
    <mergeCell ref="C480:E480"/>
    <mergeCell ref="C481:E481"/>
    <mergeCell ref="C483:E483"/>
    <mergeCell ref="C463:E463"/>
    <mergeCell ref="C465:E465"/>
    <mergeCell ref="C466:E466"/>
    <mergeCell ref="C468:E468"/>
    <mergeCell ref="C470:E470"/>
    <mergeCell ref="C450:E450"/>
    <mergeCell ref="C451:E451"/>
    <mergeCell ref="C453:E453"/>
    <mergeCell ref="C455:E455"/>
    <mergeCell ref="C457:E457"/>
    <mergeCell ref="C435:E435"/>
    <mergeCell ref="C437:E437"/>
    <mergeCell ref="C439:E439"/>
    <mergeCell ref="C441:E441"/>
    <mergeCell ref="C448:E448"/>
    <mergeCell ref="C422:E422"/>
    <mergeCell ref="C424:E424"/>
    <mergeCell ref="C426:E426"/>
    <mergeCell ref="C432:E432"/>
    <mergeCell ref="C434:E434"/>
    <mergeCell ref="C409:E409"/>
    <mergeCell ref="C411:E411"/>
    <mergeCell ref="C417:E417"/>
    <mergeCell ref="C419:E419"/>
    <mergeCell ref="C420:E420"/>
    <mergeCell ref="C396:E396"/>
    <mergeCell ref="C402:E402"/>
    <mergeCell ref="C404:E404"/>
    <mergeCell ref="C405:E405"/>
    <mergeCell ref="C407:E407"/>
    <mergeCell ref="C387:E387"/>
    <mergeCell ref="C389:E389"/>
    <mergeCell ref="C390:E390"/>
    <mergeCell ref="C392:E392"/>
    <mergeCell ref="C394:E394"/>
    <mergeCell ref="C373:E373"/>
    <mergeCell ref="C374:E374"/>
    <mergeCell ref="C376:E376"/>
    <mergeCell ref="C378:E378"/>
    <mergeCell ref="C380:E380"/>
    <mergeCell ref="C359:E359"/>
    <mergeCell ref="C361:E361"/>
    <mergeCell ref="C363:E363"/>
    <mergeCell ref="C365:E365"/>
    <mergeCell ref="C371:E371"/>
    <mergeCell ref="C346:E346"/>
    <mergeCell ref="C348:E348"/>
    <mergeCell ref="C350:E350"/>
    <mergeCell ref="C356:E356"/>
    <mergeCell ref="C358:E358"/>
    <mergeCell ref="C333:E333"/>
    <mergeCell ref="C335:E335"/>
    <mergeCell ref="C341:E341"/>
    <mergeCell ref="C343:E343"/>
    <mergeCell ref="C344:E344"/>
    <mergeCell ref="C319:E319"/>
    <mergeCell ref="C326:E326"/>
    <mergeCell ref="C328:E328"/>
    <mergeCell ref="C329:E329"/>
    <mergeCell ref="C331:E331"/>
    <mergeCell ref="C310:E310"/>
    <mergeCell ref="C312:E312"/>
    <mergeCell ref="C313:E313"/>
    <mergeCell ref="C315:E315"/>
    <mergeCell ref="C317:E317"/>
    <mergeCell ref="C297:E297"/>
    <mergeCell ref="C298:E298"/>
    <mergeCell ref="C300:E300"/>
    <mergeCell ref="C302:E302"/>
    <mergeCell ref="C304:E304"/>
    <mergeCell ref="C283:E283"/>
    <mergeCell ref="C285:E285"/>
    <mergeCell ref="C287:E287"/>
    <mergeCell ref="C289:E289"/>
    <mergeCell ref="C295:E295"/>
    <mergeCell ref="C270:E270"/>
    <mergeCell ref="C272:E272"/>
    <mergeCell ref="C274:E274"/>
    <mergeCell ref="C280:E280"/>
    <mergeCell ref="C282:E282"/>
    <mergeCell ref="C256:E256"/>
    <mergeCell ref="C258:E258"/>
    <mergeCell ref="C265:E265"/>
    <mergeCell ref="C267:E267"/>
    <mergeCell ref="C268:E268"/>
    <mergeCell ref="C243:E243"/>
    <mergeCell ref="C249:E249"/>
    <mergeCell ref="C251:E251"/>
    <mergeCell ref="C252:E252"/>
    <mergeCell ref="C254:E254"/>
    <mergeCell ref="C234:E234"/>
    <mergeCell ref="C236:E236"/>
    <mergeCell ref="C237:E237"/>
    <mergeCell ref="C239:E239"/>
    <mergeCell ref="C241:E241"/>
    <mergeCell ref="C221:E221"/>
    <mergeCell ref="C222:E222"/>
    <mergeCell ref="C224:E224"/>
    <mergeCell ref="C226:E226"/>
    <mergeCell ref="C228:E228"/>
    <mergeCell ref="C207:E207"/>
    <mergeCell ref="C209:E209"/>
    <mergeCell ref="C211:E211"/>
    <mergeCell ref="C213:E213"/>
    <mergeCell ref="C219:E219"/>
    <mergeCell ref="C193:E193"/>
    <mergeCell ref="C195:E195"/>
    <mergeCell ref="C197:E197"/>
    <mergeCell ref="C204:E204"/>
    <mergeCell ref="C206:E206"/>
    <mergeCell ref="C180:E180"/>
    <mergeCell ref="C182:E182"/>
    <mergeCell ref="C188:E188"/>
    <mergeCell ref="C190:E190"/>
    <mergeCell ref="C191:E191"/>
    <mergeCell ref="C167:E167"/>
    <mergeCell ref="C173:E173"/>
    <mergeCell ref="C175:E175"/>
    <mergeCell ref="C176:E176"/>
    <mergeCell ref="C178:E178"/>
    <mergeCell ref="C158:E158"/>
    <mergeCell ref="C160:E160"/>
    <mergeCell ref="C161:E161"/>
    <mergeCell ref="C163:E163"/>
    <mergeCell ref="C165:E165"/>
    <mergeCell ref="C145:E145"/>
    <mergeCell ref="C146:E146"/>
    <mergeCell ref="C148:E148"/>
    <mergeCell ref="C150:E150"/>
    <mergeCell ref="C152:E152"/>
    <mergeCell ref="C130:E130"/>
    <mergeCell ref="C132:E132"/>
    <mergeCell ref="C134:E134"/>
    <mergeCell ref="C136:E136"/>
    <mergeCell ref="C143:E143"/>
    <mergeCell ref="C117:E117"/>
    <mergeCell ref="C119:E119"/>
    <mergeCell ref="C121:E121"/>
    <mergeCell ref="C127:E127"/>
    <mergeCell ref="C129:E129"/>
    <mergeCell ref="C104:E104"/>
    <mergeCell ref="C106:E106"/>
    <mergeCell ref="C112:E112"/>
    <mergeCell ref="C114:E114"/>
    <mergeCell ref="C115:E115"/>
    <mergeCell ref="C91:E91"/>
    <mergeCell ref="C97:E97"/>
    <mergeCell ref="C99:E99"/>
    <mergeCell ref="C100:E100"/>
    <mergeCell ref="C102:E102"/>
    <mergeCell ref="C82:E82"/>
    <mergeCell ref="C84:E84"/>
    <mergeCell ref="C85:E85"/>
    <mergeCell ref="C87:E87"/>
    <mergeCell ref="C89:E89"/>
    <mergeCell ref="C69:E69"/>
    <mergeCell ref="C71:E71"/>
    <mergeCell ref="C73:E73"/>
    <mergeCell ref="C75:E75"/>
    <mergeCell ref="C68:E68"/>
    <mergeCell ref="A6:B6"/>
    <mergeCell ref="A7:B7"/>
    <mergeCell ref="C51:E51"/>
    <mergeCell ref="C53:E53"/>
    <mergeCell ref="C54:E54"/>
    <mergeCell ref="B44:E44"/>
    <mergeCell ref="B45:E45"/>
    <mergeCell ref="B46:E46"/>
    <mergeCell ref="B2:H2"/>
    <mergeCell ref="A4:B4"/>
    <mergeCell ref="C4:E4"/>
    <mergeCell ref="A5:B5"/>
    <mergeCell ref="C5:E5"/>
    <mergeCell ref="C56:E56"/>
    <mergeCell ref="C58:E58"/>
    <mergeCell ref="C60:E60"/>
    <mergeCell ref="C66:E66"/>
  </mergeCells>
  <pageMargins left="0.70866141732283472" right="0.70866141732283472" top="0.74803149606299213" bottom="0.74803149606299213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5"/>
  <sheetViews>
    <sheetView topLeftCell="A28" zoomScale="70" zoomScaleNormal="70" workbookViewId="0">
      <selection activeCell="J45" sqref="J45:K4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9" t="s">
        <v>21</v>
      </c>
      <c r="B1" s="99"/>
      <c r="C1" s="99"/>
      <c r="D1" s="99"/>
      <c r="E1" s="99"/>
      <c r="F1" s="99"/>
      <c r="G1" s="99"/>
      <c r="H1" s="99"/>
      <c r="I1" s="99"/>
      <c r="J1" s="3" t="s">
        <v>22</v>
      </c>
      <c r="K1" s="65" t="s">
        <v>176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0" t="s">
        <v>55</v>
      </c>
      <c r="B3" s="100"/>
      <c r="C3" s="100"/>
      <c r="D3" s="101" t="str">
        <f>'Necesidades Trimestrales'!C4</f>
        <v>40 - Ministerio de Salud</v>
      </c>
      <c r="E3" s="101"/>
      <c r="F3" s="101"/>
      <c r="G3" s="101"/>
      <c r="H3" s="101"/>
      <c r="I3" s="101"/>
      <c r="J3" s="101"/>
      <c r="K3" s="101"/>
    </row>
    <row r="4" spans="1:11" ht="18.75" customHeight="1" thickBot="1" x14ac:dyDescent="0.25">
      <c r="A4" s="102" t="s">
        <v>56</v>
      </c>
      <c r="B4" s="102"/>
      <c r="C4" s="102"/>
      <c r="D4" s="101" t="str">
        <f>'Necesidades Trimestrales'!C5</f>
        <v>23 - Hospital Interzonal San Juan Bautista</v>
      </c>
      <c r="E4" s="101"/>
      <c r="F4" s="101"/>
      <c r="G4" s="101"/>
      <c r="H4" s="101"/>
      <c r="I4" s="101"/>
      <c r="J4" s="101"/>
      <c r="K4" s="101"/>
    </row>
    <row r="5" spans="1:11" ht="18.75" customHeight="1" thickBot="1" x14ac:dyDescent="0.25">
      <c r="A5" s="102" t="s">
        <v>34</v>
      </c>
      <c r="B5" s="102"/>
      <c r="C5" s="102"/>
      <c r="D5" s="101" t="s">
        <v>147</v>
      </c>
      <c r="E5" s="101"/>
      <c r="F5" s="101"/>
      <c r="G5" s="101"/>
      <c r="H5" s="101"/>
      <c r="I5" s="101"/>
      <c r="J5" s="101"/>
      <c r="K5" s="101"/>
    </row>
    <row r="6" spans="1:11" ht="16.5" customHeight="1" thickBot="1" x14ac:dyDescent="0.25">
      <c r="A6" s="100" t="s">
        <v>57</v>
      </c>
      <c r="B6" s="100"/>
      <c r="C6" s="100"/>
      <c r="D6" s="101" t="s">
        <v>148</v>
      </c>
      <c r="E6" s="101"/>
      <c r="F6" s="101"/>
      <c r="G6" s="101"/>
      <c r="H6" s="101"/>
      <c r="I6" s="101"/>
      <c r="J6" s="101"/>
      <c r="K6" s="101"/>
    </row>
    <row r="7" spans="1:11" ht="16.5" customHeight="1" x14ac:dyDescent="0.2">
      <c r="A7" s="102" t="s">
        <v>23</v>
      </c>
      <c r="B7" s="102"/>
      <c r="C7" s="102"/>
      <c r="D7" s="101" t="str">
        <f>'Necesidades Trimestrales'!C7 &amp; "° Trimestre - Año " &amp; 'Necesidades Trimestrales'!C6</f>
        <v>4° Trimestre - Año 2022</v>
      </c>
      <c r="E7" s="101"/>
      <c r="F7" s="101"/>
      <c r="G7" s="101"/>
      <c r="H7" s="101"/>
      <c r="I7" s="101"/>
      <c r="J7" s="101"/>
      <c r="K7" s="101"/>
    </row>
    <row r="8" spans="1:11" ht="16.5" customHeight="1" x14ac:dyDescent="0.2">
      <c r="A8" s="104" t="s">
        <v>24</v>
      </c>
      <c r="B8" s="104"/>
      <c r="C8" s="104"/>
      <c r="D8" s="105" t="s">
        <v>149</v>
      </c>
      <c r="E8" s="105"/>
      <c r="F8" s="105"/>
      <c r="G8" s="105"/>
      <c r="H8" s="105"/>
      <c r="I8" s="105"/>
      <c r="J8" s="105"/>
      <c r="K8" s="105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6" t="s">
        <v>25</v>
      </c>
      <c r="B10" s="107" t="s">
        <v>26</v>
      </c>
      <c r="C10" s="107" t="s">
        <v>27</v>
      </c>
      <c r="D10" s="107"/>
      <c r="E10" s="107"/>
      <c r="F10" s="107"/>
      <c r="G10" s="107"/>
      <c r="H10" s="107" t="s">
        <v>28</v>
      </c>
      <c r="I10" s="107" t="s">
        <v>29</v>
      </c>
      <c r="J10" s="107" t="s">
        <v>30</v>
      </c>
      <c r="K10" s="108" t="s">
        <v>31</v>
      </c>
    </row>
    <row r="11" spans="1:11" ht="24" customHeight="1" thickBot="1" x14ac:dyDescent="0.2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20.25" customHeight="1" thickBot="1" x14ac:dyDescent="0.25">
      <c r="A12" s="8">
        <v>1</v>
      </c>
      <c r="B12" s="66" t="str">
        <f>'Necesidades Trimestrales'!B10</f>
        <v>2.9.6-1355.1368</v>
      </c>
      <c r="C12" s="109" t="str">
        <f>'Necesidades Trimestrales'!E10</f>
        <v>CARTUCHOS DE TINTA; CODIGO: 840C 6615, USO: HEWLETT PACKARD</v>
      </c>
      <c r="D12" s="109"/>
      <c r="E12" s="109"/>
      <c r="F12" s="109"/>
      <c r="G12" s="109"/>
      <c r="H12" s="67" t="s">
        <v>160</v>
      </c>
      <c r="I12" s="68" t="str">
        <f>'Necesidades Trimestrales'!F10</f>
        <v>UNIDAD</v>
      </c>
      <c r="J12" s="69">
        <f>'Necesidades Trimestrales'!H10</f>
        <v>5301</v>
      </c>
      <c r="K12" s="70">
        <f>'Necesidades Trimestrales'!G10</f>
        <v>4</v>
      </c>
    </row>
    <row r="13" spans="1:11" ht="20.25" customHeight="1" thickBot="1" x14ac:dyDescent="0.25">
      <c r="A13" s="8">
        <v>2</v>
      </c>
      <c r="B13" s="66" t="str">
        <f>'Necesidades Trimestrales'!B11</f>
        <v>2.9.6-1355.1369</v>
      </c>
      <c r="C13" s="109" t="str">
        <f>'Necesidades Trimestrales'!E11</f>
        <v>CARTUCHOS DE TINTA; CODIGO: 840C 6625, USO: DESK JET</v>
      </c>
      <c r="D13" s="109"/>
      <c r="E13" s="109"/>
      <c r="F13" s="109"/>
      <c r="G13" s="109"/>
      <c r="H13" s="67" t="s">
        <v>160</v>
      </c>
      <c r="I13" s="68" t="str">
        <f>'Necesidades Trimestrales'!F11</f>
        <v>UNIDAD</v>
      </c>
      <c r="J13" s="69">
        <f>'Necesidades Trimestrales'!H11</f>
        <v>9000</v>
      </c>
      <c r="K13" s="70">
        <f>'Necesidades Trimestrales'!G11</f>
        <v>4</v>
      </c>
    </row>
    <row r="14" spans="1:11" ht="20.25" customHeight="1" thickBot="1" x14ac:dyDescent="0.25">
      <c r="A14" s="8">
        <v>3</v>
      </c>
      <c r="B14" s="66" t="str">
        <f>'Necesidades Trimestrales'!B12</f>
        <v>2.9.6-1355.1409</v>
      </c>
      <c r="C14" s="109" t="str">
        <f>'Necesidades Trimestrales'!E12</f>
        <v>CARTUCHOS DE TINTA; CODIGO: HP 21, USO: HEWLETT PACKARD</v>
      </c>
      <c r="D14" s="109"/>
      <c r="E14" s="109"/>
      <c r="F14" s="109"/>
      <c r="G14" s="109"/>
      <c r="H14" s="67" t="s">
        <v>160</v>
      </c>
      <c r="I14" s="68" t="str">
        <f>'Necesidades Trimestrales'!F12</f>
        <v>UNIDAD</v>
      </c>
      <c r="J14" s="69">
        <f>'Necesidades Trimestrales'!H12</f>
        <v>4500</v>
      </c>
      <c r="K14" s="70">
        <f>'Necesidades Trimestrales'!G12</f>
        <v>20</v>
      </c>
    </row>
    <row r="15" spans="1:11" ht="30" customHeight="1" thickBot="1" x14ac:dyDescent="0.25">
      <c r="A15" s="8">
        <v>4</v>
      </c>
      <c r="B15" s="66" t="str">
        <f>'Necesidades Trimestrales'!B13</f>
        <v>2.9.6-1355.1140</v>
      </c>
      <c r="C15" s="109" t="str">
        <f>'Necesidades Trimestrales'!E13</f>
        <v>CARTUCHOS DE TINTA; CODIGO: C9352AL, DESCRIPCION: SIN VALOR, COLOR: SIN VALOR, USO: HEWLETT PACKARD</v>
      </c>
      <c r="D15" s="109"/>
      <c r="E15" s="109"/>
      <c r="F15" s="109"/>
      <c r="G15" s="109"/>
      <c r="H15" s="67" t="s">
        <v>160</v>
      </c>
      <c r="I15" s="68" t="str">
        <f>'Necesidades Trimestrales'!F13</f>
        <v>UNIDAD</v>
      </c>
      <c r="J15" s="69">
        <f>'Necesidades Trimestrales'!H13</f>
        <v>3500</v>
      </c>
      <c r="K15" s="70">
        <f>'Necesidades Trimestrales'!G13</f>
        <v>20</v>
      </c>
    </row>
    <row r="16" spans="1:11" ht="20.25" customHeight="1" thickBot="1" x14ac:dyDescent="0.25">
      <c r="A16" s="8">
        <v>5</v>
      </c>
      <c r="B16" s="66" t="str">
        <f>'Necesidades Trimestrales'!B14</f>
        <v>2.9.6-401.2193</v>
      </c>
      <c r="C16" s="109" t="str">
        <f>'Necesidades Trimestrales'!E14</f>
        <v>CARTUCHOS DE TONER; CODIGO: SP 310 DNW, USO: LASER RICOH</v>
      </c>
      <c r="D16" s="109"/>
      <c r="E16" s="109"/>
      <c r="F16" s="109"/>
      <c r="G16" s="109"/>
      <c r="H16" s="67" t="s">
        <v>160</v>
      </c>
      <c r="I16" s="68" t="str">
        <f>'Necesidades Trimestrales'!F14</f>
        <v>UNIDAD</v>
      </c>
      <c r="J16" s="69">
        <f>'Necesidades Trimestrales'!H14</f>
        <v>12000</v>
      </c>
      <c r="K16" s="70">
        <f>'Necesidades Trimestrales'!G14</f>
        <v>8</v>
      </c>
    </row>
    <row r="17" spans="1:18" ht="20.25" customHeight="1" thickBot="1" x14ac:dyDescent="0.25">
      <c r="A17" s="8">
        <v>6</v>
      </c>
      <c r="B17" s="66" t="str">
        <f>'Necesidades Trimestrales'!B15</f>
        <v>2.9.6-401.2377</v>
      </c>
      <c r="C17" s="109" t="str">
        <f>'Necesidades Trimestrales'!E15</f>
        <v>CARTUCHOS DE TONER; CODIGO: CF279A, USO: HEWLETT PACKARD</v>
      </c>
      <c r="D17" s="109"/>
      <c r="E17" s="109"/>
      <c r="F17" s="109"/>
      <c r="G17" s="109"/>
      <c r="H17" s="67" t="s">
        <v>160</v>
      </c>
      <c r="I17" s="68" t="str">
        <f>'Necesidades Trimestrales'!F15</f>
        <v>UNIDAD</v>
      </c>
      <c r="J17" s="69">
        <f>'Necesidades Trimestrales'!H15</f>
        <v>4500</v>
      </c>
      <c r="K17" s="70">
        <f>'Necesidades Trimestrales'!G15</f>
        <v>5</v>
      </c>
    </row>
    <row r="18" spans="1:18" ht="30" customHeight="1" thickBot="1" x14ac:dyDescent="0.25">
      <c r="A18" s="8">
        <v>7</v>
      </c>
      <c r="B18" s="66" t="str">
        <f>'Necesidades Trimestrales'!B16</f>
        <v>2.9.6-401.932</v>
      </c>
      <c r="C18" s="109" t="str">
        <f>'Necesidades Trimestrales'!E16</f>
        <v>CARTUCHOS DE TONER; CODIGO: Q7551A, COLOR: NEGRO, DESCRIPCION: CARTUCHO TONER, USO: HEWLETT PACKARD</v>
      </c>
      <c r="D18" s="109"/>
      <c r="E18" s="109"/>
      <c r="F18" s="109"/>
      <c r="G18" s="109"/>
      <c r="H18" s="67" t="s">
        <v>160</v>
      </c>
      <c r="I18" s="68" t="str">
        <f>'Necesidades Trimestrales'!F16</f>
        <v>UNIDAD</v>
      </c>
      <c r="J18" s="69">
        <f>'Necesidades Trimestrales'!H16</f>
        <v>11000</v>
      </c>
      <c r="K18" s="70">
        <f>'Necesidades Trimestrales'!G16</f>
        <v>2</v>
      </c>
    </row>
    <row r="19" spans="1:18" ht="20.25" customHeight="1" thickBot="1" x14ac:dyDescent="0.25">
      <c r="A19" s="8">
        <v>8</v>
      </c>
      <c r="B19" s="66" t="str">
        <f>'Necesidades Trimestrales'!B17</f>
        <v>2.9.6-401.2024</v>
      </c>
      <c r="C19" s="109" t="str">
        <f>'Necesidades Trimestrales'!E17</f>
        <v>CARTUCHOS DE TONER; CODIGO: MLT-D111S, USO: SAMSUNG</v>
      </c>
      <c r="D19" s="109"/>
      <c r="E19" s="109"/>
      <c r="F19" s="109"/>
      <c r="G19" s="109"/>
      <c r="H19" s="67" t="s">
        <v>160</v>
      </c>
      <c r="I19" s="68" t="str">
        <f>'Necesidades Trimestrales'!F17</f>
        <v>UNIDAD</v>
      </c>
      <c r="J19" s="69">
        <f>'Necesidades Trimestrales'!H17</f>
        <v>15000</v>
      </c>
      <c r="K19" s="70">
        <f>'Necesidades Trimestrales'!G17</f>
        <v>8</v>
      </c>
    </row>
    <row r="20" spans="1:18" ht="20.25" customHeight="1" thickBot="1" x14ac:dyDescent="0.25">
      <c r="A20" s="8">
        <v>9</v>
      </c>
      <c r="B20" s="66" t="str">
        <f>'Necesidades Trimestrales'!B18</f>
        <v>2.9.6-401.2093</v>
      </c>
      <c r="C20" s="109" t="str">
        <f>'Necesidades Trimestrales'!E18</f>
        <v>CARTUCHOS DE TONER; CODIGO: SP5210DN, USO: LANIER RICOH</v>
      </c>
      <c r="D20" s="109"/>
      <c r="E20" s="109"/>
      <c r="F20" s="109"/>
      <c r="G20" s="109"/>
      <c r="H20" s="67" t="s">
        <v>160</v>
      </c>
      <c r="I20" s="68" t="str">
        <f>'Necesidades Trimestrales'!F18</f>
        <v>UNIDAD</v>
      </c>
      <c r="J20" s="69">
        <f>'Necesidades Trimestrales'!H18</f>
        <v>23000</v>
      </c>
      <c r="K20" s="70">
        <f>'Necesidades Trimestrales'!G18</f>
        <v>3</v>
      </c>
    </row>
    <row r="21" spans="1:18" ht="20.25" customHeight="1" thickBot="1" x14ac:dyDescent="0.25">
      <c r="A21" s="8">
        <v>10</v>
      </c>
      <c r="B21" s="66" t="str">
        <f>'Necesidades Trimestrales'!B19</f>
        <v>2.9.6-401.2045</v>
      </c>
      <c r="C21" s="109" t="str">
        <f>'Necesidades Trimestrales'!E19</f>
        <v>CARTUCHOS DE TONER; CODIGO: TN 1060, USO: BROTHER</v>
      </c>
      <c r="D21" s="109"/>
      <c r="E21" s="109"/>
      <c r="F21" s="109"/>
      <c r="G21" s="109"/>
      <c r="H21" s="67" t="s">
        <v>160</v>
      </c>
      <c r="I21" s="68" t="str">
        <f>'Necesidades Trimestrales'!F19</f>
        <v>UNIDAD</v>
      </c>
      <c r="J21" s="69">
        <f>'Necesidades Trimestrales'!H19</f>
        <v>2730</v>
      </c>
      <c r="K21" s="70">
        <f>'Necesidades Trimestrales'!G19</f>
        <v>50</v>
      </c>
    </row>
    <row r="22" spans="1:18" ht="20.25" customHeight="1" thickBot="1" x14ac:dyDescent="0.25">
      <c r="A22" s="8">
        <v>11</v>
      </c>
      <c r="B22" s="66" t="str">
        <f>'Necesidades Trimestrales'!B20</f>
        <v>2.9.6-1355.1631</v>
      </c>
      <c r="C22" s="109" t="str">
        <f>'Necesidades Trimestrales'!E20</f>
        <v>CARTUCHOS DE TINTA; CODIGO: CH561HL, USO: HEWLETT PACKARD</v>
      </c>
      <c r="D22" s="109"/>
      <c r="E22" s="109"/>
      <c r="F22" s="109"/>
      <c r="G22" s="109"/>
      <c r="H22" s="67" t="s">
        <v>160</v>
      </c>
      <c r="I22" s="68" t="str">
        <f>'Necesidades Trimestrales'!F20</f>
        <v>UNIDAD</v>
      </c>
      <c r="J22" s="69">
        <f>'Necesidades Trimestrales'!H20</f>
        <v>3500</v>
      </c>
      <c r="K22" s="70">
        <f>'Necesidades Trimestrales'!G20</f>
        <v>8</v>
      </c>
    </row>
    <row r="23" spans="1:18" ht="20.25" customHeight="1" thickBot="1" x14ac:dyDescent="0.25">
      <c r="A23" s="8">
        <v>12</v>
      </c>
      <c r="B23" s="66" t="str">
        <f>'Necesidades Trimestrales'!B21</f>
        <v>2.9.6-1355.1630</v>
      </c>
      <c r="C23" s="109" t="str">
        <f>'Necesidades Trimestrales'!E21</f>
        <v>CARTUCHOS DE TINTA; CODIGO: CH562HL, USO: HEWLETT PACKARD</v>
      </c>
      <c r="D23" s="109"/>
      <c r="E23" s="109"/>
      <c r="F23" s="109"/>
      <c r="G23" s="109"/>
      <c r="H23" s="67" t="s">
        <v>160</v>
      </c>
      <c r="I23" s="68" t="str">
        <f>'Necesidades Trimestrales'!F21</f>
        <v>UNIDAD</v>
      </c>
      <c r="J23" s="69">
        <f>'Necesidades Trimestrales'!H21</f>
        <v>4500</v>
      </c>
      <c r="K23" s="70">
        <f>'Necesidades Trimestrales'!G21</f>
        <v>8</v>
      </c>
    </row>
    <row r="24" spans="1:18" ht="20.25" customHeight="1" thickBot="1" x14ac:dyDescent="0.25">
      <c r="A24" s="8">
        <v>13</v>
      </c>
      <c r="B24" s="66" t="str">
        <f>'Necesidades Trimestrales'!B22</f>
        <v>2.9.6-401.1172</v>
      </c>
      <c r="C24" s="109" t="str">
        <f>'Necesidades Trimestrales'!E22</f>
        <v>CARTUCHOS DE TONER; CODIGO: CC364A, USO: HEWLETT PACKARD</v>
      </c>
      <c r="D24" s="109"/>
      <c r="E24" s="109"/>
      <c r="F24" s="109"/>
      <c r="G24" s="109"/>
      <c r="H24" s="67" t="s">
        <v>160</v>
      </c>
      <c r="I24" s="68" t="str">
        <f>'Necesidades Trimestrales'!F22</f>
        <v>UNIDAD</v>
      </c>
      <c r="J24" s="69">
        <f>'Necesidades Trimestrales'!H22</f>
        <v>54000</v>
      </c>
      <c r="K24" s="70">
        <f>'Necesidades Trimestrales'!G22</f>
        <v>4</v>
      </c>
    </row>
    <row r="25" spans="1:18" ht="20.25" customHeight="1" thickBot="1" x14ac:dyDescent="0.25">
      <c r="A25" s="8">
        <v>14</v>
      </c>
      <c r="B25" s="66" t="str">
        <f>'Necesidades Trimestrales'!B23</f>
        <v>2.9.6-1355.1808</v>
      </c>
      <c r="C25" s="109" t="str">
        <f>'Necesidades Trimestrales'!E23</f>
        <v>CARTUCHOS DE TINTA; CODIGO: HP662, USO: HP</v>
      </c>
      <c r="D25" s="109"/>
      <c r="E25" s="109"/>
      <c r="F25" s="109"/>
      <c r="G25" s="109"/>
      <c r="H25" s="67" t="s">
        <v>160</v>
      </c>
      <c r="I25" s="68" t="str">
        <f>'Necesidades Trimestrales'!F23</f>
        <v>UNIDAD</v>
      </c>
      <c r="J25" s="69">
        <f>'Necesidades Trimestrales'!H23</f>
        <v>6000</v>
      </c>
      <c r="K25" s="70">
        <f>'Necesidades Trimestrales'!G23</f>
        <v>15</v>
      </c>
    </row>
    <row r="26" spans="1:18" ht="20.25" customHeight="1" thickBot="1" x14ac:dyDescent="0.25">
      <c r="A26" s="8">
        <v>15</v>
      </c>
      <c r="B26" s="66" t="str">
        <f>'Necesidades Trimestrales'!B24</f>
        <v>2.9.6-1355.1808</v>
      </c>
      <c r="C26" s="109" t="str">
        <f>'Necesidades Trimestrales'!E24</f>
        <v>CARTUCHOS DE TINTA; CODIGO: HP662, USO: HP</v>
      </c>
      <c r="D26" s="109"/>
      <c r="E26" s="109"/>
      <c r="F26" s="109"/>
      <c r="G26" s="109"/>
      <c r="H26" s="67" t="s">
        <v>160</v>
      </c>
      <c r="I26" s="68" t="str">
        <f>'Necesidades Trimestrales'!F24</f>
        <v>UNIDAD</v>
      </c>
      <c r="J26" s="69">
        <f>'Necesidades Trimestrales'!H24</f>
        <v>6000</v>
      </c>
      <c r="K26" s="70">
        <f>'Necesidades Trimestrales'!G24</f>
        <v>15</v>
      </c>
    </row>
    <row r="27" spans="1:18" ht="20.25" customHeight="1" thickBot="1" x14ac:dyDescent="0.25">
      <c r="A27" s="8">
        <v>16</v>
      </c>
      <c r="B27" s="66" t="str">
        <f>'Necesidades Trimestrales'!B25</f>
        <v>2.9.6-1355.1988</v>
      </c>
      <c r="C27" s="109" t="str">
        <f>'Necesidades Trimestrales'!E25</f>
        <v>CARTUCHOS DE TINTA; CODIGO: 664, USO: HEWLET PACKARD</v>
      </c>
      <c r="D27" s="109"/>
      <c r="E27" s="109"/>
      <c r="F27" s="109"/>
      <c r="G27" s="109"/>
      <c r="H27" s="67" t="s">
        <v>160</v>
      </c>
      <c r="I27" s="68" t="str">
        <f>'Necesidades Trimestrales'!F25</f>
        <v>UNIDAD</v>
      </c>
      <c r="J27" s="69">
        <f>'Necesidades Trimestrales'!H25</f>
        <v>6500</v>
      </c>
      <c r="K27" s="70">
        <f>'Necesidades Trimestrales'!G25</f>
        <v>8</v>
      </c>
    </row>
    <row r="28" spans="1:18" ht="20.25" customHeight="1" thickBot="1" x14ac:dyDescent="0.25">
      <c r="A28" s="8">
        <v>17</v>
      </c>
      <c r="B28" s="66" t="str">
        <f>'Necesidades Trimestrales'!B26</f>
        <v>2.9.6-1355.1988</v>
      </c>
      <c r="C28" s="109" t="str">
        <f>'Necesidades Trimestrales'!E26</f>
        <v>CARTUCHOS DE TINTA; CODIGO: 664, USO: HEWLET PACKARD</v>
      </c>
      <c r="D28" s="109"/>
      <c r="E28" s="109"/>
      <c r="F28" s="109"/>
      <c r="G28" s="109"/>
      <c r="H28" s="67" t="s">
        <v>160</v>
      </c>
      <c r="I28" s="68" t="str">
        <f>'Necesidades Trimestrales'!F26</f>
        <v>UNIDAD</v>
      </c>
      <c r="J28" s="69">
        <f>'Necesidades Trimestrales'!H26</f>
        <v>6500</v>
      </c>
      <c r="K28" s="70">
        <f>'Necesidades Trimestrales'!G26</f>
        <v>8</v>
      </c>
    </row>
    <row r="29" spans="1:18" ht="20.25" customHeight="1" thickBot="1" x14ac:dyDescent="0.25">
      <c r="A29" s="8">
        <v>18</v>
      </c>
      <c r="B29" s="66" t="str">
        <f>'Necesidades Trimestrales'!B27</f>
        <v>2.9.6-401.2128</v>
      </c>
      <c r="C29" s="109" t="str">
        <f>'Necesidades Trimestrales'!E27</f>
        <v>CARTUCHOS DE TONER; CODIGO: CF226A, USO: HEWLETT PACKARD</v>
      </c>
      <c r="D29" s="109"/>
      <c r="E29" s="109"/>
      <c r="F29" s="109"/>
      <c r="G29" s="109"/>
      <c r="H29" s="67" t="s">
        <v>160</v>
      </c>
      <c r="I29" s="68" t="str">
        <f>'Necesidades Trimestrales'!F27</f>
        <v>UNIDAD</v>
      </c>
      <c r="J29" s="69">
        <f>'Necesidades Trimestrales'!H27</f>
        <v>42000</v>
      </c>
      <c r="K29" s="70">
        <f>'Necesidades Trimestrales'!G27</f>
        <v>4</v>
      </c>
    </row>
    <row r="30" spans="1:18" ht="20.25" customHeight="1" thickBot="1" x14ac:dyDescent="0.25">
      <c r="A30" s="8">
        <v>19</v>
      </c>
      <c r="B30" s="66" t="str">
        <f>'Necesidades Trimestrales'!B28</f>
        <v>2.9.6-401.2378</v>
      </c>
      <c r="C30" s="109" t="str">
        <f>'Necesidades Trimestrales'!E28</f>
        <v>CARTUCHOS DE TONER; CODIGO: W1105A, USO: HEWLETT PACKARD</v>
      </c>
      <c r="D30" s="109"/>
      <c r="E30" s="109"/>
      <c r="F30" s="109"/>
      <c r="G30" s="109"/>
      <c r="H30" s="67" t="s">
        <v>160</v>
      </c>
      <c r="I30" s="68" t="str">
        <f>'Necesidades Trimestrales'!F28</f>
        <v>UNIDAD</v>
      </c>
      <c r="J30" s="69">
        <f>'Necesidades Trimestrales'!H28</f>
        <v>25000</v>
      </c>
      <c r="K30" s="70">
        <f>'Necesidades Trimestrales'!G28</f>
        <v>16</v>
      </c>
    </row>
    <row r="31" spans="1:18" ht="20.25" customHeight="1" thickBot="1" x14ac:dyDescent="0.25">
      <c r="A31" s="8">
        <v>20</v>
      </c>
      <c r="B31" s="66" t="str">
        <f>'Necesidades Trimestrales'!B29</f>
        <v>2.9.6-401.1136</v>
      </c>
      <c r="C31" s="109" t="str">
        <f>'Necesidades Trimestrales'!E29</f>
        <v>CARTUCHOS DE TONER; CODIGO: T1200, USO: TOSHIBA</v>
      </c>
      <c r="D31" s="109"/>
      <c r="E31" s="109"/>
      <c r="F31" s="109"/>
      <c r="G31" s="109"/>
      <c r="H31" s="67" t="s">
        <v>160</v>
      </c>
      <c r="I31" s="68" t="str">
        <f>'Necesidades Trimestrales'!F29</f>
        <v>UNIDAD</v>
      </c>
      <c r="J31" s="69">
        <f>'Necesidades Trimestrales'!H29</f>
        <v>13000</v>
      </c>
      <c r="K31" s="70">
        <f>'Necesidades Trimestrales'!G29</f>
        <v>6</v>
      </c>
      <c r="R31" s="81"/>
    </row>
    <row r="32" spans="1:18" ht="20.25" customHeight="1" thickBot="1" x14ac:dyDescent="0.25">
      <c r="A32" s="8">
        <v>21</v>
      </c>
      <c r="B32" s="66" t="str">
        <f>'Necesidades Trimestrales'!B30</f>
        <v>2.9.6-401.1289</v>
      </c>
      <c r="C32" s="109" t="str">
        <f>'Necesidades Trimestrales'!E30</f>
        <v>CARTUCHOS DE TONER; CODIGO: T 1640, USO: TOSHIBA ESTUDIO 166</v>
      </c>
      <c r="D32" s="109"/>
      <c r="E32" s="109"/>
      <c r="F32" s="109"/>
      <c r="G32" s="109"/>
      <c r="H32" s="67" t="s">
        <v>160</v>
      </c>
      <c r="I32" s="68" t="str">
        <f>'Necesidades Trimestrales'!F30</f>
        <v>UNIDAD</v>
      </c>
      <c r="J32" s="69">
        <f>'Necesidades Trimestrales'!H30</f>
        <v>13500</v>
      </c>
      <c r="K32" s="70">
        <f>'Necesidades Trimestrales'!G30</f>
        <v>7</v>
      </c>
    </row>
    <row r="33" spans="1:1024" ht="20.25" customHeight="1" thickBot="1" x14ac:dyDescent="0.25">
      <c r="A33" s="8">
        <v>22</v>
      </c>
      <c r="B33" s="66" t="str">
        <f>'Necesidades Trimestrales'!B31</f>
        <v>2.9.6-401.2379</v>
      </c>
      <c r="C33" s="109" t="str">
        <f>'Necesidades Trimestrales'!E31</f>
        <v>CARTUCHOS DE TONER; CODIGO: T-4530A, USO: TOSHIBA</v>
      </c>
      <c r="D33" s="109"/>
      <c r="E33" s="109"/>
      <c r="F33" s="109"/>
      <c r="G33" s="109"/>
      <c r="H33" s="67" t="s">
        <v>160</v>
      </c>
      <c r="I33" s="68" t="str">
        <f>'Necesidades Trimestrales'!F31</f>
        <v>UNIDAD</v>
      </c>
      <c r="J33" s="69">
        <f>'Necesidades Trimestrales'!H31</f>
        <v>22000</v>
      </c>
      <c r="K33" s="70">
        <f>'Necesidades Trimestrales'!G31</f>
        <v>3</v>
      </c>
    </row>
    <row r="34" spans="1:1024" ht="20.25" customHeight="1" thickBot="1" x14ac:dyDescent="0.25">
      <c r="A34" s="8">
        <v>23</v>
      </c>
      <c r="B34" s="66" t="str">
        <f>'Necesidades Trimestrales'!B32</f>
        <v>2.9.6-401.2328</v>
      </c>
      <c r="C34" s="109" t="str">
        <f>'Necesidades Trimestrales'!E32</f>
        <v>CARTUCHOS DE TONER; CODIGO: 74710U, USO: TOSHIBA</v>
      </c>
      <c r="D34" s="109"/>
      <c r="E34" s="109"/>
      <c r="F34" s="109"/>
      <c r="G34" s="109"/>
      <c r="H34" s="67" t="s">
        <v>160</v>
      </c>
      <c r="I34" s="68" t="str">
        <f>'Necesidades Trimestrales'!F32</f>
        <v>UNIDAD</v>
      </c>
      <c r="J34" s="69">
        <f>'Necesidades Trimestrales'!H32</f>
        <v>13000</v>
      </c>
      <c r="K34" s="70">
        <f>'Necesidades Trimestrales'!G32</f>
        <v>3</v>
      </c>
    </row>
    <row r="35" spans="1:1024" ht="20.25" customHeight="1" thickBot="1" x14ac:dyDescent="0.25">
      <c r="A35" s="8">
        <v>24</v>
      </c>
      <c r="B35" s="66" t="str">
        <f>'Necesidades Trimestrales'!B33</f>
        <v>2.9.6-401.2161</v>
      </c>
      <c r="C35" s="109" t="str">
        <f>'Necesidades Trimestrales'!E33</f>
        <v>CARTUCHOS DE TONER; CODIGO: 841768, USO: RICOH</v>
      </c>
      <c r="D35" s="109"/>
      <c r="E35" s="109"/>
      <c r="F35" s="109"/>
      <c r="G35" s="109"/>
      <c r="H35" s="67" t="s">
        <v>160</v>
      </c>
      <c r="I35" s="68" t="str">
        <f>'Necesidades Trimestrales'!F33</f>
        <v>UNIDAD</v>
      </c>
      <c r="J35" s="69">
        <f>'Necesidades Trimestrales'!H33</f>
        <v>7200</v>
      </c>
      <c r="K35" s="70">
        <f>'Necesidades Trimestrales'!G33</f>
        <v>2</v>
      </c>
    </row>
    <row r="36" spans="1:1024" ht="20.25" customHeight="1" thickBot="1" x14ac:dyDescent="0.25">
      <c r="A36" s="8">
        <v>25</v>
      </c>
      <c r="B36" s="66" t="str">
        <f>'Necesidades Trimestrales'!B34</f>
        <v>2.9.6-401.2285</v>
      </c>
      <c r="C36" s="109" t="str">
        <f>'Necesidades Trimestrales'!E34</f>
        <v>CARTUCHOS DE TONER; CODIGO: MP 301, USO: RICOH</v>
      </c>
      <c r="D36" s="109"/>
      <c r="E36" s="109"/>
      <c r="F36" s="109"/>
      <c r="G36" s="109"/>
      <c r="H36" s="67" t="s">
        <v>160</v>
      </c>
      <c r="I36" s="68" t="str">
        <f>'Necesidades Trimestrales'!F34</f>
        <v>UNIDAD</v>
      </c>
      <c r="J36" s="69">
        <f>'Necesidades Trimestrales'!H34</f>
        <v>12000</v>
      </c>
      <c r="K36" s="70">
        <f>'Necesidades Trimestrales'!G34</f>
        <v>4</v>
      </c>
    </row>
    <row r="37" spans="1:1024" ht="20.25" customHeight="1" thickBot="1" x14ac:dyDescent="0.25">
      <c r="A37" s="8">
        <v>26</v>
      </c>
      <c r="B37" s="66" t="str">
        <f>'Necesidades Trimestrales'!B35</f>
        <v>2.9.6-401.2380</v>
      </c>
      <c r="C37" s="109" t="str">
        <f>'Necesidades Trimestrales'!E35</f>
        <v>CARTUCHOS DE TONER; CODIGO: 408284, USO: RICOH</v>
      </c>
      <c r="D37" s="109"/>
      <c r="E37" s="109"/>
      <c r="F37" s="109"/>
      <c r="G37" s="109"/>
      <c r="H37" s="67" t="s">
        <v>160</v>
      </c>
      <c r="I37" s="68" t="str">
        <f>'Necesidades Trimestrales'!F35</f>
        <v>UNIDAD</v>
      </c>
      <c r="J37" s="69">
        <f>'Necesidades Trimestrales'!H35</f>
        <v>19000</v>
      </c>
      <c r="K37" s="70">
        <f>'Necesidades Trimestrales'!G35</f>
        <v>3</v>
      </c>
    </row>
    <row r="38" spans="1:1024" ht="33.6" customHeight="1" thickBot="1" x14ac:dyDescent="0.25">
      <c r="A38" s="8">
        <v>27</v>
      </c>
      <c r="B38" s="66" t="str">
        <f>'Necesidades Trimestrales'!B36</f>
        <v>2.9.6-1355.1114</v>
      </c>
      <c r="C38" s="109" t="str">
        <f>'Necesidades Trimestrales'!E36</f>
        <v>CARTUCHOS DE TINTA; CODIGO: HP74, DESCRIPCION: CARTUCHO DE TINTA, COLOR: NEGRO, USO: HEWLETT PACKARD</v>
      </c>
      <c r="D38" s="109"/>
      <c r="E38" s="109"/>
      <c r="F38" s="109"/>
      <c r="G38" s="109"/>
      <c r="H38" s="67" t="s">
        <v>160</v>
      </c>
      <c r="I38" s="68" t="str">
        <f>'Necesidades Trimestrales'!F36</f>
        <v>UNIDAD</v>
      </c>
      <c r="J38" s="69">
        <f>'Necesidades Trimestrales'!H36</f>
        <v>5000</v>
      </c>
      <c r="K38" s="70">
        <f>'Necesidades Trimestrales'!G36</f>
        <v>4</v>
      </c>
    </row>
    <row r="39" spans="1:1024" ht="33" customHeight="1" thickBot="1" x14ac:dyDescent="0.25">
      <c r="A39" s="8">
        <v>28</v>
      </c>
      <c r="B39" s="66" t="str">
        <f>'Necesidades Trimestrales'!B37</f>
        <v>2.9.6-1355.1113</v>
      </c>
      <c r="C39" s="109" t="str">
        <f>'Necesidades Trimestrales'!E37</f>
        <v>CARTUCHOS DE TINTA; CODIGO: HP75, DESCRIPCION: CARTUCHO DE TINTA, COLOR: TRICOLOR, USO: HEWLETT PACKARD</v>
      </c>
      <c r="D39" s="109"/>
      <c r="E39" s="109"/>
      <c r="F39" s="109"/>
      <c r="G39" s="109"/>
      <c r="H39" s="67" t="s">
        <v>160</v>
      </c>
      <c r="I39" s="68" t="str">
        <f>'Necesidades Trimestrales'!F37</f>
        <v>UNIDAD</v>
      </c>
      <c r="J39" s="69">
        <f>'Necesidades Trimestrales'!H37</f>
        <v>5500</v>
      </c>
      <c r="K39" s="70">
        <f>'Necesidades Trimestrales'!G37</f>
        <v>4</v>
      </c>
    </row>
    <row r="40" spans="1:1024" ht="20.25" customHeight="1" thickBot="1" x14ac:dyDescent="0.25">
      <c r="A40" s="8">
        <v>29</v>
      </c>
      <c r="B40" s="66" t="str">
        <f>'Necesidades Trimestrales'!B38</f>
        <v>2.9.6-401.2386</v>
      </c>
      <c r="C40" s="109" t="str">
        <f>'Necesidades Trimestrales'!E38</f>
        <v>CARTUCHOS DE TONER; CODIGO: 56F4X00, USO: LEXMARK</v>
      </c>
      <c r="D40" s="109"/>
      <c r="E40" s="109"/>
      <c r="F40" s="109"/>
      <c r="G40" s="109"/>
      <c r="H40" s="67" t="s">
        <v>160</v>
      </c>
      <c r="I40" s="68" t="str">
        <f>'Necesidades Trimestrales'!F38</f>
        <v>UNIDAD</v>
      </c>
      <c r="J40" s="69">
        <f>'Necesidades Trimestrales'!H38</f>
        <v>45000</v>
      </c>
      <c r="K40" s="70">
        <f>'Necesidades Trimestrales'!G38</f>
        <v>20</v>
      </c>
    </row>
    <row r="41" spans="1:1024" ht="20.25" customHeight="1" thickBot="1" x14ac:dyDescent="0.25">
      <c r="A41" s="8">
        <v>30</v>
      </c>
      <c r="B41" s="66" t="str">
        <f>'Necesidades Trimestrales'!B39</f>
        <v>2.9.6-401.1362</v>
      </c>
      <c r="C41" s="109" t="str">
        <f>'Necesidades Trimestrales'!E39</f>
        <v>CARTUCHOS DE TONER; CODIGO: CE285A, USO: HEWLETT PACKARD</v>
      </c>
      <c r="D41" s="109"/>
      <c r="E41" s="109"/>
      <c r="F41" s="109"/>
      <c r="G41" s="109"/>
      <c r="H41" s="67" t="s">
        <v>160</v>
      </c>
      <c r="I41" s="68" t="str">
        <f>'Necesidades Trimestrales'!F39</f>
        <v>UNIDAD</v>
      </c>
      <c r="J41" s="69">
        <f>'Necesidades Trimestrales'!H39</f>
        <v>1300</v>
      </c>
      <c r="K41" s="70">
        <f>'Necesidades Trimestrales'!G39</f>
        <v>35</v>
      </c>
    </row>
    <row r="42" spans="1:1024" ht="20.25" customHeight="1" thickBot="1" x14ac:dyDescent="0.25">
      <c r="A42" s="8">
        <v>31</v>
      </c>
      <c r="B42" s="66" t="str">
        <f>'Necesidades Trimestrales'!B40</f>
        <v>2.9.6-401.1859</v>
      </c>
      <c r="C42" s="109" t="str">
        <f>'Necesidades Trimestrales'!E40</f>
        <v>CARTUCHOS DE TONER; CODIGO: MLT-D101S, USO: SAMSUNG 2165</v>
      </c>
      <c r="D42" s="109"/>
      <c r="E42" s="109"/>
      <c r="F42" s="109"/>
      <c r="G42" s="109"/>
      <c r="H42" s="67" t="s">
        <v>160</v>
      </c>
      <c r="I42" s="68" t="str">
        <f>'Necesidades Trimestrales'!F40</f>
        <v>UNIDAD</v>
      </c>
      <c r="J42" s="69">
        <f>'Necesidades Trimestrales'!H40</f>
        <v>1800</v>
      </c>
      <c r="K42" s="70">
        <f>'Necesidades Trimestrales'!G40</f>
        <v>10</v>
      </c>
    </row>
    <row r="43" spans="1:1024" ht="20.25" customHeight="1" thickBot="1" x14ac:dyDescent="0.25">
      <c r="A43" s="8">
        <v>32</v>
      </c>
      <c r="B43" s="66" t="str">
        <f>'Necesidades Trimestrales'!B41</f>
        <v>2.9.6-401.2383</v>
      </c>
      <c r="C43" s="109" t="str">
        <f>'Necesidades Trimestrales'!E41</f>
        <v>CARTUCHOS DE TONER; CODIGO: EDP CODE 817222, USO: DUPLICADORA RICOH</v>
      </c>
      <c r="D43" s="109"/>
      <c r="E43" s="109"/>
      <c r="F43" s="109"/>
      <c r="G43" s="109"/>
      <c r="H43" s="67" t="s">
        <v>160</v>
      </c>
      <c r="I43" s="68" t="str">
        <f>'Necesidades Trimestrales'!F41</f>
        <v>UNIDAD</v>
      </c>
      <c r="J43" s="69">
        <f>'Necesidades Trimestrales'!H41</f>
        <v>3500</v>
      </c>
      <c r="K43" s="70">
        <f>'Necesidades Trimestrales'!G41</f>
        <v>30</v>
      </c>
    </row>
    <row r="44" spans="1:1024" ht="20.25" customHeight="1" thickBot="1" x14ac:dyDescent="0.25">
      <c r="A44" s="8">
        <v>33</v>
      </c>
      <c r="B44" s="66" t="str">
        <f>'Necesidades Trimestrales'!B42</f>
        <v>2.9.6-3365.85</v>
      </c>
      <c r="C44" s="109" t="str">
        <f>'Necesidades Trimestrales'!E42</f>
        <v>REP. Y ACC. P/IMPRENTA; REPUESTO: MASTER, USO: RICOH</v>
      </c>
      <c r="D44" s="109"/>
      <c r="E44" s="109"/>
      <c r="F44" s="109"/>
      <c r="G44" s="109"/>
      <c r="H44" s="67" t="s">
        <v>160</v>
      </c>
      <c r="I44" s="68" t="str">
        <f>'Necesidades Trimestrales'!F42</f>
        <v>UNIDAD</v>
      </c>
      <c r="J44" s="69">
        <f>'Necesidades Trimestrales'!H42</f>
        <v>7000</v>
      </c>
      <c r="K44" s="70">
        <f>'Necesidades Trimestrales'!G42</f>
        <v>5</v>
      </c>
    </row>
    <row r="45" spans="1:1024" ht="24.75" customHeight="1" thickBot="1" x14ac:dyDescent="0.25">
      <c r="A45" s="110" t="s">
        <v>175</v>
      </c>
      <c r="B45" s="110"/>
      <c r="C45" s="110"/>
      <c r="D45" s="110"/>
      <c r="E45" s="110"/>
      <c r="F45" s="110"/>
      <c r="G45" s="110"/>
      <c r="H45" s="110"/>
      <c r="I45" s="110"/>
      <c r="J45" s="103">
        <f>SUMPRODUCT(J12:J44,K12:K44)</f>
        <v>3357604</v>
      </c>
      <c r="K45" s="103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</sheetData>
  <mergeCells count="55">
    <mergeCell ref="C43:G43"/>
    <mergeCell ref="C44:G44"/>
    <mergeCell ref="C39:G39"/>
    <mergeCell ref="C40:G40"/>
    <mergeCell ref="C41:G41"/>
    <mergeCell ref="C42:G42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13:G13"/>
    <mergeCell ref="C14:G14"/>
    <mergeCell ref="C15:G15"/>
    <mergeCell ref="C16:G16"/>
    <mergeCell ref="C35:G35"/>
    <mergeCell ref="C34:G34"/>
    <mergeCell ref="J45:K4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45:I45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topLeftCell="A13" zoomScale="130" zoomScaleNormal="130" workbookViewId="0">
      <selection sqref="A1:C1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1" t="s">
        <v>3</v>
      </c>
      <c r="B1" s="111"/>
      <c r="C1" s="111"/>
      <c r="D1" s="112">
        <f>'Necesidades Trimestrales'!C6</f>
        <v>2022</v>
      </c>
      <c r="E1" s="112"/>
      <c r="F1" s="10"/>
      <c r="G1" s="10"/>
      <c r="H1" s="11"/>
      <c r="I1" s="11"/>
      <c r="J1" s="11"/>
      <c r="K1" s="11"/>
      <c r="L1" s="11"/>
      <c r="M1" s="11"/>
      <c r="N1" s="11"/>
      <c r="P1" s="113" t="s">
        <v>32</v>
      </c>
      <c r="Q1" s="113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3"/>
      <c r="Q2" s="113"/>
    </row>
    <row r="4" spans="1:17" s="12" customFormat="1" ht="18" customHeight="1" thickBot="1" x14ac:dyDescent="0.25">
      <c r="A4" s="114" t="s">
        <v>33</v>
      </c>
      <c r="B4" s="114"/>
      <c r="C4" s="114"/>
      <c r="D4" s="114"/>
      <c r="E4" s="114"/>
      <c r="F4" s="114"/>
      <c r="G4" s="115" t="str">
        <f>NotaPedido!D3</f>
        <v>40 - Ministerio de Salud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</row>
    <row r="5" spans="1:17" s="12" customFormat="1" ht="18" customHeight="1" thickBot="1" x14ac:dyDescent="0.25">
      <c r="A5" s="116" t="s">
        <v>56</v>
      </c>
      <c r="B5" s="117"/>
      <c r="C5" s="117"/>
      <c r="D5" s="117"/>
      <c r="E5" s="117"/>
      <c r="F5" s="118"/>
      <c r="G5" s="115" t="str">
        <f>NotaPedido!D4</f>
        <v>23 - Hospital Interzonal San Juan Bautista</v>
      </c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17" s="12" customFormat="1" ht="18" customHeight="1" thickBot="1" x14ac:dyDescent="0.25">
      <c r="A6" s="116" t="s">
        <v>34</v>
      </c>
      <c r="B6" s="117"/>
      <c r="C6" s="117"/>
      <c r="D6" s="117"/>
      <c r="E6" s="117"/>
      <c r="F6" s="118"/>
      <c r="G6" s="115" t="str">
        <f>NotaPedido!D5</f>
        <v>172 - Direccion de Administracion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</row>
    <row r="7" spans="1:17" s="12" customFormat="1" ht="18" customHeight="1" thickBot="1" x14ac:dyDescent="0.25">
      <c r="A7" s="116" t="s">
        <v>57</v>
      </c>
      <c r="B7" s="117"/>
      <c r="C7" s="117"/>
      <c r="D7" s="117"/>
      <c r="E7" s="117"/>
      <c r="F7" s="118"/>
      <c r="G7" s="115" t="str">
        <f>NotaPedido!D6</f>
        <v>Division Patrimonio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</row>
    <row r="8" spans="1:17" ht="18" customHeight="1" thickBot="1" x14ac:dyDescent="0.25">
      <c r="A8" s="119" t="s">
        <v>35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17" ht="18" customHeight="1" x14ac:dyDescent="0.2">
      <c r="A9" s="120" t="s">
        <v>36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"/>
      <c r="P9" s="1"/>
      <c r="Q9" s="13"/>
    </row>
    <row r="10" spans="1:17" ht="54.75" customHeight="1" x14ac:dyDescent="0.2">
      <c r="A10" s="121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117/2022,  afectando la erogación resultante a los créditos presupuestarios aprobados a favor de esta Unidad Ejecutora, conforme al siguiente detalle: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2" t="s">
        <v>37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7" ht="15.75" customHeight="1" x14ac:dyDescent="0.2">
      <c r="A13" s="123" t="s">
        <v>38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4" t="s">
        <v>39</v>
      </c>
      <c r="P13" s="124"/>
      <c r="Q13" s="125" t="s">
        <v>40</v>
      </c>
    </row>
    <row r="14" spans="1:17" ht="15.75" customHeight="1" thickBot="1" x14ac:dyDescent="0.25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4"/>
      <c r="P14" s="124"/>
      <c r="Q14" s="125"/>
    </row>
    <row r="15" spans="1:17" ht="27" customHeight="1" x14ac:dyDescent="0.2">
      <c r="A15" s="73">
        <v>33</v>
      </c>
      <c r="B15" s="74"/>
      <c r="C15" s="74"/>
      <c r="D15" s="74">
        <v>5</v>
      </c>
      <c r="E15" s="74"/>
      <c r="F15" s="74">
        <v>4901</v>
      </c>
      <c r="G15" s="74">
        <v>3</v>
      </c>
      <c r="H15" s="75" t="s">
        <v>60</v>
      </c>
      <c r="I15" s="76">
        <v>2</v>
      </c>
      <c r="J15" s="76">
        <v>9</v>
      </c>
      <c r="K15" s="76">
        <v>2</v>
      </c>
      <c r="L15" s="74"/>
      <c r="M15" s="77">
        <v>1</v>
      </c>
      <c r="N15" s="75" t="s">
        <v>61</v>
      </c>
      <c r="O15" s="126" t="s">
        <v>159</v>
      </c>
      <c r="P15" s="126"/>
      <c r="Q15" s="23">
        <v>3357604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27"/>
      <c r="P16" s="127"/>
      <c r="Q16" s="28"/>
    </row>
    <row r="17" spans="1:23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27"/>
      <c r="P17" s="127"/>
      <c r="Q17" s="28"/>
      <c r="S17" s="78"/>
    </row>
    <row r="18" spans="1:23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28"/>
      <c r="P18" s="129"/>
      <c r="Q18" s="28"/>
    </row>
    <row r="19" spans="1:23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9"/>
      <c r="P19" s="129"/>
      <c r="Q19" s="28"/>
    </row>
    <row r="20" spans="1:23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9"/>
      <c r="P20" s="129"/>
      <c r="Q20" s="28"/>
    </row>
    <row r="21" spans="1:23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5"/>
      <c r="P21" s="135"/>
      <c r="Q21" s="28"/>
      <c r="R21" s="1"/>
    </row>
    <row r="22" spans="1:23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6"/>
      <c r="P22" s="136"/>
      <c r="Q22" s="37"/>
    </row>
    <row r="23" spans="1:23" ht="28.9" customHeight="1" x14ac:dyDescent="0.2">
      <c r="A23" s="137" t="s">
        <v>177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38">
        <f>SUM(Q15:Q22)</f>
        <v>3357604</v>
      </c>
    </row>
    <row r="24" spans="1:23" ht="18" customHeight="1" thickBot="1" x14ac:dyDescent="0.2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23" ht="17.25" customHeight="1" thickBot="1" x14ac:dyDescent="0.25">
      <c r="A25" s="130" t="s">
        <v>54</v>
      </c>
      <c r="B25" s="131"/>
      <c r="C25" s="131"/>
      <c r="D25" s="131"/>
      <c r="E25" s="131"/>
      <c r="F25" s="132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  <row r="26" spans="1:23" ht="18" customHeight="1" thickBot="1" x14ac:dyDescent="0.25">
      <c r="A26" s="134" t="str">
        <f>"Para la "&amp; NotaPedido!D8 &amp;" para ser destinados a " &amp; NotaPedido!D6 &amp;" del HISJB del Ministerio de Salud."</f>
        <v>Para la Adquisición de Tintas y Toners para Impresoras para ser destinados a Division Patrimonio del HISJB del Ministerio de Salud.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W26" t="s">
        <v>166</v>
      </c>
    </row>
    <row r="27" spans="1:23" ht="15" customHeight="1" x14ac:dyDescent="0.2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7559055118110237" right="0.15748031496062992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2022-06-01T14:19:08Z</cp:lastPrinted>
  <dcterms:created xsi:type="dcterms:W3CDTF">2020-07-17T23:44:49Z</dcterms:created>
  <dcterms:modified xsi:type="dcterms:W3CDTF">2022-10-17T10:30:03Z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