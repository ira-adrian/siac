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TRACTO\salud\"/>
    </mc:Choice>
  </mc:AlternateContent>
  <xr:revisionPtr revIDLastSave="0" documentId="13_ncr:1_{721268BF-6ED2-4C9F-A889-B702929ED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10" i="1"/>
  <c r="B13" i="2"/>
  <c r="B14" i="2"/>
  <c r="B15" i="2"/>
  <c r="B16" i="2"/>
  <c r="B17" i="2"/>
  <c r="B18" i="2"/>
  <c r="B19" i="2"/>
  <c r="B20" i="2"/>
  <c r="B21" i="2"/>
  <c r="B22" i="2"/>
  <c r="B23" i="2"/>
  <c r="B24" i="2"/>
  <c r="B12" i="2"/>
  <c r="A41" i="3" l="1"/>
  <c r="G6" i="3"/>
  <c r="G7" i="3"/>
  <c r="K13" i="2"/>
  <c r="K14" i="2"/>
  <c r="K15" i="2"/>
  <c r="K16" i="2"/>
  <c r="K17" i="2"/>
  <c r="K18" i="2"/>
  <c r="K19" i="2"/>
  <c r="K20" i="2"/>
  <c r="K21" i="2"/>
  <c r="K22" i="2"/>
  <c r="K23" i="2"/>
  <c r="K24" i="2"/>
  <c r="K12" i="2"/>
  <c r="J13" i="2"/>
  <c r="M13" i="2" s="1"/>
  <c r="J14" i="2"/>
  <c r="J15" i="2"/>
  <c r="J16" i="2"/>
  <c r="J17" i="2"/>
  <c r="M17" i="2" s="1"/>
  <c r="J18" i="2"/>
  <c r="J19" i="2"/>
  <c r="J20" i="2"/>
  <c r="J21" i="2"/>
  <c r="M21" i="2" s="1"/>
  <c r="J22" i="2"/>
  <c r="J23" i="2"/>
  <c r="J24" i="2"/>
  <c r="J12" i="2"/>
  <c r="M12" i="2" s="1"/>
  <c r="I13" i="2"/>
  <c r="I14" i="2"/>
  <c r="I15" i="2"/>
  <c r="I16" i="2"/>
  <c r="I17" i="2"/>
  <c r="I18" i="2"/>
  <c r="I19" i="2"/>
  <c r="I20" i="2"/>
  <c r="I21" i="2"/>
  <c r="I22" i="2"/>
  <c r="I23" i="2"/>
  <c r="I24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D4" i="2"/>
  <c r="G5" i="3" s="1"/>
  <c r="D3" i="2"/>
  <c r="G4" i="3" s="1"/>
  <c r="M24" i="2" l="1"/>
  <c r="M20" i="2"/>
  <c r="M16" i="2"/>
  <c r="M22" i="2"/>
  <c r="M18" i="2"/>
  <c r="M15" i="2"/>
  <c r="M23" i="2"/>
  <c r="M19" i="2"/>
  <c r="M14" i="2"/>
  <c r="M26" i="2" s="1"/>
  <c r="J26" i="2" l="1"/>
  <c r="Q15" i="3"/>
  <c r="Q38" i="3" s="1"/>
  <c r="I23" i="1"/>
</calcChain>
</file>

<file path=xl/sharedStrings.xml><?xml version="1.0" encoding="utf-8"?>
<sst xmlns="http://schemas.openxmlformats.org/spreadsheetml/2006/main" count="145" uniqueCount="109">
  <si>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</si>
  <si>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</si>
  <si>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</si>
  <si>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</si>
  <si>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</si>
  <si>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</si>
  <si>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</si>
  <si>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</si>
  <si>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</si>
  <si>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</si>
  <si>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</si>
  <si>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</si>
  <si>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</si>
  <si>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</si>
  <si>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</si>
  <si>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</si>
  <si>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</si>
  <si>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</si>
  <si>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</si>
  <si>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</si>
  <si>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PROD. MEDICO/FARMACEUTICOS/LAB</t>
  </si>
  <si>
    <t>FRASCO</t>
  </si>
  <si>
    <t>AMPOLLA</t>
  </si>
  <si>
    <t>COMPRIMIDO</t>
  </si>
  <si>
    <t>CAPSULA</t>
  </si>
  <si>
    <t xml:space="preserve">TOTAL RUBRO TRACTO ALIMENTARIO Y METABOLISMO / VITAMINAS Y OTROS /ANTIDIABETICOS E INSULINAS 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</si>
  <si>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</si>
  <si>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</si>
  <si>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</si>
  <si>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</si>
  <si>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</si>
  <si>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</si>
  <si>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</si>
  <si>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</si>
  <si>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</si>
  <si>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</si>
  <si>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</si>
  <si>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</si>
  <si>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</si>
  <si>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</si>
  <si>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</si>
  <si>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</si>
  <si>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</si>
  <si>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</si>
  <si>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</si>
  <si>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</si>
  <si>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</si>
  <si>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</si>
  <si>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</si>
  <si>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</si>
  <si>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</si>
  <si>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</si>
  <si>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</si>
  <si>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</si>
  <si>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</si>
  <si>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</si>
  <si>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</si>
  <si>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</si>
  <si>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</si>
  <si>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</si>
  <si>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</si>
  <si>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</si>
  <si>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</si>
  <si>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</si>
  <si>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</si>
  <si>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</si>
  <si>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</si>
  <si>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</si>
  <si>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</si>
  <si>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</si>
  <si>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</si>
  <si>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 xml:space="preserve"> 01/2022</t>
  </si>
  <si>
    <t>DIRECCION PROVINCIAL DE FARMACIA E INSUMOS</t>
  </si>
  <si>
    <t xml:space="preserve">ADQUISICION DEL RUBRO TRACTO ALIMENTARIO Y METABOLISMO / VITAMINAS Y OTROS /ANTIDIABETICOS E INSULINAS </t>
  </si>
  <si>
    <t>SI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</si>
  <si>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</si>
  <si>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</si>
  <si>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</si>
  <si>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Costo total estimado: DIECINUEVE MILLONES DOSCIENTOS VEINTIOCHO MIL DOSCIENTOS CINCUENTA CON 00/100.-</t>
  </si>
  <si>
    <t>TOTAL DE PESOS: DIECINUEVE MILLONES DOSCIENTOS VEINTIOCHO MIL DOSCIENTOS CINCUENTA CON 00/100.-</t>
  </si>
  <si>
    <t>2.5.2-1843.63</t>
  </si>
  <si>
    <t>ANTIESPASMODICOS; TIPO: MONODROGA, DROGA GENERICA: ATROPINA 1%, FORMA FARMACEUTICA: AMPOLLA, PRESENTACION: ENVASE X 1 mL</t>
  </si>
  <si>
    <t>2.5.2-1843.51</t>
  </si>
  <si>
    <t>ANTIESPASMODICOS; TIPO: MONODROGA, DROGA GENERICA: HIOSCINA N-BUTILBROMURO 20 MG, FORMA FARMACEUTICA: AMPOLLA, PRESENTACION: 1 ML</t>
  </si>
  <si>
    <t>2.5.2-1843.1</t>
  </si>
  <si>
    <t>ANTIESPASMODICOS; TIPO: MONODROGA, PRESENTACION: 10 mGr, FORMA FARMACEUTICA: COMPRIMIDO, DROGA GENERICA: HIOSCINA N-BUTILBROMURO</t>
  </si>
  <si>
    <t>2.5.2-8078.68</t>
  </si>
  <si>
    <t>QUIMICOS</t>
  </si>
  <si>
    <t>EXCIPIENTES; TIPO: MONODROGA, PRESENTACION: ENVASE X 1 Kg, COMPUESTO: CARBON ACTIVADO, CONCENTRACION/PUREZA: 100 %</t>
  </si>
  <si>
    <t>2.5.2-1861.38</t>
  </si>
  <si>
    <t>HIPOGLUCEMIANTES INYECTABLES; TIPO: MONODROGA, DROGA GENERICA: INSULINA ASPARTICA, FORMA FARMACEUTICA: LAPICERA PRELLENADA, PRESENTACION: 5 UNIDADES</t>
  </si>
  <si>
    <t>2.5.2-1861.39</t>
  </si>
  <si>
    <t>HIPOGLUCEMIANTES INYECTABLES; TIPO: MONODROGA, DROGA GENERICA: INSULINA HUMANA NHP 100 UI, FORMA FARMACEUTICA: LAPICERA PRELLENADA, PRESENTACION: 5 AMPOLLAS</t>
  </si>
  <si>
    <t>2.5.2-2804.1</t>
  </si>
  <si>
    <t>REGULADORES INTESTINALES; TIPO: MONODROGA, DROGA GENERICA: LACTULOSA, FORMA FARMACEUTICA: JARABE, PRESENTACION: 120 mL</t>
  </si>
  <si>
    <t>2.5.2-1816.34</t>
  </si>
  <si>
    <t>ANTIDIARREICOS; TIPO: MONODROGA, DROGA GENERICA: LOPERAMIDA, FORMA FARMACEUTICA: CAPSULA, PRESENTACION: 2 mGr</t>
  </si>
  <si>
    <t>2.5.2-1862.1</t>
  </si>
  <si>
    <t>HIPOGLUCEMIANTES ORALES; TIPO: MONODROGA, DROGA GENERICA: METFORMINA, FORMA FARMACEUTICA: COMPRIMIDO, PRESENTACION: 500 mGr</t>
  </si>
  <si>
    <t>2.5.2-6910.6</t>
  </si>
  <si>
    <t>ANTIEMETICOS; TIPO: MONODROGA, DROGA GENERICA: METOCLOPRAMIDA, FORMA FARMACEUTICA: AMPOLLA, PRESENTACION: 2 mL</t>
  </si>
  <si>
    <t>2.5.2-1849.3</t>
  </si>
  <si>
    <t>ANTIULCEROSOS; TIPO: MONODROGA, DROGA GENERICA: OMEPRAZOL, FORMA FARMACEUTICA: CAPSULA, PRESENTACION: 20 mGr</t>
  </si>
  <si>
    <t>2.5.2-1841.17</t>
  </si>
  <si>
    <t>ANTIACIDOS; TIPO: MONODROGA, DROGA GENERICA: RANITIDINA, FORMA FARMACEUTICA: AMPOLLA, PRESENTACION: UNIDAD</t>
  </si>
  <si>
    <t>2.5.2-1903.85</t>
  </si>
  <si>
    <t>RECONSTITUYENTE GENERAL; TIPO: ASOCIACION, DROGA GENERICA: SALES DE REHIDRATACION, FORMA FARMACEUTICA: POLVO, PRESENTACION: SOBRE X 27,9 GR</t>
  </si>
  <si>
    <t>SEMESTRAL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</si>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</sst>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4" fillId="0" borderId="61" applyProtection="0"/>
    <xf numFmtId="0" fontId="24" fillId="0" borderId="6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5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86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5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0" fontId="8" fillId="0" borderId="5" xfId="0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0" fontId="7" fillId="0" borderId="0" xfId="0" applyFont="1"/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7" fillId="0" borderId="4" xfId="0" applyFont="1" applyBorder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left" vertical="center" wrapText="1" indent="1"/>
    </xf>
    <xf numFmtId="3" fontId="18" fillId="0" borderId="33" xfId="0" applyNumberFormat="1" applyFont="1" applyBorder="1" applyAlignment="1"/>
    <xf numFmtId="168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9" xfId="0" applyBorder="1"/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left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170" fontId="0" fillId="0" borderId="49" xfId="7" applyNumberFormat="1" applyFont="1" applyBorder="1" applyAlignment="1" applyProtection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170" fontId="0" fillId="0" borderId="54" xfId="7" applyNumberFormat="1" applyFont="1" applyBorder="1" applyAlignment="1" applyProtection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70" fontId="0" fillId="0" borderId="58" xfId="7" applyNumberFormat="1" applyFont="1" applyBorder="1" applyAlignment="1" applyProtection="1">
      <alignment horizontal="center" vertical="center"/>
    </xf>
    <xf numFmtId="170" fontId="23" fillId="0" borderId="60" xfId="0" applyNumberFormat="1" applyFont="1" applyBorder="1" applyAlignment="1">
      <alignment horizontal="center" vertical="center"/>
    </xf>
    <xf numFmtId="0" fontId="26" fillId="0" borderId="11" xfId="5" applyFont="1" applyFill="1" applyBorder="1" applyAlignment="1">
      <alignment horizontal="center" vertical="center" wrapText="1"/>
    </xf>
    <xf numFmtId="0" fontId="26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2" xfId="5" applyFont="1" applyFill="1" applyBorder="1" applyAlignment="1">
      <alignment horizontal="center" wrapText="1"/>
    </xf>
    <xf numFmtId="0" fontId="26" fillId="0" borderId="22" xfId="5" applyFont="1" applyBorder="1" applyAlignment="1">
      <alignment horizontal="center" wrapText="1"/>
    </xf>
    <xf numFmtId="0" fontId="26" fillId="0" borderId="62" xfId="5" applyFont="1" applyBorder="1" applyAlignment="1">
      <alignment horizontal="center" wrapText="1"/>
    </xf>
    <xf numFmtId="0" fontId="0" fillId="0" borderId="16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65" fontId="12" fillId="0" borderId="12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0" fillId="0" borderId="0" xfId="0" applyNumberFormat="1"/>
    <xf numFmtId="0" fontId="0" fillId="0" borderId="0" xfId="0" applyFont="1"/>
    <xf numFmtId="0" fontId="29" fillId="0" borderId="26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3" fontId="7" fillId="0" borderId="72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5" fontId="27" fillId="0" borderId="0" xfId="0" applyNumberFormat="1" applyFont="1"/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165" fontId="29" fillId="0" borderId="10" xfId="0" applyNumberFormat="1" applyFont="1" applyBorder="1" applyAlignment="1">
      <alignment horizontal="center" vertical="center" wrapText="1"/>
    </xf>
    <xf numFmtId="3" fontId="29" fillId="0" borderId="27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3" fontId="29" fillId="0" borderId="2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5" fontId="8" fillId="0" borderId="10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3" fillId="0" borderId="63" xfId="5" applyFont="1" applyBorder="1" applyAlignment="1">
      <alignment horizontal="left" vertical="center" wrapText="1"/>
    </xf>
    <xf numFmtId="0" fontId="3" fillId="0" borderId="65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0" fontId="3" fillId="0" borderId="33" xfId="5" applyFont="1" applyFill="1" applyBorder="1" applyAlignment="1">
      <alignment horizontal="left" vertical="center" wrapText="1"/>
    </xf>
    <xf numFmtId="0" fontId="3" fillId="0" borderId="64" xfId="5" applyFont="1" applyFill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 indent="1"/>
    </xf>
    <xf numFmtId="166" fontId="14" fillId="0" borderId="18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0" fillId="0" borderId="69" xfId="0" applyFont="1" applyBorder="1" applyAlignment="1">
      <alignment horizontal="center" vertical="center" wrapText="1"/>
    </xf>
    <xf numFmtId="0" fontId="30" fillId="0" borderId="70" xfId="0" applyFont="1" applyBorder="1" applyAlignment="1">
      <alignment horizontal="center" vertical="center" wrapText="1"/>
    </xf>
    <xf numFmtId="0" fontId="30" fillId="0" borderId="71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 wrapText="1"/>
    </xf>
    <xf numFmtId="165" fontId="15" fillId="0" borderId="24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 indent="1"/>
    </xf>
    <xf numFmtId="0" fontId="11" fillId="0" borderId="11" xfId="0" applyFont="1" applyBorder="1" applyAlignment="1">
      <alignment horizontal="center" vertical="center"/>
    </xf>
    <xf numFmtId="0" fontId="18" fillId="0" borderId="18" xfId="0" applyFont="1" applyBorder="1" applyAlignment="1">
      <alignment vertical="center" wrapText="1"/>
    </xf>
    <xf numFmtId="0" fontId="21" fillId="0" borderId="41" xfId="0" applyFont="1" applyBorder="1" applyAlignment="1">
      <alignment vertical="center" wrapText="1"/>
    </xf>
    <xf numFmtId="0" fontId="21" fillId="0" borderId="30" xfId="0" applyFont="1" applyBorder="1" applyAlignment="1">
      <alignment horizontal="left" vertical="center" wrapText="1" inden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8" fillId="0" borderId="59" xfId="0" applyFont="1" applyBorder="1" applyAlignment="1">
      <alignment horizontal="left" vertical="center" wrapText="1"/>
    </xf>
    <xf numFmtId="0" fontId="0" fillId="0" borderId="37" xfId="0" applyBorder="1"/>
    <xf numFmtId="0" fontId="0" fillId="0" borderId="53" xfId="0" applyFont="1" applyBorder="1" applyAlignment="1">
      <alignment horizontal="center" vertical="center"/>
    </xf>
    <xf numFmtId="49" fontId="21" fillId="0" borderId="38" xfId="0" applyNumberFormat="1" applyFont="1" applyBorder="1" applyAlignment="1">
      <alignment horizontal="justify" vertical="center" wrapText="1"/>
    </xf>
    <xf numFmtId="0" fontId="23" fillId="0" borderId="37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Border="1" applyAlignment="1">
      <alignment horizontal="center"/>
    </xf>
    <xf numFmtId="0" fontId="21" fillId="0" borderId="37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18" fillId="0" borderId="32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20" fillId="0" borderId="34" xfId="0" applyFont="1" applyBorder="1"/>
    <xf numFmtId="0" fontId="21" fillId="0" borderId="35" xfId="0" applyFont="1" applyBorder="1" applyAlignment="1">
      <alignment horizontal="left" indent="1"/>
    </xf>
    <xf numFmtId="0" fontId="16" fillId="0" borderId="34" xfId="0" applyFont="1" applyBorder="1" applyAlignment="1">
      <alignment horizontal="left" vertical="center" wrapText="1"/>
    </xf>
    <xf numFmtId="0" fontId="22" fillId="0" borderId="36" xfId="0" applyFont="1" applyBorder="1" applyAlignment="1">
      <alignment horizontal="left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3"/>
  <sheetViews>
    <sheetView tabSelected="1" zoomScale="110" zoomScaleNormal="110" workbookViewId="0">
      <selection activeCell="P19" sqref="P19"/>
    </sheetView>
  </sheetViews>
  <sheetFormatPr baseColWidth="10" defaultRowHeight="15" x14ac:dyDescent="0.25"/>
  <cols>
    <col min="1" max="1" width="4.85546875" style="42" bestFit="1" customWidth="1"/>
    <col min="2" max="2" width="13" style="42" bestFit="1" customWidth="1"/>
    <col min="3" max="3" width="32.5703125" style="42" customWidth="1"/>
    <col min="4" max="4" width="5.5703125" style="42" bestFit="1" customWidth="1"/>
    <col min="5" max="5" width="142.85546875" style="43" customWidth="1"/>
    <col min="6" max="6" width="12" style="42" bestFit="1" customWidth="1"/>
    <col min="7" max="7" width="10.42578125" style="44" bestFit="1" customWidth="1"/>
    <col min="8" max="8" width="11.42578125" style="45" bestFit="1" customWidth="1"/>
    <col min="9" max="9" width="16.28515625" style="45" bestFit="1" customWidth="1"/>
    <col min="10" max="10" width="23.7109375" bestFit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ht="18.75" x14ac:dyDescent="0.25">
      <c r="A2" s="3"/>
      <c r="B2" s="139" t="s">
        <v>0</v>
      </c>
      <c r="C2" s="139"/>
      <c r="D2" s="139"/>
      <c r="E2" s="139"/>
      <c r="F2" s="139"/>
      <c r="G2" s="139"/>
      <c r="H2" s="139"/>
      <c r="I2" s="6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38" t="s">
        <v>1</v>
      </c>
      <c r="B4" s="138"/>
      <c r="C4" s="101" t="s">
        <v>2</v>
      </c>
      <c r="D4" s="101"/>
      <c r="E4" s="101"/>
      <c r="F4" s="8"/>
      <c r="G4" s="9"/>
      <c r="H4" s="7"/>
      <c r="I4" s="6"/>
    </row>
    <row r="5" spans="1:10" ht="15" customHeight="1" x14ac:dyDescent="0.25">
      <c r="A5" s="138" t="s">
        <v>3</v>
      </c>
      <c r="B5" s="138"/>
      <c r="C5" s="101" t="s">
        <v>4</v>
      </c>
      <c r="D5" s="101"/>
      <c r="E5" s="101"/>
      <c r="F5" s="8"/>
      <c r="G5" s="9"/>
      <c r="H5" s="7"/>
      <c r="I5" s="6"/>
    </row>
    <row r="6" spans="1:10" x14ac:dyDescent="0.25">
      <c r="A6" s="138" t="s">
        <v>5</v>
      </c>
      <c r="B6" s="138"/>
      <c r="C6" s="102">
        <v>2022</v>
      </c>
      <c r="D6" s="103"/>
      <c r="E6" s="102"/>
      <c r="F6" s="8"/>
      <c r="G6" s="9"/>
      <c r="H6" s="7"/>
      <c r="I6" s="6"/>
    </row>
    <row r="7" spans="1:10" x14ac:dyDescent="0.25">
      <c r="A7" s="138" t="s">
        <v>6</v>
      </c>
      <c r="B7" s="138"/>
      <c r="C7" s="102" t="s">
        <v>7</v>
      </c>
      <c r="D7" s="103"/>
      <c r="E7" s="102"/>
      <c r="F7" s="8"/>
      <c r="G7" s="9"/>
      <c r="H7" s="7"/>
      <c r="I7" s="6"/>
    </row>
    <row r="8" spans="1:10" x14ac:dyDescent="0.25">
      <c r="A8" s="3"/>
      <c r="B8" s="8"/>
      <c r="C8" s="8"/>
      <c r="D8" s="8"/>
      <c r="E8" s="10"/>
      <c r="F8" s="8"/>
      <c r="G8" s="9"/>
      <c r="H8" s="7"/>
      <c r="I8" s="6"/>
    </row>
    <row r="9" spans="1:10" ht="39" thickBot="1" x14ac:dyDescent="0.3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99" t="s">
        <v>14</v>
      </c>
      <c r="H9" s="14" t="s">
        <v>15</v>
      </c>
      <c r="I9" s="100" t="s">
        <v>16</v>
      </c>
      <c r="J9" s="15" t="s">
        <v>17</v>
      </c>
    </row>
    <row r="10" spans="1:10" s="26" customFormat="1" ht="18" customHeight="1" x14ac:dyDescent="0.2">
      <c r="A10" s="126">
        <v>1</v>
      </c>
      <c r="B10" s="128" t="s">
        <v>103</v>
      </c>
      <c r="C10" s="128" t="s">
        <v>20</v>
      </c>
      <c r="D10" s="128">
        <v>252</v>
      </c>
      <c r="E10" s="130" t="s">
        <v>104</v>
      </c>
      <c r="F10" s="128" t="s">
        <v>22</v>
      </c>
      <c r="G10" s="20">
        <v>50000</v>
      </c>
      <c r="H10" s="132">
        <v>58</v>
      </c>
      <c r="I10" s="32">
        <f>G10*H10</f>
        <v>2900000</v>
      </c>
      <c r="J10" s="30"/>
    </row>
    <row r="11" spans="1:10" s="23" customFormat="1" ht="18" customHeight="1" x14ac:dyDescent="0.2">
      <c r="A11" s="31">
        <v>2</v>
      </c>
      <c r="B11" s="31" t="s">
        <v>95</v>
      </c>
      <c r="C11" s="31" t="s">
        <v>20</v>
      </c>
      <c r="D11" s="31">
        <v>252</v>
      </c>
      <c r="E11" s="40" t="s">
        <v>96</v>
      </c>
      <c r="F11" s="31" t="s">
        <v>23</v>
      </c>
      <c r="G11" s="17">
        <v>2000</v>
      </c>
      <c r="H11" s="32">
        <v>2.5</v>
      </c>
      <c r="I11" s="32">
        <f t="shared" ref="I11:I22" si="0">G11*H11</f>
        <v>5000</v>
      </c>
      <c r="J11" s="18"/>
    </row>
    <row r="12" spans="1:10" s="23" customFormat="1" ht="18" customHeight="1" x14ac:dyDescent="0.2">
      <c r="A12" s="31">
        <v>3</v>
      </c>
      <c r="B12" s="16" t="s">
        <v>99</v>
      </c>
      <c r="C12" s="16" t="s">
        <v>20</v>
      </c>
      <c r="D12" s="16">
        <v>252</v>
      </c>
      <c r="E12" s="34" t="s">
        <v>100</v>
      </c>
      <c r="F12" s="16" t="s">
        <v>22</v>
      </c>
      <c r="G12" s="17">
        <v>50000</v>
      </c>
      <c r="H12" s="35">
        <v>55</v>
      </c>
      <c r="I12" s="32">
        <f t="shared" si="0"/>
        <v>2750000</v>
      </c>
      <c r="J12" s="18"/>
    </row>
    <row r="13" spans="1:10" s="23" customFormat="1" ht="18" customHeight="1" x14ac:dyDescent="0.2">
      <c r="A13" s="127">
        <v>4</v>
      </c>
      <c r="B13" s="129" t="s">
        <v>80</v>
      </c>
      <c r="C13" s="129" t="s">
        <v>20</v>
      </c>
      <c r="D13" s="129">
        <v>252</v>
      </c>
      <c r="E13" s="131" t="s">
        <v>81</v>
      </c>
      <c r="F13" s="129" t="s">
        <v>22</v>
      </c>
      <c r="G13" s="17">
        <v>1000</v>
      </c>
      <c r="H13" s="133">
        <v>48</v>
      </c>
      <c r="I13" s="32">
        <f t="shared" si="0"/>
        <v>48000</v>
      </c>
      <c r="J13" s="18"/>
    </row>
    <row r="14" spans="1:10" s="23" customFormat="1" ht="18" customHeight="1" x14ac:dyDescent="0.2">
      <c r="A14" s="31">
        <v>5</v>
      </c>
      <c r="B14" s="16" t="s">
        <v>82</v>
      </c>
      <c r="C14" s="16" t="s">
        <v>20</v>
      </c>
      <c r="D14" s="16">
        <v>252</v>
      </c>
      <c r="E14" s="34" t="s">
        <v>83</v>
      </c>
      <c r="F14" s="16" t="s">
        <v>22</v>
      </c>
      <c r="G14" s="17">
        <v>60000</v>
      </c>
      <c r="H14" s="35">
        <v>65</v>
      </c>
      <c r="I14" s="32">
        <f t="shared" si="0"/>
        <v>3900000</v>
      </c>
      <c r="J14" s="18"/>
    </row>
    <row r="15" spans="1:10" s="23" customFormat="1" ht="18" customHeight="1" x14ac:dyDescent="0.2">
      <c r="A15" s="31">
        <v>6</v>
      </c>
      <c r="B15" s="16" t="s">
        <v>84</v>
      </c>
      <c r="C15" s="16" t="s">
        <v>20</v>
      </c>
      <c r="D15" s="16">
        <v>252</v>
      </c>
      <c r="E15" s="34" t="s">
        <v>85</v>
      </c>
      <c r="F15" s="16" t="s">
        <v>23</v>
      </c>
      <c r="G15" s="17">
        <v>30000</v>
      </c>
      <c r="H15" s="35">
        <v>7.1</v>
      </c>
      <c r="I15" s="32">
        <f t="shared" si="0"/>
        <v>213000</v>
      </c>
      <c r="J15" s="18"/>
    </row>
    <row r="16" spans="1:10" s="23" customFormat="1" ht="18" customHeight="1" x14ac:dyDescent="0.2">
      <c r="A16" s="31">
        <v>7</v>
      </c>
      <c r="B16" s="16" t="s">
        <v>101</v>
      </c>
      <c r="C16" s="16" t="s">
        <v>20</v>
      </c>
      <c r="D16" s="16">
        <v>252</v>
      </c>
      <c r="E16" s="34" t="s">
        <v>102</v>
      </c>
      <c r="F16" s="16" t="s">
        <v>24</v>
      </c>
      <c r="G16" s="17">
        <v>100000</v>
      </c>
      <c r="H16" s="35">
        <v>3.1</v>
      </c>
      <c r="I16" s="32">
        <f t="shared" si="0"/>
        <v>310000</v>
      </c>
      <c r="J16" s="18"/>
    </row>
    <row r="17" spans="1:10" s="23" customFormat="1" ht="18" customHeight="1" x14ac:dyDescent="0.2">
      <c r="A17" s="31">
        <v>8</v>
      </c>
      <c r="B17" s="16" t="s">
        <v>86</v>
      </c>
      <c r="C17" s="16" t="s">
        <v>87</v>
      </c>
      <c r="D17" s="16">
        <v>252</v>
      </c>
      <c r="E17" s="34" t="s">
        <v>88</v>
      </c>
      <c r="F17" s="16" t="s">
        <v>18</v>
      </c>
      <c r="G17" s="17">
        <v>5</v>
      </c>
      <c r="H17" s="35">
        <v>1500</v>
      </c>
      <c r="I17" s="32">
        <f t="shared" si="0"/>
        <v>7500</v>
      </c>
      <c r="J17" s="18"/>
    </row>
    <row r="18" spans="1:10" s="23" customFormat="1" ht="18" customHeight="1" x14ac:dyDescent="0.2">
      <c r="A18" s="31">
        <v>9</v>
      </c>
      <c r="B18" s="16" t="s">
        <v>89</v>
      </c>
      <c r="C18" s="16" t="s">
        <v>20</v>
      </c>
      <c r="D18" s="16">
        <v>252</v>
      </c>
      <c r="E18" s="34" t="s">
        <v>90</v>
      </c>
      <c r="F18" s="16" t="s">
        <v>19</v>
      </c>
      <c r="G18" s="17">
        <v>600</v>
      </c>
      <c r="H18" s="35">
        <v>11725</v>
      </c>
      <c r="I18" s="32">
        <f t="shared" si="0"/>
        <v>7035000</v>
      </c>
      <c r="J18" s="18"/>
    </row>
    <row r="19" spans="1:10" s="23" customFormat="1" ht="27" customHeight="1" x14ac:dyDescent="0.2">
      <c r="A19" s="31">
        <v>10</v>
      </c>
      <c r="B19" s="16" t="s">
        <v>91</v>
      </c>
      <c r="C19" s="16" t="s">
        <v>20</v>
      </c>
      <c r="D19" s="16">
        <v>252</v>
      </c>
      <c r="E19" s="34" t="s">
        <v>92</v>
      </c>
      <c r="F19" s="16" t="s">
        <v>19</v>
      </c>
      <c r="G19" s="17">
        <v>1000</v>
      </c>
      <c r="H19" s="35">
        <v>1733</v>
      </c>
      <c r="I19" s="32">
        <f t="shared" si="0"/>
        <v>1733000</v>
      </c>
      <c r="J19" s="18"/>
    </row>
    <row r="20" spans="1:10" s="23" customFormat="1" ht="18" customHeight="1" x14ac:dyDescent="0.2">
      <c r="A20" s="31">
        <v>11</v>
      </c>
      <c r="B20" s="16" t="s">
        <v>97</v>
      </c>
      <c r="C20" s="16" t="s">
        <v>20</v>
      </c>
      <c r="D20" s="16">
        <v>252</v>
      </c>
      <c r="E20" s="34" t="s">
        <v>98</v>
      </c>
      <c r="F20" s="16" t="s">
        <v>23</v>
      </c>
      <c r="G20" s="17">
        <v>5000</v>
      </c>
      <c r="H20" s="35">
        <v>4.99</v>
      </c>
      <c r="I20" s="32">
        <f t="shared" si="0"/>
        <v>24950</v>
      </c>
      <c r="J20" s="18"/>
    </row>
    <row r="21" spans="1:10" s="23" customFormat="1" ht="18" customHeight="1" x14ac:dyDescent="0.2">
      <c r="A21" s="31">
        <v>12</v>
      </c>
      <c r="B21" s="16" t="s">
        <v>105</v>
      </c>
      <c r="C21" s="16" t="s">
        <v>20</v>
      </c>
      <c r="D21" s="16">
        <v>252</v>
      </c>
      <c r="E21" s="34" t="s">
        <v>106</v>
      </c>
      <c r="F21" s="16" t="s">
        <v>18</v>
      </c>
      <c r="G21" s="17">
        <v>2000</v>
      </c>
      <c r="H21" s="35">
        <v>135</v>
      </c>
      <c r="I21" s="32">
        <f t="shared" si="0"/>
        <v>270000</v>
      </c>
      <c r="J21" s="18"/>
    </row>
    <row r="22" spans="1:10" s="23" customFormat="1" ht="18" customHeight="1" thickBot="1" x14ac:dyDescent="0.25">
      <c r="A22" s="31">
        <v>13</v>
      </c>
      <c r="B22" s="36" t="s">
        <v>93</v>
      </c>
      <c r="C22" s="24" t="s">
        <v>20</v>
      </c>
      <c r="D22" s="24">
        <v>252</v>
      </c>
      <c r="E22" s="37" t="s">
        <v>94</v>
      </c>
      <c r="F22" s="36" t="s">
        <v>21</v>
      </c>
      <c r="G22" s="19">
        <v>100</v>
      </c>
      <c r="H22" s="38">
        <v>318</v>
      </c>
      <c r="I22" s="32">
        <f t="shared" si="0"/>
        <v>31800</v>
      </c>
      <c r="J22" s="18"/>
    </row>
    <row r="23" spans="1:10" s="29" customFormat="1" ht="27" customHeight="1" thickBot="1" x14ac:dyDescent="0.25">
      <c r="A23" s="27"/>
      <c r="B23" s="22"/>
      <c r="C23" s="41"/>
      <c r="D23" s="41"/>
      <c r="E23" s="21" t="s">
        <v>25</v>
      </c>
      <c r="F23" s="22"/>
      <c r="G23" s="33"/>
      <c r="H23" s="25"/>
      <c r="I23" s="39">
        <f>+SUM(I10:I22)</f>
        <v>19228250</v>
      </c>
      <c r="J23" s="28"/>
    </row>
    <row r="24" spans="1:10" ht="15.75" thickBot="1" x14ac:dyDescent="0.3"/>
    <row r="25" spans="1:10" ht="96.75" customHeight="1" x14ac:dyDescent="0.25">
      <c r="C25" s="91" t="s">
        <v>63</v>
      </c>
      <c r="D25" s="140" t="s">
        <v>64</v>
      </c>
      <c r="E25" s="141"/>
    </row>
    <row r="26" spans="1:10" x14ac:dyDescent="0.25">
      <c r="C26" s="92"/>
      <c r="D26" s="93"/>
      <c r="E26" s="97"/>
    </row>
    <row r="27" spans="1:10" x14ac:dyDescent="0.25">
      <c r="C27" s="94" t="s">
        <v>65</v>
      </c>
      <c r="D27" s="134" t="s">
        <v>108</v>
      </c>
      <c r="E27" s="135"/>
    </row>
    <row r="28" spans="1:10" x14ac:dyDescent="0.25">
      <c r="C28" s="94"/>
      <c r="D28" s="93"/>
      <c r="E28" s="97"/>
    </row>
    <row r="29" spans="1:10" ht="27" customHeight="1" x14ac:dyDescent="0.25">
      <c r="C29" s="94" t="s">
        <v>66</v>
      </c>
      <c r="D29" s="134" t="s">
        <v>67</v>
      </c>
      <c r="E29" s="135"/>
    </row>
    <row r="30" spans="1:10" x14ac:dyDescent="0.25">
      <c r="C30" s="94"/>
      <c r="D30" s="93"/>
      <c r="E30" s="97"/>
    </row>
    <row r="31" spans="1:10" x14ac:dyDescent="0.25">
      <c r="C31" s="95" t="s">
        <v>68</v>
      </c>
      <c r="D31" s="98"/>
      <c r="E31" s="97"/>
    </row>
    <row r="32" spans="1:10" x14ac:dyDescent="0.25">
      <c r="C32" s="95"/>
      <c r="D32" s="98"/>
      <c r="E32" s="97"/>
    </row>
    <row r="33" spans="3:5" ht="15.75" thickBot="1" x14ac:dyDescent="0.3">
      <c r="C33" s="96" t="s">
        <v>69</v>
      </c>
      <c r="D33" s="136" t="s">
        <v>70</v>
      </c>
      <c r="E33" s="137"/>
    </row>
  </sheetData>
  <sortState xmlns:xlrd2="http://schemas.microsoft.com/office/spreadsheetml/2017/richdata2" ref="A10:I22">
    <sortCondition ref="E10:E22"/>
  </sortState>
  <mergeCells count="9">
    <mergeCell ref="D29:E29"/>
    <mergeCell ref="D33:E33"/>
    <mergeCell ref="A7:B7"/>
    <mergeCell ref="A6:B6"/>
    <mergeCell ref="B2:H2"/>
    <mergeCell ref="A4:B4"/>
    <mergeCell ref="A5:B5"/>
    <mergeCell ref="D25:E25"/>
    <mergeCell ref="D27:E27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27:C33">
    <cfRule type="duplicateValues" dxfId="3" priority="1"/>
  </conditionalFormatting>
  <conditionalFormatting sqref="C27:C33">
    <cfRule type="duplicateValues" dxfId="2" priority="2"/>
  </conditionalFormatting>
  <conditionalFormatting sqref="C27:C33">
    <cfRule type="duplicateValues" dxfId="1" priority="3"/>
  </conditionalFormatting>
  <conditionalFormatting sqref="C27:C3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opLeftCell="A13" workbookViewId="0">
      <selection activeCell="C14" sqref="C14:G14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84.42578125" customWidth="1"/>
    <col min="8" max="8" width="9.28515625" customWidth="1"/>
    <col min="9" max="9" width="15.5703125" customWidth="1"/>
    <col min="10" max="10" width="14.7109375" style="107" customWidth="1"/>
    <col min="11" max="11" width="15.5703125" customWidth="1"/>
    <col min="13" max="13" width="15.5703125" style="118" bestFit="1" customWidth="1"/>
  </cols>
  <sheetData>
    <row r="1" spans="1:13" ht="30.75" thickBot="1" x14ac:dyDescent="0.3">
      <c r="A1" s="161" t="s">
        <v>26</v>
      </c>
      <c r="B1" s="161"/>
      <c r="C1" s="161"/>
      <c r="D1" s="161"/>
      <c r="E1" s="161"/>
      <c r="F1" s="161"/>
      <c r="G1" s="161"/>
      <c r="H1" s="161"/>
      <c r="I1" s="161"/>
      <c r="J1" s="104" t="s">
        <v>27</v>
      </c>
      <c r="K1" s="46" t="s">
        <v>71</v>
      </c>
    </row>
    <row r="2" spans="1:13" ht="16.5" thickBot="1" x14ac:dyDescent="0.3">
      <c r="A2" s="47"/>
      <c r="B2" s="48"/>
      <c r="C2" s="48"/>
      <c r="D2" s="49"/>
      <c r="E2" s="49"/>
      <c r="F2" s="49"/>
      <c r="G2" s="49"/>
      <c r="H2" s="49"/>
      <c r="I2" s="49"/>
      <c r="J2" s="105"/>
      <c r="K2" s="50"/>
    </row>
    <row r="3" spans="1:13" ht="16.5" thickBot="1" x14ac:dyDescent="0.3">
      <c r="A3" s="156" t="s">
        <v>28</v>
      </c>
      <c r="B3" s="156"/>
      <c r="C3" s="156"/>
      <c r="D3" s="157" t="str">
        <f>'SAF 011'!C4</f>
        <v>040 - MINISTERIO DE SALUD</v>
      </c>
      <c r="E3" s="157"/>
      <c r="F3" s="157"/>
      <c r="G3" s="157"/>
      <c r="H3" s="157"/>
      <c r="I3" s="157"/>
      <c r="J3" s="157"/>
      <c r="K3" s="157"/>
    </row>
    <row r="4" spans="1:13" ht="16.5" thickBot="1" x14ac:dyDescent="0.3">
      <c r="A4" s="158" t="s">
        <v>29</v>
      </c>
      <c r="B4" s="158"/>
      <c r="C4" s="158"/>
      <c r="D4" s="157" t="str">
        <f>'SAF 011'!C5</f>
        <v>011 - DIRECCION PROVINCIAL DE ADMINISTRACION - MINISTERIO DE SALUD</v>
      </c>
      <c r="E4" s="157"/>
      <c r="F4" s="157"/>
      <c r="G4" s="157"/>
      <c r="H4" s="157"/>
      <c r="I4" s="157"/>
      <c r="J4" s="157"/>
      <c r="K4" s="157"/>
    </row>
    <row r="5" spans="1:13" ht="16.5" thickBot="1" x14ac:dyDescent="0.3">
      <c r="A5" s="158" t="s">
        <v>30</v>
      </c>
      <c r="B5" s="158"/>
      <c r="C5" s="158"/>
      <c r="D5" s="157" t="s">
        <v>72</v>
      </c>
      <c r="E5" s="157"/>
      <c r="F5" s="157"/>
      <c r="G5" s="157"/>
      <c r="H5" s="157"/>
      <c r="I5" s="157"/>
      <c r="J5" s="157"/>
      <c r="K5" s="157"/>
    </row>
    <row r="6" spans="1:13" ht="16.5" thickBot="1" x14ac:dyDescent="0.3">
      <c r="A6" s="156" t="s">
        <v>31</v>
      </c>
      <c r="B6" s="156"/>
      <c r="C6" s="156"/>
      <c r="D6" s="157" t="s">
        <v>72</v>
      </c>
      <c r="E6" s="157"/>
      <c r="F6" s="157"/>
      <c r="G6" s="157"/>
      <c r="H6" s="157"/>
      <c r="I6" s="157"/>
      <c r="J6" s="157"/>
      <c r="K6" s="157"/>
    </row>
    <row r="7" spans="1:13" ht="16.5" thickBot="1" x14ac:dyDescent="0.3">
      <c r="A7" s="158" t="s">
        <v>32</v>
      </c>
      <c r="B7" s="158"/>
      <c r="C7" s="158"/>
      <c r="D7" s="157" t="s">
        <v>107</v>
      </c>
      <c r="E7" s="157"/>
      <c r="F7" s="157"/>
      <c r="G7" s="157"/>
      <c r="H7" s="157"/>
      <c r="I7" s="157"/>
      <c r="J7" s="157"/>
      <c r="K7" s="157"/>
    </row>
    <row r="8" spans="1:13" ht="38.25" customHeight="1" thickBot="1" x14ac:dyDescent="0.3">
      <c r="A8" s="159" t="s">
        <v>33</v>
      </c>
      <c r="B8" s="159"/>
      <c r="C8" s="159"/>
      <c r="D8" s="160" t="s">
        <v>73</v>
      </c>
      <c r="E8" s="160"/>
      <c r="F8" s="160"/>
      <c r="G8" s="160"/>
      <c r="H8" s="160"/>
      <c r="I8" s="160"/>
      <c r="J8" s="160"/>
      <c r="K8" s="160"/>
    </row>
    <row r="9" spans="1:13" ht="16.5" thickBot="1" x14ac:dyDescent="0.3">
      <c r="A9" s="51"/>
      <c r="B9" s="52"/>
      <c r="C9" s="52"/>
      <c r="D9" s="53"/>
      <c r="E9" s="53"/>
      <c r="F9" s="53"/>
      <c r="G9" s="53"/>
      <c r="H9" s="53"/>
      <c r="I9" s="53"/>
      <c r="J9" s="106"/>
      <c r="K9" s="54"/>
    </row>
    <row r="10" spans="1:13" ht="15.75" thickBot="1" x14ac:dyDescent="0.3">
      <c r="A10" s="155" t="s">
        <v>34</v>
      </c>
      <c r="B10" s="153" t="s">
        <v>35</v>
      </c>
      <c r="C10" s="153" t="s">
        <v>36</v>
      </c>
      <c r="D10" s="153"/>
      <c r="E10" s="153"/>
      <c r="F10" s="153"/>
      <c r="G10" s="153"/>
      <c r="H10" s="153" t="s">
        <v>37</v>
      </c>
      <c r="I10" s="153" t="s">
        <v>38</v>
      </c>
      <c r="J10" s="154" t="s">
        <v>39</v>
      </c>
      <c r="K10" s="151" t="s">
        <v>40</v>
      </c>
    </row>
    <row r="11" spans="1:13" ht="29.25" customHeight="1" thickBot="1" x14ac:dyDescent="0.3">
      <c r="A11" s="155"/>
      <c r="B11" s="153"/>
      <c r="C11" s="153"/>
      <c r="D11" s="153"/>
      <c r="E11" s="153"/>
      <c r="F11" s="153"/>
      <c r="G11" s="153"/>
      <c r="H11" s="153"/>
      <c r="I11" s="153"/>
      <c r="J11" s="154"/>
      <c r="K11" s="151"/>
    </row>
    <row r="12" spans="1:13" s="108" customFormat="1" ht="30" customHeight="1" x14ac:dyDescent="0.25">
      <c r="A12" s="109">
        <v>1</v>
      </c>
      <c r="B12" s="119" t="str">
        <f>'SAF 011'!B10</f>
        <v>2.5.2-1841.17</v>
      </c>
      <c r="C12" s="152" t="str">
        <f>'SAF 011'!E10</f>
        <v>ANTIACIDOS; TIPO: MONODROGA, DROGA GENERICA: RANITIDINA, FORMA FARMACEUTICA: AMPOLLA, PRESENTACION: UNIDAD</v>
      </c>
      <c r="D12" s="152"/>
      <c r="E12" s="152"/>
      <c r="F12" s="152"/>
      <c r="G12" s="152"/>
      <c r="H12" s="119" t="s">
        <v>74</v>
      </c>
      <c r="I12" s="120" t="str">
        <f>'SAF 011'!F10</f>
        <v>AMPOLLA</v>
      </c>
      <c r="J12" s="121">
        <f>'SAF 011'!H10</f>
        <v>58</v>
      </c>
      <c r="K12" s="122" t="e">
        <f>'SAF 011'!#REF!</f>
        <v>#REF!</v>
      </c>
      <c r="M12" s="118" t="e">
        <f>+J12*K12</f>
        <v>#REF!</v>
      </c>
    </row>
    <row r="13" spans="1:13" s="108" customFormat="1" ht="30" customHeight="1" x14ac:dyDescent="0.25">
      <c r="A13" s="110">
        <v>2</v>
      </c>
      <c r="B13" s="117" t="str">
        <f>'SAF 011'!B11</f>
        <v>2.5.2-1816.34</v>
      </c>
      <c r="C13" s="144" t="str">
        <f>'SAF 011'!E11</f>
        <v>ANTIDIARREICOS; TIPO: MONODROGA, DROGA GENERICA: LOPERAMIDA, FORMA FARMACEUTICA: CAPSULA, PRESENTACION: 2 mGr</v>
      </c>
      <c r="D13" s="145"/>
      <c r="E13" s="145"/>
      <c r="F13" s="145"/>
      <c r="G13" s="146"/>
      <c r="H13" s="117" t="s">
        <v>74</v>
      </c>
      <c r="I13" s="123" t="str">
        <f>'SAF 011'!F11</f>
        <v>COMPRIMIDO</v>
      </c>
      <c r="J13" s="124">
        <f>'SAF 011'!H11</f>
        <v>2.5</v>
      </c>
      <c r="K13" s="125" t="e">
        <f>'SAF 011'!#REF!</f>
        <v>#REF!</v>
      </c>
      <c r="M13" s="118" t="e">
        <f t="shared" ref="M13:M24" si="0">+J13*K13</f>
        <v>#REF!</v>
      </c>
    </row>
    <row r="14" spans="1:13" s="108" customFormat="1" ht="30" customHeight="1" x14ac:dyDescent="0.25">
      <c r="A14" s="110">
        <v>3</v>
      </c>
      <c r="B14" s="117" t="str">
        <f>'SAF 011'!B12</f>
        <v>2.5.2-6910.6</v>
      </c>
      <c r="C14" s="144" t="str">
        <f>'SAF 011'!E12</f>
        <v>ANTIEMETICOS; TIPO: MONODROGA, DROGA GENERICA: METOCLOPRAMIDA, FORMA FARMACEUTICA: AMPOLLA, PRESENTACION: 2 mL</v>
      </c>
      <c r="D14" s="145"/>
      <c r="E14" s="145"/>
      <c r="F14" s="145"/>
      <c r="G14" s="146"/>
      <c r="H14" s="117" t="s">
        <v>74</v>
      </c>
      <c r="I14" s="123" t="str">
        <f>'SAF 011'!F12</f>
        <v>AMPOLLA</v>
      </c>
      <c r="J14" s="124">
        <f>'SAF 011'!H12</f>
        <v>55</v>
      </c>
      <c r="K14" s="125" t="e">
        <f>'SAF 011'!#REF!</f>
        <v>#REF!</v>
      </c>
      <c r="M14" s="118" t="e">
        <f t="shared" si="0"/>
        <v>#REF!</v>
      </c>
    </row>
    <row r="15" spans="1:13" s="108" customFormat="1" ht="30" customHeight="1" x14ac:dyDescent="0.25">
      <c r="A15" s="110">
        <v>4</v>
      </c>
      <c r="B15" s="117" t="str">
        <f>'SAF 011'!B13</f>
        <v>2.5.2-1843.63</v>
      </c>
      <c r="C15" s="144" t="str">
        <f>'SAF 011'!E13</f>
        <v>ANTIESPASMODICOS; TIPO: MONODROGA, DROGA GENERICA: ATROPINA 1%, FORMA FARMACEUTICA: AMPOLLA, PRESENTACION: ENVASE X 1 mL</v>
      </c>
      <c r="D15" s="145"/>
      <c r="E15" s="145"/>
      <c r="F15" s="145"/>
      <c r="G15" s="146"/>
      <c r="H15" s="117" t="s">
        <v>74</v>
      </c>
      <c r="I15" s="123" t="str">
        <f>'SAF 011'!F13</f>
        <v>AMPOLLA</v>
      </c>
      <c r="J15" s="124">
        <f>'SAF 011'!H13</f>
        <v>48</v>
      </c>
      <c r="K15" s="125" t="e">
        <f>'SAF 011'!#REF!</f>
        <v>#REF!</v>
      </c>
      <c r="M15" s="118" t="e">
        <f t="shared" si="0"/>
        <v>#REF!</v>
      </c>
    </row>
    <row r="16" spans="1:13" s="108" customFormat="1" ht="30" customHeight="1" x14ac:dyDescent="0.25">
      <c r="A16" s="110">
        <v>5</v>
      </c>
      <c r="B16" s="117" t="str">
        <f>'SAF 011'!B14</f>
        <v>2.5.2-1843.51</v>
      </c>
      <c r="C16" s="144" t="str">
        <f>'SAF 011'!E14</f>
        <v>ANTIESPASMODICOS; TIPO: MONODROGA, DROGA GENERICA: HIOSCINA N-BUTILBROMURO 20 MG, FORMA FARMACEUTICA: AMPOLLA, PRESENTACION: 1 ML</v>
      </c>
      <c r="D16" s="145"/>
      <c r="E16" s="145"/>
      <c r="F16" s="145"/>
      <c r="G16" s="146"/>
      <c r="H16" s="117" t="s">
        <v>74</v>
      </c>
      <c r="I16" s="123" t="str">
        <f>'SAF 011'!F14</f>
        <v>AMPOLLA</v>
      </c>
      <c r="J16" s="124">
        <f>'SAF 011'!H14</f>
        <v>65</v>
      </c>
      <c r="K16" s="125" t="e">
        <f>'SAF 011'!#REF!</f>
        <v>#REF!</v>
      </c>
      <c r="M16" s="118" t="e">
        <f t="shared" si="0"/>
        <v>#REF!</v>
      </c>
    </row>
    <row r="17" spans="1:13" s="108" customFormat="1" ht="30" customHeight="1" x14ac:dyDescent="0.25">
      <c r="A17" s="110">
        <v>6</v>
      </c>
      <c r="B17" s="117" t="str">
        <f>'SAF 011'!B15</f>
        <v>2.5.2-1843.1</v>
      </c>
      <c r="C17" s="144" t="str">
        <f>'SAF 011'!E15</f>
        <v>ANTIESPASMODICOS; TIPO: MONODROGA, PRESENTACION: 10 mGr, FORMA FARMACEUTICA: COMPRIMIDO, DROGA GENERICA: HIOSCINA N-BUTILBROMURO</v>
      </c>
      <c r="D17" s="145"/>
      <c r="E17" s="145"/>
      <c r="F17" s="145"/>
      <c r="G17" s="146"/>
      <c r="H17" s="117" t="s">
        <v>74</v>
      </c>
      <c r="I17" s="123" t="str">
        <f>'SAF 011'!F15</f>
        <v>COMPRIMIDO</v>
      </c>
      <c r="J17" s="124">
        <f>'SAF 011'!H15</f>
        <v>7.1</v>
      </c>
      <c r="K17" s="125" t="e">
        <f>'SAF 011'!#REF!</f>
        <v>#REF!</v>
      </c>
      <c r="M17" s="118" t="e">
        <f t="shared" si="0"/>
        <v>#REF!</v>
      </c>
    </row>
    <row r="18" spans="1:13" s="108" customFormat="1" ht="30" customHeight="1" x14ac:dyDescent="0.25">
      <c r="A18" s="110">
        <v>7</v>
      </c>
      <c r="B18" s="117" t="str">
        <f>'SAF 011'!B16</f>
        <v>2.5.2-1849.3</v>
      </c>
      <c r="C18" s="144" t="str">
        <f>'SAF 011'!E16</f>
        <v>ANTIULCEROSOS; TIPO: MONODROGA, DROGA GENERICA: OMEPRAZOL, FORMA FARMACEUTICA: CAPSULA, PRESENTACION: 20 mGr</v>
      </c>
      <c r="D18" s="145"/>
      <c r="E18" s="145"/>
      <c r="F18" s="145"/>
      <c r="G18" s="146"/>
      <c r="H18" s="117" t="s">
        <v>74</v>
      </c>
      <c r="I18" s="123" t="str">
        <f>'SAF 011'!F16</f>
        <v>CAPSULA</v>
      </c>
      <c r="J18" s="124">
        <f>'SAF 011'!H16</f>
        <v>3.1</v>
      </c>
      <c r="K18" s="125" t="e">
        <f>'SAF 011'!#REF!</f>
        <v>#REF!</v>
      </c>
      <c r="M18" s="118" t="e">
        <f t="shared" si="0"/>
        <v>#REF!</v>
      </c>
    </row>
    <row r="19" spans="1:13" s="108" customFormat="1" ht="30" customHeight="1" x14ac:dyDescent="0.25">
      <c r="A19" s="110">
        <v>8</v>
      </c>
      <c r="B19" s="117" t="str">
        <f>'SAF 011'!B17</f>
        <v>2.5.2-8078.68</v>
      </c>
      <c r="C19" s="144" t="str">
        <f>'SAF 011'!E17</f>
        <v>EXCIPIENTES; TIPO: MONODROGA, PRESENTACION: ENVASE X 1 Kg, COMPUESTO: CARBON ACTIVADO, CONCENTRACION/PUREZA: 100 %</v>
      </c>
      <c r="D19" s="145"/>
      <c r="E19" s="145"/>
      <c r="F19" s="145"/>
      <c r="G19" s="146"/>
      <c r="H19" s="117" t="s">
        <v>74</v>
      </c>
      <c r="I19" s="123" t="str">
        <f>'SAF 011'!F17</f>
        <v>UNIDAD</v>
      </c>
      <c r="J19" s="124">
        <f>'SAF 011'!H17</f>
        <v>1500</v>
      </c>
      <c r="K19" s="125" t="e">
        <f>'SAF 011'!#REF!</f>
        <v>#REF!</v>
      </c>
      <c r="M19" s="118" t="e">
        <f t="shared" si="0"/>
        <v>#REF!</v>
      </c>
    </row>
    <row r="20" spans="1:13" s="108" customFormat="1" ht="30" customHeight="1" x14ac:dyDescent="0.25">
      <c r="A20" s="110">
        <v>9</v>
      </c>
      <c r="B20" s="117" t="str">
        <f>'SAF 011'!B18</f>
        <v>2.5.2-1861.38</v>
      </c>
      <c r="C20" s="144" t="str">
        <f>'SAF 011'!E18</f>
        <v>HIPOGLUCEMIANTES INYECTABLES; TIPO: MONODROGA, DROGA GENERICA: INSULINA ASPARTICA, FORMA FARMACEUTICA: LAPICERA PRELLENADA, PRESENTACION: 5 UNIDADES</v>
      </c>
      <c r="D20" s="145"/>
      <c r="E20" s="145"/>
      <c r="F20" s="145"/>
      <c r="G20" s="146"/>
      <c r="H20" s="117" t="s">
        <v>74</v>
      </c>
      <c r="I20" s="123" t="str">
        <f>'SAF 011'!F18</f>
        <v>CAJA</v>
      </c>
      <c r="J20" s="124">
        <f>'SAF 011'!H18</f>
        <v>11725</v>
      </c>
      <c r="K20" s="125" t="e">
        <f>'SAF 011'!#REF!</f>
        <v>#REF!</v>
      </c>
      <c r="M20" s="118" t="e">
        <f t="shared" si="0"/>
        <v>#REF!</v>
      </c>
    </row>
    <row r="21" spans="1:13" s="108" customFormat="1" ht="30" customHeight="1" x14ac:dyDescent="0.25">
      <c r="A21" s="110">
        <v>10</v>
      </c>
      <c r="B21" s="117" t="str">
        <f>'SAF 011'!B19</f>
        <v>2.5.2-1861.39</v>
      </c>
      <c r="C21" s="144" t="str">
        <f>'SAF 011'!E19</f>
        <v>HIPOGLUCEMIANTES INYECTABLES; TIPO: MONODROGA, DROGA GENERICA: INSULINA HUMANA NHP 100 UI, FORMA FARMACEUTICA: LAPICERA PRELLENADA, PRESENTACION: 5 AMPOLLAS</v>
      </c>
      <c r="D21" s="145"/>
      <c r="E21" s="145"/>
      <c r="F21" s="145"/>
      <c r="G21" s="146"/>
      <c r="H21" s="117" t="s">
        <v>74</v>
      </c>
      <c r="I21" s="123" t="str">
        <f>'SAF 011'!F19</f>
        <v>CAJA</v>
      </c>
      <c r="J21" s="124">
        <f>'SAF 011'!H19</f>
        <v>1733</v>
      </c>
      <c r="K21" s="125" t="e">
        <f>'SAF 011'!#REF!</f>
        <v>#REF!</v>
      </c>
      <c r="M21" s="118" t="e">
        <f t="shared" si="0"/>
        <v>#REF!</v>
      </c>
    </row>
    <row r="22" spans="1:13" s="108" customFormat="1" ht="30" customHeight="1" x14ac:dyDescent="0.25">
      <c r="A22" s="110">
        <v>11</v>
      </c>
      <c r="B22" s="117" t="str">
        <f>'SAF 011'!B20</f>
        <v>2.5.2-1862.1</v>
      </c>
      <c r="C22" s="144" t="str">
        <f>'SAF 011'!E20</f>
        <v>HIPOGLUCEMIANTES ORALES; TIPO: MONODROGA, DROGA GENERICA: METFORMINA, FORMA FARMACEUTICA: COMPRIMIDO, PRESENTACION: 500 mGr</v>
      </c>
      <c r="D22" s="145"/>
      <c r="E22" s="145"/>
      <c r="F22" s="145"/>
      <c r="G22" s="146"/>
      <c r="H22" s="117" t="s">
        <v>74</v>
      </c>
      <c r="I22" s="123" t="str">
        <f>'SAF 011'!F20</f>
        <v>COMPRIMIDO</v>
      </c>
      <c r="J22" s="124">
        <f>'SAF 011'!H20</f>
        <v>4.99</v>
      </c>
      <c r="K22" s="125" t="e">
        <f>'SAF 011'!#REF!</f>
        <v>#REF!</v>
      </c>
      <c r="M22" s="118" t="e">
        <f t="shared" si="0"/>
        <v>#REF!</v>
      </c>
    </row>
    <row r="23" spans="1:13" s="108" customFormat="1" ht="30" customHeight="1" x14ac:dyDescent="0.25">
      <c r="A23" s="110">
        <v>12</v>
      </c>
      <c r="B23" s="117" t="str">
        <f>'SAF 011'!B21</f>
        <v>2.5.2-1903.85</v>
      </c>
      <c r="C23" s="144" t="str">
        <f>'SAF 011'!E21</f>
        <v>RECONSTITUYENTE GENERAL; TIPO: ASOCIACION, DROGA GENERICA: SALES DE REHIDRATACION, FORMA FARMACEUTICA: POLVO, PRESENTACION: SOBRE X 27,9 GR</v>
      </c>
      <c r="D23" s="145"/>
      <c r="E23" s="145"/>
      <c r="F23" s="145"/>
      <c r="G23" s="146"/>
      <c r="H23" s="117" t="s">
        <v>74</v>
      </c>
      <c r="I23" s="123" t="str">
        <f>'SAF 011'!F21</f>
        <v>UNIDAD</v>
      </c>
      <c r="J23" s="124">
        <f>'SAF 011'!H21</f>
        <v>135</v>
      </c>
      <c r="K23" s="125" t="e">
        <f>'SAF 011'!#REF!</f>
        <v>#REF!</v>
      </c>
      <c r="M23" s="118" t="e">
        <f t="shared" si="0"/>
        <v>#REF!</v>
      </c>
    </row>
    <row r="24" spans="1:13" s="108" customFormat="1" ht="30" customHeight="1" x14ac:dyDescent="0.25">
      <c r="A24" s="110">
        <v>13</v>
      </c>
      <c r="B24" s="117" t="str">
        <f>'SAF 011'!B22</f>
        <v>2.5.2-2804.1</v>
      </c>
      <c r="C24" s="147" t="str">
        <f>'SAF 011'!E22</f>
        <v>REGULADORES INTESTINALES; TIPO: MONODROGA, DROGA GENERICA: LACTULOSA, FORMA FARMACEUTICA: JARABE, PRESENTACION: 120 mL</v>
      </c>
      <c r="D24" s="147"/>
      <c r="E24" s="147"/>
      <c r="F24" s="147"/>
      <c r="G24" s="147"/>
      <c r="H24" s="117" t="s">
        <v>74</v>
      </c>
      <c r="I24" s="123" t="str">
        <f>'SAF 011'!F22</f>
        <v>FRASCO</v>
      </c>
      <c r="J24" s="124">
        <f>'SAF 011'!H22</f>
        <v>318</v>
      </c>
      <c r="K24" s="125" t="e">
        <f>'SAF 011'!#REF!</f>
        <v>#REF!</v>
      </c>
      <c r="M24" s="118" t="e">
        <f t="shared" si="0"/>
        <v>#REF!</v>
      </c>
    </row>
    <row r="25" spans="1:13" s="108" customFormat="1" ht="15.75" customHeight="1" thickBot="1" x14ac:dyDescent="0.3">
      <c r="A25" s="111"/>
      <c r="B25" s="112"/>
      <c r="C25" s="148"/>
      <c r="D25" s="149"/>
      <c r="E25" s="149"/>
      <c r="F25" s="149"/>
      <c r="G25" s="150"/>
      <c r="H25" s="113"/>
      <c r="I25" s="114"/>
      <c r="J25" s="115"/>
      <c r="K25" s="116"/>
      <c r="M25" s="118"/>
    </row>
    <row r="26" spans="1:13" ht="34.5" customHeight="1" thickBot="1" x14ac:dyDescent="0.3">
      <c r="A26" s="142" t="s">
        <v>78</v>
      </c>
      <c r="B26" s="142"/>
      <c r="C26" s="142"/>
      <c r="D26" s="142"/>
      <c r="E26" s="142"/>
      <c r="F26" s="142"/>
      <c r="G26" s="142"/>
      <c r="H26" s="142"/>
      <c r="I26" s="142"/>
      <c r="J26" s="143" t="e">
        <f>+M26</f>
        <v>#REF!</v>
      </c>
      <c r="K26" s="143"/>
      <c r="M26" s="118" t="e">
        <f>SUM(M12:M24)</f>
        <v>#REF!</v>
      </c>
    </row>
  </sheetData>
  <mergeCells count="3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A26:I26"/>
    <mergeCell ref="J26:K26"/>
    <mergeCell ref="C17:G17"/>
    <mergeCell ref="C18:G18"/>
    <mergeCell ref="C19:G19"/>
    <mergeCell ref="C20:G20"/>
    <mergeCell ref="C23:G23"/>
    <mergeCell ref="C24:G24"/>
    <mergeCell ref="C21:G21"/>
    <mergeCell ref="C22:G22"/>
    <mergeCell ref="C25:G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79" t="s">
        <v>5</v>
      </c>
      <c r="B1" s="179"/>
      <c r="C1" s="179"/>
      <c r="D1" s="180">
        <v>2022</v>
      </c>
      <c r="E1" s="180"/>
      <c r="F1" s="55"/>
      <c r="G1" s="55"/>
      <c r="H1" s="56"/>
      <c r="I1" s="56"/>
      <c r="J1" s="56"/>
      <c r="K1" s="56"/>
      <c r="L1" s="56"/>
      <c r="M1" s="56"/>
      <c r="N1" s="56"/>
      <c r="O1" s="57"/>
      <c r="P1" s="181" t="s">
        <v>41</v>
      </c>
      <c r="Q1" s="181"/>
    </row>
    <row r="2" spans="1:17" ht="15.75" thickBot="1" x14ac:dyDescent="0.3">
      <c r="A2" s="58"/>
      <c r="B2" s="59"/>
      <c r="C2" s="59"/>
      <c r="D2" s="59"/>
      <c r="E2" s="59"/>
      <c r="F2" s="59"/>
      <c r="G2" s="60"/>
      <c r="H2" s="61"/>
      <c r="I2" s="61"/>
      <c r="J2" s="61"/>
      <c r="K2" s="61"/>
      <c r="L2" s="61"/>
      <c r="M2" s="61"/>
      <c r="N2" s="61"/>
      <c r="O2" s="59"/>
      <c r="P2" s="181"/>
      <c r="Q2" s="181"/>
    </row>
    <row r="3" spans="1:17" ht="15.75" thickBot="1" x14ac:dyDescent="0.3">
      <c r="A3" s="58"/>
      <c r="B3" s="59"/>
      <c r="C3" s="59"/>
      <c r="D3" s="59"/>
      <c r="E3" s="59"/>
      <c r="F3" s="59"/>
      <c r="G3" s="60"/>
      <c r="H3" s="59"/>
      <c r="I3" s="59"/>
      <c r="J3" s="59"/>
      <c r="K3" s="59"/>
      <c r="L3" s="59"/>
      <c r="M3" s="59"/>
      <c r="N3" s="59"/>
      <c r="O3" s="59"/>
      <c r="P3" s="59"/>
      <c r="Q3" s="62"/>
    </row>
    <row r="4" spans="1:17" ht="15.75" thickBot="1" x14ac:dyDescent="0.3">
      <c r="A4" s="182" t="s">
        <v>42</v>
      </c>
      <c r="B4" s="182"/>
      <c r="C4" s="182"/>
      <c r="D4" s="182"/>
      <c r="E4" s="182"/>
      <c r="F4" s="182"/>
      <c r="G4" s="183" t="str">
        <f>NP!D3</f>
        <v>040 - MINISTERIO DE SALUD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 ht="15.75" thickBot="1" x14ac:dyDescent="0.3">
      <c r="A5" s="184" t="s">
        <v>29</v>
      </c>
      <c r="B5" s="184"/>
      <c r="C5" s="184"/>
      <c r="D5" s="184"/>
      <c r="E5" s="184"/>
      <c r="F5" s="184"/>
      <c r="G5" s="183" t="str">
        <f>NP!D4</f>
        <v>011 - DIRECCION PROVINCIAL DE ADMINISTRACION - MINISTERIO DE SALUD</v>
      </c>
      <c r="H5" s="183"/>
      <c r="I5" s="183"/>
      <c r="J5" s="183"/>
      <c r="K5" s="183"/>
      <c r="L5" s="183"/>
      <c r="M5" s="183"/>
      <c r="N5" s="183"/>
      <c r="O5" s="183"/>
      <c r="P5" s="183"/>
      <c r="Q5" s="183"/>
    </row>
    <row r="6" spans="1:17" ht="15.75" thickBot="1" x14ac:dyDescent="0.3">
      <c r="A6" s="184" t="s">
        <v>30</v>
      </c>
      <c r="B6" s="184"/>
      <c r="C6" s="184"/>
      <c r="D6" s="184"/>
      <c r="E6" s="184"/>
      <c r="F6" s="184"/>
      <c r="G6" s="183" t="str">
        <f>NP!D5</f>
        <v>DIRECCION PROVINCIAL DE FARMACIA E INSUMOS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</row>
    <row r="7" spans="1:17" ht="15.75" thickBot="1" x14ac:dyDescent="0.3">
      <c r="A7" s="184" t="s">
        <v>31</v>
      </c>
      <c r="B7" s="184"/>
      <c r="C7" s="184"/>
      <c r="D7" s="184"/>
      <c r="E7" s="184"/>
      <c r="F7" s="184"/>
      <c r="G7" s="183" t="str">
        <f>NP!D6</f>
        <v>DIRECCION PROVINCIAL DE FARMACIA E INSUMOS</v>
      </c>
      <c r="H7" s="183"/>
      <c r="I7" s="183"/>
      <c r="J7" s="183"/>
      <c r="K7" s="183"/>
      <c r="L7" s="183"/>
      <c r="M7" s="183"/>
      <c r="N7" s="183"/>
      <c r="O7" s="183"/>
      <c r="P7" s="183"/>
      <c r="Q7" s="183"/>
    </row>
    <row r="8" spans="1:17" ht="15.75" thickBot="1" x14ac:dyDescent="0.3">
      <c r="A8" s="185" t="s">
        <v>43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</row>
    <row r="9" spans="1:17" ht="20.25" customHeight="1" x14ac:dyDescent="0.25">
      <c r="A9" s="178" t="s">
        <v>44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</row>
    <row r="10" spans="1:17" ht="69" customHeight="1" x14ac:dyDescent="0.25">
      <c r="A10" s="171" t="s">
        <v>75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</row>
    <row r="11" spans="1:17" ht="15.75" thickBot="1" x14ac:dyDescent="0.3">
      <c r="A11" s="63"/>
      <c r="B11" s="64"/>
      <c r="C11" s="64"/>
      <c r="D11" s="64"/>
      <c r="E11" s="64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6"/>
    </row>
    <row r="12" spans="1:17" ht="15.75" thickBot="1" x14ac:dyDescent="0.3">
      <c r="A12" s="172" t="s">
        <v>45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</row>
    <row r="13" spans="1:17" ht="15.75" thickBot="1" x14ac:dyDescent="0.3">
      <c r="A13" s="173" t="s">
        <v>46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4" t="s">
        <v>47</v>
      </c>
      <c r="P13" s="174"/>
      <c r="Q13" s="175" t="s">
        <v>48</v>
      </c>
    </row>
    <row r="14" spans="1:17" ht="15.75" thickBot="1" x14ac:dyDescent="0.3">
      <c r="A14" s="67" t="s">
        <v>49</v>
      </c>
      <c r="B14" s="68" t="s">
        <v>50</v>
      </c>
      <c r="C14" s="68" t="s">
        <v>51</v>
      </c>
      <c r="D14" s="68" t="s">
        <v>52</v>
      </c>
      <c r="E14" s="68" t="s">
        <v>53</v>
      </c>
      <c r="F14" s="68" t="s">
        <v>54</v>
      </c>
      <c r="G14" s="69" t="s">
        <v>55</v>
      </c>
      <c r="H14" s="68" t="s">
        <v>56</v>
      </c>
      <c r="I14" s="68" t="s">
        <v>57</v>
      </c>
      <c r="J14" s="68" t="s">
        <v>58</v>
      </c>
      <c r="K14" s="68" t="s">
        <v>58</v>
      </c>
      <c r="L14" s="68" t="s">
        <v>59</v>
      </c>
      <c r="M14" s="70" t="s">
        <v>60</v>
      </c>
      <c r="N14" s="71" t="s">
        <v>61</v>
      </c>
      <c r="O14" s="174"/>
      <c r="P14" s="174"/>
      <c r="Q14" s="175"/>
    </row>
    <row r="15" spans="1:17" ht="30.75" customHeight="1" x14ac:dyDescent="0.25">
      <c r="A15" s="72">
        <v>30</v>
      </c>
      <c r="B15" s="73"/>
      <c r="C15" s="73"/>
      <c r="D15" s="73">
        <v>1</v>
      </c>
      <c r="E15" s="73"/>
      <c r="F15" s="73">
        <v>4901</v>
      </c>
      <c r="G15" s="73">
        <v>3</v>
      </c>
      <c r="H15" s="73">
        <v>1</v>
      </c>
      <c r="I15" s="73">
        <v>2</v>
      </c>
      <c r="J15" s="73">
        <v>5</v>
      </c>
      <c r="K15" s="73">
        <v>2</v>
      </c>
      <c r="L15" s="73"/>
      <c r="M15" s="74">
        <v>1</v>
      </c>
      <c r="N15" s="73" t="s">
        <v>76</v>
      </c>
      <c r="O15" s="176" t="s">
        <v>77</v>
      </c>
      <c r="P15" s="176"/>
      <c r="Q15" s="75" t="e">
        <f>NP!M26</f>
        <v>#REF!</v>
      </c>
    </row>
    <row r="16" spans="1:17" x14ac:dyDescent="0.25">
      <c r="A16" s="76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8"/>
      <c r="N16" s="79"/>
      <c r="O16" s="165"/>
      <c r="P16" s="165"/>
      <c r="Q16" s="80"/>
    </row>
    <row r="17" spans="1:17" x14ac:dyDescent="0.25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8"/>
      <c r="N17" s="79"/>
      <c r="O17" s="177"/>
      <c r="P17" s="177"/>
      <c r="Q17" s="80"/>
    </row>
    <row r="18" spans="1:17" x14ac:dyDescent="0.25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79"/>
      <c r="O18" s="170"/>
      <c r="P18" s="170"/>
      <c r="Q18" s="80"/>
    </row>
    <row r="19" spans="1:17" x14ac:dyDescent="0.25">
      <c r="A19" s="76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  <c r="N19" s="79"/>
      <c r="O19" s="170"/>
      <c r="P19" s="170"/>
      <c r="Q19" s="80"/>
    </row>
    <row r="20" spans="1:17" x14ac:dyDescent="0.2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8"/>
      <c r="N20" s="79"/>
      <c r="O20" s="170"/>
      <c r="P20" s="170"/>
      <c r="Q20" s="80"/>
    </row>
    <row r="21" spans="1:17" x14ac:dyDescent="0.25">
      <c r="A21" s="76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8"/>
      <c r="N21" s="79"/>
      <c r="O21" s="170"/>
      <c r="P21" s="170"/>
      <c r="Q21" s="80"/>
    </row>
    <row r="22" spans="1:17" x14ac:dyDescent="0.25">
      <c r="A22" s="76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79"/>
      <c r="O22" s="170"/>
      <c r="P22" s="170"/>
      <c r="Q22" s="80"/>
    </row>
    <row r="23" spans="1:17" x14ac:dyDescent="0.2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  <c r="N23" s="79"/>
      <c r="O23" s="170"/>
      <c r="P23" s="170"/>
      <c r="Q23" s="80"/>
    </row>
    <row r="24" spans="1:17" x14ac:dyDescent="0.25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170"/>
      <c r="P24" s="170"/>
      <c r="Q24" s="80"/>
    </row>
    <row r="25" spans="1:17" x14ac:dyDescent="0.25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170"/>
      <c r="P25" s="170"/>
      <c r="Q25" s="80"/>
    </row>
    <row r="26" spans="1:17" x14ac:dyDescent="0.25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8"/>
      <c r="N26" s="79"/>
      <c r="O26" s="170"/>
      <c r="P26" s="170"/>
      <c r="Q26" s="80"/>
    </row>
    <row r="27" spans="1:17" x14ac:dyDescent="0.25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  <c r="N27" s="79"/>
      <c r="O27" s="170"/>
      <c r="P27" s="170"/>
      <c r="Q27" s="80"/>
    </row>
    <row r="28" spans="1:17" x14ac:dyDescent="0.25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8"/>
      <c r="N28" s="79"/>
      <c r="O28" s="170"/>
      <c r="P28" s="170"/>
      <c r="Q28" s="80"/>
    </row>
    <row r="29" spans="1:17" x14ac:dyDescent="0.2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8"/>
      <c r="N29" s="79"/>
      <c r="O29" s="170"/>
      <c r="P29" s="170"/>
      <c r="Q29" s="80"/>
    </row>
    <row r="30" spans="1:17" x14ac:dyDescent="0.2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8"/>
      <c r="N30" s="79"/>
      <c r="O30" s="170"/>
      <c r="P30" s="170"/>
      <c r="Q30" s="80"/>
    </row>
    <row r="31" spans="1:17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  <c r="N31" s="79"/>
      <c r="O31" s="170"/>
      <c r="P31" s="170"/>
      <c r="Q31" s="80"/>
    </row>
    <row r="32" spans="1:17" x14ac:dyDescent="0.25">
      <c r="A32" s="76"/>
      <c r="B32" s="77"/>
      <c r="C32" s="77"/>
      <c r="D32" s="77"/>
      <c r="E32" s="77"/>
      <c r="F32" s="79"/>
      <c r="G32" s="77"/>
      <c r="H32" s="77"/>
      <c r="I32" s="77"/>
      <c r="J32" s="77"/>
      <c r="K32" s="77"/>
      <c r="L32" s="77"/>
      <c r="M32" s="78"/>
      <c r="N32" s="79"/>
      <c r="O32" s="165"/>
      <c r="P32" s="165"/>
      <c r="Q32" s="80"/>
    </row>
    <row r="33" spans="1:17" x14ac:dyDescent="0.2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8"/>
      <c r="N33" s="79"/>
      <c r="O33" s="165"/>
      <c r="P33" s="165"/>
      <c r="Q33" s="80"/>
    </row>
    <row r="34" spans="1:17" x14ac:dyDescent="0.25">
      <c r="A34" s="76"/>
      <c r="B34" s="77"/>
      <c r="C34" s="77"/>
      <c r="D34" s="77"/>
      <c r="E34" s="77"/>
      <c r="F34" s="79"/>
      <c r="G34" s="77"/>
      <c r="H34" s="77"/>
      <c r="I34" s="77"/>
      <c r="J34" s="77"/>
      <c r="K34" s="77"/>
      <c r="L34" s="77"/>
      <c r="M34" s="78"/>
      <c r="N34" s="79"/>
      <c r="O34" s="165"/>
      <c r="P34" s="165"/>
      <c r="Q34" s="80"/>
    </row>
    <row r="35" spans="1:17" x14ac:dyDescent="0.25">
      <c r="A35" s="76"/>
      <c r="B35" s="77"/>
      <c r="C35" s="77"/>
      <c r="D35" s="77"/>
      <c r="E35" s="77"/>
      <c r="F35" s="79"/>
      <c r="G35" s="77"/>
      <c r="H35" s="77"/>
      <c r="I35" s="77"/>
      <c r="J35" s="77"/>
      <c r="K35" s="77"/>
      <c r="L35" s="77"/>
      <c r="M35" s="78"/>
      <c r="N35" s="79"/>
      <c r="O35" s="165"/>
      <c r="P35" s="165"/>
      <c r="Q35" s="80"/>
    </row>
    <row r="36" spans="1:17" x14ac:dyDescent="0.25">
      <c r="A36" s="81"/>
      <c r="B36" s="82"/>
      <c r="C36" s="82"/>
      <c r="D36" s="82"/>
      <c r="E36" s="82"/>
      <c r="F36" s="83"/>
      <c r="G36" s="82"/>
      <c r="H36" s="82"/>
      <c r="I36" s="82"/>
      <c r="J36" s="82"/>
      <c r="K36" s="82"/>
      <c r="L36" s="82"/>
      <c r="M36" s="84"/>
      <c r="N36" s="85"/>
      <c r="O36" s="166"/>
      <c r="P36" s="166"/>
      <c r="Q36" s="80"/>
    </row>
    <row r="37" spans="1:17" ht="15.75" thickBot="1" x14ac:dyDescent="0.3">
      <c r="A37" s="86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8"/>
      <c r="N37" s="87"/>
      <c r="O37" s="167"/>
      <c r="P37" s="167"/>
      <c r="Q37" s="89"/>
    </row>
    <row r="38" spans="1:17" ht="35.25" customHeight="1" thickBot="1" x14ac:dyDescent="0.3">
      <c r="A38" s="168" t="s">
        <v>79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90" t="e">
        <f>SUM(Q15:Q37)</f>
        <v>#REF!</v>
      </c>
    </row>
    <row r="39" spans="1:17" ht="15.75" thickBot="1" x14ac:dyDescent="0.3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</row>
    <row r="40" spans="1:17" ht="15.75" thickBot="1" x14ac:dyDescent="0.3">
      <c r="A40" s="162" t="s">
        <v>62</v>
      </c>
      <c r="B40" s="162"/>
      <c r="C40" s="162"/>
      <c r="D40" s="162"/>
      <c r="E40" s="162"/>
      <c r="F40" s="162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</row>
    <row r="41" spans="1:17" ht="15.75" thickBot="1" x14ac:dyDescent="0.3">
      <c r="A41" s="164" t="str">
        <f>NP!D8</f>
        <v xml:space="preserve">ADQUISICION DEL RUBRO TRACTO ALIMENTARIO Y METABOLISMO / VITAMINAS Y OTROS /ANTIDIABETICOS E INSULINAS </v>
      </c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</row>
    <row r="42" spans="1:17" ht="15.75" thickBot="1" x14ac:dyDescent="0.3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2022-02-25T14:34:59Z</dcterms:modified>
</cp:coreProperties>
</file>