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NotaPedido!$A$1:$K$28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" i="2" l="1"/>
  <c r="K27" i="2"/>
  <c r="J26" i="2"/>
  <c r="J27" i="2"/>
  <c r="I26" i="2"/>
  <c r="I27" i="2"/>
  <c r="B26" i="2"/>
  <c r="B27" i="2"/>
  <c r="C26" i="2"/>
  <c r="C27" i="2"/>
  <c r="I25" i="1"/>
  <c r="I24" i="1"/>
  <c r="B15" i="2" l="1"/>
  <c r="B16" i="2"/>
  <c r="B17" i="2"/>
  <c r="B18" i="2"/>
  <c r="B19" i="2"/>
  <c r="B20" i="2"/>
  <c r="B21" i="2"/>
  <c r="B22" i="2"/>
  <c r="B23" i="2"/>
  <c r="B24" i="2"/>
  <c r="B25" i="2"/>
  <c r="K17" i="2"/>
  <c r="K18" i="2"/>
  <c r="K19" i="2"/>
  <c r="K20" i="2"/>
  <c r="K21" i="2"/>
  <c r="K22" i="2"/>
  <c r="K23" i="2"/>
  <c r="K24" i="2"/>
  <c r="K25" i="2"/>
  <c r="C16" i="2"/>
  <c r="C17" i="2"/>
  <c r="C18" i="2"/>
  <c r="C19" i="2"/>
  <c r="C20" i="2"/>
  <c r="C21" i="2"/>
  <c r="C22" i="2"/>
  <c r="C23" i="2"/>
  <c r="C24" i="2"/>
  <c r="C25" i="2"/>
  <c r="J18" i="2"/>
  <c r="J19" i="2"/>
  <c r="J20" i="2"/>
  <c r="J21" i="2"/>
  <c r="J22" i="2"/>
  <c r="J23" i="2"/>
  <c r="J24" i="2"/>
  <c r="J25" i="2"/>
  <c r="I17" i="2"/>
  <c r="I18" i="2"/>
  <c r="I19" i="2"/>
  <c r="I20" i="2"/>
  <c r="I21" i="2"/>
  <c r="I22" i="2"/>
  <c r="I23" i="2"/>
  <c r="I24" i="2"/>
  <c r="I25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28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<sst xmlns="http://schemas.openxmlformats.org/spreadsheetml/2006/main" count="180" uniqueCount="120">
  <si>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</si>
  <si>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</si>
  <si>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</si>
  <si>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</si>
  <si>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</si>
  <si>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</si>
  <si>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</si>
  <si>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</si>
  <si>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</si>
  <si>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</si>
  <si>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</si>
  <si>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</si>
  <si>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</si>
  <si>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</si>
  <si>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</si>
  <si>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</si>
  <si>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</si>
  <si>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</si>
  <si>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</si>
  <si>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</si>
  <si>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</si>
  <si>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</si>
  <si>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</si>
  <si>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</si>
  <si>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</si>
  <si>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</si>
  <si>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</si>
  <si>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</si>
  <si>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</si>
  <si>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</si>
  <si>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</si>
  <si>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</si>
  <si>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</si>
  <si>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</si>
  <si>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</si>
  <si>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</si>
  <si>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</si>
  <si>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</si>
  <si>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</si>
  <si>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</si>
  <si>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</si>
  <si>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</si>
  <si>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</si>
  <si>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</si>
  <si>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</si>
  <si>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</si>
  <si>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</si>
  <si>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</si>
  <si>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</si>
  <si>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</si>
  <si>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</si>
  <si>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</si>
  <si>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</si>
  <si>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</si>
  <si>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</si>
  <si>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</si>
  <si>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>3.1</t>
  </si>
  <si>
    <t>1.1</t>
  </si>
  <si>
    <t>2.5.2-1726.10</t>
  </si>
  <si>
    <t>PROD. MEDICO/FARMACEUTICOS/LAB</t>
  </si>
  <si>
    <t>SOLUCIONES P/MEDICINA; TIPO: AGUA P/IRRIGACION QUIRURGICA, PRESENTACION: SACHET X 2000 mL</t>
  </si>
  <si>
    <t>Sachet</t>
  </si>
  <si>
    <t>2.5.2-1726.9</t>
  </si>
  <si>
    <t>SOLUCIONES P/MEDICINA; TIPO: BICARBONATO 1 MOLAR, PRESENTACION: SACHET DE 100 mL</t>
  </si>
  <si>
    <t>2.5.2-1726.305</t>
  </si>
  <si>
    <t>SOLUCIONES P/MEDICINA; TIPO: CLORURO DE POTASIO 15 MEQ, PRESENTACION: AMPOLLA DE 5 mL</t>
  </si>
  <si>
    <t>Ampollas</t>
  </si>
  <si>
    <t>2.5.2-1726.519</t>
  </si>
  <si>
    <t>SOLUCIONES P/MEDICINA; PRESENTACION: AMPOLLA X  20 ML, TIPO: CLORURO DE SODIO MOLAR AL 20 %</t>
  </si>
  <si>
    <t>2.5.2-2689.7</t>
  </si>
  <si>
    <t>NORMALIZADORES DE CALCEMIA; TIPO: MONODROGA, DROGA GENERICA: GLUCONATO DE CALCIO 10 %, FORMA FARMACEUTICA: AMPOLLA, PRESENTACION: ENVASE X 10 mL</t>
  </si>
  <si>
    <t>2.5.2-1726.460</t>
  </si>
  <si>
    <t>SOLUCIONES P/MEDICINA; TIPO: HEMODIALISIS ACIDA A, PRESENTACION: ENVASE X 10 L</t>
  </si>
  <si>
    <t>Bidon</t>
  </si>
  <si>
    <t>2.5.2-1726.449</t>
  </si>
  <si>
    <t>SOLUCIONES P/MEDICINA; TIPO: HEMODIALISIS BASICO B, PRESENTACION: ENVASE X 10 L</t>
  </si>
  <si>
    <t>2.5.2-1726.24</t>
  </si>
  <si>
    <t>SOLUCIONES P/MEDICINA; TIPO: DEXTROSA AL 5%, PRESENTACION: ENVASE X 500 mL</t>
  </si>
  <si>
    <t>2.5.2-1726.23</t>
  </si>
  <si>
    <t>SOLUCIONES P/MEDICINA; PRESENTACION: ENVASE X 500 mL, TIPO: FISIOLOGICA</t>
  </si>
  <si>
    <t>unidad</t>
  </si>
  <si>
    <t>2.5.2-1726.369</t>
  </si>
  <si>
    <t>SOLUCIONES P/MEDICINA; TIPO: FISIOLOGICA, PRESENTACION: ENVASE X 100 mL</t>
  </si>
  <si>
    <t>2.5.2-1726.393</t>
  </si>
  <si>
    <t>SOLUCIONES P/MEDICINA; TIPO: GLUCOSADA HIPERTONICA AL 25%, PRESENTACION: ENVASE X 10 mL</t>
  </si>
  <si>
    <t>2.5.2-1726.381</t>
  </si>
  <si>
    <t>SOLUCIONES P/MEDICINA; TIPO: MANITOL AL 15%, PRESENTACION: ENVASE X 500 mL</t>
  </si>
  <si>
    <t>2.5.2-1726.182</t>
  </si>
  <si>
    <t>SOLUCIONES P/MEDICINA; TIPO: RINGER LACTATO, PRESENTACION: ENVASE X 500 mL</t>
  </si>
  <si>
    <t>2.5.2-1726.371</t>
  </si>
  <si>
    <t>SOLUCIONES P/MEDICINA; TIPO: SULFATO DE MAGNESIO AL 25%, PRESENTACION: ENVASE X 5 mL</t>
  </si>
  <si>
    <t>2.5.2</t>
  </si>
  <si>
    <t>AGUA DESTILADA DE IRRIGACION QUIRURGICA X 2000 ML SACHET</t>
  </si>
  <si>
    <t>BICARBONATO 1 MOLAR SACHET X 100 ML</t>
  </si>
  <si>
    <t>CLORURO DE POTASIO  15 mEq AMPOLLA x 5 ml</t>
  </si>
  <si>
    <t>CLORURO DE SODIO AL 20% AMPOLLAS X 20 ML</t>
  </si>
  <si>
    <t>GLUCONATO DE CALCIO 10 % AMPOLLA X 10 ML</t>
  </si>
  <si>
    <t>SOLUCION A CONCENTRADO ACIDO PARA HEMODIALISIS , FORMULA GLUCOSADOS Y NO GLUCOSADAS X 10 LITROS BIDON</t>
  </si>
  <si>
    <t>SOLUCION B CONCENTRADO BASICO, FORMULA DE BICARBONATO EN SOLUCION X 10 LITROS BIDON</t>
  </si>
  <si>
    <t>SOLUCION DEXTROSA AL 5 % SACHET DE 500 ML SISTEMA CERRADO DOBLE PUERTO DE INYECCION</t>
  </si>
  <si>
    <t>SOLUCION FISIOLOGICA 0,9 % SACHET X 500 ML SISTEMA CERRADO DOBLE PUERTO DE INYECCION</t>
  </si>
  <si>
    <t>SOLUCION FISIOLOGICA 0,9% SACHET X 100 ML</t>
  </si>
  <si>
    <t>SOLUCION GLUCOSADA AL 25 % AMPOLLAS X 10 ML</t>
  </si>
  <si>
    <t>SOLUCION MANITOL DE SACHET 500 ML</t>
  </si>
  <si>
    <t>SOLUCION RINGER LACTATO DE 500 ML</t>
  </si>
  <si>
    <t>SULFATO DE MAGNESIO 25%  AMPOLLAS X 5 ML</t>
  </si>
  <si>
    <t>ESPECIFICACIONES TECNICAS</t>
  </si>
  <si>
    <t xml:space="preserve">Adquisición de Insumos para Farmacia </t>
  </si>
  <si>
    <t>2.1.1-4227.17</t>
  </si>
  <si>
    <t>SUPLEMENTOS DIETARIOS; TIPO: ASOCIACION, DROGA GENERICA: S. PARENTERAL ADULTO 900-1500 ML, PRESENTACION: UNIDAD</t>
  </si>
  <si>
    <t xml:space="preserve">TIPO SMOFKABIDEN PRESENTACION 986 ML </t>
  </si>
  <si>
    <t>SI</t>
  </si>
  <si>
    <t xml:space="preserve">SI </t>
  </si>
  <si>
    <t>145 - 2022</t>
  </si>
  <si>
    <t>2.5.2-1883.163</t>
  </si>
  <si>
    <t>ANESTESICOS LOCALES; TIPO: MONODROGA, DROGA GENERICA: CLORHIDRATO PROPARACAINA 0.5, FORMA FARMACEUTICA: GOTAS OFTALMICAS, PRESENTACION: UNIDAD</t>
  </si>
  <si>
    <t>UNIDAD</t>
  </si>
  <si>
    <t>solucion oftalmologica esteril  TIPO  ANESTALCON  O POENCAINA - 0,5% X 5 ml</t>
  </si>
  <si>
    <t>Costo total estimado: DOCE MILLONES OCHOCIENTOS SETENTA Y SEIS MIL TRESCIENTOS ONCE CON 20/100.-</t>
  </si>
  <si>
    <t>TOTAL DE PESOS: DOCE MILLONES OCHOCIENTOS SETENTA Y SEIS MIL TRESCIENTOS ONCE CON 20/100.--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</si>
</sst>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9"/>
      <name val="Calibri"/>
      <family val="2"/>
    </font>
    <font>
      <sz val="8"/>
      <name val="Arial"/>
      <family val="2"/>
    </font>
    <font>
      <b/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1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6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166" fontId="4" fillId="4" borderId="11" xfId="1" applyNumberFormat="1" applyFont="1" applyFill="1" applyBorder="1" applyAlignment="1" applyProtection="1">
      <alignment horizontal="right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0" fontId="25" fillId="0" borderId="6" xfId="0" applyFont="1" applyFill="1" applyBorder="1" applyAlignment="1">
      <alignment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7" fillId="0" borderId="36" xfId="0" applyFont="1" applyBorder="1" applyAlignment="1">
      <alignment horizontal="left" vertical="center" wrapText="1"/>
    </xf>
    <xf numFmtId="0" fontId="0" fillId="0" borderId="14" xfId="0" applyBorder="1"/>
    <xf numFmtId="0" fontId="26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4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"/>
  <sheetViews>
    <sheetView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29.28515625" style="39" customWidth="1"/>
    <col min="4" max="4" width="6.7109375" style="39" customWidth="1"/>
    <col min="5" max="5" width="73.85546875" style="39" customWidth="1"/>
    <col min="6" max="6" width="11" style="39"/>
    <col min="7" max="7" width="10.85546875" style="39" customWidth="1"/>
    <col min="8" max="8" width="11.85546875" style="39" customWidth="1"/>
    <col min="9" max="9" width="13.85546875" style="39" customWidth="1"/>
    <col min="10" max="10" width="28.28515625" style="39" customWidth="1"/>
    <col min="11" max="16384" width="11" style="39"/>
  </cols>
  <sheetData>
    <row r="2" spans="1:10" ht="27" x14ac:dyDescent="0.35">
      <c r="B2" s="68" t="s">
        <v>0</v>
      </c>
      <c r="C2" s="68"/>
      <c r="D2" s="68"/>
      <c r="E2" s="68"/>
      <c r="F2" s="68"/>
      <c r="G2" s="68"/>
      <c r="H2" s="68"/>
    </row>
    <row r="4" spans="1:10" ht="18" customHeight="1" x14ac:dyDescent="0.25">
      <c r="A4" s="67" t="s">
        <v>1</v>
      </c>
      <c r="B4" s="67"/>
      <c r="C4" s="69" t="s">
        <v>51</v>
      </c>
      <c r="D4" s="69"/>
      <c r="E4" s="69"/>
      <c r="F4" s="40"/>
      <c r="G4" s="41"/>
      <c r="H4" s="40"/>
    </row>
    <row r="5" spans="1:10" ht="18" customHeight="1" x14ac:dyDescent="0.25">
      <c r="A5" s="67" t="s">
        <v>2</v>
      </c>
      <c r="B5" s="67"/>
      <c r="C5" s="69" t="s">
        <v>52</v>
      </c>
      <c r="D5" s="69"/>
      <c r="E5" s="69"/>
      <c r="F5" s="40"/>
      <c r="G5" s="41"/>
      <c r="H5" s="40"/>
    </row>
    <row r="6" spans="1:10" ht="16.5" customHeight="1" x14ac:dyDescent="0.25">
      <c r="A6" s="67" t="s">
        <v>3</v>
      </c>
      <c r="B6" s="67"/>
      <c r="C6" s="50">
        <v>2022</v>
      </c>
      <c r="D6" s="51"/>
      <c r="E6" s="51"/>
      <c r="F6" s="40"/>
      <c r="G6" s="41"/>
      <c r="H6" s="40"/>
    </row>
    <row r="7" spans="1:10" ht="16.5" customHeight="1" x14ac:dyDescent="0.25">
      <c r="A7" s="67" t="s">
        <v>4</v>
      </c>
      <c r="B7" s="67"/>
      <c r="C7" s="50">
        <v>4</v>
      </c>
      <c r="D7" s="51"/>
      <c r="E7" s="51"/>
      <c r="F7" s="40"/>
      <c r="G7" s="41"/>
      <c r="H7" s="40"/>
    </row>
    <row r="8" spans="1:10" ht="13.5" thickBot="1" x14ac:dyDescent="0.25">
      <c r="B8" s="40"/>
      <c r="C8" s="41"/>
      <c r="D8" s="40"/>
      <c r="E8" s="40"/>
      <c r="F8" s="40"/>
      <c r="G8" s="41"/>
      <c r="H8" s="40"/>
    </row>
    <row r="9" spans="1:10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  <c r="J9" s="42" t="s">
        <v>106</v>
      </c>
    </row>
    <row r="10" spans="1:10" ht="51.6" customHeight="1" thickBot="1" x14ac:dyDescent="0.25">
      <c r="A10" s="43">
        <v>1</v>
      </c>
      <c r="B10" s="47" t="s">
        <v>58</v>
      </c>
      <c r="C10" s="44" t="s">
        <v>59</v>
      </c>
      <c r="D10" s="45" t="s">
        <v>91</v>
      </c>
      <c r="E10" s="46" t="s">
        <v>60</v>
      </c>
      <c r="F10" s="47" t="s">
        <v>61</v>
      </c>
      <c r="G10" s="47">
        <v>200</v>
      </c>
      <c r="H10" s="48">
        <v>600</v>
      </c>
      <c r="I10" s="49">
        <f t="shared" ref="I10:I25" si="0">G10*H10</f>
        <v>120000</v>
      </c>
      <c r="J10" s="66" t="s">
        <v>92</v>
      </c>
    </row>
    <row r="11" spans="1:10" ht="51.6" customHeight="1" thickBot="1" x14ac:dyDescent="0.25">
      <c r="A11" s="43">
        <v>2</v>
      </c>
      <c r="B11" s="47" t="s">
        <v>62</v>
      </c>
      <c r="C11" s="44" t="s">
        <v>59</v>
      </c>
      <c r="D11" s="45" t="s">
        <v>91</v>
      </c>
      <c r="E11" s="46" t="s">
        <v>63</v>
      </c>
      <c r="F11" s="47" t="s">
        <v>61</v>
      </c>
      <c r="G11" s="47">
        <v>400</v>
      </c>
      <c r="H11" s="48">
        <v>410</v>
      </c>
      <c r="I11" s="49">
        <f t="shared" si="0"/>
        <v>164000</v>
      </c>
      <c r="J11" s="66" t="s">
        <v>93</v>
      </c>
    </row>
    <row r="12" spans="1:10" ht="51.6" customHeight="1" thickBot="1" x14ac:dyDescent="0.25">
      <c r="A12" s="43">
        <v>3</v>
      </c>
      <c r="B12" s="47" t="s">
        <v>64</v>
      </c>
      <c r="C12" s="44" t="s">
        <v>59</v>
      </c>
      <c r="D12" s="45" t="s">
        <v>91</v>
      </c>
      <c r="E12" s="46" t="s">
        <v>65</v>
      </c>
      <c r="F12" s="47" t="s">
        <v>66</v>
      </c>
      <c r="G12" s="47">
        <v>6000</v>
      </c>
      <c r="H12" s="48">
        <v>38</v>
      </c>
      <c r="I12" s="49">
        <f t="shared" si="0"/>
        <v>228000</v>
      </c>
      <c r="J12" s="66" t="s">
        <v>94</v>
      </c>
    </row>
    <row r="13" spans="1:10" ht="51.6" customHeight="1" thickBot="1" x14ac:dyDescent="0.25">
      <c r="A13" s="43">
        <v>4</v>
      </c>
      <c r="B13" s="47" t="s">
        <v>67</v>
      </c>
      <c r="C13" s="44" t="s">
        <v>59</v>
      </c>
      <c r="D13" s="45" t="s">
        <v>91</v>
      </c>
      <c r="E13" s="46" t="s">
        <v>68</v>
      </c>
      <c r="F13" s="47" t="s">
        <v>66</v>
      </c>
      <c r="G13" s="47">
        <v>800</v>
      </c>
      <c r="H13" s="48">
        <v>120</v>
      </c>
      <c r="I13" s="49">
        <f t="shared" si="0"/>
        <v>96000</v>
      </c>
      <c r="J13" s="66" t="s">
        <v>95</v>
      </c>
    </row>
    <row r="14" spans="1:10" ht="51.6" customHeight="1" thickBot="1" x14ac:dyDescent="0.25">
      <c r="A14" s="43">
        <v>5</v>
      </c>
      <c r="B14" s="47" t="s">
        <v>69</v>
      </c>
      <c r="C14" s="44" t="s">
        <v>59</v>
      </c>
      <c r="D14" s="45" t="s">
        <v>91</v>
      </c>
      <c r="E14" s="46" t="s">
        <v>70</v>
      </c>
      <c r="F14" s="47" t="s">
        <v>66</v>
      </c>
      <c r="G14" s="47">
        <v>300</v>
      </c>
      <c r="H14" s="48">
        <v>85</v>
      </c>
      <c r="I14" s="49">
        <f t="shared" si="0"/>
        <v>25500</v>
      </c>
      <c r="J14" s="66" t="s">
        <v>96</v>
      </c>
    </row>
    <row r="15" spans="1:10" ht="82.5" customHeight="1" thickBot="1" x14ac:dyDescent="0.25">
      <c r="A15" s="43">
        <v>6</v>
      </c>
      <c r="B15" s="47" t="s">
        <v>71</v>
      </c>
      <c r="C15" s="44" t="s">
        <v>59</v>
      </c>
      <c r="D15" s="45" t="s">
        <v>91</v>
      </c>
      <c r="E15" s="46" t="s">
        <v>72</v>
      </c>
      <c r="F15" s="47" t="s">
        <v>73</v>
      </c>
      <c r="G15" s="47">
        <v>500</v>
      </c>
      <c r="H15" s="48">
        <v>950</v>
      </c>
      <c r="I15" s="49">
        <f t="shared" si="0"/>
        <v>475000</v>
      </c>
      <c r="J15" s="66" t="s">
        <v>97</v>
      </c>
    </row>
    <row r="16" spans="1:10" ht="76.5" customHeight="1" thickBot="1" x14ac:dyDescent="0.25">
      <c r="A16" s="43">
        <v>7</v>
      </c>
      <c r="B16" s="47" t="s">
        <v>74</v>
      </c>
      <c r="C16" s="44" t="s">
        <v>59</v>
      </c>
      <c r="D16" s="45" t="s">
        <v>91</v>
      </c>
      <c r="E16" s="46" t="s">
        <v>75</v>
      </c>
      <c r="F16" s="47" t="s">
        <v>73</v>
      </c>
      <c r="G16" s="47">
        <v>600</v>
      </c>
      <c r="H16" s="48">
        <v>850</v>
      </c>
      <c r="I16" s="49">
        <f t="shared" si="0"/>
        <v>510000</v>
      </c>
      <c r="J16" s="66" t="s">
        <v>98</v>
      </c>
    </row>
    <row r="17" spans="1:10" ht="51.6" customHeight="1" thickBot="1" x14ac:dyDescent="0.25">
      <c r="A17" s="43">
        <v>8</v>
      </c>
      <c r="B17" s="47" t="s">
        <v>76</v>
      </c>
      <c r="C17" s="44" t="s">
        <v>59</v>
      </c>
      <c r="D17" s="45" t="s">
        <v>91</v>
      </c>
      <c r="E17" s="46" t="s">
        <v>77</v>
      </c>
      <c r="F17" s="47" t="s">
        <v>61</v>
      </c>
      <c r="G17" s="47">
        <v>8000</v>
      </c>
      <c r="H17" s="48">
        <v>215</v>
      </c>
      <c r="I17" s="49">
        <f t="shared" si="0"/>
        <v>1720000</v>
      </c>
      <c r="J17" s="66" t="s">
        <v>99</v>
      </c>
    </row>
    <row r="18" spans="1:10" ht="51.6" customHeight="1" thickBot="1" x14ac:dyDescent="0.25">
      <c r="A18" s="43">
        <v>9</v>
      </c>
      <c r="B18" s="47" t="s">
        <v>78</v>
      </c>
      <c r="C18" s="44" t="s">
        <v>59</v>
      </c>
      <c r="D18" s="45" t="s">
        <v>91</v>
      </c>
      <c r="E18" s="46" t="s">
        <v>79</v>
      </c>
      <c r="F18" s="47" t="s">
        <v>80</v>
      </c>
      <c r="G18" s="47">
        <v>40000</v>
      </c>
      <c r="H18" s="48">
        <v>185</v>
      </c>
      <c r="I18" s="49">
        <f t="shared" si="0"/>
        <v>7400000</v>
      </c>
      <c r="J18" s="66" t="s">
        <v>100</v>
      </c>
    </row>
    <row r="19" spans="1:10" ht="51.6" customHeight="1" thickBot="1" x14ac:dyDescent="0.25">
      <c r="A19" s="43">
        <v>10</v>
      </c>
      <c r="B19" s="47" t="s">
        <v>81</v>
      </c>
      <c r="C19" s="44" t="s">
        <v>59</v>
      </c>
      <c r="D19" s="45" t="s">
        <v>91</v>
      </c>
      <c r="E19" s="46" t="s">
        <v>82</v>
      </c>
      <c r="F19" s="47" t="s">
        <v>61</v>
      </c>
      <c r="G19" s="47">
        <v>8000</v>
      </c>
      <c r="H19" s="48">
        <v>142</v>
      </c>
      <c r="I19" s="49">
        <f t="shared" si="0"/>
        <v>1136000</v>
      </c>
      <c r="J19" s="66" t="s">
        <v>101</v>
      </c>
    </row>
    <row r="20" spans="1:10" ht="51.6" customHeight="1" thickBot="1" x14ac:dyDescent="0.25">
      <c r="A20" s="43">
        <v>11</v>
      </c>
      <c r="B20" s="47" t="s">
        <v>83</v>
      </c>
      <c r="C20" s="44" t="s">
        <v>59</v>
      </c>
      <c r="D20" s="45" t="s">
        <v>91</v>
      </c>
      <c r="E20" s="46" t="s">
        <v>84</v>
      </c>
      <c r="F20" s="47" t="s">
        <v>66</v>
      </c>
      <c r="G20" s="47">
        <v>300</v>
      </c>
      <c r="H20" s="48">
        <v>85</v>
      </c>
      <c r="I20" s="49">
        <f t="shared" si="0"/>
        <v>25500</v>
      </c>
      <c r="J20" s="66" t="s">
        <v>102</v>
      </c>
    </row>
    <row r="21" spans="1:10" ht="51.6" customHeight="1" thickBot="1" x14ac:dyDescent="0.25">
      <c r="A21" s="43">
        <v>12</v>
      </c>
      <c r="B21" s="47" t="s">
        <v>85</v>
      </c>
      <c r="C21" s="44" t="s">
        <v>59</v>
      </c>
      <c r="D21" s="45" t="s">
        <v>91</v>
      </c>
      <c r="E21" s="46" t="s">
        <v>86</v>
      </c>
      <c r="F21" s="47" t="s">
        <v>61</v>
      </c>
      <c r="G21" s="47">
        <v>300</v>
      </c>
      <c r="H21" s="48">
        <v>600</v>
      </c>
      <c r="I21" s="49">
        <f t="shared" si="0"/>
        <v>180000</v>
      </c>
      <c r="J21" s="66" t="s">
        <v>103</v>
      </c>
    </row>
    <row r="22" spans="1:10" ht="51.6" customHeight="1" thickBot="1" x14ac:dyDescent="0.25">
      <c r="A22" s="43">
        <v>13</v>
      </c>
      <c r="B22" s="47" t="s">
        <v>87</v>
      </c>
      <c r="C22" s="44" t="s">
        <v>59</v>
      </c>
      <c r="D22" s="45" t="s">
        <v>91</v>
      </c>
      <c r="E22" s="46" t="s">
        <v>88</v>
      </c>
      <c r="F22" s="47" t="s">
        <v>80</v>
      </c>
      <c r="G22" s="47">
        <v>900</v>
      </c>
      <c r="H22" s="48">
        <v>220</v>
      </c>
      <c r="I22" s="49">
        <f t="shared" si="0"/>
        <v>198000</v>
      </c>
      <c r="J22" s="66" t="s">
        <v>104</v>
      </c>
    </row>
    <row r="23" spans="1:10" ht="51.6" customHeight="1" thickBot="1" x14ac:dyDescent="0.25">
      <c r="A23" s="43">
        <v>14</v>
      </c>
      <c r="B23" s="47" t="s">
        <v>89</v>
      </c>
      <c r="C23" s="44" t="s">
        <v>59</v>
      </c>
      <c r="D23" s="45" t="s">
        <v>91</v>
      </c>
      <c r="E23" s="46" t="s">
        <v>90</v>
      </c>
      <c r="F23" s="47" t="s">
        <v>66</v>
      </c>
      <c r="G23" s="47">
        <v>900</v>
      </c>
      <c r="H23" s="48">
        <v>55</v>
      </c>
      <c r="I23" s="49">
        <f t="shared" si="0"/>
        <v>49500</v>
      </c>
      <c r="J23" s="66" t="s">
        <v>105</v>
      </c>
    </row>
    <row r="24" spans="1:10" ht="51.6" customHeight="1" thickBot="1" x14ac:dyDescent="0.25">
      <c r="A24" s="43">
        <v>15</v>
      </c>
      <c r="B24" s="47" t="s">
        <v>108</v>
      </c>
      <c r="C24" s="44" t="s">
        <v>59</v>
      </c>
      <c r="D24" s="45" t="s">
        <v>91</v>
      </c>
      <c r="E24" s="46" t="s">
        <v>109</v>
      </c>
      <c r="F24" s="47" t="s">
        <v>80</v>
      </c>
      <c r="G24" s="47">
        <v>36</v>
      </c>
      <c r="H24" s="48">
        <v>14786</v>
      </c>
      <c r="I24" s="49">
        <f t="shared" ref="I24:I25" si="1">G24*H24</f>
        <v>532296</v>
      </c>
      <c r="J24" s="46" t="s">
        <v>110</v>
      </c>
    </row>
    <row r="25" spans="1:10" ht="101.25" customHeight="1" thickBot="1" x14ac:dyDescent="0.25">
      <c r="A25" s="43">
        <v>15</v>
      </c>
      <c r="B25" s="47" t="s">
        <v>114</v>
      </c>
      <c r="C25" s="44" t="s">
        <v>59</v>
      </c>
      <c r="D25" s="45" t="s">
        <v>91</v>
      </c>
      <c r="E25" s="46" t="s">
        <v>115</v>
      </c>
      <c r="F25" s="47" t="s">
        <v>116</v>
      </c>
      <c r="G25" s="47">
        <v>16</v>
      </c>
      <c r="H25" s="48">
        <v>1032.2</v>
      </c>
      <c r="I25" s="49">
        <f t="shared" si="1"/>
        <v>16515.2</v>
      </c>
      <c r="J25" s="46" t="s">
        <v>117</v>
      </c>
    </row>
    <row r="26" spans="1:10" ht="44.25" customHeight="1" x14ac:dyDescent="0.2"/>
  </sheetData>
  <mergeCells count="7"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8"/>
  <sheetViews>
    <sheetView zoomScale="80" zoomScaleNormal="8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78" t="s">
        <v>14</v>
      </c>
      <c r="B1" s="78"/>
      <c r="C1" s="78"/>
      <c r="D1" s="78"/>
      <c r="E1" s="78"/>
      <c r="F1" s="78"/>
      <c r="G1" s="78"/>
      <c r="H1" s="78"/>
      <c r="I1" s="78"/>
      <c r="J1" s="3" t="s">
        <v>15</v>
      </c>
      <c r="K1" s="52" t="s">
        <v>113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79" t="s">
        <v>48</v>
      </c>
      <c r="B3" s="79"/>
      <c r="C3" s="79"/>
      <c r="D3" s="80" t="str">
        <f>'Necesidades Trimestrales'!C4</f>
        <v>40 - Ministerio de Salud</v>
      </c>
      <c r="E3" s="80"/>
      <c r="F3" s="80"/>
      <c r="G3" s="80"/>
      <c r="H3" s="80"/>
      <c r="I3" s="80"/>
      <c r="J3" s="80"/>
      <c r="K3" s="80"/>
    </row>
    <row r="4" spans="1:11" ht="18.75" customHeight="1" thickBot="1" x14ac:dyDescent="0.25">
      <c r="A4" s="81" t="s">
        <v>49</v>
      </c>
      <c r="B4" s="81"/>
      <c r="C4" s="81"/>
      <c r="D4" s="80" t="str">
        <f>'Necesidades Trimestrales'!C5</f>
        <v>23 - Hospital Interzonal San Juan Bautista</v>
      </c>
      <c r="E4" s="80"/>
      <c r="F4" s="80"/>
      <c r="G4" s="80"/>
      <c r="H4" s="80"/>
      <c r="I4" s="80"/>
      <c r="J4" s="80"/>
      <c r="K4" s="80"/>
    </row>
    <row r="5" spans="1:11" ht="18.75" customHeight="1" thickBot="1" x14ac:dyDescent="0.25">
      <c r="A5" s="81" t="s">
        <v>27</v>
      </c>
      <c r="B5" s="81"/>
      <c r="C5" s="81"/>
      <c r="D5" s="80" t="s">
        <v>53</v>
      </c>
      <c r="E5" s="80"/>
      <c r="F5" s="80"/>
      <c r="G5" s="80"/>
      <c r="H5" s="80"/>
      <c r="I5" s="80"/>
      <c r="J5" s="80"/>
      <c r="K5" s="80"/>
    </row>
    <row r="6" spans="1:11" ht="16.5" customHeight="1" thickBot="1" x14ac:dyDescent="0.25">
      <c r="A6" s="79" t="s">
        <v>50</v>
      </c>
      <c r="B6" s="79"/>
      <c r="C6" s="79"/>
      <c r="D6" s="80" t="s">
        <v>54</v>
      </c>
      <c r="E6" s="80"/>
      <c r="F6" s="80"/>
      <c r="G6" s="80"/>
      <c r="H6" s="80"/>
      <c r="I6" s="80"/>
      <c r="J6" s="80"/>
      <c r="K6" s="80"/>
    </row>
    <row r="7" spans="1:11" ht="16.5" customHeight="1" x14ac:dyDescent="0.2">
      <c r="A7" s="81" t="s">
        <v>16</v>
      </c>
      <c r="B7" s="81"/>
      <c r="C7" s="81"/>
      <c r="D7" s="80" t="str">
        <f>'Necesidades Trimestrales'!C7 &amp; "° Trimestre - Año " &amp; 'Necesidades Trimestrales'!C6</f>
        <v>4° Trimestre - Año 2022</v>
      </c>
      <c r="E7" s="80"/>
      <c r="F7" s="80"/>
      <c r="G7" s="80"/>
      <c r="H7" s="80"/>
      <c r="I7" s="80"/>
      <c r="J7" s="80"/>
      <c r="K7" s="80"/>
    </row>
    <row r="8" spans="1:11" ht="16.5" customHeight="1" x14ac:dyDescent="0.2">
      <c r="A8" s="73" t="s">
        <v>17</v>
      </c>
      <c r="B8" s="73"/>
      <c r="C8" s="73"/>
      <c r="D8" s="74" t="s">
        <v>107</v>
      </c>
      <c r="E8" s="74"/>
      <c r="F8" s="74"/>
      <c r="G8" s="74"/>
      <c r="H8" s="74"/>
      <c r="I8" s="74"/>
      <c r="J8" s="74"/>
      <c r="K8" s="7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75" t="s">
        <v>18</v>
      </c>
      <c r="B10" s="76" t="s">
        <v>19</v>
      </c>
      <c r="C10" s="76" t="s">
        <v>20</v>
      </c>
      <c r="D10" s="76"/>
      <c r="E10" s="76"/>
      <c r="F10" s="76"/>
      <c r="G10" s="76"/>
      <c r="H10" s="76" t="s">
        <v>21</v>
      </c>
      <c r="I10" s="76" t="s">
        <v>22</v>
      </c>
      <c r="J10" s="76" t="s">
        <v>23</v>
      </c>
      <c r="K10" s="77" t="s">
        <v>24</v>
      </c>
    </row>
    <row r="11" spans="1:11" ht="24" customHeight="1" thickBot="1" x14ac:dyDescent="0.25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7"/>
    </row>
    <row r="12" spans="1:11" ht="30.75" customHeight="1" thickBot="1" x14ac:dyDescent="0.25">
      <c r="A12" s="8">
        <v>1</v>
      </c>
      <c r="B12" s="53" t="str">
        <f>'Necesidades Trimestrales'!B10</f>
        <v>2.5.2-1726.10</v>
      </c>
      <c r="C12" s="70" t="str">
        <f>'Necesidades Trimestrales'!E10</f>
        <v>SOLUCIONES P/MEDICINA; TIPO: AGUA P/IRRIGACION QUIRURGICA, PRESENTACION: SACHET X 2000 mL</v>
      </c>
      <c r="D12" s="70"/>
      <c r="E12" s="70"/>
      <c r="F12" s="70"/>
      <c r="G12" s="70"/>
      <c r="H12" s="54" t="s">
        <v>111</v>
      </c>
      <c r="I12" s="55" t="str">
        <f>'Necesidades Trimestrales'!F10</f>
        <v>Sachet</v>
      </c>
      <c r="J12" s="56">
        <f>'Necesidades Trimestrales'!H10</f>
        <v>600</v>
      </c>
      <c r="K12" s="57">
        <f>'Necesidades Trimestrales'!G10</f>
        <v>200</v>
      </c>
    </row>
    <row r="13" spans="1:11" ht="20.25" customHeight="1" thickBot="1" x14ac:dyDescent="0.25">
      <c r="A13" s="8">
        <v>2</v>
      </c>
      <c r="B13" s="53" t="str">
        <f>'Necesidades Trimestrales'!B11</f>
        <v>2.5.2-1726.9</v>
      </c>
      <c r="C13" s="70" t="str">
        <f>'Necesidades Trimestrales'!E11</f>
        <v>SOLUCIONES P/MEDICINA; TIPO: BICARBONATO 1 MOLAR, PRESENTACION: SACHET DE 100 mL</v>
      </c>
      <c r="D13" s="70"/>
      <c r="E13" s="70"/>
      <c r="F13" s="70"/>
      <c r="G13" s="70"/>
      <c r="H13" s="54" t="s">
        <v>112</v>
      </c>
      <c r="I13" s="55" t="str">
        <f>'Necesidades Trimestrales'!F11</f>
        <v>Sachet</v>
      </c>
      <c r="J13" s="56">
        <f>'Necesidades Trimestrales'!H11</f>
        <v>410</v>
      </c>
      <c r="K13" s="57">
        <f>'Necesidades Trimestrales'!G11</f>
        <v>400</v>
      </c>
    </row>
    <row r="14" spans="1:11" ht="20.25" customHeight="1" thickBot="1" x14ac:dyDescent="0.25">
      <c r="A14" s="8">
        <v>3</v>
      </c>
      <c r="B14" s="53" t="str">
        <f>'Necesidades Trimestrales'!B12</f>
        <v>2.5.2-1726.305</v>
      </c>
      <c r="C14" s="70" t="str">
        <f>'Necesidades Trimestrales'!E12</f>
        <v>SOLUCIONES P/MEDICINA; TIPO: CLORURO DE POTASIO 15 MEQ, PRESENTACION: AMPOLLA DE 5 mL</v>
      </c>
      <c r="D14" s="70"/>
      <c r="E14" s="70"/>
      <c r="F14" s="70"/>
      <c r="G14" s="70"/>
      <c r="H14" s="54" t="s">
        <v>112</v>
      </c>
      <c r="I14" s="55" t="str">
        <f>'Necesidades Trimestrales'!F12</f>
        <v>Ampollas</v>
      </c>
      <c r="J14" s="56">
        <f>'Necesidades Trimestrales'!H12</f>
        <v>38</v>
      </c>
      <c r="K14" s="57">
        <f>'Necesidades Trimestrales'!G12</f>
        <v>6000</v>
      </c>
    </row>
    <row r="15" spans="1:11" ht="38.25" customHeight="1" thickBot="1" x14ac:dyDescent="0.25">
      <c r="A15" s="8">
        <v>4</v>
      </c>
      <c r="B15" s="53" t="str">
        <f>'Necesidades Trimestrales'!B13</f>
        <v>2.5.2-1726.519</v>
      </c>
      <c r="C15" s="70" t="str">
        <f>'Necesidades Trimestrales'!E13</f>
        <v>SOLUCIONES P/MEDICINA; PRESENTACION: AMPOLLA X  20 ML, TIPO: CLORURO DE SODIO MOLAR AL 20 %</v>
      </c>
      <c r="D15" s="70"/>
      <c r="E15" s="70"/>
      <c r="F15" s="70"/>
      <c r="G15" s="70"/>
      <c r="H15" s="54" t="s">
        <v>112</v>
      </c>
      <c r="I15" s="55" t="str">
        <f>'Necesidades Trimestrales'!F13</f>
        <v>Ampollas</v>
      </c>
      <c r="J15" s="56">
        <f>'Necesidades Trimestrales'!H13</f>
        <v>120</v>
      </c>
      <c r="K15" s="57">
        <f>'Necesidades Trimestrales'!G13</f>
        <v>800</v>
      </c>
    </row>
    <row r="16" spans="1:11" ht="40.5" customHeight="1" thickBot="1" x14ac:dyDescent="0.25">
      <c r="A16" s="8">
        <v>5</v>
      </c>
      <c r="B16" s="53" t="str">
        <f>'Necesidades Trimestrales'!B14</f>
        <v>2.5.2-2689.7</v>
      </c>
      <c r="C16" s="70" t="str">
        <f>'Necesidades Trimestrales'!E14</f>
        <v>NORMALIZADORES DE CALCEMIA; TIPO: MONODROGA, DROGA GENERICA: GLUCONATO DE CALCIO 10 %, FORMA FARMACEUTICA: AMPOLLA, PRESENTACION: ENVASE X 10 mL</v>
      </c>
      <c r="D16" s="70"/>
      <c r="E16" s="70"/>
      <c r="F16" s="70"/>
      <c r="G16" s="70"/>
      <c r="H16" s="54" t="s">
        <v>112</v>
      </c>
      <c r="I16" s="55" t="str">
        <f>'Necesidades Trimestrales'!F14</f>
        <v>Ampollas</v>
      </c>
      <c r="J16" s="56">
        <f>'Necesidades Trimestrales'!H14</f>
        <v>85</v>
      </c>
      <c r="K16" s="57">
        <f>'Necesidades Trimestrales'!G14</f>
        <v>300</v>
      </c>
    </row>
    <row r="17" spans="1:1024" ht="20.25" customHeight="1" thickBot="1" x14ac:dyDescent="0.25">
      <c r="A17" s="8">
        <v>6</v>
      </c>
      <c r="B17" s="53" t="str">
        <f>'Necesidades Trimestrales'!B15</f>
        <v>2.5.2-1726.460</v>
      </c>
      <c r="C17" s="70" t="str">
        <f>'Necesidades Trimestrales'!E15</f>
        <v>SOLUCIONES P/MEDICINA; TIPO: HEMODIALISIS ACIDA A, PRESENTACION: ENVASE X 10 L</v>
      </c>
      <c r="D17" s="70"/>
      <c r="E17" s="70"/>
      <c r="F17" s="70"/>
      <c r="G17" s="70"/>
      <c r="H17" s="54" t="s">
        <v>112</v>
      </c>
      <c r="I17" s="55" t="str">
        <f>'Necesidades Trimestrales'!F15</f>
        <v>Bidon</v>
      </c>
      <c r="J17" s="56">
        <f>'Necesidades Trimestrales'!H15</f>
        <v>950</v>
      </c>
      <c r="K17" s="57">
        <f>'Necesidades Trimestrales'!G15</f>
        <v>500</v>
      </c>
    </row>
    <row r="18" spans="1:1024" ht="20.25" customHeight="1" thickBot="1" x14ac:dyDescent="0.25">
      <c r="A18" s="8">
        <v>7</v>
      </c>
      <c r="B18" s="53" t="str">
        <f>'Necesidades Trimestrales'!B16</f>
        <v>2.5.2-1726.449</v>
      </c>
      <c r="C18" s="70" t="str">
        <f>'Necesidades Trimestrales'!E16</f>
        <v>SOLUCIONES P/MEDICINA; TIPO: HEMODIALISIS BASICO B, PRESENTACION: ENVASE X 10 L</v>
      </c>
      <c r="D18" s="70"/>
      <c r="E18" s="70"/>
      <c r="F18" s="70"/>
      <c r="G18" s="70"/>
      <c r="H18" s="54" t="s">
        <v>112</v>
      </c>
      <c r="I18" s="55" t="str">
        <f>'Necesidades Trimestrales'!F16</f>
        <v>Bidon</v>
      </c>
      <c r="J18" s="56">
        <f>'Necesidades Trimestrales'!H16</f>
        <v>850</v>
      </c>
      <c r="K18" s="57">
        <f>'Necesidades Trimestrales'!G16</f>
        <v>600</v>
      </c>
    </row>
    <row r="19" spans="1:1024" ht="20.25" customHeight="1" thickBot="1" x14ac:dyDescent="0.25">
      <c r="A19" s="8">
        <v>8</v>
      </c>
      <c r="B19" s="53" t="str">
        <f>'Necesidades Trimestrales'!B17</f>
        <v>2.5.2-1726.24</v>
      </c>
      <c r="C19" s="70" t="str">
        <f>'Necesidades Trimestrales'!E17</f>
        <v>SOLUCIONES P/MEDICINA; TIPO: DEXTROSA AL 5%, PRESENTACION: ENVASE X 500 mL</v>
      </c>
      <c r="D19" s="70"/>
      <c r="E19" s="70"/>
      <c r="F19" s="70"/>
      <c r="G19" s="70"/>
      <c r="H19" s="54" t="s">
        <v>112</v>
      </c>
      <c r="I19" s="55" t="str">
        <f>'Necesidades Trimestrales'!F17</f>
        <v>Sachet</v>
      </c>
      <c r="J19" s="56">
        <f>'Necesidades Trimestrales'!H17</f>
        <v>215</v>
      </c>
      <c r="K19" s="57">
        <f>'Necesidades Trimestrales'!G17</f>
        <v>8000</v>
      </c>
    </row>
    <row r="20" spans="1:1024" ht="20.25" customHeight="1" thickBot="1" x14ac:dyDescent="0.25">
      <c r="A20" s="8">
        <v>9</v>
      </c>
      <c r="B20" s="53" t="str">
        <f>'Necesidades Trimestrales'!B18</f>
        <v>2.5.2-1726.23</v>
      </c>
      <c r="C20" s="70" t="str">
        <f>'Necesidades Trimestrales'!E18</f>
        <v>SOLUCIONES P/MEDICINA; PRESENTACION: ENVASE X 500 mL, TIPO: FISIOLOGICA</v>
      </c>
      <c r="D20" s="70"/>
      <c r="E20" s="70"/>
      <c r="F20" s="70"/>
      <c r="G20" s="70"/>
      <c r="H20" s="54" t="s">
        <v>112</v>
      </c>
      <c r="I20" s="55" t="str">
        <f>'Necesidades Trimestrales'!F18</f>
        <v>unidad</v>
      </c>
      <c r="J20" s="56">
        <f>'Necesidades Trimestrales'!H18</f>
        <v>185</v>
      </c>
      <c r="K20" s="57">
        <f>'Necesidades Trimestrales'!G18</f>
        <v>40000</v>
      </c>
    </row>
    <row r="21" spans="1:1024" ht="20.25" customHeight="1" thickBot="1" x14ac:dyDescent="0.25">
      <c r="A21" s="8">
        <v>10</v>
      </c>
      <c r="B21" s="53" t="str">
        <f>'Necesidades Trimestrales'!B19</f>
        <v>2.5.2-1726.369</v>
      </c>
      <c r="C21" s="70" t="str">
        <f>'Necesidades Trimestrales'!E19</f>
        <v>SOLUCIONES P/MEDICINA; TIPO: FISIOLOGICA, PRESENTACION: ENVASE X 100 mL</v>
      </c>
      <c r="D21" s="70"/>
      <c r="E21" s="70"/>
      <c r="F21" s="70"/>
      <c r="G21" s="70"/>
      <c r="H21" s="54" t="s">
        <v>112</v>
      </c>
      <c r="I21" s="55" t="str">
        <f>'Necesidades Trimestrales'!F19</f>
        <v>Sachet</v>
      </c>
      <c r="J21" s="56">
        <f>'Necesidades Trimestrales'!H19</f>
        <v>142</v>
      </c>
      <c r="K21" s="57">
        <f>'Necesidades Trimestrales'!G19</f>
        <v>8000</v>
      </c>
    </row>
    <row r="22" spans="1:1024" ht="39" customHeight="1" thickBot="1" x14ac:dyDescent="0.25">
      <c r="A22" s="8">
        <v>11</v>
      </c>
      <c r="B22" s="53" t="str">
        <f>'Necesidades Trimestrales'!B20</f>
        <v>2.5.2-1726.393</v>
      </c>
      <c r="C22" s="70" t="str">
        <f>'Necesidades Trimestrales'!E20</f>
        <v>SOLUCIONES P/MEDICINA; TIPO: GLUCOSADA HIPERTONICA AL 25%, PRESENTACION: ENVASE X 10 mL</v>
      </c>
      <c r="D22" s="70"/>
      <c r="E22" s="70"/>
      <c r="F22" s="70"/>
      <c r="G22" s="70"/>
      <c r="H22" s="54" t="s">
        <v>112</v>
      </c>
      <c r="I22" s="55" t="str">
        <f>'Necesidades Trimestrales'!F20</f>
        <v>Ampollas</v>
      </c>
      <c r="J22" s="56">
        <f>'Necesidades Trimestrales'!H20</f>
        <v>85</v>
      </c>
      <c r="K22" s="57">
        <f>'Necesidades Trimestrales'!G20</f>
        <v>300</v>
      </c>
    </row>
    <row r="23" spans="1:1024" ht="20.25" customHeight="1" thickBot="1" x14ac:dyDescent="0.25">
      <c r="A23" s="8">
        <v>12</v>
      </c>
      <c r="B23" s="53" t="str">
        <f>'Necesidades Trimestrales'!B21</f>
        <v>2.5.2-1726.381</v>
      </c>
      <c r="C23" s="70" t="str">
        <f>'Necesidades Trimestrales'!E21</f>
        <v>SOLUCIONES P/MEDICINA; TIPO: MANITOL AL 15%, PRESENTACION: ENVASE X 500 mL</v>
      </c>
      <c r="D23" s="70"/>
      <c r="E23" s="70"/>
      <c r="F23" s="70"/>
      <c r="G23" s="70"/>
      <c r="H23" s="54" t="s">
        <v>112</v>
      </c>
      <c r="I23" s="55" t="str">
        <f>'Necesidades Trimestrales'!F21</f>
        <v>Sachet</v>
      </c>
      <c r="J23" s="56">
        <f>'Necesidades Trimestrales'!H21</f>
        <v>600</v>
      </c>
      <c r="K23" s="57">
        <f>'Necesidades Trimestrales'!G21</f>
        <v>300</v>
      </c>
    </row>
    <row r="24" spans="1:1024" ht="20.25" customHeight="1" thickBot="1" x14ac:dyDescent="0.25">
      <c r="A24" s="8">
        <v>13</v>
      </c>
      <c r="B24" s="53" t="str">
        <f>'Necesidades Trimestrales'!B22</f>
        <v>2.5.2-1726.182</v>
      </c>
      <c r="C24" s="70" t="str">
        <f>'Necesidades Trimestrales'!E22</f>
        <v>SOLUCIONES P/MEDICINA; TIPO: RINGER LACTATO, PRESENTACION: ENVASE X 500 mL</v>
      </c>
      <c r="D24" s="70"/>
      <c r="E24" s="70"/>
      <c r="F24" s="70"/>
      <c r="G24" s="70"/>
      <c r="H24" s="54" t="s">
        <v>112</v>
      </c>
      <c r="I24" s="55" t="str">
        <f>'Necesidades Trimestrales'!F22</f>
        <v>unidad</v>
      </c>
      <c r="J24" s="56">
        <f>'Necesidades Trimestrales'!H22</f>
        <v>220</v>
      </c>
      <c r="K24" s="57">
        <f>'Necesidades Trimestrales'!G22</f>
        <v>900</v>
      </c>
    </row>
    <row r="25" spans="1:1024" ht="20.25" customHeight="1" thickBot="1" x14ac:dyDescent="0.25">
      <c r="A25" s="8">
        <v>14</v>
      </c>
      <c r="B25" s="53" t="str">
        <f>'Necesidades Trimestrales'!B23</f>
        <v>2.5.2-1726.371</v>
      </c>
      <c r="C25" s="70" t="str">
        <f>'Necesidades Trimestrales'!E23</f>
        <v>SOLUCIONES P/MEDICINA; TIPO: SULFATO DE MAGNESIO AL 25%, PRESENTACION: ENVASE X 5 mL</v>
      </c>
      <c r="D25" s="70"/>
      <c r="E25" s="70"/>
      <c r="F25" s="70"/>
      <c r="G25" s="70"/>
      <c r="H25" s="54" t="s">
        <v>112</v>
      </c>
      <c r="I25" s="55" t="str">
        <f>'Necesidades Trimestrales'!F23</f>
        <v>Ampollas</v>
      </c>
      <c r="J25" s="56">
        <f>'Necesidades Trimestrales'!H23</f>
        <v>55</v>
      </c>
      <c r="K25" s="57">
        <f>'Necesidades Trimestrales'!G23</f>
        <v>900</v>
      </c>
    </row>
    <row r="26" spans="1:1024" ht="45.75" customHeight="1" thickBot="1" x14ac:dyDescent="0.25">
      <c r="A26" s="8">
        <v>15</v>
      </c>
      <c r="B26" s="53" t="str">
        <f>'Necesidades Trimestrales'!B24</f>
        <v>2.1.1-4227.17</v>
      </c>
      <c r="C26" s="70" t="str">
        <f>'Necesidades Trimestrales'!E24</f>
        <v>SUPLEMENTOS DIETARIOS; TIPO: ASOCIACION, DROGA GENERICA: S. PARENTERAL ADULTO 900-1500 ML, PRESENTACION: UNIDAD</v>
      </c>
      <c r="D26" s="70"/>
      <c r="E26" s="70"/>
      <c r="F26" s="70"/>
      <c r="G26" s="70"/>
      <c r="H26" s="54" t="s">
        <v>112</v>
      </c>
      <c r="I26" s="55" t="str">
        <f>'Necesidades Trimestrales'!F24</f>
        <v>unidad</v>
      </c>
      <c r="J26" s="56">
        <f>'Necesidades Trimestrales'!H24</f>
        <v>14786</v>
      </c>
      <c r="K26" s="57">
        <f>'Necesidades Trimestrales'!G24</f>
        <v>36</v>
      </c>
    </row>
    <row r="27" spans="1:1024" ht="39.75" customHeight="1" thickBot="1" x14ac:dyDescent="0.25">
      <c r="A27" s="8">
        <v>16</v>
      </c>
      <c r="B27" s="53" t="str">
        <f>'Necesidades Trimestrales'!B25</f>
        <v>2.5.2-1883.163</v>
      </c>
      <c r="C27" s="70" t="str">
        <f>'Necesidades Trimestrales'!E25</f>
        <v>ANESTESICOS LOCALES; TIPO: MONODROGA, DROGA GENERICA: CLORHIDRATO PROPARACAINA 0.5, FORMA FARMACEUTICA: GOTAS OFTALMICAS, PRESENTACION: UNIDAD</v>
      </c>
      <c r="D27" s="70"/>
      <c r="E27" s="70"/>
      <c r="F27" s="70"/>
      <c r="G27" s="70"/>
      <c r="H27" s="54" t="s">
        <v>112</v>
      </c>
      <c r="I27" s="55" t="str">
        <f>'Necesidades Trimestrales'!F25</f>
        <v>UNIDAD</v>
      </c>
      <c r="J27" s="56">
        <f>'Necesidades Trimestrales'!H25</f>
        <v>1032.2</v>
      </c>
      <c r="K27" s="57">
        <f>'Necesidades Trimestrales'!G25</f>
        <v>16</v>
      </c>
    </row>
    <row r="28" spans="1:1024" ht="20.25" customHeight="1" thickBot="1" x14ac:dyDescent="0.25">
      <c r="A28" s="71" t="s">
        <v>118</v>
      </c>
      <c r="B28" s="71"/>
      <c r="C28" s="71"/>
      <c r="D28" s="71"/>
      <c r="E28" s="71"/>
      <c r="F28" s="71"/>
      <c r="G28" s="71"/>
      <c r="H28" s="71"/>
      <c r="I28" s="71"/>
      <c r="J28" s="72">
        <f>SUMPRODUCT(J12:J27,K12:K27)</f>
        <v>12876311.199999999</v>
      </c>
      <c r="K28" s="72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</sheetData>
  <mergeCells count="3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8:I28"/>
    <mergeCell ref="J28:K2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3" zoomScale="130" zoomScaleNormal="130" workbookViewId="0">
      <selection activeCell="O18" sqref="O18:P1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6" t="s">
        <v>3</v>
      </c>
      <c r="B1" s="106"/>
      <c r="C1" s="106"/>
      <c r="D1" s="107">
        <f>'Necesidades Trimestrales'!C6</f>
        <v>2022</v>
      </c>
      <c r="E1" s="107"/>
      <c r="F1" s="10"/>
      <c r="G1" s="10"/>
      <c r="H1" s="11"/>
      <c r="I1" s="11"/>
      <c r="J1" s="11"/>
      <c r="K1" s="11"/>
      <c r="L1" s="11"/>
      <c r="M1" s="11"/>
      <c r="N1" s="11"/>
      <c r="P1" s="108" t="s">
        <v>25</v>
      </c>
      <c r="Q1" s="10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8"/>
      <c r="Q2" s="108"/>
    </row>
    <row r="4" spans="1:17" s="12" customFormat="1" ht="18" customHeight="1" thickBot="1" x14ac:dyDescent="0.25">
      <c r="A4" s="109" t="s">
        <v>26</v>
      </c>
      <c r="B4" s="109"/>
      <c r="C4" s="109"/>
      <c r="D4" s="109"/>
      <c r="E4" s="109"/>
      <c r="F4" s="109"/>
      <c r="G4" s="104" t="str">
        <f>NotaPedido!D3</f>
        <v>40 - Ministerio de Salud</v>
      </c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s="12" customFormat="1" ht="18" customHeight="1" thickBot="1" x14ac:dyDescent="0.25">
      <c r="A5" s="101" t="s">
        <v>49</v>
      </c>
      <c r="B5" s="102"/>
      <c r="C5" s="102"/>
      <c r="D5" s="102"/>
      <c r="E5" s="102"/>
      <c r="F5" s="103"/>
      <c r="G5" s="104" t="str">
        <f>NotaPedido!D4</f>
        <v>23 - Hospital Interzonal San Juan Bautista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s="12" customFormat="1" ht="18" customHeight="1" thickBot="1" x14ac:dyDescent="0.25">
      <c r="A6" s="101" t="s">
        <v>27</v>
      </c>
      <c r="B6" s="102"/>
      <c r="C6" s="102"/>
      <c r="D6" s="102"/>
      <c r="E6" s="102"/>
      <c r="F6" s="103"/>
      <c r="G6" s="104" t="str">
        <f>NotaPedido!D5</f>
        <v>168 - Direccion Asistencial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s="12" customFormat="1" ht="18" customHeight="1" thickBot="1" x14ac:dyDescent="0.25">
      <c r="A7" s="101" t="s">
        <v>50</v>
      </c>
      <c r="B7" s="102"/>
      <c r="C7" s="102"/>
      <c r="D7" s="102"/>
      <c r="E7" s="102"/>
      <c r="F7" s="103"/>
      <c r="G7" s="104" t="str">
        <f>NotaPedido!D6</f>
        <v>Servicio de Farmacia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</row>
    <row r="8" spans="1:17" ht="18" customHeight="1" thickBot="1" x14ac:dyDescent="0.25">
      <c r="A8" s="105" t="s">
        <v>28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ht="18" customHeight="1" x14ac:dyDescent="0.2">
      <c r="A9" s="95" t="s">
        <v>29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1"/>
      <c r="P9" s="1"/>
      <c r="Q9" s="13"/>
    </row>
    <row r="10" spans="1:17" ht="54.75" customHeight="1" x14ac:dyDescent="0.2">
      <c r="A10" s="96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145 - 2022,  afectando la erogación resultante a los créditos presupuestarios aprobados a favor de esta Unidad Ejecutora, conforme al siguiente detalle: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97" t="s">
        <v>30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</row>
    <row r="13" spans="1:17" ht="15.75" customHeight="1" x14ac:dyDescent="0.2">
      <c r="A13" s="98" t="s">
        <v>31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9" t="s">
        <v>32</v>
      </c>
      <c r="P13" s="99"/>
      <c r="Q13" s="100" t="s">
        <v>33</v>
      </c>
    </row>
    <row r="14" spans="1:17" ht="15.75" customHeight="1" x14ac:dyDescent="0.2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99"/>
      <c r="P14" s="99"/>
      <c r="Q14" s="100"/>
    </row>
    <row r="15" spans="1:17" ht="17.25" customHeight="1" x14ac:dyDescent="0.2">
      <c r="A15" s="60">
        <v>33</v>
      </c>
      <c r="B15" s="61"/>
      <c r="C15" s="61"/>
      <c r="D15" s="61">
        <v>2</v>
      </c>
      <c r="E15" s="61"/>
      <c r="F15" s="61">
        <v>4901</v>
      </c>
      <c r="G15" s="61">
        <v>3</v>
      </c>
      <c r="H15" s="62" t="s">
        <v>56</v>
      </c>
      <c r="I15" s="63">
        <v>2</v>
      </c>
      <c r="J15" s="63">
        <v>5</v>
      </c>
      <c r="K15" s="63">
        <v>2</v>
      </c>
      <c r="L15" s="61"/>
      <c r="M15" s="64">
        <v>1</v>
      </c>
      <c r="N15" s="62" t="s">
        <v>57</v>
      </c>
      <c r="O15" s="92" t="s">
        <v>55</v>
      </c>
      <c r="P15" s="92"/>
      <c r="Q15" s="23">
        <v>12876311.199999999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58"/>
      <c r="I16" s="25"/>
      <c r="J16" s="25"/>
      <c r="K16" s="25"/>
      <c r="L16" s="25"/>
      <c r="M16" s="26"/>
      <c r="N16" s="59"/>
      <c r="O16" s="93"/>
      <c r="P16" s="93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58"/>
      <c r="I17" s="25"/>
      <c r="J17" s="25"/>
      <c r="K17" s="25"/>
      <c r="L17" s="25"/>
      <c r="M17" s="26"/>
      <c r="N17" s="59"/>
      <c r="O17" s="93"/>
      <c r="P17" s="93"/>
      <c r="Q17" s="28"/>
      <c r="S17" s="65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58"/>
      <c r="I18" s="25"/>
      <c r="J18" s="25"/>
      <c r="K18" s="25"/>
      <c r="L18" s="25"/>
      <c r="M18" s="26"/>
      <c r="N18" s="59"/>
      <c r="O18" s="94"/>
      <c r="P18" s="87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87"/>
      <c r="P19" s="87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87"/>
      <c r="P20" s="87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88"/>
      <c r="P21" s="88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89"/>
      <c r="P22" s="89"/>
      <c r="Q22" s="37"/>
    </row>
    <row r="23" spans="1:19" ht="24.75" customHeight="1" x14ac:dyDescent="0.2">
      <c r="A23" s="90" t="s">
        <v>119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38">
        <f>SUM(Q15:Q22)</f>
        <v>12876311.199999999</v>
      </c>
    </row>
    <row r="24" spans="1:19" ht="18" customHeight="1" thickBot="1" x14ac:dyDescent="0.25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</row>
    <row r="25" spans="1:19" ht="17.25" customHeight="1" thickBot="1" x14ac:dyDescent="0.25">
      <c r="A25" s="82" t="s">
        <v>47</v>
      </c>
      <c r="B25" s="83"/>
      <c r="C25" s="83"/>
      <c r="D25" s="83"/>
      <c r="E25" s="83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</row>
    <row r="26" spans="1:19" ht="18" customHeight="1" thickBot="1" x14ac:dyDescent="0.25">
      <c r="A26" s="86" t="str">
        <f>"Para la "&amp; NotaPedido!D8 &amp;" para ser destinados al " &amp; NotaPedido!D6 &amp;"  del HISJB del Ministerio de Salud."</f>
        <v>Para la Adquisición de Insumos para Farmacia  para ser destinados al Servicio de Farmacia  del HISJB del Ministerio de Salud.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</row>
    <row r="27" spans="1:19" ht="15" customHeight="1" x14ac:dyDescent="0.2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2022-11-30T13:21:16Z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