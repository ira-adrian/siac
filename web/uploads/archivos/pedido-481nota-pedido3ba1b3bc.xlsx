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Neumaticos\3er Trim.2022\"/>
    </mc:Choice>
  </mc:AlternateContent>
  <xr:revisionPtr revIDLastSave="0" documentId="13_ncr:1_{1B07DF6A-B77D-4CBB-BB88-B07AA349D22A}" xr6:coauthVersionLast="47" xr6:coauthVersionMax="47" xr10:uidLastSave="{00000000-0000-0000-0000-000000000000}"/>
  <bookViews>
    <workbookView xWindow="-120" yWindow="-120" windowWidth="29040" windowHeight="15840" tabRatio="876" xr2:uid="{00000000-000D-0000-FFFF-FFFF00000000}"/>
  </bookViews>
  <sheets>
    <sheet name="SAF 011" sheetId="1" r:id="rId1"/>
    <sheet name="ANEXO" sheetId="16" r:id="rId2"/>
    <sheet name="NP SMPyPS" sheetId="2" r:id="rId3"/>
    <sheet name="APG SMPyPS" sheetId="3" r:id="rId4"/>
    <sheet name="NP DPSAME" sheetId="4" r:id="rId5"/>
    <sheet name="APG DPSAME" sheetId="5" r:id="rId6"/>
    <sheet name="NP DPMIA" sheetId="6" r:id="rId7"/>
    <sheet name="APG DPMIA" sheetId="7" r:id="rId8"/>
    <sheet name="NP SASP" sheetId="8" r:id="rId9"/>
    <sheet name="APG SASP" sheetId="9" r:id="rId10"/>
    <sheet name="NP DPAIPD" sheetId="10" r:id="rId11"/>
    <sheet name="APG DPAIPD" sheetId="11" r:id="rId12"/>
    <sheet name="NP DPAS" sheetId="12" r:id="rId13"/>
    <sheet name="APG DPAS" sheetId="13" r:id="rId14"/>
    <sheet name="NP MS" sheetId="14" r:id="rId15"/>
    <sheet name="APG MS" sheetId="15" r:id="rId16"/>
  </sheets>
  <definedNames>
    <definedName name="_xlnm._FilterDatabase" localSheetId="0" hidden="1">'SAF 011'!$A$9:$K$22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" i="12" l="1"/>
  <c r="D4" i="4"/>
  <c r="G5" i="5" s="1"/>
  <c r="D3" i="2"/>
  <c r="I12" i="14"/>
  <c r="J12" i="14"/>
  <c r="J14" i="14" s="1"/>
  <c r="Q38" i="15" s="1"/>
  <c r="C12" i="14"/>
  <c r="B12" i="14"/>
  <c r="A41" i="15"/>
  <c r="G7" i="15"/>
  <c r="G6" i="15"/>
  <c r="D4" i="14"/>
  <c r="G5" i="15" s="1"/>
  <c r="D3" i="14"/>
  <c r="G4" i="15" s="1"/>
  <c r="J12" i="4"/>
  <c r="J14" i="4" s="1"/>
  <c r="Q38" i="5" s="1"/>
  <c r="A41" i="13"/>
  <c r="G7" i="13"/>
  <c r="G6" i="13"/>
  <c r="J18" i="12"/>
  <c r="I18" i="12"/>
  <c r="C18" i="12"/>
  <c r="B18" i="12"/>
  <c r="J17" i="12"/>
  <c r="I17" i="12"/>
  <c r="C17" i="12"/>
  <c r="B17" i="12"/>
  <c r="J16" i="12"/>
  <c r="I16" i="12"/>
  <c r="B16" i="12"/>
  <c r="J15" i="12"/>
  <c r="I15" i="12"/>
  <c r="C15" i="12"/>
  <c r="B15" i="12"/>
  <c r="J14" i="12"/>
  <c r="I14" i="12"/>
  <c r="C14" i="12"/>
  <c r="B14" i="12"/>
  <c r="J13" i="12"/>
  <c r="I13" i="12"/>
  <c r="C13" i="12"/>
  <c r="B13" i="12"/>
  <c r="J12" i="12"/>
  <c r="I12" i="12"/>
  <c r="C12" i="12"/>
  <c r="B12" i="12"/>
  <c r="D4" i="12"/>
  <c r="G5" i="13" s="1"/>
  <c r="D3" i="12"/>
  <c r="G4" i="13" s="1"/>
  <c r="A41" i="11"/>
  <c r="G7" i="11"/>
  <c r="G6" i="11"/>
  <c r="J12" i="10"/>
  <c r="J14" i="10" s="1"/>
  <c r="Q38" i="11" s="1"/>
  <c r="I12" i="10"/>
  <c r="C12" i="10"/>
  <c r="B12" i="10"/>
  <c r="D4" i="10"/>
  <c r="G5" i="11" s="1"/>
  <c r="D3" i="10"/>
  <c r="G4" i="11"/>
  <c r="A41" i="9"/>
  <c r="G7" i="9"/>
  <c r="G6" i="9"/>
  <c r="J12" i="8"/>
  <c r="J14" i="8" s="1"/>
  <c r="Q38" i="9" s="1"/>
  <c r="I12" i="8"/>
  <c r="C12" i="8"/>
  <c r="B12" i="8"/>
  <c r="D4" i="8"/>
  <c r="G5" i="9" s="1"/>
  <c r="D3" i="8"/>
  <c r="G4" i="9"/>
  <c r="A41" i="7"/>
  <c r="G7" i="7"/>
  <c r="G6" i="7"/>
  <c r="J12" i="6"/>
  <c r="J14" i="6" s="1"/>
  <c r="Q38" i="7" s="1"/>
  <c r="I12" i="6"/>
  <c r="C12" i="6"/>
  <c r="B12" i="6"/>
  <c r="D4" i="6"/>
  <c r="G5" i="7" s="1"/>
  <c r="D3" i="6"/>
  <c r="G4" i="7" s="1"/>
  <c r="A41" i="5"/>
  <c r="G7" i="5"/>
  <c r="G6" i="5"/>
  <c r="I12" i="4"/>
  <c r="C12" i="4"/>
  <c r="B12" i="4"/>
  <c r="D3" i="4"/>
  <c r="G4" i="5" s="1"/>
  <c r="A41" i="3"/>
  <c r="J13" i="2"/>
  <c r="I13" i="2"/>
  <c r="C13" i="2"/>
  <c r="B13" i="2"/>
  <c r="J12" i="2"/>
  <c r="I12" i="2"/>
  <c r="C12" i="2"/>
  <c r="B12" i="2"/>
  <c r="G6" i="3"/>
  <c r="G7" i="3"/>
  <c r="J20" i="12"/>
  <c r="Q38" i="13" s="1"/>
  <c r="J15" i="2"/>
  <c r="D4" i="2"/>
  <c r="G5" i="3" s="1"/>
  <c r="G4" i="3"/>
  <c r="Q38" i="3"/>
  <c r="K15" i="1"/>
  <c r="K12" i="1"/>
  <c r="K14" i="1"/>
  <c r="K10" i="1"/>
  <c r="K16" i="1"/>
  <c r="K19" i="1"/>
  <c r="K21" i="1"/>
  <c r="K20" i="1"/>
  <c r="K11" i="1"/>
  <c r="K18" i="1"/>
  <c r="K17" i="1"/>
  <c r="K13" i="1"/>
  <c r="K22" i="1" l="1"/>
</calcChain>
</file>

<file path=xl/sharedStrings.xml><?xml version="1.0" encoding="utf-8"?>
<sst xmlns="http://schemas.openxmlformats.org/spreadsheetml/2006/main" count="607" uniqueCount="232">
  <si>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</si>
  <si>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</si>
  <si>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</si>
  <si>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</si>
  <si>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</si>
  <si>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</si>
  <si>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</si>
  <si>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</si>
  <si>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</si>
  <si>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</si>
  <si>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</si>
  <si>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</si>
  <si>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</si>
  <si>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</si>
  <si>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</si>
  <si>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</si>
  <si>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</si>
  <si>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 xml:space="preserve">UNIDAD </t>
  </si>
  <si>
    <t>UNIDAD</t>
  </si>
  <si>
    <t>2.4.4-6818.986</t>
  </si>
  <si>
    <t>REPUESTOS</t>
  </si>
  <si>
    <t>2.4.4</t>
  </si>
  <si>
    <t>NEUMATICOS; VEHICULO: AMBULANCIA/FURGON/MINIBUS, CONSTRUCCION: RADIAL, ARMADO: S/CAMARA, MEDIDA: 205/75R16</t>
  </si>
  <si>
    <t>2.4.4-6818.989</t>
  </si>
  <si>
    <t>NEUMATICOS; VEHICULO: CAMIONETA, CONSTRUCCION: RADIAL, ARMADO: S/CAMARA, MEDIDA: 225/70 R17</t>
  </si>
  <si>
    <t>2.4.4-6818.751</t>
  </si>
  <si>
    <t>NEUMATICOS; VEHICULO: CAMIONETA, CONSTRUCCION: RADIAL, ARMADO: S/CAMARA, MEDIDA: 245/65 R17</t>
  </si>
  <si>
    <t>TOTAL RUBRO NEUMATICOS</t>
  </si>
  <si>
    <t>2.4.4-6818.48</t>
  </si>
  <si>
    <t>NEUMATICOS; VEHICULO: CAMIONETA, CONSTRUCCION: RADIAL, MEDIDA: 235/75R15, ARMADO: S/CAMARA</t>
  </si>
  <si>
    <t>2.4.4-6818.530</t>
  </si>
  <si>
    <t>NEUMATICOS; VEHICULO: CAMIONETA, CONSTRUCCION: RADIAL, ARMADO: S/CAMARA, MEDIDA: 245/70R16</t>
  </si>
  <si>
    <t>2.4.4-6818.744</t>
  </si>
  <si>
    <t>NEUMATICOS; VEHICULO: CAMIONETA, CONSTRUCCION: RADIAL, ARMADO: S/CAMARA, MEDIDA: 235/70R16</t>
  </si>
  <si>
    <t>2.4.4-6818.890</t>
  </si>
  <si>
    <t>TERCERO</t>
  </si>
  <si>
    <t>SUMAR</t>
  </si>
  <si>
    <t>TOTAL SUMAR</t>
  </si>
  <si>
    <t>2.4.4-6818.801</t>
  </si>
  <si>
    <t>NEUMATICOS; VEHICULO: CAMIONETA, CONSTRUCCION: CON CLAVOS, ARMADO: S/CAMARA, MEDIDA: 265/70R16</t>
  </si>
  <si>
    <t>2.4.4-6818.724</t>
  </si>
  <si>
    <t>NEUMATICOS; VEHICULO: CAMIONETA, CONSTRUCCION: CON CLAVOS, ARMADO: S/CAMARA, MEDIDA: 215/75R16</t>
  </si>
  <si>
    <t>NEUMATICOS; VEHICULO: CAMIONETA, CONSTRUCCION: RADIAL, ARMADO: SIN CAMARA, MEDIDA: 265/60R18</t>
  </si>
  <si>
    <t>2.4.4-6818.755</t>
  </si>
  <si>
    <t>NEUMATICOS; VEHICULO: CAMIONETA, CONSTRUCCION: RADIAL, ARMADO: S/CAMARA, MEDIDA: 255/70R16</t>
  </si>
  <si>
    <t>2.4.4-6818.980</t>
  </si>
  <si>
    <t>NEUMATICOS; VEHICULO: AMBULANCIA/FURGON/MINIBUS, CONSTRUCCION: RADIAL, ARMADO: S/CAMARA, MEDIDA: 195/70-R15</t>
  </si>
  <si>
    <t>2.4.4-6818.53</t>
  </si>
  <si>
    <t>NEUMATICOS; VEHICULO: CAMIONETA, CONSTRUCCION: RADIAL, ARMADO: S/CAMARA, MEDIDA: 235/75R16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</si>
  <si>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</si>
  <si>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</si>
  <si>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</si>
  <si>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</si>
  <si>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</si>
  <si>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</si>
  <si>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</si>
  <si>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</si>
  <si>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</si>
  <si>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</si>
  <si>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</si>
  <si>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</si>
  <si>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</si>
  <si>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</si>
  <si>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</si>
  <si>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</si>
  <si>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</si>
  <si>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</si>
  <si>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</si>
  <si>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</si>
  <si>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</si>
  <si>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</si>
  <si>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</si>
  <si>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</si>
  <si>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</si>
  <si>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</si>
  <si>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</si>
  <si>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</si>
  <si>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</si>
  <si>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</si>
  <si>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</si>
  <si>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</si>
  <si>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</si>
  <si>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</si>
  <si>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</si>
  <si>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</si>
  <si>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</si>
  <si>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</si>
  <si>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744 - SECRETARIA DE MEDICINA PREVENTIVA Y PROMOCION EN SALUD</t>
  </si>
  <si>
    <t>3° TRIMESTRE 2022</t>
  </si>
  <si>
    <t>ADQ. DEL RUBRO CUBIERTAS</t>
  </si>
  <si>
    <t>NO</t>
  </si>
  <si>
    <t>1.1</t>
  </si>
  <si>
    <t>CUBIERTAS Y CAMARAS DE AIRE</t>
  </si>
  <si>
    <t>Costo total estimado: PESOS CUATROCIENTOS DIECISIETE MIL SETECIENTOS CON 00/100.-</t>
  </si>
  <si>
    <t>TOTAL DE PESOS:  CUATROCIENTOS DIECISIETE MIL SETECIENTOS CON 00/100.-</t>
  </si>
  <si>
    <t>748 - DIRECCION PROVINCIAL SISTEMA DE ATENCION MEDICA DE EMERGENCIA</t>
  </si>
  <si>
    <t>162 - DIRECCION PROVINCIAL DE MATERNIDAD, INFANCIA Y ADOLESCENCIA</t>
  </si>
  <si>
    <t>Costo total estimado: PESOS CIENTO SESENTA Y TRES MIL QUINIENTOS VEINTE CON 00/100.-</t>
  </si>
  <si>
    <t>TOTAL DE PESOS: CIENTO SESENTA Y TRES MIL QUINIENTOS VEINTE CON 00/100.-</t>
  </si>
  <si>
    <t>743 - SECRETARIA DE ASISTENCIA EN SALUD PUBLICA</t>
  </si>
  <si>
    <t>Costo total estimado: PESOS DOSCIENTOS TRES MIL OCHOCIENTOS CON 00/100.-</t>
  </si>
  <si>
    <t>TOTAL DE PESOS: DOSCIENTOS TRES MIL OCHOCIENTOS CON 00/100</t>
  </si>
  <si>
    <t>093 - DIRECCION PROVINCIAL DE ASISTENCIA INTEGRAL A PERSONAS CON DISCAPACIDAD</t>
  </si>
  <si>
    <t>Costo total estimado: PESOS CIENTO OCHENTA Y OCHO MIL OCHOCIENTOS CON 00/100.-</t>
  </si>
  <si>
    <t>TOTAL DE PESOS: CIENTO OCHENTA Y OCHO MIL OCHOCIENTOS CON 00/100.-</t>
  </si>
  <si>
    <t>476 - DIRECCION PROVINCIAL DE ASISTENCIA SANITARIA NIVEL I Y II</t>
  </si>
  <si>
    <t>Costo total estimado: PESOS TRES MILLONES OCHOCIENTOS SESENTA Y NUEVE MIL SEISCIENTOS CON 00/100.-</t>
  </si>
  <si>
    <t>TOTAL DE PESOS: TRES MILLONES OCHOCIENTOS SESENTA Y NUEVE MIL SEISCIENTOS CON 00/100.-</t>
  </si>
  <si>
    <t>Costo total estimado: PESOS CIENTO CINCUENTA Y NUEVE MIL NOVECIENTOS NOVENTA Y OCHO CON 00/100.-</t>
  </si>
  <si>
    <t>TOTAL DE PESOS: CIENTO CINCUENTA Y NUEVE MIL NOVECIENTOS NOVENTA Y OCHO CON 00/100.-</t>
  </si>
  <si>
    <t>352 - MINISTERIO DE SALUD</t>
  </si>
  <si>
    <t>Descripción técnica:</t>
  </si>
  <si>
    <t>Plazos de entrega</t>
  </si>
  <si>
    <t>diez (10) dias habiles</t>
  </si>
  <si>
    <t>Lugar de Entrega:</t>
  </si>
  <si>
    <t>SECRETARIA DE AMINISTRACION - CHACABUCO N° 169 - en el horario de 8:00hs a 12:00hs de lunes a viernes</t>
  </si>
  <si>
    <t>Calidad Minima esperada</t>
  </si>
  <si>
    <t>Mantenimiento</t>
  </si>
  <si>
    <t>cuarenta y cinco (45) días</t>
  </si>
  <si>
    <t>Garantia:</t>
  </si>
  <si>
    <t>TOYOTA HYLUX 4x4 CABINA DOBLE SR3.0 TDI. Camioneta.-</t>
  </si>
  <si>
    <t xml:space="preserve">OMA-771 </t>
  </si>
  <si>
    <t>1KDA586508</t>
  </si>
  <si>
    <t>8AJFZZ263F5027841</t>
  </si>
  <si>
    <t xml:space="preserve">OFICIAL </t>
  </si>
  <si>
    <t>Vehiculo</t>
  </si>
  <si>
    <t>Dominio</t>
  </si>
  <si>
    <t>Nº de Motor</t>
  </si>
  <si>
    <t>Nº de Chasis</t>
  </si>
  <si>
    <t>Año</t>
  </si>
  <si>
    <t xml:space="preserve">USO </t>
  </si>
  <si>
    <t>Fiat Ducato Maxi cargo 2,3 JTD Furgon. Ambulancia.-</t>
  </si>
  <si>
    <t>AA-842-EH</t>
  </si>
  <si>
    <t>93W245G84H2160832</t>
  </si>
  <si>
    <t xml:space="preserve">AMBULANCIA </t>
  </si>
  <si>
    <t>Fiat Ducato 2,3. Ambulancia.-</t>
  </si>
  <si>
    <t>NSE-229</t>
  </si>
  <si>
    <t>93W245G74D2109008</t>
  </si>
  <si>
    <t xml:space="preserve">Renault Master DCI120. Ambulancia - </t>
  </si>
  <si>
    <t>GUO-325</t>
  </si>
  <si>
    <t>G9UA7240035511</t>
  </si>
  <si>
    <t>93YADCUE58J896313</t>
  </si>
  <si>
    <t>Fiat Ducato Ambulancia.-</t>
  </si>
  <si>
    <t>AA-842-EM</t>
  </si>
  <si>
    <t>93W245G84H2160779</t>
  </si>
  <si>
    <t>Toyota Hilyx 4x4 C/S DX 2,4 TDI 6 M/T</t>
  </si>
  <si>
    <t>AE-212-GE</t>
  </si>
  <si>
    <t>2GD-G108393</t>
  </si>
  <si>
    <t>8AJFB8CBXK1558448</t>
  </si>
  <si>
    <t>Toyota Hilux 4x4 CS DX 2,4 TDI 6 MT- Ambulancia.-</t>
  </si>
  <si>
    <t>AE-677-LI</t>
  </si>
  <si>
    <t>2GD0883798</t>
  </si>
  <si>
    <t>8AJD3CB4M5542249</t>
  </si>
  <si>
    <t>Fiat Ducato Maxicargo 2,3 JTD.-</t>
  </si>
  <si>
    <t>AA-842-ED</t>
  </si>
  <si>
    <t>93W245G84H2160784</t>
  </si>
  <si>
    <t>Fiat Ducato Maxicargo L2B 2,3 TJ. Ambulancia.-</t>
  </si>
  <si>
    <t>NHW-648</t>
  </si>
  <si>
    <t>93W245G84D2109432</t>
  </si>
  <si>
    <t>AA-842-EE</t>
  </si>
  <si>
    <t>96W245G84H2160826</t>
  </si>
  <si>
    <t>Ford Transit- Ambulancia.-</t>
  </si>
  <si>
    <t>POD-622</t>
  </si>
  <si>
    <t>CY24FTD15384</t>
  </si>
  <si>
    <t>WF0BXKTTGFTD15384</t>
  </si>
  <si>
    <t>Toyota Hilux 4x4- Ambulancia.-</t>
  </si>
  <si>
    <t>AA-793-NH</t>
  </si>
  <si>
    <t>2GD0106226</t>
  </si>
  <si>
    <t>BAJFBBCB1H155</t>
  </si>
  <si>
    <t>AE-414-KY</t>
  </si>
  <si>
    <t>2GD0711512</t>
  </si>
  <si>
    <t>8AJFB8CB2L1560244</t>
  </si>
  <si>
    <t>Peugeot Boxer Premiun 2.2 HDI 435MH 130. Ambulancia.-</t>
  </si>
  <si>
    <t>AE-677-LG</t>
  </si>
  <si>
    <t>10TRJP1702135</t>
  </si>
  <si>
    <t>VF3YDTMFBM271918</t>
  </si>
  <si>
    <t>Renault Master 120 T - Ambulancia.-</t>
  </si>
  <si>
    <t>GUO-326</t>
  </si>
  <si>
    <t>G9UA724C0353</t>
  </si>
  <si>
    <t>93YADCUE58J896346</t>
  </si>
  <si>
    <t>Fiat Ducato maxicargo 2,3 JTD - Ambulancia.-</t>
  </si>
  <si>
    <t>AA-842-EO</t>
  </si>
  <si>
    <t>93W245G84H2160825</t>
  </si>
  <si>
    <t>NHW-646</t>
  </si>
  <si>
    <t>93W245G84D2109591</t>
  </si>
  <si>
    <t>Fiat Ducato Maxi Cargo 2,3 JTD- Ambulancia</t>
  </si>
  <si>
    <t>AA-842-EC</t>
  </si>
  <si>
    <t>93W245G84H2160823</t>
  </si>
  <si>
    <t>DIRECCION PROVINCIAL DE ASISTENCIA SANITARIA Y AREA PROGRAMATICAS</t>
  </si>
  <si>
    <t>Ford Ranger 2,2 TDI DC 4x4 FDI PH3 confort. Camioneta.-</t>
  </si>
  <si>
    <t>AD-644-GA</t>
  </si>
  <si>
    <t>QJ2RKJ140722</t>
  </si>
  <si>
    <t>8AFAR23K0KJ40722</t>
  </si>
  <si>
    <t>M. Benz Sprinter 413D Chasis 4025</t>
  </si>
  <si>
    <t>GUV-912</t>
  </si>
  <si>
    <t>8AC9046638A980886</t>
  </si>
  <si>
    <t>M. Benz Sprinter.-</t>
  </si>
  <si>
    <t>GUV-910</t>
  </si>
  <si>
    <t>8AC9046638A983668</t>
  </si>
  <si>
    <t>SECRETARIA DE MEDICINA PREVENTIVA Y PROMOCION EN SALUD</t>
  </si>
  <si>
    <t>AE-677-LH</t>
  </si>
  <si>
    <t>2GD0880326</t>
  </si>
  <si>
    <t>8AJDB3CB9M5542084</t>
  </si>
  <si>
    <t>DIRECCION PROVINCIAL SISTEMA DE ATENCION MEDICA DE EMERGENCIA</t>
  </si>
  <si>
    <t>Frod Ranger XL 3,0 TDI DC 4x4 Plus L. Camioneta.-</t>
  </si>
  <si>
    <t>JRJ-107</t>
  </si>
  <si>
    <t>L1A008610</t>
  </si>
  <si>
    <t>8AFER13P6BJ398167</t>
  </si>
  <si>
    <t>DIRECCION PROVINCIAL MATERNIDAD, INFANCIA Y ADOLESCENCIA</t>
  </si>
  <si>
    <t>Chevrolet S10 2,8 TED 4X2 LS Pick up . Camioneta.-</t>
  </si>
  <si>
    <t>AC-091-RR</t>
  </si>
  <si>
    <t>HRUF171781023</t>
  </si>
  <si>
    <t>9BG148CK0JC414811</t>
  </si>
  <si>
    <t>SECRETARIA DE ASISTENCIA EN SALUD PUBLICA</t>
  </si>
  <si>
    <t>Chevrolet  S10 2,8 TDI 4x2 D/C DLX EL. Camioneta.-</t>
  </si>
  <si>
    <t>GAJ-557</t>
  </si>
  <si>
    <t>M1T241375</t>
  </si>
  <si>
    <t>9BG138AC06C426943</t>
  </si>
  <si>
    <t>DIRECCION PROVINCIAL ATENCION INTEGRAL A PERSONAS CON DISCAPACIDAD</t>
  </si>
  <si>
    <t>Toyota hylux AK-SW4-4x4 SRX 2,8 TDI. Camioneta.-</t>
  </si>
  <si>
    <t>AD-125-XL</t>
  </si>
  <si>
    <t>1GD-4378200</t>
  </si>
  <si>
    <t>8AJBA3FS8J0250098</t>
  </si>
  <si>
    <t>MINISTERIO DE SALUD</t>
  </si>
  <si>
    <t xml:space="preserve"> Garantía de las Cubiertas: un mínimo de 12 (doce) meses a partir de la entrega de los mismos, estableciendo además un Año de fabricación mínimo del 2021 en adelante..   
</t>
  </si>
  <si>
    <t>Deben ser de primera calidad. Consignar Marca para cada uno de los items.</t>
  </si>
  <si>
    <t>Costo total estimado: PESOS DOSCIENTOS DIEZ MIL  CON 00/100.-</t>
  </si>
  <si>
    <t>TOTAL DE PESOS: DOSCIENTOS DIEZ MIL  CON 00/100.-</t>
  </si>
  <si>
    <t>Toyota A-HIACE L2H2 2.8 TDI 6AT 3A tipo Furgón.-</t>
  </si>
  <si>
    <t xml:space="preserve">AE 916 QA </t>
  </si>
  <si>
    <t>1GD-8736264</t>
  </si>
  <si>
    <t>JTFLAHCP9M6008857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</si>
</sst>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sz val="8"/>
      <name val="Arial"/>
      <family val="2"/>
    </font>
    <font>
      <b/>
      <i/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Times New Roman"/>
      <family val="1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0" fillId="0" borderId="0"/>
    <xf numFmtId="168" fontId="8" fillId="0" borderId="0" applyBorder="0" applyProtection="0"/>
    <xf numFmtId="0" fontId="11" fillId="0" borderId="9" applyProtection="0"/>
    <xf numFmtId="0" fontId="12" fillId="3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1" fillId="0" borderId="9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3" fillId="0" borderId="0"/>
    <xf numFmtId="0" fontId="14" fillId="0" borderId="0"/>
    <xf numFmtId="0" fontId="8" fillId="0" borderId="0"/>
    <xf numFmtId="169" fontId="15" fillId="0" borderId="0" applyBorder="0" applyProtection="0"/>
  </cellStyleXfs>
  <cellXfs count="20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3" fontId="7" fillId="0" borderId="1" xfId="2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7" fillId="2" borderId="1" xfId="2" applyNumberFormat="1" applyFont="1" applyFill="1" applyBorder="1" applyAlignment="1">
      <alignment horizontal="center" vertical="center" wrapText="1"/>
    </xf>
    <xf numFmtId="167" fontId="7" fillId="2" borderId="3" xfId="2" applyNumberFormat="1" applyFont="1" applyFill="1" applyBorder="1" applyAlignment="1">
      <alignment horizontal="center" vertical="center" wrapText="1"/>
    </xf>
    <xf numFmtId="167" fontId="7" fillId="2" borderId="2" xfId="2" applyNumberFormat="1" applyFont="1" applyFill="1" applyBorder="1" applyAlignment="1">
      <alignment horizontal="center" vertical="center" wrapText="1"/>
    </xf>
    <xf numFmtId="3" fontId="7" fillId="0" borderId="10" xfId="2" applyNumberFormat="1" applyFont="1" applyBorder="1" applyAlignment="1">
      <alignment horizontal="center" vertical="center" wrapText="1"/>
    </xf>
    <xf numFmtId="3" fontId="7" fillId="0" borderId="8" xfId="2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0" fontId="9" fillId="0" borderId="6" xfId="0" applyFont="1" applyBorder="1"/>
    <xf numFmtId="0" fontId="9" fillId="0" borderId="0" xfId="0" applyFont="1"/>
    <xf numFmtId="167" fontId="9" fillId="2" borderId="7" xfId="2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165" fontId="9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18" fillId="0" borderId="0" xfId="0" applyFont="1"/>
    <xf numFmtId="167" fontId="7" fillId="0" borderId="2" xfId="0" applyNumberFormat="1" applyFont="1" applyBorder="1" applyAlignment="1">
      <alignment horizontal="right" vertical="center" wrapText="1"/>
    </xf>
    <xf numFmtId="167" fontId="7" fillId="0" borderId="1" xfId="0" applyNumberFormat="1" applyFont="1" applyBorder="1" applyAlignment="1">
      <alignment horizontal="right" vertical="center" wrapText="1"/>
    </xf>
    <xf numFmtId="167" fontId="7" fillId="0" borderId="3" xfId="0" applyNumberFormat="1" applyFont="1" applyBorder="1" applyAlignment="1">
      <alignment horizontal="right" vertical="center" wrapText="1"/>
    </xf>
    <xf numFmtId="165" fontId="7" fillId="0" borderId="10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18" xfId="0" applyFont="1" applyBorder="1" applyAlignment="1">
      <alignment vertical="center"/>
    </xf>
    <xf numFmtId="0" fontId="22" fillId="0" borderId="24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 indent="1"/>
    </xf>
    <xf numFmtId="0" fontId="21" fillId="0" borderId="18" xfId="0" applyFont="1" applyBorder="1" applyAlignment="1">
      <alignment horizontal="left" vertical="center" wrapText="1" indent="1"/>
    </xf>
    <xf numFmtId="0" fontId="24" fillId="0" borderId="2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3" fontId="25" fillId="0" borderId="29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3" fontId="25" fillId="0" borderId="31" xfId="0" applyNumberFormat="1" applyFont="1" applyBorder="1" applyAlignment="1">
      <alignment horizontal="center" vertical="center"/>
    </xf>
    <xf numFmtId="3" fontId="27" fillId="0" borderId="35" xfId="0" applyNumberFormat="1" applyFont="1" applyBorder="1"/>
    <xf numFmtId="170" fontId="0" fillId="0" borderId="35" xfId="0" applyNumberFormat="1" applyBorder="1" applyAlignment="1">
      <alignment horizontal="left"/>
    </xf>
    <xf numFmtId="0" fontId="0" fillId="0" borderId="35" xfId="0" applyBorder="1"/>
    <xf numFmtId="0" fontId="0" fillId="0" borderId="24" xfId="0" applyBorder="1"/>
    <xf numFmtId="0" fontId="0" fillId="0" borderId="0" xfId="0" applyAlignment="1">
      <alignment horizontal="left"/>
    </xf>
    <xf numFmtId="170" fontId="0" fillId="0" borderId="0" xfId="0" applyNumberFormat="1" applyAlignment="1">
      <alignment horizontal="left"/>
    </xf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41" xfId="0" applyBorder="1"/>
    <xf numFmtId="0" fontId="31" fillId="0" borderId="44" xfId="0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1" fillId="0" borderId="45" xfId="0" applyFont="1" applyBorder="1" applyAlignment="1">
      <alignment horizontal="left" vertical="center"/>
    </xf>
    <xf numFmtId="0" fontId="31" fillId="0" borderId="46" xfId="0" applyFont="1" applyBorder="1" applyAlignment="1">
      <alignment horizontal="center" vertical="center"/>
    </xf>
    <xf numFmtId="0" fontId="31" fillId="0" borderId="47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71" fontId="0" fillId="0" borderId="51" xfId="33" applyNumberFormat="1" applyFont="1" applyBorder="1" applyAlignment="1" applyProtection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1" fontId="0" fillId="0" borderId="56" xfId="33" applyNumberFormat="1" applyFont="1" applyBorder="1" applyAlignment="1" applyProtection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71" fontId="0" fillId="0" borderId="60" xfId="33" applyNumberFormat="1" applyFont="1" applyBorder="1" applyAlignment="1" applyProtection="1">
      <alignment horizontal="center" vertical="center"/>
    </xf>
    <xf numFmtId="171" fontId="31" fillId="0" borderId="62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1" fillId="0" borderId="33" xfId="0" applyFont="1" applyBorder="1" applyAlignment="1">
      <alignment vertical="center"/>
    </xf>
    <xf numFmtId="0" fontId="21" fillId="0" borderId="63" xfId="0" applyFont="1" applyBorder="1" applyAlignment="1">
      <alignment vertical="center"/>
    </xf>
    <xf numFmtId="0" fontId="21" fillId="0" borderId="34" xfId="0" applyFont="1" applyBorder="1" applyAlignment="1">
      <alignment vertical="center"/>
    </xf>
    <xf numFmtId="0" fontId="21" fillId="0" borderId="6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7" fillId="0" borderId="1" xfId="2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167" fontId="20" fillId="0" borderId="14" xfId="0" applyNumberFormat="1" applyFont="1" applyBorder="1" applyAlignment="1">
      <alignment horizontal="right" vertical="center"/>
    </xf>
    <xf numFmtId="167" fontId="20" fillId="0" borderId="0" xfId="0" applyNumberFormat="1" applyFont="1" applyAlignment="1">
      <alignment vertical="center"/>
    </xf>
    <xf numFmtId="167" fontId="21" fillId="0" borderId="63" xfId="0" applyNumberFormat="1" applyFont="1" applyBorder="1" applyAlignment="1">
      <alignment vertical="center"/>
    </xf>
    <xf numFmtId="167" fontId="21" fillId="0" borderId="0" xfId="0" applyNumberFormat="1" applyFont="1" applyAlignment="1">
      <alignment horizontal="left" vertical="center" wrapText="1" indent="1"/>
    </xf>
    <xf numFmtId="167" fontId="25" fillId="0" borderId="11" xfId="0" applyNumberFormat="1" applyFont="1" applyBorder="1" applyAlignment="1">
      <alignment horizontal="center" vertical="center" wrapText="1"/>
    </xf>
    <xf numFmtId="167" fontId="25" fillId="0" borderId="12" xfId="0" applyNumberFormat="1" applyFont="1" applyBorder="1" applyAlignment="1">
      <alignment horizontal="center" vertical="center" wrapText="1"/>
    </xf>
    <xf numFmtId="167" fontId="0" fillId="0" borderId="0" xfId="0" applyNumberFormat="1"/>
    <xf numFmtId="3" fontId="25" fillId="0" borderId="12" xfId="0" applyNumberFormat="1" applyFont="1" applyBorder="1" applyAlignment="1">
      <alignment horizontal="center" vertical="center"/>
    </xf>
    <xf numFmtId="0" fontId="32" fillId="0" borderId="24" xfId="0" applyFont="1" applyBorder="1" applyAlignment="1">
      <alignment horizontal="center" wrapText="1"/>
    </xf>
    <xf numFmtId="0" fontId="0" fillId="0" borderId="18" xfId="0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6" fillId="0" borderId="12" xfId="0" applyFont="1" applyBorder="1" applyAlignment="1">
      <alignment horizontal="center" vertical="center" wrapText="1"/>
    </xf>
    <xf numFmtId="0" fontId="37" fillId="0" borderId="64" xfId="0" applyFont="1" applyBorder="1" applyAlignment="1">
      <alignment vertical="center"/>
    </xf>
    <xf numFmtId="3" fontId="7" fillId="2" borderId="1" xfId="2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38" fillId="0" borderId="12" xfId="0" applyFont="1" applyBorder="1" applyAlignment="1">
      <alignment horizontal="center" vertical="center" wrapText="1"/>
    </xf>
    <xf numFmtId="0" fontId="38" fillId="0" borderId="12" xfId="0" applyFont="1" applyBorder="1" applyAlignment="1">
      <alignment vertical="center" wrapText="1"/>
    </xf>
    <xf numFmtId="0" fontId="32" fillId="2" borderId="13" xfId="0" applyFont="1" applyFill="1" applyBorder="1" applyAlignment="1">
      <alignment horizontal="center" wrapText="1"/>
    </xf>
    <xf numFmtId="0" fontId="32" fillId="2" borderId="2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wrapText="1"/>
    </xf>
    <xf numFmtId="0" fontId="3" fillId="2" borderId="70" xfId="0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166" fontId="22" fillId="0" borderId="67" xfId="0" applyNumberFormat="1" applyFont="1" applyBorder="1" applyAlignment="1">
      <alignment horizontal="center" vertical="center"/>
    </xf>
    <xf numFmtId="166" fontId="22" fillId="0" borderId="68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left" vertical="center" wrapText="1" indent="1"/>
    </xf>
    <xf numFmtId="0" fontId="22" fillId="0" borderId="65" xfId="0" applyFont="1" applyBorder="1" applyAlignment="1">
      <alignment horizontal="center" vertical="center" wrapText="1"/>
    </xf>
    <xf numFmtId="0" fontId="22" fillId="0" borderId="6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167" fontId="23" fillId="0" borderId="26" xfId="0" applyNumberFormat="1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/>
    </xf>
    <xf numFmtId="0" fontId="19" fillId="0" borderId="13" xfId="0" applyFont="1" applyBorder="1" applyAlignment="1">
      <alignment horizontal="center" vertical="center"/>
    </xf>
    <xf numFmtId="0" fontId="27" fillId="0" borderId="20" xfId="0" applyFont="1" applyBorder="1" applyAlignment="1">
      <alignment vertical="center" wrapText="1"/>
    </xf>
    <xf numFmtId="0" fontId="29" fillId="0" borderId="43" xfId="0" applyFont="1" applyBorder="1" applyAlignment="1">
      <alignment vertical="center" wrapText="1"/>
    </xf>
    <xf numFmtId="0" fontId="29" fillId="0" borderId="32" xfId="0" applyFont="1" applyBorder="1" applyAlignment="1">
      <alignment horizontal="left" vertical="center" wrapText="1" indent="1"/>
    </xf>
    <xf numFmtId="0" fontId="0" fillId="0" borderId="55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27" fillId="0" borderId="61" xfId="0" applyFont="1" applyBorder="1" applyAlignment="1">
      <alignment horizontal="left" vertical="center" wrapText="1"/>
    </xf>
    <xf numFmtId="0" fontId="0" fillId="0" borderId="39" xfId="0" applyBorder="1"/>
    <xf numFmtId="0" fontId="0" fillId="0" borderId="55" xfId="0" applyBorder="1" applyAlignment="1">
      <alignment horizontal="center" vertical="center"/>
    </xf>
    <xf numFmtId="49" fontId="29" fillId="0" borderId="40" xfId="0" applyNumberFormat="1" applyFont="1" applyBorder="1" applyAlignment="1">
      <alignment horizontal="justify" vertical="center" wrapText="1"/>
    </xf>
    <xf numFmtId="0" fontId="31" fillId="0" borderId="39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/>
    </xf>
    <xf numFmtId="0" fontId="0" fillId="0" borderId="49" xfId="0" applyBorder="1" applyAlignment="1">
      <alignment horizontal="left" vertical="center" wrapText="1"/>
    </xf>
    <xf numFmtId="0" fontId="0" fillId="0" borderId="55" xfId="0" applyBorder="1" applyAlignment="1">
      <alignment horizontal="center"/>
    </xf>
    <xf numFmtId="0" fontId="29" fillId="0" borderId="39" xfId="0" applyFont="1" applyBorder="1" applyAlignment="1">
      <alignment horizontal="left"/>
    </xf>
    <xf numFmtId="0" fontId="0" fillId="0" borderId="33" xfId="0" applyBorder="1" applyAlignment="1">
      <alignment horizontal="center"/>
    </xf>
    <xf numFmtId="3" fontId="27" fillId="0" borderId="34" xfId="0" applyNumberFormat="1" applyFont="1" applyBorder="1" applyAlignment="1">
      <alignment horizontal="center"/>
    </xf>
    <xf numFmtId="0" fontId="28" fillId="0" borderId="15" xfId="0" applyFont="1" applyBorder="1" applyAlignment="1">
      <alignment horizontal="center" vertical="center" wrapText="1"/>
    </xf>
    <xf numFmtId="0" fontId="15" fillId="0" borderId="36" xfId="0" applyFont="1" applyBorder="1"/>
    <xf numFmtId="0" fontId="29" fillId="0" borderId="37" xfId="0" applyFont="1" applyBorder="1" applyAlignment="1">
      <alignment horizontal="left" indent="1"/>
    </xf>
    <xf numFmtId="0" fontId="25" fillId="0" borderId="36" xfId="0" applyFont="1" applyBorder="1" applyAlignment="1">
      <alignment horizontal="left" vertical="center" wrapText="1"/>
    </xf>
    <xf numFmtId="0" fontId="30" fillId="0" borderId="38" xfId="0" applyFont="1" applyBorder="1" applyAlignment="1">
      <alignment horizontal="left"/>
    </xf>
    <xf numFmtId="167" fontId="23" fillId="0" borderId="69" xfId="0" applyNumberFormat="1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69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20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"/>
  <sheetViews>
    <sheetView tabSelected="1" zoomScale="90" zoomScaleNormal="90" workbookViewId="0">
      <pane xSplit="19770" topLeftCell="AM1"/>
      <selection activeCell="A22" sqref="A22"/>
      <selection pane="topRight" activeCell="AM12" sqref="AM12"/>
    </sheetView>
  </sheetViews>
  <sheetFormatPr baseColWidth="10" defaultColWidth="10.7109375" defaultRowHeight="15" x14ac:dyDescent="0.25"/>
  <cols>
    <col min="1" max="1" width="5.42578125" style="30" bestFit="1" customWidth="1"/>
    <col min="2" max="2" width="13.85546875" style="30" bestFit="1" customWidth="1"/>
    <col min="3" max="3" width="19.85546875" style="30" bestFit="1" customWidth="1"/>
    <col min="4" max="4" width="5.5703125" style="30" customWidth="1"/>
    <col min="5" max="5" width="89.85546875" style="31" bestFit="1" customWidth="1"/>
    <col min="6" max="6" width="15.5703125" style="30" bestFit="1" customWidth="1"/>
    <col min="7" max="8" width="13.85546875" style="30" hidden="1" customWidth="1"/>
    <col min="9" max="9" width="11.28515625" style="32" bestFit="1" customWidth="1"/>
    <col min="10" max="10" width="13.85546875" style="33" customWidth="1"/>
    <col min="11" max="11" width="16.28515625" style="33" bestFit="1" customWidth="1"/>
    <col min="12" max="12" width="62" customWidth="1"/>
  </cols>
  <sheetData>
    <row r="1" spans="1:12" x14ac:dyDescent="0.25">
      <c r="A1" s="1">
        <v>2022</v>
      </c>
      <c r="B1" s="2"/>
      <c r="C1" s="3"/>
      <c r="D1" s="3"/>
      <c r="E1" s="4"/>
      <c r="F1" s="3"/>
      <c r="G1" s="3"/>
      <c r="H1" s="3"/>
      <c r="I1" s="5"/>
      <c r="J1" s="6"/>
      <c r="K1" s="7"/>
    </row>
    <row r="2" spans="1:12" s="50" customFormat="1" ht="18.75" x14ac:dyDescent="0.3">
      <c r="A2" s="48"/>
      <c r="B2" s="157" t="s">
        <v>0</v>
      </c>
      <c r="C2" s="157"/>
      <c r="D2" s="157"/>
      <c r="E2" s="157"/>
      <c r="F2" s="157"/>
      <c r="G2" s="157"/>
      <c r="H2" s="157"/>
      <c r="I2" s="157"/>
      <c r="J2" s="157"/>
      <c r="K2" s="49"/>
    </row>
    <row r="3" spans="1:12" x14ac:dyDescent="0.25">
      <c r="A3" s="3"/>
      <c r="B3" s="2"/>
      <c r="C3" s="3"/>
      <c r="D3" s="3"/>
      <c r="E3" s="4"/>
      <c r="F3" s="3"/>
      <c r="G3" s="3"/>
      <c r="H3" s="3"/>
      <c r="I3" s="5"/>
      <c r="J3" s="6"/>
      <c r="K3" s="7"/>
    </row>
    <row r="4" spans="1:12" x14ac:dyDescent="0.25">
      <c r="A4" s="156" t="s">
        <v>1</v>
      </c>
      <c r="B4" s="156"/>
      <c r="C4" s="106" t="s">
        <v>2</v>
      </c>
      <c r="D4" s="106"/>
      <c r="E4" s="106"/>
      <c r="F4" s="8"/>
      <c r="G4" s="8"/>
      <c r="H4" s="8"/>
      <c r="I4" s="9"/>
      <c r="J4" s="6"/>
      <c r="K4" s="7"/>
    </row>
    <row r="5" spans="1:12" ht="15" customHeight="1" x14ac:dyDescent="0.25">
      <c r="A5" s="156" t="s">
        <v>3</v>
      </c>
      <c r="B5" s="156"/>
      <c r="C5" s="106" t="s">
        <v>4</v>
      </c>
      <c r="D5" s="106"/>
      <c r="E5" s="106"/>
      <c r="F5" s="8"/>
      <c r="G5" s="8"/>
      <c r="H5" s="8"/>
      <c r="I5" s="9"/>
      <c r="J5" s="6"/>
      <c r="K5" s="7"/>
    </row>
    <row r="6" spans="1:12" x14ac:dyDescent="0.25">
      <c r="A6" s="156" t="s">
        <v>5</v>
      </c>
      <c r="B6" s="156"/>
      <c r="C6" s="107">
        <v>2022</v>
      </c>
      <c r="D6" s="108"/>
      <c r="E6" s="107"/>
      <c r="F6" s="8"/>
      <c r="G6" s="8"/>
      <c r="H6" s="8"/>
      <c r="I6" s="9"/>
      <c r="J6" s="6"/>
      <c r="K6" s="7"/>
    </row>
    <row r="7" spans="1:12" x14ac:dyDescent="0.25">
      <c r="A7" s="156" t="s">
        <v>6</v>
      </c>
      <c r="B7" s="156"/>
      <c r="C7" s="107" t="s">
        <v>35</v>
      </c>
      <c r="D7" s="108"/>
      <c r="E7" s="107"/>
      <c r="F7" s="8"/>
      <c r="G7" s="8"/>
      <c r="H7" s="8"/>
      <c r="I7" s="9"/>
      <c r="J7" s="6"/>
      <c r="K7" s="7"/>
    </row>
    <row r="8" spans="1:12" x14ac:dyDescent="0.25">
      <c r="A8" s="3"/>
      <c r="B8" s="8"/>
      <c r="C8" s="8"/>
      <c r="D8" s="8"/>
      <c r="E8" s="10"/>
      <c r="F8" s="8"/>
      <c r="G8" s="8"/>
      <c r="H8" s="8"/>
      <c r="I8" s="9"/>
      <c r="J8" s="6"/>
      <c r="K8" s="7"/>
    </row>
    <row r="9" spans="1:12" ht="38.25" x14ac:dyDescent="0.25">
      <c r="A9" s="11" t="s">
        <v>7</v>
      </c>
      <c r="B9" s="11" t="s">
        <v>8</v>
      </c>
      <c r="C9" s="12" t="s">
        <v>9</v>
      </c>
      <c r="D9" s="11" t="s">
        <v>10</v>
      </c>
      <c r="E9" s="13" t="s">
        <v>11</v>
      </c>
      <c r="F9" s="12" t="s">
        <v>12</v>
      </c>
      <c r="G9" s="12" t="s">
        <v>36</v>
      </c>
      <c r="H9" s="12" t="s">
        <v>37</v>
      </c>
      <c r="I9" s="14" t="s">
        <v>13</v>
      </c>
      <c r="J9" s="15" t="s">
        <v>14</v>
      </c>
      <c r="K9" s="16" t="s">
        <v>15</v>
      </c>
      <c r="L9" s="17" t="s">
        <v>16</v>
      </c>
    </row>
    <row r="10" spans="1:12" s="114" customFormat="1" ht="25.5" x14ac:dyDescent="0.25">
      <c r="A10" s="26">
        <v>1</v>
      </c>
      <c r="B10" s="26" t="s">
        <v>45</v>
      </c>
      <c r="C10" s="18" t="s">
        <v>20</v>
      </c>
      <c r="D10" s="18" t="s">
        <v>21</v>
      </c>
      <c r="E10" s="144" t="s">
        <v>46</v>
      </c>
      <c r="F10" s="18" t="s">
        <v>18</v>
      </c>
      <c r="G10" s="26"/>
      <c r="H10" s="19"/>
      <c r="I10" s="20">
        <v>6</v>
      </c>
      <c r="J10" s="51">
        <v>38150</v>
      </c>
      <c r="K10" s="36">
        <f t="shared" ref="K10:K21" si="0">+I10*J10</f>
        <v>228900</v>
      </c>
      <c r="L10" s="113"/>
    </row>
    <row r="11" spans="1:12" s="114" customFormat="1" ht="25.5" x14ac:dyDescent="0.25">
      <c r="A11" s="23">
        <v>2</v>
      </c>
      <c r="B11" s="23" t="s">
        <v>19</v>
      </c>
      <c r="C11" s="21" t="s">
        <v>20</v>
      </c>
      <c r="D11" s="21" t="s">
        <v>21</v>
      </c>
      <c r="E11" s="145" t="s">
        <v>22</v>
      </c>
      <c r="F11" s="21" t="s">
        <v>18</v>
      </c>
      <c r="G11" s="26"/>
      <c r="H11" s="19"/>
      <c r="I11" s="143">
        <v>26</v>
      </c>
      <c r="J11" s="52">
        <v>46200</v>
      </c>
      <c r="K11" s="34">
        <f t="shared" si="0"/>
        <v>1201200</v>
      </c>
      <c r="L11" s="113"/>
    </row>
    <row r="12" spans="1:12" s="114" customFormat="1" ht="25.5" customHeight="1" x14ac:dyDescent="0.25">
      <c r="A12" s="21">
        <v>3</v>
      </c>
      <c r="B12" s="23" t="s">
        <v>40</v>
      </c>
      <c r="C12" s="21" t="s">
        <v>20</v>
      </c>
      <c r="D12" s="21" t="s">
        <v>21</v>
      </c>
      <c r="E12" s="24" t="s">
        <v>41</v>
      </c>
      <c r="F12" s="21" t="s">
        <v>18</v>
      </c>
      <c r="G12" s="26"/>
      <c r="H12" s="19"/>
      <c r="I12" s="143">
        <v>16</v>
      </c>
      <c r="J12" s="52">
        <v>40550</v>
      </c>
      <c r="K12" s="34">
        <f t="shared" si="0"/>
        <v>648800</v>
      </c>
      <c r="L12" s="113"/>
    </row>
    <row r="13" spans="1:12" s="114" customFormat="1" ht="27" customHeight="1" x14ac:dyDescent="0.25">
      <c r="A13" s="21">
        <v>4</v>
      </c>
      <c r="B13" s="21" t="s">
        <v>38</v>
      </c>
      <c r="C13" s="21" t="s">
        <v>20</v>
      </c>
      <c r="D13" s="21" t="s">
        <v>21</v>
      </c>
      <c r="E13" s="24" t="s">
        <v>39</v>
      </c>
      <c r="F13" s="21" t="s">
        <v>18</v>
      </c>
      <c r="G13" s="26"/>
      <c r="H13" s="19"/>
      <c r="I13" s="143">
        <v>8</v>
      </c>
      <c r="J13" s="52">
        <v>49200</v>
      </c>
      <c r="K13" s="34">
        <f t="shared" si="0"/>
        <v>393600</v>
      </c>
      <c r="L13" s="113"/>
    </row>
    <row r="14" spans="1:12" s="114" customFormat="1" ht="22.5" customHeight="1" x14ac:dyDescent="0.25">
      <c r="A14" s="21">
        <v>5</v>
      </c>
      <c r="B14" s="23" t="s">
        <v>23</v>
      </c>
      <c r="C14" s="21" t="s">
        <v>20</v>
      </c>
      <c r="D14" s="21" t="s">
        <v>21</v>
      </c>
      <c r="E14" s="24" t="s">
        <v>24</v>
      </c>
      <c r="F14" s="21" t="s">
        <v>18</v>
      </c>
      <c r="G14" s="26"/>
      <c r="H14" s="19"/>
      <c r="I14" s="143">
        <v>4</v>
      </c>
      <c r="J14" s="52">
        <v>53600</v>
      </c>
      <c r="K14" s="34">
        <f t="shared" si="0"/>
        <v>214400</v>
      </c>
      <c r="L14" s="113"/>
    </row>
    <row r="15" spans="1:12" s="114" customFormat="1" ht="21" customHeight="1" x14ac:dyDescent="0.25">
      <c r="A15" s="23">
        <v>6</v>
      </c>
      <c r="B15" s="23" t="s">
        <v>32</v>
      </c>
      <c r="C15" s="21" t="s">
        <v>20</v>
      </c>
      <c r="D15" s="21" t="s">
        <v>21</v>
      </c>
      <c r="E15" s="24" t="s">
        <v>33</v>
      </c>
      <c r="F15" s="21" t="s">
        <v>18</v>
      </c>
      <c r="G15" s="26"/>
      <c r="H15" s="19"/>
      <c r="I15" s="143">
        <v>8</v>
      </c>
      <c r="J15" s="52">
        <v>47200</v>
      </c>
      <c r="K15" s="34">
        <f t="shared" si="0"/>
        <v>377600</v>
      </c>
      <c r="L15" s="113"/>
    </row>
    <row r="16" spans="1:12" s="114" customFormat="1" ht="22.5" customHeight="1" x14ac:dyDescent="0.25">
      <c r="A16" s="23">
        <v>7</v>
      </c>
      <c r="B16" s="23" t="s">
        <v>47</v>
      </c>
      <c r="C16" s="21" t="s">
        <v>20</v>
      </c>
      <c r="D16" s="21" t="s">
        <v>21</v>
      </c>
      <c r="E16" s="24" t="s">
        <v>48</v>
      </c>
      <c r="F16" s="21" t="s">
        <v>18</v>
      </c>
      <c r="G16" s="26"/>
      <c r="H16" s="19"/>
      <c r="I16" s="25">
        <v>4</v>
      </c>
      <c r="J16" s="52">
        <v>47200</v>
      </c>
      <c r="K16" s="120">
        <f t="shared" si="0"/>
        <v>188800</v>
      </c>
      <c r="L16" s="113"/>
    </row>
    <row r="17" spans="1:12" s="114" customFormat="1" ht="22.5" customHeight="1" x14ac:dyDescent="0.25">
      <c r="A17" s="23">
        <v>8</v>
      </c>
      <c r="B17" s="23" t="s">
        <v>25</v>
      </c>
      <c r="C17" s="21" t="s">
        <v>20</v>
      </c>
      <c r="D17" s="21" t="s">
        <v>21</v>
      </c>
      <c r="E17" s="24" t="s">
        <v>26</v>
      </c>
      <c r="F17" s="21" t="s">
        <v>18</v>
      </c>
      <c r="G17" s="26"/>
      <c r="H17" s="19"/>
      <c r="I17" s="143">
        <v>20</v>
      </c>
      <c r="J17" s="52">
        <v>50950</v>
      </c>
      <c r="K17" s="34">
        <f t="shared" si="0"/>
        <v>1019000</v>
      </c>
      <c r="L17" s="113"/>
    </row>
    <row r="18" spans="1:12" s="114" customFormat="1" ht="22.5" customHeight="1" x14ac:dyDescent="0.25">
      <c r="A18" s="23">
        <v>9</v>
      </c>
      <c r="B18" s="23" t="s">
        <v>30</v>
      </c>
      <c r="C18" s="21" t="s">
        <v>20</v>
      </c>
      <c r="D18" s="21" t="s">
        <v>21</v>
      </c>
      <c r="E18" s="24" t="s">
        <v>31</v>
      </c>
      <c r="F18" s="21" t="s">
        <v>18</v>
      </c>
      <c r="G18" s="26"/>
      <c r="H18" s="19"/>
      <c r="I18" s="143">
        <v>8</v>
      </c>
      <c r="J18" s="52">
        <v>50950</v>
      </c>
      <c r="K18" s="34">
        <f t="shared" si="0"/>
        <v>407600</v>
      </c>
      <c r="L18" s="113"/>
    </row>
    <row r="19" spans="1:12" s="114" customFormat="1" ht="22.5" customHeight="1" x14ac:dyDescent="0.25">
      <c r="A19" s="23">
        <v>10</v>
      </c>
      <c r="B19" s="23" t="s">
        <v>43</v>
      </c>
      <c r="C19" s="21" t="s">
        <v>20</v>
      </c>
      <c r="D19" s="21" t="s">
        <v>21</v>
      </c>
      <c r="E19" s="24" t="s">
        <v>44</v>
      </c>
      <c r="F19" s="21" t="s">
        <v>17</v>
      </c>
      <c r="G19" s="26"/>
      <c r="H19" s="19"/>
      <c r="I19" s="25">
        <v>4</v>
      </c>
      <c r="J19" s="52">
        <v>52500</v>
      </c>
      <c r="K19" s="34">
        <f t="shared" si="0"/>
        <v>210000</v>
      </c>
      <c r="L19" s="113"/>
    </row>
    <row r="20" spans="1:12" s="114" customFormat="1" ht="18.75" customHeight="1" x14ac:dyDescent="0.25">
      <c r="A20" s="22">
        <v>11</v>
      </c>
      <c r="B20" s="22" t="s">
        <v>34</v>
      </c>
      <c r="C20" s="21" t="s">
        <v>20</v>
      </c>
      <c r="D20" s="21" t="s">
        <v>21</v>
      </c>
      <c r="E20" s="27" t="s">
        <v>42</v>
      </c>
      <c r="F20" s="28" t="s">
        <v>17</v>
      </c>
      <c r="G20" s="26"/>
      <c r="H20" s="19"/>
      <c r="I20" s="25">
        <v>2</v>
      </c>
      <c r="J20" s="53">
        <v>79999</v>
      </c>
      <c r="K20" s="35">
        <f t="shared" si="0"/>
        <v>159998</v>
      </c>
      <c r="L20" s="113"/>
    </row>
    <row r="21" spans="1:12" s="114" customFormat="1" ht="22.5" customHeight="1" thickBot="1" x14ac:dyDescent="0.3">
      <c r="A21" s="21">
        <v>12</v>
      </c>
      <c r="B21" s="23" t="s">
        <v>28</v>
      </c>
      <c r="C21" s="21" t="s">
        <v>20</v>
      </c>
      <c r="D21" s="21" t="s">
        <v>21</v>
      </c>
      <c r="E21" s="24" t="s">
        <v>29</v>
      </c>
      <c r="F21" s="21" t="s">
        <v>18</v>
      </c>
      <c r="G21" s="39"/>
      <c r="H21" s="54"/>
      <c r="I21" s="37">
        <v>4</v>
      </c>
      <c r="J21" s="52">
        <v>40880</v>
      </c>
      <c r="K21" s="35">
        <f t="shared" si="0"/>
        <v>163520</v>
      </c>
      <c r="L21" s="121"/>
    </row>
    <row r="22" spans="1:12" s="44" customFormat="1" ht="25.5" customHeight="1" thickBot="1" x14ac:dyDescent="0.25">
      <c r="A22" s="41"/>
      <c r="B22" s="46"/>
      <c r="C22" s="46"/>
      <c r="D22" s="46"/>
      <c r="E22" s="29" t="s">
        <v>27</v>
      </c>
      <c r="F22" s="46"/>
      <c r="G22" s="40"/>
      <c r="H22" s="47"/>
      <c r="I22" s="38"/>
      <c r="J22" s="42"/>
      <c r="K22" s="45">
        <f>+SUM(K10:K21)</f>
        <v>5213418</v>
      </c>
      <c r="L22" s="43"/>
    </row>
    <row r="24" spans="1:12" ht="15.75" thickBot="1" x14ac:dyDescent="0.3"/>
    <row r="25" spans="1:12" ht="44.25" customHeight="1" x14ac:dyDescent="0.25">
      <c r="C25" s="148" t="s">
        <v>111</v>
      </c>
      <c r="D25" s="152" t="s">
        <v>225</v>
      </c>
      <c r="E25" s="153"/>
    </row>
    <row r="26" spans="1:12" x14ac:dyDescent="0.25">
      <c r="C26" s="130"/>
      <c r="D26" s="3"/>
      <c r="E26" s="131"/>
    </row>
    <row r="27" spans="1:12" x14ac:dyDescent="0.25">
      <c r="C27" s="130" t="s">
        <v>112</v>
      </c>
      <c r="D27" s="154" t="s">
        <v>113</v>
      </c>
      <c r="E27" s="155"/>
    </row>
    <row r="28" spans="1:12" x14ac:dyDescent="0.25">
      <c r="C28" s="130"/>
      <c r="D28" s="3"/>
      <c r="E28" s="131"/>
    </row>
    <row r="29" spans="1:12" x14ac:dyDescent="0.25">
      <c r="C29" s="130" t="s">
        <v>114</v>
      </c>
      <c r="D29" s="132" t="s">
        <v>115</v>
      </c>
      <c r="E29" s="131"/>
    </row>
    <row r="30" spans="1:12" x14ac:dyDescent="0.25">
      <c r="C30" s="130"/>
      <c r="D30" s="132"/>
      <c r="E30" s="131"/>
    </row>
    <row r="31" spans="1:12" ht="30" x14ac:dyDescent="0.25">
      <c r="C31" s="130" t="s">
        <v>116</v>
      </c>
      <c r="D31" s="3"/>
      <c r="E31" s="131"/>
    </row>
    <row r="32" spans="1:12" x14ac:dyDescent="0.25">
      <c r="C32" s="130"/>
      <c r="D32" s="3"/>
      <c r="E32" s="131"/>
    </row>
    <row r="33" spans="3:5" x14ac:dyDescent="0.25">
      <c r="C33" s="130" t="s">
        <v>117</v>
      </c>
      <c r="D33" s="132" t="s">
        <v>118</v>
      </c>
      <c r="E33" s="131"/>
    </row>
    <row r="34" spans="3:5" x14ac:dyDescent="0.25">
      <c r="C34" s="130"/>
      <c r="D34" s="132"/>
      <c r="E34" s="131"/>
    </row>
    <row r="35" spans="3:5" ht="42" customHeight="1" x14ac:dyDescent="0.25">
      <c r="C35" s="149" t="s">
        <v>119</v>
      </c>
      <c r="D35" s="150" t="s">
        <v>224</v>
      </c>
      <c r="E35" s="151"/>
    </row>
    <row r="36" spans="3:5" ht="15.75" thickBot="1" x14ac:dyDescent="0.3">
      <c r="C36" s="133"/>
      <c r="D36" s="134"/>
      <c r="E36" s="135"/>
    </row>
  </sheetData>
  <sortState xmlns:xlrd2="http://schemas.microsoft.com/office/spreadsheetml/2017/richdata2" ref="A10:L21">
    <sortCondition ref="E10"/>
  </sortState>
  <mergeCells count="8">
    <mergeCell ref="D35:E35"/>
    <mergeCell ref="D25:E25"/>
    <mergeCell ref="D27:E27"/>
    <mergeCell ref="A7:B7"/>
    <mergeCell ref="B2:J2"/>
    <mergeCell ref="A4:B4"/>
    <mergeCell ref="A5:B5"/>
    <mergeCell ref="A6:B6"/>
  </mergeCells>
  <conditionalFormatting sqref="B1:B9 E1:E9">
    <cfRule type="duplicateValues" dxfId="19" priority="239"/>
  </conditionalFormatting>
  <conditionalFormatting sqref="E1:E9 B1:B9">
    <cfRule type="duplicateValues" dxfId="18" priority="240"/>
  </conditionalFormatting>
  <conditionalFormatting sqref="E22 B22">
    <cfRule type="duplicateValues" dxfId="17" priority="429"/>
  </conditionalFormatting>
  <conditionalFormatting sqref="B22">
    <cfRule type="duplicateValues" dxfId="16" priority="431"/>
  </conditionalFormatting>
  <conditionalFormatting sqref="B22">
    <cfRule type="duplicateValues" dxfId="15" priority="432"/>
  </conditionalFormatting>
  <conditionalFormatting sqref="E22">
    <cfRule type="duplicateValues" dxfId="14" priority="433"/>
  </conditionalFormatting>
  <conditionalFormatting sqref="E22">
    <cfRule type="duplicateValues" dxfId="13" priority="434"/>
    <cfRule type="duplicateValues" dxfId="12" priority="435"/>
  </conditionalFormatting>
  <conditionalFormatting sqref="B1:B9">
    <cfRule type="duplicateValues" dxfId="11" priority="577"/>
  </conditionalFormatting>
  <conditionalFormatting sqref="E1:E9">
    <cfRule type="duplicateValues" dxfId="10" priority="578"/>
  </conditionalFormatting>
  <conditionalFormatting sqref="E1:E9">
    <cfRule type="duplicateValues" dxfId="9" priority="579"/>
    <cfRule type="duplicateValues" dxfId="8" priority="580"/>
  </conditionalFormatting>
  <conditionalFormatting sqref="E10:E21">
    <cfRule type="duplicateValues" dxfId="7" priority="582"/>
  </conditionalFormatting>
  <conditionalFormatting sqref="E10:E21">
    <cfRule type="duplicateValues" dxfId="6" priority="583"/>
    <cfRule type="duplicateValues" dxfId="5" priority="584"/>
  </conditionalFormatting>
  <conditionalFormatting sqref="B10:B21 E10:E21">
    <cfRule type="duplicateValues" dxfId="4" priority="585"/>
  </conditionalFormatting>
  <conditionalFormatting sqref="B10:B21">
    <cfRule type="duplicateValues" dxfId="3" priority="587"/>
  </conditionalFormatting>
  <conditionalFormatting sqref="B10:B21">
    <cfRule type="duplicateValues" dxfId="2" priority="588"/>
  </conditionalFormatting>
  <conditionalFormatting sqref="C25:C35">
    <cfRule type="duplicateValues" dxfId="1" priority="1"/>
  </conditionalFormatting>
  <conditionalFormatting sqref="C25:C3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opLeftCell="A40" workbookViewId="0">
      <selection activeCell="H20" sqref="H20"/>
    </sheetView>
  </sheetViews>
  <sheetFormatPr baseColWidth="10" defaultColWidth="10.7109375" defaultRowHeight="15" x14ac:dyDescent="0.25"/>
  <cols>
    <col min="1" max="1" width="48.7109375" style="140" customWidth="1"/>
    <col min="2" max="6" width="11.42578125" style="140"/>
  </cols>
  <sheetData>
    <row r="1" spans="1:6" ht="32.25" customHeight="1" x14ac:dyDescent="0.2">
      <c r="A1" s="158" t="s">
        <v>188</v>
      </c>
      <c r="B1" s="158"/>
      <c r="C1" s="158"/>
      <c r="D1" s="158"/>
      <c r="E1" s="158"/>
      <c r="F1" s="158"/>
    </row>
    <row r="2" spans="1:6" x14ac:dyDescent="0.25">
      <c r="A2" s="138" t="s">
        <v>125</v>
      </c>
      <c r="B2" s="138" t="s">
        <v>126</v>
      </c>
      <c r="C2" s="138" t="s">
        <v>127</v>
      </c>
      <c r="D2" s="138" t="s">
        <v>128</v>
      </c>
      <c r="E2" s="137" t="s">
        <v>129</v>
      </c>
      <c r="F2" s="138" t="s">
        <v>130</v>
      </c>
    </row>
    <row r="3" spans="1:6" ht="21" x14ac:dyDescent="0.2">
      <c r="A3" s="136" t="s">
        <v>120</v>
      </c>
      <c r="B3" s="137" t="s">
        <v>121</v>
      </c>
      <c r="C3" s="137" t="s">
        <v>122</v>
      </c>
      <c r="D3" s="137" t="s">
        <v>123</v>
      </c>
      <c r="E3" s="137">
        <v>2015</v>
      </c>
      <c r="F3" s="137" t="s">
        <v>124</v>
      </c>
    </row>
    <row r="4" spans="1:6" ht="21" x14ac:dyDescent="0.2">
      <c r="A4" s="136" t="s">
        <v>131</v>
      </c>
      <c r="B4" s="137" t="s">
        <v>132</v>
      </c>
      <c r="C4" s="137">
        <v>7250726</v>
      </c>
      <c r="D4" s="137" t="s">
        <v>133</v>
      </c>
      <c r="E4" s="137">
        <v>2016</v>
      </c>
      <c r="F4" s="137" t="s">
        <v>134</v>
      </c>
    </row>
    <row r="5" spans="1:6" ht="21" x14ac:dyDescent="0.2">
      <c r="A5" s="136" t="s">
        <v>135</v>
      </c>
      <c r="B5" s="137" t="s">
        <v>136</v>
      </c>
      <c r="C5" s="137">
        <v>7166125</v>
      </c>
      <c r="D5" s="137" t="s">
        <v>137</v>
      </c>
      <c r="E5" s="137">
        <v>2014</v>
      </c>
      <c r="F5" s="137" t="s">
        <v>134</v>
      </c>
    </row>
    <row r="6" spans="1:6" ht="21" x14ac:dyDescent="0.2">
      <c r="A6" s="139" t="s">
        <v>138</v>
      </c>
      <c r="B6" s="137" t="s">
        <v>139</v>
      </c>
      <c r="C6" s="137" t="s">
        <v>140</v>
      </c>
      <c r="D6" s="137" t="s">
        <v>141</v>
      </c>
      <c r="E6" s="137">
        <v>2007</v>
      </c>
      <c r="F6" s="137" t="s">
        <v>134</v>
      </c>
    </row>
    <row r="7" spans="1:6" ht="21" x14ac:dyDescent="0.2">
      <c r="A7" s="139" t="s">
        <v>142</v>
      </c>
      <c r="B7" s="137" t="s">
        <v>143</v>
      </c>
      <c r="C7" s="137">
        <v>7250657</v>
      </c>
      <c r="D7" s="139" t="s">
        <v>144</v>
      </c>
      <c r="E7" s="137">
        <v>2016</v>
      </c>
      <c r="F7" s="137" t="s">
        <v>134</v>
      </c>
    </row>
    <row r="8" spans="1:6" ht="21" x14ac:dyDescent="0.2">
      <c r="A8" s="139" t="s">
        <v>145</v>
      </c>
      <c r="B8" s="137" t="s">
        <v>146</v>
      </c>
      <c r="C8" s="137" t="s">
        <v>147</v>
      </c>
      <c r="D8" s="137" t="s">
        <v>148</v>
      </c>
      <c r="E8" s="137">
        <v>2020</v>
      </c>
      <c r="F8" s="137" t="s">
        <v>134</v>
      </c>
    </row>
    <row r="9" spans="1:6" ht="21" x14ac:dyDescent="0.2">
      <c r="A9" s="136" t="s">
        <v>149</v>
      </c>
      <c r="B9" s="137" t="s">
        <v>150</v>
      </c>
      <c r="C9" s="137" t="s">
        <v>151</v>
      </c>
      <c r="D9" s="137" t="s">
        <v>152</v>
      </c>
      <c r="E9" s="137">
        <v>2021</v>
      </c>
      <c r="F9" s="137" t="s">
        <v>134</v>
      </c>
    </row>
    <row r="10" spans="1:6" ht="21" x14ac:dyDescent="0.2">
      <c r="A10" s="139" t="s">
        <v>153</v>
      </c>
      <c r="B10" s="137" t="s">
        <v>154</v>
      </c>
      <c r="C10" s="137">
        <v>7250709</v>
      </c>
      <c r="D10" s="137" t="s">
        <v>155</v>
      </c>
      <c r="E10" s="137">
        <v>2016</v>
      </c>
      <c r="F10" s="137" t="s">
        <v>134</v>
      </c>
    </row>
    <row r="11" spans="1:6" ht="21" x14ac:dyDescent="0.2">
      <c r="A11" s="136" t="s">
        <v>156</v>
      </c>
      <c r="B11" s="137" t="s">
        <v>157</v>
      </c>
      <c r="C11" s="137">
        <v>7167125</v>
      </c>
      <c r="D11" s="137" t="s">
        <v>158</v>
      </c>
      <c r="E11" s="137">
        <v>2014</v>
      </c>
      <c r="F11" s="137" t="s">
        <v>134</v>
      </c>
    </row>
    <row r="12" spans="1:6" ht="21" x14ac:dyDescent="0.2">
      <c r="A12" s="136" t="s">
        <v>156</v>
      </c>
      <c r="B12" s="137" t="s">
        <v>159</v>
      </c>
      <c r="C12" s="137">
        <v>7250752</v>
      </c>
      <c r="D12" s="137" t="s">
        <v>160</v>
      </c>
      <c r="E12" s="137">
        <v>2016</v>
      </c>
      <c r="F12" s="137" t="s">
        <v>134</v>
      </c>
    </row>
    <row r="13" spans="1:6" ht="21" x14ac:dyDescent="0.2">
      <c r="A13" s="136" t="s">
        <v>161</v>
      </c>
      <c r="B13" s="137" t="s">
        <v>162</v>
      </c>
      <c r="C13" s="137" t="s">
        <v>163</v>
      </c>
      <c r="D13" s="137" t="s">
        <v>164</v>
      </c>
      <c r="E13" s="137">
        <v>2016</v>
      </c>
      <c r="F13" s="137" t="s">
        <v>134</v>
      </c>
    </row>
    <row r="14" spans="1:6" ht="21" x14ac:dyDescent="0.2">
      <c r="A14" s="136" t="s">
        <v>149</v>
      </c>
      <c r="B14" s="137" t="s">
        <v>150</v>
      </c>
      <c r="C14" s="137" t="s">
        <v>151</v>
      </c>
      <c r="D14" s="137" t="s">
        <v>152</v>
      </c>
      <c r="E14" s="137">
        <v>2021</v>
      </c>
      <c r="F14" s="137" t="s">
        <v>134</v>
      </c>
    </row>
    <row r="15" spans="1:6" ht="21" x14ac:dyDescent="0.2">
      <c r="A15" s="136" t="s">
        <v>165</v>
      </c>
      <c r="B15" s="137" t="s">
        <v>166</v>
      </c>
      <c r="C15" s="137" t="s">
        <v>167</v>
      </c>
      <c r="D15" s="137" t="s">
        <v>168</v>
      </c>
      <c r="E15" s="137">
        <v>2017</v>
      </c>
      <c r="F15" s="137" t="s">
        <v>134</v>
      </c>
    </row>
    <row r="16" spans="1:6" ht="21" x14ac:dyDescent="0.2">
      <c r="A16" s="136" t="s">
        <v>149</v>
      </c>
      <c r="B16" s="137" t="s">
        <v>169</v>
      </c>
      <c r="C16" s="137" t="s">
        <v>170</v>
      </c>
      <c r="D16" s="137" t="s">
        <v>171</v>
      </c>
      <c r="E16" s="137">
        <v>2020</v>
      </c>
      <c r="F16" s="137" t="s">
        <v>134</v>
      </c>
    </row>
    <row r="17" spans="1:6" ht="21" x14ac:dyDescent="0.2">
      <c r="A17" s="136" t="s">
        <v>172</v>
      </c>
      <c r="B17" s="137" t="s">
        <v>173</v>
      </c>
      <c r="C17" s="137" t="s">
        <v>174</v>
      </c>
      <c r="D17" s="137" t="s">
        <v>175</v>
      </c>
      <c r="E17" s="137">
        <v>2021</v>
      </c>
      <c r="F17" s="137" t="s">
        <v>124</v>
      </c>
    </row>
    <row r="18" spans="1:6" ht="22.5" x14ac:dyDescent="0.25">
      <c r="A18" s="139" t="s">
        <v>176</v>
      </c>
      <c r="B18" s="137" t="s">
        <v>177</v>
      </c>
      <c r="C18" s="137" t="s">
        <v>178</v>
      </c>
      <c r="D18" s="137" t="s">
        <v>179</v>
      </c>
      <c r="E18" s="137">
        <v>2008</v>
      </c>
      <c r="F18" s="137" t="s">
        <v>134</v>
      </c>
    </row>
    <row r="19" spans="1:6" ht="22.5" x14ac:dyDescent="0.25">
      <c r="A19" s="136" t="s">
        <v>228</v>
      </c>
      <c r="B19" s="146" t="s">
        <v>229</v>
      </c>
      <c r="C19" s="147" t="s">
        <v>230</v>
      </c>
      <c r="D19" s="146" t="s">
        <v>231</v>
      </c>
      <c r="E19" s="146">
        <v>2021</v>
      </c>
      <c r="F19" s="146" t="s">
        <v>134</v>
      </c>
    </row>
    <row r="20" spans="1:6" ht="22.5" x14ac:dyDescent="0.25">
      <c r="A20" s="136" t="s">
        <v>180</v>
      </c>
      <c r="B20" s="137" t="s">
        <v>181</v>
      </c>
      <c r="C20" s="137">
        <v>7250753</v>
      </c>
      <c r="D20" s="137" t="s">
        <v>182</v>
      </c>
      <c r="E20" s="137">
        <v>2016</v>
      </c>
      <c r="F20" s="137" t="s">
        <v>134</v>
      </c>
    </row>
    <row r="21" spans="1:6" ht="21" x14ac:dyDescent="0.2">
      <c r="A21" s="136" t="s">
        <v>180</v>
      </c>
      <c r="B21" s="137" t="s">
        <v>183</v>
      </c>
      <c r="C21" s="137">
        <v>7167242</v>
      </c>
      <c r="D21" s="137" t="s">
        <v>184</v>
      </c>
      <c r="E21" s="137">
        <v>2013</v>
      </c>
      <c r="F21" s="137" t="s">
        <v>134</v>
      </c>
    </row>
    <row r="22" spans="1:6" ht="21" x14ac:dyDescent="0.2">
      <c r="A22" s="136" t="s">
        <v>185</v>
      </c>
      <c r="B22" s="137" t="s">
        <v>186</v>
      </c>
      <c r="C22" s="137">
        <v>7250703</v>
      </c>
      <c r="D22" s="137" t="s">
        <v>187</v>
      </c>
      <c r="E22" s="137">
        <v>2016</v>
      </c>
      <c r="F22" s="137" t="s">
        <v>134</v>
      </c>
    </row>
    <row r="23" spans="1:6" ht="38.25" customHeight="1" x14ac:dyDescent="0.2">
      <c r="A23" s="158" t="s">
        <v>199</v>
      </c>
      <c r="B23" s="158"/>
      <c r="C23" s="158"/>
      <c r="D23" s="158"/>
      <c r="E23" s="158"/>
      <c r="F23" s="158"/>
    </row>
    <row r="24" spans="1:6" ht="21" x14ac:dyDescent="0.2">
      <c r="A24" s="136" t="s">
        <v>189</v>
      </c>
      <c r="B24" s="137" t="s">
        <v>190</v>
      </c>
      <c r="C24" s="137" t="s">
        <v>191</v>
      </c>
      <c r="D24" s="137" t="s">
        <v>192</v>
      </c>
      <c r="E24" s="137">
        <v>2019</v>
      </c>
      <c r="F24" s="137" t="s">
        <v>124</v>
      </c>
    </row>
    <row r="25" spans="1:6" ht="21" x14ac:dyDescent="0.2">
      <c r="A25" s="139" t="s">
        <v>193</v>
      </c>
      <c r="B25" s="137" t="s">
        <v>194</v>
      </c>
      <c r="C25" s="137">
        <v>61198170071973</v>
      </c>
      <c r="D25" s="137" t="s">
        <v>195</v>
      </c>
      <c r="E25" s="137">
        <v>2008</v>
      </c>
      <c r="F25" s="137" t="s">
        <v>124</v>
      </c>
    </row>
    <row r="26" spans="1:6" ht="21" x14ac:dyDescent="0.2">
      <c r="A26" s="139" t="s">
        <v>196</v>
      </c>
      <c r="B26" s="137" t="s">
        <v>197</v>
      </c>
      <c r="C26" s="137">
        <v>61198170074409</v>
      </c>
      <c r="D26" s="137" t="s">
        <v>198</v>
      </c>
      <c r="E26" s="137">
        <v>2008</v>
      </c>
      <c r="F26" s="137" t="s">
        <v>124</v>
      </c>
    </row>
    <row r="27" spans="1:6" ht="32.25" customHeight="1" x14ac:dyDescent="0.2">
      <c r="A27" s="158" t="s">
        <v>203</v>
      </c>
      <c r="B27" s="158"/>
      <c r="C27" s="158"/>
      <c r="D27" s="158"/>
      <c r="E27" s="158"/>
      <c r="F27" s="158"/>
    </row>
    <row r="28" spans="1:6" ht="21" x14ac:dyDescent="0.2">
      <c r="A28" s="136" t="s">
        <v>149</v>
      </c>
      <c r="B28" s="137" t="s">
        <v>200</v>
      </c>
      <c r="C28" s="137" t="s">
        <v>201</v>
      </c>
      <c r="D28" s="141" t="s">
        <v>202</v>
      </c>
      <c r="E28" s="137">
        <v>2021</v>
      </c>
      <c r="F28" s="137" t="s">
        <v>134</v>
      </c>
    </row>
    <row r="30" spans="1:6" ht="30.75" customHeight="1" x14ac:dyDescent="0.25">
      <c r="A30" s="158" t="s">
        <v>208</v>
      </c>
      <c r="B30" s="158"/>
      <c r="C30" s="158"/>
      <c r="D30" s="158"/>
      <c r="E30" s="158"/>
      <c r="F30" s="158"/>
    </row>
    <row r="31" spans="1:6" ht="22.5" x14ac:dyDescent="0.25">
      <c r="A31" s="139" t="s">
        <v>204</v>
      </c>
      <c r="B31" s="137" t="s">
        <v>205</v>
      </c>
      <c r="C31" s="137" t="s">
        <v>206</v>
      </c>
      <c r="D31" s="137" t="s">
        <v>207</v>
      </c>
      <c r="E31" s="137">
        <v>2011</v>
      </c>
      <c r="F31" s="137" t="s">
        <v>124</v>
      </c>
    </row>
    <row r="32" spans="1:6" ht="28.5" customHeight="1" x14ac:dyDescent="0.25">
      <c r="A32" s="158" t="s">
        <v>213</v>
      </c>
      <c r="B32" s="158"/>
      <c r="C32" s="158"/>
      <c r="D32" s="158"/>
      <c r="E32" s="158"/>
      <c r="F32" s="158"/>
    </row>
    <row r="33" spans="1:6" ht="22.5" x14ac:dyDescent="0.25">
      <c r="A33" s="139" t="s">
        <v>209</v>
      </c>
      <c r="B33" s="137" t="s">
        <v>210</v>
      </c>
      <c r="C33" s="137" t="s">
        <v>211</v>
      </c>
      <c r="D33" s="137" t="s">
        <v>212</v>
      </c>
      <c r="E33" s="137">
        <v>2017</v>
      </c>
      <c r="F33" s="137" t="s">
        <v>124</v>
      </c>
    </row>
    <row r="34" spans="1:6" ht="30" customHeight="1" x14ac:dyDescent="0.25">
      <c r="A34" s="158" t="s">
        <v>218</v>
      </c>
      <c r="B34" s="158"/>
      <c r="C34" s="158"/>
      <c r="D34" s="158"/>
      <c r="E34" s="158"/>
      <c r="F34" s="158"/>
    </row>
    <row r="35" spans="1:6" ht="22.5" x14ac:dyDescent="0.25">
      <c r="A35" s="136" t="s">
        <v>214</v>
      </c>
      <c r="B35" s="137" t="s">
        <v>215</v>
      </c>
      <c r="C35" s="137" t="s">
        <v>216</v>
      </c>
      <c r="D35" s="137" t="s">
        <v>217</v>
      </c>
      <c r="E35" s="137">
        <v>2007</v>
      </c>
      <c r="F35" s="137" t="s">
        <v>124</v>
      </c>
    </row>
    <row r="36" spans="1:6" ht="22.5" customHeight="1" x14ac:dyDescent="0.25">
      <c r="A36" s="158" t="s">
        <v>223</v>
      </c>
      <c r="B36" s="158"/>
      <c r="C36" s="158"/>
      <c r="D36" s="158"/>
      <c r="E36" s="158"/>
      <c r="F36" s="158"/>
    </row>
    <row r="37" spans="1:6" ht="22.5" x14ac:dyDescent="0.25">
      <c r="A37" s="139" t="s">
        <v>219</v>
      </c>
      <c r="B37" s="137" t="s">
        <v>220</v>
      </c>
      <c r="C37" s="137" t="s">
        <v>221</v>
      </c>
      <c r="D37" s="137" t="s">
        <v>222</v>
      </c>
      <c r="E37" s="137">
        <v>2018</v>
      </c>
      <c r="F37" s="137" t="s">
        <v>124</v>
      </c>
    </row>
  </sheetData>
  <mergeCells count="7">
    <mergeCell ref="A34:F34"/>
    <mergeCell ref="A36:F36"/>
    <mergeCell ref="A1:F1"/>
    <mergeCell ref="A23:F23"/>
    <mergeCell ref="A27:F27"/>
    <mergeCell ref="A30:F30"/>
    <mergeCell ref="A32:F3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selection activeCell="K12" sqref="K12"/>
    </sheetView>
  </sheetViews>
  <sheetFormatPr baseColWidth="10" defaultColWidth="10.7109375" defaultRowHeight="15" x14ac:dyDescent="0.25"/>
  <cols>
    <col min="1" max="1" width="5.5703125" customWidth="1"/>
    <col min="2" max="2" width="15.140625" style="119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5" customWidth="1"/>
    <col min="8" max="8" width="9.28515625" customWidth="1"/>
    <col min="9" max="9" width="15.5703125" customWidth="1"/>
    <col min="10" max="10" width="14.7109375" style="128" customWidth="1"/>
    <col min="11" max="11" width="15.5703125" customWidth="1"/>
  </cols>
  <sheetData>
    <row r="1" spans="1:11" ht="30.75" thickBot="1" x14ac:dyDescent="0.3">
      <c r="A1" s="173" t="s">
        <v>49</v>
      </c>
      <c r="B1" s="173"/>
      <c r="C1" s="173"/>
      <c r="D1" s="173"/>
      <c r="E1" s="173"/>
      <c r="F1" s="173"/>
      <c r="G1" s="173"/>
      <c r="H1" s="173"/>
      <c r="I1" s="173"/>
      <c r="J1" s="122" t="s">
        <v>50</v>
      </c>
      <c r="K1" s="55"/>
    </row>
    <row r="2" spans="1:11" ht="15.75" thickBot="1" x14ac:dyDescent="0.25">
      <c r="A2" s="56"/>
      <c r="B2" s="115"/>
      <c r="C2" s="57"/>
      <c r="D2" s="58"/>
      <c r="E2" s="58"/>
      <c r="F2" s="58"/>
      <c r="G2" s="58"/>
      <c r="H2" s="58"/>
      <c r="I2" s="58"/>
      <c r="J2" s="123"/>
      <c r="K2" s="59"/>
    </row>
    <row r="3" spans="1:11" ht="16.5" customHeight="1" thickBot="1" x14ac:dyDescent="0.3">
      <c r="A3" s="170" t="s">
        <v>51</v>
      </c>
      <c r="B3" s="170"/>
      <c r="C3" s="170"/>
      <c r="D3" s="109" t="str">
        <f>'SAF 011'!C4</f>
        <v>040 - MINISTERIO DE SALUD</v>
      </c>
      <c r="E3" s="110"/>
      <c r="F3" s="110"/>
      <c r="G3" s="110"/>
      <c r="H3" s="110"/>
      <c r="I3" s="110"/>
      <c r="J3" s="124"/>
      <c r="K3" s="111"/>
    </row>
    <row r="4" spans="1:11" ht="16.5" customHeight="1" thickBot="1" x14ac:dyDescent="0.25">
      <c r="A4" s="171" t="s">
        <v>52</v>
      </c>
      <c r="B4" s="171"/>
      <c r="C4" s="171"/>
      <c r="D4" s="109" t="str">
        <f>'SAF 011'!C5</f>
        <v>011 - DIRECCION PROVINCIAL DE ADMINISTRACION - MINISTERIO DE SALUD</v>
      </c>
      <c r="E4" s="110"/>
      <c r="F4" s="110"/>
      <c r="G4" s="110"/>
      <c r="H4" s="110"/>
      <c r="I4" s="110"/>
      <c r="J4" s="124"/>
      <c r="K4" s="111"/>
    </row>
    <row r="5" spans="1:11" ht="16.5" customHeight="1" thickBot="1" x14ac:dyDescent="0.25">
      <c r="A5" s="171" t="s">
        <v>53</v>
      </c>
      <c r="B5" s="171"/>
      <c r="C5" s="171"/>
      <c r="D5" s="109" t="s">
        <v>87</v>
      </c>
      <c r="E5" s="110"/>
      <c r="F5" s="110"/>
      <c r="G5" s="110"/>
      <c r="H5" s="110"/>
      <c r="I5" s="110"/>
      <c r="J5" s="124"/>
      <c r="K5" s="111"/>
    </row>
    <row r="6" spans="1:11" ht="16.5" customHeight="1" thickBot="1" x14ac:dyDescent="0.25">
      <c r="A6" s="170" t="s">
        <v>54</v>
      </c>
      <c r="B6" s="170"/>
      <c r="C6" s="170"/>
      <c r="D6" s="109" t="s">
        <v>87</v>
      </c>
      <c r="E6" s="110"/>
      <c r="F6" s="110"/>
      <c r="G6" s="110"/>
      <c r="H6" s="110"/>
      <c r="I6" s="110"/>
      <c r="J6" s="124"/>
      <c r="K6" s="111"/>
    </row>
    <row r="7" spans="1:11" ht="16.5" thickBot="1" x14ac:dyDescent="0.3">
      <c r="A7" s="171" t="s">
        <v>55</v>
      </c>
      <c r="B7" s="171"/>
      <c r="C7" s="171"/>
      <c r="D7" s="109" t="s">
        <v>88</v>
      </c>
      <c r="E7" s="110"/>
      <c r="F7" s="110"/>
      <c r="G7" s="110"/>
      <c r="H7" s="110"/>
      <c r="I7" s="110"/>
      <c r="J7" s="124"/>
      <c r="K7" s="111"/>
    </row>
    <row r="8" spans="1:11" ht="16.5" customHeight="1" thickBot="1" x14ac:dyDescent="0.25">
      <c r="A8" s="172" t="s">
        <v>56</v>
      </c>
      <c r="B8" s="172"/>
      <c r="C8" s="172"/>
      <c r="D8" s="112" t="s">
        <v>89</v>
      </c>
      <c r="E8" s="110"/>
      <c r="F8" s="110"/>
      <c r="G8" s="110"/>
      <c r="H8" s="110"/>
      <c r="I8" s="110"/>
      <c r="J8" s="124"/>
      <c r="K8" s="111"/>
    </row>
    <row r="9" spans="1:11" ht="15.75" thickBot="1" x14ac:dyDescent="0.25">
      <c r="A9" s="60"/>
      <c r="B9" s="116"/>
      <c r="C9" s="61"/>
      <c r="D9" s="62"/>
      <c r="E9" s="62"/>
      <c r="F9" s="62"/>
      <c r="G9" s="62"/>
      <c r="H9" s="62"/>
      <c r="I9" s="62"/>
      <c r="J9" s="125"/>
      <c r="K9" s="63"/>
    </row>
    <row r="10" spans="1:11" ht="15.75" thickBot="1" x14ac:dyDescent="0.3">
      <c r="A10" s="169" t="s">
        <v>57</v>
      </c>
      <c r="B10" s="167" t="s">
        <v>58</v>
      </c>
      <c r="C10" s="167" t="s">
        <v>59</v>
      </c>
      <c r="D10" s="167"/>
      <c r="E10" s="167"/>
      <c r="F10" s="167"/>
      <c r="G10" s="167"/>
      <c r="H10" s="167" t="s">
        <v>60</v>
      </c>
      <c r="I10" s="167" t="s">
        <v>61</v>
      </c>
      <c r="J10" s="168" t="s">
        <v>62</v>
      </c>
      <c r="K10" s="165" t="s">
        <v>63</v>
      </c>
    </row>
    <row r="11" spans="1:11" ht="23.25" customHeight="1" thickBot="1" x14ac:dyDescent="0.3">
      <c r="A11" s="169"/>
      <c r="B11" s="167"/>
      <c r="C11" s="167"/>
      <c r="D11" s="167"/>
      <c r="E11" s="167"/>
      <c r="F11" s="167"/>
      <c r="G11" s="167"/>
      <c r="H11" s="167"/>
      <c r="I11" s="167"/>
      <c r="J11" s="168"/>
      <c r="K11" s="165"/>
    </row>
    <row r="12" spans="1:11" ht="47.25" customHeight="1" x14ac:dyDescent="0.2">
      <c r="A12" s="64">
        <v>1</v>
      </c>
      <c r="B12" s="117" t="str">
        <f>'SAF 011'!B10</f>
        <v>2.4.4-6818.980</v>
      </c>
      <c r="C12" s="166" t="str">
        <f>'SAF 011'!E10</f>
        <v>NEUMATICOS; VEHICULO: AMBULANCIA/FURGON/MINIBUS, CONSTRUCCION: RADIAL, ARMADO: S/CAMARA, MEDIDA: 195/70-R15</v>
      </c>
      <c r="D12" s="166"/>
      <c r="E12" s="166"/>
      <c r="F12" s="166"/>
      <c r="G12" s="166"/>
      <c r="H12" s="65" t="s">
        <v>90</v>
      </c>
      <c r="I12" s="66" t="str">
        <f>'SAF 011'!F10</f>
        <v>UNIDAD</v>
      </c>
      <c r="J12" s="126">
        <f>'SAF 011'!J10</f>
        <v>38150</v>
      </c>
      <c r="K12" s="67">
        <v>6</v>
      </c>
    </row>
    <row r="13" spans="1:11" ht="43.5" customHeight="1" x14ac:dyDescent="0.2">
      <c r="A13" s="68">
        <v>2</v>
      </c>
      <c r="B13" s="118" t="str">
        <f>'SAF 011'!B16</f>
        <v>2.4.4-6818.53</v>
      </c>
      <c r="C13" s="162" t="str">
        <f>'SAF 011'!E16</f>
        <v>NEUMATICOS; VEHICULO: CAMIONETA, CONSTRUCCION: RADIAL, ARMADO: S/CAMARA, MEDIDA: 235/75R16</v>
      </c>
      <c r="D13" s="163"/>
      <c r="E13" s="163"/>
      <c r="F13" s="163"/>
      <c r="G13" s="164"/>
      <c r="H13" s="69" t="s">
        <v>90</v>
      </c>
      <c r="I13" s="70" t="str">
        <f>'SAF 011'!F16</f>
        <v>UNIDAD</v>
      </c>
      <c r="J13" s="127">
        <f>'SAF 011'!J16</f>
        <v>47200</v>
      </c>
      <c r="K13" s="71">
        <v>4</v>
      </c>
    </row>
    <row r="14" spans="1:11" ht="16.5" customHeight="1" x14ac:dyDescent="0.2">
      <c r="A14" s="68"/>
      <c r="B14" s="118"/>
      <c r="C14" s="162"/>
      <c r="D14" s="163"/>
      <c r="E14" s="163"/>
      <c r="F14" s="163"/>
      <c r="G14" s="164"/>
      <c r="H14" s="69"/>
      <c r="I14" s="70"/>
      <c r="J14" s="127"/>
      <c r="K14" s="71"/>
    </row>
    <row r="15" spans="1:11" ht="19.5" thickBot="1" x14ac:dyDescent="0.3">
      <c r="A15" s="161" t="s">
        <v>93</v>
      </c>
      <c r="B15" s="161"/>
      <c r="C15" s="161"/>
      <c r="D15" s="161"/>
      <c r="E15" s="161"/>
      <c r="F15" s="161"/>
      <c r="G15" s="161"/>
      <c r="H15" s="161"/>
      <c r="I15" s="161"/>
      <c r="J15" s="159">
        <f>SUMPRODUCT(J12:J14,K12:K14)</f>
        <v>417700</v>
      </c>
      <c r="K15" s="160"/>
    </row>
  </sheetData>
  <mergeCells count="19">
    <mergeCell ref="A6:C6"/>
    <mergeCell ref="A7:C7"/>
    <mergeCell ref="A8:C8"/>
    <mergeCell ref="A5:C5"/>
    <mergeCell ref="A1:I1"/>
    <mergeCell ref="A3:C3"/>
    <mergeCell ref="A4:C4"/>
    <mergeCell ref="J15:K15"/>
    <mergeCell ref="A15:I15"/>
    <mergeCell ref="C13:G13"/>
    <mergeCell ref="C14:G14"/>
    <mergeCell ref="K10:K11"/>
    <mergeCell ref="C12:G12"/>
    <mergeCell ref="I10:I11"/>
    <mergeCell ref="J10:J11"/>
    <mergeCell ref="A10:A11"/>
    <mergeCell ref="B10:B11"/>
    <mergeCell ref="C10:G11"/>
    <mergeCell ref="H10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"/>
  <sheetViews>
    <sheetView topLeftCell="A10" workbookViewId="0">
      <selection activeCell="Q15" sqref="Q15"/>
    </sheetView>
  </sheetViews>
  <sheetFormatPr baseColWidth="10" defaultColWidth="10.7109375" defaultRowHeight="15" x14ac:dyDescent="0.25"/>
  <cols>
    <col min="1" max="5" width="4.42578125" customWidth="1"/>
    <col min="6" max="6" width="7.285156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0" t="s">
        <v>5</v>
      </c>
      <c r="B1" s="190"/>
      <c r="C1" s="190"/>
      <c r="D1" s="191">
        <v>2022</v>
      </c>
      <c r="E1" s="191"/>
      <c r="F1" s="72"/>
      <c r="G1" s="72"/>
      <c r="H1" s="73"/>
      <c r="I1" s="73"/>
      <c r="J1" s="73"/>
      <c r="K1" s="73"/>
      <c r="L1" s="73"/>
      <c r="M1" s="73"/>
      <c r="N1" s="73"/>
      <c r="O1" s="74"/>
      <c r="P1" s="192" t="s">
        <v>64</v>
      </c>
      <c r="Q1" s="192"/>
    </row>
    <row r="2" spans="1:17" ht="15.75" thickBot="1" x14ac:dyDescent="0.3">
      <c r="A2" s="75"/>
      <c r="G2" s="76"/>
      <c r="H2" s="77"/>
      <c r="I2" s="77"/>
      <c r="J2" s="77"/>
      <c r="K2" s="77"/>
      <c r="L2" s="77"/>
      <c r="M2" s="77"/>
      <c r="N2" s="77"/>
      <c r="P2" s="192"/>
      <c r="Q2" s="192"/>
    </row>
    <row r="3" spans="1:17" ht="15.75" thickBot="1" x14ac:dyDescent="0.25">
      <c r="A3" s="75"/>
      <c r="G3" s="76"/>
      <c r="Q3" s="78"/>
    </row>
    <row r="4" spans="1:17" ht="15.75" thickBot="1" x14ac:dyDescent="0.3">
      <c r="A4" s="193" t="s">
        <v>65</v>
      </c>
      <c r="B4" s="193"/>
      <c r="C4" s="193"/>
      <c r="D4" s="193"/>
      <c r="E4" s="193"/>
      <c r="F4" s="193"/>
      <c r="G4" s="194" t="str">
        <f>'NP SMPyPS'!D3</f>
        <v>040 - MINISTERIO DE SALUD</v>
      </c>
      <c r="H4" s="194"/>
      <c r="I4" s="194"/>
      <c r="J4" s="194"/>
      <c r="K4" s="194"/>
      <c r="L4" s="194"/>
      <c r="M4" s="194"/>
      <c r="N4" s="194"/>
      <c r="O4" s="194"/>
      <c r="P4" s="194"/>
      <c r="Q4" s="194"/>
    </row>
    <row r="5" spans="1:17" ht="15.75" thickBot="1" x14ac:dyDescent="0.25">
      <c r="A5" s="195" t="s">
        <v>52</v>
      </c>
      <c r="B5" s="195"/>
      <c r="C5" s="195"/>
      <c r="D5" s="195"/>
      <c r="E5" s="195"/>
      <c r="F5" s="195"/>
      <c r="G5" s="194" t="str">
        <f>'NP SMPyPS'!D4</f>
        <v>011 - DIRECCION PROVINCIAL DE ADMINISTRACION - MINISTERIO DE SALUD</v>
      </c>
      <c r="H5" s="194"/>
      <c r="I5" s="194"/>
      <c r="J5" s="194"/>
      <c r="K5" s="194"/>
      <c r="L5" s="194"/>
      <c r="M5" s="194"/>
      <c r="N5" s="194"/>
      <c r="O5" s="194"/>
      <c r="P5" s="194"/>
      <c r="Q5" s="194"/>
    </row>
    <row r="6" spans="1:17" ht="15.75" thickBot="1" x14ac:dyDescent="0.25">
      <c r="A6" s="195" t="s">
        <v>53</v>
      </c>
      <c r="B6" s="195"/>
      <c r="C6" s="195"/>
      <c r="D6" s="195"/>
      <c r="E6" s="195"/>
      <c r="F6" s="195"/>
      <c r="G6" s="194" t="str">
        <f>'NP SMPyPS'!D5</f>
        <v>744 - SECRETARIA DE MEDICINA PREVENTIVA Y PROMOCION EN SALUD</v>
      </c>
      <c r="H6" s="194"/>
      <c r="I6" s="194"/>
      <c r="J6" s="194"/>
      <c r="K6" s="194"/>
      <c r="L6" s="194"/>
      <c r="M6" s="194"/>
      <c r="N6" s="194"/>
      <c r="O6" s="194"/>
      <c r="P6" s="194"/>
      <c r="Q6" s="194"/>
    </row>
    <row r="7" spans="1:17" ht="15.75" thickBot="1" x14ac:dyDescent="0.25">
      <c r="A7" s="195" t="s">
        <v>54</v>
      </c>
      <c r="B7" s="195"/>
      <c r="C7" s="195"/>
      <c r="D7" s="195"/>
      <c r="E7" s="195"/>
      <c r="F7" s="195"/>
      <c r="G7" s="194" t="str">
        <f>'NP SMPyPS'!D6</f>
        <v>744 - SECRETARIA DE MEDICINA PREVENTIVA Y PROMOCION EN SALUD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</row>
    <row r="8" spans="1:17" ht="15.75" thickBot="1" x14ac:dyDescent="0.3">
      <c r="A8" s="196" t="s">
        <v>66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27.75" customHeight="1" x14ac:dyDescent="0.25">
      <c r="A9" s="189" t="s">
        <v>67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</row>
    <row r="10" spans="1:17" ht="57" customHeight="1" x14ac:dyDescent="0.25">
      <c r="A10" s="182" t="s">
        <v>86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 spans="1:17" ht="15.75" thickBot="1" x14ac:dyDescent="0.25">
      <c r="A11" s="79"/>
      <c r="B11" s="80"/>
      <c r="C11" s="80"/>
      <c r="D11" s="80"/>
      <c r="E11" s="80"/>
      <c r="F11" s="80"/>
      <c r="G11" s="81"/>
      <c r="H11" s="80"/>
      <c r="I11" s="80"/>
      <c r="J11" s="80"/>
      <c r="K11" s="80"/>
      <c r="L11" s="80"/>
      <c r="M11" s="80"/>
      <c r="N11" s="80"/>
      <c r="O11" s="80"/>
      <c r="P11" s="80"/>
      <c r="Q11" s="82"/>
    </row>
    <row r="12" spans="1:17" ht="15.75" thickBot="1" x14ac:dyDescent="0.3">
      <c r="A12" s="183" t="s">
        <v>68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</row>
    <row r="13" spans="1:17" ht="15.75" thickBot="1" x14ac:dyDescent="0.3">
      <c r="A13" s="184" t="s">
        <v>69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5" t="s">
        <v>70</v>
      </c>
      <c r="P13" s="185"/>
      <c r="Q13" s="186" t="s">
        <v>71</v>
      </c>
    </row>
    <row r="14" spans="1:17" ht="15.75" thickBot="1" x14ac:dyDescent="0.3">
      <c r="A14" s="83" t="s">
        <v>72</v>
      </c>
      <c r="B14" s="84" t="s">
        <v>73</v>
      </c>
      <c r="C14" s="84" t="s">
        <v>74</v>
      </c>
      <c r="D14" s="84" t="s">
        <v>75</v>
      </c>
      <c r="E14" s="84" t="s">
        <v>76</v>
      </c>
      <c r="F14" s="84" t="s">
        <v>77</v>
      </c>
      <c r="G14" s="85" t="s">
        <v>78</v>
      </c>
      <c r="H14" s="84" t="s">
        <v>79</v>
      </c>
      <c r="I14" s="84" t="s">
        <v>80</v>
      </c>
      <c r="J14" s="84" t="s">
        <v>81</v>
      </c>
      <c r="K14" s="84" t="s">
        <v>81</v>
      </c>
      <c r="L14" s="84" t="s">
        <v>82</v>
      </c>
      <c r="M14" s="86" t="s">
        <v>83</v>
      </c>
      <c r="N14" s="87" t="s">
        <v>84</v>
      </c>
      <c r="O14" s="185"/>
      <c r="P14" s="185"/>
      <c r="Q14" s="186"/>
    </row>
    <row r="15" spans="1:17" x14ac:dyDescent="0.2">
      <c r="A15" s="88">
        <v>4</v>
      </c>
      <c r="B15" s="89"/>
      <c r="C15" s="89"/>
      <c r="D15" s="89">
        <v>1</v>
      </c>
      <c r="E15" s="89"/>
      <c r="F15" s="89">
        <v>4901</v>
      </c>
      <c r="G15" s="89">
        <v>1</v>
      </c>
      <c r="H15" s="89">
        <v>3</v>
      </c>
      <c r="I15" s="89">
        <v>2</v>
      </c>
      <c r="J15" s="89">
        <v>4</v>
      </c>
      <c r="K15" s="89">
        <v>4</v>
      </c>
      <c r="L15" s="89"/>
      <c r="M15" s="90">
        <v>1</v>
      </c>
      <c r="N15" s="89" t="s">
        <v>91</v>
      </c>
      <c r="O15" s="187" t="s">
        <v>92</v>
      </c>
      <c r="P15" s="187"/>
      <c r="Q15" s="91">
        <v>200000</v>
      </c>
    </row>
    <row r="16" spans="1:17" x14ac:dyDescent="0.2">
      <c r="A16" s="92">
        <v>4</v>
      </c>
      <c r="B16" s="93"/>
      <c r="C16" s="93"/>
      <c r="D16" s="93">
        <v>2</v>
      </c>
      <c r="E16" s="93"/>
      <c r="F16" s="93">
        <v>4901</v>
      </c>
      <c r="G16" s="93">
        <v>3</v>
      </c>
      <c r="H16" s="93">
        <v>1</v>
      </c>
      <c r="I16" s="93">
        <v>2</v>
      </c>
      <c r="J16" s="93">
        <v>4</v>
      </c>
      <c r="K16" s="93">
        <v>4</v>
      </c>
      <c r="L16" s="93"/>
      <c r="M16" s="94">
        <v>1</v>
      </c>
      <c r="N16" s="95" t="s">
        <v>91</v>
      </c>
      <c r="O16" s="177" t="s">
        <v>92</v>
      </c>
      <c r="P16" s="177"/>
      <c r="Q16" s="96">
        <v>217700</v>
      </c>
    </row>
    <row r="17" spans="1:17" x14ac:dyDescent="0.2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4"/>
      <c r="N17" s="95"/>
      <c r="O17" s="188"/>
      <c r="P17" s="188"/>
      <c r="Q17" s="96"/>
    </row>
    <row r="18" spans="1:17" x14ac:dyDescent="0.2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4"/>
      <c r="N18" s="95"/>
      <c r="O18" s="181"/>
      <c r="P18" s="181"/>
      <c r="Q18" s="96"/>
    </row>
    <row r="19" spans="1:17" x14ac:dyDescent="0.2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4"/>
      <c r="N19" s="95"/>
      <c r="O19" s="181"/>
      <c r="P19" s="181"/>
      <c r="Q19" s="96"/>
    </row>
    <row r="20" spans="1:17" x14ac:dyDescent="0.2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4"/>
      <c r="N20" s="95"/>
      <c r="O20" s="181"/>
      <c r="P20" s="181"/>
      <c r="Q20" s="96"/>
    </row>
    <row r="21" spans="1:17" x14ac:dyDescent="0.2">
      <c r="A21" s="92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4"/>
      <c r="N21" s="95"/>
      <c r="O21" s="181"/>
      <c r="P21" s="181"/>
      <c r="Q21" s="96"/>
    </row>
    <row r="22" spans="1:17" x14ac:dyDescent="0.2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4"/>
      <c r="N22" s="95"/>
      <c r="O22" s="181"/>
      <c r="P22" s="181"/>
      <c r="Q22" s="96"/>
    </row>
    <row r="23" spans="1:17" x14ac:dyDescent="0.2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4"/>
      <c r="N23" s="95"/>
      <c r="O23" s="181"/>
      <c r="P23" s="181"/>
      <c r="Q23" s="96"/>
    </row>
    <row r="24" spans="1:17" x14ac:dyDescent="0.2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95"/>
      <c r="O24" s="181"/>
      <c r="P24" s="181"/>
      <c r="Q24" s="96"/>
    </row>
    <row r="25" spans="1:17" x14ac:dyDescent="0.2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95"/>
      <c r="O25" s="181"/>
      <c r="P25" s="181"/>
      <c r="Q25" s="96"/>
    </row>
    <row r="26" spans="1:17" x14ac:dyDescent="0.2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95"/>
      <c r="O26" s="181"/>
      <c r="P26" s="181"/>
      <c r="Q26" s="96"/>
    </row>
    <row r="27" spans="1:17" x14ac:dyDescent="0.25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95"/>
      <c r="O27" s="181"/>
      <c r="P27" s="181"/>
      <c r="Q27" s="96"/>
    </row>
    <row r="28" spans="1:17" x14ac:dyDescent="0.25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95"/>
      <c r="O28" s="181"/>
      <c r="P28" s="181"/>
      <c r="Q28" s="96"/>
    </row>
    <row r="29" spans="1:17" x14ac:dyDescent="0.25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95"/>
      <c r="O29" s="181"/>
      <c r="P29" s="181"/>
      <c r="Q29" s="96"/>
    </row>
    <row r="30" spans="1:17" x14ac:dyDescent="0.25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95"/>
      <c r="O30" s="181"/>
      <c r="P30" s="181"/>
      <c r="Q30" s="96"/>
    </row>
    <row r="31" spans="1:17" x14ac:dyDescent="0.25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95"/>
      <c r="O31" s="181"/>
      <c r="P31" s="181"/>
      <c r="Q31" s="96"/>
    </row>
    <row r="32" spans="1:17" x14ac:dyDescent="0.25">
      <c r="A32" s="92"/>
      <c r="B32" s="93"/>
      <c r="C32" s="93"/>
      <c r="D32" s="93"/>
      <c r="E32" s="93"/>
      <c r="F32" s="95"/>
      <c r="G32" s="93"/>
      <c r="H32" s="93"/>
      <c r="I32" s="93"/>
      <c r="J32" s="93"/>
      <c r="K32" s="93"/>
      <c r="L32" s="93"/>
      <c r="M32" s="94"/>
      <c r="N32" s="95"/>
      <c r="O32" s="177"/>
      <c r="P32" s="177"/>
      <c r="Q32" s="96"/>
    </row>
    <row r="33" spans="1:17" x14ac:dyDescent="0.25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95"/>
      <c r="O33" s="177"/>
      <c r="P33" s="177"/>
      <c r="Q33" s="96"/>
    </row>
    <row r="34" spans="1:17" x14ac:dyDescent="0.25">
      <c r="A34" s="92"/>
      <c r="B34" s="93"/>
      <c r="C34" s="93"/>
      <c r="D34" s="93"/>
      <c r="E34" s="93"/>
      <c r="F34" s="95"/>
      <c r="G34" s="93"/>
      <c r="H34" s="93"/>
      <c r="I34" s="93"/>
      <c r="J34" s="93"/>
      <c r="K34" s="93"/>
      <c r="L34" s="93"/>
      <c r="M34" s="94"/>
      <c r="N34" s="95"/>
      <c r="O34" s="177"/>
      <c r="P34" s="177"/>
      <c r="Q34" s="96"/>
    </row>
    <row r="35" spans="1:17" x14ac:dyDescent="0.25">
      <c r="A35" s="92"/>
      <c r="B35" s="93"/>
      <c r="C35" s="93"/>
      <c r="D35" s="93"/>
      <c r="E35" s="93"/>
      <c r="F35" s="95"/>
      <c r="G35" s="93"/>
      <c r="H35" s="93"/>
      <c r="I35" s="93"/>
      <c r="J35" s="93"/>
      <c r="K35" s="93"/>
      <c r="L35" s="93"/>
      <c r="M35" s="94"/>
      <c r="N35" s="95"/>
      <c r="O35" s="177"/>
      <c r="P35" s="177"/>
      <c r="Q35" s="96"/>
    </row>
    <row r="36" spans="1:17" x14ac:dyDescent="0.25">
      <c r="A36" s="97"/>
      <c r="B36" s="98"/>
      <c r="C36" s="98"/>
      <c r="D36" s="98"/>
      <c r="E36" s="98"/>
      <c r="F36" s="95"/>
      <c r="G36" s="98"/>
      <c r="H36" s="98"/>
      <c r="I36" s="98"/>
      <c r="J36" s="98"/>
      <c r="K36" s="98"/>
      <c r="L36" s="98"/>
      <c r="M36" s="99"/>
      <c r="N36" s="100"/>
      <c r="O36" s="177"/>
      <c r="P36" s="177"/>
      <c r="Q36" s="96"/>
    </row>
    <row r="37" spans="1:17" ht="15.75" thickBot="1" x14ac:dyDescent="0.3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2"/>
      <c r="O37" s="178"/>
      <c r="P37" s="178"/>
      <c r="Q37" s="104"/>
    </row>
    <row r="38" spans="1:17" ht="32.25" customHeight="1" thickBot="1" x14ac:dyDescent="0.3">
      <c r="A38" s="179" t="s">
        <v>94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05">
        <f>SUM(Q15:Q37)</f>
        <v>417700</v>
      </c>
    </row>
    <row r="39" spans="1:17" ht="15.75" thickBot="1" x14ac:dyDescent="0.3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</row>
    <row r="40" spans="1:17" ht="15.75" thickBot="1" x14ac:dyDescent="0.3">
      <c r="A40" s="174" t="s">
        <v>85</v>
      </c>
      <c r="B40" s="174"/>
      <c r="C40" s="174"/>
      <c r="D40" s="174"/>
      <c r="E40" s="174"/>
      <c r="F40" s="174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</row>
    <row r="41" spans="1:17" ht="15.75" thickBot="1" x14ac:dyDescent="0.3">
      <c r="A41" s="176" t="str">
        <f>'NP SMPyPS'!D8</f>
        <v>ADQ. DEL RUBRO CUBIERTAS</v>
      </c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</row>
    <row r="42" spans="1:17" ht="15.75" thickBot="1" x14ac:dyDescent="0.3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>
      <selection activeCell="K12" sqref="K12"/>
    </sheetView>
  </sheetViews>
  <sheetFormatPr baseColWidth="10" defaultColWidth="11.42578125" defaultRowHeight="15" x14ac:dyDescent="0.25"/>
  <cols>
    <col min="1" max="1" width="5.5703125" customWidth="1"/>
    <col min="2" max="2" width="15.140625" style="119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2" customWidth="1"/>
    <col min="8" max="8" width="9.28515625" customWidth="1"/>
    <col min="9" max="9" width="15.5703125" customWidth="1"/>
    <col min="10" max="10" width="14.7109375" style="128" customWidth="1"/>
    <col min="11" max="11" width="15.5703125" customWidth="1"/>
  </cols>
  <sheetData>
    <row r="1" spans="1:11" ht="30.75" thickBot="1" x14ac:dyDescent="0.3">
      <c r="A1" s="173" t="s">
        <v>49</v>
      </c>
      <c r="B1" s="173"/>
      <c r="C1" s="173"/>
      <c r="D1" s="173"/>
      <c r="E1" s="173"/>
      <c r="F1" s="173"/>
      <c r="G1" s="173"/>
      <c r="H1" s="173"/>
      <c r="I1" s="173"/>
      <c r="J1" s="122" t="s">
        <v>50</v>
      </c>
      <c r="K1" s="55"/>
    </row>
    <row r="2" spans="1:11" ht="15.75" thickBot="1" x14ac:dyDescent="0.25">
      <c r="A2" s="56"/>
      <c r="B2" s="115"/>
      <c r="C2" s="57"/>
      <c r="D2" s="58"/>
      <c r="E2" s="58"/>
      <c r="F2" s="58"/>
      <c r="G2" s="58"/>
      <c r="H2" s="58"/>
      <c r="I2" s="58"/>
      <c r="J2" s="123"/>
      <c r="K2" s="59"/>
    </row>
    <row r="3" spans="1:11" ht="16.5" customHeight="1" thickBot="1" x14ac:dyDescent="0.3">
      <c r="A3" s="170" t="s">
        <v>51</v>
      </c>
      <c r="B3" s="170"/>
      <c r="C3" s="170"/>
      <c r="D3" s="109" t="str">
        <f>'SAF 011'!C4</f>
        <v>040 - MINISTERIO DE SALUD</v>
      </c>
      <c r="E3" s="110"/>
      <c r="F3" s="110"/>
      <c r="G3" s="110"/>
      <c r="H3" s="110"/>
      <c r="I3" s="110"/>
      <c r="J3" s="124"/>
      <c r="K3" s="111"/>
    </row>
    <row r="4" spans="1:11" ht="16.5" customHeight="1" thickBot="1" x14ac:dyDescent="0.25">
      <c r="A4" s="171" t="s">
        <v>52</v>
      </c>
      <c r="B4" s="171"/>
      <c r="C4" s="171"/>
      <c r="D4" s="109" t="str">
        <f>'SAF 011'!C5</f>
        <v>011 - DIRECCION PROVINCIAL DE ADMINISTRACION - MINISTERIO DE SALUD</v>
      </c>
      <c r="E4" s="110"/>
      <c r="F4" s="110"/>
      <c r="G4" s="110"/>
      <c r="H4" s="110"/>
      <c r="I4" s="110"/>
      <c r="J4" s="124"/>
      <c r="K4" s="111"/>
    </row>
    <row r="5" spans="1:11" ht="16.5" customHeight="1" thickBot="1" x14ac:dyDescent="0.25">
      <c r="A5" s="171" t="s">
        <v>53</v>
      </c>
      <c r="B5" s="171"/>
      <c r="C5" s="171"/>
      <c r="D5" s="109" t="s">
        <v>95</v>
      </c>
      <c r="E5" s="110"/>
      <c r="F5" s="110"/>
      <c r="G5" s="110"/>
      <c r="H5" s="110"/>
      <c r="I5" s="110"/>
      <c r="J5" s="124"/>
      <c r="K5" s="111"/>
    </row>
    <row r="6" spans="1:11" ht="16.5" customHeight="1" thickBot="1" x14ac:dyDescent="0.25">
      <c r="A6" s="170" t="s">
        <v>54</v>
      </c>
      <c r="B6" s="170"/>
      <c r="C6" s="170"/>
      <c r="D6" s="109" t="s">
        <v>95</v>
      </c>
      <c r="E6" s="110"/>
      <c r="F6" s="110"/>
      <c r="G6" s="110"/>
      <c r="H6" s="110"/>
      <c r="I6" s="110"/>
      <c r="J6" s="124"/>
      <c r="K6" s="111"/>
    </row>
    <row r="7" spans="1:11" ht="16.5" thickBot="1" x14ac:dyDescent="0.3">
      <c r="A7" s="171" t="s">
        <v>55</v>
      </c>
      <c r="B7" s="171"/>
      <c r="C7" s="171"/>
      <c r="D7" s="109" t="s">
        <v>88</v>
      </c>
      <c r="E7" s="110"/>
      <c r="F7" s="110"/>
      <c r="G7" s="110"/>
      <c r="H7" s="110"/>
      <c r="I7" s="110"/>
      <c r="J7" s="124"/>
      <c r="K7" s="111"/>
    </row>
    <row r="8" spans="1:11" ht="16.5" customHeight="1" thickBot="1" x14ac:dyDescent="0.25">
      <c r="A8" s="172" t="s">
        <v>56</v>
      </c>
      <c r="B8" s="172"/>
      <c r="C8" s="172"/>
      <c r="D8" s="112" t="s">
        <v>89</v>
      </c>
      <c r="E8" s="110"/>
      <c r="F8" s="110"/>
      <c r="G8" s="110"/>
      <c r="H8" s="110"/>
      <c r="I8" s="110"/>
      <c r="J8" s="124"/>
      <c r="K8" s="111"/>
    </row>
    <row r="9" spans="1:11" ht="15.75" thickBot="1" x14ac:dyDescent="0.25">
      <c r="A9" s="60"/>
      <c r="B9" s="116"/>
      <c r="C9" s="61"/>
      <c r="D9" s="62"/>
      <c r="E9" s="62"/>
      <c r="F9" s="62"/>
      <c r="G9" s="62"/>
      <c r="H9" s="62"/>
      <c r="I9" s="62"/>
      <c r="J9" s="125"/>
      <c r="K9" s="63"/>
    </row>
    <row r="10" spans="1:11" ht="15.75" thickBot="1" x14ac:dyDescent="0.3">
      <c r="A10" s="169" t="s">
        <v>57</v>
      </c>
      <c r="B10" s="167" t="s">
        <v>58</v>
      </c>
      <c r="C10" s="167" t="s">
        <v>59</v>
      </c>
      <c r="D10" s="167"/>
      <c r="E10" s="167"/>
      <c r="F10" s="167"/>
      <c r="G10" s="167"/>
      <c r="H10" s="167" t="s">
        <v>60</v>
      </c>
      <c r="I10" s="167" t="s">
        <v>61</v>
      </c>
      <c r="J10" s="168" t="s">
        <v>62</v>
      </c>
      <c r="K10" s="165" t="s">
        <v>63</v>
      </c>
    </row>
    <row r="11" spans="1:11" ht="23.25" customHeight="1" thickBot="1" x14ac:dyDescent="0.3">
      <c r="A11" s="200"/>
      <c r="B11" s="199"/>
      <c r="C11" s="199"/>
      <c r="D11" s="199"/>
      <c r="E11" s="199"/>
      <c r="F11" s="199"/>
      <c r="G11" s="199"/>
      <c r="H11" s="199"/>
      <c r="I11" s="199"/>
      <c r="J11" s="197"/>
      <c r="K11" s="198"/>
    </row>
    <row r="12" spans="1:11" ht="31.5" customHeight="1" x14ac:dyDescent="0.25">
      <c r="A12" s="68">
        <v>1</v>
      </c>
      <c r="B12" s="118" t="str">
        <f>'SAF 011'!B19</f>
        <v>2.4.4-6818.755</v>
      </c>
      <c r="C12" s="162" t="str">
        <f>'SAF 011'!E19</f>
        <v>NEUMATICOS; VEHICULO: CAMIONETA, CONSTRUCCION: RADIAL, ARMADO: S/CAMARA, MEDIDA: 255/70R16</v>
      </c>
      <c r="D12" s="163"/>
      <c r="E12" s="163"/>
      <c r="F12" s="163"/>
      <c r="G12" s="164"/>
      <c r="H12" s="69" t="s">
        <v>90</v>
      </c>
      <c r="I12" s="70" t="str">
        <f>'SAF 011'!F19</f>
        <v xml:space="preserve">UNIDAD </v>
      </c>
      <c r="J12" s="127">
        <f>'SAF 011'!J19</f>
        <v>52500</v>
      </c>
      <c r="K12" s="71">
        <v>4</v>
      </c>
    </row>
    <row r="13" spans="1:11" ht="15.75" customHeight="1" x14ac:dyDescent="0.2">
      <c r="A13" s="68"/>
      <c r="B13" s="118"/>
      <c r="C13" s="162"/>
      <c r="D13" s="163"/>
      <c r="E13" s="163"/>
      <c r="F13" s="163"/>
      <c r="G13" s="164"/>
      <c r="H13" s="69"/>
      <c r="I13" s="70"/>
      <c r="J13" s="127"/>
      <c r="K13" s="71"/>
    </row>
    <row r="14" spans="1:11" ht="19.5" thickBot="1" x14ac:dyDescent="0.3">
      <c r="A14" s="161" t="s">
        <v>226</v>
      </c>
      <c r="B14" s="161"/>
      <c r="C14" s="161"/>
      <c r="D14" s="161"/>
      <c r="E14" s="161"/>
      <c r="F14" s="161"/>
      <c r="G14" s="161"/>
      <c r="H14" s="161"/>
      <c r="I14" s="161"/>
      <c r="J14" s="159">
        <f>SUMPRODUCT(J12:J13,K12:K13)</f>
        <v>210000</v>
      </c>
      <c r="K14" s="160"/>
    </row>
  </sheetData>
  <mergeCells count="18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C13:G13"/>
    <mergeCell ref="A14:I14"/>
    <mergeCell ref="J14:K14"/>
    <mergeCell ref="C12:G12"/>
    <mergeCell ref="J10:J11"/>
    <mergeCell ref="K10:K11"/>
    <mergeCell ref="I10:I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workbookViewId="0">
      <selection activeCell="Q15" sqref="Q15"/>
    </sheetView>
  </sheetViews>
  <sheetFormatPr baseColWidth="10" defaultColWidth="11.42578125" defaultRowHeight="15" x14ac:dyDescent="0.25"/>
  <cols>
    <col min="1" max="5" width="4.42578125" customWidth="1"/>
    <col min="6" max="6" width="7.285156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0" t="s">
        <v>5</v>
      </c>
      <c r="B1" s="190"/>
      <c r="C1" s="190"/>
      <c r="D1" s="191">
        <v>2022</v>
      </c>
      <c r="E1" s="191"/>
      <c r="F1" s="72"/>
      <c r="G1" s="72"/>
      <c r="H1" s="73"/>
      <c r="I1" s="73"/>
      <c r="J1" s="73"/>
      <c r="K1" s="73"/>
      <c r="L1" s="73"/>
      <c r="M1" s="73"/>
      <c r="N1" s="73"/>
      <c r="O1" s="74"/>
      <c r="P1" s="192" t="s">
        <v>64</v>
      </c>
      <c r="Q1" s="192"/>
    </row>
    <row r="2" spans="1:17" ht="15.75" thickBot="1" x14ac:dyDescent="0.3">
      <c r="A2" s="75"/>
      <c r="G2" s="76"/>
      <c r="H2" s="77"/>
      <c r="I2" s="77"/>
      <c r="J2" s="77"/>
      <c r="K2" s="77"/>
      <c r="L2" s="77"/>
      <c r="M2" s="77"/>
      <c r="N2" s="77"/>
      <c r="P2" s="192"/>
      <c r="Q2" s="192"/>
    </row>
    <row r="3" spans="1:17" ht="15.75" thickBot="1" x14ac:dyDescent="0.25">
      <c r="A3" s="75"/>
      <c r="G3" s="76"/>
      <c r="Q3" s="78"/>
    </row>
    <row r="4" spans="1:17" ht="15.75" thickBot="1" x14ac:dyDescent="0.3">
      <c r="A4" s="193" t="s">
        <v>65</v>
      </c>
      <c r="B4" s="193"/>
      <c r="C4" s="193"/>
      <c r="D4" s="193"/>
      <c r="E4" s="193"/>
      <c r="F4" s="193"/>
      <c r="G4" s="194" t="str">
        <f>'NP DPSAME'!D3</f>
        <v>040 - MINISTERIO DE SALUD</v>
      </c>
      <c r="H4" s="194"/>
      <c r="I4" s="194"/>
      <c r="J4" s="194"/>
      <c r="K4" s="194"/>
      <c r="L4" s="194"/>
      <c r="M4" s="194"/>
      <c r="N4" s="194"/>
      <c r="O4" s="194"/>
      <c r="P4" s="194"/>
      <c r="Q4" s="194"/>
    </row>
    <row r="5" spans="1:17" ht="15.75" thickBot="1" x14ac:dyDescent="0.25">
      <c r="A5" s="195" t="s">
        <v>52</v>
      </c>
      <c r="B5" s="195"/>
      <c r="C5" s="195"/>
      <c r="D5" s="195"/>
      <c r="E5" s="195"/>
      <c r="F5" s="195"/>
      <c r="G5" s="194" t="str">
        <f>'NP DPSAME'!D4</f>
        <v>011 - DIRECCION PROVINCIAL DE ADMINISTRACION - MINISTERIO DE SALUD</v>
      </c>
      <c r="H5" s="194"/>
      <c r="I5" s="194"/>
      <c r="J5" s="194"/>
      <c r="K5" s="194"/>
      <c r="L5" s="194"/>
      <c r="M5" s="194"/>
      <c r="N5" s="194"/>
      <c r="O5" s="194"/>
      <c r="P5" s="194"/>
      <c r="Q5" s="194"/>
    </row>
    <row r="6" spans="1:17" ht="15.75" thickBot="1" x14ac:dyDescent="0.25">
      <c r="A6" s="195" t="s">
        <v>53</v>
      </c>
      <c r="B6" s="195"/>
      <c r="C6" s="195"/>
      <c r="D6" s="195"/>
      <c r="E6" s="195"/>
      <c r="F6" s="195"/>
      <c r="G6" s="194" t="str">
        <f>'NP DPSAME'!D5</f>
        <v>748 - DIRECCION PROVINCIAL SISTEMA DE ATENCION MEDICA DE EMERGENCIA</v>
      </c>
      <c r="H6" s="194"/>
      <c r="I6" s="194"/>
      <c r="J6" s="194"/>
      <c r="K6" s="194"/>
      <c r="L6" s="194"/>
      <c r="M6" s="194"/>
      <c r="N6" s="194"/>
      <c r="O6" s="194"/>
      <c r="P6" s="194"/>
      <c r="Q6" s="194"/>
    </row>
    <row r="7" spans="1:17" ht="15.75" thickBot="1" x14ac:dyDescent="0.25">
      <c r="A7" s="195" t="s">
        <v>54</v>
      </c>
      <c r="B7" s="195"/>
      <c r="C7" s="195"/>
      <c r="D7" s="195"/>
      <c r="E7" s="195"/>
      <c r="F7" s="195"/>
      <c r="G7" s="194" t="str">
        <f>'NP DPSAME'!D6</f>
        <v>748 - DIRECCION PROVINCIAL SISTEMA DE ATENCION MEDICA DE EMERGENCIA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</row>
    <row r="8" spans="1:17" ht="15.75" thickBot="1" x14ac:dyDescent="0.3">
      <c r="A8" s="196" t="s">
        <v>66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27.75" customHeight="1" x14ac:dyDescent="0.25">
      <c r="A9" s="189" t="s">
        <v>67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</row>
    <row r="10" spans="1:17" ht="57" customHeight="1" x14ac:dyDescent="0.25">
      <c r="A10" s="182" t="s">
        <v>86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 spans="1:17" ht="15.75" thickBot="1" x14ac:dyDescent="0.25">
      <c r="A11" s="79"/>
      <c r="B11" s="80"/>
      <c r="C11" s="80"/>
      <c r="D11" s="80"/>
      <c r="E11" s="80"/>
      <c r="F11" s="80"/>
      <c r="G11" s="81"/>
      <c r="H11" s="80"/>
      <c r="I11" s="80"/>
      <c r="J11" s="80"/>
      <c r="K11" s="80"/>
      <c r="L11" s="80"/>
      <c r="M11" s="80"/>
      <c r="N11" s="80"/>
      <c r="O11" s="80"/>
      <c r="P11" s="80"/>
      <c r="Q11" s="82"/>
    </row>
    <row r="12" spans="1:17" ht="15.75" thickBot="1" x14ac:dyDescent="0.3">
      <c r="A12" s="183" t="s">
        <v>68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</row>
    <row r="13" spans="1:17" ht="15.75" thickBot="1" x14ac:dyDescent="0.3">
      <c r="A13" s="184" t="s">
        <v>69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5" t="s">
        <v>70</v>
      </c>
      <c r="P13" s="185"/>
      <c r="Q13" s="186" t="s">
        <v>71</v>
      </c>
    </row>
    <row r="14" spans="1:17" ht="15.75" thickBot="1" x14ac:dyDescent="0.3">
      <c r="A14" s="83" t="s">
        <v>72</v>
      </c>
      <c r="B14" s="84" t="s">
        <v>73</v>
      </c>
      <c r="C14" s="84" t="s">
        <v>74</v>
      </c>
      <c r="D14" s="84" t="s">
        <v>75</v>
      </c>
      <c r="E14" s="84" t="s">
        <v>76</v>
      </c>
      <c r="F14" s="84" t="s">
        <v>77</v>
      </c>
      <c r="G14" s="85" t="s">
        <v>78</v>
      </c>
      <c r="H14" s="84" t="s">
        <v>79</v>
      </c>
      <c r="I14" s="84" t="s">
        <v>80</v>
      </c>
      <c r="J14" s="84" t="s">
        <v>81</v>
      </c>
      <c r="K14" s="84" t="s">
        <v>81</v>
      </c>
      <c r="L14" s="84" t="s">
        <v>82</v>
      </c>
      <c r="M14" s="86" t="s">
        <v>83</v>
      </c>
      <c r="N14" s="87" t="s">
        <v>84</v>
      </c>
      <c r="O14" s="185"/>
      <c r="P14" s="185"/>
      <c r="Q14" s="186"/>
    </row>
    <row r="15" spans="1:17" x14ac:dyDescent="0.2">
      <c r="A15" s="88">
        <v>31</v>
      </c>
      <c r="B15" s="89"/>
      <c r="C15" s="89"/>
      <c r="D15" s="89">
        <v>1</v>
      </c>
      <c r="E15" s="89"/>
      <c r="F15" s="89">
        <v>4901</v>
      </c>
      <c r="G15" s="89">
        <v>3</v>
      </c>
      <c r="H15" s="89">
        <v>1</v>
      </c>
      <c r="I15" s="89">
        <v>2</v>
      </c>
      <c r="J15" s="89">
        <v>4</v>
      </c>
      <c r="K15" s="89">
        <v>4</v>
      </c>
      <c r="L15" s="89"/>
      <c r="M15" s="90">
        <v>1</v>
      </c>
      <c r="N15" s="89" t="s">
        <v>91</v>
      </c>
      <c r="O15" s="187" t="s">
        <v>92</v>
      </c>
      <c r="P15" s="187"/>
      <c r="Q15" s="91">
        <v>210000</v>
      </c>
    </row>
    <row r="16" spans="1:17" x14ac:dyDescent="0.2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4"/>
      <c r="N16" s="95"/>
      <c r="O16" s="177"/>
      <c r="P16" s="177"/>
      <c r="Q16" s="96"/>
    </row>
    <row r="17" spans="1:17" x14ac:dyDescent="0.25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4"/>
      <c r="N17" s="95"/>
      <c r="O17" s="188"/>
      <c r="P17" s="188"/>
      <c r="Q17" s="96"/>
    </row>
    <row r="18" spans="1:17" x14ac:dyDescent="0.25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4"/>
      <c r="N18" s="95"/>
      <c r="O18" s="181"/>
      <c r="P18" s="181"/>
      <c r="Q18" s="96"/>
    </row>
    <row r="19" spans="1:17" x14ac:dyDescent="0.25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4"/>
      <c r="N19" s="95"/>
      <c r="O19" s="181"/>
      <c r="P19" s="181"/>
      <c r="Q19" s="96"/>
    </row>
    <row r="20" spans="1:17" x14ac:dyDescent="0.25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4"/>
      <c r="N20" s="95"/>
      <c r="O20" s="181"/>
      <c r="P20" s="181"/>
      <c r="Q20" s="96"/>
    </row>
    <row r="21" spans="1:17" x14ac:dyDescent="0.25">
      <c r="A21" s="92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4"/>
      <c r="N21" s="95"/>
      <c r="O21" s="181"/>
      <c r="P21" s="181"/>
      <c r="Q21" s="96"/>
    </row>
    <row r="22" spans="1:17" x14ac:dyDescent="0.25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4"/>
      <c r="N22" s="95"/>
      <c r="O22" s="181"/>
      <c r="P22" s="181"/>
      <c r="Q22" s="96"/>
    </row>
    <row r="23" spans="1:17" x14ac:dyDescent="0.25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4"/>
      <c r="N23" s="95"/>
      <c r="O23" s="181"/>
      <c r="P23" s="181"/>
      <c r="Q23" s="96"/>
    </row>
    <row r="24" spans="1:17" x14ac:dyDescent="0.25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95"/>
      <c r="O24" s="181"/>
      <c r="P24" s="181"/>
      <c r="Q24" s="96"/>
    </row>
    <row r="25" spans="1:17" x14ac:dyDescent="0.25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95"/>
      <c r="O25" s="181"/>
      <c r="P25" s="181"/>
      <c r="Q25" s="96"/>
    </row>
    <row r="26" spans="1:17" x14ac:dyDescent="0.25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95"/>
      <c r="O26" s="181"/>
      <c r="P26" s="181"/>
      <c r="Q26" s="96"/>
    </row>
    <row r="27" spans="1:17" x14ac:dyDescent="0.25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95"/>
      <c r="O27" s="181"/>
      <c r="P27" s="181"/>
      <c r="Q27" s="96"/>
    </row>
    <row r="28" spans="1:17" x14ac:dyDescent="0.25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95"/>
      <c r="O28" s="181"/>
      <c r="P28" s="181"/>
      <c r="Q28" s="96"/>
    </row>
    <row r="29" spans="1:17" x14ac:dyDescent="0.25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95"/>
      <c r="O29" s="181"/>
      <c r="P29" s="181"/>
      <c r="Q29" s="96"/>
    </row>
    <row r="30" spans="1:17" x14ac:dyDescent="0.25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95"/>
      <c r="O30" s="181"/>
      <c r="P30" s="181"/>
      <c r="Q30" s="96"/>
    </row>
    <row r="31" spans="1:17" x14ac:dyDescent="0.25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95"/>
      <c r="O31" s="181"/>
      <c r="P31" s="181"/>
      <c r="Q31" s="96"/>
    </row>
    <row r="32" spans="1:17" x14ac:dyDescent="0.25">
      <c r="A32" s="92"/>
      <c r="B32" s="93"/>
      <c r="C32" s="93"/>
      <c r="D32" s="93"/>
      <c r="E32" s="93"/>
      <c r="F32" s="95"/>
      <c r="G32" s="93"/>
      <c r="H32" s="93"/>
      <c r="I32" s="93"/>
      <c r="J32" s="93"/>
      <c r="K32" s="93"/>
      <c r="L32" s="93"/>
      <c r="M32" s="94"/>
      <c r="N32" s="95"/>
      <c r="O32" s="177"/>
      <c r="P32" s="177"/>
      <c r="Q32" s="96"/>
    </row>
    <row r="33" spans="1:17" x14ac:dyDescent="0.25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95"/>
      <c r="O33" s="177"/>
      <c r="P33" s="177"/>
      <c r="Q33" s="96"/>
    </row>
    <row r="34" spans="1:17" x14ac:dyDescent="0.25">
      <c r="A34" s="92"/>
      <c r="B34" s="93"/>
      <c r="C34" s="93"/>
      <c r="D34" s="93"/>
      <c r="E34" s="93"/>
      <c r="F34" s="95"/>
      <c r="G34" s="93"/>
      <c r="H34" s="93"/>
      <c r="I34" s="93"/>
      <c r="J34" s="93"/>
      <c r="K34" s="93"/>
      <c r="L34" s="93"/>
      <c r="M34" s="94"/>
      <c r="N34" s="95"/>
      <c r="O34" s="177"/>
      <c r="P34" s="177"/>
      <c r="Q34" s="96"/>
    </row>
    <row r="35" spans="1:17" x14ac:dyDescent="0.25">
      <c r="A35" s="92"/>
      <c r="B35" s="93"/>
      <c r="C35" s="93"/>
      <c r="D35" s="93"/>
      <c r="E35" s="93"/>
      <c r="F35" s="95"/>
      <c r="G35" s="93"/>
      <c r="H35" s="93"/>
      <c r="I35" s="93"/>
      <c r="J35" s="93"/>
      <c r="K35" s="93"/>
      <c r="L35" s="93"/>
      <c r="M35" s="94"/>
      <c r="N35" s="95"/>
      <c r="O35" s="177"/>
      <c r="P35" s="177"/>
      <c r="Q35" s="96"/>
    </row>
    <row r="36" spans="1:17" x14ac:dyDescent="0.25">
      <c r="A36" s="97"/>
      <c r="B36" s="98"/>
      <c r="C36" s="98"/>
      <c r="D36" s="98"/>
      <c r="E36" s="98"/>
      <c r="F36" s="95"/>
      <c r="G36" s="98"/>
      <c r="H36" s="98"/>
      <c r="I36" s="98"/>
      <c r="J36" s="98"/>
      <c r="K36" s="98"/>
      <c r="L36" s="98"/>
      <c r="M36" s="99"/>
      <c r="N36" s="100"/>
      <c r="O36" s="177"/>
      <c r="P36" s="177"/>
      <c r="Q36" s="96"/>
    </row>
    <row r="37" spans="1:17" ht="15.75" thickBot="1" x14ac:dyDescent="0.3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2"/>
      <c r="O37" s="178"/>
      <c r="P37" s="178"/>
      <c r="Q37" s="104"/>
    </row>
    <row r="38" spans="1:17" ht="34.5" customHeight="1" thickBot="1" x14ac:dyDescent="0.3">
      <c r="A38" s="179" t="s">
        <v>227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05">
        <f>SUM(Q15:Q37)</f>
        <v>210000</v>
      </c>
    </row>
    <row r="39" spans="1:17" ht="15.75" thickBot="1" x14ac:dyDescent="0.3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</row>
    <row r="40" spans="1:17" ht="15.75" thickBot="1" x14ac:dyDescent="0.3">
      <c r="A40" s="174" t="s">
        <v>85</v>
      </c>
      <c r="B40" s="174"/>
      <c r="C40" s="174"/>
      <c r="D40" s="174"/>
      <c r="E40" s="174"/>
      <c r="F40" s="174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</row>
    <row r="41" spans="1:17" ht="15.75" thickBot="1" x14ac:dyDescent="0.3">
      <c r="A41" s="176" t="str">
        <f>'NP DPSAME'!D8</f>
        <v>ADQ. DEL RUBRO CUBIERTAS</v>
      </c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</row>
    <row r="42" spans="1:17" ht="15.75" thickBot="1" x14ac:dyDescent="0.3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topLeftCell="A4" workbookViewId="0">
      <selection activeCell="K12" sqref="K12"/>
    </sheetView>
  </sheetViews>
  <sheetFormatPr baseColWidth="10" defaultColWidth="11.42578125" defaultRowHeight="15" x14ac:dyDescent="0.25"/>
  <cols>
    <col min="1" max="1" width="5.5703125" customWidth="1"/>
    <col min="2" max="2" width="15.140625" style="119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3.5703125" customWidth="1"/>
    <col min="8" max="8" width="9.28515625" customWidth="1"/>
    <col min="9" max="9" width="15.5703125" customWidth="1"/>
    <col min="10" max="10" width="14.7109375" style="128" customWidth="1"/>
    <col min="11" max="11" width="15.5703125" customWidth="1"/>
  </cols>
  <sheetData>
    <row r="1" spans="1:11" ht="30.75" thickBot="1" x14ac:dyDescent="0.3">
      <c r="A1" s="173" t="s">
        <v>49</v>
      </c>
      <c r="B1" s="173"/>
      <c r="C1" s="173"/>
      <c r="D1" s="173"/>
      <c r="E1" s="173"/>
      <c r="F1" s="173"/>
      <c r="G1" s="173"/>
      <c r="H1" s="173"/>
      <c r="I1" s="173"/>
      <c r="J1" s="122" t="s">
        <v>50</v>
      </c>
      <c r="K1" s="55"/>
    </row>
    <row r="2" spans="1:11" ht="15.75" thickBot="1" x14ac:dyDescent="0.25">
      <c r="A2" s="56"/>
      <c r="B2" s="115"/>
      <c r="C2" s="57"/>
      <c r="D2" s="58"/>
      <c r="E2" s="58"/>
      <c r="F2" s="58"/>
      <c r="G2" s="58"/>
      <c r="H2" s="58"/>
      <c r="I2" s="58"/>
      <c r="J2" s="123"/>
      <c r="K2" s="59"/>
    </row>
    <row r="3" spans="1:11" ht="16.5" customHeight="1" thickBot="1" x14ac:dyDescent="0.3">
      <c r="A3" s="170" t="s">
        <v>51</v>
      </c>
      <c r="B3" s="170"/>
      <c r="C3" s="170"/>
      <c r="D3" s="109" t="str">
        <f>'SAF 011'!C4</f>
        <v>040 - MINISTERIO DE SALUD</v>
      </c>
      <c r="E3" s="110"/>
      <c r="F3" s="110"/>
      <c r="G3" s="110"/>
      <c r="H3" s="110"/>
      <c r="I3" s="110"/>
      <c r="J3" s="124"/>
      <c r="K3" s="111"/>
    </row>
    <row r="4" spans="1:11" ht="16.5" customHeight="1" thickBot="1" x14ac:dyDescent="0.25">
      <c r="A4" s="171" t="s">
        <v>52</v>
      </c>
      <c r="B4" s="171"/>
      <c r="C4" s="171"/>
      <c r="D4" s="109" t="str">
        <f>'SAF 011'!C5</f>
        <v>011 - DIRECCION PROVINCIAL DE ADMINISTRACION - MINISTERIO DE SALUD</v>
      </c>
      <c r="E4" s="110"/>
      <c r="F4" s="110"/>
      <c r="G4" s="110"/>
      <c r="H4" s="110"/>
      <c r="I4" s="110"/>
      <c r="J4" s="124"/>
      <c r="K4" s="111"/>
    </row>
    <row r="5" spans="1:11" ht="16.5" customHeight="1" thickBot="1" x14ac:dyDescent="0.25">
      <c r="A5" s="171" t="s">
        <v>53</v>
      </c>
      <c r="B5" s="171"/>
      <c r="C5" s="171"/>
      <c r="D5" s="109" t="s">
        <v>96</v>
      </c>
      <c r="E5" s="110"/>
      <c r="F5" s="110"/>
      <c r="G5" s="110"/>
      <c r="H5" s="110"/>
      <c r="I5" s="110"/>
      <c r="J5" s="124"/>
      <c r="K5" s="111"/>
    </row>
    <row r="6" spans="1:11" ht="16.5" customHeight="1" thickBot="1" x14ac:dyDescent="0.25">
      <c r="A6" s="170" t="s">
        <v>54</v>
      </c>
      <c r="B6" s="170"/>
      <c r="C6" s="170"/>
      <c r="D6" s="109" t="s">
        <v>96</v>
      </c>
      <c r="E6" s="110"/>
      <c r="F6" s="110"/>
      <c r="G6" s="110"/>
      <c r="H6" s="110"/>
      <c r="I6" s="110"/>
      <c r="J6" s="124"/>
      <c r="K6" s="111"/>
    </row>
    <row r="7" spans="1:11" ht="16.5" thickBot="1" x14ac:dyDescent="0.3">
      <c r="A7" s="171" t="s">
        <v>55</v>
      </c>
      <c r="B7" s="171"/>
      <c r="C7" s="171"/>
      <c r="D7" s="109" t="s">
        <v>88</v>
      </c>
      <c r="E7" s="110"/>
      <c r="F7" s="110"/>
      <c r="G7" s="110"/>
      <c r="H7" s="110"/>
      <c r="I7" s="110"/>
      <c r="J7" s="124"/>
      <c r="K7" s="111"/>
    </row>
    <row r="8" spans="1:11" ht="16.5" customHeight="1" thickBot="1" x14ac:dyDescent="0.25">
      <c r="A8" s="172" t="s">
        <v>56</v>
      </c>
      <c r="B8" s="172"/>
      <c r="C8" s="172"/>
      <c r="D8" s="112" t="s">
        <v>89</v>
      </c>
      <c r="E8" s="110"/>
      <c r="F8" s="110"/>
      <c r="G8" s="110"/>
      <c r="H8" s="110"/>
      <c r="I8" s="110"/>
      <c r="J8" s="124"/>
      <c r="K8" s="111"/>
    </row>
    <row r="9" spans="1:11" ht="15.75" thickBot="1" x14ac:dyDescent="0.25">
      <c r="A9" s="60"/>
      <c r="B9" s="116"/>
      <c r="C9" s="61"/>
      <c r="D9" s="62"/>
      <c r="E9" s="62"/>
      <c r="F9" s="62"/>
      <c r="G9" s="62"/>
      <c r="H9" s="62"/>
      <c r="I9" s="62"/>
      <c r="J9" s="125"/>
      <c r="K9" s="63"/>
    </row>
    <row r="10" spans="1:11" ht="15.75" thickBot="1" x14ac:dyDescent="0.3">
      <c r="A10" s="169" t="s">
        <v>57</v>
      </c>
      <c r="B10" s="167" t="s">
        <v>58</v>
      </c>
      <c r="C10" s="167" t="s">
        <v>59</v>
      </c>
      <c r="D10" s="167"/>
      <c r="E10" s="167"/>
      <c r="F10" s="167"/>
      <c r="G10" s="167"/>
      <c r="H10" s="167" t="s">
        <v>60</v>
      </c>
      <c r="I10" s="167" t="s">
        <v>61</v>
      </c>
      <c r="J10" s="168" t="s">
        <v>62</v>
      </c>
      <c r="K10" s="165" t="s">
        <v>63</v>
      </c>
    </row>
    <row r="11" spans="1:11" ht="23.25" customHeight="1" x14ac:dyDescent="0.25">
      <c r="A11" s="169"/>
      <c r="B11" s="167"/>
      <c r="C11" s="167"/>
      <c r="D11" s="167"/>
      <c r="E11" s="167"/>
      <c r="F11" s="167"/>
      <c r="G11" s="167"/>
      <c r="H11" s="167"/>
      <c r="I11" s="167"/>
      <c r="J11" s="168"/>
      <c r="K11" s="165"/>
    </row>
    <row r="12" spans="1:11" ht="35.25" customHeight="1" x14ac:dyDescent="0.2">
      <c r="A12" s="68">
        <v>1</v>
      </c>
      <c r="B12" s="118" t="str">
        <f>'SAF 011'!B21</f>
        <v>2.4.4-6818.48</v>
      </c>
      <c r="C12" s="162" t="str">
        <f>'SAF 011'!E21</f>
        <v>NEUMATICOS; VEHICULO: CAMIONETA, CONSTRUCCION: RADIAL, MEDIDA: 235/75R15, ARMADO: S/CAMARA</v>
      </c>
      <c r="D12" s="163"/>
      <c r="E12" s="163"/>
      <c r="F12" s="163"/>
      <c r="G12" s="164"/>
      <c r="H12" s="69" t="s">
        <v>90</v>
      </c>
      <c r="I12" s="70" t="str">
        <f>'SAF 011'!F21</f>
        <v>UNIDAD</v>
      </c>
      <c r="J12" s="127">
        <f>'SAF 011'!J21</f>
        <v>40880</v>
      </c>
      <c r="K12" s="71">
        <v>4</v>
      </c>
    </row>
    <row r="13" spans="1:11" ht="15.75" customHeight="1" x14ac:dyDescent="0.2">
      <c r="A13" s="118"/>
      <c r="B13" s="118"/>
      <c r="C13" s="162"/>
      <c r="D13" s="163"/>
      <c r="E13" s="163"/>
      <c r="F13" s="163"/>
      <c r="G13" s="164"/>
      <c r="H13" s="69"/>
      <c r="I13" s="70"/>
      <c r="J13" s="127"/>
      <c r="K13" s="129"/>
    </row>
    <row r="14" spans="1:11" ht="18.75" thickBot="1" x14ac:dyDescent="0.25">
      <c r="A14" s="161" t="s">
        <v>97</v>
      </c>
      <c r="B14" s="161"/>
      <c r="C14" s="161"/>
      <c r="D14" s="161"/>
      <c r="E14" s="161"/>
      <c r="F14" s="161"/>
      <c r="G14" s="161"/>
      <c r="H14" s="161"/>
      <c r="I14" s="161"/>
      <c r="J14" s="159">
        <f>SUMPRODUCT(J12:J12,K12:K12)</f>
        <v>163520</v>
      </c>
      <c r="K14" s="160"/>
    </row>
  </sheetData>
  <mergeCells count="18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C12:G12"/>
    <mergeCell ref="A14:I14"/>
    <mergeCell ref="C13:G13"/>
    <mergeCell ref="J14:K14"/>
    <mergeCell ref="J10:J11"/>
    <mergeCell ref="K10:K11"/>
    <mergeCell ref="I10:I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2"/>
  <sheetViews>
    <sheetView workbookViewId="0">
      <selection activeCell="Q15" sqref="Q15"/>
    </sheetView>
  </sheetViews>
  <sheetFormatPr baseColWidth="10" defaultColWidth="11.42578125" defaultRowHeight="15" x14ac:dyDescent="0.25"/>
  <cols>
    <col min="1" max="5" width="4.42578125" customWidth="1"/>
    <col min="6" max="6" width="7.285156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0" t="s">
        <v>5</v>
      </c>
      <c r="B1" s="190"/>
      <c r="C1" s="190"/>
      <c r="D1" s="191">
        <v>2022</v>
      </c>
      <c r="E1" s="191"/>
      <c r="F1" s="72"/>
      <c r="G1" s="72"/>
      <c r="H1" s="73"/>
      <c r="I1" s="73"/>
      <c r="J1" s="73"/>
      <c r="K1" s="73"/>
      <c r="L1" s="73"/>
      <c r="M1" s="73"/>
      <c r="N1" s="73"/>
      <c r="O1" s="74"/>
      <c r="P1" s="192" t="s">
        <v>64</v>
      </c>
      <c r="Q1" s="192"/>
    </row>
    <row r="2" spans="1:17" ht="15.75" thickBot="1" x14ac:dyDescent="0.3">
      <c r="A2" s="75"/>
      <c r="G2" s="76"/>
      <c r="H2" s="77"/>
      <c r="I2" s="77"/>
      <c r="J2" s="77"/>
      <c r="K2" s="77"/>
      <c r="L2" s="77"/>
      <c r="M2" s="77"/>
      <c r="N2" s="77"/>
      <c r="P2" s="192"/>
      <c r="Q2" s="192"/>
    </row>
    <row r="3" spans="1:17" ht="15.75" thickBot="1" x14ac:dyDescent="0.25">
      <c r="A3" s="75"/>
      <c r="G3" s="76"/>
      <c r="Q3" s="78"/>
    </row>
    <row r="4" spans="1:17" ht="15.75" thickBot="1" x14ac:dyDescent="0.3">
      <c r="A4" s="193" t="s">
        <v>65</v>
      </c>
      <c r="B4" s="193"/>
      <c r="C4" s="193"/>
      <c r="D4" s="193"/>
      <c r="E4" s="193"/>
      <c r="F4" s="193"/>
      <c r="G4" s="194" t="str">
        <f>'NP DPMIA'!D3</f>
        <v>040 - MINISTERIO DE SALUD</v>
      </c>
      <c r="H4" s="194"/>
      <c r="I4" s="194"/>
      <c r="J4" s="194"/>
      <c r="K4" s="194"/>
      <c r="L4" s="194"/>
      <c r="M4" s="194"/>
      <c r="N4" s="194"/>
      <c r="O4" s="194"/>
      <c r="P4" s="194"/>
      <c r="Q4" s="194"/>
    </row>
    <row r="5" spans="1:17" ht="15.75" thickBot="1" x14ac:dyDescent="0.25">
      <c r="A5" s="195" t="s">
        <v>52</v>
      </c>
      <c r="B5" s="195"/>
      <c r="C5" s="195"/>
      <c r="D5" s="195"/>
      <c r="E5" s="195"/>
      <c r="F5" s="195"/>
      <c r="G5" s="194" t="str">
        <f>'NP DPMIA'!D4</f>
        <v>011 - DIRECCION PROVINCIAL DE ADMINISTRACION - MINISTERIO DE SALUD</v>
      </c>
      <c r="H5" s="194"/>
      <c r="I5" s="194"/>
      <c r="J5" s="194"/>
      <c r="K5" s="194"/>
      <c r="L5" s="194"/>
      <c r="M5" s="194"/>
      <c r="N5" s="194"/>
      <c r="O5" s="194"/>
      <c r="P5" s="194"/>
      <c r="Q5" s="194"/>
    </row>
    <row r="6" spans="1:17" ht="15.75" thickBot="1" x14ac:dyDescent="0.25">
      <c r="A6" s="195" t="s">
        <v>53</v>
      </c>
      <c r="B6" s="195"/>
      <c r="C6" s="195"/>
      <c r="D6" s="195"/>
      <c r="E6" s="195"/>
      <c r="F6" s="195"/>
      <c r="G6" s="194" t="str">
        <f>'NP DPMIA'!D5</f>
        <v>162 - DIRECCION PROVINCIAL DE MATERNIDAD, INFANCIA Y ADOLESCENCIA</v>
      </c>
      <c r="H6" s="194"/>
      <c r="I6" s="194"/>
      <c r="J6" s="194"/>
      <c r="K6" s="194"/>
      <c r="L6" s="194"/>
      <c r="M6" s="194"/>
      <c r="N6" s="194"/>
      <c r="O6" s="194"/>
      <c r="P6" s="194"/>
      <c r="Q6" s="194"/>
    </row>
    <row r="7" spans="1:17" ht="15.75" thickBot="1" x14ac:dyDescent="0.25">
      <c r="A7" s="195" t="s">
        <v>54</v>
      </c>
      <c r="B7" s="195"/>
      <c r="C7" s="195"/>
      <c r="D7" s="195"/>
      <c r="E7" s="195"/>
      <c r="F7" s="195"/>
      <c r="G7" s="194" t="str">
        <f>'NP DPMIA'!D6</f>
        <v>162 - DIRECCION PROVINCIAL DE MATERNIDAD, INFANCIA Y ADOLESCENCIA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</row>
    <row r="8" spans="1:17" ht="15.75" thickBot="1" x14ac:dyDescent="0.3">
      <c r="A8" s="196" t="s">
        <v>66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27.75" customHeight="1" x14ac:dyDescent="0.25">
      <c r="A9" s="189" t="s">
        <v>67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</row>
    <row r="10" spans="1:17" ht="57" customHeight="1" x14ac:dyDescent="0.25">
      <c r="A10" s="182" t="s">
        <v>86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 spans="1:17" ht="15.75" thickBot="1" x14ac:dyDescent="0.25">
      <c r="A11" s="79"/>
      <c r="B11" s="80"/>
      <c r="C11" s="80"/>
      <c r="D11" s="80"/>
      <c r="E11" s="80"/>
      <c r="F11" s="80"/>
      <c r="G11" s="81"/>
      <c r="H11" s="80"/>
      <c r="I11" s="80"/>
      <c r="J11" s="80"/>
      <c r="K11" s="80"/>
      <c r="L11" s="80"/>
      <c r="M11" s="80"/>
      <c r="N11" s="80"/>
      <c r="O11" s="80"/>
      <c r="P11" s="80"/>
      <c r="Q11" s="82"/>
    </row>
    <row r="12" spans="1:17" ht="15.75" thickBot="1" x14ac:dyDescent="0.3">
      <c r="A12" s="183" t="s">
        <v>68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</row>
    <row r="13" spans="1:17" ht="15.75" thickBot="1" x14ac:dyDescent="0.3">
      <c r="A13" s="184" t="s">
        <v>69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5" t="s">
        <v>70</v>
      </c>
      <c r="P13" s="185"/>
      <c r="Q13" s="186" t="s">
        <v>71</v>
      </c>
    </row>
    <row r="14" spans="1:17" ht="15.75" thickBot="1" x14ac:dyDescent="0.3">
      <c r="A14" s="83" t="s">
        <v>72</v>
      </c>
      <c r="B14" s="84" t="s">
        <v>73</v>
      </c>
      <c r="C14" s="84" t="s">
        <v>74</v>
      </c>
      <c r="D14" s="84" t="s">
        <v>75</v>
      </c>
      <c r="E14" s="84" t="s">
        <v>76</v>
      </c>
      <c r="F14" s="84" t="s">
        <v>77</v>
      </c>
      <c r="G14" s="85" t="s">
        <v>78</v>
      </c>
      <c r="H14" s="84" t="s">
        <v>79</v>
      </c>
      <c r="I14" s="84" t="s">
        <v>80</v>
      </c>
      <c r="J14" s="84" t="s">
        <v>81</v>
      </c>
      <c r="K14" s="84" t="s">
        <v>81</v>
      </c>
      <c r="L14" s="84" t="s">
        <v>82</v>
      </c>
      <c r="M14" s="86" t="s">
        <v>83</v>
      </c>
      <c r="N14" s="87" t="s">
        <v>84</v>
      </c>
      <c r="O14" s="185"/>
      <c r="P14" s="185"/>
      <c r="Q14" s="186"/>
    </row>
    <row r="15" spans="1:17" x14ac:dyDescent="0.2">
      <c r="A15" s="88">
        <v>20</v>
      </c>
      <c r="B15" s="89"/>
      <c r="C15" s="89"/>
      <c r="D15" s="89">
        <v>1</v>
      </c>
      <c r="E15" s="89"/>
      <c r="F15" s="89">
        <v>4901</v>
      </c>
      <c r="G15" s="89">
        <v>3</v>
      </c>
      <c r="H15" s="89">
        <v>1</v>
      </c>
      <c r="I15" s="89">
        <v>2</v>
      </c>
      <c r="J15" s="89">
        <v>4</v>
      </c>
      <c r="K15" s="89">
        <v>4</v>
      </c>
      <c r="L15" s="89"/>
      <c r="M15" s="90">
        <v>1</v>
      </c>
      <c r="N15" s="89" t="s">
        <v>91</v>
      </c>
      <c r="O15" s="187" t="s">
        <v>92</v>
      </c>
      <c r="P15" s="187"/>
      <c r="Q15" s="91">
        <v>163520</v>
      </c>
    </row>
    <row r="16" spans="1:17" x14ac:dyDescent="0.2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4"/>
      <c r="N16" s="95"/>
      <c r="O16" s="177"/>
      <c r="P16" s="177"/>
      <c r="Q16" s="96"/>
    </row>
    <row r="17" spans="1:17" x14ac:dyDescent="0.25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4"/>
      <c r="N17" s="95"/>
      <c r="O17" s="188"/>
      <c r="P17" s="188"/>
      <c r="Q17" s="96"/>
    </row>
    <row r="18" spans="1:17" x14ac:dyDescent="0.25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4"/>
      <c r="N18" s="95"/>
      <c r="O18" s="181"/>
      <c r="P18" s="181"/>
      <c r="Q18" s="96"/>
    </row>
    <row r="19" spans="1:17" x14ac:dyDescent="0.25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4"/>
      <c r="N19" s="95"/>
      <c r="O19" s="181"/>
      <c r="P19" s="181"/>
      <c r="Q19" s="96"/>
    </row>
    <row r="20" spans="1:17" x14ac:dyDescent="0.25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4"/>
      <c r="N20" s="95"/>
      <c r="O20" s="181"/>
      <c r="P20" s="181"/>
      <c r="Q20" s="96"/>
    </row>
    <row r="21" spans="1:17" x14ac:dyDescent="0.25">
      <c r="A21" s="92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4"/>
      <c r="N21" s="95"/>
      <c r="O21" s="181"/>
      <c r="P21" s="181"/>
      <c r="Q21" s="96"/>
    </row>
    <row r="22" spans="1:17" x14ac:dyDescent="0.25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4"/>
      <c r="N22" s="95"/>
      <c r="O22" s="181"/>
      <c r="P22" s="181"/>
      <c r="Q22" s="96"/>
    </row>
    <row r="23" spans="1:17" x14ac:dyDescent="0.25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4"/>
      <c r="N23" s="95"/>
      <c r="O23" s="181"/>
      <c r="P23" s="181"/>
      <c r="Q23" s="96"/>
    </row>
    <row r="24" spans="1:17" x14ac:dyDescent="0.25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95"/>
      <c r="O24" s="181"/>
      <c r="P24" s="181"/>
      <c r="Q24" s="96"/>
    </row>
    <row r="25" spans="1:17" x14ac:dyDescent="0.25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95"/>
      <c r="O25" s="181"/>
      <c r="P25" s="181"/>
      <c r="Q25" s="96"/>
    </row>
    <row r="26" spans="1:17" x14ac:dyDescent="0.25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95"/>
      <c r="O26" s="181"/>
      <c r="P26" s="181"/>
      <c r="Q26" s="96"/>
    </row>
    <row r="27" spans="1:17" x14ac:dyDescent="0.25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95"/>
      <c r="O27" s="181"/>
      <c r="P27" s="181"/>
      <c r="Q27" s="96"/>
    </row>
    <row r="28" spans="1:17" x14ac:dyDescent="0.25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95"/>
      <c r="O28" s="181"/>
      <c r="P28" s="181"/>
      <c r="Q28" s="96"/>
    </row>
    <row r="29" spans="1:17" x14ac:dyDescent="0.25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95"/>
      <c r="O29" s="181"/>
      <c r="P29" s="181"/>
      <c r="Q29" s="96"/>
    </row>
    <row r="30" spans="1:17" x14ac:dyDescent="0.25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95"/>
      <c r="O30" s="181"/>
      <c r="P30" s="181"/>
      <c r="Q30" s="96"/>
    </row>
    <row r="31" spans="1:17" x14ac:dyDescent="0.25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95"/>
      <c r="O31" s="181"/>
      <c r="P31" s="181"/>
      <c r="Q31" s="96"/>
    </row>
    <row r="32" spans="1:17" x14ac:dyDescent="0.25">
      <c r="A32" s="92"/>
      <c r="B32" s="93"/>
      <c r="C32" s="93"/>
      <c r="D32" s="93"/>
      <c r="E32" s="93"/>
      <c r="F32" s="95"/>
      <c r="G32" s="93"/>
      <c r="H32" s="93"/>
      <c r="I32" s="93"/>
      <c r="J32" s="93"/>
      <c r="K32" s="93"/>
      <c r="L32" s="93"/>
      <c r="M32" s="94"/>
      <c r="N32" s="95"/>
      <c r="O32" s="177"/>
      <c r="P32" s="177"/>
      <c r="Q32" s="96"/>
    </row>
    <row r="33" spans="1:17" x14ac:dyDescent="0.25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95"/>
      <c r="O33" s="177"/>
      <c r="P33" s="177"/>
      <c r="Q33" s="96"/>
    </row>
    <row r="34" spans="1:17" x14ac:dyDescent="0.25">
      <c r="A34" s="92"/>
      <c r="B34" s="93"/>
      <c r="C34" s="93"/>
      <c r="D34" s="93"/>
      <c r="E34" s="93"/>
      <c r="F34" s="95"/>
      <c r="G34" s="93"/>
      <c r="H34" s="93"/>
      <c r="I34" s="93"/>
      <c r="J34" s="93"/>
      <c r="K34" s="93"/>
      <c r="L34" s="93"/>
      <c r="M34" s="94"/>
      <c r="N34" s="95"/>
      <c r="O34" s="177"/>
      <c r="P34" s="177"/>
      <c r="Q34" s="96"/>
    </row>
    <row r="35" spans="1:17" x14ac:dyDescent="0.25">
      <c r="A35" s="92"/>
      <c r="B35" s="93"/>
      <c r="C35" s="93"/>
      <c r="D35" s="93"/>
      <c r="E35" s="93"/>
      <c r="F35" s="95"/>
      <c r="G35" s="93"/>
      <c r="H35" s="93"/>
      <c r="I35" s="93"/>
      <c r="J35" s="93"/>
      <c r="K35" s="93"/>
      <c r="L35" s="93"/>
      <c r="M35" s="94"/>
      <c r="N35" s="95"/>
      <c r="O35" s="177"/>
      <c r="P35" s="177"/>
      <c r="Q35" s="96"/>
    </row>
    <row r="36" spans="1:17" x14ac:dyDescent="0.25">
      <c r="A36" s="97"/>
      <c r="B36" s="98"/>
      <c r="C36" s="98"/>
      <c r="D36" s="98"/>
      <c r="E36" s="98"/>
      <c r="F36" s="95"/>
      <c r="G36" s="98"/>
      <c r="H36" s="98"/>
      <c r="I36" s="98"/>
      <c r="J36" s="98"/>
      <c r="K36" s="98"/>
      <c r="L36" s="98"/>
      <c r="M36" s="99"/>
      <c r="N36" s="100"/>
      <c r="O36" s="177"/>
      <c r="P36" s="177"/>
      <c r="Q36" s="96"/>
    </row>
    <row r="37" spans="1:17" ht="15.75" thickBot="1" x14ac:dyDescent="0.3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2"/>
      <c r="O37" s="178"/>
      <c r="P37" s="178"/>
      <c r="Q37" s="104"/>
    </row>
    <row r="38" spans="1:17" ht="15.75" thickBot="1" x14ac:dyDescent="0.3">
      <c r="A38" s="179" t="s">
        <v>98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05">
        <f>SUM(Q15:Q37)</f>
        <v>163520</v>
      </c>
    </row>
    <row r="39" spans="1:17" ht="15.75" thickBot="1" x14ac:dyDescent="0.3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</row>
    <row r="40" spans="1:17" ht="15.75" thickBot="1" x14ac:dyDescent="0.3">
      <c r="A40" s="174" t="s">
        <v>85</v>
      </c>
      <c r="B40" s="174"/>
      <c r="C40" s="174"/>
      <c r="D40" s="174"/>
      <c r="E40" s="174"/>
      <c r="F40" s="174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</row>
    <row r="41" spans="1:17" ht="15.75" thickBot="1" x14ac:dyDescent="0.3">
      <c r="A41" s="176" t="str">
        <f>'NP DPMIA'!D8</f>
        <v>ADQ. DEL RUBRO CUBIERTAS</v>
      </c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</row>
    <row r="42" spans="1:17" ht="15.75" thickBot="1" x14ac:dyDescent="0.3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K12" sqref="K12"/>
    </sheetView>
  </sheetViews>
  <sheetFormatPr baseColWidth="10" defaultColWidth="11.42578125" defaultRowHeight="15" x14ac:dyDescent="0.25"/>
  <cols>
    <col min="1" max="1" width="5.5703125" customWidth="1"/>
    <col min="2" max="2" width="15.140625" style="119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0.7109375" customWidth="1"/>
    <col min="8" max="8" width="9.28515625" customWidth="1"/>
    <col min="9" max="9" width="15.5703125" customWidth="1"/>
    <col min="10" max="10" width="14.7109375" style="128" customWidth="1"/>
    <col min="11" max="11" width="15.5703125" customWidth="1"/>
  </cols>
  <sheetData>
    <row r="1" spans="1:11" ht="30.75" thickBot="1" x14ac:dyDescent="0.3">
      <c r="A1" s="173" t="s">
        <v>49</v>
      </c>
      <c r="B1" s="173"/>
      <c r="C1" s="173"/>
      <c r="D1" s="173"/>
      <c r="E1" s="173"/>
      <c r="F1" s="173"/>
      <c r="G1" s="173"/>
      <c r="H1" s="173"/>
      <c r="I1" s="173"/>
      <c r="J1" s="122" t="s">
        <v>50</v>
      </c>
      <c r="K1" s="55"/>
    </row>
    <row r="2" spans="1:11" ht="15.75" thickBot="1" x14ac:dyDescent="0.25">
      <c r="A2" s="56"/>
      <c r="B2" s="115"/>
      <c r="C2" s="57"/>
      <c r="D2" s="58"/>
      <c r="E2" s="58"/>
      <c r="F2" s="58"/>
      <c r="G2" s="58"/>
      <c r="H2" s="58"/>
      <c r="I2" s="58"/>
      <c r="J2" s="123"/>
      <c r="K2" s="59"/>
    </row>
    <row r="3" spans="1:11" ht="16.5" customHeight="1" thickBot="1" x14ac:dyDescent="0.3">
      <c r="A3" s="170" t="s">
        <v>51</v>
      </c>
      <c r="B3" s="170"/>
      <c r="C3" s="170"/>
      <c r="D3" s="109" t="str">
        <f>'SAF 011'!C4</f>
        <v>040 - MINISTERIO DE SALUD</v>
      </c>
      <c r="E3" s="110"/>
      <c r="F3" s="110"/>
      <c r="G3" s="110"/>
      <c r="H3" s="110"/>
      <c r="I3" s="110"/>
      <c r="J3" s="124"/>
      <c r="K3" s="111"/>
    </row>
    <row r="4" spans="1:11" ht="16.5" customHeight="1" thickBot="1" x14ac:dyDescent="0.25">
      <c r="A4" s="171" t="s">
        <v>52</v>
      </c>
      <c r="B4" s="171"/>
      <c r="C4" s="171"/>
      <c r="D4" s="109" t="str">
        <f>'SAF 011'!C5</f>
        <v>011 - DIRECCION PROVINCIAL DE ADMINISTRACION - MINISTERIO DE SALUD</v>
      </c>
      <c r="E4" s="110"/>
      <c r="F4" s="110"/>
      <c r="G4" s="110"/>
      <c r="H4" s="110"/>
      <c r="I4" s="110"/>
      <c r="J4" s="124"/>
      <c r="K4" s="111"/>
    </row>
    <row r="5" spans="1:11" ht="16.5" customHeight="1" thickBot="1" x14ac:dyDescent="0.25">
      <c r="A5" s="171" t="s">
        <v>53</v>
      </c>
      <c r="B5" s="171"/>
      <c r="C5" s="171"/>
      <c r="D5" s="109" t="s">
        <v>99</v>
      </c>
      <c r="E5" s="110"/>
      <c r="F5" s="110"/>
      <c r="G5" s="110"/>
      <c r="H5" s="110"/>
      <c r="I5" s="110"/>
      <c r="J5" s="124"/>
      <c r="K5" s="111"/>
    </row>
    <row r="6" spans="1:11" ht="16.5" customHeight="1" thickBot="1" x14ac:dyDescent="0.25">
      <c r="A6" s="170" t="s">
        <v>54</v>
      </c>
      <c r="B6" s="170"/>
      <c r="C6" s="170"/>
      <c r="D6" s="109" t="s">
        <v>99</v>
      </c>
      <c r="E6" s="110"/>
      <c r="F6" s="110"/>
      <c r="G6" s="110"/>
      <c r="H6" s="110"/>
      <c r="I6" s="110"/>
      <c r="J6" s="124"/>
      <c r="K6" s="111"/>
    </row>
    <row r="7" spans="1:11" ht="16.5" thickBot="1" x14ac:dyDescent="0.3">
      <c r="A7" s="171" t="s">
        <v>55</v>
      </c>
      <c r="B7" s="171"/>
      <c r="C7" s="171"/>
      <c r="D7" s="109" t="s">
        <v>88</v>
      </c>
      <c r="E7" s="110"/>
      <c r="F7" s="110"/>
      <c r="G7" s="110"/>
      <c r="H7" s="110"/>
      <c r="I7" s="110"/>
      <c r="J7" s="124"/>
      <c r="K7" s="111"/>
    </row>
    <row r="8" spans="1:11" ht="16.5" customHeight="1" thickBot="1" x14ac:dyDescent="0.25">
      <c r="A8" s="172" t="s">
        <v>56</v>
      </c>
      <c r="B8" s="172"/>
      <c r="C8" s="172"/>
      <c r="D8" s="112" t="s">
        <v>89</v>
      </c>
      <c r="E8" s="110"/>
      <c r="F8" s="110"/>
      <c r="G8" s="110"/>
      <c r="H8" s="110"/>
      <c r="I8" s="110"/>
      <c r="J8" s="124"/>
      <c r="K8" s="111"/>
    </row>
    <row r="9" spans="1:11" ht="15.75" thickBot="1" x14ac:dyDescent="0.25">
      <c r="A9" s="60"/>
      <c r="B9" s="116"/>
      <c r="C9" s="61"/>
      <c r="D9" s="62"/>
      <c r="E9" s="62"/>
      <c r="F9" s="62"/>
      <c r="G9" s="62"/>
      <c r="H9" s="62"/>
      <c r="I9" s="62"/>
      <c r="J9" s="125"/>
      <c r="K9" s="63"/>
    </row>
    <row r="10" spans="1:11" ht="15.75" thickBot="1" x14ac:dyDescent="0.3">
      <c r="A10" s="169" t="s">
        <v>57</v>
      </c>
      <c r="B10" s="167" t="s">
        <v>58</v>
      </c>
      <c r="C10" s="167" t="s">
        <v>59</v>
      </c>
      <c r="D10" s="167"/>
      <c r="E10" s="167"/>
      <c r="F10" s="167"/>
      <c r="G10" s="167"/>
      <c r="H10" s="167" t="s">
        <v>60</v>
      </c>
      <c r="I10" s="167" t="s">
        <v>61</v>
      </c>
      <c r="J10" s="168" t="s">
        <v>62</v>
      </c>
      <c r="K10" s="165" t="s">
        <v>63</v>
      </c>
    </row>
    <row r="11" spans="1:11" ht="23.25" customHeight="1" x14ac:dyDescent="0.25">
      <c r="A11" s="169"/>
      <c r="B11" s="167"/>
      <c r="C11" s="167"/>
      <c r="D11" s="167"/>
      <c r="E11" s="167"/>
      <c r="F11" s="167"/>
      <c r="G11" s="167"/>
      <c r="H11" s="167"/>
      <c r="I11" s="167"/>
      <c r="J11" s="168"/>
      <c r="K11" s="165"/>
    </row>
    <row r="12" spans="1:11" ht="42.75" customHeight="1" x14ac:dyDescent="0.2">
      <c r="A12" s="68">
        <v>1</v>
      </c>
      <c r="B12" s="118" t="str">
        <f>'SAF 011'!B18</f>
        <v>2.4.4-6818.530</v>
      </c>
      <c r="C12" s="162" t="str">
        <f>'SAF 011'!E18</f>
        <v>NEUMATICOS; VEHICULO: CAMIONETA, CONSTRUCCION: RADIAL, ARMADO: S/CAMARA, MEDIDA: 245/70R16</v>
      </c>
      <c r="D12" s="163"/>
      <c r="E12" s="163"/>
      <c r="F12" s="163"/>
      <c r="G12" s="164"/>
      <c r="H12" s="69" t="s">
        <v>90</v>
      </c>
      <c r="I12" s="70" t="str">
        <f>'SAF 011'!F18</f>
        <v>UNIDAD</v>
      </c>
      <c r="J12" s="127">
        <f>'SAF 011'!J18</f>
        <v>50950</v>
      </c>
      <c r="K12" s="71">
        <v>4</v>
      </c>
    </row>
    <row r="13" spans="1:11" ht="15.75" customHeight="1" x14ac:dyDescent="0.2">
      <c r="A13" s="68"/>
      <c r="B13" s="118"/>
      <c r="C13" s="162"/>
      <c r="D13" s="163"/>
      <c r="E13" s="163"/>
      <c r="F13" s="163"/>
      <c r="G13" s="164"/>
      <c r="H13" s="69"/>
      <c r="I13" s="70"/>
      <c r="J13" s="127"/>
      <c r="K13" s="71"/>
    </row>
    <row r="14" spans="1:11" ht="18.75" thickBot="1" x14ac:dyDescent="0.25">
      <c r="A14" s="161" t="s">
        <v>100</v>
      </c>
      <c r="B14" s="161"/>
      <c r="C14" s="161"/>
      <c r="D14" s="161"/>
      <c r="E14" s="161"/>
      <c r="F14" s="161"/>
      <c r="G14" s="161"/>
      <c r="H14" s="161"/>
      <c r="I14" s="161"/>
      <c r="J14" s="159">
        <f>SUMPRODUCT(J12:J13,K12:K13)</f>
        <v>203800</v>
      </c>
      <c r="K14" s="160"/>
    </row>
  </sheetData>
  <mergeCells count="18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C13:G13"/>
    <mergeCell ref="A14:I14"/>
    <mergeCell ref="J14:K14"/>
    <mergeCell ref="C12:G12"/>
    <mergeCell ref="J10:J11"/>
    <mergeCell ref="K10:K11"/>
    <mergeCell ref="I10:I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2"/>
  <sheetViews>
    <sheetView topLeftCell="C7" workbookViewId="0">
      <selection activeCell="Q15" sqref="Q15"/>
    </sheetView>
  </sheetViews>
  <sheetFormatPr baseColWidth="10" defaultColWidth="11.42578125" defaultRowHeight="15" x14ac:dyDescent="0.25"/>
  <cols>
    <col min="1" max="5" width="4.42578125" customWidth="1"/>
    <col min="6" max="6" width="7.285156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0" t="s">
        <v>5</v>
      </c>
      <c r="B1" s="190"/>
      <c r="C1" s="190"/>
      <c r="D1" s="191">
        <v>2022</v>
      </c>
      <c r="E1" s="191"/>
      <c r="F1" s="72"/>
      <c r="G1" s="72"/>
      <c r="H1" s="73"/>
      <c r="I1" s="73"/>
      <c r="J1" s="73"/>
      <c r="K1" s="73"/>
      <c r="L1" s="73"/>
      <c r="M1" s="73"/>
      <c r="N1" s="73"/>
      <c r="O1" s="74"/>
      <c r="P1" s="192" t="s">
        <v>64</v>
      </c>
      <c r="Q1" s="192"/>
    </row>
    <row r="2" spans="1:17" ht="15.75" thickBot="1" x14ac:dyDescent="0.3">
      <c r="A2" s="75"/>
      <c r="G2" s="76"/>
      <c r="H2" s="77"/>
      <c r="I2" s="77"/>
      <c r="J2" s="77"/>
      <c r="K2" s="77"/>
      <c r="L2" s="77"/>
      <c r="M2" s="77"/>
      <c r="N2" s="77"/>
      <c r="P2" s="192"/>
      <c r="Q2" s="192"/>
    </row>
    <row r="3" spans="1:17" ht="15.75" thickBot="1" x14ac:dyDescent="0.25">
      <c r="A3" s="75"/>
      <c r="G3" s="76"/>
      <c r="Q3" s="78"/>
    </row>
    <row r="4" spans="1:17" ht="15.75" thickBot="1" x14ac:dyDescent="0.3">
      <c r="A4" s="193" t="s">
        <v>65</v>
      </c>
      <c r="B4" s="193"/>
      <c r="C4" s="193"/>
      <c r="D4" s="193"/>
      <c r="E4" s="193"/>
      <c r="F4" s="193"/>
      <c r="G4" s="194" t="str">
        <f>'NP SASP'!D3</f>
        <v>040 - MINISTERIO DE SALUD</v>
      </c>
      <c r="H4" s="194"/>
      <c r="I4" s="194"/>
      <c r="J4" s="194"/>
      <c r="K4" s="194"/>
      <c r="L4" s="194"/>
      <c r="M4" s="194"/>
      <c r="N4" s="194"/>
      <c r="O4" s="194"/>
      <c r="P4" s="194"/>
      <c r="Q4" s="194"/>
    </row>
    <row r="5" spans="1:17" ht="15.75" thickBot="1" x14ac:dyDescent="0.25">
      <c r="A5" s="195" t="s">
        <v>52</v>
      </c>
      <c r="B5" s="195"/>
      <c r="C5" s="195"/>
      <c r="D5" s="195"/>
      <c r="E5" s="195"/>
      <c r="F5" s="195"/>
      <c r="G5" s="194" t="str">
        <f>'NP SASP'!D4</f>
        <v>011 - DIRECCION PROVINCIAL DE ADMINISTRACION - MINISTERIO DE SALUD</v>
      </c>
      <c r="H5" s="194"/>
      <c r="I5" s="194"/>
      <c r="J5" s="194"/>
      <c r="K5" s="194"/>
      <c r="L5" s="194"/>
      <c r="M5" s="194"/>
      <c r="N5" s="194"/>
      <c r="O5" s="194"/>
      <c r="P5" s="194"/>
      <c r="Q5" s="194"/>
    </row>
    <row r="6" spans="1:17" ht="15.75" thickBot="1" x14ac:dyDescent="0.25">
      <c r="A6" s="195" t="s">
        <v>53</v>
      </c>
      <c r="B6" s="195"/>
      <c r="C6" s="195"/>
      <c r="D6" s="195"/>
      <c r="E6" s="195"/>
      <c r="F6" s="195"/>
      <c r="G6" s="194" t="str">
        <f>'NP SASP'!D5</f>
        <v>743 - SECRETARIA DE ASISTENCIA EN SALUD PUBLICA</v>
      </c>
      <c r="H6" s="194"/>
      <c r="I6" s="194"/>
      <c r="J6" s="194"/>
      <c r="K6" s="194"/>
      <c r="L6" s="194"/>
      <c r="M6" s="194"/>
      <c r="N6" s="194"/>
      <c r="O6" s="194"/>
      <c r="P6" s="194"/>
      <c r="Q6" s="194"/>
    </row>
    <row r="7" spans="1:17" ht="15.75" thickBot="1" x14ac:dyDescent="0.25">
      <c r="A7" s="195" t="s">
        <v>54</v>
      </c>
      <c r="B7" s="195"/>
      <c r="C7" s="195"/>
      <c r="D7" s="195"/>
      <c r="E7" s="195"/>
      <c r="F7" s="195"/>
      <c r="G7" s="194" t="str">
        <f>'NP SASP'!D6</f>
        <v>743 - SECRETARIA DE ASISTENCIA EN SALUD PUBLICA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</row>
    <row r="8" spans="1:17" ht="15.75" thickBot="1" x14ac:dyDescent="0.3">
      <c r="A8" s="196" t="s">
        <v>66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27.75" customHeight="1" x14ac:dyDescent="0.25">
      <c r="A9" s="189" t="s">
        <v>67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</row>
    <row r="10" spans="1:17" ht="57" customHeight="1" x14ac:dyDescent="0.25">
      <c r="A10" s="182" t="s">
        <v>86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 spans="1:17" ht="15.75" thickBot="1" x14ac:dyDescent="0.25">
      <c r="A11" s="79"/>
      <c r="B11" s="80"/>
      <c r="C11" s="80"/>
      <c r="D11" s="80"/>
      <c r="E11" s="80"/>
      <c r="F11" s="80"/>
      <c r="G11" s="81"/>
      <c r="H11" s="80"/>
      <c r="I11" s="80"/>
      <c r="J11" s="80"/>
      <c r="K11" s="80"/>
      <c r="L11" s="80"/>
      <c r="M11" s="80"/>
      <c r="N11" s="80"/>
      <c r="O11" s="80"/>
      <c r="P11" s="80"/>
      <c r="Q11" s="82"/>
    </row>
    <row r="12" spans="1:17" ht="15.75" thickBot="1" x14ac:dyDescent="0.3">
      <c r="A12" s="183" t="s">
        <v>68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</row>
    <row r="13" spans="1:17" ht="15.75" thickBot="1" x14ac:dyDescent="0.3">
      <c r="A13" s="184" t="s">
        <v>69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5" t="s">
        <v>70</v>
      </c>
      <c r="P13" s="185"/>
      <c r="Q13" s="186" t="s">
        <v>71</v>
      </c>
    </row>
    <row r="14" spans="1:17" ht="15.75" thickBot="1" x14ac:dyDescent="0.3">
      <c r="A14" s="83" t="s">
        <v>72</v>
      </c>
      <c r="B14" s="84" t="s">
        <v>73</v>
      </c>
      <c r="C14" s="84" t="s">
        <v>74</v>
      </c>
      <c r="D14" s="84" t="s">
        <v>75</v>
      </c>
      <c r="E14" s="84" t="s">
        <v>76</v>
      </c>
      <c r="F14" s="84" t="s">
        <v>77</v>
      </c>
      <c r="G14" s="85" t="s">
        <v>78</v>
      </c>
      <c r="H14" s="84" t="s">
        <v>79</v>
      </c>
      <c r="I14" s="84" t="s">
        <v>80</v>
      </c>
      <c r="J14" s="84" t="s">
        <v>81</v>
      </c>
      <c r="K14" s="84" t="s">
        <v>81</v>
      </c>
      <c r="L14" s="84" t="s">
        <v>82</v>
      </c>
      <c r="M14" s="86" t="s">
        <v>83</v>
      </c>
      <c r="N14" s="87" t="s">
        <v>84</v>
      </c>
      <c r="O14" s="185"/>
      <c r="P14" s="185"/>
      <c r="Q14" s="186"/>
    </row>
    <row r="15" spans="1:17" x14ac:dyDescent="0.2">
      <c r="A15" s="88">
        <v>3</v>
      </c>
      <c r="B15" s="89"/>
      <c r="C15" s="89"/>
      <c r="D15" s="89">
        <v>1</v>
      </c>
      <c r="E15" s="89"/>
      <c r="F15" s="89">
        <v>4901</v>
      </c>
      <c r="G15" s="89">
        <v>3</v>
      </c>
      <c r="H15" s="89">
        <v>1</v>
      </c>
      <c r="I15" s="89">
        <v>2</v>
      </c>
      <c r="J15" s="89">
        <v>4</v>
      </c>
      <c r="K15" s="89">
        <v>4</v>
      </c>
      <c r="L15" s="89"/>
      <c r="M15" s="90">
        <v>1</v>
      </c>
      <c r="N15" s="89" t="s">
        <v>91</v>
      </c>
      <c r="O15" s="187" t="s">
        <v>92</v>
      </c>
      <c r="P15" s="187"/>
      <c r="Q15" s="91">
        <v>203800</v>
      </c>
    </row>
    <row r="16" spans="1:17" x14ac:dyDescent="0.2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4"/>
      <c r="N16" s="95"/>
      <c r="O16" s="177"/>
      <c r="P16" s="177"/>
      <c r="Q16" s="96"/>
    </row>
    <row r="17" spans="1:17" x14ac:dyDescent="0.2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4"/>
      <c r="N17" s="95"/>
      <c r="O17" s="188"/>
      <c r="P17" s="188"/>
      <c r="Q17" s="96"/>
    </row>
    <row r="18" spans="1:17" x14ac:dyDescent="0.2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4"/>
      <c r="N18" s="95"/>
      <c r="O18" s="181"/>
      <c r="P18" s="181"/>
      <c r="Q18" s="96"/>
    </row>
    <row r="19" spans="1:17" x14ac:dyDescent="0.2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4"/>
      <c r="N19" s="95"/>
      <c r="O19" s="181"/>
      <c r="P19" s="181"/>
      <c r="Q19" s="96"/>
    </row>
    <row r="20" spans="1:17" x14ac:dyDescent="0.2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4"/>
      <c r="N20" s="95"/>
      <c r="O20" s="181"/>
      <c r="P20" s="181"/>
      <c r="Q20" s="96"/>
    </row>
    <row r="21" spans="1:17" x14ac:dyDescent="0.2">
      <c r="A21" s="92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4"/>
      <c r="N21" s="95"/>
      <c r="O21" s="181"/>
      <c r="P21" s="181"/>
      <c r="Q21" s="96"/>
    </row>
    <row r="22" spans="1:17" x14ac:dyDescent="0.2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4"/>
      <c r="N22" s="95"/>
      <c r="O22" s="181"/>
      <c r="P22" s="181"/>
      <c r="Q22" s="96"/>
    </row>
    <row r="23" spans="1:17" x14ac:dyDescent="0.25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4"/>
      <c r="N23" s="95"/>
      <c r="O23" s="181"/>
      <c r="P23" s="181"/>
      <c r="Q23" s="96"/>
    </row>
    <row r="24" spans="1:17" x14ac:dyDescent="0.25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95"/>
      <c r="O24" s="181"/>
      <c r="P24" s="181"/>
      <c r="Q24" s="96"/>
    </row>
    <row r="25" spans="1:17" x14ac:dyDescent="0.25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95"/>
      <c r="O25" s="181"/>
      <c r="P25" s="181"/>
      <c r="Q25" s="96"/>
    </row>
    <row r="26" spans="1:17" x14ac:dyDescent="0.25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95"/>
      <c r="O26" s="181"/>
      <c r="P26" s="181"/>
      <c r="Q26" s="96"/>
    </row>
    <row r="27" spans="1:17" x14ac:dyDescent="0.25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95"/>
      <c r="O27" s="181"/>
      <c r="P27" s="181"/>
      <c r="Q27" s="96"/>
    </row>
    <row r="28" spans="1:17" x14ac:dyDescent="0.25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95"/>
      <c r="O28" s="181"/>
      <c r="P28" s="181"/>
      <c r="Q28" s="96"/>
    </row>
    <row r="29" spans="1:17" x14ac:dyDescent="0.25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95"/>
      <c r="O29" s="181"/>
      <c r="P29" s="181"/>
      <c r="Q29" s="96"/>
    </row>
    <row r="30" spans="1:17" x14ac:dyDescent="0.25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95"/>
      <c r="O30" s="181"/>
      <c r="P30" s="181"/>
      <c r="Q30" s="96"/>
    </row>
    <row r="31" spans="1:17" x14ac:dyDescent="0.25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95"/>
      <c r="O31" s="181"/>
      <c r="P31" s="181"/>
      <c r="Q31" s="96"/>
    </row>
    <row r="32" spans="1:17" x14ac:dyDescent="0.25">
      <c r="A32" s="92"/>
      <c r="B32" s="93"/>
      <c r="C32" s="93"/>
      <c r="D32" s="93"/>
      <c r="E32" s="93"/>
      <c r="F32" s="95"/>
      <c r="G32" s="93"/>
      <c r="H32" s="93"/>
      <c r="I32" s="93"/>
      <c r="J32" s="93"/>
      <c r="K32" s="93"/>
      <c r="L32" s="93"/>
      <c r="M32" s="94"/>
      <c r="N32" s="95"/>
      <c r="O32" s="177"/>
      <c r="P32" s="177"/>
      <c r="Q32" s="96"/>
    </row>
    <row r="33" spans="1:17" x14ac:dyDescent="0.25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95"/>
      <c r="O33" s="177"/>
      <c r="P33" s="177"/>
      <c r="Q33" s="96"/>
    </row>
    <row r="34" spans="1:17" x14ac:dyDescent="0.25">
      <c r="A34" s="92"/>
      <c r="B34" s="93"/>
      <c r="C34" s="93"/>
      <c r="D34" s="93"/>
      <c r="E34" s="93"/>
      <c r="F34" s="95"/>
      <c r="G34" s="93"/>
      <c r="H34" s="93"/>
      <c r="I34" s="93"/>
      <c r="J34" s="93"/>
      <c r="K34" s="93"/>
      <c r="L34" s="93"/>
      <c r="M34" s="94"/>
      <c r="N34" s="95"/>
      <c r="O34" s="177"/>
      <c r="P34" s="177"/>
      <c r="Q34" s="96"/>
    </row>
    <row r="35" spans="1:17" x14ac:dyDescent="0.25">
      <c r="A35" s="92"/>
      <c r="B35" s="93"/>
      <c r="C35" s="93"/>
      <c r="D35" s="93"/>
      <c r="E35" s="93"/>
      <c r="F35" s="95"/>
      <c r="G35" s="93"/>
      <c r="H35" s="93"/>
      <c r="I35" s="93"/>
      <c r="J35" s="93"/>
      <c r="K35" s="93"/>
      <c r="L35" s="93"/>
      <c r="M35" s="94"/>
      <c r="N35" s="95"/>
      <c r="O35" s="177"/>
      <c r="P35" s="177"/>
      <c r="Q35" s="96"/>
    </row>
    <row r="36" spans="1:17" x14ac:dyDescent="0.25">
      <c r="A36" s="97"/>
      <c r="B36" s="98"/>
      <c r="C36" s="98"/>
      <c r="D36" s="98"/>
      <c r="E36" s="98"/>
      <c r="F36" s="95"/>
      <c r="G36" s="98"/>
      <c r="H36" s="98"/>
      <c r="I36" s="98"/>
      <c r="J36" s="98"/>
      <c r="K36" s="98"/>
      <c r="L36" s="98"/>
      <c r="M36" s="99"/>
      <c r="N36" s="100"/>
      <c r="O36" s="177"/>
      <c r="P36" s="177"/>
      <c r="Q36" s="96"/>
    </row>
    <row r="37" spans="1:17" ht="15.75" thickBot="1" x14ac:dyDescent="0.3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2"/>
      <c r="O37" s="178"/>
      <c r="P37" s="178"/>
      <c r="Q37" s="104"/>
    </row>
    <row r="38" spans="1:17" ht="15.75" thickBot="1" x14ac:dyDescent="0.3">
      <c r="A38" s="179" t="s">
        <v>101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05">
        <f>SUM(Q15:Q37)</f>
        <v>203800</v>
      </c>
    </row>
    <row r="39" spans="1:17" ht="15.75" thickBot="1" x14ac:dyDescent="0.3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</row>
    <row r="40" spans="1:17" ht="15.75" thickBot="1" x14ac:dyDescent="0.3">
      <c r="A40" s="174" t="s">
        <v>85</v>
      </c>
      <c r="B40" s="174"/>
      <c r="C40" s="174"/>
      <c r="D40" s="174"/>
      <c r="E40" s="174"/>
      <c r="F40" s="174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</row>
    <row r="41" spans="1:17" ht="15.75" thickBot="1" x14ac:dyDescent="0.3">
      <c r="A41" s="176" t="str">
        <f>'NP SASP'!D8</f>
        <v>ADQ. DEL RUBRO CUBIERTAS</v>
      </c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</row>
    <row r="42" spans="1:17" ht="15.75" thickBot="1" x14ac:dyDescent="0.3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"/>
  <sheetViews>
    <sheetView workbookViewId="0">
      <selection activeCell="K12" sqref="K12"/>
    </sheetView>
  </sheetViews>
  <sheetFormatPr baseColWidth="10" defaultColWidth="11.42578125" defaultRowHeight="15" x14ac:dyDescent="0.25"/>
  <cols>
    <col min="1" max="1" width="5.5703125" customWidth="1"/>
    <col min="2" max="2" width="15.140625" style="119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0.7109375" customWidth="1"/>
    <col min="8" max="8" width="9.28515625" customWidth="1"/>
    <col min="9" max="9" width="15.5703125" customWidth="1"/>
    <col min="10" max="10" width="14.7109375" style="128" customWidth="1"/>
    <col min="11" max="11" width="15.5703125" customWidth="1"/>
  </cols>
  <sheetData>
    <row r="1" spans="1:11" ht="30.75" thickBot="1" x14ac:dyDescent="0.3">
      <c r="A1" s="173" t="s">
        <v>49</v>
      </c>
      <c r="B1" s="173"/>
      <c r="C1" s="173"/>
      <c r="D1" s="173"/>
      <c r="E1" s="173"/>
      <c r="F1" s="173"/>
      <c r="G1" s="173"/>
      <c r="H1" s="173"/>
      <c r="I1" s="173"/>
      <c r="J1" s="122" t="s">
        <v>50</v>
      </c>
      <c r="K1" s="55"/>
    </row>
    <row r="2" spans="1:11" ht="15.75" thickBot="1" x14ac:dyDescent="0.25">
      <c r="A2" s="56"/>
      <c r="B2" s="115"/>
      <c r="C2" s="57"/>
      <c r="D2" s="58"/>
      <c r="E2" s="58"/>
      <c r="F2" s="58"/>
      <c r="G2" s="58"/>
      <c r="H2" s="58"/>
      <c r="I2" s="58"/>
      <c r="J2" s="123"/>
      <c r="K2" s="59"/>
    </row>
    <row r="3" spans="1:11" ht="16.5" customHeight="1" thickBot="1" x14ac:dyDescent="0.3">
      <c r="A3" s="170" t="s">
        <v>51</v>
      </c>
      <c r="B3" s="170"/>
      <c r="C3" s="170"/>
      <c r="D3" s="109" t="str">
        <f>'SAF 011'!C4</f>
        <v>040 - MINISTERIO DE SALUD</v>
      </c>
      <c r="E3" s="110"/>
      <c r="F3" s="110"/>
      <c r="G3" s="110"/>
      <c r="H3" s="110"/>
      <c r="I3" s="110"/>
      <c r="J3" s="124"/>
      <c r="K3" s="111"/>
    </row>
    <row r="4" spans="1:11" ht="16.5" customHeight="1" thickBot="1" x14ac:dyDescent="0.25">
      <c r="A4" s="171" t="s">
        <v>52</v>
      </c>
      <c r="B4" s="171"/>
      <c r="C4" s="171"/>
      <c r="D4" s="109" t="str">
        <f>'SAF 011'!C5</f>
        <v>011 - DIRECCION PROVINCIAL DE ADMINISTRACION - MINISTERIO DE SALUD</v>
      </c>
      <c r="E4" s="110"/>
      <c r="F4" s="110"/>
      <c r="G4" s="110"/>
      <c r="H4" s="110"/>
      <c r="I4" s="110"/>
      <c r="J4" s="124"/>
      <c r="K4" s="111"/>
    </row>
    <row r="5" spans="1:11" ht="16.5" customHeight="1" thickBot="1" x14ac:dyDescent="0.25">
      <c r="A5" s="171" t="s">
        <v>53</v>
      </c>
      <c r="B5" s="171"/>
      <c r="C5" s="171"/>
      <c r="D5" s="109" t="s">
        <v>102</v>
      </c>
      <c r="E5" s="110"/>
      <c r="F5" s="110"/>
      <c r="G5" s="110"/>
      <c r="H5" s="110"/>
      <c r="I5" s="110"/>
      <c r="J5" s="124"/>
      <c r="K5" s="111"/>
    </row>
    <row r="6" spans="1:11" ht="16.5" customHeight="1" thickBot="1" x14ac:dyDescent="0.25">
      <c r="A6" s="170" t="s">
        <v>54</v>
      </c>
      <c r="B6" s="170"/>
      <c r="C6" s="170"/>
      <c r="D6" s="109" t="s">
        <v>102</v>
      </c>
      <c r="E6" s="110"/>
      <c r="F6" s="110"/>
      <c r="G6" s="110"/>
      <c r="H6" s="110"/>
      <c r="I6" s="110"/>
      <c r="J6" s="124"/>
      <c r="K6" s="111"/>
    </row>
    <row r="7" spans="1:11" ht="16.5" thickBot="1" x14ac:dyDescent="0.3">
      <c r="A7" s="171" t="s">
        <v>55</v>
      </c>
      <c r="B7" s="171"/>
      <c r="C7" s="171"/>
      <c r="D7" s="109" t="s">
        <v>88</v>
      </c>
      <c r="E7" s="110"/>
      <c r="F7" s="110"/>
      <c r="G7" s="110"/>
      <c r="H7" s="110"/>
      <c r="I7" s="110"/>
      <c r="J7" s="124"/>
      <c r="K7" s="111"/>
    </row>
    <row r="8" spans="1:11" ht="16.5" customHeight="1" thickBot="1" x14ac:dyDescent="0.25">
      <c r="A8" s="172" t="s">
        <v>56</v>
      </c>
      <c r="B8" s="172"/>
      <c r="C8" s="172"/>
      <c r="D8" s="112" t="s">
        <v>89</v>
      </c>
      <c r="E8" s="110"/>
      <c r="F8" s="110"/>
      <c r="G8" s="110"/>
      <c r="H8" s="110"/>
      <c r="I8" s="110"/>
      <c r="J8" s="124"/>
      <c r="K8" s="111"/>
    </row>
    <row r="9" spans="1:11" ht="15.75" thickBot="1" x14ac:dyDescent="0.25">
      <c r="A9" s="60"/>
      <c r="B9" s="116"/>
      <c r="C9" s="61"/>
      <c r="D9" s="62"/>
      <c r="E9" s="62"/>
      <c r="F9" s="62"/>
      <c r="G9" s="62"/>
      <c r="H9" s="62"/>
      <c r="I9" s="62"/>
      <c r="J9" s="125"/>
      <c r="K9" s="63"/>
    </row>
    <row r="10" spans="1:11" ht="15.75" thickBot="1" x14ac:dyDescent="0.3">
      <c r="A10" s="169" t="s">
        <v>57</v>
      </c>
      <c r="B10" s="167" t="s">
        <v>58</v>
      </c>
      <c r="C10" s="167" t="s">
        <v>59</v>
      </c>
      <c r="D10" s="167"/>
      <c r="E10" s="167"/>
      <c r="F10" s="167"/>
      <c r="G10" s="167"/>
      <c r="H10" s="167" t="s">
        <v>60</v>
      </c>
      <c r="I10" s="167" t="s">
        <v>61</v>
      </c>
      <c r="J10" s="168" t="s">
        <v>62</v>
      </c>
      <c r="K10" s="165" t="s">
        <v>63</v>
      </c>
    </row>
    <row r="11" spans="1:11" ht="23.25" customHeight="1" x14ac:dyDescent="0.25">
      <c r="A11" s="169"/>
      <c r="B11" s="167"/>
      <c r="C11" s="167"/>
      <c r="D11" s="167"/>
      <c r="E11" s="167"/>
      <c r="F11" s="167"/>
      <c r="G11" s="167"/>
      <c r="H11" s="167"/>
      <c r="I11" s="167"/>
      <c r="J11" s="168"/>
      <c r="K11" s="165"/>
    </row>
    <row r="12" spans="1:11" ht="21.75" customHeight="1" x14ac:dyDescent="0.2">
      <c r="A12" s="68">
        <v>1</v>
      </c>
      <c r="B12" s="118" t="str">
        <f>'SAF 011'!B15</f>
        <v>2.4.4-6818.744</v>
      </c>
      <c r="C12" s="162" t="str">
        <f>'SAF 011'!E15</f>
        <v>NEUMATICOS; VEHICULO: CAMIONETA, CONSTRUCCION: RADIAL, ARMADO: S/CAMARA, MEDIDA: 235/70R16</v>
      </c>
      <c r="D12" s="163"/>
      <c r="E12" s="163"/>
      <c r="F12" s="163"/>
      <c r="G12" s="164"/>
      <c r="H12" s="69" t="s">
        <v>90</v>
      </c>
      <c r="I12" s="70" t="str">
        <f>'SAF 011'!F15</f>
        <v>UNIDAD</v>
      </c>
      <c r="J12" s="127">
        <f>'SAF 011'!J15</f>
        <v>47200</v>
      </c>
      <c r="K12" s="71">
        <v>4</v>
      </c>
    </row>
    <row r="13" spans="1:11" ht="15.75" customHeight="1" x14ac:dyDescent="0.2">
      <c r="A13" s="68"/>
      <c r="B13" s="118"/>
      <c r="C13" s="162"/>
      <c r="D13" s="163"/>
      <c r="E13" s="163"/>
      <c r="F13" s="163"/>
      <c r="G13" s="164"/>
      <c r="H13" s="69"/>
      <c r="I13" s="70"/>
      <c r="J13" s="127"/>
      <c r="K13" s="71"/>
    </row>
    <row r="14" spans="1:11" ht="18.75" thickBot="1" x14ac:dyDescent="0.25">
      <c r="A14" s="161" t="s">
        <v>103</v>
      </c>
      <c r="B14" s="161"/>
      <c r="C14" s="161"/>
      <c r="D14" s="161"/>
      <c r="E14" s="161"/>
      <c r="F14" s="161"/>
      <c r="G14" s="161"/>
      <c r="H14" s="161"/>
      <c r="I14" s="161"/>
      <c r="J14" s="159">
        <f>SUMPRODUCT(J12:J13,K12:K13)</f>
        <v>188800</v>
      </c>
      <c r="K14" s="160"/>
    </row>
  </sheetData>
  <mergeCells count="18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C13:G13"/>
    <mergeCell ref="A14:I14"/>
    <mergeCell ref="J14:K14"/>
    <mergeCell ref="C12:G12"/>
    <mergeCell ref="J10:J11"/>
    <mergeCell ref="K10:K11"/>
    <mergeCell ref="I10:I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topLeftCell="A13" workbookViewId="0">
      <selection activeCell="Q15" sqref="Q15"/>
    </sheetView>
  </sheetViews>
  <sheetFormatPr baseColWidth="10" defaultColWidth="11.42578125" defaultRowHeight="15" x14ac:dyDescent="0.25"/>
  <cols>
    <col min="1" max="5" width="4.42578125" customWidth="1"/>
    <col min="6" max="6" width="7.28515625" customWidth="1"/>
    <col min="7" max="14" width="4.42578125" customWidth="1"/>
    <col min="15" max="15" width="14.85546875" customWidth="1"/>
    <col min="16" max="16" width="24" customWidth="1"/>
    <col min="17" max="17" width="21.28515625" customWidth="1"/>
  </cols>
  <sheetData>
    <row r="1" spans="1:17" ht="15.75" thickBot="1" x14ac:dyDescent="0.3">
      <c r="A1" s="190" t="s">
        <v>5</v>
      </c>
      <c r="B1" s="190"/>
      <c r="C1" s="190"/>
      <c r="D1" s="191">
        <v>2022</v>
      </c>
      <c r="E1" s="191"/>
      <c r="F1" s="72"/>
      <c r="G1" s="72"/>
      <c r="H1" s="73"/>
      <c r="I1" s="73"/>
      <c r="J1" s="73"/>
      <c r="K1" s="73"/>
      <c r="L1" s="73"/>
      <c r="M1" s="73"/>
      <c r="N1" s="73"/>
      <c r="O1" s="74"/>
      <c r="P1" s="192" t="s">
        <v>64</v>
      </c>
      <c r="Q1" s="192"/>
    </row>
    <row r="2" spans="1:17" ht="15.75" thickBot="1" x14ac:dyDescent="0.3">
      <c r="A2" s="75"/>
      <c r="G2" s="76"/>
      <c r="H2" s="77"/>
      <c r="I2" s="77"/>
      <c r="J2" s="77"/>
      <c r="K2" s="77"/>
      <c r="L2" s="77"/>
      <c r="M2" s="77"/>
      <c r="N2" s="77"/>
      <c r="P2" s="192"/>
      <c r="Q2" s="192"/>
    </row>
    <row r="3" spans="1:17" ht="15.75" thickBot="1" x14ac:dyDescent="0.25">
      <c r="A3" s="75"/>
      <c r="G3" s="76"/>
      <c r="Q3" s="78"/>
    </row>
    <row r="4" spans="1:17" ht="15.75" thickBot="1" x14ac:dyDescent="0.3">
      <c r="A4" s="193" t="s">
        <v>65</v>
      </c>
      <c r="B4" s="193"/>
      <c r="C4" s="193"/>
      <c r="D4" s="193"/>
      <c r="E4" s="193"/>
      <c r="F4" s="193"/>
      <c r="G4" s="194" t="str">
        <f>'NP DPAIPD'!D3</f>
        <v>040 - MINISTERIO DE SALUD</v>
      </c>
      <c r="H4" s="194"/>
      <c r="I4" s="194"/>
      <c r="J4" s="194"/>
      <c r="K4" s="194"/>
      <c r="L4" s="194"/>
      <c r="M4" s="194"/>
      <c r="N4" s="194"/>
      <c r="O4" s="194"/>
      <c r="P4" s="194"/>
      <c r="Q4" s="194"/>
    </row>
    <row r="5" spans="1:17" ht="15.75" thickBot="1" x14ac:dyDescent="0.25">
      <c r="A5" s="195" t="s">
        <v>52</v>
      </c>
      <c r="B5" s="195"/>
      <c r="C5" s="195"/>
      <c r="D5" s="195"/>
      <c r="E5" s="195"/>
      <c r="F5" s="195"/>
      <c r="G5" s="194" t="str">
        <f>'NP DPAIPD'!D4</f>
        <v>011 - DIRECCION PROVINCIAL DE ADMINISTRACION - MINISTERIO DE SALUD</v>
      </c>
      <c r="H5" s="194"/>
      <c r="I5" s="194"/>
      <c r="J5" s="194"/>
      <c r="K5" s="194"/>
      <c r="L5" s="194"/>
      <c r="M5" s="194"/>
      <c r="N5" s="194"/>
      <c r="O5" s="194"/>
      <c r="P5" s="194"/>
      <c r="Q5" s="194"/>
    </row>
    <row r="6" spans="1:17" ht="15.75" thickBot="1" x14ac:dyDescent="0.25">
      <c r="A6" s="195" t="s">
        <v>53</v>
      </c>
      <c r="B6" s="195"/>
      <c r="C6" s="195"/>
      <c r="D6" s="195"/>
      <c r="E6" s="195"/>
      <c r="F6" s="195"/>
      <c r="G6" s="194" t="str">
        <f>'NP DPAIPD'!D5</f>
        <v>093 - DIRECCION PROVINCIAL DE ASISTENCIA INTEGRAL A PERSONAS CON DISCAPACIDAD</v>
      </c>
      <c r="H6" s="194"/>
      <c r="I6" s="194"/>
      <c r="J6" s="194"/>
      <c r="K6" s="194"/>
      <c r="L6" s="194"/>
      <c r="M6" s="194"/>
      <c r="N6" s="194"/>
      <c r="O6" s="194"/>
      <c r="P6" s="194"/>
      <c r="Q6" s="194"/>
    </row>
    <row r="7" spans="1:17" ht="15.75" thickBot="1" x14ac:dyDescent="0.25">
      <c r="A7" s="195" t="s">
        <v>54</v>
      </c>
      <c r="B7" s="195"/>
      <c r="C7" s="195"/>
      <c r="D7" s="195"/>
      <c r="E7" s="195"/>
      <c r="F7" s="195"/>
      <c r="G7" s="194" t="str">
        <f>'NP DPAIPD'!D6</f>
        <v>093 - DIRECCION PROVINCIAL DE ASISTENCIA INTEGRAL A PERSONAS CON DISCAPACIDAD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</row>
    <row r="8" spans="1:17" ht="15.75" thickBot="1" x14ac:dyDescent="0.3">
      <c r="A8" s="196" t="s">
        <v>66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27.75" customHeight="1" x14ac:dyDescent="0.25">
      <c r="A9" s="189" t="s">
        <v>67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</row>
    <row r="10" spans="1:17" ht="57" customHeight="1" x14ac:dyDescent="0.25">
      <c r="A10" s="182" t="s">
        <v>86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 spans="1:17" ht="15.75" thickBot="1" x14ac:dyDescent="0.25">
      <c r="A11" s="79"/>
      <c r="B11" s="80"/>
      <c r="C11" s="80"/>
      <c r="D11" s="80"/>
      <c r="E11" s="80"/>
      <c r="F11" s="80"/>
      <c r="G11" s="81"/>
      <c r="H11" s="80"/>
      <c r="I11" s="80"/>
      <c r="J11" s="80"/>
      <c r="K11" s="80"/>
      <c r="L11" s="80"/>
      <c r="M11" s="80"/>
      <c r="N11" s="80"/>
      <c r="O11" s="80"/>
      <c r="P11" s="80"/>
      <c r="Q11" s="82"/>
    </row>
    <row r="12" spans="1:17" ht="15.75" thickBot="1" x14ac:dyDescent="0.3">
      <c r="A12" s="183" t="s">
        <v>68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</row>
    <row r="13" spans="1:17" ht="15.75" thickBot="1" x14ac:dyDescent="0.3">
      <c r="A13" s="184" t="s">
        <v>69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5" t="s">
        <v>70</v>
      </c>
      <c r="P13" s="185"/>
      <c r="Q13" s="186" t="s">
        <v>71</v>
      </c>
    </row>
    <row r="14" spans="1:17" ht="15.75" thickBot="1" x14ac:dyDescent="0.3">
      <c r="A14" s="83" t="s">
        <v>72</v>
      </c>
      <c r="B14" s="84" t="s">
        <v>73</v>
      </c>
      <c r="C14" s="84" t="s">
        <v>74</v>
      </c>
      <c r="D14" s="84" t="s">
        <v>75</v>
      </c>
      <c r="E14" s="84" t="s">
        <v>76</v>
      </c>
      <c r="F14" s="84" t="s">
        <v>77</v>
      </c>
      <c r="G14" s="85" t="s">
        <v>78</v>
      </c>
      <c r="H14" s="84" t="s">
        <v>79</v>
      </c>
      <c r="I14" s="84" t="s">
        <v>80</v>
      </c>
      <c r="J14" s="84" t="s">
        <v>81</v>
      </c>
      <c r="K14" s="84" t="s">
        <v>81</v>
      </c>
      <c r="L14" s="84" t="s">
        <v>82</v>
      </c>
      <c r="M14" s="86" t="s">
        <v>83</v>
      </c>
      <c r="N14" s="87" t="s">
        <v>84</v>
      </c>
      <c r="O14" s="185"/>
      <c r="P14" s="185"/>
      <c r="Q14" s="186"/>
    </row>
    <row r="15" spans="1:17" x14ac:dyDescent="0.2">
      <c r="A15" s="88">
        <v>26</v>
      </c>
      <c r="B15" s="89"/>
      <c r="C15" s="89"/>
      <c r="D15" s="89">
        <v>1</v>
      </c>
      <c r="E15" s="89"/>
      <c r="F15" s="89">
        <v>4901</v>
      </c>
      <c r="G15" s="89">
        <v>3</v>
      </c>
      <c r="H15" s="89">
        <v>1</v>
      </c>
      <c r="I15" s="89">
        <v>2</v>
      </c>
      <c r="J15" s="89">
        <v>4</v>
      </c>
      <c r="K15" s="89">
        <v>4</v>
      </c>
      <c r="L15" s="89"/>
      <c r="M15" s="90">
        <v>1</v>
      </c>
      <c r="N15" s="89" t="s">
        <v>91</v>
      </c>
      <c r="O15" s="187" t="s">
        <v>92</v>
      </c>
      <c r="P15" s="187"/>
      <c r="Q15" s="91">
        <v>188800</v>
      </c>
    </row>
    <row r="16" spans="1:17" x14ac:dyDescent="0.2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4"/>
      <c r="N16" s="95"/>
      <c r="O16" s="177"/>
      <c r="P16" s="177"/>
      <c r="Q16" s="96"/>
    </row>
    <row r="17" spans="1:17" x14ac:dyDescent="0.2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4"/>
      <c r="N17" s="95"/>
      <c r="O17" s="188"/>
      <c r="P17" s="188"/>
      <c r="Q17" s="96"/>
    </row>
    <row r="18" spans="1:17" x14ac:dyDescent="0.2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4"/>
      <c r="N18" s="95"/>
      <c r="O18" s="181"/>
      <c r="P18" s="181"/>
      <c r="Q18" s="96"/>
    </row>
    <row r="19" spans="1:17" x14ac:dyDescent="0.2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4"/>
      <c r="N19" s="95"/>
      <c r="O19" s="181"/>
      <c r="P19" s="181"/>
      <c r="Q19" s="96"/>
    </row>
    <row r="20" spans="1:17" x14ac:dyDescent="0.2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4"/>
      <c r="N20" s="95"/>
      <c r="O20" s="181"/>
      <c r="P20" s="181"/>
      <c r="Q20" s="96"/>
    </row>
    <row r="21" spans="1:17" x14ac:dyDescent="0.2">
      <c r="A21" s="92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4"/>
      <c r="N21" s="95"/>
      <c r="O21" s="181"/>
      <c r="P21" s="181"/>
      <c r="Q21" s="96"/>
    </row>
    <row r="22" spans="1:17" x14ac:dyDescent="0.2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4"/>
      <c r="N22" s="95"/>
      <c r="O22" s="181"/>
      <c r="P22" s="181"/>
      <c r="Q22" s="96"/>
    </row>
    <row r="23" spans="1:17" x14ac:dyDescent="0.2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4"/>
      <c r="N23" s="95"/>
      <c r="O23" s="181"/>
      <c r="P23" s="181"/>
      <c r="Q23" s="96"/>
    </row>
    <row r="24" spans="1:17" x14ac:dyDescent="0.2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95"/>
      <c r="O24" s="181"/>
      <c r="P24" s="181"/>
      <c r="Q24" s="96"/>
    </row>
    <row r="25" spans="1:17" x14ac:dyDescent="0.2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95"/>
      <c r="O25" s="181"/>
      <c r="P25" s="181"/>
      <c r="Q25" s="96"/>
    </row>
    <row r="26" spans="1:17" x14ac:dyDescent="0.2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95"/>
      <c r="O26" s="181"/>
      <c r="P26" s="181"/>
      <c r="Q26" s="96"/>
    </row>
    <row r="27" spans="1:17" x14ac:dyDescent="0.2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95"/>
      <c r="O27" s="181"/>
      <c r="P27" s="181"/>
      <c r="Q27" s="96"/>
    </row>
    <row r="28" spans="1:17" x14ac:dyDescent="0.2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95"/>
      <c r="O28" s="181"/>
      <c r="P28" s="181"/>
      <c r="Q28" s="96"/>
    </row>
    <row r="29" spans="1:17" x14ac:dyDescent="0.2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95"/>
      <c r="O29" s="181"/>
      <c r="P29" s="181"/>
      <c r="Q29" s="96"/>
    </row>
    <row r="30" spans="1:17" x14ac:dyDescent="0.2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95"/>
      <c r="O30" s="181"/>
      <c r="P30" s="181"/>
      <c r="Q30" s="96"/>
    </row>
    <row r="31" spans="1:17" x14ac:dyDescent="0.2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95"/>
      <c r="O31" s="181"/>
      <c r="P31" s="181"/>
      <c r="Q31" s="96"/>
    </row>
    <row r="32" spans="1:17" x14ac:dyDescent="0.2">
      <c r="A32" s="92"/>
      <c r="B32" s="93"/>
      <c r="C32" s="93"/>
      <c r="D32" s="93"/>
      <c r="E32" s="93"/>
      <c r="F32" s="95"/>
      <c r="G32" s="93"/>
      <c r="H32" s="93"/>
      <c r="I32" s="93"/>
      <c r="J32" s="93"/>
      <c r="K32" s="93"/>
      <c r="L32" s="93"/>
      <c r="M32" s="94"/>
      <c r="N32" s="95"/>
      <c r="O32" s="177"/>
      <c r="P32" s="177"/>
      <c r="Q32" s="96"/>
    </row>
    <row r="33" spans="1:17" x14ac:dyDescent="0.25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95"/>
      <c r="O33" s="177"/>
      <c r="P33" s="177"/>
      <c r="Q33" s="96"/>
    </row>
    <row r="34" spans="1:17" x14ac:dyDescent="0.25">
      <c r="A34" s="92"/>
      <c r="B34" s="93"/>
      <c r="C34" s="93"/>
      <c r="D34" s="93"/>
      <c r="E34" s="93"/>
      <c r="F34" s="95"/>
      <c r="G34" s="93"/>
      <c r="H34" s="93"/>
      <c r="I34" s="93"/>
      <c r="J34" s="93"/>
      <c r="K34" s="93"/>
      <c r="L34" s="93"/>
      <c r="M34" s="94"/>
      <c r="N34" s="95"/>
      <c r="O34" s="177"/>
      <c r="P34" s="177"/>
      <c r="Q34" s="96"/>
    </row>
    <row r="35" spans="1:17" x14ac:dyDescent="0.25">
      <c r="A35" s="92"/>
      <c r="B35" s="93"/>
      <c r="C35" s="93"/>
      <c r="D35" s="93"/>
      <c r="E35" s="93"/>
      <c r="F35" s="95"/>
      <c r="G35" s="93"/>
      <c r="H35" s="93"/>
      <c r="I35" s="93"/>
      <c r="J35" s="93"/>
      <c r="K35" s="93"/>
      <c r="L35" s="93"/>
      <c r="M35" s="94"/>
      <c r="N35" s="95"/>
      <c r="O35" s="177"/>
      <c r="P35" s="177"/>
      <c r="Q35" s="96"/>
    </row>
    <row r="36" spans="1:17" x14ac:dyDescent="0.25">
      <c r="A36" s="97"/>
      <c r="B36" s="98"/>
      <c r="C36" s="98"/>
      <c r="D36" s="98"/>
      <c r="E36" s="98"/>
      <c r="F36" s="95"/>
      <c r="G36" s="98"/>
      <c r="H36" s="98"/>
      <c r="I36" s="98"/>
      <c r="J36" s="98"/>
      <c r="K36" s="98"/>
      <c r="L36" s="98"/>
      <c r="M36" s="99"/>
      <c r="N36" s="100"/>
      <c r="O36" s="177"/>
      <c r="P36" s="177"/>
      <c r="Q36" s="96"/>
    </row>
    <row r="37" spans="1:17" ht="15.75" thickBot="1" x14ac:dyDescent="0.3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2"/>
      <c r="O37" s="178"/>
      <c r="P37" s="178"/>
      <c r="Q37" s="104"/>
    </row>
    <row r="38" spans="1:17" ht="15.75" thickBot="1" x14ac:dyDescent="0.3">
      <c r="A38" s="179" t="s">
        <v>104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05">
        <f>SUM(Q15:Q37)</f>
        <v>188800</v>
      </c>
    </row>
    <row r="39" spans="1:17" ht="15.75" thickBot="1" x14ac:dyDescent="0.3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</row>
    <row r="40" spans="1:17" ht="15.75" thickBot="1" x14ac:dyDescent="0.3">
      <c r="A40" s="174" t="s">
        <v>85</v>
      </c>
      <c r="B40" s="174"/>
      <c r="C40" s="174"/>
      <c r="D40" s="174"/>
      <c r="E40" s="174"/>
      <c r="F40" s="174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</row>
    <row r="41" spans="1:17" ht="15.75" thickBot="1" x14ac:dyDescent="0.3">
      <c r="A41" s="176" t="str">
        <f>'NP DPAIPD'!D8</f>
        <v>ADQ. DEL RUBRO CUBIERTAS</v>
      </c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</row>
    <row r="42" spans="1:17" ht="15.75" thickBot="1" x14ac:dyDescent="0.3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0"/>
  <sheetViews>
    <sheetView workbookViewId="0">
      <selection activeCell="K12" sqref="K12:K18"/>
    </sheetView>
  </sheetViews>
  <sheetFormatPr baseColWidth="10" defaultColWidth="11.42578125" defaultRowHeight="15" x14ac:dyDescent="0.25"/>
  <cols>
    <col min="1" max="1" width="5.5703125" customWidth="1"/>
    <col min="2" max="2" width="15.140625" style="119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4.7109375" customWidth="1"/>
    <col min="8" max="8" width="9.28515625" customWidth="1"/>
    <col min="9" max="9" width="15.5703125" customWidth="1"/>
    <col min="10" max="10" width="14.7109375" style="128" customWidth="1"/>
    <col min="11" max="11" width="15.5703125" customWidth="1"/>
  </cols>
  <sheetData>
    <row r="1" spans="1:11" ht="30.75" thickBot="1" x14ac:dyDescent="0.3">
      <c r="A1" s="173" t="s">
        <v>49</v>
      </c>
      <c r="B1" s="173"/>
      <c r="C1" s="173"/>
      <c r="D1" s="173"/>
      <c r="E1" s="173"/>
      <c r="F1" s="173"/>
      <c r="G1" s="173"/>
      <c r="H1" s="173"/>
      <c r="I1" s="173"/>
      <c r="J1" s="122" t="s">
        <v>50</v>
      </c>
      <c r="K1" s="55"/>
    </row>
    <row r="2" spans="1:11" ht="15.75" thickBot="1" x14ac:dyDescent="0.25">
      <c r="A2" s="56"/>
      <c r="B2" s="115"/>
      <c r="C2" s="57"/>
      <c r="D2" s="58"/>
      <c r="E2" s="58"/>
      <c r="F2" s="58"/>
      <c r="G2" s="58"/>
      <c r="H2" s="58"/>
      <c r="I2" s="58"/>
      <c r="J2" s="123"/>
      <c r="K2" s="59"/>
    </row>
    <row r="3" spans="1:11" ht="16.5" customHeight="1" thickBot="1" x14ac:dyDescent="0.3">
      <c r="A3" s="170" t="s">
        <v>51</v>
      </c>
      <c r="B3" s="170"/>
      <c r="C3" s="170"/>
      <c r="D3" s="109" t="str">
        <f>'SAF 011'!C4</f>
        <v>040 - MINISTERIO DE SALUD</v>
      </c>
      <c r="E3" s="110"/>
      <c r="F3" s="110"/>
      <c r="G3" s="110"/>
      <c r="H3" s="110"/>
      <c r="I3" s="110"/>
      <c r="J3" s="124"/>
      <c r="K3" s="111"/>
    </row>
    <row r="4" spans="1:11" ht="16.5" customHeight="1" thickBot="1" x14ac:dyDescent="0.25">
      <c r="A4" s="171" t="s">
        <v>52</v>
      </c>
      <c r="B4" s="171"/>
      <c r="C4" s="171"/>
      <c r="D4" s="109" t="str">
        <f>'SAF 011'!C5</f>
        <v>011 - DIRECCION PROVINCIAL DE ADMINISTRACION - MINISTERIO DE SALUD</v>
      </c>
      <c r="E4" s="110"/>
      <c r="F4" s="110"/>
      <c r="G4" s="110"/>
      <c r="H4" s="110"/>
      <c r="I4" s="110"/>
      <c r="J4" s="124"/>
      <c r="K4" s="111"/>
    </row>
    <row r="5" spans="1:11" ht="16.5" customHeight="1" thickBot="1" x14ac:dyDescent="0.25">
      <c r="A5" s="171" t="s">
        <v>53</v>
      </c>
      <c r="B5" s="171"/>
      <c r="C5" s="171"/>
      <c r="D5" s="109" t="s">
        <v>105</v>
      </c>
      <c r="E5" s="110"/>
      <c r="F5" s="110"/>
      <c r="G5" s="110"/>
      <c r="H5" s="110"/>
      <c r="I5" s="110"/>
      <c r="J5" s="124"/>
      <c r="K5" s="111"/>
    </row>
    <row r="6" spans="1:11" ht="16.5" customHeight="1" thickBot="1" x14ac:dyDescent="0.25">
      <c r="A6" s="170" t="s">
        <v>54</v>
      </c>
      <c r="B6" s="170"/>
      <c r="C6" s="170"/>
      <c r="D6" s="109" t="s">
        <v>105</v>
      </c>
      <c r="E6" s="110"/>
      <c r="F6" s="110"/>
      <c r="G6" s="110"/>
      <c r="H6" s="110"/>
      <c r="I6" s="110"/>
      <c r="J6" s="124"/>
      <c r="K6" s="111"/>
    </row>
    <row r="7" spans="1:11" ht="16.5" thickBot="1" x14ac:dyDescent="0.3">
      <c r="A7" s="171" t="s">
        <v>55</v>
      </c>
      <c r="B7" s="171"/>
      <c r="C7" s="171"/>
      <c r="D7" s="109" t="s">
        <v>88</v>
      </c>
      <c r="E7" s="110"/>
      <c r="F7" s="110"/>
      <c r="G7" s="110"/>
      <c r="H7" s="110"/>
      <c r="I7" s="110"/>
      <c r="J7" s="124"/>
      <c r="K7" s="111"/>
    </row>
    <row r="8" spans="1:11" ht="16.5" customHeight="1" thickBot="1" x14ac:dyDescent="0.25">
      <c r="A8" s="172" t="s">
        <v>56</v>
      </c>
      <c r="B8" s="172"/>
      <c r="C8" s="172"/>
      <c r="D8" s="112" t="s">
        <v>89</v>
      </c>
      <c r="E8" s="110"/>
      <c r="F8" s="110"/>
      <c r="G8" s="110"/>
      <c r="H8" s="110"/>
      <c r="I8" s="110"/>
      <c r="J8" s="124"/>
      <c r="K8" s="111"/>
    </row>
    <row r="9" spans="1:11" ht="15.75" thickBot="1" x14ac:dyDescent="0.25">
      <c r="A9" s="60"/>
      <c r="B9" s="116"/>
      <c r="C9" s="61"/>
      <c r="D9" s="62"/>
      <c r="E9" s="62"/>
      <c r="F9" s="62"/>
      <c r="G9" s="62"/>
      <c r="H9" s="62"/>
      <c r="I9" s="62"/>
      <c r="J9" s="125"/>
      <c r="K9" s="63"/>
    </row>
    <row r="10" spans="1:11" ht="15.75" thickBot="1" x14ac:dyDescent="0.3">
      <c r="A10" s="169" t="s">
        <v>57</v>
      </c>
      <c r="B10" s="167" t="s">
        <v>58</v>
      </c>
      <c r="C10" s="167" t="s">
        <v>59</v>
      </c>
      <c r="D10" s="167"/>
      <c r="E10" s="167"/>
      <c r="F10" s="167"/>
      <c r="G10" s="167"/>
      <c r="H10" s="167" t="s">
        <v>60</v>
      </c>
      <c r="I10" s="167" t="s">
        <v>61</v>
      </c>
      <c r="J10" s="168" t="s">
        <v>62</v>
      </c>
      <c r="K10" s="165" t="s">
        <v>63</v>
      </c>
    </row>
    <row r="11" spans="1:11" ht="23.25" customHeight="1" x14ac:dyDescent="0.25">
      <c r="A11" s="169"/>
      <c r="B11" s="167"/>
      <c r="C11" s="167"/>
      <c r="D11" s="167"/>
      <c r="E11" s="167"/>
      <c r="F11" s="167"/>
      <c r="G11" s="167"/>
      <c r="H11" s="167"/>
      <c r="I11" s="167"/>
      <c r="J11" s="168"/>
      <c r="K11" s="165"/>
    </row>
    <row r="12" spans="1:11" ht="30" customHeight="1" x14ac:dyDescent="0.2">
      <c r="A12" s="68">
        <v>1</v>
      </c>
      <c r="B12" s="118" t="str">
        <f>'SAF 011'!B11</f>
        <v>2.4.4-6818.986</v>
      </c>
      <c r="C12" s="162" t="str">
        <f>'SAF 011'!E11</f>
        <v>NEUMATICOS; VEHICULO: AMBULANCIA/FURGON/MINIBUS, CONSTRUCCION: RADIAL, ARMADO: S/CAMARA, MEDIDA: 205/75R16</v>
      </c>
      <c r="D12" s="163"/>
      <c r="E12" s="163"/>
      <c r="F12" s="163"/>
      <c r="G12" s="164"/>
      <c r="H12" s="69" t="s">
        <v>90</v>
      </c>
      <c r="I12" s="70" t="str">
        <f>'SAF 011'!F11</f>
        <v>UNIDAD</v>
      </c>
      <c r="J12" s="127">
        <f>'SAF 011'!J11</f>
        <v>46200</v>
      </c>
      <c r="K12" s="71">
        <v>26</v>
      </c>
    </row>
    <row r="13" spans="1:11" ht="30" customHeight="1" x14ac:dyDescent="0.2">
      <c r="A13" s="68">
        <v>2</v>
      </c>
      <c r="B13" s="118" t="str">
        <f>'SAF 011'!B12</f>
        <v>2.4.4-6818.724</v>
      </c>
      <c r="C13" s="162" t="str">
        <f>'SAF 011'!E12</f>
        <v>NEUMATICOS; VEHICULO: CAMIONETA, CONSTRUCCION: CON CLAVOS, ARMADO: S/CAMARA, MEDIDA: 215/75R16</v>
      </c>
      <c r="D13" s="163"/>
      <c r="E13" s="163"/>
      <c r="F13" s="163"/>
      <c r="G13" s="164"/>
      <c r="H13" s="69" t="s">
        <v>90</v>
      </c>
      <c r="I13" s="70" t="str">
        <f>'SAF 011'!F12</f>
        <v>UNIDAD</v>
      </c>
      <c r="J13" s="127">
        <f>'SAF 011'!J12</f>
        <v>40550</v>
      </c>
      <c r="K13" s="71">
        <v>16</v>
      </c>
    </row>
    <row r="14" spans="1:11" ht="30" customHeight="1" x14ac:dyDescent="0.2">
      <c r="A14" s="68">
        <v>3</v>
      </c>
      <c r="B14" s="118" t="str">
        <f>'SAF 011'!B13</f>
        <v>2.4.4-6818.801</v>
      </c>
      <c r="C14" s="162" t="str">
        <f>'SAF 011'!E13</f>
        <v>NEUMATICOS; VEHICULO: CAMIONETA, CONSTRUCCION: CON CLAVOS, ARMADO: S/CAMARA, MEDIDA: 265/70R16</v>
      </c>
      <c r="D14" s="163"/>
      <c r="E14" s="163"/>
      <c r="F14" s="163"/>
      <c r="G14" s="164"/>
      <c r="H14" s="69" t="s">
        <v>90</v>
      </c>
      <c r="I14" s="70" t="str">
        <f>'SAF 011'!F13</f>
        <v>UNIDAD</v>
      </c>
      <c r="J14" s="127">
        <f>'SAF 011'!J13</f>
        <v>49200</v>
      </c>
      <c r="K14" s="71">
        <v>8</v>
      </c>
    </row>
    <row r="15" spans="1:11" ht="22.5" customHeight="1" x14ac:dyDescent="0.2">
      <c r="A15" s="68">
        <v>4</v>
      </c>
      <c r="B15" s="118" t="str">
        <f>'SAF 011'!B14</f>
        <v>2.4.4-6818.989</v>
      </c>
      <c r="C15" s="162" t="str">
        <f>'SAF 011'!E14</f>
        <v>NEUMATICOS; VEHICULO: CAMIONETA, CONSTRUCCION: RADIAL, ARMADO: S/CAMARA, MEDIDA: 225/70 R17</v>
      </c>
      <c r="D15" s="163"/>
      <c r="E15" s="163"/>
      <c r="F15" s="163"/>
      <c r="G15" s="164"/>
      <c r="H15" s="69" t="s">
        <v>90</v>
      </c>
      <c r="I15" s="70" t="str">
        <f>'SAF 011'!F14</f>
        <v>UNIDAD</v>
      </c>
      <c r="J15" s="127">
        <f>'SAF 011'!J14</f>
        <v>53600</v>
      </c>
      <c r="K15" s="71">
        <v>4</v>
      </c>
    </row>
    <row r="16" spans="1:11" ht="22.5" customHeight="1" x14ac:dyDescent="0.25">
      <c r="A16" s="68">
        <v>5</v>
      </c>
      <c r="B16" s="118" t="str">
        <f>'SAF 011'!B15</f>
        <v>2.4.4-6818.744</v>
      </c>
      <c r="C16" s="162" t="str">
        <f>'SAF 011'!E15</f>
        <v>NEUMATICOS; VEHICULO: CAMIONETA, CONSTRUCCION: RADIAL, ARMADO: S/CAMARA, MEDIDA: 235/70R16</v>
      </c>
      <c r="D16" s="163"/>
      <c r="E16" s="163"/>
      <c r="F16" s="163"/>
      <c r="G16" s="164"/>
      <c r="H16" s="69" t="s">
        <v>90</v>
      </c>
      <c r="I16" s="70" t="str">
        <f>'SAF 011'!F15</f>
        <v>UNIDAD</v>
      </c>
      <c r="J16" s="127">
        <f>'SAF 011'!J15</f>
        <v>47200</v>
      </c>
      <c r="K16" s="71">
        <v>4</v>
      </c>
    </row>
    <row r="17" spans="1:11" ht="22.5" customHeight="1" x14ac:dyDescent="0.25">
      <c r="A17" s="68">
        <v>6</v>
      </c>
      <c r="B17" s="118" t="str">
        <f>'SAF 011'!B17</f>
        <v>2.4.4-6818.751</v>
      </c>
      <c r="C17" s="162" t="str">
        <f>'SAF 011'!E17</f>
        <v>NEUMATICOS; VEHICULO: CAMIONETA, CONSTRUCCION: RADIAL, ARMADO: S/CAMARA, MEDIDA: 245/65 R17</v>
      </c>
      <c r="D17" s="163"/>
      <c r="E17" s="163"/>
      <c r="F17" s="163"/>
      <c r="G17" s="164"/>
      <c r="H17" s="69" t="s">
        <v>90</v>
      </c>
      <c r="I17" s="70" t="str">
        <f>'SAF 011'!F17</f>
        <v>UNIDAD</v>
      </c>
      <c r="J17" s="127">
        <f>'SAF 011'!J17</f>
        <v>50950</v>
      </c>
      <c r="K17" s="71">
        <v>20</v>
      </c>
    </row>
    <row r="18" spans="1:11" ht="22.5" customHeight="1" x14ac:dyDescent="0.25">
      <c r="A18" s="68">
        <v>7</v>
      </c>
      <c r="B18" s="118" t="str">
        <f>'SAF 011'!B18</f>
        <v>2.4.4-6818.530</v>
      </c>
      <c r="C18" s="162" t="str">
        <f>'SAF 011'!E18</f>
        <v>NEUMATICOS; VEHICULO: CAMIONETA, CONSTRUCCION: RADIAL, ARMADO: S/CAMARA, MEDIDA: 245/70R16</v>
      </c>
      <c r="D18" s="163"/>
      <c r="E18" s="163"/>
      <c r="F18" s="163"/>
      <c r="G18" s="164"/>
      <c r="H18" s="69" t="s">
        <v>90</v>
      </c>
      <c r="I18" s="70" t="str">
        <f>'SAF 011'!F18</f>
        <v>UNIDAD</v>
      </c>
      <c r="J18" s="127">
        <f>'SAF 011'!J18</f>
        <v>50950</v>
      </c>
      <c r="K18" s="71">
        <v>4</v>
      </c>
    </row>
    <row r="19" spans="1:11" ht="15.75" customHeight="1" x14ac:dyDescent="0.25">
      <c r="A19" s="68"/>
      <c r="B19" s="118"/>
      <c r="C19" s="162"/>
      <c r="D19" s="163"/>
      <c r="E19" s="163"/>
      <c r="F19" s="163"/>
      <c r="G19" s="164"/>
      <c r="H19" s="69"/>
      <c r="I19" s="70"/>
      <c r="J19" s="127"/>
      <c r="K19" s="71"/>
    </row>
    <row r="20" spans="1:11" ht="19.5" thickBot="1" x14ac:dyDescent="0.3">
      <c r="A20" s="161" t="s">
        <v>106</v>
      </c>
      <c r="B20" s="161"/>
      <c r="C20" s="161"/>
      <c r="D20" s="161"/>
      <c r="E20" s="161"/>
      <c r="F20" s="161"/>
      <c r="G20" s="161"/>
      <c r="H20" s="161"/>
      <c r="I20" s="161"/>
      <c r="J20" s="159">
        <f>SUMPRODUCT(J12:J19,K12:K19)</f>
        <v>3869600</v>
      </c>
      <c r="K20" s="160"/>
    </row>
  </sheetData>
  <mergeCells count="24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J10:J11"/>
    <mergeCell ref="K10:K11"/>
    <mergeCell ref="C12:G12"/>
    <mergeCell ref="C13:G13"/>
    <mergeCell ref="C14:G14"/>
    <mergeCell ref="I10:I11"/>
    <mergeCell ref="C19:G19"/>
    <mergeCell ref="A20:I20"/>
    <mergeCell ref="J20:K20"/>
    <mergeCell ref="C15:G15"/>
    <mergeCell ref="C16:G16"/>
    <mergeCell ref="C17:G17"/>
    <mergeCell ref="C18:G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2"/>
  <sheetViews>
    <sheetView topLeftCell="A13" workbookViewId="0">
      <selection activeCell="Q15" sqref="Q15"/>
    </sheetView>
  </sheetViews>
  <sheetFormatPr baseColWidth="10" defaultColWidth="11.42578125" defaultRowHeight="15" x14ac:dyDescent="0.25"/>
  <cols>
    <col min="1" max="5" width="4.42578125" customWidth="1"/>
    <col min="6" max="6" width="7.28515625" customWidth="1"/>
    <col min="7" max="13" width="4.42578125" customWidth="1"/>
    <col min="14" max="14" width="4.85546875" customWidth="1"/>
    <col min="15" max="16" width="14.85546875" customWidth="1"/>
    <col min="17" max="17" width="14.7109375" customWidth="1"/>
  </cols>
  <sheetData>
    <row r="1" spans="1:17" ht="15.75" thickBot="1" x14ac:dyDescent="0.3">
      <c r="A1" s="190" t="s">
        <v>5</v>
      </c>
      <c r="B1" s="190"/>
      <c r="C1" s="190"/>
      <c r="D1" s="191">
        <v>2022</v>
      </c>
      <c r="E1" s="191"/>
      <c r="F1" s="72"/>
      <c r="G1" s="72"/>
      <c r="H1" s="73"/>
      <c r="I1" s="73"/>
      <c r="J1" s="73"/>
      <c r="K1" s="73"/>
      <c r="L1" s="73"/>
      <c r="M1" s="73"/>
      <c r="N1" s="73"/>
      <c r="O1" s="74"/>
      <c r="P1" s="192" t="s">
        <v>64</v>
      </c>
      <c r="Q1" s="192"/>
    </row>
    <row r="2" spans="1:17" ht="15.75" thickBot="1" x14ac:dyDescent="0.3">
      <c r="A2" s="75"/>
      <c r="G2" s="76"/>
      <c r="H2" s="77"/>
      <c r="I2" s="77"/>
      <c r="J2" s="77"/>
      <c r="K2" s="77"/>
      <c r="L2" s="77"/>
      <c r="M2" s="77"/>
      <c r="N2" s="77"/>
      <c r="P2" s="192"/>
      <c r="Q2" s="192"/>
    </row>
    <row r="3" spans="1:17" ht="15.75" thickBot="1" x14ac:dyDescent="0.25">
      <c r="A3" s="75"/>
      <c r="G3" s="76"/>
      <c r="Q3" s="78"/>
    </row>
    <row r="4" spans="1:17" ht="15.75" thickBot="1" x14ac:dyDescent="0.3">
      <c r="A4" s="193" t="s">
        <v>65</v>
      </c>
      <c r="B4" s="193"/>
      <c r="C4" s="193"/>
      <c r="D4" s="193"/>
      <c r="E4" s="193"/>
      <c r="F4" s="193"/>
      <c r="G4" s="194" t="str">
        <f>'NP DPAS'!D3</f>
        <v>040 - MINISTERIO DE SALUD</v>
      </c>
      <c r="H4" s="194"/>
      <c r="I4" s="194"/>
      <c r="J4" s="194"/>
      <c r="K4" s="194"/>
      <c r="L4" s="194"/>
      <c r="M4" s="194"/>
      <c r="N4" s="194"/>
      <c r="O4" s="194"/>
      <c r="P4" s="194"/>
      <c r="Q4" s="194"/>
    </row>
    <row r="5" spans="1:17" ht="15.75" thickBot="1" x14ac:dyDescent="0.25">
      <c r="A5" s="195" t="s">
        <v>52</v>
      </c>
      <c r="B5" s="195"/>
      <c r="C5" s="195"/>
      <c r="D5" s="195"/>
      <c r="E5" s="195"/>
      <c r="F5" s="195"/>
      <c r="G5" s="194" t="str">
        <f>'NP DPAS'!D4</f>
        <v>011 - DIRECCION PROVINCIAL DE ADMINISTRACION - MINISTERIO DE SALUD</v>
      </c>
      <c r="H5" s="194"/>
      <c r="I5" s="194"/>
      <c r="J5" s="194"/>
      <c r="K5" s="194"/>
      <c r="L5" s="194"/>
      <c r="M5" s="194"/>
      <c r="N5" s="194"/>
      <c r="O5" s="194"/>
      <c r="P5" s="194"/>
      <c r="Q5" s="194"/>
    </row>
    <row r="6" spans="1:17" ht="15.75" thickBot="1" x14ac:dyDescent="0.25">
      <c r="A6" s="195" t="s">
        <v>53</v>
      </c>
      <c r="B6" s="195"/>
      <c r="C6" s="195"/>
      <c r="D6" s="195"/>
      <c r="E6" s="195"/>
      <c r="F6" s="195"/>
      <c r="G6" s="194" t="str">
        <f>'NP DPAS'!D5</f>
        <v>476 - DIRECCION PROVINCIAL DE ASISTENCIA SANITARIA NIVEL I Y II</v>
      </c>
      <c r="H6" s="194"/>
      <c r="I6" s="194"/>
      <c r="J6" s="194"/>
      <c r="K6" s="194"/>
      <c r="L6" s="194"/>
      <c r="M6" s="194"/>
      <c r="N6" s="194"/>
      <c r="O6" s="194"/>
      <c r="P6" s="194"/>
      <c r="Q6" s="194"/>
    </row>
    <row r="7" spans="1:17" ht="15.75" thickBot="1" x14ac:dyDescent="0.25">
      <c r="A7" s="195" t="s">
        <v>54</v>
      </c>
      <c r="B7" s="195"/>
      <c r="C7" s="195"/>
      <c r="D7" s="195"/>
      <c r="E7" s="195"/>
      <c r="F7" s="195"/>
      <c r="G7" s="194" t="str">
        <f>'NP DPAS'!D6</f>
        <v>476 - DIRECCION PROVINCIAL DE ASISTENCIA SANITARIA NIVEL I Y II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</row>
    <row r="8" spans="1:17" ht="15.75" thickBot="1" x14ac:dyDescent="0.3">
      <c r="A8" s="196" t="s">
        <v>66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27.75" customHeight="1" x14ac:dyDescent="0.25">
      <c r="A9" s="189" t="s">
        <v>67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</row>
    <row r="10" spans="1:17" ht="57" customHeight="1" x14ac:dyDescent="0.25">
      <c r="A10" s="182" t="s">
        <v>86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 spans="1:17" ht="15.75" thickBot="1" x14ac:dyDescent="0.25">
      <c r="A11" s="79"/>
      <c r="B11" s="80"/>
      <c r="C11" s="80"/>
      <c r="D11" s="80"/>
      <c r="E11" s="80"/>
      <c r="F11" s="80"/>
      <c r="G11" s="81"/>
      <c r="H11" s="80"/>
      <c r="I11" s="80"/>
      <c r="J11" s="80"/>
      <c r="K11" s="80"/>
      <c r="L11" s="80"/>
      <c r="M11" s="80"/>
      <c r="N11" s="80"/>
      <c r="O11" s="80"/>
      <c r="P11" s="80"/>
      <c r="Q11" s="82"/>
    </row>
    <row r="12" spans="1:17" ht="15.75" thickBot="1" x14ac:dyDescent="0.3">
      <c r="A12" s="183" t="s">
        <v>68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</row>
    <row r="13" spans="1:17" ht="15.75" thickBot="1" x14ac:dyDescent="0.3">
      <c r="A13" s="184" t="s">
        <v>69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5" t="s">
        <v>70</v>
      </c>
      <c r="P13" s="185"/>
      <c r="Q13" s="186" t="s">
        <v>71</v>
      </c>
    </row>
    <row r="14" spans="1:17" ht="15.75" thickBot="1" x14ac:dyDescent="0.3">
      <c r="A14" s="83" t="s">
        <v>72</v>
      </c>
      <c r="B14" s="84" t="s">
        <v>73</v>
      </c>
      <c r="C14" s="84" t="s">
        <v>74</v>
      </c>
      <c r="D14" s="84" t="s">
        <v>75</v>
      </c>
      <c r="E14" s="84" t="s">
        <v>76</v>
      </c>
      <c r="F14" s="84" t="s">
        <v>77</v>
      </c>
      <c r="G14" s="85" t="s">
        <v>78</v>
      </c>
      <c r="H14" s="84" t="s">
        <v>79</v>
      </c>
      <c r="I14" s="84" t="s">
        <v>80</v>
      </c>
      <c r="J14" s="84" t="s">
        <v>81</v>
      </c>
      <c r="K14" s="84" t="s">
        <v>81</v>
      </c>
      <c r="L14" s="84" t="s">
        <v>82</v>
      </c>
      <c r="M14" s="86" t="s">
        <v>83</v>
      </c>
      <c r="N14" s="87" t="s">
        <v>84</v>
      </c>
      <c r="O14" s="185"/>
      <c r="P14" s="185"/>
      <c r="Q14" s="186"/>
    </row>
    <row r="15" spans="1:17" x14ac:dyDescent="0.2">
      <c r="A15" s="88">
        <v>21</v>
      </c>
      <c r="B15" s="89"/>
      <c r="C15" s="89"/>
      <c r="D15" s="89">
        <v>1</v>
      </c>
      <c r="E15" s="89"/>
      <c r="F15" s="89">
        <v>4901</v>
      </c>
      <c r="G15" s="89">
        <v>3</v>
      </c>
      <c r="H15" s="89">
        <v>1</v>
      </c>
      <c r="I15" s="89">
        <v>2</v>
      </c>
      <c r="J15" s="89">
        <v>4</v>
      </c>
      <c r="K15" s="89">
        <v>4</v>
      </c>
      <c r="L15" s="89"/>
      <c r="M15" s="90">
        <v>1</v>
      </c>
      <c r="N15" s="89" t="s">
        <v>91</v>
      </c>
      <c r="O15" s="187" t="s">
        <v>92</v>
      </c>
      <c r="P15" s="187"/>
      <c r="Q15" s="91">
        <v>3869600</v>
      </c>
    </row>
    <row r="16" spans="1:17" x14ac:dyDescent="0.2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4"/>
      <c r="N16" s="95"/>
      <c r="O16" s="177"/>
      <c r="P16" s="177"/>
      <c r="Q16" s="96"/>
    </row>
    <row r="17" spans="1:17" x14ac:dyDescent="0.2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4"/>
      <c r="N17" s="95"/>
      <c r="O17" s="188"/>
      <c r="P17" s="188"/>
      <c r="Q17" s="96"/>
    </row>
    <row r="18" spans="1:17" x14ac:dyDescent="0.2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4"/>
      <c r="N18" s="95"/>
      <c r="O18" s="181"/>
      <c r="P18" s="181"/>
      <c r="Q18" s="96"/>
    </row>
    <row r="19" spans="1:17" x14ac:dyDescent="0.2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4"/>
      <c r="N19" s="95"/>
      <c r="O19" s="181"/>
      <c r="P19" s="181"/>
      <c r="Q19" s="96"/>
    </row>
    <row r="20" spans="1:17" x14ac:dyDescent="0.2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4"/>
      <c r="N20" s="95"/>
      <c r="O20" s="181"/>
      <c r="P20" s="181"/>
      <c r="Q20" s="96"/>
    </row>
    <row r="21" spans="1:17" x14ac:dyDescent="0.2">
      <c r="A21" s="92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4"/>
      <c r="N21" s="95"/>
      <c r="O21" s="181"/>
      <c r="P21" s="181"/>
      <c r="Q21" s="96"/>
    </row>
    <row r="22" spans="1:17" x14ac:dyDescent="0.2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4"/>
      <c r="N22" s="95"/>
      <c r="O22" s="181"/>
      <c r="P22" s="181"/>
      <c r="Q22" s="96"/>
    </row>
    <row r="23" spans="1:17" x14ac:dyDescent="0.2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4"/>
      <c r="N23" s="95"/>
      <c r="O23" s="181"/>
      <c r="P23" s="181"/>
      <c r="Q23" s="96"/>
    </row>
    <row r="24" spans="1:17" x14ac:dyDescent="0.2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95"/>
      <c r="O24" s="181"/>
      <c r="P24" s="181"/>
      <c r="Q24" s="96"/>
    </row>
    <row r="25" spans="1:17" x14ac:dyDescent="0.2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95"/>
      <c r="O25" s="181"/>
      <c r="P25" s="181"/>
      <c r="Q25" s="96"/>
    </row>
    <row r="26" spans="1:17" x14ac:dyDescent="0.2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95"/>
      <c r="O26" s="181"/>
      <c r="P26" s="181"/>
      <c r="Q26" s="96"/>
    </row>
    <row r="27" spans="1:17" x14ac:dyDescent="0.2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95"/>
      <c r="O27" s="181"/>
      <c r="P27" s="181"/>
      <c r="Q27" s="96"/>
    </row>
    <row r="28" spans="1:17" x14ac:dyDescent="0.2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95"/>
      <c r="O28" s="181"/>
      <c r="P28" s="181"/>
      <c r="Q28" s="96"/>
    </row>
    <row r="29" spans="1:17" x14ac:dyDescent="0.2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95"/>
      <c r="O29" s="181"/>
      <c r="P29" s="181"/>
      <c r="Q29" s="96"/>
    </row>
    <row r="30" spans="1:17" x14ac:dyDescent="0.2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95"/>
      <c r="O30" s="181"/>
      <c r="P30" s="181"/>
      <c r="Q30" s="96"/>
    </row>
    <row r="31" spans="1:17" x14ac:dyDescent="0.2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95"/>
      <c r="O31" s="181"/>
      <c r="P31" s="181"/>
      <c r="Q31" s="96"/>
    </row>
    <row r="32" spans="1:17" x14ac:dyDescent="0.2">
      <c r="A32" s="92"/>
      <c r="B32" s="93"/>
      <c r="C32" s="93"/>
      <c r="D32" s="93"/>
      <c r="E32" s="93"/>
      <c r="F32" s="95"/>
      <c r="G32" s="93"/>
      <c r="H32" s="93"/>
      <c r="I32" s="93"/>
      <c r="J32" s="93"/>
      <c r="K32" s="93"/>
      <c r="L32" s="93"/>
      <c r="M32" s="94"/>
      <c r="N32" s="95"/>
      <c r="O32" s="177"/>
      <c r="P32" s="177"/>
      <c r="Q32" s="96"/>
    </row>
    <row r="33" spans="1:17" x14ac:dyDescent="0.2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95"/>
      <c r="O33" s="177"/>
      <c r="P33" s="177"/>
      <c r="Q33" s="96"/>
    </row>
    <row r="34" spans="1:17" x14ac:dyDescent="0.2">
      <c r="A34" s="92"/>
      <c r="B34" s="93"/>
      <c r="C34" s="93"/>
      <c r="D34" s="93"/>
      <c r="E34" s="93"/>
      <c r="F34" s="95"/>
      <c r="G34" s="93"/>
      <c r="H34" s="93"/>
      <c r="I34" s="93"/>
      <c r="J34" s="93"/>
      <c r="K34" s="93"/>
      <c r="L34" s="93"/>
      <c r="M34" s="94"/>
      <c r="N34" s="95"/>
      <c r="O34" s="177"/>
      <c r="P34" s="177"/>
      <c r="Q34" s="96"/>
    </row>
    <row r="35" spans="1:17" x14ac:dyDescent="0.2">
      <c r="A35" s="92"/>
      <c r="B35" s="93"/>
      <c r="C35" s="93"/>
      <c r="D35" s="93"/>
      <c r="E35" s="93"/>
      <c r="F35" s="95"/>
      <c r="G35" s="93"/>
      <c r="H35" s="93"/>
      <c r="I35" s="93"/>
      <c r="J35" s="93"/>
      <c r="K35" s="93"/>
      <c r="L35" s="93"/>
      <c r="M35" s="94"/>
      <c r="N35" s="95"/>
      <c r="O35" s="177"/>
      <c r="P35" s="177"/>
      <c r="Q35" s="96"/>
    </row>
    <row r="36" spans="1:17" x14ac:dyDescent="0.2">
      <c r="A36" s="97"/>
      <c r="B36" s="98"/>
      <c r="C36" s="98"/>
      <c r="D36" s="98"/>
      <c r="E36" s="98"/>
      <c r="F36" s="95"/>
      <c r="G36" s="98"/>
      <c r="H36" s="98"/>
      <c r="I36" s="98"/>
      <c r="J36" s="98"/>
      <c r="K36" s="98"/>
      <c r="L36" s="98"/>
      <c r="M36" s="99"/>
      <c r="N36" s="100"/>
      <c r="O36" s="177"/>
      <c r="P36" s="177"/>
      <c r="Q36" s="96"/>
    </row>
    <row r="37" spans="1:17" ht="15.75" thickBot="1" x14ac:dyDescent="0.25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2"/>
      <c r="O37" s="178"/>
      <c r="P37" s="178"/>
      <c r="Q37" s="104"/>
    </row>
    <row r="38" spans="1:17" ht="33" customHeight="1" thickBot="1" x14ac:dyDescent="0.25">
      <c r="A38" s="179" t="s">
        <v>107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05">
        <f>SUM(Q15:Q37)</f>
        <v>3869600</v>
      </c>
    </row>
    <row r="39" spans="1:17" ht="15.75" thickBot="1" x14ac:dyDescent="0.3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</row>
    <row r="40" spans="1:17" ht="15.75" thickBot="1" x14ac:dyDescent="0.3">
      <c r="A40" s="174" t="s">
        <v>85</v>
      </c>
      <c r="B40" s="174"/>
      <c r="C40" s="174"/>
      <c r="D40" s="174"/>
      <c r="E40" s="174"/>
      <c r="F40" s="174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</row>
    <row r="41" spans="1:17" ht="15.75" thickBot="1" x14ac:dyDescent="0.3">
      <c r="A41" s="176" t="str">
        <f>'NP DPAS'!D8</f>
        <v>ADQ. DEL RUBRO CUBIERTAS</v>
      </c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</row>
    <row r="42" spans="1:17" ht="15.75" thickBot="1" x14ac:dyDescent="0.3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4"/>
  <sheetViews>
    <sheetView workbookViewId="0">
      <selection activeCell="K12" sqref="K12"/>
    </sheetView>
  </sheetViews>
  <sheetFormatPr baseColWidth="10" defaultColWidth="11.42578125" defaultRowHeight="15" x14ac:dyDescent="0.25"/>
  <cols>
    <col min="1" max="1" width="5.5703125" customWidth="1"/>
    <col min="2" max="2" width="15.140625" style="119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3.5703125" customWidth="1"/>
    <col min="8" max="8" width="9.28515625" customWidth="1"/>
    <col min="9" max="9" width="15.5703125" customWidth="1"/>
    <col min="10" max="10" width="14.7109375" style="128" customWidth="1"/>
    <col min="11" max="11" width="15.5703125" customWidth="1"/>
  </cols>
  <sheetData>
    <row r="1" spans="1:11" ht="30.75" thickBot="1" x14ac:dyDescent="0.3">
      <c r="A1" s="173" t="s">
        <v>49</v>
      </c>
      <c r="B1" s="173"/>
      <c r="C1" s="173"/>
      <c r="D1" s="173"/>
      <c r="E1" s="173"/>
      <c r="F1" s="173"/>
      <c r="G1" s="173"/>
      <c r="H1" s="173"/>
      <c r="I1" s="173"/>
      <c r="J1" s="122" t="s">
        <v>50</v>
      </c>
      <c r="K1" s="55"/>
    </row>
    <row r="2" spans="1:11" ht="15.75" thickBot="1" x14ac:dyDescent="0.25">
      <c r="A2" s="56"/>
      <c r="B2" s="115"/>
      <c r="C2" s="57"/>
      <c r="D2" s="58"/>
      <c r="E2" s="58"/>
      <c r="F2" s="58"/>
      <c r="G2" s="58"/>
      <c r="H2" s="58"/>
      <c r="I2" s="58"/>
      <c r="J2" s="123"/>
      <c r="K2" s="59"/>
    </row>
    <row r="3" spans="1:11" ht="16.5" customHeight="1" thickBot="1" x14ac:dyDescent="0.3">
      <c r="A3" s="170" t="s">
        <v>51</v>
      </c>
      <c r="B3" s="170"/>
      <c r="C3" s="170"/>
      <c r="D3" s="109" t="str">
        <f>'SAF 011'!C4</f>
        <v>040 - MINISTERIO DE SALUD</v>
      </c>
      <c r="E3" s="110"/>
      <c r="F3" s="110"/>
      <c r="G3" s="110"/>
      <c r="H3" s="110"/>
      <c r="I3" s="110"/>
      <c r="J3" s="124"/>
      <c r="K3" s="111"/>
    </row>
    <row r="4" spans="1:11" ht="16.5" customHeight="1" thickBot="1" x14ac:dyDescent="0.25">
      <c r="A4" s="171" t="s">
        <v>52</v>
      </c>
      <c r="B4" s="171"/>
      <c r="C4" s="171"/>
      <c r="D4" s="109" t="str">
        <f>'SAF 011'!C5</f>
        <v>011 - DIRECCION PROVINCIAL DE ADMINISTRACION - MINISTERIO DE SALUD</v>
      </c>
      <c r="E4" s="110"/>
      <c r="F4" s="110"/>
      <c r="G4" s="110"/>
      <c r="H4" s="110"/>
      <c r="I4" s="110"/>
      <c r="J4" s="124"/>
      <c r="K4" s="111"/>
    </row>
    <row r="5" spans="1:11" ht="16.5" customHeight="1" thickBot="1" x14ac:dyDescent="0.25">
      <c r="A5" s="171" t="s">
        <v>53</v>
      </c>
      <c r="B5" s="171"/>
      <c r="C5" s="171"/>
      <c r="D5" s="109" t="s">
        <v>110</v>
      </c>
      <c r="E5" s="110"/>
      <c r="F5" s="110"/>
      <c r="G5" s="110"/>
      <c r="H5" s="110"/>
      <c r="I5" s="110"/>
      <c r="J5" s="124"/>
      <c r="K5" s="111"/>
    </row>
    <row r="6" spans="1:11" ht="16.5" customHeight="1" thickBot="1" x14ac:dyDescent="0.25">
      <c r="A6" s="170" t="s">
        <v>54</v>
      </c>
      <c r="B6" s="170"/>
      <c r="C6" s="170"/>
      <c r="D6" s="109" t="s">
        <v>110</v>
      </c>
      <c r="E6" s="110"/>
      <c r="F6" s="110"/>
      <c r="G6" s="110"/>
      <c r="H6" s="110"/>
      <c r="I6" s="110"/>
      <c r="J6" s="124"/>
      <c r="K6" s="111"/>
    </row>
    <row r="7" spans="1:11" ht="16.5" thickBot="1" x14ac:dyDescent="0.3">
      <c r="A7" s="171" t="s">
        <v>55</v>
      </c>
      <c r="B7" s="171"/>
      <c r="C7" s="171"/>
      <c r="D7" s="109" t="s">
        <v>88</v>
      </c>
      <c r="E7" s="110"/>
      <c r="F7" s="110"/>
      <c r="G7" s="110"/>
      <c r="H7" s="110"/>
      <c r="I7" s="110"/>
      <c r="J7" s="124"/>
      <c r="K7" s="111"/>
    </row>
    <row r="8" spans="1:11" ht="16.5" customHeight="1" thickBot="1" x14ac:dyDescent="0.25">
      <c r="A8" s="172" t="s">
        <v>56</v>
      </c>
      <c r="B8" s="172"/>
      <c r="C8" s="172"/>
      <c r="D8" s="112" t="s">
        <v>89</v>
      </c>
      <c r="E8" s="110"/>
      <c r="F8" s="110"/>
      <c r="G8" s="110"/>
      <c r="H8" s="110"/>
      <c r="I8" s="110"/>
      <c r="J8" s="124"/>
      <c r="K8" s="111"/>
    </row>
    <row r="9" spans="1:11" ht="15.75" thickBot="1" x14ac:dyDescent="0.25">
      <c r="A9" s="60"/>
      <c r="B9" s="116"/>
      <c r="C9" s="61"/>
      <c r="D9" s="62"/>
      <c r="E9" s="62"/>
      <c r="F9" s="62"/>
      <c r="G9" s="62"/>
      <c r="H9" s="62"/>
      <c r="I9" s="62"/>
      <c r="J9" s="125"/>
      <c r="K9" s="63"/>
    </row>
    <row r="10" spans="1:11" ht="15.75" thickBot="1" x14ac:dyDescent="0.3">
      <c r="A10" s="169" t="s">
        <v>57</v>
      </c>
      <c r="B10" s="167" t="s">
        <v>58</v>
      </c>
      <c r="C10" s="167" t="s">
        <v>59</v>
      </c>
      <c r="D10" s="167"/>
      <c r="E10" s="167"/>
      <c r="F10" s="167"/>
      <c r="G10" s="167"/>
      <c r="H10" s="167" t="s">
        <v>60</v>
      </c>
      <c r="I10" s="167" t="s">
        <v>61</v>
      </c>
      <c r="J10" s="168" t="s">
        <v>62</v>
      </c>
      <c r="K10" s="165" t="s">
        <v>63</v>
      </c>
    </row>
    <row r="11" spans="1:11" ht="23.25" customHeight="1" thickBot="1" x14ac:dyDescent="0.3">
      <c r="A11" s="169"/>
      <c r="B11" s="167"/>
      <c r="C11" s="167"/>
      <c r="D11" s="167"/>
      <c r="E11" s="167"/>
      <c r="F11" s="167"/>
      <c r="G11" s="167"/>
      <c r="H11" s="167"/>
      <c r="I11" s="167"/>
      <c r="J11" s="168"/>
      <c r="K11" s="165"/>
    </row>
    <row r="12" spans="1:11" ht="35.25" customHeight="1" thickBot="1" x14ac:dyDescent="0.25">
      <c r="A12" s="142">
        <v>1</v>
      </c>
      <c r="B12" s="118" t="str">
        <f>'SAF 011'!B20</f>
        <v>2.4.4-6818.890</v>
      </c>
      <c r="C12" s="162" t="str">
        <f>'SAF 011'!E20</f>
        <v>NEUMATICOS; VEHICULO: CAMIONETA, CONSTRUCCION: RADIAL, ARMADO: SIN CAMARA, MEDIDA: 265/60R18</v>
      </c>
      <c r="D12" s="163"/>
      <c r="E12" s="163"/>
      <c r="F12" s="163"/>
      <c r="G12" s="164"/>
      <c r="H12" s="69" t="s">
        <v>90</v>
      </c>
      <c r="I12" s="70" t="str">
        <f>'SAF 011'!F20</f>
        <v xml:space="preserve">UNIDAD </v>
      </c>
      <c r="J12" s="127">
        <f>'SAF 011'!J20</f>
        <v>79999</v>
      </c>
      <c r="K12" s="71">
        <v>2</v>
      </c>
    </row>
    <row r="13" spans="1:11" ht="15.75" customHeight="1" x14ac:dyDescent="0.2">
      <c r="A13" s="118"/>
      <c r="B13" s="118"/>
      <c r="C13" s="162"/>
      <c r="D13" s="163"/>
      <c r="E13" s="163"/>
      <c r="F13" s="163"/>
      <c r="G13" s="164"/>
      <c r="H13" s="69"/>
      <c r="I13" s="70"/>
      <c r="J13" s="127"/>
      <c r="K13" s="129"/>
    </row>
    <row r="14" spans="1:11" ht="39.75" customHeight="1" thickBot="1" x14ac:dyDescent="0.25">
      <c r="A14" s="161" t="s">
        <v>108</v>
      </c>
      <c r="B14" s="161"/>
      <c r="C14" s="161"/>
      <c r="D14" s="161"/>
      <c r="E14" s="161"/>
      <c r="F14" s="161"/>
      <c r="G14" s="161"/>
      <c r="H14" s="161"/>
      <c r="I14" s="161"/>
      <c r="J14" s="159">
        <f>SUMPRODUCT(J12:J12,K12:K12)</f>
        <v>159998</v>
      </c>
      <c r="K14" s="160"/>
    </row>
  </sheetData>
  <mergeCells count="18">
    <mergeCell ref="A7:C7"/>
    <mergeCell ref="A1:I1"/>
    <mergeCell ref="A3:C3"/>
    <mergeCell ref="A4:C4"/>
    <mergeCell ref="A5:C5"/>
    <mergeCell ref="A6:C6"/>
    <mergeCell ref="A8:C8"/>
    <mergeCell ref="A10:A11"/>
    <mergeCell ref="B10:B11"/>
    <mergeCell ref="C10:G11"/>
    <mergeCell ref="H10:H11"/>
    <mergeCell ref="J10:J11"/>
    <mergeCell ref="K10:K11"/>
    <mergeCell ref="C12:G12"/>
    <mergeCell ref="C13:G13"/>
    <mergeCell ref="A14:I14"/>
    <mergeCell ref="J14:K14"/>
    <mergeCell ref="I10:I1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2"/>
  <sheetViews>
    <sheetView topLeftCell="A10" workbookViewId="0">
      <selection activeCell="W29" sqref="W29"/>
    </sheetView>
  </sheetViews>
  <sheetFormatPr baseColWidth="10" defaultColWidth="11.42578125" defaultRowHeight="15" x14ac:dyDescent="0.25"/>
  <cols>
    <col min="1" max="5" width="4.42578125" customWidth="1"/>
    <col min="6" max="6" width="7.285156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90" t="s">
        <v>5</v>
      </c>
      <c r="B1" s="190"/>
      <c r="C1" s="190"/>
      <c r="D1" s="191">
        <v>2022</v>
      </c>
      <c r="E1" s="191"/>
      <c r="F1" s="72"/>
      <c r="G1" s="72"/>
      <c r="H1" s="73"/>
      <c r="I1" s="73"/>
      <c r="J1" s="73"/>
      <c r="K1" s="73"/>
      <c r="L1" s="73"/>
      <c r="M1" s="73"/>
      <c r="N1" s="73"/>
      <c r="O1" s="74"/>
      <c r="P1" s="192" t="s">
        <v>64</v>
      </c>
      <c r="Q1" s="192"/>
    </row>
    <row r="2" spans="1:17" ht="15.75" thickBot="1" x14ac:dyDescent="0.3">
      <c r="A2" s="75"/>
      <c r="G2" s="76"/>
      <c r="H2" s="77"/>
      <c r="I2" s="77"/>
      <c r="J2" s="77"/>
      <c r="K2" s="77"/>
      <c r="L2" s="77"/>
      <c r="M2" s="77"/>
      <c r="N2" s="77"/>
      <c r="P2" s="192"/>
      <c r="Q2" s="192"/>
    </row>
    <row r="3" spans="1:17" ht="15.75" thickBot="1" x14ac:dyDescent="0.25">
      <c r="A3" s="75"/>
      <c r="G3" s="76"/>
      <c r="Q3" s="78"/>
    </row>
    <row r="4" spans="1:17" ht="15.75" thickBot="1" x14ac:dyDescent="0.3">
      <c r="A4" s="193" t="s">
        <v>65</v>
      </c>
      <c r="B4" s="193"/>
      <c r="C4" s="193"/>
      <c r="D4" s="193"/>
      <c r="E4" s="193"/>
      <c r="F4" s="193"/>
      <c r="G4" s="194" t="str">
        <f>'NP MS'!D3</f>
        <v>040 - MINISTERIO DE SALUD</v>
      </c>
      <c r="H4" s="194"/>
      <c r="I4" s="194"/>
      <c r="J4" s="194"/>
      <c r="K4" s="194"/>
      <c r="L4" s="194"/>
      <c r="M4" s="194"/>
      <c r="N4" s="194"/>
      <c r="O4" s="194"/>
      <c r="P4" s="194"/>
      <c r="Q4" s="194"/>
    </row>
    <row r="5" spans="1:17" ht="15.75" thickBot="1" x14ac:dyDescent="0.25">
      <c r="A5" s="195" t="s">
        <v>52</v>
      </c>
      <c r="B5" s="195"/>
      <c r="C5" s="195"/>
      <c r="D5" s="195"/>
      <c r="E5" s="195"/>
      <c r="F5" s="195"/>
      <c r="G5" s="194" t="str">
        <f>'NP MS'!D4</f>
        <v>011 - DIRECCION PROVINCIAL DE ADMINISTRACION - MINISTERIO DE SALUD</v>
      </c>
      <c r="H5" s="194"/>
      <c r="I5" s="194"/>
      <c r="J5" s="194"/>
      <c r="K5" s="194"/>
      <c r="L5" s="194"/>
      <c r="M5" s="194"/>
      <c r="N5" s="194"/>
      <c r="O5" s="194"/>
      <c r="P5" s="194"/>
      <c r="Q5" s="194"/>
    </row>
    <row r="6" spans="1:17" ht="15.75" thickBot="1" x14ac:dyDescent="0.25">
      <c r="A6" s="195" t="s">
        <v>53</v>
      </c>
      <c r="B6" s="195"/>
      <c r="C6" s="195"/>
      <c r="D6" s="195"/>
      <c r="E6" s="195"/>
      <c r="F6" s="195"/>
      <c r="G6" s="194" t="str">
        <f>'NP MS'!D5</f>
        <v>352 - MINISTERIO DE SALUD</v>
      </c>
      <c r="H6" s="194"/>
      <c r="I6" s="194"/>
      <c r="J6" s="194"/>
      <c r="K6" s="194"/>
      <c r="L6" s="194"/>
      <c r="M6" s="194"/>
      <c r="N6" s="194"/>
      <c r="O6" s="194"/>
      <c r="P6" s="194"/>
      <c r="Q6" s="194"/>
    </row>
    <row r="7" spans="1:17" ht="15.75" thickBot="1" x14ac:dyDescent="0.25">
      <c r="A7" s="195" t="s">
        <v>54</v>
      </c>
      <c r="B7" s="195"/>
      <c r="C7" s="195"/>
      <c r="D7" s="195"/>
      <c r="E7" s="195"/>
      <c r="F7" s="195"/>
      <c r="G7" s="194" t="str">
        <f>'NP MS'!D6</f>
        <v>352 - MINISTERIO DE SALUD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</row>
    <row r="8" spans="1:17" ht="15.75" thickBot="1" x14ac:dyDescent="0.3">
      <c r="A8" s="196" t="s">
        <v>66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</row>
    <row r="9" spans="1:17" ht="27.75" customHeight="1" x14ac:dyDescent="0.25">
      <c r="A9" s="189" t="s">
        <v>67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</row>
    <row r="10" spans="1:17" ht="57" customHeight="1" x14ac:dyDescent="0.25">
      <c r="A10" s="182" t="s">
        <v>86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</row>
    <row r="11" spans="1:17" ht="15.75" thickBot="1" x14ac:dyDescent="0.25">
      <c r="A11" s="79"/>
      <c r="B11" s="80"/>
      <c r="C11" s="80"/>
      <c r="D11" s="80"/>
      <c r="E11" s="80"/>
      <c r="F11" s="80"/>
      <c r="G11" s="81"/>
      <c r="H11" s="80"/>
      <c r="I11" s="80"/>
      <c r="J11" s="80"/>
      <c r="K11" s="80"/>
      <c r="L11" s="80"/>
      <c r="M11" s="80"/>
      <c r="N11" s="80"/>
      <c r="O11" s="80"/>
      <c r="P11" s="80"/>
      <c r="Q11" s="82"/>
    </row>
    <row r="12" spans="1:17" ht="15.75" thickBot="1" x14ac:dyDescent="0.3">
      <c r="A12" s="183" t="s">
        <v>68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</row>
    <row r="13" spans="1:17" ht="15.75" thickBot="1" x14ac:dyDescent="0.3">
      <c r="A13" s="184" t="s">
        <v>69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5" t="s">
        <v>70</v>
      </c>
      <c r="P13" s="185"/>
      <c r="Q13" s="186" t="s">
        <v>71</v>
      </c>
    </row>
    <row r="14" spans="1:17" ht="15.75" thickBot="1" x14ac:dyDescent="0.3">
      <c r="A14" s="83" t="s">
        <v>72</v>
      </c>
      <c r="B14" s="84" t="s">
        <v>73</v>
      </c>
      <c r="C14" s="84" t="s">
        <v>74</v>
      </c>
      <c r="D14" s="84" t="s">
        <v>75</v>
      </c>
      <c r="E14" s="84" t="s">
        <v>76</v>
      </c>
      <c r="F14" s="84" t="s">
        <v>77</v>
      </c>
      <c r="G14" s="85" t="s">
        <v>78</v>
      </c>
      <c r="H14" s="84" t="s">
        <v>79</v>
      </c>
      <c r="I14" s="84" t="s">
        <v>80</v>
      </c>
      <c r="J14" s="84" t="s">
        <v>81</v>
      </c>
      <c r="K14" s="84" t="s">
        <v>81</v>
      </c>
      <c r="L14" s="84" t="s">
        <v>82</v>
      </c>
      <c r="M14" s="86" t="s">
        <v>83</v>
      </c>
      <c r="N14" s="87" t="s">
        <v>84</v>
      </c>
      <c r="O14" s="185"/>
      <c r="P14" s="185"/>
      <c r="Q14" s="186"/>
    </row>
    <row r="15" spans="1:17" x14ac:dyDescent="0.2">
      <c r="A15" s="88">
        <v>1</v>
      </c>
      <c r="B15" s="89"/>
      <c r="C15" s="89"/>
      <c r="D15" s="89">
        <v>1</v>
      </c>
      <c r="E15" s="89"/>
      <c r="F15" s="89">
        <v>4901</v>
      </c>
      <c r="G15" s="89">
        <v>3</v>
      </c>
      <c r="H15" s="89">
        <v>1</v>
      </c>
      <c r="I15" s="89">
        <v>2</v>
      </c>
      <c r="J15" s="89">
        <v>4</v>
      </c>
      <c r="K15" s="89">
        <v>4</v>
      </c>
      <c r="L15" s="89"/>
      <c r="M15" s="90">
        <v>1</v>
      </c>
      <c r="N15" s="89" t="s">
        <v>91</v>
      </c>
      <c r="O15" s="187" t="s">
        <v>92</v>
      </c>
      <c r="P15" s="187"/>
      <c r="Q15" s="91">
        <v>159998</v>
      </c>
    </row>
    <row r="16" spans="1:17" x14ac:dyDescent="0.2">
      <c r="A16" s="92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4"/>
      <c r="N16" s="95"/>
      <c r="O16" s="177"/>
      <c r="P16" s="177"/>
      <c r="Q16" s="96"/>
    </row>
    <row r="17" spans="1:17" x14ac:dyDescent="0.2">
      <c r="A17" s="92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4"/>
      <c r="N17" s="95"/>
      <c r="O17" s="188"/>
      <c r="P17" s="188"/>
      <c r="Q17" s="96"/>
    </row>
    <row r="18" spans="1:17" x14ac:dyDescent="0.2">
      <c r="A18" s="92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4"/>
      <c r="N18" s="95"/>
      <c r="O18" s="181"/>
      <c r="P18" s="181"/>
      <c r="Q18" s="96"/>
    </row>
    <row r="19" spans="1:17" x14ac:dyDescent="0.2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4"/>
      <c r="N19" s="95"/>
      <c r="O19" s="181"/>
      <c r="P19" s="181"/>
      <c r="Q19" s="96"/>
    </row>
    <row r="20" spans="1:17" x14ac:dyDescent="0.2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4"/>
      <c r="N20" s="95"/>
      <c r="O20" s="181"/>
      <c r="P20" s="181"/>
      <c r="Q20" s="96"/>
    </row>
    <row r="21" spans="1:17" x14ac:dyDescent="0.2">
      <c r="A21" s="92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4"/>
      <c r="N21" s="95"/>
      <c r="O21" s="181"/>
      <c r="P21" s="181"/>
      <c r="Q21" s="96"/>
    </row>
    <row r="22" spans="1:17" x14ac:dyDescent="0.2">
      <c r="A22" s="92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4"/>
      <c r="N22" s="95"/>
      <c r="O22" s="181"/>
      <c r="P22" s="181"/>
      <c r="Q22" s="96"/>
    </row>
    <row r="23" spans="1:17" x14ac:dyDescent="0.2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4"/>
      <c r="N23" s="95"/>
      <c r="O23" s="181"/>
      <c r="P23" s="181"/>
      <c r="Q23" s="96"/>
    </row>
    <row r="24" spans="1:17" x14ac:dyDescent="0.2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4"/>
      <c r="N24" s="95"/>
      <c r="O24" s="181"/>
      <c r="P24" s="181"/>
      <c r="Q24" s="96"/>
    </row>
    <row r="25" spans="1:17" x14ac:dyDescent="0.2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4"/>
      <c r="N25" s="95"/>
      <c r="O25" s="181"/>
      <c r="P25" s="181"/>
      <c r="Q25" s="96"/>
    </row>
    <row r="26" spans="1:17" x14ac:dyDescent="0.2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4"/>
      <c r="N26" s="95"/>
      <c r="O26" s="181"/>
      <c r="P26" s="181"/>
      <c r="Q26" s="96"/>
    </row>
    <row r="27" spans="1:17" x14ac:dyDescent="0.2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4"/>
      <c r="N27" s="95"/>
      <c r="O27" s="181"/>
      <c r="P27" s="181"/>
      <c r="Q27" s="96"/>
    </row>
    <row r="28" spans="1:17" x14ac:dyDescent="0.2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4"/>
      <c r="N28" s="95"/>
      <c r="O28" s="181"/>
      <c r="P28" s="181"/>
      <c r="Q28" s="96"/>
    </row>
    <row r="29" spans="1:17" x14ac:dyDescent="0.2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4"/>
      <c r="N29" s="95"/>
      <c r="O29" s="181"/>
      <c r="P29" s="181"/>
      <c r="Q29" s="96"/>
    </row>
    <row r="30" spans="1:17" x14ac:dyDescent="0.2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4"/>
      <c r="N30" s="95"/>
      <c r="O30" s="181"/>
      <c r="P30" s="181"/>
      <c r="Q30" s="96"/>
    </row>
    <row r="31" spans="1:17" x14ac:dyDescent="0.2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4"/>
      <c r="N31" s="95"/>
      <c r="O31" s="181"/>
      <c r="P31" s="181"/>
      <c r="Q31" s="96"/>
    </row>
    <row r="32" spans="1:17" x14ac:dyDescent="0.2">
      <c r="A32" s="92"/>
      <c r="B32" s="93"/>
      <c r="C32" s="93"/>
      <c r="D32" s="93"/>
      <c r="E32" s="93"/>
      <c r="F32" s="95"/>
      <c r="G32" s="93"/>
      <c r="H32" s="93"/>
      <c r="I32" s="93"/>
      <c r="J32" s="93"/>
      <c r="K32" s="93"/>
      <c r="L32" s="93"/>
      <c r="M32" s="94"/>
      <c r="N32" s="95"/>
      <c r="O32" s="177"/>
      <c r="P32" s="177"/>
      <c r="Q32" s="96"/>
    </row>
    <row r="33" spans="1:17" x14ac:dyDescent="0.2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4"/>
      <c r="N33" s="95"/>
      <c r="O33" s="177"/>
      <c r="P33" s="177"/>
      <c r="Q33" s="96"/>
    </row>
    <row r="34" spans="1:17" x14ac:dyDescent="0.2">
      <c r="A34" s="92"/>
      <c r="B34" s="93"/>
      <c r="C34" s="93"/>
      <c r="D34" s="93"/>
      <c r="E34" s="93"/>
      <c r="F34" s="95"/>
      <c r="G34" s="93"/>
      <c r="H34" s="93"/>
      <c r="I34" s="93"/>
      <c r="J34" s="93"/>
      <c r="K34" s="93"/>
      <c r="L34" s="93"/>
      <c r="M34" s="94"/>
      <c r="N34" s="95"/>
      <c r="O34" s="177"/>
      <c r="P34" s="177"/>
      <c r="Q34" s="96"/>
    </row>
    <row r="35" spans="1:17" x14ac:dyDescent="0.2">
      <c r="A35" s="92"/>
      <c r="B35" s="93"/>
      <c r="C35" s="93"/>
      <c r="D35" s="93"/>
      <c r="E35" s="93"/>
      <c r="F35" s="95"/>
      <c r="G35" s="93"/>
      <c r="H35" s="93"/>
      <c r="I35" s="93"/>
      <c r="J35" s="93"/>
      <c r="K35" s="93"/>
      <c r="L35" s="93"/>
      <c r="M35" s="94"/>
      <c r="N35" s="95"/>
      <c r="O35" s="177"/>
      <c r="P35" s="177"/>
      <c r="Q35" s="96"/>
    </row>
    <row r="36" spans="1:17" x14ac:dyDescent="0.2">
      <c r="A36" s="97"/>
      <c r="B36" s="98"/>
      <c r="C36" s="98"/>
      <c r="D36" s="98"/>
      <c r="E36" s="98"/>
      <c r="F36" s="95"/>
      <c r="G36" s="98"/>
      <c r="H36" s="98"/>
      <c r="I36" s="98"/>
      <c r="J36" s="98"/>
      <c r="K36" s="98"/>
      <c r="L36" s="98"/>
      <c r="M36" s="99"/>
      <c r="N36" s="100"/>
      <c r="O36" s="177"/>
      <c r="P36" s="177"/>
      <c r="Q36" s="96"/>
    </row>
    <row r="37" spans="1:17" ht="15.75" thickBot="1" x14ac:dyDescent="0.25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2"/>
      <c r="O37" s="178"/>
      <c r="P37" s="178"/>
      <c r="Q37" s="104"/>
    </row>
    <row r="38" spans="1:17" ht="29.25" customHeight="1" thickBot="1" x14ac:dyDescent="0.25">
      <c r="A38" s="179" t="s">
        <v>109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05">
        <f>SUM(Q15:Q37)</f>
        <v>159998</v>
      </c>
    </row>
    <row r="39" spans="1:17" ht="15.75" thickBot="1" x14ac:dyDescent="0.25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</row>
    <row r="40" spans="1:17" ht="15.75" thickBot="1" x14ac:dyDescent="0.3">
      <c r="A40" s="174" t="s">
        <v>85</v>
      </c>
      <c r="B40" s="174"/>
      <c r="C40" s="174"/>
      <c r="D40" s="174"/>
      <c r="E40" s="174"/>
      <c r="F40" s="174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</row>
    <row r="41" spans="1:17" ht="15.75" thickBot="1" x14ac:dyDescent="0.3">
      <c r="A41" s="176" t="str">
        <f>'NP MS'!D8</f>
        <v>ADQ. DEL RUBRO CUBIERTAS</v>
      </c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</row>
    <row r="42" spans="1:17" ht="15.75" thickBot="1" x14ac:dyDescent="0.3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SAF 011</vt:lpstr>
      <vt:lpstr>ANEXO</vt:lpstr>
      <vt:lpstr>NP SMPyPS</vt:lpstr>
      <vt:lpstr>APG SMPyPS</vt:lpstr>
      <vt:lpstr>NP DPSAME</vt:lpstr>
      <vt:lpstr>APG DPSAME</vt:lpstr>
      <vt:lpstr>NP DPMIA</vt:lpstr>
      <vt:lpstr>APG DPMIA</vt:lpstr>
      <vt:lpstr>NP SASP</vt:lpstr>
      <vt:lpstr>APG SASP</vt:lpstr>
      <vt:lpstr>NP DPAIPD</vt:lpstr>
      <vt:lpstr>APG DPAIPD</vt:lpstr>
      <vt:lpstr>NP DPAS</vt:lpstr>
      <vt:lpstr>APG DPAS</vt:lpstr>
      <vt:lpstr>NP MS</vt:lpstr>
      <vt:lpstr>APG 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2022-09-08T14:06:18Z</dcterms:modified>
</cp:coreProperties>
</file>