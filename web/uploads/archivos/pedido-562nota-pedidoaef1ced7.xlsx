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ocuments\"/>
    </mc:Choice>
  </mc:AlternateContent>
  <xr:revisionPtr revIDLastSave="0" documentId="13_ncr:1_{10E9E882-6641-404F-9B3E-B833B08BDD57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81029"/>
</workbook>
</file>

<file path=xl/calcChain.xml><?xml version="1.0" encoding="utf-8"?>
<calcChain xmlns="http://schemas.openxmlformats.org/spreadsheetml/2006/main">
  <c r="I9" i="1" l="1"/>
  <c r="I10" i="1"/>
  <c r="I11" i="1"/>
  <c r="I12" i="1"/>
  <c r="I13" i="1"/>
  <c r="I14" i="1"/>
  <c r="I15" i="1"/>
  <c r="I16" i="1"/>
  <c r="I17" i="1"/>
  <c r="I18" i="1"/>
  <c r="I19" i="1"/>
  <c r="I20" i="1"/>
  <c r="I8" i="1"/>
</calcChain>
</file>

<file path=xl/sharedStrings.xml><?xml version="1.0" encoding="utf-8"?>
<sst xmlns="http://schemas.openxmlformats.org/spreadsheetml/2006/main" count="83" uniqueCount="52">
  <si>
    <r>
      <rPr>
        <b/>
        <sz val="11"/>
        <rFont val="Times New Roman"/>
        <family val="1"/>
      </rPr>
      <t xml:space="preserve">Gobierno de Catamarca
</t>
    </r>
    <r>
      <rPr>
        <sz val="11"/>
        <rFont val="Times New Roman"/>
        <family val="1"/>
      </rPr>
      <t>2022</t>
    </r>
  </si>
  <si>
    <r>
      <rPr>
        <b/>
        <sz val="11"/>
        <rFont val="Times New Roman"/>
        <family val="1"/>
      </rPr>
      <t>Nota de Pedido</t>
    </r>
  </si>
  <si>
    <r>
      <rPr>
        <b/>
        <vertAlign val="superscript"/>
        <sz val="11"/>
        <rFont val="Times New Roman"/>
        <family val="1"/>
      </rPr>
      <t xml:space="preserve">Número:  </t>
    </r>
    <r>
      <rPr>
        <sz val="11"/>
        <rFont val="Times New Roman"/>
        <family val="1"/>
      </rPr>
      <t>DOCFI-2022-02029722-CAT-DA#MP</t>
    </r>
  </si>
  <si>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Viernes 21 de Octubre de 2022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</si>
  <si>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1° PROVISION ACUERDO MARCO 100-4-AM22-ADQUISICIÓN DE ANTISÉPTICOS Y DESINFECTANTES PARA DISTINTOS ORGANISMOS DE SALUD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</si>
  <si>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40-Ministerio de Salud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28-Maternidad Provincial 25 de Mayo 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169-Direccion Asistencial 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Servicio de Farmacia
</t>
    </r>
    <r>
      <rPr>
        <b/>
        <sz val="12"/>
        <rFont val="Times New Roman"/>
        <family val="1"/>
      </rPr>
      <t xml:space="preserve">Objeto: </t>
    </r>
    <r>
      <rPr>
        <sz val="12"/>
        <rFont val="Times New Roman"/>
        <family val="1"/>
      </rPr>
      <t xml:space="preserve">ADQUISICIÓN DE ANTISÉPTICOS Y DESINFECTANTES
</t>
    </r>
    <r>
      <rPr>
        <b/>
        <sz val="12"/>
        <rFont val="Times New Roman"/>
        <family val="1"/>
      </rPr>
      <t xml:space="preserve">Período Utilización: </t>
    </r>
    <r>
      <rPr>
        <sz val="12"/>
        <rFont val="Times New Roman"/>
        <family val="1"/>
      </rPr>
      <t>1,00 Meses</t>
    </r>
  </si>
  <si>
    <r>
      <rPr>
        <b/>
        <sz val="12"/>
        <rFont val="Times New Roman"/>
        <family val="1"/>
      </rPr>
      <t>Descripción</t>
    </r>
  </si>
  <si>
    <r>
      <rPr>
        <b/>
        <sz val="12"/>
        <rFont val="Times New Roman"/>
        <family val="1"/>
      </rPr>
      <t>Unidad de medida</t>
    </r>
  </si>
  <si>
    <r>
      <rPr>
        <b/>
        <sz val="12"/>
        <rFont val="Times New Roman"/>
        <family val="1"/>
      </rPr>
      <t>Precio unitario estimado</t>
    </r>
  </si>
  <si>
    <r>
      <rPr>
        <b/>
        <sz val="12"/>
        <rFont val="Times New Roman"/>
        <family val="1"/>
      </rPr>
      <t>Cantidad Solicitada</t>
    </r>
  </si>
  <si>
    <r>
      <rPr>
        <sz val="12"/>
        <rFont val="Times New Roman"/>
        <family val="1"/>
      </rPr>
      <t>AGUA  OXIGENADA;  CAPACIDAD:  1000 CM3,   VOLUMEN:   10,   PRESENTACION: ENVASE X 1000 CM3</t>
    </r>
  </si>
  <si>
    <r>
      <rPr>
        <sz val="12"/>
        <rFont val="Times New Roman"/>
        <family val="1"/>
      </rPr>
      <t>BOTELLA</t>
    </r>
  </si>
  <si>
    <r>
      <rPr>
        <sz val="12"/>
        <rFont val="Times New Roman"/>
        <family val="1"/>
      </rPr>
      <t>ANTISEPTICOS    LOCALES    P/PERSONA; TIPO:         DESINFECTANTE,         DROGA GENERICA:         ALCOHOL        YODADO, FORMA    FARMACEUTICA:    SOLUCION, PRESENTACION: ENVASE X 1000 mL</t>
    </r>
  </si>
  <si>
    <r>
      <rPr>
        <sz val="12"/>
        <rFont val="Times New Roman"/>
        <family val="1"/>
      </rPr>
      <t>DESINFECTANTES     Y     DETERGENTES; PRINCIPIO            ACTIVO:            AMONIO CUATERNARIO, CALIDAD: COMERCIAL, CONCENTRACION/PUREZA:        99        %, PRESENTACION: ENVASE X 5 L</t>
    </r>
  </si>
  <si>
    <r>
      <rPr>
        <sz val="12"/>
        <rFont val="Times New Roman"/>
        <family val="1"/>
      </rPr>
      <t>BIDON</t>
    </r>
  </si>
  <si>
    <r>
      <rPr>
        <sz val="12"/>
        <rFont val="Times New Roman"/>
        <family val="1"/>
      </rPr>
      <t>FRASCO</t>
    </r>
  </si>
  <si>
    <r>
      <rPr>
        <sz val="12"/>
        <rFont val="Times New Roman"/>
        <family val="1"/>
      </rPr>
      <t>ANTISEPTICOS    LOCALES    P/PERSONA; TIPO:            MONODROGA,            DROGA GENERICA:    CLORHEXIDINA    AL    4%, FORMA        FARMACEUTICA:        JABON MEDICINAL,   PRESENTACION:   ENVASE X 500 mL</t>
    </r>
  </si>
  <si>
    <r>
      <rPr>
        <sz val="12"/>
        <rFont val="Times New Roman"/>
        <family val="1"/>
      </rPr>
      <t>ANTISEPTICOS    LOCALES    P/PERSONA; TIPO:            MONODROGA,            DROGA GENERICA:    CLOROXILENOL,    FORMA FARMACEUTICA:                      SOLUCION, PRESENTACION: ENVASE X 5 L</t>
    </r>
  </si>
  <si>
    <r>
      <rPr>
        <sz val="12"/>
        <rFont val="Times New Roman"/>
        <family val="1"/>
      </rPr>
      <t>DESINFECTANTES     Y     DETERGENTES; PRINCIPIO           ACTIVO:          AMILASA, PROTEASA,          LIPASA,          CALIDAD: COMERCIAL, CONCENTRACION/PUREZA:       100       %, PRESENTACION: ENVASE X 5 L</t>
    </r>
  </si>
  <si>
    <r>
      <rPr>
        <sz val="12"/>
        <rFont val="Times New Roman"/>
        <family val="1"/>
      </rPr>
      <t>SOLUCIONES        P/MEDICINA;        TIPO: FORMOL    AL    40    %,    PRESENTACION: ENVASE X 1 L</t>
    </r>
  </si>
  <si>
    <r>
      <rPr>
        <sz val="12"/>
        <rFont val="Times New Roman"/>
        <family val="1"/>
      </rPr>
      <t>ANTISEPTICOS    LOCALES    P/PERSONA; TIPO:            MONODROGA,            DROGA GENERICA:  GLUTARALDEHIDO  AL  2%, FORMA    FARMACEUTICA:    SOLUCION, PRESENTACION: ENVASE X 4 L</t>
    </r>
  </si>
  <si>
    <r>
      <rPr>
        <sz val="12"/>
        <rFont val="Times New Roman"/>
        <family val="1"/>
      </rPr>
      <t>ANTISEPTICOS    LOCALES    P/PERSONA; TIPO:            MONODROGA,            DROGA GENERICA:    IODOPOVIDONA,    FORMA FARMACEUTICA:                      SOLUCION, PRESENTACION: BIDON X 5 L</t>
    </r>
  </si>
  <si>
    <r>
      <rPr>
        <sz val="12"/>
        <rFont val="Times New Roman"/>
        <family val="1"/>
      </rPr>
      <t>ANTISEPTICOS    LOCALES    P/PERSONA; TIPO:            MONODROGA,            DROGA GENERICA:      IODOPOVIDONA      5      %, FORMA        FARMACEUTICA:        JABON LIQUIDO,  PRESENTACION:  ENVASE  X  5 L</t>
    </r>
  </si>
  <si>
    <r>
      <rPr>
        <sz val="12"/>
        <rFont val="Times New Roman"/>
        <family val="1"/>
      </rPr>
      <t>ANTISEPTICOS    LOCALES    P/PERSONA; TIPO:        ANTIBACTERIANO,        DROGA GENERICA:     CLORHEXIDINA,     FORMA FARMACEUTICA:      JABON      LIQUIDO, PRESENTACION: ENVASE X 800 ML BAG IN BOX</t>
    </r>
  </si>
  <si>
    <r>
      <rPr>
        <sz val="12"/>
        <rFont val="Times New Roman"/>
        <family val="1"/>
      </rPr>
      <t>BAG IN BOX</t>
    </r>
  </si>
  <si>
    <r>
      <rPr>
        <sz val="12"/>
        <rFont val="Times New Roman"/>
        <family val="1"/>
      </rPr>
      <t>SOBRE</t>
    </r>
  </si>
  <si>
    <r>
      <rPr>
        <b/>
        <sz val="12"/>
        <rFont val="Times New Roman"/>
        <family val="1"/>
      </rPr>
      <t>Costo total estimado</t>
    </r>
    <r>
      <rPr>
        <sz val="12"/>
        <rFont val="Times New Roman"/>
        <family val="1"/>
      </rPr>
      <t>: 1.287.204,30</t>
    </r>
  </si>
  <si>
    <r>
      <rPr>
        <sz val="5.5"/>
        <rFont val="Arial"/>
        <family val="2"/>
      </rPr>
      <t xml:space="preserve">Digitally signed by GDECatamarca
</t>
    </r>
    <r>
      <rPr>
        <sz val="5.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"/>
        <family val="2"/>
      </rPr>
      <t xml:space="preserve">Date: 2022.10.21 09:50:25 -03'00'
</t>
    </r>
    <r>
      <rPr>
        <sz val="8"/>
        <rFont val="Times New Roman"/>
        <family val="1"/>
      </rPr>
      <t xml:space="preserve">José Gerardo Lescano Jefe de Area
</t>
    </r>
    <r>
      <rPr>
        <sz val="8"/>
        <rFont val="Times New Roman"/>
        <family val="1"/>
      </rPr>
      <t xml:space="preserve">Dirección Provincial de Administración - Maternidad Provincial 25 de Mayo
</t>
    </r>
    <r>
      <rPr>
        <sz val="8"/>
        <rFont val="Times New Roman"/>
        <family val="1"/>
      </rPr>
      <t>Ministerio de Salud</t>
    </r>
  </si>
  <si>
    <r>
      <rPr>
        <sz val="5"/>
        <rFont val="Arial"/>
        <family val="2"/>
      </rPr>
      <t xml:space="preserve">Digitally signed by GDECatamarca
</t>
    </r>
    <r>
      <rPr>
        <sz val="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"/>
        <family val="2"/>
      </rPr>
      <t>Date: 2022.10.21 09:50:27 -03'00'</t>
    </r>
  </si>
  <si>
    <t>DESINFECTANTES     Y     DETERGENTES; PRINCIPIO   ACTIVO:  MONOPERSUFATO DE   POTASIO,   CONTROL:   BACTERIAS, HONGOS,       VIRUS,       PRESENTACION: SOBRE X 20 G</t>
  </si>
  <si>
    <r>
      <t xml:space="preserve">ANTISEPTICOS    LOCALES    P/PERSONA; </t>
    </r>
    <r>
      <rPr>
        <sz val="12"/>
        <rFont val="Times New Roman"/>
        <family val="1"/>
      </rPr>
      <t>TIPO:            MONODROGA,            DROGA GENERICA:    CLORHEXIDINA    AL    2%, FORMA     FARMACEUTICA:    SOLUCION ACUOSA,   PRESENTACION:   ENVASE   X 250 ML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</si>
  <si>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710.4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</si>
  <si>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1723.110</t>
    </r>
  </si>
  <si>
    <r>
      <rPr>
        <sz val="12"/>
        <rFont val="Times New Roman"/>
        <family val="1"/>
      </rPr>
      <t>2.5.1-</t>
    </r>
    <r>
      <rPr>
        <sz val="12"/>
        <rFont val="Times New Roman"/>
        <family val="1"/>
      </rPr>
      <t>9065.27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</si>
  <si>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1723.172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</si>
  <si>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1723.166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</si>
  <si>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1723.69</t>
    </r>
  </si>
  <si>
    <r>
      <rPr>
        <sz val="12"/>
        <rFont val="Times New Roman"/>
        <family val="1"/>
      </rPr>
      <t>2.5.1-</t>
    </r>
    <r>
      <rPr>
        <sz val="12"/>
        <rFont val="Times New Roman"/>
        <family val="1"/>
      </rPr>
      <t>9065.16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</si>
  <si>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1726.492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</si>
  <si>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1723.143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</si>
  <si>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1723.30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</si>
  <si>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1723.146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</si>
  <si>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1723.174</t>
    </r>
  </si>
  <si>
    <r>
      <rPr>
        <sz val="12"/>
        <rFont val="Times New Roman"/>
        <family val="1"/>
      </rPr>
      <t>2.5.1-</t>
    </r>
    <r>
      <rPr>
        <sz val="12"/>
        <rFont val="Times New Roman"/>
        <family val="1"/>
      </rPr>
      <t>9065.54</t>
    </r>
  </si>
  <si>
    <t>ID</t>
  </si>
  <si>
    <t>I.P.P</t>
  </si>
  <si>
    <t>RUBRO DE COMPRA</t>
  </si>
  <si>
    <t>IMPORTE TOTAL ESTIMADO</t>
  </si>
  <si>
    <t>2.5.2</t>
  </si>
  <si>
    <t>2.5.1</t>
  </si>
  <si>
    <t>PROD. MEDICO/FARMACEUTICOS/LAB</t>
  </si>
  <si>
    <t>Código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</si>
</sst>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11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2"/>
    </font>
    <font>
      <sz val="12"/>
      <name val="Times New Roman"/>
      <family val="1"/>
    </font>
    <font>
      <sz val="11"/>
      <name val="Times New Roman"/>
      <family val="1"/>
    </font>
    <font>
      <b/>
      <vertAlign val="superscript"/>
      <sz val="11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5.5"/>
      <name val="Arial"/>
      <family val="2"/>
    </font>
    <font>
      <sz val="8"/>
      <name val="Times New Roman"/>
      <family val="1"/>
    </font>
    <font>
      <sz val="5"/>
      <name val="Arial"/>
      <family val="2"/>
    </font>
    <font>
      <b/>
      <sz val="10"/>
      <name val="Times New Roman"/>
      <family val="1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/>
      <diagonal/>
    </border>
    <border>
      <left style="thin">
        <color rgb="FF282828"/>
      </left>
      <right style="thin">
        <color rgb="FF282828"/>
      </right>
      <top/>
      <bottom style="thin">
        <color rgb="FF28282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82828"/>
      </left>
      <right/>
      <top style="thin">
        <color rgb="FF282828"/>
      </top>
      <bottom style="thin">
        <color rgb="FF282828"/>
      </bottom>
      <diagonal/>
    </border>
    <border>
      <left style="thin">
        <color rgb="FF282828"/>
      </left>
      <right/>
      <top/>
      <bottom style="thin">
        <color rgb="FF282828"/>
      </bottom>
      <diagonal/>
    </border>
    <border>
      <left style="thin">
        <color rgb="FF282828"/>
      </left>
      <right/>
      <top style="thin">
        <color rgb="FF282828"/>
      </top>
      <bottom/>
      <diagonal/>
    </border>
  </borders>
  <cellStyleXfs count="1">
    <xf numFmtId="0" fontId="0" fillId="0" borderId="0"/>
  </cellStyleXfs>
  <cellXfs count="43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right" vertical="center" shrinkToFit="1"/>
    </xf>
    <xf numFmtId="4" fontId="3" fillId="0" borderId="1" xfId="0" applyNumberFormat="1" applyFont="1" applyFill="1" applyBorder="1" applyAlignment="1">
      <alignment horizontal="right" vertical="center" shrinkToFit="1"/>
    </xf>
    <xf numFmtId="1" fontId="3" fillId="0" borderId="3" xfId="0" applyNumberFormat="1" applyFont="1" applyFill="1" applyBorder="1" applyAlignment="1">
      <alignment horizontal="right" vertical="center" indent="2" shrinkToFit="1"/>
    </xf>
    <xf numFmtId="0" fontId="4" fillId="0" borderId="3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center" vertical="center" wrapText="1"/>
    </xf>
    <xf numFmtId="2" fontId="3" fillId="0" borderId="3" xfId="0" applyNumberFormat="1" applyFont="1" applyFill="1" applyBorder="1" applyAlignment="1">
      <alignment horizontal="right" vertical="center" shrinkToFit="1"/>
    </xf>
    <xf numFmtId="1" fontId="3" fillId="0" borderId="1" xfId="0" applyNumberFormat="1" applyFont="1" applyFill="1" applyBorder="1" applyAlignment="1">
      <alignment horizontal="right" vertical="center" indent="2" shrinkToFit="1"/>
    </xf>
    <xf numFmtId="1" fontId="3" fillId="0" borderId="1" xfId="0" applyNumberFormat="1" applyFont="1" applyFill="1" applyBorder="1" applyAlignment="1">
      <alignment horizontal="right" vertical="center" indent="1" shrinkToFit="1"/>
    </xf>
    <xf numFmtId="0" fontId="4" fillId="0" borderId="1" xfId="0" applyFont="1" applyFill="1" applyBorder="1" applyAlignment="1">
      <alignment horizontal="left" vertical="center" wrapText="1" indent="1"/>
    </xf>
    <xf numFmtId="1" fontId="3" fillId="0" borderId="2" xfId="0" applyNumberFormat="1" applyFont="1" applyFill="1" applyBorder="1" applyAlignment="1">
      <alignment horizontal="right" vertical="center" indent="1" shrinkToFit="1"/>
    </xf>
    <xf numFmtId="0" fontId="4" fillId="0" borderId="2" xfId="0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right" vertical="center" shrinkToFit="1"/>
    </xf>
    <xf numFmtId="0" fontId="9" fillId="0" borderId="2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 wrapText="1" inden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2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top" wrapText="1"/>
    </xf>
    <xf numFmtId="2" fontId="3" fillId="0" borderId="5" xfId="0" applyNumberFormat="1" applyFont="1" applyFill="1" applyBorder="1" applyAlignment="1">
      <alignment horizontal="center" vertical="center" shrinkToFit="1"/>
    </xf>
    <xf numFmtId="2" fontId="3" fillId="0" borderId="6" xfId="0" applyNumberFormat="1" applyFont="1" applyFill="1" applyBorder="1" applyAlignment="1">
      <alignment horizontal="center" vertical="center" shrinkToFit="1"/>
    </xf>
    <xf numFmtId="2" fontId="3" fillId="0" borderId="7" xfId="0" applyNumberFormat="1" applyFont="1" applyFill="1" applyBorder="1" applyAlignment="1">
      <alignment horizontal="center" vertical="center" shrinkToFit="1"/>
    </xf>
    <xf numFmtId="2" fontId="3" fillId="0" borderId="4" xfId="0" applyNumberFormat="1" applyFont="1" applyFill="1" applyBorder="1" applyAlignment="1">
      <alignment horizontal="center" vertical="center" shrinkToFit="1"/>
    </xf>
    <xf numFmtId="0" fontId="13" fillId="0" borderId="4" xfId="0" applyFont="1" applyFill="1" applyBorder="1" applyAlignment="1">
      <alignment horizontal="left" vertical="top" wrapText="1"/>
    </xf>
    <xf numFmtId="0" fontId="9" fillId="0" borderId="3" xfId="0" applyFont="1" applyFill="1" applyBorder="1" applyAlignment="1">
      <alignment horizontal="left" vertical="top" wrapText="1" indent="1"/>
    </xf>
    <xf numFmtId="0" fontId="9" fillId="0" borderId="2" xfId="0" applyFont="1" applyFill="1" applyBorder="1" applyAlignment="1">
      <alignment horizontal="left" vertical="top" wrapText="1" indent="1"/>
    </xf>
    <xf numFmtId="0" fontId="14" fillId="0" borderId="0" xfId="0" applyFont="1" applyAlignment="1">
      <alignment wrapText="1"/>
    </xf>
    <xf numFmtId="0" fontId="0" fillId="0" borderId="0" xfId="0" applyFill="1" applyBorder="1" applyAlignment="1">
      <alignment horizontal="left" vertical="top" wrapText="1" indent="1"/>
    </xf>
    <xf numFmtId="0" fontId="9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6</xdr:col>
      <xdr:colOff>146050</xdr:colOff>
      <xdr:row>10</xdr:row>
      <xdr:rowOff>19050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7381875"/>
          <a:ext cx="6546850" cy="19050"/>
          <a:chOff x="0" y="0"/>
          <a:chExt cx="6276975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4762"/>
            <a:ext cx="6276975" cy="0"/>
          </a:xfrm>
          <a:custGeom>
            <a:avLst/>
            <a:gdLst/>
            <a:ahLst/>
            <a:cxnLst/>
            <a:rect l="0" t="0" r="0" b="0"/>
            <a:pathLst>
              <a:path w="6276975">
                <a:moveTo>
                  <a:pt x="0" y="0"/>
                </a:moveTo>
                <a:lnTo>
                  <a:pt x="6276975" y="0"/>
                </a:lnTo>
              </a:path>
            </a:pathLst>
          </a:custGeom>
          <a:ln w="9525">
            <a:solidFill>
              <a:srgbClr val="9B9B9B"/>
            </a:solidFill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14287"/>
            <a:ext cx="6276975" cy="0"/>
          </a:xfrm>
          <a:custGeom>
            <a:avLst/>
            <a:gdLst/>
            <a:ahLst/>
            <a:cxnLst/>
            <a:rect l="0" t="0" r="0" b="0"/>
            <a:pathLst>
              <a:path w="6276975">
                <a:moveTo>
                  <a:pt x="0" y="0"/>
                </a:moveTo>
                <a:lnTo>
                  <a:pt x="6276975" y="0"/>
                </a:lnTo>
              </a:path>
            </a:pathLst>
          </a:custGeom>
          <a:ln w="9525">
            <a:solidFill>
              <a:srgbClr val="EEEEEE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topLeftCell="A7" workbookViewId="0">
      <selection activeCell="M9" sqref="M9"/>
    </sheetView>
  </sheetViews>
  <sheetFormatPr baseColWidth="10" defaultColWidth="9.33203125" defaultRowHeight="12.75" x14ac:dyDescent="0.2"/>
  <cols>
    <col min="1" max="1" width="9.33203125" customWidth="1"/>
    <col min="2" max="2" width="10.5" customWidth="1"/>
    <col min="3" max="3" width="14.33203125" customWidth="1"/>
    <col min="4" max="4" width="10.5" customWidth="1"/>
    <col min="5" max="5" width="54.6640625" customWidth="1"/>
    <col min="6" max="7" width="12.6640625" customWidth="1"/>
    <col min="8" max="8" width="13.1640625" customWidth="1"/>
    <col min="9" max="9" width="12.6640625" customWidth="1"/>
    <col min="10" max="10" width="2.1640625" customWidth="1"/>
  </cols>
  <sheetData>
    <row r="1" spans="1:10" ht="31.5" customHeight="1" x14ac:dyDescent="0.2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15.75" customHeight="1" x14ac:dyDescent="0.2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</row>
    <row r="3" spans="1:10" ht="15.75" customHeight="1" x14ac:dyDescent="0.2">
      <c r="A3" s="42" t="s">
        <v>2</v>
      </c>
      <c r="B3" s="42"/>
      <c r="C3" s="42"/>
      <c r="D3" s="42"/>
      <c r="E3" s="42"/>
      <c r="F3" s="42"/>
      <c r="G3" s="42"/>
      <c r="H3" s="42"/>
      <c r="I3" s="42"/>
      <c r="J3" s="42"/>
    </row>
    <row r="4" spans="1:10" ht="31.5" customHeight="1" x14ac:dyDescent="0.2">
      <c r="A4" s="39" t="s">
        <v>3</v>
      </c>
      <c r="B4" s="39"/>
      <c r="C4" s="39"/>
      <c r="D4" s="39"/>
      <c r="E4" s="39"/>
      <c r="F4" s="39"/>
      <c r="G4" s="39"/>
      <c r="H4" s="39"/>
      <c r="I4" s="39"/>
      <c r="J4" s="39"/>
    </row>
    <row r="5" spans="1:10" ht="85.35" customHeight="1" x14ac:dyDescent="0.2">
      <c r="A5" s="42" t="s">
        <v>4</v>
      </c>
      <c r="B5" s="42"/>
      <c r="C5" s="42"/>
      <c r="D5" s="42"/>
      <c r="E5" s="42"/>
      <c r="F5" s="42"/>
      <c r="G5" s="42"/>
      <c r="H5" s="42"/>
      <c r="I5" s="42"/>
      <c r="J5" s="42"/>
    </row>
    <row r="6" spans="1:10" ht="154.69999999999999" customHeight="1" x14ac:dyDescent="0.2">
      <c r="A6" s="37" t="s">
        <v>5</v>
      </c>
      <c r="B6" s="37"/>
      <c r="C6" s="37"/>
      <c r="D6" s="37"/>
      <c r="E6" s="37"/>
      <c r="F6" s="37"/>
      <c r="G6" s="37"/>
      <c r="H6" s="37"/>
      <c r="I6" s="37"/>
      <c r="J6" s="37"/>
    </row>
    <row r="7" spans="1:10" ht="44.85" customHeight="1" x14ac:dyDescent="0.2">
      <c r="A7" s="27" t="s">
        <v>44</v>
      </c>
      <c r="B7" s="2" t="s">
        <v>51</v>
      </c>
      <c r="C7" s="2" t="s">
        <v>46</v>
      </c>
      <c r="D7" s="2" t="s">
        <v>45</v>
      </c>
      <c r="E7" s="1" t="s">
        <v>6</v>
      </c>
      <c r="F7" s="3" t="s">
        <v>7</v>
      </c>
      <c r="G7" s="28" t="s">
        <v>9</v>
      </c>
      <c r="H7" s="4" t="s">
        <v>8</v>
      </c>
      <c r="I7" s="33" t="s">
        <v>47</v>
      </c>
    </row>
    <row r="8" spans="1:10" ht="48" customHeight="1" x14ac:dyDescent="0.2">
      <c r="A8" s="5">
        <v>1</v>
      </c>
      <c r="B8" s="21" t="s">
        <v>31</v>
      </c>
      <c r="C8" s="36" t="s">
        <v>50</v>
      </c>
      <c r="D8" s="21" t="s">
        <v>48</v>
      </c>
      <c r="E8" s="6" t="s">
        <v>10</v>
      </c>
      <c r="F8" s="7" t="s">
        <v>11</v>
      </c>
      <c r="G8" s="29">
        <v>100</v>
      </c>
      <c r="H8" s="8">
        <v>219</v>
      </c>
      <c r="I8" s="32">
        <f>+G8*H8</f>
        <v>21900</v>
      </c>
    </row>
    <row r="9" spans="1:10" ht="76.5" customHeight="1" x14ac:dyDescent="0.2">
      <c r="A9" s="5">
        <v>2</v>
      </c>
      <c r="B9" s="22" t="s">
        <v>32</v>
      </c>
      <c r="C9" s="36" t="s">
        <v>50</v>
      </c>
      <c r="D9" s="21" t="s">
        <v>48</v>
      </c>
      <c r="E9" s="6" t="s">
        <v>12</v>
      </c>
      <c r="F9" s="7" t="s">
        <v>11</v>
      </c>
      <c r="G9" s="29">
        <v>30</v>
      </c>
      <c r="H9" s="9">
        <v>2080</v>
      </c>
      <c r="I9" s="32">
        <f t="shared" ref="I9:I20" si="0">+G9*H9</f>
        <v>62400</v>
      </c>
    </row>
    <row r="10" spans="1:10" ht="78.75" x14ac:dyDescent="0.2">
      <c r="A10" s="5">
        <v>3</v>
      </c>
      <c r="B10" s="23" t="s">
        <v>33</v>
      </c>
      <c r="C10" s="36" t="s">
        <v>50</v>
      </c>
      <c r="D10" s="21" t="s">
        <v>49</v>
      </c>
      <c r="E10" s="6" t="s">
        <v>13</v>
      </c>
      <c r="F10" s="7" t="s">
        <v>14</v>
      </c>
      <c r="G10" s="29">
        <v>5</v>
      </c>
      <c r="H10" s="9">
        <v>10066.86</v>
      </c>
      <c r="I10" s="32">
        <f t="shared" si="0"/>
        <v>50334.3</v>
      </c>
    </row>
    <row r="11" spans="1:10" ht="26.25" customHeight="1" x14ac:dyDescent="0.2">
      <c r="A11" s="10">
        <v>4</v>
      </c>
      <c r="B11" s="24" t="s">
        <v>34</v>
      </c>
      <c r="C11" s="36" t="s">
        <v>50</v>
      </c>
      <c r="D11" s="34" t="s">
        <v>48</v>
      </c>
      <c r="E11" s="11" t="s">
        <v>30</v>
      </c>
      <c r="F11" s="12" t="s">
        <v>15</v>
      </c>
      <c r="G11" s="30">
        <v>60</v>
      </c>
      <c r="H11" s="13">
        <v>439</v>
      </c>
      <c r="I11" s="32">
        <f t="shared" si="0"/>
        <v>26340</v>
      </c>
    </row>
    <row r="12" spans="1:10" ht="84.75" customHeight="1" x14ac:dyDescent="0.2">
      <c r="A12" s="14">
        <v>5</v>
      </c>
      <c r="B12" s="22" t="s">
        <v>35</v>
      </c>
      <c r="C12" s="36" t="s">
        <v>50</v>
      </c>
      <c r="D12" s="21" t="s">
        <v>48</v>
      </c>
      <c r="E12" s="6" t="s">
        <v>16</v>
      </c>
      <c r="F12" s="7" t="s">
        <v>15</v>
      </c>
      <c r="G12" s="29">
        <v>150</v>
      </c>
      <c r="H12" s="8">
        <v>750</v>
      </c>
      <c r="I12" s="32">
        <f t="shared" si="0"/>
        <v>112500</v>
      </c>
    </row>
    <row r="13" spans="1:10" ht="71.25" customHeight="1" x14ac:dyDescent="0.2">
      <c r="A13" s="14">
        <v>6</v>
      </c>
      <c r="B13" s="23" t="s">
        <v>36</v>
      </c>
      <c r="C13" s="36" t="s">
        <v>50</v>
      </c>
      <c r="D13" s="21" t="s">
        <v>48</v>
      </c>
      <c r="E13" s="6" t="s">
        <v>17</v>
      </c>
      <c r="F13" s="7" t="s">
        <v>14</v>
      </c>
      <c r="G13" s="29">
        <v>20</v>
      </c>
      <c r="H13" s="9">
        <v>5725</v>
      </c>
      <c r="I13" s="32">
        <f t="shared" si="0"/>
        <v>114500</v>
      </c>
    </row>
    <row r="14" spans="1:10" ht="84.75" customHeight="1" x14ac:dyDescent="0.2">
      <c r="A14" s="14">
        <v>7</v>
      </c>
      <c r="B14" s="23" t="s">
        <v>37</v>
      </c>
      <c r="C14" s="36" t="s">
        <v>50</v>
      </c>
      <c r="D14" s="21" t="s">
        <v>49</v>
      </c>
      <c r="E14" s="6" t="s">
        <v>18</v>
      </c>
      <c r="F14" s="7" t="s">
        <v>14</v>
      </c>
      <c r="G14" s="29">
        <v>45</v>
      </c>
      <c r="H14" s="9">
        <v>8470</v>
      </c>
      <c r="I14" s="32">
        <f t="shared" si="0"/>
        <v>381150</v>
      </c>
    </row>
    <row r="15" spans="1:10" ht="44.25" customHeight="1" x14ac:dyDescent="0.2">
      <c r="A15" s="14">
        <v>8</v>
      </c>
      <c r="B15" s="25" t="s">
        <v>38</v>
      </c>
      <c r="C15" s="36" t="s">
        <v>50</v>
      </c>
      <c r="D15" s="21" t="s">
        <v>48</v>
      </c>
      <c r="E15" s="6" t="s">
        <v>19</v>
      </c>
      <c r="F15" s="7" t="s">
        <v>11</v>
      </c>
      <c r="G15" s="29">
        <v>35</v>
      </c>
      <c r="H15" s="8">
        <v>942</v>
      </c>
      <c r="I15" s="32">
        <f t="shared" si="0"/>
        <v>32970</v>
      </c>
    </row>
    <row r="16" spans="1:10" ht="71.25" customHeight="1" x14ac:dyDescent="0.2">
      <c r="A16" s="14">
        <v>9</v>
      </c>
      <c r="B16" s="22" t="s">
        <v>39</v>
      </c>
      <c r="C16" s="36" t="s">
        <v>50</v>
      </c>
      <c r="D16" s="21" t="s">
        <v>48</v>
      </c>
      <c r="E16" s="6" t="s">
        <v>20</v>
      </c>
      <c r="F16" s="7" t="s">
        <v>14</v>
      </c>
      <c r="G16" s="29">
        <v>15</v>
      </c>
      <c r="H16" s="9">
        <v>1725</v>
      </c>
      <c r="I16" s="32">
        <f t="shared" si="0"/>
        <v>25875</v>
      </c>
    </row>
    <row r="17" spans="1:10" ht="71.25" customHeight="1" x14ac:dyDescent="0.2">
      <c r="A17" s="15">
        <v>10</v>
      </c>
      <c r="B17" s="23" t="s">
        <v>40</v>
      </c>
      <c r="C17" s="36" t="s">
        <v>50</v>
      </c>
      <c r="D17" s="21" t="s">
        <v>48</v>
      </c>
      <c r="E17" s="6" t="s">
        <v>21</v>
      </c>
      <c r="F17" s="7" t="s">
        <v>14</v>
      </c>
      <c r="G17" s="29">
        <v>90</v>
      </c>
      <c r="H17" s="9">
        <v>4045</v>
      </c>
      <c r="I17" s="32">
        <f t="shared" si="0"/>
        <v>364050</v>
      </c>
    </row>
    <row r="18" spans="1:10" ht="84.75" customHeight="1" x14ac:dyDescent="0.2">
      <c r="A18" s="15">
        <v>11</v>
      </c>
      <c r="B18" s="22" t="s">
        <v>41</v>
      </c>
      <c r="C18" s="36" t="s">
        <v>50</v>
      </c>
      <c r="D18" s="21" t="s">
        <v>48</v>
      </c>
      <c r="E18" s="6" t="s">
        <v>22</v>
      </c>
      <c r="F18" s="7" t="s">
        <v>14</v>
      </c>
      <c r="G18" s="29">
        <v>10</v>
      </c>
      <c r="H18" s="8">
        <v>625</v>
      </c>
      <c r="I18" s="32">
        <f t="shared" si="0"/>
        <v>6250</v>
      </c>
    </row>
    <row r="19" spans="1:10" ht="84.75" customHeight="1" x14ac:dyDescent="0.2">
      <c r="A19" s="15">
        <v>12</v>
      </c>
      <c r="B19" s="22" t="s">
        <v>42</v>
      </c>
      <c r="C19" s="36" t="s">
        <v>50</v>
      </c>
      <c r="D19" s="21" t="s">
        <v>48</v>
      </c>
      <c r="E19" s="6" t="s">
        <v>23</v>
      </c>
      <c r="F19" s="16" t="s">
        <v>24</v>
      </c>
      <c r="G19" s="29">
        <v>30</v>
      </c>
      <c r="H19" s="9">
        <v>1573</v>
      </c>
      <c r="I19" s="32">
        <f t="shared" si="0"/>
        <v>47190</v>
      </c>
    </row>
    <row r="20" spans="1:10" ht="64.349999999999994" customHeight="1" x14ac:dyDescent="0.2">
      <c r="A20" s="17">
        <v>13</v>
      </c>
      <c r="B20" s="26" t="s">
        <v>43</v>
      </c>
      <c r="C20" s="36" t="s">
        <v>50</v>
      </c>
      <c r="D20" s="35" t="s">
        <v>49</v>
      </c>
      <c r="E20" s="20" t="s">
        <v>29</v>
      </c>
      <c r="F20" s="18" t="s">
        <v>25</v>
      </c>
      <c r="G20" s="31">
        <v>150</v>
      </c>
      <c r="H20" s="19">
        <v>278.3</v>
      </c>
      <c r="I20" s="32">
        <f t="shared" si="0"/>
        <v>41745</v>
      </c>
    </row>
    <row r="21" spans="1:10" ht="21.75" customHeight="1" x14ac:dyDescent="0.2">
      <c r="A21" s="38" t="s">
        <v>26</v>
      </c>
      <c r="B21" s="37"/>
      <c r="C21" s="37"/>
      <c r="D21" s="37"/>
      <c r="E21" s="37"/>
      <c r="F21" s="37"/>
      <c r="G21" s="37"/>
      <c r="H21" s="37"/>
      <c r="I21" s="37"/>
      <c r="J21" s="37"/>
    </row>
    <row r="22" spans="1:10" ht="85.7" customHeight="1" x14ac:dyDescent="0.2">
      <c r="A22" s="37" t="s">
        <v>27</v>
      </c>
      <c r="B22" s="37"/>
      <c r="C22" s="37"/>
      <c r="D22" s="37"/>
      <c r="E22" s="37"/>
      <c r="F22" s="37"/>
      <c r="G22" s="37"/>
      <c r="H22" s="37"/>
      <c r="I22" s="37"/>
      <c r="J22" s="37"/>
    </row>
    <row r="23" spans="1:10" ht="29.45" customHeight="1" x14ac:dyDescent="0.2">
      <c r="A23" s="39" t="s">
        <v>28</v>
      </c>
      <c r="B23" s="39"/>
      <c r="C23" s="39"/>
      <c r="D23" s="39"/>
      <c r="E23" s="39"/>
      <c r="F23" s="39"/>
      <c r="G23" s="39"/>
      <c r="H23" s="39"/>
      <c r="I23" s="39"/>
      <c r="J23" s="39"/>
    </row>
  </sheetData>
  <mergeCells count="9">
    <mergeCell ref="A6:J6"/>
    <mergeCell ref="A21:J21"/>
    <mergeCell ref="A22:J22"/>
    <mergeCell ref="A23:J23"/>
    <mergeCell ref="A1:J1"/>
    <mergeCell ref="A2:J2"/>
    <mergeCell ref="A3:J3"/>
    <mergeCell ref="A4:J4"/>
    <mergeCell ref="A5:J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D:\livecycle\tmp\pdfg-IOPGDEMSLCT01_\20\a0d3-7f3dc1-79e6b6-a73f5d-525905-cad51e\File.html</dc:title>
  <dc:creator>VIRGINIA GRIMA</dc:creator>
  <cp:lastModifiedBy>VIRGINIA GRIMA</cp:lastModifiedBy>
  <dcterms:created xsi:type="dcterms:W3CDTF">2022-10-24T11:34:35Z</dcterms:created>
  <dcterms:modified xsi:type="dcterms:W3CDTF">2022-10-24T11:52:47Z</dcterms:modified>
</cp:coreProperties>
</file>