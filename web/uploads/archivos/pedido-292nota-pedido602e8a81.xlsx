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terapia respiratoria\MP\corregido\"/>
    </mc:Choice>
  </mc:AlternateContent>
  <xr:revisionPtr revIDLastSave="0" documentId="13_ncr:1_{DCD82F32-6839-4D69-882A-25D6AAAD262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Trimestrales'!$A$9:$I$9</definedName>
    <definedName name="_xlnm.Print_Area" localSheetId="1">' NotaPedido'!$A$1:$K$30</definedName>
    <definedName name="_xlnm.Print_Area" localSheetId="2">'Autor Gastar'!$A$1:$Q$27</definedName>
    <definedName name="_xlnm.Print_Area" localSheetId="0">'Necesidades Trimestrales'!$E$9:$E$27</definedName>
  </definedNames>
  <calcPr calcId="181029"/>
</workbook>
</file>

<file path=xl/calcChain.xml><?xml version="1.0" encoding="utf-8"?>
<calcChain xmlns="http://schemas.openxmlformats.org/spreadsheetml/2006/main">
  <c r="J30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12" i="2"/>
  <c r="C12" i="2" l="1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I27" i="1" l="1"/>
  <c r="I26" i="1"/>
  <c r="I25" i="1"/>
  <c r="I24" i="1"/>
  <c r="I23" i="1"/>
  <c r="I10" i="1" l="1"/>
  <c r="I11" i="1"/>
  <c r="I12" i="1"/>
  <c r="I13" i="1"/>
  <c r="I14" i="1"/>
  <c r="I15" i="1"/>
  <c r="I16" i="1"/>
  <c r="I17" i="1"/>
  <c r="I18" i="1"/>
  <c r="I19" i="1"/>
  <c r="I20" i="1"/>
  <c r="I21" i="1"/>
  <c r="I22" i="1"/>
  <c r="Q23" i="3" l="1"/>
  <c r="A10" i="3" l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<sst xmlns="http://schemas.openxmlformats.org/spreadsheetml/2006/main" count="145" uniqueCount="90">
  <si>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</si>
  <si>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</si>
  <si>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</si>
  <si>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</si>
  <si>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</si>
  <si>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</si>
  <si>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</si>
  <si>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</si>
  <si>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</si>
  <si>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</si>
  <si>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</si>
  <si>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</si>
  <si>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</si>
  <si>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</si>
  <si>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</si>
  <si>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</si>
  <si>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</si>
  <si>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</si>
  <si>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</si>
  <si>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</si>
  <si>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</si>
  <si>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</si>
  <si>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</si>
  <si>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</si>
  <si>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</si>
  <si>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</si>
  <si>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</si>
  <si>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</si>
  <si>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</si>
  <si>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</si>
  <si>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</si>
  <si>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</si>
  <si>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</si>
  <si>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</si>
  <si>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</si>
  <si>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</si>
  <si>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</si>
  <si>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</si>
  <si>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</si>
  <si>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</si>
  <si>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</si>
  <si>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</si>
  <si>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</si>
  <si>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</si>
  <si>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</si>
  <si>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</si>
  <si>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</si>
  <si>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</si>
  <si>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</si>
  <si>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</si>
  <si>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</si>
  <si>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</si>
  <si>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</si>
  <si>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</si>
  <si>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>CANULA NASAL PARA OXIGENOTERAPIA NEONATAL</t>
  </si>
  <si>
    <t>CANULA NASAL PARA OXIGENOTERAPIA PEDIATRICO</t>
  </si>
  <si>
    <t>CIRCUITO RESPIRADOR CON TRAMPA DE AGUA AUTOCLAVABLE NEONATAL</t>
  </si>
  <si>
    <t>HALO  CEFALICO tipo &lt;MEDIX&gt; con tapa -  MEDIANO : 200 mm de diametro x 180 mm de altura</t>
  </si>
  <si>
    <t>HALO  CEFALICO tipo &lt;MEDIX&gt; con tapa  GRANDE: 230 mm de diametro x 200 mm de altura</t>
  </si>
  <si>
    <t>RESUCITADOR MANUAL ADULTO REUTILIZABLE</t>
  </si>
  <si>
    <t>RESUCITADOR MANUAL NEONATAL  REUTILIZABLE</t>
  </si>
  <si>
    <t>SISTEMA CPAP CANULA NASAL TIPO SILMAG  -  COD  233-00</t>
  </si>
  <si>
    <t>SISTEMA CPAP CANULA NASAL TIPO SILMAG  -  COD  233-01</t>
  </si>
  <si>
    <t>SISTEMA CPAP CANULA NASAL TIPO SILMAG  -  COD  233-02</t>
  </si>
  <si>
    <t xml:space="preserve">TUBO CONECTOR EN  T </t>
  </si>
  <si>
    <t>UNIDAD</t>
  </si>
  <si>
    <t>FRASCO RECOLECTOR DE ASPIRACIONES QUIRURGICAS X 2 LITRO ( CANISTER )</t>
  </si>
  <si>
    <t>CIRCUITO RESPIRATORIO PARA LACTANTES DE DOBLE RAMA SIN CAMARA CON COLECTOR DE AGUA ESPIRATORIA Y LINEA DE PRESION ( CAUDAL MAYOR 4 L/ MIN ) TIPO RT 125 FISCHER PAYKEL</t>
  </si>
  <si>
    <t>OXIMETRO DE PULSO PORTATIL</t>
  </si>
  <si>
    <t>SEMESTRAL</t>
  </si>
  <si>
    <t>ADQUISICION DE INSUMOS PARA TERAPIA RESPIRATORIA</t>
  </si>
  <si>
    <t>28- Maternidad Provincial 25 de Mayo</t>
  </si>
  <si>
    <t xml:space="preserve">169-Direccion Asistencial </t>
  </si>
  <si>
    <t>Servicio de Farmacia</t>
  </si>
  <si>
    <t>59/2022</t>
  </si>
  <si>
    <r>
      <rPr>
        <u/>
        <sz val="11"/>
        <rFont val="Times New Roman"/>
        <family val="1"/>
      </rPr>
      <t>Calidad Minima</t>
    </r>
    <r>
      <rPr>
        <sz val="11"/>
        <rFont val="Times New Roman"/>
        <family val="1"/>
      </rPr>
      <t xml:space="preserve"> </t>
    </r>
    <r>
      <rPr>
        <u/>
        <sz val="11"/>
        <rFont val="Times New Roman"/>
        <family val="1"/>
      </rPr>
      <t>esperada</t>
    </r>
    <r>
      <rPr>
        <sz val="11"/>
        <rFont val="Times New Roman"/>
        <family val="1"/>
      </rPr>
      <t>: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</si>
  <si>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 xml:space="preserve">:                                   </t>
    </r>
    <r>
      <rPr>
        <b/>
        <sz val="10"/>
        <rFont val="Times New Roman"/>
        <family val="1"/>
      </rPr>
      <t xml:space="preserve"> ITEM 18</t>
    </r>
    <r>
      <rPr>
        <sz val="10"/>
        <rFont val="Times New Roman"/>
        <family val="1"/>
      </rPr>
      <t>- CONECTOR EN T 22F, 22/18mm, 22M</t>
    </r>
  </si>
  <si>
    <r>
      <rPr>
        <u/>
        <sz val="10"/>
        <rFont val="Times New Roman"/>
        <family val="1"/>
      </rPr>
      <t>Lugar de Entrega:</t>
    </r>
    <r>
      <rPr>
        <sz val="10"/>
        <rFont val="Times New Roman"/>
        <family val="1"/>
      </rPr>
      <t xml:space="preserve">                                 SERVICIO DE FARMACIA DE 08:00 A 13:00HS., DEBIENDO CORRER LOS GASTOS DE FLETES, ACARREO, CARGA, DESCARGA Y SEGURO A CARGO DEL ADJUDICATARIO.</t>
    </r>
  </si>
  <si>
    <r>
      <t>Mantenimiento</t>
    </r>
    <r>
      <rPr>
        <sz val="10"/>
        <rFont val="Times New Roman"/>
        <family val="1"/>
      </rPr>
      <t>:                                 45 (CUARENTA Y CINCO) DIAS HABILES</t>
    </r>
  </si>
  <si>
    <t>TERAPIA RESPIRATORIA</t>
  </si>
  <si>
    <t>SI</t>
  </si>
  <si>
    <t>UTILES MENORES, MEDICOS, QUIRURGICOS Y DE LABORATORIO</t>
  </si>
  <si>
    <t xml:space="preserve">Para la adquisición de INSUMOS PARA TERAPIA RESPIRATORIA destinados al Servico de Farmacia de la Maternidad Provincial 25 de Mayo. </t>
  </si>
  <si>
    <t xml:space="preserve">Costo total estimado: DOS MILLONES OCHENTA Y CUATRO MIL QUINIENTOS CINCUENTA CON 00/100. </t>
  </si>
  <si>
    <t>TOTAL DE PESOS: DOS MILLONES OCHENTA Y CUATRO MIL QUINIENTOS CINCUENTA CON 00/100.</t>
  </si>
  <si>
    <t>SISTEMA CPAP BURBUJAS -PARA LACTANTES, INCLUYE CIRCUITO RESPIRATORIO INSPIRATORIO CALENTADO CON CAMARA DE AUTOLLENADO, TUBULADURA DE PRESION &amp; GENERADOR DE CPAP DE BURBUJAS( SE CONECTA A LA INTERFAZ DE LA BARRA EN T) PTE. DE 1000 G. TIPO FISHER &amp; PAYKEL BC 151</t>
  </si>
  <si>
    <t>SISTEMA CPAP BURBUJAS -PARA LACTANTES, INCLUYE CIRCUITO RESPIRATORIO INSPIRATORIO CALENTADO CON CAMARA DE AUTOLLENADO, TUBULADURA DE PRESION &amp; GENERADOR DE CPAP DE BURBUJAS( SE CONECTA A LA INTERFAZ DE LA BARRA EN T) PTE. DE 1000  A 1500 G.. TIPO FISHER &amp; PAYKEL BC 153</t>
  </si>
  <si>
    <t>SISTEMA CPAP BURBUJAS -PARA LACTANTES, INCLUYE CIRCUITO RESPIRATORIO INSPIRATORIO CALENTADO CON CAMARA DE AUTOLLENADO, TUBULADURA DE PRESION &amp; GENERADOR DE CPAP DE BURBUJAS( SE CONECTA A LA INTERFAZ DE LA BARRA EN T) PTE. DE 1500  A 2000 G.. TIPO FISHER &amp; PAYKEL BC 161</t>
  </si>
  <si>
    <t>SISTEMA CPAP BURBUJAS -PARA LACTANTES, INCLUYE CIRCUITO RESPIRATORIO INSPIRATORIO CALENTADO CON CAMARA DE AUTOLLENADO, TUBULADURA DE PRESION &amp; GENERADOR DE CPAP DE BURBUJAS( SE CONECTA A LA INTERFAZ DE LA BARRA EN T) PTE. DE 2000  A 3000 G.. TIPO FISHER &amp; PAYKEL BC 163</t>
  </si>
  <si>
    <r>
      <rPr>
        <u/>
        <sz val="10"/>
        <rFont val="Times New Roman"/>
        <family val="1"/>
      </rPr>
      <t>Plazo de entrega</t>
    </r>
    <r>
      <rPr>
        <sz val="10"/>
        <rFont val="Times New Roman"/>
        <family val="1"/>
      </rPr>
      <t>:                                  10 (DIEZ) DIAS HABILES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</si>
</sst>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-[$$-2C0A]\ * #,##0.00_-;\-[$$-2C0A]\ * #,##0.00_-;_-[$$-2C0A]\ * &quot;-&quot;??_-;_-@_-"/>
  </numFmts>
  <fonts count="30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u/>
      <sz val="11"/>
      <name val="Times New Roman"/>
      <family val="1"/>
    </font>
    <font>
      <sz val="10"/>
      <color theme="1"/>
      <name val="Arial"/>
      <family val="2"/>
    </font>
    <font>
      <b/>
      <sz val="10"/>
      <name val="Times New Roman"/>
      <family val="1"/>
    </font>
    <font>
      <sz val="11"/>
      <name val="Times New Roman"/>
      <family val="1"/>
      <charset val="1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2D69B"/>
      </patternFill>
    </fill>
  </fills>
  <borders count="5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</borders>
  <cellStyleXfs count="8">
    <xf numFmtId="0" fontId="0" fillId="0" borderId="0"/>
    <xf numFmtId="166" fontId="1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14" fillId="0" borderId="0"/>
    <xf numFmtId="0" fontId="14" fillId="0" borderId="0"/>
    <xf numFmtId="0" fontId="14" fillId="0" borderId="0"/>
  </cellStyleXfs>
  <cellXfs count="149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2" fillId="0" borderId="0" xfId="0" applyFont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7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7" fontId="0" fillId="0" borderId="44" xfId="3" applyNumberFormat="1" applyFont="1" applyBorder="1" applyAlignment="1" applyProtection="1">
      <alignment horizontal="center" vertical="center"/>
    </xf>
    <xf numFmtId="0" fontId="5" fillId="3" borderId="11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3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1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 wrapText="1"/>
    </xf>
    <xf numFmtId="167" fontId="4" fillId="3" borderId="51" xfId="1" applyNumberFormat="1" applyFont="1" applyFill="1" applyBorder="1" applyAlignment="1" applyProtection="1">
      <alignment horizontal="right" vertical="center" wrapText="1"/>
    </xf>
    <xf numFmtId="3" fontId="4" fillId="3" borderId="51" xfId="0" applyNumberFormat="1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left" vertical="center"/>
    </xf>
    <xf numFmtId="0" fontId="4" fillId="4" borderId="20" xfId="0" applyFont="1" applyFill="1" applyBorder="1" applyAlignment="1">
      <alignment horizontal="center" vertical="center"/>
    </xf>
    <xf numFmtId="0" fontId="21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 vertical="center"/>
    </xf>
    <xf numFmtId="0" fontId="15" fillId="3" borderId="0" xfId="0" applyFont="1" applyFill="1"/>
    <xf numFmtId="0" fontId="18" fillId="3" borderId="0" xfId="0" applyFont="1" applyFill="1" applyAlignment="1">
      <alignment horizontal="left" wrapText="1"/>
    </xf>
    <xf numFmtId="0" fontId="18" fillId="3" borderId="0" xfId="0" applyFont="1" applyFill="1" applyAlignment="1">
      <alignment horizontal="center" wrapText="1"/>
    </xf>
    <xf numFmtId="0" fontId="15" fillId="3" borderId="4" xfId="0" applyFont="1" applyFill="1" applyBorder="1"/>
    <xf numFmtId="0" fontId="15" fillId="3" borderId="5" xfId="0" applyFont="1" applyFill="1" applyBorder="1"/>
    <xf numFmtId="0" fontId="20" fillId="3" borderId="8" xfId="0" applyFont="1" applyFill="1" applyBorder="1" applyAlignment="1"/>
    <xf numFmtId="0" fontId="22" fillId="3" borderId="2" xfId="0" applyFont="1" applyFill="1" applyBorder="1" applyAlignment="1">
      <alignment horizontal="center" vertical="center" wrapText="1"/>
    </xf>
    <xf numFmtId="0" fontId="22" fillId="3" borderId="52" xfId="0" applyFont="1" applyFill="1" applyBorder="1" applyAlignment="1">
      <alignment horizontal="center" vertical="center" wrapText="1"/>
    </xf>
    <xf numFmtId="0" fontId="22" fillId="3" borderId="53" xfId="0" applyFont="1" applyFill="1" applyBorder="1" applyAlignment="1">
      <alignment horizontal="center" vertical="center" wrapText="1"/>
    </xf>
    <xf numFmtId="0" fontId="22" fillId="3" borderId="49" xfId="0" applyFont="1" applyFill="1" applyBorder="1" applyAlignment="1">
      <alignment horizontal="center" vertical="center" wrapText="1"/>
    </xf>
    <xf numFmtId="0" fontId="14" fillId="3" borderId="50" xfId="0" applyFont="1" applyFill="1" applyBorder="1" applyAlignment="1">
      <alignment horizontal="center" vertical="center"/>
    </xf>
    <xf numFmtId="164" fontId="15" fillId="3" borderId="0" xfId="0" applyNumberFormat="1" applyFont="1" applyFill="1"/>
    <xf numFmtId="164" fontId="22" fillId="3" borderId="2" xfId="0" applyNumberFormat="1" applyFont="1" applyFill="1" applyBorder="1" applyAlignment="1">
      <alignment horizontal="center" vertical="center" wrapText="1"/>
    </xf>
    <xf numFmtId="0" fontId="24" fillId="0" borderId="6" xfId="7" applyFont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wrapText="1"/>
    </xf>
    <xf numFmtId="0" fontId="15" fillId="3" borderId="7" xfId="0" applyFont="1" applyFill="1" applyBorder="1" applyAlignment="1">
      <alignment horizontal="center" wrapText="1"/>
    </xf>
    <xf numFmtId="0" fontId="15" fillId="3" borderId="9" xfId="0" applyFont="1" applyFill="1" applyBorder="1"/>
    <xf numFmtId="0" fontId="15" fillId="3" borderId="10" xfId="0" applyFont="1" applyFill="1" applyBorder="1"/>
    <xf numFmtId="0" fontId="15" fillId="3" borderId="4" xfId="0" applyFont="1" applyFill="1" applyBorder="1" applyAlignment="1"/>
    <xf numFmtId="0" fontId="15" fillId="3" borderId="3" xfId="0" applyFont="1" applyFill="1" applyBorder="1" applyAlignment="1"/>
    <xf numFmtId="164" fontId="14" fillId="4" borderId="50" xfId="1" applyNumberFormat="1" applyFont="1" applyFill="1" applyBorder="1" applyAlignment="1" applyProtection="1">
      <alignment horizontal="right" vertical="center" wrapText="1"/>
    </xf>
    <xf numFmtId="0" fontId="14" fillId="3" borderId="50" xfId="0" applyFont="1" applyFill="1" applyBorder="1" applyAlignment="1">
      <alignment horizontal="center" vertical="center" wrapText="1"/>
    </xf>
    <xf numFmtId="0" fontId="0" fillId="3" borderId="37" xfId="0" applyFont="1" applyFill="1" applyBorder="1" applyAlignment="1">
      <alignment horizontal="center" vertical="center"/>
    </xf>
    <xf numFmtId="0" fontId="15" fillId="3" borderId="6" xfId="6" applyFont="1" applyFill="1" applyBorder="1" applyAlignment="1">
      <alignment horizontal="left" wrapText="1"/>
    </xf>
    <xf numFmtId="0" fontId="15" fillId="3" borderId="0" xfId="6" applyFont="1" applyFill="1" applyBorder="1" applyAlignment="1">
      <alignment horizontal="left" wrapText="1"/>
    </xf>
    <xf numFmtId="0" fontId="15" fillId="3" borderId="7" xfId="6" applyFont="1" applyFill="1" applyBorder="1" applyAlignment="1">
      <alignment horizontal="left" wrapText="1"/>
    </xf>
    <xf numFmtId="0" fontId="15" fillId="3" borderId="6" xfId="6" applyFont="1" applyFill="1" applyBorder="1" applyAlignment="1">
      <alignment horizontal="left" wrapText="1"/>
    </xf>
    <xf numFmtId="0" fontId="15" fillId="3" borderId="0" xfId="6" applyFont="1" applyFill="1" applyBorder="1" applyAlignment="1">
      <alignment horizontal="left" wrapText="1"/>
    </xf>
    <xf numFmtId="0" fontId="15" fillId="3" borderId="7" xfId="6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center" vertical="center"/>
    </xf>
    <xf numFmtId="0" fontId="15" fillId="3" borderId="6" xfId="0" applyFont="1" applyFill="1" applyBorder="1" applyAlignment="1"/>
    <xf numFmtId="0" fontId="15" fillId="3" borderId="0" xfId="0" applyFont="1" applyFill="1" applyBorder="1" applyAlignment="1"/>
    <xf numFmtId="0" fontId="15" fillId="3" borderId="0" xfId="0" applyFont="1" applyFill="1" applyBorder="1"/>
    <xf numFmtId="0" fontId="15" fillId="3" borderId="7" xfId="0" applyFont="1" applyFill="1" applyBorder="1"/>
    <xf numFmtId="0" fontId="0" fillId="3" borderId="0" xfId="0" applyFill="1" applyBorder="1"/>
    <xf numFmtId="0" fontId="0" fillId="3" borderId="11" xfId="0" applyFill="1" applyBorder="1"/>
    <xf numFmtId="0" fontId="0" fillId="4" borderId="32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167" fontId="0" fillId="3" borderId="35" xfId="3" applyNumberFormat="1" applyFont="1" applyFill="1" applyBorder="1" applyAlignment="1" applyProtection="1">
      <alignment horizontal="center" vertical="center"/>
    </xf>
    <xf numFmtId="167" fontId="13" fillId="3" borderId="45" xfId="0" applyNumberFormat="1" applyFont="1" applyFill="1" applyBorder="1" applyAlignment="1">
      <alignment horizontal="center" vertical="center"/>
    </xf>
    <xf numFmtId="170" fontId="14" fillId="0" borderId="0" xfId="1" applyNumberFormat="1" applyFill="1"/>
    <xf numFmtId="0" fontId="15" fillId="0" borderId="0" xfId="0" applyFont="1" applyFill="1"/>
    <xf numFmtId="0" fontId="23" fillId="0" borderId="50" xfId="0" applyFont="1" applyFill="1" applyBorder="1" applyAlignment="1">
      <alignment horizontal="center" vertical="center" wrapText="1"/>
    </xf>
    <xf numFmtId="0" fontId="26" fillId="0" borderId="55" xfId="0" applyFont="1" applyFill="1" applyBorder="1" applyAlignment="1">
      <alignment vertical="center"/>
    </xf>
    <xf numFmtId="0" fontId="14" fillId="0" borderId="50" xfId="0" applyFont="1" applyFill="1" applyBorder="1" applyAlignment="1">
      <alignment horizontal="center" vertical="center"/>
    </xf>
    <xf numFmtId="3" fontId="14" fillId="0" borderId="50" xfId="0" applyNumberFormat="1" applyFont="1" applyFill="1" applyBorder="1" applyAlignment="1">
      <alignment horizontal="center" vertical="center"/>
    </xf>
    <xf numFmtId="44" fontId="14" fillId="0" borderId="50" xfId="1" applyNumberFormat="1" applyFont="1" applyFill="1" applyBorder="1" applyAlignment="1">
      <alignment horizontal="center"/>
    </xf>
    <xf numFmtId="0" fontId="26" fillId="0" borderId="55" xfId="0" applyFont="1" applyFill="1" applyBorder="1" applyAlignment="1">
      <alignment vertical="center" wrapText="1"/>
    </xf>
    <xf numFmtId="44" fontId="14" fillId="0" borderId="50" xfId="1" applyNumberFormat="1" applyFont="1" applyFill="1" applyBorder="1" applyAlignment="1">
      <alignment horizontal="center" vertical="center"/>
    </xf>
    <xf numFmtId="0" fontId="26" fillId="0" borderId="54" xfId="0" applyFont="1" applyFill="1" applyBorder="1" applyAlignment="1">
      <alignment vertical="center"/>
    </xf>
    <xf numFmtId="0" fontId="26" fillId="0" borderId="54" xfId="0" applyFont="1" applyFill="1" applyBorder="1" applyAlignment="1">
      <alignment vertical="center" wrapText="1"/>
    </xf>
    <xf numFmtId="0" fontId="0" fillId="0" borderId="54" xfId="0" applyFont="1" applyFill="1" applyBorder="1" applyAlignment="1">
      <alignment vertical="center" wrapText="1"/>
    </xf>
    <xf numFmtId="0" fontId="26" fillId="0" borderId="56" xfId="0" applyFont="1" applyFill="1" applyBorder="1" applyAlignment="1">
      <alignment vertical="center"/>
    </xf>
    <xf numFmtId="0" fontId="26" fillId="5" borderId="54" xfId="0" applyFont="1" applyFill="1" applyBorder="1" applyAlignment="1">
      <alignment vertical="center" wrapText="1"/>
    </xf>
    <xf numFmtId="0" fontId="15" fillId="3" borderId="6" xfId="6" applyFont="1" applyFill="1" applyBorder="1" applyAlignment="1">
      <alignment horizontal="left" wrapText="1"/>
    </xf>
    <xf numFmtId="0" fontId="15" fillId="3" borderId="0" xfId="6" applyFont="1" applyFill="1" applyBorder="1" applyAlignment="1">
      <alignment horizontal="left" wrapText="1"/>
    </xf>
    <xf numFmtId="0" fontId="15" fillId="3" borderId="7" xfId="6" applyFont="1" applyFill="1" applyBorder="1" applyAlignment="1">
      <alignment horizontal="left" wrapText="1"/>
    </xf>
    <xf numFmtId="0" fontId="16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left" vertical="center" wrapText="1"/>
    </xf>
    <xf numFmtId="0" fontId="21" fillId="4" borderId="0" xfId="0" applyFont="1" applyFill="1" applyBorder="1" applyAlignment="1">
      <alignment horizontal="left" wrapText="1" indent="1"/>
    </xf>
    <xf numFmtId="0" fontId="28" fillId="3" borderId="51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 indent="1"/>
    </xf>
    <xf numFmtId="0" fontId="6" fillId="3" borderId="57" xfId="0" applyFont="1" applyFill="1" applyBorder="1" applyAlignment="1">
      <alignment horizontal="left" vertical="center" wrapText="1" indent="1"/>
    </xf>
    <xf numFmtId="0" fontId="6" fillId="3" borderId="22" xfId="0" applyFont="1" applyFill="1" applyBorder="1" applyAlignment="1">
      <alignment horizontal="left" vertical="center" wrapText="1" indent="1"/>
    </xf>
    <xf numFmtId="168" fontId="7" fillId="3" borderId="21" xfId="0" applyNumberFormat="1" applyFont="1" applyFill="1" applyBorder="1" applyAlignment="1">
      <alignment horizontal="center" vertical="center"/>
    </xf>
    <xf numFmtId="168" fontId="7" fillId="3" borderId="22" xfId="0" applyNumberFormat="1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 indent="1"/>
    </xf>
    <xf numFmtId="0" fontId="7" fillId="3" borderId="16" xfId="0" applyFont="1" applyFill="1" applyBorder="1" applyAlignment="1">
      <alignment horizontal="left" vertical="center" wrapText="1"/>
    </xf>
    <xf numFmtId="0" fontId="9" fillId="3" borderId="21" xfId="0" applyFont="1" applyFill="1" applyBorder="1" applyAlignment="1">
      <alignment vertical="center" wrapText="1"/>
    </xf>
    <xf numFmtId="0" fontId="9" fillId="3" borderId="46" xfId="0" applyFont="1" applyFill="1" applyBorder="1" applyAlignment="1">
      <alignment vertical="center" wrapText="1"/>
    </xf>
    <xf numFmtId="0" fontId="9" fillId="3" borderId="18" xfId="0" applyFont="1" applyFill="1" applyBorder="1" applyAlignment="1">
      <alignment vertical="center" wrapText="1"/>
    </xf>
    <xf numFmtId="0" fontId="11" fillId="3" borderId="28" xfId="0" applyFont="1" applyFill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3" borderId="45" xfId="0" applyFont="1" applyFill="1" applyBorder="1" applyAlignment="1">
      <alignment horizontal="left" vertical="center" wrapText="1"/>
    </xf>
    <xf numFmtId="0" fontId="0" fillId="3" borderId="23" xfId="0" applyFill="1" applyBorder="1"/>
    <xf numFmtId="0" fontId="29" fillId="3" borderId="34" xfId="0" applyFont="1" applyFill="1" applyBorder="1" applyAlignment="1">
      <alignment horizontal="center" vertical="center" wrapText="1"/>
    </xf>
    <xf numFmtId="0" fontId="29" fillId="3" borderId="58" xfId="0" applyFont="1" applyFill="1" applyBorder="1" applyAlignment="1">
      <alignment horizontal="center" vertical="center" wrapText="1"/>
    </xf>
    <xf numFmtId="0" fontId="11" fillId="3" borderId="24" xfId="0" applyFont="1" applyFill="1" applyBorder="1"/>
    <xf numFmtId="0" fontId="11" fillId="3" borderId="25" xfId="0" applyFont="1" applyFill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 wrapText="1"/>
    </xf>
    <xf numFmtId="0" fontId="4" fillId="3" borderId="47" xfId="0" applyFont="1" applyFill="1" applyBorder="1" applyAlignment="1">
      <alignment horizontal="left" vertical="center" wrapText="1"/>
    </xf>
    <xf numFmtId="0" fontId="4" fillId="3" borderId="48" xfId="0" applyFont="1" applyFill="1" applyBorder="1" applyAlignment="1">
      <alignment horizontal="left" vertical="center" wrapText="1"/>
    </xf>
    <xf numFmtId="0" fontId="11" fillId="3" borderId="12" xfId="0" applyFont="1" applyFill="1" applyBorder="1" applyAlignment="1">
      <alignment horizontal="left" indent="1"/>
    </xf>
    <xf numFmtId="0" fontId="12" fillId="3" borderId="12" xfId="0" applyFont="1" applyFill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3" borderId="12" xfId="0" applyFont="1" applyFill="1" applyBorder="1"/>
  </cellXfs>
  <cellStyles count="8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  <cellStyle name="Normal 2 2" xfId="7" xr:uid="{00000000-0005-0000-0000-000006000000}"/>
    <cellStyle name="Normal 2 3" xfId="6" xr:uid="{00000000-0005-0000-0000-000007000000}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40"/>
  <sheetViews>
    <sheetView tabSelected="1" topLeftCell="A22" zoomScale="82" zoomScaleNormal="82" workbookViewId="0">
      <selection activeCell="B32" sqref="B32"/>
    </sheetView>
  </sheetViews>
  <sheetFormatPr baseColWidth="10" defaultColWidth="11" defaultRowHeight="12.75" x14ac:dyDescent="0.2"/>
  <cols>
    <col min="1" max="1" width="4.5703125" style="47" customWidth="1"/>
    <col min="2" max="2" width="14" style="47" customWidth="1"/>
    <col min="3" max="3" width="18.7109375" style="47" customWidth="1"/>
    <col min="4" max="4" width="8.42578125" style="47" customWidth="1"/>
    <col min="5" max="5" width="93.42578125" style="47" customWidth="1"/>
    <col min="6" max="7" width="15.85546875" style="47" customWidth="1"/>
    <col min="8" max="8" width="15.7109375" style="47" customWidth="1"/>
    <col min="9" max="9" width="18.5703125" style="58" customWidth="1"/>
    <col min="10" max="10" width="12.5703125" style="47" bestFit="1" customWidth="1"/>
    <col min="11" max="16384" width="11" style="47"/>
  </cols>
  <sheetData>
    <row r="2" spans="1:11" ht="27" x14ac:dyDescent="0.35">
      <c r="B2" s="104" t="s">
        <v>0</v>
      </c>
      <c r="C2" s="104"/>
      <c r="D2" s="104"/>
      <c r="E2" s="104"/>
      <c r="F2" s="104"/>
      <c r="G2" s="104"/>
      <c r="H2" s="104"/>
    </row>
    <row r="3" spans="1:11" ht="12" customHeight="1" x14ac:dyDescent="0.2"/>
    <row r="4" spans="1:11" ht="18" customHeight="1" x14ac:dyDescent="0.25">
      <c r="A4" s="105" t="s">
        <v>1</v>
      </c>
      <c r="B4" s="105"/>
      <c r="C4" s="106" t="s">
        <v>51</v>
      </c>
      <c r="D4" s="106"/>
      <c r="E4" s="106"/>
      <c r="F4" s="48"/>
      <c r="G4" s="49"/>
      <c r="H4" s="48"/>
    </row>
    <row r="5" spans="1:11" ht="18" customHeight="1" x14ac:dyDescent="0.25">
      <c r="A5" s="105" t="s">
        <v>2</v>
      </c>
      <c r="B5" s="105"/>
      <c r="C5" s="106" t="s">
        <v>71</v>
      </c>
      <c r="D5" s="106"/>
      <c r="E5" s="106"/>
      <c r="F5" s="48"/>
      <c r="G5" s="49"/>
      <c r="H5" s="48"/>
    </row>
    <row r="6" spans="1:11" ht="16.5" customHeight="1" x14ac:dyDescent="0.25">
      <c r="A6" s="105" t="s">
        <v>3</v>
      </c>
      <c r="B6" s="105"/>
      <c r="C6" s="42">
        <v>2022</v>
      </c>
      <c r="D6" s="43"/>
      <c r="E6" s="43"/>
      <c r="F6" s="48"/>
      <c r="G6" s="49"/>
      <c r="H6" s="48"/>
    </row>
    <row r="7" spans="1:11" ht="16.5" customHeight="1" x14ac:dyDescent="0.25">
      <c r="A7" s="105" t="s">
        <v>4</v>
      </c>
      <c r="B7" s="105"/>
      <c r="C7" s="42">
        <v>2</v>
      </c>
      <c r="D7" s="43"/>
      <c r="E7" s="43"/>
      <c r="F7" s="48"/>
      <c r="G7" s="49"/>
      <c r="H7" s="48"/>
    </row>
    <row r="8" spans="1:11" ht="13.5" thickBot="1" x14ac:dyDescent="0.25">
      <c r="B8" s="48"/>
      <c r="C8" s="49"/>
      <c r="D8" s="48"/>
      <c r="E8" s="48"/>
      <c r="F8" s="48"/>
      <c r="G8" s="49"/>
      <c r="H8" s="48"/>
    </row>
    <row r="9" spans="1:11" ht="39" thickTop="1" x14ac:dyDescent="0.2">
      <c r="A9" s="53" t="s">
        <v>5</v>
      </c>
      <c r="B9" s="53" t="s">
        <v>6</v>
      </c>
      <c r="C9" s="53" t="s">
        <v>7</v>
      </c>
      <c r="D9" s="54" t="s">
        <v>8</v>
      </c>
      <c r="E9" s="55" t="s">
        <v>9</v>
      </c>
      <c r="F9" s="56" t="s">
        <v>10</v>
      </c>
      <c r="G9" s="53" t="s">
        <v>11</v>
      </c>
      <c r="H9" s="53" t="s">
        <v>12</v>
      </c>
      <c r="I9" s="59" t="s">
        <v>13</v>
      </c>
    </row>
    <row r="10" spans="1:11" ht="35.1" customHeight="1" x14ac:dyDescent="0.2">
      <c r="A10" s="57">
        <v>1</v>
      </c>
      <c r="B10" s="57"/>
      <c r="C10" s="68" t="s">
        <v>79</v>
      </c>
      <c r="D10" s="89">
        <v>295</v>
      </c>
      <c r="E10" s="90" t="s">
        <v>54</v>
      </c>
      <c r="F10" s="91" t="s">
        <v>65</v>
      </c>
      <c r="G10" s="92">
        <v>100</v>
      </c>
      <c r="H10" s="93">
        <v>189</v>
      </c>
      <c r="I10" s="67">
        <f t="shared" ref="I10:I11" si="0">+G10*H10</f>
        <v>18900</v>
      </c>
    </row>
    <row r="11" spans="1:11" ht="35.1" customHeight="1" x14ac:dyDescent="0.2">
      <c r="A11" s="57">
        <v>2</v>
      </c>
      <c r="B11" s="57"/>
      <c r="C11" s="68" t="s">
        <v>79</v>
      </c>
      <c r="D11" s="89">
        <v>295</v>
      </c>
      <c r="E11" s="90" t="s">
        <v>55</v>
      </c>
      <c r="F11" s="91" t="s">
        <v>65</v>
      </c>
      <c r="G11" s="92">
        <v>200</v>
      </c>
      <c r="H11" s="93">
        <v>124</v>
      </c>
      <c r="I11" s="67">
        <f t="shared" si="0"/>
        <v>24800</v>
      </c>
    </row>
    <row r="12" spans="1:11" ht="35.1" customHeight="1" x14ac:dyDescent="0.2">
      <c r="A12" s="57">
        <v>3</v>
      </c>
      <c r="B12" s="57"/>
      <c r="C12" s="68" t="s">
        <v>79</v>
      </c>
      <c r="D12" s="89">
        <v>295</v>
      </c>
      <c r="E12" s="90" t="s">
        <v>56</v>
      </c>
      <c r="F12" s="91" t="s">
        <v>65</v>
      </c>
      <c r="G12" s="92">
        <v>10</v>
      </c>
      <c r="H12" s="93">
        <v>24000</v>
      </c>
      <c r="I12" s="67">
        <f t="shared" ref="I12:I15" si="1">+G12*H12</f>
        <v>240000</v>
      </c>
      <c r="J12" s="87"/>
      <c r="K12" s="88"/>
    </row>
    <row r="13" spans="1:11" ht="35.1" customHeight="1" x14ac:dyDescent="0.2">
      <c r="A13" s="57">
        <v>4</v>
      </c>
      <c r="B13" s="57"/>
      <c r="C13" s="68" t="s">
        <v>79</v>
      </c>
      <c r="D13" s="89">
        <v>295</v>
      </c>
      <c r="E13" s="94" t="s">
        <v>67</v>
      </c>
      <c r="F13" s="91" t="s">
        <v>65</v>
      </c>
      <c r="G13" s="92">
        <v>20</v>
      </c>
      <c r="H13" s="95">
        <v>8900</v>
      </c>
      <c r="I13" s="67">
        <f t="shared" si="1"/>
        <v>178000</v>
      </c>
      <c r="J13" s="87"/>
      <c r="K13" s="88"/>
    </row>
    <row r="14" spans="1:11" ht="35.1" customHeight="1" x14ac:dyDescent="0.2">
      <c r="A14" s="57">
        <v>5</v>
      </c>
      <c r="B14" s="57"/>
      <c r="C14" s="68" t="s">
        <v>79</v>
      </c>
      <c r="D14" s="89">
        <v>295</v>
      </c>
      <c r="E14" s="96" t="s">
        <v>66</v>
      </c>
      <c r="F14" s="91" t="s">
        <v>65</v>
      </c>
      <c r="G14" s="92">
        <v>30</v>
      </c>
      <c r="H14" s="93">
        <v>4200</v>
      </c>
      <c r="I14" s="67">
        <f t="shared" si="1"/>
        <v>126000</v>
      </c>
      <c r="J14" s="87"/>
      <c r="K14" s="88"/>
    </row>
    <row r="15" spans="1:11" ht="35.1" customHeight="1" x14ac:dyDescent="0.2">
      <c r="A15" s="57">
        <v>6</v>
      </c>
      <c r="B15" s="57"/>
      <c r="C15" s="68" t="s">
        <v>79</v>
      </c>
      <c r="D15" s="89">
        <v>295</v>
      </c>
      <c r="E15" s="97" t="s">
        <v>57</v>
      </c>
      <c r="F15" s="91" t="s">
        <v>65</v>
      </c>
      <c r="G15" s="92">
        <v>10</v>
      </c>
      <c r="H15" s="93">
        <v>17680</v>
      </c>
      <c r="I15" s="67">
        <f t="shared" si="1"/>
        <v>176800</v>
      </c>
      <c r="J15" s="87"/>
      <c r="K15" s="88"/>
    </row>
    <row r="16" spans="1:11" ht="35.1" customHeight="1" x14ac:dyDescent="0.2">
      <c r="A16" s="57">
        <v>7</v>
      </c>
      <c r="B16" s="57"/>
      <c r="C16" s="68" t="s">
        <v>79</v>
      </c>
      <c r="D16" s="89">
        <v>295</v>
      </c>
      <c r="E16" s="97" t="s">
        <v>58</v>
      </c>
      <c r="F16" s="91" t="s">
        <v>65</v>
      </c>
      <c r="G16" s="92">
        <v>10</v>
      </c>
      <c r="H16" s="93">
        <v>20345</v>
      </c>
      <c r="I16" s="67">
        <f t="shared" ref="I16:I23" si="2">+G16*H16</f>
        <v>203450</v>
      </c>
      <c r="J16" s="87"/>
      <c r="K16" s="88"/>
    </row>
    <row r="17" spans="1:11" ht="35.1" customHeight="1" x14ac:dyDescent="0.2">
      <c r="A17" s="57">
        <v>8</v>
      </c>
      <c r="B17" s="57"/>
      <c r="C17" s="68" t="s">
        <v>79</v>
      </c>
      <c r="D17" s="89">
        <v>295</v>
      </c>
      <c r="E17" s="97" t="s">
        <v>68</v>
      </c>
      <c r="F17" s="91" t="s">
        <v>65</v>
      </c>
      <c r="G17" s="92">
        <v>60</v>
      </c>
      <c r="H17" s="93">
        <v>2100</v>
      </c>
      <c r="I17" s="67">
        <f t="shared" si="2"/>
        <v>126000</v>
      </c>
      <c r="J17" s="87"/>
      <c r="K17" s="88"/>
    </row>
    <row r="18" spans="1:11" ht="35.1" customHeight="1" x14ac:dyDescent="0.2">
      <c r="A18" s="57">
        <v>9</v>
      </c>
      <c r="B18" s="57"/>
      <c r="C18" s="68" t="s">
        <v>79</v>
      </c>
      <c r="D18" s="89">
        <v>295</v>
      </c>
      <c r="E18" s="98" t="s">
        <v>59</v>
      </c>
      <c r="F18" s="91" t="s">
        <v>65</v>
      </c>
      <c r="G18" s="92">
        <v>10</v>
      </c>
      <c r="H18" s="93">
        <v>8200</v>
      </c>
      <c r="I18" s="67">
        <f t="shared" si="2"/>
        <v>82000</v>
      </c>
      <c r="J18" s="87"/>
      <c r="K18" s="88"/>
    </row>
    <row r="19" spans="1:11" ht="35.1" customHeight="1" x14ac:dyDescent="0.2">
      <c r="A19" s="57">
        <v>10</v>
      </c>
      <c r="B19" s="68"/>
      <c r="C19" s="68" t="s">
        <v>79</v>
      </c>
      <c r="D19" s="89">
        <v>295</v>
      </c>
      <c r="E19" s="96" t="s">
        <v>60</v>
      </c>
      <c r="F19" s="91" t="s">
        <v>65</v>
      </c>
      <c r="G19" s="92">
        <v>10</v>
      </c>
      <c r="H19" s="93">
        <v>8200</v>
      </c>
      <c r="I19" s="67">
        <f t="shared" si="2"/>
        <v>82000</v>
      </c>
      <c r="J19" s="87"/>
      <c r="K19" s="88"/>
    </row>
    <row r="20" spans="1:11" ht="59.25" customHeight="1" x14ac:dyDescent="0.2">
      <c r="A20" s="57">
        <v>11</v>
      </c>
      <c r="B20" s="57"/>
      <c r="C20" s="68" t="s">
        <v>79</v>
      </c>
      <c r="D20" s="89">
        <v>295</v>
      </c>
      <c r="E20" s="100" t="s">
        <v>85</v>
      </c>
      <c r="F20" s="91" t="s">
        <v>65</v>
      </c>
      <c r="G20" s="92">
        <v>10</v>
      </c>
      <c r="H20" s="93">
        <v>14300</v>
      </c>
      <c r="I20" s="67">
        <f t="shared" si="2"/>
        <v>143000</v>
      </c>
      <c r="J20" s="87"/>
      <c r="K20" s="88"/>
    </row>
    <row r="21" spans="1:11" ht="71.25" customHeight="1" x14ac:dyDescent="0.2">
      <c r="A21" s="57">
        <v>12</v>
      </c>
      <c r="B21" s="68"/>
      <c r="C21" s="68" t="s">
        <v>79</v>
      </c>
      <c r="D21" s="89">
        <v>295</v>
      </c>
      <c r="E21" s="100" t="s">
        <v>86</v>
      </c>
      <c r="F21" s="91" t="s">
        <v>65</v>
      </c>
      <c r="G21" s="92">
        <v>10</v>
      </c>
      <c r="H21" s="93">
        <v>14300</v>
      </c>
      <c r="I21" s="67">
        <f t="shared" si="2"/>
        <v>143000</v>
      </c>
      <c r="J21" s="88"/>
      <c r="K21" s="88"/>
    </row>
    <row r="22" spans="1:11" ht="60" customHeight="1" x14ac:dyDescent="0.2">
      <c r="A22" s="57">
        <v>13</v>
      </c>
      <c r="B22" s="68"/>
      <c r="C22" s="68" t="s">
        <v>79</v>
      </c>
      <c r="D22" s="89">
        <v>295</v>
      </c>
      <c r="E22" s="100" t="s">
        <v>87</v>
      </c>
      <c r="F22" s="91" t="s">
        <v>65</v>
      </c>
      <c r="G22" s="92">
        <v>10</v>
      </c>
      <c r="H22" s="93">
        <v>14300</v>
      </c>
      <c r="I22" s="67">
        <f t="shared" si="2"/>
        <v>143000</v>
      </c>
      <c r="J22" s="88"/>
      <c r="K22" s="88"/>
    </row>
    <row r="23" spans="1:11" ht="60.75" customHeight="1" x14ac:dyDescent="0.2">
      <c r="A23" s="57">
        <v>14</v>
      </c>
      <c r="B23" s="57"/>
      <c r="C23" s="68" t="s">
        <v>79</v>
      </c>
      <c r="D23" s="89">
        <v>295</v>
      </c>
      <c r="E23" s="100" t="s">
        <v>88</v>
      </c>
      <c r="F23" s="91" t="s">
        <v>65</v>
      </c>
      <c r="G23" s="92">
        <v>10</v>
      </c>
      <c r="H23" s="93">
        <v>14300</v>
      </c>
      <c r="I23" s="67">
        <f t="shared" si="2"/>
        <v>143000</v>
      </c>
      <c r="J23" s="88"/>
      <c r="K23" s="88"/>
    </row>
    <row r="24" spans="1:11" ht="34.5" customHeight="1" x14ac:dyDescent="0.2">
      <c r="A24" s="57">
        <v>15</v>
      </c>
      <c r="B24" s="57"/>
      <c r="C24" s="68" t="s">
        <v>79</v>
      </c>
      <c r="D24" s="89">
        <v>295</v>
      </c>
      <c r="E24" s="96" t="s">
        <v>61</v>
      </c>
      <c r="F24" s="91" t="s">
        <v>65</v>
      </c>
      <c r="G24" s="92">
        <v>10</v>
      </c>
      <c r="H24" s="93">
        <v>8300</v>
      </c>
      <c r="I24" s="67">
        <f t="shared" ref="I24:I27" si="3">+G24*H24</f>
        <v>83000</v>
      </c>
      <c r="J24" s="87"/>
      <c r="K24" s="88"/>
    </row>
    <row r="25" spans="1:11" ht="35.1" customHeight="1" x14ac:dyDescent="0.2">
      <c r="A25" s="57">
        <v>16</v>
      </c>
      <c r="B25" s="57"/>
      <c r="C25" s="68" t="s">
        <v>79</v>
      </c>
      <c r="D25" s="89">
        <v>295</v>
      </c>
      <c r="E25" s="96" t="s">
        <v>62</v>
      </c>
      <c r="F25" s="91" t="s">
        <v>65</v>
      </c>
      <c r="G25" s="92">
        <v>10</v>
      </c>
      <c r="H25" s="93">
        <v>8300</v>
      </c>
      <c r="I25" s="67">
        <f t="shared" si="3"/>
        <v>83000</v>
      </c>
      <c r="J25" s="88"/>
      <c r="K25" s="88"/>
    </row>
    <row r="26" spans="1:11" ht="35.1" customHeight="1" x14ac:dyDescent="0.2">
      <c r="A26" s="57">
        <v>17</v>
      </c>
      <c r="B26" s="57"/>
      <c r="C26" s="68" t="s">
        <v>79</v>
      </c>
      <c r="D26" s="89">
        <v>295</v>
      </c>
      <c r="E26" s="96" t="s">
        <v>63</v>
      </c>
      <c r="F26" s="91" t="s">
        <v>65</v>
      </c>
      <c r="G26" s="92">
        <v>10</v>
      </c>
      <c r="H26" s="93">
        <v>8300</v>
      </c>
      <c r="I26" s="67">
        <f t="shared" si="3"/>
        <v>83000</v>
      </c>
      <c r="J26" s="88"/>
      <c r="K26" s="88"/>
    </row>
    <row r="27" spans="1:11" ht="35.1" customHeight="1" x14ac:dyDescent="0.2">
      <c r="A27" s="57">
        <v>18</v>
      </c>
      <c r="B27" s="57"/>
      <c r="C27" s="68" t="s">
        <v>79</v>
      </c>
      <c r="D27" s="89">
        <v>295</v>
      </c>
      <c r="E27" s="99" t="s">
        <v>64</v>
      </c>
      <c r="F27" s="91" t="s">
        <v>65</v>
      </c>
      <c r="G27" s="92">
        <v>20</v>
      </c>
      <c r="H27" s="93">
        <v>280</v>
      </c>
      <c r="I27" s="67">
        <f t="shared" si="3"/>
        <v>5600</v>
      </c>
      <c r="J27" s="87"/>
      <c r="K27" s="87"/>
    </row>
    <row r="31" spans="1:11" ht="13.5" thickBot="1" x14ac:dyDescent="0.25"/>
    <row r="32" spans="1:11" x14ac:dyDescent="0.2">
      <c r="B32" s="66" t="s">
        <v>76</v>
      </c>
      <c r="C32" s="65"/>
      <c r="D32" s="50"/>
      <c r="E32" s="51"/>
    </row>
    <row r="33" spans="2:5" x14ac:dyDescent="0.2">
      <c r="B33" s="77"/>
      <c r="C33" s="78"/>
      <c r="D33" s="79"/>
      <c r="E33" s="80"/>
    </row>
    <row r="34" spans="2:5" x14ac:dyDescent="0.2">
      <c r="B34" s="101" t="s">
        <v>77</v>
      </c>
      <c r="C34" s="102"/>
      <c r="D34" s="102"/>
      <c r="E34" s="103"/>
    </row>
    <row r="35" spans="2:5" x14ac:dyDescent="0.2">
      <c r="B35" s="101"/>
      <c r="C35" s="102"/>
      <c r="D35" s="102"/>
      <c r="E35" s="103"/>
    </row>
    <row r="36" spans="2:5" x14ac:dyDescent="0.2">
      <c r="B36" s="73"/>
      <c r="C36" s="74"/>
      <c r="D36" s="74"/>
      <c r="E36" s="75"/>
    </row>
    <row r="37" spans="2:5" x14ac:dyDescent="0.2">
      <c r="B37" s="101" t="s">
        <v>89</v>
      </c>
      <c r="C37" s="102"/>
      <c r="D37" s="102"/>
      <c r="E37" s="103"/>
    </row>
    <row r="38" spans="2:5" x14ac:dyDescent="0.2">
      <c r="B38" s="70"/>
      <c r="C38" s="71"/>
      <c r="D38" s="71"/>
      <c r="E38" s="72"/>
    </row>
    <row r="39" spans="2:5" ht="45" x14ac:dyDescent="0.2">
      <c r="B39" s="60" t="s">
        <v>75</v>
      </c>
      <c r="C39" s="61"/>
      <c r="D39" s="61"/>
      <c r="E39" s="62"/>
    </row>
    <row r="40" spans="2:5" ht="13.5" thickBot="1" x14ac:dyDescent="0.25">
      <c r="B40" s="52" t="s">
        <v>78</v>
      </c>
      <c r="C40" s="63"/>
      <c r="D40" s="63"/>
      <c r="E40" s="64"/>
    </row>
  </sheetData>
  <mergeCells count="9">
    <mergeCell ref="B34:E35"/>
    <mergeCell ref="B37:E37"/>
    <mergeCell ref="B2:H2"/>
    <mergeCell ref="A4:B4"/>
    <mergeCell ref="C4:E4"/>
    <mergeCell ref="A5:B5"/>
    <mergeCell ref="C5:E5"/>
    <mergeCell ref="A6:B6"/>
    <mergeCell ref="A7:B7"/>
  </mergeCells>
  <conditionalFormatting sqref="B39">
    <cfRule type="duplicateValues" dxfId="3" priority="5"/>
  </conditionalFormatting>
  <conditionalFormatting sqref="B39">
    <cfRule type="duplicateValues" dxfId="2" priority="6"/>
  </conditionalFormatting>
  <conditionalFormatting sqref="B39">
    <cfRule type="duplicateValues" dxfId="1" priority="7"/>
  </conditionalFormatting>
  <conditionalFormatting sqref="B39">
    <cfRule type="duplicateValues" dxfId="0" priority="8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0"/>
  <sheetViews>
    <sheetView topLeftCell="A22" zoomScale="70" zoomScaleNormal="70" workbookViewId="0">
      <selection activeCell="O24" sqref="O24"/>
    </sheetView>
  </sheetViews>
  <sheetFormatPr baseColWidth="10" defaultColWidth="9.140625" defaultRowHeight="12.75" x14ac:dyDescent="0.2"/>
  <cols>
    <col min="1" max="1" width="5.5703125" style="30" customWidth="1"/>
    <col min="2" max="2" width="15.140625" style="30" customWidth="1"/>
    <col min="3" max="3" width="14.140625" style="30" customWidth="1"/>
    <col min="4" max="4" width="26" style="30" customWidth="1"/>
    <col min="5" max="5" width="8" style="30" customWidth="1"/>
    <col min="6" max="6" width="7.85546875" style="30" customWidth="1"/>
    <col min="7" max="7" width="48.5703125" style="30" customWidth="1"/>
    <col min="8" max="8" width="9.28515625" style="30" customWidth="1"/>
    <col min="9" max="9" width="15.5703125" style="30" customWidth="1"/>
    <col min="10" max="10" width="14.7109375" style="30" customWidth="1"/>
    <col min="11" max="11" width="15.5703125" style="30" customWidth="1"/>
    <col min="12" max="14" width="5.85546875" style="30" customWidth="1"/>
    <col min="15" max="15" width="12.5703125" style="30" customWidth="1"/>
    <col min="16" max="1024" width="9.140625" style="30"/>
    <col min="1025" max="16384" width="9.140625" style="31"/>
  </cols>
  <sheetData>
    <row r="1" spans="1:11" ht="18" customHeight="1" x14ac:dyDescent="0.2">
      <c r="A1" s="118" t="s">
        <v>14</v>
      </c>
      <c r="B1" s="118"/>
      <c r="C1" s="118"/>
      <c r="D1" s="118"/>
      <c r="E1" s="118"/>
      <c r="F1" s="118"/>
      <c r="G1" s="118"/>
      <c r="H1" s="118"/>
      <c r="I1" s="118"/>
      <c r="J1" s="29" t="s">
        <v>15</v>
      </c>
      <c r="K1" s="76" t="s">
        <v>74</v>
      </c>
    </row>
    <row r="2" spans="1:11" ht="18.75" customHeight="1" thickBot="1" x14ac:dyDescent="0.25">
      <c r="A2" s="32"/>
      <c r="B2" s="32"/>
      <c r="C2" s="32"/>
      <c r="D2" s="33"/>
      <c r="E2" s="33"/>
      <c r="F2" s="33"/>
      <c r="G2" s="33"/>
      <c r="H2" s="33"/>
      <c r="I2" s="33"/>
      <c r="J2" s="33"/>
      <c r="K2" s="33"/>
    </row>
    <row r="3" spans="1:11" ht="18.75" customHeight="1" thickBot="1" x14ac:dyDescent="0.25">
      <c r="A3" s="119" t="s">
        <v>48</v>
      </c>
      <c r="B3" s="119"/>
      <c r="C3" s="119"/>
      <c r="D3" s="120" t="str">
        <f>'Necesidades Trimestrales'!C4</f>
        <v>040 - Ministerio de Salud</v>
      </c>
      <c r="E3" s="120"/>
      <c r="F3" s="120"/>
      <c r="G3" s="120"/>
      <c r="H3" s="120"/>
      <c r="I3" s="120"/>
      <c r="J3" s="120"/>
      <c r="K3" s="120"/>
    </row>
    <row r="4" spans="1:11" ht="18.75" customHeight="1" thickBot="1" x14ac:dyDescent="0.25">
      <c r="A4" s="121" t="s">
        <v>49</v>
      </c>
      <c r="B4" s="121"/>
      <c r="C4" s="121"/>
      <c r="D4" s="120" t="str">
        <f>'Necesidades Trimestrales'!C5</f>
        <v>28- Maternidad Provincial 25 de Mayo</v>
      </c>
      <c r="E4" s="120"/>
      <c r="F4" s="120"/>
      <c r="G4" s="120"/>
      <c r="H4" s="120"/>
      <c r="I4" s="120"/>
      <c r="J4" s="120"/>
      <c r="K4" s="120"/>
    </row>
    <row r="5" spans="1:11" ht="18.75" customHeight="1" thickBot="1" x14ac:dyDescent="0.25">
      <c r="A5" s="121" t="s">
        <v>27</v>
      </c>
      <c r="B5" s="121"/>
      <c r="C5" s="121"/>
      <c r="D5" s="120" t="s">
        <v>72</v>
      </c>
      <c r="E5" s="120"/>
      <c r="F5" s="120"/>
      <c r="G5" s="120"/>
      <c r="H5" s="120"/>
      <c r="I5" s="120"/>
      <c r="J5" s="120"/>
      <c r="K5" s="120"/>
    </row>
    <row r="6" spans="1:11" ht="16.5" customHeight="1" thickBot="1" x14ac:dyDescent="0.25">
      <c r="A6" s="119" t="s">
        <v>50</v>
      </c>
      <c r="B6" s="119"/>
      <c r="C6" s="119"/>
      <c r="D6" s="120" t="s">
        <v>73</v>
      </c>
      <c r="E6" s="120"/>
      <c r="F6" s="120"/>
      <c r="G6" s="120"/>
      <c r="H6" s="120"/>
      <c r="I6" s="120"/>
      <c r="J6" s="120"/>
      <c r="K6" s="120"/>
    </row>
    <row r="7" spans="1:11" ht="16.5" customHeight="1" x14ac:dyDescent="0.2">
      <c r="A7" s="121" t="s">
        <v>16</v>
      </c>
      <c r="B7" s="121"/>
      <c r="C7" s="121"/>
      <c r="D7" s="120" t="s">
        <v>69</v>
      </c>
      <c r="E7" s="120"/>
      <c r="F7" s="120"/>
      <c r="G7" s="120"/>
      <c r="H7" s="120"/>
      <c r="I7" s="120"/>
      <c r="J7" s="120"/>
      <c r="K7" s="120"/>
    </row>
    <row r="8" spans="1:11" ht="16.5" customHeight="1" x14ac:dyDescent="0.2">
      <c r="A8" s="113" t="s">
        <v>17</v>
      </c>
      <c r="B8" s="113"/>
      <c r="C8" s="113"/>
      <c r="D8" s="114" t="s">
        <v>70</v>
      </c>
      <c r="E8" s="114"/>
      <c r="F8" s="114"/>
      <c r="G8" s="114"/>
      <c r="H8" s="114"/>
      <c r="I8" s="114"/>
      <c r="J8" s="114"/>
      <c r="K8" s="114"/>
    </row>
    <row r="9" spans="1:11" ht="15.75" x14ac:dyDescent="0.2">
      <c r="A9" s="34"/>
      <c r="B9" s="34"/>
      <c r="C9" s="34"/>
      <c r="D9" s="35"/>
      <c r="E9" s="35"/>
      <c r="F9" s="35"/>
      <c r="G9" s="35"/>
      <c r="H9" s="35"/>
      <c r="I9" s="35"/>
      <c r="J9" s="35"/>
      <c r="K9" s="35"/>
    </row>
    <row r="10" spans="1:11" ht="18.75" customHeight="1" x14ac:dyDescent="0.2">
      <c r="A10" s="115" t="s">
        <v>18</v>
      </c>
      <c r="B10" s="116" t="s">
        <v>19</v>
      </c>
      <c r="C10" s="116" t="s">
        <v>20</v>
      </c>
      <c r="D10" s="116"/>
      <c r="E10" s="116"/>
      <c r="F10" s="116"/>
      <c r="G10" s="116"/>
      <c r="H10" s="116" t="s">
        <v>21</v>
      </c>
      <c r="I10" s="116" t="s">
        <v>22</v>
      </c>
      <c r="J10" s="116" t="s">
        <v>23</v>
      </c>
      <c r="K10" s="117" t="s">
        <v>24</v>
      </c>
    </row>
    <row r="11" spans="1:11" ht="24" customHeight="1" thickBot="1" x14ac:dyDescent="0.25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7"/>
    </row>
    <row r="12" spans="1:11" ht="68.099999999999994" customHeight="1" thickBot="1" x14ac:dyDescent="0.25">
      <c r="A12" s="36">
        <f>+'Necesidades Trimestrales'!A10</f>
        <v>1</v>
      </c>
      <c r="B12" s="40"/>
      <c r="C12" s="107" t="str">
        <f>+'Necesidades Trimestrales'!E10</f>
        <v>CANULA NASAL PARA OXIGENOTERAPIA NEONATAL</v>
      </c>
      <c r="D12" s="107"/>
      <c r="E12" s="107"/>
      <c r="F12" s="107"/>
      <c r="G12" s="107"/>
      <c r="H12" s="41" t="s">
        <v>53</v>
      </c>
      <c r="I12" s="37" t="str">
        <f>+'Necesidades Trimestrales'!F10</f>
        <v>UNIDAD</v>
      </c>
      <c r="J12" s="38">
        <f>+'Necesidades Trimestrales'!H10</f>
        <v>189</v>
      </c>
      <c r="K12" s="39">
        <f>+'Necesidades Trimestrales'!G10</f>
        <v>100</v>
      </c>
    </row>
    <row r="13" spans="1:11" ht="68.099999999999994" customHeight="1" thickBot="1" x14ac:dyDescent="0.25">
      <c r="A13" s="36">
        <f>+'Necesidades Trimestrales'!A11</f>
        <v>2</v>
      </c>
      <c r="B13" s="40"/>
      <c r="C13" s="107" t="str">
        <f>+'Necesidades Trimestrales'!E11</f>
        <v>CANULA NASAL PARA OXIGENOTERAPIA PEDIATRICO</v>
      </c>
      <c r="D13" s="107"/>
      <c r="E13" s="107"/>
      <c r="F13" s="107"/>
      <c r="G13" s="107"/>
      <c r="H13" s="41" t="s">
        <v>53</v>
      </c>
      <c r="I13" s="37" t="str">
        <f>+'Necesidades Trimestrales'!F11</f>
        <v>UNIDAD</v>
      </c>
      <c r="J13" s="38">
        <f>+'Necesidades Trimestrales'!H11</f>
        <v>124</v>
      </c>
      <c r="K13" s="39">
        <f>+'Necesidades Trimestrales'!G11</f>
        <v>200</v>
      </c>
    </row>
    <row r="14" spans="1:11" ht="68.099999999999994" customHeight="1" thickBot="1" x14ac:dyDescent="0.25">
      <c r="A14" s="36">
        <f>+'Necesidades Trimestrales'!A12</f>
        <v>3</v>
      </c>
      <c r="B14" s="40"/>
      <c r="C14" s="107" t="str">
        <f>+'Necesidades Trimestrales'!E12</f>
        <v>CIRCUITO RESPIRADOR CON TRAMPA DE AGUA AUTOCLAVABLE NEONATAL</v>
      </c>
      <c r="D14" s="107"/>
      <c r="E14" s="107"/>
      <c r="F14" s="107"/>
      <c r="G14" s="107"/>
      <c r="H14" s="41" t="s">
        <v>53</v>
      </c>
      <c r="I14" s="37" t="str">
        <f>+'Necesidades Trimestrales'!F12</f>
        <v>UNIDAD</v>
      </c>
      <c r="J14" s="38">
        <f>+'Necesidades Trimestrales'!H12</f>
        <v>24000</v>
      </c>
      <c r="K14" s="39">
        <f>+'Necesidades Trimestrales'!G12</f>
        <v>10</v>
      </c>
    </row>
    <row r="15" spans="1:11" ht="68.099999999999994" customHeight="1" thickBot="1" x14ac:dyDescent="0.25">
      <c r="A15" s="36">
        <f>+'Necesidades Trimestrales'!A13</f>
        <v>4</v>
      </c>
      <c r="B15" s="40"/>
      <c r="C15" s="107" t="str">
        <f>+'Necesidades Trimestrales'!E13</f>
        <v>CIRCUITO RESPIRATORIO PARA LACTANTES DE DOBLE RAMA SIN CAMARA CON COLECTOR DE AGUA ESPIRATORIA Y LINEA DE PRESION ( CAUDAL MAYOR 4 L/ MIN ) TIPO RT 125 FISCHER PAYKEL</v>
      </c>
      <c r="D15" s="107"/>
      <c r="E15" s="107"/>
      <c r="F15" s="107"/>
      <c r="G15" s="107"/>
      <c r="H15" s="41" t="s">
        <v>53</v>
      </c>
      <c r="I15" s="37" t="str">
        <f>+'Necesidades Trimestrales'!F13</f>
        <v>UNIDAD</v>
      </c>
      <c r="J15" s="38">
        <f>+'Necesidades Trimestrales'!H13</f>
        <v>8900</v>
      </c>
      <c r="K15" s="39">
        <f>+'Necesidades Trimestrales'!G13</f>
        <v>20</v>
      </c>
    </row>
    <row r="16" spans="1:11" ht="68.099999999999994" customHeight="1" thickBot="1" x14ac:dyDescent="0.25">
      <c r="A16" s="36">
        <f>+'Necesidades Trimestrales'!A14</f>
        <v>5</v>
      </c>
      <c r="B16" s="40"/>
      <c r="C16" s="107" t="str">
        <f>+'Necesidades Trimestrales'!E14</f>
        <v>FRASCO RECOLECTOR DE ASPIRACIONES QUIRURGICAS X 2 LITRO ( CANISTER )</v>
      </c>
      <c r="D16" s="107"/>
      <c r="E16" s="107"/>
      <c r="F16" s="107"/>
      <c r="G16" s="107"/>
      <c r="H16" s="41" t="s">
        <v>53</v>
      </c>
      <c r="I16" s="37" t="str">
        <f>+'Necesidades Trimestrales'!F14</f>
        <v>UNIDAD</v>
      </c>
      <c r="J16" s="38">
        <f>+'Necesidades Trimestrales'!H14</f>
        <v>4200</v>
      </c>
      <c r="K16" s="39">
        <f>+'Necesidades Trimestrales'!G14</f>
        <v>30</v>
      </c>
    </row>
    <row r="17" spans="1:11" ht="68.099999999999994" customHeight="1" thickBot="1" x14ac:dyDescent="0.25">
      <c r="A17" s="36">
        <f>+'Necesidades Trimestrales'!A15</f>
        <v>6</v>
      </c>
      <c r="B17" s="40"/>
      <c r="C17" s="107" t="str">
        <f>+'Necesidades Trimestrales'!E15</f>
        <v>HALO  CEFALICO tipo &lt;MEDIX&gt; con tapa -  MEDIANO : 200 mm de diametro x 180 mm de altura</v>
      </c>
      <c r="D17" s="107"/>
      <c r="E17" s="107"/>
      <c r="F17" s="107"/>
      <c r="G17" s="107"/>
      <c r="H17" s="41" t="s">
        <v>53</v>
      </c>
      <c r="I17" s="37" t="str">
        <f>+'Necesidades Trimestrales'!F15</f>
        <v>UNIDAD</v>
      </c>
      <c r="J17" s="38">
        <f>+'Necesidades Trimestrales'!H15</f>
        <v>17680</v>
      </c>
      <c r="K17" s="39">
        <f>+'Necesidades Trimestrales'!G15</f>
        <v>10</v>
      </c>
    </row>
    <row r="18" spans="1:11" ht="68.099999999999994" customHeight="1" thickBot="1" x14ac:dyDescent="0.25">
      <c r="A18" s="36">
        <f>+'Necesidades Trimestrales'!A16</f>
        <v>7</v>
      </c>
      <c r="B18" s="40"/>
      <c r="C18" s="107" t="str">
        <f>+'Necesidades Trimestrales'!E16</f>
        <v>HALO  CEFALICO tipo &lt;MEDIX&gt; con tapa  GRANDE: 230 mm de diametro x 200 mm de altura</v>
      </c>
      <c r="D18" s="107"/>
      <c r="E18" s="107"/>
      <c r="F18" s="107"/>
      <c r="G18" s="107"/>
      <c r="H18" s="41" t="s">
        <v>53</v>
      </c>
      <c r="I18" s="37" t="str">
        <f>+'Necesidades Trimestrales'!F16</f>
        <v>UNIDAD</v>
      </c>
      <c r="J18" s="38">
        <f>+'Necesidades Trimestrales'!H16</f>
        <v>20345</v>
      </c>
      <c r="K18" s="39">
        <f>+'Necesidades Trimestrales'!G16</f>
        <v>10</v>
      </c>
    </row>
    <row r="19" spans="1:11" ht="68.099999999999994" customHeight="1" thickBot="1" x14ac:dyDescent="0.25">
      <c r="A19" s="36">
        <f>+'Necesidades Trimestrales'!A17</f>
        <v>8</v>
      </c>
      <c r="B19" s="40"/>
      <c r="C19" s="107" t="str">
        <f>+'Necesidades Trimestrales'!E17</f>
        <v>OXIMETRO DE PULSO PORTATIL</v>
      </c>
      <c r="D19" s="107"/>
      <c r="E19" s="107"/>
      <c r="F19" s="107"/>
      <c r="G19" s="107"/>
      <c r="H19" s="41" t="s">
        <v>53</v>
      </c>
      <c r="I19" s="37" t="str">
        <f>+'Necesidades Trimestrales'!F17</f>
        <v>UNIDAD</v>
      </c>
      <c r="J19" s="38">
        <f>+'Necesidades Trimestrales'!H17</f>
        <v>2100</v>
      </c>
      <c r="K19" s="39">
        <f>+'Necesidades Trimestrales'!G17</f>
        <v>60</v>
      </c>
    </row>
    <row r="20" spans="1:11" ht="68.099999999999994" customHeight="1" thickBot="1" x14ac:dyDescent="0.25">
      <c r="A20" s="36">
        <f>+'Necesidades Trimestrales'!A18</f>
        <v>9</v>
      </c>
      <c r="B20" s="40"/>
      <c r="C20" s="107" t="str">
        <f>+'Necesidades Trimestrales'!E18</f>
        <v>RESUCITADOR MANUAL ADULTO REUTILIZABLE</v>
      </c>
      <c r="D20" s="107"/>
      <c r="E20" s="107"/>
      <c r="F20" s="107"/>
      <c r="G20" s="107"/>
      <c r="H20" s="41" t="s">
        <v>53</v>
      </c>
      <c r="I20" s="37" t="str">
        <f>+'Necesidades Trimestrales'!F18</f>
        <v>UNIDAD</v>
      </c>
      <c r="J20" s="38">
        <f>+'Necesidades Trimestrales'!H18</f>
        <v>8200</v>
      </c>
      <c r="K20" s="39">
        <f>+'Necesidades Trimestrales'!G18</f>
        <v>10</v>
      </c>
    </row>
    <row r="21" spans="1:11" ht="68.099999999999994" customHeight="1" thickBot="1" x14ac:dyDescent="0.25">
      <c r="A21" s="36">
        <f>+'Necesidades Trimestrales'!A19</f>
        <v>10</v>
      </c>
      <c r="B21" s="40"/>
      <c r="C21" s="107" t="str">
        <f>+'Necesidades Trimestrales'!E19</f>
        <v>RESUCITADOR MANUAL NEONATAL  REUTILIZABLE</v>
      </c>
      <c r="D21" s="107"/>
      <c r="E21" s="107"/>
      <c r="F21" s="107"/>
      <c r="G21" s="107"/>
      <c r="H21" s="41" t="s">
        <v>53</v>
      </c>
      <c r="I21" s="37" t="str">
        <f>+'Necesidades Trimestrales'!F19</f>
        <v>UNIDAD</v>
      </c>
      <c r="J21" s="38">
        <f>+'Necesidades Trimestrales'!H19</f>
        <v>8200</v>
      </c>
      <c r="K21" s="39">
        <f>+'Necesidades Trimestrales'!G19</f>
        <v>10</v>
      </c>
    </row>
    <row r="22" spans="1:11" ht="68.099999999999994" customHeight="1" thickBot="1" x14ac:dyDescent="0.25">
      <c r="A22" s="36">
        <f>+'Necesidades Trimestrales'!A20</f>
        <v>11</v>
      </c>
      <c r="B22" s="40"/>
      <c r="C22" s="107" t="str">
        <f>+'Necesidades Trimestrales'!E20</f>
        <v>SISTEMA CPAP BURBUJAS -PARA LACTANTES, INCLUYE CIRCUITO RESPIRATORIO INSPIRATORIO CALENTADO CON CAMARA DE AUTOLLENADO, TUBULADURA DE PRESION &amp; GENERADOR DE CPAP DE BURBUJAS( SE CONECTA A LA INTERFAZ DE LA BARRA EN T) PTE. DE 1000 G. TIPO FISHER &amp; PAYKEL BC 151</v>
      </c>
      <c r="D22" s="107"/>
      <c r="E22" s="107"/>
      <c r="F22" s="107"/>
      <c r="G22" s="107"/>
      <c r="H22" s="41" t="s">
        <v>53</v>
      </c>
      <c r="I22" s="37" t="str">
        <f>+'Necesidades Trimestrales'!F20</f>
        <v>UNIDAD</v>
      </c>
      <c r="J22" s="38">
        <f>+'Necesidades Trimestrales'!H20</f>
        <v>14300</v>
      </c>
      <c r="K22" s="39">
        <f>+'Necesidades Trimestrales'!G20</f>
        <v>10</v>
      </c>
    </row>
    <row r="23" spans="1:11" ht="68.099999999999994" customHeight="1" thickBot="1" x14ac:dyDescent="0.25">
      <c r="A23" s="36">
        <f>+'Necesidades Trimestrales'!A21</f>
        <v>12</v>
      </c>
      <c r="B23" s="40"/>
      <c r="C23" s="107" t="str">
        <f>+'Necesidades Trimestrales'!E21</f>
        <v>SISTEMA CPAP BURBUJAS -PARA LACTANTES, INCLUYE CIRCUITO RESPIRATORIO INSPIRATORIO CALENTADO CON CAMARA DE AUTOLLENADO, TUBULADURA DE PRESION &amp; GENERADOR DE CPAP DE BURBUJAS( SE CONECTA A LA INTERFAZ DE LA BARRA EN T) PTE. DE 1000  A 1500 G.. TIPO FISHER &amp; PAYKEL BC 153</v>
      </c>
      <c r="D23" s="107"/>
      <c r="E23" s="107"/>
      <c r="F23" s="107"/>
      <c r="G23" s="107"/>
      <c r="H23" s="41" t="s">
        <v>53</v>
      </c>
      <c r="I23" s="37" t="str">
        <f>+'Necesidades Trimestrales'!F21</f>
        <v>UNIDAD</v>
      </c>
      <c r="J23" s="38">
        <f>+'Necesidades Trimestrales'!H21</f>
        <v>14300</v>
      </c>
      <c r="K23" s="39">
        <f>+'Necesidades Trimestrales'!G21</f>
        <v>10</v>
      </c>
    </row>
    <row r="24" spans="1:11" ht="68.099999999999994" customHeight="1" thickBot="1" x14ac:dyDescent="0.25">
      <c r="A24" s="36">
        <f>+'Necesidades Trimestrales'!A22</f>
        <v>13</v>
      </c>
      <c r="B24" s="40"/>
      <c r="C24" s="107" t="str">
        <f>+'Necesidades Trimestrales'!E22</f>
        <v>SISTEMA CPAP BURBUJAS -PARA LACTANTES, INCLUYE CIRCUITO RESPIRATORIO INSPIRATORIO CALENTADO CON CAMARA DE AUTOLLENADO, TUBULADURA DE PRESION &amp; GENERADOR DE CPAP DE BURBUJAS( SE CONECTA A LA INTERFAZ DE LA BARRA EN T) PTE. DE 1500  A 2000 G.. TIPO FISHER &amp; PAYKEL BC 161</v>
      </c>
      <c r="D24" s="107"/>
      <c r="E24" s="107"/>
      <c r="F24" s="107"/>
      <c r="G24" s="107"/>
      <c r="H24" s="41" t="s">
        <v>53</v>
      </c>
      <c r="I24" s="37" t="str">
        <f>+'Necesidades Trimestrales'!F22</f>
        <v>UNIDAD</v>
      </c>
      <c r="J24" s="38">
        <f>+'Necesidades Trimestrales'!H22</f>
        <v>14300</v>
      </c>
      <c r="K24" s="39">
        <f>+'Necesidades Trimestrales'!G22</f>
        <v>10</v>
      </c>
    </row>
    <row r="25" spans="1:11" ht="68.099999999999994" customHeight="1" thickBot="1" x14ac:dyDescent="0.25">
      <c r="A25" s="36">
        <f>+'Necesidades Trimestrales'!A23</f>
        <v>14</v>
      </c>
      <c r="B25" s="40"/>
      <c r="C25" s="107" t="str">
        <f>+'Necesidades Trimestrales'!E23</f>
        <v>SISTEMA CPAP BURBUJAS -PARA LACTANTES, INCLUYE CIRCUITO RESPIRATORIO INSPIRATORIO CALENTADO CON CAMARA DE AUTOLLENADO, TUBULADURA DE PRESION &amp; GENERADOR DE CPAP DE BURBUJAS( SE CONECTA A LA INTERFAZ DE LA BARRA EN T) PTE. DE 2000  A 3000 G.. TIPO FISHER &amp; PAYKEL BC 163</v>
      </c>
      <c r="D25" s="107"/>
      <c r="E25" s="107"/>
      <c r="F25" s="107"/>
      <c r="G25" s="107"/>
      <c r="H25" s="41" t="s">
        <v>53</v>
      </c>
      <c r="I25" s="37" t="str">
        <f>+'Necesidades Trimestrales'!F23</f>
        <v>UNIDAD</v>
      </c>
      <c r="J25" s="38">
        <f>+'Necesidades Trimestrales'!H23</f>
        <v>14300</v>
      </c>
      <c r="K25" s="39">
        <f>+'Necesidades Trimestrales'!G23</f>
        <v>10</v>
      </c>
    </row>
    <row r="26" spans="1:11" ht="68.099999999999994" customHeight="1" thickBot="1" x14ac:dyDescent="0.25">
      <c r="A26" s="36">
        <f>+'Necesidades Trimestrales'!A24</f>
        <v>15</v>
      </c>
      <c r="B26" s="40"/>
      <c r="C26" s="107" t="str">
        <f>+'Necesidades Trimestrales'!E24</f>
        <v>SISTEMA CPAP CANULA NASAL TIPO SILMAG  -  COD  233-00</v>
      </c>
      <c r="D26" s="107"/>
      <c r="E26" s="107"/>
      <c r="F26" s="107"/>
      <c r="G26" s="107"/>
      <c r="H26" s="41" t="s">
        <v>53</v>
      </c>
      <c r="I26" s="37" t="str">
        <f>+'Necesidades Trimestrales'!F24</f>
        <v>UNIDAD</v>
      </c>
      <c r="J26" s="38">
        <f>+'Necesidades Trimestrales'!H24</f>
        <v>8300</v>
      </c>
      <c r="K26" s="39">
        <f>+'Necesidades Trimestrales'!G24</f>
        <v>10</v>
      </c>
    </row>
    <row r="27" spans="1:11" ht="68.099999999999994" customHeight="1" thickBot="1" x14ac:dyDescent="0.25">
      <c r="A27" s="36">
        <f>+'Necesidades Trimestrales'!A25</f>
        <v>16</v>
      </c>
      <c r="B27" s="40"/>
      <c r="C27" s="107" t="str">
        <f>+'Necesidades Trimestrales'!E25</f>
        <v>SISTEMA CPAP CANULA NASAL TIPO SILMAG  -  COD  233-01</v>
      </c>
      <c r="D27" s="107"/>
      <c r="E27" s="107"/>
      <c r="F27" s="107"/>
      <c r="G27" s="107"/>
      <c r="H27" s="41" t="s">
        <v>53</v>
      </c>
      <c r="I27" s="37" t="str">
        <f>+'Necesidades Trimestrales'!F25</f>
        <v>UNIDAD</v>
      </c>
      <c r="J27" s="38">
        <f>+'Necesidades Trimestrales'!H25</f>
        <v>8300</v>
      </c>
      <c r="K27" s="39">
        <f>+'Necesidades Trimestrales'!G25</f>
        <v>10</v>
      </c>
    </row>
    <row r="28" spans="1:11" ht="68.099999999999994" customHeight="1" thickBot="1" x14ac:dyDescent="0.25">
      <c r="A28" s="36">
        <f>+'Necesidades Trimestrales'!A26</f>
        <v>17</v>
      </c>
      <c r="B28" s="40"/>
      <c r="C28" s="107" t="str">
        <f>+'Necesidades Trimestrales'!E26</f>
        <v>SISTEMA CPAP CANULA NASAL TIPO SILMAG  -  COD  233-02</v>
      </c>
      <c r="D28" s="107"/>
      <c r="E28" s="107"/>
      <c r="F28" s="107"/>
      <c r="G28" s="107"/>
      <c r="H28" s="41" t="s">
        <v>53</v>
      </c>
      <c r="I28" s="37" t="str">
        <f>+'Necesidades Trimestrales'!F26</f>
        <v>UNIDAD</v>
      </c>
      <c r="J28" s="38">
        <f>+'Necesidades Trimestrales'!H26</f>
        <v>8300</v>
      </c>
      <c r="K28" s="39">
        <f>+'Necesidades Trimestrales'!G26</f>
        <v>10</v>
      </c>
    </row>
    <row r="29" spans="1:11" ht="68.099999999999994" customHeight="1" thickBot="1" x14ac:dyDescent="0.25">
      <c r="A29" s="36">
        <f>+'Necesidades Trimestrales'!A27</f>
        <v>18</v>
      </c>
      <c r="B29" s="40"/>
      <c r="C29" s="107" t="str">
        <f>+'Necesidades Trimestrales'!E27</f>
        <v xml:space="preserve">TUBO CONECTOR EN  T </v>
      </c>
      <c r="D29" s="107"/>
      <c r="E29" s="107"/>
      <c r="F29" s="107"/>
      <c r="G29" s="107"/>
      <c r="H29" s="41" t="s">
        <v>80</v>
      </c>
      <c r="I29" s="37" t="str">
        <f>+'Necesidades Trimestrales'!F27</f>
        <v>UNIDAD</v>
      </c>
      <c r="J29" s="38">
        <f>+'Necesidades Trimestrales'!H27</f>
        <v>280</v>
      </c>
      <c r="K29" s="39">
        <f>+'Necesidades Trimestrales'!G27</f>
        <v>20</v>
      </c>
    </row>
    <row r="30" spans="1:11" ht="16.5" thickBot="1" x14ac:dyDescent="0.25">
      <c r="A30" s="108" t="s">
        <v>83</v>
      </c>
      <c r="B30" s="109"/>
      <c r="C30" s="109"/>
      <c r="D30" s="109"/>
      <c r="E30" s="109"/>
      <c r="F30" s="109"/>
      <c r="G30" s="109"/>
      <c r="H30" s="109"/>
      <c r="I30" s="110"/>
      <c r="J30" s="111">
        <f>SUMPRODUCT('Necesidades Trimestrales'!G10:G27*'Necesidades Trimestrales'!H10:H27)</f>
        <v>2084550</v>
      </c>
      <c r="K30" s="112"/>
    </row>
  </sheetData>
  <mergeCells count="40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12:G12"/>
    <mergeCell ref="C13:G13"/>
    <mergeCell ref="A30:I30"/>
    <mergeCell ref="J30:K30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4:G14"/>
    <mergeCell ref="C19:G19"/>
    <mergeCell ref="C16:G16"/>
    <mergeCell ref="C17:G17"/>
    <mergeCell ref="C18:G18"/>
    <mergeCell ref="C15:G15"/>
    <mergeCell ref="C20:G20"/>
    <mergeCell ref="C21:G21"/>
    <mergeCell ref="C29:G29"/>
    <mergeCell ref="C27:G27"/>
    <mergeCell ref="C28:G28"/>
    <mergeCell ref="C22:G22"/>
    <mergeCell ref="C23:G23"/>
    <mergeCell ref="C24:G24"/>
    <mergeCell ref="C25:G25"/>
    <mergeCell ref="C26:G26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7"/>
  <sheetViews>
    <sheetView zoomScale="130" zoomScaleNormal="130" workbookViewId="0">
      <selection activeCell="T17" sqref="T17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8" ht="15.75" customHeight="1" x14ac:dyDescent="0.25">
      <c r="A1" s="145" t="s">
        <v>3</v>
      </c>
      <c r="B1" s="145"/>
      <c r="C1" s="145"/>
      <c r="D1" s="146">
        <f>'Necesidades Trimestrales'!C6</f>
        <v>2022</v>
      </c>
      <c r="E1" s="146"/>
      <c r="F1" s="3"/>
      <c r="G1" s="3"/>
      <c r="H1" s="4"/>
      <c r="I1" s="4"/>
      <c r="J1" s="4"/>
      <c r="K1" s="4"/>
      <c r="L1" s="4"/>
      <c r="M1" s="4"/>
      <c r="N1" s="4"/>
      <c r="P1" s="147" t="s">
        <v>25</v>
      </c>
      <c r="Q1" s="147"/>
    </row>
    <row r="2" spans="1:18" ht="15.75" customHeight="1" x14ac:dyDescent="0.2">
      <c r="H2" s="4"/>
      <c r="I2" s="4"/>
      <c r="J2" s="4"/>
      <c r="K2" s="4"/>
      <c r="L2" s="4"/>
      <c r="M2" s="4"/>
      <c r="N2" s="4"/>
      <c r="P2" s="147"/>
      <c r="Q2" s="147"/>
    </row>
    <row r="4" spans="1:18" s="5" customFormat="1" ht="18" customHeight="1" thickBot="1" x14ac:dyDescent="0.25">
      <c r="A4" s="148" t="s">
        <v>26</v>
      </c>
      <c r="B4" s="148"/>
      <c r="C4" s="148"/>
      <c r="D4" s="148"/>
      <c r="E4" s="148"/>
      <c r="F4" s="148"/>
      <c r="G4" s="143" t="str">
        <f>' NotaPedido'!D3</f>
        <v>040 - Ministerio de Salud</v>
      </c>
      <c r="H4" s="143"/>
      <c r="I4" s="143"/>
      <c r="J4" s="143"/>
      <c r="K4" s="143"/>
      <c r="L4" s="143"/>
      <c r="M4" s="143"/>
      <c r="N4" s="143"/>
      <c r="O4" s="143"/>
      <c r="P4" s="143"/>
      <c r="Q4" s="143"/>
    </row>
    <row r="5" spans="1:18" s="5" customFormat="1" ht="18" customHeight="1" thickBot="1" x14ac:dyDescent="0.25">
      <c r="A5" s="140" t="s">
        <v>49</v>
      </c>
      <c r="B5" s="141"/>
      <c r="C5" s="141"/>
      <c r="D5" s="141"/>
      <c r="E5" s="141"/>
      <c r="F5" s="142"/>
      <c r="G5" s="143" t="str">
        <f>' NotaPedido'!D4</f>
        <v>28- Maternidad Provincial 25 de Mayo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</row>
    <row r="6" spans="1:18" s="5" customFormat="1" ht="18" customHeight="1" thickBot="1" x14ac:dyDescent="0.25">
      <c r="A6" s="140" t="s">
        <v>27</v>
      </c>
      <c r="B6" s="141"/>
      <c r="C6" s="141"/>
      <c r="D6" s="141"/>
      <c r="E6" s="141"/>
      <c r="F6" s="142"/>
      <c r="G6" s="143" t="str">
        <f>' NotaPedido'!D5</f>
        <v xml:space="preserve">169-Direccion Asistencial </v>
      </c>
      <c r="H6" s="143"/>
      <c r="I6" s="143"/>
      <c r="J6" s="143"/>
      <c r="K6" s="143"/>
      <c r="L6" s="143"/>
      <c r="M6" s="143"/>
      <c r="N6" s="143"/>
      <c r="O6" s="143"/>
      <c r="P6" s="143"/>
      <c r="Q6" s="143"/>
    </row>
    <row r="7" spans="1:18" s="5" customFormat="1" ht="18" customHeight="1" thickBot="1" x14ac:dyDescent="0.25">
      <c r="A7" s="140" t="s">
        <v>50</v>
      </c>
      <c r="B7" s="141"/>
      <c r="C7" s="141"/>
      <c r="D7" s="141"/>
      <c r="E7" s="141"/>
      <c r="F7" s="142"/>
      <c r="G7" s="143" t="str">
        <f>' NotaPedido'!D6</f>
        <v>Servicio de Farmacia</v>
      </c>
      <c r="H7" s="143"/>
      <c r="I7" s="143"/>
      <c r="J7" s="143"/>
      <c r="K7" s="143"/>
      <c r="L7" s="143"/>
      <c r="M7" s="143"/>
      <c r="N7" s="143"/>
      <c r="O7" s="143"/>
      <c r="P7" s="143"/>
      <c r="Q7" s="143"/>
    </row>
    <row r="8" spans="1:18" ht="18" customHeight="1" thickBot="1" x14ac:dyDescent="0.25">
      <c r="A8" s="144" t="s">
        <v>28</v>
      </c>
      <c r="B8" s="144"/>
      <c r="C8" s="144"/>
      <c r="D8" s="144"/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</row>
    <row r="9" spans="1:18" ht="18" customHeight="1" x14ac:dyDescent="0.2">
      <c r="A9" s="134" t="s">
        <v>29</v>
      </c>
      <c r="B9" s="134"/>
      <c r="C9" s="134"/>
      <c r="D9" s="134"/>
      <c r="E9" s="134"/>
      <c r="F9" s="134"/>
      <c r="G9" s="134"/>
      <c r="H9" s="134"/>
      <c r="I9" s="134"/>
      <c r="J9" s="134"/>
      <c r="K9" s="134"/>
      <c r="L9" s="134"/>
      <c r="M9" s="134"/>
      <c r="N9" s="134"/>
      <c r="O9" s="81"/>
      <c r="P9" s="81"/>
      <c r="Q9" s="82"/>
    </row>
    <row r="10" spans="1:18" ht="54.75" customHeight="1" x14ac:dyDescent="0.2">
      <c r="A10" s="135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59/2022,  afectando la erogación resultante a los créditos presupuestarios aprobados a favor de esta Unidad Ejecutora, conforme al siguiente detalle: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5"/>
    </row>
    <row r="11" spans="1:18" ht="9" customHeight="1" x14ac:dyDescent="0.2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8" ht="15.75" customHeight="1" x14ac:dyDescent="0.2">
      <c r="A12" s="136" t="s">
        <v>30</v>
      </c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</row>
    <row r="13" spans="1:18" ht="15.75" customHeight="1" x14ac:dyDescent="0.2">
      <c r="A13" s="137" t="s">
        <v>31</v>
      </c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8" t="s">
        <v>32</v>
      </c>
      <c r="P13" s="138"/>
      <c r="Q13" s="139" t="s">
        <v>33</v>
      </c>
    </row>
    <row r="14" spans="1:18" ht="15.75" customHeight="1" thickBot="1" x14ac:dyDescent="0.25">
      <c r="A14" s="10" t="s">
        <v>34</v>
      </c>
      <c r="B14" s="11" t="s">
        <v>35</v>
      </c>
      <c r="C14" s="11" t="s">
        <v>36</v>
      </c>
      <c r="D14" s="11" t="s">
        <v>37</v>
      </c>
      <c r="E14" s="11" t="s">
        <v>38</v>
      </c>
      <c r="F14" s="11" t="s">
        <v>39</v>
      </c>
      <c r="G14" s="12" t="s">
        <v>40</v>
      </c>
      <c r="H14" s="11" t="s">
        <v>41</v>
      </c>
      <c r="I14" s="11" t="s">
        <v>42</v>
      </c>
      <c r="J14" s="11" t="s">
        <v>43</v>
      </c>
      <c r="K14" s="11" t="s">
        <v>43</v>
      </c>
      <c r="L14" s="11" t="s">
        <v>44</v>
      </c>
      <c r="M14" s="13" t="s">
        <v>45</v>
      </c>
      <c r="N14" s="14" t="s">
        <v>46</v>
      </c>
      <c r="O14" s="138"/>
      <c r="P14" s="138"/>
      <c r="Q14" s="139"/>
    </row>
    <row r="15" spans="1:18" ht="34.5" customHeight="1" x14ac:dyDescent="0.2">
      <c r="A15" s="83">
        <v>42</v>
      </c>
      <c r="B15" s="44"/>
      <c r="C15" s="44"/>
      <c r="D15" s="44">
        <v>2</v>
      </c>
      <c r="E15" s="44"/>
      <c r="F15" s="44">
        <v>4901</v>
      </c>
      <c r="G15" s="44">
        <v>3</v>
      </c>
      <c r="H15" s="44">
        <v>310</v>
      </c>
      <c r="I15" s="84">
        <v>2</v>
      </c>
      <c r="J15" s="84">
        <v>9</v>
      </c>
      <c r="K15" s="84">
        <v>5</v>
      </c>
      <c r="L15" s="44"/>
      <c r="M15" s="45">
        <v>1</v>
      </c>
      <c r="N15" s="46" t="s">
        <v>52</v>
      </c>
      <c r="O15" s="132" t="s">
        <v>81</v>
      </c>
      <c r="P15" s="133"/>
      <c r="Q15" s="85">
        <v>2084550</v>
      </c>
      <c r="R15" s="31"/>
    </row>
    <row r="16" spans="1:18" ht="17.25" customHeight="1" x14ac:dyDescent="0.2">
      <c r="A16" s="15"/>
      <c r="B16" s="16"/>
      <c r="C16" s="16"/>
      <c r="D16" s="16"/>
      <c r="E16" s="16"/>
      <c r="F16" s="16"/>
      <c r="G16" s="16"/>
      <c r="H16" s="16"/>
      <c r="I16" s="69"/>
      <c r="J16" s="69"/>
      <c r="K16" s="69"/>
      <c r="L16" s="16"/>
      <c r="M16" s="17"/>
      <c r="N16" s="18"/>
      <c r="O16" s="127"/>
      <c r="P16" s="127"/>
      <c r="Q16" s="19"/>
    </row>
    <row r="17" spans="1:18" ht="17.25" customHeight="1" x14ac:dyDescent="0.2">
      <c r="A17" s="15"/>
      <c r="B17" s="16"/>
      <c r="C17" s="16"/>
      <c r="D17" s="16"/>
      <c r="E17" s="16"/>
      <c r="F17" s="18"/>
      <c r="G17" s="16"/>
      <c r="H17" s="16"/>
      <c r="I17" s="16"/>
      <c r="J17" s="16"/>
      <c r="K17" s="16"/>
      <c r="L17" s="16"/>
      <c r="M17" s="17"/>
      <c r="N17" s="18"/>
      <c r="O17" s="127"/>
      <c r="P17" s="127"/>
      <c r="Q17" s="19"/>
    </row>
    <row r="18" spans="1:18" ht="17.25" customHeight="1" x14ac:dyDescent="0.2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7"/>
      <c r="N18" s="18"/>
      <c r="O18" s="127"/>
      <c r="P18" s="127"/>
      <c r="Q18" s="19"/>
    </row>
    <row r="19" spans="1:18" ht="17.25" customHeight="1" x14ac:dyDescent="0.2">
      <c r="A19" s="15"/>
      <c r="B19" s="16"/>
      <c r="C19" s="16"/>
      <c r="D19" s="16"/>
      <c r="E19" s="16"/>
      <c r="F19" s="18"/>
      <c r="G19" s="16"/>
      <c r="H19" s="16"/>
      <c r="I19" s="16"/>
      <c r="J19" s="16"/>
      <c r="K19" s="16"/>
      <c r="L19" s="16"/>
      <c r="M19" s="17"/>
      <c r="N19" s="18"/>
      <c r="O19" s="127"/>
      <c r="P19" s="127"/>
      <c r="Q19" s="19"/>
    </row>
    <row r="20" spans="1:18" ht="17.25" customHeight="1" x14ac:dyDescent="0.2">
      <c r="A20" s="15"/>
      <c r="B20" s="16"/>
      <c r="C20" s="16"/>
      <c r="D20" s="16"/>
      <c r="E20" s="16"/>
      <c r="F20" s="18"/>
      <c r="G20" s="16"/>
      <c r="H20" s="16"/>
      <c r="I20" s="16"/>
      <c r="J20" s="16"/>
      <c r="K20" s="16"/>
      <c r="L20" s="16"/>
      <c r="M20" s="17"/>
      <c r="N20" s="18"/>
      <c r="O20" s="127"/>
      <c r="P20" s="127"/>
      <c r="Q20" s="19"/>
    </row>
    <row r="21" spans="1:18" ht="17.25" customHeight="1" x14ac:dyDescent="0.2">
      <c r="A21" s="20"/>
      <c r="B21" s="21"/>
      <c r="C21" s="21"/>
      <c r="D21" s="21"/>
      <c r="E21" s="21"/>
      <c r="F21" s="22"/>
      <c r="G21" s="21"/>
      <c r="H21" s="21"/>
      <c r="I21" s="21"/>
      <c r="J21" s="21"/>
      <c r="K21" s="21"/>
      <c r="L21" s="21"/>
      <c r="M21" s="23"/>
      <c r="N21" s="24"/>
      <c r="O21" s="128"/>
      <c r="P21" s="128"/>
      <c r="Q21" s="19"/>
      <c r="R21" s="1"/>
    </row>
    <row r="22" spans="1:18" ht="17.25" customHeight="1" x14ac:dyDescent="0.2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7"/>
      <c r="N22" s="26"/>
      <c r="O22" s="129"/>
      <c r="P22" s="129"/>
      <c r="Q22" s="28"/>
    </row>
    <row r="23" spans="1:18" ht="37.5" customHeight="1" x14ac:dyDescent="0.2">
      <c r="A23" s="130" t="s">
        <v>84</v>
      </c>
      <c r="B23" s="130"/>
      <c r="C23" s="130"/>
      <c r="D23" s="130"/>
      <c r="E23" s="130"/>
      <c r="F23" s="130"/>
      <c r="G23" s="130"/>
      <c r="H23" s="130"/>
      <c r="I23" s="130"/>
      <c r="J23" s="130"/>
      <c r="K23" s="130"/>
      <c r="L23" s="130"/>
      <c r="M23" s="130"/>
      <c r="N23" s="130"/>
      <c r="O23" s="130"/>
      <c r="P23" s="130"/>
      <c r="Q23" s="86">
        <f>SUM(Q15:Q22)</f>
        <v>2084550</v>
      </c>
    </row>
    <row r="24" spans="1:18" ht="18" customHeight="1" thickBot="1" x14ac:dyDescent="0.25">
      <c r="A24" s="131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</row>
    <row r="25" spans="1:18" ht="17.25" customHeight="1" thickBot="1" x14ac:dyDescent="0.25">
      <c r="A25" s="122" t="s">
        <v>47</v>
      </c>
      <c r="B25" s="123"/>
      <c r="C25" s="123"/>
      <c r="D25" s="123"/>
      <c r="E25" s="123"/>
      <c r="F25" s="124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</row>
    <row r="26" spans="1:18" ht="18" customHeight="1" thickBot="1" x14ac:dyDescent="0.25">
      <c r="A26" s="126" t="s">
        <v>82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</row>
    <row r="27" spans="1:18" ht="15" customHeight="1" x14ac:dyDescent="0.2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2020-07-23T13:47:13Z</cp:lastPrinted>
  <dcterms:created xsi:type="dcterms:W3CDTF">2020-07-17T23:44:49Z</dcterms:created>
  <dcterms:modified xsi:type="dcterms:W3CDTF">2022-06-02T15:57:39Z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