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HNEP\Descartables 4to Trimestre\"/>
    </mc:Choice>
  </mc:AlternateContent>
  <xr:revisionPtr revIDLastSave="0" documentId="13_ncr:1_{4F224075-ED3B-472B-AE5F-575389749188}" xr6:coauthVersionLast="46" xr6:coauthVersionMax="46" xr10:uidLastSave="{00000000-0000-0000-0000-000000000000}"/>
  <bookViews>
    <workbookView xWindow="-120" yWindow="-120" windowWidth="29040" windowHeight="15840" tabRatio="488" xr2:uid="{00000000-000D-0000-FFFF-FFFF00000000}"/>
  </bookViews>
  <sheets>
    <sheet name="Necesidades Trimestrales" sheetId="1" r:id="rId1"/>
    <sheet name=" NotaPedido" sheetId="2" r:id="rId2"/>
    <sheet name="Autor Gastar" sheetId="3" r:id="rId3"/>
  </sheets>
  <externalReferences>
    <externalReference r:id="rId4"/>
  </externalReferences>
  <definedNames>
    <definedName name="_xlnm._FilterDatabase" localSheetId="0" hidden="1">'Necesidades Trimestrales'!$A$9:$I$87</definedName>
    <definedName name="_xlnm.Print_Area" localSheetId="1">' NotaPedido'!$A$1:$K$90</definedName>
    <definedName name="_xlnm.Print_Area" localSheetId="2">'Autor Gastar'!$A$1:$Q$25</definedName>
  </definedNames>
  <calcPr calcId="181029"/>
</workbook>
</file>

<file path=xl/calcChain.xml><?xml version="1.0" encoding="utf-8"?>
<calcChain xmlns="http://schemas.openxmlformats.org/spreadsheetml/2006/main">
  <c r="B11" i="1" l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10" i="1"/>
  <c r="K86" i="2"/>
  <c r="K87" i="2"/>
  <c r="K88" i="2"/>
  <c r="K89" i="2"/>
  <c r="J86" i="2"/>
  <c r="J87" i="2"/>
  <c r="J88" i="2"/>
  <c r="J89" i="2"/>
  <c r="I86" i="2"/>
  <c r="I87" i="2"/>
  <c r="I88" i="2"/>
  <c r="I89" i="2"/>
  <c r="C86" i="2"/>
  <c r="C87" i="2"/>
  <c r="C88" i="2"/>
  <c r="C89" i="2"/>
  <c r="I11" i="1" l="1"/>
  <c r="I35" i="1"/>
  <c r="I46" i="1"/>
  <c r="I49" i="1"/>
  <c r="C67" i="2" l="1"/>
  <c r="I67" i="2"/>
  <c r="J67" i="2"/>
  <c r="K67" i="2"/>
  <c r="C68" i="2"/>
  <c r="I68" i="2"/>
  <c r="J68" i="2"/>
  <c r="K68" i="2"/>
  <c r="C69" i="2"/>
  <c r="I69" i="2"/>
  <c r="J69" i="2"/>
  <c r="K69" i="2"/>
  <c r="C70" i="2"/>
  <c r="I70" i="2"/>
  <c r="J70" i="2"/>
  <c r="K70" i="2"/>
  <c r="C71" i="2"/>
  <c r="I71" i="2"/>
  <c r="J71" i="2"/>
  <c r="K71" i="2"/>
  <c r="C72" i="2"/>
  <c r="I72" i="2"/>
  <c r="J72" i="2"/>
  <c r="K72" i="2"/>
  <c r="C73" i="2"/>
  <c r="I73" i="2"/>
  <c r="J73" i="2"/>
  <c r="K73" i="2"/>
  <c r="C74" i="2"/>
  <c r="I74" i="2"/>
  <c r="J74" i="2"/>
  <c r="K74" i="2"/>
  <c r="C75" i="2"/>
  <c r="I75" i="2"/>
  <c r="J75" i="2"/>
  <c r="K75" i="2"/>
  <c r="C76" i="2"/>
  <c r="I76" i="2"/>
  <c r="J76" i="2"/>
  <c r="K76" i="2"/>
  <c r="C77" i="2"/>
  <c r="I77" i="2"/>
  <c r="J77" i="2"/>
  <c r="K77" i="2"/>
  <c r="C78" i="2"/>
  <c r="I78" i="2"/>
  <c r="J78" i="2"/>
  <c r="K78" i="2"/>
  <c r="C79" i="2"/>
  <c r="I79" i="2"/>
  <c r="J79" i="2"/>
  <c r="K79" i="2"/>
  <c r="C80" i="2"/>
  <c r="I80" i="2"/>
  <c r="J80" i="2"/>
  <c r="K80" i="2"/>
  <c r="C81" i="2"/>
  <c r="I81" i="2"/>
  <c r="J81" i="2"/>
  <c r="K81" i="2"/>
  <c r="C82" i="2"/>
  <c r="I82" i="2"/>
  <c r="J82" i="2"/>
  <c r="K82" i="2"/>
  <c r="C83" i="2"/>
  <c r="I83" i="2"/>
  <c r="J83" i="2"/>
  <c r="K83" i="2"/>
  <c r="C84" i="2"/>
  <c r="I84" i="2"/>
  <c r="J84" i="2"/>
  <c r="K84" i="2"/>
  <c r="C85" i="2"/>
  <c r="I85" i="2"/>
  <c r="J85" i="2"/>
  <c r="K85" i="2"/>
  <c r="I86" i="1"/>
  <c r="I87" i="1"/>
  <c r="I45" i="1"/>
  <c r="I56" i="1"/>
  <c r="I57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5" i="1"/>
  <c r="C12" i="2" l="1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K24" i="2" l="1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48" i="1"/>
  <c r="I50" i="1"/>
  <c r="I51" i="1"/>
  <c r="I52" i="1"/>
  <c r="I53" i="1"/>
  <c r="I54" i="1"/>
  <c r="I55" i="1"/>
  <c r="I58" i="1"/>
  <c r="I59" i="1"/>
  <c r="I60" i="1"/>
  <c r="I61" i="1"/>
  <c r="I62" i="1"/>
  <c r="I63" i="1"/>
  <c r="I64" i="1"/>
  <c r="I65" i="1"/>
  <c r="I66" i="1"/>
  <c r="I80" i="1"/>
  <c r="I81" i="1"/>
  <c r="I82" i="1"/>
  <c r="I83" i="1"/>
  <c r="I84" i="1"/>
  <c r="I10" i="1"/>
  <c r="I13" i="1"/>
  <c r="I14" i="1"/>
  <c r="I16" i="1"/>
  <c r="I17" i="1"/>
  <c r="I18" i="1"/>
  <c r="I19" i="1"/>
  <c r="I31" i="1"/>
  <c r="I32" i="1"/>
  <c r="I40" i="1"/>
  <c r="I41" i="1"/>
  <c r="I42" i="1"/>
  <c r="I43" i="1"/>
  <c r="I44" i="1"/>
  <c r="I39" i="1" l="1"/>
  <c r="I47" i="1"/>
  <c r="K19" i="2" l="1"/>
  <c r="K20" i="2"/>
  <c r="K21" i="2"/>
  <c r="K22" i="2"/>
  <c r="K23" i="2"/>
  <c r="J19" i="2"/>
  <c r="J20" i="2"/>
  <c r="J21" i="2"/>
  <c r="J22" i="2"/>
  <c r="J23" i="2"/>
  <c r="J24" i="2"/>
  <c r="J25" i="2"/>
  <c r="J26" i="2"/>
  <c r="J27" i="2"/>
  <c r="J28" i="2"/>
  <c r="I19" i="2"/>
  <c r="I20" i="2"/>
  <c r="I21" i="2"/>
  <c r="I22" i="2"/>
  <c r="I23" i="2"/>
  <c r="I24" i="2"/>
  <c r="I25" i="2"/>
  <c r="I26" i="2"/>
  <c r="I27" i="2"/>
  <c r="I25" i="1"/>
  <c r="I26" i="1"/>
  <c r="I27" i="1"/>
  <c r="I28" i="1"/>
  <c r="I29" i="1"/>
  <c r="I30" i="1"/>
  <c r="I33" i="1"/>
  <c r="I34" i="1"/>
  <c r="I36" i="1"/>
  <c r="I37" i="1"/>
  <c r="I38" i="1"/>
  <c r="I12" i="2" l="1"/>
  <c r="I13" i="2"/>
  <c r="I14" i="2"/>
  <c r="I15" i="2"/>
  <c r="I16" i="2"/>
  <c r="I17" i="2"/>
  <c r="I18" i="2"/>
  <c r="K12" i="2"/>
  <c r="K13" i="2"/>
  <c r="K14" i="2"/>
  <c r="K15" i="2"/>
  <c r="K16" i="2"/>
  <c r="K17" i="2"/>
  <c r="K18" i="2"/>
  <c r="J12" i="2"/>
  <c r="J13" i="2"/>
  <c r="J14" i="2"/>
  <c r="J15" i="2"/>
  <c r="J16" i="2"/>
  <c r="J17" i="2"/>
  <c r="J18" i="2"/>
  <c r="I12" i="1"/>
  <c r="I15" i="1"/>
  <c r="I20" i="1"/>
  <c r="I21" i="1"/>
  <c r="I22" i="1"/>
  <c r="I23" i="1"/>
  <c r="I24" i="1"/>
  <c r="J90" i="2" l="1"/>
  <c r="A10" i="3"/>
  <c r="G6" i="3" l="1"/>
  <c r="D7" i="2"/>
  <c r="D3" i="2"/>
  <c r="G4" i="3" s="1"/>
  <c r="D4" i="2"/>
  <c r="G5" i="3" s="1"/>
  <c r="D1" i="3" l="1"/>
  <c r="Q21" i="3" l="1"/>
</calcChain>
</file>

<file path=xl/sharedStrings.xml><?xml version="1.0" encoding="utf-8"?>
<sst xmlns="http://schemas.openxmlformats.org/spreadsheetml/2006/main" count="391" uniqueCount="156">
  <si>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</si>
  <si>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</si>
  <si>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</si>
  <si>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</si>
  <si>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</si>
  <si>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</si>
  <si>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</si>
  <si>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</si>
  <si>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</si>
  <si>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</si>
  <si>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</si>
  <si>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</si>
  <si>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</si>
  <si>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</si>
  <si>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</si>
  <si>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</si>
  <si>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</si>
  <si>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</si>
  <si>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</si>
  <si>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</si>
  <si>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</si>
  <si>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</si>
  <si>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</si>
  <si>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</si>
  <si>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</si>
  <si>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</si>
  <si>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</si>
  <si>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</si>
  <si>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</si>
  <si>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</si>
  <si>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</si>
  <si>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</si>
  <si>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</si>
  <si>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</si>
  <si>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</si>
  <si>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</si>
  <si>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</si>
  <si>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</si>
  <si>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</si>
  <si>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</si>
  <si>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</si>
  <si>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</si>
  <si>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</si>
  <si>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</si>
  <si>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</si>
  <si>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</si>
  <si>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</si>
  <si>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</si>
  <si>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</si>
  <si>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</si>
  <si>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</si>
  <si>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</si>
  <si>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</si>
  <si>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</si>
  <si>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</si>
  <si>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 xml:space="preserve"> </t>
  </si>
  <si>
    <t>Servicio de Farmacia</t>
  </si>
  <si>
    <t>PROD. MEDICO/ FARMACEUTICOS/LAB</t>
  </si>
  <si>
    <t>UNIDAD</t>
  </si>
  <si>
    <t>UTILES MENORES MEDICO, QUIRURGICO Y DE LABORATORIO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</si>
  <si>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</si>
  <si>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</si>
  <si>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r>
      <t>Mantenimiento</t>
    </r>
    <r>
      <rPr>
        <sz val="10"/>
        <rFont val="Times New Roman"/>
        <family val="1"/>
      </rPr>
      <t xml:space="preserve">: 45 dias habiles </t>
    </r>
  </si>
  <si>
    <t xml:space="preserve">CANULA PARA TRAQUEOSTOMIA  N°6.5 </t>
  </si>
  <si>
    <t xml:space="preserve">CANULA PARA TRAQUEOSTOMIA  Nº 4 </t>
  </si>
  <si>
    <t>CANULA PARA TRAQUEOSTOMIA  Nº 41/2</t>
  </si>
  <si>
    <t xml:space="preserve">CANULA PARA TRAQUEOSTOMIA N°5-5 </t>
  </si>
  <si>
    <t>CANULA PARA TRAQUEOTOMIA  Nº 5</t>
  </si>
  <si>
    <t>CLAVIJAS DE ACERO 1,5MM</t>
  </si>
  <si>
    <t>CLAVIJAS ULTRAFINA 1 MM</t>
  </si>
  <si>
    <t>EQUIPO P/DIALISIS PERITONEAL PED.T/V-308</t>
  </si>
  <si>
    <t>FRASCO PARA DRENAJE TORACICO x 750 ML</t>
  </si>
  <si>
    <t>SET CATETER PERIDURAL N 18</t>
  </si>
  <si>
    <t>SET DE VIA CENTRAL DOBLE LUMEN 4  FRENCH  /13 CM 22/22 G TIPO ARROW</t>
  </si>
  <si>
    <t>SET.P/DRENAJE VENTRICULAR EXT. X 1COD.130/09 T/SIL</t>
  </si>
  <si>
    <t>SONDA GASTRICA SILICONA PURA SP391-10</t>
  </si>
  <si>
    <t>SONDA GASTRICA SILICONA PURA SP392-07</t>
  </si>
  <si>
    <t>SONDA GASTRICA SILICONA PURA SP392-09</t>
  </si>
  <si>
    <t>TUBO DE INTUBACION SELECTIVA DERECHO CH 25</t>
  </si>
  <si>
    <t>TUBO DE INTUBACION SELECTIVA IZQUIERDO CH 25</t>
  </si>
  <si>
    <t>TUBO P/DRENAJE 110-12-SILMAG</t>
  </si>
  <si>
    <t>TUBO P/DRENAJE 110-16-SILMAG</t>
  </si>
  <si>
    <t>TUBO P/DRENAJE 110-20-SILMAG</t>
  </si>
  <si>
    <t>TUBO P/DRENAJE 110-24-SILMAG</t>
  </si>
  <si>
    <t>TUBO P/DRENAJE 110-28-SILMAG</t>
  </si>
  <si>
    <t>CANASTILLA DE DORMIA</t>
  </si>
  <si>
    <t>CATETER FOGARTY Nº 3</t>
  </si>
  <si>
    <t>CATETER FOGARTY Nº 4</t>
  </si>
  <si>
    <t>CATETER FOGARTY Nº 5</t>
  </si>
  <si>
    <t xml:space="preserve">FILTRO P/REMOCION DE LEUCOCITOS </t>
  </si>
  <si>
    <t>MALLA ABSORBIBLE POLIGLICOLICO 30 X 30 TIPO VICRYL</t>
  </si>
  <si>
    <t xml:space="preserve">MALLA QUIRURGICA SINTETICA NO ABSORBIBLE 30 X 30 TIPO PROLENE </t>
  </si>
  <si>
    <t>TROCAR D/BIOPSIA D/MEDULA OSEA NEONATAL T/MONOJET-</t>
  </si>
  <si>
    <t>TROCAR D/BIOPSIA D/MEDULA OSEA PEDIATRICO T/MONOJE</t>
  </si>
  <si>
    <t>TROCAR D/PUNCION ASP.D/MEDULA OSEA NEONATAL T/GALL</t>
  </si>
  <si>
    <t>TROCAR D/PUNCION ASP.D/MEDULA OSEA PEDIATRICO T/GA</t>
  </si>
  <si>
    <t>TUBO DE INTUBACION SELECTIVA DERECHO CH 37</t>
  </si>
  <si>
    <t>TUBO DE INTUBACION SELECTIVA IZQUIERDO CH 35</t>
  </si>
  <si>
    <t>TUBO DE INTUBACION SELECTIVA IZQUIERDO CH 37</t>
  </si>
  <si>
    <t>127/2021</t>
  </si>
  <si>
    <t>BOLSA P/COLOSTOMIA PEDIATRICA</t>
  </si>
  <si>
    <t>CATÉTER DE DIÁLISIS PERITONEAL 12FR. T/SILMAG</t>
  </si>
  <si>
    <t xml:space="preserve">CATÉTER DE DIALISIS PERITONEAL 15FR. T/SILMAG </t>
  </si>
  <si>
    <t>CATETER DOBLE P/DIAG.NEUMONIA T/BRONCHOCATH DCD</t>
  </si>
  <si>
    <t>FRASCO PARA DRENAJE TORACICO x 2500 ML</t>
  </si>
  <si>
    <t>BARBIJOS DE ALTA EFICIENCIA TIPO N95</t>
  </si>
  <si>
    <t xml:space="preserve">CAMARA HUMIDIFICADORA DESCARTABLE TIPO FISHER PAIKEL </t>
  </si>
  <si>
    <t>CAMISOLIN DESCARTABLE DE TELA SMS 50 GRAMOS CON MANGA Y PUÑOS DE 1,4 M DE LARGO</t>
  </si>
  <si>
    <t>CANULA NASAL DE ALTO FLUJO TIPO OPTIFLOW INFANTIL F&amp;P OPT 316</t>
  </si>
  <si>
    <t>CANULA NASAL DE ALTO FLUJO TIPO OPTIFLOW PEDIATRICA F&amp;P OPT 318</t>
  </si>
  <si>
    <t>CANULA NASAL PARA OXIGENOTERAPIA NEONATAL</t>
  </si>
  <si>
    <t>CANULA NASAL PARA OXIGENOTERAPIA PEDIATRICO</t>
  </si>
  <si>
    <t>CIRCUITO RESPIRADOR CON TRAMPA DE AGUA DESCARTABLE ADULTO</t>
  </si>
  <si>
    <t>CIRCUITO RESPIRADOR CON TRAMPA DE AGUA DESCARTABLE PEDIATRICO</t>
  </si>
  <si>
    <t>GUANTES DE CIRUGIA ESTERIL Nº 6 1/2 PAR. ANATOMICOS . CAÑA LARGA SIN TALCO</t>
  </si>
  <si>
    <t>PAR</t>
  </si>
  <si>
    <t>GUANTES DE CIRUGIA ESTERIL Nº 7  PAR. ANATOMICOS . CAÑA LARGA SIN TALCO</t>
  </si>
  <si>
    <t>GUANTES DE CIRUGIA ESTERIL Nº 7 1/2 PAR.  ANATOMICOS . CAÑA LARGA SIN TALCO</t>
  </si>
  <si>
    <t>GUANTES DE CIRUGIA ESTERIL Nº 8 PAR.  ANATOMICOS . CAÑA LARGA SIN TALCO</t>
  </si>
  <si>
    <t>GUANTES DE CIRUGIA ESTERIL Nº 81/2 PAR. ANATOMICOS . CAÑA LARGA SIN TALCO</t>
  </si>
  <si>
    <t>LIMPIADOR DESINFECTANTE PARA AREAS CRITICAS  EN BASE A PEROXOSULFATO ACIDO DE POTASIO (0,46% activo por litro) .SOBRE POR 20 GRS . Estabilidad: 15 días desde su preparación. Aprobación PM ANMAT.</t>
  </si>
  <si>
    <t>SOBRE</t>
  </si>
  <si>
    <t>SONDA P/ASP.MUCUS C/REG.2,3 MM X 7 FR K-26P</t>
  </si>
  <si>
    <t>SONDA P/ASP.MUCUS C/REG.2,7 MM X 8 FR K-28P</t>
  </si>
  <si>
    <t>TUBO ENDOTRAQUEAL CON BALON Nº 3</t>
  </si>
  <si>
    <t>TUBO ENDOTRAQUEAL CON BALON Nº 3.5</t>
  </si>
  <si>
    <t>TUBO ENDOTRAQUEAL CON BALON Nº 7</t>
  </si>
  <si>
    <t>TUBO ENDOTRAQUEAL CON BALON Nº 71/2</t>
  </si>
  <si>
    <t>TUBO ENDOTRAQUEALES  S/B 3</t>
  </si>
  <si>
    <t>TUBO ENDOTRAQUEALES  S/B 3,5</t>
  </si>
  <si>
    <t>TUBO MAYO GUEDEL N 0</t>
  </si>
  <si>
    <t>TUBO MAYO GUEDEL N 00</t>
  </si>
  <si>
    <t>TUBO MAYO GUEDEL N 5</t>
  </si>
  <si>
    <t xml:space="preserve">TUBO MAYO GUEDEL N°1 </t>
  </si>
  <si>
    <t xml:space="preserve">TUBO MAYO GUEDEL N°2 </t>
  </si>
  <si>
    <t xml:space="preserve">TUBO MAYO GUEDEL N°3 </t>
  </si>
  <si>
    <t xml:space="preserve">TUBO MAYO GUEDEL N°4 </t>
  </si>
  <si>
    <t>TUBULADURA PVC 6X9 X 50 USO MEDICINAL</t>
  </si>
  <si>
    <t>ROLLO</t>
  </si>
  <si>
    <t>TUBULADURA PVC 7,9 X 12,70 x 50  USO MEDICINAL</t>
  </si>
  <si>
    <t>TUBULADURA PVC 8 X11 X 50  USO MEDICINAL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</si>
  <si>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quince (15) días habiles de notificada la Orden de Compra</t>
    </r>
  </si>
  <si>
    <t>Descartables de Farmacia</t>
  </si>
  <si>
    <t>Para la adquisición de Descartables de Farmacia destinados al Servicio de Farmacia del Hospital Interzonal de Niños Eva Peron, para el normal funcionamiento del organismo.</t>
  </si>
  <si>
    <t>COMPUESTOS QUIMICOS</t>
  </si>
  <si>
    <t>BOTELLA</t>
  </si>
  <si>
    <t>BIDON</t>
  </si>
  <si>
    <t>ORTOFTALDEHIDO 0,55 % BIDON 3,78 LITOS / 5 LITROS</t>
  </si>
  <si>
    <t>BAG IN BOX</t>
  </si>
  <si>
    <t>LOCION ALCOHOLICA BACTERICIDA CON CLORHEXIDINA + EMOLIENTES  X 800 ML  TIPO ADOX  L9   Envase BAG IN BOX</t>
  </si>
  <si>
    <t>FRASCO</t>
  </si>
  <si>
    <t>CLORHEXIDINA 2% SOLUCION ACUOSA X 250 ML</t>
  </si>
  <si>
    <t>ALCOHOL 96 % X 500 ML</t>
  </si>
  <si>
    <t>PRODUCTOS FARMACEUTICOS Y MEDICINALES</t>
  </si>
  <si>
    <t>Costo total estimado: Cuatro Millones Novecientos Noventa y Dos Mil Seiscientos Cuarenta y Tres Con 00/100.</t>
  </si>
  <si>
    <t>TOTAL DE PESOS: CUATRO MILLONES NOVECIENTOS NOVENTA Y DOS MIL SEISCIENTOS CUARENTA Y TRES CON 00/100.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</si>
</sst>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  <numFmt numFmtId="170" formatCode="_-&quot;$&quot;\ * #,##0.00_-;\-&quot;$&quot;\ * #,##0.00_-;_-&quot;$&quot;\ * &quot;-&quot;??_-;_-@"/>
  </numFmts>
  <fonts count="31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  <font>
      <b/>
      <sz val="10"/>
      <name val="Times New Roman"/>
      <family val="1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rgb="FFFFFFFF"/>
      </patternFill>
    </fill>
  </fills>
  <borders count="6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3D3D3D"/>
      </left>
      <right/>
      <top style="medium">
        <color indexed="64"/>
      </top>
      <bottom style="thin">
        <color rgb="FF3D3D3D"/>
      </bottom>
      <diagonal/>
    </border>
    <border>
      <left/>
      <right style="thin">
        <color rgb="FF3D3D3D"/>
      </right>
      <top style="medium">
        <color indexed="64"/>
      </top>
      <bottom style="thin">
        <color rgb="FF3D3D3D"/>
      </bottom>
      <diagonal/>
    </border>
  </borders>
  <cellStyleXfs count="9">
    <xf numFmtId="0" fontId="0" fillId="0" borderId="0"/>
    <xf numFmtId="165" fontId="17" fillId="0" borderId="0" applyBorder="0" applyProtection="0"/>
    <xf numFmtId="0" fontId="4" fillId="0" borderId="1" applyProtection="0"/>
    <xf numFmtId="164" fontId="5" fillId="0" borderId="0" applyBorder="0" applyProtection="0"/>
    <xf numFmtId="0" fontId="6" fillId="2" borderId="0" applyBorder="0" applyProtection="0"/>
    <xf numFmtId="0" fontId="17" fillId="0" borderId="0"/>
    <xf numFmtId="43" fontId="3" fillId="0" borderId="0" applyFont="0" applyFill="0" applyBorder="0" applyAlignment="0" applyProtection="0"/>
    <xf numFmtId="0" fontId="2" fillId="0" borderId="0"/>
    <xf numFmtId="0" fontId="1" fillId="0" borderId="0"/>
  </cellStyleXfs>
  <cellXfs count="170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2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5" fillId="0" borderId="0" xfId="0" applyFont="1"/>
    <xf numFmtId="0" fontId="0" fillId="0" borderId="10" xfId="0" applyBorder="1"/>
    <xf numFmtId="0" fontId="0" fillId="0" borderId="24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5" xfId="0" applyBorder="1"/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166" fontId="0" fillId="0" borderId="31" xfId="3" applyNumberFormat="1" applyFont="1" applyBorder="1" applyAlignment="1" applyProtection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166" fontId="16" fillId="0" borderId="36" xfId="0" applyNumberFormat="1" applyFont="1" applyBorder="1" applyAlignment="1">
      <alignment horizontal="center" vertical="center"/>
    </xf>
    <xf numFmtId="0" fontId="18" fillId="0" borderId="0" xfId="0" applyFont="1"/>
    <xf numFmtId="0" fontId="21" fillId="0" borderId="0" xfId="0" applyFont="1" applyAlignment="1">
      <alignment horizontal="left" wrapText="1"/>
    </xf>
    <xf numFmtId="0" fontId="21" fillId="0" borderId="0" xfId="0" applyFont="1" applyAlignment="1">
      <alignment horizontal="center" wrapText="1"/>
    </xf>
    <xf numFmtId="0" fontId="18" fillId="0" borderId="3" xfId="0" applyFont="1" applyBorder="1"/>
    <xf numFmtId="0" fontId="18" fillId="0" borderId="4" xfId="0" applyFont="1" applyBorder="1"/>
    <xf numFmtId="0" fontId="18" fillId="0" borderId="5" xfId="0" applyFont="1" applyBorder="1"/>
    <xf numFmtId="0" fontId="18" fillId="0" borderId="0" xfId="0" applyFont="1" applyBorder="1"/>
    <xf numFmtId="166" fontId="18" fillId="0" borderId="0" xfId="0" applyNumberFormat="1" applyFont="1"/>
    <xf numFmtId="0" fontId="8" fillId="3" borderId="10" xfId="0" applyFont="1" applyFill="1" applyBorder="1" applyAlignment="1">
      <alignment horizontal="right" vertical="center"/>
    </xf>
    <xf numFmtId="0" fontId="9" fillId="4" borderId="11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0" fillId="3" borderId="0" xfId="0" applyFill="1"/>
    <xf numFmtId="0" fontId="8" fillId="3" borderId="12" xfId="0" applyFont="1" applyFill="1" applyBorder="1" applyAlignment="1">
      <alignment vertical="center"/>
    </xf>
    <xf numFmtId="0" fontId="8" fillId="3" borderId="0" xfId="0" applyFont="1" applyFill="1" applyBorder="1" applyAlignment="1">
      <alignment vertical="center"/>
    </xf>
    <xf numFmtId="0" fontId="10" fillId="3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left" vertical="center" wrapText="1" indent="1"/>
    </xf>
    <xf numFmtId="0" fontId="26" fillId="4" borderId="0" xfId="0" applyFont="1" applyFill="1" applyAlignment="1">
      <alignment horizontal="left" wrapText="1" indent="1"/>
    </xf>
    <xf numFmtId="0" fontId="22" fillId="3" borderId="0" xfId="0" applyFont="1" applyFill="1" applyAlignment="1">
      <alignment horizontal="left" wrapText="1"/>
    </xf>
    <xf numFmtId="167" fontId="18" fillId="0" borderId="0" xfId="0" applyNumberFormat="1" applyFont="1"/>
    <xf numFmtId="169" fontId="23" fillId="0" borderId="0" xfId="0" applyNumberFormat="1" applyFont="1"/>
    <xf numFmtId="169" fontId="24" fillId="0" borderId="0" xfId="0" applyNumberFormat="1" applyFont="1" applyAlignment="1">
      <alignment horizontal="left" wrapText="1"/>
    </xf>
    <xf numFmtId="167" fontId="5" fillId="3" borderId="0" xfId="0" applyNumberFormat="1" applyFont="1" applyFill="1" applyBorder="1" applyAlignment="1">
      <alignment vertical="center"/>
    </xf>
    <xf numFmtId="0" fontId="0" fillId="0" borderId="27" xfId="0" applyFont="1" applyFill="1" applyBorder="1" applyAlignment="1">
      <alignment horizontal="center" vertical="center"/>
    </xf>
    <xf numFmtId="0" fontId="0" fillId="0" borderId="28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5" xfId="0" applyFont="1" applyBorder="1" applyAlignment="1">
      <alignment horizontal="left" vertical="center"/>
    </xf>
    <xf numFmtId="0" fontId="16" fillId="0" borderId="46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166" fontId="0" fillId="0" borderId="50" xfId="3" applyNumberFormat="1" applyFont="1" applyBorder="1" applyAlignment="1" applyProtection="1">
      <alignment horizontal="center" vertical="center"/>
    </xf>
    <xf numFmtId="0" fontId="0" fillId="0" borderId="53" xfId="0" applyBorder="1"/>
    <xf numFmtId="0" fontId="23" fillId="0" borderId="54" xfId="0" applyFont="1" applyBorder="1" applyAlignment="1">
      <alignment horizontal="center" vertical="center"/>
    </xf>
    <xf numFmtId="0" fontId="17" fillId="0" borderId="53" xfId="0" applyFont="1" applyBorder="1" applyAlignment="1">
      <alignment wrapText="1"/>
    </xf>
    <xf numFmtId="166" fontId="23" fillId="4" borderId="55" xfId="1" applyNumberFormat="1" applyFont="1" applyFill="1" applyBorder="1" applyAlignment="1" applyProtection="1">
      <alignment horizontal="right" vertical="center" wrapText="1"/>
    </xf>
    <xf numFmtId="0" fontId="7" fillId="3" borderId="54" xfId="0" applyFont="1" applyFill="1" applyBorder="1" applyAlignment="1">
      <alignment horizontal="center" vertical="center"/>
    </xf>
    <xf numFmtId="0" fontId="7" fillId="3" borderId="53" xfId="0" applyFont="1" applyFill="1" applyBorder="1" applyAlignment="1">
      <alignment horizontal="left" vertical="center"/>
    </xf>
    <xf numFmtId="3" fontId="7" fillId="3" borderId="55" xfId="0" applyNumberFormat="1" applyFont="1" applyFill="1" applyBorder="1" applyAlignment="1">
      <alignment horizontal="center" vertical="center"/>
    </xf>
    <xf numFmtId="166" fontId="7" fillId="3" borderId="53" xfId="1" applyNumberFormat="1" applyFont="1" applyFill="1" applyBorder="1" applyAlignment="1" applyProtection="1">
      <alignment horizontal="right" vertical="center" wrapText="1"/>
    </xf>
    <xf numFmtId="0" fontId="7" fillId="4" borderId="53" xfId="0" applyFont="1" applyFill="1" applyBorder="1" applyAlignment="1">
      <alignment horizontal="center" vertical="center"/>
    </xf>
    <xf numFmtId="0" fontId="7" fillId="3" borderId="53" xfId="0" applyFont="1" applyFill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169" fontId="27" fillId="0" borderId="14" xfId="0" applyNumberFormat="1" applyFont="1" applyBorder="1" applyAlignment="1">
      <alignment horizontal="center" vertical="center" wrapText="1"/>
    </xf>
    <xf numFmtId="0" fontId="7" fillId="3" borderId="56" xfId="0" applyFont="1" applyFill="1" applyBorder="1" applyAlignment="1">
      <alignment horizontal="left" vertical="center"/>
    </xf>
    <xf numFmtId="0" fontId="25" fillId="0" borderId="2" xfId="0" applyFont="1" applyBorder="1" applyAlignment="1">
      <alignment horizontal="left" indent="3"/>
    </xf>
    <xf numFmtId="0" fontId="18" fillId="3" borderId="57" xfId="0" applyFont="1" applyFill="1" applyBorder="1" applyAlignment="1">
      <alignment horizontal="center" vertical="center" wrapText="1"/>
    </xf>
    <xf numFmtId="0" fontId="18" fillId="3" borderId="53" xfId="0" applyFont="1" applyFill="1" applyBorder="1" applyAlignment="1">
      <alignment horizontal="center" vertical="center" wrapText="1"/>
    </xf>
    <xf numFmtId="0" fontId="25" fillId="0" borderId="7" xfId="0" applyFont="1" applyBorder="1" applyAlignment="1"/>
    <xf numFmtId="0" fontId="18" fillId="0" borderId="8" xfId="0" applyFont="1" applyBorder="1" applyAlignment="1">
      <alignment horizontal="center" wrapText="1"/>
    </xf>
    <xf numFmtId="0" fontId="18" fillId="0" borderId="8" xfId="0" applyFont="1" applyFill="1" applyBorder="1" applyAlignment="1">
      <alignment horizontal="center" wrapText="1"/>
    </xf>
    <xf numFmtId="0" fontId="18" fillId="0" borderId="9" xfId="0" applyFont="1" applyBorder="1" applyAlignment="1">
      <alignment horizontal="center" wrapText="1"/>
    </xf>
    <xf numFmtId="0" fontId="30" fillId="0" borderId="58" xfId="0" applyFont="1" applyBorder="1" applyAlignment="1">
      <alignment vertical="center"/>
    </xf>
    <xf numFmtId="0" fontId="17" fillId="5" borderId="59" xfId="0" applyFont="1" applyFill="1" applyBorder="1" applyAlignment="1">
      <alignment horizontal="center" vertical="center" wrapText="1"/>
    </xf>
    <xf numFmtId="0" fontId="17" fillId="0" borderId="59" xfId="0" applyFont="1" applyBorder="1" applyAlignment="1">
      <alignment horizontal="center" vertical="center"/>
    </xf>
    <xf numFmtId="170" fontId="17" fillId="5" borderId="59" xfId="0" applyNumberFormat="1" applyFont="1" applyFill="1" applyBorder="1" applyAlignment="1">
      <alignment horizontal="right" vertical="center" wrapText="1"/>
    </xf>
    <xf numFmtId="170" fontId="17" fillId="0" borderId="59" xfId="0" applyNumberFormat="1" applyFont="1" applyBorder="1" applyAlignment="1">
      <alignment horizontal="center"/>
    </xf>
    <xf numFmtId="0" fontId="30" fillId="0" borderId="59" xfId="0" applyFont="1" applyBorder="1" applyAlignment="1">
      <alignment horizontal="center" vertical="center"/>
    </xf>
    <xf numFmtId="0" fontId="30" fillId="0" borderId="58" xfId="0" applyFont="1" applyBorder="1" applyAlignment="1">
      <alignment vertical="center" wrapText="1"/>
    </xf>
    <xf numFmtId="170" fontId="17" fillId="5" borderId="59" xfId="0" applyNumberFormat="1" applyFont="1" applyFill="1" applyBorder="1" applyAlignment="1">
      <alignment horizontal="center"/>
    </xf>
    <xf numFmtId="0" fontId="17" fillId="5" borderId="59" xfId="0" applyFont="1" applyFill="1" applyBorder="1" applyAlignment="1">
      <alignment horizontal="center" vertical="center"/>
    </xf>
    <xf numFmtId="170" fontId="17" fillId="0" borderId="59" xfId="0" applyNumberFormat="1" applyFont="1" applyBorder="1" applyAlignment="1">
      <alignment horizontal="center" vertical="center"/>
    </xf>
    <xf numFmtId="170" fontId="17" fillId="5" borderId="59" xfId="0" applyNumberFormat="1" applyFont="1" applyFill="1" applyBorder="1" applyAlignment="1">
      <alignment horizontal="center" vertical="center"/>
    </xf>
    <xf numFmtId="0" fontId="30" fillId="0" borderId="59" xfId="0" applyFont="1" applyBorder="1" applyAlignment="1">
      <alignment vertical="center"/>
    </xf>
    <xf numFmtId="0" fontId="17" fillId="0" borderId="59" xfId="0" applyFont="1" applyBorder="1" applyAlignment="1">
      <alignment horizontal="center" vertical="center" wrapText="1"/>
    </xf>
    <xf numFmtId="0" fontId="0" fillId="0" borderId="59" xfId="0" applyFont="1" applyBorder="1" applyAlignment="1">
      <alignment vertical="center" wrapText="1"/>
    </xf>
    <xf numFmtId="0" fontId="29" fillId="0" borderId="59" xfId="0" applyFont="1" applyBorder="1" applyAlignment="1">
      <alignment horizontal="center" vertical="center"/>
    </xf>
    <xf numFmtId="0" fontId="22" fillId="0" borderId="59" xfId="0" applyFont="1" applyBorder="1" applyAlignment="1">
      <alignment horizontal="center" vertical="center"/>
    </xf>
    <xf numFmtId="170" fontId="17" fillId="0" borderId="59" xfId="0" applyNumberFormat="1" applyFont="1" applyBorder="1" applyAlignment="1">
      <alignment horizontal="right" vertical="center"/>
    </xf>
    <xf numFmtId="170" fontId="17" fillId="5" borderId="59" xfId="0" applyNumberFormat="1" applyFont="1" applyFill="1" applyBorder="1" applyAlignment="1">
      <alignment horizontal="right" vertical="center"/>
    </xf>
    <xf numFmtId="0" fontId="29" fillId="5" borderId="59" xfId="0" applyFont="1" applyFill="1" applyBorder="1" applyAlignment="1">
      <alignment horizontal="center" vertical="center"/>
    </xf>
    <xf numFmtId="0" fontId="30" fillId="0" borderId="60" xfId="0" applyFont="1" applyBorder="1" applyAlignment="1">
      <alignment vertical="center" wrapText="1"/>
    </xf>
    <xf numFmtId="0" fontId="0" fillId="0" borderId="60" xfId="0" applyFont="1" applyBorder="1" applyAlignment="1">
      <alignment vertical="center" wrapText="1"/>
    </xf>
    <xf numFmtId="0" fontId="30" fillId="0" borderId="58" xfId="0" applyFont="1" applyBorder="1" applyAlignment="1">
      <alignment horizontal="left" vertical="center" wrapText="1"/>
    </xf>
    <xf numFmtId="0" fontId="30" fillId="0" borderId="60" xfId="0" applyFont="1" applyBorder="1" applyAlignment="1">
      <alignment vertical="center"/>
    </xf>
    <xf numFmtId="0" fontId="30" fillId="0" borderId="58" xfId="0" applyFont="1" applyFill="1" applyBorder="1" applyAlignment="1">
      <alignment horizontal="left" vertical="center" wrapText="1"/>
    </xf>
    <xf numFmtId="0" fontId="30" fillId="3" borderId="58" xfId="0" applyFont="1" applyFill="1" applyBorder="1" applyAlignment="1">
      <alignment horizontal="left" vertical="center" wrapText="1"/>
    </xf>
    <xf numFmtId="0" fontId="30" fillId="5" borderId="59" xfId="0" applyFont="1" applyFill="1" applyBorder="1" applyAlignment="1">
      <alignment vertical="center"/>
    </xf>
    <xf numFmtId="0" fontId="30" fillId="0" borderId="58" xfId="0" applyFont="1" applyFill="1" applyBorder="1" applyAlignment="1">
      <alignment vertical="center" wrapText="1"/>
    </xf>
    <xf numFmtId="0" fontId="30" fillId="0" borderId="59" xfId="0" applyFont="1" applyBorder="1" applyAlignment="1">
      <alignment vertical="center" wrapText="1"/>
    </xf>
    <xf numFmtId="0" fontId="30" fillId="0" borderId="59" xfId="0" applyFont="1" applyFill="1" applyBorder="1" applyAlignment="1">
      <alignment vertical="center" wrapText="1"/>
    </xf>
    <xf numFmtId="0" fontId="30" fillId="0" borderId="59" xfId="0" applyFont="1" applyBorder="1" applyAlignment="1">
      <alignment horizontal="left" vertical="center" wrapText="1"/>
    </xf>
    <xf numFmtId="0" fontId="30" fillId="5" borderId="59" xfId="0" applyFont="1" applyFill="1" applyBorder="1" applyAlignment="1">
      <alignment horizontal="left" vertical="center" wrapText="1"/>
    </xf>
    <xf numFmtId="170" fontId="17" fillId="5" borderId="53" xfId="0" applyNumberFormat="1" applyFont="1" applyFill="1" applyBorder="1" applyAlignment="1">
      <alignment horizontal="center" vertical="center"/>
    </xf>
    <xf numFmtId="0" fontId="17" fillId="0" borderId="53" xfId="0" applyFont="1" applyBorder="1" applyAlignment="1">
      <alignment horizontal="center" vertical="center"/>
    </xf>
    <xf numFmtId="0" fontId="17" fillId="5" borderId="53" xfId="0" applyFont="1" applyFill="1" applyBorder="1" applyAlignment="1">
      <alignment horizontal="center" vertical="center" wrapText="1"/>
    </xf>
    <xf numFmtId="0" fontId="24" fillId="0" borderId="57" xfId="0" applyFont="1" applyBorder="1" applyAlignment="1">
      <alignment horizontal="center" vertical="center" wrapText="1"/>
    </xf>
    <xf numFmtId="0" fontId="30" fillId="0" borderId="53" xfId="0" applyFont="1" applyBorder="1" applyAlignment="1">
      <alignment vertical="center"/>
    </xf>
    <xf numFmtId="0" fontId="30" fillId="0" borderId="53" xfId="0" applyFont="1" applyBorder="1" applyAlignment="1">
      <alignment vertical="center" wrapText="1"/>
    </xf>
    <xf numFmtId="0" fontId="30" fillId="0" borderId="61" xfId="0" applyFont="1" applyBorder="1" applyAlignment="1">
      <alignment vertical="center"/>
    </xf>
    <xf numFmtId="0" fontId="30" fillId="5" borderId="59" xfId="0" applyFont="1" applyFill="1" applyBorder="1" applyAlignment="1">
      <alignment vertical="center" wrapText="1"/>
    </xf>
    <xf numFmtId="0" fontId="17" fillId="5" borderId="53" xfId="0" applyFont="1" applyFill="1" applyBorder="1" applyAlignment="1">
      <alignment horizontal="center" vertical="center"/>
    </xf>
    <xf numFmtId="0" fontId="29" fillId="0" borderId="53" xfId="0" applyFont="1" applyBorder="1" applyAlignment="1">
      <alignment horizontal="center" vertical="center"/>
    </xf>
    <xf numFmtId="170" fontId="17" fillId="0" borderId="53" xfId="0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left" vertical="center" wrapText="1"/>
    </xf>
    <xf numFmtId="0" fontId="18" fillId="4" borderId="5" xfId="5" applyFont="1" applyFill="1" applyBorder="1" applyAlignment="1">
      <alignment horizontal="left" wrapText="1"/>
    </xf>
    <xf numFmtId="0" fontId="18" fillId="4" borderId="0" xfId="5" applyFont="1" applyFill="1" applyBorder="1" applyAlignment="1">
      <alignment horizontal="left" wrapText="1"/>
    </xf>
    <xf numFmtId="0" fontId="18" fillId="4" borderId="6" xfId="5" applyFont="1" applyFill="1" applyBorder="1" applyAlignment="1">
      <alignment horizontal="left" wrapText="1"/>
    </xf>
    <xf numFmtId="0" fontId="19" fillId="0" borderId="0" xfId="0" applyFont="1" applyBorder="1" applyAlignment="1">
      <alignment horizontal="center"/>
    </xf>
    <xf numFmtId="0" fontId="26" fillId="4" borderId="0" xfId="0" applyFont="1" applyFill="1" applyBorder="1" applyAlignment="1">
      <alignment horizontal="left" wrapText="1" indent="1"/>
    </xf>
    <xf numFmtId="0" fontId="7" fillId="3" borderId="53" xfId="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left" vertical="center" wrapText="1"/>
    </xf>
    <xf numFmtId="0" fontId="9" fillId="3" borderId="14" xfId="0" applyFont="1" applyFill="1" applyBorder="1" applyAlignment="1">
      <alignment horizontal="left" vertical="center" wrapText="1" indent="1"/>
    </xf>
    <xf numFmtId="0" fontId="10" fillId="3" borderId="15" xfId="0" applyFont="1" applyFill="1" applyBorder="1" applyAlignment="1">
      <alignment horizontal="left" vertical="center" wrapText="1"/>
    </xf>
    <xf numFmtId="0" fontId="9" fillId="4" borderId="17" xfId="0" applyFont="1" applyFill="1" applyBorder="1" applyAlignment="1">
      <alignment horizontal="left" vertical="center" wrapText="1" indent="1"/>
    </xf>
    <xf numFmtId="0" fontId="11" fillId="3" borderId="16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left" vertical="center"/>
    </xf>
    <xf numFmtId="167" fontId="10" fillId="3" borderId="14" xfId="0" applyNumberFormat="1" applyFont="1" applyFill="1" applyBorder="1" applyAlignment="1">
      <alignment horizontal="center" vertical="center"/>
    </xf>
    <xf numFmtId="0" fontId="0" fillId="0" borderId="19" xfId="0" applyFont="1" applyBorder="1" applyAlignment="1">
      <alignment horizontal="center"/>
    </xf>
    <xf numFmtId="3" fontId="12" fillId="0" borderId="20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 vertical="center" wrapText="1"/>
    </xf>
    <xf numFmtId="0" fontId="5" fillId="0" borderId="11" xfId="0" applyFont="1" applyBorder="1"/>
    <xf numFmtId="0" fontId="14" fillId="0" borderId="11" xfId="0" applyFont="1" applyBorder="1" applyAlignment="1">
      <alignment horizontal="left" indent="1"/>
    </xf>
    <xf numFmtId="0" fontId="7" fillId="0" borderId="13" xfId="0" applyFont="1" applyBorder="1" applyAlignment="1">
      <alignment horizontal="left" vertical="center" wrapText="1"/>
    </xf>
    <xf numFmtId="0" fontId="7" fillId="0" borderId="38" xfId="0" applyFont="1" applyBorder="1" applyAlignment="1">
      <alignment horizontal="left" vertical="center" wrapText="1"/>
    </xf>
    <xf numFmtId="0" fontId="7" fillId="0" borderId="39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/>
    </xf>
    <xf numFmtId="0" fontId="14" fillId="0" borderId="22" xfId="0" applyFont="1" applyBorder="1"/>
    <xf numFmtId="0" fontId="14" fillId="0" borderId="23" xfId="0" applyFont="1" applyBorder="1" applyAlignment="1">
      <alignment horizontal="left" vertical="center" wrapText="1" indent="1"/>
    </xf>
    <xf numFmtId="0" fontId="16" fillId="0" borderId="21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48" xfId="0" applyFont="1" applyBorder="1" applyAlignment="1">
      <alignment horizontal="center" vertical="center" wrapText="1"/>
    </xf>
    <xf numFmtId="0" fontId="16" fillId="0" borderId="49" xfId="0" applyFont="1" applyBorder="1" applyAlignment="1">
      <alignment horizontal="center" vertical="center" wrapText="1"/>
    </xf>
    <xf numFmtId="0" fontId="16" fillId="0" borderId="51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/>
    </xf>
    <xf numFmtId="0" fontId="28" fillId="0" borderId="62" xfId="0" applyFont="1" applyFill="1" applyBorder="1" applyAlignment="1">
      <alignment horizontal="left" vertical="center" wrapText="1"/>
    </xf>
    <xf numFmtId="0" fontId="28" fillId="0" borderId="63" xfId="0" applyFont="1" applyFill="1" applyBorder="1" applyAlignment="1">
      <alignment horizontal="left" vertical="center" wrapText="1"/>
    </xf>
    <xf numFmtId="0" fontId="28" fillId="0" borderId="28" xfId="0" applyFont="1" applyFill="1" applyBorder="1" applyAlignment="1">
      <alignment horizontal="left" vertical="center" wrapText="1"/>
    </xf>
    <xf numFmtId="0" fontId="12" fillId="0" borderId="19" xfId="0" applyFont="1" applyBorder="1" applyAlignment="1">
      <alignment vertical="center" wrapText="1"/>
    </xf>
    <xf numFmtId="0" fontId="12" fillId="0" borderId="37" xfId="0" applyFont="1" applyBorder="1" applyAlignment="1">
      <alignment vertical="center" wrapText="1"/>
    </xf>
    <xf numFmtId="0" fontId="12" fillId="0" borderId="17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4" fillId="4" borderId="36" xfId="0" applyFont="1" applyFill="1" applyBorder="1" applyAlignment="1">
      <alignment horizontal="left" vertical="center" wrapText="1" indent="1"/>
    </xf>
    <xf numFmtId="0" fontId="0" fillId="0" borderId="30" xfId="0" applyFont="1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12" fillId="0" borderId="36" xfId="0" applyFont="1" applyBorder="1" applyAlignment="1">
      <alignment horizontal="left" vertical="center" wrapText="1"/>
    </xf>
    <xf numFmtId="0" fontId="0" fillId="0" borderId="21" xfId="0" applyBorder="1"/>
  </cellXfs>
  <cellStyles count="9">
    <cellStyle name="Encabezado 1" xfId="2" xr:uid="{00000000-0005-0000-0000-000000000000}"/>
    <cellStyle name="Millares 2" xfId="6" xr:uid="{00000000-0005-0000-0000-000001000000}"/>
    <cellStyle name="Moneda" xfId="1" builtinId="4"/>
    <cellStyle name="Moneda_AUTORIZACION Y NOTA DE PEDIDO" xfId="3" xr:uid="{00000000-0005-0000-0000-000003000000}"/>
    <cellStyle name="Neutral 1" xfId="4" xr:uid="{00000000-0005-0000-0000-000004000000}"/>
    <cellStyle name="Normal" xfId="0" builtinId="0"/>
    <cellStyle name="Normal 2 3" xfId="5" xr:uid="{00000000-0005-0000-0000-000006000000}"/>
    <cellStyle name="Normal 3" xfId="7" xr:uid="{00000000-0005-0000-0000-000007000000}"/>
    <cellStyle name="Normal 4" xfId="8" xr:uid="{00000000-0005-0000-0000-000008000000}"/>
  </cellStyles>
  <dxfs count="1">
    <dxf>
      <fill>
        <patternFill patternType="solid">
          <fgColor rgb="FFC6D9F0"/>
          <bgColor rgb="FFC6D9F0"/>
        </patternFill>
      </fill>
      <border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ESCARTABLES%20DE%20FARMACIA%202e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10">
          <cell r="E10" t="str">
            <v>ALCOHOL 96 % X 500 ML</v>
          </cell>
          <cell r="F10" t="str">
            <v xml:space="preserve">ANTISEPTICO Y DESINFECTANTES </v>
          </cell>
        </row>
        <row r="11">
          <cell r="E11" t="str">
            <v>BARBIJOS DE ALTA EFICIENCIA TIPO N95</v>
          </cell>
          <cell r="F11" t="str">
            <v>INS COVID</v>
          </cell>
        </row>
        <row r="12">
          <cell r="E12" t="str">
            <v>BOLSA P/COLOSTOMIA PEDIATRICA</v>
          </cell>
          <cell r="F12" t="str">
            <v xml:space="preserve">DESC COMPLEJOS </v>
          </cell>
        </row>
        <row r="13">
          <cell r="E13" t="str">
            <v xml:space="preserve">CAMARA HUMIDIFICADORA DESCARTABLE TIPO FISHER PAIKEL </v>
          </cell>
          <cell r="F13" t="str">
            <v>INS COVID</v>
          </cell>
        </row>
        <row r="14">
          <cell r="E14" t="str">
            <v>CAMISOLIN DESCARTABLE DE TELA SMS 50 GRAMOS CON MANGA Y PUÑOS DE 1,4 M DE LARGO</v>
          </cell>
          <cell r="F14" t="str">
            <v>INS COVID</v>
          </cell>
        </row>
        <row r="15">
          <cell r="E15" t="str">
            <v>CANASTILLA DE DORMIA</v>
          </cell>
          <cell r="F15" t="str">
            <v xml:space="preserve">DESC COMPLEJOS </v>
          </cell>
        </row>
        <row r="16">
          <cell r="E16" t="str">
            <v>CANULA NASAL DE ALTO FLUJO TIPO OPTIFLOW INFANTIL F&amp;P OPT 316</v>
          </cell>
          <cell r="F16" t="str">
            <v>INS COVID</v>
          </cell>
        </row>
        <row r="17">
          <cell r="E17" t="str">
            <v>CANULA NASAL DE ALTO FLUJO TIPO OPTIFLOW PEDIATRICA F&amp;P OPT 318</v>
          </cell>
          <cell r="F17" t="str">
            <v>INS COVID</v>
          </cell>
        </row>
        <row r="18">
          <cell r="E18" t="str">
            <v>CANULA NASAL PARA OXIGENOTERAPIA NEONATAL</v>
          </cell>
          <cell r="F18" t="str">
            <v>INS COVID</v>
          </cell>
        </row>
        <row r="19">
          <cell r="E19" t="str">
            <v>CANULA NASAL PARA OXIGENOTERAPIA PEDIATRICO</v>
          </cell>
          <cell r="F19" t="str">
            <v>INS COVID</v>
          </cell>
        </row>
        <row r="20">
          <cell r="E20" t="str">
            <v xml:space="preserve">CANULA PARA TRAQUEOSTOMIA  N°6.5 </v>
          </cell>
          <cell r="F20" t="str">
            <v xml:space="preserve">DESC COMPLEJOS </v>
          </cell>
        </row>
        <row r="21">
          <cell r="E21" t="str">
            <v xml:space="preserve">CANULA PARA TRAQUEOSTOMIA  Nº 4 </v>
          </cell>
          <cell r="F21" t="str">
            <v xml:space="preserve">DESC COMPLEJOS </v>
          </cell>
        </row>
        <row r="22">
          <cell r="E22" t="str">
            <v>CANULA PARA TRAQUEOSTOMIA  Nº 41/2</v>
          </cell>
          <cell r="F22" t="str">
            <v xml:space="preserve">DESC COMPLEJOS </v>
          </cell>
        </row>
        <row r="23">
          <cell r="E23" t="str">
            <v xml:space="preserve">CANULA PARA TRAQUEOSTOMIA N°5-5 </v>
          </cell>
          <cell r="F23" t="str">
            <v xml:space="preserve">DESC COMPLEJOS </v>
          </cell>
        </row>
        <row r="24">
          <cell r="E24" t="str">
            <v>CANULA PARA TRAQUEOTOMIA  Nº 5</v>
          </cell>
          <cell r="F24" t="str">
            <v xml:space="preserve">DESC COMPLEJOS </v>
          </cell>
        </row>
        <row r="25">
          <cell r="E25" t="str">
            <v>CATÉTER DE DIÁLISIS PERITONEAL 12FR. T/SILMAG</v>
          </cell>
          <cell r="F25" t="str">
            <v xml:space="preserve">DESC COMPLEJOS </v>
          </cell>
        </row>
        <row r="26">
          <cell r="E26" t="str">
            <v xml:space="preserve">CATÉTER DE DIALISIS PERITONEAL 15FR. T/SILMAG </v>
          </cell>
          <cell r="F26" t="str">
            <v xml:space="preserve">DESC COMPLEJOS </v>
          </cell>
        </row>
        <row r="27">
          <cell r="E27" t="str">
            <v>CATETER DOBLE P/DIAG.NEUMONIA T/BRONCHOCATH DCD</v>
          </cell>
          <cell r="F27" t="str">
            <v xml:space="preserve">DESC COMPLEJOS </v>
          </cell>
        </row>
        <row r="28">
          <cell r="E28" t="str">
            <v>CATETER FOGARTY Nº 3</v>
          </cell>
          <cell r="F28" t="str">
            <v xml:space="preserve">DESC COMPLEJOS </v>
          </cell>
        </row>
        <row r="29">
          <cell r="E29" t="str">
            <v>CATETER FOGARTY Nº 4</v>
          </cell>
          <cell r="F29" t="str">
            <v xml:space="preserve">DESC COMPLEJOS </v>
          </cell>
        </row>
        <row r="30">
          <cell r="E30" t="str">
            <v>CATETER FOGARTY Nº 5</v>
          </cell>
          <cell r="F30" t="str">
            <v xml:space="preserve">DESC COMPLEJOS </v>
          </cell>
        </row>
        <row r="31">
          <cell r="E31" t="str">
            <v>CIRCUITO RESPIRADOR CON TRAMPA DE AGUA DESCARTABLE ADULTO</v>
          </cell>
          <cell r="F31" t="str">
            <v>INS COVID</v>
          </cell>
        </row>
        <row r="32">
          <cell r="E32" t="str">
            <v>CIRCUITO RESPIRADOR CON TRAMPA DE AGUA DESCARTABLE PEDIATRICO</v>
          </cell>
          <cell r="F32" t="str">
            <v>INS COVID</v>
          </cell>
        </row>
        <row r="33">
          <cell r="E33" t="str">
            <v>CLAVIJAS DE ACERO 1,5MM</v>
          </cell>
          <cell r="F33" t="str">
            <v xml:space="preserve">DESC COMPLEJOS </v>
          </cell>
        </row>
        <row r="34">
          <cell r="E34" t="str">
            <v>CLAVIJAS ULTRAFINA 1 MM</v>
          </cell>
          <cell r="F34" t="str">
            <v xml:space="preserve">DESC COMPLEJOS </v>
          </cell>
        </row>
        <row r="35">
          <cell r="E35" t="str">
            <v>CLORHEXIDINA 2% SOLUCION ACUOSA X 250 ML</v>
          </cell>
          <cell r="F35" t="str">
            <v xml:space="preserve">ANTISEPTICO Y DESINFECTANTES </v>
          </cell>
        </row>
        <row r="36">
          <cell r="E36" t="str">
            <v>EQUIPO P/DIALISIS PERITONEAL PED.T/V-308</v>
          </cell>
          <cell r="F36" t="str">
            <v xml:space="preserve">DESC COMPLEJOS </v>
          </cell>
        </row>
        <row r="37">
          <cell r="E37" t="str">
            <v xml:space="preserve">FILTRO P/REMOCION DE LEUCOCITOS </v>
          </cell>
          <cell r="F37" t="str">
            <v xml:space="preserve">DESC COMPLEJOS </v>
          </cell>
        </row>
        <row r="38">
          <cell r="E38" t="str">
            <v>FRASCO PARA DRENAJE TORACICO x 2500 ML</v>
          </cell>
          <cell r="F38" t="str">
            <v xml:space="preserve">DESC COMPLEJOS </v>
          </cell>
        </row>
        <row r="39">
          <cell r="E39" t="str">
            <v>FRASCO PARA DRENAJE TORACICO x 750 ML</v>
          </cell>
          <cell r="F39" t="str">
            <v xml:space="preserve">DESC COMPLEJOS </v>
          </cell>
        </row>
        <row r="40">
          <cell r="E40" t="str">
            <v>GUANTES DE CIRUGIA ESTERIL Nº 6 1/2 PAR. ANATOMICOS . CAÑA LARGA SIN TALCO</v>
          </cell>
          <cell r="F40" t="str">
            <v>INS COVID</v>
          </cell>
        </row>
        <row r="41">
          <cell r="E41" t="str">
            <v>GUANTES DE CIRUGIA ESTERIL Nº 7  PAR. ANATOMICOS . CAÑA LARGA SIN TALCO</v>
          </cell>
          <cell r="F41" t="str">
            <v>INS COVID</v>
          </cell>
        </row>
        <row r="42">
          <cell r="E42" t="str">
            <v>GUANTES DE CIRUGIA ESTERIL Nº 7 1/2 PAR.  ANATOMICOS . CAÑA LARGA SIN TALCO</v>
          </cell>
          <cell r="F42" t="str">
            <v>INS COVID</v>
          </cell>
        </row>
        <row r="43">
          <cell r="E43" t="str">
            <v>GUANTES DE CIRUGIA ESTERIL Nº 8 PAR.  ANATOMICOS . CAÑA LARGA SIN TALCO</v>
          </cell>
          <cell r="F43" t="str">
            <v>INS COVID</v>
          </cell>
        </row>
        <row r="44">
          <cell r="E44" t="str">
            <v>GUANTES DE CIRUGIA ESTERIL Nº 81/2 PAR. ANATOMICOS . CAÑA LARGA SIN TALCO</v>
          </cell>
          <cell r="F44" t="str">
            <v>INS COVID</v>
          </cell>
        </row>
        <row r="45">
          <cell r="E45" t="str">
            <v>LIMPIADOR DESINFECTANTE PARA AREAS CRITICAS  EN BASE A PEROXOSULFATO ACIDO DE POTASIO (0,46% activo por litro) .SOBRE POR 20 GRS . Estabilidad: 15 días desde su preparación. Aprobación PM ANMAT.</v>
          </cell>
          <cell r="F45" t="str">
            <v>INS COVID</v>
          </cell>
        </row>
        <row r="46">
          <cell r="E46" t="str">
            <v>LOCION ALCOHOLICA BACTERICIDA CON CLORHEXIDINA + EMOLIENTES  X 800 ML  TIPO ADOX  L9   Envase BAG IN BOX</v>
          </cell>
          <cell r="F46" t="str">
            <v xml:space="preserve">ANTISEPTICO Y DESINFECTANTES </v>
          </cell>
        </row>
        <row r="47">
          <cell r="E47" t="str">
            <v>MALLA ABSORBIBLE POLIGLICOLICO 30 X 30 TIPO VICRYL</v>
          </cell>
          <cell r="F47" t="str">
            <v xml:space="preserve">DESC COMPLEJOS </v>
          </cell>
        </row>
        <row r="48">
          <cell r="E48" t="str">
            <v xml:space="preserve">MALLA QUIRURGICA SINTETICA NO ABSORBIBLE 30 X 30 TIPO PROLENE </v>
          </cell>
          <cell r="F48" t="str">
            <v xml:space="preserve">DESC COMPLEJOS </v>
          </cell>
        </row>
        <row r="49">
          <cell r="E49" t="str">
            <v>ORTOFTALDEHIDO 0,55 % BIDON 3,78 LITOS / 5 LITROS</v>
          </cell>
          <cell r="F49" t="str">
            <v xml:space="preserve">ANTISEPTICO Y DESINFECTANTES </v>
          </cell>
        </row>
        <row r="50">
          <cell r="E50" t="str">
            <v>SET CATETER PERIDURAL N 18</v>
          </cell>
          <cell r="F50" t="str">
            <v xml:space="preserve">DESC COMPLEJOS </v>
          </cell>
        </row>
        <row r="51">
          <cell r="E51" t="str">
            <v>SET DE VIA CENTRAL DOBLE LUMEN 4  FRENCH  /13 CM 22/22 G TIPO ARROW</v>
          </cell>
          <cell r="F51" t="str">
            <v xml:space="preserve">DESC COMPLEJOS </v>
          </cell>
        </row>
        <row r="52">
          <cell r="E52" t="str">
            <v>SET.P/DRENAJE VENTRICULAR EXT. X 1COD.130/09 T/SIL</v>
          </cell>
          <cell r="F52" t="str">
            <v xml:space="preserve">DESC COMPLEJOS </v>
          </cell>
        </row>
        <row r="53">
          <cell r="E53" t="str">
            <v>SONDA GASTRICA SILICONA PURA SP391-10</v>
          </cell>
          <cell r="F53" t="str">
            <v xml:space="preserve">DESC COMPLEJOS </v>
          </cell>
        </row>
        <row r="54">
          <cell r="E54" t="str">
            <v>SONDA GASTRICA SILICONA PURA SP392-07</v>
          </cell>
          <cell r="F54" t="str">
            <v xml:space="preserve">DESC COMPLEJOS </v>
          </cell>
        </row>
        <row r="55">
          <cell r="E55" t="str">
            <v>SONDA GASTRICA SILICONA PURA SP392-09</v>
          </cell>
          <cell r="F55" t="str">
            <v xml:space="preserve">DESC COMPLEJOS </v>
          </cell>
        </row>
        <row r="56">
          <cell r="E56" t="str">
            <v>SONDA P/ASP.MUCUS C/REG.2,3 MM X 7 FR K-26P</v>
          </cell>
          <cell r="F56" t="str">
            <v>INS COVID</v>
          </cell>
        </row>
        <row r="57">
          <cell r="E57" t="str">
            <v>SONDA P/ASP.MUCUS C/REG.2,7 MM X 8 FR K-28P</v>
          </cell>
          <cell r="F57" t="str">
            <v>INS COVID</v>
          </cell>
        </row>
        <row r="58">
          <cell r="E58" t="str">
            <v>TROCAR D/BIOPSIA D/MEDULA OSEA NEONATAL T/MONOJET-</v>
          </cell>
          <cell r="F58" t="str">
            <v xml:space="preserve">DESC COMPLEJOS </v>
          </cell>
        </row>
        <row r="59">
          <cell r="E59" t="str">
            <v>TROCAR D/BIOPSIA D/MEDULA OSEA PEDIATRICO T/MONOJE</v>
          </cell>
          <cell r="F59" t="str">
            <v xml:space="preserve">DESC COMPLEJOS </v>
          </cell>
        </row>
        <row r="60">
          <cell r="E60" t="str">
            <v>TROCAR D/PUNCION ASP.D/MEDULA OSEA NEONATAL T/GALL</v>
          </cell>
          <cell r="F60" t="str">
            <v xml:space="preserve">DESC COMPLEJOS </v>
          </cell>
        </row>
        <row r="61">
          <cell r="E61" t="str">
            <v>TROCAR D/PUNCION ASP.D/MEDULA OSEA PEDIATRICO T/GA</v>
          </cell>
          <cell r="F61" t="str">
            <v xml:space="preserve">DESC COMPLEJOS </v>
          </cell>
        </row>
        <row r="62">
          <cell r="E62" t="str">
            <v>TUBO DE INTUBACION SELECTIVA DERECHO CH 25</v>
          </cell>
          <cell r="F62" t="str">
            <v xml:space="preserve">DESC COMPLEJOS </v>
          </cell>
        </row>
        <row r="63">
          <cell r="E63" t="str">
            <v>TUBO DE INTUBACION SELECTIVA DERECHO CH 37</v>
          </cell>
          <cell r="F63" t="str">
            <v xml:space="preserve">DESC COMPLEJOS </v>
          </cell>
        </row>
        <row r="64">
          <cell r="E64" t="str">
            <v>TUBO DE INTUBACION SELECTIVA IZQUIERDO CH 25</v>
          </cell>
          <cell r="F64" t="str">
            <v xml:space="preserve">DESC COMPLEJOS </v>
          </cell>
        </row>
        <row r="65">
          <cell r="E65" t="str">
            <v>TUBO DE INTUBACION SELECTIVA IZQUIERDO CH 35</v>
          </cell>
          <cell r="F65" t="str">
            <v xml:space="preserve">DESC COMPLEJOS </v>
          </cell>
        </row>
        <row r="66">
          <cell r="E66" t="str">
            <v>TUBO DE INTUBACION SELECTIVA IZQUIERDO CH 37</v>
          </cell>
          <cell r="F66" t="str">
            <v xml:space="preserve">DESC COMPLEJOS </v>
          </cell>
        </row>
        <row r="67">
          <cell r="E67" t="str">
            <v>TUBO ENDOTRAQUEAL CON BALON Nº 3</v>
          </cell>
          <cell r="F67" t="str">
            <v>INS COVID</v>
          </cell>
        </row>
        <row r="68">
          <cell r="E68" t="str">
            <v>TUBO ENDOTRAQUEAL CON BALON Nº 3.5</v>
          </cell>
          <cell r="F68" t="str">
            <v>INS COVID</v>
          </cell>
        </row>
        <row r="69">
          <cell r="E69" t="str">
            <v>TUBO ENDOTRAQUEAL CON BALON Nº 7</v>
          </cell>
          <cell r="F69" t="str">
            <v>INS COVID</v>
          </cell>
        </row>
        <row r="70">
          <cell r="E70" t="str">
            <v>TUBO ENDOTRAQUEAL CON BALON Nº 71/2</v>
          </cell>
          <cell r="F70" t="str">
            <v>INS COVID</v>
          </cell>
        </row>
        <row r="71">
          <cell r="E71" t="str">
            <v>TUBO ENDOTRAQUEALES  S/B 3</v>
          </cell>
          <cell r="F71" t="str">
            <v>INS COVID</v>
          </cell>
        </row>
        <row r="72">
          <cell r="E72" t="str">
            <v>TUBO ENDOTRAQUEALES  S/B 3,5</v>
          </cell>
          <cell r="F72" t="str">
            <v>INS COVID</v>
          </cell>
        </row>
        <row r="73">
          <cell r="E73" t="str">
            <v>TUBO MAYO GUEDEL N 0</v>
          </cell>
          <cell r="F73" t="str">
            <v>INS COVID</v>
          </cell>
        </row>
        <row r="74">
          <cell r="E74" t="str">
            <v>TUBO MAYO GUEDEL N 00</v>
          </cell>
          <cell r="F74" t="str">
            <v>INS COVID</v>
          </cell>
        </row>
        <row r="75">
          <cell r="E75" t="str">
            <v>TUBO MAYO GUEDEL N 5</v>
          </cell>
          <cell r="F75" t="str">
            <v>INS COVID</v>
          </cell>
        </row>
        <row r="76">
          <cell r="E76" t="str">
            <v xml:space="preserve">TUBO MAYO GUEDEL N°1 </v>
          </cell>
          <cell r="F76" t="str">
            <v>INS COVID</v>
          </cell>
        </row>
        <row r="77">
          <cell r="E77" t="str">
            <v xml:space="preserve">TUBO MAYO GUEDEL N°2 </v>
          </cell>
          <cell r="F77" t="str">
            <v>INS COVID</v>
          </cell>
        </row>
        <row r="78">
          <cell r="E78" t="str">
            <v xml:space="preserve">TUBO MAYO GUEDEL N°3 </v>
          </cell>
          <cell r="F78" t="str">
            <v>INS COVID</v>
          </cell>
        </row>
        <row r="79">
          <cell r="E79" t="str">
            <v xml:space="preserve">TUBO MAYO GUEDEL N°4 </v>
          </cell>
          <cell r="F79" t="str">
            <v>INS COVID</v>
          </cell>
        </row>
        <row r="80">
          <cell r="E80" t="str">
            <v>TUBO P/DRENAJE 110-12-SILMAG</v>
          </cell>
          <cell r="F80" t="str">
            <v xml:space="preserve">DESC COMPLEJOS </v>
          </cell>
        </row>
        <row r="81">
          <cell r="E81" t="str">
            <v>TUBO P/DRENAJE 110-16-SILMAG</v>
          </cell>
          <cell r="F81" t="str">
            <v xml:space="preserve">DESC COMPLEJOS </v>
          </cell>
        </row>
        <row r="82">
          <cell r="E82" t="str">
            <v>TUBO P/DRENAJE 110-20-SILMAG</v>
          </cell>
          <cell r="F82" t="str">
            <v xml:space="preserve">DESC COMPLEJOS </v>
          </cell>
        </row>
        <row r="83">
          <cell r="E83" t="str">
            <v>TUBO P/DRENAJE 110-24-SILMAG</v>
          </cell>
          <cell r="F83" t="str">
            <v xml:space="preserve">DESC COMPLEJOS </v>
          </cell>
        </row>
        <row r="84">
          <cell r="E84" t="str">
            <v>TUBO P/DRENAJE 110-28-SILMAG</v>
          </cell>
          <cell r="F84" t="str">
            <v xml:space="preserve">DESC COMPLEJOS </v>
          </cell>
        </row>
        <row r="85">
          <cell r="E85" t="str">
            <v>TUBULADURA PVC 6X9 X 50 USO MEDICINAL</v>
          </cell>
          <cell r="F85" t="str">
            <v>INS COVID</v>
          </cell>
        </row>
        <row r="86">
          <cell r="E86" t="str">
            <v>TUBULADURA PVC 7,9 X 12,70 x 50  USO MEDICINAL</v>
          </cell>
          <cell r="F86" t="str">
            <v>INS COVID</v>
          </cell>
        </row>
        <row r="87">
          <cell r="E87" t="str">
            <v>TUBULADURA PVC 8 X11 X 50  USO MEDICINAL</v>
          </cell>
          <cell r="F87" t="str">
            <v>INS COVID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94"/>
  <sheetViews>
    <sheetView tabSelected="1" topLeftCell="A4" zoomScale="93" zoomScaleNormal="93" workbookViewId="0">
      <selection activeCell="C18" sqref="C18"/>
    </sheetView>
  </sheetViews>
  <sheetFormatPr baseColWidth="10" defaultColWidth="11" defaultRowHeight="12.75" x14ac:dyDescent="0.2"/>
  <cols>
    <col min="1" max="1" width="6.42578125" style="26" customWidth="1"/>
    <col min="2" max="2" width="11.42578125" style="26" customWidth="1"/>
    <col min="3" max="3" width="28.42578125" style="26" customWidth="1"/>
    <col min="4" max="4" width="8.42578125" style="26" customWidth="1"/>
    <col min="5" max="5" width="57.7109375" style="26" customWidth="1"/>
    <col min="6" max="6" width="11" style="26"/>
    <col min="7" max="7" width="10.85546875" style="26" customWidth="1"/>
    <col min="8" max="8" width="13.85546875" style="45" customWidth="1"/>
    <col min="9" max="9" width="18.5703125" style="26" customWidth="1"/>
    <col min="10" max="10" width="11" style="26"/>
    <col min="11" max="11" width="12.140625" style="26" bestFit="1" customWidth="1"/>
    <col min="12" max="12" width="13.140625" style="26" customWidth="1"/>
    <col min="13" max="16384" width="11" style="26"/>
  </cols>
  <sheetData>
    <row r="2" spans="1:11" ht="27" x14ac:dyDescent="0.35">
      <c r="B2" s="124" t="s">
        <v>0</v>
      </c>
      <c r="C2" s="124"/>
      <c r="D2" s="124"/>
      <c r="E2" s="124"/>
      <c r="F2" s="124"/>
      <c r="G2" s="124"/>
      <c r="H2" s="124"/>
    </row>
    <row r="3" spans="1:11" ht="12" customHeight="1" x14ac:dyDescent="0.2"/>
    <row r="4" spans="1:11" ht="18" customHeight="1" x14ac:dyDescent="0.25">
      <c r="A4" s="120" t="s">
        <v>1</v>
      </c>
      <c r="B4" s="120"/>
      <c r="C4" s="125" t="s">
        <v>52</v>
      </c>
      <c r="D4" s="125"/>
      <c r="E4" s="125"/>
      <c r="F4" s="27"/>
      <c r="G4" s="28"/>
      <c r="H4" s="46"/>
    </row>
    <row r="5" spans="1:11" ht="18" customHeight="1" x14ac:dyDescent="0.25">
      <c r="A5" s="120" t="s">
        <v>2</v>
      </c>
      <c r="B5" s="120"/>
      <c r="C5" s="125" t="s">
        <v>51</v>
      </c>
      <c r="D5" s="125"/>
      <c r="E5" s="125"/>
      <c r="F5" s="27"/>
      <c r="G5" s="28" t="s">
        <v>55</v>
      </c>
      <c r="H5" s="46"/>
    </row>
    <row r="6" spans="1:11" ht="16.5" customHeight="1" x14ac:dyDescent="0.25">
      <c r="A6" s="120" t="s">
        <v>3</v>
      </c>
      <c r="B6" s="120"/>
      <c r="C6" s="42">
        <v>2021</v>
      </c>
      <c r="D6" s="43"/>
      <c r="E6" s="43"/>
      <c r="F6" s="27"/>
      <c r="G6" s="28"/>
      <c r="H6" s="46"/>
    </row>
    <row r="7" spans="1:11" ht="16.5" customHeight="1" x14ac:dyDescent="0.25">
      <c r="A7" s="120" t="s">
        <v>4</v>
      </c>
      <c r="B7" s="120"/>
      <c r="C7" s="42">
        <v>4</v>
      </c>
      <c r="D7" s="43"/>
      <c r="E7" s="43"/>
      <c r="F7" s="27"/>
      <c r="G7" s="28"/>
      <c r="H7" s="46"/>
    </row>
    <row r="8" spans="1:11" ht="13.5" thickBot="1" x14ac:dyDescent="0.25">
      <c r="B8" s="27"/>
      <c r="C8" s="28"/>
      <c r="D8" s="27"/>
      <c r="E8" s="27"/>
      <c r="F8" s="27"/>
      <c r="G8" s="28"/>
      <c r="H8" s="46"/>
      <c r="J8" s="44"/>
    </row>
    <row r="9" spans="1:11" ht="36.75" thickBot="1" x14ac:dyDescent="0.25">
      <c r="A9" s="68" t="s">
        <v>5</v>
      </c>
      <c r="B9" s="68" t="s">
        <v>6</v>
      </c>
      <c r="C9" s="68" t="s">
        <v>7</v>
      </c>
      <c r="D9" s="68" t="s">
        <v>8</v>
      </c>
      <c r="E9" s="68" t="s">
        <v>9</v>
      </c>
      <c r="F9" s="68" t="s">
        <v>10</v>
      </c>
      <c r="G9" s="68" t="s">
        <v>11</v>
      </c>
      <c r="H9" s="69" t="s">
        <v>12</v>
      </c>
      <c r="I9" s="68" t="s">
        <v>13</v>
      </c>
    </row>
    <row r="10" spans="1:11" ht="25.5" x14ac:dyDescent="0.2">
      <c r="A10" s="59">
        <v>1</v>
      </c>
      <c r="B10" s="58" t="str">
        <f>+VLOOKUP(E10,'[1]Necesidades Trimestrales'!$E$10:$F$87,2,0)</f>
        <v xml:space="preserve">ANTISEPTICO Y DESINFECTANTES </v>
      </c>
      <c r="C10" s="60" t="s">
        <v>57</v>
      </c>
      <c r="D10" s="112">
        <v>252</v>
      </c>
      <c r="E10" s="99" t="s">
        <v>152</v>
      </c>
      <c r="F10" s="79" t="s">
        <v>145</v>
      </c>
      <c r="G10" s="80">
        <v>3000</v>
      </c>
      <c r="H10" s="88">
        <v>115</v>
      </c>
      <c r="I10" s="61">
        <f t="shared" ref="I10" si="0">+G10*H10</f>
        <v>345000</v>
      </c>
      <c r="K10" s="33"/>
    </row>
    <row r="11" spans="1:11" ht="25.5" x14ac:dyDescent="0.2">
      <c r="A11" s="59">
        <v>2</v>
      </c>
      <c r="B11" s="58" t="str">
        <f>+VLOOKUP(E11,'[1]Necesidades Trimestrales'!$E$10:$F$87,2,0)</f>
        <v>INS COVID</v>
      </c>
      <c r="C11" s="60" t="s">
        <v>57</v>
      </c>
      <c r="D11" s="72">
        <v>295</v>
      </c>
      <c r="E11" s="99" t="s">
        <v>105</v>
      </c>
      <c r="F11" s="79" t="s">
        <v>58</v>
      </c>
      <c r="G11" s="92">
        <v>5000</v>
      </c>
      <c r="H11" s="82">
        <v>69</v>
      </c>
      <c r="I11" s="61">
        <f t="shared" ref="I11:I40" si="1">+G11*H11</f>
        <v>345000</v>
      </c>
    </row>
    <row r="12" spans="1:11" ht="25.5" x14ac:dyDescent="0.2">
      <c r="A12" s="59">
        <v>3</v>
      </c>
      <c r="B12" s="58" t="str">
        <f>+VLOOKUP(E12,'[1]Necesidades Trimestrales'!$E$10:$F$87,2,0)</f>
        <v xml:space="preserve">DESC COMPLEJOS </v>
      </c>
      <c r="C12" s="60" t="s">
        <v>57</v>
      </c>
      <c r="D12" s="72">
        <v>295</v>
      </c>
      <c r="E12" s="78" t="s">
        <v>100</v>
      </c>
      <c r="F12" s="79" t="s">
        <v>58</v>
      </c>
      <c r="G12" s="80">
        <v>50</v>
      </c>
      <c r="H12" s="81">
        <v>280</v>
      </c>
      <c r="I12" s="61">
        <f t="shared" si="1"/>
        <v>14000</v>
      </c>
    </row>
    <row r="13" spans="1:11" ht="25.5" x14ac:dyDescent="0.2">
      <c r="A13" s="59">
        <v>4</v>
      </c>
      <c r="B13" s="58" t="str">
        <f>+VLOOKUP(E13,'[1]Necesidades Trimestrales'!$E$10:$F$87,2,0)</f>
        <v>INS COVID</v>
      </c>
      <c r="C13" s="60" t="s">
        <v>57</v>
      </c>
      <c r="D13" s="72">
        <v>295</v>
      </c>
      <c r="E13" s="102" t="s">
        <v>106</v>
      </c>
      <c r="F13" s="79" t="s">
        <v>58</v>
      </c>
      <c r="G13" s="92">
        <v>50</v>
      </c>
      <c r="H13" s="82">
        <v>1598</v>
      </c>
      <c r="I13" s="61">
        <f t="shared" si="1"/>
        <v>79900</v>
      </c>
    </row>
    <row r="14" spans="1:11" ht="25.5" x14ac:dyDescent="0.2">
      <c r="A14" s="59">
        <v>5</v>
      </c>
      <c r="B14" s="58" t="str">
        <f>+VLOOKUP(E14,'[1]Necesidades Trimestrales'!$E$10:$F$87,2,0)</f>
        <v>INS COVID</v>
      </c>
      <c r="C14" s="60" t="s">
        <v>57</v>
      </c>
      <c r="D14" s="72">
        <v>295</v>
      </c>
      <c r="E14" s="102" t="s">
        <v>107</v>
      </c>
      <c r="F14" s="79" t="s">
        <v>58</v>
      </c>
      <c r="G14" s="93">
        <v>200</v>
      </c>
      <c r="H14" s="82">
        <v>136</v>
      </c>
      <c r="I14" s="61">
        <f t="shared" si="1"/>
        <v>27200</v>
      </c>
    </row>
    <row r="15" spans="1:11" ht="25.5" x14ac:dyDescent="0.2">
      <c r="A15" s="59">
        <v>6</v>
      </c>
      <c r="B15" s="58" t="str">
        <f>+VLOOKUP(E15,'[1]Necesidades Trimestrales'!$E$10:$F$87,2,0)</f>
        <v xml:space="preserve">DESC COMPLEJOS </v>
      </c>
      <c r="C15" s="60" t="s">
        <v>57</v>
      </c>
      <c r="D15" s="72">
        <v>295</v>
      </c>
      <c r="E15" s="78" t="s">
        <v>85</v>
      </c>
      <c r="F15" s="79" t="s">
        <v>58</v>
      </c>
      <c r="G15" s="80">
        <v>1</v>
      </c>
      <c r="H15" s="82">
        <v>21000</v>
      </c>
      <c r="I15" s="61">
        <f t="shared" si="1"/>
        <v>21000</v>
      </c>
    </row>
    <row r="16" spans="1:11" ht="25.5" x14ac:dyDescent="0.2">
      <c r="A16" s="59">
        <v>7</v>
      </c>
      <c r="B16" s="58" t="str">
        <f>+VLOOKUP(E16,'[1]Necesidades Trimestrales'!$E$10:$F$87,2,0)</f>
        <v>INS COVID</v>
      </c>
      <c r="C16" s="60" t="s">
        <v>57</v>
      </c>
      <c r="D16" s="72">
        <v>295</v>
      </c>
      <c r="E16" s="101" t="s">
        <v>108</v>
      </c>
      <c r="F16" s="79" t="s">
        <v>58</v>
      </c>
      <c r="G16" s="92">
        <v>5</v>
      </c>
      <c r="H16" s="82">
        <v>4751</v>
      </c>
      <c r="I16" s="61">
        <f t="shared" si="1"/>
        <v>23755</v>
      </c>
    </row>
    <row r="17" spans="1:9" ht="25.5" x14ac:dyDescent="0.2">
      <c r="A17" s="59">
        <v>8</v>
      </c>
      <c r="B17" s="58" t="str">
        <f>+VLOOKUP(E17,'[1]Necesidades Trimestrales'!$E$10:$F$87,2,0)</f>
        <v>INS COVID</v>
      </c>
      <c r="C17" s="60" t="s">
        <v>57</v>
      </c>
      <c r="D17" s="72">
        <v>295</v>
      </c>
      <c r="E17" s="101" t="s">
        <v>109</v>
      </c>
      <c r="F17" s="79" t="s">
        <v>58</v>
      </c>
      <c r="G17" s="92">
        <v>5</v>
      </c>
      <c r="H17" s="82">
        <v>4751</v>
      </c>
      <c r="I17" s="61">
        <f t="shared" si="1"/>
        <v>23755</v>
      </c>
    </row>
    <row r="18" spans="1:9" ht="25.5" x14ac:dyDescent="0.2">
      <c r="A18" s="59">
        <v>9</v>
      </c>
      <c r="B18" s="58" t="str">
        <f>+VLOOKUP(E18,'[1]Necesidades Trimestrales'!$E$10:$F$87,2,0)</f>
        <v>INS COVID</v>
      </c>
      <c r="C18" s="60" t="s">
        <v>57</v>
      </c>
      <c r="D18" s="72">
        <v>295</v>
      </c>
      <c r="E18" s="104" t="s">
        <v>110</v>
      </c>
      <c r="F18" s="79" t="s">
        <v>58</v>
      </c>
      <c r="G18" s="92">
        <v>500</v>
      </c>
      <c r="H18" s="85">
        <v>58</v>
      </c>
      <c r="I18" s="61">
        <f t="shared" si="1"/>
        <v>29000</v>
      </c>
    </row>
    <row r="19" spans="1:9" ht="25.5" x14ac:dyDescent="0.2">
      <c r="A19" s="59">
        <v>10</v>
      </c>
      <c r="B19" s="58" t="str">
        <f>+VLOOKUP(E19,'[1]Necesidades Trimestrales'!$E$10:$F$87,2,0)</f>
        <v>INS COVID</v>
      </c>
      <c r="C19" s="60" t="s">
        <v>57</v>
      </c>
      <c r="D19" s="72">
        <v>295</v>
      </c>
      <c r="E19" s="104" t="s">
        <v>111</v>
      </c>
      <c r="F19" s="79" t="s">
        <v>58</v>
      </c>
      <c r="G19" s="92">
        <v>500</v>
      </c>
      <c r="H19" s="85">
        <v>58</v>
      </c>
      <c r="I19" s="61">
        <f t="shared" si="1"/>
        <v>29000</v>
      </c>
    </row>
    <row r="20" spans="1:9" ht="25.5" x14ac:dyDescent="0.2">
      <c r="A20" s="59">
        <v>11</v>
      </c>
      <c r="B20" s="58" t="str">
        <f>+VLOOKUP(E20,'[1]Necesidades Trimestrales'!$E$10:$F$87,2,0)</f>
        <v xml:space="preserve">DESC COMPLEJOS </v>
      </c>
      <c r="C20" s="60" t="s">
        <v>57</v>
      </c>
      <c r="D20" s="72">
        <v>295</v>
      </c>
      <c r="E20" s="78" t="s">
        <v>63</v>
      </c>
      <c r="F20" s="79" t="s">
        <v>58</v>
      </c>
      <c r="G20" s="83">
        <v>10</v>
      </c>
      <c r="H20" s="82">
        <v>1100</v>
      </c>
      <c r="I20" s="61">
        <f t="shared" si="1"/>
        <v>11000</v>
      </c>
    </row>
    <row r="21" spans="1:9" ht="25.5" x14ac:dyDescent="0.2">
      <c r="A21" s="59">
        <v>12</v>
      </c>
      <c r="B21" s="58" t="str">
        <f>+VLOOKUP(E21,'[1]Necesidades Trimestrales'!$E$10:$F$87,2,0)</f>
        <v xml:space="preserve">DESC COMPLEJOS </v>
      </c>
      <c r="C21" s="60" t="s">
        <v>57</v>
      </c>
      <c r="D21" s="72">
        <v>295</v>
      </c>
      <c r="E21" s="78" t="s">
        <v>64</v>
      </c>
      <c r="F21" s="79" t="s">
        <v>58</v>
      </c>
      <c r="G21" s="80">
        <v>20</v>
      </c>
      <c r="H21" s="82">
        <v>1250</v>
      </c>
      <c r="I21" s="61">
        <f t="shared" si="1"/>
        <v>25000</v>
      </c>
    </row>
    <row r="22" spans="1:9" ht="25.5" x14ac:dyDescent="0.2">
      <c r="A22" s="59">
        <v>13</v>
      </c>
      <c r="B22" s="58" t="str">
        <f>+VLOOKUP(E22,'[1]Necesidades Trimestrales'!$E$10:$F$87,2,0)</f>
        <v xml:space="preserve">DESC COMPLEJOS </v>
      </c>
      <c r="C22" s="60" t="s">
        <v>57</v>
      </c>
      <c r="D22" s="72">
        <v>295</v>
      </c>
      <c r="E22" s="78" t="s">
        <v>65</v>
      </c>
      <c r="F22" s="79" t="s">
        <v>58</v>
      </c>
      <c r="G22" s="80">
        <v>20</v>
      </c>
      <c r="H22" s="82">
        <v>1250</v>
      </c>
      <c r="I22" s="61">
        <f t="shared" si="1"/>
        <v>25000</v>
      </c>
    </row>
    <row r="23" spans="1:9" ht="25.5" x14ac:dyDescent="0.2">
      <c r="A23" s="59">
        <v>14</v>
      </c>
      <c r="B23" s="58" t="str">
        <f>+VLOOKUP(E23,'[1]Necesidades Trimestrales'!$E$10:$F$87,2,0)</f>
        <v xml:space="preserve">DESC COMPLEJOS </v>
      </c>
      <c r="C23" s="60" t="s">
        <v>57</v>
      </c>
      <c r="D23" s="72">
        <v>295</v>
      </c>
      <c r="E23" s="78" t="s">
        <v>66</v>
      </c>
      <c r="F23" s="79" t="s">
        <v>58</v>
      </c>
      <c r="G23" s="80">
        <v>20</v>
      </c>
      <c r="H23" s="82">
        <v>1250</v>
      </c>
      <c r="I23" s="61">
        <f t="shared" si="1"/>
        <v>25000</v>
      </c>
    </row>
    <row r="24" spans="1:9" ht="25.5" x14ac:dyDescent="0.2">
      <c r="A24" s="59">
        <v>15</v>
      </c>
      <c r="B24" s="58" t="str">
        <f>+VLOOKUP(E24,'[1]Necesidades Trimestrales'!$E$10:$F$87,2,0)</f>
        <v xml:space="preserve">DESC COMPLEJOS </v>
      </c>
      <c r="C24" s="60" t="s">
        <v>57</v>
      </c>
      <c r="D24" s="72">
        <v>295</v>
      </c>
      <c r="E24" s="78" t="s">
        <v>67</v>
      </c>
      <c r="F24" s="79" t="s">
        <v>58</v>
      </c>
      <c r="G24" s="80">
        <v>20</v>
      </c>
      <c r="H24" s="82">
        <v>1100</v>
      </c>
      <c r="I24" s="61">
        <f t="shared" si="1"/>
        <v>22000</v>
      </c>
    </row>
    <row r="25" spans="1:9" ht="25.5" x14ac:dyDescent="0.2">
      <c r="A25" s="59">
        <v>16</v>
      </c>
      <c r="B25" s="58" t="str">
        <f>+VLOOKUP(E25,'[1]Necesidades Trimestrales'!$E$10:$F$87,2,0)</f>
        <v xml:space="preserve">DESC COMPLEJOS </v>
      </c>
      <c r="C25" s="60" t="s">
        <v>57</v>
      </c>
      <c r="D25" s="72">
        <v>295</v>
      </c>
      <c r="E25" s="84" t="s">
        <v>101</v>
      </c>
      <c r="F25" s="79" t="s">
        <v>58</v>
      </c>
      <c r="G25" s="80">
        <v>3</v>
      </c>
      <c r="H25" s="85">
        <v>19800</v>
      </c>
      <c r="I25" s="61">
        <f t="shared" si="1"/>
        <v>59400</v>
      </c>
    </row>
    <row r="26" spans="1:9" ht="25.5" x14ac:dyDescent="0.2">
      <c r="A26" s="59">
        <v>17</v>
      </c>
      <c r="B26" s="58" t="str">
        <f>+VLOOKUP(E26,'[1]Necesidades Trimestrales'!$E$10:$F$87,2,0)</f>
        <v xml:space="preserve">DESC COMPLEJOS </v>
      </c>
      <c r="C26" s="60" t="s">
        <v>57</v>
      </c>
      <c r="D26" s="72">
        <v>295</v>
      </c>
      <c r="E26" s="84" t="s">
        <v>102</v>
      </c>
      <c r="F26" s="79" t="s">
        <v>58</v>
      </c>
      <c r="G26" s="80">
        <v>3</v>
      </c>
      <c r="H26" s="85">
        <v>19800</v>
      </c>
      <c r="I26" s="61">
        <f t="shared" si="1"/>
        <v>59400</v>
      </c>
    </row>
    <row r="27" spans="1:9" ht="25.5" x14ac:dyDescent="0.2">
      <c r="A27" s="59">
        <v>18</v>
      </c>
      <c r="B27" s="58" t="str">
        <f>+VLOOKUP(E27,'[1]Necesidades Trimestrales'!$E$10:$F$87,2,0)</f>
        <v xml:space="preserve">DESC COMPLEJOS </v>
      </c>
      <c r="C27" s="60" t="s">
        <v>57</v>
      </c>
      <c r="D27" s="72">
        <v>295</v>
      </c>
      <c r="E27" s="103" t="s">
        <v>103</v>
      </c>
      <c r="F27" s="79" t="s">
        <v>58</v>
      </c>
      <c r="G27" s="86">
        <v>6</v>
      </c>
      <c r="H27" s="85">
        <v>17500</v>
      </c>
      <c r="I27" s="61">
        <f t="shared" si="1"/>
        <v>105000</v>
      </c>
    </row>
    <row r="28" spans="1:9" ht="25.5" x14ac:dyDescent="0.2">
      <c r="A28" s="59">
        <v>19</v>
      </c>
      <c r="B28" s="58" t="str">
        <f>+VLOOKUP(E28,'[1]Necesidades Trimestrales'!$E$10:$F$87,2,0)</f>
        <v xml:space="preserve">DESC COMPLEJOS </v>
      </c>
      <c r="C28" s="60" t="s">
        <v>57</v>
      </c>
      <c r="D28" s="72">
        <v>295</v>
      </c>
      <c r="E28" s="89" t="s">
        <v>86</v>
      </c>
      <c r="F28" s="79" t="s">
        <v>58</v>
      </c>
      <c r="G28" s="80">
        <v>2</v>
      </c>
      <c r="H28" s="82">
        <v>4495</v>
      </c>
      <c r="I28" s="61">
        <f t="shared" si="1"/>
        <v>8990</v>
      </c>
    </row>
    <row r="29" spans="1:9" ht="25.5" x14ac:dyDescent="0.2">
      <c r="A29" s="59">
        <v>20</v>
      </c>
      <c r="B29" s="58" t="str">
        <f>+VLOOKUP(E29,'[1]Necesidades Trimestrales'!$E$10:$F$87,2,0)</f>
        <v xml:space="preserve">DESC COMPLEJOS </v>
      </c>
      <c r="C29" s="60" t="s">
        <v>57</v>
      </c>
      <c r="D29" s="72">
        <v>295</v>
      </c>
      <c r="E29" s="89" t="s">
        <v>87</v>
      </c>
      <c r="F29" s="79" t="s">
        <v>58</v>
      </c>
      <c r="G29" s="80">
        <v>2</v>
      </c>
      <c r="H29" s="82">
        <v>4495</v>
      </c>
      <c r="I29" s="61">
        <f t="shared" si="1"/>
        <v>8990</v>
      </c>
    </row>
    <row r="30" spans="1:9" ht="25.5" x14ac:dyDescent="0.2">
      <c r="A30" s="59">
        <v>21</v>
      </c>
      <c r="B30" s="58" t="str">
        <f>+VLOOKUP(E30,'[1]Necesidades Trimestrales'!$E$10:$F$87,2,0)</f>
        <v xml:space="preserve">DESC COMPLEJOS </v>
      </c>
      <c r="C30" s="60" t="s">
        <v>57</v>
      </c>
      <c r="D30" s="72">
        <v>295</v>
      </c>
      <c r="E30" s="89" t="s">
        <v>88</v>
      </c>
      <c r="F30" s="79" t="s">
        <v>58</v>
      </c>
      <c r="G30" s="80">
        <v>2</v>
      </c>
      <c r="H30" s="82">
        <v>4495</v>
      </c>
      <c r="I30" s="61">
        <f t="shared" si="1"/>
        <v>8990</v>
      </c>
    </row>
    <row r="31" spans="1:9" ht="25.5" x14ac:dyDescent="0.2">
      <c r="A31" s="59">
        <v>22</v>
      </c>
      <c r="B31" s="58" t="str">
        <f>+VLOOKUP(E31,'[1]Necesidades Trimestrales'!$E$10:$F$87,2,0)</f>
        <v>INS COVID</v>
      </c>
      <c r="C31" s="60" t="s">
        <v>57</v>
      </c>
      <c r="D31" s="72">
        <v>295</v>
      </c>
      <c r="E31" s="106" t="s">
        <v>112</v>
      </c>
      <c r="F31" s="79" t="s">
        <v>58</v>
      </c>
      <c r="G31" s="92">
        <v>50</v>
      </c>
      <c r="H31" s="94">
        <v>1580</v>
      </c>
      <c r="I31" s="61">
        <f t="shared" si="1"/>
        <v>79000</v>
      </c>
    </row>
    <row r="32" spans="1:9" ht="25.5" x14ac:dyDescent="0.2">
      <c r="A32" s="59">
        <v>23</v>
      </c>
      <c r="B32" s="58" t="str">
        <f>+VLOOKUP(E32,'[1]Necesidades Trimestrales'!$E$10:$F$87,2,0)</f>
        <v>INS COVID</v>
      </c>
      <c r="C32" s="60" t="s">
        <v>57</v>
      </c>
      <c r="D32" s="72">
        <v>295</v>
      </c>
      <c r="E32" s="106" t="s">
        <v>113</v>
      </c>
      <c r="F32" s="79" t="s">
        <v>58</v>
      </c>
      <c r="G32" s="92">
        <v>75</v>
      </c>
      <c r="H32" s="95">
        <v>1280</v>
      </c>
      <c r="I32" s="61">
        <f t="shared" si="1"/>
        <v>96000</v>
      </c>
    </row>
    <row r="33" spans="1:9" ht="25.5" x14ac:dyDescent="0.2">
      <c r="A33" s="59">
        <v>24</v>
      </c>
      <c r="B33" s="58" t="str">
        <f>+VLOOKUP(E33,'[1]Necesidades Trimestrales'!$E$10:$F$87,2,0)</f>
        <v xml:space="preserve">DESC COMPLEJOS </v>
      </c>
      <c r="C33" s="60" t="s">
        <v>57</v>
      </c>
      <c r="D33" s="72">
        <v>295</v>
      </c>
      <c r="E33" s="89" t="s">
        <v>68</v>
      </c>
      <c r="F33" s="79" t="s">
        <v>58</v>
      </c>
      <c r="G33" s="80">
        <v>100</v>
      </c>
      <c r="H33" s="87">
        <v>351</v>
      </c>
      <c r="I33" s="61">
        <f t="shared" si="1"/>
        <v>35100</v>
      </c>
    </row>
    <row r="34" spans="1:9" ht="25.5" x14ac:dyDescent="0.2">
      <c r="A34" s="59">
        <v>25</v>
      </c>
      <c r="B34" s="58" t="str">
        <f>+VLOOKUP(E34,'[1]Necesidades Trimestrales'!$E$10:$F$87,2,0)</f>
        <v xml:space="preserve">DESC COMPLEJOS </v>
      </c>
      <c r="C34" s="60" t="s">
        <v>57</v>
      </c>
      <c r="D34" s="72">
        <v>295</v>
      </c>
      <c r="E34" s="89" t="s">
        <v>69</v>
      </c>
      <c r="F34" s="79" t="s">
        <v>58</v>
      </c>
      <c r="G34" s="80">
        <v>100</v>
      </c>
      <c r="H34" s="87">
        <v>382</v>
      </c>
      <c r="I34" s="61">
        <f t="shared" si="1"/>
        <v>38200</v>
      </c>
    </row>
    <row r="35" spans="1:9" ht="25.5" x14ac:dyDescent="0.2">
      <c r="A35" s="59">
        <v>26</v>
      </c>
      <c r="B35" s="58" t="str">
        <f>+VLOOKUP(E35,'[1]Necesidades Trimestrales'!$E$10:$F$87,2,0)</f>
        <v xml:space="preserve">ANTISEPTICO Y DESINFECTANTES </v>
      </c>
      <c r="C35" s="60" t="s">
        <v>57</v>
      </c>
      <c r="D35" s="112">
        <v>252</v>
      </c>
      <c r="E35" s="107" t="s">
        <v>151</v>
      </c>
      <c r="F35" s="79" t="s">
        <v>150</v>
      </c>
      <c r="G35" s="80">
        <v>1000</v>
      </c>
      <c r="H35" s="88">
        <v>630</v>
      </c>
      <c r="I35" s="61">
        <f t="shared" si="1"/>
        <v>630000</v>
      </c>
    </row>
    <row r="36" spans="1:9" ht="25.5" x14ac:dyDescent="0.2">
      <c r="A36" s="59">
        <v>27</v>
      </c>
      <c r="B36" s="58" t="str">
        <f>+VLOOKUP(E36,'[1]Necesidades Trimestrales'!$E$10:$F$87,2,0)</f>
        <v xml:space="preserve">DESC COMPLEJOS </v>
      </c>
      <c r="C36" s="60" t="s">
        <v>57</v>
      </c>
      <c r="D36" s="72">
        <v>295</v>
      </c>
      <c r="E36" s="103" t="s">
        <v>70</v>
      </c>
      <c r="F36" s="79" t="s">
        <v>58</v>
      </c>
      <c r="G36" s="80">
        <v>6</v>
      </c>
      <c r="H36" s="88">
        <v>9900</v>
      </c>
      <c r="I36" s="61">
        <f t="shared" si="1"/>
        <v>59400</v>
      </c>
    </row>
    <row r="37" spans="1:9" ht="25.5" x14ac:dyDescent="0.2">
      <c r="A37" s="59">
        <v>28</v>
      </c>
      <c r="B37" s="58" t="str">
        <f>+VLOOKUP(E37,'[1]Necesidades Trimestrales'!$E$10:$F$87,2,0)</f>
        <v xml:space="preserve">DESC COMPLEJOS </v>
      </c>
      <c r="C37" s="60" t="s">
        <v>57</v>
      </c>
      <c r="D37" s="72">
        <v>295</v>
      </c>
      <c r="E37" s="89" t="s">
        <v>89</v>
      </c>
      <c r="F37" s="79" t="s">
        <v>58</v>
      </c>
      <c r="G37" s="80">
        <v>20</v>
      </c>
      <c r="H37" s="88">
        <v>6800</v>
      </c>
      <c r="I37" s="61">
        <f t="shared" si="1"/>
        <v>136000</v>
      </c>
    </row>
    <row r="38" spans="1:9" ht="25.5" x14ac:dyDescent="0.2">
      <c r="A38" s="59">
        <v>29</v>
      </c>
      <c r="B38" s="58" t="str">
        <f>+VLOOKUP(E38,'[1]Necesidades Trimestrales'!$E$10:$F$87,2,0)</f>
        <v xml:space="preserve">DESC COMPLEJOS </v>
      </c>
      <c r="C38" s="60" t="s">
        <v>57</v>
      </c>
      <c r="D38" s="72">
        <v>295</v>
      </c>
      <c r="E38" s="89" t="s">
        <v>104</v>
      </c>
      <c r="F38" s="79" t="s">
        <v>58</v>
      </c>
      <c r="G38" s="90">
        <v>30</v>
      </c>
      <c r="H38" s="87">
        <v>850</v>
      </c>
      <c r="I38" s="61">
        <f t="shared" si="1"/>
        <v>25500</v>
      </c>
    </row>
    <row r="39" spans="1:9" ht="25.5" x14ac:dyDescent="0.2">
      <c r="A39" s="59">
        <v>30</v>
      </c>
      <c r="B39" s="58" t="str">
        <f>+VLOOKUP(E39,'[1]Necesidades Trimestrales'!$E$10:$F$87,2,0)</f>
        <v xml:space="preserve">DESC COMPLEJOS </v>
      </c>
      <c r="C39" s="60" t="s">
        <v>57</v>
      </c>
      <c r="D39" s="72">
        <v>295</v>
      </c>
      <c r="E39" s="89" t="s">
        <v>71</v>
      </c>
      <c r="F39" s="79" t="s">
        <v>58</v>
      </c>
      <c r="G39" s="80">
        <v>30</v>
      </c>
      <c r="H39" s="87">
        <v>210</v>
      </c>
      <c r="I39" s="61">
        <f t="shared" si="1"/>
        <v>6300</v>
      </c>
    </row>
    <row r="40" spans="1:9" ht="25.5" x14ac:dyDescent="0.2">
      <c r="A40" s="59">
        <v>31</v>
      </c>
      <c r="B40" s="58" t="str">
        <f>+VLOOKUP(E40,'[1]Necesidades Trimestrales'!$E$10:$F$87,2,0)</f>
        <v>INS COVID</v>
      </c>
      <c r="C40" s="60" t="s">
        <v>57</v>
      </c>
      <c r="D40" s="72">
        <v>295</v>
      </c>
      <c r="E40" s="107" t="s">
        <v>114</v>
      </c>
      <c r="F40" s="86" t="s">
        <v>115</v>
      </c>
      <c r="G40" s="92">
        <v>1500</v>
      </c>
      <c r="H40" s="94">
        <v>32</v>
      </c>
      <c r="I40" s="61">
        <f t="shared" si="1"/>
        <v>48000</v>
      </c>
    </row>
    <row r="41" spans="1:9" ht="25.5" x14ac:dyDescent="0.2">
      <c r="A41" s="59">
        <v>32</v>
      </c>
      <c r="B41" s="58" t="str">
        <f>+VLOOKUP(E41,'[1]Necesidades Trimestrales'!$E$10:$F$87,2,0)</f>
        <v>INS COVID</v>
      </c>
      <c r="C41" s="60" t="s">
        <v>57</v>
      </c>
      <c r="D41" s="72">
        <v>295</v>
      </c>
      <c r="E41" s="107" t="s">
        <v>116</v>
      </c>
      <c r="F41" s="86" t="s">
        <v>115</v>
      </c>
      <c r="G41" s="92">
        <v>3500</v>
      </c>
      <c r="H41" s="94">
        <v>32</v>
      </c>
      <c r="I41" s="61">
        <f t="shared" ref="I41:I61" si="2">+G41*H41</f>
        <v>112000</v>
      </c>
    </row>
    <row r="42" spans="1:9" ht="25.5" x14ac:dyDescent="0.2">
      <c r="A42" s="59">
        <v>33</v>
      </c>
      <c r="B42" s="58" t="str">
        <f>+VLOOKUP(E42,'[1]Necesidades Trimestrales'!$E$10:$F$87,2,0)</f>
        <v>INS COVID</v>
      </c>
      <c r="C42" s="60" t="s">
        <v>57</v>
      </c>
      <c r="D42" s="72">
        <v>295</v>
      </c>
      <c r="E42" s="107" t="s">
        <v>117</v>
      </c>
      <c r="F42" s="86" t="s">
        <v>115</v>
      </c>
      <c r="G42" s="92">
        <v>3500</v>
      </c>
      <c r="H42" s="94">
        <v>32</v>
      </c>
      <c r="I42" s="61">
        <f t="shared" si="2"/>
        <v>112000</v>
      </c>
    </row>
    <row r="43" spans="1:9" ht="25.5" x14ac:dyDescent="0.2">
      <c r="A43" s="59">
        <v>34</v>
      </c>
      <c r="B43" s="58" t="str">
        <f>+VLOOKUP(E43,'[1]Necesidades Trimestrales'!$E$10:$F$87,2,0)</f>
        <v>INS COVID</v>
      </c>
      <c r="C43" s="60" t="s">
        <v>57</v>
      </c>
      <c r="D43" s="72">
        <v>295</v>
      </c>
      <c r="E43" s="107" t="s">
        <v>118</v>
      </c>
      <c r="F43" s="86" t="s">
        <v>115</v>
      </c>
      <c r="G43" s="92">
        <v>800</v>
      </c>
      <c r="H43" s="87">
        <v>32</v>
      </c>
      <c r="I43" s="61">
        <f t="shared" si="2"/>
        <v>25600</v>
      </c>
    </row>
    <row r="44" spans="1:9" ht="25.5" x14ac:dyDescent="0.2">
      <c r="A44" s="59">
        <v>35</v>
      </c>
      <c r="B44" s="58" t="str">
        <f>+VLOOKUP(E44,'[1]Necesidades Trimestrales'!$E$10:$F$87,2,0)</f>
        <v>INS COVID</v>
      </c>
      <c r="C44" s="60" t="s">
        <v>57</v>
      </c>
      <c r="D44" s="72">
        <v>295</v>
      </c>
      <c r="E44" s="107" t="s">
        <v>119</v>
      </c>
      <c r="F44" s="86" t="s">
        <v>115</v>
      </c>
      <c r="G44" s="92">
        <v>800</v>
      </c>
      <c r="H44" s="87">
        <v>32</v>
      </c>
      <c r="I44" s="61">
        <f t="shared" si="2"/>
        <v>25600</v>
      </c>
    </row>
    <row r="45" spans="1:9" ht="51" x14ac:dyDescent="0.2">
      <c r="A45" s="59">
        <v>36</v>
      </c>
      <c r="B45" s="58" t="str">
        <f>+VLOOKUP(E45,'[1]Necesidades Trimestrales'!$E$10:$F$87,2,0)</f>
        <v>INS COVID</v>
      </c>
      <c r="C45" s="60" t="s">
        <v>57</v>
      </c>
      <c r="D45" s="72">
        <v>251</v>
      </c>
      <c r="E45" s="108" t="s">
        <v>120</v>
      </c>
      <c r="F45" s="86" t="s">
        <v>121</v>
      </c>
      <c r="G45" s="96">
        <v>200</v>
      </c>
      <c r="H45" s="88">
        <v>181.5</v>
      </c>
      <c r="I45" s="61">
        <f t="shared" si="2"/>
        <v>36300</v>
      </c>
    </row>
    <row r="46" spans="1:9" ht="25.5" x14ac:dyDescent="0.2">
      <c r="A46" s="59">
        <v>37</v>
      </c>
      <c r="B46" s="58" t="str">
        <f>+VLOOKUP(E46,'[1]Necesidades Trimestrales'!$E$10:$F$87,2,0)</f>
        <v xml:space="preserve">ANTISEPTICO Y DESINFECTANTES </v>
      </c>
      <c r="C46" s="60" t="s">
        <v>57</v>
      </c>
      <c r="D46" s="112">
        <v>252</v>
      </c>
      <c r="E46" s="116" t="s">
        <v>149</v>
      </c>
      <c r="F46" s="79" t="s">
        <v>148</v>
      </c>
      <c r="G46" s="80">
        <v>200</v>
      </c>
      <c r="H46" s="88">
        <v>1161</v>
      </c>
      <c r="I46" s="61">
        <f t="shared" si="2"/>
        <v>232200</v>
      </c>
    </row>
    <row r="47" spans="1:9" ht="25.5" x14ac:dyDescent="0.2">
      <c r="A47" s="59">
        <v>38</v>
      </c>
      <c r="B47" s="58" t="str">
        <f>+VLOOKUP(E47,'[1]Necesidades Trimestrales'!$E$10:$F$87,2,0)</f>
        <v xml:space="preserve">DESC COMPLEJOS </v>
      </c>
      <c r="C47" s="60" t="s">
        <v>57</v>
      </c>
      <c r="D47" s="72">
        <v>295</v>
      </c>
      <c r="E47" s="89" t="s">
        <v>90</v>
      </c>
      <c r="F47" s="79" t="s">
        <v>58</v>
      </c>
      <c r="G47" s="80">
        <v>2</v>
      </c>
      <c r="H47" s="87">
        <v>28700</v>
      </c>
      <c r="I47" s="61">
        <f t="shared" si="2"/>
        <v>57400</v>
      </c>
    </row>
    <row r="48" spans="1:9" ht="25.5" x14ac:dyDescent="0.2">
      <c r="A48" s="59">
        <v>39</v>
      </c>
      <c r="B48" s="58" t="str">
        <f>+VLOOKUP(E48,'[1]Necesidades Trimestrales'!$E$10:$F$87,2,0)</f>
        <v xml:space="preserve">DESC COMPLEJOS </v>
      </c>
      <c r="C48" s="60" t="s">
        <v>57</v>
      </c>
      <c r="D48" s="72">
        <v>295</v>
      </c>
      <c r="E48" s="89" t="s">
        <v>91</v>
      </c>
      <c r="F48" s="79" t="s">
        <v>58</v>
      </c>
      <c r="G48" s="80">
        <v>2</v>
      </c>
      <c r="H48" s="87">
        <v>17500</v>
      </c>
      <c r="I48" s="61">
        <f t="shared" si="2"/>
        <v>35000</v>
      </c>
    </row>
    <row r="49" spans="1:9" ht="25.5" x14ac:dyDescent="0.2">
      <c r="A49" s="59">
        <v>40</v>
      </c>
      <c r="B49" s="58" t="str">
        <f>+VLOOKUP(E49,'[1]Necesidades Trimestrales'!$E$10:$F$87,2,0)</f>
        <v xml:space="preserve">ANTISEPTICO Y DESINFECTANTES </v>
      </c>
      <c r="C49" s="60" t="s">
        <v>57</v>
      </c>
      <c r="D49" s="112">
        <v>251</v>
      </c>
      <c r="E49" s="107" t="s">
        <v>147</v>
      </c>
      <c r="F49" s="79" t="s">
        <v>146</v>
      </c>
      <c r="G49" s="80">
        <v>5</v>
      </c>
      <c r="H49" s="88">
        <v>6900</v>
      </c>
      <c r="I49" s="61">
        <f t="shared" si="2"/>
        <v>34500</v>
      </c>
    </row>
    <row r="50" spans="1:9" ht="25.5" x14ac:dyDescent="0.2">
      <c r="A50" s="59">
        <v>41</v>
      </c>
      <c r="B50" s="58" t="str">
        <f>+VLOOKUP(E50,'[1]Necesidades Trimestrales'!$E$10:$F$87,2,0)</f>
        <v xml:space="preserve">DESC COMPLEJOS </v>
      </c>
      <c r="C50" s="60" t="s">
        <v>57</v>
      </c>
      <c r="D50" s="72">
        <v>295</v>
      </c>
      <c r="E50" s="91" t="s">
        <v>72</v>
      </c>
      <c r="F50" s="79" t="s">
        <v>58</v>
      </c>
      <c r="G50" s="80">
        <v>50</v>
      </c>
      <c r="H50" s="87">
        <v>1350</v>
      </c>
      <c r="I50" s="61">
        <f t="shared" si="2"/>
        <v>67500</v>
      </c>
    </row>
    <row r="51" spans="1:9" ht="25.5" x14ac:dyDescent="0.2">
      <c r="A51" s="59">
        <v>42</v>
      </c>
      <c r="B51" s="58" t="str">
        <f>+VLOOKUP(E51,'[1]Necesidades Trimestrales'!$E$10:$F$87,2,0)</f>
        <v xml:space="preserve">DESC COMPLEJOS </v>
      </c>
      <c r="C51" s="60" t="s">
        <v>57</v>
      </c>
      <c r="D51" s="72">
        <v>295</v>
      </c>
      <c r="E51" s="89" t="s">
        <v>73</v>
      </c>
      <c r="F51" s="79" t="s">
        <v>58</v>
      </c>
      <c r="G51" s="80">
        <v>20</v>
      </c>
      <c r="H51" s="88">
        <v>18700</v>
      </c>
      <c r="I51" s="61">
        <f t="shared" si="2"/>
        <v>374000</v>
      </c>
    </row>
    <row r="52" spans="1:9" ht="25.5" x14ac:dyDescent="0.2">
      <c r="A52" s="59">
        <v>43</v>
      </c>
      <c r="B52" s="58" t="str">
        <f>+VLOOKUP(E52,'[1]Necesidades Trimestrales'!$E$10:$F$87,2,0)</f>
        <v xml:space="preserve">DESC COMPLEJOS </v>
      </c>
      <c r="C52" s="60" t="s">
        <v>57</v>
      </c>
      <c r="D52" s="72">
        <v>295</v>
      </c>
      <c r="E52" s="89" t="s">
        <v>74</v>
      </c>
      <c r="F52" s="79" t="s">
        <v>58</v>
      </c>
      <c r="G52" s="80">
        <v>10</v>
      </c>
      <c r="H52" s="88">
        <v>35250</v>
      </c>
      <c r="I52" s="61">
        <f t="shared" si="2"/>
        <v>352500</v>
      </c>
    </row>
    <row r="53" spans="1:9" ht="25.5" x14ac:dyDescent="0.2">
      <c r="A53" s="59">
        <v>44</v>
      </c>
      <c r="B53" s="58" t="str">
        <f>+VLOOKUP(E53,'[1]Necesidades Trimestrales'!$E$10:$F$87,2,0)</f>
        <v xml:space="preserve">DESC COMPLEJOS </v>
      </c>
      <c r="C53" s="60" t="s">
        <v>57</v>
      </c>
      <c r="D53" s="72">
        <v>295</v>
      </c>
      <c r="E53" s="89" t="s">
        <v>75</v>
      </c>
      <c r="F53" s="79" t="s">
        <v>58</v>
      </c>
      <c r="G53" s="80">
        <v>80</v>
      </c>
      <c r="H53" s="87">
        <v>1310</v>
      </c>
      <c r="I53" s="61">
        <f t="shared" si="2"/>
        <v>104800</v>
      </c>
    </row>
    <row r="54" spans="1:9" ht="25.5" x14ac:dyDescent="0.2">
      <c r="A54" s="59">
        <v>45</v>
      </c>
      <c r="B54" s="58" t="str">
        <f>+VLOOKUP(E54,'[1]Necesidades Trimestrales'!$E$10:$F$87,2,0)</f>
        <v xml:space="preserve">DESC COMPLEJOS </v>
      </c>
      <c r="C54" s="60" t="s">
        <v>57</v>
      </c>
      <c r="D54" s="72">
        <v>295</v>
      </c>
      <c r="E54" s="89" t="s">
        <v>76</v>
      </c>
      <c r="F54" s="79" t="s">
        <v>58</v>
      </c>
      <c r="G54" s="80">
        <v>80</v>
      </c>
      <c r="H54" s="87">
        <v>1310</v>
      </c>
      <c r="I54" s="61">
        <f t="shared" si="2"/>
        <v>104800</v>
      </c>
    </row>
    <row r="55" spans="1:9" ht="25.5" x14ac:dyDescent="0.2">
      <c r="A55" s="59">
        <v>46</v>
      </c>
      <c r="B55" s="58" t="str">
        <f>+VLOOKUP(E55,'[1]Necesidades Trimestrales'!$E$10:$F$87,2,0)</f>
        <v xml:space="preserve">DESC COMPLEJOS </v>
      </c>
      <c r="C55" s="60" t="s">
        <v>57</v>
      </c>
      <c r="D55" s="72">
        <v>295</v>
      </c>
      <c r="E55" s="89" t="s">
        <v>77</v>
      </c>
      <c r="F55" s="79" t="s">
        <v>58</v>
      </c>
      <c r="G55" s="80">
        <v>80</v>
      </c>
      <c r="H55" s="87">
        <v>1310</v>
      </c>
      <c r="I55" s="61">
        <f t="shared" si="2"/>
        <v>104800</v>
      </c>
    </row>
    <row r="56" spans="1:9" ht="25.5" x14ac:dyDescent="0.2">
      <c r="A56" s="59">
        <v>47</v>
      </c>
      <c r="B56" s="58" t="str">
        <f>+VLOOKUP(E56,'[1]Necesidades Trimestrales'!$E$10:$F$87,2,0)</f>
        <v>INS COVID</v>
      </c>
      <c r="C56" s="60" t="s">
        <v>57</v>
      </c>
      <c r="D56" s="72">
        <v>295</v>
      </c>
      <c r="E56" s="105" t="s">
        <v>122</v>
      </c>
      <c r="F56" s="86" t="s">
        <v>58</v>
      </c>
      <c r="G56" s="92">
        <v>100</v>
      </c>
      <c r="H56" s="88">
        <v>36</v>
      </c>
      <c r="I56" s="61">
        <f t="shared" si="2"/>
        <v>3600</v>
      </c>
    </row>
    <row r="57" spans="1:9" ht="25.5" x14ac:dyDescent="0.2">
      <c r="A57" s="59">
        <v>48</v>
      </c>
      <c r="B57" s="58" t="str">
        <f>+VLOOKUP(E57,'[1]Necesidades Trimestrales'!$E$10:$F$87,2,0)</f>
        <v>INS COVID</v>
      </c>
      <c r="C57" s="60" t="s">
        <v>57</v>
      </c>
      <c r="D57" s="72">
        <v>295</v>
      </c>
      <c r="E57" s="105" t="s">
        <v>123</v>
      </c>
      <c r="F57" s="86" t="s">
        <v>58</v>
      </c>
      <c r="G57" s="92">
        <v>100</v>
      </c>
      <c r="H57" s="88">
        <v>36</v>
      </c>
      <c r="I57" s="61">
        <f t="shared" si="2"/>
        <v>3600</v>
      </c>
    </row>
    <row r="58" spans="1:9" ht="25.5" x14ac:dyDescent="0.2">
      <c r="A58" s="59">
        <v>49</v>
      </c>
      <c r="B58" s="58" t="str">
        <f>+VLOOKUP(E58,'[1]Necesidades Trimestrales'!$E$10:$F$87,2,0)</f>
        <v xml:space="preserve">DESC COMPLEJOS </v>
      </c>
      <c r="C58" s="60" t="s">
        <v>57</v>
      </c>
      <c r="D58" s="73">
        <v>295</v>
      </c>
      <c r="E58" s="89" t="s">
        <v>92</v>
      </c>
      <c r="F58" s="79" t="s">
        <v>58</v>
      </c>
      <c r="G58" s="80">
        <v>30</v>
      </c>
      <c r="H58" s="88">
        <v>2800</v>
      </c>
      <c r="I58" s="61">
        <f t="shared" si="2"/>
        <v>84000</v>
      </c>
    </row>
    <row r="59" spans="1:9" ht="25.5" x14ac:dyDescent="0.2">
      <c r="A59" s="59">
        <v>50</v>
      </c>
      <c r="B59" s="58" t="str">
        <f>+VLOOKUP(E59,'[1]Necesidades Trimestrales'!$E$10:$F$87,2,0)</f>
        <v xml:space="preserve">DESC COMPLEJOS </v>
      </c>
      <c r="C59" s="60" t="s">
        <v>57</v>
      </c>
      <c r="D59" s="73">
        <v>295</v>
      </c>
      <c r="E59" s="89" t="s">
        <v>93</v>
      </c>
      <c r="F59" s="79" t="s">
        <v>58</v>
      </c>
      <c r="G59" s="80">
        <v>30</v>
      </c>
      <c r="H59" s="88">
        <v>2800</v>
      </c>
      <c r="I59" s="61">
        <f t="shared" si="2"/>
        <v>84000</v>
      </c>
    </row>
    <row r="60" spans="1:9" ht="25.5" x14ac:dyDescent="0.2">
      <c r="A60" s="59">
        <v>51</v>
      </c>
      <c r="B60" s="58" t="str">
        <f>+VLOOKUP(E60,'[1]Necesidades Trimestrales'!$E$10:$F$87,2,0)</f>
        <v xml:space="preserve">DESC COMPLEJOS </v>
      </c>
      <c r="C60" s="60" t="s">
        <v>57</v>
      </c>
      <c r="D60" s="73">
        <v>295</v>
      </c>
      <c r="E60" s="89" t="s">
        <v>94</v>
      </c>
      <c r="F60" s="79" t="s">
        <v>58</v>
      </c>
      <c r="G60" s="80">
        <v>20</v>
      </c>
      <c r="H60" s="88">
        <v>2800</v>
      </c>
      <c r="I60" s="61">
        <f t="shared" si="2"/>
        <v>56000</v>
      </c>
    </row>
    <row r="61" spans="1:9" ht="25.5" x14ac:dyDescent="0.2">
      <c r="A61" s="59">
        <v>52</v>
      </c>
      <c r="B61" s="58" t="str">
        <f>+VLOOKUP(E61,'[1]Necesidades Trimestrales'!$E$10:$F$87,2,0)</f>
        <v xml:space="preserve">DESC COMPLEJOS </v>
      </c>
      <c r="C61" s="60" t="s">
        <v>57</v>
      </c>
      <c r="D61" s="73">
        <v>295</v>
      </c>
      <c r="E61" s="89" t="s">
        <v>95</v>
      </c>
      <c r="F61" s="79" t="s">
        <v>58</v>
      </c>
      <c r="G61" s="80">
        <v>20</v>
      </c>
      <c r="H61" s="88">
        <v>2800</v>
      </c>
      <c r="I61" s="61">
        <f t="shared" si="2"/>
        <v>56000</v>
      </c>
    </row>
    <row r="62" spans="1:9" ht="25.5" x14ac:dyDescent="0.2">
      <c r="A62" s="59">
        <v>53</v>
      </c>
      <c r="B62" s="58" t="str">
        <f>+VLOOKUP(E62,'[1]Necesidades Trimestrales'!$E$10:$F$87,2,0)</f>
        <v xml:space="preserve">DESC COMPLEJOS </v>
      </c>
      <c r="C62" s="60" t="s">
        <v>57</v>
      </c>
      <c r="D62" s="73">
        <v>295</v>
      </c>
      <c r="E62" s="100" t="s">
        <v>78</v>
      </c>
      <c r="F62" s="79" t="s">
        <v>58</v>
      </c>
      <c r="G62" s="80">
        <v>3</v>
      </c>
      <c r="H62" s="87">
        <v>5800</v>
      </c>
      <c r="I62" s="61">
        <f t="shared" ref="I62:I87" si="3">+G62*H62</f>
        <v>17400</v>
      </c>
    </row>
    <row r="63" spans="1:9" ht="25.5" x14ac:dyDescent="0.2">
      <c r="A63" s="59">
        <v>54</v>
      </c>
      <c r="B63" s="58" t="str">
        <f>+VLOOKUP(E63,'[1]Necesidades Trimestrales'!$E$10:$F$87,2,0)</f>
        <v xml:space="preserve">DESC COMPLEJOS </v>
      </c>
      <c r="C63" s="60" t="s">
        <v>57</v>
      </c>
      <c r="D63" s="73">
        <v>295</v>
      </c>
      <c r="E63" s="100" t="s">
        <v>96</v>
      </c>
      <c r="F63" s="79" t="s">
        <v>58</v>
      </c>
      <c r="G63" s="80">
        <v>3</v>
      </c>
      <c r="H63" s="87">
        <v>5800</v>
      </c>
      <c r="I63" s="61">
        <f t="shared" si="3"/>
        <v>17400</v>
      </c>
    </row>
    <row r="64" spans="1:9" ht="25.5" x14ac:dyDescent="0.2">
      <c r="A64" s="59">
        <v>55</v>
      </c>
      <c r="B64" s="58" t="str">
        <f>+VLOOKUP(E64,'[1]Necesidades Trimestrales'!$E$10:$F$87,2,0)</f>
        <v xml:space="preserve">DESC COMPLEJOS </v>
      </c>
      <c r="C64" s="60" t="s">
        <v>57</v>
      </c>
      <c r="D64" s="73">
        <v>295</v>
      </c>
      <c r="E64" s="100" t="s">
        <v>79</v>
      </c>
      <c r="F64" s="79" t="s">
        <v>58</v>
      </c>
      <c r="G64" s="80">
        <v>3</v>
      </c>
      <c r="H64" s="87">
        <v>5800</v>
      </c>
      <c r="I64" s="61">
        <f t="shared" si="3"/>
        <v>17400</v>
      </c>
    </row>
    <row r="65" spans="1:9" ht="25.5" x14ac:dyDescent="0.2">
      <c r="A65" s="59">
        <v>56</v>
      </c>
      <c r="B65" s="58" t="str">
        <f>+VLOOKUP(E65,'[1]Necesidades Trimestrales'!$E$10:$F$87,2,0)</f>
        <v xml:space="preserve">DESC COMPLEJOS </v>
      </c>
      <c r="C65" s="60" t="s">
        <v>57</v>
      </c>
      <c r="D65" s="73">
        <v>295</v>
      </c>
      <c r="E65" s="100" t="s">
        <v>97</v>
      </c>
      <c r="F65" s="79" t="s">
        <v>58</v>
      </c>
      <c r="G65" s="80">
        <v>3</v>
      </c>
      <c r="H65" s="87">
        <v>5800</v>
      </c>
      <c r="I65" s="61">
        <f t="shared" si="3"/>
        <v>17400</v>
      </c>
    </row>
    <row r="66" spans="1:9" ht="25.5" x14ac:dyDescent="0.2">
      <c r="A66" s="59">
        <v>57</v>
      </c>
      <c r="B66" s="58" t="str">
        <f>+VLOOKUP(E66,'[1]Necesidades Trimestrales'!$E$10:$F$87,2,0)</f>
        <v xml:space="preserve">DESC COMPLEJOS </v>
      </c>
      <c r="C66" s="60" t="s">
        <v>57</v>
      </c>
      <c r="D66" s="73">
        <v>295</v>
      </c>
      <c r="E66" s="100" t="s">
        <v>98</v>
      </c>
      <c r="F66" s="79" t="s">
        <v>58</v>
      </c>
      <c r="G66" s="80">
        <v>3</v>
      </c>
      <c r="H66" s="87">
        <v>5800</v>
      </c>
      <c r="I66" s="61">
        <f t="shared" si="3"/>
        <v>17400</v>
      </c>
    </row>
    <row r="67" spans="1:9" ht="25.5" x14ac:dyDescent="0.2">
      <c r="A67" s="59">
        <v>58</v>
      </c>
      <c r="B67" s="58" t="str">
        <f>+VLOOKUP(E67,'[1]Necesidades Trimestrales'!$E$10:$F$87,2,0)</f>
        <v>INS COVID</v>
      </c>
      <c r="C67" s="60" t="s">
        <v>57</v>
      </c>
      <c r="D67" s="73">
        <v>295</v>
      </c>
      <c r="E67" s="97" t="s">
        <v>124</v>
      </c>
      <c r="F67" s="86" t="s">
        <v>58</v>
      </c>
      <c r="G67" s="92">
        <v>150</v>
      </c>
      <c r="H67" s="87">
        <v>52</v>
      </c>
      <c r="I67" s="61">
        <f t="shared" si="3"/>
        <v>7800</v>
      </c>
    </row>
    <row r="68" spans="1:9" ht="25.5" x14ac:dyDescent="0.2">
      <c r="A68" s="59">
        <v>59</v>
      </c>
      <c r="B68" s="58" t="str">
        <f>+VLOOKUP(E68,'[1]Necesidades Trimestrales'!$E$10:$F$87,2,0)</f>
        <v>INS COVID</v>
      </c>
      <c r="C68" s="60" t="s">
        <v>57</v>
      </c>
      <c r="D68" s="73">
        <v>295</v>
      </c>
      <c r="E68" s="97" t="s">
        <v>125</v>
      </c>
      <c r="F68" s="86" t="s">
        <v>58</v>
      </c>
      <c r="G68" s="92">
        <v>150</v>
      </c>
      <c r="H68" s="87">
        <v>52</v>
      </c>
      <c r="I68" s="61">
        <f t="shared" si="3"/>
        <v>7800</v>
      </c>
    </row>
    <row r="69" spans="1:9" ht="25.5" x14ac:dyDescent="0.2">
      <c r="A69" s="59">
        <v>60</v>
      </c>
      <c r="B69" s="58" t="str">
        <f>+VLOOKUP(E69,'[1]Necesidades Trimestrales'!$E$10:$F$87,2,0)</f>
        <v>INS COVID</v>
      </c>
      <c r="C69" s="60" t="s">
        <v>57</v>
      </c>
      <c r="D69" s="73">
        <v>295</v>
      </c>
      <c r="E69" s="97" t="s">
        <v>126</v>
      </c>
      <c r="F69" s="86" t="s">
        <v>58</v>
      </c>
      <c r="G69" s="92">
        <v>50</v>
      </c>
      <c r="H69" s="87">
        <v>70</v>
      </c>
      <c r="I69" s="61">
        <f t="shared" si="3"/>
        <v>3500</v>
      </c>
    </row>
    <row r="70" spans="1:9" ht="25.5" x14ac:dyDescent="0.2">
      <c r="A70" s="59">
        <v>61</v>
      </c>
      <c r="B70" s="58" t="str">
        <f>+VLOOKUP(E70,'[1]Necesidades Trimestrales'!$E$10:$F$87,2,0)</f>
        <v>INS COVID</v>
      </c>
      <c r="C70" s="60" t="s">
        <v>57</v>
      </c>
      <c r="D70" s="73">
        <v>295</v>
      </c>
      <c r="E70" s="97" t="s">
        <v>127</v>
      </c>
      <c r="F70" s="86" t="s">
        <v>58</v>
      </c>
      <c r="G70" s="92">
        <v>50</v>
      </c>
      <c r="H70" s="87">
        <v>70</v>
      </c>
      <c r="I70" s="61">
        <f t="shared" si="3"/>
        <v>3500</v>
      </c>
    </row>
    <row r="71" spans="1:9" ht="25.5" x14ac:dyDescent="0.2">
      <c r="A71" s="59">
        <v>62</v>
      </c>
      <c r="B71" s="58" t="str">
        <f>+VLOOKUP(E71,'[1]Necesidades Trimestrales'!$E$10:$F$87,2,0)</f>
        <v>INS COVID</v>
      </c>
      <c r="C71" s="60" t="s">
        <v>57</v>
      </c>
      <c r="D71" s="73">
        <v>295</v>
      </c>
      <c r="E71" s="97" t="s">
        <v>128</v>
      </c>
      <c r="F71" s="86" t="s">
        <v>58</v>
      </c>
      <c r="G71" s="92">
        <v>30</v>
      </c>
      <c r="H71" s="87">
        <v>52</v>
      </c>
      <c r="I71" s="61">
        <f t="shared" si="3"/>
        <v>1560</v>
      </c>
    </row>
    <row r="72" spans="1:9" ht="25.5" x14ac:dyDescent="0.2">
      <c r="A72" s="59">
        <v>63</v>
      </c>
      <c r="B72" s="58" t="str">
        <f>+VLOOKUP(E72,'[1]Necesidades Trimestrales'!$E$10:$F$87,2,0)</f>
        <v>INS COVID</v>
      </c>
      <c r="C72" s="60" t="s">
        <v>57</v>
      </c>
      <c r="D72" s="73">
        <v>295</v>
      </c>
      <c r="E72" s="97" t="s">
        <v>129</v>
      </c>
      <c r="F72" s="86" t="s">
        <v>58</v>
      </c>
      <c r="G72" s="92">
        <v>30</v>
      </c>
      <c r="H72" s="87">
        <v>52</v>
      </c>
      <c r="I72" s="61">
        <f t="shared" si="3"/>
        <v>1560</v>
      </c>
    </row>
    <row r="73" spans="1:9" ht="25.5" x14ac:dyDescent="0.2">
      <c r="A73" s="59">
        <v>64</v>
      </c>
      <c r="B73" s="58" t="str">
        <f>+VLOOKUP(E73,'[1]Necesidades Trimestrales'!$E$10:$F$87,2,0)</f>
        <v>INS COVID</v>
      </c>
      <c r="C73" s="60" t="s">
        <v>57</v>
      </c>
      <c r="D73" s="73">
        <v>295</v>
      </c>
      <c r="E73" s="98" t="s">
        <v>130</v>
      </c>
      <c r="F73" s="86" t="s">
        <v>58</v>
      </c>
      <c r="G73" s="92">
        <v>36</v>
      </c>
      <c r="H73" s="87">
        <v>59</v>
      </c>
      <c r="I73" s="61">
        <f t="shared" si="3"/>
        <v>2124</v>
      </c>
    </row>
    <row r="74" spans="1:9" ht="25.5" x14ac:dyDescent="0.2">
      <c r="A74" s="59">
        <v>65</v>
      </c>
      <c r="B74" s="58" t="str">
        <f>+VLOOKUP(E74,'[1]Necesidades Trimestrales'!$E$10:$F$87,2,0)</f>
        <v>INS COVID</v>
      </c>
      <c r="C74" s="60" t="s">
        <v>57</v>
      </c>
      <c r="D74" s="73">
        <v>295</v>
      </c>
      <c r="E74" s="97" t="s">
        <v>131</v>
      </c>
      <c r="F74" s="86" t="s">
        <v>58</v>
      </c>
      <c r="G74" s="92">
        <v>36</v>
      </c>
      <c r="H74" s="87">
        <v>59</v>
      </c>
      <c r="I74" s="61">
        <f t="shared" si="3"/>
        <v>2124</v>
      </c>
    </row>
    <row r="75" spans="1:9" ht="25.5" x14ac:dyDescent="0.2">
      <c r="A75" s="59">
        <v>66</v>
      </c>
      <c r="B75" s="58" t="str">
        <f>+VLOOKUP(E75,'[1]Necesidades Trimestrales'!$E$10:$F$87,2,0)</f>
        <v>INS COVID</v>
      </c>
      <c r="C75" s="60" t="s">
        <v>57</v>
      </c>
      <c r="D75" s="73">
        <v>295</v>
      </c>
      <c r="E75" s="98" t="s">
        <v>132</v>
      </c>
      <c r="F75" s="86" t="s">
        <v>58</v>
      </c>
      <c r="G75" s="92">
        <v>36</v>
      </c>
      <c r="H75" s="87">
        <v>59</v>
      </c>
      <c r="I75" s="61">
        <f t="shared" si="3"/>
        <v>2124</v>
      </c>
    </row>
    <row r="76" spans="1:9" ht="25.5" x14ac:dyDescent="0.2">
      <c r="A76" s="59">
        <v>67</v>
      </c>
      <c r="B76" s="58" t="str">
        <f>+VLOOKUP(E76,'[1]Necesidades Trimestrales'!$E$10:$F$87,2,0)</f>
        <v>INS COVID</v>
      </c>
      <c r="C76" s="60" t="s">
        <v>57</v>
      </c>
      <c r="D76" s="73">
        <v>295</v>
      </c>
      <c r="E76" s="98" t="s">
        <v>133</v>
      </c>
      <c r="F76" s="86" t="s">
        <v>58</v>
      </c>
      <c r="G76" s="92">
        <v>36</v>
      </c>
      <c r="H76" s="87">
        <v>59</v>
      </c>
      <c r="I76" s="61">
        <f t="shared" si="3"/>
        <v>2124</v>
      </c>
    </row>
    <row r="77" spans="1:9" ht="25.5" x14ac:dyDescent="0.2">
      <c r="A77" s="59">
        <v>68</v>
      </c>
      <c r="B77" s="58" t="str">
        <f>+VLOOKUP(E77,'[1]Necesidades Trimestrales'!$E$10:$F$87,2,0)</f>
        <v>INS COVID</v>
      </c>
      <c r="C77" s="60" t="s">
        <v>57</v>
      </c>
      <c r="D77" s="73">
        <v>295</v>
      </c>
      <c r="E77" s="98" t="s">
        <v>134</v>
      </c>
      <c r="F77" s="86" t="s">
        <v>58</v>
      </c>
      <c r="G77" s="92">
        <v>36</v>
      </c>
      <c r="H77" s="87">
        <v>59</v>
      </c>
      <c r="I77" s="61">
        <f t="shared" si="3"/>
        <v>2124</v>
      </c>
    </row>
    <row r="78" spans="1:9" ht="25.5" x14ac:dyDescent="0.2">
      <c r="A78" s="59">
        <v>69</v>
      </c>
      <c r="B78" s="58" t="str">
        <f>+VLOOKUP(E78,'[1]Necesidades Trimestrales'!$E$10:$F$87,2,0)</f>
        <v>INS COVID</v>
      </c>
      <c r="C78" s="60" t="s">
        <v>57</v>
      </c>
      <c r="D78" s="73">
        <v>295</v>
      </c>
      <c r="E78" s="98" t="s">
        <v>135</v>
      </c>
      <c r="F78" s="86" t="s">
        <v>58</v>
      </c>
      <c r="G78" s="92">
        <v>36</v>
      </c>
      <c r="H78" s="87">
        <v>59</v>
      </c>
      <c r="I78" s="61">
        <f t="shared" si="3"/>
        <v>2124</v>
      </c>
    </row>
    <row r="79" spans="1:9" ht="25.5" x14ac:dyDescent="0.2">
      <c r="A79" s="59">
        <v>70</v>
      </c>
      <c r="B79" s="58" t="str">
        <f>+VLOOKUP(E79,'[1]Necesidades Trimestrales'!$E$10:$F$87,2,0)</f>
        <v>INS COVID</v>
      </c>
      <c r="C79" s="60" t="s">
        <v>57</v>
      </c>
      <c r="D79" s="73">
        <v>295</v>
      </c>
      <c r="E79" s="98" t="s">
        <v>136</v>
      </c>
      <c r="F79" s="86" t="s">
        <v>58</v>
      </c>
      <c r="G79" s="92">
        <v>36</v>
      </c>
      <c r="H79" s="87">
        <v>59</v>
      </c>
      <c r="I79" s="61">
        <f t="shared" si="3"/>
        <v>2124</v>
      </c>
    </row>
    <row r="80" spans="1:9" ht="25.5" x14ac:dyDescent="0.2">
      <c r="A80" s="59">
        <v>71</v>
      </c>
      <c r="B80" s="58" t="str">
        <f>+VLOOKUP(E80,'[1]Necesidades Trimestrales'!$E$10:$F$87,2,0)</f>
        <v xml:space="preserve">DESC COMPLEJOS </v>
      </c>
      <c r="C80" s="60" t="s">
        <v>57</v>
      </c>
      <c r="D80" s="73">
        <v>295</v>
      </c>
      <c r="E80" s="100" t="s">
        <v>80</v>
      </c>
      <c r="F80" s="79" t="s">
        <v>58</v>
      </c>
      <c r="G80" s="80">
        <v>20</v>
      </c>
      <c r="H80" s="88">
        <v>2980</v>
      </c>
      <c r="I80" s="61">
        <f t="shared" si="3"/>
        <v>59600</v>
      </c>
    </row>
    <row r="81" spans="1:11" ht="25.5" x14ac:dyDescent="0.2">
      <c r="A81" s="59">
        <v>72</v>
      </c>
      <c r="B81" s="58" t="str">
        <f>+VLOOKUP(E81,'[1]Necesidades Trimestrales'!$E$10:$F$87,2,0)</f>
        <v xml:space="preserve">DESC COMPLEJOS </v>
      </c>
      <c r="C81" s="60" t="s">
        <v>57</v>
      </c>
      <c r="D81" s="73">
        <v>295</v>
      </c>
      <c r="E81" s="100" t="s">
        <v>81</v>
      </c>
      <c r="F81" s="79" t="s">
        <v>58</v>
      </c>
      <c r="G81" s="80">
        <v>20</v>
      </c>
      <c r="H81" s="88">
        <v>2980</v>
      </c>
      <c r="I81" s="61">
        <f t="shared" si="3"/>
        <v>59600</v>
      </c>
    </row>
    <row r="82" spans="1:11" ht="25.5" x14ac:dyDescent="0.2">
      <c r="A82" s="59">
        <v>73</v>
      </c>
      <c r="B82" s="58" t="str">
        <f>+VLOOKUP(E82,'[1]Necesidades Trimestrales'!$E$10:$F$87,2,0)</f>
        <v xml:space="preserve">DESC COMPLEJOS </v>
      </c>
      <c r="C82" s="60" t="s">
        <v>57</v>
      </c>
      <c r="D82" s="73">
        <v>295</v>
      </c>
      <c r="E82" s="115" t="s">
        <v>82</v>
      </c>
      <c r="F82" s="79" t="s">
        <v>58</v>
      </c>
      <c r="G82" s="80">
        <v>20</v>
      </c>
      <c r="H82" s="88">
        <v>2980</v>
      </c>
      <c r="I82" s="61">
        <f t="shared" si="3"/>
        <v>59600</v>
      </c>
    </row>
    <row r="83" spans="1:11" ht="25.5" x14ac:dyDescent="0.2">
      <c r="A83" s="59">
        <v>74</v>
      </c>
      <c r="B83" s="58" t="str">
        <f>+VLOOKUP(E83,'[1]Necesidades Trimestrales'!$E$10:$F$87,2,0)</f>
        <v xml:space="preserve">DESC COMPLEJOS </v>
      </c>
      <c r="C83" s="60" t="s">
        <v>57</v>
      </c>
      <c r="D83" s="73">
        <v>295</v>
      </c>
      <c r="E83" s="100" t="s">
        <v>83</v>
      </c>
      <c r="F83" s="79" t="s">
        <v>58</v>
      </c>
      <c r="G83" s="80">
        <v>20</v>
      </c>
      <c r="H83" s="88">
        <v>2980</v>
      </c>
      <c r="I83" s="61">
        <f t="shared" si="3"/>
        <v>59600</v>
      </c>
    </row>
    <row r="84" spans="1:11" ht="25.5" x14ac:dyDescent="0.2">
      <c r="A84" s="59">
        <v>75</v>
      </c>
      <c r="B84" s="58" t="str">
        <f>+VLOOKUP(E84,'[1]Necesidades Trimestrales'!$E$10:$F$87,2,0)</f>
        <v xml:space="preserve">DESC COMPLEJOS </v>
      </c>
      <c r="C84" s="60" t="s">
        <v>57</v>
      </c>
      <c r="D84" s="72">
        <v>295</v>
      </c>
      <c r="E84" s="113" t="s">
        <v>84</v>
      </c>
      <c r="F84" s="111" t="s">
        <v>58</v>
      </c>
      <c r="G84" s="110">
        <v>20</v>
      </c>
      <c r="H84" s="109">
        <v>2980</v>
      </c>
      <c r="I84" s="61">
        <f t="shared" si="3"/>
        <v>59600</v>
      </c>
    </row>
    <row r="85" spans="1:11" ht="25.5" x14ac:dyDescent="0.2">
      <c r="A85" s="59">
        <v>76</v>
      </c>
      <c r="B85" s="58" t="str">
        <f>+VLOOKUP(E85,'[1]Necesidades Trimestrales'!$E$10:$F$87,2,0)</f>
        <v>INS COVID</v>
      </c>
      <c r="C85" s="60" t="s">
        <v>57</v>
      </c>
      <c r="D85" s="72">
        <v>295</v>
      </c>
      <c r="E85" s="114" t="s">
        <v>137</v>
      </c>
      <c r="F85" s="117" t="s">
        <v>138</v>
      </c>
      <c r="G85" s="118">
        <v>5</v>
      </c>
      <c r="H85" s="119">
        <v>1425</v>
      </c>
      <c r="I85" s="61">
        <f t="shared" si="3"/>
        <v>7125</v>
      </c>
    </row>
    <row r="86" spans="1:11" ht="25.5" x14ac:dyDescent="0.2">
      <c r="A86" s="59">
        <v>77</v>
      </c>
      <c r="B86" s="58" t="str">
        <f>+VLOOKUP(E86,'[1]Necesidades Trimestrales'!$E$10:$F$87,2,0)</f>
        <v>INS COVID</v>
      </c>
      <c r="C86" s="60" t="s">
        <v>57</v>
      </c>
      <c r="D86" s="72">
        <v>295</v>
      </c>
      <c r="E86" s="114" t="s">
        <v>139</v>
      </c>
      <c r="F86" s="117" t="s">
        <v>138</v>
      </c>
      <c r="G86" s="118">
        <v>5</v>
      </c>
      <c r="H86" s="109">
        <v>1650</v>
      </c>
      <c r="I86" s="61">
        <f t="shared" si="3"/>
        <v>8250</v>
      </c>
      <c r="K86" s="33"/>
    </row>
    <row r="87" spans="1:11" ht="25.5" x14ac:dyDescent="0.2">
      <c r="A87" s="59">
        <v>78</v>
      </c>
      <c r="B87" s="58" t="str">
        <f>+VLOOKUP(E87,'[1]Necesidades Trimestrales'!$E$10:$F$87,2,0)</f>
        <v>INS COVID</v>
      </c>
      <c r="C87" s="60" t="s">
        <v>57</v>
      </c>
      <c r="D87" s="72">
        <v>295</v>
      </c>
      <c r="E87" s="114" t="s">
        <v>140</v>
      </c>
      <c r="F87" s="117" t="s">
        <v>138</v>
      </c>
      <c r="G87" s="118">
        <v>20</v>
      </c>
      <c r="H87" s="109">
        <v>1780</v>
      </c>
      <c r="I87" s="61">
        <f t="shared" si="3"/>
        <v>35600</v>
      </c>
    </row>
    <row r="88" spans="1:11" ht="13.5" thickBot="1" x14ac:dyDescent="0.25">
      <c r="I88" s="33"/>
    </row>
    <row r="89" spans="1:11" x14ac:dyDescent="0.2">
      <c r="B89" s="71" t="s">
        <v>60</v>
      </c>
      <c r="C89" s="29"/>
      <c r="D89" s="29"/>
      <c r="E89" s="30"/>
      <c r="I89" s="33"/>
    </row>
    <row r="90" spans="1:11" ht="13.5" customHeight="1" x14ac:dyDescent="0.2">
      <c r="B90" s="121" t="s">
        <v>61</v>
      </c>
      <c r="C90" s="122"/>
      <c r="D90" s="122"/>
      <c r="E90" s="123"/>
    </row>
    <row r="91" spans="1:11" ht="25.5" customHeight="1" x14ac:dyDescent="0.2">
      <c r="B91" s="121"/>
      <c r="C91" s="122"/>
      <c r="D91" s="122"/>
      <c r="E91" s="123"/>
      <c r="F91" s="31"/>
      <c r="G91" s="32"/>
    </row>
    <row r="92" spans="1:11" ht="13.5" customHeight="1" x14ac:dyDescent="0.2">
      <c r="B92" s="121" t="s">
        <v>141</v>
      </c>
      <c r="C92" s="122"/>
      <c r="D92" s="122"/>
      <c r="E92" s="123"/>
      <c r="F92" s="31"/>
      <c r="G92" s="32"/>
    </row>
    <row r="93" spans="1:11" ht="13.5" thickBot="1" x14ac:dyDescent="0.25">
      <c r="B93" s="74" t="s">
        <v>62</v>
      </c>
      <c r="C93" s="75"/>
      <c r="D93" s="76"/>
      <c r="E93" s="77"/>
      <c r="F93" s="31"/>
      <c r="G93" s="32"/>
    </row>
    <row r="94" spans="1:11" ht="12" customHeight="1" x14ac:dyDescent="0.2"/>
  </sheetData>
  <autoFilter ref="A9:I87" xr:uid="{00000000-0009-0000-0000-000000000000}"/>
  <sortState xmlns:xlrd2="http://schemas.microsoft.com/office/spreadsheetml/2017/richdata2" ref="C10:H103">
    <sortCondition ref="E10:E103"/>
  </sortState>
  <mergeCells count="9">
    <mergeCell ref="A6:B6"/>
    <mergeCell ref="A7:B7"/>
    <mergeCell ref="B90:E91"/>
    <mergeCell ref="B92:E92"/>
    <mergeCell ref="B2:H2"/>
    <mergeCell ref="A4:B4"/>
    <mergeCell ref="C4:E4"/>
    <mergeCell ref="A5:B5"/>
    <mergeCell ref="C5:E5"/>
  </mergeCells>
  <conditionalFormatting sqref="E27">
    <cfRule type="expression" dxfId="0" priority="1">
      <formula>ROW()=CELL("fila")</formula>
    </cfRule>
  </conditionalFormatting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90"/>
  <sheetViews>
    <sheetView topLeftCell="A75" zoomScale="80" zoomScaleNormal="80" workbookViewId="0">
      <selection activeCell="A91" sqref="A91"/>
    </sheetView>
  </sheetViews>
  <sheetFormatPr baseColWidth="10" defaultColWidth="9.140625" defaultRowHeight="12.75" x14ac:dyDescent="0.2"/>
  <cols>
    <col min="1" max="1" width="5.5703125" style="36" customWidth="1"/>
    <col min="2" max="2" width="15.140625" style="36" customWidth="1"/>
    <col min="3" max="3" width="14.140625" style="36" customWidth="1"/>
    <col min="4" max="4" width="26" style="36" customWidth="1"/>
    <col min="5" max="5" width="8" style="36" customWidth="1"/>
    <col min="6" max="6" width="7.85546875" style="36" customWidth="1"/>
    <col min="7" max="7" width="48.5703125" style="36" customWidth="1"/>
    <col min="8" max="8" width="9.28515625" style="36" customWidth="1"/>
    <col min="9" max="9" width="15.5703125" style="36" customWidth="1"/>
    <col min="10" max="10" width="14.7109375" style="36" customWidth="1"/>
    <col min="11" max="11" width="15.5703125" style="36" customWidth="1"/>
    <col min="12" max="13" width="5.85546875" style="36" customWidth="1"/>
    <col min="14" max="14" width="14.140625" style="36" customWidth="1"/>
    <col min="15" max="15" width="12.5703125" style="36" customWidth="1"/>
    <col min="16" max="1024" width="9.140625" style="36"/>
    <col min="1025" max="16384" width="9.140625" style="37"/>
  </cols>
  <sheetData>
    <row r="1" spans="1:11" ht="18" customHeight="1" x14ac:dyDescent="0.2">
      <c r="A1" s="127" t="s">
        <v>14</v>
      </c>
      <c r="B1" s="127"/>
      <c r="C1" s="127"/>
      <c r="D1" s="127"/>
      <c r="E1" s="127"/>
      <c r="F1" s="127"/>
      <c r="G1" s="127"/>
      <c r="H1" s="127"/>
      <c r="I1" s="127"/>
      <c r="J1" s="34" t="s">
        <v>15</v>
      </c>
      <c r="K1" s="35" t="s">
        <v>99</v>
      </c>
    </row>
    <row r="2" spans="1:11" ht="18.75" customHeight="1" thickBot="1" x14ac:dyDescent="0.25">
      <c r="A2" s="38"/>
      <c r="B2" s="38"/>
      <c r="C2" s="38"/>
      <c r="D2" s="39"/>
      <c r="E2" s="39"/>
      <c r="F2" s="39"/>
      <c r="G2" s="39"/>
      <c r="H2" s="39"/>
      <c r="I2" s="39"/>
      <c r="J2" s="39"/>
      <c r="K2" s="39"/>
    </row>
    <row r="3" spans="1:11" ht="18.75" customHeight="1" thickBot="1" x14ac:dyDescent="0.25">
      <c r="A3" s="128" t="s">
        <v>48</v>
      </c>
      <c r="B3" s="128"/>
      <c r="C3" s="128"/>
      <c r="D3" s="129" t="str">
        <f>'Necesidades Trimestrales'!C4</f>
        <v>040 - Ministerio de Salud</v>
      </c>
      <c r="E3" s="129"/>
      <c r="F3" s="129"/>
      <c r="G3" s="129"/>
      <c r="H3" s="129"/>
      <c r="I3" s="129"/>
      <c r="J3" s="129"/>
      <c r="K3" s="129"/>
    </row>
    <row r="4" spans="1:11" ht="18.75" customHeight="1" thickBot="1" x14ac:dyDescent="0.25">
      <c r="A4" s="130" t="s">
        <v>49</v>
      </c>
      <c r="B4" s="130"/>
      <c r="C4" s="130"/>
      <c r="D4" s="129" t="str">
        <f>'Necesidades Trimestrales'!C5</f>
        <v>024 - Hospital Interzonal de Niños</v>
      </c>
      <c r="E4" s="129"/>
      <c r="F4" s="129"/>
      <c r="G4" s="129"/>
      <c r="H4" s="129"/>
      <c r="I4" s="129"/>
      <c r="J4" s="129"/>
      <c r="K4" s="129"/>
    </row>
    <row r="5" spans="1:11" ht="18.75" customHeight="1" thickBot="1" x14ac:dyDescent="0.25">
      <c r="A5" s="130" t="s">
        <v>27</v>
      </c>
      <c r="B5" s="130"/>
      <c r="C5" s="130"/>
      <c r="D5" s="129" t="s">
        <v>51</v>
      </c>
      <c r="E5" s="129"/>
      <c r="F5" s="129"/>
      <c r="G5" s="129"/>
      <c r="H5" s="129"/>
      <c r="I5" s="129"/>
      <c r="J5" s="129"/>
      <c r="K5" s="129"/>
    </row>
    <row r="6" spans="1:11" ht="16.5" customHeight="1" thickBot="1" x14ac:dyDescent="0.25">
      <c r="A6" s="128" t="s">
        <v>50</v>
      </c>
      <c r="B6" s="128"/>
      <c r="C6" s="128"/>
      <c r="D6" s="129" t="s">
        <v>56</v>
      </c>
      <c r="E6" s="129"/>
      <c r="F6" s="129"/>
      <c r="G6" s="129"/>
      <c r="H6" s="129"/>
      <c r="I6" s="129"/>
      <c r="J6" s="129"/>
      <c r="K6" s="129"/>
    </row>
    <row r="7" spans="1:11" ht="16.5" customHeight="1" x14ac:dyDescent="0.2">
      <c r="A7" s="130" t="s">
        <v>16</v>
      </c>
      <c r="B7" s="130"/>
      <c r="C7" s="130"/>
      <c r="D7" s="129" t="str">
        <f>'Necesidades Trimestrales'!C7 &amp; "° Trimestre - Año " &amp; 'Necesidades Trimestrales'!C6</f>
        <v>4° Trimestre - Año 2021</v>
      </c>
      <c r="E7" s="129"/>
      <c r="F7" s="129"/>
      <c r="G7" s="129"/>
      <c r="H7" s="129"/>
      <c r="I7" s="129"/>
      <c r="J7" s="129"/>
      <c r="K7" s="129"/>
    </row>
    <row r="8" spans="1:11" ht="16.5" customHeight="1" x14ac:dyDescent="0.2">
      <c r="A8" s="135" t="s">
        <v>17</v>
      </c>
      <c r="B8" s="135"/>
      <c r="C8" s="135"/>
      <c r="D8" s="131" t="s">
        <v>142</v>
      </c>
      <c r="E8" s="131"/>
      <c r="F8" s="131"/>
      <c r="G8" s="131"/>
      <c r="H8" s="131"/>
      <c r="I8" s="131"/>
      <c r="J8" s="131"/>
      <c r="K8" s="131"/>
    </row>
    <row r="9" spans="1:11" ht="15.75" x14ac:dyDescent="0.2">
      <c r="A9" s="40"/>
      <c r="B9" s="40"/>
      <c r="C9" s="40"/>
      <c r="D9" s="41"/>
      <c r="E9" s="41"/>
      <c r="F9" s="41"/>
      <c r="G9" s="41"/>
      <c r="H9" s="41"/>
      <c r="I9" s="41"/>
      <c r="J9" s="41"/>
      <c r="K9" s="41"/>
    </row>
    <row r="10" spans="1:11" ht="18.75" customHeight="1" x14ac:dyDescent="0.2">
      <c r="A10" s="132" t="s">
        <v>18</v>
      </c>
      <c r="B10" s="133" t="s">
        <v>19</v>
      </c>
      <c r="C10" s="133" t="s">
        <v>20</v>
      </c>
      <c r="D10" s="133"/>
      <c r="E10" s="133"/>
      <c r="F10" s="133"/>
      <c r="G10" s="133"/>
      <c r="H10" s="133" t="s">
        <v>21</v>
      </c>
      <c r="I10" s="133" t="s">
        <v>22</v>
      </c>
      <c r="J10" s="133" t="s">
        <v>23</v>
      </c>
      <c r="K10" s="134" t="s">
        <v>24</v>
      </c>
    </row>
    <row r="11" spans="1:11" ht="24" customHeight="1" thickBot="1" x14ac:dyDescent="0.25">
      <c r="A11" s="132"/>
      <c r="B11" s="133"/>
      <c r="C11" s="133"/>
      <c r="D11" s="133"/>
      <c r="E11" s="133"/>
      <c r="F11" s="133"/>
      <c r="G11" s="133"/>
      <c r="H11" s="133"/>
      <c r="I11" s="133"/>
      <c r="J11" s="133"/>
      <c r="K11" s="134"/>
    </row>
    <row r="12" spans="1:11" ht="27.75" customHeight="1" x14ac:dyDescent="0.2">
      <c r="A12" s="62">
        <v>1</v>
      </c>
      <c r="B12" s="63"/>
      <c r="C12" s="126" t="str">
        <f>'Necesidades Trimestrales'!E10</f>
        <v>ALCOHOL 96 % X 500 ML</v>
      </c>
      <c r="D12" s="126"/>
      <c r="E12" s="126"/>
      <c r="F12" s="126"/>
      <c r="G12" s="126"/>
      <c r="H12" s="66" t="s">
        <v>54</v>
      </c>
      <c r="I12" s="67" t="str">
        <f>'Necesidades Trimestrales'!F10</f>
        <v>BOTELLA</v>
      </c>
      <c r="J12" s="65">
        <f>'Necesidades Trimestrales'!H10</f>
        <v>115</v>
      </c>
      <c r="K12" s="64">
        <f>'Necesidades Trimestrales'!G10</f>
        <v>3000</v>
      </c>
    </row>
    <row r="13" spans="1:11" ht="27.75" customHeight="1" x14ac:dyDescent="0.2">
      <c r="A13" s="62">
        <v>2</v>
      </c>
      <c r="B13" s="63"/>
      <c r="C13" s="126" t="str">
        <f>'Necesidades Trimestrales'!E11</f>
        <v>BARBIJOS DE ALTA EFICIENCIA TIPO N95</v>
      </c>
      <c r="D13" s="126"/>
      <c r="E13" s="126"/>
      <c r="F13" s="126"/>
      <c r="G13" s="126"/>
      <c r="H13" s="66" t="s">
        <v>54</v>
      </c>
      <c r="I13" s="67" t="str">
        <f>'Necesidades Trimestrales'!F11</f>
        <v>UNIDAD</v>
      </c>
      <c r="J13" s="65">
        <f>'Necesidades Trimestrales'!H11</f>
        <v>69</v>
      </c>
      <c r="K13" s="64">
        <f>'Necesidades Trimestrales'!G11</f>
        <v>5000</v>
      </c>
    </row>
    <row r="14" spans="1:11" ht="27.75" customHeight="1" x14ac:dyDescent="0.2">
      <c r="A14" s="62">
        <v>3</v>
      </c>
      <c r="B14" s="63"/>
      <c r="C14" s="126" t="str">
        <f>'Necesidades Trimestrales'!E12</f>
        <v>BOLSA P/COLOSTOMIA PEDIATRICA</v>
      </c>
      <c r="D14" s="126"/>
      <c r="E14" s="126"/>
      <c r="F14" s="126"/>
      <c r="G14" s="126"/>
      <c r="H14" s="66" t="s">
        <v>54</v>
      </c>
      <c r="I14" s="67" t="str">
        <f>'Necesidades Trimestrales'!F12</f>
        <v>UNIDAD</v>
      </c>
      <c r="J14" s="65">
        <f>'Necesidades Trimestrales'!H12</f>
        <v>280</v>
      </c>
      <c r="K14" s="64">
        <f>'Necesidades Trimestrales'!G12</f>
        <v>50</v>
      </c>
    </row>
    <row r="15" spans="1:11" ht="27.75" customHeight="1" x14ac:dyDescent="0.2">
      <c r="A15" s="62">
        <v>4</v>
      </c>
      <c r="B15" s="63"/>
      <c r="C15" s="126" t="str">
        <f>'Necesidades Trimestrales'!E13</f>
        <v xml:space="preserve">CAMARA HUMIDIFICADORA DESCARTABLE TIPO FISHER PAIKEL </v>
      </c>
      <c r="D15" s="126"/>
      <c r="E15" s="126"/>
      <c r="F15" s="126"/>
      <c r="G15" s="126"/>
      <c r="H15" s="66" t="s">
        <v>54</v>
      </c>
      <c r="I15" s="67" t="str">
        <f>'Necesidades Trimestrales'!F13</f>
        <v>UNIDAD</v>
      </c>
      <c r="J15" s="65">
        <f>'Necesidades Trimestrales'!H13</f>
        <v>1598</v>
      </c>
      <c r="K15" s="64">
        <f>'Necesidades Trimestrales'!G13</f>
        <v>50</v>
      </c>
    </row>
    <row r="16" spans="1:11" ht="27.75" customHeight="1" x14ac:dyDescent="0.2">
      <c r="A16" s="62">
        <v>5</v>
      </c>
      <c r="B16" s="63"/>
      <c r="C16" s="126" t="str">
        <f>'Necesidades Trimestrales'!E14</f>
        <v>CAMISOLIN DESCARTABLE DE TELA SMS 50 GRAMOS CON MANGA Y PUÑOS DE 1,4 M DE LARGO</v>
      </c>
      <c r="D16" s="126"/>
      <c r="E16" s="126"/>
      <c r="F16" s="126"/>
      <c r="G16" s="126"/>
      <c r="H16" s="66" t="s">
        <v>54</v>
      </c>
      <c r="I16" s="67" t="str">
        <f>'Necesidades Trimestrales'!F14</f>
        <v>UNIDAD</v>
      </c>
      <c r="J16" s="65">
        <f>'Necesidades Trimestrales'!H14</f>
        <v>136</v>
      </c>
      <c r="K16" s="64">
        <f>'Necesidades Trimestrales'!G14</f>
        <v>200</v>
      </c>
    </row>
    <row r="17" spans="1:14" ht="27.75" customHeight="1" x14ac:dyDescent="0.2">
      <c r="A17" s="62">
        <v>6</v>
      </c>
      <c r="B17" s="63"/>
      <c r="C17" s="126" t="str">
        <f>'Necesidades Trimestrales'!E15</f>
        <v>CANASTILLA DE DORMIA</v>
      </c>
      <c r="D17" s="126"/>
      <c r="E17" s="126"/>
      <c r="F17" s="126"/>
      <c r="G17" s="126"/>
      <c r="H17" s="66" t="s">
        <v>54</v>
      </c>
      <c r="I17" s="67" t="str">
        <f>'Necesidades Trimestrales'!F15</f>
        <v>UNIDAD</v>
      </c>
      <c r="J17" s="65">
        <f>'Necesidades Trimestrales'!H15</f>
        <v>21000</v>
      </c>
      <c r="K17" s="64">
        <f>'Necesidades Trimestrales'!G15</f>
        <v>1</v>
      </c>
    </row>
    <row r="18" spans="1:14" ht="27.75" customHeight="1" x14ac:dyDescent="0.2">
      <c r="A18" s="62">
        <v>7</v>
      </c>
      <c r="B18" s="63"/>
      <c r="C18" s="126" t="str">
        <f>'Necesidades Trimestrales'!E16</f>
        <v>CANULA NASAL DE ALTO FLUJO TIPO OPTIFLOW INFANTIL F&amp;P OPT 316</v>
      </c>
      <c r="D18" s="126"/>
      <c r="E18" s="126"/>
      <c r="F18" s="126"/>
      <c r="G18" s="126"/>
      <c r="H18" s="66" t="s">
        <v>54</v>
      </c>
      <c r="I18" s="67" t="str">
        <f>'Necesidades Trimestrales'!F16</f>
        <v>UNIDAD</v>
      </c>
      <c r="J18" s="65">
        <f>'Necesidades Trimestrales'!H16</f>
        <v>4751</v>
      </c>
      <c r="K18" s="64">
        <f>'Necesidades Trimestrales'!G16</f>
        <v>5</v>
      </c>
    </row>
    <row r="19" spans="1:14" ht="27.75" customHeight="1" x14ac:dyDescent="0.2">
      <c r="A19" s="62">
        <v>8</v>
      </c>
      <c r="B19" s="70"/>
      <c r="C19" s="126" t="str">
        <f>'Necesidades Trimestrales'!E17</f>
        <v>CANULA NASAL DE ALTO FLUJO TIPO OPTIFLOW PEDIATRICA F&amp;P OPT 318</v>
      </c>
      <c r="D19" s="126"/>
      <c r="E19" s="126"/>
      <c r="F19" s="126"/>
      <c r="G19" s="126"/>
      <c r="H19" s="66" t="s">
        <v>54</v>
      </c>
      <c r="I19" s="67" t="str">
        <f>'Necesidades Trimestrales'!F17</f>
        <v>UNIDAD</v>
      </c>
      <c r="J19" s="65">
        <f>'Necesidades Trimestrales'!H17</f>
        <v>4751</v>
      </c>
      <c r="K19" s="64">
        <f>'Necesidades Trimestrales'!G17</f>
        <v>5</v>
      </c>
    </row>
    <row r="20" spans="1:14" ht="27.75" customHeight="1" x14ac:dyDescent="0.2">
      <c r="A20" s="62">
        <v>9</v>
      </c>
      <c r="B20" s="70"/>
      <c r="C20" s="126" t="str">
        <f>'Necesidades Trimestrales'!E18</f>
        <v>CANULA NASAL PARA OXIGENOTERAPIA NEONATAL</v>
      </c>
      <c r="D20" s="126"/>
      <c r="E20" s="126"/>
      <c r="F20" s="126"/>
      <c r="G20" s="126"/>
      <c r="H20" s="66" t="s">
        <v>54</v>
      </c>
      <c r="I20" s="67" t="str">
        <f>'Necesidades Trimestrales'!F18</f>
        <v>UNIDAD</v>
      </c>
      <c r="J20" s="65">
        <f>'Necesidades Trimestrales'!H18</f>
        <v>58</v>
      </c>
      <c r="K20" s="64">
        <f>'Necesidades Trimestrales'!G18</f>
        <v>500</v>
      </c>
    </row>
    <row r="21" spans="1:14" ht="27.75" customHeight="1" x14ac:dyDescent="0.2">
      <c r="A21" s="62">
        <v>10</v>
      </c>
      <c r="B21" s="70"/>
      <c r="C21" s="126" t="str">
        <f>'Necesidades Trimestrales'!E19</f>
        <v>CANULA NASAL PARA OXIGENOTERAPIA PEDIATRICO</v>
      </c>
      <c r="D21" s="126"/>
      <c r="E21" s="126"/>
      <c r="F21" s="126"/>
      <c r="G21" s="126"/>
      <c r="H21" s="66" t="s">
        <v>54</v>
      </c>
      <c r="I21" s="67" t="str">
        <f>'Necesidades Trimestrales'!F19</f>
        <v>UNIDAD</v>
      </c>
      <c r="J21" s="65">
        <f>'Necesidades Trimestrales'!H19</f>
        <v>58</v>
      </c>
      <c r="K21" s="64">
        <f>'Necesidades Trimestrales'!G19</f>
        <v>500</v>
      </c>
    </row>
    <row r="22" spans="1:14" ht="27.75" customHeight="1" x14ac:dyDescent="0.2">
      <c r="A22" s="62">
        <v>11</v>
      </c>
      <c r="B22" s="70"/>
      <c r="C22" s="126" t="str">
        <f>'Necesidades Trimestrales'!E20</f>
        <v xml:space="preserve">CANULA PARA TRAQUEOSTOMIA  N°6.5 </v>
      </c>
      <c r="D22" s="126"/>
      <c r="E22" s="126"/>
      <c r="F22" s="126"/>
      <c r="G22" s="126"/>
      <c r="H22" s="66" t="s">
        <v>54</v>
      </c>
      <c r="I22" s="67" t="str">
        <f>'Necesidades Trimestrales'!F20</f>
        <v>UNIDAD</v>
      </c>
      <c r="J22" s="65">
        <f>'Necesidades Trimestrales'!H20</f>
        <v>1100</v>
      </c>
      <c r="K22" s="64">
        <f>'Necesidades Trimestrales'!G20</f>
        <v>10</v>
      </c>
    </row>
    <row r="23" spans="1:14" ht="27.75" customHeight="1" x14ac:dyDescent="0.2">
      <c r="A23" s="62">
        <v>12</v>
      </c>
      <c r="B23" s="70"/>
      <c r="C23" s="126" t="str">
        <f>'Necesidades Trimestrales'!E21</f>
        <v xml:space="preserve">CANULA PARA TRAQUEOSTOMIA  Nº 4 </v>
      </c>
      <c r="D23" s="126"/>
      <c r="E23" s="126"/>
      <c r="F23" s="126"/>
      <c r="G23" s="126"/>
      <c r="H23" s="66" t="s">
        <v>54</v>
      </c>
      <c r="I23" s="67" t="str">
        <f>'Necesidades Trimestrales'!F21</f>
        <v>UNIDAD</v>
      </c>
      <c r="J23" s="65">
        <f>'Necesidades Trimestrales'!H21</f>
        <v>1250</v>
      </c>
      <c r="K23" s="64">
        <f>'Necesidades Trimestrales'!G21</f>
        <v>20</v>
      </c>
    </row>
    <row r="24" spans="1:14" ht="27.75" customHeight="1" x14ac:dyDescent="0.2">
      <c r="A24" s="62">
        <v>13</v>
      </c>
      <c r="B24" s="70"/>
      <c r="C24" s="126" t="str">
        <f>'Necesidades Trimestrales'!E22</f>
        <v>CANULA PARA TRAQUEOSTOMIA  Nº 41/2</v>
      </c>
      <c r="D24" s="126"/>
      <c r="E24" s="126"/>
      <c r="F24" s="126"/>
      <c r="G24" s="126"/>
      <c r="H24" s="66" t="s">
        <v>54</v>
      </c>
      <c r="I24" s="67" t="str">
        <f>'Necesidades Trimestrales'!F22</f>
        <v>UNIDAD</v>
      </c>
      <c r="J24" s="65">
        <f>'Necesidades Trimestrales'!H22</f>
        <v>1250</v>
      </c>
      <c r="K24" s="64">
        <f>'Necesidades Trimestrales'!G22</f>
        <v>20</v>
      </c>
    </row>
    <row r="25" spans="1:14" ht="27.75" customHeight="1" x14ac:dyDescent="0.2">
      <c r="A25" s="62">
        <v>14</v>
      </c>
      <c r="B25" s="70"/>
      <c r="C25" s="126" t="str">
        <f>'Necesidades Trimestrales'!E23</f>
        <v xml:space="preserve">CANULA PARA TRAQUEOSTOMIA N°5-5 </v>
      </c>
      <c r="D25" s="126"/>
      <c r="E25" s="126"/>
      <c r="F25" s="126"/>
      <c r="G25" s="126"/>
      <c r="H25" s="66" t="s">
        <v>54</v>
      </c>
      <c r="I25" s="67" t="str">
        <f>'Necesidades Trimestrales'!F23</f>
        <v>UNIDAD</v>
      </c>
      <c r="J25" s="65">
        <f>'Necesidades Trimestrales'!H23</f>
        <v>1250</v>
      </c>
      <c r="K25" s="64">
        <f>'Necesidades Trimestrales'!G23</f>
        <v>20</v>
      </c>
    </row>
    <row r="26" spans="1:14" ht="27.75" customHeight="1" x14ac:dyDescent="0.2">
      <c r="A26" s="62">
        <v>15</v>
      </c>
      <c r="B26" s="70"/>
      <c r="C26" s="126" t="str">
        <f>'Necesidades Trimestrales'!E24</f>
        <v>CANULA PARA TRAQUEOTOMIA  Nº 5</v>
      </c>
      <c r="D26" s="126"/>
      <c r="E26" s="126"/>
      <c r="F26" s="126"/>
      <c r="G26" s="126"/>
      <c r="H26" s="66" t="s">
        <v>54</v>
      </c>
      <c r="I26" s="67" t="str">
        <f>'Necesidades Trimestrales'!F24</f>
        <v>UNIDAD</v>
      </c>
      <c r="J26" s="65">
        <f>'Necesidades Trimestrales'!H24</f>
        <v>1100</v>
      </c>
      <c r="K26" s="64">
        <f>'Necesidades Trimestrales'!G24</f>
        <v>20</v>
      </c>
    </row>
    <row r="27" spans="1:14" ht="27.75" customHeight="1" x14ac:dyDescent="0.2">
      <c r="A27" s="62">
        <v>16</v>
      </c>
      <c r="B27" s="70"/>
      <c r="C27" s="126" t="str">
        <f>'Necesidades Trimestrales'!E25</f>
        <v>CATÉTER DE DIÁLISIS PERITONEAL 12FR. T/SILMAG</v>
      </c>
      <c r="D27" s="126"/>
      <c r="E27" s="126"/>
      <c r="F27" s="126"/>
      <c r="G27" s="126"/>
      <c r="H27" s="66" t="s">
        <v>54</v>
      </c>
      <c r="I27" s="67" t="str">
        <f>'Necesidades Trimestrales'!F25</f>
        <v>UNIDAD</v>
      </c>
      <c r="J27" s="65">
        <f>'Necesidades Trimestrales'!H25</f>
        <v>19800</v>
      </c>
      <c r="K27" s="64">
        <f>'Necesidades Trimestrales'!G25</f>
        <v>3</v>
      </c>
    </row>
    <row r="28" spans="1:14" ht="27.75" customHeight="1" x14ac:dyDescent="0.2">
      <c r="A28" s="62">
        <v>17</v>
      </c>
      <c r="B28" s="70"/>
      <c r="C28" s="126" t="str">
        <f>'Necesidades Trimestrales'!E26</f>
        <v xml:space="preserve">CATÉTER DE DIALISIS PERITONEAL 15FR. T/SILMAG </v>
      </c>
      <c r="D28" s="126"/>
      <c r="E28" s="126"/>
      <c r="F28" s="126"/>
      <c r="G28" s="126"/>
      <c r="H28" s="66" t="s">
        <v>54</v>
      </c>
      <c r="I28" s="67" t="str">
        <f>'Necesidades Trimestrales'!F26</f>
        <v>UNIDAD</v>
      </c>
      <c r="J28" s="65">
        <f>'Necesidades Trimestrales'!H26</f>
        <v>19800</v>
      </c>
      <c r="K28" s="64">
        <f>'Necesidades Trimestrales'!G26</f>
        <v>3</v>
      </c>
    </row>
    <row r="29" spans="1:14" ht="27.75" customHeight="1" x14ac:dyDescent="0.2">
      <c r="A29" s="62">
        <v>18</v>
      </c>
      <c r="B29" s="70"/>
      <c r="C29" s="126" t="str">
        <f>'Necesidades Trimestrales'!E27</f>
        <v>CATETER DOBLE P/DIAG.NEUMONIA T/BRONCHOCATH DCD</v>
      </c>
      <c r="D29" s="126"/>
      <c r="E29" s="126"/>
      <c r="F29" s="126"/>
      <c r="G29" s="126"/>
      <c r="H29" s="66" t="s">
        <v>54</v>
      </c>
      <c r="I29" s="67" t="str">
        <f>'Necesidades Trimestrales'!F27</f>
        <v>UNIDAD</v>
      </c>
      <c r="J29" s="65">
        <f>'Necesidades Trimestrales'!H27</f>
        <v>17500</v>
      </c>
      <c r="K29" s="64">
        <f>'Necesidades Trimestrales'!G27</f>
        <v>6</v>
      </c>
      <c r="N29" s="36" t="s">
        <v>55</v>
      </c>
    </row>
    <row r="30" spans="1:14" ht="27.75" customHeight="1" x14ac:dyDescent="0.2">
      <c r="A30" s="62">
        <v>19</v>
      </c>
      <c r="B30" s="70"/>
      <c r="C30" s="126" t="str">
        <f>'Necesidades Trimestrales'!E28</f>
        <v>CATETER FOGARTY Nº 3</v>
      </c>
      <c r="D30" s="126"/>
      <c r="E30" s="126"/>
      <c r="F30" s="126"/>
      <c r="G30" s="126"/>
      <c r="H30" s="66" t="s">
        <v>54</v>
      </c>
      <c r="I30" s="67" t="str">
        <f>'Necesidades Trimestrales'!F28</f>
        <v>UNIDAD</v>
      </c>
      <c r="J30" s="65">
        <f>'Necesidades Trimestrales'!H28</f>
        <v>4495</v>
      </c>
      <c r="K30" s="64">
        <f>'Necesidades Trimestrales'!G28</f>
        <v>2</v>
      </c>
    </row>
    <row r="31" spans="1:14" ht="27.75" customHeight="1" x14ac:dyDescent="0.2">
      <c r="A31" s="62">
        <v>20</v>
      </c>
      <c r="B31" s="70"/>
      <c r="C31" s="126" t="str">
        <f>'Necesidades Trimestrales'!E29</f>
        <v>CATETER FOGARTY Nº 4</v>
      </c>
      <c r="D31" s="126"/>
      <c r="E31" s="126"/>
      <c r="F31" s="126"/>
      <c r="G31" s="126"/>
      <c r="H31" s="66" t="s">
        <v>54</v>
      </c>
      <c r="I31" s="67" t="str">
        <f>'Necesidades Trimestrales'!F29</f>
        <v>UNIDAD</v>
      </c>
      <c r="J31" s="65">
        <f>'Necesidades Trimestrales'!H29</f>
        <v>4495</v>
      </c>
      <c r="K31" s="64">
        <f>'Necesidades Trimestrales'!G29</f>
        <v>2</v>
      </c>
    </row>
    <row r="32" spans="1:14" ht="27.75" customHeight="1" x14ac:dyDescent="0.2">
      <c r="A32" s="62">
        <v>21</v>
      </c>
      <c r="B32" s="70"/>
      <c r="C32" s="126" t="str">
        <f>'Necesidades Trimestrales'!E30</f>
        <v>CATETER FOGARTY Nº 5</v>
      </c>
      <c r="D32" s="126"/>
      <c r="E32" s="126"/>
      <c r="F32" s="126"/>
      <c r="G32" s="126"/>
      <c r="H32" s="66" t="s">
        <v>54</v>
      </c>
      <c r="I32" s="67" t="str">
        <f>'Necesidades Trimestrales'!F30</f>
        <v>UNIDAD</v>
      </c>
      <c r="J32" s="65">
        <f>'Necesidades Trimestrales'!H30</f>
        <v>4495</v>
      </c>
      <c r="K32" s="64">
        <f>'Necesidades Trimestrales'!G30</f>
        <v>2</v>
      </c>
    </row>
    <row r="33" spans="1:11" ht="27.75" customHeight="1" x14ac:dyDescent="0.2">
      <c r="A33" s="62">
        <v>22</v>
      </c>
      <c r="B33" s="70"/>
      <c r="C33" s="126" t="str">
        <f>'Necesidades Trimestrales'!E31</f>
        <v>CIRCUITO RESPIRADOR CON TRAMPA DE AGUA DESCARTABLE ADULTO</v>
      </c>
      <c r="D33" s="126"/>
      <c r="E33" s="126"/>
      <c r="F33" s="126"/>
      <c r="G33" s="126"/>
      <c r="H33" s="66" t="s">
        <v>54</v>
      </c>
      <c r="I33" s="67" t="str">
        <f>'Necesidades Trimestrales'!F31</f>
        <v>UNIDAD</v>
      </c>
      <c r="J33" s="65">
        <f>'Necesidades Trimestrales'!H31</f>
        <v>1580</v>
      </c>
      <c r="K33" s="64">
        <f>'Necesidades Trimestrales'!G31</f>
        <v>50</v>
      </c>
    </row>
    <row r="34" spans="1:11" ht="27.75" customHeight="1" x14ac:dyDescent="0.2">
      <c r="A34" s="62">
        <v>23</v>
      </c>
      <c r="B34" s="70"/>
      <c r="C34" s="126" t="str">
        <f>'Necesidades Trimestrales'!E32</f>
        <v>CIRCUITO RESPIRADOR CON TRAMPA DE AGUA DESCARTABLE PEDIATRICO</v>
      </c>
      <c r="D34" s="126"/>
      <c r="E34" s="126"/>
      <c r="F34" s="126"/>
      <c r="G34" s="126"/>
      <c r="H34" s="66" t="s">
        <v>54</v>
      </c>
      <c r="I34" s="67" t="str">
        <f>'Necesidades Trimestrales'!F32</f>
        <v>UNIDAD</v>
      </c>
      <c r="J34" s="65">
        <f>'Necesidades Trimestrales'!H32</f>
        <v>1280</v>
      </c>
      <c r="K34" s="64">
        <f>'Necesidades Trimestrales'!G32</f>
        <v>75</v>
      </c>
    </row>
    <row r="35" spans="1:11" ht="27.75" customHeight="1" x14ac:dyDescent="0.2">
      <c r="A35" s="62">
        <v>24</v>
      </c>
      <c r="B35" s="70"/>
      <c r="C35" s="126" t="str">
        <f>'Necesidades Trimestrales'!E33</f>
        <v>CLAVIJAS DE ACERO 1,5MM</v>
      </c>
      <c r="D35" s="126"/>
      <c r="E35" s="126"/>
      <c r="F35" s="126"/>
      <c r="G35" s="126"/>
      <c r="H35" s="66" t="s">
        <v>54</v>
      </c>
      <c r="I35" s="67" t="str">
        <f>'Necesidades Trimestrales'!F33</f>
        <v>UNIDAD</v>
      </c>
      <c r="J35" s="65">
        <f>'Necesidades Trimestrales'!H33</f>
        <v>351</v>
      </c>
      <c r="K35" s="64">
        <f>'Necesidades Trimestrales'!G33</f>
        <v>100</v>
      </c>
    </row>
    <row r="36" spans="1:11" ht="27.75" customHeight="1" x14ac:dyDescent="0.2">
      <c r="A36" s="62">
        <v>25</v>
      </c>
      <c r="B36" s="70"/>
      <c r="C36" s="126" t="str">
        <f>'Necesidades Trimestrales'!E34</f>
        <v>CLAVIJAS ULTRAFINA 1 MM</v>
      </c>
      <c r="D36" s="126"/>
      <c r="E36" s="126"/>
      <c r="F36" s="126"/>
      <c r="G36" s="126"/>
      <c r="H36" s="66" t="s">
        <v>54</v>
      </c>
      <c r="I36" s="67" t="str">
        <f>'Necesidades Trimestrales'!F34</f>
        <v>UNIDAD</v>
      </c>
      <c r="J36" s="65">
        <f>'Necesidades Trimestrales'!H34</f>
        <v>382</v>
      </c>
      <c r="K36" s="64">
        <f>'Necesidades Trimestrales'!G34</f>
        <v>100</v>
      </c>
    </row>
    <row r="37" spans="1:11" ht="27.75" customHeight="1" x14ac:dyDescent="0.2">
      <c r="A37" s="62">
        <v>26</v>
      </c>
      <c r="B37" s="70"/>
      <c r="C37" s="126" t="str">
        <f>'Necesidades Trimestrales'!E35</f>
        <v>CLORHEXIDINA 2% SOLUCION ACUOSA X 250 ML</v>
      </c>
      <c r="D37" s="126"/>
      <c r="E37" s="126"/>
      <c r="F37" s="126"/>
      <c r="G37" s="126"/>
      <c r="H37" s="66" t="s">
        <v>54</v>
      </c>
      <c r="I37" s="67" t="str">
        <f>'Necesidades Trimestrales'!F35</f>
        <v>FRASCO</v>
      </c>
      <c r="J37" s="65">
        <f>'Necesidades Trimestrales'!H35</f>
        <v>630</v>
      </c>
      <c r="K37" s="64">
        <f>'Necesidades Trimestrales'!G35</f>
        <v>1000</v>
      </c>
    </row>
    <row r="38" spans="1:11" ht="27.75" customHeight="1" x14ac:dyDescent="0.2">
      <c r="A38" s="62">
        <v>27</v>
      </c>
      <c r="B38" s="70"/>
      <c r="C38" s="126" t="str">
        <f>'Necesidades Trimestrales'!E36</f>
        <v>EQUIPO P/DIALISIS PERITONEAL PED.T/V-308</v>
      </c>
      <c r="D38" s="126"/>
      <c r="E38" s="126"/>
      <c r="F38" s="126"/>
      <c r="G38" s="126"/>
      <c r="H38" s="66" t="s">
        <v>54</v>
      </c>
      <c r="I38" s="67" t="str">
        <f>'Necesidades Trimestrales'!F36</f>
        <v>UNIDAD</v>
      </c>
      <c r="J38" s="65">
        <f>'Necesidades Trimestrales'!H36</f>
        <v>9900</v>
      </c>
      <c r="K38" s="64">
        <f>'Necesidades Trimestrales'!G36</f>
        <v>6</v>
      </c>
    </row>
    <row r="39" spans="1:11" ht="27.75" customHeight="1" x14ac:dyDescent="0.2">
      <c r="A39" s="62">
        <v>28</v>
      </c>
      <c r="B39" s="70"/>
      <c r="C39" s="126" t="str">
        <f>'Necesidades Trimestrales'!E37</f>
        <v xml:space="preserve">FILTRO P/REMOCION DE LEUCOCITOS </v>
      </c>
      <c r="D39" s="126"/>
      <c r="E39" s="126"/>
      <c r="F39" s="126"/>
      <c r="G39" s="126"/>
      <c r="H39" s="66" t="s">
        <v>54</v>
      </c>
      <c r="I39" s="67" t="str">
        <f>'Necesidades Trimestrales'!F37</f>
        <v>UNIDAD</v>
      </c>
      <c r="J39" s="65">
        <f>'Necesidades Trimestrales'!H37</f>
        <v>6800</v>
      </c>
      <c r="K39" s="64">
        <f>'Necesidades Trimestrales'!G37</f>
        <v>20</v>
      </c>
    </row>
    <row r="40" spans="1:11" ht="27.75" customHeight="1" x14ac:dyDescent="0.2">
      <c r="A40" s="62">
        <v>29</v>
      </c>
      <c r="B40" s="70"/>
      <c r="C40" s="126" t="str">
        <f>'Necesidades Trimestrales'!E38</f>
        <v>FRASCO PARA DRENAJE TORACICO x 2500 ML</v>
      </c>
      <c r="D40" s="126"/>
      <c r="E40" s="126"/>
      <c r="F40" s="126"/>
      <c r="G40" s="126"/>
      <c r="H40" s="66" t="s">
        <v>54</v>
      </c>
      <c r="I40" s="67" t="str">
        <f>'Necesidades Trimestrales'!F38</f>
        <v>UNIDAD</v>
      </c>
      <c r="J40" s="65">
        <f>'Necesidades Trimestrales'!H38</f>
        <v>850</v>
      </c>
      <c r="K40" s="64">
        <f>'Necesidades Trimestrales'!G38</f>
        <v>30</v>
      </c>
    </row>
    <row r="41" spans="1:11" ht="27.75" customHeight="1" x14ac:dyDescent="0.2">
      <c r="A41" s="62">
        <v>30</v>
      </c>
      <c r="B41" s="70"/>
      <c r="C41" s="126" t="str">
        <f>'Necesidades Trimestrales'!E39</f>
        <v>FRASCO PARA DRENAJE TORACICO x 750 ML</v>
      </c>
      <c r="D41" s="126"/>
      <c r="E41" s="126"/>
      <c r="F41" s="126"/>
      <c r="G41" s="126"/>
      <c r="H41" s="66" t="s">
        <v>54</v>
      </c>
      <c r="I41" s="67" t="str">
        <f>'Necesidades Trimestrales'!F39</f>
        <v>UNIDAD</v>
      </c>
      <c r="J41" s="65">
        <f>'Necesidades Trimestrales'!H39</f>
        <v>210</v>
      </c>
      <c r="K41" s="64">
        <f>'Necesidades Trimestrales'!G39</f>
        <v>30</v>
      </c>
    </row>
    <row r="42" spans="1:11" ht="27.75" customHeight="1" x14ac:dyDescent="0.2">
      <c r="A42" s="62">
        <v>31</v>
      </c>
      <c r="B42" s="70"/>
      <c r="C42" s="126" t="str">
        <f>'Necesidades Trimestrales'!E40</f>
        <v>GUANTES DE CIRUGIA ESTERIL Nº 6 1/2 PAR. ANATOMICOS . CAÑA LARGA SIN TALCO</v>
      </c>
      <c r="D42" s="126"/>
      <c r="E42" s="126"/>
      <c r="F42" s="126"/>
      <c r="G42" s="126"/>
      <c r="H42" s="66" t="s">
        <v>54</v>
      </c>
      <c r="I42" s="67" t="str">
        <f>'Necesidades Trimestrales'!F40</f>
        <v>PAR</v>
      </c>
      <c r="J42" s="65">
        <f>'Necesidades Trimestrales'!H40</f>
        <v>32</v>
      </c>
      <c r="K42" s="64">
        <f>'Necesidades Trimestrales'!G40</f>
        <v>1500</v>
      </c>
    </row>
    <row r="43" spans="1:11" ht="27.75" customHeight="1" x14ac:dyDescent="0.2">
      <c r="A43" s="62">
        <v>32</v>
      </c>
      <c r="B43" s="70"/>
      <c r="C43" s="126" t="str">
        <f>'Necesidades Trimestrales'!E41</f>
        <v>GUANTES DE CIRUGIA ESTERIL Nº 7  PAR. ANATOMICOS . CAÑA LARGA SIN TALCO</v>
      </c>
      <c r="D43" s="126"/>
      <c r="E43" s="126"/>
      <c r="F43" s="126"/>
      <c r="G43" s="126"/>
      <c r="H43" s="66" t="s">
        <v>54</v>
      </c>
      <c r="I43" s="67" t="str">
        <f>'Necesidades Trimestrales'!F41</f>
        <v>PAR</v>
      </c>
      <c r="J43" s="65">
        <f>'Necesidades Trimestrales'!H41</f>
        <v>32</v>
      </c>
      <c r="K43" s="64">
        <f>'Necesidades Trimestrales'!G41</f>
        <v>3500</v>
      </c>
    </row>
    <row r="44" spans="1:11" ht="27.75" customHeight="1" x14ac:dyDescent="0.2">
      <c r="A44" s="62">
        <v>33</v>
      </c>
      <c r="B44" s="70"/>
      <c r="C44" s="126" t="str">
        <f>'Necesidades Trimestrales'!E42</f>
        <v>GUANTES DE CIRUGIA ESTERIL Nº 7 1/2 PAR.  ANATOMICOS . CAÑA LARGA SIN TALCO</v>
      </c>
      <c r="D44" s="126"/>
      <c r="E44" s="126"/>
      <c r="F44" s="126"/>
      <c r="G44" s="126"/>
      <c r="H44" s="66" t="s">
        <v>54</v>
      </c>
      <c r="I44" s="67" t="str">
        <f>'Necesidades Trimestrales'!F42</f>
        <v>PAR</v>
      </c>
      <c r="J44" s="65">
        <f>'Necesidades Trimestrales'!H42</f>
        <v>32</v>
      </c>
      <c r="K44" s="64">
        <f>'Necesidades Trimestrales'!G42</f>
        <v>3500</v>
      </c>
    </row>
    <row r="45" spans="1:11" ht="27.75" customHeight="1" x14ac:dyDescent="0.2">
      <c r="A45" s="62">
        <v>34</v>
      </c>
      <c r="B45" s="70"/>
      <c r="C45" s="126" t="str">
        <f>'Necesidades Trimestrales'!E43</f>
        <v>GUANTES DE CIRUGIA ESTERIL Nº 8 PAR.  ANATOMICOS . CAÑA LARGA SIN TALCO</v>
      </c>
      <c r="D45" s="126"/>
      <c r="E45" s="126"/>
      <c r="F45" s="126"/>
      <c r="G45" s="126"/>
      <c r="H45" s="66" t="s">
        <v>54</v>
      </c>
      <c r="I45" s="67" t="str">
        <f>'Necesidades Trimestrales'!F43</f>
        <v>PAR</v>
      </c>
      <c r="J45" s="65">
        <f>'Necesidades Trimestrales'!H43</f>
        <v>32</v>
      </c>
      <c r="K45" s="64">
        <f>'Necesidades Trimestrales'!G43</f>
        <v>800</v>
      </c>
    </row>
    <row r="46" spans="1:11" ht="27.75" customHeight="1" x14ac:dyDescent="0.2">
      <c r="A46" s="62">
        <v>35</v>
      </c>
      <c r="B46" s="70"/>
      <c r="C46" s="126" t="str">
        <f>'Necesidades Trimestrales'!E44</f>
        <v>GUANTES DE CIRUGIA ESTERIL Nº 81/2 PAR. ANATOMICOS . CAÑA LARGA SIN TALCO</v>
      </c>
      <c r="D46" s="126"/>
      <c r="E46" s="126"/>
      <c r="F46" s="126"/>
      <c r="G46" s="126"/>
      <c r="H46" s="66" t="s">
        <v>54</v>
      </c>
      <c r="I46" s="67" t="str">
        <f>'Necesidades Trimestrales'!F44</f>
        <v>PAR</v>
      </c>
      <c r="J46" s="65">
        <f>'Necesidades Trimestrales'!H44</f>
        <v>32</v>
      </c>
      <c r="K46" s="64">
        <f>'Necesidades Trimestrales'!G44</f>
        <v>800</v>
      </c>
    </row>
    <row r="47" spans="1:11" ht="27.75" customHeight="1" x14ac:dyDescent="0.2">
      <c r="A47" s="62">
        <v>36</v>
      </c>
      <c r="B47" s="70"/>
      <c r="C47" s="126" t="str">
        <f>'Necesidades Trimestrales'!E45</f>
        <v>LIMPIADOR DESINFECTANTE PARA AREAS CRITICAS  EN BASE A PEROXOSULFATO ACIDO DE POTASIO (0,46% activo por litro) .SOBRE POR 20 GRS . Estabilidad: 15 días desde su preparación. Aprobación PM ANMAT.</v>
      </c>
      <c r="D47" s="126"/>
      <c r="E47" s="126"/>
      <c r="F47" s="126"/>
      <c r="G47" s="126"/>
      <c r="H47" s="66" t="s">
        <v>54</v>
      </c>
      <c r="I47" s="67" t="str">
        <f>'Necesidades Trimestrales'!F45</f>
        <v>SOBRE</v>
      </c>
      <c r="J47" s="65">
        <f>'Necesidades Trimestrales'!H45</f>
        <v>181.5</v>
      </c>
      <c r="K47" s="64">
        <f>'Necesidades Trimestrales'!G45</f>
        <v>200</v>
      </c>
    </row>
    <row r="48" spans="1:11" ht="27.75" customHeight="1" x14ac:dyDescent="0.2">
      <c r="A48" s="62">
        <v>37</v>
      </c>
      <c r="B48" s="70"/>
      <c r="C48" s="126" t="str">
        <f>'Necesidades Trimestrales'!E46</f>
        <v>LOCION ALCOHOLICA BACTERICIDA CON CLORHEXIDINA + EMOLIENTES  X 800 ML  TIPO ADOX  L9   Envase BAG IN BOX</v>
      </c>
      <c r="D48" s="126"/>
      <c r="E48" s="126"/>
      <c r="F48" s="126"/>
      <c r="G48" s="126"/>
      <c r="H48" s="66" t="s">
        <v>54</v>
      </c>
      <c r="I48" s="67" t="str">
        <f>'Necesidades Trimestrales'!F46</f>
        <v>BAG IN BOX</v>
      </c>
      <c r="J48" s="65">
        <f>'Necesidades Trimestrales'!H46</f>
        <v>1161</v>
      </c>
      <c r="K48" s="64">
        <f>'Necesidades Trimestrales'!G46</f>
        <v>200</v>
      </c>
    </row>
    <row r="49" spans="1:15" ht="27.75" customHeight="1" x14ac:dyDescent="0.2">
      <c r="A49" s="62">
        <v>38</v>
      </c>
      <c r="B49" s="70"/>
      <c r="C49" s="126" t="str">
        <f>'Necesidades Trimestrales'!E47</f>
        <v>MALLA ABSORBIBLE POLIGLICOLICO 30 X 30 TIPO VICRYL</v>
      </c>
      <c r="D49" s="126"/>
      <c r="E49" s="126"/>
      <c r="F49" s="126"/>
      <c r="G49" s="126"/>
      <c r="H49" s="66" t="s">
        <v>54</v>
      </c>
      <c r="I49" s="67" t="str">
        <f>'Necesidades Trimestrales'!F47</f>
        <v>UNIDAD</v>
      </c>
      <c r="J49" s="65">
        <f>'Necesidades Trimestrales'!H47</f>
        <v>28700</v>
      </c>
      <c r="K49" s="64">
        <f>'Necesidades Trimestrales'!G47</f>
        <v>2</v>
      </c>
    </row>
    <row r="50" spans="1:15" ht="27.75" customHeight="1" x14ac:dyDescent="0.2">
      <c r="A50" s="62">
        <v>39</v>
      </c>
      <c r="B50" s="70"/>
      <c r="C50" s="126" t="str">
        <f>'Necesidades Trimestrales'!E48</f>
        <v xml:space="preserve">MALLA QUIRURGICA SINTETICA NO ABSORBIBLE 30 X 30 TIPO PROLENE </v>
      </c>
      <c r="D50" s="126"/>
      <c r="E50" s="126"/>
      <c r="F50" s="126"/>
      <c r="G50" s="126"/>
      <c r="H50" s="66" t="s">
        <v>54</v>
      </c>
      <c r="I50" s="67" t="str">
        <f>'Necesidades Trimestrales'!F48</f>
        <v>UNIDAD</v>
      </c>
      <c r="J50" s="65">
        <f>'Necesidades Trimestrales'!H48</f>
        <v>17500</v>
      </c>
      <c r="K50" s="64">
        <f>'Necesidades Trimestrales'!G48</f>
        <v>2</v>
      </c>
    </row>
    <row r="51" spans="1:15" ht="27.75" customHeight="1" x14ac:dyDescent="0.2">
      <c r="A51" s="62">
        <v>40</v>
      </c>
      <c r="B51" s="70"/>
      <c r="C51" s="126" t="str">
        <f>'Necesidades Trimestrales'!E49</f>
        <v>ORTOFTALDEHIDO 0,55 % BIDON 3,78 LITOS / 5 LITROS</v>
      </c>
      <c r="D51" s="126"/>
      <c r="E51" s="126"/>
      <c r="F51" s="126"/>
      <c r="G51" s="126"/>
      <c r="H51" s="66" t="s">
        <v>54</v>
      </c>
      <c r="I51" s="67" t="str">
        <f>'Necesidades Trimestrales'!F49</f>
        <v>BIDON</v>
      </c>
      <c r="J51" s="65">
        <f>'Necesidades Trimestrales'!H49</f>
        <v>6900</v>
      </c>
      <c r="K51" s="64">
        <f>'Necesidades Trimestrales'!G49</f>
        <v>5</v>
      </c>
    </row>
    <row r="52" spans="1:15" ht="27.75" customHeight="1" x14ac:dyDescent="0.2">
      <c r="A52" s="62">
        <v>41</v>
      </c>
      <c r="B52" s="70"/>
      <c r="C52" s="126" t="str">
        <f>'Necesidades Trimestrales'!E50</f>
        <v>SET CATETER PERIDURAL N 18</v>
      </c>
      <c r="D52" s="126"/>
      <c r="E52" s="126"/>
      <c r="F52" s="126"/>
      <c r="G52" s="126"/>
      <c r="H52" s="66" t="s">
        <v>54</v>
      </c>
      <c r="I52" s="67" t="str">
        <f>'Necesidades Trimestrales'!F50</f>
        <v>UNIDAD</v>
      </c>
      <c r="J52" s="65">
        <f>'Necesidades Trimestrales'!H50</f>
        <v>1350</v>
      </c>
      <c r="K52" s="64">
        <f>'Necesidades Trimestrales'!G50</f>
        <v>50</v>
      </c>
    </row>
    <row r="53" spans="1:15" ht="27.75" customHeight="1" x14ac:dyDescent="0.2">
      <c r="A53" s="62">
        <v>42</v>
      </c>
      <c r="B53" s="70"/>
      <c r="C53" s="126" t="str">
        <f>'Necesidades Trimestrales'!E51</f>
        <v>SET DE VIA CENTRAL DOBLE LUMEN 4  FRENCH  /13 CM 22/22 G TIPO ARROW</v>
      </c>
      <c r="D53" s="126"/>
      <c r="E53" s="126"/>
      <c r="F53" s="126"/>
      <c r="G53" s="126"/>
      <c r="H53" s="66" t="s">
        <v>54</v>
      </c>
      <c r="I53" s="67" t="str">
        <f>'Necesidades Trimestrales'!F51</f>
        <v>UNIDAD</v>
      </c>
      <c r="J53" s="65">
        <f>'Necesidades Trimestrales'!H51</f>
        <v>18700</v>
      </c>
      <c r="K53" s="64">
        <f>'Necesidades Trimestrales'!G51</f>
        <v>20</v>
      </c>
    </row>
    <row r="54" spans="1:15" ht="27.75" customHeight="1" x14ac:dyDescent="0.2">
      <c r="A54" s="62">
        <v>43</v>
      </c>
      <c r="B54" s="70"/>
      <c r="C54" s="126" t="str">
        <f>'Necesidades Trimestrales'!E52</f>
        <v>SET.P/DRENAJE VENTRICULAR EXT. X 1COD.130/09 T/SIL</v>
      </c>
      <c r="D54" s="126"/>
      <c r="E54" s="126"/>
      <c r="F54" s="126"/>
      <c r="G54" s="126"/>
      <c r="H54" s="66" t="s">
        <v>54</v>
      </c>
      <c r="I54" s="67" t="str">
        <f>'Necesidades Trimestrales'!F52</f>
        <v>UNIDAD</v>
      </c>
      <c r="J54" s="65">
        <f>'Necesidades Trimestrales'!H52</f>
        <v>35250</v>
      </c>
      <c r="K54" s="64">
        <f>'Necesidades Trimestrales'!G52</f>
        <v>10</v>
      </c>
      <c r="O54" s="36" t="s">
        <v>55</v>
      </c>
    </row>
    <row r="55" spans="1:15" ht="27.75" customHeight="1" x14ac:dyDescent="0.2">
      <c r="A55" s="62">
        <v>44</v>
      </c>
      <c r="B55" s="70"/>
      <c r="C55" s="126" t="str">
        <f>'Necesidades Trimestrales'!E53</f>
        <v>SONDA GASTRICA SILICONA PURA SP391-10</v>
      </c>
      <c r="D55" s="126"/>
      <c r="E55" s="126"/>
      <c r="F55" s="126"/>
      <c r="G55" s="126"/>
      <c r="H55" s="66" t="s">
        <v>54</v>
      </c>
      <c r="I55" s="67" t="str">
        <f>'Necesidades Trimestrales'!F53</f>
        <v>UNIDAD</v>
      </c>
      <c r="J55" s="65">
        <f>'Necesidades Trimestrales'!H53</f>
        <v>1310</v>
      </c>
      <c r="K55" s="64">
        <f>'Necesidades Trimestrales'!G53</f>
        <v>80</v>
      </c>
    </row>
    <row r="56" spans="1:15" ht="27.75" customHeight="1" x14ac:dyDescent="0.2">
      <c r="A56" s="62">
        <v>45</v>
      </c>
      <c r="B56" s="70"/>
      <c r="C56" s="126" t="str">
        <f>'Necesidades Trimestrales'!E54</f>
        <v>SONDA GASTRICA SILICONA PURA SP392-07</v>
      </c>
      <c r="D56" s="126"/>
      <c r="E56" s="126"/>
      <c r="F56" s="126"/>
      <c r="G56" s="126"/>
      <c r="H56" s="66" t="s">
        <v>54</v>
      </c>
      <c r="I56" s="67" t="str">
        <f>'Necesidades Trimestrales'!F54</f>
        <v>UNIDAD</v>
      </c>
      <c r="J56" s="65">
        <f>'Necesidades Trimestrales'!H54</f>
        <v>1310</v>
      </c>
      <c r="K56" s="64">
        <f>'Necesidades Trimestrales'!G54</f>
        <v>80</v>
      </c>
    </row>
    <row r="57" spans="1:15" ht="27.75" customHeight="1" x14ac:dyDescent="0.2">
      <c r="A57" s="62">
        <v>46</v>
      </c>
      <c r="B57" s="70"/>
      <c r="C57" s="126" t="str">
        <f>'Necesidades Trimestrales'!E55</f>
        <v>SONDA GASTRICA SILICONA PURA SP392-09</v>
      </c>
      <c r="D57" s="126"/>
      <c r="E57" s="126"/>
      <c r="F57" s="126"/>
      <c r="G57" s="126"/>
      <c r="H57" s="66" t="s">
        <v>54</v>
      </c>
      <c r="I57" s="67" t="str">
        <f>'Necesidades Trimestrales'!F55</f>
        <v>UNIDAD</v>
      </c>
      <c r="J57" s="65">
        <f>'Necesidades Trimestrales'!H55</f>
        <v>1310</v>
      </c>
      <c r="K57" s="64">
        <f>'Necesidades Trimestrales'!G55</f>
        <v>80</v>
      </c>
    </row>
    <row r="58" spans="1:15" ht="27.75" customHeight="1" x14ac:dyDescent="0.2">
      <c r="A58" s="62">
        <v>47</v>
      </c>
      <c r="B58" s="70"/>
      <c r="C58" s="126" t="str">
        <f>'Necesidades Trimestrales'!E56</f>
        <v>SONDA P/ASP.MUCUS C/REG.2,3 MM X 7 FR K-26P</v>
      </c>
      <c r="D58" s="126"/>
      <c r="E58" s="126"/>
      <c r="F58" s="126"/>
      <c r="G58" s="126"/>
      <c r="H58" s="66" t="s">
        <v>54</v>
      </c>
      <c r="I58" s="67" t="str">
        <f>'Necesidades Trimestrales'!F56</f>
        <v>UNIDAD</v>
      </c>
      <c r="J58" s="65">
        <f>'Necesidades Trimestrales'!H56</f>
        <v>36</v>
      </c>
      <c r="K58" s="64">
        <f>'Necesidades Trimestrales'!G56</f>
        <v>100</v>
      </c>
    </row>
    <row r="59" spans="1:15" ht="27.75" customHeight="1" x14ac:dyDescent="0.2">
      <c r="A59" s="62">
        <v>48</v>
      </c>
      <c r="B59" s="70"/>
      <c r="C59" s="126" t="str">
        <f>'Necesidades Trimestrales'!E57</f>
        <v>SONDA P/ASP.MUCUS C/REG.2,7 MM X 8 FR K-28P</v>
      </c>
      <c r="D59" s="126"/>
      <c r="E59" s="126"/>
      <c r="F59" s="126"/>
      <c r="G59" s="126"/>
      <c r="H59" s="66" t="s">
        <v>54</v>
      </c>
      <c r="I59" s="67" t="str">
        <f>'Necesidades Trimestrales'!F57</f>
        <v>UNIDAD</v>
      </c>
      <c r="J59" s="65">
        <f>'Necesidades Trimestrales'!H57</f>
        <v>36</v>
      </c>
      <c r="K59" s="64">
        <f>'Necesidades Trimestrales'!G57</f>
        <v>100</v>
      </c>
    </row>
    <row r="60" spans="1:15" ht="27.75" customHeight="1" x14ac:dyDescent="0.2">
      <c r="A60" s="62">
        <v>49</v>
      </c>
      <c r="B60" s="70"/>
      <c r="C60" s="126" t="str">
        <f>'Necesidades Trimestrales'!E58</f>
        <v>TROCAR D/BIOPSIA D/MEDULA OSEA NEONATAL T/MONOJET-</v>
      </c>
      <c r="D60" s="126"/>
      <c r="E60" s="126"/>
      <c r="F60" s="126"/>
      <c r="G60" s="126"/>
      <c r="H60" s="66" t="s">
        <v>54</v>
      </c>
      <c r="I60" s="67" t="str">
        <f>'Necesidades Trimestrales'!F58</f>
        <v>UNIDAD</v>
      </c>
      <c r="J60" s="65">
        <f>'Necesidades Trimestrales'!H58</f>
        <v>2800</v>
      </c>
      <c r="K60" s="64">
        <f>'Necesidades Trimestrales'!G58</f>
        <v>30</v>
      </c>
    </row>
    <row r="61" spans="1:15" ht="27.75" customHeight="1" x14ac:dyDescent="0.2">
      <c r="A61" s="62">
        <v>50</v>
      </c>
      <c r="B61" s="70"/>
      <c r="C61" s="126" t="str">
        <f>'Necesidades Trimestrales'!E59</f>
        <v>TROCAR D/BIOPSIA D/MEDULA OSEA PEDIATRICO T/MONOJE</v>
      </c>
      <c r="D61" s="126"/>
      <c r="E61" s="126"/>
      <c r="F61" s="126"/>
      <c r="G61" s="126"/>
      <c r="H61" s="66" t="s">
        <v>54</v>
      </c>
      <c r="I61" s="67" t="str">
        <f>'Necesidades Trimestrales'!F59</f>
        <v>UNIDAD</v>
      </c>
      <c r="J61" s="65">
        <f>'Necesidades Trimestrales'!H59</f>
        <v>2800</v>
      </c>
      <c r="K61" s="64">
        <f>'Necesidades Trimestrales'!G59</f>
        <v>30</v>
      </c>
    </row>
    <row r="62" spans="1:15" ht="27.75" customHeight="1" x14ac:dyDescent="0.2">
      <c r="A62" s="62">
        <v>51</v>
      </c>
      <c r="B62" s="70"/>
      <c r="C62" s="126" t="str">
        <f>'Necesidades Trimestrales'!E60</f>
        <v>TROCAR D/PUNCION ASP.D/MEDULA OSEA NEONATAL T/GALL</v>
      </c>
      <c r="D62" s="126"/>
      <c r="E62" s="126"/>
      <c r="F62" s="126"/>
      <c r="G62" s="126"/>
      <c r="H62" s="66" t="s">
        <v>54</v>
      </c>
      <c r="I62" s="67" t="str">
        <f>'Necesidades Trimestrales'!F60</f>
        <v>UNIDAD</v>
      </c>
      <c r="J62" s="65">
        <f>'Necesidades Trimestrales'!H60</f>
        <v>2800</v>
      </c>
      <c r="K62" s="64">
        <f>'Necesidades Trimestrales'!G60</f>
        <v>20</v>
      </c>
    </row>
    <row r="63" spans="1:15" ht="27.75" customHeight="1" x14ac:dyDescent="0.2">
      <c r="A63" s="62">
        <v>52</v>
      </c>
      <c r="B63" s="70"/>
      <c r="C63" s="126" t="str">
        <f>'Necesidades Trimestrales'!E61</f>
        <v>TROCAR D/PUNCION ASP.D/MEDULA OSEA PEDIATRICO T/GA</v>
      </c>
      <c r="D63" s="126"/>
      <c r="E63" s="126"/>
      <c r="F63" s="126"/>
      <c r="G63" s="126"/>
      <c r="H63" s="66" t="s">
        <v>54</v>
      </c>
      <c r="I63" s="67" t="str">
        <f>'Necesidades Trimestrales'!F61</f>
        <v>UNIDAD</v>
      </c>
      <c r="J63" s="65">
        <f>'Necesidades Trimestrales'!H61</f>
        <v>2800</v>
      </c>
      <c r="K63" s="64">
        <f>'Necesidades Trimestrales'!G61</f>
        <v>20</v>
      </c>
    </row>
    <row r="64" spans="1:15" ht="27.75" customHeight="1" x14ac:dyDescent="0.2">
      <c r="A64" s="62">
        <v>53</v>
      </c>
      <c r="B64" s="70"/>
      <c r="C64" s="126" t="str">
        <f>'Necesidades Trimestrales'!E62</f>
        <v>TUBO DE INTUBACION SELECTIVA DERECHO CH 25</v>
      </c>
      <c r="D64" s="126"/>
      <c r="E64" s="126"/>
      <c r="F64" s="126"/>
      <c r="G64" s="126"/>
      <c r="H64" s="66" t="s">
        <v>54</v>
      </c>
      <c r="I64" s="67" t="str">
        <f>'Necesidades Trimestrales'!F62</f>
        <v>UNIDAD</v>
      </c>
      <c r="J64" s="65">
        <f>'Necesidades Trimestrales'!H62</f>
        <v>5800</v>
      </c>
      <c r="K64" s="64">
        <f>'Necesidades Trimestrales'!G62</f>
        <v>3</v>
      </c>
    </row>
    <row r="65" spans="1:11" ht="27.75" customHeight="1" x14ac:dyDescent="0.2">
      <c r="A65" s="62">
        <v>54</v>
      </c>
      <c r="B65" s="70"/>
      <c r="C65" s="126" t="str">
        <f>'Necesidades Trimestrales'!E63</f>
        <v>TUBO DE INTUBACION SELECTIVA DERECHO CH 37</v>
      </c>
      <c r="D65" s="126"/>
      <c r="E65" s="126"/>
      <c r="F65" s="126"/>
      <c r="G65" s="126"/>
      <c r="H65" s="66" t="s">
        <v>54</v>
      </c>
      <c r="I65" s="67" t="str">
        <f>'Necesidades Trimestrales'!F63</f>
        <v>UNIDAD</v>
      </c>
      <c r="J65" s="65">
        <f>'Necesidades Trimestrales'!H63</f>
        <v>5800</v>
      </c>
      <c r="K65" s="64">
        <f>'Necesidades Trimestrales'!G63</f>
        <v>3</v>
      </c>
    </row>
    <row r="66" spans="1:11" ht="27.75" customHeight="1" x14ac:dyDescent="0.2">
      <c r="A66" s="62">
        <v>55</v>
      </c>
      <c r="B66" s="70"/>
      <c r="C66" s="126" t="str">
        <f>'Necesidades Trimestrales'!E64</f>
        <v>TUBO DE INTUBACION SELECTIVA IZQUIERDO CH 25</v>
      </c>
      <c r="D66" s="126"/>
      <c r="E66" s="126"/>
      <c r="F66" s="126"/>
      <c r="G66" s="126"/>
      <c r="H66" s="66" t="s">
        <v>54</v>
      </c>
      <c r="I66" s="67" t="str">
        <f>'Necesidades Trimestrales'!F64</f>
        <v>UNIDAD</v>
      </c>
      <c r="J66" s="65">
        <f>'Necesidades Trimestrales'!H64</f>
        <v>5800</v>
      </c>
      <c r="K66" s="64">
        <f>'Necesidades Trimestrales'!G64</f>
        <v>3</v>
      </c>
    </row>
    <row r="67" spans="1:11" ht="27.75" customHeight="1" x14ac:dyDescent="0.2">
      <c r="A67" s="62">
        <v>56</v>
      </c>
      <c r="B67" s="70"/>
      <c r="C67" s="126" t="str">
        <f>'Necesidades Trimestrales'!E65</f>
        <v>TUBO DE INTUBACION SELECTIVA IZQUIERDO CH 35</v>
      </c>
      <c r="D67" s="126"/>
      <c r="E67" s="126"/>
      <c r="F67" s="126"/>
      <c r="G67" s="126"/>
      <c r="H67" s="66" t="s">
        <v>54</v>
      </c>
      <c r="I67" s="67" t="str">
        <f>'Necesidades Trimestrales'!F65</f>
        <v>UNIDAD</v>
      </c>
      <c r="J67" s="65">
        <f>'Necesidades Trimestrales'!H65</f>
        <v>5800</v>
      </c>
      <c r="K67" s="64">
        <f>'Necesidades Trimestrales'!G65</f>
        <v>3</v>
      </c>
    </row>
    <row r="68" spans="1:11" ht="27.75" customHeight="1" x14ac:dyDescent="0.2">
      <c r="A68" s="62">
        <v>57</v>
      </c>
      <c r="B68" s="70"/>
      <c r="C68" s="126" t="str">
        <f>'Necesidades Trimestrales'!E66</f>
        <v>TUBO DE INTUBACION SELECTIVA IZQUIERDO CH 37</v>
      </c>
      <c r="D68" s="126"/>
      <c r="E68" s="126"/>
      <c r="F68" s="126"/>
      <c r="G68" s="126"/>
      <c r="H68" s="66" t="s">
        <v>54</v>
      </c>
      <c r="I68" s="67" t="str">
        <f>'Necesidades Trimestrales'!F66</f>
        <v>UNIDAD</v>
      </c>
      <c r="J68" s="65">
        <f>'Necesidades Trimestrales'!H66</f>
        <v>5800</v>
      </c>
      <c r="K68" s="64">
        <f>'Necesidades Trimestrales'!G66</f>
        <v>3</v>
      </c>
    </row>
    <row r="69" spans="1:11" ht="27.75" customHeight="1" x14ac:dyDescent="0.2">
      <c r="A69" s="62">
        <v>58</v>
      </c>
      <c r="B69" s="70"/>
      <c r="C69" s="126" t="str">
        <f>'Necesidades Trimestrales'!E67</f>
        <v>TUBO ENDOTRAQUEAL CON BALON Nº 3</v>
      </c>
      <c r="D69" s="126"/>
      <c r="E69" s="126"/>
      <c r="F69" s="126"/>
      <c r="G69" s="126"/>
      <c r="H69" s="66" t="s">
        <v>54</v>
      </c>
      <c r="I69" s="67" t="str">
        <f>'Necesidades Trimestrales'!F67</f>
        <v>UNIDAD</v>
      </c>
      <c r="J69" s="65">
        <f>'Necesidades Trimestrales'!H67</f>
        <v>52</v>
      </c>
      <c r="K69" s="64">
        <f>'Necesidades Trimestrales'!G67</f>
        <v>150</v>
      </c>
    </row>
    <row r="70" spans="1:11" ht="27.75" customHeight="1" x14ac:dyDescent="0.2">
      <c r="A70" s="62">
        <v>59</v>
      </c>
      <c r="B70" s="70"/>
      <c r="C70" s="126" t="str">
        <f>'Necesidades Trimestrales'!E68</f>
        <v>TUBO ENDOTRAQUEAL CON BALON Nº 3.5</v>
      </c>
      <c r="D70" s="126"/>
      <c r="E70" s="126"/>
      <c r="F70" s="126"/>
      <c r="G70" s="126"/>
      <c r="H70" s="66" t="s">
        <v>54</v>
      </c>
      <c r="I70" s="67" t="str">
        <f>'Necesidades Trimestrales'!F68</f>
        <v>UNIDAD</v>
      </c>
      <c r="J70" s="65">
        <f>'Necesidades Trimestrales'!H68</f>
        <v>52</v>
      </c>
      <c r="K70" s="64">
        <f>'Necesidades Trimestrales'!G68</f>
        <v>150</v>
      </c>
    </row>
    <row r="71" spans="1:11" ht="27.75" customHeight="1" x14ac:dyDescent="0.2">
      <c r="A71" s="62">
        <v>60</v>
      </c>
      <c r="B71" s="70"/>
      <c r="C71" s="126" t="str">
        <f>'Necesidades Trimestrales'!E69</f>
        <v>TUBO ENDOTRAQUEAL CON BALON Nº 7</v>
      </c>
      <c r="D71" s="126"/>
      <c r="E71" s="126"/>
      <c r="F71" s="126"/>
      <c r="G71" s="126"/>
      <c r="H71" s="66" t="s">
        <v>54</v>
      </c>
      <c r="I71" s="67" t="str">
        <f>'Necesidades Trimestrales'!F69</f>
        <v>UNIDAD</v>
      </c>
      <c r="J71" s="65">
        <f>'Necesidades Trimestrales'!H69</f>
        <v>70</v>
      </c>
      <c r="K71" s="64">
        <f>'Necesidades Trimestrales'!G69</f>
        <v>50</v>
      </c>
    </row>
    <row r="72" spans="1:11" ht="27.75" customHeight="1" x14ac:dyDescent="0.2">
      <c r="A72" s="62">
        <v>61</v>
      </c>
      <c r="B72" s="70"/>
      <c r="C72" s="126" t="str">
        <f>'Necesidades Trimestrales'!E70</f>
        <v>TUBO ENDOTRAQUEAL CON BALON Nº 71/2</v>
      </c>
      <c r="D72" s="126"/>
      <c r="E72" s="126"/>
      <c r="F72" s="126"/>
      <c r="G72" s="126"/>
      <c r="H72" s="66" t="s">
        <v>54</v>
      </c>
      <c r="I72" s="67" t="str">
        <f>'Necesidades Trimestrales'!F70</f>
        <v>UNIDAD</v>
      </c>
      <c r="J72" s="65">
        <f>'Necesidades Trimestrales'!H70</f>
        <v>70</v>
      </c>
      <c r="K72" s="64">
        <f>'Necesidades Trimestrales'!G70</f>
        <v>50</v>
      </c>
    </row>
    <row r="73" spans="1:11" ht="27.75" customHeight="1" x14ac:dyDescent="0.2">
      <c r="A73" s="62">
        <v>62</v>
      </c>
      <c r="B73" s="70"/>
      <c r="C73" s="126" t="str">
        <f>'Necesidades Trimestrales'!E71</f>
        <v>TUBO ENDOTRAQUEALES  S/B 3</v>
      </c>
      <c r="D73" s="126"/>
      <c r="E73" s="126"/>
      <c r="F73" s="126"/>
      <c r="G73" s="126"/>
      <c r="H73" s="66" t="s">
        <v>54</v>
      </c>
      <c r="I73" s="67" t="str">
        <f>'Necesidades Trimestrales'!F71</f>
        <v>UNIDAD</v>
      </c>
      <c r="J73" s="65">
        <f>'Necesidades Trimestrales'!H71</f>
        <v>52</v>
      </c>
      <c r="K73" s="64">
        <f>'Necesidades Trimestrales'!G71</f>
        <v>30</v>
      </c>
    </row>
    <row r="74" spans="1:11" ht="27.75" customHeight="1" x14ac:dyDescent="0.2">
      <c r="A74" s="62">
        <v>63</v>
      </c>
      <c r="B74" s="70"/>
      <c r="C74" s="126" t="str">
        <f>'Necesidades Trimestrales'!E72</f>
        <v>TUBO ENDOTRAQUEALES  S/B 3,5</v>
      </c>
      <c r="D74" s="126"/>
      <c r="E74" s="126"/>
      <c r="F74" s="126"/>
      <c r="G74" s="126"/>
      <c r="H74" s="66" t="s">
        <v>54</v>
      </c>
      <c r="I74" s="67" t="str">
        <f>'Necesidades Trimestrales'!F72</f>
        <v>UNIDAD</v>
      </c>
      <c r="J74" s="65">
        <f>'Necesidades Trimestrales'!H72</f>
        <v>52</v>
      </c>
      <c r="K74" s="64">
        <f>'Necesidades Trimestrales'!G72</f>
        <v>30</v>
      </c>
    </row>
    <row r="75" spans="1:11" ht="27.75" customHeight="1" x14ac:dyDescent="0.2">
      <c r="A75" s="62">
        <v>64</v>
      </c>
      <c r="B75" s="70"/>
      <c r="C75" s="126" t="str">
        <f>'Necesidades Trimestrales'!E73</f>
        <v>TUBO MAYO GUEDEL N 0</v>
      </c>
      <c r="D75" s="126"/>
      <c r="E75" s="126"/>
      <c r="F75" s="126"/>
      <c r="G75" s="126"/>
      <c r="H75" s="66" t="s">
        <v>54</v>
      </c>
      <c r="I75" s="67" t="str">
        <f>'Necesidades Trimestrales'!F73</f>
        <v>UNIDAD</v>
      </c>
      <c r="J75" s="65">
        <f>'Necesidades Trimestrales'!H73</f>
        <v>59</v>
      </c>
      <c r="K75" s="64">
        <f>'Necesidades Trimestrales'!G73</f>
        <v>36</v>
      </c>
    </row>
    <row r="76" spans="1:11" ht="27.75" customHeight="1" x14ac:dyDescent="0.2">
      <c r="A76" s="62">
        <v>65</v>
      </c>
      <c r="B76" s="70"/>
      <c r="C76" s="126" t="str">
        <f>'Necesidades Trimestrales'!E74</f>
        <v>TUBO MAYO GUEDEL N 00</v>
      </c>
      <c r="D76" s="126"/>
      <c r="E76" s="126"/>
      <c r="F76" s="126"/>
      <c r="G76" s="126"/>
      <c r="H76" s="66" t="s">
        <v>54</v>
      </c>
      <c r="I76" s="67" t="str">
        <f>'Necesidades Trimestrales'!F74</f>
        <v>UNIDAD</v>
      </c>
      <c r="J76" s="65">
        <f>'Necesidades Trimestrales'!H74</f>
        <v>59</v>
      </c>
      <c r="K76" s="64">
        <f>'Necesidades Trimestrales'!G74</f>
        <v>36</v>
      </c>
    </row>
    <row r="77" spans="1:11" ht="27.75" customHeight="1" x14ac:dyDescent="0.2">
      <c r="A77" s="62">
        <v>66</v>
      </c>
      <c r="B77" s="70"/>
      <c r="C77" s="126" t="str">
        <f>'Necesidades Trimestrales'!E75</f>
        <v>TUBO MAYO GUEDEL N 5</v>
      </c>
      <c r="D77" s="126"/>
      <c r="E77" s="126"/>
      <c r="F77" s="126"/>
      <c r="G77" s="126"/>
      <c r="H77" s="66" t="s">
        <v>54</v>
      </c>
      <c r="I77" s="67" t="str">
        <f>'Necesidades Trimestrales'!F75</f>
        <v>UNIDAD</v>
      </c>
      <c r="J77" s="65">
        <f>'Necesidades Trimestrales'!H75</f>
        <v>59</v>
      </c>
      <c r="K77" s="64">
        <f>'Necesidades Trimestrales'!G75</f>
        <v>36</v>
      </c>
    </row>
    <row r="78" spans="1:11" ht="27.75" customHeight="1" x14ac:dyDescent="0.2">
      <c r="A78" s="62">
        <v>67</v>
      </c>
      <c r="B78" s="70"/>
      <c r="C78" s="126" t="str">
        <f>'Necesidades Trimestrales'!E76</f>
        <v xml:space="preserve">TUBO MAYO GUEDEL N°1 </v>
      </c>
      <c r="D78" s="126"/>
      <c r="E78" s="126"/>
      <c r="F78" s="126"/>
      <c r="G78" s="126"/>
      <c r="H78" s="66" t="s">
        <v>54</v>
      </c>
      <c r="I78" s="67" t="str">
        <f>'Necesidades Trimestrales'!F76</f>
        <v>UNIDAD</v>
      </c>
      <c r="J78" s="65">
        <f>'Necesidades Trimestrales'!H76</f>
        <v>59</v>
      </c>
      <c r="K78" s="64">
        <f>'Necesidades Trimestrales'!G76</f>
        <v>36</v>
      </c>
    </row>
    <row r="79" spans="1:11" ht="27.75" customHeight="1" x14ac:dyDescent="0.2">
      <c r="A79" s="62">
        <v>68</v>
      </c>
      <c r="B79" s="70"/>
      <c r="C79" s="126" t="str">
        <f>'Necesidades Trimestrales'!E77</f>
        <v xml:space="preserve">TUBO MAYO GUEDEL N°2 </v>
      </c>
      <c r="D79" s="126"/>
      <c r="E79" s="126"/>
      <c r="F79" s="126"/>
      <c r="G79" s="126"/>
      <c r="H79" s="66" t="s">
        <v>54</v>
      </c>
      <c r="I79" s="67" t="str">
        <f>'Necesidades Trimestrales'!F77</f>
        <v>UNIDAD</v>
      </c>
      <c r="J79" s="65">
        <f>'Necesidades Trimestrales'!H77</f>
        <v>59</v>
      </c>
      <c r="K79" s="64">
        <f>'Necesidades Trimestrales'!G77</f>
        <v>36</v>
      </c>
    </row>
    <row r="80" spans="1:11" ht="27.75" customHeight="1" x14ac:dyDescent="0.2">
      <c r="A80" s="62">
        <v>69</v>
      </c>
      <c r="B80" s="70"/>
      <c r="C80" s="126" t="str">
        <f>'Necesidades Trimestrales'!E78</f>
        <v xml:space="preserve">TUBO MAYO GUEDEL N°3 </v>
      </c>
      <c r="D80" s="126"/>
      <c r="E80" s="126"/>
      <c r="F80" s="126"/>
      <c r="G80" s="126"/>
      <c r="H80" s="66" t="s">
        <v>54</v>
      </c>
      <c r="I80" s="67" t="str">
        <f>'Necesidades Trimestrales'!F78</f>
        <v>UNIDAD</v>
      </c>
      <c r="J80" s="65">
        <f>'Necesidades Trimestrales'!H78</f>
        <v>59</v>
      </c>
      <c r="K80" s="64">
        <f>'Necesidades Trimestrales'!G78</f>
        <v>36</v>
      </c>
    </row>
    <row r="81" spans="1:14" ht="27.75" customHeight="1" x14ac:dyDescent="0.2">
      <c r="A81" s="62">
        <v>70</v>
      </c>
      <c r="B81" s="70"/>
      <c r="C81" s="126" t="str">
        <f>'Necesidades Trimestrales'!E79</f>
        <v xml:space="preserve">TUBO MAYO GUEDEL N°4 </v>
      </c>
      <c r="D81" s="126"/>
      <c r="E81" s="126"/>
      <c r="F81" s="126"/>
      <c r="G81" s="126"/>
      <c r="H81" s="66" t="s">
        <v>54</v>
      </c>
      <c r="I81" s="67" t="str">
        <f>'Necesidades Trimestrales'!F79</f>
        <v>UNIDAD</v>
      </c>
      <c r="J81" s="65">
        <f>'Necesidades Trimestrales'!H79</f>
        <v>59</v>
      </c>
      <c r="K81" s="64">
        <f>'Necesidades Trimestrales'!G79</f>
        <v>36</v>
      </c>
    </row>
    <row r="82" spans="1:14" ht="27.75" customHeight="1" x14ac:dyDescent="0.2">
      <c r="A82" s="62">
        <v>71</v>
      </c>
      <c r="B82" s="70"/>
      <c r="C82" s="126" t="str">
        <f>'Necesidades Trimestrales'!E80</f>
        <v>TUBO P/DRENAJE 110-12-SILMAG</v>
      </c>
      <c r="D82" s="126"/>
      <c r="E82" s="126"/>
      <c r="F82" s="126"/>
      <c r="G82" s="126"/>
      <c r="H82" s="66" t="s">
        <v>54</v>
      </c>
      <c r="I82" s="67" t="str">
        <f>'Necesidades Trimestrales'!F80</f>
        <v>UNIDAD</v>
      </c>
      <c r="J82" s="65">
        <f>'Necesidades Trimestrales'!H80</f>
        <v>2980</v>
      </c>
      <c r="K82" s="64">
        <f>'Necesidades Trimestrales'!G80</f>
        <v>20</v>
      </c>
    </row>
    <row r="83" spans="1:14" ht="27.75" customHeight="1" x14ac:dyDescent="0.2">
      <c r="A83" s="62">
        <v>72</v>
      </c>
      <c r="B83" s="70"/>
      <c r="C83" s="126" t="str">
        <f>'Necesidades Trimestrales'!E81</f>
        <v>TUBO P/DRENAJE 110-16-SILMAG</v>
      </c>
      <c r="D83" s="126"/>
      <c r="E83" s="126"/>
      <c r="F83" s="126"/>
      <c r="G83" s="126"/>
      <c r="H83" s="66" t="s">
        <v>54</v>
      </c>
      <c r="I83" s="67" t="str">
        <f>'Necesidades Trimestrales'!F81</f>
        <v>UNIDAD</v>
      </c>
      <c r="J83" s="65">
        <f>'Necesidades Trimestrales'!H81</f>
        <v>2980</v>
      </c>
      <c r="K83" s="64">
        <f>'Necesidades Trimestrales'!G81</f>
        <v>20</v>
      </c>
    </row>
    <row r="84" spans="1:14" ht="27.75" customHeight="1" x14ac:dyDescent="0.2">
      <c r="A84" s="62">
        <v>73</v>
      </c>
      <c r="B84" s="70"/>
      <c r="C84" s="126" t="str">
        <f>'Necesidades Trimestrales'!E82</f>
        <v>TUBO P/DRENAJE 110-20-SILMAG</v>
      </c>
      <c r="D84" s="126"/>
      <c r="E84" s="126"/>
      <c r="F84" s="126"/>
      <c r="G84" s="126"/>
      <c r="H84" s="66" t="s">
        <v>54</v>
      </c>
      <c r="I84" s="67" t="str">
        <f>'Necesidades Trimestrales'!F82</f>
        <v>UNIDAD</v>
      </c>
      <c r="J84" s="65">
        <f>'Necesidades Trimestrales'!H82</f>
        <v>2980</v>
      </c>
      <c r="K84" s="64">
        <f>'Necesidades Trimestrales'!G82</f>
        <v>20</v>
      </c>
    </row>
    <row r="85" spans="1:14" ht="27.75" customHeight="1" x14ac:dyDescent="0.2">
      <c r="A85" s="62">
        <v>74</v>
      </c>
      <c r="B85" s="70"/>
      <c r="C85" s="126" t="str">
        <f>'Necesidades Trimestrales'!E83</f>
        <v>TUBO P/DRENAJE 110-24-SILMAG</v>
      </c>
      <c r="D85" s="126"/>
      <c r="E85" s="126"/>
      <c r="F85" s="126"/>
      <c r="G85" s="126"/>
      <c r="H85" s="66" t="s">
        <v>54</v>
      </c>
      <c r="I85" s="67" t="str">
        <f>'Necesidades Trimestrales'!F83</f>
        <v>UNIDAD</v>
      </c>
      <c r="J85" s="65">
        <f>'Necesidades Trimestrales'!H83</f>
        <v>2980</v>
      </c>
      <c r="K85" s="64">
        <f>'Necesidades Trimestrales'!G83</f>
        <v>20</v>
      </c>
    </row>
    <row r="86" spans="1:14" ht="27.75" customHeight="1" x14ac:dyDescent="0.2">
      <c r="A86" s="62">
        <v>75</v>
      </c>
      <c r="B86" s="70"/>
      <c r="C86" s="126" t="str">
        <f>'Necesidades Trimestrales'!E84</f>
        <v>TUBO P/DRENAJE 110-28-SILMAG</v>
      </c>
      <c r="D86" s="126"/>
      <c r="E86" s="126"/>
      <c r="F86" s="126"/>
      <c r="G86" s="126"/>
      <c r="H86" s="66" t="s">
        <v>54</v>
      </c>
      <c r="I86" s="67" t="str">
        <f>'Necesidades Trimestrales'!F84</f>
        <v>UNIDAD</v>
      </c>
      <c r="J86" s="65">
        <f>'Necesidades Trimestrales'!H84</f>
        <v>2980</v>
      </c>
      <c r="K86" s="64">
        <f>'Necesidades Trimestrales'!G84</f>
        <v>20</v>
      </c>
    </row>
    <row r="87" spans="1:14" ht="27.75" customHeight="1" x14ac:dyDescent="0.2">
      <c r="A87" s="62">
        <v>76</v>
      </c>
      <c r="B87" s="70"/>
      <c r="C87" s="126" t="str">
        <f>'Necesidades Trimestrales'!E85</f>
        <v>TUBULADURA PVC 6X9 X 50 USO MEDICINAL</v>
      </c>
      <c r="D87" s="126"/>
      <c r="E87" s="126"/>
      <c r="F87" s="126"/>
      <c r="G87" s="126"/>
      <c r="H87" s="66" t="s">
        <v>54</v>
      </c>
      <c r="I87" s="67" t="str">
        <f>'Necesidades Trimestrales'!F85</f>
        <v>ROLLO</v>
      </c>
      <c r="J87" s="65">
        <f>'Necesidades Trimestrales'!H85</f>
        <v>1425</v>
      </c>
      <c r="K87" s="64">
        <f>'Necesidades Trimestrales'!G85</f>
        <v>5</v>
      </c>
    </row>
    <row r="88" spans="1:14" ht="27.75" customHeight="1" x14ac:dyDescent="0.2">
      <c r="A88" s="62">
        <v>77</v>
      </c>
      <c r="B88" s="70"/>
      <c r="C88" s="126" t="str">
        <f>'Necesidades Trimestrales'!E86</f>
        <v>TUBULADURA PVC 7,9 X 12,70 x 50  USO MEDICINAL</v>
      </c>
      <c r="D88" s="126"/>
      <c r="E88" s="126"/>
      <c r="F88" s="126"/>
      <c r="G88" s="126"/>
      <c r="H88" s="66" t="s">
        <v>54</v>
      </c>
      <c r="I88" s="67" t="str">
        <f>'Necesidades Trimestrales'!F86</f>
        <v>ROLLO</v>
      </c>
      <c r="J88" s="65">
        <f>'Necesidades Trimestrales'!H86</f>
        <v>1650</v>
      </c>
      <c r="K88" s="64">
        <f>'Necesidades Trimestrales'!G86</f>
        <v>5</v>
      </c>
    </row>
    <row r="89" spans="1:14" ht="27.75" customHeight="1" thickBot="1" x14ac:dyDescent="0.25">
      <c r="A89" s="62">
        <v>78</v>
      </c>
      <c r="B89" s="63"/>
      <c r="C89" s="126" t="str">
        <f>'Necesidades Trimestrales'!E87</f>
        <v>TUBULADURA PVC 8 X11 X 50  USO MEDICINAL</v>
      </c>
      <c r="D89" s="126"/>
      <c r="E89" s="126"/>
      <c r="F89" s="126"/>
      <c r="G89" s="126"/>
      <c r="H89" s="66" t="s">
        <v>54</v>
      </c>
      <c r="I89" s="67" t="str">
        <f>'Necesidades Trimestrales'!F87</f>
        <v>ROLLO</v>
      </c>
      <c r="J89" s="65">
        <f>'Necesidades Trimestrales'!H87</f>
        <v>1780</v>
      </c>
      <c r="K89" s="64">
        <f>'Necesidades Trimestrales'!G87</f>
        <v>20</v>
      </c>
    </row>
    <row r="90" spans="1:14" ht="20.25" customHeight="1" thickBot="1" x14ac:dyDescent="0.25">
      <c r="A90" s="129" t="s">
        <v>154</v>
      </c>
      <c r="B90" s="129"/>
      <c r="C90" s="129"/>
      <c r="D90" s="129"/>
      <c r="E90" s="129"/>
      <c r="F90" s="129"/>
      <c r="G90" s="129"/>
      <c r="H90" s="129"/>
      <c r="I90" s="129"/>
      <c r="J90" s="136">
        <f>SUMPRODUCT(J12:J89,K12:K89)</f>
        <v>4992643</v>
      </c>
      <c r="K90" s="136"/>
      <c r="N90" s="47"/>
    </row>
  </sheetData>
  <mergeCells count="100">
    <mergeCell ref="C89:G89"/>
    <mergeCell ref="C64:G64"/>
    <mergeCell ref="C65:G65"/>
    <mergeCell ref="C66:G66"/>
    <mergeCell ref="C72:G72"/>
    <mergeCell ref="C73:G73"/>
    <mergeCell ref="C74:G74"/>
    <mergeCell ref="C75:G75"/>
    <mergeCell ref="C76:G76"/>
    <mergeCell ref="C67:G67"/>
    <mergeCell ref="C68:G68"/>
    <mergeCell ref="C69:G69"/>
    <mergeCell ref="C70:G70"/>
    <mergeCell ref="C71:G71"/>
    <mergeCell ref="C82:G82"/>
    <mergeCell ref="C83:G83"/>
    <mergeCell ref="C62:G62"/>
    <mergeCell ref="C63:G63"/>
    <mergeCell ref="C86:G86"/>
    <mergeCell ref="C87:G87"/>
    <mergeCell ref="C88:G88"/>
    <mergeCell ref="C84:G84"/>
    <mergeCell ref="C85:G85"/>
    <mergeCell ref="C77:G77"/>
    <mergeCell ref="C57:G57"/>
    <mergeCell ref="C58:G58"/>
    <mergeCell ref="C59:G59"/>
    <mergeCell ref="C60:G60"/>
    <mergeCell ref="C61:G61"/>
    <mergeCell ref="A90:I90"/>
    <mergeCell ref="J90:K90"/>
    <mergeCell ref="C12:G12"/>
    <mergeCell ref="C13:G13"/>
    <mergeCell ref="C14:G14"/>
    <mergeCell ref="C15:G15"/>
    <mergeCell ref="C16:G16"/>
    <mergeCell ref="C17:G17"/>
    <mergeCell ref="C18:G18"/>
    <mergeCell ref="C22:G22"/>
    <mergeCell ref="C19:G19"/>
    <mergeCell ref="C20:G20"/>
    <mergeCell ref="C21:G21"/>
    <mergeCell ref="C28:G28"/>
    <mergeCell ref="C55:G55"/>
    <mergeCell ref="C56:G56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29:G29"/>
    <mergeCell ref="C23:G23"/>
    <mergeCell ref="C24:G24"/>
    <mergeCell ref="C25:G25"/>
    <mergeCell ref="C26:G26"/>
    <mergeCell ref="C27:G27"/>
    <mergeCell ref="C30:G30"/>
    <mergeCell ref="C31:G31"/>
    <mergeCell ref="C32:G32"/>
    <mergeCell ref="C33:G33"/>
    <mergeCell ref="C34:G34"/>
    <mergeCell ref="C45:G45"/>
    <mergeCell ref="C46:G46"/>
    <mergeCell ref="C47:G47"/>
    <mergeCell ref="C35:G35"/>
    <mergeCell ref="C36:G36"/>
    <mergeCell ref="C37:G37"/>
    <mergeCell ref="C38:G38"/>
    <mergeCell ref="C39:G39"/>
    <mergeCell ref="C78:G78"/>
    <mergeCell ref="C79:G79"/>
    <mergeCell ref="C80:G80"/>
    <mergeCell ref="C81:G81"/>
    <mergeCell ref="C40:G40"/>
    <mergeCell ref="C53:G53"/>
    <mergeCell ref="C54:G54"/>
    <mergeCell ref="C48:G48"/>
    <mergeCell ref="C49:G49"/>
    <mergeCell ref="C50:G50"/>
    <mergeCell ref="C51:G51"/>
    <mergeCell ref="C52:G52"/>
    <mergeCell ref="C41:G41"/>
    <mergeCell ref="C42:G42"/>
    <mergeCell ref="C43:G43"/>
    <mergeCell ref="C44:G44"/>
  </mergeCells>
  <printOptions horizontalCentered="1"/>
  <pageMargins left="0.19685039370078741" right="0.19685039370078741" top="0.39370078740157483" bottom="0.39370078740157483" header="0" footer="0"/>
  <pageSetup paperSize="5" scale="90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5"/>
  <sheetViews>
    <sheetView zoomScale="130" zoomScaleNormal="130" workbookViewId="0">
      <selection activeCell="J2" sqref="J2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37" t="s">
        <v>3</v>
      </c>
      <c r="B1" s="137"/>
      <c r="C1" s="137"/>
      <c r="D1" s="138">
        <f>'Necesidades Trimestrales'!C6</f>
        <v>2021</v>
      </c>
      <c r="E1" s="138"/>
      <c r="F1" s="3"/>
      <c r="G1" s="3"/>
      <c r="H1" s="4"/>
      <c r="I1" s="4"/>
      <c r="J1" s="4"/>
      <c r="K1" s="4"/>
      <c r="L1" s="4"/>
      <c r="M1" s="4"/>
      <c r="N1" s="4"/>
      <c r="P1" s="139" t="s">
        <v>25</v>
      </c>
      <c r="Q1" s="139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39"/>
      <c r="Q2" s="139"/>
    </row>
    <row r="4" spans="1:17" s="5" customFormat="1" ht="18" customHeight="1" thickBot="1" x14ac:dyDescent="0.25">
      <c r="A4" s="140" t="s">
        <v>26</v>
      </c>
      <c r="B4" s="140"/>
      <c r="C4" s="140"/>
      <c r="D4" s="140"/>
      <c r="E4" s="140"/>
      <c r="F4" s="140"/>
      <c r="G4" s="141" t="str">
        <f>' NotaPedido'!D3</f>
        <v>040 - Ministerio de Salud</v>
      </c>
      <c r="H4" s="141"/>
      <c r="I4" s="141"/>
      <c r="J4" s="141"/>
      <c r="K4" s="141"/>
      <c r="L4" s="141"/>
      <c r="M4" s="141"/>
      <c r="N4" s="141"/>
      <c r="O4" s="141"/>
      <c r="P4" s="141"/>
      <c r="Q4" s="141"/>
    </row>
    <row r="5" spans="1:17" s="5" customFormat="1" ht="18" customHeight="1" thickBot="1" x14ac:dyDescent="0.25">
      <c r="A5" s="142" t="s">
        <v>49</v>
      </c>
      <c r="B5" s="143"/>
      <c r="C5" s="143"/>
      <c r="D5" s="143"/>
      <c r="E5" s="143"/>
      <c r="F5" s="144"/>
      <c r="G5" s="141" t="str">
        <f>' NotaPedido'!D4</f>
        <v>024 - Hospital Interzonal de Niños</v>
      </c>
      <c r="H5" s="141"/>
      <c r="I5" s="141"/>
      <c r="J5" s="141"/>
      <c r="K5" s="141"/>
      <c r="L5" s="141"/>
      <c r="M5" s="141"/>
      <c r="N5" s="141"/>
      <c r="O5" s="141"/>
      <c r="P5" s="141"/>
      <c r="Q5" s="141"/>
    </row>
    <row r="6" spans="1:17" s="5" customFormat="1" ht="18" customHeight="1" thickBot="1" x14ac:dyDescent="0.25">
      <c r="A6" s="142" t="s">
        <v>27</v>
      </c>
      <c r="B6" s="143"/>
      <c r="C6" s="143"/>
      <c r="D6" s="143"/>
      <c r="E6" s="143"/>
      <c r="F6" s="144"/>
      <c r="G6" s="141" t="str">
        <f>' NotaPedido'!D5</f>
        <v>024 - Hospital Interzonal de Niños</v>
      </c>
      <c r="H6" s="141"/>
      <c r="I6" s="141"/>
      <c r="J6" s="141"/>
      <c r="K6" s="141"/>
      <c r="L6" s="141"/>
      <c r="M6" s="141"/>
      <c r="N6" s="141"/>
      <c r="O6" s="141"/>
      <c r="P6" s="141"/>
      <c r="Q6" s="141"/>
    </row>
    <row r="7" spans="1:17" s="5" customFormat="1" ht="18" customHeight="1" thickBot="1" x14ac:dyDescent="0.25">
      <c r="A7" s="142" t="s">
        <v>50</v>
      </c>
      <c r="B7" s="143"/>
      <c r="C7" s="143"/>
      <c r="D7" s="143"/>
      <c r="E7" s="143"/>
      <c r="F7" s="144"/>
      <c r="G7" s="141" t="s">
        <v>56</v>
      </c>
      <c r="H7" s="141"/>
      <c r="I7" s="141"/>
      <c r="J7" s="141"/>
      <c r="K7" s="141"/>
      <c r="L7" s="141"/>
      <c r="M7" s="141"/>
      <c r="N7" s="141"/>
      <c r="O7" s="141"/>
      <c r="P7" s="141"/>
      <c r="Q7" s="141"/>
    </row>
    <row r="8" spans="1:17" ht="18" customHeight="1" thickBot="1" x14ac:dyDescent="0.25">
      <c r="A8" s="145" t="s">
        <v>28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</row>
    <row r="9" spans="1:17" ht="18" customHeight="1" x14ac:dyDescent="0.2">
      <c r="A9" s="146" t="s">
        <v>29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"/>
      <c r="P9" s="1"/>
      <c r="Q9" s="6"/>
    </row>
    <row r="10" spans="1:17" ht="54.75" customHeight="1" x14ac:dyDescent="0.2">
      <c r="A10" s="147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127/2021,  afectando la erogación resultante a los créditos presupuestarios aprobados a favor de esta Unidad Ejecutora, conforme al siguiente detalle:</v>
      </c>
      <c r="B10" s="147"/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48" t="s">
        <v>30</v>
      </c>
      <c r="B12" s="148"/>
      <c r="C12" s="148"/>
      <c r="D12" s="148"/>
      <c r="E12" s="148"/>
      <c r="F12" s="148"/>
      <c r="G12" s="148"/>
      <c r="H12" s="148"/>
      <c r="I12" s="148"/>
      <c r="J12" s="148"/>
      <c r="K12" s="148"/>
      <c r="L12" s="148"/>
      <c r="M12" s="148"/>
      <c r="N12" s="148"/>
      <c r="O12" s="148"/>
      <c r="P12" s="148"/>
      <c r="Q12" s="148"/>
    </row>
    <row r="13" spans="1:17" ht="15.75" customHeight="1" thickBot="1" x14ac:dyDescent="0.25">
      <c r="A13" s="149" t="s">
        <v>31</v>
      </c>
      <c r="B13" s="150"/>
      <c r="C13" s="150"/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1" t="s">
        <v>32</v>
      </c>
      <c r="P13" s="152"/>
      <c r="Q13" s="155" t="s">
        <v>33</v>
      </c>
    </row>
    <row r="14" spans="1:17" ht="15.75" customHeight="1" thickBot="1" x14ac:dyDescent="0.25">
      <c r="A14" s="52" t="s">
        <v>34</v>
      </c>
      <c r="B14" s="53" t="s">
        <v>35</v>
      </c>
      <c r="C14" s="53" t="s">
        <v>36</v>
      </c>
      <c r="D14" s="53" t="s">
        <v>37</v>
      </c>
      <c r="E14" s="53" t="s">
        <v>38</v>
      </c>
      <c r="F14" s="53" t="s">
        <v>39</v>
      </c>
      <c r="G14" s="54" t="s">
        <v>40</v>
      </c>
      <c r="H14" s="53" t="s">
        <v>41</v>
      </c>
      <c r="I14" s="53" t="s">
        <v>42</v>
      </c>
      <c r="J14" s="53" t="s">
        <v>43</v>
      </c>
      <c r="K14" s="53" t="s">
        <v>43</v>
      </c>
      <c r="L14" s="53" t="s">
        <v>44</v>
      </c>
      <c r="M14" s="55" t="s">
        <v>45</v>
      </c>
      <c r="N14" s="56" t="s">
        <v>46</v>
      </c>
      <c r="O14" s="153"/>
      <c r="P14" s="154"/>
      <c r="Q14" s="156"/>
    </row>
    <row r="15" spans="1:17" ht="26.25" customHeight="1" x14ac:dyDescent="0.2">
      <c r="A15" s="48">
        <v>36</v>
      </c>
      <c r="B15" s="49"/>
      <c r="C15" s="49"/>
      <c r="D15" s="49">
        <v>1</v>
      </c>
      <c r="E15" s="49"/>
      <c r="F15" s="49">
        <v>4901</v>
      </c>
      <c r="G15" s="49">
        <v>3</v>
      </c>
      <c r="H15" s="49">
        <v>310</v>
      </c>
      <c r="I15" s="49">
        <v>2</v>
      </c>
      <c r="J15" s="49">
        <v>5</v>
      </c>
      <c r="K15" s="49">
        <v>1</v>
      </c>
      <c r="L15" s="49"/>
      <c r="M15" s="50">
        <v>1</v>
      </c>
      <c r="N15" s="51" t="s">
        <v>53</v>
      </c>
      <c r="O15" s="157" t="s">
        <v>144</v>
      </c>
      <c r="P15" s="158"/>
      <c r="Q15" s="57">
        <v>70800</v>
      </c>
    </row>
    <row r="16" spans="1:17" ht="26.25" customHeight="1" x14ac:dyDescent="0.2">
      <c r="A16" s="48">
        <v>36</v>
      </c>
      <c r="B16" s="49"/>
      <c r="C16" s="49"/>
      <c r="D16" s="49">
        <v>1</v>
      </c>
      <c r="E16" s="49"/>
      <c r="F16" s="49">
        <v>4901</v>
      </c>
      <c r="G16" s="49">
        <v>3</v>
      </c>
      <c r="H16" s="49">
        <v>310</v>
      </c>
      <c r="I16" s="49">
        <v>2</v>
      </c>
      <c r="J16" s="49">
        <v>5</v>
      </c>
      <c r="K16" s="49">
        <v>2</v>
      </c>
      <c r="L16" s="49"/>
      <c r="M16" s="50">
        <v>1</v>
      </c>
      <c r="N16" s="51" t="s">
        <v>53</v>
      </c>
      <c r="O16" s="159" t="s">
        <v>153</v>
      </c>
      <c r="P16" s="159"/>
      <c r="Q16" s="15">
        <v>1207200</v>
      </c>
    </row>
    <row r="17" spans="1:18" ht="26.25" customHeight="1" x14ac:dyDescent="0.2">
      <c r="A17" s="48">
        <v>36</v>
      </c>
      <c r="B17" s="49"/>
      <c r="C17" s="49"/>
      <c r="D17" s="49">
        <v>1</v>
      </c>
      <c r="E17" s="49"/>
      <c r="F17" s="49">
        <v>4901</v>
      </c>
      <c r="G17" s="49">
        <v>3</v>
      </c>
      <c r="H17" s="49">
        <v>310</v>
      </c>
      <c r="I17" s="49">
        <v>2</v>
      </c>
      <c r="J17" s="49">
        <v>9</v>
      </c>
      <c r="K17" s="49">
        <v>5</v>
      </c>
      <c r="L17" s="49"/>
      <c r="M17" s="50">
        <v>1</v>
      </c>
      <c r="N17" s="51" t="s">
        <v>53</v>
      </c>
      <c r="O17" s="159" t="s">
        <v>59</v>
      </c>
      <c r="P17" s="159"/>
      <c r="Q17" s="15">
        <v>3714643</v>
      </c>
    </row>
    <row r="18" spans="1:18" ht="17.25" customHeight="1" x14ac:dyDescent="0.2">
      <c r="A18" s="11"/>
      <c r="B18" s="12"/>
      <c r="C18" s="12"/>
      <c r="D18" s="12"/>
      <c r="E18" s="12"/>
      <c r="F18" s="14"/>
      <c r="G18" s="12"/>
      <c r="H18" s="12"/>
      <c r="I18" s="12"/>
      <c r="J18" s="12"/>
      <c r="K18" s="12"/>
      <c r="L18" s="12"/>
      <c r="M18" s="13"/>
      <c r="N18" s="14"/>
      <c r="O18" s="165"/>
      <c r="P18" s="165"/>
      <c r="Q18" s="15"/>
    </row>
    <row r="19" spans="1:18" ht="17.25" customHeight="1" x14ac:dyDescent="0.2">
      <c r="A19" s="16"/>
      <c r="B19" s="17"/>
      <c r="C19" s="17"/>
      <c r="D19" s="17"/>
      <c r="E19" s="17"/>
      <c r="F19" s="18"/>
      <c r="G19" s="17"/>
      <c r="H19" s="17"/>
      <c r="I19" s="17"/>
      <c r="J19" s="17"/>
      <c r="K19" s="17"/>
      <c r="L19" s="17"/>
      <c r="M19" s="19"/>
      <c r="N19" s="20"/>
      <c r="O19" s="166"/>
      <c r="P19" s="166"/>
      <c r="Q19" s="15"/>
      <c r="R19" s="1"/>
    </row>
    <row r="20" spans="1:18" ht="17.25" customHeight="1" x14ac:dyDescent="0.2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3"/>
      <c r="N20" s="22"/>
      <c r="O20" s="167"/>
      <c r="P20" s="167"/>
      <c r="Q20" s="24"/>
    </row>
    <row r="21" spans="1:18" ht="29.25" customHeight="1" x14ac:dyDescent="0.2">
      <c r="A21" s="168" t="s">
        <v>155</v>
      </c>
      <c r="B21" s="168"/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25">
        <f>SUM(Q15:Q20)</f>
        <v>4992643</v>
      </c>
    </row>
    <row r="22" spans="1:18" ht="18" customHeight="1" thickBot="1" x14ac:dyDescent="0.25">
      <c r="A22" s="169"/>
      <c r="B22" s="169"/>
      <c r="C22" s="169"/>
      <c r="D22" s="169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69"/>
      <c r="P22" s="169"/>
      <c r="Q22" s="169"/>
    </row>
    <row r="23" spans="1:18" ht="17.25" customHeight="1" thickBot="1" x14ac:dyDescent="0.25">
      <c r="A23" s="160" t="s">
        <v>47</v>
      </c>
      <c r="B23" s="161"/>
      <c r="C23" s="161"/>
      <c r="D23" s="161"/>
      <c r="E23" s="161"/>
      <c r="F23" s="162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163"/>
    </row>
    <row r="24" spans="1:18" ht="18" customHeight="1" thickBot="1" x14ac:dyDescent="0.25">
      <c r="A24" s="164" t="s">
        <v>143</v>
      </c>
      <c r="B24" s="164"/>
      <c r="C24" s="164"/>
      <c r="D24" s="164"/>
      <c r="E24" s="164"/>
      <c r="F24" s="164"/>
      <c r="G24" s="164"/>
      <c r="H24" s="164"/>
      <c r="I24" s="164"/>
      <c r="J24" s="164"/>
      <c r="K24" s="164"/>
      <c r="L24" s="164"/>
      <c r="M24" s="164"/>
      <c r="N24" s="164"/>
      <c r="O24" s="164"/>
      <c r="P24" s="164"/>
      <c r="Q24" s="164"/>
    </row>
    <row r="25" spans="1:18" ht="26.25" customHeight="1" x14ac:dyDescent="0.2">
      <c r="A25" s="164"/>
      <c r="B25" s="164"/>
      <c r="C25" s="164"/>
      <c r="D25" s="164"/>
      <c r="E25" s="164"/>
      <c r="F25" s="164"/>
      <c r="G25" s="164"/>
      <c r="H25" s="164"/>
      <c r="I25" s="164"/>
      <c r="J25" s="164"/>
      <c r="K25" s="164"/>
      <c r="L25" s="164"/>
      <c r="M25" s="164"/>
      <c r="N25" s="164"/>
      <c r="O25" s="164"/>
      <c r="P25" s="164"/>
      <c r="Q25" s="164"/>
    </row>
  </sheetData>
  <mergeCells count="29">
    <mergeCell ref="A24:Q25"/>
    <mergeCell ref="O18:P18"/>
    <mergeCell ref="O19:P19"/>
    <mergeCell ref="O20:P20"/>
    <mergeCell ref="A21:P21"/>
    <mergeCell ref="A22:Q22"/>
    <mergeCell ref="O15:P15"/>
    <mergeCell ref="O16:P16"/>
    <mergeCell ref="O17:P17"/>
    <mergeCell ref="A23:F23"/>
    <mergeCell ref="G23:Q23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2021-11-26T13:11:13Z</cp:lastPrinted>
  <dcterms:created xsi:type="dcterms:W3CDTF">2020-07-17T23:44:49Z</dcterms:created>
  <dcterms:modified xsi:type="dcterms:W3CDTF">2021-11-29T12:54:53Z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