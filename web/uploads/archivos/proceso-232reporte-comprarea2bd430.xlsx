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8_{5D9060C8-3C29-42D0-9590-192E68F8E18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uadro comparativo" sheetId="2" r:id="rId1"/>
  </sheets>
  <definedNames>
    <definedName name="Datos">'Cuadro comparativo'!$E$1:$E$5</definedName>
    <definedName name="DatosTitulos">'Cuadro comparativo'!$D$1:$D$5</definedName>
    <definedName name="PROVEEDOR">'Cuadro comparativo'!$G$8:$J$8,'Cuadro comparativo'!$K$8:$N$8,'Cuadro comparativo'!$O$8:$R$8,'Cuadro comparativo'!$S$8:$V$8,'Cuadro comparativo'!$W$8:$Z$8</definedName>
    <definedName name="Titles">'Cuadro comparativo'!$A$8:$F$8</definedName>
  </definedNames>
  <calcPr calcId="181029"/>
</workbook>
</file>

<file path=xl/calcChain.xml><?xml version="1.0" encoding="utf-8"?>
<calcChain xmlns="http://schemas.openxmlformats.org/spreadsheetml/2006/main">
  <c r="I36" i="2" l="1"/>
  <c r="M36" i="2"/>
  <c r="Q36" i="2"/>
  <c r="U36" i="2"/>
  <c r="Y36" i="2"/>
</calcChain>
</file>

<file path=xl/sharedStrings.xml><?xml version="1.0" encoding="utf-8"?>
<sst xmlns="http://schemas.openxmlformats.org/spreadsheetml/2006/main" count="257" uniqueCount="172">
  <si>
    <t>Número expediente:</t>
  </si>
  <si>
    <t>EX-2022-01908670-   -CAT-DPCBS#MEC</t>
  </si>
  <si>
    <t>Número proceso de compra:</t>
  </si>
  <si>
    <t>100-0073-CPR22</t>
  </si>
  <si>
    <t>Nombre descriptivo proceso de compra:</t>
  </si>
  <si>
    <t>ADQUISICION DE ALIMENTOS PERECEDEROS DESTINADO A LOS COMEDORES ESCOLARES</t>
  </si>
  <si>
    <t>Unidad Operativa de Compras:</t>
  </si>
  <si>
    <t>Secretaria de Compras y Abastecimiento</t>
  </si>
  <si>
    <t>Fecha de Apertura:</t>
  </si>
  <si>
    <t>17/10/2022</t>
  </si>
  <si>
    <t>Renglón</t>
  </si>
  <si>
    <t>maria angela mascareño</t>
  </si>
  <si>
    <t xml:space="preserve">AGROINDUSTRIA CATAMARCA SOCIEDAD DEL ESTADO </t>
  </si>
  <si>
    <t>E-CO S. R. L.</t>
  </si>
  <si>
    <t>JUAN ANGEL PERNA</t>
  </si>
  <si>
    <t>raquel del valle contreras</t>
  </si>
  <si>
    <t>Alternativa</t>
  </si>
  <si>
    <t>Código</t>
  </si>
  <si>
    <t>Descripción</t>
  </si>
  <si>
    <t>Cantidad solicitada</t>
  </si>
  <si>
    <t>Unidad de medida</t>
  </si>
  <si>
    <t>Precio unitario</t>
  </si>
  <si>
    <t>Cantidad ofertada</t>
  </si>
  <si>
    <t>Total por renglón</t>
  </si>
  <si>
    <t>Especificacion técnica</t>
  </si>
  <si>
    <t xml:space="preserve">1 </t>
  </si>
  <si>
    <t xml:space="preserve">2.1.1-2113.31 </t>
  </si>
  <si>
    <t xml:space="preserve">DULCES; TIPO: DE BATATA, PRESENTACION: ENVASE, PESO: 500 GR </t>
  </si>
  <si>
    <t xml:space="preserve">UNIDAD </t>
  </si>
  <si>
    <t xml:space="preserve">DULCE DE BATATA X 500 GR MARCA: DULCOR </t>
  </si>
  <si>
    <t xml:space="preserve">DULCE DE BATATA X 1/2 KG </t>
  </si>
  <si>
    <t xml:space="preserve">DESCRIPCION: CONFORME AL PLIEGO ESPECIFICACIONES TECNICAS: CONFORME AL PLIEGO MARCA: 
DULCOR </t>
  </si>
  <si>
    <t xml:space="preserve">2 </t>
  </si>
  <si>
    <t xml:space="preserve">2.1.1-542.236 </t>
  </si>
  <si>
    <t xml:space="preserve">QUESOS; TIPO: CREMOSO, PRESENTACION: AL PESO, ELEM. TRANSPORTE: SIN, MATERIAL 
ELEM. TRANSPORTE: SIN, MATERIAL ENVASE: SIN, CERTIFICADO FORESTAL (GFS): SIN, 
LIBRE DE GLUTEN: A DEFINIR </t>
  </si>
  <si>
    <t xml:space="preserve">QUESOS; TIPO: CREMOSO </t>
  </si>
  <si>
    <t xml:space="preserve">DESCRIPCION: CONFORME AL PLIEGO ESPECIFICACIONES TECNICAS: CONFORME AL PLIEGO MARCA: 
LA NIÑA  </t>
  </si>
  <si>
    <t xml:space="preserve">  QUESOS; TIPO: CREMOSO, PRESENTACIÓN: AL PESO, ELEM. TRANSPORTE: 
SIN, MATERIAL ELEM. TRANSPORTE: SIN, MATERIAL ENVASE: SIN, CERTIFICADO FORESTAL 
(GFS): SIN, LIBRE DE GLUTEN: A DEFINIR 1º CALIDAD MARCA 
TREMBLAY </t>
  </si>
  <si>
    <t xml:space="preserve">3 </t>
  </si>
  <si>
    <t xml:space="preserve">2.1.1-456.22 </t>
  </si>
  <si>
    <t xml:space="preserve">YOGHURT; CAPACIDAD: 1 L, SABOR: FRUTILLA, TIPO: ENTERO, ENVASE: SACHET, 
AGREGADO: SIN VALOR, CONSISTENCIA: BEBIBLE, PRESENTACION: SACHET X 1 L 
</t>
  </si>
  <si>
    <t xml:space="preserve">YOGHURT; CAPACIDAD: 1 L, SABOR: FRUTILLA </t>
  </si>
  <si>
    <t xml:space="preserve">DESCRIPCION: CONFORME AL PLIEGO ESPECIFICACIONES TECNICAS: CONFORME AL PLIEGO MARCA: 
LA NUEVA </t>
  </si>
  <si>
    <t xml:space="preserve">  YOGUR; CAPACIDAD: 1 L, SABOR: FRUTILLA, TIPO: ENTERO, 
ENVASE: SACHET, AGREGADO: SIN VALOR, CONSISTENCIA: BEBIBLE, PRESENTACIÓN: SACHET X 
1 L 1º CALIDAD MARCA TREMBLAY </t>
  </si>
  <si>
    <t xml:space="preserve">4 </t>
  </si>
  <si>
    <t xml:space="preserve">2.1.1-6539.16 </t>
  </si>
  <si>
    <t xml:space="preserve">FRUTAS; VARIEDAD: MANZANA RED DELICIOSA, ESTADO: NATURAL, PRESENTACION: GRANEL, PESO: 
SIN VALOR </t>
  </si>
  <si>
    <t xml:space="preserve">MANZANA RED DELICIOSA X KG </t>
  </si>
  <si>
    <t xml:space="preserve">MANZANA DELICIOSA  </t>
  </si>
  <si>
    <t xml:space="preserve">5 </t>
  </si>
  <si>
    <t xml:space="preserve">2.1.1-6539.3 </t>
  </si>
  <si>
    <t xml:space="preserve">FRUTAS; VARIEDAD: NARANJA ESPECIAL, ESTADO: NATURAL, PRESENTACION: GRANEL, PESO: SIN 
VALOR </t>
  </si>
  <si>
    <t xml:space="preserve">NARANJAS CRIOLLAS X KG </t>
  </si>
  <si>
    <t xml:space="preserve">FRUTAS; VARIEDAD: NARANJA ESPECIAL </t>
  </si>
  <si>
    <t xml:space="preserve">DESCRIPCION: CONFORME AL PLIEGO ESPECIFICACIONES TECNICAS: CONFORME AL PLIEGO  
</t>
  </si>
  <si>
    <t xml:space="preserve"> FRUTAS; VARIEDAD: NARANJA ESPECIAL, ESTADO: NATURAL, PRESENTACION: GRANEL, PESO: 
SIN VALOR, PRIMERA CALIDAD </t>
  </si>
  <si>
    <t xml:space="preserve">6 </t>
  </si>
  <si>
    <t xml:space="preserve">2.1.1-6539.29 </t>
  </si>
  <si>
    <t xml:space="preserve">FRUTAS; VARIEDAD: BANANA, ESTADO: NATURAL, PRESENTACION: GRANEL, PESO: SIN VALOR 
</t>
  </si>
  <si>
    <t xml:space="preserve">BANANA FRESCA X KG </t>
  </si>
  <si>
    <t xml:space="preserve"> FRUTAS; VARIEDAD: BANANA </t>
  </si>
  <si>
    <t xml:space="preserve">FRUTAS; VARIEDAD: BANANA, ESTADO: NATURAL, PRESENTACION: GRANEL, PESO: SIN VALOR; 
PRIMERA CALIDAD </t>
  </si>
  <si>
    <t xml:space="preserve">7 </t>
  </si>
  <si>
    <t xml:space="preserve">2.1.1-6539.31 </t>
  </si>
  <si>
    <t xml:space="preserve">FRUTAS; VARIEDAD: PERA AMARILLA, PRESENTACION: GRANEL, ESTADO: NATURAL, PESO: SIN 
VALOR </t>
  </si>
  <si>
    <t xml:space="preserve">PERA AMARILLA X KG </t>
  </si>
  <si>
    <t xml:space="preserve">FRUTAS; VARIEDAD: PERA AMARILLA </t>
  </si>
  <si>
    <t xml:space="preserve"> FRUTAS; VARIEDAD: PERA AMARILLA, PRESENTACION: GRANEL, ESTADO: NATURAL, PESO: 
SIN VALOR; PRIMERA CALIDAD </t>
  </si>
  <si>
    <t xml:space="preserve">8 </t>
  </si>
  <si>
    <t xml:space="preserve">2.1.1-621.3 </t>
  </si>
  <si>
    <t xml:space="preserve">AVES; PRESENTACION: TROZADO SIN PIEL, ESPECIE: POLLO, EVISCERADO: SIN VALOR, 
TIPO: POLLO </t>
  </si>
  <si>
    <t xml:space="preserve"> AVES; PRESENTACION: TROZADO SIN PIEL, ESPECIE: POLLO, EVISCERADO </t>
  </si>
  <si>
    <t xml:space="preserve">DESCRIPCION: CONFORME AL PLIEGO ESPECIFICACIONES TECNICAS: CONFORME AL PLIEGO MARCA: 
BONNIN  </t>
  </si>
  <si>
    <t xml:space="preserve">  AVES; PRESENTACION: TROZADO SIN PIEL, ESPECIE: POLLO, EVISCERADO: 
SIN VALOR, TIPO: POLLO POLLO TROZADO (MUSLO) MARCA SOYCHU 1ª 
CALIDAD </t>
  </si>
  <si>
    <t xml:space="preserve">9 </t>
  </si>
  <si>
    <t xml:space="preserve">2.1.1-6546.100 </t>
  </si>
  <si>
    <t xml:space="preserve">VERDURAS Y HORTALIZAS; ESTADO: NATURAL, PRESENTACION: GRANEL, VARIEDAD: PAPA BLANCA, 
PESO: SIN VALOR </t>
  </si>
  <si>
    <t xml:space="preserve">PAPA BLANCA X KG </t>
  </si>
  <si>
    <t xml:space="preserve"> VERDURAS Y HORTALIZAS; ESTADO: NATURAL, PRESENTACION: GRANEL, VARIEDAD: PAPA 
BLANCA </t>
  </si>
  <si>
    <t xml:space="preserve"> VERDURAS Y HORTALIZAS; ESTADO: NATURAL, PRESENTACION: GRANEL, VARIEDAD: PAPA 
BLANCA, PESO: SIN VALOR; PRIMERA CALIDAD </t>
  </si>
  <si>
    <t xml:space="preserve">10 </t>
  </si>
  <si>
    <t xml:space="preserve">2.1.1-6546.166 </t>
  </si>
  <si>
    <t xml:space="preserve">VERDURAS Y HORTALIZAS; PRESENTACION: GRANEL, VARIEDAD: ZANAHORIA, ESTADO: NATURAL, PESO: 
SIN VALOR </t>
  </si>
  <si>
    <t xml:space="preserve">ZANAHORIA FRESCA X KG </t>
  </si>
  <si>
    <t xml:space="preserve">VERDURAS Y HORTALIZAS; PRESENTACION: GRANEL, VARIEDAD: ZANAHORIA </t>
  </si>
  <si>
    <t xml:space="preserve"> VERDURAS Y HORTALIZAS; PRESENTACION: GRANEL, VARIEDAD: ZANAHORIA, ESTADO: NATURAL, 
PESO: SIN VALOR; PRIMERA CALIDAD  </t>
  </si>
  <si>
    <t xml:space="preserve">11 </t>
  </si>
  <si>
    <t xml:space="preserve">2.1.1-6546.95 </t>
  </si>
  <si>
    <t xml:space="preserve">VERDURAS Y HORTALIZAS; VARIEDAD: MORRON VERDE, ESTADO: NATURAL, PRESENTACION: GRANEL, 
PESO: SIN VALOR </t>
  </si>
  <si>
    <t xml:space="preserve">MORRON VERDE X UNIDAD DE 200 GR APROXIMADO </t>
  </si>
  <si>
    <t xml:space="preserve">VERDURAS Y HORTALIZAS; VARIEDAD: MORRON VERDE </t>
  </si>
  <si>
    <t xml:space="preserve"> VERDURAS Y HORTALIZAS; VARIEDAD: MORRON VERDE, ESTADO: NATURAL, PRESENTACION: 
GRANEL, PESO: SIN VALOR; PRIMERA CALIDAD </t>
  </si>
  <si>
    <t xml:space="preserve">12 </t>
  </si>
  <si>
    <t xml:space="preserve">2.1.1-6546.175 </t>
  </si>
  <si>
    <t xml:space="preserve">VERDURAS Y HORTALIZAS; ESTADO: NATURAL, VARIEDAD: BATATA, PRESENTACION: GRANEL, PESO: 
SIN VALOR </t>
  </si>
  <si>
    <t xml:space="preserve">batata fresca x kg </t>
  </si>
  <si>
    <t xml:space="preserve">VERDURAS Y HORTALIZAS; ESTADO: NATURAL, VARIEDAD: BATATA </t>
  </si>
  <si>
    <t xml:space="preserve">13 </t>
  </si>
  <si>
    <t xml:space="preserve">2.1.1-6546.330 </t>
  </si>
  <si>
    <t xml:space="preserve">VERDURAS Y HORTALIZAS; VARIEDAD: ZAPALLO ANCO, ESTADO: NATURAL, PRESENTACION: UNIDAD, 
PESO: 1 Kg </t>
  </si>
  <si>
    <t xml:space="preserve">zapallo anco x kg </t>
  </si>
  <si>
    <t xml:space="preserve">VERDURAS Y HORTALIZAS; VARIEDAD: ZAPALLO ANCO </t>
  </si>
  <si>
    <t xml:space="preserve"> VERDURAS Y HORTALIZAS; VARIEDAD: ZAPALLO ANCO, ESTADO: NATURAL, PRESENTACION: 
UNIDAD, PESO: 1 Kg; PRIMERA CALIDAD  </t>
  </si>
  <si>
    <t xml:space="preserve">14 </t>
  </si>
  <si>
    <t xml:space="preserve">2.1.1-6546.46 </t>
  </si>
  <si>
    <t xml:space="preserve">VERDURAS Y HORTALIZAS; VARIEDAD: CEBOLLA, ESTADO: NATURAL, PRESENTACION: GRANEL, PESO: 
SIN VALOR </t>
  </si>
  <si>
    <t xml:space="preserve">cebolla blanca x kg </t>
  </si>
  <si>
    <t xml:space="preserve">VERDURAS Y HORTALIZAS; VARIEDAD: CEBOLLA </t>
  </si>
  <si>
    <t xml:space="preserve"> VERDURAS Y HORTALIZAS; VARIEDAD: CEBOLLA, ESTADO: NATURAL, PRESENTACION: GRANEL, 
PESO: SIN VALOR; PRIMERA CALIDAD </t>
  </si>
  <si>
    <t xml:space="preserve">15 </t>
  </si>
  <si>
    <t xml:space="preserve">2.1.1-6546.1 </t>
  </si>
  <si>
    <t xml:space="preserve">VERDURAS Y HORTALIZAS; VARIEDAD: TOMATE PERITA, ESTADO: NATURAL, PRESENTACION: GRANEL, 
PESO: SIN VALOR </t>
  </si>
  <si>
    <t xml:space="preserve">tomate perita fresco x kg </t>
  </si>
  <si>
    <t xml:space="preserve">VERDURAS Y HORTALIZAS; VARIEDAD: TOMATE PERITA </t>
  </si>
  <si>
    <t xml:space="preserve"> VERDURAS Y HORTALIZAS; VARIEDAD: TOMATE PERITA, ESTADO: NATURAL, PRESENTACION: 
GRANEL, PESO: SIN VALOR; PRIMERA CALIDAD </t>
  </si>
  <si>
    <t xml:space="preserve">16 </t>
  </si>
  <si>
    <t xml:space="preserve">2.1.1-6546.150 </t>
  </si>
  <si>
    <t xml:space="preserve">VERDURAS Y HORTALIZAS; ESTADO: NATURAL, PESO: SIN VALOR, VARIEDAD: ZAPALLITO 
REDONDO, PRESENTACION: GRANEL </t>
  </si>
  <si>
    <t xml:space="preserve">zapallito redonde x kg </t>
  </si>
  <si>
    <t xml:space="preserve"> VERDURAS Y HORTALIZAS; ESTADO: NATURAL, PESO: SIN VALOR, VARIEDAD: 
ZAPALLITO REDONDO </t>
  </si>
  <si>
    <t xml:space="preserve"> VERDURAS Y HORTALIZAS; ESTADO: NATURAL, PESO: SIN VALOR, VARIEDAD: 
ZAPALLITO REDONDO, PRESENTACION: GRANEL; PRIMERA CALIDAD </t>
  </si>
  <si>
    <t xml:space="preserve">17 </t>
  </si>
  <si>
    <t xml:space="preserve">2.1.1-541.7 </t>
  </si>
  <si>
    <t xml:space="preserve">CARNES; ESPECIE: VACUNA, CORTE: PICADA ESPECIAL, TIPO: VACUNA </t>
  </si>
  <si>
    <t xml:space="preserve">CARNES; ESPECIE: VACUNA, CORTE: PICADA ESPECIA </t>
  </si>
  <si>
    <t xml:space="preserve">CARNES; ESPECIE: VACUNA, CORTE: PICADA ESPECIAL, TIPO: VACUNA 1ª CALIDAD 
FRIGORÍFICO FAENADOR NATILLA  </t>
  </si>
  <si>
    <t xml:space="preserve">18 </t>
  </si>
  <si>
    <t xml:space="preserve">2.1.1-541.21 </t>
  </si>
  <si>
    <t xml:space="preserve">CARNES; CORTE: CUADRADA, TIPO: VACUNA, ESPECIE: VACUNA </t>
  </si>
  <si>
    <t xml:space="preserve">CARNES; CORTE: CUADRADA, TIPO: VACUNA, ESPECIE: VACUNA 1ª CALIDAD FRIGORÍFICO 
FAENADOR NATILLA </t>
  </si>
  <si>
    <t xml:space="preserve">19 </t>
  </si>
  <si>
    <t xml:space="preserve">2.1.1-483.33 </t>
  </si>
  <si>
    <t xml:space="preserve">HUEVO DE GALLINA; TAMAÑO: MEDIANOS, COLOR: BLANCOS, PRESENTACION: 30 </t>
  </si>
  <si>
    <t xml:space="preserve">huevos de gallina maple x 30 unidades  </t>
  </si>
  <si>
    <t xml:space="preserve">HUEVO DE GALLINA; TAMAÑO: MEDIANOS, COLOR: BLANCO </t>
  </si>
  <si>
    <t xml:space="preserve"> HUEVO DE GALLINA; TAMAÑO: MEDIANOS, COLOR: BLANCOS, PRESENTACION: 30 
; PRIMERA CALIDAD </t>
  </si>
  <si>
    <t xml:space="preserve">20 </t>
  </si>
  <si>
    <t xml:space="preserve">2.1.1-6546.124 </t>
  </si>
  <si>
    <t xml:space="preserve">VERDURAS Y HORTALIZAS; PESO: SIN VALOR, VARIEDAD: REMOLACHA, ESTADO: NATURAL, 
PRESENTACION: GRANEL </t>
  </si>
  <si>
    <t xml:space="preserve">remolacha fresca x kg </t>
  </si>
  <si>
    <t xml:space="preserve">VERDURAS Y HORTALIZAS; PESO: SIN VALOR, VARIEDAD: REMOLACHA </t>
  </si>
  <si>
    <t xml:space="preserve"> VERDURAS Y HORTALIZAS; PESO: SIN VALOR, VARIEDAD: REMOLACHA, ESTADO: 
NATURAL, PRESENTACION: GRANEL; PRIMERA CALIDAD </t>
  </si>
  <si>
    <t xml:space="preserve">21 </t>
  </si>
  <si>
    <t xml:space="preserve">2.1.1-6546.34 </t>
  </si>
  <si>
    <t xml:space="preserve">VERDURAS Y HORTALIZAS; VARIEDAD: ACELGA, ESTADO: EN HOJA, PRESENTACION: ATADO, 
PESO: SIN VALOR </t>
  </si>
  <si>
    <t xml:space="preserve">acelga fresca x atado de 500 gr aproximado </t>
  </si>
  <si>
    <t xml:space="preserve">VERDURAS Y HORTALIZAS; VARIEDAD: ACELGA </t>
  </si>
  <si>
    <t xml:space="preserve"> VERDURAS Y HORTALIZAS; VARIEDAD: ACELGA, ESTADO: EN HOJA, PRESENTACION: 
ATADO, PESO: SIN VALOR; PRIMERA CALIDAD </t>
  </si>
  <si>
    <t xml:space="preserve">22 </t>
  </si>
  <si>
    <t xml:space="preserve">2.1.1-6546.132 </t>
  </si>
  <si>
    <t xml:space="preserve">VERDURAS Y HORTALIZAS; VARIEDAD: PEREJIL, ESTADO: NATURAL, PRESENTACION: GRANEL, PESO: 
SIN VALOR </t>
  </si>
  <si>
    <t xml:space="preserve">perejil fresco x atado de 200 gr aproximados </t>
  </si>
  <si>
    <t xml:space="preserve">VERDURAS Y HORTALIZAS; VARIEDAD: PEREJIL </t>
  </si>
  <si>
    <t xml:space="preserve"> VERDURAS Y HORTALIZAS; VARIEDAD: PEREJIL, ESTADO: NATURAL, PRESENTACION: GRANEL, 
PESO: SIN VALOR; PRIMERA CALIDAD </t>
  </si>
  <si>
    <t xml:space="preserve">23 </t>
  </si>
  <si>
    <t xml:space="preserve">2.1.1-669.64 </t>
  </si>
  <si>
    <t xml:space="preserve">PANES; TIPO: FRANCES, PRESENTACION: ENVASE X 1 Kg </t>
  </si>
  <si>
    <t xml:space="preserve">pan frances x kg  </t>
  </si>
  <si>
    <t xml:space="preserve">24 </t>
  </si>
  <si>
    <t xml:space="preserve">2.1.1-704.44 </t>
  </si>
  <si>
    <t xml:space="preserve">ALFAJORES; RELLENO: DULCE DE LECHE, COBERTURA: MAICENA, PESO: 40 GR, 
PRESENTACION: UNIDAD </t>
  </si>
  <si>
    <t xml:space="preserve">alfajor TITITO x 40 gr  </t>
  </si>
  <si>
    <t xml:space="preserve">ALFAJORES; RELLENO: DULCE DE LECHE, COBERTURA: MAICENA </t>
  </si>
  <si>
    <t xml:space="preserve">25 </t>
  </si>
  <si>
    <t xml:space="preserve">2.1.1-669.1 </t>
  </si>
  <si>
    <t xml:space="preserve">PANES; PRESENTACION: GRANEL, TIPO: SALVADO </t>
  </si>
  <si>
    <t xml:space="preserve">pan salvado x kg </t>
  </si>
  <si>
    <t xml:space="preserve">26 </t>
  </si>
  <si>
    <t xml:space="preserve">2.1.1-669.25 </t>
  </si>
  <si>
    <t xml:space="preserve">PANES; TIPO: RALLADO, PRESENTACION: BOLSA DE 1000 GR </t>
  </si>
  <si>
    <t xml:space="preserve">pan rallado x kg  </t>
  </si>
  <si>
    <t xml:space="preserve">Total: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</si>
</sst>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#,##0.00"/>
    <numFmt numFmtId="165" formatCode="\$\ #,##0.0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2ADD0"/>
        <bgColor rgb="FFA2ADD0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 applyNumberFormat="1" applyFill="1" applyAlignment="1" applyProtection="1"/>
    <xf numFmtId="0" fontId="1" fillId="2" borderId="0" xfId="0" applyNumberFormat="1" applyFont="1" applyFill="1" applyAlignment="1" applyProtection="1">
      <alignment horizontal="center"/>
    </xf>
    <xf numFmtId="0" fontId="1" fillId="2" borderId="0" xfId="0" applyNumberFormat="1" applyFont="1" applyFill="1" applyAlignment="1" applyProtection="1">
      <alignment horizontal="left"/>
    </xf>
    <xf numFmtId="164" fontId="0" fillId="0" borderId="0" xfId="0" applyNumberFormat="1" applyFill="1" applyAlignment="1" applyProtection="1"/>
    <xf numFmtId="165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9:F36" totalsRowCount="1">
  <tableColumns count="6">
    <tableColumn id="1" xr3:uid="{00000000-0010-0000-0000-000001000000}" name="Renglón"/>
    <tableColumn id="2" xr3:uid="{00000000-0010-0000-0000-000002000000}" name="Alternativa"/>
    <tableColumn id="3" xr3:uid="{00000000-0010-0000-0000-000003000000}" name="Código" totalsRowLabel="Total: "/>
    <tableColumn id="4" xr3:uid="{00000000-0010-0000-0000-000004000000}" name="Descripción"/>
    <tableColumn id="5" xr3:uid="{00000000-0010-0000-0000-000005000000}" name="Cantidad solicitada"/>
    <tableColumn id="6" xr3:uid="{00000000-0010-0000-0000-000006000000}" name="Unidad de medida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G9:J36" totalsRowCount="1">
  <tableColumns count="4">
    <tableColumn id="1" xr3:uid="{00000000-0010-0000-0100-000001000000}" name="Precio unitario"/>
    <tableColumn id="2" xr3:uid="{00000000-0010-0000-0100-000002000000}" name="Cantidad ofertada"/>
    <tableColumn id="3" xr3:uid="{00000000-0010-0000-0100-000003000000}" name="Total por renglón" totalsRowFunction="sum"/>
    <tableColumn id="4" xr3:uid="{00000000-0010-0000-0100-000004000000}" name="Especificacion técnica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K9:N36" totalsRowCount="1">
  <tableColumns count="4">
    <tableColumn id="1" xr3:uid="{00000000-0010-0000-0200-000001000000}" name="Precio unitario"/>
    <tableColumn id="2" xr3:uid="{00000000-0010-0000-0200-000002000000}" name="Cantidad ofertada"/>
    <tableColumn id="3" xr3:uid="{00000000-0010-0000-0200-000003000000}" name="Total por renglón" totalsRowFunction="sum"/>
    <tableColumn id="4" xr3:uid="{00000000-0010-0000-0200-000004000000}" name="Especificacion técnica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O9:R36" totalsRowCount="1">
  <tableColumns count="4">
    <tableColumn id="1" xr3:uid="{00000000-0010-0000-0300-000001000000}" name="Precio unitario"/>
    <tableColumn id="2" xr3:uid="{00000000-0010-0000-0300-000002000000}" name="Cantidad ofertada"/>
    <tableColumn id="3" xr3:uid="{00000000-0010-0000-0300-000003000000}" name="Total por renglón" totalsRowFunction="sum"/>
    <tableColumn id="4" xr3:uid="{00000000-0010-0000-0300-000004000000}" name="Especificacion técnica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" displayName="Table5" ref="S9:V36" totalsRowCount="1">
  <tableColumns count="4">
    <tableColumn id="1" xr3:uid="{00000000-0010-0000-0400-000001000000}" name="Precio unitario"/>
    <tableColumn id="2" xr3:uid="{00000000-0010-0000-0400-000002000000}" name="Cantidad ofertada"/>
    <tableColumn id="3" xr3:uid="{00000000-0010-0000-0400-000003000000}" name="Total por renglón" totalsRowFunction="sum"/>
    <tableColumn id="4" xr3:uid="{00000000-0010-0000-0400-000004000000}" name="Especificacion técnica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6" displayName="Table6" ref="W9:Z36" totalsRowCount="1">
  <tableColumns count="4">
    <tableColumn id="1" xr3:uid="{00000000-0010-0000-0500-000001000000}" name="Precio unitario"/>
    <tableColumn id="2" xr3:uid="{00000000-0010-0000-0500-000002000000}" name="Cantidad ofertada"/>
    <tableColumn id="3" xr3:uid="{00000000-0010-0000-0500-000003000000}" name="Total por renglón" totalsRowFunction="sum"/>
    <tableColumn id="4" xr3:uid="{00000000-0010-0000-0500-000004000000}" name="Especificacion técnic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6"/>
  <sheetViews>
    <sheetView tabSelected="1" workbookViewId="0">
      <pane xSplit="3" ySplit="9" topLeftCell="D10" activePane="bottomRight" state="frozenSplit"/>
      <selection pane="topRight"/>
      <selection pane="bottomLeft"/>
      <selection pane="bottomRight" activeCell="D10" sqref="D10"/>
    </sheetView>
  </sheetViews>
  <sheetFormatPr baseColWidth="10" defaultColWidth="9.140625" defaultRowHeight="15" x14ac:dyDescent="0.25"/>
  <cols>
    <col min="1" max="1" width="8.85546875" customWidth="1"/>
    <col min="2" max="2" width="11.28515625" customWidth="1"/>
    <col min="3" max="3" width="14.7109375" customWidth="1"/>
    <col min="4" max="4" width="90.28515625" customWidth="1"/>
    <col min="5" max="5" width="78.85546875" customWidth="1"/>
    <col min="6" max="6" width="17.42578125" customWidth="1"/>
    <col min="7" max="7" width="14.28515625" customWidth="1"/>
    <col min="8" max="8" width="17.28515625" customWidth="1"/>
    <col min="9" max="9" width="16.5703125" customWidth="1"/>
    <col min="10" max="10" width="47.140625" customWidth="1"/>
    <col min="11" max="11" width="14.28515625" customWidth="1"/>
    <col min="12" max="12" width="17.28515625" customWidth="1"/>
    <col min="13" max="13" width="16.5703125" customWidth="1"/>
    <col min="14" max="14" width="79" customWidth="1"/>
    <col min="15" max="15" width="14.28515625" customWidth="1"/>
    <col min="16" max="16" width="17.28515625" customWidth="1"/>
    <col min="17" max="17" width="16.5703125" customWidth="1"/>
    <col min="18" max="18" width="87" customWidth="1"/>
    <col min="19" max="19" width="14.28515625" customWidth="1"/>
    <col min="20" max="20" width="17.28515625" customWidth="1"/>
    <col min="21" max="21" width="16.5703125" customWidth="1"/>
    <col min="22" max="22" width="82.28515625" customWidth="1"/>
    <col min="23" max="23" width="14.28515625" customWidth="1"/>
    <col min="24" max="24" width="17.28515625" customWidth="1"/>
    <col min="25" max="25" width="16.5703125" customWidth="1"/>
    <col min="26" max="26" width="85.28515625" customWidth="1"/>
  </cols>
  <sheetData>
    <row r="1" spans="1:26" x14ac:dyDescent="0.25">
      <c r="D1" s="2" t="s">
        <v>0</v>
      </c>
      <c r="E1" s="2" t="s">
        <v>1</v>
      </c>
    </row>
    <row r="2" spans="1:26" x14ac:dyDescent="0.25">
      <c r="D2" s="2" t="s">
        <v>2</v>
      </c>
      <c r="E2" s="2" t="s">
        <v>3</v>
      </c>
    </row>
    <row r="3" spans="1:26" x14ac:dyDescent="0.25">
      <c r="D3" s="2" t="s">
        <v>4</v>
      </c>
      <c r="E3" s="2" t="s">
        <v>5</v>
      </c>
    </row>
    <row r="4" spans="1:26" x14ac:dyDescent="0.25">
      <c r="D4" s="2" t="s">
        <v>6</v>
      </c>
      <c r="E4" s="2" t="s">
        <v>7</v>
      </c>
    </row>
    <row r="5" spans="1:26" x14ac:dyDescent="0.25">
      <c r="D5" s="2" t="s">
        <v>8</v>
      </c>
      <c r="E5" s="2" t="s">
        <v>9</v>
      </c>
    </row>
    <row r="8" spans="1:26" x14ac:dyDescent="0.25">
      <c r="A8" s="1" t="s">
        <v>10</v>
      </c>
      <c r="B8" s="1"/>
      <c r="C8" s="1"/>
      <c r="D8" s="1"/>
      <c r="E8" s="1"/>
      <c r="F8" s="1"/>
      <c r="G8" s="1" t="s">
        <v>11</v>
      </c>
      <c r="H8" s="1"/>
      <c r="I8" s="1"/>
      <c r="J8" s="1"/>
      <c r="K8" s="1" t="s">
        <v>12</v>
      </c>
      <c r="L8" s="1"/>
      <c r="M8" s="1"/>
      <c r="N8" s="1"/>
      <c r="O8" s="1" t="s">
        <v>13</v>
      </c>
      <c r="P8" s="1"/>
      <c r="Q8" s="1"/>
      <c r="R8" s="1"/>
      <c r="S8" s="1" t="s">
        <v>14</v>
      </c>
      <c r="T8" s="1"/>
      <c r="U8" s="1"/>
      <c r="V8" s="1"/>
      <c r="W8" s="1" t="s">
        <v>15</v>
      </c>
      <c r="X8" s="1"/>
      <c r="Y8" s="1"/>
      <c r="Z8" s="1"/>
    </row>
    <row r="9" spans="1:26" x14ac:dyDescent="0.25">
      <c r="A9" t="s">
        <v>10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 s="3" t="s">
        <v>21</v>
      </c>
      <c r="H9" s="3" t="s">
        <v>22</v>
      </c>
      <c r="I9" t="s">
        <v>23</v>
      </c>
      <c r="J9" t="s">
        <v>24</v>
      </c>
      <c r="K9" s="3" t="s">
        <v>21</v>
      </c>
      <c r="L9" s="3" t="s">
        <v>22</v>
      </c>
      <c r="M9" t="s">
        <v>23</v>
      </c>
      <c r="N9" t="s">
        <v>24</v>
      </c>
      <c r="O9" s="3" t="s">
        <v>21</v>
      </c>
      <c r="P9" s="3" t="s">
        <v>22</v>
      </c>
      <c r="Q9" t="s">
        <v>23</v>
      </c>
      <c r="R9" t="s">
        <v>24</v>
      </c>
      <c r="S9" s="3" t="s">
        <v>21</v>
      </c>
      <c r="T9" s="3" t="s">
        <v>22</v>
      </c>
      <c r="U9" t="s">
        <v>23</v>
      </c>
      <c r="V9" t="s">
        <v>24</v>
      </c>
      <c r="W9" s="3" t="s">
        <v>21</v>
      </c>
      <c r="X9" s="3" t="s">
        <v>22</v>
      </c>
      <c r="Y9" t="s">
        <v>23</v>
      </c>
      <c r="Z9" t="s">
        <v>24</v>
      </c>
    </row>
    <row r="10" spans="1:26" ht="45" x14ac:dyDescent="0.25">
      <c r="A10" t="s">
        <v>25</v>
      </c>
      <c r="B10" t="s">
        <v>25</v>
      </c>
      <c r="C10" t="s">
        <v>26</v>
      </c>
      <c r="D10" t="s">
        <v>27</v>
      </c>
      <c r="E10">
        <v>2900</v>
      </c>
      <c r="F10" t="s">
        <v>28</v>
      </c>
      <c r="G10" s="3">
        <v>294</v>
      </c>
      <c r="H10" s="3">
        <v>2900</v>
      </c>
      <c r="I10" s="4">
        <v>852600</v>
      </c>
      <c r="J10" t="s">
        <v>29</v>
      </c>
      <c r="K10" s="3">
        <v>285</v>
      </c>
      <c r="L10" s="3">
        <v>2900</v>
      </c>
      <c r="M10" s="4">
        <v>826500</v>
      </c>
      <c r="N10" t="s">
        <v>30</v>
      </c>
      <c r="O10" s="3">
        <v>245</v>
      </c>
      <c r="P10" s="3">
        <v>2900</v>
      </c>
      <c r="Q10" s="4">
        <v>710500</v>
      </c>
      <c r="R10" s="5" t="s">
        <v>31</v>
      </c>
      <c r="S10" s="3"/>
      <c r="T10" s="3"/>
      <c r="U10" s="4"/>
      <c r="W10" s="3"/>
      <c r="X10" s="3"/>
      <c r="Y10" s="4"/>
    </row>
    <row r="11" spans="1:26" ht="60" x14ac:dyDescent="0.25">
      <c r="A11" t="s">
        <v>32</v>
      </c>
      <c r="B11" t="s">
        <v>25</v>
      </c>
      <c r="C11" t="s">
        <v>33</v>
      </c>
      <c r="D11" s="5" t="s">
        <v>34</v>
      </c>
      <c r="E11">
        <v>2080</v>
      </c>
      <c r="F11" t="s">
        <v>28</v>
      </c>
      <c r="G11" s="3"/>
      <c r="H11" s="3"/>
      <c r="I11" s="4"/>
      <c r="K11" s="3">
        <v>1250</v>
      </c>
      <c r="L11" s="3">
        <v>2080</v>
      </c>
      <c r="M11" s="4">
        <v>2600000</v>
      </c>
      <c r="N11" t="s">
        <v>35</v>
      </c>
      <c r="O11" s="3">
        <v>1000</v>
      </c>
      <c r="P11" s="3">
        <v>2080</v>
      </c>
      <c r="Q11" s="4">
        <v>2080000</v>
      </c>
      <c r="R11" s="5" t="s">
        <v>36</v>
      </c>
      <c r="S11" s="3">
        <v>1300</v>
      </c>
      <c r="T11" s="3">
        <v>2080</v>
      </c>
      <c r="U11" s="4">
        <v>2704000</v>
      </c>
      <c r="V11" s="5" t="s">
        <v>37</v>
      </c>
      <c r="W11" s="3"/>
      <c r="X11" s="3"/>
      <c r="Y11" s="4"/>
    </row>
    <row r="12" spans="1:26" ht="60" x14ac:dyDescent="0.25">
      <c r="A12" t="s">
        <v>38</v>
      </c>
      <c r="B12" t="s">
        <v>25</v>
      </c>
      <c r="C12" t="s">
        <v>39</v>
      </c>
      <c r="D12" s="5" t="s">
        <v>40</v>
      </c>
      <c r="E12">
        <v>4920</v>
      </c>
      <c r="F12" t="s">
        <v>28</v>
      </c>
      <c r="G12" s="3"/>
      <c r="H12" s="3"/>
      <c r="I12" s="4"/>
      <c r="K12" s="3">
        <v>260</v>
      </c>
      <c r="L12" s="3">
        <v>4920</v>
      </c>
      <c r="M12" s="4">
        <v>1279200</v>
      </c>
      <c r="N12" t="s">
        <v>41</v>
      </c>
      <c r="O12" s="3">
        <v>280</v>
      </c>
      <c r="P12" s="3">
        <v>4920</v>
      </c>
      <c r="Q12" s="4">
        <v>1377600</v>
      </c>
      <c r="R12" s="5" t="s">
        <v>42</v>
      </c>
      <c r="S12" s="3">
        <v>250</v>
      </c>
      <c r="T12" s="3">
        <v>4920</v>
      </c>
      <c r="U12" s="4">
        <v>1230000</v>
      </c>
      <c r="V12" s="5" t="s">
        <v>43</v>
      </c>
      <c r="W12" s="3"/>
      <c r="X12" s="3"/>
      <c r="Y12" s="4"/>
    </row>
    <row r="13" spans="1:26" ht="30" x14ac:dyDescent="0.25">
      <c r="A13" t="s">
        <v>44</v>
      </c>
      <c r="B13" t="s">
        <v>25</v>
      </c>
      <c r="C13" t="s">
        <v>45</v>
      </c>
      <c r="D13" s="5" t="s">
        <v>46</v>
      </c>
      <c r="E13">
        <v>1760</v>
      </c>
      <c r="F13" t="s">
        <v>28</v>
      </c>
      <c r="G13" s="3">
        <v>590</v>
      </c>
      <c r="H13" s="3">
        <v>1760</v>
      </c>
      <c r="I13" s="4">
        <v>1038400</v>
      </c>
      <c r="J13" t="s">
        <v>47</v>
      </c>
      <c r="K13" s="3">
        <v>300</v>
      </c>
      <c r="L13" s="3">
        <v>1760</v>
      </c>
      <c r="M13" s="4">
        <v>528000</v>
      </c>
      <c r="N13" t="s">
        <v>48</v>
      </c>
      <c r="O13" s="3"/>
      <c r="P13" s="3"/>
      <c r="Q13" s="4"/>
      <c r="S13" s="3"/>
      <c r="T13" s="3"/>
      <c r="U13" s="4"/>
      <c r="W13" s="3"/>
      <c r="X13" s="3"/>
      <c r="Y13" s="4"/>
    </row>
    <row r="14" spans="1:26" ht="30" x14ac:dyDescent="0.25">
      <c r="A14" t="s">
        <v>49</v>
      </c>
      <c r="B14" t="s">
        <v>25</v>
      </c>
      <c r="C14" t="s">
        <v>50</v>
      </c>
      <c r="D14" s="5" t="s">
        <v>51</v>
      </c>
      <c r="E14">
        <v>1855</v>
      </c>
      <c r="F14" t="s">
        <v>28</v>
      </c>
      <c r="G14" s="3">
        <v>112</v>
      </c>
      <c r="H14" s="3">
        <v>1855</v>
      </c>
      <c r="I14" s="4">
        <v>207760</v>
      </c>
      <c r="J14" t="s">
        <v>52</v>
      </c>
      <c r="K14" s="3">
        <v>100</v>
      </c>
      <c r="L14" s="3">
        <v>1855</v>
      </c>
      <c r="M14" s="4">
        <v>185500</v>
      </c>
      <c r="N14" t="s">
        <v>53</v>
      </c>
      <c r="O14" s="3">
        <v>180</v>
      </c>
      <c r="P14" s="3">
        <v>1855</v>
      </c>
      <c r="Q14" s="4">
        <v>333900</v>
      </c>
      <c r="R14" s="5" t="s">
        <v>54</v>
      </c>
      <c r="S14" s="3"/>
      <c r="T14" s="3"/>
      <c r="U14" s="4"/>
      <c r="W14" s="3">
        <v>87.75</v>
      </c>
      <c r="X14" s="3">
        <v>1855</v>
      </c>
      <c r="Y14" s="4">
        <v>162776.25</v>
      </c>
      <c r="Z14" s="5" t="s">
        <v>55</v>
      </c>
    </row>
    <row r="15" spans="1:26" ht="30" x14ac:dyDescent="0.25">
      <c r="A15" t="s">
        <v>56</v>
      </c>
      <c r="B15" t="s">
        <v>25</v>
      </c>
      <c r="C15" t="s">
        <v>57</v>
      </c>
      <c r="D15" s="5" t="s">
        <v>58</v>
      </c>
      <c r="E15">
        <v>3615</v>
      </c>
      <c r="F15" t="s">
        <v>28</v>
      </c>
      <c r="G15" s="3">
        <v>590</v>
      </c>
      <c r="H15" s="3">
        <v>3615</v>
      </c>
      <c r="I15" s="4">
        <v>2132850</v>
      </c>
      <c r="J15" t="s">
        <v>59</v>
      </c>
      <c r="K15" s="3">
        <v>280</v>
      </c>
      <c r="L15" s="3">
        <v>3615</v>
      </c>
      <c r="M15" s="4">
        <v>1012200</v>
      </c>
      <c r="N15" t="s">
        <v>60</v>
      </c>
      <c r="O15" s="3">
        <v>220</v>
      </c>
      <c r="P15" s="3">
        <v>3615</v>
      </c>
      <c r="Q15" s="4">
        <v>795300</v>
      </c>
      <c r="R15" s="5" t="s">
        <v>54</v>
      </c>
      <c r="S15" s="3"/>
      <c r="T15" s="3"/>
      <c r="U15" s="4"/>
      <c r="W15" s="3">
        <v>182.25</v>
      </c>
      <c r="X15" s="3">
        <v>3615</v>
      </c>
      <c r="Y15" s="4">
        <v>658833.75</v>
      </c>
      <c r="Z15" s="5" t="s">
        <v>61</v>
      </c>
    </row>
    <row r="16" spans="1:26" ht="30" x14ac:dyDescent="0.25">
      <c r="A16" t="s">
        <v>62</v>
      </c>
      <c r="B16" t="s">
        <v>25</v>
      </c>
      <c r="C16" t="s">
        <v>63</v>
      </c>
      <c r="D16" s="5" t="s">
        <v>64</v>
      </c>
      <c r="E16">
        <v>1750</v>
      </c>
      <c r="F16" t="s">
        <v>28</v>
      </c>
      <c r="G16" s="3">
        <v>340</v>
      </c>
      <c r="H16" s="3">
        <v>1750</v>
      </c>
      <c r="I16" s="4">
        <v>595000</v>
      </c>
      <c r="J16" t="s">
        <v>65</v>
      </c>
      <c r="K16" s="3">
        <v>300</v>
      </c>
      <c r="L16" s="3">
        <v>1750</v>
      </c>
      <c r="M16" s="4">
        <v>525000</v>
      </c>
      <c r="N16" t="s">
        <v>66</v>
      </c>
      <c r="O16" s="3">
        <v>180</v>
      </c>
      <c r="P16" s="3">
        <v>1750</v>
      </c>
      <c r="Q16" s="4">
        <v>315000</v>
      </c>
      <c r="R16" s="5" t="s">
        <v>54</v>
      </c>
      <c r="S16" s="3"/>
      <c r="T16" s="3"/>
      <c r="U16" s="4"/>
      <c r="W16" s="3">
        <v>187.88</v>
      </c>
      <c r="X16" s="3">
        <v>1750</v>
      </c>
      <c r="Y16" s="4">
        <v>328790</v>
      </c>
      <c r="Z16" s="5" t="s">
        <v>67</v>
      </c>
    </row>
    <row r="17" spans="1:26" ht="45" x14ac:dyDescent="0.25">
      <c r="A17" t="s">
        <v>68</v>
      </c>
      <c r="B17" t="s">
        <v>25</v>
      </c>
      <c r="C17" t="s">
        <v>69</v>
      </c>
      <c r="D17" s="5" t="s">
        <v>70</v>
      </c>
      <c r="E17">
        <v>5060</v>
      </c>
      <c r="F17" t="s">
        <v>28</v>
      </c>
      <c r="G17" s="3"/>
      <c r="H17" s="3"/>
      <c r="I17" s="4"/>
      <c r="K17" s="3">
        <v>700</v>
      </c>
      <c r="L17" s="3">
        <v>5060</v>
      </c>
      <c r="M17" s="4">
        <v>3542000</v>
      </c>
      <c r="N17" t="s">
        <v>71</v>
      </c>
      <c r="O17" s="3">
        <v>550</v>
      </c>
      <c r="P17" s="3">
        <v>5060</v>
      </c>
      <c r="Q17" s="4">
        <v>2783000</v>
      </c>
      <c r="R17" s="5" t="s">
        <v>72</v>
      </c>
      <c r="S17" s="3">
        <v>500</v>
      </c>
      <c r="T17" s="3">
        <v>5060</v>
      </c>
      <c r="U17" s="4">
        <v>2530000</v>
      </c>
      <c r="V17" s="5" t="s">
        <v>73</v>
      </c>
      <c r="W17" s="3"/>
      <c r="X17" s="3"/>
      <c r="Y17" s="4"/>
    </row>
    <row r="18" spans="1:26" ht="45" x14ac:dyDescent="0.25">
      <c r="A18" t="s">
        <v>74</v>
      </c>
      <c r="B18" t="s">
        <v>25</v>
      </c>
      <c r="C18" t="s">
        <v>75</v>
      </c>
      <c r="D18" s="5" t="s">
        <v>76</v>
      </c>
      <c r="E18">
        <v>6450</v>
      </c>
      <c r="F18" t="s">
        <v>28</v>
      </c>
      <c r="G18" s="3">
        <v>220</v>
      </c>
      <c r="H18" s="3">
        <v>6450</v>
      </c>
      <c r="I18" s="4">
        <v>1419000</v>
      </c>
      <c r="J18" t="s">
        <v>77</v>
      </c>
      <c r="K18" s="3">
        <v>130</v>
      </c>
      <c r="L18" s="3">
        <v>6450</v>
      </c>
      <c r="M18" s="4">
        <v>838500</v>
      </c>
      <c r="N18" s="5" t="s">
        <v>78</v>
      </c>
      <c r="O18" s="3">
        <v>148</v>
      </c>
      <c r="P18" s="3">
        <v>6450</v>
      </c>
      <c r="Q18" s="4">
        <v>954600</v>
      </c>
      <c r="R18" s="5" t="s">
        <v>54</v>
      </c>
      <c r="S18" s="3"/>
      <c r="T18" s="3"/>
      <c r="U18" s="4"/>
      <c r="W18" s="3">
        <v>164.98</v>
      </c>
      <c r="X18" s="3">
        <v>6450</v>
      </c>
      <c r="Y18" s="4">
        <v>1064121</v>
      </c>
      <c r="Z18" s="5" t="s">
        <v>79</v>
      </c>
    </row>
    <row r="19" spans="1:26" ht="45" x14ac:dyDescent="0.25">
      <c r="A19" t="s">
        <v>80</v>
      </c>
      <c r="B19" t="s">
        <v>25</v>
      </c>
      <c r="C19" t="s">
        <v>81</v>
      </c>
      <c r="D19" s="5" t="s">
        <v>82</v>
      </c>
      <c r="E19">
        <v>2730</v>
      </c>
      <c r="F19" t="s">
        <v>28</v>
      </c>
      <c r="G19" s="3">
        <v>150</v>
      </c>
      <c r="H19" s="3">
        <v>2730</v>
      </c>
      <c r="I19" s="4">
        <v>409500</v>
      </c>
      <c r="J19" t="s">
        <v>83</v>
      </c>
      <c r="K19" s="3">
        <v>70</v>
      </c>
      <c r="L19" s="3">
        <v>2730</v>
      </c>
      <c r="M19" s="4">
        <v>191100</v>
      </c>
      <c r="N19" t="s">
        <v>84</v>
      </c>
      <c r="O19" s="3">
        <v>100</v>
      </c>
      <c r="P19" s="3">
        <v>2730</v>
      </c>
      <c r="Q19" s="4">
        <v>273000</v>
      </c>
      <c r="R19" s="5" t="s">
        <v>54</v>
      </c>
      <c r="S19" s="3"/>
      <c r="T19" s="3"/>
      <c r="U19" s="4"/>
      <c r="W19" s="3">
        <v>164.98</v>
      </c>
      <c r="X19" s="3">
        <v>2730</v>
      </c>
      <c r="Y19" s="4">
        <v>450395.4</v>
      </c>
      <c r="Z19" s="5" t="s">
        <v>85</v>
      </c>
    </row>
    <row r="20" spans="1:26" ht="45" x14ac:dyDescent="0.25">
      <c r="A20" t="s">
        <v>86</v>
      </c>
      <c r="B20" t="s">
        <v>25</v>
      </c>
      <c r="C20" t="s">
        <v>87</v>
      </c>
      <c r="D20" s="5" t="s">
        <v>88</v>
      </c>
      <c r="E20">
        <v>375</v>
      </c>
      <c r="F20" t="s">
        <v>28</v>
      </c>
      <c r="G20" s="3">
        <v>120</v>
      </c>
      <c r="H20" s="3">
        <v>375</v>
      </c>
      <c r="I20" s="4">
        <v>45000</v>
      </c>
      <c r="J20" t="s">
        <v>89</v>
      </c>
      <c r="K20" s="3">
        <v>70</v>
      </c>
      <c r="L20" s="3">
        <v>375</v>
      </c>
      <c r="M20" s="4">
        <v>26250</v>
      </c>
      <c r="N20" t="s">
        <v>90</v>
      </c>
      <c r="O20" s="3">
        <v>60</v>
      </c>
      <c r="P20" s="3">
        <v>375</v>
      </c>
      <c r="Q20" s="4">
        <v>22500</v>
      </c>
      <c r="R20" s="5" t="s">
        <v>54</v>
      </c>
      <c r="S20" s="3"/>
      <c r="T20" s="3"/>
      <c r="U20" s="4"/>
      <c r="W20" s="3">
        <v>84.37</v>
      </c>
      <c r="X20" s="3">
        <v>375</v>
      </c>
      <c r="Y20" s="4">
        <v>31638.75</v>
      </c>
      <c r="Z20" s="5" t="s">
        <v>91</v>
      </c>
    </row>
    <row r="21" spans="1:26" ht="30" x14ac:dyDescent="0.25">
      <c r="A21" t="s">
        <v>92</v>
      </c>
      <c r="B21" t="s">
        <v>25</v>
      </c>
      <c r="C21" t="s">
        <v>93</v>
      </c>
      <c r="D21" s="5" t="s">
        <v>94</v>
      </c>
      <c r="E21">
        <v>590</v>
      </c>
      <c r="F21" t="s">
        <v>28</v>
      </c>
      <c r="G21" s="3">
        <v>360</v>
      </c>
      <c r="H21" s="3">
        <v>590</v>
      </c>
      <c r="I21" s="4">
        <v>212400</v>
      </c>
      <c r="J21" t="s">
        <v>95</v>
      </c>
      <c r="K21" s="3">
        <v>170</v>
      </c>
      <c r="L21" s="3">
        <v>590</v>
      </c>
      <c r="M21" s="4">
        <v>100300</v>
      </c>
      <c r="N21" t="s">
        <v>96</v>
      </c>
      <c r="O21" s="3"/>
      <c r="P21" s="3"/>
      <c r="Q21" s="4"/>
      <c r="S21" s="3"/>
      <c r="T21" s="3"/>
      <c r="U21" s="4"/>
      <c r="W21" s="3"/>
      <c r="X21" s="3"/>
      <c r="Y21" s="4"/>
    </row>
    <row r="22" spans="1:26" ht="45" x14ac:dyDescent="0.25">
      <c r="A22" t="s">
        <v>97</v>
      </c>
      <c r="B22" t="s">
        <v>25</v>
      </c>
      <c r="C22" t="s">
        <v>98</v>
      </c>
      <c r="D22" s="5" t="s">
        <v>99</v>
      </c>
      <c r="E22">
        <v>1760</v>
      </c>
      <c r="F22" t="s">
        <v>28</v>
      </c>
      <c r="G22" s="3">
        <v>350</v>
      </c>
      <c r="H22" s="3">
        <v>1760</v>
      </c>
      <c r="I22" s="4">
        <v>616000</v>
      </c>
      <c r="J22" t="s">
        <v>100</v>
      </c>
      <c r="K22" s="3">
        <v>250</v>
      </c>
      <c r="L22" s="3">
        <v>1760</v>
      </c>
      <c r="M22" s="4">
        <v>440000</v>
      </c>
      <c r="N22" t="s">
        <v>101</v>
      </c>
      <c r="O22" s="3">
        <v>120</v>
      </c>
      <c r="P22" s="3">
        <v>1760</v>
      </c>
      <c r="Q22" s="4">
        <v>211200</v>
      </c>
      <c r="R22" s="5" t="s">
        <v>54</v>
      </c>
      <c r="S22" s="3"/>
      <c r="T22" s="3"/>
      <c r="U22" s="4"/>
      <c r="W22" s="3">
        <v>337.5</v>
      </c>
      <c r="X22" s="3">
        <v>1760</v>
      </c>
      <c r="Y22" s="4">
        <v>594000</v>
      </c>
      <c r="Z22" s="5" t="s">
        <v>102</v>
      </c>
    </row>
    <row r="23" spans="1:26" ht="30" x14ac:dyDescent="0.25">
      <c r="A23" t="s">
        <v>103</v>
      </c>
      <c r="B23" t="s">
        <v>25</v>
      </c>
      <c r="C23" t="s">
        <v>104</v>
      </c>
      <c r="D23" s="5" t="s">
        <v>105</v>
      </c>
      <c r="E23">
        <v>1110</v>
      </c>
      <c r="F23" t="s">
        <v>28</v>
      </c>
      <c r="G23" s="3">
        <v>380</v>
      </c>
      <c r="H23" s="3">
        <v>1110</v>
      </c>
      <c r="I23" s="4">
        <v>421800</v>
      </c>
      <c r="J23" t="s">
        <v>106</v>
      </c>
      <c r="K23" s="3">
        <v>280</v>
      </c>
      <c r="L23" s="3">
        <v>1110</v>
      </c>
      <c r="M23" s="4">
        <v>310800</v>
      </c>
      <c r="N23" t="s">
        <v>107</v>
      </c>
      <c r="O23" s="3">
        <v>280</v>
      </c>
      <c r="P23" s="3">
        <v>1110</v>
      </c>
      <c r="Q23" s="4">
        <v>310800</v>
      </c>
      <c r="R23" s="5" t="s">
        <v>54</v>
      </c>
      <c r="S23" s="3"/>
      <c r="T23" s="3"/>
      <c r="U23" s="4"/>
      <c r="W23" s="3">
        <v>202.5</v>
      </c>
      <c r="X23" s="3">
        <v>1110</v>
      </c>
      <c r="Y23" s="4">
        <v>224775</v>
      </c>
      <c r="Z23" s="5" t="s">
        <v>108</v>
      </c>
    </row>
    <row r="24" spans="1:26" ht="45" x14ac:dyDescent="0.25">
      <c r="A24" t="s">
        <v>109</v>
      </c>
      <c r="B24" t="s">
        <v>25</v>
      </c>
      <c r="C24" t="s">
        <v>110</v>
      </c>
      <c r="D24" s="5" t="s">
        <v>111</v>
      </c>
      <c r="E24">
        <v>2270</v>
      </c>
      <c r="F24" t="s">
        <v>28</v>
      </c>
      <c r="G24" s="3">
        <v>280</v>
      </c>
      <c r="H24" s="3">
        <v>2270</v>
      </c>
      <c r="I24" s="4">
        <v>635600</v>
      </c>
      <c r="J24" t="s">
        <v>112</v>
      </c>
      <c r="K24" s="3">
        <v>160</v>
      </c>
      <c r="L24" s="3">
        <v>2270</v>
      </c>
      <c r="M24" s="4">
        <v>363200</v>
      </c>
      <c r="N24" t="s">
        <v>113</v>
      </c>
      <c r="O24" s="3">
        <v>130</v>
      </c>
      <c r="P24" s="3">
        <v>2270</v>
      </c>
      <c r="Q24" s="4">
        <v>295100</v>
      </c>
      <c r="R24" s="5" t="s">
        <v>54</v>
      </c>
      <c r="S24" s="3"/>
      <c r="T24" s="3"/>
      <c r="U24" s="4"/>
      <c r="W24" s="3">
        <v>185.62</v>
      </c>
      <c r="X24" s="3">
        <v>2270</v>
      </c>
      <c r="Y24" s="4">
        <v>421357.4</v>
      </c>
      <c r="Z24" s="5" t="s">
        <v>114</v>
      </c>
    </row>
    <row r="25" spans="1:26" ht="30" x14ac:dyDescent="0.25">
      <c r="A25" t="s">
        <v>115</v>
      </c>
      <c r="B25" t="s">
        <v>25</v>
      </c>
      <c r="C25" t="s">
        <v>116</v>
      </c>
      <c r="D25" s="5" t="s">
        <v>117</v>
      </c>
      <c r="E25">
        <v>1430</v>
      </c>
      <c r="F25" t="s">
        <v>28</v>
      </c>
      <c r="G25" s="3">
        <v>300</v>
      </c>
      <c r="H25" s="3">
        <v>1430</v>
      </c>
      <c r="I25" s="4">
        <v>429000</v>
      </c>
      <c r="J25" t="s">
        <v>118</v>
      </c>
      <c r="K25" s="3">
        <v>220</v>
      </c>
      <c r="L25" s="3">
        <v>1430</v>
      </c>
      <c r="M25" s="4">
        <v>314600</v>
      </c>
      <c r="N25" s="5" t="s">
        <v>119</v>
      </c>
      <c r="O25" s="3">
        <v>250</v>
      </c>
      <c r="P25" s="3">
        <v>1430</v>
      </c>
      <c r="Q25" s="4">
        <v>357500</v>
      </c>
      <c r="R25" s="5" t="s">
        <v>54</v>
      </c>
      <c r="S25" s="3"/>
      <c r="T25" s="3"/>
      <c r="U25" s="4"/>
      <c r="W25" s="3">
        <v>179.99</v>
      </c>
      <c r="X25" s="3">
        <v>1430</v>
      </c>
      <c r="Y25" s="4">
        <v>257385.7</v>
      </c>
      <c r="Z25" s="5" t="s">
        <v>120</v>
      </c>
    </row>
    <row r="26" spans="1:26" ht="30" x14ac:dyDescent="0.25">
      <c r="A26" t="s">
        <v>121</v>
      </c>
      <c r="B26" t="s">
        <v>25</v>
      </c>
      <c r="C26" t="s">
        <v>122</v>
      </c>
      <c r="D26" t="s">
        <v>123</v>
      </c>
      <c r="E26">
        <v>2610</v>
      </c>
      <c r="F26" t="s">
        <v>28</v>
      </c>
      <c r="G26" s="3"/>
      <c r="H26" s="3"/>
      <c r="I26" s="4"/>
      <c r="K26" s="3">
        <v>1150</v>
      </c>
      <c r="L26" s="3">
        <v>2610</v>
      </c>
      <c r="M26" s="4">
        <v>3001500</v>
      </c>
      <c r="N26" t="s">
        <v>124</v>
      </c>
      <c r="O26" s="3">
        <v>1250</v>
      </c>
      <c r="P26" s="3">
        <v>2610</v>
      </c>
      <c r="Q26" s="4">
        <v>3262500</v>
      </c>
      <c r="R26" s="5" t="s">
        <v>54</v>
      </c>
      <c r="S26" s="3">
        <v>1300</v>
      </c>
      <c r="T26" s="3">
        <v>2610</v>
      </c>
      <c r="U26" s="4">
        <v>3393000</v>
      </c>
      <c r="V26" s="5" t="s">
        <v>125</v>
      </c>
      <c r="W26" s="3"/>
      <c r="X26" s="3"/>
      <c r="Y26" s="4"/>
    </row>
    <row r="27" spans="1:26" ht="30" x14ac:dyDescent="0.25">
      <c r="A27" t="s">
        <v>126</v>
      </c>
      <c r="B27" t="s">
        <v>25</v>
      </c>
      <c r="C27" t="s">
        <v>127</v>
      </c>
      <c r="D27" t="s">
        <v>128</v>
      </c>
      <c r="E27">
        <v>2455</v>
      </c>
      <c r="F27" t="s">
        <v>28</v>
      </c>
      <c r="G27" s="3"/>
      <c r="H27" s="3"/>
      <c r="I27" s="4"/>
      <c r="K27" s="3">
        <v>1400</v>
      </c>
      <c r="L27" s="3">
        <v>2455</v>
      </c>
      <c r="M27" s="4">
        <v>3437000</v>
      </c>
      <c r="N27" t="s">
        <v>128</v>
      </c>
      <c r="O27" s="3">
        <v>1600</v>
      </c>
      <c r="P27" s="3">
        <v>2455</v>
      </c>
      <c r="Q27" s="4">
        <v>3928000</v>
      </c>
      <c r="R27" s="5" t="s">
        <v>54</v>
      </c>
      <c r="S27" s="3">
        <v>1550</v>
      </c>
      <c r="T27" s="3">
        <v>2455</v>
      </c>
      <c r="U27" s="4">
        <v>3805250</v>
      </c>
      <c r="V27" s="5" t="s">
        <v>129</v>
      </c>
      <c r="W27" s="3"/>
      <c r="X27" s="3"/>
      <c r="Y27" s="4"/>
    </row>
    <row r="28" spans="1:26" ht="30" x14ac:dyDescent="0.25">
      <c r="A28" t="s">
        <v>130</v>
      </c>
      <c r="B28" t="s">
        <v>25</v>
      </c>
      <c r="C28" t="s">
        <v>131</v>
      </c>
      <c r="D28" t="s">
        <v>132</v>
      </c>
      <c r="E28">
        <v>400</v>
      </c>
      <c r="F28" t="s">
        <v>28</v>
      </c>
      <c r="G28" s="3">
        <v>1300</v>
      </c>
      <c r="H28" s="3">
        <v>400</v>
      </c>
      <c r="I28" s="4">
        <v>520000</v>
      </c>
      <c r="J28" t="s">
        <v>133</v>
      </c>
      <c r="K28" s="3">
        <v>880</v>
      </c>
      <c r="L28" s="3">
        <v>400</v>
      </c>
      <c r="M28" s="4">
        <v>352000</v>
      </c>
      <c r="N28" t="s">
        <v>134</v>
      </c>
      <c r="O28" s="3">
        <v>900</v>
      </c>
      <c r="P28" s="3">
        <v>400</v>
      </c>
      <c r="Q28" s="4">
        <v>360000</v>
      </c>
      <c r="R28" s="5" t="s">
        <v>54</v>
      </c>
      <c r="S28" s="3"/>
      <c r="T28" s="3"/>
      <c r="U28" s="4"/>
      <c r="W28" s="3">
        <v>1400</v>
      </c>
      <c r="X28" s="3">
        <v>400</v>
      </c>
      <c r="Y28" s="4">
        <v>560000</v>
      </c>
      <c r="Z28" s="5" t="s">
        <v>135</v>
      </c>
    </row>
    <row r="29" spans="1:26" ht="30" x14ac:dyDescent="0.25">
      <c r="A29" t="s">
        <v>136</v>
      </c>
      <c r="B29" t="s">
        <v>25</v>
      </c>
      <c r="C29" t="s">
        <v>137</v>
      </c>
      <c r="D29" s="5" t="s">
        <v>138</v>
      </c>
      <c r="E29">
        <v>705</v>
      </c>
      <c r="F29" t="s">
        <v>28</v>
      </c>
      <c r="G29" s="3">
        <v>600</v>
      </c>
      <c r="H29" s="3">
        <v>705</v>
      </c>
      <c r="I29" s="4">
        <v>423000</v>
      </c>
      <c r="J29" t="s">
        <v>139</v>
      </c>
      <c r="K29" s="3">
        <v>160</v>
      </c>
      <c r="L29" s="3">
        <v>705</v>
      </c>
      <c r="M29" s="4">
        <v>112800</v>
      </c>
      <c r="N29" t="s">
        <v>140</v>
      </c>
      <c r="O29" s="3"/>
      <c r="P29" s="3"/>
      <c r="Q29" s="4"/>
      <c r="S29" s="3"/>
      <c r="T29" s="3"/>
      <c r="U29" s="4"/>
      <c r="W29" s="3">
        <v>202.02</v>
      </c>
      <c r="X29" s="3">
        <v>705</v>
      </c>
      <c r="Y29" s="4">
        <v>142424.1</v>
      </c>
      <c r="Z29" s="5" t="s">
        <v>141</v>
      </c>
    </row>
    <row r="30" spans="1:26" ht="30" x14ac:dyDescent="0.25">
      <c r="A30" t="s">
        <v>142</v>
      </c>
      <c r="B30" t="s">
        <v>25</v>
      </c>
      <c r="C30" t="s">
        <v>143</v>
      </c>
      <c r="D30" s="5" t="s">
        <v>144</v>
      </c>
      <c r="E30">
        <v>780</v>
      </c>
      <c r="F30" t="s">
        <v>28</v>
      </c>
      <c r="G30" s="3">
        <v>150</v>
      </c>
      <c r="H30" s="3">
        <v>780</v>
      </c>
      <c r="I30" s="4">
        <v>117000</v>
      </c>
      <c r="J30" t="s">
        <v>145</v>
      </c>
      <c r="K30" s="3">
        <v>85</v>
      </c>
      <c r="L30" s="3">
        <v>780</v>
      </c>
      <c r="M30" s="4">
        <v>66300</v>
      </c>
      <c r="N30" t="s">
        <v>146</v>
      </c>
      <c r="O30" s="3">
        <v>75</v>
      </c>
      <c r="P30" s="3">
        <v>780</v>
      </c>
      <c r="Q30" s="4">
        <v>58500</v>
      </c>
      <c r="R30" s="5" t="s">
        <v>54</v>
      </c>
      <c r="S30" s="3"/>
      <c r="T30" s="3"/>
      <c r="U30" s="4"/>
      <c r="W30" s="3">
        <v>67.5</v>
      </c>
      <c r="X30" s="3">
        <v>780</v>
      </c>
      <c r="Y30" s="4">
        <v>52650</v>
      </c>
      <c r="Z30" s="5" t="s">
        <v>147</v>
      </c>
    </row>
    <row r="31" spans="1:26" ht="30" x14ac:dyDescent="0.25">
      <c r="A31" t="s">
        <v>148</v>
      </c>
      <c r="B31" t="s">
        <v>25</v>
      </c>
      <c r="C31" t="s">
        <v>149</v>
      </c>
      <c r="D31" s="5" t="s">
        <v>150</v>
      </c>
      <c r="E31">
        <v>1740</v>
      </c>
      <c r="F31" t="s">
        <v>28</v>
      </c>
      <c r="G31" s="3">
        <v>100</v>
      </c>
      <c r="H31" s="3">
        <v>1740</v>
      </c>
      <c r="I31" s="4">
        <v>174000</v>
      </c>
      <c r="J31" t="s">
        <v>151</v>
      </c>
      <c r="K31" s="3">
        <v>85</v>
      </c>
      <c r="L31" s="3">
        <v>1740</v>
      </c>
      <c r="M31" s="4">
        <v>147900</v>
      </c>
      <c r="N31" t="s">
        <v>152</v>
      </c>
      <c r="O31" s="3">
        <v>75</v>
      </c>
      <c r="P31" s="3">
        <v>1740</v>
      </c>
      <c r="Q31" s="4">
        <v>130500</v>
      </c>
      <c r="R31" s="5" t="s">
        <v>54</v>
      </c>
      <c r="S31" s="3"/>
      <c r="T31" s="3"/>
      <c r="U31" s="4"/>
      <c r="W31" s="3">
        <v>67.5</v>
      </c>
      <c r="X31" s="3">
        <v>1740</v>
      </c>
      <c r="Y31" s="4">
        <v>117450</v>
      </c>
      <c r="Z31" s="5" t="s">
        <v>153</v>
      </c>
    </row>
    <row r="32" spans="1:26" ht="30" x14ac:dyDescent="0.25">
      <c r="A32" t="s">
        <v>154</v>
      </c>
      <c r="B32" t="s">
        <v>25</v>
      </c>
      <c r="C32" t="s">
        <v>155</v>
      </c>
      <c r="D32" t="s">
        <v>156</v>
      </c>
      <c r="E32">
        <v>3930</v>
      </c>
      <c r="F32" t="s">
        <v>28</v>
      </c>
      <c r="G32" s="3">
        <v>550</v>
      </c>
      <c r="H32" s="3">
        <v>3930</v>
      </c>
      <c r="I32" s="4">
        <v>2161500</v>
      </c>
      <c r="J32" t="s">
        <v>157</v>
      </c>
      <c r="K32" s="3"/>
      <c r="L32" s="3"/>
      <c r="M32" s="4"/>
      <c r="O32" s="3">
        <v>375</v>
      </c>
      <c r="P32" s="3">
        <v>3930</v>
      </c>
      <c r="Q32" s="4">
        <v>1473750</v>
      </c>
      <c r="R32" s="5" t="s">
        <v>54</v>
      </c>
      <c r="S32" s="3"/>
      <c r="T32" s="3"/>
      <c r="U32" s="4"/>
      <c r="W32" s="3"/>
      <c r="X32" s="3"/>
      <c r="Y32" s="4"/>
    </row>
    <row r="33" spans="1:25" ht="30" x14ac:dyDescent="0.25">
      <c r="A33" t="s">
        <v>158</v>
      </c>
      <c r="B33" t="s">
        <v>25</v>
      </c>
      <c r="C33" t="s">
        <v>159</v>
      </c>
      <c r="D33" s="5" t="s">
        <v>160</v>
      </c>
      <c r="E33">
        <v>24590</v>
      </c>
      <c r="F33" t="s">
        <v>28</v>
      </c>
      <c r="G33" s="3">
        <v>110</v>
      </c>
      <c r="H33" s="3">
        <v>24590</v>
      </c>
      <c r="I33" s="4">
        <v>2704900</v>
      </c>
      <c r="J33" t="s">
        <v>161</v>
      </c>
      <c r="K33" s="3">
        <v>55</v>
      </c>
      <c r="L33" s="3">
        <v>24590</v>
      </c>
      <c r="M33" s="4">
        <v>1352450</v>
      </c>
      <c r="N33" t="s">
        <v>162</v>
      </c>
      <c r="O33" s="3"/>
      <c r="P33" s="3"/>
      <c r="Q33" s="4"/>
      <c r="S33" s="3"/>
      <c r="T33" s="3"/>
      <c r="U33" s="4"/>
      <c r="W33" s="3"/>
      <c r="X33" s="3"/>
      <c r="Y33" s="4"/>
    </row>
    <row r="34" spans="1:25" x14ac:dyDescent="0.25">
      <c r="A34" t="s">
        <v>163</v>
      </c>
      <c r="B34" t="s">
        <v>25</v>
      </c>
      <c r="C34" t="s">
        <v>164</v>
      </c>
      <c r="D34" t="s">
        <v>165</v>
      </c>
      <c r="E34">
        <v>1230</v>
      </c>
      <c r="F34" t="s">
        <v>28</v>
      </c>
      <c r="G34" s="3">
        <v>650</v>
      </c>
      <c r="H34" s="3">
        <v>1230</v>
      </c>
      <c r="I34" s="4">
        <v>799500</v>
      </c>
      <c r="J34" t="s">
        <v>166</v>
      </c>
      <c r="K34" s="3"/>
      <c r="L34" s="3"/>
      <c r="M34" s="4"/>
      <c r="O34" s="3"/>
      <c r="P34" s="3"/>
      <c r="Q34" s="4"/>
      <c r="S34" s="3"/>
      <c r="T34" s="3"/>
      <c r="U34" s="4"/>
      <c r="W34" s="3"/>
      <c r="X34" s="3"/>
      <c r="Y34" s="4"/>
    </row>
    <row r="35" spans="1:25" ht="30" x14ac:dyDescent="0.25">
      <c r="A35" t="s">
        <v>167</v>
      </c>
      <c r="B35" t="s">
        <v>25</v>
      </c>
      <c r="C35" t="s">
        <v>168</v>
      </c>
      <c r="D35" t="s">
        <v>169</v>
      </c>
      <c r="E35">
        <v>355</v>
      </c>
      <c r="F35" t="s">
        <v>28</v>
      </c>
      <c r="G35" s="3">
        <v>550</v>
      </c>
      <c r="H35" s="3">
        <v>355</v>
      </c>
      <c r="I35" s="4">
        <v>195250</v>
      </c>
      <c r="J35" t="s">
        <v>170</v>
      </c>
      <c r="K35" s="3"/>
      <c r="L35" s="3"/>
      <c r="M35" s="4"/>
      <c r="O35" s="3">
        <v>375</v>
      </c>
      <c r="P35" s="3">
        <v>355</v>
      </c>
      <c r="Q35" s="4">
        <v>133125</v>
      </c>
      <c r="R35" s="5" t="s">
        <v>54</v>
      </c>
      <c r="S35" s="3"/>
      <c r="T35" s="3"/>
      <c r="U35" s="4"/>
      <c r="W35" s="3"/>
      <c r="X35" s="3"/>
      <c r="Y35" s="4"/>
    </row>
    <row r="36" spans="1:25" x14ac:dyDescent="0.25">
      <c r="C36" t="s">
        <v>171</v>
      </c>
      <c r="G36" s="3"/>
      <c r="H36" s="3"/>
      <c r="I36" s="4">
        <f>SUBTOTAL(109,Table2[Total por renglón])</f>
        <v>16110060</v>
      </c>
      <c r="K36" s="3"/>
      <c r="L36" s="3"/>
      <c r="M36" s="4">
        <f>SUBTOTAL(109,Table3[Total por renglón])</f>
        <v>21553100</v>
      </c>
      <c r="O36" s="3"/>
      <c r="P36" s="3"/>
      <c r="Q36" s="4">
        <f>SUBTOTAL(109,Table4[Total por renglón])</f>
        <v>20166375</v>
      </c>
      <c r="R36" s="5"/>
      <c r="S36" s="3"/>
      <c r="T36" s="3"/>
      <c r="U36" s="4">
        <f>SUBTOTAL(109,Table5[Total por renglón])</f>
        <v>13662250</v>
      </c>
      <c r="W36" s="3"/>
      <c r="X36" s="3"/>
      <c r="Y36" s="4">
        <f>SUBTOTAL(109,Table6[Total por renglón])</f>
        <v>5066597.3499999996</v>
      </c>
    </row>
  </sheetData>
  <mergeCells count="6">
    <mergeCell ref="A8:F8"/>
    <mergeCell ref="G8:J8"/>
    <mergeCell ref="K8:N8"/>
    <mergeCell ref="O8:R8"/>
    <mergeCell ref="S8:V8"/>
    <mergeCell ref="W8:Z8"/>
  </mergeCells>
  <pageMargins left="0.75" right="0.75" top="0.75" bottom="0.5" header="0.5" footer="0.75"/>
  <tableParts count="6">
    <tablePart r:id="rId1"/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4</vt:i4>
      </vt:variant>
    </vt:vector>
  </HeadingPairs>
  <TitlesOfParts>
    <vt:vector size="5" baseType="lpstr">
      <vt:lpstr>Cuadro comparativo</vt:lpstr>
      <vt:lpstr>Datos</vt:lpstr>
      <vt:lpstr>DatosTitulos</vt:lpstr>
      <vt:lpstr>PROVEEDOR</vt:lpstr>
      <vt:lpstr>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JOHANA AYBAR</dc:creator>
  <cp:lastModifiedBy>COMPRAS</cp:lastModifiedBy>
  <dcterms:created xsi:type="dcterms:W3CDTF">2022-10-17T13:05:57Z</dcterms:created>
  <dcterms:modified xsi:type="dcterms:W3CDTF">2022-10-17T13:06:26Z</dcterms:modified>
</cp:coreProperties>
</file>