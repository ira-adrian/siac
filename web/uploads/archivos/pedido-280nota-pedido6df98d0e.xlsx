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Johana\2 TRIMESTRE  2022\terpia antiinfecciosa\SALUD\"/>
    </mc:Choice>
  </mc:AlternateContent>
  <xr:revisionPtr revIDLastSave="0" documentId="13_ncr:1_{A117E420-C7E5-42AD-B7A1-F7D215275135}" xr6:coauthVersionLast="47" xr6:coauthVersionMax="47" xr10:uidLastSave="{00000000-0000-0000-0000-000000000000}"/>
  <bookViews>
    <workbookView xWindow="-120" yWindow="-120" windowWidth="29040" windowHeight="15840" xr2:uid="{00000000-000D-0000-FFFF-FFFF00000000}"/>
  </bookViews>
  <sheets>
    <sheet name="Necesidades Trimestrales" sheetId="1" r:id="rId1"/>
    <sheet name=" NotaPedido DPFARMACIA" sheetId="2" r:id="rId2"/>
    <sheet name="Autor Gastar DPFARMACIA" sheetId="3" r:id="rId3"/>
    <sheet name=" NotaPedido DPSAME" sheetId="5" r:id="rId4"/>
    <sheet name="Autor Gastar DPSAME" sheetId="6" r:id="rId5"/>
  </sheets>
  <definedNames>
    <definedName name="_xlnm._FilterDatabase" localSheetId="0" hidden="1">'Necesidades Trimestrales'!$A$9:$K$60</definedName>
  </definedNames>
  <calcPr calcId="181029"/>
</workbook>
</file>

<file path=xl/calcChain.xml><?xml version="1.0" encoding="utf-8"?>
<calcChain xmlns="http://schemas.openxmlformats.org/spreadsheetml/2006/main">
  <c r="K12" i="5" l="1"/>
  <c r="K13" i="5"/>
  <c r="K14" i="5"/>
  <c r="K15" i="5"/>
  <c r="K16" i="5"/>
  <c r="K17" i="5"/>
  <c r="K18" i="5"/>
  <c r="K19" i="5"/>
  <c r="K20" i="5"/>
  <c r="K21" i="5"/>
  <c r="K22" i="5"/>
  <c r="A26" i="6"/>
  <c r="A10" i="6"/>
  <c r="G7" i="6"/>
  <c r="G6" i="6"/>
  <c r="D1" i="6"/>
  <c r="J22" i="5"/>
  <c r="I22" i="5"/>
  <c r="C22" i="5"/>
  <c r="B22" i="5"/>
  <c r="J21" i="5"/>
  <c r="I21" i="5"/>
  <c r="C21" i="5"/>
  <c r="B21" i="5"/>
  <c r="J20" i="5"/>
  <c r="I20" i="5"/>
  <c r="C20" i="5"/>
  <c r="B20" i="5"/>
  <c r="J19" i="5"/>
  <c r="I19" i="5"/>
  <c r="C19" i="5"/>
  <c r="B19" i="5"/>
  <c r="J18" i="5"/>
  <c r="I18" i="5"/>
  <c r="C18" i="5"/>
  <c r="B18" i="5"/>
  <c r="J17" i="5"/>
  <c r="I17" i="5"/>
  <c r="C17" i="5"/>
  <c r="B17" i="5"/>
  <c r="J16" i="5"/>
  <c r="I16" i="5"/>
  <c r="C16" i="5"/>
  <c r="B16" i="5"/>
  <c r="J15" i="5"/>
  <c r="I15" i="5"/>
  <c r="C15" i="5"/>
  <c r="B15" i="5"/>
  <c r="J14" i="5"/>
  <c r="I14" i="5"/>
  <c r="C14" i="5"/>
  <c r="B14" i="5"/>
  <c r="J13" i="5"/>
  <c r="I13" i="5"/>
  <c r="C13" i="5"/>
  <c r="B13" i="5"/>
  <c r="J12" i="5"/>
  <c r="I12" i="5"/>
  <c r="C12" i="5"/>
  <c r="B12" i="5"/>
  <c r="D4" i="5"/>
  <c r="G5" i="6" s="1"/>
  <c r="D3" i="5"/>
  <c r="G4" i="6" s="1"/>
  <c r="A26" i="3"/>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12" i="2"/>
  <c r="J24" i="5" l="1"/>
  <c r="Q15" i="6" s="1"/>
  <c r="Q23" i="6" s="1"/>
  <c r="J60" i="2" l="1"/>
  <c r="Q15" i="3" s="1"/>
  <c r="Q23" i="3" l="1"/>
  <c r="A10" i="3"/>
  <c r="G7" i="3"/>
  <c r="G6" i="3"/>
  <c r="D1" i="3"/>
  <c r="D4" i="2"/>
  <c r="G5" i="3" s="1"/>
  <c r="D3" i="2"/>
  <c r="G4" i="3" s="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61" i="1" l="1"/>
</calcChain>
</file>

<file path=xl/sharedStrings.xml><?xml version="1.0" encoding="utf-8"?>
<sst xmlns="http://schemas.openxmlformats.org/spreadsheetml/2006/main" count="396" uniqueCount="193">
  <si>
    <t>Pedido de Necesidades Trimestrales</t>
  </si>
  <si>
    <t>JURISDICCION:</t>
  </si>
  <si>
    <t>040 - Ministerio de Salud</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</si>
  <si>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</si>
  <si>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</si>
  <si>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</si>
  <si>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</si>
  <si>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</si>
  <si>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</si>
  <si>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</si>
  <si>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</si>
  <si>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</si>
  <si>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</si>
  <si>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</si>
  <si>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</si>
  <si>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COMPRIMIDO</t>
  </si>
  <si>
    <t>AMPOLLA</t>
  </si>
  <si>
    <t>FRASCO</t>
  </si>
  <si>
    <t>CAPSULAS</t>
  </si>
  <si>
    <t>KIT</t>
  </si>
  <si>
    <t>ENVASE</t>
  </si>
  <si>
    <r>
      <rPr>
        <u/>
        <sz val="11"/>
        <rFont val="Times New Roman"/>
        <family val="1"/>
      </rPr>
      <t>Calidad Minima</t>
    </r>
    <r>
      <rPr>
        <sz val="11"/>
        <rFont val="Times New Roman"/>
        <family val="1"/>
      </rPr>
      <t xml:space="preserve"> esperada:</t>
    </r>
  </si>
  <si>
    <r>
      <rPr>
        <u/>
        <sz val="10"/>
        <rFont val="Times New Roman"/>
        <family val="1"/>
      </rPr>
      <t>Mantenimiento</t>
    </r>
    <r>
      <rPr>
        <u/>
        <sz val="10"/>
        <rFont val="Times New Roman"/>
        <family val="1"/>
      </rPr>
      <t xml:space="preserve">: 45 dias habiles </t>
    </r>
  </si>
  <si>
    <t>NOTA DE PEDIDO</t>
  </si>
  <si>
    <t>N°</t>
  </si>
  <si>
    <t xml:space="preserve">JURISDICCIÓN: </t>
  </si>
  <si>
    <t>SAF:</t>
  </si>
  <si>
    <t>UNIDAD EJECUTORA:</t>
  </si>
  <si>
    <t xml:space="preserve">DEPENDENCIA SOLICITANTE: </t>
  </si>
  <si>
    <t>PERIODO UTILIZACIÓN:</t>
  </si>
  <si>
    <t>Semestral</t>
  </si>
  <si>
    <t>OBJETO:</t>
  </si>
  <si>
    <t>Adquisición de TERAPIA ANTIINFECCIOSA SISTEMICA/SUEROS INMUNES E INMUNOGLOBULINAS  Y MEDIOS DE CONTRASTES /ANALGESICOS ANTINFLAMATORIOS /MIORRELAJANTES/ANESTESICOS/ANALGESICOS OPIACIOS</t>
  </si>
  <si>
    <t>Ítem</t>
  </si>
  <si>
    <t>Codigo Item</t>
  </si>
  <si>
    <t>DESCRIPCIÓN</t>
  </si>
  <si>
    <t>Adjunta Detalle Técnico</t>
  </si>
  <si>
    <t>Unidad Medida</t>
  </si>
  <si>
    <t>Precio Unitario Estimado</t>
  </si>
  <si>
    <t>Cantidad Solicitada</t>
  </si>
  <si>
    <t>NO</t>
  </si>
  <si>
    <t>AUTORIZACION PARA GASTAR</t>
  </si>
  <si>
    <t>JURISDICCIÓN:</t>
  </si>
  <si>
    <r>
      <rPr>
        <b/>
        <u/>
        <sz val="10"/>
        <rFont val="Arial"/>
        <family val="2"/>
      </rPr>
      <t>AUTORIZACIÓN</t>
    </r>
    <r>
      <rPr>
        <b/>
        <u/>
        <sz val="10"/>
        <rFont val="Arial"/>
        <family val="2"/>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</si>
  <si>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</si>
  <si>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</si>
  <si>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</si>
  <si>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</si>
  <si>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</si>
  <si>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</si>
  <si>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</si>
  <si>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</si>
  <si>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</si>
  <si>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</si>
  <si>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</si>
  <si>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</si>
  <si>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</si>
  <si>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</si>
  <si>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</si>
  <si>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</si>
  <si>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</si>
  <si>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</si>
  <si>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</si>
  <si>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</si>
  <si>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PROD. MEDICO/FARMACEUTICOS/LAB</t>
  </si>
  <si>
    <t>2.5.2-1829.35</t>
  </si>
  <si>
    <t>2.5.2-1724.16</t>
  </si>
  <si>
    <t>2.5.2-1821.440</t>
  </si>
  <si>
    <t>2.5.2-1821.9</t>
  </si>
  <si>
    <t>2.5.2-1821.399</t>
  </si>
  <si>
    <t>2.5.2-1821.8</t>
  </si>
  <si>
    <t>2.5.2-1821.94</t>
  </si>
  <si>
    <t>2.5.2-1821.502</t>
  </si>
  <si>
    <t>2.5.2-1821.321</t>
  </si>
  <si>
    <t>2.5.2-1821.337</t>
  </si>
  <si>
    <t>2.5.2-1821.405</t>
  </si>
  <si>
    <t>2.5.2-1821.214</t>
  </si>
  <si>
    <t>2.5.2-1821.387</t>
  </si>
  <si>
    <t>2.5.2-1821.46</t>
  </si>
  <si>
    <t>2.5.2-1821.37</t>
  </si>
  <si>
    <t>2.5.2-1821.338</t>
  </si>
  <si>
    <t>2.5.2-1724.140</t>
  </si>
  <si>
    <t>2.5.2-1724.117</t>
  </si>
  <si>
    <t>2.5.2-1724.208</t>
  </si>
  <si>
    <t>2.5.2-1724.74</t>
  </si>
  <si>
    <t>2.5.2-1821.238</t>
  </si>
  <si>
    <t>2.5.2-1821.442</t>
  </si>
  <si>
    <t>2.5.2-1821.4</t>
  </si>
  <si>
    <t>2.5.2-1724.163</t>
  </si>
  <si>
    <t>2.5.2-1724.4</t>
  </si>
  <si>
    <t>2.5.2-1725.68</t>
  </si>
  <si>
    <t>2.5.2-1724.23</t>
  </si>
  <si>
    <t>2.5.2-1725.49</t>
  </si>
  <si>
    <t>2.5.2-1883.111</t>
  </si>
  <si>
    <t>2.5.2-1883.136</t>
  </si>
  <si>
    <t>2.5.2-1883.186</t>
  </si>
  <si>
    <t>2.5.2-1883.19</t>
  </si>
  <si>
    <t>2.5.2-1883.28</t>
  </si>
  <si>
    <t>2.5.2-1821.400</t>
  </si>
  <si>
    <t>2.5.2-1821.76</t>
  </si>
  <si>
    <t>2.5.2-1870.15</t>
  </si>
  <si>
    <t>2.5.2-1724.206</t>
  </si>
  <si>
    <t>2.5.2-1725.35</t>
  </si>
  <si>
    <t>2.5.2-1821.220</t>
  </si>
  <si>
    <t>2.5.2-1821.54</t>
  </si>
  <si>
    <t>2.5.2-1822.6</t>
  </si>
  <si>
    <t>2.5.2-1821.201</t>
  </si>
  <si>
    <t>2.5.2-2455.31</t>
  </si>
  <si>
    <t>ANTIVIRALES; TIPO: MONODROGA, DROGA GENERICA: ACICLOVIR, FORMA FARMACEUTICA: COMPRIMIDO, PRESENTACION: 400 mGr</t>
  </si>
  <si>
    <t>ANALGESICOS ; TIPO: MONODROGA, DROGA GENERICA: ACIDO ACETILSALICILICO, PRESENTACION: 100 mGr, FORMA FARMACEUTICA: COMPRIMIDO</t>
  </si>
  <si>
    <t>ANTIBIOTICOS P/PERSONAS; TIPO: ASOCIACION, DROGA GENERICA: AMOXICIL. 875 MG+CLAVUL.125 MG mGr, FORMA FARMACEUTICA: COMPRIMIDO, PRESENTACION: UNIDAD</t>
  </si>
  <si>
    <t>ANTIBIOTICOS P/PERSONAS; TIPO: MONODROGA, DROGA GENERICA: AMOXICILINA, PRESENTACION: 500 mGr, FORMA FARMACEUTICA: COMPRIMIDOS</t>
  </si>
  <si>
    <t>ANTIBIOTICOS P/PERSONAS; TIPO: MONODROGA, DROGA GENERICA: AMOXICILINA 500 mGr, FORMA FARMACEUTICA: SUSPENSION, PRESENTACION: ENVASE X 90 mL</t>
  </si>
  <si>
    <t>ANTIBIOTICOS P/PERSONAS; TIPO: MONODROGA, DROGA GENERICA: AMPICILINA, FORMA FARMACEUTICA: AMPOLLA, PRESENTACION: 1 GR</t>
  </si>
  <si>
    <t>ANTIBIOTICOS P/PERSONAS; TIPO: MONODROGA, DROGA GENERICA: AZITROMICINA, FORMA FARMACEUTICA: COMPRIMIDO, PRESENTACION: 500 mGr</t>
  </si>
  <si>
    <t>ANTIBIOTICOS P/PERSONAS; TIPO: MONODROGA, DROGA GENERICA: AZITROMICINA 200 mGr, FORMA FARMACEUTICA: SUSPENSION, PRESENTACION: ENVASE X 15 Ml</t>
  </si>
  <si>
    <t>ANTIBIOTICOS P/PERSONAS; TIPO: MONODROGA, DROGA GENERICA: CEFALEXINA 500 mGr, FORMA FARMACEUTICA: COMPRIMIDO, PRESENTACION: 1 UN</t>
  </si>
  <si>
    <t>ANTIBIOTICOS P/PERSONAS; TIPO: MONODROGA, DROGA GENERICA: CEFALEXINA 500MG, FORMA FARMACEUTICA: SUSPENSION, PRESENTACION: ENVASE X 90 mL</t>
  </si>
  <si>
    <t>ANTIBIOTICOS P/PERSONAS; TIPO: MONODROGA, DROGA GENERICA: CEFALOTINA SODICA, FORMA FARMACEUTICA: FRASCO AMPOLLA, PRESENTACION: 1 GR</t>
  </si>
  <si>
    <t>ANTIBIOTICOS P/PERSONAS; TIPO: MONODROGA, DROGA GENERICA: CEFTRIAXONA, FORMA FARMACEUTICA: FRASCO AMPOLLA, PRESENTACION: 1 GR</t>
  </si>
  <si>
    <t>ANTIBIOTICOS P/PERSONAS; TIPO: MONODROGA, FORMA FARMACEUTICA: COMPRIMIDO, PRESENTACION: 500 mGr, DROGA GENERICA: CIPROFLOXACINA</t>
  </si>
  <si>
    <t>ANTIBIOTICOS P/PERSONAS; TIPO: MONODROGA, DROGA GENERICA: CLARITROMICINA 250MG, FORMA FARMACEUTICA: SUSPENSION, PRESENTACION: ENVASE X 90 mL</t>
  </si>
  <si>
    <t>ANTIBIOTICOS P/PERSONAS; TIPO: MONODROGA, DROGA GENERICA: CLARITROMICINA, FORMA FARMACEUTICA: COMPRIMIDO, PRESENTACION: 500 mGr</t>
  </si>
  <si>
    <t>ANTIMICOBACTERIAS; TIPO: MONODROGA, DROGA GENERICA: RIFAMPICINA, PRESENTACION: 300 mGr, FORMA FARMACEUTICA: CAPSULA</t>
  </si>
  <si>
    <t>ANTIBIOTICOS P/PERSONAS; TIPO: ANTITUBERCULOSTATICO, DROGA GENERICA: RIFAMPICINA X 2 GR, FORMA FARMACEUTICA: EN SUSPENSION CADA 100 mL, PRESENTACION: FRASCO X 50 Ml</t>
  </si>
  <si>
    <t>ANALGESICOS ; TIPO: MONODROGA, DROGA GENERICA: DICLOFENAC X 75 MG, FORMA FARMACEUTICA: COMPRIMIDO, PRESENTACION: UNIDAD</t>
  </si>
  <si>
    <t>ANALGESICOS ; TIPO: MONODROGA, DROGA GENERICA: DIPIRONA, FORMA FARMACEUTICA: JARABE, PRESENTACION: FRASCO X 120 mL</t>
  </si>
  <si>
    <t>ANALGESICOS ; TIPO: MONODROGA, DROGA GENERICA: DIPIRONA SODICA 1 GR, FORMA FARMACEUTICA: AMPOLLA, PRESENTACION: 2 mL</t>
  </si>
  <si>
    <t>ANTIBIOTICOS P/PERSONAS; TIPO: MONODROGA, DROGA GENERICA: FLUCONAZOL 100 MG, FORMA FARMACEUTICA: COMPRIMIDO, PRESENTACION: 100 mGr</t>
  </si>
  <si>
    <t>ANTIBIOTICOS P/PERSONAS; TIPO: MONODROGA, DROGA GENERICA: FLUCONAZOL 200 MG, FORMA FARMACEUTICA: SOLUCION INYECTABLE, PRESENTACION: ENVASE X 100 mL</t>
  </si>
  <si>
    <t>ANTIBIOTICOS P/PERSONAS; DROGA GENERICA: GENTAMICINA, FORMA FARMACEUTICA: AMPOLLA, PRESENTACION: 80 mGr, TIPO: MONODROGA</t>
  </si>
  <si>
    <t>ANALGESICOS ; TIPO: MONODROGA, DROGA GENERICA: IBUPROFENO 2%, FORMA FARMACEUTICA: SUSPENSION, PRESENTACION: ENVASE X 90 mL</t>
  </si>
  <si>
    <t>ANALGESICOS ; TIPO: MONODROGA, DROGA GENERICA: IBUPROFENO, PRESENTACION: 400 mGr, FORMA FARMACEUTICA: COMPRIMIDO</t>
  </si>
  <si>
    <t>ANTIINFLAMATORIOS NO ESTEROIDE; TIPO: MONODROGA, DROGA GENERICA: IBUPROFENO, FORMA FARMACEUTICA: COMPRIMIDO, PRESENTACION: 400 mGr</t>
  </si>
  <si>
    <t>ANTIINFLAMATORIOS NO ESTEROIDE; DROGA GENERICA: KETOROLAC, FORMA FARMACEUTICA: COMPRIMIDO, PRESENTACION: 10 mGr, TIPO: MONODROGA</t>
  </si>
  <si>
    <t>ANALGESICOS ; TIPO: MONODROGA, DROGA GENERICA: KETOROLAC, FORMA FARMACEUTICA: AMPOLLA, PRESENTACION: 30 mGr</t>
  </si>
  <si>
    <t>ANESTESICOS LOCALES; TIPO: MONODROGA, DROGA GENERICA: LIDOCAINA 2%S/EPINEFRINA, FORMA FARMACEUTICA: AMPOLLA, PRESENTACION: 5 mL</t>
  </si>
  <si>
    <t>ANESTESICOS LOCALES; TIPO: MONODROGA, DROGA GENERICA: LIDOCAINA 2% S/EPINEFRINA, FORMA FARMACEUTICA: FRASCO AMPOLLA, PRESENTACION: ENVASE X 20 mL</t>
  </si>
  <si>
    <t>ANESTESICOS LOCALES; TIPO: ASOCIACION, DROGA GENERICA: LIDOCAINA 2% C/EPINEFRINA, FORMA FARMACEUTICA: FRASCO AMPOLLA, PRESENTACION: 20 mL</t>
  </si>
  <si>
    <t>ANESTESICOS LOCALES; TIPO: MONODROGA, DROGA GENERICA: LIDOCAINA, FORMA FARMACEUTICA: AEROSOL, PRESENTACION: 100 mL</t>
  </si>
  <si>
    <t>ANESTESICOS LOCALES; TIPO: MONODROGA, DROGA GENERICA: LIDOCAINA VISCOSA, FORMA FARMACEUTICA: ENVASE, PRESENTACION: 50 mL</t>
  </si>
  <si>
    <t>ANTIBIOTICOS P/PERSONAS; TIPO: MONODROGA, FORMA FARMACEUTICA: COMPRIMIDO, PRESENTACION: 500 mGr, DROGA GENERICA: METRONIDAZOL</t>
  </si>
  <si>
    <t>HIPNOTICOS; TIPO: MONODROGA, DROGA GENERICA: MIDAZOLAM 15 mGr, FORMA FARMACEUTICA: AMPOLLA, PRESENTACION: ENVASE X 3 mL</t>
  </si>
  <si>
    <t>ANTIBIOTICOS P/PERSONAS; TIPO: MONODROGA, DROGA GENERICA: METRONIDAZOL 500 mGr, FORMA FARMACEUTICA: SACHET X 100 mL, PRESENTACION: UNIDAD</t>
  </si>
  <si>
    <t>ANALGESICOS ; TIPO: MONODROGA, DROGA GENERICA: NALBUFINA 10 mGr, FORMA FARMACEUTICA: AMPOLLA, PRESENTACION: ENVASE X 1 mL</t>
  </si>
  <si>
    <t>ANTIINFLAMATORIOS NO ESTEROIDE; TIPO: MONODROGA, DROGA GENERICA: NAPROXENO, FORMA FARMACEUTICA: COMPRIMIDO, PRESENTACION: 500 mGr</t>
  </si>
  <si>
    <t>ANTIBIOTICOS P/PERSONAS; TIPO: MONODROGA, DROGA GENERICA: PENICILINA G. BENZATINICA, FORMA FARMACEUTICA: AMPOLLA, PRESENTACION: 1.200.000 UI</t>
  </si>
  <si>
    <t>ANTIBIOTICOS P/PERSONAS; TIPO: MONODROGA, DROGA GENERICA: PENICILINA G. BENZATINICA, FORMA FARMACEUTICA: FRASCO AMPOLLA, PRESENTACION: 2.400.000 UI</t>
  </si>
  <si>
    <t>ANESTESICOS GENERALES; DROGA GENERICA: SEVOFLUORANO, FORMA FARMACEUTICA: SOLUCION, PRESENTACION: ENVASE X 250 mL, TIPO: MONODROGA</t>
  </si>
  <si>
    <r>
      <t xml:space="preserve">ANALGESICOS ; TIPO: ASOCIACION, DROGA GENERICA: DICLOFENAC </t>
    </r>
    <r>
      <rPr>
        <sz val="10"/>
        <color theme="1"/>
        <rFont val="Arial"/>
        <family val="2"/>
      </rPr>
      <t>SODICO</t>
    </r>
    <r>
      <rPr>
        <b/>
        <sz val="10"/>
        <color rgb="FFFF0000"/>
        <rFont val="Arial"/>
        <family val="2"/>
      </rPr>
      <t>,</t>
    </r>
    <r>
      <rPr>
        <sz val="10"/>
        <color rgb="FF000000"/>
        <rFont val="Arial"/>
        <family val="2"/>
      </rPr>
      <t xml:space="preserve"> FORMA FARMACEUTICA: AMPOLLA, PRESENTACION: 3 Ml</t>
    </r>
  </si>
  <si>
    <r>
      <t xml:space="preserve">ANTIBIOTICOS P/PERSONAS; TIPO: MONODROGA, DROGA GENERICA: CIPROFLOXACINA, FORMA FARMACEUTICA: </t>
    </r>
    <r>
      <rPr>
        <sz val="10"/>
        <color theme="1"/>
        <rFont val="Arial"/>
        <family val="2"/>
      </rPr>
      <t>SACHET</t>
    </r>
    <r>
      <rPr>
        <sz val="10"/>
        <color rgb="FF000000"/>
        <rFont val="Arial"/>
        <family val="2"/>
      </rPr>
      <t>, PRESENTACION: ENVASE X 200 mGr</t>
    </r>
  </si>
  <si>
    <t>2.5.2-1821.524</t>
  </si>
  <si>
    <t>ANESTESICOS LOCALES; TIPO: MONODROGA, DROGA GENERICA: BUPIVACAINA 0,5% HIPERBARICA, FORMA FARMACEUTICA: AMPOLLA, PRESENTACION: 4 ML CON AGUJA 27 G X 3 1/2 CON INTRODUCTOR</t>
  </si>
  <si>
    <t>2.5.2-1883.188</t>
  </si>
  <si>
    <t>ANALGESICOS ; TIPO: MONODROGA, DROGA GENERICA: DANTROLENO SODICO, FORMA FARMACEUTICA: AMPOLLAS, PRESENTACION: 20 MG/60 ML KIT X 12 FRASCOS</t>
  </si>
  <si>
    <t>2.5.2-1724.241</t>
  </si>
  <si>
    <t>SOLUCIONES P/MEDICINA; TIPO: EMULSIÓN LIPÌDICA PARA PERFUSIÓN, DROGA FOSFOLÍPIDO, PRESENTACIÓN: INTRAVENOSA AL 20%, ENVASE POR 500 ML</t>
  </si>
  <si>
    <t>2.5.2-1726.527</t>
  </si>
  <si>
    <t>ANALGESICOS ; TIPO: MONODROGA, DROGA GENERICA: PARACETAMOL 1 GR, FORMA FARMACEUTICA: COMPRIMIDO, PRESENTACION: UNIDAD</t>
  </si>
  <si>
    <t>2.5.2-1724.243</t>
  </si>
  <si>
    <t>ANALGESICOS ; TIPO: MONODROGA, DROGA GENERICA: PARACETAMOL 2%, 100MG/5ML, FORMA FARMACEÚTICA: JARABE, PRESENTACION: 120 ML</t>
  </si>
  <si>
    <t>2.5.2-1724.244</t>
  </si>
  <si>
    <t>ANALGÉSICOS ; TIPO: MONODROGA, DROGA GENÉRICA: PARACETAMOL 500 MGR, FORMA FARMACEÚTICA: COMPRIMIDO, PRESENTACIÓN: X UNIDAD</t>
  </si>
  <si>
    <t>2.5.2-1724.245</t>
  </si>
  <si>
    <t>PEDICULICIDAS; DROGA GENERICA: PERMETRINA, FORMA FARMACEUTICA: EMULSION, PRESENTACION: 100 mL</t>
  </si>
  <si>
    <t>2.5.2-3097.9</t>
  </si>
  <si>
    <t>ANTIBIOTICOS P/PERSONAS; TIPO: ASOCIACION, DROGA GENERICA: AMOXICILINA + AC.CLAVULANICO 400 MG / 57 MG, FORMA FARMACEUTICA: SUSPENSION, PRESENTACION: ENVASE X 70 ML</t>
  </si>
  <si>
    <t>SACHET</t>
  </si>
  <si>
    <t>SI</t>
  </si>
  <si>
    <t>011 - Direccion Provincial de Administracion - MS</t>
  </si>
  <si>
    <t>TOTAL RUBRO</t>
  </si>
  <si>
    <t>DETALLE TECNICO Y ESPECIFICACIONES</t>
  </si>
  <si>
    <t>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t>
  </si>
  <si>
    <t>Plazos de entrega</t>
  </si>
  <si>
    <t>veinte (20) dias habiles</t>
  </si>
  <si>
    <t>Lugar de Entrega:</t>
  </si>
  <si>
    <t>Calidad Minima esperada</t>
  </si>
  <si>
    <t>Mantenimiento</t>
  </si>
  <si>
    <t>cuarenta y cinco (45) días</t>
  </si>
  <si>
    <t>469 - Direccion Provincial de Farmacia e Insumos</t>
  </si>
  <si>
    <t xml:space="preserve"> 16/2022</t>
  </si>
  <si>
    <t>PRODUCTOS FARMACEUTICOS Y MEDICINALES</t>
  </si>
  <si>
    <t>748 - Direccion Provincial Sistema de Atencion Medica de Emergencia</t>
  </si>
  <si>
    <t xml:space="preserve"> 13/2022</t>
  </si>
  <si>
    <r>
      <rPr>
        <u/>
        <sz val="10"/>
        <rFont val="Times New Roman"/>
        <family val="1"/>
      </rPr>
      <t>Plazo de entrega:</t>
    </r>
    <r>
      <rPr>
        <sz val="10"/>
        <rFont val="Times New Roman"/>
        <family val="1"/>
      </rPr>
      <t xml:space="preserve"> VEINTE (20) DIAS HABILES</t>
    </r>
  </si>
  <si>
    <r>
      <rPr>
        <u/>
        <sz val="10"/>
        <rFont val="Times New Roman"/>
        <family val="1"/>
      </rPr>
      <t>Especificidades</t>
    </r>
    <r>
      <rPr>
        <sz val="10"/>
        <rFont val="Times New Roman"/>
        <family val="1"/>
      </rPr>
      <t>: ITEMS 24  Tipo INTRALIPIP</t>
    </r>
  </si>
  <si>
    <t>Costo total estimado: CUARENTA Y SIETE MILLONES QUINIENTOS NOVENTA Y SEIS MIL OCHOCIENTOS NOVENTA con 00/100.</t>
  </si>
  <si>
    <t>TOTAL DE PESOS: CUARENTA Y SIETE MILLONES QUINIENTOS NOVENTA Y SEIS MIL OCHOCIENTOS NOVENTA con 00/100.</t>
  </si>
  <si>
    <t>Costo total estimado: NOVENTA Y TRES MIL NOVENTA con 00/100.</t>
  </si>
  <si>
    <t>TOTAL DE PESOS: NOVENTA Y TRES MIL NOVENTA con 00/100.</t>
  </si>
  <si>
    <t>ITEM 1, 2 (12.000 un.), 3, 4, 5, 6, 7, 8, 9, 10, 11, 12, 13, 14, 15, 16, 17, 18, 19, 20 (150.000 un.), 21 (100.000 un.), 22 (100.000 un.), 23, 24, 25, 26, 27, 28 (15.000 u.), 29, 32 (10.000 un.), 33, 35, 36, 37, 38, 39, 41, 42, 43 (20.000 un.), 44, 45, 46, 47, 48, 49, 50, 51 - DIR. PROV. DE FARMACIA E INSUMOS - CHACABUCO N° 169 - en el horario de 8:00hs a 12:00hs de lunes a viernes</t>
  </si>
  <si>
    <t>ITEM 2 (50 un.), 20 (150 un.), 21 (250 un.), 22 (500 un.), 28 (50 un.), 30, 31, 32 (100 un.), 34, 40, 43 (500 un.) - DIR. PROV. SAME - CASEROS N° 864 - en el horario de 8:00hs a 12:00hs de lunes a viernes</t>
  </si>
  <si>
    <r>
      <rPr>
        <u/>
        <sz val="10"/>
        <rFont val="Times New Roman"/>
        <family val="1"/>
      </rPr>
      <t>Lugar de Entrega</t>
    </r>
    <r>
      <rPr>
        <sz val="10"/>
        <rFont val="Times New Roman"/>
        <family val="1"/>
      </rPr>
      <t>: D.P. DE FARMACIA E INSUMOS - CHACABUCO N° 169 - DE 08:00 A 12:00HS., DEBIENDO CORRER LOS GASTOS DE FLETES, ACARREO, CARGA, DESCARGA Y SEGURO A CARGO DEL ADJUDICATARIO.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</si>
</sst>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quot;$&quot;* #,##0.00_-;_-&quot;$&quot;* &quot;-&quot;??_-;_-@"/>
    <numFmt numFmtId="165" formatCode="_-&quot;$&quot;\ * #,##0.00_-;\-&quot;$&quot;\ * #,##0.00_-;_-&quot;$&quot;\ * &quot;-&quot;??_-;_-@"/>
    <numFmt numFmtId="166" formatCode="[$$-2C0A]\ #,##0.00;[$$-2C0A]&quot; -&quot;#,##0.00"/>
    <numFmt numFmtId="167" formatCode="[$$-2C0A]\ #,##0.00"/>
    <numFmt numFmtId="168" formatCode="dd\-mm\-yy"/>
  </numFmts>
  <fonts count="32" x14ac:knownFonts="1">
    <font>
      <sz val="10"/>
      <color rgb="FF000000"/>
      <name val="Arial"/>
    </font>
    <font>
      <sz val="11"/>
      <color theme="1"/>
      <name val="Calibri"/>
      <family val="2"/>
      <scheme val="minor"/>
    </font>
    <font>
      <sz val="10"/>
      <name val="Times New Roman"/>
      <family val="1"/>
    </font>
    <font>
      <b/>
      <sz val="22"/>
      <name val="Times New Roman"/>
      <family val="1"/>
    </font>
    <font>
      <sz val="10"/>
      <name val="Arial"/>
      <family val="2"/>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b/>
      <sz val="10"/>
      <color rgb="FF000000"/>
      <name val="Arial"/>
      <family val="2"/>
    </font>
    <font>
      <sz val="10"/>
      <name val="Arial"/>
      <family val="2"/>
    </font>
    <font>
      <sz val="11"/>
      <name val="Times New Roman"/>
      <family val="1"/>
    </font>
    <font>
      <u/>
      <sz val="10"/>
      <name val="Times New Roman"/>
      <family val="1"/>
    </font>
    <font>
      <b/>
      <u/>
      <sz val="12"/>
      <name val="Times New Roman"/>
      <family val="1"/>
    </font>
    <font>
      <b/>
      <u/>
      <sz val="12"/>
      <name val="Times New Roman"/>
      <family val="1"/>
    </font>
    <font>
      <b/>
      <sz val="12"/>
      <name val="Times New Roman"/>
      <family val="1"/>
    </font>
    <font>
      <b/>
      <u/>
      <sz val="12"/>
      <name val="Times New Roman"/>
      <family val="1"/>
    </font>
    <font>
      <b/>
      <u/>
      <sz val="12"/>
      <name val="Times New Roman"/>
      <family val="1"/>
    </font>
    <font>
      <sz val="12"/>
      <name val="Times New Roman"/>
      <family val="1"/>
    </font>
    <font>
      <b/>
      <sz val="11"/>
      <name val="Times New Roman"/>
      <family val="1"/>
    </font>
    <font>
      <b/>
      <sz val="11"/>
      <name val="Arial"/>
      <family val="2"/>
    </font>
    <font>
      <b/>
      <sz val="12"/>
      <name val="Arial"/>
      <family val="2"/>
    </font>
    <font>
      <sz val="11"/>
      <name val="Arial"/>
      <family val="2"/>
    </font>
    <font>
      <b/>
      <u/>
      <sz val="10"/>
      <name val="Arial"/>
      <family val="2"/>
    </font>
    <font>
      <b/>
      <sz val="10"/>
      <name val="Arial"/>
      <family val="2"/>
    </font>
    <font>
      <u/>
      <sz val="11"/>
      <name val="Times New Roman"/>
      <family val="1"/>
    </font>
    <font>
      <sz val="10"/>
      <color rgb="FF000000"/>
      <name val="Arial"/>
      <family val="2"/>
    </font>
    <font>
      <b/>
      <sz val="12"/>
      <name val="Times New Roman"/>
      <family val="1"/>
    </font>
    <font>
      <b/>
      <sz val="10"/>
      <color rgb="FFFF0000"/>
      <name val="Arial"/>
      <family val="2"/>
    </font>
    <font>
      <sz val="10"/>
      <color theme="1"/>
      <name val="Arial"/>
      <family val="2"/>
    </font>
    <font>
      <sz val="8"/>
      <color rgb="FF000000"/>
      <name val="Arial"/>
      <family val="2"/>
    </font>
    <font>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9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top style="medium">
        <color rgb="FF3D3D3D"/>
      </top>
      <bottom style="medium">
        <color rgb="FF3D3D3D"/>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3D3D3D"/>
      </left>
      <right/>
      <top style="medium">
        <color rgb="FF3D3D3D"/>
      </top>
      <bottom/>
      <diagonal/>
    </border>
    <border>
      <left/>
      <right/>
      <top style="medium">
        <color rgb="FF3D3D3D"/>
      </top>
      <bottom/>
      <diagonal/>
    </border>
    <border>
      <left/>
      <right/>
      <top style="medium">
        <color rgb="FF3D3D3D"/>
      </top>
      <bottom/>
      <diagonal/>
    </border>
    <border>
      <left/>
      <right style="medium">
        <color rgb="FF3D3D3D"/>
      </right>
      <top style="medium">
        <color rgb="FF000000"/>
      </top>
      <bottom style="medium">
        <color rgb="FF000000"/>
      </bottom>
      <diagonal/>
    </border>
    <border>
      <left style="medium">
        <color rgb="FF3D3D3D"/>
      </left>
      <right/>
      <top style="medium">
        <color rgb="FF000000"/>
      </top>
      <bottom style="medium">
        <color rgb="FF000000"/>
      </bottom>
      <diagonal/>
    </border>
    <border>
      <left style="medium">
        <color rgb="FF3D3D3D"/>
      </left>
      <right/>
      <top style="medium">
        <color rgb="FF3D3D3D"/>
      </top>
      <bottom/>
      <diagonal/>
    </border>
    <border>
      <left/>
      <right style="medium">
        <color rgb="FF3D3D3D"/>
      </right>
      <top style="medium">
        <color rgb="FF3D3D3D"/>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right style="medium">
        <color rgb="FF3D3D3D"/>
      </right>
      <top/>
      <bottom/>
      <diagonal/>
    </border>
    <border>
      <left style="medium">
        <color rgb="FF3D3D3D"/>
      </left>
      <right/>
      <top/>
      <bottom/>
      <diagonal/>
    </border>
    <border>
      <left/>
      <right style="medium">
        <color rgb="FF3D3D3D"/>
      </right>
      <top/>
      <bottom/>
      <diagonal/>
    </border>
    <border>
      <left/>
      <right/>
      <top/>
      <bottom style="medium">
        <color rgb="FF3D3D3D"/>
      </bottom>
      <diagonal/>
    </border>
    <border>
      <left/>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right style="thin">
        <color rgb="FF3D3D3D"/>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top/>
      <bottom style="medium">
        <color rgb="FF3D3D3D"/>
      </bottom>
      <diagonal/>
    </border>
    <border>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bottom style="medium">
        <color rgb="FF3D3D3D"/>
      </bottom>
      <diagonal/>
    </border>
    <border>
      <left style="medium">
        <color rgb="FF3D3D3D"/>
      </left>
      <right/>
      <top/>
      <bottom/>
      <diagonal/>
    </border>
    <border>
      <left/>
      <right style="medium">
        <color rgb="FF3D3D3D"/>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medium">
        <color rgb="FF000000"/>
      </right>
      <top style="medium">
        <color rgb="FF000000"/>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000000"/>
      </left>
      <right/>
      <top style="medium">
        <color indexed="64"/>
      </top>
      <bottom style="medium">
        <color rgb="FF000000"/>
      </bottom>
      <diagonal/>
    </border>
    <border>
      <left/>
      <right style="medium">
        <color rgb="FF000000"/>
      </right>
      <top style="medium">
        <color indexed="64"/>
      </top>
      <bottom style="medium">
        <color rgb="FF000000"/>
      </bottom>
      <diagonal/>
    </border>
  </borders>
  <cellStyleXfs count="3">
    <xf numFmtId="0" fontId="0" fillId="0" borderId="0"/>
    <xf numFmtId="0" fontId="1" fillId="0" borderId="6"/>
    <xf numFmtId="0" fontId="4" fillId="0" borderId="6"/>
  </cellStyleXfs>
  <cellXfs count="294">
    <xf numFmtId="0" fontId="0" fillId="0" borderId="0" xfId="0" applyFont="1" applyAlignment="1"/>
    <xf numFmtId="0" fontId="2" fillId="0" borderId="1" xfId="0" applyFont="1" applyBorder="1"/>
    <xf numFmtId="164" fontId="2" fillId="0" borderId="1" xfId="0" applyNumberFormat="1" applyFont="1" applyBorder="1"/>
    <xf numFmtId="0" fontId="7" fillId="0" borderId="1" xfId="0" applyFont="1" applyBorder="1" applyAlignment="1">
      <alignment horizontal="left" wrapText="1"/>
    </xf>
    <xf numFmtId="0" fontId="7" fillId="0" borderId="1" xfId="0" applyFont="1" applyBorder="1" applyAlignment="1">
      <alignment horizontal="center" wrapText="1"/>
    </xf>
    <xf numFmtId="0" fontId="2" fillId="0" borderId="1" xfId="0" applyFont="1" applyBorder="1" applyAlignment="1">
      <alignment horizontal="center" vertical="center"/>
    </xf>
    <xf numFmtId="0" fontId="18" fillId="0" borderId="1" xfId="0" applyFont="1" applyBorder="1" applyAlignment="1">
      <alignment horizontal="left" vertical="center"/>
    </xf>
    <xf numFmtId="0" fontId="15" fillId="0" borderId="1" xfId="0" applyFont="1" applyBorder="1" applyAlignment="1">
      <alignment horizontal="left" vertical="center" wrapText="1"/>
    </xf>
    <xf numFmtId="3" fontId="20" fillId="0" borderId="0" xfId="0" applyNumberFormat="1" applyFont="1"/>
    <xf numFmtId="168" fontId="10" fillId="0" borderId="0" xfId="0" applyNumberFormat="1" applyFont="1" applyAlignment="1">
      <alignment horizontal="left"/>
    </xf>
    <xf numFmtId="0" fontId="10" fillId="0" borderId="0" xfId="0" applyFont="1" applyAlignment="1">
      <alignment horizontal="left"/>
    </xf>
    <xf numFmtId="0" fontId="10" fillId="0" borderId="0" xfId="0" applyFont="1"/>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4" xfId="0" applyFont="1" applyBorder="1" applyAlignment="1">
      <alignment horizontal="center" vertical="center"/>
    </xf>
    <xf numFmtId="0" fontId="10" fillId="0" borderId="45" xfId="0" applyFont="1" applyBorder="1" applyAlignment="1">
      <alignment horizontal="center" vertical="center"/>
    </xf>
    <xf numFmtId="166" fontId="10" fillId="0" borderId="48" xfId="0" applyNumberFormat="1" applyFont="1" applyBorder="1" applyAlignment="1">
      <alignment horizontal="center" vertical="center"/>
    </xf>
    <xf numFmtId="0" fontId="22" fillId="0" borderId="42" xfId="0" applyFont="1" applyBorder="1" applyAlignment="1">
      <alignment horizontal="center" vertical="center"/>
    </xf>
    <xf numFmtId="0" fontId="22" fillId="0" borderId="43" xfId="0" applyFont="1" applyBorder="1" applyAlignment="1">
      <alignment horizontal="center" vertical="center"/>
    </xf>
    <xf numFmtId="0" fontId="22" fillId="0" borderId="44" xfId="0" applyFont="1" applyBorder="1" applyAlignment="1">
      <alignment horizontal="center" vertical="center"/>
    </xf>
    <xf numFmtId="0" fontId="22" fillId="0" borderId="45"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1" xfId="0" applyFont="1" applyBorder="1" applyAlignment="1">
      <alignment horizontal="center" vertical="center"/>
    </xf>
    <xf numFmtId="166" fontId="10" fillId="0" borderId="53" xfId="0" applyNumberFormat="1" applyFont="1" applyBorder="1" applyAlignment="1">
      <alignment horizontal="center" vertical="center"/>
    </xf>
    <xf numFmtId="0" fontId="0" fillId="0" borderId="0" xfId="0" applyFont="1" applyAlignment="1"/>
    <xf numFmtId="0" fontId="2" fillId="0" borderId="6" xfId="0" applyFont="1" applyBorder="1"/>
    <xf numFmtId="0" fontId="7" fillId="0" borderId="6" xfId="0" applyFont="1" applyBorder="1" applyAlignment="1">
      <alignment horizontal="left" wrapText="1"/>
    </xf>
    <xf numFmtId="0" fontId="2" fillId="0" borderId="6" xfId="0" applyFont="1" applyBorder="1" applyAlignment="1">
      <alignment horizontal="left" wrapText="1"/>
    </xf>
    <xf numFmtId="0" fontId="2" fillId="0" borderId="6" xfId="0" applyFont="1" applyBorder="1" applyAlignment="1">
      <alignment horizontal="center" wrapText="1"/>
    </xf>
    <xf numFmtId="0" fontId="9" fillId="0" borderId="60" xfId="0" applyFont="1" applyBorder="1" applyAlignment="1">
      <alignment horizontal="center" vertical="center" wrapText="1"/>
    </xf>
    <xf numFmtId="164" fontId="9" fillId="0" borderId="60" xfId="0" applyNumberFormat="1" applyFont="1" applyBorder="1" applyAlignment="1">
      <alignment horizontal="center" vertical="center" wrapText="1"/>
    </xf>
    <xf numFmtId="0" fontId="0" fillId="0" borderId="0" xfId="0" applyFont="1" applyAlignment="1">
      <alignment vertical="center"/>
    </xf>
    <xf numFmtId="0" fontId="2" fillId="0" borderId="1" xfId="0" applyFont="1" applyBorder="1" applyAlignment="1">
      <alignment vertical="center"/>
    </xf>
    <xf numFmtId="0" fontId="2" fillId="0" borderId="6" xfId="0" applyFont="1" applyBorder="1" applyAlignment="1">
      <alignment vertical="center"/>
    </xf>
    <xf numFmtId="0" fontId="0" fillId="0" borderId="0" xfId="0" applyFont="1" applyAlignment="1">
      <alignment horizontal="center" vertical="center"/>
    </xf>
    <xf numFmtId="0" fontId="0" fillId="0" borderId="0" xfId="0" applyFont="1" applyAlignment="1">
      <alignment horizontal="left" vertical="center"/>
    </xf>
    <xf numFmtId="0" fontId="7" fillId="0" borderId="1" xfId="0" applyFont="1" applyBorder="1" applyAlignment="1">
      <alignment horizontal="center" vertical="center" wrapText="1"/>
    </xf>
    <xf numFmtId="0" fontId="2" fillId="0" borderId="1" xfId="0" applyFont="1" applyBorder="1" applyAlignment="1">
      <alignment horizontal="center" vertical="center" wrapText="1"/>
    </xf>
    <xf numFmtId="0" fontId="7" fillId="0" borderId="1" xfId="0" applyFont="1" applyBorder="1" applyAlignment="1">
      <alignment horizontal="left" vertical="center" wrapText="1"/>
    </xf>
    <xf numFmtId="0" fontId="0" fillId="0" borderId="0" xfId="0" applyAlignment="1">
      <alignment wrapText="1"/>
    </xf>
    <xf numFmtId="0" fontId="26" fillId="0" borderId="0" xfId="0" applyFont="1" applyAlignment="1">
      <alignment horizontal="left" vertical="center"/>
    </xf>
    <xf numFmtId="0" fontId="26" fillId="0" borderId="0" xfId="0" applyFont="1" applyAlignment="1"/>
    <xf numFmtId="0" fontId="10" fillId="0" borderId="60" xfId="0" applyFont="1" applyFill="1" applyBorder="1" applyAlignment="1">
      <alignment horizontal="center" vertical="center"/>
    </xf>
    <xf numFmtId="0" fontId="0" fillId="0" borderId="60" xfId="0" applyFill="1" applyBorder="1" applyAlignment="1">
      <alignment horizontal="center" vertical="center"/>
    </xf>
    <xf numFmtId="0" fontId="0" fillId="0" borderId="60" xfId="0" applyFont="1" applyFill="1" applyBorder="1" applyAlignment="1">
      <alignment horizontal="center" vertical="center" wrapText="1"/>
    </xf>
    <xf numFmtId="0" fontId="0" fillId="0" borderId="60" xfId="0" applyFont="1" applyFill="1" applyBorder="1" applyAlignment="1">
      <alignment vertical="center" wrapText="1"/>
    </xf>
    <xf numFmtId="3" fontId="10" fillId="0" borderId="60" xfId="0" applyNumberFormat="1" applyFont="1" applyFill="1" applyBorder="1" applyAlignment="1">
      <alignment horizontal="center" vertical="center"/>
    </xf>
    <xf numFmtId="165" fontId="10" fillId="0" borderId="60" xfId="0" applyNumberFormat="1" applyFont="1" applyFill="1" applyBorder="1" applyAlignment="1">
      <alignment horizontal="center" vertical="center"/>
    </xf>
    <xf numFmtId="164" fontId="10" fillId="0" borderId="60" xfId="0" applyNumberFormat="1" applyFont="1" applyFill="1" applyBorder="1" applyAlignment="1">
      <alignment horizontal="right" vertical="center" wrapText="1"/>
    </xf>
    <xf numFmtId="0" fontId="26" fillId="0" borderId="60" xfId="0" applyFont="1" applyFill="1" applyBorder="1" applyAlignment="1">
      <alignment horizontal="center" vertical="center"/>
    </xf>
    <xf numFmtId="0" fontId="26" fillId="0" borderId="60" xfId="0" applyFont="1" applyFill="1" applyBorder="1" applyAlignment="1">
      <alignment vertical="center" wrapText="1"/>
    </xf>
    <xf numFmtId="0" fontId="26" fillId="0" borderId="60" xfId="0" applyFont="1" applyFill="1" applyBorder="1" applyAlignment="1">
      <alignment wrapText="1"/>
    </xf>
    <xf numFmtId="0" fontId="26" fillId="0" borderId="60" xfId="0" applyFont="1" applyFill="1" applyBorder="1" applyAlignment="1">
      <alignment horizontal="left" vertical="center" wrapText="1"/>
    </xf>
    <xf numFmtId="0" fontId="0" fillId="0" borderId="60" xfId="0" applyFont="1" applyFill="1" applyBorder="1" applyAlignment="1">
      <alignment horizontal="left" vertical="center" wrapText="1"/>
    </xf>
    <xf numFmtId="165" fontId="10" fillId="0" borderId="60" xfId="0" applyNumberFormat="1" applyFont="1" applyFill="1" applyBorder="1" applyAlignment="1">
      <alignment horizontal="right" vertical="center"/>
    </xf>
    <xf numFmtId="165" fontId="10" fillId="0" borderId="60" xfId="0" applyNumberFormat="1" applyFont="1" applyFill="1" applyBorder="1" applyAlignment="1">
      <alignment vertical="center"/>
    </xf>
    <xf numFmtId="0" fontId="0" fillId="0" borderId="0" xfId="0" applyFont="1" applyFill="1" applyAlignment="1"/>
    <xf numFmtId="0" fontId="4" fillId="0" borderId="60" xfId="0" applyFont="1" applyFill="1" applyBorder="1" applyAlignment="1">
      <alignment horizontal="center" vertical="center"/>
    </xf>
    <xf numFmtId="0" fontId="2" fillId="0" borderId="1" xfId="0" applyFont="1" applyBorder="1" applyAlignment="1">
      <alignment wrapText="1"/>
    </xf>
    <xf numFmtId="0" fontId="0" fillId="0" borderId="0" xfId="0" applyFont="1" applyAlignment="1">
      <alignment wrapText="1"/>
    </xf>
    <xf numFmtId="0" fontId="0" fillId="0" borderId="60" xfId="0" applyFont="1" applyFill="1" applyBorder="1" applyAlignment="1">
      <alignment horizontal="center" vertical="center"/>
    </xf>
    <xf numFmtId="164" fontId="10" fillId="0" borderId="60" xfId="0" applyNumberFormat="1" applyFont="1" applyFill="1" applyBorder="1" applyAlignment="1">
      <alignment horizontal="right" vertical="center"/>
    </xf>
    <xf numFmtId="0" fontId="30" fillId="0" borderId="60" xfId="0" applyFont="1" applyFill="1" applyBorder="1" applyAlignment="1">
      <alignment vertical="center"/>
    </xf>
    <xf numFmtId="0" fontId="10" fillId="2" borderId="60" xfId="0" applyFont="1" applyFill="1" applyBorder="1" applyAlignment="1">
      <alignment horizontal="center" vertical="center"/>
    </xf>
    <xf numFmtId="0" fontId="30" fillId="2" borderId="60" xfId="0" applyFont="1" applyFill="1" applyBorder="1" applyAlignment="1">
      <alignment vertical="center"/>
    </xf>
    <xf numFmtId="0" fontId="0" fillId="2" borderId="60" xfId="0" applyFont="1" applyFill="1" applyBorder="1" applyAlignment="1">
      <alignment horizontal="center" vertical="center" wrapText="1"/>
    </xf>
    <xf numFmtId="165" fontId="10" fillId="2" borderId="60" xfId="0" applyNumberFormat="1" applyFont="1" applyFill="1" applyBorder="1" applyAlignment="1">
      <alignment horizontal="right" vertical="center"/>
    </xf>
    <xf numFmtId="164" fontId="10" fillId="2" borderId="60" xfId="0" applyNumberFormat="1" applyFont="1" applyFill="1" applyBorder="1" applyAlignment="1">
      <alignment horizontal="right" vertical="center" wrapText="1"/>
    </xf>
    <xf numFmtId="0" fontId="26" fillId="2" borderId="0" xfId="0" applyFont="1" applyFill="1" applyAlignment="1">
      <alignment horizontal="center" vertical="center" wrapText="1"/>
    </xf>
    <xf numFmtId="0" fontId="26" fillId="2" borderId="60" xfId="0" applyFont="1" applyFill="1" applyBorder="1" applyAlignment="1">
      <alignment horizontal="center" vertical="center"/>
    </xf>
    <xf numFmtId="165" fontId="10" fillId="2" borderId="60" xfId="0" applyNumberFormat="1" applyFont="1" applyFill="1" applyBorder="1" applyAlignment="1">
      <alignment horizontal="center" vertical="center"/>
    </xf>
    <xf numFmtId="0" fontId="26" fillId="2" borderId="60" xfId="0" applyFont="1" applyFill="1" applyBorder="1" applyAlignment="1">
      <alignment horizontal="left" vertical="center" wrapText="1"/>
    </xf>
    <xf numFmtId="0" fontId="0" fillId="2" borderId="60" xfId="0" applyFont="1" applyFill="1" applyBorder="1" applyAlignment="1">
      <alignment horizontal="left" vertical="center" wrapText="1"/>
    </xf>
    <xf numFmtId="0" fontId="4" fillId="2" borderId="60" xfId="0" applyFont="1" applyFill="1" applyBorder="1" applyAlignment="1">
      <alignment horizontal="center" vertical="center"/>
    </xf>
    <xf numFmtId="0" fontId="4" fillId="2" borderId="60" xfId="0" applyFont="1" applyFill="1" applyBorder="1" applyAlignment="1">
      <alignment horizontal="center" vertical="center" wrapText="1"/>
    </xf>
    <xf numFmtId="0" fontId="26" fillId="2" borderId="0" xfId="0" applyFont="1" applyFill="1" applyAlignment="1">
      <alignment wrapText="1"/>
    </xf>
    <xf numFmtId="165" fontId="4" fillId="2" borderId="60" xfId="0" applyNumberFormat="1" applyFont="1" applyFill="1" applyBorder="1" applyAlignment="1">
      <alignment horizontal="center" vertical="center"/>
    </xf>
    <xf numFmtId="164" fontId="4" fillId="2" borderId="60" xfId="0" applyNumberFormat="1" applyFont="1" applyFill="1" applyBorder="1" applyAlignment="1">
      <alignment horizontal="right" vertical="center" wrapText="1"/>
    </xf>
    <xf numFmtId="0" fontId="0" fillId="0" borderId="6" xfId="0" applyFont="1" applyBorder="1" applyAlignment="1"/>
    <xf numFmtId="0" fontId="2" fillId="0" borderId="6" xfId="0" applyFont="1" applyBorder="1" applyAlignment="1">
      <alignment horizontal="left" vertical="center" wrapText="1"/>
    </xf>
    <xf numFmtId="0" fontId="11" fillId="0" borderId="6" xfId="0" applyFont="1" applyBorder="1" applyAlignment="1">
      <alignment horizontal="center" vertical="center" wrapText="1"/>
    </xf>
    <xf numFmtId="0" fontId="2" fillId="0" borderId="6" xfId="0" applyFont="1" applyBorder="1" applyAlignment="1">
      <alignment horizontal="center" vertical="center" wrapText="1"/>
    </xf>
    <xf numFmtId="0" fontId="12" fillId="0" borderId="6" xfId="0" applyFont="1" applyBorder="1" applyAlignment="1">
      <alignment vertical="center"/>
    </xf>
    <xf numFmtId="0" fontId="0" fillId="0" borderId="6" xfId="0" applyFont="1" applyBorder="1" applyAlignment="1">
      <alignment vertical="center"/>
    </xf>
    <xf numFmtId="0" fontId="2" fillId="0" borderId="61" xfId="0" applyFont="1" applyBorder="1" applyAlignment="1">
      <alignment vertical="center"/>
    </xf>
    <xf numFmtId="0" fontId="2" fillId="0" borderId="62" xfId="0" applyFont="1" applyBorder="1" applyAlignment="1">
      <alignment vertical="center"/>
    </xf>
    <xf numFmtId="0" fontId="2" fillId="0" borderId="62" xfId="0" applyFont="1" applyBorder="1"/>
    <xf numFmtId="0" fontId="2" fillId="0" borderId="63" xfId="0" applyFont="1" applyBorder="1"/>
    <xf numFmtId="0" fontId="2" fillId="0" borderId="64" xfId="0" applyFont="1" applyBorder="1" applyAlignment="1">
      <alignment horizontal="left" vertical="center" wrapText="1"/>
    </xf>
    <xf numFmtId="0" fontId="2" fillId="0" borderId="65" xfId="0" applyFont="1" applyBorder="1" applyAlignment="1">
      <alignment horizontal="left" wrapText="1"/>
    </xf>
    <xf numFmtId="0" fontId="11" fillId="0" borderId="64" xfId="0" applyFont="1" applyBorder="1" applyAlignment="1">
      <alignment horizontal="center" vertical="center" wrapText="1"/>
    </xf>
    <xf numFmtId="0" fontId="2" fillId="0" borderId="65" xfId="0" applyFont="1" applyBorder="1" applyAlignment="1">
      <alignment horizontal="center" wrapText="1"/>
    </xf>
    <xf numFmtId="0" fontId="12" fillId="0" borderId="66" xfId="0" applyFont="1" applyBorder="1" applyAlignment="1">
      <alignment vertical="center"/>
    </xf>
    <xf numFmtId="0" fontId="2" fillId="0" borderId="67" xfId="0" applyFont="1" applyBorder="1" applyAlignment="1">
      <alignment vertical="center"/>
    </xf>
    <xf numFmtId="0" fontId="2" fillId="0" borderId="67" xfId="0" applyFont="1" applyBorder="1"/>
    <xf numFmtId="0" fontId="2" fillId="0" borderId="68" xfId="0" applyFont="1" applyBorder="1"/>
    <xf numFmtId="0" fontId="0" fillId="0" borderId="0" xfId="0" applyFont="1" applyAlignment="1"/>
    <xf numFmtId="0" fontId="0" fillId="0" borderId="0" xfId="0" applyFont="1" applyAlignment="1"/>
    <xf numFmtId="0" fontId="10" fillId="0" borderId="6" xfId="0" applyFont="1" applyFill="1" applyBorder="1" applyAlignment="1">
      <alignment horizontal="center" vertical="center"/>
    </xf>
    <xf numFmtId="0" fontId="26" fillId="0" borderId="6" xfId="0" applyFont="1" applyFill="1" applyBorder="1" applyAlignment="1">
      <alignment horizontal="center" vertical="center"/>
    </xf>
    <xf numFmtId="0" fontId="30" fillId="0" borderId="6" xfId="0" applyFont="1" applyFill="1" applyBorder="1" applyAlignment="1">
      <alignment vertical="center"/>
    </xf>
    <xf numFmtId="0" fontId="0" fillId="0" borderId="6" xfId="0" applyFont="1" applyFill="1" applyBorder="1" applyAlignment="1">
      <alignment horizontal="center" vertical="center" wrapText="1"/>
    </xf>
    <xf numFmtId="0" fontId="26" fillId="0" borderId="6" xfId="0" applyFont="1" applyFill="1" applyBorder="1" applyAlignment="1">
      <alignment horizontal="left" vertical="center" wrapText="1"/>
    </xf>
    <xf numFmtId="3" fontId="10" fillId="0" borderId="6" xfId="0" applyNumberFormat="1" applyFont="1" applyFill="1" applyBorder="1" applyAlignment="1">
      <alignment horizontal="center" vertical="center"/>
    </xf>
    <xf numFmtId="165" fontId="10" fillId="0" borderId="6" xfId="0" applyNumberFormat="1" applyFont="1" applyFill="1" applyBorder="1" applyAlignment="1">
      <alignment horizontal="right" vertical="center"/>
    </xf>
    <xf numFmtId="164" fontId="10" fillId="0" borderId="6" xfId="0" applyNumberFormat="1" applyFont="1" applyFill="1" applyBorder="1" applyAlignment="1">
      <alignment horizontal="right" vertical="center" wrapText="1"/>
    </xf>
    <xf numFmtId="0" fontId="2" fillId="0" borderId="6" xfId="0" applyFont="1" applyBorder="1" applyAlignment="1">
      <alignment horizontal="center" vertical="center"/>
    </xf>
    <xf numFmtId="0" fontId="7" fillId="0" borderId="1" xfId="0" applyFont="1" applyFill="1" applyBorder="1" applyAlignment="1">
      <alignment horizontal="left" wrapText="1"/>
    </xf>
    <xf numFmtId="0" fontId="7" fillId="0" borderId="1" xfId="0" applyFont="1" applyFill="1" applyBorder="1" applyAlignment="1">
      <alignment horizontal="center" wrapText="1"/>
    </xf>
    <xf numFmtId="0" fontId="7" fillId="0" borderId="1" xfId="0" applyFont="1" applyFill="1" applyBorder="1" applyAlignment="1">
      <alignment horizontal="left" vertical="center" wrapText="1"/>
    </xf>
    <xf numFmtId="164" fontId="2" fillId="0" borderId="1" xfId="0" applyNumberFormat="1" applyFont="1" applyFill="1" applyBorder="1"/>
    <xf numFmtId="0" fontId="2" fillId="0" borderId="1" xfId="0" applyFont="1" applyFill="1" applyBorder="1"/>
    <xf numFmtId="0" fontId="2" fillId="0" borderId="1" xfId="0" applyFont="1" applyFill="1" applyBorder="1" applyAlignment="1">
      <alignment horizontal="center" vertical="center"/>
    </xf>
    <xf numFmtId="0" fontId="6" fillId="0" borderId="1" xfId="0" applyFont="1" applyFill="1" applyBorder="1" applyAlignment="1">
      <alignment horizontal="left" vertical="center" wrapText="1"/>
    </xf>
    <xf numFmtId="0" fontId="8" fillId="0" borderId="1" xfId="0" applyFont="1" applyFill="1" applyBorder="1" applyAlignment="1">
      <alignment horizontal="left" wrapText="1"/>
    </xf>
    <xf numFmtId="0" fontId="8" fillId="0" borderId="6" xfId="0" applyFont="1" applyFill="1" applyBorder="1" applyAlignment="1">
      <alignment horizontal="left" wrapText="1"/>
    </xf>
    <xf numFmtId="0" fontId="10" fillId="0" borderId="70" xfId="0" applyFont="1" applyFill="1" applyBorder="1" applyAlignment="1">
      <alignment horizontal="center" vertical="center"/>
    </xf>
    <xf numFmtId="0" fontId="26" fillId="0" borderId="70" xfId="0" applyFont="1" applyFill="1" applyBorder="1" applyAlignment="1">
      <alignment horizontal="center" vertical="center"/>
    </xf>
    <xf numFmtId="0" fontId="30" fillId="0" borderId="70" xfId="0" applyFont="1" applyFill="1" applyBorder="1" applyAlignment="1">
      <alignment vertical="center"/>
    </xf>
    <xf numFmtId="0" fontId="0" fillId="0" borderId="70" xfId="0" applyFont="1" applyFill="1" applyBorder="1" applyAlignment="1">
      <alignment horizontal="center" vertical="center" wrapText="1"/>
    </xf>
    <xf numFmtId="0" fontId="26" fillId="0" borderId="70" xfId="0" applyFont="1" applyFill="1" applyBorder="1" applyAlignment="1">
      <alignment horizontal="left" vertical="center" wrapText="1"/>
    </xf>
    <xf numFmtId="3" fontId="10" fillId="0" borderId="70" xfId="0" applyNumberFormat="1" applyFont="1" applyFill="1" applyBorder="1" applyAlignment="1">
      <alignment horizontal="center" vertical="center"/>
    </xf>
    <xf numFmtId="165" fontId="10" fillId="0" borderId="70" xfId="0" applyNumberFormat="1" applyFont="1" applyFill="1" applyBorder="1" applyAlignment="1">
      <alignment horizontal="right" vertical="center"/>
    </xf>
    <xf numFmtId="164" fontId="10" fillId="0" borderId="70" xfId="0" applyNumberFormat="1" applyFont="1" applyFill="1" applyBorder="1" applyAlignment="1">
      <alignment horizontal="right" vertical="center" wrapText="1"/>
    </xf>
    <xf numFmtId="164" fontId="24" fillId="0" borderId="69" xfId="0" applyNumberFormat="1" applyFont="1" applyFill="1" applyBorder="1" applyAlignment="1">
      <alignment horizontal="right" vertical="center" wrapText="1"/>
    </xf>
    <xf numFmtId="0" fontId="11" fillId="0" borderId="61" xfId="2" applyFont="1" applyFill="1" applyBorder="1" applyAlignment="1">
      <alignment horizontal="center" vertical="center" wrapText="1"/>
    </xf>
    <xf numFmtId="0" fontId="11" fillId="0" borderId="64" xfId="2" applyFont="1" applyFill="1" applyBorder="1" applyAlignment="1">
      <alignment horizontal="center" vertical="center" wrapText="1"/>
    </xf>
    <xf numFmtId="0" fontId="2" fillId="0" borderId="6" xfId="2" applyFont="1" applyFill="1" applyBorder="1" applyAlignment="1">
      <alignment horizontal="left" vertical="center" wrapText="1"/>
    </xf>
    <xf numFmtId="0" fontId="11" fillId="0" borderId="64" xfId="2" applyFont="1" applyFill="1" applyBorder="1" applyAlignment="1">
      <alignment horizontal="center" wrapText="1"/>
    </xf>
    <xf numFmtId="0" fontId="2" fillId="0" borderId="6" xfId="2" applyFont="1" applyFill="1" applyBorder="1" applyAlignment="1">
      <alignment horizontal="left" vertical="center"/>
    </xf>
    <xf numFmtId="0" fontId="2" fillId="0" borderId="6" xfId="2" applyFont="1" applyFill="1" applyBorder="1" applyAlignment="1">
      <alignment horizontal="center" vertical="center"/>
    </xf>
    <xf numFmtId="0" fontId="2" fillId="0" borderId="6" xfId="2" applyFont="1" applyFill="1" applyBorder="1" applyAlignment="1">
      <alignment vertical="center"/>
    </xf>
    <xf numFmtId="0" fontId="11" fillId="0" borderId="64" xfId="2" applyFont="1" applyBorder="1" applyAlignment="1">
      <alignment horizontal="center" wrapText="1"/>
    </xf>
    <xf numFmtId="0" fontId="2" fillId="0" borderId="6" xfId="2" applyFont="1" applyBorder="1" applyAlignment="1">
      <alignment horizontal="center" vertical="center"/>
    </xf>
    <xf numFmtId="0" fontId="11" fillId="0" borderId="66" xfId="2" applyFont="1" applyBorder="1" applyAlignment="1">
      <alignment horizontal="center" wrapText="1"/>
    </xf>
    <xf numFmtId="0" fontId="2" fillId="0" borderId="67" xfId="2" applyFont="1" applyBorder="1" applyAlignment="1">
      <alignment horizontal="left" vertical="center"/>
    </xf>
    <xf numFmtId="0" fontId="31" fillId="0" borderId="65" xfId="0" applyFont="1" applyBorder="1" applyAlignment="1">
      <alignment horizontal="left" vertical="center" wrapText="1"/>
    </xf>
    <xf numFmtId="0" fontId="31" fillId="0" borderId="68" xfId="0" applyFont="1" applyBorder="1" applyAlignment="1">
      <alignment horizontal="left" vertical="center" wrapText="1"/>
    </xf>
    <xf numFmtId="0" fontId="14" fillId="0" borderId="7" xfId="0" applyFont="1" applyFill="1" applyBorder="1" applyAlignment="1">
      <alignment horizontal="right" vertical="center"/>
    </xf>
    <xf numFmtId="0" fontId="15" fillId="0" borderId="8" xfId="0" applyFont="1" applyFill="1" applyBorder="1" applyAlignment="1">
      <alignment horizontal="center" vertical="center"/>
    </xf>
    <xf numFmtId="0" fontId="16" fillId="0" borderId="9" xfId="0" applyFont="1" applyFill="1" applyBorder="1" applyAlignment="1">
      <alignment vertical="center"/>
    </xf>
    <xf numFmtId="0" fontId="17" fillId="0" borderId="1" xfId="0" applyFont="1" applyFill="1" applyBorder="1" applyAlignment="1">
      <alignment vertical="center"/>
    </xf>
    <xf numFmtId="0" fontId="2" fillId="0" borderId="60" xfId="0" applyFont="1" applyBorder="1" applyAlignment="1">
      <alignment horizontal="center" vertical="center"/>
    </xf>
    <xf numFmtId="0" fontId="2" fillId="0" borderId="60" xfId="0" applyFont="1" applyBorder="1" applyAlignment="1">
      <alignment horizontal="center" vertical="center" wrapText="1"/>
    </xf>
    <xf numFmtId="166" fontId="2" fillId="0" borderId="60" xfId="0" applyNumberFormat="1" applyFont="1" applyBorder="1" applyAlignment="1">
      <alignment horizontal="right" vertical="center" wrapText="1"/>
    </xf>
    <xf numFmtId="0" fontId="2" fillId="0" borderId="81" xfId="0" applyFont="1" applyBorder="1" applyAlignment="1">
      <alignment horizontal="center" vertical="center"/>
    </xf>
    <xf numFmtId="0" fontId="2" fillId="0" borderId="82" xfId="0" applyFont="1" applyBorder="1" applyAlignment="1">
      <alignment horizontal="center" vertical="center"/>
    </xf>
    <xf numFmtId="0" fontId="2" fillId="0" borderId="82" xfId="0" applyFont="1" applyBorder="1" applyAlignment="1">
      <alignment horizontal="center" vertical="center" wrapText="1"/>
    </xf>
    <xf numFmtId="166" fontId="2" fillId="0" borderId="82" xfId="0" applyNumberFormat="1" applyFont="1" applyBorder="1" applyAlignment="1">
      <alignment horizontal="right" vertical="center" wrapText="1"/>
    </xf>
    <xf numFmtId="3" fontId="2" fillId="0" borderId="83" xfId="0" applyNumberFormat="1" applyFont="1" applyBorder="1" applyAlignment="1">
      <alignment horizontal="center" vertical="center"/>
    </xf>
    <xf numFmtId="0" fontId="2" fillId="0" borderId="84" xfId="0" applyFont="1" applyBorder="1" applyAlignment="1">
      <alignment horizontal="center" vertical="center"/>
    </xf>
    <xf numFmtId="3" fontId="2" fillId="0" borderId="85" xfId="0" applyNumberFormat="1" applyFont="1" applyBorder="1" applyAlignment="1">
      <alignment horizontal="center" vertical="center"/>
    </xf>
    <xf numFmtId="0" fontId="2" fillId="0" borderId="86" xfId="0" applyFont="1" applyBorder="1" applyAlignment="1">
      <alignment horizontal="center" vertical="center"/>
    </xf>
    <xf numFmtId="0" fontId="2" fillId="0" borderId="87" xfId="0" applyFont="1" applyBorder="1" applyAlignment="1">
      <alignment horizontal="center" vertical="center"/>
    </xf>
    <xf numFmtId="0" fontId="2" fillId="0" borderId="87" xfId="0" applyFont="1" applyBorder="1" applyAlignment="1">
      <alignment horizontal="center" vertical="center" wrapText="1"/>
    </xf>
    <xf numFmtId="166" fontId="2" fillId="0" borderId="87" xfId="0" applyNumberFormat="1" applyFont="1" applyBorder="1" applyAlignment="1">
      <alignment horizontal="right" vertical="center" wrapText="1"/>
    </xf>
    <xf numFmtId="3" fontId="2" fillId="0" borderId="88" xfId="0" applyNumberFormat="1" applyFont="1" applyBorder="1" applyAlignment="1">
      <alignment horizontal="center" vertical="center"/>
    </xf>
    <xf numFmtId="0" fontId="16" fillId="0" borderId="9" xfId="0" applyFont="1" applyFill="1" applyBorder="1" applyAlignment="1">
      <alignment horizontal="center" vertical="center"/>
    </xf>
    <xf numFmtId="0" fontId="18" fillId="0" borderId="1" xfId="0" applyFont="1" applyBorder="1" applyAlignment="1">
      <alignment horizontal="center" vertical="center"/>
    </xf>
    <xf numFmtId="0" fontId="0" fillId="0" borderId="0" xfId="0" applyFont="1" applyAlignment="1">
      <alignment horizontal="center"/>
    </xf>
    <xf numFmtId="0" fontId="10" fillId="0" borderId="0" xfId="0" applyFont="1" applyFill="1"/>
    <xf numFmtId="0" fontId="10" fillId="0" borderId="27" xfId="0" applyFont="1" applyFill="1" applyBorder="1"/>
    <xf numFmtId="0" fontId="10" fillId="0" borderId="23" xfId="0" applyFont="1" applyFill="1" applyBorder="1"/>
    <xf numFmtId="0" fontId="10" fillId="0" borderId="30" xfId="0" applyFont="1" applyFill="1" applyBorder="1"/>
    <xf numFmtId="0" fontId="10" fillId="0" borderId="30" xfId="0" applyFont="1" applyFill="1" applyBorder="1" applyAlignment="1">
      <alignment horizontal="left"/>
    </xf>
    <xf numFmtId="0" fontId="10" fillId="0" borderId="24" xfId="0" applyFont="1" applyFill="1" applyBorder="1"/>
    <xf numFmtId="0" fontId="24" fillId="0" borderId="32" xfId="0" applyFont="1" applyFill="1" applyBorder="1" applyAlignment="1">
      <alignment horizontal="center" vertical="center"/>
    </xf>
    <xf numFmtId="0" fontId="24" fillId="0" borderId="33" xfId="0" applyFont="1" applyFill="1" applyBorder="1" applyAlignment="1">
      <alignment horizontal="center" vertical="center"/>
    </xf>
    <xf numFmtId="0" fontId="24" fillId="0" borderId="33" xfId="0" applyFont="1" applyFill="1" applyBorder="1" applyAlignment="1">
      <alignment horizontal="left" vertical="center"/>
    </xf>
    <xf numFmtId="0" fontId="24" fillId="0" borderId="34" xfId="0" applyFont="1" applyFill="1" applyBorder="1" applyAlignment="1">
      <alignment horizontal="center" vertical="center"/>
    </xf>
    <xf numFmtId="0" fontId="24" fillId="0" borderId="35" xfId="0" applyFont="1" applyFill="1" applyBorder="1" applyAlignment="1">
      <alignment horizontal="center" vertical="center"/>
    </xf>
    <xf numFmtId="0" fontId="10" fillId="0" borderId="36" xfId="0" applyFont="1" applyFill="1" applyBorder="1" applyAlignment="1">
      <alignment horizontal="center" vertical="center"/>
    </xf>
    <xf numFmtId="0" fontId="10" fillId="0" borderId="37" xfId="0" applyFont="1" applyFill="1" applyBorder="1" applyAlignment="1">
      <alignment horizontal="center" vertical="center"/>
    </xf>
    <xf numFmtId="0" fontId="10" fillId="0" borderId="38" xfId="0" applyFont="1" applyFill="1" applyBorder="1" applyAlignment="1">
      <alignment horizontal="center" vertical="center"/>
    </xf>
    <xf numFmtId="166" fontId="10" fillId="0" borderId="41" xfId="0" applyNumberFormat="1" applyFont="1" applyFill="1" applyBorder="1" applyAlignment="1">
      <alignment horizontal="center" vertical="center"/>
    </xf>
    <xf numFmtId="0" fontId="10" fillId="0" borderId="42" xfId="0" applyFont="1" applyFill="1" applyBorder="1" applyAlignment="1">
      <alignment horizontal="center" vertical="center"/>
    </xf>
    <xf numFmtId="0" fontId="10" fillId="0" borderId="43" xfId="0" applyFont="1" applyFill="1" applyBorder="1" applyAlignment="1">
      <alignment horizontal="center" vertical="center"/>
    </xf>
    <xf numFmtId="0" fontId="10" fillId="0" borderId="44" xfId="0" applyFont="1" applyFill="1" applyBorder="1" applyAlignment="1">
      <alignment horizontal="center" vertical="center"/>
    </xf>
    <xf numFmtId="0" fontId="10" fillId="0" borderId="45" xfId="0" applyFont="1" applyFill="1" applyBorder="1" applyAlignment="1">
      <alignment horizontal="center" vertical="center"/>
    </xf>
    <xf numFmtId="166" fontId="10" fillId="0" borderId="48" xfId="0" applyNumberFormat="1" applyFont="1" applyFill="1" applyBorder="1" applyAlignment="1">
      <alignment horizontal="center" vertical="center"/>
    </xf>
    <xf numFmtId="166" fontId="24" fillId="0" borderId="57" xfId="0" applyNumberFormat="1" applyFont="1" applyFill="1" applyBorder="1" applyAlignment="1">
      <alignment horizontal="center" vertical="center"/>
    </xf>
    <xf numFmtId="0" fontId="10" fillId="3" borderId="60" xfId="0" applyFont="1" applyFill="1" applyBorder="1" applyAlignment="1">
      <alignment horizontal="center" vertical="center"/>
    </xf>
    <xf numFmtId="0" fontId="30" fillId="3" borderId="60" xfId="0" applyFont="1" applyFill="1" applyBorder="1" applyAlignment="1">
      <alignment vertical="center"/>
    </xf>
    <xf numFmtId="0" fontId="0" fillId="3" borderId="60" xfId="0" applyFont="1" applyFill="1" applyBorder="1" applyAlignment="1">
      <alignment horizontal="center" vertical="center" wrapText="1"/>
    </xf>
    <xf numFmtId="0" fontId="0" fillId="3" borderId="60" xfId="0" applyFont="1" applyFill="1" applyBorder="1" applyAlignment="1">
      <alignment horizontal="left" vertical="center" wrapText="1"/>
    </xf>
    <xf numFmtId="3" fontId="10" fillId="3" borderId="60" xfId="0" applyNumberFormat="1" applyFont="1" applyFill="1" applyBorder="1" applyAlignment="1">
      <alignment horizontal="center" vertical="center"/>
    </xf>
    <xf numFmtId="165" fontId="10" fillId="3" borderId="60" xfId="0" applyNumberFormat="1" applyFont="1" applyFill="1" applyBorder="1" applyAlignment="1">
      <alignment horizontal="center" vertical="center"/>
    </xf>
    <xf numFmtId="164" fontId="10" fillId="3" borderId="60" xfId="0" applyNumberFormat="1" applyFont="1" applyFill="1" applyBorder="1" applyAlignment="1">
      <alignment horizontal="right" vertical="center" wrapText="1"/>
    </xf>
    <xf numFmtId="0" fontId="2" fillId="0" borderId="6" xfId="0" applyFont="1" applyBorder="1" applyAlignment="1">
      <alignment horizontal="left" wrapText="1"/>
    </xf>
    <xf numFmtId="0" fontId="4" fillId="0" borderId="6" xfId="0" applyFont="1" applyBorder="1"/>
    <xf numFmtId="0" fontId="2" fillId="0" borderId="64" xfId="0" applyFont="1" applyBorder="1" applyAlignment="1">
      <alignment horizontal="left" wrapText="1"/>
    </xf>
    <xf numFmtId="0" fontId="4" fillId="0" borderId="65" xfId="0" applyFont="1" applyBorder="1"/>
    <xf numFmtId="0" fontId="4" fillId="0" borderId="64" xfId="0" applyFont="1" applyBorder="1"/>
    <xf numFmtId="0" fontId="5" fillId="0" borderId="2" xfId="0" applyFont="1" applyFill="1" applyBorder="1" applyAlignment="1">
      <alignment horizontal="left" vertical="center" wrapText="1"/>
    </xf>
    <xf numFmtId="0" fontId="4" fillId="0" borderId="4" xfId="0" applyFont="1" applyFill="1" applyBorder="1"/>
    <xf numFmtId="0" fontId="3" fillId="0" borderId="2" xfId="0" applyFont="1" applyBorder="1" applyAlignment="1">
      <alignment horizontal="center"/>
    </xf>
    <xf numFmtId="0" fontId="4" fillId="0" borderId="3" xfId="0" applyFont="1" applyBorder="1"/>
    <xf numFmtId="0" fontId="4" fillId="0" borderId="4" xfId="0" applyFont="1" applyBorder="1"/>
    <xf numFmtId="0" fontId="5" fillId="0" borderId="2" xfId="0" applyFont="1" applyBorder="1" applyAlignment="1">
      <alignment horizontal="left" vertical="center" wrapText="1"/>
    </xf>
    <xf numFmtId="0" fontId="6" fillId="0" borderId="2" xfId="0" applyFont="1" applyBorder="1" applyAlignment="1">
      <alignment horizontal="left" wrapText="1"/>
    </xf>
    <xf numFmtId="0" fontId="6" fillId="0" borderId="2" xfId="0" applyFont="1" applyFill="1" applyBorder="1" applyAlignment="1">
      <alignment horizontal="left" wrapText="1"/>
    </xf>
    <xf numFmtId="0" fontId="4" fillId="0" borderId="3" xfId="0" applyFont="1" applyFill="1" applyBorder="1"/>
    <xf numFmtId="0" fontId="4" fillId="0" borderId="6" xfId="0" applyFont="1" applyFill="1" applyBorder="1"/>
    <xf numFmtId="0" fontId="24" fillId="0" borderId="71" xfId="0" applyFont="1" applyFill="1" applyBorder="1" applyAlignment="1">
      <alignment horizontal="center" vertical="center"/>
    </xf>
    <xf numFmtId="0" fontId="24" fillId="0" borderId="72" xfId="0" applyFont="1" applyFill="1" applyBorder="1" applyAlignment="1">
      <alignment horizontal="center" vertical="center"/>
    </xf>
    <xf numFmtId="0" fontId="24" fillId="0" borderId="73" xfId="0" applyFont="1" applyFill="1" applyBorder="1" applyAlignment="1">
      <alignment horizontal="center" vertical="center"/>
    </xf>
    <xf numFmtId="0" fontId="2" fillId="0" borderId="62" xfId="2" applyFont="1" applyFill="1" applyBorder="1" applyAlignment="1">
      <alignment horizontal="left" vertical="center" wrapText="1"/>
    </xf>
    <xf numFmtId="0" fontId="2" fillId="0" borderId="63" xfId="2" applyFont="1" applyFill="1" applyBorder="1" applyAlignment="1">
      <alignment horizontal="left" vertical="center" wrapText="1"/>
    </xf>
    <xf numFmtId="0" fontId="2" fillId="0" borderId="6" xfId="2" applyFont="1" applyFill="1" applyBorder="1" applyAlignment="1">
      <alignment horizontal="left" vertical="center" wrapText="1"/>
    </xf>
    <xf numFmtId="0" fontId="2" fillId="0" borderId="65" xfId="2" applyFont="1" applyFill="1" applyBorder="1" applyAlignment="1">
      <alignment horizontal="left" vertical="center" wrapText="1"/>
    </xf>
    <xf numFmtId="0" fontId="11" fillId="0" borderId="64" xfId="2" applyFont="1" applyFill="1" applyBorder="1" applyAlignment="1">
      <alignment horizontal="center" vertical="center" wrapText="1"/>
    </xf>
    <xf numFmtId="0" fontId="15" fillId="0" borderId="74" xfId="0" applyFont="1" applyBorder="1" applyAlignment="1">
      <alignment horizontal="left" vertical="center" wrapText="1"/>
    </xf>
    <xf numFmtId="0" fontId="4" fillId="0" borderId="74" xfId="0" applyFont="1" applyBorder="1"/>
    <xf numFmtId="167" fontId="18" fillId="0" borderId="89" xfId="0" applyNumberFormat="1" applyFont="1" applyBorder="1" applyAlignment="1">
      <alignment horizontal="center" vertical="center"/>
    </xf>
    <xf numFmtId="167" fontId="18" fillId="0" borderId="90" xfId="0" applyNumberFormat="1" applyFont="1" applyBorder="1" applyAlignment="1">
      <alignment horizontal="center" vertical="center"/>
    </xf>
    <xf numFmtId="0" fontId="18" fillId="0" borderId="10" xfId="0" applyFont="1" applyFill="1" applyBorder="1" applyAlignment="1">
      <alignment horizontal="left" vertical="center" wrapText="1"/>
    </xf>
    <xf numFmtId="0" fontId="4" fillId="0" borderId="11" xfId="0" applyFont="1" applyFill="1" applyBorder="1"/>
    <xf numFmtId="0" fontId="4" fillId="0" borderId="12" xfId="0" applyFont="1" applyFill="1" applyBorder="1"/>
    <xf numFmtId="0" fontId="15" fillId="0" borderId="13" xfId="0" applyFont="1" applyFill="1" applyBorder="1" applyAlignment="1">
      <alignment horizontal="left" vertical="center" wrapText="1"/>
    </xf>
    <xf numFmtId="0" fontId="4" fillId="0" borderId="14" xfId="0" applyFont="1" applyFill="1" applyBorder="1"/>
    <xf numFmtId="0" fontId="4" fillId="0" borderId="15" xfId="0" applyFont="1" applyFill="1" applyBorder="1"/>
    <xf numFmtId="0" fontId="18" fillId="0" borderId="16" xfId="0" applyFont="1" applyFill="1" applyBorder="1" applyAlignment="1">
      <alignment horizontal="left" vertical="center" wrapText="1"/>
    </xf>
    <xf numFmtId="0" fontId="4" fillId="0" borderId="17" xfId="0" applyFont="1" applyFill="1" applyBorder="1"/>
    <xf numFmtId="0" fontId="4" fillId="0" borderId="18" xfId="0" applyFont="1" applyFill="1" applyBorder="1"/>
    <xf numFmtId="0" fontId="18" fillId="0" borderId="13" xfId="0" applyFont="1" applyFill="1" applyBorder="1" applyAlignment="1">
      <alignment horizontal="left" vertical="center"/>
    </xf>
    <xf numFmtId="0" fontId="4" fillId="0" borderId="19" xfId="0" applyFont="1" applyFill="1" applyBorder="1"/>
    <xf numFmtId="0" fontId="19" fillId="0" borderId="75" xfId="0" applyFont="1" applyBorder="1" applyAlignment="1">
      <alignment horizontal="center" vertical="center"/>
    </xf>
    <xf numFmtId="0" fontId="4" fillId="0" borderId="78" xfId="0" applyFont="1" applyBorder="1"/>
    <xf numFmtId="0" fontId="19" fillId="0" borderId="76" xfId="0" applyFont="1" applyBorder="1" applyAlignment="1">
      <alignment horizontal="center" vertical="center" wrapText="1"/>
    </xf>
    <xf numFmtId="0" fontId="4" fillId="0" borderId="79" xfId="0" applyFont="1" applyBorder="1" applyAlignment="1">
      <alignment horizontal="center"/>
    </xf>
    <xf numFmtId="0" fontId="4" fillId="0" borderId="76" xfId="0" applyFont="1" applyBorder="1"/>
    <xf numFmtId="0" fontId="4" fillId="0" borderId="79" xfId="0" applyFont="1" applyBorder="1"/>
    <xf numFmtId="0" fontId="2" fillId="0" borderId="87" xfId="0" applyFont="1" applyBorder="1" applyAlignment="1">
      <alignment horizontal="left" vertical="center" wrapText="1"/>
    </xf>
    <xf numFmtId="0" fontId="4" fillId="0" borderId="87" xfId="0" applyFont="1" applyBorder="1"/>
    <xf numFmtId="0" fontId="13" fillId="0" borderId="2" xfId="0" applyFont="1" applyFill="1" applyBorder="1" applyAlignment="1">
      <alignment horizontal="center" vertical="center"/>
    </xf>
    <xf numFmtId="0" fontId="27" fillId="0" borderId="20" xfId="0" applyFont="1" applyFill="1" applyBorder="1" applyAlignment="1">
      <alignment horizontal="center" vertical="center" wrapText="1"/>
    </xf>
    <xf numFmtId="0" fontId="27" fillId="0" borderId="14" xfId="0" applyFont="1" applyFill="1" applyBorder="1" applyAlignment="1">
      <alignment horizontal="center" vertical="center" wrapText="1"/>
    </xf>
    <xf numFmtId="0" fontId="27" fillId="0" borderId="15" xfId="0" applyFont="1" applyFill="1" applyBorder="1" applyAlignment="1">
      <alignment horizontal="center" vertical="center" wrapText="1"/>
    </xf>
    <xf numFmtId="0" fontId="19" fillId="0" borderId="77" xfId="0" applyFont="1" applyBorder="1" applyAlignment="1">
      <alignment horizontal="center" vertical="center" wrapText="1"/>
    </xf>
    <xf numFmtId="0" fontId="4" fillId="0" borderId="80" xfId="0" applyFont="1" applyBorder="1"/>
    <xf numFmtId="0" fontId="2" fillId="0" borderId="60" xfId="0" applyFont="1" applyBorder="1" applyAlignment="1">
      <alignment horizontal="left" vertical="center" wrapText="1"/>
    </xf>
    <xf numFmtId="0" fontId="4" fillId="0" borderId="60" xfId="0" applyFont="1" applyBorder="1"/>
    <xf numFmtId="0" fontId="2" fillId="0" borderId="82" xfId="0" applyFont="1" applyBorder="1" applyAlignment="1">
      <alignment horizontal="left" vertical="center" wrapText="1"/>
    </xf>
    <xf numFmtId="0" fontId="4" fillId="0" borderId="82" xfId="0" applyFont="1" applyBorder="1"/>
    <xf numFmtId="0" fontId="24" fillId="0" borderId="21" xfId="0" applyFont="1" applyFill="1" applyBorder="1" applyAlignment="1">
      <alignment horizontal="center" vertical="center"/>
    </xf>
    <xf numFmtId="0" fontId="4" fillId="0" borderId="31" xfId="0" applyFont="1" applyFill="1" applyBorder="1"/>
    <xf numFmtId="0" fontId="4" fillId="0" borderId="22" xfId="0" applyFont="1" applyFill="1" applyBorder="1"/>
    <xf numFmtId="0" fontId="24" fillId="0" borderId="10" xfId="0" applyFont="1" applyFill="1" applyBorder="1" applyAlignment="1">
      <alignment horizontal="center" vertical="center"/>
    </xf>
    <xf numFmtId="0" fontId="4" fillId="0" borderId="25" xfId="0" applyFont="1" applyFill="1" applyBorder="1"/>
    <xf numFmtId="0" fontId="22" fillId="0" borderId="31" xfId="0" applyFont="1" applyBorder="1" applyAlignment="1">
      <alignment vertical="center" wrapText="1"/>
    </xf>
    <xf numFmtId="0" fontId="4" fillId="0" borderId="31" xfId="0" applyFont="1" applyBorder="1"/>
    <xf numFmtId="0" fontId="4" fillId="0" borderId="22" xfId="0" applyFont="1" applyBorder="1"/>
    <xf numFmtId="0" fontId="24" fillId="0" borderId="21" xfId="0" applyFont="1" applyFill="1" applyBorder="1" applyAlignment="1">
      <alignment horizontal="center" vertical="center" wrapText="1"/>
    </xf>
    <xf numFmtId="0" fontId="4" fillId="0" borderId="26" xfId="0" applyFont="1" applyFill="1" applyBorder="1"/>
    <xf numFmtId="0" fontId="4" fillId="0" borderId="27" xfId="0" applyFont="1" applyFill="1" applyBorder="1"/>
    <xf numFmtId="0" fontId="24" fillId="0" borderId="22" xfId="0" applyFont="1" applyFill="1" applyBorder="1" applyAlignment="1">
      <alignment horizontal="center" vertical="center"/>
    </xf>
    <xf numFmtId="0" fontId="4" fillId="0" borderId="39" xfId="0" applyFont="1" applyFill="1" applyBorder="1" applyAlignment="1">
      <alignment horizontal="left" vertical="center" wrapText="1"/>
    </xf>
    <xf numFmtId="0" fontId="4" fillId="0" borderId="40" xfId="0" applyFont="1" applyFill="1" applyBorder="1"/>
    <xf numFmtId="0" fontId="10" fillId="0" borderId="46" xfId="0" applyFont="1" applyFill="1" applyBorder="1" applyAlignment="1">
      <alignment horizontal="left" vertical="center"/>
    </xf>
    <xf numFmtId="0" fontId="4" fillId="0" borderId="47" xfId="0" applyFont="1" applyFill="1" applyBorder="1"/>
    <xf numFmtId="0" fontId="10" fillId="0" borderId="46" xfId="0" applyFont="1" applyBorder="1" applyAlignment="1">
      <alignment horizontal="left" vertical="center"/>
    </xf>
    <xf numFmtId="0" fontId="4" fillId="0" borderId="47" xfId="0" applyFont="1" applyBorder="1"/>
    <xf numFmtId="0" fontId="23" fillId="0" borderId="10" xfId="0" applyFont="1" applyFill="1" applyBorder="1" applyAlignment="1">
      <alignment horizontal="left"/>
    </xf>
    <xf numFmtId="0" fontId="2" fillId="0" borderId="10" xfId="0" applyFont="1" applyFill="1" applyBorder="1" applyAlignment="1">
      <alignment horizontal="left" vertical="center" wrapText="1"/>
    </xf>
    <xf numFmtId="0" fontId="22" fillId="0" borderId="10" xfId="0" applyFont="1" applyFill="1" applyBorder="1" applyAlignment="1">
      <alignment horizontal="left"/>
    </xf>
    <xf numFmtId="0" fontId="22" fillId="0" borderId="26" xfId="0" applyFont="1" applyFill="1" applyBorder="1"/>
    <xf numFmtId="0" fontId="0" fillId="0" borderId="0" xfId="0" applyFont="1" applyFill="1" applyAlignment="1"/>
    <xf numFmtId="0" fontId="22" fillId="0" borderId="28" xfId="0" applyFont="1" applyFill="1" applyBorder="1" applyAlignment="1">
      <alignment horizontal="left" vertical="center" wrapText="1"/>
    </xf>
    <xf numFmtId="0" fontId="4" fillId="0" borderId="29" xfId="0" applyFont="1" applyFill="1" applyBorder="1"/>
    <xf numFmtId="0" fontId="21" fillId="0" borderId="21" xfId="0" applyFont="1" applyBorder="1" applyAlignment="1">
      <alignment horizontal="center" vertical="center" wrapText="1"/>
    </xf>
    <xf numFmtId="0" fontId="4" fillId="0" borderId="23" xfId="0" applyFont="1" applyBorder="1"/>
    <xf numFmtId="0" fontId="4" fillId="0" borderId="24" xfId="0" applyFont="1" applyBorder="1"/>
    <xf numFmtId="0" fontId="10" fillId="0" borderId="10" xfId="0" applyFont="1" applyBorder="1"/>
    <xf numFmtId="0" fontId="4" fillId="0" borderId="11" xfId="0" applyFont="1" applyBorder="1"/>
    <xf numFmtId="0" fontId="4" fillId="0" borderId="25" xfId="0" applyFont="1" applyBorder="1"/>
    <xf numFmtId="0" fontId="22" fillId="0" borderId="10" xfId="0" applyFont="1" applyBorder="1" applyAlignment="1">
      <alignment horizontal="left"/>
    </xf>
    <xf numFmtId="0" fontId="10" fillId="0" borderId="13" xfId="0" applyFont="1" applyBorder="1" applyAlignment="1">
      <alignment horizontal="center"/>
    </xf>
    <xf numFmtId="0" fontId="4" fillId="0" borderId="14" xfId="0" applyFont="1" applyBorder="1"/>
    <xf numFmtId="3" fontId="20" fillId="0" borderId="14" xfId="0" applyNumberFormat="1" applyFont="1" applyBorder="1" applyAlignment="1">
      <alignment horizontal="center"/>
    </xf>
    <xf numFmtId="0" fontId="4" fillId="0" borderId="15" xfId="0" applyFont="1" applyBorder="1"/>
    <xf numFmtId="0" fontId="22" fillId="0" borderId="58" xfId="0" applyFont="1" applyFill="1" applyBorder="1" applyAlignment="1">
      <alignment horizontal="left" vertical="center" wrapText="1"/>
    </xf>
    <xf numFmtId="0" fontId="4" fillId="0" borderId="5" xfId="0" applyFont="1" applyFill="1" applyBorder="1"/>
    <xf numFmtId="0" fontId="4" fillId="0" borderId="59" xfId="0" applyFont="1" applyFill="1" applyBorder="1"/>
    <xf numFmtId="0" fontId="4" fillId="0" borderId="23" xfId="0" applyFont="1" applyFill="1" applyBorder="1"/>
    <xf numFmtId="0" fontId="4" fillId="0" borderId="30" xfId="0" applyFont="1" applyFill="1" applyBorder="1"/>
    <xf numFmtId="0" fontId="4" fillId="0" borderId="24" xfId="0" applyFont="1" applyFill="1" applyBorder="1"/>
    <xf numFmtId="0" fontId="20" fillId="0" borderId="54" xfId="0" applyFont="1" applyFill="1" applyBorder="1" applyAlignment="1">
      <alignment horizontal="left" vertical="center" wrapText="1"/>
    </xf>
    <xf numFmtId="0" fontId="4" fillId="0" borderId="55" xfId="0" applyFont="1" applyFill="1" applyBorder="1"/>
    <xf numFmtId="0" fontId="4" fillId="0" borderId="56" xfId="0" applyFont="1" applyFill="1" applyBorder="1"/>
    <xf numFmtId="0" fontId="10" fillId="0" borderId="21" xfId="0" applyFont="1" applyBorder="1"/>
    <xf numFmtId="0" fontId="10" fillId="0" borderId="51" xfId="0" applyFont="1" applyBorder="1" applyAlignment="1">
      <alignment horizontal="left" vertical="center"/>
    </xf>
    <xf numFmtId="0" fontId="4" fillId="0" borderId="52" xfId="0" applyFont="1" applyBorder="1"/>
    <xf numFmtId="0" fontId="20" fillId="0" borderId="13" xfId="0" applyFont="1" applyBorder="1" applyAlignment="1">
      <alignment vertical="center" wrapText="1"/>
    </xf>
  </cellXfs>
  <cellStyles count="3">
    <cellStyle name="Normal" xfId="0" builtinId="0"/>
    <cellStyle name="Normal 2" xfId="1" xr:uid="{00000000-0005-0000-0000-000001000000}"/>
    <cellStyle name="Normal 2 2" xfId="2" xr:uid="{00000000-0005-0000-0000-000002000000}"/>
  </cellStyles>
  <dxfs count="4">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16</xdr:col>
      <xdr:colOff>723900</xdr:colOff>
      <xdr:row>0</xdr:row>
      <xdr:rowOff>0</xdr:rowOff>
    </xdr:from>
    <xdr:ext cx="0" cy="0"/>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fLocksWithSheet="0"/>
  </xdr:oneCellAnchor>
  <xdr:oneCellAnchor>
    <xdr:from>
      <xdr:col>16</xdr:col>
      <xdr:colOff>723900</xdr:colOff>
      <xdr:row>0</xdr:row>
      <xdr:rowOff>0</xdr:rowOff>
    </xdr:from>
    <xdr:ext cx="0" cy="0"/>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fLocksWithSheet="0"/>
  </xdr:oneCellAnchor>
  <xdr:oneCellAnchor>
    <xdr:from>
      <xdr:col>16</xdr:col>
      <xdr:colOff>723900</xdr:colOff>
      <xdr:row>0</xdr:row>
      <xdr:rowOff>0</xdr:rowOff>
    </xdr:from>
    <xdr:ext cx="0" cy="0"/>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fLocksWithSheet="0"/>
  </xdr:oneCellAnchor>
  <xdr:oneCellAnchor>
    <xdr:from>
      <xdr:col>16</xdr:col>
      <xdr:colOff>723900</xdr:colOff>
      <xdr:row>0</xdr:row>
      <xdr:rowOff>0</xdr:rowOff>
    </xdr:from>
    <xdr:ext cx="0" cy="0"/>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723900</xdr:colOff>
      <xdr:row>0</xdr:row>
      <xdr:rowOff>0</xdr:rowOff>
    </xdr:from>
    <xdr:ext cx="0" cy="0"/>
    <xdr:sp macro="" textlink="">
      <xdr:nvSpPr>
        <xdr:cNvPr id="2" name="Freeform 1">
          <a:extLst>
            <a:ext uri="{FF2B5EF4-FFF2-40B4-BE49-F238E27FC236}">
              <a16:creationId xmlns:a16="http://schemas.microsoft.com/office/drawing/2014/main" id="{00000000-0008-0000-0400-000002000000}"/>
            </a:ext>
          </a:extLst>
        </xdr:cNvPr>
        <xdr:cNvSpPr/>
      </xdr:nvSpPr>
      <xdr:spPr>
        <a:xfrm>
          <a:off x="6877050" y="0"/>
          <a:ext cx="0" cy="0"/>
        </a:xfrm>
        <a:custGeom>
          <a:avLst/>
          <a:gdLst/>
          <a:ahLst/>
          <a:cxnLst/>
          <a:rect l="0" t="0" r="r" b="b"/>
          <a:pathLst>
            <a:path w="1" h="1">
              <a:moveTo>
                <a:pt x="0" y="0"/>
              </a:moveTo>
              <a:lnTo>
                <a:pt x="0" y="0"/>
              </a:lnTo>
            </a:path>
          </a:pathLst>
        </a:custGeom>
        <a:ln w="28440">
          <a:solidFill>
            <a:srgbClr val="3D3D3D"/>
          </a:solidFill>
          <a:miter/>
        </a:ln>
      </xdr:spPr>
    </xdr:sp>
    <xdr:clientData fLocksWithSheet="0"/>
  </xdr:oneCellAnchor>
  <xdr:oneCellAnchor>
    <xdr:from>
      <xdr:col>16</xdr:col>
      <xdr:colOff>723900</xdr:colOff>
      <xdr:row>0</xdr:row>
      <xdr:rowOff>0</xdr:rowOff>
    </xdr:from>
    <xdr:ext cx="0" cy="0"/>
    <xdr:sp macro="" textlink="">
      <xdr:nvSpPr>
        <xdr:cNvPr id="3" name="Freeform 1">
          <a:extLst>
            <a:ext uri="{FF2B5EF4-FFF2-40B4-BE49-F238E27FC236}">
              <a16:creationId xmlns:a16="http://schemas.microsoft.com/office/drawing/2014/main" id="{00000000-0008-0000-0400-000003000000}"/>
            </a:ext>
          </a:extLst>
        </xdr:cNvPr>
        <xdr:cNvSpPr/>
      </xdr:nvSpPr>
      <xdr:spPr>
        <a:xfrm>
          <a:off x="6877050" y="0"/>
          <a:ext cx="0" cy="0"/>
        </a:xfrm>
        <a:custGeom>
          <a:avLst/>
          <a:gdLst/>
          <a:ahLst/>
          <a:cxnLst/>
          <a:rect l="0" t="0" r="r" b="b"/>
          <a:pathLst>
            <a:path w="1" h="1">
              <a:moveTo>
                <a:pt x="0" y="0"/>
              </a:moveTo>
              <a:lnTo>
                <a:pt x="0" y="0"/>
              </a:lnTo>
            </a:path>
          </a:pathLst>
        </a:custGeom>
        <a:ln w="28440">
          <a:solidFill>
            <a:srgbClr val="3D3D3D"/>
          </a:solidFill>
          <a:miter/>
        </a:ln>
      </xdr:spPr>
    </xdr:sp>
    <xdr:clientData fLocksWithSheet="0"/>
  </xdr:oneCellAnchor>
  <xdr:oneCellAnchor>
    <xdr:from>
      <xdr:col>16</xdr:col>
      <xdr:colOff>723900</xdr:colOff>
      <xdr:row>0</xdr:row>
      <xdr:rowOff>0</xdr:rowOff>
    </xdr:from>
    <xdr:ext cx="0" cy="0"/>
    <xdr:sp macro="" textlink="">
      <xdr:nvSpPr>
        <xdr:cNvPr id="4" name="Freeform 1">
          <a:extLst>
            <a:ext uri="{FF2B5EF4-FFF2-40B4-BE49-F238E27FC236}">
              <a16:creationId xmlns:a16="http://schemas.microsoft.com/office/drawing/2014/main" id="{00000000-0008-0000-0400-000004000000}"/>
            </a:ext>
          </a:extLst>
        </xdr:cNvPr>
        <xdr:cNvSpPr/>
      </xdr:nvSpPr>
      <xdr:spPr>
        <a:xfrm>
          <a:off x="6877050" y="0"/>
          <a:ext cx="0" cy="0"/>
        </a:xfrm>
        <a:custGeom>
          <a:avLst/>
          <a:gdLst/>
          <a:ahLst/>
          <a:cxnLst/>
          <a:rect l="0" t="0" r="r" b="b"/>
          <a:pathLst>
            <a:path w="1" h="1">
              <a:moveTo>
                <a:pt x="0" y="0"/>
              </a:moveTo>
              <a:lnTo>
                <a:pt x="0" y="0"/>
              </a:lnTo>
            </a:path>
          </a:pathLst>
        </a:custGeom>
        <a:ln w="28440">
          <a:solidFill>
            <a:srgbClr val="3D3D3D"/>
          </a:solidFill>
          <a:miter/>
        </a:ln>
      </xdr:spPr>
    </xdr:sp>
    <xdr:clientData fLocksWithSheet="0"/>
  </xdr:oneCellAnchor>
  <xdr:oneCellAnchor>
    <xdr:from>
      <xdr:col>16</xdr:col>
      <xdr:colOff>723900</xdr:colOff>
      <xdr:row>0</xdr:row>
      <xdr:rowOff>0</xdr:rowOff>
    </xdr:from>
    <xdr:ext cx="0" cy="0"/>
    <xdr:sp macro="" textlink="">
      <xdr:nvSpPr>
        <xdr:cNvPr id="5" name="Freeform 1">
          <a:extLst>
            <a:ext uri="{FF2B5EF4-FFF2-40B4-BE49-F238E27FC236}">
              <a16:creationId xmlns:a16="http://schemas.microsoft.com/office/drawing/2014/main" id="{00000000-0008-0000-0400-000005000000}"/>
            </a:ext>
          </a:extLst>
        </xdr:cNvPr>
        <xdr:cNvSpPr/>
      </xdr:nvSpPr>
      <xdr:spPr>
        <a:xfrm>
          <a:off x="6877050" y="0"/>
          <a:ext cx="0" cy="0"/>
        </a:xfrm>
        <a:custGeom>
          <a:avLst/>
          <a:gdLst/>
          <a:ahLst/>
          <a:cxnLst/>
          <a:rect l="0" t="0" r="r" b="b"/>
          <a:pathLst>
            <a:path w="1" h="1">
              <a:moveTo>
                <a:pt x="0" y="0"/>
              </a:moveTo>
              <a:lnTo>
                <a:pt x="0" y="0"/>
              </a:lnTo>
            </a:path>
          </a:pathLst>
        </a:custGeom>
        <a:ln w="28440">
          <a:solidFill>
            <a:srgbClr val="3D3D3D"/>
          </a:solidFill>
          <a:miter/>
        </a:ln>
      </xdr:spPr>
    </xdr:sp>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4"/>
  <sheetViews>
    <sheetView tabSelected="1" topLeftCell="B61" zoomScale="110" zoomScaleNormal="110" workbookViewId="0">
      <selection activeCell="J11" sqref="J11"/>
    </sheetView>
  </sheetViews>
  <sheetFormatPr baseColWidth="10" defaultColWidth="12.5703125" defaultRowHeight="15" customHeight="1" x14ac:dyDescent="0.2"/>
  <cols>
    <col min="1" max="1" width="4.5703125" customWidth="1"/>
    <col min="2" max="2" width="14" style="32" customWidth="1"/>
    <col min="3" max="3" width="29.42578125" style="32" customWidth="1"/>
    <col min="4" max="4" width="13.42578125" customWidth="1"/>
    <col min="5" max="5" width="90.7109375" style="25" customWidth="1"/>
    <col min="6" max="6" width="13" customWidth="1"/>
    <col min="7" max="7" width="10.85546875" customWidth="1"/>
    <col min="8" max="8" width="14.42578125" style="32" customWidth="1"/>
    <col min="9" max="9" width="15.5703125" customWidth="1"/>
    <col min="10" max="10" width="38.85546875" customWidth="1"/>
    <col min="11" max="11" width="12.42578125" style="35" bestFit="1" customWidth="1"/>
    <col min="12" max="12" width="31" bestFit="1" customWidth="1"/>
    <col min="13" max="13" width="52.140625" bestFit="1" customWidth="1"/>
    <col min="14" max="14" width="38.28515625" bestFit="1" customWidth="1"/>
  </cols>
  <sheetData>
    <row r="1" spans="1:11" ht="12.75" customHeight="1" x14ac:dyDescent="0.2">
      <c r="A1" s="1">
        <v>2022</v>
      </c>
      <c r="B1" s="33"/>
      <c r="C1" s="33"/>
      <c r="D1" s="1"/>
      <c r="E1" s="26"/>
      <c r="F1" s="1"/>
      <c r="G1" s="1"/>
      <c r="H1" s="33"/>
      <c r="I1" s="2"/>
      <c r="J1" s="1"/>
      <c r="K1" s="5"/>
    </row>
    <row r="2" spans="1:11" ht="26.25" customHeight="1" x14ac:dyDescent="0.35">
      <c r="A2" s="1"/>
      <c r="B2" s="196" t="s">
        <v>0</v>
      </c>
      <c r="C2" s="197"/>
      <c r="D2" s="197"/>
      <c r="E2" s="190"/>
      <c r="F2" s="197"/>
      <c r="G2" s="197"/>
      <c r="H2" s="198"/>
      <c r="I2" s="2"/>
      <c r="J2" s="1"/>
      <c r="K2" s="5"/>
    </row>
    <row r="3" spans="1:11" ht="12.75" customHeight="1" x14ac:dyDescent="0.2">
      <c r="A3" s="1"/>
      <c r="B3" s="33"/>
      <c r="C3" s="33"/>
      <c r="D3" s="1"/>
      <c r="E3" s="26"/>
      <c r="F3" s="1"/>
      <c r="G3" s="1"/>
      <c r="H3" s="33"/>
      <c r="I3" s="2"/>
      <c r="J3" s="1"/>
      <c r="K3" s="5"/>
    </row>
    <row r="4" spans="1:11" ht="12.75" customHeight="1" x14ac:dyDescent="0.25">
      <c r="A4" s="199" t="s">
        <v>1</v>
      </c>
      <c r="B4" s="198"/>
      <c r="C4" s="200" t="s">
        <v>2</v>
      </c>
      <c r="D4" s="197"/>
      <c r="E4" s="190"/>
      <c r="F4" s="3"/>
      <c r="G4" s="4"/>
      <c r="H4" s="39"/>
      <c r="I4" s="2"/>
      <c r="J4" s="1"/>
      <c r="K4" s="5"/>
    </row>
    <row r="5" spans="1:11" s="57" customFormat="1" ht="12.75" customHeight="1" x14ac:dyDescent="0.25">
      <c r="A5" s="194" t="s">
        <v>3</v>
      </c>
      <c r="B5" s="195"/>
      <c r="C5" s="201" t="s">
        <v>169</v>
      </c>
      <c r="D5" s="202"/>
      <c r="E5" s="203"/>
      <c r="F5" s="108"/>
      <c r="G5" s="109"/>
      <c r="H5" s="110"/>
      <c r="I5" s="111"/>
      <c r="J5" s="112"/>
      <c r="K5" s="113"/>
    </row>
    <row r="6" spans="1:11" s="57" customFormat="1" ht="12.75" customHeight="1" x14ac:dyDescent="0.2">
      <c r="A6" s="194" t="s">
        <v>4</v>
      </c>
      <c r="B6" s="195"/>
      <c r="C6" s="114">
        <v>2022</v>
      </c>
      <c r="D6" s="115"/>
      <c r="E6" s="116"/>
      <c r="F6" s="108"/>
      <c r="G6" s="109"/>
      <c r="H6" s="110"/>
      <c r="I6" s="111"/>
      <c r="J6" s="112"/>
      <c r="K6" s="113"/>
    </row>
    <row r="7" spans="1:11" s="57" customFormat="1" ht="12.75" customHeight="1" x14ac:dyDescent="0.2">
      <c r="A7" s="194" t="s">
        <v>5</v>
      </c>
      <c r="B7" s="195"/>
      <c r="C7" s="114">
        <v>2</v>
      </c>
      <c r="D7" s="115"/>
      <c r="E7" s="116"/>
      <c r="F7" s="108"/>
      <c r="G7" s="109"/>
      <c r="H7" s="110"/>
      <c r="I7" s="111"/>
      <c r="J7" s="112"/>
      <c r="K7" s="113"/>
    </row>
    <row r="8" spans="1:11" ht="12.75" customHeight="1" x14ac:dyDescent="0.2">
      <c r="A8" s="1"/>
      <c r="B8" s="39"/>
      <c r="C8" s="37"/>
      <c r="D8" s="3"/>
      <c r="E8" s="27"/>
      <c r="F8" s="3"/>
      <c r="G8" s="4"/>
      <c r="H8" s="39"/>
      <c r="I8" s="2"/>
      <c r="J8" s="1"/>
      <c r="K8" s="5"/>
    </row>
    <row r="9" spans="1:11" s="60" customFormat="1" ht="25.5" customHeight="1" x14ac:dyDescent="0.2">
      <c r="A9" s="30" t="s">
        <v>6</v>
      </c>
      <c r="B9" s="30" t="s">
        <v>7</v>
      </c>
      <c r="C9" s="30" t="s">
        <v>8</v>
      </c>
      <c r="D9" s="30" t="s">
        <v>9</v>
      </c>
      <c r="E9" s="30" t="s">
        <v>10</v>
      </c>
      <c r="F9" s="30" t="s">
        <v>11</v>
      </c>
      <c r="G9" s="30" t="s">
        <v>12</v>
      </c>
      <c r="H9" s="30" t="s">
        <v>13</v>
      </c>
      <c r="I9" s="31" t="s">
        <v>14</v>
      </c>
      <c r="J9" s="59"/>
      <c r="K9" s="38"/>
    </row>
    <row r="10" spans="1:11" ht="37.5" customHeight="1" x14ac:dyDescent="0.2">
      <c r="A10" s="43">
        <v>1</v>
      </c>
      <c r="B10" s="50" t="s">
        <v>65</v>
      </c>
      <c r="C10" s="63" t="s">
        <v>64</v>
      </c>
      <c r="D10" s="45">
        <v>252</v>
      </c>
      <c r="E10" s="51" t="s">
        <v>108</v>
      </c>
      <c r="F10" s="43" t="s">
        <v>15</v>
      </c>
      <c r="G10" s="47">
        <v>1000</v>
      </c>
      <c r="H10" s="71">
        <v>70.099999999999994</v>
      </c>
      <c r="I10" s="49">
        <f t="shared" ref="I10:I28" si="0">+G10*H10</f>
        <v>70100</v>
      </c>
      <c r="J10" s="32"/>
      <c r="K10" s="33"/>
    </row>
    <row r="11" spans="1:11" ht="44.25" customHeight="1" x14ac:dyDescent="0.2">
      <c r="A11" s="43">
        <v>2</v>
      </c>
      <c r="B11" s="50" t="s">
        <v>66</v>
      </c>
      <c r="C11" s="63" t="s">
        <v>64</v>
      </c>
      <c r="D11" s="45">
        <v>252</v>
      </c>
      <c r="E11" s="51" t="s">
        <v>109</v>
      </c>
      <c r="F11" s="43" t="s">
        <v>15</v>
      </c>
      <c r="G11" s="47">
        <v>12050</v>
      </c>
      <c r="H11" s="48">
        <v>1.55</v>
      </c>
      <c r="I11" s="49">
        <f t="shared" si="0"/>
        <v>18677.5</v>
      </c>
      <c r="J11" s="32"/>
      <c r="K11" s="33"/>
    </row>
    <row r="12" spans="1:11" ht="41.25" customHeight="1" x14ac:dyDescent="0.2">
      <c r="A12" s="43">
        <v>3</v>
      </c>
      <c r="B12" s="74" t="s">
        <v>151</v>
      </c>
      <c r="C12" s="65" t="s">
        <v>64</v>
      </c>
      <c r="D12" s="75">
        <v>252</v>
      </c>
      <c r="E12" s="76" t="s">
        <v>166</v>
      </c>
      <c r="F12" s="74" t="s">
        <v>17</v>
      </c>
      <c r="G12" s="47">
        <v>10000</v>
      </c>
      <c r="H12" s="77">
        <v>374</v>
      </c>
      <c r="I12" s="78">
        <f t="shared" si="0"/>
        <v>3740000</v>
      </c>
      <c r="J12" s="33"/>
      <c r="K12" s="33"/>
    </row>
    <row r="13" spans="1:11" ht="45.75" customHeight="1" x14ac:dyDescent="0.2">
      <c r="A13" s="43">
        <v>4</v>
      </c>
      <c r="B13" s="50" t="s">
        <v>67</v>
      </c>
      <c r="C13" s="63" t="s">
        <v>64</v>
      </c>
      <c r="D13" s="45">
        <v>252</v>
      </c>
      <c r="E13" s="53" t="s">
        <v>110</v>
      </c>
      <c r="F13" s="43" t="s">
        <v>15</v>
      </c>
      <c r="G13" s="47">
        <v>120000</v>
      </c>
      <c r="H13" s="48">
        <v>29.5</v>
      </c>
      <c r="I13" s="49">
        <f t="shared" si="0"/>
        <v>3540000</v>
      </c>
      <c r="J13" s="32"/>
      <c r="K13" s="33"/>
    </row>
    <row r="14" spans="1:11" ht="38.25" customHeight="1" x14ac:dyDescent="0.2">
      <c r="A14" s="43">
        <v>5</v>
      </c>
      <c r="B14" s="50" t="s">
        <v>68</v>
      </c>
      <c r="C14" s="63" t="s">
        <v>64</v>
      </c>
      <c r="D14" s="45">
        <v>252</v>
      </c>
      <c r="E14" s="53" t="s">
        <v>111</v>
      </c>
      <c r="F14" s="43" t="s">
        <v>15</v>
      </c>
      <c r="G14" s="47">
        <v>50000</v>
      </c>
      <c r="H14" s="48">
        <v>7.85</v>
      </c>
      <c r="I14" s="49">
        <f t="shared" si="0"/>
        <v>392500</v>
      </c>
      <c r="J14" s="32"/>
      <c r="K14" s="33"/>
    </row>
    <row r="15" spans="1:11" ht="46.5" customHeight="1" x14ac:dyDescent="0.2">
      <c r="A15" s="43">
        <v>6</v>
      </c>
      <c r="B15" s="50" t="s">
        <v>69</v>
      </c>
      <c r="C15" s="63" t="s">
        <v>64</v>
      </c>
      <c r="D15" s="45">
        <v>252</v>
      </c>
      <c r="E15" s="53" t="s">
        <v>112</v>
      </c>
      <c r="F15" s="43" t="s">
        <v>17</v>
      </c>
      <c r="G15" s="47">
        <v>4000</v>
      </c>
      <c r="H15" s="48">
        <v>210</v>
      </c>
      <c r="I15" s="49">
        <f t="shared" si="0"/>
        <v>840000</v>
      </c>
      <c r="J15" s="32"/>
      <c r="K15" s="33"/>
    </row>
    <row r="16" spans="1:11" ht="48.75" customHeight="1" x14ac:dyDescent="0.2">
      <c r="A16" s="43">
        <v>7</v>
      </c>
      <c r="B16" s="50" t="s">
        <v>70</v>
      </c>
      <c r="C16" s="63" t="s">
        <v>64</v>
      </c>
      <c r="D16" s="45">
        <v>252</v>
      </c>
      <c r="E16" s="53" t="s">
        <v>113</v>
      </c>
      <c r="F16" s="43" t="s">
        <v>16</v>
      </c>
      <c r="G16" s="47">
        <v>14000</v>
      </c>
      <c r="H16" s="48">
        <v>99</v>
      </c>
      <c r="I16" s="49">
        <f t="shared" si="0"/>
        <v>1386000</v>
      </c>
      <c r="J16" s="32"/>
      <c r="K16" s="33"/>
    </row>
    <row r="17" spans="1:13" ht="45.75" customHeight="1" x14ac:dyDescent="0.2">
      <c r="A17" s="43">
        <v>8</v>
      </c>
      <c r="B17" s="50" t="s">
        <v>72</v>
      </c>
      <c r="C17" s="63" t="s">
        <v>64</v>
      </c>
      <c r="D17" s="45">
        <v>252</v>
      </c>
      <c r="E17" s="53" t="s">
        <v>115</v>
      </c>
      <c r="F17" s="43" t="s">
        <v>17</v>
      </c>
      <c r="G17" s="47">
        <v>3000</v>
      </c>
      <c r="H17" s="48">
        <v>310</v>
      </c>
      <c r="I17" s="49">
        <f t="shared" si="0"/>
        <v>930000</v>
      </c>
      <c r="J17" s="32"/>
      <c r="K17" s="33"/>
    </row>
    <row r="18" spans="1:13" ht="49.5" customHeight="1" x14ac:dyDescent="0.2">
      <c r="A18" s="43">
        <v>9</v>
      </c>
      <c r="B18" s="50" t="s">
        <v>71</v>
      </c>
      <c r="C18" s="63" t="s">
        <v>64</v>
      </c>
      <c r="D18" s="45">
        <v>252</v>
      </c>
      <c r="E18" s="51" t="s">
        <v>114</v>
      </c>
      <c r="F18" s="43" t="s">
        <v>15</v>
      </c>
      <c r="G18" s="47">
        <v>25000</v>
      </c>
      <c r="H18" s="48">
        <v>36</v>
      </c>
      <c r="I18" s="49">
        <f t="shared" si="0"/>
        <v>900000</v>
      </c>
      <c r="J18" s="32"/>
      <c r="K18" s="33"/>
    </row>
    <row r="19" spans="1:13" ht="39" customHeight="1" x14ac:dyDescent="0.2">
      <c r="A19" s="43">
        <v>10</v>
      </c>
      <c r="B19" s="43" t="s">
        <v>153</v>
      </c>
      <c r="C19" s="63" t="s">
        <v>64</v>
      </c>
      <c r="D19" s="61">
        <v>252</v>
      </c>
      <c r="E19" s="54" t="s">
        <v>152</v>
      </c>
      <c r="F19" s="43" t="s">
        <v>16</v>
      </c>
      <c r="G19" s="47">
        <v>500</v>
      </c>
      <c r="H19" s="48">
        <v>1420</v>
      </c>
      <c r="I19" s="62">
        <f t="shared" si="0"/>
        <v>710000</v>
      </c>
      <c r="J19" s="33"/>
      <c r="K19" s="33"/>
    </row>
    <row r="20" spans="1:13" ht="44.25" customHeight="1" x14ac:dyDescent="0.2">
      <c r="A20" s="43">
        <v>11</v>
      </c>
      <c r="B20" s="50" t="s">
        <v>73</v>
      </c>
      <c r="C20" s="63" t="s">
        <v>64</v>
      </c>
      <c r="D20" s="45">
        <v>252</v>
      </c>
      <c r="E20" s="53" t="s">
        <v>116</v>
      </c>
      <c r="F20" s="43" t="s">
        <v>15</v>
      </c>
      <c r="G20" s="47">
        <v>100000</v>
      </c>
      <c r="H20" s="48">
        <v>13.9</v>
      </c>
      <c r="I20" s="49">
        <f t="shared" si="0"/>
        <v>1390000</v>
      </c>
      <c r="J20" s="32"/>
      <c r="K20" s="33"/>
    </row>
    <row r="21" spans="1:13" ht="54" customHeight="1" x14ac:dyDescent="0.2">
      <c r="A21" s="43">
        <v>12</v>
      </c>
      <c r="B21" s="50" t="s">
        <v>74</v>
      </c>
      <c r="C21" s="63" t="s">
        <v>64</v>
      </c>
      <c r="D21" s="45">
        <v>252</v>
      </c>
      <c r="E21" s="53" t="s">
        <v>117</v>
      </c>
      <c r="F21" s="43" t="s">
        <v>17</v>
      </c>
      <c r="G21" s="47">
        <v>1000</v>
      </c>
      <c r="H21" s="48">
        <v>350</v>
      </c>
      <c r="I21" s="49">
        <f t="shared" si="0"/>
        <v>350000</v>
      </c>
      <c r="J21" s="32"/>
      <c r="K21" s="33"/>
    </row>
    <row r="22" spans="1:13" ht="52.5" customHeight="1" x14ac:dyDescent="0.2">
      <c r="A22" s="43">
        <v>13</v>
      </c>
      <c r="B22" s="50" t="s">
        <v>75</v>
      </c>
      <c r="C22" s="63" t="s">
        <v>64</v>
      </c>
      <c r="D22" s="45">
        <v>252</v>
      </c>
      <c r="E22" s="53" t="s">
        <v>118</v>
      </c>
      <c r="F22" s="43" t="s">
        <v>16</v>
      </c>
      <c r="G22" s="47">
        <v>12000</v>
      </c>
      <c r="H22" s="48">
        <v>145</v>
      </c>
      <c r="I22" s="49">
        <f t="shared" si="0"/>
        <v>1740000</v>
      </c>
      <c r="J22" s="32"/>
      <c r="K22" s="33"/>
    </row>
    <row r="23" spans="1:13" ht="41.25" customHeight="1" x14ac:dyDescent="0.2">
      <c r="A23" s="43">
        <v>14</v>
      </c>
      <c r="B23" s="50" t="s">
        <v>76</v>
      </c>
      <c r="C23" s="63" t="s">
        <v>64</v>
      </c>
      <c r="D23" s="45">
        <v>252</v>
      </c>
      <c r="E23" s="53" t="s">
        <v>119</v>
      </c>
      <c r="F23" s="43" t="s">
        <v>16</v>
      </c>
      <c r="G23" s="47">
        <v>15000</v>
      </c>
      <c r="H23" s="48">
        <v>130</v>
      </c>
      <c r="I23" s="49">
        <f t="shared" si="0"/>
        <v>1950000</v>
      </c>
      <c r="J23" s="32"/>
      <c r="K23" s="33"/>
    </row>
    <row r="24" spans="1:13" ht="40.5" customHeight="1" x14ac:dyDescent="0.2">
      <c r="A24" s="43">
        <v>15</v>
      </c>
      <c r="B24" s="50" t="s">
        <v>77</v>
      </c>
      <c r="C24" s="63" t="s">
        <v>64</v>
      </c>
      <c r="D24" s="45">
        <v>252</v>
      </c>
      <c r="E24" s="53" t="s">
        <v>150</v>
      </c>
      <c r="F24" s="58" t="s">
        <v>167</v>
      </c>
      <c r="G24" s="47">
        <v>5000</v>
      </c>
      <c r="H24" s="48">
        <v>122</v>
      </c>
      <c r="I24" s="49">
        <f t="shared" si="0"/>
        <v>610000</v>
      </c>
      <c r="J24" s="69"/>
      <c r="K24" s="33"/>
      <c r="M24" s="40"/>
    </row>
    <row r="25" spans="1:13" ht="46.5" customHeight="1" x14ac:dyDescent="0.2">
      <c r="A25" s="43">
        <v>16</v>
      </c>
      <c r="B25" s="50" t="s">
        <v>78</v>
      </c>
      <c r="C25" s="63" t="s">
        <v>64</v>
      </c>
      <c r="D25" s="45">
        <v>252</v>
      </c>
      <c r="E25" s="52" t="s">
        <v>120</v>
      </c>
      <c r="F25" s="43" t="s">
        <v>15</v>
      </c>
      <c r="G25" s="47">
        <v>100000</v>
      </c>
      <c r="H25" s="48">
        <v>9.8000000000000007</v>
      </c>
      <c r="I25" s="49">
        <f t="shared" si="0"/>
        <v>980000.00000000012</v>
      </c>
      <c r="J25" s="32"/>
      <c r="K25" s="33"/>
    </row>
    <row r="26" spans="1:13" ht="38.25" customHeight="1" x14ac:dyDescent="0.2">
      <c r="A26" s="43">
        <v>17</v>
      </c>
      <c r="B26" s="50" t="s">
        <v>80</v>
      </c>
      <c r="C26" s="63" t="s">
        <v>64</v>
      </c>
      <c r="D26" s="45">
        <v>252</v>
      </c>
      <c r="E26" s="52" t="s">
        <v>121</v>
      </c>
      <c r="F26" s="43" t="s">
        <v>17</v>
      </c>
      <c r="G26" s="47">
        <v>2000</v>
      </c>
      <c r="H26" s="55">
        <v>698</v>
      </c>
      <c r="I26" s="49">
        <f t="shared" si="0"/>
        <v>1396000</v>
      </c>
      <c r="J26" s="32"/>
      <c r="K26" s="33"/>
    </row>
    <row r="27" spans="1:13" ht="37.5" customHeight="1" x14ac:dyDescent="0.2">
      <c r="A27" s="43">
        <v>18</v>
      </c>
      <c r="B27" s="50" t="s">
        <v>79</v>
      </c>
      <c r="C27" s="63" t="s">
        <v>64</v>
      </c>
      <c r="D27" s="45">
        <v>252</v>
      </c>
      <c r="E27" s="53" t="s">
        <v>122</v>
      </c>
      <c r="F27" s="43" t="s">
        <v>15</v>
      </c>
      <c r="G27" s="47">
        <v>25000</v>
      </c>
      <c r="H27" s="55">
        <v>35</v>
      </c>
      <c r="I27" s="49">
        <f t="shared" si="0"/>
        <v>875000</v>
      </c>
      <c r="J27" s="32"/>
      <c r="K27" s="33"/>
    </row>
    <row r="28" spans="1:13" ht="47.25" customHeight="1" x14ac:dyDescent="0.2">
      <c r="A28" s="43">
        <v>19</v>
      </c>
      <c r="B28" s="64" t="s">
        <v>155</v>
      </c>
      <c r="C28" s="65" t="s">
        <v>64</v>
      </c>
      <c r="D28" s="66">
        <v>252</v>
      </c>
      <c r="E28" s="73" t="s">
        <v>154</v>
      </c>
      <c r="F28" s="64" t="s">
        <v>19</v>
      </c>
      <c r="G28" s="47">
        <v>5</v>
      </c>
      <c r="H28" s="67">
        <v>358800</v>
      </c>
      <c r="I28" s="68">
        <f t="shared" si="0"/>
        <v>1794000</v>
      </c>
      <c r="J28" s="33"/>
      <c r="K28" s="33"/>
    </row>
    <row r="29" spans="1:13" ht="47.25" customHeight="1" x14ac:dyDescent="0.2">
      <c r="A29" s="43">
        <v>20</v>
      </c>
      <c r="B29" s="50" t="s">
        <v>81</v>
      </c>
      <c r="C29" s="63" t="s">
        <v>64</v>
      </c>
      <c r="D29" s="45">
        <v>252</v>
      </c>
      <c r="E29" s="51" t="s">
        <v>125</v>
      </c>
      <c r="F29" s="43" t="s">
        <v>15</v>
      </c>
      <c r="G29" s="47">
        <v>150150</v>
      </c>
      <c r="H29" s="55">
        <v>3.05</v>
      </c>
      <c r="I29" s="49">
        <f t="shared" ref="I29:I60" si="1">+G29*H29</f>
        <v>457957.5</v>
      </c>
      <c r="J29" s="32"/>
      <c r="K29" s="33"/>
    </row>
    <row r="30" spans="1:13" ht="45.75" customHeight="1" x14ac:dyDescent="0.2">
      <c r="A30" s="43">
        <v>21</v>
      </c>
      <c r="B30" s="50" t="s">
        <v>82</v>
      </c>
      <c r="C30" s="63" t="s">
        <v>64</v>
      </c>
      <c r="D30" s="45">
        <v>252</v>
      </c>
      <c r="E30" s="51" t="s">
        <v>149</v>
      </c>
      <c r="F30" s="43" t="s">
        <v>16</v>
      </c>
      <c r="G30" s="47">
        <v>100250</v>
      </c>
      <c r="H30" s="55">
        <v>35.9</v>
      </c>
      <c r="I30" s="49">
        <f t="shared" si="1"/>
        <v>3598975</v>
      </c>
      <c r="J30" s="32"/>
      <c r="K30" s="33"/>
      <c r="M30" s="41"/>
    </row>
    <row r="31" spans="1:13" ht="55.5" customHeight="1" x14ac:dyDescent="0.2">
      <c r="A31" s="43">
        <v>22</v>
      </c>
      <c r="B31" s="50" t="s">
        <v>83</v>
      </c>
      <c r="C31" s="63" t="s">
        <v>64</v>
      </c>
      <c r="D31" s="45">
        <v>252</v>
      </c>
      <c r="E31" s="53" t="s">
        <v>127</v>
      </c>
      <c r="F31" s="43" t="s">
        <v>16</v>
      </c>
      <c r="G31" s="47">
        <v>100500</v>
      </c>
      <c r="H31" s="55">
        <v>38.5</v>
      </c>
      <c r="I31" s="49">
        <f t="shared" si="1"/>
        <v>3869250</v>
      </c>
      <c r="J31" s="32"/>
      <c r="K31" s="33"/>
    </row>
    <row r="32" spans="1:13" ht="46.5" customHeight="1" x14ac:dyDescent="0.2">
      <c r="A32" s="43">
        <v>23</v>
      </c>
      <c r="B32" s="50" t="s">
        <v>84</v>
      </c>
      <c r="C32" s="63" t="s">
        <v>64</v>
      </c>
      <c r="D32" s="45">
        <v>252</v>
      </c>
      <c r="E32" s="51" t="s">
        <v>126</v>
      </c>
      <c r="F32" s="43" t="s">
        <v>17</v>
      </c>
      <c r="G32" s="47">
        <v>8000</v>
      </c>
      <c r="H32" s="48">
        <v>155</v>
      </c>
      <c r="I32" s="49">
        <f t="shared" si="1"/>
        <v>1240000</v>
      </c>
      <c r="J32" s="32"/>
      <c r="K32" s="33"/>
    </row>
    <row r="33" spans="1:13" ht="43.5" customHeight="1" x14ac:dyDescent="0.2">
      <c r="A33" s="182">
        <v>24</v>
      </c>
      <c r="B33" s="182" t="s">
        <v>157</v>
      </c>
      <c r="C33" s="183" t="s">
        <v>64</v>
      </c>
      <c r="D33" s="184">
        <v>252</v>
      </c>
      <c r="E33" s="185" t="s">
        <v>156</v>
      </c>
      <c r="F33" s="182" t="s">
        <v>20</v>
      </c>
      <c r="G33" s="186">
        <v>20</v>
      </c>
      <c r="H33" s="187">
        <v>460</v>
      </c>
      <c r="I33" s="188">
        <f t="shared" si="1"/>
        <v>9200</v>
      </c>
      <c r="J33" s="33"/>
      <c r="K33" s="33"/>
    </row>
    <row r="34" spans="1:13" ht="42.75" customHeight="1" x14ac:dyDescent="0.2">
      <c r="A34" s="43">
        <v>25</v>
      </c>
      <c r="B34" s="50" t="s">
        <v>85</v>
      </c>
      <c r="C34" s="63" t="s">
        <v>64</v>
      </c>
      <c r="D34" s="45">
        <v>252</v>
      </c>
      <c r="E34" s="51" t="s">
        <v>128</v>
      </c>
      <c r="F34" s="43" t="s">
        <v>15</v>
      </c>
      <c r="G34" s="47">
        <v>500</v>
      </c>
      <c r="H34" s="48">
        <v>32.5</v>
      </c>
      <c r="I34" s="49">
        <f t="shared" si="1"/>
        <v>16250</v>
      </c>
      <c r="J34" s="32"/>
      <c r="K34" s="33"/>
    </row>
    <row r="35" spans="1:13" ht="48" customHeight="1" x14ac:dyDescent="0.2">
      <c r="A35" s="43">
        <v>26</v>
      </c>
      <c r="B35" s="50" t="s">
        <v>86</v>
      </c>
      <c r="C35" s="63" t="s">
        <v>64</v>
      </c>
      <c r="D35" s="45">
        <v>252</v>
      </c>
      <c r="E35" s="53" t="s">
        <v>129</v>
      </c>
      <c r="F35" s="43" t="s">
        <v>20</v>
      </c>
      <c r="G35" s="47">
        <v>50</v>
      </c>
      <c r="H35" s="48">
        <v>986</v>
      </c>
      <c r="I35" s="49">
        <f t="shared" si="1"/>
        <v>49300</v>
      </c>
      <c r="J35" s="32"/>
      <c r="K35" s="33"/>
    </row>
    <row r="36" spans="1:13" ht="40.5" customHeight="1" x14ac:dyDescent="0.2">
      <c r="A36" s="43">
        <v>27</v>
      </c>
      <c r="B36" s="50" t="s">
        <v>87</v>
      </c>
      <c r="C36" s="63" t="s">
        <v>64</v>
      </c>
      <c r="D36" s="45">
        <v>252</v>
      </c>
      <c r="E36" s="52" t="s">
        <v>130</v>
      </c>
      <c r="F36" s="43" t="s">
        <v>16</v>
      </c>
      <c r="G36" s="47">
        <v>6000</v>
      </c>
      <c r="H36" s="48">
        <v>45</v>
      </c>
      <c r="I36" s="49">
        <f t="shared" si="1"/>
        <v>270000</v>
      </c>
      <c r="J36" s="32"/>
      <c r="K36" s="33"/>
    </row>
    <row r="37" spans="1:13" ht="37.5" customHeight="1" x14ac:dyDescent="0.2">
      <c r="A37" s="43">
        <v>28</v>
      </c>
      <c r="B37" s="50" t="s">
        <v>88</v>
      </c>
      <c r="C37" s="63" t="s">
        <v>64</v>
      </c>
      <c r="D37" s="45">
        <v>252</v>
      </c>
      <c r="E37" s="52" t="s">
        <v>131</v>
      </c>
      <c r="F37" s="43" t="s">
        <v>17</v>
      </c>
      <c r="G37" s="47">
        <v>15050</v>
      </c>
      <c r="H37" s="48">
        <v>85</v>
      </c>
      <c r="I37" s="49">
        <f t="shared" si="1"/>
        <v>1279250</v>
      </c>
      <c r="J37" s="32"/>
      <c r="K37" s="33"/>
    </row>
    <row r="38" spans="1:13" ht="42" customHeight="1" x14ac:dyDescent="0.2">
      <c r="A38" s="43">
        <v>29</v>
      </c>
      <c r="B38" s="50" t="s">
        <v>89</v>
      </c>
      <c r="C38" s="63" t="s">
        <v>64</v>
      </c>
      <c r="D38" s="45">
        <v>252</v>
      </c>
      <c r="E38" s="51" t="s">
        <v>132</v>
      </c>
      <c r="F38" s="43" t="s">
        <v>16</v>
      </c>
      <c r="G38" s="47">
        <v>100000</v>
      </c>
      <c r="H38" s="48">
        <v>45</v>
      </c>
      <c r="I38" s="49">
        <f t="shared" si="1"/>
        <v>4500000</v>
      </c>
      <c r="J38" s="32"/>
      <c r="K38" s="33"/>
    </row>
    <row r="39" spans="1:13" ht="38.25" customHeight="1" x14ac:dyDescent="0.2">
      <c r="A39" s="43">
        <v>30</v>
      </c>
      <c r="B39" s="50" t="s">
        <v>90</v>
      </c>
      <c r="C39" s="63" t="s">
        <v>64</v>
      </c>
      <c r="D39" s="45">
        <v>252</v>
      </c>
      <c r="E39" s="52" t="s">
        <v>133</v>
      </c>
      <c r="F39" s="43" t="s">
        <v>15</v>
      </c>
      <c r="G39" s="47">
        <v>250</v>
      </c>
      <c r="H39" s="48">
        <v>4.8</v>
      </c>
      <c r="I39" s="49">
        <f t="shared" si="1"/>
        <v>1200</v>
      </c>
      <c r="J39" s="32"/>
      <c r="K39" s="33"/>
    </row>
    <row r="40" spans="1:13" ht="49.5" customHeight="1" x14ac:dyDescent="0.2">
      <c r="A40" s="43">
        <v>31</v>
      </c>
      <c r="B40" s="44" t="s">
        <v>92</v>
      </c>
      <c r="C40" s="63" t="s">
        <v>64</v>
      </c>
      <c r="D40" s="45">
        <v>252</v>
      </c>
      <c r="E40" s="54" t="s">
        <v>134</v>
      </c>
      <c r="F40" s="43" t="s">
        <v>15</v>
      </c>
      <c r="G40" s="47">
        <v>100</v>
      </c>
      <c r="H40" s="48">
        <v>3.3</v>
      </c>
      <c r="I40" s="49">
        <f t="shared" si="1"/>
        <v>330</v>
      </c>
      <c r="J40" s="32"/>
      <c r="K40" s="33"/>
    </row>
    <row r="41" spans="1:13" ht="49.5" customHeight="1" x14ac:dyDescent="0.2">
      <c r="A41" s="43">
        <v>32</v>
      </c>
      <c r="B41" s="44" t="s">
        <v>91</v>
      </c>
      <c r="C41" s="63" t="s">
        <v>64</v>
      </c>
      <c r="D41" s="45">
        <v>252</v>
      </c>
      <c r="E41" s="54" t="s">
        <v>135</v>
      </c>
      <c r="F41" s="43" t="s">
        <v>16</v>
      </c>
      <c r="G41" s="47">
        <v>10100</v>
      </c>
      <c r="H41" s="48">
        <v>56</v>
      </c>
      <c r="I41" s="49">
        <f t="shared" si="1"/>
        <v>565600</v>
      </c>
      <c r="J41" s="32"/>
      <c r="K41" s="33"/>
    </row>
    <row r="42" spans="1:13" ht="51" customHeight="1" x14ac:dyDescent="0.2">
      <c r="A42" s="43">
        <v>33</v>
      </c>
      <c r="B42" s="44" t="s">
        <v>95</v>
      </c>
      <c r="C42" s="63" t="s">
        <v>64</v>
      </c>
      <c r="D42" s="45">
        <v>252</v>
      </c>
      <c r="E42" s="54" t="s">
        <v>136</v>
      </c>
      <c r="F42" s="43" t="s">
        <v>16</v>
      </c>
      <c r="G42" s="47">
        <v>12000</v>
      </c>
      <c r="H42" s="48">
        <v>35</v>
      </c>
      <c r="I42" s="49">
        <f t="shared" si="1"/>
        <v>420000</v>
      </c>
      <c r="J42" s="32"/>
      <c r="K42" s="33"/>
    </row>
    <row r="43" spans="1:13" ht="51" customHeight="1" x14ac:dyDescent="0.2">
      <c r="A43" s="43">
        <v>34</v>
      </c>
      <c r="B43" s="44" t="s">
        <v>94</v>
      </c>
      <c r="C43" s="63" t="s">
        <v>64</v>
      </c>
      <c r="D43" s="45">
        <v>252</v>
      </c>
      <c r="E43" s="54" t="s">
        <v>137</v>
      </c>
      <c r="F43" s="43" t="s">
        <v>16</v>
      </c>
      <c r="G43" s="47">
        <v>50</v>
      </c>
      <c r="H43" s="48">
        <v>325</v>
      </c>
      <c r="I43" s="49">
        <f t="shared" si="1"/>
        <v>16250</v>
      </c>
      <c r="J43" s="32"/>
      <c r="K43" s="33"/>
    </row>
    <row r="44" spans="1:13" ht="53.25" customHeight="1" x14ac:dyDescent="0.2">
      <c r="A44" s="43">
        <v>35</v>
      </c>
      <c r="B44" s="44" t="s">
        <v>93</v>
      </c>
      <c r="C44" s="63" t="s">
        <v>64</v>
      </c>
      <c r="D44" s="45">
        <v>252</v>
      </c>
      <c r="E44" s="54" t="s">
        <v>138</v>
      </c>
      <c r="F44" s="43" t="s">
        <v>16</v>
      </c>
      <c r="G44" s="47">
        <v>1000</v>
      </c>
      <c r="H44" s="56">
        <v>493</v>
      </c>
      <c r="I44" s="49">
        <f t="shared" si="1"/>
        <v>493000</v>
      </c>
      <c r="J44" s="32"/>
      <c r="K44" s="33"/>
    </row>
    <row r="45" spans="1:13" ht="45" customHeight="1" x14ac:dyDescent="0.2">
      <c r="A45" s="43">
        <v>36</v>
      </c>
      <c r="B45" s="44" t="s">
        <v>97</v>
      </c>
      <c r="C45" s="63" t="s">
        <v>64</v>
      </c>
      <c r="D45" s="45">
        <v>252</v>
      </c>
      <c r="E45" s="54" t="s">
        <v>139</v>
      </c>
      <c r="F45" s="43" t="s">
        <v>20</v>
      </c>
      <c r="G45" s="47">
        <v>20</v>
      </c>
      <c r="H45" s="48">
        <v>640</v>
      </c>
      <c r="I45" s="49">
        <f t="shared" si="1"/>
        <v>12800</v>
      </c>
      <c r="J45" s="32"/>
      <c r="K45" s="33"/>
    </row>
    <row r="46" spans="1:13" ht="47.25" customHeight="1" x14ac:dyDescent="0.2">
      <c r="A46" s="43">
        <v>37</v>
      </c>
      <c r="B46" s="44" t="s">
        <v>96</v>
      </c>
      <c r="C46" s="63" t="s">
        <v>64</v>
      </c>
      <c r="D46" s="45">
        <v>252</v>
      </c>
      <c r="E46" s="54" t="s">
        <v>140</v>
      </c>
      <c r="F46" s="43" t="s">
        <v>20</v>
      </c>
      <c r="G46" s="47">
        <v>30</v>
      </c>
      <c r="H46" s="48">
        <v>390</v>
      </c>
      <c r="I46" s="49">
        <f t="shared" si="1"/>
        <v>11700</v>
      </c>
      <c r="J46" s="32"/>
      <c r="K46" s="33"/>
    </row>
    <row r="47" spans="1:13" ht="38.25" customHeight="1" x14ac:dyDescent="0.2">
      <c r="A47" s="43">
        <v>38</v>
      </c>
      <c r="B47" s="44" t="s">
        <v>99</v>
      </c>
      <c r="C47" s="63" t="s">
        <v>64</v>
      </c>
      <c r="D47" s="45">
        <v>252</v>
      </c>
      <c r="E47" s="54" t="s">
        <v>141</v>
      </c>
      <c r="F47" s="43" t="s">
        <v>15</v>
      </c>
      <c r="G47" s="47">
        <v>40000</v>
      </c>
      <c r="H47" s="48">
        <v>7.3</v>
      </c>
      <c r="I47" s="49">
        <f t="shared" si="1"/>
        <v>292000</v>
      </c>
      <c r="J47" s="32"/>
      <c r="K47" s="33"/>
      <c r="M47" s="42"/>
    </row>
    <row r="48" spans="1:13" ht="46.5" customHeight="1" x14ac:dyDescent="0.2">
      <c r="A48" s="43">
        <v>39</v>
      </c>
      <c r="B48" s="50" t="s">
        <v>98</v>
      </c>
      <c r="C48" s="63" t="s">
        <v>64</v>
      </c>
      <c r="D48" s="45">
        <v>252</v>
      </c>
      <c r="E48" s="53" t="s">
        <v>143</v>
      </c>
      <c r="F48" s="43" t="s">
        <v>20</v>
      </c>
      <c r="G48" s="47">
        <v>5000</v>
      </c>
      <c r="H48" s="48">
        <v>118</v>
      </c>
      <c r="I48" s="49">
        <f t="shared" si="1"/>
        <v>590000</v>
      </c>
      <c r="J48" s="32"/>
      <c r="K48" s="33"/>
    </row>
    <row r="49" spans="1:11" ht="45" customHeight="1" x14ac:dyDescent="0.2">
      <c r="A49" s="43">
        <v>40</v>
      </c>
      <c r="B49" s="44" t="s">
        <v>100</v>
      </c>
      <c r="C49" s="63" t="s">
        <v>64</v>
      </c>
      <c r="D49" s="45">
        <v>252</v>
      </c>
      <c r="E49" s="46" t="s">
        <v>142</v>
      </c>
      <c r="F49" s="43" t="s">
        <v>16</v>
      </c>
      <c r="G49" s="47">
        <v>200</v>
      </c>
      <c r="H49" s="48">
        <v>159</v>
      </c>
      <c r="I49" s="49">
        <f t="shared" si="1"/>
        <v>31800</v>
      </c>
      <c r="J49" s="32"/>
      <c r="K49" s="33"/>
    </row>
    <row r="50" spans="1:11" ht="43.5" customHeight="1" x14ac:dyDescent="0.2">
      <c r="A50" s="43">
        <v>41</v>
      </c>
      <c r="B50" s="50" t="s">
        <v>101</v>
      </c>
      <c r="C50" s="63" t="s">
        <v>64</v>
      </c>
      <c r="D50" s="45">
        <v>252</v>
      </c>
      <c r="E50" s="53" t="s">
        <v>144</v>
      </c>
      <c r="F50" s="43" t="s">
        <v>16</v>
      </c>
      <c r="G50" s="47">
        <v>1000</v>
      </c>
      <c r="H50" s="48">
        <v>120</v>
      </c>
      <c r="I50" s="49">
        <f t="shared" si="1"/>
        <v>120000</v>
      </c>
      <c r="J50" s="32"/>
      <c r="K50" s="33"/>
    </row>
    <row r="51" spans="1:11" ht="42" customHeight="1" x14ac:dyDescent="0.2">
      <c r="A51" s="43">
        <v>42</v>
      </c>
      <c r="B51" s="50" t="s">
        <v>102</v>
      </c>
      <c r="C51" s="63" t="s">
        <v>64</v>
      </c>
      <c r="D51" s="45">
        <v>252</v>
      </c>
      <c r="E51" s="53" t="s">
        <v>145</v>
      </c>
      <c r="F51" s="43" t="s">
        <v>15</v>
      </c>
      <c r="G51" s="47">
        <v>10000</v>
      </c>
      <c r="H51" s="48">
        <v>16.8</v>
      </c>
      <c r="I51" s="49">
        <f t="shared" si="1"/>
        <v>168000</v>
      </c>
      <c r="J51" s="32"/>
      <c r="K51" s="33"/>
    </row>
    <row r="52" spans="1:11" ht="38.25" customHeight="1" x14ac:dyDescent="0.2">
      <c r="A52" s="43">
        <v>43</v>
      </c>
      <c r="B52" s="43" t="s">
        <v>159</v>
      </c>
      <c r="C52" s="63" t="s">
        <v>64</v>
      </c>
      <c r="D52" s="45">
        <v>252</v>
      </c>
      <c r="E52" s="53" t="s">
        <v>158</v>
      </c>
      <c r="F52" s="43" t="s">
        <v>15</v>
      </c>
      <c r="G52" s="47">
        <v>20500</v>
      </c>
      <c r="H52" s="48">
        <v>9.8000000000000007</v>
      </c>
      <c r="I52" s="49">
        <f t="shared" si="1"/>
        <v>200900.00000000003</v>
      </c>
      <c r="J52" s="33"/>
      <c r="K52" s="33"/>
    </row>
    <row r="53" spans="1:11" ht="33" customHeight="1" x14ac:dyDescent="0.2">
      <c r="A53" s="43">
        <v>44</v>
      </c>
      <c r="B53" s="43" t="s">
        <v>161</v>
      </c>
      <c r="C53" s="63" t="s">
        <v>64</v>
      </c>
      <c r="D53" s="45">
        <v>252</v>
      </c>
      <c r="E53" s="54" t="s">
        <v>160</v>
      </c>
      <c r="F53" s="43" t="s">
        <v>17</v>
      </c>
      <c r="G53" s="47">
        <v>10000</v>
      </c>
      <c r="H53" s="48">
        <v>165</v>
      </c>
      <c r="I53" s="49">
        <f t="shared" si="1"/>
        <v>1650000</v>
      </c>
      <c r="J53" s="33"/>
      <c r="K53" s="33"/>
    </row>
    <row r="54" spans="1:11" ht="32.25" customHeight="1" x14ac:dyDescent="0.2">
      <c r="A54" s="43">
        <v>45</v>
      </c>
      <c r="B54" s="43" t="s">
        <v>163</v>
      </c>
      <c r="C54" s="63" t="s">
        <v>64</v>
      </c>
      <c r="D54" s="45">
        <v>252</v>
      </c>
      <c r="E54" s="54" t="s">
        <v>162</v>
      </c>
      <c r="F54" s="43" t="s">
        <v>15</v>
      </c>
      <c r="G54" s="47">
        <v>120000</v>
      </c>
      <c r="H54" s="48">
        <v>5.3</v>
      </c>
      <c r="I54" s="49">
        <f t="shared" si="1"/>
        <v>636000</v>
      </c>
      <c r="J54" s="33"/>
      <c r="K54" s="33"/>
    </row>
    <row r="55" spans="1:11" ht="40.5" customHeight="1" x14ac:dyDescent="0.2">
      <c r="A55" s="43">
        <v>46</v>
      </c>
      <c r="B55" s="50" t="s">
        <v>104</v>
      </c>
      <c r="C55" s="63" t="s">
        <v>64</v>
      </c>
      <c r="D55" s="45">
        <v>252</v>
      </c>
      <c r="E55" s="53" t="s">
        <v>146</v>
      </c>
      <c r="F55" s="43" t="s">
        <v>16</v>
      </c>
      <c r="G55" s="47">
        <v>1000</v>
      </c>
      <c r="H55" s="48">
        <v>189</v>
      </c>
      <c r="I55" s="49">
        <f t="shared" si="1"/>
        <v>189000</v>
      </c>
      <c r="J55" s="32"/>
      <c r="K55" s="33"/>
    </row>
    <row r="56" spans="1:11" ht="45" customHeight="1" x14ac:dyDescent="0.2">
      <c r="A56" s="43">
        <v>47</v>
      </c>
      <c r="B56" s="50" t="s">
        <v>103</v>
      </c>
      <c r="C56" s="63" t="s">
        <v>64</v>
      </c>
      <c r="D56" s="45">
        <v>252</v>
      </c>
      <c r="E56" s="53" t="s">
        <v>147</v>
      </c>
      <c r="F56" s="43" t="s">
        <v>16</v>
      </c>
      <c r="G56" s="47">
        <v>5000</v>
      </c>
      <c r="H56" s="55">
        <v>256</v>
      </c>
      <c r="I56" s="49">
        <f t="shared" si="1"/>
        <v>1280000</v>
      </c>
      <c r="J56" s="32"/>
      <c r="K56" s="33"/>
    </row>
    <row r="57" spans="1:11" ht="27" customHeight="1" x14ac:dyDescent="0.2">
      <c r="A57" s="43">
        <v>48</v>
      </c>
      <c r="B57" s="43" t="s">
        <v>165</v>
      </c>
      <c r="C57" s="63" t="s">
        <v>64</v>
      </c>
      <c r="D57" s="45">
        <v>252</v>
      </c>
      <c r="E57" s="54" t="s">
        <v>164</v>
      </c>
      <c r="F57" s="43" t="s">
        <v>20</v>
      </c>
      <c r="G57" s="47">
        <v>2000</v>
      </c>
      <c r="H57" s="55">
        <v>958</v>
      </c>
      <c r="I57" s="49">
        <f t="shared" si="1"/>
        <v>1916000</v>
      </c>
      <c r="J57" s="33"/>
      <c r="K57" s="33"/>
    </row>
    <row r="58" spans="1:11" ht="59.25" customHeight="1" x14ac:dyDescent="0.2">
      <c r="A58" s="43">
        <v>49</v>
      </c>
      <c r="B58" s="70" t="s">
        <v>106</v>
      </c>
      <c r="C58" s="65" t="s">
        <v>64</v>
      </c>
      <c r="D58" s="66">
        <v>252</v>
      </c>
      <c r="E58" s="72" t="s">
        <v>124</v>
      </c>
      <c r="F58" s="64" t="s">
        <v>17</v>
      </c>
      <c r="G58" s="47">
        <v>20</v>
      </c>
      <c r="H58" s="67">
        <v>1602</v>
      </c>
      <c r="I58" s="68">
        <f t="shared" si="1"/>
        <v>32040</v>
      </c>
      <c r="J58" s="32"/>
      <c r="K58" s="33"/>
    </row>
    <row r="59" spans="1:11" ht="37.5" customHeight="1" x14ac:dyDescent="0.2">
      <c r="A59" s="43">
        <v>50</v>
      </c>
      <c r="B59" s="50" t="s">
        <v>105</v>
      </c>
      <c r="C59" s="63" t="s">
        <v>64</v>
      </c>
      <c r="D59" s="45">
        <v>252</v>
      </c>
      <c r="E59" s="53" t="s">
        <v>123</v>
      </c>
      <c r="F59" s="43" t="s">
        <v>18</v>
      </c>
      <c r="G59" s="47">
        <v>500</v>
      </c>
      <c r="H59" s="55">
        <v>45</v>
      </c>
      <c r="I59" s="49">
        <f t="shared" si="1"/>
        <v>22500</v>
      </c>
      <c r="J59" s="32"/>
      <c r="K59" s="33"/>
    </row>
    <row r="60" spans="1:11" ht="50.25" customHeight="1" thickBot="1" x14ac:dyDescent="0.25">
      <c r="A60" s="43">
        <v>51</v>
      </c>
      <c r="B60" s="118" t="s">
        <v>107</v>
      </c>
      <c r="C60" s="119" t="s">
        <v>64</v>
      </c>
      <c r="D60" s="120">
        <v>252</v>
      </c>
      <c r="E60" s="121" t="s">
        <v>148</v>
      </c>
      <c r="F60" s="117" t="s">
        <v>17</v>
      </c>
      <c r="G60" s="122">
        <v>10</v>
      </c>
      <c r="H60" s="123">
        <v>13840</v>
      </c>
      <c r="I60" s="124">
        <f t="shared" si="1"/>
        <v>138400</v>
      </c>
      <c r="J60" s="36"/>
      <c r="K60" s="5"/>
    </row>
    <row r="61" spans="1:11" s="97" customFormat="1" ht="13.5" thickBot="1" x14ac:dyDescent="0.25">
      <c r="A61" s="204" t="s">
        <v>170</v>
      </c>
      <c r="B61" s="205"/>
      <c r="C61" s="205"/>
      <c r="D61" s="205"/>
      <c r="E61" s="205"/>
      <c r="F61" s="205"/>
      <c r="G61" s="205"/>
      <c r="H61" s="206"/>
      <c r="I61" s="125">
        <f>SUM(I10:I60)</f>
        <v>47689980</v>
      </c>
      <c r="J61" s="32"/>
      <c r="K61" s="107"/>
    </row>
    <row r="62" spans="1:11" s="97" customFormat="1" ht="13.5" thickBot="1" x14ac:dyDescent="0.25">
      <c r="A62" s="99"/>
      <c r="B62" s="100"/>
      <c r="C62" s="101"/>
      <c r="D62" s="102"/>
      <c r="E62" s="103"/>
      <c r="F62" s="99"/>
      <c r="G62" s="104"/>
      <c r="H62" s="105"/>
      <c r="I62" s="106"/>
      <c r="J62" s="32"/>
      <c r="K62" s="107"/>
    </row>
    <row r="63" spans="1:11" ht="105" customHeight="1" x14ac:dyDescent="0.2">
      <c r="C63" s="126" t="s">
        <v>171</v>
      </c>
      <c r="D63" s="207" t="s">
        <v>172</v>
      </c>
      <c r="E63" s="208"/>
    </row>
    <row r="64" spans="1:11" s="98" customFormat="1" ht="15" customHeight="1" x14ac:dyDescent="0.2">
      <c r="B64" s="32"/>
      <c r="C64" s="127"/>
      <c r="D64" s="128"/>
      <c r="E64" s="137"/>
      <c r="H64" s="32"/>
      <c r="K64" s="35"/>
    </row>
    <row r="65" spans="2:11" s="98" customFormat="1" ht="15" customHeight="1" x14ac:dyDescent="0.25">
      <c r="B65" s="32"/>
      <c r="C65" s="129" t="s">
        <v>173</v>
      </c>
      <c r="D65" s="130" t="s">
        <v>174</v>
      </c>
      <c r="E65" s="137"/>
      <c r="H65" s="32"/>
      <c r="K65" s="35"/>
    </row>
    <row r="66" spans="2:11" s="98" customFormat="1" ht="15" customHeight="1" x14ac:dyDescent="0.25">
      <c r="B66" s="32"/>
      <c r="C66" s="129"/>
      <c r="D66" s="131"/>
      <c r="E66" s="137"/>
      <c r="H66" s="32"/>
      <c r="K66" s="35"/>
    </row>
    <row r="67" spans="2:11" s="98" customFormat="1" ht="51.75" customHeight="1" x14ac:dyDescent="0.2">
      <c r="B67" s="32"/>
      <c r="C67" s="211" t="s">
        <v>175</v>
      </c>
      <c r="D67" s="209" t="s">
        <v>190</v>
      </c>
      <c r="E67" s="210"/>
      <c r="H67" s="32"/>
      <c r="K67" s="35"/>
    </row>
    <row r="68" spans="2:11" s="98" customFormat="1" ht="33" customHeight="1" x14ac:dyDescent="0.2">
      <c r="B68" s="32"/>
      <c r="C68" s="211"/>
      <c r="D68" s="209" t="s">
        <v>191</v>
      </c>
      <c r="E68" s="210"/>
      <c r="H68" s="32"/>
      <c r="K68" s="35"/>
    </row>
    <row r="69" spans="2:11" s="98" customFormat="1" ht="15" customHeight="1" x14ac:dyDescent="0.25">
      <c r="B69" s="32"/>
      <c r="C69" s="129"/>
      <c r="D69" s="132"/>
      <c r="E69" s="137"/>
      <c r="H69" s="32"/>
      <c r="K69" s="35"/>
    </row>
    <row r="70" spans="2:11" s="98" customFormat="1" ht="15" customHeight="1" x14ac:dyDescent="0.25">
      <c r="B70" s="32"/>
      <c r="C70" s="133" t="s">
        <v>176</v>
      </c>
      <c r="D70" s="134"/>
      <c r="E70" s="137"/>
      <c r="H70" s="32"/>
      <c r="K70" s="35"/>
    </row>
    <row r="71" spans="2:11" s="98" customFormat="1" ht="15" customHeight="1" x14ac:dyDescent="0.25">
      <c r="B71" s="32"/>
      <c r="C71" s="133"/>
      <c r="D71" s="134"/>
      <c r="E71" s="137"/>
      <c r="H71" s="32"/>
      <c r="K71" s="35"/>
    </row>
    <row r="72" spans="2:11" s="98" customFormat="1" ht="15" customHeight="1" thickBot="1" x14ac:dyDescent="0.3">
      <c r="B72" s="32"/>
      <c r="C72" s="135" t="s">
        <v>177</v>
      </c>
      <c r="D72" s="136" t="s">
        <v>178</v>
      </c>
      <c r="E72" s="138"/>
      <c r="H72" s="32"/>
      <c r="K72" s="35"/>
    </row>
    <row r="73" spans="2:11" s="98" customFormat="1" ht="15" customHeight="1" x14ac:dyDescent="0.2">
      <c r="B73" s="32"/>
      <c r="C73" s="32"/>
      <c r="H73" s="32"/>
      <c r="K73" s="35"/>
    </row>
    <row r="74" spans="2:11" ht="15" customHeight="1" thickBot="1" x14ac:dyDescent="0.25"/>
    <row r="75" spans="2:11" ht="15" customHeight="1" x14ac:dyDescent="0.2">
      <c r="B75" s="85" t="s">
        <v>185</v>
      </c>
      <c r="C75" s="86"/>
      <c r="D75" s="87"/>
      <c r="E75" s="88"/>
    </row>
    <row r="76" spans="2:11" ht="15" customHeight="1" x14ac:dyDescent="0.2">
      <c r="B76" s="191" t="s">
        <v>192</v>
      </c>
      <c r="C76" s="190"/>
      <c r="D76" s="190"/>
      <c r="E76" s="192"/>
    </row>
    <row r="77" spans="2:11" ht="15" customHeight="1" x14ac:dyDescent="0.2">
      <c r="B77" s="193"/>
      <c r="C77" s="190"/>
      <c r="D77" s="190"/>
      <c r="E77" s="192"/>
    </row>
    <row r="78" spans="2:11" ht="15" customHeight="1" x14ac:dyDescent="0.2">
      <c r="B78" s="191" t="s">
        <v>184</v>
      </c>
      <c r="C78" s="190"/>
      <c r="D78" s="190"/>
      <c r="E78" s="192"/>
    </row>
    <row r="79" spans="2:11" ht="15" customHeight="1" x14ac:dyDescent="0.2">
      <c r="B79" s="89"/>
      <c r="C79" s="80"/>
      <c r="D79" s="28"/>
      <c r="E79" s="90"/>
    </row>
    <row r="80" spans="2:11" ht="15" customHeight="1" x14ac:dyDescent="0.2">
      <c r="B80" s="91" t="s">
        <v>21</v>
      </c>
      <c r="C80" s="82"/>
      <c r="D80" s="29"/>
      <c r="E80" s="92"/>
    </row>
    <row r="81" spans="1:6" ht="15" customHeight="1" thickBot="1" x14ac:dyDescent="0.25">
      <c r="B81" s="93" t="s">
        <v>22</v>
      </c>
      <c r="C81" s="94"/>
      <c r="D81" s="95"/>
      <c r="E81" s="96"/>
    </row>
    <row r="83" spans="1:6" ht="15" customHeight="1" x14ac:dyDescent="0.2">
      <c r="A83" s="79"/>
      <c r="B83" s="190"/>
      <c r="C83" s="190"/>
      <c r="D83" s="190"/>
      <c r="E83" s="190"/>
      <c r="F83" s="79"/>
    </row>
    <row r="84" spans="1:6" ht="15" customHeight="1" x14ac:dyDescent="0.2">
      <c r="A84" s="79"/>
      <c r="B84" s="189"/>
      <c r="C84" s="190"/>
      <c r="D84" s="190"/>
      <c r="E84" s="190"/>
      <c r="F84" s="79"/>
    </row>
    <row r="85" spans="1:6" ht="15" customHeight="1" x14ac:dyDescent="0.2">
      <c r="A85" s="79"/>
      <c r="B85" s="80"/>
      <c r="C85" s="80"/>
      <c r="D85" s="28"/>
      <c r="E85" s="28"/>
      <c r="F85" s="79"/>
    </row>
    <row r="86" spans="1:6" ht="15" customHeight="1" x14ac:dyDescent="0.2">
      <c r="A86" s="79"/>
      <c r="B86" s="81"/>
      <c r="C86" s="82"/>
      <c r="D86" s="29"/>
      <c r="E86" s="29"/>
      <c r="F86" s="79"/>
    </row>
    <row r="87" spans="1:6" ht="15" customHeight="1" x14ac:dyDescent="0.2">
      <c r="A87" s="79"/>
      <c r="B87" s="83"/>
      <c r="C87" s="34"/>
      <c r="D87" s="26"/>
      <c r="E87" s="26"/>
      <c r="F87" s="79"/>
    </row>
    <row r="88" spans="1:6" ht="15" customHeight="1" x14ac:dyDescent="0.2">
      <c r="A88" s="79"/>
      <c r="B88" s="84"/>
      <c r="C88" s="84"/>
      <c r="D88" s="79"/>
      <c r="E88" s="79"/>
      <c r="F88" s="79"/>
    </row>
    <row r="89" spans="1:6" ht="15" customHeight="1" x14ac:dyDescent="0.2">
      <c r="A89" s="79"/>
      <c r="B89" s="34"/>
      <c r="C89" s="34"/>
      <c r="D89" s="26"/>
      <c r="E89" s="26"/>
      <c r="F89" s="79"/>
    </row>
    <row r="90" spans="1:6" ht="15" customHeight="1" x14ac:dyDescent="0.2">
      <c r="A90" s="79"/>
      <c r="B90" s="189"/>
      <c r="C90" s="190"/>
      <c r="D90" s="190"/>
      <c r="E90" s="190"/>
      <c r="F90" s="79"/>
    </row>
    <row r="91" spans="1:6" ht="15" customHeight="1" x14ac:dyDescent="0.2">
      <c r="A91" s="79"/>
      <c r="B91" s="190"/>
      <c r="C91" s="190"/>
      <c r="D91" s="190"/>
      <c r="E91" s="190"/>
      <c r="F91" s="79"/>
    </row>
    <row r="92" spans="1:6" ht="15" customHeight="1" x14ac:dyDescent="0.2">
      <c r="A92" s="79"/>
      <c r="B92" s="189"/>
      <c r="C92" s="190"/>
      <c r="D92" s="190"/>
      <c r="E92" s="190"/>
      <c r="F92" s="79"/>
    </row>
    <row r="93" spans="1:6" ht="15" customHeight="1" x14ac:dyDescent="0.2">
      <c r="A93" s="79"/>
      <c r="B93" s="80"/>
      <c r="C93" s="80"/>
      <c r="D93" s="28"/>
      <c r="E93" s="28"/>
      <c r="F93" s="79"/>
    </row>
    <row r="94" spans="1:6" ht="15" customHeight="1" x14ac:dyDescent="0.2">
      <c r="A94" s="79"/>
      <c r="B94" s="81"/>
      <c r="C94" s="82"/>
      <c r="D94" s="29"/>
      <c r="E94" s="29"/>
      <c r="F94" s="79"/>
    </row>
    <row r="95" spans="1:6" ht="15" customHeight="1" x14ac:dyDescent="0.2">
      <c r="A95" s="79"/>
      <c r="B95" s="83"/>
      <c r="C95" s="34"/>
      <c r="D95" s="26"/>
      <c r="E95" s="26"/>
      <c r="F95" s="79"/>
    </row>
    <row r="96" spans="1:6" ht="15" customHeight="1" x14ac:dyDescent="0.2">
      <c r="A96" s="79"/>
      <c r="B96" s="84"/>
      <c r="C96" s="84"/>
      <c r="D96" s="79"/>
      <c r="E96" s="79"/>
      <c r="F96" s="79"/>
    </row>
    <row r="97" spans="1:6" ht="15" customHeight="1" x14ac:dyDescent="0.2">
      <c r="A97" s="79"/>
      <c r="B97" s="34"/>
      <c r="C97" s="34"/>
      <c r="D97" s="26"/>
      <c r="E97" s="26"/>
      <c r="F97" s="79"/>
    </row>
    <row r="98" spans="1:6" ht="15" customHeight="1" x14ac:dyDescent="0.2">
      <c r="A98" s="79"/>
      <c r="B98" s="189"/>
      <c r="C98" s="190"/>
      <c r="D98" s="190"/>
      <c r="E98" s="190"/>
      <c r="F98" s="79"/>
    </row>
    <row r="99" spans="1:6" ht="15" customHeight="1" x14ac:dyDescent="0.2">
      <c r="A99" s="79"/>
      <c r="B99" s="190"/>
      <c r="C99" s="190"/>
      <c r="D99" s="190"/>
      <c r="E99" s="190"/>
      <c r="F99" s="79"/>
    </row>
    <row r="100" spans="1:6" ht="15" customHeight="1" x14ac:dyDescent="0.2">
      <c r="A100" s="79"/>
      <c r="B100" s="189"/>
      <c r="C100" s="190"/>
      <c r="D100" s="190"/>
      <c r="E100" s="190"/>
      <c r="F100" s="79"/>
    </row>
    <row r="101" spans="1:6" ht="15" customHeight="1" x14ac:dyDescent="0.2">
      <c r="A101" s="79"/>
      <c r="B101" s="80"/>
      <c r="C101" s="80"/>
      <c r="D101" s="28"/>
      <c r="E101" s="28"/>
      <c r="F101" s="79"/>
    </row>
    <row r="102" spans="1:6" ht="15" customHeight="1" x14ac:dyDescent="0.2">
      <c r="A102" s="79"/>
      <c r="B102" s="81"/>
      <c r="C102" s="82"/>
      <c r="D102" s="29"/>
      <c r="E102" s="29"/>
      <c r="F102" s="79"/>
    </row>
    <row r="103" spans="1:6" ht="15" customHeight="1" x14ac:dyDescent="0.2">
      <c r="A103" s="79"/>
      <c r="B103" s="83"/>
      <c r="C103" s="34"/>
      <c r="D103" s="26"/>
      <c r="E103" s="26"/>
      <c r="F103" s="79"/>
    </row>
    <row r="104" spans="1:6" ht="15" customHeight="1" x14ac:dyDescent="0.2">
      <c r="A104" s="79"/>
      <c r="B104" s="84"/>
      <c r="C104" s="84"/>
      <c r="D104" s="79"/>
      <c r="E104" s="79"/>
      <c r="F104" s="79"/>
    </row>
  </sheetData>
  <mergeCells count="20">
    <mergeCell ref="B76:E77"/>
    <mergeCell ref="B78:E78"/>
    <mergeCell ref="A6:B6"/>
    <mergeCell ref="A7:B7"/>
    <mergeCell ref="B2:H2"/>
    <mergeCell ref="A4:B4"/>
    <mergeCell ref="C4:E4"/>
    <mergeCell ref="A5:B5"/>
    <mergeCell ref="C5:E5"/>
    <mergeCell ref="A61:H61"/>
    <mergeCell ref="D63:E63"/>
    <mergeCell ref="D67:E67"/>
    <mergeCell ref="C67:C68"/>
    <mergeCell ref="D68:E68"/>
    <mergeCell ref="B90:E91"/>
    <mergeCell ref="B92:E92"/>
    <mergeCell ref="B98:E99"/>
    <mergeCell ref="B100:E100"/>
    <mergeCell ref="B83:E83"/>
    <mergeCell ref="B84:E84"/>
  </mergeCells>
  <conditionalFormatting sqref="C65:C67 C69:C72">
    <cfRule type="duplicateValues" dxfId="3" priority="1"/>
  </conditionalFormatting>
  <conditionalFormatting sqref="C65:C67 C69:C72">
    <cfRule type="duplicateValues" dxfId="2" priority="2"/>
  </conditionalFormatting>
  <conditionalFormatting sqref="C65:C67 C69:C72">
    <cfRule type="duplicateValues" dxfId="1" priority="3"/>
  </conditionalFormatting>
  <conditionalFormatting sqref="C65:C67 C69:C72">
    <cfRule type="duplicateValues" dxfId="0" priority="4"/>
  </conditionalFormatting>
  <printOptions horizontalCentered="1"/>
  <pageMargins left="0.11811023622047245" right="0.11811023622047245" top="0.74803149606299213" bottom="0.35433070866141736" header="0" footer="0"/>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0"/>
  <sheetViews>
    <sheetView workbookViewId="0">
      <selection activeCell="C21" sqref="C21:G21"/>
    </sheetView>
  </sheetViews>
  <sheetFormatPr baseColWidth="10" defaultColWidth="12.5703125" defaultRowHeight="15" customHeight="1" x14ac:dyDescent="0.2"/>
  <cols>
    <col min="1" max="1" width="5.5703125" customWidth="1"/>
    <col min="2" max="2" width="15.140625" style="160" customWidth="1"/>
    <col min="3" max="3" width="14.140625" customWidth="1"/>
    <col min="4" max="4" width="26" customWidth="1"/>
    <col min="5" max="5" width="8" customWidth="1"/>
    <col min="6" max="6" width="7.85546875" customWidth="1"/>
    <col min="7" max="7" width="48.5703125" customWidth="1"/>
    <col min="8" max="8" width="9.28515625" customWidth="1"/>
    <col min="9" max="9" width="15.5703125" customWidth="1"/>
    <col min="10" max="10" width="14.7109375" customWidth="1"/>
    <col min="11" max="11" width="15.5703125" customWidth="1"/>
  </cols>
  <sheetData>
    <row r="1" spans="1:11" s="57" customFormat="1" ht="12.75" customHeight="1" x14ac:dyDescent="0.2">
      <c r="A1" s="235" t="s">
        <v>23</v>
      </c>
      <c r="B1" s="202"/>
      <c r="C1" s="202"/>
      <c r="D1" s="202"/>
      <c r="E1" s="202"/>
      <c r="F1" s="202"/>
      <c r="G1" s="202"/>
      <c r="H1" s="202"/>
      <c r="I1" s="195"/>
      <c r="J1" s="139" t="s">
        <v>24</v>
      </c>
      <c r="K1" s="140" t="s">
        <v>180</v>
      </c>
    </row>
    <row r="2" spans="1:11" s="57" customFormat="1" ht="12.75" customHeight="1" x14ac:dyDescent="0.2">
      <c r="A2" s="141"/>
      <c r="B2" s="158"/>
      <c r="C2" s="141"/>
      <c r="D2" s="142"/>
      <c r="E2" s="142"/>
      <c r="F2" s="142"/>
      <c r="G2" s="142"/>
      <c r="H2" s="142"/>
      <c r="I2" s="142"/>
      <c r="J2" s="142"/>
      <c r="K2" s="142"/>
    </row>
    <row r="3" spans="1:11" s="57" customFormat="1" ht="12.75" customHeight="1" x14ac:dyDescent="0.2">
      <c r="A3" s="216" t="s">
        <v>25</v>
      </c>
      <c r="B3" s="217"/>
      <c r="C3" s="218"/>
      <c r="D3" s="219" t="str">
        <f>'Necesidades Trimestrales'!C4</f>
        <v>040 - Ministerio de Salud</v>
      </c>
      <c r="E3" s="220"/>
      <c r="F3" s="220"/>
      <c r="G3" s="220"/>
      <c r="H3" s="220"/>
      <c r="I3" s="220"/>
      <c r="J3" s="220"/>
      <c r="K3" s="221"/>
    </row>
    <row r="4" spans="1:11" s="57" customFormat="1" ht="12.75" customHeight="1" x14ac:dyDescent="0.2">
      <c r="A4" s="222" t="s">
        <v>26</v>
      </c>
      <c r="B4" s="223"/>
      <c r="C4" s="224"/>
      <c r="D4" s="219" t="str">
        <f>'Necesidades Trimestrales'!C5</f>
        <v>011 - Direccion Provincial de Administracion - MS</v>
      </c>
      <c r="E4" s="220"/>
      <c r="F4" s="220"/>
      <c r="G4" s="220"/>
      <c r="H4" s="220"/>
      <c r="I4" s="220"/>
      <c r="J4" s="220"/>
      <c r="K4" s="221"/>
    </row>
    <row r="5" spans="1:11" s="57" customFormat="1" ht="12.75" customHeight="1" x14ac:dyDescent="0.2">
      <c r="A5" s="222" t="s">
        <v>27</v>
      </c>
      <c r="B5" s="223"/>
      <c r="C5" s="224"/>
      <c r="D5" s="219" t="s">
        <v>179</v>
      </c>
      <c r="E5" s="220"/>
      <c r="F5" s="220"/>
      <c r="G5" s="220"/>
      <c r="H5" s="220"/>
      <c r="I5" s="220"/>
      <c r="J5" s="220"/>
      <c r="K5" s="221"/>
    </row>
    <row r="6" spans="1:11" s="57" customFormat="1" ht="12.75" customHeight="1" x14ac:dyDescent="0.2">
      <c r="A6" s="216" t="s">
        <v>28</v>
      </c>
      <c r="B6" s="217"/>
      <c r="C6" s="218"/>
      <c r="D6" s="219" t="s">
        <v>179</v>
      </c>
      <c r="E6" s="220"/>
      <c r="F6" s="220"/>
      <c r="G6" s="220"/>
      <c r="H6" s="220"/>
      <c r="I6" s="220"/>
      <c r="J6" s="220"/>
      <c r="K6" s="221"/>
    </row>
    <row r="7" spans="1:11" s="57" customFormat="1" ht="12.75" customHeight="1" thickBot="1" x14ac:dyDescent="0.25">
      <c r="A7" s="222" t="s">
        <v>29</v>
      </c>
      <c r="B7" s="223"/>
      <c r="C7" s="224"/>
      <c r="D7" s="219" t="s">
        <v>30</v>
      </c>
      <c r="E7" s="220"/>
      <c r="F7" s="220"/>
      <c r="G7" s="220"/>
      <c r="H7" s="220"/>
      <c r="I7" s="220"/>
      <c r="J7" s="220"/>
      <c r="K7" s="221"/>
    </row>
    <row r="8" spans="1:11" s="57" customFormat="1" ht="36" customHeight="1" thickBot="1" x14ac:dyDescent="0.25">
      <c r="A8" s="225" t="s">
        <v>31</v>
      </c>
      <c r="B8" s="220"/>
      <c r="C8" s="226"/>
      <c r="D8" s="236" t="s">
        <v>32</v>
      </c>
      <c r="E8" s="237"/>
      <c r="F8" s="237"/>
      <c r="G8" s="237"/>
      <c r="H8" s="237"/>
      <c r="I8" s="237"/>
      <c r="J8" s="237"/>
      <c r="K8" s="238"/>
    </row>
    <row r="9" spans="1:11" ht="12.75" customHeight="1" thickBot="1" x14ac:dyDescent="0.25">
      <c r="A9" s="6"/>
      <c r="B9" s="159"/>
      <c r="C9" s="6"/>
      <c r="D9" s="7"/>
      <c r="E9" s="7"/>
      <c r="F9" s="7"/>
      <c r="G9" s="7"/>
      <c r="H9" s="7"/>
      <c r="I9" s="7"/>
      <c r="J9" s="7"/>
      <c r="K9" s="7"/>
    </row>
    <row r="10" spans="1:11" ht="12.75" customHeight="1" thickBot="1" x14ac:dyDescent="0.25">
      <c r="A10" s="227" t="s">
        <v>33</v>
      </c>
      <c r="B10" s="229" t="s">
        <v>34</v>
      </c>
      <c r="C10" s="229" t="s">
        <v>35</v>
      </c>
      <c r="D10" s="231"/>
      <c r="E10" s="231"/>
      <c r="F10" s="231"/>
      <c r="G10" s="231"/>
      <c r="H10" s="229" t="s">
        <v>36</v>
      </c>
      <c r="I10" s="229" t="s">
        <v>37</v>
      </c>
      <c r="J10" s="229" t="s">
        <v>38</v>
      </c>
      <c r="K10" s="239" t="s">
        <v>39</v>
      </c>
    </row>
    <row r="11" spans="1:11" ht="32.25" customHeight="1" thickBot="1" x14ac:dyDescent="0.25">
      <c r="A11" s="228"/>
      <c r="B11" s="230"/>
      <c r="C11" s="232"/>
      <c r="D11" s="232"/>
      <c r="E11" s="232"/>
      <c r="F11" s="232"/>
      <c r="G11" s="232"/>
      <c r="H11" s="232"/>
      <c r="I11" s="232"/>
      <c r="J11" s="232"/>
      <c r="K11" s="240"/>
    </row>
    <row r="12" spans="1:11" ht="32.25" customHeight="1" x14ac:dyDescent="0.2">
      <c r="A12" s="146">
        <v>1</v>
      </c>
      <c r="B12" s="147" t="str">
        <f>'Necesidades Trimestrales'!B10</f>
        <v>2.5.2-1829.35</v>
      </c>
      <c r="C12" s="243" t="str">
        <f>'Necesidades Trimestrales'!E10</f>
        <v>ANTIVIRALES; TIPO: MONODROGA, DROGA GENERICA: ACICLOVIR, FORMA FARMACEUTICA: COMPRIMIDO, PRESENTACION: 400 mGr</v>
      </c>
      <c r="D12" s="244"/>
      <c r="E12" s="244"/>
      <c r="F12" s="244"/>
      <c r="G12" s="244"/>
      <c r="H12" s="147" t="s">
        <v>40</v>
      </c>
      <c r="I12" s="148" t="str">
        <f>'Necesidades Trimestrales'!F10</f>
        <v>COMPRIMIDO</v>
      </c>
      <c r="J12" s="149">
        <f>'Necesidades Trimestrales'!H10</f>
        <v>70.099999999999994</v>
      </c>
      <c r="K12" s="150" t="e">
        <f>'Necesidades Trimestrales'!#REF!</f>
        <v>#REF!</v>
      </c>
    </row>
    <row r="13" spans="1:11" ht="32.25" customHeight="1" x14ac:dyDescent="0.2">
      <c r="A13" s="151">
        <v>2</v>
      </c>
      <c r="B13" s="143" t="str">
        <f>'Necesidades Trimestrales'!B11</f>
        <v>2.5.2-1724.16</v>
      </c>
      <c r="C13" s="241" t="str">
        <f>'Necesidades Trimestrales'!E11</f>
        <v>ANALGESICOS ; TIPO: MONODROGA, DROGA GENERICA: ACIDO ACETILSALICILICO, PRESENTACION: 100 mGr, FORMA FARMACEUTICA: COMPRIMIDO</v>
      </c>
      <c r="D13" s="242"/>
      <c r="E13" s="242"/>
      <c r="F13" s="242"/>
      <c r="G13" s="242"/>
      <c r="H13" s="143" t="s">
        <v>40</v>
      </c>
      <c r="I13" s="144" t="str">
        <f>'Necesidades Trimestrales'!F11</f>
        <v>COMPRIMIDO</v>
      </c>
      <c r="J13" s="145">
        <f>'Necesidades Trimestrales'!H11</f>
        <v>1.55</v>
      </c>
      <c r="K13" s="152" t="e">
        <f>'Necesidades Trimestrales'!#REF!</f>
        <v>#REF!</v>
      </c>
    </row>
    <row r="14" spans="1:11" ht="32.25" customHeight="1" x14ac:dyDescent="0.2">
      <c r="A14" s="151">
        <v>3</v>
      </c>
      <c r="B14" s="143" t="str">
        <f>'Necesidades Trimestrales'!B12</f>
        <v>2.5.2-1821.524</v>
      </c>
      <c r="C14" s="241" t="str">
        <f>'Necesidades Trimestrales'!E12</f>
        <v>ANTIBIOTICOS P/PERSONAS; TIPO: ASOCIACION, DROGA GENERICA: AMOXICILINA + AC.CLAVULANICO 400 MG / 57 MG, FORMA FARMACEUTICA: SUSPENSION, PRESENTACION: ENVASE X 70 ML</v>
      </c>
      <c r="D14" s="242"/>
      <c r="E14" s="242"/>
      <c r="F14" s="242"/>
      <c r="G14" s="242"/>
      <c r="H14" s="143" t="s">
        <v>40</v>
      </c>
      <c r="I14" s="144" t="str">
        <f>'Necesidades Trimestrales'!F12</f>
        <v>FRASCO</v>
      </c>
      <c r="J14" s="145">
        <f>'Necesidades Trimestrales'!H12</f>
        <v>374</v>
      </c>
      <c r="K14" s="152" t="e">
        <f>'Necesidades Trimestrales'!#REF!</f>
        <v>#REF!</v>
      </c>
    </row>
    <row r="15" spans="1:11" ht="32.25" customHeight="1" x14ac:dyDescent="0.2">
      <c r="A15" s="151">
        <v>4</v>
      </c>
      <c r="B15" s="143" t="str">
        <f>'Necesidades Trimestrales'!B13</f>
        <v>2.5.2-1821.440</v>
      </c>
      <c r="C15" s="241" t="str">
        <f>'Necesidades Trimestrales'!E13</f>
        <v>ANTIBIOTICOS P/PERSONAS; TIPO: ASOCIACION, DROGA GENERICA: AMOXICIL. 875 MG+CLAVUL.125 MG mGr, FORMA FARMACEUTICA: COMPRIMIDO, PRESENTACION: UNIDAD</v>
      </c>
      <c r="D15" s="242"/>
      <c r="E15" s="242"/>
      <c r="F15" s="242"/>
      <c r="G15" s="242"/>
      <c r="H15" s="143" t="s">
        <v>40</v>
      </c>
      <c r="I15" s="144" t="str">
        <f>'Necesidades Trimestrales'!F13</f>
        <v>COMPRIMIDO</v>
      </c>
      <c r="J15" s="145">
        <f>'Necesidades Trimestrales'!H13</f>
        <v>29.5</v>
      </c>
      <c r="K15" s="152" t="e">
        <f>'Necesidades Trimestrales'!#REF!</f>
        <v>#REF!</v>
      </c>
    </row>
    <row r="16" spans="1:11" ht="32.25" customHeight="1" x14ac:dyDescent="0.2">
      <c r="A16" s="151">
        <v>5</v>
      </c>
      <c r="B16" s="143" t="str">
        <f>'Necesidades Trimestrales'!B14</f>
        <v>2.5.2-1821.9</v>
      </c>
      <c r="C16" s="241" t="str">
        <f>'Necesidades Trimestrales'!E14</f>
        <v>ANTIBIOTICOS P/PERSONAS; TIPO: MONODROGA, DROGA GENERICA: AMOXICILINA, PRESENTACION: 500 mGr, FORMA FARMACEUTICA: COMPRIMIDOS</v>
      </c>
      <c r="D16" s="242"/>
      <c r="E16" s="242"/>
      <c r="F16" s="242"/>
      <c r="G16" s="242"/>
      <c r="H16" s="143" t="s">
        <v>40</v>
      </c>
      <c r="I16" s="144" t="str">
        <f>'Necesidades Trimestrales'!F14</f>
        <v>COMPRIMIDO</v>
      </c>
      <c r="J16" s="145">
        <f>'Necesidades Trimestrales'!H14</f>
        <v>7.85</v>
      </c>
      <c r="K16" s="152" t="e">
        <f>'Necesidades Trimestrales'!#REF!</f>
        <v>#REF!</v>
      </c>
    </row>
    <row r="17" spans="1:11" ht="32.25" customHeight="1" x14ac:dyDescent="0.2">
      <c r="A17" s="151">
        <v>6</v>
      </c>
      <c r="B17" s="143" t="str">
        <f>'Necesidades Trimestrales'!B15</f>
        <v>2.5.2-1821.399</v>
      </c>
      <c r="C17" s="241" t="str">
        <f>'Necesidades Trimestrales'!E15</f>
        <v>ANTIBIOTICOS P/PERSONAS; TIPO: MONODROGA, DROGA GENERICA: AMOXICILINA 500 mGr, FORMA FARMACEUTICA: SUSPENSION, PRESENTACION: ENVASE X 90 mL</v>
      </c>
      <c r="D17" s="242"/>
      <c r="E17" s="242"/>
      <c r="F17" s="242"/>
      <c r="G17" s="242"/>
      <c r="H17" s="143" t="s">
        <v>40</v>
      </c>
      <c r="I17" s="144" t="str">
        <f>'Necesidades Trimestrales'!F15</f>
        <v>FRASCO</v>
      </c>
      <c r="J17" s="145">
        <f>'Necesidades Trimestrales'!H15</f>
        <v>210</v>
      </c>
      <c r="K17" s="152" t="e">
        <f>'Necesidades Trimestrales'!#REF!</f>
        <v>#REF!</v>
      </c>
    </row>
    <row r="18" spans="1:11" ht="32.25" customHeight="1" x14ac:dyDescent="0.2">
      <c r="A18" s="151">
        <v>7</v>
      </c>
      <c r="B18" s="143" t="str">
        <f>'Necesidades Trimestrales'!B16</f>
        <v>2.5.2-1821.8</v>
      </c>
      <c r="C18" s="241" t="str">
        <f>'Necesidades Trimestrales'!E16</f>
        <v>ANTIBIOTICOS P/PERSONAS; TIPO: MONODROGA, DROGA GENERICA: AMPICILINA, FORMA FARMACEUTICA: AMPOLLA, PRESENTACION: 1 GR</v>
      </c>
      <c r="D18" s="242"/>
      <c r="E18" s="242"/>
      <c r="F18" s="242"/>
      <c r="G18" s="242"/>
      <c r="H18" s="143" t="s">
        <v>40</v>
      </c>
      <c r="I18" s="144" t="str">
        <f>'Necesidades Trimestrales'!F16</f>
        <v>AMPOLLA</v>
      </c>
      <c r="J18" s="145">
        <f>'Necesidades Trimestrales'!H16</f>
        <v>99</v>
      </c>
      <c r="K18" s="152" t="e">
        <f>'Necesidades Trimestrales'!#REF!</f>
        <v>#REF!</v>
      </c>
    </row>
    <row r="19" spans="1:11" ht="32.25" customHeight="1" x14ac:dyDescent="0.2">
      <c r="A19" s="151">
        <v>8</v>
      </c>
      <c r="B19" s="143" t="str">
        <f>'Necesidades Trimestrales'!B17</f>
        <v>2.5.2-1821.502</v>
      </c>
      <c r="C19" s="241" t="str">
        <f>'Necesidades Trimestrales'!E17</f>
        <v>ANTIBIOTICOS P/PERSONAS; TIPO: MONODROGA, DROGA GENERICA: AZITROMICINA 200 mGr, FORMA FARMACEUTICA: SUSPENSION, PRESENTACION: ENVASE X 15 Ml</v>
      </c>
      <c r="D19" s="242"/>
      <c r="E19" s="242"/>
      <c r="F19" s="242"/>
      <c r="G19" s="242"/>
      <c r="H19" s="143" t="s">
        <v>40</v>
      </c>
      <c r="I19" s="144" t="str">
        <f>'Necesidades Trimestrales'!F17</f>
        <v>FRASCO</v>
      </c>
      <c r="J19" s="145">
        <f>'Necesidades Trimestrales'!H17</f>
        <v>310</v>
      </c>
      <c r="K19" s="152" t="e">
        <f>'Necesidades Trimestrales'!#REF!</f>
        <v>#REF!</v>
      </c>
    </row>
    <row r="20" spans="1:11" ht="32.25" customHeight="1" x14ac:dyDescent="0.2">
      <c r="A20" s="151">
        <v>9</v>
      </c>
      <c r="B20" s="143" t="str">
        <f>'Necesidades Trimestrales'!B18</f>
        <v>2.5.2-1821.94</v>
      </c>
      <c r="C20" s="241" t="str">
        <f>'Necesidades Trimestrales'!E18</f>
        <v>ANTIBIOTICOS P/PERSONAS; TIPO: MONODROGA, DROGA GENERICA: AZITROMICINA, FORMA FARMACEUTICA: COMPRIMIDO, PRESENTACION: 500 mGr</v>
      </c>
      <c r="D20" s="242"/>
      <c r="E20" s="242"/>
      <c r="F20" s="242"/>
      <c r="G20" s="242"/>
      <c r="H20" s="143" t="s">
        <v>40</v>
      </c>
      <c r="I20" s="144" t="str">
        <f>'Necesidades Trimestrales'!F18</f>
        <v>COMPRIMIDO</v>
      </c>
      <c r="J20" s="145">
        <f>'Necesidades Trimestrales'!H18</f>
        <v>36</v>
      </c>
      <c r="K20" s="152" t="e">
        <f>'Necesidades Trimestrales'!#REF!</f>
        <v>#REF!</v>
      </c>
    </row>
    <row r="21" spans="1:11" ht="32.25" customHeight="1" x14ac:dyDescent="0.2">
      <c r="A21" s="151">
        <v>10</v>
      </c>
      <c r="B21" s="143" t="str">
        <f>'Necesidades Trimestrales'!B19</f>
        <v>2.5.2-1883.188</v>
      </c>
      <c r="C21" s="241" t="str">
        <f>'Necesidades Trimestrales'!E19</f>
        <v>ANESTESICOS LOCALES; TIPO: MONODROGA, DROGA GENERICA: BUPIVACAINA 0,5% HIPERBARICA, FORMA FARMACEUTICA: AMPOLLA, PRESENTACION: 4 ML CON AGUJA 27 G X 3 1/2 CON INTRODUCTOR</v>
      </c>
      <c r="D21" s="242"/>
      <c r="E21" s="242"/>
      <c r="F21" s="242"/>
      <c r="G21" s="242"/>
      <c r="H21" s="143" t="s">
        <v>40</v>
      </c>
      <c r="I21" s="144" t="str">
        <f>'Necesidades Trimestrales'!F19</f>
        <v>AMPOLLA</v>
      </c>
      <c r="J21" s="145">
        <f>'Necesidades Trimestrales'!H19</f>
        <v>1420</v>
      </c>
      <c r="K21" s="152" t="e">
        <f>'Necesidades Trimestrales'!#REF!</f>
        <v>#REF!</v>
      </c>
    </row>
    <row r="22" spans="1:11" ht="32.25" customHeight="1" x14ac:dyDescent="0.2">
      <c r="A22" s="151">
        <v>11</v>
      </c>
      <c r="B22" s="143" t="str">
        <f>'Necesidades Trimestrales'!B20</f>
        <v>2.5.2-1821.321</v>
      </c>
      <c r="C22" s="241" t="str">
        <f>'Necesidades Trimestrales'!E20</f>
        <v>ANTIBIOTICOS P/PERSONAS; TIPO: MONODROGA, DROGA GENERICA: CEFALEXINA 500 mGr, FORMA FARMACEUTICA: COMPRIMIDO, PRESENTACION: 1 UN</v>
      </c>
      <c r="D22" s="242"/>
      <c r="E22" s="242"/>
      <c r="F22" s="242"/>
      <c r="G22" s="242"/>
      <c r="H22" s="143" t="s">
        <v>40</v>
      </c>
      <c r="I22" s="144" t="str">
        <f>'Necesidades Trimestrales'!F20</f>
        <v>COMPRIMIDO</v>
      </c>
      <c r="J22" s="145">
        <f>'Necesidades Trimestrales'!H20</f>
        <v>13.9</v>
      </c>
      <c r="K22" s="152" t="e">
        <f>'Necesidades Trimestrales'!#REF!</f>
        <v>#REF!</v>
      </c>
    </row>
    <row r="23" spans="1:11" ht="32.25" customHeight="1" x14ac:dyDescent="0.2">
      <c r="A23" s="151">
        <v>12</v>
      </c>
      <c r="B23" s="143" t="str">
        <f>'Necesidades Trimestrales'!B21</f>
        <v>2.5.2-1821.337</v>
      </c>
      <c r="C23" s="241" t="str">
        <f>'Necesidades Trimestrales'!E21</f>
        <v>ANTIBIOTICOS P/PERSONAS; TIPO: MONODROGA, DROGA GENERICA: CEFALEXINA 500MG, FORMA FARMACEUTICA: SUSPENSION, PRESENTACION: ENVASE X 90 mL</v>
      </c>
      <c r="D23" s="242"/>
      <c r="E23" s="242"/>
      <c r="F23" s="242"/>
      <c r="G23" s="242"/>
      <c r="H23" s="143" t="s">
        <v>40</v>
      </c>
      <c r="I23" s="144" t="str">
        <f>'Necesidades Trimestrales'!F21</f>
        <v>FRASCO</v>
      </c>
      <c r="J23" s="145">
        <f>'Necesidades Trimestrales'!H21</f>
        <v>350</v>
      </c>
      <c r="K23" s="152" t="e">
        <f>'Necesidades Trimestrales'!#REF!</f>
        <v>#REF!</v>
      </c>
    </row>
    <row r="24" spans="1:11" ht="32.25" customHeight="1" x14ac:dyDescent="0.2">
      <c r="A24" s="151">
        <v>13</v>
      </c>
      <c r="B24" s="143" t="str">
        <f>'Necesidades Trimestrales'!B22</f>
        <v>2.5.2-1821.405</v>
      </c>
      <c r="C24" s="241" t="str">
        <f>'Necesidades Trimestrales'!E22</f>
        <v>ANTIBIOTICOS P/PERSONAS; TIPO: MONODROGA, DROGA GENERICA: CEFALOTINA SODICA, FORMA FARMACEUTICA: FRASCO AMPOLLA, PRESENTACION: 1 GR</v>
      </c>
      <c r="D24" s="242"/>
      <c r="E24" s="242"/>
      <c r="F24" s="242"/>
      <c r="G24" s="242"/>
      <c r="H24" s="143" t="s">
        <v>40</v>
      </c>
      <c r="I24" s="144" t="str">
        <f>'Necesidades Trimestrales'!F22</f>
        <v>AMPOLLA</v>
      </c>
      <c r="J24" s="145">
        <f>'Necesidades Trimestrales'!H22</f>
        <v>145</v>
      </c>
      <c r="K24" s="152" t="e">
        <f>'Necesidades Trimestrales'!#REF!</f>
        <v>#REF!</v>
      </c>
    </row>
    <row r="25" spans="1:11" ht="32.25" customHeight="1" x14ac:dyDescent="0.2">
      <c r="A25" s="151">
        <v>14</v>
      </c>
      <c r="B25" s="143" t="str">
        <f>'Necesidades Trimestrales'!B23</f>
        <v>2.5.2-1821.214</v>
      </c>
      <c r="C25" s="241" t="str">
        <f>'Necesidades Trimestrales'!E23</f>
        <v>ANTIBIOTICOS P/PERSONAS; TIPO: MONODROGA, DROGA GENERICA: CEFTRIAXONA, FORMA FARMACEUTICA: FRASCO AMPOLLA, PRESENTACION: 1 GR</v>
      </c>
      <c r="D25" s="242"/>
      <c r="E25" s="242"/>
      <c r="F25" s="242"/>
      <c r="G25" s="242"/>
      <c r="H25" s="143" t="s">
        <v>40</v>
      </c>
      <c r="I25" s="144" t="str">
        <f>'Necesidades Trimestrales'!F23</f>
        <v>AMPOLLA</v>
      </c>
      <c r="J25" s="145">
        <f>'Necesidades Trimestrales'!H23</f>
        <v>130</v>
      </c>
      <c r="K25" s="152" t="e">
        <f>'Necesidades Trimestrales'!#REF!</f>
        <v>#REF!</v>
      </c>
    </row>
    <row r="26" spans="1:11" ht="32.25" customHeight="1" x14ac:dyDescent="0.2">
      <c r="A26" s="151">
        <v>15</v>
      </c>
      <c r="B26" s="143" t="str">
        <f>'Necesidades Trimestrales'!B24</f>
        <v>2.5.2-1821.387</v>
      </c>
      <c r="C26" s="241" t="str">
        <f>'Necesidades Trimestrales'!E24</f>
        <v>ANTIBIOTICOS P/PERSONAS; TIPO: MONODROGA, DROGA GENERICA: CIPROFLOXACINA, FORMA FARMACEUTICA: SACHET, PRESENTACION: ENVASE X 200 mGr</v>
      </c>
      <c r="D26" s="242"/>
      <c r="E26" s="242"/>
      <c r="F26" s="242"/>
      <c r="G26" s="242"/>
      <c r="H26" s="143" t="s">
        <v>40</v>
      </c>
      <c r="I26" s="144" t="str">
        <f>'Necesidades Trimestrales'!F24</f>
        <v>SACHET</v>
      </c>
      <c r="J26" s="145">
        <f>'Necesidades Trimestrales'!H24</f>
        <v>122</v>
      </c>
      <c r="K26" s="152" t="e">
        <f>'Necesidades Trimestrales'!#REF!</f>
        <v>#REF!</v>
      </c>
    </row>
    <row r="27" spans="1:11" ht="32.25" customHeight="1" x14ac:dyDescent="0.2">
      <c r="A27" s="151">
        <v>16</v>
      </c>
      <c r="B27" s="143" t="str">
        <f>'Necesidades Trimestrales'!B25</f>
        <v>2.5.2-1821.46</v>
      </c>
      <c r="C27" s="241" t="str">
        <f>'Necesidades Trimestrales'!E25</f>
        <v>ANTIBIOTICOS P/PERSONAS; TIPO: MONODROGA, FORMA FARMACEUTICA: COMPRIMIDO, PRESENTACION: 500 mGr, DROGA GENERICA: CIPROFLOXACINA</v>
      </c>
      <c r="D27" s="242"/>
      <c r="E27" s="242"/>
      <c r="F27" s="242"/>
      <c r="G27" s="242"/>
      <c r="H27" s="143" t="s">
        <v>40</v>
      </c>
      <c r="I27" s="144" t="str">
        <f>'Necesidades Trimestrales'!F25</f>
        <v>COMPRIMIDO</v>
      </c>
      <c r="J27" s="145">
        <f>'Necesidades Trimestrales'!H25</f>
        <v>9.8000000000000007</v>
      </c>
      <c r="K27" s="152" t="e">
        <f>'Necesidades Trimestrales'!#REF!</f>
        <v>#REF!</v>
      </c>
    </row>
    <row r="28" spans="1:11" ht="32.25" customHeight="1" x14ac:dyDescent="0.2">
      <c r="A28" s="151">
        <v>17</v>
      </c>
      <c r="B28" s="143" t="str">
        <f>'Necesidades Trimestrales'!B26</f>
        <v>2.5.2-1821.338</v>
      </c>
      <c r="C28" s="241" t="str">
        <f>'Necesidades Trimestrales'!E26</f>
        <v>ANTIBIOTICOS P/PERSONAS; TIPO: MONODROGA, DROGA GENERICA: CLARITROMICINA 250MG, FORMA FARMACEUTICA: SUSPENSION, PRESENTACION: ENVASE X 90 mL</v>
      </c>
      <c r="D28" s="242"/>
      <c r="E28" s="242"/>
      <c r="F28" s="242"/>
      <c r="G28" s="242"/>
      <c r="H28" s="143" t="s">
        <v>40</v>
      </c>
      <c r="I28" s="144" t="str">
        <f>'Necesidades Trimestrales'!F26</f>
        <v>FRASCO</v>
      </c>
      <c r="J28" s="145">
        <f>'Necesidades Trimestrales'!H26</f>
        <v>698</v>
      </c>
      <c r="K28" s="152" t="e">
        <f>'Necesidades Trimestrales'!#REF!</f>
        <v>#REF!</v>
      </c>
    </row>
    <row r="29" spans="1:11" ht="32.25" customHeight="1" x14ac:dyDescent="0.2">
      <c r="A29" s="151">
        <v>18</v>
      </c>
      <c r="B29" s="143" t="str">
        <f>'Necesidades Trimestrales'!B27</f>
        <v>2.5.2-1821.37</v>
      </c>
      <c r="C29" s="241" t="str">
        <f>'Necesidades Trimestrales'!E27</f>
        <v>ANTIBIOTICOS P/PERSONAS; TIPO: MONODROGA, DROGA GENERICA: CLARITROMICINA, FORMA FARMACEUTICA: COMPRIMIDO, PRESENTACION: 500 mGr</v>
      </c>
      <c r="D29" s="242"/>
      <c r="E29" s="242"/>
      <c r="F29" s="242"/>
      <c r="G29" s="242"/>
      <c r="H29" s="143" t="s">
        <v>40</v>
      </c>
      <c r="I29" s="144" t="str">
        <f>'Necesidades Trimestrales'!F27</f>
        <v>COMPRIMIDO</v>
      </c>
      <c r="J29" s="145">
        <f>'Necesidades Trimestrales'!H27</f>
        <v>35</v>
      </c>
      <c r="K29" s="152" t="e">
        <f>'Necesidades Trimestrales'!#REF!</f>
        <v>#REF!</v>
      </c>
    </row>
    <row r="30" spans="1:11" ht="32.25" customHeight="1" x14ac:dyDescent="0.2">
      <c r="A30" s="151">
        <v>19</v>
      </c>
      <c r="B30" s="143" t="str">
        <f>'Necesidades Trimestrales'!B28</f>
        <v>2.5.2-1724.241</v>
      </c>
      <c r="C30" s="241" t="str">
        <f>'Necesidades Trimestrales'!E28</f>
        <v>ANALGESICOS ; TIPO: MONODROGA, DROGA GENERICA: DANTROLENO SODICO, FORMA FARMACEUTICA: AMPOLLAS, PRESENTACION: 20 MG/60 ML KIT X 12 FRASCOS</v>
      </c>
      <c r="D30" s="242"/>
      <c r="E30" s="242"/>
      <c r="F30" s="242"/>
      <c r="G30" s="242"/>
      <c r="H30" s="143" t="s">
        <v>40</v>
      </c>
      <c r="I30" s="144" t="str">
        <f>'Necesidades Trimestrales'!F28</f>
        <v>KIT</v>
      </c>
      <c r="J30" s="145">
        <f>'Necesidades Trimestrales'!H28</f>
        <v>358800</v>
      </c>
      <c r="K30" s="152" t="e">
        <f>'Necesidades Trimestrales'!#REF!</f>
        <v>#REF!</v>
      </c>
    </row>
    <row r="31" spans="1:11" ht="32.25" customHeight="1" x14ac:dyDescent="0.2">
      <c r="A31" s="151">
        <v>20</v>
      </c>
      <c r="B31" s="143" t="str">
        <f>'Necesidades Trimestrales'!B29</f>
        <v>2.5.2-1724.140</v>
      </c>
      <c r="C31" s="241" t="str">
        <f>'Necesidades Trimestrales'!E29</f>
        <v>ANALGESICOS ; TIPO: MONODROGA, DROGA GENERICA: DICLOFENAC X 75 MG, FORMA FARMACEUTICA: COMPRIMIDO, PRESENTACION: UNIDAD</v>
      </c>
      <c r="D31" s="242"/>
      <c r="E31" s="242"/>
      <c r="F31" s="242"/>
      <c r="G31" s="242"/>
      <c r="H31" s="143" t="s">
        <v>40</v>
      </c>
      <c r="I31" s="144" t="str">
        <f>'Necesidades Trimestrales'!F29</f>
        <v>COMPRIMIDO</v>
      </c>
      <c r="J31" s="145">
        <f>'Necesidades Trimestrales'!H29</f>
        <v>3.05</v>
      </c>
      <c r="K31" s="152" t="e">
        <f>'Necesidades Trimestrales'!#REF!</f>
        <v>#REF!</v>
      </c>
    </row>
    <row r="32" spans="1:11" ht="32.25" customHeight="1" x14ac:dyDescent="0.2">
      <c r="A32" s="151">
        <v>21</v>
      </c>
      <c r="B32" s="143" t="str">
        <f>'Necesidades Trimestrales'!B30</f>
        <v>2.5.2-1724.117</v>
      </c>
      <c r="C32" s="241" t="str">
        <f>'Necesidades Trimestrales'!E30</f>
        <v>ANALGESICOS ; TIPO: ASOCIACION, DROGA GENERICA: DICLOFENAC SODICO, FORMA FARMACEUTICA: AMPOLLA, PRESENTACION: 3 Ml</v>
      </c>
      <c r="D32" s="242"/>
      <c r="E32" s="242"/>
      <c r="F32" s="242"/>
      <c r="G32" s="242"/>
      <c r="H32" s="143" t="s">
        <v>40</v>
      </c>
      <c r="I32" s="144" t="str">
        <f>'Necesidades Trimestrales'!F30</f>
        <v>AMPOLLA</v>
      </c>
      <c r="J32" s="145">
        <f>'Necesidades Trimestrales'!H30</f>
        <v>35.9</v>
      </c>
      <c r="K32" s="152" t="e">
        <f>'Necesidades Trimestrales'!#REF!</f>
        <v>#REF!</v>
      </c>
    </row>
    <row r="33" spans="1:11" ht="32.25" customHeight="1" x14ac:dyDescent="0.2">
      <c r="A33" s="151">
        <v>22</v>
      </c>
      <c r="B33" s="143" t="str">
        <f>'Necesidades Trimestrales'!B31</f>
        <v>2.5.2-1724.208</v>
      </c>
      <c r="C33" s="241" t="str">
        <f>'Necesidades Trimestrales'!E31</f>
        <v>ANALGESICOS ; TIPO: MONODROGA, DROGA GENERICA: DIPIRONA SODICA 1 GR, FORMA FARMACEUTICA: AMPOLLA, PRESENTACION: 2 mL</v>
      </c>
      <c r="D33" s="242"/>
      <c r="E33" s="242"/>
      <c r="F33" s="242"/>
      <c r="G33" s="242"/>
      <c r="H33" s="143" t="s">
        <v>40</v>
      </c>
      <c r="I33" s="144" t="str">
        <f>'Necesidades Trimestrales'!F31</f>
        <v>AMPOLLA</v>
      </c>
      <c r="J33" s="145">
        <f>'Necesidades Trimestrales'!H31</f>
        <v>38.5</v>
      </c>
      <c r="K33" s="152" t="e">
        <f>'Necesidades Trimestrales'!#REF!</f>
        <v>#REF!</v>
      </c>
    </row>
    <row r="34" spans="1:11" ht="32.25" customHeight="1" x14ac:dyDescent="0.2">
      <c r="A34" s="151">
        <v>23</v>
      </c>
      <c r="B34" s="143" t="str">
        <f>'Necesidades Trimestrales'!B32</f>
        <v>2.5.2-1724.74</v>
      </c>
      <c r="C34" s="241" t="str">
        <f>'Necesidades Trimestrales'!E32</f>
        <v>ANALGESICOS ; TIPO: MONODROGA, DROGA GENERICA: DIPIRONA, FORMA FARMACEUTICA: JARABE, PRESENTACION: FRASCO X 120 mL</v>
      </c>
      <c r="D34" s="242"/>
      <c r="E34" s="242"/>
      <c r="F34" s="242"/>
      <c r="G34" s="242"/>
      <c r="H34" s="143" t="s">
        <v>40</v>
      </c>
      <c r="I34" s="144" t="str">
        <f>'Necesidades Trimestrales'!F32</f>
        <v>FRASCO</v>
      </c>
      <c r="J34" s="145">
        <f>'Necesidades Trimestrales'!H32</f>
        <v>155</v>
      </c>
      <c r="K34" s="152" t="e">
        <f>'Necesidades Trimestrales'!#REF!</f>
        <v>#REF!</v>
      </c>
    </row>
    <row r="35" spans="1:11" ht="32.25" customHeight="1" x14ac:dyDescent="0.2">
      <c r="A35" s="151">
        <v>24</v>
      </c>
      <c r="B35" s="143" t="str">
        <f>'Necesidades Trimestrales'!B33</f>
        <v>2.5.2-1726.527</v>
      </c>
      <c r="C35" s="241" t="str">
        <f>'Necesidades Trimestrales'!E33</f>
        <v>SOLUCIONES P/MEDICINA; TIPO: EMULSIÓN LIPÌDICA PARA PERFUSIÓN, DROGA FOSFOLÍPIDO, PRESENTACIÓN: INTRAVENOSA AL 20%, ENVASE POR 500 ML</v>
      </c>
      <c r="D35" s="242"/>
      <c r="E35" s="242"/>
      <c r="F35" s="242"/>
      <c r="G35" s="242"/>
      <c r="H35" s="143" t="s">
        <v>168</v>
      </c>
      <c r="I35" s="144" t="str">
        <f>'Necesidades Trimestrales'!F33</f>
        <v>ENVASE</v>
      </c>
      <c r="J35" s="145">
        <f>'Necesidades Trimestrales'!H33</f>
        <v>460</v>
      </c>
      <c r="K35" s="152" t="e">
        <f>'Necesidades Trimestrales'!#REF!</f>
        <v>#REF!</v>
      </c>
    </row>
    <row r="36" spans="1:11" ht="32.25" customHeight="1" x14ac:dyDescent="0.2">
      <c r="A36" s="151">
        <v>25</v>
      </c>
      <c r="B36" s="143" t="str">
        <f>'Necesidades Trimestrales'!B34</f>
        <v>2.5.2-1821.238</v>
      </c>
      <c r="C36" s="241" t="str">
        <f>'Necesidades Trimestrales'!E34</f>
        <v>ANTIBIOTICOS P/PERSONAS; TIPO: MONODROGA, DROGA GENERICA: FLUCONAZOL 100 MG, FORMA FARMACEUTICA: COMPRIMIDO, PRESENTACION: 100 mGr</v>
      </c>
      <c r="D36" s="242"/>
      <c r="E36" s="242"/>
      <c r="F36" s="242"/>
      <c r="G36" s="242"/>
      <c r="H36" s="143" t="s">
        <v>40</v>
      </c>
      <c r="I36" s="144" t="str">
        <f>'Necesidades Trimestrales'!F34</f>
        <v>COMPRIMIDO</v>
      </c>
      <c r="J36" s="145">
        <f>'Necesidades Trimestrales'!H34</f>
        <v>32.5</v>
      </c>
      <c r="K36" s="152" t="e">
        <f>'Necesidades Trimestrales'!#REF!</f>
        <v>#REF!</v>
      </c>
    </row>
    <row r="37" spans="1:11" ht="32.25" customHeight="1" x14ac:dyDescent="0.2">
      <c r="A37" s="151">
        <v>26</v>
      </c>
      <c r="B37" s="143" t="str">
        <f>'Necesidades Trimestrales'!B35</f>
        <v>2.5.2-1821.442</v>
      </c>
      <c r="C37" s="241" t="str">
        <f>'Necesidades Trimestrales'!E35</f>
        <v>ANTIBIOTICOS P/PERSONAS; TIPO: MONODROGA, DROGA GENERICA: FLUCONAZOL 200 MG, FORMA FARMACEUTICA: SOLUCION INYECTABLE, PRESENTACION: ENVASE X 100 mL</v>
      </c>
      <c r="D37" s="242"/>
      <c r="E37" s="242"/>
      <c r="F37" s="242"/>
      <c r="G37" s="242"/>
      <c r="H37" s="143" t="s">
        <v>40</v>
      </c>
      <c r="I37" s="144" t="str">
        <f>'Necesidades Trimestrales'!F35</f>
        <v>ENVASE</v>
      </c>
      <c r="J37" s="145">
        <f>'Necesidades Trimestrales'!H35</f>
        <v>986</v>
      </c>
      <c r="K37" s="152" t="e">
        <f>'Necesidades Trimestrales'!#REF!</f>
        <v>#REF!</v>
      </c>
    </row>
    <row r="38" spans="1:11" ht="32.25" customHeight="1" x14ac:dyDescent="0.2">
      <c r="A38" s="151">
        <v>27</v>
      </c>
      <c r="B38" s="143" t="str">
        <f>'Necesidades Trimestrales'!B36</f>
        <v>2.5.2-1821.4</v>
      </c>
      <c r="C38" s="241" t="str">
        <f>'Necesidades Trimestrales'!E36</f>
        <v>ANTIBIOTICOS P/PERSONAS; DROGA GENERICA: GENTAMICINA, FORMA FARMACEUTICA: AMPOLLA, PRESENTACION: 80 mGr, TIPO: MONODROGA</v>
      </c>
      <c r="D38" s="242"/>
      <c r="E38" s="242"/>
      <c r="F38" s="242"/>
      <c r="G38" s="242"/>
      <c r="H38" s="143" t="s">
        <v>40</v>
      </c>
      <c r="I38" s="144" t="str">
        <f>'Necesidades Trimestrales'!F36</f>
        <v>AMPOLLA</v>
      </c>
      <c r="J38" s="145">
        <f>'Necesidades Trimestrales'!H36</f>
        <v>45</v>
      </c>
      <c r="K38" s="152" t="e">
        <f>'Necesidades Trimestrales'!#REF!</f>
        <v>#REF!</v>
      </c>
    </row>
    <row r="39" spans="1:11" ht="32.25" customHeight="1" x14ac:dyDescent="0.2">
      <c r="A39" s="151">
        <v>28</v>
      </c>
      <c r="B39" s="143" t="str">
        <f>'Necesidades Trimestrales'!B37</f>
        <v>2.5.2-1724.163</v>
      </c>
      <c r="C39" s="241" t="str">
        <f>'Necesidades Trimestrales'!E37</f>
        <v>ANALGESICOS ; TIPO: MONODROGA, DROGA GENERICA: IBUPROFENO 2%, FORMA FARMACEUTICA: SUSPENSION, PRESENTACION: ENVASE X 90 mL</v>
      </c>
      <c r="D39" s="242"/>
      <c r="E39" s="242"/>
      <c r="F39" s="242"/>
      <c r="G39" s="242"/>
      <c r="H39" s="143" t="s">
        <v>40</v>
      </c>
      <c r="I39" s="144" t="str">
        <f>'Necesidades Trimestrales'!F37</f>
        <v>FRASCO</v>
      </c>
      <c r="J39" s="145">
        <f>'Necesidades Trimestrales'!H37</f>
        <v>85</v>
      </c>
      <c r="K39" s="152" t="e">
        <f>'Necesidades Trimestrales'!#REF!</f>
        <v>#REF!</v>
      </c>
    </row>
    <row r="40" spans="1:11" ht="32.25" customHeight="1" x14ac:dyDescent="0.2">
      <c r="A40" s="151">
        <v>29</v>
      </c>
      <c r="B40" s="143" t="str">
        <f>'Necesidades Trimestrales'!B38</f>
        <v>2.5.2-1724.4</v>
      </c>
      <c r="C40" s="241" t="str">
        <f>'Necesidades Trimestrales'!E38</f>
        <v>ANALGESICOS ; TIPO: MONODROGA, DROGA GENERICA: IBUPROFENO, PRESENTACION: 400 mGr, FORMA FARMACEUTICA: COMPRIMIDO</v>
      </c>
      <c r="D40" s="242"/>
      <c r="E40" s="242"/>
      <c r="F40" s="242"/>
      <c r="G40" s="242"/>
      <c r="H40" s="143" t="s">
        <v>40</v>
      </c>
      <c r="I40" s="144" t="str">
        <f>'Necesidades Trimestrales'!F38</f>
        <v>AMPOLLA</v>
      </c>
      <c r="J40" s="145">
        <f>'Necesidades Trimestrales'!H38</f>
        <v>45</v>
      </c>
      <c r="K40" s="152" t="e">
        <f>'Necesidades Trimestrales'!#REF!</f>
        <v>#REF!</v>
      </c>
    </row>
    <row r="41" spans="1:11" ht="32.25" customHeight="1" x14ac:dyDescent="0.2">
      <c r="A41" s="151">
        <v>30</v>
      </c>
      <c r="B41" s="143" t="str">
        <f>'Necesidades Trimestrales'!B41</f>
        <v>2.5.2-1724.23</v>
      </c>
      <c r="C41" s="241" t="str">
        <f>'Necesidades Trimestrales'!E41</f>
        <v>ANALGESICOS ; TIPO: MONODROGA, DROGA GENERICA: KETOROLAC, FORMA FARMACEUTICA: AMPOLLA, PRESENTACION: 30 mGr</v>
      </c>
      <c r="D41" s="242"/>
      <c r="E41" s="242"/>
      <c r="F41" s="242"/>
      <c r="G41" s="242"/>
      <c r="H41" s="143" t="s">
        <v>40</v>
      </c>
      <c r="I41" s="144" t="str">
        <f>'Necesidades Trimestrales'!F41</f>
        <v>AMPOLLA</v>
      </c>
      <c r="J41" s="145">
        <f>'Necesidades Trimestrales'!H41</f>
        <v>56</v>
      </c>
      <c r="K41" s="152" t="e">
        <f>'Necesidades Trimestrales'!#REF!</f>
        <v>#REF!</v>
      </c>
    </row>
    <row r="42" spans="1:11" ht="32.25" customHeight="1" x14ac:dyDescent="0.2">
      <c r="A42" s="151">
        <v>31</v>
      </c>
      <c r="B42" s="143" t="str">
        <f>'Necesidades Trimestrales'!B42</f>
        <v>2.5.2-1883.186</v>
      </c>
      <c r="C42" s="241" t="str">
        <f>'Necesidades Trimestrales'!E42</f>
        <v>ANESTESICOS LOCALES; TIPO: MONODROGA, DROGA GENERICA: LIDOCAINA 2%S/EPINEFRINA, FORMA FARMACEUTICA: AMPOLLA, PRESENTACION: 5 mL</v>
      </c>
      <c r="D42" s="242"/>
      <c r="E42" s="242"/>
      <c r="F42" s="242"/>
      <c r="G42" s="242"/>
      <c r="H42" s="143" t="s">
        <v>40</v>
      </c>
      <c r="I42" s="144" t="str">
        <f>'Necesidades Trimestrales'!F42</f>
        <v>AMPOLLA</v>
      </c>
      <c r="J42" s="145">
        <f>'Necesidades Trimestrales'!H42</f>
        <v>35</v>
      </c>
      <c r="K42" s="152" t="e">
        <f>'Necesidades Trimestrales'!#REF!</f>
        <v>#REF!</v>
      </c>
    </row>
    <row r="43" spans="1:11" ht="32.25" customHeight="1" x14ac:dyDescent="0.2">
      <c r="A43" s="151">
        <v>32</v>
      </c>
      <c r="B43" s="143" t="str">
        <f>'Necesidades Trimestrales'!B44</f>
        <v>2.5.2-1883.111</v>
      </c>
      <c r="C43" s="241" t="str">
        <f>'Necesidades Trimestrales'!E44</f>
        <v>ANESTESICOS LOCALES; TIPO: ASOCIACION, DROGA GENERICA: LIDOCAINA 2% C/EPINEFRINA, FORMA FARMACEUTICA: FRASCO AMPOLLA, PRESENTACION: 20 mL</v>
      </c>
      <c r="D43" s="242"/>
      <c r="E43" s="242"/>
      <c r="F43" s="242"/>
      <c r="G43" s="242"/>
      <c r="H43" s="143" t="s">
        <v>40</v>
      </c>
      <c r="I43" s="144" t="str">
        <f>'Necesidades Trimestrales'!F44</f>
        <v>AMPOLLA</v>
      </c>
      <c r="J43" s="145">
        <f>'Necesidades Trimestrales'!H44</f>
        <v>493</v>
      </c>
      <c r="K43" s="152" t="e">
        <f>'Necesidades Trimestrales'!#REF!</f>
        <v>#REF!</v>
      </c>
    </row>
    <row r="44" spans="1:11" ht="32.25" customHeight="1" x14ac:dyDescent="0.2">
      <c r="A44" s="151">
        <v>33</v>
      </c>
      <c r="B44" s="143" t="str">
        <f>'Necesidades Trimestrales'!B45</f>
        <v>2.5.2-1883.28</v>
      </c>
      <c r="C44" s="241" t="str">
        <f>'Necesidades Trimestrales'!E45</f>
        <v>ANESTESICOS LOCALES; TIPO: MONODROGA, DROGA GENERICA: LIDOCAINA, FORMA FARMACEUTICA: AEROSOL, PRESENTACION: 100 mL</v>
      </c>
      <c r="D44" s="242"/>
      <c r="E44" s="242"/>
      <c r="F44" s="242"/>
      <c r="G44" s="242"/>
      <c r="H44" s="143" t="s">
        <v>40</v>
      </c>
      <c r="I44" s="144" t="str">
        <f>'Necesidades Trimestrales'!F45</f>
        <v>ENVASE</v>
      </c>
      <c r="J44" s="145">
        <f>'Necesidades Trimestrales'!H45</f>
        <v>640</v>
      </c>
      <c r="K44" s="152" t="e">
        <f>'Necesidades Trimestrales'!#REF!</f>
        <v>#REF!</v>
      </c>
    </row>
    <row r="45" spans="1:11" ht="32.25" customHeight="1" x14ac:dyDescent="0.2">
      <c r="A45" s="151">
        <v>34</v>
      </c>
      <c r="B45" s="143" t="str">
        <f>'Necesidades Trimestrales'!B46</f>
        <v>2.5.2-1883.19</v>
      </c>
      <c r="C45" s="241" t="str">
        <f>'Necesidades Trimestrales'!E46</f>
        <v>ANESTESICOS LOCALES; TIPO: MONODROGA, DROGA GENERICA: LIDOCAINA VISCOSA, FORMA FARMACEUTICA: ENVASE, PRESENTACION: 50 mL</v>
      </c>
      <c r="D45" s="242"/>
      <c r="E45" s="242"/>
      <c r="F45" s="242"/>
      <c r="G45" s="242"/>
      <c r="H45" s="143" t="s">
        <v>40</v>
      </c>
      <c r="I45" s="144" t="str">
        <f>'Necesidades Trimestrales'!F46</f>
        <v>ENVASE</v>
      </c>
      <c r="J45" s="145">
        <f>'Necesidades Trimestrales'!H46</f>
        <v>390</v>
      </c>
      <c r="K45" s="152" t="e">
        <f>'Necesidades Trimestrales'!#REF!</f>
        <v>#REF!</v>
      </c>
    </row>
    <row r="46" spans="1:11" ht="32.25" customHeight="1" x14ac:dyDescent="0.2">
      <c r="A46" s="151">
        <v>35</v>
      </c>
      <c r="B46" s="143" t="str">
        <f>'Necesidades Trimestrales'!B47</f>
        <v>2.5.2-1821.76</v>
      </c>
      <c r="C46" s="241" t="str">
        <f>'Necesidades Trimestrales'!E47</f>
        <v>ANTIBIOTICOS P/PERSONAS; TIPO: MONODROGA, FORMA FARMACEUTICA: COMPRIMIDO, PRESENTACION: 500 mGr, DROGA GENERICA: METRONIDAZOL</v>
      </c>
      <c r="D46" s="242"/>
      <c r="E46" s="242"/>
      <c r="F46" s="242"/>
      <c r="G46" s="242"/>
      <c r="H46" s="143" t="s">
        <v>40</v>
      </c>
      <c r="I46" s="144" t="str">
        <f>'Necesidades Trimestrales'!F47</f>
        <v>COMPRIMIDO</v>
      </c>
      <c r="J46" s="145">
        <f>'Necesidades Trimestrales'!H47</f>
        <v>7.3</v>
      </c>
      <c r="K46" s="152" t="e">
        <f>'Necesidades Trimestrales'!#REF!</f>
        <v>#REF!</v>
      </c>
    </row>
    <row r="47" spans="1:11" ht="32.25" customHeight="1" x14ac:dyDescent="0.2">
      <c r="A47" s="151">
        <v>36</v>
      </c>
      <c r="B47" s="143" t="str">
        <f>'Necesidades Trimestrales'!B48</f>
        <v>2.5.2-1821.400</v>
      </c>
      <c r="C47" s="241" t="str">
        <f>'Necesidades Trimestrales'!E48</f>
        <v>ANTIBIOTICOS P/PERSONAS; TIPO: MONODROGA, DROGA GENERICA: METRONIDAZOL 500 mGr, FORMA FARMACEUTICA: SACHET X 100 mL, PRESENTACION: UNIDAD</v>
      </c>
      <c r="D47" s="242"/>
      <c r="E47" s="242"/>
      <c r="F47" s="242"/>
      <c r="G47" s="242"/>
      <c r="H47" s="143" t="s">
        <v>40</v>
      </c>
      <c r="I47" s="144" t="str">
        <f>'Necesidades Trimestrales'!F48</f>
        <v>ENVASE</v>
      </c>
      <c r="J47" s="145">
        <f>'Necesidades Trimestrales'!H48</f>
        <v>118</v>
      </c>
      <c r="K47" s="152" t="e">
        <f>'Necesidades Trimestrales'!#REF!</f>
        <v>#REF!</v>
      </c>
    </row>
    <row r="48" spans="1:11" ht="32.25" customHeight="1" x14ac:dyDescent="0.2">
      <c r="A48" s="151">
        <v>37</v>
      </c>
      <c r="B48" s="143" t="str">
        <f>'Necesidades Trimestrales'!B50</f>
        <v>2.5.2-1724.206</v>
      </c>
      <c r="C48" s="241" t="str">
        <f>'Necesidades Trimestrales'!E50</f>
        <v>ANALGESICOS ; TIPO: MONODROGA, DROGA GENERICA: NALBUFINA 10 mGr, FORMA FARMACEUTICA: AMPOLLA, PRESENTACION: ENVASE X 1 mL</v>
      </c>
      <c r="D48" s="242"/>
      <c r="E48" s="242"/>
      <c r="F48" s="242"/>
      <c r="G48" s="242"/>
      <c r="H48" s="143" t="s">
        <v>40</v>
      </c>
      <c r="I48" s="144" t="str">
        <f>'Necesidades Trimestrales'!F50</f>
        <v>AMPOLLA</v>
      </c>
      <c r="J48" s="145">
        <f>'Necesidades Trimestrales'!H50</f>
        <v>120</v>
      </c>
      <c r="K48" s="152" t="e">
        <f>'Necesidades Trimestrales'!#REF!</f>
        <v>#REF!</v>
      </c>
    </row>
    <row r="49" spans="1:11" ht="32.25" customHeight="1" x14ac:dyDescent="0.2">
      <c r="A49" s="151">
        <v>38</v>
      </c>
      <c r="B49" s="143" t="str">
        <f>'Necesidades Trimestrales'!B51</f>
        <v>2.5.2-1725.35</v>
      </c>
      <c r="C49" s="241" t="str">
        <f>'Necesidades Trimestrales'!E51</f>
        <v>ANTIINFLAMATORIOS NO ESTEROIDE; TIPO: MONODROGA, DROGA GENERICA: NAPROXENO, FORMA FARMACEUTICA: COMPRIMIDO, PRESENTACION: 500 mGr</v>
      </c>
      <c r="D49" s="242"/>
      <c r="E49" s="242"/>
      <c r="F49" s="242"/>
      <c r="G49" s="242"/>
      <c r="H49" s="143" t="s">
        <v>40</v>
      </c>
      <c r="I49" s="144" t="str">
        <f>'Necesidades Trimestrales'!F51</f>
        <v>COMPRIMIDO</v>
      </c>
      <c r="J49" s="145">
        <f>'Necesidades Trimestrales'!H51</f>
        <v>16.8</v>
      </c>
      <c r="K49" s="152" t="e">
        <f>'Necesidades Trimestrales'!#REF!</f>
        <v>#REF!</v>
      </c>
    </row>
    <row r="50" spans="1:11" ht="32.25" customHeight="1" x14ac:dyDescent="0.2">
      <c r="A50" s="151">
        <v>39</v>
      </c>
      <c r="B50" s="143" t="str">
        <f>'Necesidades Trimestrales'!B52</f>
        <v>2.5.2-1724.243</v>
      </c>
      <c r="C50" s="241" t="str">
        <f>'Necesidades Trimestrales'!E52</f>
        <v>ANALGESICOS ; TIPO: MONODROGA, DROGA GENERICA: PARACETAMOL 1 GR, FORMA FARMACEUTICA: COMPRIMIDO, PRESENTACION: UNIDAD</v>
      </c>
      <c r="D50" s="242"/>
      <c r="E50" s="242"/>
      <c r="F50" s="242"/>
      <c r="G50" s="242"/>
      <c r="H50" s="143" t="s">
        <v>40</v>
      </c>
      <c r="I50" s="144" t="str">
        <f>'Necesidades Trimestrales'!F52</f>
        <v>COMPRIMIDO</v>
      </c>
      <c r="J50" s="145">
        <f>'Necesidades Trimestrales'!H52</f>
        <v>9.8000000000000007</v>
      </c>
      <c r="K50" s="152" t="e">
        <f>'Necesidades Trimestrales'!#REF!</f>
        <v>#REF!</v>
      </c>
    </row>
    <row r="51" spans="1:11" ht="32.25" customHeight="1" x14ac:dyDescent="0.2">
      <c r="A51" s="151">
        <v>40</v>
      </c>
      <c r="B51" s="143" t="str">
        <f>'Necesidades Trimestrales'!B53</f>
        <v>2.5.2-1724.244</v>
      </c>
      <c r="C51" s="241" t="str">
        <f>'Necesidades Trimestrales'!E53</f>
        <v>ANALGESICOS ; TIPO: MONODROGA, DROGA GENERICA: PARACETAMOL 2%, 100MG/5ML, FORMA FARMACEÚTICA: JARABE, PRESENTACION: 120 ML</v>
      </c>
      <c r="D51" s="242"/>
      <c r="E51" s="242"/>
      <c r="F51" s="242"/>
      <c r="G51" s="242"/>
      <c r="H51" s="143" t="s">
        <v>40</v>
      </c>
      <c r="I51" s="144" t="str">
        <f>'Necesidades Trimestrales'!F53</f>
        <v>FRASCO</v>
      </c>
      <c r="J51" s="145">
        <f>'Necesidades Trimestrales'!H53</f>
        <v>165</v>
      </c>
      <c r="K51" s="152" t="e">
        <f>'Necesidades Trimestrales'!#REF!</f>
        <v>#REF!</v>
      </c>
    </row>
    <row r="52" spans="1:11" ht="32.25" customHeight="1" x14ac:dyDescent="0.2">
      <c r="A52" s="151">
        <v>41</v>
      </c>
      <c r="B52" s="143" t="str">
        <f>'Necesidades Trimestrales'!B54</f>
        <v>2.5.2-1724.245</v>
      </c>
      <c r="C52" s="241" t="str">
        <f>'Necesidades Trimestrales'!E54</f>
        <v>ANALGÉSICOS ; TIPO: MONODROGA, DROGA GENÉRICA: PARACETAMOL 500 MGR, FORMA FARMACEÚTICA: COMPRIMIDO, PRESENTACIÓN: X UNIDAD</v>
      </c>
      <c r="D52" s="242"/>
      <c r="E52" s="242"/>
      <c r="F52" s="242"/>
      <c r="G52" s="242"/>
      <c r="H52" s="143" t="s">
        <v>40</v>
      </c>
      <c r="I52" s="144" t="str">
        <f>'Necesidades Trimestrales'!F54</f>
        <v>COMPRIMIDO</v>
      </c>
      <c r="J52" s="145">
        <f>'Necesidades Trimestrales'!H54</f>
        <v>5.3</v>
      </c>
      <c r="K52" s="152" t="e">
        <f>'Necesidades Trimestrales'!#REF!</f>
        <v>#REF!</v>
      </c>
    </row>
    <row r="53" spans="1:11" ht="32.25" customHeight="1" x14ac:dyDescent="0.2">
      <c r="A53" s="151">
        <v>42</v>
      </c>
      <c r="B53" s="143" t="str">
        <f>'Necesidades Trimestrales'!B55</f>
        <v>2.5.2-1821.54</v>
      </c>
      <c r="C53" s="241" t="str">
        <f>'Necesidades Trimestrales'!E55</f>
        <v>ANTIBIOTICOS P/PERSONAS; TIPO: MONODROGA, DROGA GENERICA: PENICILINA G. BENZATINICA, FORMA FARMACEUTICA: AMPOLLA, PRESENTACION: 1.200.000 UI</v>
      </c>
      <c r="D53" s="242"/>
      <c r="E53" s="242"/>
      <c r="F53" s="242"/>
      <c r="G53" s="242"/>
      <c r="H53" s="143" t="s">
        <v>40</v>
      </c>
      <c r="I53" s="144" t="str">
        <f>'Necesidades Trimestrales'!F55</f>
        <v>AMPOLLA</v>
      </c>
      <c r="J53" s="145">
        <f>'Necesidades Trimestrales'!H55</f>
        <v>189</v>
      </c>
      <c r="K53" s="152" t="e">
        <f>'Necesidades Trimestrales'!#REF!</f>
        <v>#REF!</v>
      </c>
    </row>
    <row r="54" spans="1:11" ht="32.25" customHeight="1" x14ac:dyDescent="0.2">
      <c r="A54" s="151">
        <v>43</v>
      </c>
      <c r="B54" s="143" t="str">
        <f>'Necesidades Trimestrales'!B56</f>
        <v>2.5.2-1821.220</v>
      </c>
      <c r="C54" s="241" t="str">
        <f>'Necesidades Trimestrales'!E56</f>
        <v>ANTIBIOTICOS P/PERSONAS; TIPO: MONODROGA, DROGA GENERICA: PENICILINA G. BENZATINICA, FORMA FARMACEUTICA: FRASCO AMPOLLA, PRESENTACION: 2.400.000 UI</v>
      </c>
      <c r="D54" s="242"/>
      <c r="E54" s="242"/>
      <c r="F54" s="242"/>
      <c r="G54" s="242"/>
      <c r="H54" s="143" t="s">
        <v>40</v>
      </c>
      <c r="I54" s="144" t="str">
        <f>'Necesidades Trimestrales'!F56</f>
        <v>AMPOLLA</v>
      </c>
      <c r="J54" s="145">
        <f>'Necesidades Trimestrales'!H56</f>
        <v>256</v>
      </c>
      <c r="K54" s="152" t="e">
        <f>'Necesidades Trimestrales'!#REF!</f>
        <v>#REF!</v>
      </c>
    </row>
    <row r="55" spans="1:11" ht="32.25" customHeight="1" x14ac:dyDescent="0.2">
      <c r="A55" s="151">
        <v>44</v>
      </c>
      <c r="B55" s="143" t="str">
        <f>'Necesidades Trimestrales'!B57</f>
        <v>2.5.2-3097.9</v>
      </c>
      <c r="C55" s="241" t="str">
        <f>'Necesidades Trimestrales'!E57</f>
        <v>PEDICULICIDAS; DROGA GENERICA: PERMETRINA, FORMA FARMACEUTICA: EMULSION, PRESENTACION: 100 mL</v>
      </c>
      <c r="D55" s="242"/>
      <c r="E55" s="242"/>
      <c r="F55" s="242"/>
      <c r="G55" s="242"/>
      <c r="H55" s="143" t="s">
        <v>40</v>
      </c>
      <c r="I55" s="144" t="str">
        <f>'Necesidades Trimestrales'!F57</f>
        <v>ENVASE</v>
      </c>
      <c r="J55" s="145">
        <f>'Necesidades Trimestrales'!H57</f>
        <v>958</v>
      </c>
      <c r="K55" s="152" t="e">
        <f>'Necesidades Trimestrales'!#REF!</f>
        <v>#REF!</v>
      </c>
    </row>
    <row r="56" spans="1:11" ht="32.25" customHeight="1" x14ac:dyDescent="0.2">
      <c r="A56" s="151">
        <v>45</v>
      </c>
      <c r="B56" s="143" t="str">
        <f>'Necesidades Trimestrales'!B58</f>
        <v>2.5.2-1821.201</v>
      </c>
      <c r="C56" s="241" t="str">
        <f>'Necesidades Trimestrales'!E58</f>
        <v>ANTIBIOTICOS P/PERSONAS; TIPO: ANTITUBERCULOSTATICO, DROGA GENERICA: RIFAMPICINA X 2 GR, FORMA FARMACEUTICA: EN SUSPENSION CADA 100 mL, PRESENTACION: FRASCO X 50 Ml</v>
      </c>
      <c r="D56" s="242"/>
      <c r="E56" s="242"/>
      <c r="F56" s="242"/>
      <c r="G56" s="242"/>
      <c r="H56" s="143" t="s">
        <v>40</v>
      </c>
      <c r="I56" s="144" t="str">
        <f>'Necesidades Trimestrales'!F58</f>
        <v>FRASCO</v>
      </c>
      <c r="J56" s="145">
        <f>'Necesidades Trimestrales'!H58</f>
        <v>1602</v>
      </c>
      <c r="K56" s="152" t="e">
        <f>'Necesidades Trimestrales'!#REF!</f>
        <v>#REF!</v>
      </c>
    </row>
    <row r="57" spans="1:11" ht="32.25" customHeight="1" x14ac:dyDescent="0.2">
      <c r="A57" s="151">
        <v>46</v>
      </c>
      <c r="B57" s="143" t="str">
        <f>'Necesidades Trimestrales'!B59</f>
        <v>2.5.2-1822.6</v>
      </c>
      <c r="C57" s="241" t="str">
        <f>'Necesidades Trimestrales'!E59</f>
        <v>ANTIMICOBACTERIAS; TIPO: MONODROGA, DROGA GENERICA: RIFAMPICINA, PRESENTACION: 300 mGr, FORMA FARMACEUTICA: CAPSULA</v>
      </c>
      <c r="D57" s="242"/>
      <c r="E57" s="242"/>
      <c r="F57" s="242"/>
      <c r="G57" s="242"/>
      <c r="H57" s="143" t="s">
        <v>40</v>
      </c>
      <c r="I57" s="144" t="str">
        <f>'Necesidades Trimestrales'!F59</f>
        <v>CAPSULAS</v>
      </c>
      <c r="J57" s="145">
        <f>'Necesidades Trimestrales'!H59</f>
        <v>45</v>
      </c>
      <c r="K57" s="152" t="e">
        <f>'Necesidades Trimestrales'!#REF!</f>
        <v>#REF!</v>
      </c>
    </row>
    <row r="58" spans="1:11" ht="32.25" customHeight="1" x14ac:dyDescent="0.2">
      <c r="A58" s="151">
        <v>47</v>
      </c>
      <c r="B58" s="143" t="str">
        <f>'Necesidades Trimestrales'!B60</f>
        <v>2.5.2-2455.31</v>
      </c>
      <c r="C58" s="241" t="str">
        <f>'Necesidades Trimestrales'!E60</f>
        <v>ANESTESICOS GENERALES; DROGA GENERICA: SEVOFLUORANO, FORMA FARMACEUTICA: SOLUCION, PRESENTACION: ENVASE X 250 mL, TIPO: MONODROGA</v>
      </c>
      <c r="D58" s="242"/>
      <c r="E58" s="242"/>
      <c r="F58" s="242"/>
      <c r="G58" s="242"/>
      <c r="H58" s="143" t="s">
        <v>40</v>
      </c>
      <c r="I58" s="144" t="str">
        <f>'Necesidades Trimestrales'!F60</f>
        <v>FRASCO</v>
      </c>
      <c r="J58" s="145">
        <f>'Necesidades Trimestrales'!H60</f>
        <v>13840</v>
      </c>
      <c r="K58" s="152" t="e">
        <f>'Necesidades Trimestrales'!#REF!</f>
        <v>#REF!</v>
      </c>
    </row>
    <row r="59" spans="1:11" ht="32.25" customHeight="1" thickBot="1" x14ac:dyDescent="0.25">
      <c r="A59" s="153"/>
      <c r="B59" s="154"/>
      <c r="C59" s="233"/>
      <c r="D59" s="234"/>
      <c r="E59" s="234"/>
      <c r="F59" s="234"/>
      <c r="G59" s="234"/>
      <c r="H59" s="154"/>
      <c r="I59" s="155"/>
      <c r="J59" s="156"/>
      <c r="K59" s="157"/>
    </row>
    <row r="60" spans="1:11" ht="32.25" customHeight="1" thickBot="1" x14ac:dyDescent="0.25">
      <c r="A60" s="212" t="s">
        <v>186</v>
      </c>
      <c r="B60" s="213"/>
      <c r="C60" s="213"/>
      <c r="D60" s="213"/>
      <c r="E60" s="213"/>
      <c r="F60" s="213"/>
      <c r="G60" s="213"/>
      <c r="H60" s="213"/>
      <c r="I60" s="213"/>
      <c r="J60" s="214" t="e">
        <f>SUMPRODUCT(J12:J59,K12:K59)</f>
        <v>#REF!</v>
      </c>
      <c r="K60" s="215"/>
    </row>
  </sheetData>
  <mergeCells count="70">
    <mergeCell ref="C57:G57"/>
    <mergeCell ref="C58:G58"/>
    <mergeCell ref="C49:G49"/>
    <mergeCell ref="C34:G34"/>
    <mergeCell ref="C35:G35"/>
    <mergeCell ref="C48:G48"/>
    <mergeCell ref="C41:G41"/>
    <mergeCell ref="C37:G37"/>
    <mergeCell ref="C38:G38"/>
    <mergeCell ref="C39:G39"/>
    <mergeCell ref="C56:G56"/>
    <mergeCell ref="C52:G52"/>
    <mergeCell ref="C53:G53"/>
    <mergeCell ref="C51:G51"/>
    <mergeCell ref="C13:G13"/>
    <mergeCell ref="C14:G14"/>
    <mergeCell ref="C15:G15"/>
    <mergeCell ref="C16:G16"/>
    <mergeCell ref="C50:G50"/>
    <mergeCell ref="C24:G24"/>
    <mergeCell ref="C25:G25"/>
    <mergeCell ref="C36:G36"/>
    <mergeCell ref="C43:G43"/>
    <mergeCell ref="C44:G44"/>
    <mergeCell ref="C45:G45"/>
    <mergeCell ref="C46:G46"/>
    <mergeCell ref="C47:G47"/>
    <mergeCell ref="C30:G30"/>
    <mergeCell ref="C31:G31"/>
    <mergeCell ref="C32:G32"/>
    <mergeCell ref="C33:G33"/>
    <mergeCell ref="C42:G42"/>
    <mergeCell ref="C40:G40"/>
    <mergeCell ref="C17:G17"/>
    <mergeCell ref="C26:G26"/>
    <mergeCell ref="C27:G27"/>
    <mergeCell ref="C28:G28"/>
    <mergeCell ref="C29:G29"/>
    <mergeCell ref="J10:J11"/>
    <mergeCell ref="C59:G59"/>
    <mergeCell ref="A1:I1"/>
    <mergeCell ref="D6:K6"/>
    <mergeCell ref="D7:K7"/>
    <mergeCell ref="D8:K8"/>
    <mergeCell ref="K10:K11"/>
    <mergeCell ref="C55:G55"/>
    <mergeCell ref="C54:G54"/>
    <mergeCell ref="C12:G12"/>
    <mergeCell ref="C23:G23"/>
    <mergeCell ref="C18:G18"/>
    <mergeCell ref="C19:G19"/>
    <mergeCell ref="C20:G20"/>
    <mergeCell ref="C21:G21"/>
    <mergeCell ref="C22:G22"/>
    <mergeCell ref="A60:I60"/>
    <mergeCell ref="J60:K60"/>
    <mergeCell ref="A3:C3"/>
    <mergeCell ref="D3:K3"/>
    <mergeCell ref="A4:C4"/>
    <mergeCell ref="D4:K4"/>
    <mergeCell ref="A5:C5"/>
    <mergeCell ref="D5:K5"/>
    <mergeCell ref="A7:C7"/>
    <mergeCell ref="A8:C8"/>
    <mergeCell ref="A6:C6"/>
    <mergeCell ref="A10:A11"/>
    <mergeCell ref="B10:B11"/>
    <mergeCell ref="C10:G11"/>
    <mergeCell ref="H10:H11"/>
    <mergeCell ref="I10:I11"/>
  </mergeCells>
  <printOptions horizontalCentered="1"/>
  <pageMargins left="0.196527777777778" right="0.196527777777778" top="0.98402777777777795" bottom="0.98402777777777795" header="0" footer="0"/>
  <pageSetup paperSize="9"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0"/>
  <sheetViews>
    <sheetView workbookViewId="0">
      <selection activeCell="S10" sqref="S10"/>
    </sheetView>
  </sheetViews>
  <sheetFormatPr baseColWidth="10" defaultColWidth="12.5703125" defaultRowHeight="15" customHeight="1" x14ac:dyDescent="0.2"/>
  <cols>
    <col min="1" max="5" width="4.42578125" customWidth="1"/>
    <col min="6" max="6" width="5" customWidth="1"/>
    <col min="7" max="14" width="4.42578125" customWidth="1"/>
    <col min="15" max="16" width="14.85546875" customWidth="1"/>
    <col min="17" max="17" width="14.7109375" customWidth="1"/>
    <col min="18" max="18" width="11" customWidth="1"/>
  </cols>
  <sheetData>
    <row r="1" spans="1:18" ht="15.75" customHeight="1" x14ac:dyDescent="0.25">
      <c r="A1" s="277" t="s">
        <v>4</v>
      </c>
      <c r="B1" s="278"/>
      <c r="C1" s="278"/>
      <c r="D1" s="279">
        <f>'Necesidades Trimestrales'!C6</f>
        <v>2022</v>
      </c>
      <c r="E1" s="280"/>
      <c r="F1" s="8"/>
      <c r="G1" s="8"/>
      <c r="H1" s="9"/>
      <c r="I1" s="9"/>
      <c r="J1" s="9"/>
      <c r="K1" s="9"/>
      <c r="L1" s="9"/>
      <c r="M1" s="9"/>
      <c r="N1" s="9"/>
      <c r="P1" s="270" t="s">
        <v>41</v>
      </c>
      <c r="Q1" s="252"/>
    </row>
    <row r="2" spans="1:18" ht="15.75" customHeight="1" x14ac:dyDescent="0.2">
      <c r="G2" s="10"/>
      <c r="H2" s="9"/>
      <c r="I2" s="9"/>
      <c r="J2" s="9"/>
      <c r="K2" s="9"/>
      <c r="L2" s="9"/>
      <c r="M2" s="9"/>
      <c r="N2" s="9"/>
      <c r="P2" s="271"/>
      <c r="Q2" s="272"/>
    </row>
    <row r="3" spans="1:18" ht="12.75" customHeight="1" x14ac:dyDescent="0.2">
      <c r="G3" s="10"/>
    </row>
    <row r="4" spans="1:18" ht="18" customHeight="1" x14ac:dyDescent="0.2">
      <c r="A4" s="273" t="s">
        <v>42</v>
      </c>
      <c r="B4" s="274"/>
      <c r="C4" s="274"/>
      <c r="D4" s="274"/>
      <c r="E4" s="274"/>
      <c r="F4" s="275"/>
      <c r="G4" s="276" t="str">
        <f>' NotaPedido DPFARMACIA'!D3</f>
        <v>040 - Ministerio de Salud</v>
      </c>
      <c r="H4" s="274"/>
      <c r="I4" s="274"/>
      <c r="J4" s="274"/>
      <c r="K4" s="274"/>
      <c r="L4" s="274"/>
      <c r="M4" s="274"/>
      <c r="N4" s="274"/>
      <c r="O4" s="274"/>
      <c r="P4" s="274"/>
      <c r="Q4" s="275"/>
      <c r="R4" s="11"/>
    </row>
    <row r="5" spans="1:18" s="57" customFormat="1" ht="18" customHeight="1" x14ac:dyDescent="0.2">
      <c r="A5" s="264" t="s">
        <v>26</v>
      </c>
      <c r="B5" s="217"/>
      <c r="C5" s="217"/>
      <c r="D5" s="217"/>
      <c r="E5" s="217"/>
      <c r="F5" s="249"/>
      <c r="G5" s="265" t="str">
        <f>' NotaPedido DPFARMACIA'!D4</f>
        <v>011 - Direccion Provincial de Administracion - MS</v>
      </c>
      <c r="H5" s="217"/>
      <c r="I5" s="217"/>
      <c r="J5" s="217"/>
      <c r="K5" s="217"/>
      <c r="L5" s="217"/>
      <c r="M5" s="217"/>
      <c r="N5" s="217"/>
      <c r="O5" s="217"/>
      <c r="P5" s="217"/>
      <c r="Q5" s="249"/>
      <c r="R5" s="161"/>
    </row>
    <row r="6" spans="1:18" s="57" customFormat="1" ht="18" customHeight="1" x14ac:dyDescent="0.2">
      <c r="A6" s="264" t="s">
        <v>27</v>
      </c>
      <c r="B6" s="217"/>
      <c r="C6" s="217"/>
      <c r="D6" s="217"/>
      <c r="E6" s="217"/>
      <c r="F6" s="249"/>
      <c r="G6" s="265" t="str">
        <f>' NotaPedido DPFARMACIA'!D5</f>
        <v>469 - Direccion Provincial de Farmacia e Insumos</v>
      </c>
      <c r="H6" s="217"/>
      <c r="I6" s="217"/>
      <c r="J6" s="217"/>
      <c r="K6" s="217"/>
      <c r="L6" s="217"/>
      <c r="M6" s="217"/>
      <c r="N6" s="217"/>
      <c r="O6" s="217"/>
      <c r="P6" s="217"/>
      <c r="Q6" s="249"/>
      <c r="R6" s="161"/>
    </row>
    <row r="7" spans="1:18" s="57" customFormat="1" ht="18" customHeight="1" x14ac:dyDescent="0.2">
      <c r="A7" s="264" t="s">
        <v>28</v>
      </c>
      <c r="B7" s="217"/>
      <c r="C7" s="217"/>
      <c r="D7" s="217"/>
      <c r="E7" s="217"/>
      <c r="F7" s="249"/>
      <c r="G7" s="265" t="str">
        <f>' NotaPedido DPFARMACIA'!D6</f>
        <v>469 - Direccion Provincial de Farmacia e Insumos</v>
      </c>
      <c r="H7" s="217"/>
      <c r="I7" s="217"/>
      <c r="J7" s="217"/>
      <c r="K7" s="217"/>
      <c r="L7" s="217"/>
      <c r="M7" s="217"/>
      <c r="N7" s="217"/>
      <c r="O7" s="217"/>
      <c r="P7" s="217"/>
      <c r="Q7" s="249"/>
      <c r="R7" s="161"/>
    </row>
    <row r="8" spans="1:18" s="57" customFormat="1" ht="18" customHeight="1" x14ac:dyDescent="0.2">
      <c r="A8" s="263" t="s">
        <v>43</v>
      </c>
      <c r="B8" s="217"/>
      <c r="C8" s="217"/>
      <c r="D8" s="217"/>
      <c r="E8" s="217"/>
      <c r="F8" s="217"/>
      <c r="G8" s="217"/>
      <c r="H8" s="217"/>
      <c r="I8" s="217"/>
      <c r="J8" s="217"/>
      <c r="K8" s="217"/>
      <c r="L8" s="217"/>
      <c r="M8" s="217"/>
      <c r="N8" s="217"/>
      <c r="O8" s="217"/>
      <c r="P8" s="217"/>
      <c r="Q8" s="249"/>
    </row>
    <row r="9" spans="1:18" s="57" customFormat="1" ht="18" customHeight="1" x14ac:dyDescent="0.2">
      <c r="A9" s="266" t="s">
        <v>44</v>
      </c>
      <c r="B9" s="267"/>
      <c r="C9" s="267"/>
      <c r="D9" s="267"/>
      <c r="E9" s="267"/>
      <c r="F9" s="267"/>
      <c r="G9" s="267"/>
      <c r="H9" s="267"/>
      <c r="I9" s="267"/>
      <c r="J9" s="267"/>
      <c r="K9" s="267"/>
      <c r="L9" s="267"/>
      <c r="M9" s="267"/>
      <c r="N9" s="267"/>
      <c r="O9" s="161"/>
      <c r="P9" s="161"/>
      <c r="Q9" s="162"/>
    </row>
    <row r="10" spans="1:18" s="57" customFormat="1" ht="54.75" customHeight="1" x14ac:dyDescent="0.2">
      <c r="A10" s="268" t="str">
        <f>"Autorizo la realización de los  trámites correspondientes, a fin de proveer a  este Organismo los bienes y/o servicios que se detallan en Nota de Pedido N° " &amp; ' NotaPedido DPFARMACIA'!K1&amp;",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16/2022,  afectando la erogación resultante a los créditos presupuestarios aprobados a favor de esta Unidad Ejecutora, conforme al siguiente detalle:</v>
      </c>
      <c r="B10" s="202"/>
      <c r="C10" s="202"/>
      <c r="D10" s="202"/>
      <c r="E10" s="202"/>
      <c r="F10" s="202"/>
      <c r="G10" s="202"/>
      <c r="H10" s="202"/>
      <c r="I10" s="202"/>
      <c r="J10" s="202"/>
      <c r="K10" s="202"/>
      <c r="L10" s="202"/>
      <c r="M10" s="202"/>
      <c r="N10" s="202"/>
      <c r="O10" s="202"/>
      <c r="P10" s="202"/>
      <c r="Q10" s="269"/>
    </row>
    <row r="11" spans="1:18" s="57" customFormat="1" ht="9" customHeight="1" x14ac:dyDescent="0.2">
      <c r="A11" s="163"/>
      <c r="B11" s="164"/>
      <c r="C11" s="164"/>
      <c r="D11" s="164"/>
      <c r="E11" s="164"/>
      <c r="F11" s="164"/>
      <c r="G11" s="165"/>
      <c r="H11" s="164"/>
      <c r="I11" s="164"/>
      <c r="J11" s="164"/>
      <c r="K11" s="164"/>
      <c r="L11" s="164"/>
      <c r="M11" s="164"/>
      <c r="N11" s="164"/>
      <c r="O11" s="164"/>
      <c r="P11" s="164"/>
      <c r="Q11" s="166"/>
    </row>
    <row r="12" spans="1:18" s="57" customFormat="1" ht="15.75" customHeight="1" x14ac:dyDescent="0.2">
      <c r="A12" s="245" t="s">
        <v>45</v>
      </c>
      <c r="B12" s="246"/>
      <c r="C12" s="246"/>
      <c r="D12" s="246"/>
      <c r="E12" s="246"/>
      <c r="F12" s="246"/>
      <c r="G12" s="246"/>
      <c r="H12" s="246"/>
      <c r="I12" s="246"/>
      <c r="J12" s="246"/>
      <c r="K12" s="246"/>
      <c r="L12" s="246"/>
      <c r="M12" s="246"/>
      <c r="N12" s="246"/>
      <c r="O12" s="246"/>
      <c r="P12" s="246"/>
      <c r="Q12" s="247"/>
    </row>
    <row r="13" spans="1:18" s="57" customFormat="1" ht="15.75" customHeight="1" x14ac:dyDescent="0.2">
      <c r="A13" s="248" t="s">
        <v>46</v>
      </c>
      <c r="B13" s="217"/>
      <c r="C13" s="217"/>
      <c r="D13" s="217"/>
      <c r="E13" s="217"/>
      <c r="F13" s="217"/>
      <c r="G13" s="217"/>
      <c r="H13" s="217"/>
      <c r="I13" s="217"/>
      <c r="J13" s="217"/>
      <c r="K13" s="217"/>
      <c r="L13" s="217"/>
      <c r="M13" s="217"/>
      <c r="N13" s="249"/>
      <c r="O13" s="253" t="s">
        <v>47</v>
      </c>
      <c r="P13" s="247"/>
      <c r="Q13" s="256" t="s">
        <v>48</v>
      </c>
    </row>
    <row r="14" spans="1:18" s="57" customFormat="1" ht="15.75" customHeight="1" x14ac:dyDescent="0.2">
      <c r="A14" s="167" t="s">
        <v>49</v>
      </c>
      <c r="B14" s="168" t="s">
        <v>50</v>
      </c>
      <c r="C14" s="168" t="s">
        <v>51</v>
      </c>
      <c r="D14" s="168" t="s">
        <v>52</v>
      </c>
      <c r="E14" s="168" t="s">
        <v>53</v>
      </c>
      <c r="F14" s="168" t="s">
        <v>54</v>
      </c>
      <c r="G14" s="169" t="s">
        <v>55</v>
      </c>
      <c r="H14" s="168" t="s">
        <v>56</v>
      </c>
      <c r="I14" s="168" t="s">
        <v>57</v>
      </c>
      <c r="J14" s="168" t="s">
        <v>58</v>
      </c>
      <c r="K14" s="168" t="s">
        <v>58</v>
      </c>
      <c r="L14" s="168" t="s">
        <v>59</v>
      </c>
      <c r="M14" s="170" t="s">
        <v>60</v>
      </c>
      <c r="N14" s="171" t="s">
        <v>61</v>
      </c>
      <c r="O14" s="254"/>
      <c r="P14" s="255"/>
      <c r="Q14" s="255"/>
    </row>
    <row r="15" spans="1:18" s="57" customFormat="1" ht="39.75" customHeight="1" x14ac:dyDescent="0.2">
      <c r="A15" s="172">
        <v>30</v>
      </c>
      <c r="B15" s="173"/>
      <c r="C15" s="173"/>
      <c r="D15" s="173">
        <v>1</v>
      </c>
      <c r="E15" s="173"/>
      <c r="F15" s="173">
        <v>4901</v>
      </c>
      <c r="G15" s="173">
        <v>3</v>
      </c>
      <c r="H15" s="173">
        <v>1</v>
      </c>
      <c r="I15" s="173">
        <v>2</v>
      </c>
      <c r="J15" s="173">
        <v>5</v>
      </c>
      <c r="K15" s="173">
        <v>2</v>
      </c>
      <c r="L15" s="173"/>
      <c r="M15" s="174">
        <v>1</v>
      </c>
      <c r="N15" s="173" t="s">
        <v>62</v>
      </c>
      <c r="O15" s="257" t="s">
        <v>181</v>
      </c>
      <c r="P15" s="258"/>
      <c r="Q15" s="175" t="e">
        <f>' NotaPedido DPFARMACIA'!J60</f>
        <v>#REF!</v>
      </c>
    </row>
    <row r="16" spans="1:18" s="57" customFormat="1" ht="17.25" customHeight="1" x14ac:dyDescent="0.2">
      <c r="A16" s="176"/>
      <c r="B16" s="177"/>
      <c r="C16" s="177"/>
      <c r="D16" s="177"/>
      <c r="E16" s="177"/>
      <c r="F16" s="177"/>
      <c r="G16" s="177"/>
      <c r="H16" s="177"/>
      <c r="I16" s="177"/>
      <c r="J16" s="177"/>
      <c r="K16" s="177"/>
      <c r="L16" s="177"/>
      <c r="M16" s="178"/>
      <c r="N16" s="179"/>
      <c r="O16" s="259"/>
      <c r="P16" s="260"/>
      <c r="Q16" s="180"/>
    </row>
    <row r="17" spans="1:18" ht="17.25" customHeight="1" x14ac:dyDescent="0.2">
      <c r="A17" s="12"/>
      <c r="B17" s="13"/>
      <c r="C17" s="13"/>
      <c r="D17" s="13"/>
      <c r="E17" s="13"/>
      <c r="F17" s="15"/>
      <c r="G17" s="13"/>
      <c r="H17" s="13"/>
      <c r="I17" s="13"/>
      <c r="J17" s="13"/>
      <c r="K17" s="13"/>
      <c r="L17" s="13"/>
      <c r="M17" s="14"/>
      <c r="N17" s="15"/>
      <c r="O17" s="261"/>
      <c r="P17" s="262"/>
      <c r="Q17" s="16"/>
    </row>
    <row r="18" spans="1:18" ht="17.25" customHeight="1" x14ac:dyDescent="0.2">
      <c r="A18" s="12"/>
      <c r="B18" s="13"/>
      <c r="C18" s="13"/>
      <c r="D18" s="13"/>
      <c r="E18" s="13"/>
      <c r="F18" s="13"/>
      <c r="G18" s="13"/>
      <c r="H18" s="13"/>
      <c r="I18" s="13"/>
      <c r="J18" s="13"/>
      <c r="K18" s="13"/>
      <c r="L18" s="13"/>
      <c r="M18" s="14"/>
      <c r="N18" s="15"/>
      <c r="O18" s="261"/>
      <c r="P18" s="262"/>
      <c r="Q18" s="16"/>
    </row>
    <row r="19" spans="1:18" ht="17.25" customHeight="1" x14ac:dyDescent="0.2">
      <c r="A19" s="12"/>
      <c r="B19" s="13"/>
      <c r="C19" s="13"/>
      <c r="D19" s="13"/>
      <c r="E19" s="13"/>
      <c r="F19" s="15"/>
      <c r="G19" s="13"/>
      <c r="H19" s="13"/>
      <c r="I19" s="13"/>
      <c r="J19" s="13"/>
      <c r="K19" s="13"/>
      <c r="L19" s="13"/>
      <c r="M19" s="14"/>
      <c r="N19" s="15"/>
      <c r="O19" s="261"/>
      <c r="P19" s="262"/>
      <c r="Q19" s="16"/>
    </row>
    <row r="20" spans="1:18" ht="17.25" customHeight="1" x14ac:dyDescent="0.2">
      <c r="A20" s="12"/>
      <c r="B20" s="13"/>
      <c r="C20" s="13"/>
      <c r="D20" s="13"/>
      <c r="E20" s="13"/>
      <c r="F20" s="15"/>
      <c r="G20" s="13"/>
      <c r="H20" s="13"/>
      <c r="I20" s="13"/>
      <c r="J20" s="13"/>
      <c r="K20" s="13"/>
      <c r="L20" s="13"/>
      <c r="M20" s="14"/>
      <c r="N20" s="15"/>
      <c r="O20" s="261"/>
      <c r="P20" s="262"/>
      <c r="Q20" s="16"/>
    </row>
    <row r="21" spans="1:18" ht="17.25" customHeight="1" x14ac:dyDescent="0.2">
      <c r="A21" s="17"/>
      <c r="B21" s="18"/>
      <c r="C21" s="18"/>
      <c r="D21" s="18"/>
      <c r="E21" s="18"/>
      <c r="F21" s="15"/>
      <c r="G21" s="18"/>
      <c r="H21" s="18"/>
      <c r="I21" s="18"/>
      <c r="J21" s="18"/>
      <c r="K21" s="18"/>
      <c r="L21" s="18"/>
      <c r="M21" s="19"/>
      <c r="N21" s="20"/>
      <c r="O21" s="261"/>
      <c r="P21" s="262"/>
      <c r="Q21" s="16"/>
      <c r="R21" s="11"/>
    </row>
    <row r="22" spans="1:18" ht="17.25" customHeight="1" x14ac:dyDescent="0.2">
      <c r="A22" s="21"/>
      <c r="B22" s="22"/>
      <c r="C22" s="22"/>
      <c r="D22" s="22"/>
      <c r="E22" s="22"/>
      <c r="F22" s="22"/>
      <c r="G22" s="22"/>
      <c r="H22" s="22"/>
      <c r="I22" s="22"/>
      <c r="J22" s="22"/>
      <c r="K22" s="22"/>
      <c r="L22" s="22"/>
      <c r="M22" s="23"/>
      <c r="N22" s="22"/>
      <c r="O22" s="291"/>
      <c r="P22" s="292"/>
      <c r="Q22" s="24"/>
    </row>
    <row r="23" spans="1:18" s="57" customFormat="1" ht="41.25" customHeight="1" x14ac:dyDescent="0.2">
      <c r="A23" s="287" t="s">
        <v>187</v>
      </c>
      <c r="B23" s="288"/>
      <c r="C23" s="288"/>
      <c r="D23" s="288"/>
      <c r="E23" s="288"/>
      <c r="F23" s="288"/>
      <c r="G23" s="288"/>
      <c r="H23" s="288"/>
      <c r="I23" s="288"/>
      <c r="J23" s="288"/>
      <c r="K23" s="288"/>
      <c r="L23" s="288"/>
      <c r="M23" s="288"/>
      <c r="N23" s="288"/>
      <c r="O23" s="288"/>
      <c r="P23" s="289"/>
      <c r="Q23" s="181" t="e">
        <f>SUM(Q15:Q22)</f>
        <v>#REF!</v>
      </c>
    </row>
    <row r="24" spans="1:18" ht="18" customHeight="1" x14ac:dyDescent="0.2">
      <c r="A24" s="290"/>
      <c r="B24" s="251"/>
      <c r="C24" s="251"/>
      <c r="D24" s="251"/>
      <c r="E24" s="251"/>
      <c r="F24" s="251"/>
      <c r="G24" s="251"/>
      <c r="H24" s="251"/>
      <c r="I24" s="251"/>
      <c r="J24" s="251"/>
      <c r="K24" s="251"/>
      <c r="L24" s="251"/>
      <c r="M24" s="251"/>
      <c r="N24" s="251"/>
      <c r="O24" s="251"/>
      <c r="P24" s="251"/>
      <c r="Q24" s="252"/>
    </row>
    <row r="25" spans="1:18" ht="17.25" customHeight="1" x14ac:dyDescent="0.2">
      <c r="A25" s="293" t="s">
        <v>63</v>
      </c>
      <c r="B25" s="278"/>
      <c r="C25" s="278"/>
      <c r="D25" s="278"/>
      <c r="E25" s="278"/>
      <c r="F25" s="280"/>
      <c r="G25" s="250"/>
      <c r="H25" s="251"/>
      <c r="I25" s="251"/>
      <c r="J25" s="251"/>
      <c r="K25" s="251"/>
      <c r="L25" s="251"/>
      <c r="M25" s="251"/>
      <c r="N25" s="251"/>
      <c r="O25" s="251"/>
      <c r="P25" s="251"/>
      <c r="Q25" s="252"/>
    </row>
    <row r="26" spans="1:18" s="57" customFormat="1" ht="18" customHeight="1" x14ac:dyDescent="0.2">
      <c r="A26" s="281" t="str">
        <f>' NotaPedido DPFARMACIA'!D8</f>
        <v>Adquisición de TERAPIA ANTIINFECCIOSA SISTEMICA/SUEROS INMUNES E INMUNOGLOBULINAS  Y MEDIOS DE CONTRASTES /ANALGESICOS ANTINFLAMATORIOS /MIORRELAJANTES/ANESTESICOS/ANALGESICOS OPIACIOS</v>
      </c>
      <c r="B26" s="282"/>
      <c r="C26" s="282"/>
      <c r="D26" s="282"/>
      <c r="E26" s="282"/>
      <c r="F26" s="282"/>
      <c r="G26" s="282"/>
      <c r="H26" s="282"/>
      <c r="I26" s="282"/>
      <c r="J26" s="282"/>
      <c r="K26" s="282"/>
      <c r="L26" s="282"/>
      <c r="M26" s="282"/>
      <c r="N26" s="282"/>
      <c r="O26" s="282"/>
      <c r="P26" s="282"/>
      <c r="Q26" s="283"/>
    </row>
    <row r="27" spans="1:18" s="57" customFormat="1" ht="30.75" customHeight="1" x14ac:dyDescent="0.2">
      <c r="A27" s="284"/>
      <c r="B27" s="285"/>
      <c r="C27" s="285"/>
      <c r="D27" s="285"/>
      <c r="E27" s="285"/>
      <c r="F27" s="285"/>
      <c r="G27" s="285"/>
      <c r="H27" s="285"/>
      <c r="I27" s="285"/>
      <c r="J27" s="285"/>
      <c r="K27" s="285"/>
      <c r="L27" s="285"/>
      <c r="M27" s="285"/>
      <c r="N27" s="285"/>
      <c r="O27" s="285"/>
      <c r="P27" s="285"/>
      <c r="Q27" s="286"/>
    </row>
    <row r="28" spans="1:18" ht="12.75" customHeight="1" x14ac:dyDescent="0.2">
      <c r="G28" s="10"/>
    </row>
    <row r="29" spans="1:18" ht="12.75" customHeight="1" x14ac:dyDescent="0.2">
      <c r="G29" s="10"/>
    </row>
    <row r="30" spans="1:18" ht="12.75" customHeight="1" x14ac:dyDescent="0.2">
      <c r="G30" s="10"/>
    </row>
    <row r="31" spans="1:18" ht="12.75" customHeight="1" x14ac:dyDescent="0.2">
      <c r="G31" s="10"/>
    </row>
    <row r="32" spans="1:18" ht="12.75" customHeight="1" x14ac:dyDescent="0.2">
      <c r="G32" s="10"/>
    </row>
    <row r="33" spans="7:7" ht="12.75" customHeight="1" x14ac:dyDescent="0.2">
      <c r="G33" s="10"/>
    </row>
    <row r="34" spans="7:7" ht="12.75" customHeight="1" x14ac:dyDescent="0.2">
      <c r="G34" s="10"/>
    </row>
    <row r="35" spans="7:7" ht="12.75" customHeight="1" x14ac:dyDescent="0.2">
      <c r="G35" s="10"/>
    </row>
    <row r="36" spans="7:7" ht="12.75" customHeight="1" x14ac:dyDescent="0.2">
      <c r="G36" s="10"/>
    </row>
    <row r="37" spans="7:7" ht="12.75" customHeight="1" x14ac:dyDescent="0.2">
      <c r="G37" s="10"/>
    </row>
    <row r="38" spans="7:7" ht="12.75" customHeight="1" x14ac:dyDescent="0.2">
      <c r="G38" s="10"/>
    </row>
    <row r="39" spans="7:7" ht="12.75" customHeight="1" x14ac:dyDescent="0.2">
      <c r="G39" s="10"/>
    </row>
    <row r="40" spans="7:7" ht="12.75" customHeight="1" x14ac:dyDescent="0.2">
      <c r="G40" s="10"/>
    </row>
    <row r="41" spans="7:7" ht="12.75" customHeight="1" x14ac:dyDescent="0.2">
      <c r="G41" s="10"/>
    </row>
    <row r="42" spans="7:7" ht="12.75" customHeight="1" x14ac:dyDescent="0.2">
      <c r="G42" s="10"/>
    </row>
    <row r="43" spans="7:7" ht="12.75" customHeight="1" x14ac:dyDescent="0.2">
      <c r="G43" s="10"/>
    </row>
    <row r="44" spans="7:7" ht="12.75" customHeight="1" x14ac:dyDescent="0.2">
      <c r="G44" s="10"/>
    </row>
    <row r="45" spans="7:7" ht="12.75" customHeight="1" x14ac:dyDescent="0.2">
      <c r="G45" s="10"/>
    </row>
    <row r="46" spans="7:7" ht="12.75" customHeight="1" x14ac:dyDescent="0.2">
      <c r="G46" s="10"/>
    </row>
    <row r="47" spans="7:7" ht="12.75" customHeight="1" x14ac:dyDescent="0.2">
      <c r="G47" s="10"/>
    </row>
    <row r="48" spans="7:7" ht="12.75" customHeight="1" x14ac:dyDescent="0.2">
      <c r="G48" s="10"/>
    </row>
    <row r="49" spans="7:7" ht="12.75" customHeight="1" x14ac:dyDescent="0.2">
      <c r="G49" s="10"/>
    </row>
    <row r="50" spans="7:7" ht="12.75" customHeight="1" x14ac:dyDescent="0.2">
      <c r="G50" s="10"/>
    </row>
    <row r="51" spans="7:7" ht="12.75" customHeight="1" x14ac:dyDescent="0.2">
      <c r="G51" s="10"/>
    </row>
    <row r="52" spans="7:7" ht="12.75" customHeight="1" x14ac:dyDescent="0.2">
      <c r="G52" s="10"/>
    </row>
    <row r="53" spans="7:7" ht="12.75" customHeight="1" x14ac:dyDescent="0.2">
      <c r="G53" s="10"/>
    </row>
    <row r="54" spans="7:7" ht="12.75" customHeight="1" x14ac:dyDescent="0.2">
      <c r="G54" s="10"/>
    </row>
    <row r="55" spans="7:7" ht="12.75" customHeight="1" x14ac:dyDescent="0.2">
      <c r="G55" s="10"/>
    </row>
    <row r="56" spans="7:7" ht="12.75" customHeight="1" x14ac:dyDescent="0.2">
      <c r="G56" s="10"/>
    </row>
    <row r="57" spans="7:7" ht="12.75" customHeight="1" x14ac:dyDescent="0.2">
      <c r="G57" s="10"/>
    </row>
    <row r="58" spans="7:7" ht="12.75" customHeight="1" x14ac:dyDescent="0.2">
      <c r="G58" s="10"/>
    </row>
    <row r="59" spans="7:7" ht="12.75" customHeight="1" x14ac:dyDescent="0.2">
      <c r="G59" s="10"/>
    </row>
    <row r="60" spans="7:7" ht="12.75" customHeight="1" x14ac:dyDescent="0.2">
      <c r="G60" s="10"/>
    </row>
    <row r="61" spans="7:7" ht="12.75" customHeight="1" x14ac:dyDescent="0.2">
      <c r="G61" s="10"/>
    </row>
    <row r="62" spans="7:7" ht="12.75" customHeight="1" x14ac:dyDescent="0.2">
      <c r="G62" s="10"/>
    </row>
    <row r="63" spans="7:7" ht="12.75" customHeight="1" x14ac:dyDescent="0.2">
      <c r="G63" s="10"/>
    </row>
    <row r="64" spans="7:7" ht="12.75" customHeight="1" x14ac:dyDescent="0.2">
      <c r="G64" s="10"/>
    </row>
    <row r="65" spans="7:7" ht="12.75" customHeight="1" x14ac:dyDescent="0.2">
      <c r="G65" s="10"/>
    </row>
    <row r="66" spans="7:7" ht="12.75" customHeight="1" x14ac:dyDescent="0.2">
      <c r="G66" s="10"/>
    </row>
    <row r="67" spans="7:7" ht="12.75" customHeight="1" x14ac:dyDescent="0.2">
      <c r="G67" s="10"/>
    </row>
    <row r="68" spans="7:7" ht="12.75" customHeight="1" x14ac:dyDescent="0.2">
      <c r="G68" s="10"/>
    </row>
    <row r="69" spans="7:7" ht="12.75" customHeight="1" x14ac:dyDescent="0.2">
      <c r="G69" s="10"/>
    </row>
    <row r="70" spans="7:7" ht="12.75" customHeight="1" x14ac:dyDescent="0.2">
      <c r="G70" s="10"/>
    </row>
    <row r="71" spans="7:7" ht="12.75" customHeight="1" x14ac:dyDescent="0.2">
      <c r="G71" s="10"/>
    </row>
    <row r="72" spans="7:7" ht="12.75" customHeight="1" x14ac:dyDescent="0.2">
      <c r="G72" s="10"/>
    </row>
    <row r="73" spans="7:7" ht="12.75" customHeight="1" x14ac:dyDescent="0.2">
      <c r="G73" s="10"/>
    </row>
    <row r="74" spans="7:7" ht="12.75" customHeight="1" x14ac:dyDescent="0.2">
      <c r="G74" s="10"/>
    </row>
    <row r="75" spans="7:7" ht="12.75" customHeight="1" x14ac:dyDescent="0.2">
      <c r="G75" s="10"/>
    </row>
    <row r="76" spans="7:7" ht="12.75" customHeight="1" x14ac:dyDescent="0.2">
      <c r="G76" s="10"/>
    </row>
    <row r="77" spans="7:7" ht="12.75" customHeight="1" x14ac:dyDescent="0.2">
      <c r="G77" s="10"/>
    </row>
    <row r="78" spans="7:7" ht="12.75" customHeight="1" x14ac:dyDescent="0.2">
      <c r="G78" s="10"/>
    </row>
    <row r="79" spans="7:7" ht="12.75" customHeight="1" x14ac:dyDescent="0.2">
      <c r="G79" s="10"/>
    </row>
    <row r="80" spans="7:7" ht="12.75" customHeight="1" x14ac:dyDescent="0.2">
      <c r="G80" s="10"/>
    </row>
    <row r="81" spans="7:7" ht="12.75" customHeight="1" x14ac:dyDescent="0.2">
      <c r="G81" s="10"/>
    </row>
    <row r="82" spans="7:7" ht="12.75" customHeight="1" x14ac:dyDescent="0.2">
      <c r="G82" s="10"/>
    </row>
    <row r="83" spans="7:7" ht="12.75" customHeight="1" x14ac:dyDescent="0.2">
      <c r="G83" s="10"/>
    </row>
    <row r="84" spans="7:7" ht="12.75" customHeight="1" x14ac:dyDescent="0.2">
      <c r="G84" s="10"/>
    </row>
    <row r="85" spans="7:7" ht="12.75" customHeight="1" x14ac:dyDescent="0.2">
      <c r="G85" s="10"/>
    </row>
    <row r="86" spans="7:7" ht="12.75" customHeight="1" x14ac:dyDescent="0.2">
      <c r="G86" s="10"/>
    </row>
    <row r="87" spans="7:7" ht="12.75" customHeight="1" x14ac:dyDescent="0.2">
      <c r="G87" s="10"/>
    </row>
    <row r="88" spans="7:7" ht="12.75" customHeight="1" x14ac:dyDescent="0.2">
      <c r="G88" s="10"/>
    </row>
    <row r="89" spans="7:7" ht="12.75" customHeight="1" x14ac:dyDescent="0.2">
      <c r="G89" s="10"/>
    </row>
    <row r="90" spans="7:7" ht="12.75" customHeight="1" x14ac:dyDescent="0.2">
      <c r="G90" s="10"/>
    </row>
    <row r="91" spans="7:7" ht="12.75" customHeight="1" x14ac:dyDescent="0.2">
      <c r="G91" s="10"/>
    </row>
    <row r="92" spans="7:7" ht="12.75" customHeight="1" x14ac:dyDescent="0.2">
      <c r="G92" s="10"/>
    </row>
    <row r="93" spans="7:7" ht="12.75" customHeight="1" x14ac:dyDescent="0.2">
      <c r="G93" s="10"/>
    </row>
    <row r="94" spans="7:7" ht="12.75" customHeight="1" x14ac:dyDescent="0.2">
      <c r="G94" s="10"/>
    </row>
    <row r="95" spans="7:7" ht="12.75" customHeight="1" x14ac:dyDescent="0.2">
      <c r="G95" s="10"/>
    </row>
    <row r="96" spans="7:7" ht="12.75" customHeight="1" x14ac:dyDescent="0.2">
      <c r="G96" s="10"/>
    </row>
    <row r="97" spans="7:7" ht="12.75" customHeight="1" x14ac:dyDescent="0.2">
      <c r="G97" s="10"/>
    </row>
    <row r="98" spans="7:7" ht="12.75" customHeight="1" x14ac:dyDescent="0.2">
      <c r="G98" s="10"/>
    </row>
    <row r="99" spans="7:7" ht="12.75" customHeight="1" x14ac:dyDescent="0.2">
      <c r="G99" s="10"/>
    </row>
    <row r="100" spans="7:7" ht="12.75" customHeight="1" x14ac:dyDescent="0.2">
      <c r="G100" s="10"/>
    </row>
  </sheetData>
  <mergeCells count="31">
    <mergeCell ref="A26:Q27"/>
    <mergeCell ref="A23:P23"/>
    <mergeCell ref="A24:Q24"/>
    <mergeCell ref="O20:P20"/>
    <mergeCell ref="O21:P21"/>
    <mergeCell ref="O22:P22"/>
    <mergeCell ref="A25:F25"/>
    <mergeCell ref="P1:Q2"/>
    <mergeCell ref="A4:F4"/>
    <mergeCell ref="G4:Q4"/>
    <mergeCell ref="G5:Q5"/>
    <mergeCell ref="G6:Q6"/>
    <mergeCell ref="A5:F5"/>
    <mergeCell ref="A6:F6"/>
    <mergeCell ref="A1:C1"/>
    <mergeCell ref="D1:E1"/>
    <mergeCell ref="A8:Q8"/>
    <mergeCell ref="A7:F7"/>
    <mergeCell ref="G7:Q7"/>
    <mergeCell ref="A9:N9"/>
    <mergeCell ref="A10:Q10"/>
    <mergeCell ref="A12:Q12"/>
    <mergeCell ref="A13:N13"/>
    <mergeCell ref="G25:Q25"/>
    <mergeCell ref="O13:P14"/>
    <mergeCell ref="Q13:Q14"/>
    <mergeCell ref="O15:P15"/>
    <mergeCell ref="O16:P16"/>
    <mergeCell ref="O17:P17"/>
    <mergeCell ref="O18:P18"/>
    <mergeCell ref="O19:P19"/>
  </mergeCells>
  <printOptions horizontalCentered="1"/>
  <pageMargins left="0.39374999999999999" right="0.39374999999999999" top="0.98402777777777795" bottom="0.98402777777777795" header="0" footer="0"/>
  <pageSetup paperSize="9" scale="9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
  <sheetViews>
    <sheetView workbookViewId="0">
      <selection activeCell="P13" sqref="P13"/>
    </sheetView>
  </sheetViews>
  <sheetFormatPr baseColWidth="10" defaultColWidth="12.5703125" defaultRowHeight="15" customHeight="1" x14ac:dyDescent="0.2"/>
  <cols>
    <col min="1" max="1" width="5.5703125" style="98" customWidth="1"/>
    <col min="2" max="2" width="15.140625" style="160" customWidth="1"/>
    <col min="3" max="3" width="14.140625" style="98" customWidth="1"/>
    <col min="4" max="4" width="26" style="98" customWidth="1"/>
    <col min="5" max="5" width="8" style="98" customWidth="1"/>
    <col min="6" max="6" width="7.85546875" style="98" customWidth="1"/>
    <col min="7" max="7" width="48.5703125" style="98" customWidth="1"/>
    <col min="8" max="8" width="9.28515625" style="98" customWidth="1"/>
    <col min="9" max="9" width="15.5703125" style="98" customWidth="1"/>
    <col min="10" max="10" width="14.7109375" style="98" customWidth="1"/>
    <col min="11" max="11" width="15.5703125" style="98" customWidth="1"/>
    <col min="12" max="16384" width="12.5703125" style="98"/>
  </cols>
  <sheetData>
    <row r="1" spans="1:11" s="57" customFormat="1" ht="12.75" customHeight="1" thickBot="1" x14ac:dyDescent="0.25">
      <c r="A1" s="235" t="s">
        <v>23</v>
      </c>
      <c r="B1" s="202"/>
      <c r="C1" s="202"/>
      <c r="D1" s="202"/>
      <c r="E1" s="202"/>
      <c r="F1" s="202"/>
      <c r="G1" s="202"/>
      <c r="H1" s="202"/>
      <c r="I1" s="195"/>
      <c r="J1" s="139" t="s">
        <v>24</v>
      </c>
      <c r="K1" s="140" t="s">
        <v>183</v>
      </c>
    </row>
    <row r="2" spans="1:11" s="57" customFormat="1" ht="12.75" customHeight="1" thickBot="1" x14ac:dyDescent="0.25">
      <c r="A2" s="141"/>
      <c r="B2" s="158"/>
      <c r="C2" s="141"/>
      <c r="D2" s="142"/>
      <c r="E2" s="142"/>
      <c r="F2" s="142"/>
      <c r="G2" s="142"/>
      <c r="H2" s="142"/>
      <c r="I2" s="142"/>
      <c r="J2" s="142"/>
      <c r="K2" s="142"/>
    </row>
    <row r="3" spans="1:11" s="57" customFormat="1" ht="12.75" customHeight="1" thickBot="1" x14ac:dyDescent="0.25">
      <c r="A3" s="216" t="s">
        <v>25</v>
      </c>
      <c r="B3" s="217"/>
      <c r="C3" s="218"/>
      <c r="D3" s="219" t="str">
        <f>'Necesidades Trimestrales'!C4</f>
        <v>040 - Ministerio de Salud</v>
      </c>
      <c r="E3" s="220"/>
      <c r="F3" s="220"/>
      <c r="G3" s="220"/>
      <c r="H3" s="220"/>
      <c r="I3" s="220"/>
      <c r="J3" s="220"/>
      <c r="K3" s="221"/>
    </row>
    <row r="4" spans="1:11" s="57" customFormat="1" ht="12.75" customHeight="1" thickBot="1" x14ac:dyDescent="0.25">
      <c r="A4" s="222" t="s">
        <v>26</v>
      </c>
      <c r="B4" s="223"/>
      <c r="C4" s="224"/>
      <c r="D4" s="219" t="str">
        <f>'Necesidades Trimestrales'!C5</f>
        <v>011 - Direccion Provincial de Administracion - MS</v>
      </c>
      <c r="E4" s="220"/>
      <c r="F4" s="220"/>
      <c r="G4" s="220"/>
      <c r="H4" s="220"/>
      <c r="I4" s="220"/>
      <c r="J4" s="220"/>
      <c r="K4" s="221"/>
    </row>
    <row r="5" spans="1:11" s="57" customFormat="1" ht="12.75" customHeight="1" thickBot="1" x14ac:dyDescent="0.25">
      <c r="A5" s="222" t="s">
        <v>27</v>
      </c>
      <c r="B5" s="223"/>
      <c r="C5" s="224"/>
      <c r="D5" s="219" t="s">
        <v>182</v>
      </c>
      <c r="E5" s="220"/>
      <c r="F5" s="220"/>
      <c r="G5" s="220"/>
      <c r="H5" s="220"/>
      <c r="I5" s="220"/>
      <c r="J5" s="220"/>
      <c r="K5" s="221"/>
    </row>
    <row r="6" spans="1:11" s="57" customFormat="1" ht="12.75" customHeight="1" thickBot="1" x14ac:dyDescent="0.25">
      <c r="A6" s="216" t="s">
        <v>28</v>
      </c>
      <c r="B6" s="217"/>
      <c r="C6" s="218"/>
      <c r="D6" s="219" t="s">
        <v>182</v>
      </c>
      <c r="E6" s="220"/>
      <c r="F6" s="220"/>
      <c r="G6" s="220"/>
      <c r="H6" s="220"/>
      <c r="I6" s="220"/>
      <c r="J6" s="220"/>
      <c r="K6" s="221"/>
    </row>
    <row r="7" spans="1:11" s="57" customFormat="1" ht="12.75" customHeight="1" thickBot="1" x14ac:dyDescent="0.25">
      <c r="A7" s="222" t="s">
        <v>29</v>
      </c>
      <c r="B7" s="223"/>
      <c r="C7" s="224"/>
      <c r="D7" s="219" t="s">
        <v>30</v>
      </c>
      <c r="E7" s="220"/>
      <c r="F7" s="220"/>
      <c r="G7" s="220"/>
      <c r="H7" s="220"/>
      <c r="I7" s="220"/>
      <c r="J7" s="220"/>
      <c r="K7" s="221"/>
    </row>
    <row r="8" spans="1:11" s="57" customFormat="1" ht="36" customHeight="1" thickBot="1" x14ac:dyDescent="0.25">
      <c r="A8" s="225" t="s">
        <v>31</v>
      </c>
      <c r="B8" s="220"/>
      <c r="C8" s="226"/>
      <c r="D8" s="236" t="s">
        <v>32</v>
      </c>
      <c r="E8" s="237"/>
      <c r="F8" s="237"/>
      <c r="G8" s="237"/>
      <c r="H8" s="237"/>
      <c r="I8" s="237"/>
      <c r="J8" s="237"/>
      <c r="K8" s="238"/>
    </row>
    <row r="9" spans="1:11" ht="12.75" customHeight="1" thickBot="1" x14ac:dyDescent="0.25">
      <c r="A9" s="6"/>
      <c r="B9" s="159"/>
      <c r="C9" s="6"/>
      <c r="D9" s="7"/>
      <c r="E9" s="7"/>
      <c r="F9" s="7"/>
      <c r="G9" s="7"/>
      <c r="H9" s="7"/>
      <c r="I9" s="7"/>
      <c r="J9" s="7"/>
      <c r="K9" s="7"/>
    </row>
    <row r="10" spans="1:11" ht="12.75" customHeight="1" thickBot="1" x14ac:dyDescent="0.25">
      <c r="A10" s="227" t="s">
        <v>33</v>
      </c>
      <c r="B10" s="229" t="s">
        <v>34</v>
      </c>
      <c r="C10" s="229" t="s">
        <v>35</v>
      </c>
      <c r="D10" s="231"/>
      <c r="E10" s="231"/>
      <c r="F10" s="231"/>
      <c r="G10" s="231"/>
      <c r="H10" s="229" t="s">
        <v>36</v>
      </c>
      <c r="I10" s="229" t="s">
        <v>37</v>
      </c>
      <c r="J10" s="229" t="s">
        <v>38</v>
      </c>
      <c r="K10" s="239" t="s">
        <v>39</v>
      </c>
    </row>
    <row r="11" spans="1:11" ht="32.25" customHeight="1" thickBot="1" x14ac:dyDescent="0.25">
      <c r="A11" s="228"/>
      <c r="B11" s="230"/>
      <c r="C11" s="232"/>
      <c r="D11" s="232"/>
      <c r="E11" s="232"/>
      <c r="F11" s="232"/>
      <c r="G11" s="232"/>
      <c r="H11" s="232"/>
      <c r="I11" s="232"/>
      <c r="J11" s="232"/>
      <c r="K11" s="240"/>
    </row>
    <row r="12" spans="1:11" ht="32.25" customHeight="1" x14ac:dyDescent="0.2">
      <c r="A12" s="151">
        <v>1</v>
      </c>
      <c r="B12" s="143" t="str">
        <f>'Necesidades Trimestrales'!B11</f>
        <v>2.5.2-1724.16</v>
      </c>
      <c r="C12" s="241" t="str">
        <f>'Necesidades Trimestrales'!E11</f>
        <v>ANALGESICOS ; TIPO: MONODROGA, DROGA GENERICA: ACIDO ACETILSALICILICO, PRESENTACION: 100 mGr, FORMA FARMACEUTICA: COMPRIMIDO</v>
      </c>
      <c r="D12" s="242"/>
      <c r="E12" s="242"/>
      <c r="F12" s="242"/>
      <c r="G12" s="242"/>
      <c r="H12" s="143" t="s">
        <v>40</v>
      </c>
      <c r="I12" s="144" t="str">
        <f>'Necesidades Trimestrales'!F11</f>
        <v>COMPRIMIDO</v>
      </c>
      <c r="J12" s="145">
        <f>'Necesidades Trimestrales'!H11</f>
        <v>1.55</v>
      </c>
      <c r="K12" s="152" t="e">
        <f>'Necesidades Trimestrales'!#REF!</f>
        <v>#REF!</v>
      </c>
    </row>
    <row r="13" spans="1:11" ht="32.25" customHeight="1" x14ac:dyDescent="0.2">
      <c r="A13" s="151">
        <v>2</v>
      </c>
      <c r="B13" s="143" t="str">
        <f>'Necesidades Trimestrales'!B29</f>
        <v>2.5.2-1724.140</v>
      </c>
      <c r="C13" s="241" t="str">
        <f>'Necesidades Trimestrales'!E29</f>
        <v>ANALGESICOS ; TIPO: MONODROGA, DROGA GENERICA: DICLOFENAC X 75 MG, FORMA FARMACEUTICA: COMPRIMIDO, PRESENTACION: UNIDAD</v>
      </c>
      <c r="D13" s="242"/>
      <c r="E13" s="242"/>
      <c r="F13" s="242"/>
      <c r="G13" s="242"/>
      <c r="H13" s="143" t="s">
        <v>40</v>
      </c>
      <c r="I13" s="144" t="str">
        <f>'Necesidades Trimestrales'!F29</f>
        <v>COMPRIMIDO</v>
      </c>
      <c r="J13" s="145">
        <f>'Necesidades Trimestrales'!H29</f>
        <v>3.05</v>
      </c>
      <c r="K13" s="152" t="e">
        <f>'Necesidades Trimestrales'!#REF!</f>
        <v>#REF!</v>
      </c>
    </row>
    <row r="14" spans="1:11" ht="32.25" customHeight="1" x14ac:dyDescent="0.2">
      <c r="A14" s="151">
        <v>3</v>
      </c>
      <c r="B14" s="143" t="str">
        <f>'Necesidades Trimestrales'!B30</f>
        <v>2.5.2-1724.117</v>
      </c>
      <c r="C14" s="241" t="str">
        <f>'Necesidades Trimestrales'!E30</f>
        <v>ANALGESICOS ; TIPO: ASOCIACION, DROGA GENERICA: DICLOFENAC SODICO, FORMA FARMACEUTICA: AMPOLLA, PRESENTACION: 3 Ml</v>
      </c>
      <c r="D14" s="242"/>
      <c r="E14" s="242"/>
      <c r="F14" s="242"/>
      <c r="G14" s="242"/>
      <c r="H14" s="143" t="s">
        <v>40</v>
      </c>
      <c r="I14" s="144" t="str">
        <f>'Necesidades Trimestrales'!F30</f>
        <v>AMPOLLA</v>
      </c>
      <c r="J14" s="145">
        <f>'Necesidades Trimestrales'!H30</f>
        <v>35.9</v>
      </c>
      <c r="K14" s="152" t="e">
        <f>'Necesidades Trimestrales'!#REF!</f>
        <v>#REF!</v>
      </c>
    </row>
    <row r="15" spans="1:11" ht="32.25" customHeight="1" x14ac:dyDescent="0.2">
      <c r="A15" s="151">
        <v>4</v>
      </c>
      <c r="B15" s="143" t="str">
        <f>'Necesidades Trimestrales'!B31</f>
        <v>2.5.2-1724.208</v>
      </c>
      <c r="C15" s="241" t="str">
        <f>'Necesidades Trimestrales'!E31</f>
        <v>ANALGESICOS ; TIPO: MONODROGA, DROGA GENERICA: DIPIRONA SODICA 1 GR, FORMA FARMACEUTICA: AMPOLLA, PRESENTACION: 2 mL</v>
      </c>
      <c r="D15" s="242"/>
      <c r="E15" s="242"/>
      <c r="F15" s="242"/>
      <c r="G15" s="242"/>
      <c r="H15" s="143" t="s">
        <v>40</v>
      </c>
      <c r="I15" s="144" t="str">
        <f>'Necesidades Trimestrales'!F31</f>
        <v>AMPOLLA</v>
      </c>
      <c r="J15" s="145">
        <f>'Necesidades Trimestrales'!H31</f>
        <v>38.5</v>
      </c>
      <c r="K15" s="152" t="e">
        <f>'Necesidades Trimestrales'!#REF!</f>
        <v>#REF!</v>
      </c>
    </row>
    <row r="16" spans="1:11" ht="32.25" customHeight="1" x14ac:dyDescent="0.2">
      <c r="A16" s="151">
        <v>5</v>
      </c>
      <c r="B16" s="143" t="str">
        <f>'Necesidades Trimestrales'!B37</f>
        <v>2.5.2-1724.163</v>
      </c>
      <c r="C16" s="241" t="str">
        <f>'Necesidades Trimestrales'!E37</f>
        <v>ANALGESICOS ; TIPO: MONODROGA, DROGA GENERICA: IBUPROFENO 2%, FORMA FARMACEUTICA: SUSPENSION, PRESENTACION: ENVASE X 90 mL</v>
      </c>
      <c r="D16" s="242"/>
      <c r="E16" s="242"/>
      <c r="F16" s="242"/>
      <c r="G16" s="242"/>
      <c r="H16" s="143" t="s">
        <v>40</v>
      </c>
      <c r="I16" s="144" t="str">
        <f>'Necesidades Trimestrales'!F37</f>
        <v>FRASCO</v>
      </c>
      <c r="J16" s="145">
        <f>'Necesidades Trimestrales'!H37</f>
        <v>85</v>
      </c>
      <c r="K16" s="152" t="e">
        <f>'Necesidades Trimestrales'!#REF!</f>
        <v>#REF!</v>
      </c>
    </row>
    <row r="17" spans="1:11" ht="32.25" customHeight="1" x14ac:dyDescent="0.2">
      <c r="A17" s="151">
        <v>6</v>
      </c>
      <c r="B17" s="143" t="str">
        <f>'Necesidades Trimestrales'!B39</f>
        <v>2.5.2-1725.68</v>
      </c>
      <c r="C17" s="241" t="str">
        <f>'Necesidades Trimestrales'!E39</f>
        <v>ANTIINFLAMATORIOS NO ESTEROIDE; TIPO: MONODROGA, DROGA GENERICA: IBUPROFENO, FORMA FARMACEUTICA: COMPRIMIDO, PRESENTACION: 400 mGr</v>
      </c>
      <c r="D17" s="242"/>
      <c r="E17" s="242"/>
      <c r="F17" s="242"/>
      <c r="G17" s="242"/>
      <c r="H17" s="143" t="s">
        <v>40</v>
      </c>
      <c r="I17" s="144" t="str">
        <f>'Necesidades Trimestrales'!F39</f>
        <v>COMPRIMIDO</v>
      </c>
      <c r="J17" s="145">
        <f>'Necesidades Trimestrales'!H39</f>
        <v>4.8</v>
      </c>
      <c r="K17" s="152" t="e">
        <f>'Necesidades Trimestrales'!#REF!</f>
        <v>#REF!</v>
      </c>
    </row>
    <row r="18" spans="1:11" ht="32.25" customHeight="1" x14ac:dyDescent="0.2">
      <c r="A18" s="151">
        <v>7</v>
      </c>
      <c r="B18" s="143" t="str">
        <f>'Necesidades Trimestrales'!B40</f>
        <v>2.5.2-1725.49</v>
      </c>
      <c r="C18" s="241" t="str">
        <f>'Necesidades Trimestrales'!E40</f>
        <v>ANTIINFLAMATORIOS NO ESTEROIDE; DROGA GENERICA: KETOROLAC, FORMA FARMACEUTICA: COMPRIMIDO, PRESENTACION: 10 mGr, TIPO: MONODROGA</v>
      </c>
      <c r="D18" s="242"/>
      <c r="E18" s="242"/>
      <c r="F18" s="242"/>
      <c r="G18" s="242"/>
      <c r="H18" s="143" t="s">
        <v>40</v>
      </c>
      <c r="I18" s="144" t="str">
        <f>'Necesidades Trimestrales'!F40</f>
        <v>COMPRIMIDO</v>
      </c>
      <c r="J18" s="145">
        <f>'Necesidades Trimestrales'!H40</f>
        <v>3.3</v>
      </c>
      <c r="K18" s="152" t="e">
        <f>'Necesidades Trimestrales'!#REF!</f>
        <v>#REF!</v>
      </c>
    </row>
    <row r="19" spans="1:11" ht="32.25" customHeight="1" x14ac:dyDescent="0.2">
      <c r="A19" s="151">
        <v>8</v>
      </c>
      <c r="B19" s="143" t="str">
        <f>'Necesidades Trimestrales'!B41</f>
        <v>2.5.2-1724.23</v>
      </c>
      <c r="C19" s="241" t="str">
        <f>'Necesidades Trimestrales'!E41</f>
        <v>ANALGESICOS ; TIPO: MONODROGA, DROGA GENERICA: KETOROLAC, FORMA FARMACEUTICA: AMPOLLA, PRESENTACION: 30 mGr</v>
      </c>
      <c r="D19" s="242"/>
      <c r="E19" s="242"/>
      <c r="F19" s="242"/>
      <c r="G19" s="242"/>
      <c r="H19" s="143" t="s">
        <v>40</v>
      </c>
      <c r="I19" s="144" t="str">
        <f>'Necesidades Trimestrales'!F41</f>
        <v>AMPOLLA</v>
      </c>
      <c r="J19" s="145">
        <f>'Necesidades Trimestrales'!H41</f>
        <v>56</v>
      </c>
      <c r="K19" s="152" t="e">
        <f>'Necesidades Trimestrales'!#REF!</f>
        <v>#REF!</v>
      </c>
    </row>
    <row r="20" spans="1:11" ht="32.25" customHeight="1" x14ac:dyDescent="0.2">
      <c r="A20" s="151">
        <v>9</v>
      </c>
      <c r="B20" s="143" t="str">
        <f>'Necesidades Trimestrales'!B43</f>
        <v>2.5.2-1883.136</v>
      </c>
      <c r="C20" s="241" t="str">
        <f>'Necesidades Trimestrales'!E43</f>
        <v>ANESTESICOS LOCALES; TIPO: MONODROGA, DROGA GENERICA: LIDOCAINA 2% S/EPINEFRINA, FORMA FARMACEUTICA: FRASCO AMPOLLA, PRESENTACION: ENVASE X 20 mL</v>
      </c>
      <c r="D20" s="242"/>
      <c r="E20" s="242"/>
      <c r="F20" s="242"/>
      <c r="G20" s="242"/>
      <c r="H20" s="143" t="s">
        <v>40</v>
      </c>
      <c r="I20" s="144" t="str">
        <f>'Necesidades Trimestrales'!F43</f>
        <v>AMPOLLA</v>
      </c>
      <c r="J20" s="145">
        <f>'Necesidades Trimestrales'!H43</f>
        <v>325</v>
      </c>
      <c r="K20" s="152" t="e">
        <f>'Necesidades Trimestrales'!#REF!</f>
        <v>#REF!</v>
      </c>
    </row>
    <row r="21" spans="1:11" ht="32.25" customHeight="1" x14ac:dyDescent="0.2">
      <c r="A21" s="151">
        <v>10</v>
      </c>
      <c r="B21" s="143" t="str">
        <f>'Necesidades Trimestrales'!B49</f>
        <v>2.5.2-1870.15</v>
      </c>
      <c r="C21" s="241" t="str">
        <f>'Necesidades Trimestrales'!E49</f>
        <v>HIPNOTICOS; TIPO: MONODROGA, DROGA GENERICA: MIDAZOLAM 15 mGr, FORMA FARMACEUTICA: AMPOLLA, PRESENTACION: ENVASE X 3 mL</v>
      </c>
      <c r="D21" s="242"/>
      <c r="E21" s="242"/>
      <c r="F21" s="242"/>
      <c r="G21" s="242"/>
      <c r="H21" s="143" t="s">
        <v>40</v>
      </c>
      <c r="I21" s="144" t="str">
        <f>'Necesidades Trimestrales'!F49</f>
        <v>AMPOLLA</v>
      </c>
      <c r="J21" s="145">
        <f>'Necesidades Trimestrales'!H49</f>
        <v>159</v>
      </c>
      <c r="K21" s="152" t="e">
        <f>'Necesidades Trimestrales'!#REF!</f>
        <v>#REF!</v>
      </c>
    </row>
    <row r="22" spans="1:11" ht="32.25" customHeight="1" x14ac:dyDescent="0.2">
      <c r="A22" s="151">
        <v>11</v>
      </c>
      <c r="B22" s="143" t="str">
        <f>'Necesidades Trimestrales'!B52</f>
        <v>2.5.2-1724.243</v>
      </c>
      <c r="C22" s="241" t="str">
        <f>'Necesidades Trimestrales'!E52</f>
        <v>ANALGESICOS ; TIPO: MONODROGA, DROGA GENERICA: PARACETAMOL 1 GR, FORMA FARMACEUTICA: COMPRIMIDO, PRESENTACION: UNIDAD</v>
      </c>
      <c r="D22" s="242"/>
      <c r="E22" s="242"/>
      <c r="F22" s="242"/>
      <c r="G22" s="242"/>
      <c r="H22" s="143" t="s">
        <v>40</v>
      </c>
      <c r="I22" s="144" t="str">
        <f>'Necesidades Trimestrales'!F52</f>
        <v>COMPRIMIDO</v>
      </c>
      <c r="J22" s="145">
        <f>'Necesidades Trimestrales'!H52</f>
        <v>9.8000000000000007</v>
      </c>
      <c r="K22" s="152" t="e">
        <f>'Necesidades Trimestrales'!#REF!</f>
        <v>#REF!</v>
      </c>
    </row>
    <row r="23" spans="1:11" ht="32.25" customHeight="1" thickBot="1" x14ac:dyDescent="0.25">
      <c r="A23" s="153"/>
      <c r="B23" s="154"/>
      <c r="C23" s="233"/>
      <c r="D23" s="234"/>
      <c r="E23" s="234"/>
      <c r="F23" s="234"/>
      <c r="G23" s="234"/>
      <c r="H23" s="154"/>
      <c r="I23" s="155"/>
      <c r="J23" s="156"/>
      <c r="K23" s="157"/>
    </row>
    <row r="24" spans="1:11" ht="29.25" customHeight="1" thickBot="1" x14ac:dyDescent="0.25">
      <c r="A24" s="212" t="s">
        <v>188</v>
      </c>
      <c r="B24" s="213"/>
      <c r="C24" s="213"/>
      <c r="D24" s="213"/>
      <c r="E24" s="213"/>
      <c r="F24" s="213"/>
      <c r="G24" s="213"/>
      <c r="H24" s="213"/>
      <c r="I24" s="213"/>
      <c r="J24" s="214" t="e">
        <f>SUMPRODUCT(J12:J23,K12:K23)</f>
        <v>#REF!</v>
      </c>
      <c r="K24" s="215"/>
    </row>
  </sheetData>
  <mergeCells count="34">
    <mergeCell ref="A5:C5"/>
    <mergeCell ref="D5:K5"/>
    <mergeCell ref="A1:I1"/>
    <mergeCell ref="A3:C3"/>
    <mergeCell ref="D3:K3"/>
    <mergeCell ref="A4:C4"/>
    <mergeCell ref="D4:K4"/>
    <mergeCell ref="A6:C6"/>
    <mergeCell ref="D6:K6"/>
    <mergeCell ref="A7:C7"/>
    <mergeCell ref="D7:K7"/>
    <mergeCell ref="A8:C8"/>
    <mergeCell ref="D8:K8"/>
    <mergeCell ref="A10:A11"/>
    <mergeCell ref="B10:B11"/>
    <mergeCell ref="C10:G11"/>
    <mergeCell ref="H10:H11"/>
    <mergeCell ref="I10:I11"/>
    <mergeCell ref="C13:G13"/>
    <mergeCell ref="C14:G14"/>
    <mergeCell ref="C15:G15"/>
    <mergeCell ref="K10:K11"/>
    <mergeCell ref="C12:G12"/>
    <mergeCell ref="J10:J11"/>
    <mergeCell ref="C17:G17"/>
    <mergeCell ref="C18:G18"/>
    <mergeCell ref="C19:G19"/>
    <mergeCell ref="C20:G20"/>
    <mergeCell ref="C16:G16"/>
    <mergeCell ref="J24:K24"/>
    <mergeCell ref="C23:G23"/>
    <mergeCell ref="A24:I24"/>
    <mergeCell ref="C22:G22"/>
    <mergeCell ref="C21:G21"/>
  </mergeCells>
  <printOptions horizontalCentered="1"/>
  <pageMargins left="0.196527777777778" right="0.196527777777778" top="0.98402777777777795" bottom="0.98402777777777795" header="0" footer="0"/>
  <pageSetup paperSize="9" scale="9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00"/>
  <sheetViews>
    <sheetView topLeftCell="A16" workbookViewId="0">
      <selection activeCell="A24" sqref="A24:Q24"/>
    </sheetView>
  </sheetViews>
  <sheetFormatPr baseColWidth="10" defaultColWidth="12.5703125" defaultRowHeight="15" customHeight="1" x14ac:dyDescent="0.2"/>
  <cols>
    <col min="1" max="5" width="4.42578125" style="98" customWidth="1"/>
    <col min="6" max="6" width="5" style="98" customWidth="1"/>
    <col min="7" max="14" width="4.42578125" style="98" customWidth="1"/>
    <col min="15" max="16" width="14.85546875" style="98" customWidth="1"/>
    <col min="17" max="17" width="14.7109375" style="98" customWidth="1"/>
    <col min="18" max="18" width="11" style="98" customWidth="1"/>
    <col min="19" max="16384" width="12.5703125" style="98"/>
  </cols>
  <sheetData>
    <row r="1" spans="1:18" ht="15.75" customHeight="1" thickBot="1" x14ac:dyDescent="0.3">
      <c r="A1" s="277" t="s">
        <v>4</v>
      </c>
      <c r="B1" s="278"/>
      <c r="C1" s="278"/>
      <c r="D1" s="279">
        <f>'Necesidades Trimestrales'!C6</f>
        <v>2022</v>
      </c>
      <c r="E1" s="280"/>
      <c r="F1" s="8"/>
      <c r="G1" s="8"/>
      <c r="H1" s="9"/>
      <c r="I1" s="9"/>
      <c r="J1" s="9"/>
      <c r="K1" s="9"/>
      <c r="L1" s="9"/>
      <c r="M1" s="9"/>
      <c r="N1" s="9"/>
      <c r="P1" s="270" t="s">
        <v>41</v>
      </c>
      <c r="Q1" s="252"/>
    </row>
    <row r="2" spans="1:18" ht="15.75" customHeight="1" thickBot="1" x14ac:dyDescent="0.25">
      <c r="G2" s="10"/>
      <c r="H2" s="9"/>
      <c r="I2" s="9"/>
      <c r="J2" s="9"/>
      <c r="K2" s="9"/>
      <c r="L2" s="9"/>
      <c r="M2" s="9"/>
      <c r="N2" s="9"/>
      <c r="P2" s="271"/>
      <c r="Q2" s="272"/>
    </row>
    <row r="3" spans="1:18" ht="12.75" customHeight="1" thickBot="1" x14ac:dyDescent="0.25">
      <c r="G3" s="10"/>
    </row>
    <row r="4" spans="1:18" ht="18" customHeight="1" thickBot="1" x14ac:dyDescent="0.25">
      <c r="A4" s="273" t="s">
        <v>42</v>
      </c>
      <c r="B4" s="274"/>
      <c r="C4" s="274"/>
      <c r="D4" s="274"/>
      <c r="E4" s="274"/>
      <c r="F4" s="275"/>
      <c r="G4" s="276" t="str">
        <f>' NotaPedido DPSAME'!D3</f>
        <v>040 - Ministerio de Salud</v>
      </c>
      <c r="H4" s="274"/>
      <c r="I4" s="274"/>
      <c r="J4" s="274"/>
      <c r="K4" s="274"/>
      <c r="L4" s="274"/>
      <c r="M4" s="274"/>
      <c r="N4" s="274"/>
      <c r="O4" s="274"/>
      <c r="P4" s="274"/>
      <c r="Q4" s="275"/>
      <c r="R4" s="11"/>
    </row>
    <row r="5" spans="1:18" s="57" customFormat="1" ht="18" customHeight="1" thickBot="1" x14ac:dyDescent="0.25">
      <c r="A5" s="264" t="s">
        <v>26</v>
      </c>
      <c r="B5" s="217"/>
      <c r="C5" s="217"/>
      <c r="D5" s="217"/>
      <c r="E5" s="217"/>
      <c r="F5" s="249"/>
      <c r="G5" s="265" t="str">
        <f>' NotaPedido DPSAME'!D4</f>
        <v>011 - Direccion Provincial de Administracion - MS</v>
      </c>
      <c r="H5" s="217"/>
      <c r="I5" s="217"/>
      <c r="J5" s="217"/>
      <c r="K5" s="217"/>
      <c r="L5" s="217"/>
      <c r="M5" s="217"/>
      <c r="N5" s="217"/>
      <c r="O5" s="217"/>
      <c r="P5" s="217"/>
      <c r="Q5" s="249"/>
      <c r="R5" s="161"/>
    </row>
    <row r="6" spans="1:18" s="57" customFormat="1" ht="18" customHeight="1" thickBot="1" x14ac:dyDescent="0.25">
      <c r="A6" s="264" t="s">
        <v>27</v>
      </c>
      <c r="B6" s="217"/>
      <c r="C6" s="217"/>
      <c r="D6" s="217"/>
      <c r="E6" s="217"/>
      <c r="F6" s="249"/>
      <c r="G6" s="265" t="str">
        <f>' NotaPedido DPSAME'!D5</f>
        <v>748 - Direccion Provincial Sistema de Atencion Medica de Emergencia</v>
      </c>
      <c r="H6" s="217"/>
      <c r="I6" s="217"/>
      <c r="J6" s="217"/>
      <c r="K6" s="217"/>
      <c r="L6" s="217"/>
      <c r="M6" s="217"/>
      <c r="N6" s="217"/>
      <c r="O6" s="217"/>
      <c r="P6" s="217"/>
      <c r="Q6" s="249"/>
      <c r="R6" s="161"/>
    </row>
    <row r="7" spans="1:18" s="57" customFormat="1" ht="18" customHeight="1" thickBot="1" x14ac:dyDescent="0.25">
      <c r="A7" s="264" t="s">
        <v>28</v>
      </c>
      <c r="B7" s="217"/>
      <c r="C7" s="217"/>
      <c r="D7" s="217"/>
      <c r="E7" s="217"/>
      <c r="F7" s="249"/>
      <c r="G7" s="265" t="str">
        <f>' NotaPedido DPSAME'!D6</f>
        <v>748 - Direccion Provincial Sistema de Atencion Medica de Emergencia</v>
      </c>
      <c r="H7" s="217"/>
      <c r="I7" s="217"/>
      <c r="J7" s="217"/>
      <c r="K7" s="217"/>
      <c r="L7" s="217"/>
      <c r="M7" s="217"/>
      <c r="N7" s="217"/>
      <c r="O7" s="217"/>
      <c r="P7" s="217"/>
      <c r="Q7" s="249"/>
      <c r="R7" s="161"/>
    </row>
    <row r="8" spans="1:18" s="57" customFormat="1" ht="18" customHeight="1" thickBot="1" x14ac:dyDescent="0.25">
      <c r="A8" s="263" t="s">
        <v>43</v>
      </c>
      <c r="B8" s="217"/>
      <c r="C8" s="217"/>
      <c r="D8" s="217"/>
      <c r="E8" s="217"/>
      <c r="F8" s="217"/>
      <c r="G8" s="217"/>
      <c r="H8" s="217"/>
      <c r="I8" s="217"/>
      <c r="J8" s="217"/>
      <c r="K8" s="217"/>
      <c r="L8" s="217"/>
      <c r="M8" s="217"/>
      <c r="N8" s="217"/>
      <c r="O8" s="217"/>
      <c r="P8" s="217"/>
      <c r="Q8" s="249"/>
    </row>
    <row r="9" spans="1:18" s="57" customFormat="1" ht="18" customHeight="1" x14ac:dyDescent="0.2">
      <c r="A9" s="266" t="s">
        <v>44</v>
      </c>
      <c r="B9" s="267"/>
      <c r="C9" s="267"/>
      <c r="D9" s="267"/>
      <c r="E9" s="267"/>
      <c r="F9" s="267"/>
      <c r="G9" s="267"/>
      <c r="H9" s="267"/>
      <c r="I9" s="267"/>
      <c r="J9" s="267"/>
      <c r="K9" s="267"/>
      <c r="L9" s="267"/>
      <c r="M9" s="267"/>
      <c r="N9" s="267"/>
      <c r="O9" s="161"/>
      <c r="P9" s="161"/>
      <c r="Q9" s="162"/>
    </row>
    <row r="10" spans="1:18" s="57" customFormat="1" ht="54.75" customHeight="1" x14ac:dyDescent="0.2">
      <c r="A10" s="268" t="str">
        <f>"Autorizo la realización de los  trámites correspondientes, a fin de proveer a  este Organismo los bienes y/o servicios que se detallan en Nota de Pedido N° " &amp; ' NotaPedido DPSAME'!K1&amp;",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13/2022,  afectando la erogación resultante a los créditos presupuestarios aprobados a favor de esta Unidad Ejecutora, conforme al siguiente detalle:</v>
      </c>
      <c r="B10" s="202"/>
      <c r="C10" s="202"/>
      <c r="D10" s="202"/>
      <c r="E10" s="202"/>
      <c r="F10" s="202"/>
      <c r="G10" s="202"/>
      <c r="H10" s="202"/>
      <c r="I10" s="202"/>
      <c r="J10" s="202"/>
      <c r="K10" s="202"/>
      <c r="L10" s="202"/>
      <c r="M10" s="202"/>
      <c r="N10" s="202"/>
      <c r="O10" s="202"/>
      <c r="P10" s="202"/>
      <c r="Q10" s="269"/>
    </row>
    <row r="11" spans="1:18" s="57" customFormat="1" ht="9" customHeight="1" thickBot="1" x14ac:dyDescent="0.25">
      <c r="A11" s="163"/>
      <c r="B11" s="164"/>
      <c r="C11" s="164"/>
      <c r="D11" s="164"/>
      <c r="E11" s="164"/>
      <c r="F11" s="164"/>
      <c r="G11" s="165"/>
      <c r="H11" s="164"/>
      <c r="I11" s="164"/>
      <c r="J11" s="164"/>
      <c r="K11" s="164"/>
      <c r="L11" s="164"/>
      <c r="M11" s="164"/>
      <c r="N11" s="164"/>
      <c r="O11" s="164"/>
      <c r="P11" s="164"/>
      <c r="Q11" s="166"/>
    </row>
    <row r="12" spans="1:18" s="57" customFormat="1" ht="15.75" customHeight="1" thickBot="1" x14ac:dyDescent="0.25">
      <c r="A12" s="245" t="s">
        <v>45</v>
      </c>
      <c r="B12" s="246"/>
      <c r="C12" s="246"/>
      <c r="D12" s="246"/>
      <c r="E12" s="246"/>
      <c r="F12" s="246"/>
      <c r="G12" s="246"/>
      <c r="H12" s="246"/>
      <c r="I12" s="246"/>
      <c r="J12" s="246"/>
      <c r="K12" s="246"/>
      <c r="L12" s="246"/>
      <c r="M12" s="246"/>
      <c r="N12" s="246"/>
      <c r="O12" s="246"/>
      <c r="P12" s="246"/>
      <c r="Q12" s="247"/>
    </row>
    <row r="13" spans="1:18" s="57" customFormat="1" ht="15.75" customHeight="1" thickBot="1" x14ac:dyDescent="0.25">
      <c r="A13" s="248" t="s">
        <v>46</v>
      </c>
      <c r="B13" s="217"/>
      <c r="C13" s="217"/>
      <c r="D13" s="217"/>
      <c r="E13" s="217"/>
      <c r="F13" s="217"/>
      <c r="G13" s="217"/>
      <c r="H13" s="217"/>
      <c r="I13" s="217"/>
      <c r="J13" s="217"/>
      <c r="K13" s="217"/>
      <c r="L13" s="217"/>
      <c r="M13" s="217"/>
      <c r="N13" s="249"/>
      <c r="O13" s="253" t="s">
        <v>47</v>
      </c>
      <c r="P13" s="247"/>
      <c r="Q13" s="256" t="s">
        <v>48</v>
      </c>
    </row>
    <row r="14" spans="1:18" s="57" customFormat="1" ht="15.75" customHeight="1" thickBot="1" x14ac:dyDescent="0.25">
      <c r="A14" s="167" t="s">
        <v>49</v>
      </c>
      <c r="B14" s="168" t="s">
        <v>50</v>
      </c>
      <c r="C14" s="168" t="s">
        <v>51</v>
      </c>
      <c r="D14" s="168" t="s">
        <v>52</v>
      </c>
      <c r="E14" s="168" t="s">
        <v>53</v>
      </c>
      <c r="F14" s="168" t="s">
        <v>54</v>
      </c>
      <c r="G14" s="169" t="s">
        <v>55</v>
      </c>
      <c r="H14" s="168" t="s">
        <v>56</v>
      </c>
      <c r="I14" s="168" t="s">
        <v>57</v>
      </c>
      <c r="J14" s="168" t="s">
        <v>58</v>
      </c>
      <c r="K14" s="168" t="s">
        <v>58</v>
      </c>
      <c r="L14" s="168" t="s">
        <v>59</v>
      </c>
      <c r="M14" s="170" t="s">
        <v>60</v>
      </c>
      <c r="N14" s="171" t="s">
        <v>61</v>
      </c>
      <c r="O14" s="254"/>
      <c r="P14" s="255"/>
      <c r="Q14" s="255"/>
    </row>
    <row r="15" spans="1:18" s="57" customFormat="1" ht="39.75" customHeight="1" x14ac:dyDescent="0.2">
      <c r="A15" s="172">
        <v>31</v>
      </c>
      <c r="B15" s="173"/>
      <c r="C15" s="173"/>
      <c r="D15" s="173">
        <v>1</v>
      </c>
      <c r="E15" s="173"/>
      <c r="F15" s="173">
        <v>4901</v>
      </c>
      <c r="G15" s="173">
        <v>3</v>
      </c>
      <c r="H15" s="173">
        <v>1</v>
      </c>
      <c r="I15" s="173">
        <v>2</v>
      </c>
      <c r="J15" s="173">
        <v>5</v>
      </c>
      <c r="K15" s="173">
        <v>2</v>
      </c>
      <c r="L15" s="173"/>
      <c r="M15" s="174">
        <v>1</v>
      </c>
      <c r="N15" s="173" t="s">
        <v>62</v>
      </c>
      <c r="O15" s="257" t="s">
        <v>181</v>
      </c>
      <c r="P15" s="258"/>
      <c r="Q15" s="175" t="e">
        <f>' NotaPedido DPSAME'!J24</f>
        <v>#REF!</v>
      </c>
    </row>
    <row r="16" spans="1:18" s="57" customFormat="1" ht="17.25" customHeight="1" x14ac:dyDescent="0.2">
      <c r="A16" s="176"/>
      <c r="B16" s="177"/>
      <c r="C16" s="177"/>
      <c r="D16" s="177"/>
      <c r="E16" s="177"/>
      <c r="F16" s="177"/>
      <c r="G16" s="177"/>
      <c r="H16" s="177"/>
      <c r="I16" s="177"/>
      <c r="J16" s="177"/>
      <c r="K16" s="177"/>
      <c r="L16" s="177"/>
      <c r="M16" s="178"/>
      <c r="N16" s="179"/>
      <c r="O16" s="259"/>
      <c r="P16" s="260"/>
      <c r="Q16" s="180"/>
    </row>
    <row r="17" spans="1:18" ht="17.25" customHeight="1" x14ac:dyDescent="0.2">
      <c r="A17" s="12"/>
      <c r="B17" s="13"/>
      <c r="C17" s="13"/>
      <c r="D17" s="13"/>
      <c r="E17" s="13"/>
      <c r="F17" s="15"/>
      <c r="G17" s="13"/>
      <c r="H17" s="13"/>
      <c r="I17" s="13"/>
      <c r="J17" s="13"/>
      <c r="K17" s="13"/>
      <c r="L17" s="13"/>
      <c r="M17" s="14"/>
      <c r="N17" s="15"/>
      <c r="O17" s="261"/>
      <c r="P17" s="262"/>
      <c r="Q17" s="16"/>
    </row>
    <row r="18" spans="1:18" ht="17.25" customHeight="1" x14ac:dyDescent="0.2">
      <c r="A18" s="12"/>
      <c r="B18" s="13"/>
      <c r="C18" s="13"/>
      <c r="D18" s="13"/>
      <c r="E18" s="13"/>
      <c r="F18" s="13"/>
      <c r="G18" s="13"/>
      <c r="H18" s="13"/>
      <c r="I18" s="13"/>
      <c r="J18" s="13"/>
      <c r="K18" s="13"/>
      <c r="L18" s="13"/>
      <c r="M18" s="14"/>
      <c r="N18" s="15"/>
      <c r="O18" s="261"/>
      <c r="P18" s="262"/>
      <c r="Q18" s="16"/>
    </row>
    <row r="19" spans="1:18" ht="17.25" customHeight="1" x14ac:dyDescent="0.2">
      <c r="A19" s="12"/>
      <c r="B19" s="13"/>
      <c r="C19" s="13"/>
      <c r="D19" s="13"/>
      <c r="E19" s="13"/>
      <c r="F19" s="15"/>
      <c r="G19" s="13"/>
      <c r="H19" s="13"/>
      <c r="I19" s="13"/>
      <c r="J19" s="13"/>
      <c r="K19" s="13"/>
      <c r="L19" s="13"/>
      <c r="M19" s="14"/>
      <c r="N19" s="15"/>
      <c r="O19" s="261"/>
      <c r="P19" s="262"/>
      <c r="Q19" s="16"/>
    </row>
    <row r="20" spans="1:18" ht="17.25" customHeight="1" x14ac:dyDescent="0.2">
      <c r="A20" s="12"/>
      <c r="B20" s="13"/>
      <c r="C20" s="13"/>
      <c r="D20" s="13"/>
      <c r="E20" s="13"/>
      <c r="F20" s="15"/>
      <c r="G20" s="13"/>
      <c r="H20" s="13"/>
      <c r="I20" s="13"/>
      <c r="J20" s="13"/>
      <c r="K20" s="13"/>
      <c r="L20" s="13"/>
      <c r="M20" s="14"/>
      <c r="N20" s="15"/>
      <c r="O20" s="261"/>
      <c r="P20" s="262"/>
      <c r="Q20" s="16"/>
    </row>
    <row r="21" spans="1:18" ht="17.25" customHeight="1" x14ac:dyDescent="0.2">
      <c r="A21" s="17"/>
      <c r="B21" s="18"/>
      <c r="C21" s="18"/>
      <c r="D21" s="18"/>
      <c r="E21" s="18"/>
      <c r="F21" s="15"/>
      <c r="G21" s="18"/>
      <c r="H21" s="18"/>
      <c r="I21" s="18"/>
      <c r="J21" s="18"/>
      <c r="K21" s="18"/>
      <c r="L21" s="18"/>
      <c r="M21" s="19"/>
      <c r="N21" s="20"/>
      <c r="O21" s="261"/>
      <c r="P21" s="262"/>
      <c r="Q21" s="16"/>
      <c r="R21" s="11"/>
    </row>
    <row r="22" spans="1:18" ht="17.25" customHeight="1" thickBot="1" x14ac:dyDescent="0.25">
      <c r="A22" s="21"/>
      <c r="B22" s="22"/>
      <c r="C22" s="22"/>
      <c r="D22" s="22"/>
      <c r="E22" s="22"/>
      <c r="F22" s="22"/>
      <c r="G22" s="22"/>
      <c r="H22" s="22"/>
      <c r="I22" s="22"/>
      <c r="J22" s="22"/>
      <c r="K22" s="22"/>
      <c r="L22" s="22"/>
      <c r="M22" s="23"/>
      <c r="N22" s="22"/>
      <c r="O22" s="291"/>
      <c r="P22" s="292"/>
      <c r="Q22" s="24"/>
    </row>
    <row r="23" spans="1:18" s="57" customFormat="1" ht="29.25" customHeight="1" thickBot="1" x14ac:dyDescent="0.25">
      <c r="A23" s="287" t="s">
        <v>189</v>
      </c>
      <c r="B23" s="288"/>
      <c r="C23" s="288"/>
      <c r="D23" s="288"/>
      <c r="E23" s="288"/>
      <c r="F23" s="288"/>
      <c r="G23" s="288"/>
      <c r="H23" s="288"/>
      <c r="I23" s="288"/>
      <c r="J23" s="288"/>
      <c r="K23" s="288"/>
      <c r="L23" s="288"/>
      <c r="M23" s="288"/>
      <c r="N23" s="288"/>
      <c r="O23" s="288"/>
      <c r="P23" s="289"/>
      <c r="Q23" s="181" t="e">
        <f>SUM(Q15:Q22)</f>
        <v>#REF!</v>
      </c>
    </row>
    <row r="24" spans="1:18" ht="18" customHeight="1" thickBot="1" x14ac:dyDescent="0.25">
      <c r="A24" s="290"/>
      <c r="B24" s="251"/>
      <c r="C24" s="251"/>
      <c r="D24" s="251"/>
      <c r="E24" s="251"/>
      <c r="F24" s="251"/>
      <c r="G24" s="251"/>
      <c r="H24" s="251"/>
      <c r="I24" s="251"/>
      <c r="J24" s="251"/>
      <c r="K24" s="251"/>
      <c r="L24" s="251"/>
      <c r="M24" s="251"/>
      <c r="N24" s="251"/>
      <c r="O24" s="251"/>
      <c r="P24" s="251"/>
      <c r="Q24" s="252"/>
    </row>
    <row r="25" spans="1:18" ht="17.25" customHeight="1" thickBot="1" x14ac:dyDescent="0.25">
      <c r="A25" s="293" t="s">
        <v>63</v>
      </c>
      <c r="B25" s="278"/>
      <c r="C25" s="278"/>
      <c r="D25" s="278"/>
      <c r="E25" s="278"/>
      <c r="F25" s="280"/>
      <c r="G25" s="250"/>
      <c r="H25" s="251"/>
      <c r="I25" s="251"/>
      <c r="J25" s="251"/>
      <c r="K25" s="251"/>
      <c r="L25" s="251"/>
      <c r="M25" s="251"/>
      <c r="N25" s="251"/>
      <c r="O25" s="251"/>
      <c r="P25" s="251"/>
      <c r="Q25" s="252"/>
    </row>
    <row r="26" spans="1:18" s="57" customFormat="1" ht="18" customHeight="1" x14ac:dyDescent="0.2">
      <c r="A26" s="281" t="str">
        <f>' NotaPedido DPSAME'!D8</f>
        <v>Adquisición de TERAPIA ANTIINFECCIOSA SISTEMICA/SUEROS INMUNES E INMUNOGLOBULINAS  Y MEDIOS DE CONTRASTES /ANALGESICOS ANTINFLAMATORIOS /MIORRELAJANTES/ANESTESICOS/ANALGESICOS OPIACIOS</v>
      </c>
      <c r="B26" s="282"/>
      <c r="C26" s="282"/>
      <c r="D26" s="282"/>
      <c r="E26" s="282"/>
      <c r="F26" s="282"/>
      <c r="G26" s="282"/>
      <c r="H26" s="282"/>
      <c r="I26" s="282"/>
      <c r="J26" s="282"/>
      <c r="K26" s="282"/>
      <c r="L26" s="282"/>
      <c r="M26" s="282"/>
      <c r="N26" s="282"/>
      <c r="O26" s="282"/>
      <c r="P26" s="282"/>
      <c r="Q26" s="283"/>
    </row>
    <row r="27" spans="1:18" s="57" customFormat="1" ht="30.75" customHeight="1" thickBot="1" x14ac:dyDescent="0.25">
      <c r="A27" s="284"/>
      <c r="B27" s="285"/>
      <c r="C27" s="285"/>
      <c r="D27" s="285"/>
      <c r="E27" s="285"/>
      <c r="F27" s="285"/>
      <c r="G27" s="285"/>
      <c r="H27" s="285"/>
      <c r="I27" s="285"/>
      <c r="J27" s="285"/>
      <c r="K27" s="285"/>
      <c r="L27" s="285"/>
      <c r="M27" s="285"/>
      <c r="N27" s="285"/>
      <c r="O27" s="285"/>
      <c r="P27" s="285"/>
      <c r="Q27" s="286"/>
    </row>
    <row r="28" spans="1:18" ht="12.75" customHeight="1" x14ac:dyDescent="0.2">
      <c r="G28" s="10"/>
    </row>
    <row r="29" spans="1:18" ht="12.75" customHeight="1" x14ac:dyDescent="0.2">
      <c r="G29" s="10"/>
    </row>
    <row r="30" spans="1:18" ht="12.75" customHeight="1" x14ac:dyDescent="0.2">
      <c r="G30" s="10"/>
    </row>
    <row r="31" spans="1:18" ht="12.75" customHeight="1" x14ac:dyDescent="0.2">
      <c r="G31" s="10"/>
    </row>
    <row r="32" spans="1:18" ht="12.75" customHeight="1" x14ac:dyDescent="0.2">
      <c r="G32" s="10"/>
    </row>
    <row r="33" spans="7:7" ht="12.75" customHeight="1" x14ac:dyDescent="0.2">
      <c r="G33" s="10"/>
    </row>
    <row r="34" spans="7:7" ht="12.75" customHeight="1" x14ac:dyDescent="0.2">
      <c r="G34" s="10"/>
    </row>
    <row r="35" spans="7:7" ht="12.75" customHeight="1" x14ac:dyDescent="0.2">
      <c r="G35" s="10"/>
    </row>
    <row r="36" spans="7:7" ht="12.75" customHeight="1" x14ac:dyDescent="0.2">
      <c r="G36" s="10"/>
    </row>
    <row r="37" spans="7:7" ht="12.75" customHeight="1" x14ac:dyDescent="0.2">
      <c r="G37" s="10"/>
    </row>
    <row r="38" spans="7:7" ht="12.75" customHeight="1" x14ac:dyDescent="0.2">
      <c r="G38" s="10"/>
    </row>
    <row r="39" spans="7:7" ht="12.75" customHeight="1" x14ac:dyDescent="0.2">
      <c r="G39" s="10"/>
    </row>
    <row r="40" spans="7:7" ht="12.75" customHeight="1" x14ac:dyDescent="0.2">
      <c r="G40" s="10"/>
    </row>
    <row r="41" spans="7:7" ht="12.75" customHeight="1" x14ac:dyDescent="0.2">
      <c r="G41" s="10"/>
    </row>
    <row r="42" spans="7:7" ht="12.75" customHeight="1" x14ac:dyDescent="0.2">
      <c r="G42" s="10"/>
    </row>
    <row r="43" spans="7:7" ht="12.75" customHeight="1" x14ac:dyDescent="0.2">
      <c r="G43" s="10"/>
    </row>
    <row r="44" spans="7:7" ht="12.75" customHeight="1" x14ac:dyDescent="0.2">
      <c r="G44" s="10"/>
    </row>
    <row r="45" spans="7:7" ht="12.75" customHeight="1" x14ac:dyDescent="0.2">
      <c r="G45" s="10"/>
    </row>
    <row r="46" spans="7:7" ht="12.75" customHeight="1" x14ac:dyDescent="0.2">
      <c r="G46" s="10"/>
    </row>
    <row r="47" spans="7:7" ht="12.75" customHeight="1" x14ac:dyDescent="0.2">
      <c r="G47" s="10"/>
    </row>
    <row r="48" spans="7:7" ht="12.75" customHeight="1" x14ac:dyDescent="0.2">
      <c r="G48" s="10"/>
    </row>
    <row r="49" spans="7:7" ht="12.75" customHeight="1" x14ac:dyDescent="0.2">
      <c r="G49" s="10"/>
    </row>
    <row r="50" spans="7:7" ht="12.75" customHeight="1" x14ac:dyDescent="0.2">
      <c r="G50" s="10"/>
    </row>
    <row r="51" spans="7:7" ht="12.75" customHeight="1" x14ac:dyDescent="0.2">
      <c r="G51" s="10"/>
    </row>
    <row r="52" spans="7:7" ht="12.75" customHeight="1" x14ac:dyDescent="0.2">
      <c r="G52" s="10"/>
    </row>
    <row r="53" spans="7:7" ht="12.75" customHeight="1" x14ac:dyDescent="0.2">
      <c r="G53" s="10"/>
    </row>
    <row r="54" spans="7:7" ht="12.75" customHeight="1" x14ac:dyDescent="0.2">
      <c r="G54" s="10"/>
    </row>
    <row r="55" spans="7:7" ht="12.75" customHeight="1" x14ac:dyDescent="0.2">
      <c r="G55" s="10"/>
    </row>
    <row r="56" spans="7:7" ht="12.75" customHeight="1" x14ac:dyDescent="0.2">
      <c r="G56" s="10"/>
    </row>
    <row r="57" spans="7:7" ht="12.75" customHeight="1" x14ac:dyDescent="0.2">
      <c r="G57" s="10"/>
    </row>
    <row r="58" spans="7:7" ht="12.75" customHeight="1" x14ac:dyDescent="0.2">
      <c r="G58" s="10"/>
    </row>
    <row r="59" spans="7:7" ht="12.75" customHeight="1" x14ac:dyDescent="0.2">
      <c r="G59" s="10"/>
    </row>
    <row r="60" spans="7:7" ht="12.75" customHeight="1" x14ac:dyDescent="0.2">
      <c r="G60" s="10"/>
    </row>
    <row r="61" spans="7:7" ht="12.75" customHeight="1" x14ac:dyDescent="0.2">
      <c r="G61" s="10"/>
    </row>
    <row r="62" spans="7:7" ht="12.75" customHeight="1" x14ac:dyDescent="0.2">
      <c r="G62" s="10"/>
    </row>
    <row r="63" spans="7:7" ht="12.75" customHeight="1" x14ac:dyDescent="0.2">
      <c r="G63" s="10"/>
    </row>
    <row r="64" spans="7:7" ht="12.75" customHeight="1" x14ac:dyDescent="0.2">
      <c r="G64" s="10"/>
    </row>
    <row r="65" spans="7:7" ht="12.75" customHeight="1" x14ac:dyDescent="0.2">
      <c r="G65" s="10"/>
    </row>
    <row r="66" spans="7:7" ht="12.75" customHeight="1" x14ac:dyDescent="0.2">
      <c r="G66" s="10"/>
    </row>
    <row r="67" spans="7:7" ht="12.75" customHeight="1" x14ac:dyDescent="0.2">
      <c r="G67" s="10"/>
    </row>
    <row r="68" spans="7:7" ht="12.75" customHeight="1" x14ac:dyDescent="0.2">
      <c r="G68" s="10"/>
    </row>
    <row r="69" spans="7:7" ht="12.75" customHeight="1" x14ac:dyDescent="0.2">
      <c r="G69" s="10"/>
    </row>
    <row r="70" spans="7:7" ht="12.75" customHeight="1" x14ac:dyDescent="0.2">
      <c r="G70" s="10"/>
    </row>
    <row r="71" spans="7:7" ht="12.75" customHeight="1" x14ac:dyDescent="0.2">
      <c r="G71" s="10"/>
    </row>
    <row r="72" spans="7:7" ht="12.75" customHeight="1" x14ac:dyDescent="0.2">
      <c r="G72" s="10"/>
    </row>
    <row r="73" spans="7:7" ht="12.75" customHeight="1" x14ac:dyDescent="0.2">
      <c r="G73" s="10"/>
    </row>
    <row r="74" spans="7:7" ht="12.75" customHeight="1" x14ac:dyDescent="0.2">
      <c r="G74" s="10"/>
    </row>
    <row r="75" spans="7:7" ht="12.75" customHeight="1" x14ac:dyDescent="0.2">
      <c r="G75" s="10"/>
    </row>
    <row r="76" spans="7:7" ht="12.75" customHeight="1" x14ac:dyDescent="0.2">
      <c r="G76" s="10"/>
    </row>
    <row r="77" spans="7:7" ht="12.75" customHeight="1" x14ac:dyDescent="0.2">
      <c r="G77" s="10"/>
    </row>
    <row r="78" spans="7:7" ht="12.75" customHeight="1" x14ac:dyDescent="0.2">
      <c r="G78" s="10"/>
    </row>
    <row r="79" spans="7:7" ht="12.75" customHeight="1" x14ac:dyDescent="0.2">
      <c r="G79" s="10"/>
    </row>
    <row r="80" spans="7:7" ht="12.75" customHeight="1" x14ac:dyDescent="0.2">
      <c r="G80" s="10"/>
    </row>
    <row r="81" spans="7:7" ht="12.75" customHeight="1" x14ac:dyDescent="0.2">
      <c r="G81" s="10"/>
    </row>
    <row r="82" spans="7:7" ht="12.75" customHeight="1" x14ac:dyDescent="0.2">
      <c r="G82" s="10"/>
    </row>
    <row r="83" spans="7:7" ht="12.75" customHeight="1" x14ac:dyDescent="0.2">
      <c r="G83" s="10"/>
    </row>
    <row r="84" spans="7:7" ht="12.75" customHeight="1" x14ac:dyDescent="0.2">
      <c r="G84" s="10"/>
    </row>
    <row r="85" spans="7:7" ht="12.75" customHeight="1" x14ac:dyDescent="0.2">
      <c r="G85" s="10"/>
    </row>
    <row r="86" spans="7:7" ht="12.75" customHeight="1" x14ac:dyDescent="0.2">
      <c r="G86" s="10"/>
    </row>
    <row r="87" spans="7:7" ht="12.75" customHeight="1" x14ac:dyDescent="0.2">
      <c r="G87" s="10"/>
    </row>
    <row r="88" spans="7:7" ht="12.75" customHeight="1" x14ac:dyDescent="0.2">
      <c r="G88" s="10"/>
    </row>
    <row r="89" spans="7:7" ht="12.75" customHeight="1" x14ac:dyDescent="0.2">
      <c r="G89" s="10"/>
    </row>
    <row r="90" spans="7:7" ht="12.75" customHeight="1" x14ac:dyDescent="0.2">
      <c r="G90" s="10"/>
    </row>
    <row r="91" spans="7:7" ht="12.75" customHeight="1" x14ac:dyDescent="0.2">
      <c r="G91" s="10"/>
    </row>
    <row r="92" spans="7:7" ht="12.75" customHeight="1" x14ac:dyDescent="0.2">
      <c r="G92" s="10"/>
    </row>
    <row r="93" spans="7:7" ht="12.75" customHeight="1" x14ac:dyDescent="0.2">
      <c r="G93" s="10"/>
    </row>
    <row r="94" spans="7:7" ht="12.75" customHeight="1" x14ac:dyDescent="0.2">
      <c r="G94" s="10"/>
    </row>
    <row r="95" spans="7:7" ht="12.75" customHeight="1" x14ac:dyDescent="0.2">
      <c r="G95" s="10"/>
    </row>
    <row r="96" spans="7:7" ht="12.75" customHeight="1" x14ac:dyDescent="0.2">
      <c r="G96" s="10"/>
    </row>
    <row r="97" spans="7:7" ht="12.75" customHeight="1" x14ac:dyDescent="0.2">
      <c r="G97" s="10"/>
    </row>
    <row r="98" spans="7:7" ht="12.75" customHeight="1" x14ac:dyDescent="0.2">
      <c r="G98" s="10"/>
    </row>
    <row r="99" spans="7:7" ht="12.75" customHeight="1" x14ac:dyDescent="0.2">
      <c r="G99" s="10"/>
    </row>
    <row r="100" spans="7:7" ht="12.75" customHeight="1" x14ac:dyDescent="0.2">
      <c r="G100" s="10"/>
    </row>
  </sheetData>
  <mergeCells count="31">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6:Q27"/>
    <mergeCell ref="O16:P16"/>
    <mergeCell ref="O17:P17"/>
    <mergeCell ref="O18:P18"/>
    <mergeCell ref="O19:P19"/>
    <mergeCell ref="O20:P20"/>
    <mergeCell ref="O21:P21"/>
    <mergeCell ref="O22:P22"/>
    <mergeCell ref="A23:P23"/>
    <mergeCell ref="A24:Q24"/>
    <mergeCell ref="A25:F25"/>
    <mergeCell ref="G25:Q25"/>
  </mergeCells>
  <printOptions horizontalCentered="1"/>
  <pageMargins left="0.39374999999999999" right="0.39374999999999999" top="0.98402777777777795" bottom="0.98402777777777795" header="0" footer="0"/>
  <pageSetup paperSize="9" scale="90" orientation="portrait"/>
  <drawing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Necesidades Trimestrales</vt:lpstr>
      <vt:lpstr> NotaPedido DPFARMACIA</vt:lpstr>
      <vt:lpstr>Autor Gastar DPFARMACIA</vt:lpstr>
      <vt:lpstr> NotaPedido DPSAME</vt:lpstr>
      <vt:lpstr>Autor Gastar DPSAME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cp:revision>2</cp:revision>
  <cp:lastPrinted>2020-07-23T13:47:13Z</cp:lastPrinted>
  <dcterms:created xsi:type="dcterms:W3CDTF">2020-07-17T23:44:49Z</dcterms:created>
  <dcterms:modified xsi:type="dcterms:W3CDTF">2022-06-02T13:02:25Z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