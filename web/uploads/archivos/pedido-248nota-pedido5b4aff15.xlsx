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F9585298-FCB7-4BFE-A3D8-0A78DA3F8D80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Gastar'!$A$1:$Q$26</definedName>
    <definedName name="_xlnm.Print_Area" localSheetId="0">'Necesidades Trimestrales'!$A$1:$I$11</definedName>
  </definedNames>
  <calcPr calcId="181029"/>
</workbook>
</file>

<file path=xl/calcChain.xml><?xml version="1.0" encoding="utf-8"?>
<calcChain xmlns="http://schemas.openxmlformats.org/spreadsheetml/2006/main">
  <c r="Q15" i="3" l="1"/>
  <c r="I10" i="1" l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17" i="2" l="1"/>
</calcChain>
</file>

<file path=xl/sharedStrings.xml><?xml version="1.0" encoding="utf-8"?>
<sst xmlns="http://schemas.openxmlformats.org/spreadsheetml/2006/main" count="86" uniqueCount="79">
  <si>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</si>
  <si>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</si>
  <si>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</si>
  <si>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</si>
  <si>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</si>
  <si>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</si>
  <si>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</si>
  <si>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</si>
  <si>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</si>
  <si>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</si>
  <si>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</si>
  <si>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</si>
  <si>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</si>
  <si>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</si>
  <si>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</si>
  <si>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</si>
  <si>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</si>
  <si>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</si>
  <si>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</si>
  <si>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</si>
  <si>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</si>
  <si>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</si>
  <si>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</si>
  <si>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</si>
  <si>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</si>
  <si>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</si>
  <si>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</si>
  <si>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</si>
  <si>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</si>
  <si>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</si>
  <si>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</si>
  <si>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</si>
  <si>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</si>
  <si>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</si>
  <si>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</si>
  <si>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</si>
  <si>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</si>
  <si>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</si>
  <si>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</si>
  <si>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</si>
  <si>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</si>
  <si>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</si>
  <si>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</si>
  <si>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</si>
  <si>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</si>
  <si>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</si>
  <si>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</si>
  <si>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</si>
  <si>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</si>
  <si>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</si>
  <si>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</si>
  <si>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</si>
  <si>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</si>
  <si>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</si>
  <si>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</si>
  <si>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</si>
  <si>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</si>
  <si>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</si>
  <si>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</si>
  <si>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NO</t>
  </si>
  <si>
    <t>Alta</t>
  </si>
  <si>
    <t>S/E</t>
  </si>
  <si>
    <t>EQUIPO DE OFICINA Y MUEBLES</t>
  </si>
  <si>
    <t>4.3.7-2207.8</t>
  </si>
  <si>
    <t>CAMAS; LARGO X ANCHO: 1,90 X 0,75 M, MATERIAL: HIERRO, TERMINACION: ESMALTE SINTETICO COLOR, TIPO: CUCHETA</t>
  </si>
  <si>
    <t>UNIDADES</t>
  </si>
  <si>
    <t>Plazo de Entrega: 10 dias</t>
  </si>
  <si>
    <t>Cama tipo cucheta, estructuras metalicas 1,90x 0,75 cms. Terminacion esmalte sintetico color blanco o negro de una plaza- se aceptan tolerancias de +o- 5cm en la medida tanto de largo como ancho</t>
  </si>
  <si>
    <r>
      <rPr>
        <u/>
        <sz val="10"/>
        <rFont val="Times New Roman"/>
        <family val="1"/>
      </rPr>
      <t xml:space="preserve">Lugar y Forma de Entrega: </t>
    </r>
    <r>
      <rPr>
        <sz val="10"/>
        <rFont val="Times New Roman"/>
        <family val="1"/>
      </rPr>
      <t>Deposito del Ministerio de Desarrollo Social y Deporte Area el Pantanillo- San Fernando del Valle de Catamarca (CP 4700) .-</t>
    </r>
  </si>
  <si>
    <t>Estructuras Metalicas Acabadas</t>
  </si>
  <si>
    <t>Plazo de Mantinimiento 60 dias</t>
  </si>
  <si>
    <t>432/2021</t>
  </si>
  <si>
    <t>16- Direccion Provincial de Accion Social Directa-</t>
  </si>
  <si>
    <t>02- Programa Vivir Mejor- PRO.VI.ME</t>
  </si>
  <si>
    <t>Adquisición de Cuchetas para Asistir a Personas de Escaso Recursos</t>
  </si>
  <si>
    <t>Costo total estimado: UN MILLON NOVECIENTOS OCHENTA Y CINCO MIL OCHOCIENTOS OCHENTA CON 00/100.-</t>
  </si>
  <si>
    <t>TOTAL DE PESOS:  UN MILLON NOVECIENTOS OCHENTA Y CINCO MIL OCHOCIENTOS OCHENTA CON 00/100.-</t>
  </si>
  <si>
    <t>16- Direccion Provincial de Accion Social Directa</t>
  </si>
  <si>
    <t>2.7.4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</si>
</sst>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16" fillId="0" borderId="0" xfId="0" applyFont="1"/>
    <xf numFmtId="167" fontId="0" fillId="0" borderId="0" xfId="0" applyNumberFormat="1"/>
    <xf numFmtId="0" fontId="5" fillId="0" borderId="1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 wrapText="1"/>
    </xf>
    <xf numFmtId="166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/>
    <xf numFmtId="168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Border="1"/>
    <xf numFmtId="0" fontId="0" fillId="0" borderId="11" xfId="0" applyFill="1" applyBorder="1"/>
    <xf numFmtId="0" fontId="0" fillId="0" borderId="27" xfId="0" applyFill="1" applyBorder="1"/>
    <xf numFmtId="0" fontId="0" fillId="0" borderId="13" xfId="0" applyFill="1" applyBorder="1"/>
    <xf numFmtId="0" fontId="0" fillId="0" borderId="13" xfId="0" applyFill="1" applyBorder="1" applyAlignment="1">
      <alignment horizontal="left"/>
    </xf>
    <xf numFmtId="0" fontId="0" fillId="0" borderId="28" xfId="0" applyFill="1" applyBorder="1"/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0" fontId="0" fillId="0" borderId="55" xfId="0" applyFont="1" applyFill="1" applyBorder="1" applyAlignment="1">
      <alignment horizontal="center" vertical="center"/>
    </xf>
    <xf numFmtId="166" fontId="0" fillId="0" borderId="33" xfId="3" applyNumberFormat="1" applyFont="1" applyFill="1" applyBorder="1" applyAlignment="1" applyProtection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66" fontId="0" fillId="0" borderId="38" xfId="3" applyNumberFormat="1" applyFont="1" applyFill="1" applyBorder="1" applyAlignment="1" applyProtection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12" fillId="0" borderId="35" xfId="0" applyFon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166" fontId="0" fillId="0" borderId="42" xfId="3" applyNumberFormat="1" applyFont="1" applyFill="1" applyBorder="1" applyAlignment="1" applyProtection="1">
      <alignment horizontal="center" vertical="center"/>
    </xf>
    <xf numFmtId="166" fontId="14" fillId="0" borderId="43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22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0" fontId="20" fillId="0" borderId="47" xfId="0" applyFont="1" applyFill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22" fillId="0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wrapText="1"/>
    </xf>
    <xf numFmtId="166" fontId="21" fillId="0" borderId="50" xfId="1" applyNumberFormat="1" applyFont="1" applyFill="1" applyBorder="1" applyAlignment="1" applyProtection="1">
      <alignment horizontal="right" vertical="center" wrapText="1"/>
    </xf>
    <xf numFmtId="166" fontId="21" fillId="0" borderId="51" xfId="1" applyNumberFormat="1" applyFont="1" applyFill="1" applyBorder="1" applyAlignment="1" applyProtection="1">
      <alignment horizontal="right" vertical="center" wrapText="1"/>
    </xf>
    <xf numFmtId="166" fontId="16" fillId="0" borderId="0" xfId="0" applyNumberFormat="1" applyFont="1" applyFill="1"/>
    <xf numFmtId="0" fontId="23" fillId="0" borderId="3" xfId="0" applyFont="1" applyFill="1" applyBorder="1"/>
    <xf numFmtId="0" fontId="16" fillId="0" borderId="4" xfId="0" applyFont="1" applyFill="1" applyBorder="1"/>
    <xf numFmtId="0" fontId="16" fillId="0" borderId="5" xfId="0" applyFont="1" applyFill="1" applyBorder="1"/>
    <xf numFmtId="0" fontId="16" fillId="0" borderId="6" xfId="0" applyFont="1" applyFill="1" applyBorder="1"/>
    <xf numFmtId="0" fontId="16" fillId="0" borderId="0" xfId="0" applyFont="1" applyFill="1" applyBorder="1"/>
    <xf numFmtId="0" fontId="16" fillId="0" borderId="7" xfId="0" applyFont="1" applyFill="1" applyBorder="1"/>
    <xf numFmtId="0" fontId="23" fillId="0" borderId="6" xfId="0" applyFont="1" applyFill="1" applyBorder="1" applyAlignment="1">
      <alignment horizontal="left" indent="3"/>
    </xf>
    <xf numFmtId="0" fontId="16" fillId="0" borderId="6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6" fillId="0" borderId="7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left" indent="3"/>
    </xf>
    <xf numFmtId="0" fontId="16" fillId="0" borderId="9" xfId="0" applyFont="1" applyFill="1" applyBorder="1"/>
    <xf numFmtId="0" fontId="16" fillId="0" borderId="10" xfId="0" applyFont="1" applyFill="1" applyBorder="1"/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7" xfId="0" applyFont="1" applyFill="1" applyBorder="1" applyAlignment="1">
      <alignment horizontal="center" wrapText="1"/>
    </xf>
    <xf numFmtId="0" fontId="16" fillId="0" borderId="7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167" fontId="25" fillId="0" borderId="15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0" fillId="0" borderId="22" xfId="0" applyFont="1" applyFill="1" applyBorder="1" applyAlignment="1">
      <alignment horizontal="center"/>
    </xf>
    <xf numFmtId="3" fontId="10" fillId="0" borderId="23" xfId="0" applyNumberFormat="1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/>
    <xf numFmtId="0" fontId="12" fillId="0" borderId="12" xfId="0" applyFont="1" applyFill="1" applyBorder="1" applyAlignment="1">
      <alignment horizontal="left" indent="1"/>
    </xf>
    <xf numFmtId="0" fontId="4" fillId="0" borderId="14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left"/>
    </xf>
    <xf numFmtId="0" fontId="26" fillId="0" borderId="52" xfId="0" applyFont="1" applyFill="1" applyBorder="1" applyAlignment="1">
      <alignment horizontal="left" vertical="center" wrapText="1"/>
    </xf>
    <xf numFmtId="0" fontId="0" fillId="0" borderId="52" xfId="0" applyFont="1" applyFill="1" applyBorder="1" applyAlignment="1">
      <alignment horizontal="left" vertical="center" wrapText="1"/>
    </xf>
    <xf numFmtId="0" fontId="0" fillId="0" borderId="37" xfId="0" applyFont="1" applyFill="1" applyBorder="1" applyAlignment="1">
      <alignment horizontal="left" vertical="center"/>
    </xf>
    <xf numFmtId="0" fontId="12" fillId="0" borderId="25" xfId="0" applyFont="1" applyFill="1" applyBorder="1"/>
    <xf numFmtId="0" fontId="12" fillId="0" borderId="26" xfId="0" applyFont="1" applyFill="1" applyBorder="1" applyAlignment="1">
      <alignment horizontal="left" vertical="center" wrapText="1" indent="1"/>
    </xf>
    <xf numFmtId="0" fontId="14" fillId="0" borderId="2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horizontal="left" vertical="center" wrapText="1" indent="1"/>
    </xf>
    <xf numFmtId="0" fontId="0" fillId="0" borderId="37" xfId="0" applyFill="1" applyBorder="1" applyAlignment="1">
      <alignment horizontal="left" vertical="center"/>
    </xf>
    <xf numFmtId="0" fontId="0" fillId="0" borderId="40" xfId="0" applyFill="1" applyBorder="1" applyAlignment="1">
      <alignment horizontal="left" vertical="center"/>
    </xf>
    <xf numFmtId="0" fontId="10" fillId="0" borderId="43" xfId="0" applyFont="1" applyFill="1" applyBorder="1" applyAlignment="1">
      <alignment horizontal="left" vertical="center" wrapText="1"/>
    </xf>
    <xf numFmtId="0" fontId="0" fillId="0" borderId="24" xfId="0" applyFill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workbookViewId="0">
      <selection activeCell="B9" sqref="B9"/>
    </sheetView>
  </sheetViews>
  <sheetFormatPr baseColWidth="10" defaultColWidth="11" defaultRowHeight="12.75" x14ac:dyDescent="0.2"/>
  <cols>
    <col min="1" max="1" width="4.5703125" style="5" customWidth="1"/>
    <col min="2" max="2" width="21.7109375" style="5" customWidth="1"/>
    <col min="3" max="3" width="36.7109375" style="5" customWidth="1"/>
    <col min="4" max="4" width="12.28515625" style="5" bestFit="1" customWidth="1"/>
    <col min="5" max="5" width="135.42578125" style="5" customWidth="1"/>
    <col min="6" max="6" width="11" style="5"/>
    <col min="7" max="8" width="10.42578125" style="5" bestFit="1" customWidth="1"/>
    <col min="9" max="9" width="15.7109375" style="5" bestFit="1" customWidth="1"/>
    <col min="10" max="16384" width="11" style="5"/>
  </cols>
  <sheetData>
    <row r="1" spans="1:9" x14ac:dyDescent="0.2">
      <c r="A1" s="53"/>
      <c r="B1" s="53"/>
      <c r="C1" s="53"/>
      <c r="D1" s="53"/>
      <c r="E1" s="53"/>
      <c r="F1" s="53"/>
      <c r="G1" s="53"/>
      <c r="H1" s="53"/>
      <c r="I1" s="53"/>
    </row>
    <row r="2" spans="1:9" ht="27" x14ac:dyDescent="0.35">
      <c r="A2" s="53"/>
      <c r="B2" s="86" t="s">
        <v>0</v>
      </c>
      <c r="C2" s="86"/>
      <c r="D2" s="86"/>
      <c r="E2" s="86"/>
      <c r="F2" s="86"/>
      <c r="G2" s="86"/>
      <c r="H2" s="86"/>
      <c r="I2" s="53"/>
    </row>
    <row r="3" spans="1:9" x14ac:dyDescent="0.2">
      <c r="A3" s="53"/>
      <c r="B3" s="53"/>
      <c r="C3" s="53"/>
      <c r="D3" s="53"/>
      <c r="E3" s="53"/>
      <c r="F3" s="53"/>
      <c r="G3" s="53"/>
      <c r="H3" s="53"/>
      <c r="I3" s="53"/>
    </row>
    <row r="4" spans="1:9" ht="18" customHeight="1" x14ac:dyDescent="0.25">
      <c r="A4" s="87" t="s">
        <v>1</v>
      </c>
      <c r="B4" s="87"/>
      <c r="C4" s="88" t="s">
        <v>57</v>
      </c>
      <c r="D4" s="88"/>
      <c r="E4" s="88"/>
      <c r="F4" s="54"/>
      <c r="G4" s="55"/>
      <c r="H4" s="54"/>
      <c r="I4" s="53"/>
    </row>
    <row r="5" spans="1:9" ht="18" customHeight="1" x14ac:dyDescent="0.25">
      <c r="A5" s="87" t="s">
        <v>2</v>
      </c>
      <c r="B5" s="87"/>
      <c r="C5" s="88" t="s">
        <v>58</v>
      </c>
      <c r="D5" s="88"/>
      <c r="E5" s="88"/>
      <c r="F5" s="54"/>
      <c r="G5" s="55"/>
      <c r="H5" s="54"/>
      <c r="I5" s="53"/>
    </row>
    <row r="6" spans="1:9" ht="16.5" customHeight="1" x14ac:dyDescent="0.25">
      <c r="A6" s="87" t="s">
        <v>3</v>
      </c>
      <c r="B6" s="87"/>
      <c r="C6" s="56">
        <v>2021</v>
      </c>
      <c r="D6" s="57"/>
      <c r="E6" s="57"/>
      <c r="F6" s="54"/>
      <c r="G6" s="55"/>
      <c r="H6" s="54"/>
      <c r="I6" s="53"/>
    </row>
    <row r="7" spans="1:9" ht="16.5" customHeight="1" x14ac:dyDescent="0.25">
      <c r="A7" s="87" t="s">
        <v>4</v>
      </c>
      <c r="B7" s="87"/>
      <c r="C7" s="56">
        <v>2</v>
      </c>
      <c r="D7" s="57"/>
      <c r="E7" s="57"/>
      <c r="F7" s="54"/>
      <c r="G7" s="55"/>
      <c r="H7" s="54"/>
      <c r="I7" s="53"/>
    </row>
    <row r="8" spans="1:9" ht="13.5" thickBot="1" x14ac:dyDescent="0.25">
      <c r="A8" s="53"/>
      <c r="B8" s="54"/>
      <c r="C8" s="55"/>
      <c r="D8" s="54"/>
      <c r="E8" s="54"/>
      <c r="F8" s="54"/>
      <c r="G8" s="55"/>
      <c r="H8" s="54"/>
      <c r="I8" s="53"/>
    </row>
    <row r="9" spans="1:9" ht="39" thickBot="1" x14ac:dyDescent="0.25">
      <c r="A9" s="58" t="s">
        <v>5</v>
      </c>
      <c r="B9" s="59" t="s">
        <v>6</v>
      </c>
      <c r="C9" s="59" t="s">
        <v>7</v>
      </c>
      <c r="D9" s="59" t="s">
        <v>8</v>
      </c>
      <c r="E9" s="59" t="s">
        <v>9</v>
      </c>
      <c r="F9" s="60" t="s">
        <v>10</v>
      </c>
      <c r="G9" s="61" t="s">
        <v>11</v>
      </c>
      <c r="H9" s="61" t="s">
        <v>12</v>
      </c>
      <c r="I9" s="62" t="s">
        <v>13</v>
      </c>
    </row>
    <row r="10" spans="1:9" x14ac:dyDescent="0.2">
      <c r="A10" s="63">
        <v>1</v>
      </c>
      <c r="B10" s="64" t="s">
        <v>63</v>
      </c>
      <c r="C10" s="64" t="s">
        <v>62</v>
      </c>
      <c r="D10" s="65" t="s">
        <v>78</v>
      </c>
      <c r="E10" s="64" t="s">
        <v>64</v>
      </c>
      <c r="F10" s="66" t="s">
        <v>65</v>
      </c>
      <c r="G10" s="67">
        <v>104</v>
      </c>
      <c r="H10" s="68">
        <v>19095</v>
      </c>
      <c r="I10" s="69">
        <f>+H10*G10</f>
        <v>1985880</v>
      </c>
    </row>
    <row r="11" spans="1:9" x14ac:dyDescent="0.2">
      <c r="A11" s="53"/>
      <c r="B11" s="53"/>
      <c r="C11" s="53"/>
      <c r="D11" s="53"/>
      <c r="E11" s="53"/>
      <c r="F11" s="53"/>
      <c r="G11" s="53"/>
      <c r="H11" s="53"/>
      <c r="I11" s="70"/>
    </row>
    <row r="12" spans="1:9" x14ac:dyDescent="0.2">
      <c r="A12" s="53"/>
      <c r="B12" s="53"/>
      <c r="C12" s="53"/>
      <c r="D12" s="53"/>
      <c r="E12" s="53"/>
      <c r="F12" s="53"/>
      <c r="G12" s="53"/>
      <c r="H12" s="53"/>
      <c r="I12" s="53"/>
    </row>
    <row r="13" spans="1:9" x14ac:dyDescent="0.2">
      <c r="A13" s="53"/>
      <c r="B13" s="71" t="s">
        <v>14</v>
      </c>
      <c r="C13" s="72"/>
      <c r="D13" s="72"/>
      <c r="E13" s="73"/>
      <c r="F13" s="53"/>
      <c r="G13" s="53"/>
      <c r="H13" s="53"/>
      <c r="I13" s="53"/>
    </row>
    <row r="14" spans="1:9" ht="5.25" customHeight="1" x14ac:dyDescent="0.2">
      <c r="A14" s="53"/>
      <c r="B14" s="74"/>
      <c r="C14" s="75"/>
      <c r="D14" s="75"/>
      <c r="E14" s="76"/>
      <c r="F14" s="53"/>
      <c r="G14" s="53"/>
      <c r="H14" s="53"/>
      <c r="I14" s="53"/>
    </row>
    <row r="15" spans="1:9" x14ac:dyDescent="0.2">
      <c r="A15" s="53"/>
      <c r="B15" s="77" t="s">
        <v>15</v>
      </c>
      <c r="C15" s="75"/>
      <c r="D15" s="75"/>
      <c r="E15" s="76"/>
      <c r="F15" s="53"/>
      <c r="G15" s="53"/>
      <c r="H15" s="53"/>
      <c r="I15" s="53"/>
    </row>
    <row r="16" spans="1:9" ht="12.75" customHeight="1" x14ac:dyDescent="0.2">
      <c r="A16" s="53"/>
      <c r="B16" s="77"/>
      <c r="C16" s="89" t="s">
        <v>67</v>
      </c>
      <c r="D16" s="89"/>
      <c r="E16" s="89"/>
      <c r="F16" s="53"/>
      <c r="G16" s="53"/>
      <c r="H16" s="53"/>
      <c r="I16" s="53"/>
    </row>
    <row r="17" spans="1:9" x14ac:dyDescent="0.2">
      <c r="A17" s="53"/>
      <c r="B17" s="77" t="s">
        <v>16</v>
      </c>
      <c r="C17" s="75"/>
      <c r="D17" s="75"/>
      <c r="E17" s="76"/>
      <c r="F17" s="53"/>
      <c r="G17" s="53"/>
      <c r="H17" s="53"/>
      <c r="I17" s="53"/>
    </row>
    <row r="18" spans="1:9" x14ac:dyDescent="0.2">
      <c r="A18" s="53"/>
      <c r="B18" s="78"/>
      <c r="C18" s="91" t="s">
        <v>66</v>
      </c>
      <c r="D18" s="92"/>
      <c r="E18" s="90"/>
      <c r="F18" s="53"/>
      <c r="G18" s="53"/>
      <c r="H18" s="53"/>
      <c r="I18" s="53"/>
    </row>
    <row r="19" spans="1:9" ht="50.25" customHeight="1" x14ac:dyDescent="0.2">
      <c r="A19" s="53"/>
      <c r="B19" s="78"/>
      <c r="C19" s="93" t="s">
        <v>68</v>
      </c>
      <c r="D19" s="93"/>
      <c r="E19" s="94"/>
      <c r="F19" s="53"/>
      <c r="G19" s="53"/>
      <c r="H19" s="53"/>
      <c r="I19" s="53"/>
    </row>
    <row r="20" spans="1:9" x14ac:dyDescent="0.2">
      <c r="A20" s="53"/>
      <c r="B20" s="78"/>
      <c r="C20" s="79"/>
      <c r="D20" s="79"/>
      <c r="E20" s="80"/>
      <c r="F20" s="53"/>
      <c r="G20" s="53"/>
      <c r="H20" s="53"/>
      <c r="I20" s="53"/>
    </row>
    <row r="21" spans="1:9" x14ac:dyDescent="0.2">
      <c r="A21" s="53"/>
      <c r="B21" s="77" t="s">
        <v>17</v>
      </c>
      <c r="C21" s="75"/>
      <c r="D21" s="75"/>
      <c r="E21" s="76"/>
      <c r="F21" s="53"/>
      <c r="G21" s="53"/>
      <c r="H21" s="53"/>
      <c r="I21" s="53"/>
    </row>
    <row r="22" spans="1:9" ht="26.25" customHeight="1" x14ac:dyDescent="0.2">
      <c r="A22" s="53"/>
      <c r="B22" s="78"/>
      <c r="C22" s="89" t="s">
        <v>60</v>
      </c>
      <c r="D22" s="89"/>
      <c r="E22" s="89"/>
      <c r="F22" s="53"/>
      <c r="G22" s="53"/>
      <c r="H22" s="53"/>
      <c r="I22" s="53"/>
    </row>
    <row r="23" spans="1:9" x14ac:dyDescent="0.2">
      <c r="A23" s="53"/>
      <c r="B23" s="77" t="s">
        <v>18</v>
      </c>
      <c r="C23" s="81"/>
      <c r="D23" s="81"/>
      <c r="E23" s="82"/>
      <c r="F23" s="53"/>
      <c r="G23" s="53"/>
      <c r="H23" s="53"/>
      <c r="I23" s="53"/>
    </row>
    <row r="24" spans="1:9" ht="26.25" customHeight="1" x14ac:dyDescent="0.2">
      <c r="A24" s="53"/>
      <c r="B24" s="78"/>
      <c r="C24" s="89" t="s">
        <v>70</v>
      </c>
      <c r="D24" s="89"/>
      <c r="E24" s="89"/>
      <c r="F24" s="53"/>
      <c r="G24" s="53"/>
      <c r="H24" s="53"/>
      <c r="I24" s="53"/>
    </row>
    <row r="25" spans="1:9" x14ac:dyDescent="0.2">
      <c r="A25" s="53"/>
      <c r="B25" s="77" t="s">
        <v>19</v>
      </c>
      <c r="C25" s="75"/>
      <c r="D25" s="75"/>
      <c r="E25" s="76"/>
      <c r="F25" s="53"/>
      <c r="G25" s="53"/>
      <c r="H25" s="53"/>
      <c r="I25" s="53"/>
    </row>
    <row r="26" spans="1:9" ht="23.25" customHeight="1" x14ac:dyDescent="0.2">
      <c r="A26" s="53"/>
      <c r="B26" s="77"/>
      <c r="C26" s="90" t="s">
        <v>61</v>
      </c>
      <c r="D26" s="90"/>
      <c r="E26" s="90"/>
      <c r="F26" s="53"/>
      <c r="G26" s="53"/>
      <c r="H26" s="53"/>
      <c r="I26" s="53"/>
    </row>
    <row r="27" spans="1:9" x14ac:dyDescent="0.2">
      <c r="A27" s="53"/>
      <c r="B27" s="83"/>
      <c r="C27" s="84"/>
      <c r="D27" s="84"/>
      <c r="E27" s="85"/>
      <c r="F27" s="53"/>
      <c r="G27" s="53"/>
      <c r="H27" s="53"/>
      <c r="I27" s="53"/>
    </row>
  </sheetData>
  <mergeCells count="13">
    <mergeCell ref="C22:E22"/>
    <mergeCell ref="C24:E24"/>
    <mergeCell ref="C26:E26"/>
    <mergeCell ref="A6:B6"/>
    <mergeCell ref="A7:B7"/>
    <mergeCell ref="C16:E16"/>
    <mergeCell ref="C18:E18"/>
    <mergeCell ref="C19:E19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110" zoomScaleNormal="110" workbookViewId="0">
      <selection sqref="A1:K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5" t="s">
        <v>20</v>
      </c>
      <c r="B1" s="95"/>
      <c r="C1" s="95"/>
      <c r="D1" s="95"/>
      <c r="E1" s="95"/>
      <c r="F1" s="95"/>
      <c r="G1" s="95"/>
      <c r="H1" s="95"/>
      <c r="I1" s="95"/>
      <c r="J1" s="7" t="s">
        <v>21</v>
      </c>
      <c r="K1" s="8" t="s">
        <v>71</v>
      </c>
    </row>
    <row r="2" spans="1:11" ht="18.75" customHeight="1" thickBot="1" x14ac:dyDescent="0.25">
      <c r="A2" s="9"/>
      <c r="B2" s="9"/>
      <c r="C2" s="9"/>
      <c r="D2" s="10"/>
      <c r="E2" s="10"/>
      <c r="F2" s="10"/>
      <c r="G2" s="10"/>
      <c r="H2" s="10"/>
      <c r="I2" s="10"/>
      <c r="J2" s="10"/>
      <c r="K2" s="10"/>
    </row>
    <row r="3" spans="1:11" ht="18.75" customHeight="1" thickBot="1" x14ac:dyDescent="0.25">
      <c r="A3" s="96" t="s">
        <v>54</v>
      </c>
      <c r="B3" s="96"/>
      <c r="C3" s="96"/>
      <c r="D3" s="97" t="str">
        <f>'Necesidades Trimestrales'!C4</f>
        <v>45- Ministerio de Desarrollo Social y Deporte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98" t="s">
        <v>55</v>
      </c>
      <c r="B4" s="98"/>
      <c r="C4" s="98"/>
      <c r="D4" s="97" t="str">
        <f>'Necesidades Trimestrales'!C5</f>
        <v>25- Direccion Provincial de Gestion Administrativa y RRHH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98" t="s">
        <v>33</v>
      </c>
      <c r="B5" s="98"/>
      <c r="C5" s="98"/>
      <c r="D5" s="97" t="s">
        <v>72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96" t="s">
        <v>56</v>
      </c>
      <c r="B6" s="96"/>
      <c r="C6" s="96"/>
      <c r="D6" s="97" t="s">
        <v>73</v>
      </c>
      <c r="E6" s="97"/>
      <c r="F6" s="97"/>
      <c r="G6" s="97"/>
      <c r="H6" s="97"/>
      <c r="I6" s="97"/>
      <c r="J6" s="97"/>
      <c r="K6" s="97"/>
    </row>
    <row r="7" spans="1:11" ht="16.5" customHeight="1" x14ac:dyDescent="0.2">
      <c r="A7" s="98" t="s">
        <v>22</v>
      </c>
      <c r="B7" s="98"/>
      <c r="C7" s="98"/>
      <c r="D7" s="97" t="str">
        <f>'Necesidades Trimestrales'!C7 &amp; "° Trimestre - Año " &amp; 'Necesidades Trimestrales'!C6</f>
        <v>2° Trimestre - Año 2021</v>
      </c>
      <c r="E7" s="97"/>
      <c r="F7" s="97"/>
      <c r="G7" s="97"/>
      <c r="H7" s="97"/>
      <c r="I7" s="97"/>
      <c r="J7" s="97"/>
      <c r="K7" s="97"/>
    </row>
    <row r="8" spans="1:11" ht="15.75" x14ac:dyDescent="0.2">
      <c r="A8" s="99" t="s">
        <v>23</v>
      </c>
      <c r="B8" s="99"/>
      <c r="C8" s="99"/>
      <c r="D8" s="100" t="s">
        <v>74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</row>
    <row r="10" spans="1:11" ht="18.75" customHeight="1" x14ac:dyDescent="0.2">
      <c r="A10" s="101" t="s">
        <v>24</v>
      </c>
      <c r="B10" s="102" t="s">
        <v>25</v>
      </c>
      <c r="C10" s="102" t="s">
        <v>26</v>
      </c>
      <c r="D10" s="102"/>
      <c r="E10" s="102"/>
      <c r="F10" s="102"/>
      <c r="G10" s="102"/>
      <c r="H10" s="102" t="s">
        <v>27</v>
      </c>
      <c r="I10" s="102" t="s">
        <v>28</v>
      </c>
      <c r="J10" s="102" t="s">
        <v>29</v>
      </c>
      <c r="K10" s="103" t="s">
        <v>30</v>
      </c>
    </row>
    <row r="11" spans="1:11" ht="24" customHeight="1" x14ac:dyDescent="0.2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31.5" customHeight="1" thickBot="1" x14ac:dyDescent="0.25">
      <c r="A12" s="13">
        <v>1</v>
      </c>
      <c r="B12" s="14" t="str">
        <f>'Necesidades Trimestrales'!B10</f>
        <v>4.3.7-2207.8</v>
      </c>
      <c r="C12" s="105" t="str">
        <f>'Necesidades Trimestrales'!E10</f>
        <v>CAMAS; LARGO X ANCHO: 1,90 X 0,75 M, MATERIAL: HIERRO, TERMINACION: ESMALTE SINTETICO COLOR, TIPO: CUCHETA</v>
      </c>
      <c r="D12" s="105"/>
      <c r="E12" s="105"/>
      <c r="F12" s="105"/>
      <c r="G12" s="105"/>
      <c r="H12" s="13" t="s">
        <v>59</v>
      </c>
      <c r="I12" s="15" t="str">
        <f>'Necesidades Trimestrales'!F10</f>
        <v>UNIDADES</v>
      </c>
      <c r="J12" s="16">
        <f>'Necesidades Trimestrales'!H10</f>
        <v>19095</v>
      </c>
      <c r="K12" s="17">
        <f>'Necesidades Trimestrales'!G10</f>
        <v>104</v>
      </c>
    </row>
    <row r="13" spans="1:11" ht="36" customHeight="1" thickBot="1" x14ac:dyDescent="0.25">
      <c r="A13" s="18"/>
      <c r="B13" s="14"/>
      <c r="C13" s="105"/>
      <c r="D13" s="105"/>
      <c r="E13" s="105"/>
      <c r="F13" s="105"/>
      <c r="G13" s="105"/>
      <c r="H13" s="13"/>
      <c r="I13" s="15"/>
      <c r="J13" s="16"/>
      <c r="K13" s="17"/>
    </row>
    <row r="14" spans="1:11" ht="33.75" customHeight="1" thickBot="1" x14ac:dyDescent="0.25">
      <c r="A14" s="18"/>
      <c r="B14" s="14"/>
      <c r="C14" s="105"/>
      <c r="D14" s="105"/>
      <c r="E14" s="105"/>
      <c r="F14" s="105"/>
      <c r="G14" s="105"/>
      <c r="H14" s="13"/>
      <c r="I14" s="15"/>
      <c r="J14" s="16"/>
      <c r="K14" s="17"/>
    </row>
    <row r="15" spans="1:11" ht="20.25" customHeight="1" thickBot="1" x14ac:dyDescent="0.25">
      <c r="A15" s="18"/>
      <c r="B15" s="14"/>
      <c r="C15" s="105"/>
      <c r="D15" s="105"/>
      <c r="E15" s="105"/>
      <c r="F15" s="105"/>
      <c r="G15" s="105"/>
      <c r="H15" s="13"/>
      <c r="I15" s="15"/>
      <c r="J15" s="16"/>
      <c r="K15" s="17"/>
    </row>
    <row r="16" spans="1:11" ht="27.75" customHeight="1" thickBot="1" x14ac:dyDescent="0.25">
      <c r="A16" s="18"/>
      <c r="B16" s="14"/>
      <c r="C16" s="105"/>
      <c r="D16" s="105"/>
      <c r="E16" s="105"/>
      <c r="F16" s="105"/>
      <c r="G16" s="105"/>
      <c r="H16" s="13"/>
      <c r="I16" s="15"/>
      <c r="J16" s="16"/>
      <c r="K16" s="17"/>
    </row>
    <row r="17" spans="1:11" ht="26.25" customHeight="1" thickBot="1" x14ac:dyDescent="0.25">
      <c r="A17" s="97" t="s">
        <v>75</v>
      </c>
      <c r="B17" s="97"/>
      <c r="C17" s="97"/>
      <c r="D17" s="97"/>
      <c r="E17" s="97"/>
      <c r="F17" s="97"/>
      <c r="G17" s="97"/>
      <c r="H17" s="97"/>
      <c r="I17" s="97"/>
      <c r="J17" s="104">
        <f>+J12*K12+J13*K13+J14*K14</f>
        <v>1985880</v>
      </c>
      <c r="K17" s="104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sqref="A1:Q26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06" t="s">
        <v>3</v>
      </c>
      <c r="B1" s="106"/>
      <c r="C1" s="106"/>
      <c r="D1" s="107">
        <f>'Necesidades Trimestrales'!C6</f>
        <v>2021</v>
      </c>
      <c r="E1" s="107"/>
      <c r="F1" s="19"/>
      <c r="G1" s="19"/>
      <c r="H1" s="20"/>
      <c r="I1" s="20"/>
      <c r="J1" s="20"/>
      <c r="K1" s="20"/>
      <c r="L1" s="20"/>
      <c r="M1" s="20"/>
      <c r="N1" s="20"/>
      <c r="O1" s="21"/>
      <c r="P1" s="108" t="s">
        <v>31</v>
      </c>
      <c r="Q1" s="108"/>
    </row>
    <row r="2" spans="1:18" ht="15.75" customHeight="1" x14ac:dyDescent="0.2">
      <c r="A2" s="21"/>
      <c r="B2" s="21"/>
      <c r="C2" s="21"/>
      <c r="D2" s="21"/>
      <c r="E2" s="21"/>
      <c r="F2" s="21"/>
      <c r="G2" s="22"/>
      <c r="H2" s="20"/>
      <c r="I2" s="20"/>
      <c r="J2" s="20"/>
      <c r="K2" s="20"/>
      <c r="L2" s="20"/>
      <c r="M2" s="20"/>
      <c r="N2" s="20"/>
      <c r="O2" s="21"/>
      <c r="P2" s="108"/>
      <c r="Q2" s="108"/>
    </row>
    <row r="3" spans="1:18" x14ac:dyDescent="0.2">
      <c r="A3" s="21"/>
      <c r="B3" s="21"/>
      <c r="C3" s="21"/>
      <c r="D3" s="21"/>
      <c r="E3" s="21"/>
      <c r="F3" s="21"/>
      <c r="G3" s="22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8" s="4" customFormat="1" ht="18" customHeight="1" thickBot="1" x14ac:dyDescent="0.25">
      <c r="A4" s="109" t="s">
        <v>32</v>
      </c>
      <c r="B4" s="109"/>
      <c r="C4" s="109"/>
      <c r="D4" s="109"/>
      <c r="E4" s="109"/>
      <c r="F4" s="109"/>
      <c r="G4" s="110" t="str">
        <f>' NotaPedido'!D3</f>
        <v>45- Ministerio de Desarrollo Social y Deporte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8" s="4" customFormat="1" ht="18" customHeight="1" thickBot="1" x14ac:dyDescent="0.25">
      <c r="A5" s="111" t="s">
        <v>55</v>
      </c>
      <c r="B5" s="112"/>
      <c r="C5" s="112"/>
      <c r="D5" s="112"/>
      <c r="E5" s="112"/>
      <c r="F5" s="113"/>
      <c r="G5" s="110" t="str">
        <f>' NotaPedido'!D4</f>
        <v>25- Direccion Provincial de Gestion Administrativa y RRHH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8" s="4" customFormat="1" ht="18" customHeight="1" thickBot="1" x14ac:dyDescent="0.25">
      <c r="A6" s="111" t="s">
        <v>33</v>
      </c>
      <c r="B6" s="112"/>
      <c r="C6" s="112"/>
      <c r="D6" s="112"/>
      <c r="E6" s="112"/>
      <c r="F6" s="113"/>
      <c r="G6" s="110" t="s">
        <v>77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8" s="4" customFormat="1" ht="18" customHeight="1" thickBot="1" x14ac:dyDescent="0.25">
      <c r="A7" s="111" t="s">
        <v>56</v>
      </c>
      <c r="B7" s="112"/>
      <c r="C7" s="112"/>
      <c r="D7" s="112"/>
      <c r="E7" s="112"/>
      <c r="F7" s="113"/>
      <c r="G7" s="110" t="s">
        <v>73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8" ht="18" customHeight="1" thickBot="1" x14ac:dyDescent="0.25">
      <c r="A8" s="114" t="s">
        <v>34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8" ht="18" customHeight="1" x14ac:dyDescent="0.2">
      <c r="A9" s="118" t="s">
        <v>35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23"/>
      <c r="P9" s="23"/>
      <c r="Q9" s="24"/>
    </row>
    <row r="10" spans="1:18" ht="54.75" customHeight="1" x14ac:dyDescent="0.2">
      <c r="A10" s="11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432/2021,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8" ht="9" customHeight="1" x14ac:dyDescent="0.2">
      <c r="A11" s="25"/>
      <c r="B11" s="26"/>
      <c r="C11" s="26"/>
      <c r="D11" s="26"/>
      <c r="E11" s="26"/>
      <c r="F11" s="26"/>
      <c r="G11" s="27"/>
      <c r="H11" s="26"/>
      <c r="I11" s="26"/>
      <c r="J11" s="26"/>
      <c r="K11" s="26"/>
      <c r="L11" s="26"/>
      <c r="M11" s="26"/>
      <c r="N11" s="26"/>
      <c r="O11" s="26"/>
      <c r="P11" s="26"/>
      <c r="Q11" s="28"/>
    </row>
    <row r="12" spans="1:18" ht="15.75" customHeight="1" x14ac:dyDescent="0.2">
      <c r="A12" s="120" t="s">
        <v>36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8" ht="15.75" customHeight="1" x14ac:dyDescent="0.2">
      <c r="A13" s="121" t="s">
        <v>37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38</v>
      </c>
      <c r="P13" s="122"/>
      <c r="Q13" s="123" t="s">
        <v>39</v>
      </c>
    </row>
    <row r="14" spans="1:18" ht="15.75" customHeight="1" x14ac:dyDescent="0.2">
      <c r="A14" s="29" t="s">
        <v>40</v>
      </c>
      <c r="B14" s="30" t="s">
        <v>41</v>
      </c>
      <c r="C14" s="30" t="s">
        <v>42</v>
      </c>
      <c r="D14" s="30" t="s">
        <v>43</v>
      </c>
      <c r="E14" s="30" t="s">
        <v>44</v>
      </c>
      <c r="F14" s="30" t="s">
        <v>45</v>
      </c>
      <c r="G14" s="31" t="s">
        <v>46</v>
      </c>
      <c r="H14" s="30" t="s">
        <v>47</v>
      </c>
      <c r="I14" s="30" t="s">
        <v>48</v>
      </c>
      <c r="J14" s="30" t="s">
        <v>49</v>
      </c>
      <c r="K14" s="30" t="s">
        <v>49</v>
      </c>
      <c r="L14" s="30" t="s">
        <v>50</v>
      </c>
      <c r="M14" s="32" t="s">
        <v>51</v>
      </c>
      <c r="N14" s="33" t="s">
        <v>52</v>
      </c>
      <c r="O14" s="122"/>
      <c r="P14" s="122"/>
      <c r="Q14" s="123"/>
    </row>
    <row r="15" spans="1:18" ht="17.25" customHeight="1" x14ac:dyDescent="0.2">
      <c r="A15" s="34">
        <v>16</v>
      </c>
      <c r="B15" s="35"/>
      <c r="C15" s="35"/>
      <c r="D15" s="35">
        <v>2</v>
      </c>
      <c r="E15" s="35"/>
      <c r="F15" s="35">
        <v>4901</v>
      </c>
      <c r="G15" s="35">
        <v>1</v>
      </c>
      <c r="H15" s="35">
        <v>4</v>
      </c>
      <c r="I15" s="35">
        <v>2</v>
      </c>
      <c r="J15" s="35">
        <v>7</v>
      </c>
      <c r="K15" s="35">
        <v>4</v>
      </c>
      <c r="L15" s="35"/>
      <c r="M15" s="36">
        <v>1</v>
      </c>
      <c r="N15" s="35">
        <v>1.1000000000000001</v>
      </c>
      <c r="O15" s="115" t="s">
        <v>69</v>
      </c>
      <c r="P15" s="116"/>
      <c r="Q15" s="37">
        <f>104*19095</f>
        <v>1985880</v>
      </c>
      <c r="R15" s="6"/>
    </row>
    <row r="16" spans="1:18" ht="17.25" customHeight="1" x14ac:dyDescent="0.2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39"/>
      <c r="O16" s="117"/>
      <c r="P16" s="117"/>
      <c r="Q16" s="41"/>
    </row>
    <row r="17" spans="1:18" ht="17.25" customHeight="1" x14ac:dyDescent="0.2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42"/>
      <c r="O17" s="117"/>
      <c r="P17" s="117"/>
      <c r="Q17" s="41"/>
    </row>
    <row r="18" spans="1:18" ht="17.25" customHeight="1" x14ac:dyDescent="0.2">
      <c r="A18" s="38"/>
      <c r="B18" s="39"/>
      <c r="C18" s="39"/>
      <c r="D18" s="39"/>
      <c r="E18" s="39"/>
      <c r="F18" s="42"/>
      <c r="G18" s="39"/>
      <c r="H18" s="39"/>
      <c r="I18" s="39"/>
      <c r="J18" s="39"/>
      <c r="K18" s="39"/>
      <c r="L18" s="39"/>
      <c r="M18" s="40"/>
      <c r="N18" s="42"/>
      <c r="O18" s="117"/>
      <c r="P18" s="117"/>
      <c r="Q18" s="41"/>
    </row>
    <row r="19" spans="1:18" ht="17.25" customHeight="1" x14ac:dyDescent="0.2">
      <c r="A19" s="38"/>
      <c r="B19" s="39"/>
      <c r="C19" s="39"/>
      <c r="D19" s="39"/>
      <c r="E19" s="39"/>
      <c r="F19" s="42"/>
      <c r="G19" s="39"/>
      <c r="H19" s="39"/>
      <c r="I19" s="39"/>
      <c r="J19" s="39"/>
      <c r="K19" s="39"/>
      <c r="L19" s="39"/>
      <c r="M19" s="40"/>
      <c r="N19" s="42"/>
      <c r="O19" s="117"/>
      <c r="P19" s="117"/>
      <c r="Q19" s="41"/>
    </row>
    <row r="20" spans="1:18" ht="17.25" customHeight="1" x14ac:dyDescent="0.2">
      <c r="A20" s="43"/>
      <c r="B20" s="44"/>
      <c r="C20" s="44"/>
      <c r="D20" s="44"/>
      <c r="E20" s="44"/>
      <c r="F20" s="45"/>
      <c r="G20" s="44"/>
      <c r="H20" s="44"/>
      <c r="I20" s="44"/>
      <c r="J20" s="44"/>
      <c r="K20" s="44"/>
      <c r="L20" s="44"/>
      <c r="M20" s="46"/>
      <c r="N20" s="47"/>
      <c r="O20" s="129"/>
      <c r="P20" s="129"/>
      <c r="Q20" s="41"/>
      <c r="R20" s="1"/>
    </row>
    <row r="21" spans="1:18" ht="17.25" customHeight="1" x14ac:dyDescent="0.2">
      <c r="A21" s="48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  <c r="N21" s="49"/>
      <c r="O21" s="130"/>
      <c r="P21" s="130"/>
      <c r="Q21" s="51"/>
    </row>
    <row r="22" spans="1:18" ht="27.75" customHeight="1" x14ac:dyDescent="0.2">
      <c r="A22" s="131" t="s">
        <v>76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52">
        <f>SUM(Q15:Q21)</f>
        <v>1985880</v>
      </c>
    </row>
    <row r="23" spans="1:18" ht="18" customHeight="1" thickBot="1" x14ac:dyDescent="0.25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</row>
    <row r="24" spans="1:18" ht="17.25" customHeight="1" thickBot="1" x14ac:dyDescent="0.25">
      <c r="A24" s="124" t="s">
        <v>53</v>
      </c>
      <c r="B24" s="125"/>
      <c r="C24" s="125"/>
      <c r="D24" s="125"/>
      <c r="E24" s="125"/>
      <c r="F24" s="126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8" ht="18" customHeight="1" thickBot="1" x14ac:dyDescent="0.25">
      <c r="A25" s="128" t="s">
        <v>74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1:18" x14ac:dyDescent="0.2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2021-04-14T14:23:59Z</cp:lastPrinted>
  <dcterms:created xsi:type="dcterms:W3CDTF">2020-07-17T23:44:49Z</dcterms:created>
  <dcterms:modified xsi:type="dcterms:W3CDTF">2021-08-13T12:21:05Z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