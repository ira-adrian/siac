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HNEP\Alimentos 1er Trim.2022\no perecederos\"/>
    </mc:Choice>
  </mc:AlternateContent>
  <xr:revisionPtr revIDLastSave="0" documentId="8_{D1A2E28D-7E20-4DCD-90F1-3B34FDEAD34A}" xr6:coauthVersionLast="47" xr6:coauthVersionMax="47" xr10:uidLastSave="{00000000-0000-0000-0000-000000000000}"/>
  <bookViews>
    <workbookView xWindow="-120" yWindow="-120" windowWidth="29040" windowHeight="15840" xr2:uid="{7FCCF92C-16D5-4301-AC9F-559068254122}"/>
  </bookViews>
  <sheets>
    <sheet name="Necesidades Trimestrales" sheetId="1" r:id="rId1"/>
  </sheets>
  <definedNames>
    <definedName name="_xlnm._FilterDatabase" localSheetId="0" hidden="1">'Necesidades Trimestrales'!$A$9:$L$47</definedName>
    <definedName name="_xlnm.Print_Area" localSheetId="0">'Necesidades Trimestrales'!$E$9:$E$43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7" i="1" l="1"/>
  <c r="I47" i="1"/>
  <c r="L46" i="1"/>
  <c r="I46" i="1"/>
  <c r="L45" i="1"/>
  <c r="I45" i="1"/>
  <c r="L44" i="1"/>
  <c r="I44" i="1"/>
  <c r="L43" i="1"/>
  <c r="I43" i="1"/>
  <c r="L42" i="1"/>
  <c r="I42" i="1"/>
  <c r="L41" i="1"/>
  <c r="I41" i="1"/>
  <c r="L40" i="1"/>
  <c r="I40" i="1"/>
  <c r="L39" i="1"/>
  <c r="I39" i="1"/>
  <c r="L38" i="1"/>
  <c r="I38" i="1"/>
  <c r="L37" i="1"/>
  <c r="I37" i="1"/>
  <c r="L36" i="1"/>
  <c r="I36" i="1"/>
  <c r="L35" i="1"/>
  <c r="I35" i="1"/>
  <c r="L34" i="1"/>
  <c r="I34" i="1"/>
  <c r="L33" i="1"/>
  <c r="I33" i="1"/>
  <c r="L32" i="1"/>
  <c r="I32" i="1"/>
  <c r="L31" i="1"/>
  <c r="I31" i="1"/>
  <c r="L30" i="1"/>
  <c r="I30" i="1"/>
  <c r="L29" i="1"/>
  <c r="I29" i="1"/>
  <c r="L28" i="1"/>
  <c r="I28" i="1"/>
  <c r="L27" i="1"/>
  <c r="I27" i="1"/>
  <c r="L26" i="1"/>
  <c r="I26" i="1"/>
  <c r="L25" i="1"/>
  <c r="I25" i="1"/>
  <c r="L24" i="1"/>
  <c r="I24" i="1"/>
  <c r="L23" i="1"/>
  <c r="I23" i="1"/>
  <c r="L22" i="1"/>
  <c r="I22" i="1"/>
  <c r="L21" i="1"/>
  <c r="I21" i="1"/>
  <c r="L20" i="1"/>
  <c r="I20" i="1"/>
  <c r="L19" i="1"/>
  <c r="I19" i="1"/>
  <c r="L18" i="1"/>
  <c r="I18" i="1"/>
  <c r="L17" i="1"/>
  <c r="I17" i="1"/>
  <c r="L16" i="1"/>
  <c r="I16" i="1"/>
  <c r="L15" i="1"/>
  <c r="I15" i="1"/>
  <c r="L14" i="1"/>
  <c r="I14" i="1"/>
  <c r="L13" i="1"/>
  <c r="I13" i="1"/>
  <c r="L12" i="1"/>
  <c r="I12" i="1"/>
  <c r="L11" i="1"/>
  <c r="I11" i="1"/>
  <c r="L10" i="1"/>
  <c r="I10" i="1"/>
  <c r="D10" i="1"/>
</calcChain>
</file>

<file path=xl/sharedStrings.xml><?xml version="1.0" encoding="utf-8"?>
<sst xmlns="http://schemas.openxmlformats.org/spreadsheetml/2006/main" count="257" uniqueCount="113">
  <si>
    <t>Pedido de Necesidades Trimestrales</t>
  </si>
  <si>
    <t>JURISDICCION:</t>
  </si>
  <si>
    <t>040 - Ministerio de Salud</t>
  </si>
  <si>
    <t xml:space="preserve">SAF N°: </t>
  </si>
  <si>
    <t>024 - Hospital Interzonal de Niños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</si>
  <si>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</si>
  <si>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</si>
  <si>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</si>
  <si>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</si>
  <si>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</si>
  <si>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</si>
  <si>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</si>
  <si>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</si>
  <si>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</si>
  <si>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</si>
  <si>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</si>
  <si>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2.1.1-439.67</t>
  </si>
  <si>
    <t>ALIMENTOS</t>
  </si>
  <si>
    <t>ACEITES COMESTIBLES; TIPO: GIRASOL, PRESENTACION: ENVASE X 900 CM3, MATERIAL ENVASE: PLASTICO 1 (PET), ELEM. TRANSPORTE: SIN, MATERIAL ELEM. TRANSPORTE : SIN, LIBRE DE GLUTEN: NO</t>
  </si>
  <si>
    <t>BOTELLA</t>
  </si>
  <si>
    <t>2.1.1-435.38</t>
  </si>
  <si>
    <t>2.1.1</t>
  </si>
  <si>
    <t>ARROZ; TIPO GRANO: DOBLE, TIPO: BLANCO, PROCESO: PARBOLIZADO, PRESENTACION: ENVASE X 1 Kg, MATERIAL ENVASE: CARTON, CERTIFICADO FORESTAL (GFS): SIN, ELEM. TRANSPORTE: SIN, MATERIAL ELEM. TRANSPORTE: SIN</t>
  </si>
  <si>
    <t>PAQUETE</t>
  </si>
  <si>
    <t>2.1.1-708.43</t>
  </si>
  <si>
    <t>CONSERVAS PESCADO Y FRUTOS MAR; TIPO: ATUN, ESTADO: AL NATURAL, PESO: 170 GR, ENVASE: LATA, ELEM. TRANSPORTE: SIN, MATERIAL ELEM. TRANSPORTE: SIN</t>
  </si>
  <si>
    <t>LATA</t>
  </si>
  <si>
    <t>2.1.1-2124.3</t>
  </si>
  <si>
    <t>AVENAS; TIPO: ARROLLADA, ESTADO: NATURAL, PRESENTACION: BOLSA, PESO: 1 Kg</t>
  </si>
  <si>
    <t>CAJA</t>
  </si>
  <si>
    <t>BOLSA</t>
  </si>
  <si>
    <t>2.1.1-6547.17</t>
  </si>
  <si>
    <t>LEGUMBRES; VARIEDAD: ARVEJA, ESTADO: REMOJADO EN CONSERVA, PRESENTACION: LATA, PESO: 350 GR</t>
  </si>
  <si>
    <t>2.1.1-481.38</t>
  </si>
  <si>
    <t>AZUCARES; TIPO: "A" COMUN, ESTADO: MOLIDA, PESO: 1 Kg, MATERIAL ENVASE: PLASTICO, CERTIFICADO FORESTAL (GFS): SIN, ELEM. TRANSPORTE: SIN, MATERIAL ELEM. TRANSPORTE: SIN</t>
  </si>
  <si>
    <t>2.1.1-6546.336</t>
  </si>
  <si>
    <t>VERDURAS Y HORTALIZAS; VARIEDAD: CHOCLO, ESTADO: CREMOSO, PRESENTACION: LATA, PESO: 350 GR, ELEM. TRANSPORTE: SIN, MATERIAL ELEM. TRANSPORTE: SIN, LIBRE DE GLUTEN: NO</t>
  </si>
  <si>
    <t>2.1.1-6546.269</t>
  </si>
  <si>
    <t>VERDURAS Y HORTALIZAS; VARIEDAD: CHOCLO, ESTADO: GRANO, PRESENTACION: LATA, PESO: 350 GR</t>
  </si>
  <si>
    <t>2.1.1-597.43</t>
  </si>
  <si>
    <t>CONSERVAS DE FRUTAS; VARIEDAD: COCTEL, ENVASE: LATA, PESO: 820 GR, ELEM. TRANSPORTE: SIN, MATERIAL ELEM. TRANSPORTE: SIN, LIBRE DE GLUTEN: SI</t>
  </si>
  <si>
    <t>2.1.1-2113.1</t>
  </si>
  <si>
    <t>DULCES; TIPO: DE BATATA, PRESENTACION: LATA, PESO: 5</t>
  </si>
  <si>
    <t>5 que gramos o kg?? Sabor chocolate o vainilla?</t>
  </si>
  <si>
    <t>2.1.1-2113.2</t>
  </si>
  <si>
    <t>DULCES; TIPO: DE MEMBRILLO, PRESENTACION: LATA, PESO: 5 Kg</t>
  </si>
  <si>
    <t>2.1.1-6539.54</t>
  </si>
  <si>
    <t>FRUTAS; VARIEDAD: DURAZNO, PRESENTACION: ENVASE X 820 GR, ESTADO: NATURAL, PESO: 820 GR</t>
  </si>
  <si>
    <t>2.1.1-595.2</t>
  </si>
  <si>
    <t>EDULCORANTES; PRESENTACION: LIQUIDO, ENVASE: BOTELLA PLASTICA, CONTENIDO: 500 CM3</t>
  </si>
  <si>
    <t>2.1.1-2868.59</t>
  </si>
  <si>
    <t>FIDEOS SECOS; VARIEDAD: MOSTACHOLES, RELLENO: SIN, PRESENTACION: ENVASE X 500 GR, MATERIAL ENVASE: PVC, ELEM. TRANSPORTE: CAJA, MATERIAL ELEM. TRANSPORTE: CARTON, CERTIFICADO FORESTAL (GFS): SIN, LIBRE DE GLUTEN: NO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</si>
  <si>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</si>
  <si>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</si>
  <si>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</si>
  <si>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</si>
  <si>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2.1.1-788.186</t>
  </si>
  <si>
    <t>GALLETITAS; VARIEDAD: SIN SAL, RELLENO: SIN, PRESENTACION: ENVASE X 180 GR, ELEM. TRANSPORTE: SIN, MATERIAL ELEM. TRANSPORTE: SIN, LIBRE DE GLUTEN: SI</t>
  </si>
  <si>
    <t>2.1.1-510.3</t>
  </si>
  <si>
    <t>GELATINAS; TIPO: BAJAS CALORIAS, ENVASE: CAJA DE CARTON, PESO: 30 GR, SABOR: CEREZA</t>
  </si>
  <si>
    <t>2.1.1-482.69</t>
  </si>
  <si>
    <t>HARINAS; TIPO: MAIZ, PRESENTACION: ENVASE X 1 Kg, MATERIAL ENVASE: PAPEL, CERTICADO FORESTAL (GFS): SIN, ELEM. TRANSPORTE: SIN, MATERIAL ELEM. TRANSPORTE: SIN, LIBRE DE GLUTEN: NO</t>
  </si>
  <si>
    <t>2.1.1-482.80</t>
  </si>
  <si>
    <t>HARINAS; TIPO: DE TRIGO 000, PRESENTACION: ENVASE X 1 Kg, MATERIAL ENVASE: PAPEL, CERTICADO FORESTAL (GFS): SIN, ELEM. TRANSPORTE: SIN, MATERIAL ELEM. TRANSPORTE: SIN, LIBRE DE GLUTEN: NO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</si>
  <si>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</si>
  <si>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</si>
  <si>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2.1.1-489.96</t>
  </si>
  <si>
    <t>ESPECIAS; TIPO: LAUREL, PRESENTACION: PAQUETE X 50 GR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</si>
  <si>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</si>
  <si>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</si>
  <si>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2.1.1-2116.10</t>
  </si>
  <si>
    <t>LEVADURAS; TIPO: SECA INSTANTANEA, PRESENTACION: SOBRE, PESO: 20 GR</t>
  </si>
  <si>
    <t>SOBRE</t>
  </si>
  <si>
    <t>2.1.1-489.66</t>
  </si>
  <si>
    <t>ESPECIAS; TIPO: OREGANO, PRESENTACION: BOLSA DE 1 Kg</t>
  </si>
  <si>
    <t>2.1.1-489.97</t>
  </si>
  <si>
    <t>ESPECIAS; TIPO: PIMENTON DULCE, PRESENTACION: PAQUETE X 50 GR</t>
  </si>
  <si>
    <t>2.1.1-517.86</t>
  </si>
  <si>
    <t>POSTRES; ESTADO PREPARACION: CON COCCION, TIPO: POLVO, ENVASE: CAJA DE CARTON, PESO: 80 GR, SABOR: VAINILLA, LIBRE DE GLUTEN: SI</t>
  </si>
  <si>
    <t>2.1.1-489.109</t>
  </si>
  <si>
    <t>ESPECIAS; TIPO: PROVENZAL, PRESENTACION: PAQUETE X 1 Kg</t>
  </si>
  <si>
    <t>2.1.1-509.10</t>
  </si>
  <si>
    <t>PURE; TIPO: DE TOMATE, ENVASE: CAJA DE CARTON, PESO: 530 GR</t>
  </si>
  <si>
    <t>2.1.1-514.2</t>
  </si>
  <si>
    <t>SAL DE MESA; CONSISTENCIA: FINA, PESO: 500 GR, TIPO: SIN VALOR, ENVASE: PAQUETE</t>
  </si>
  <si>
    <t>2.1.1-511.6</t>
  </si>
  <si>
    <t>TE; SAQUITOS 2G P/CAJA: 100, PRESENTACION: EN SAQUITOS ENSOBRADOS, PESO: SIN VALOR, TIPO: SIN VALOR</t>
  </si>
  <si>
    <t>Tilo, Boldo, Clasico??</t>
  </si>
  <si>
    <t>2.1.1-6546.4</t>
  </si>
  <si>
    <t>VERDURAS Y HORTALIZAS; VARIEDAD: TOMATE PERITA, ESTADO: TRITURADO, PRESENTACION: BOTELLA, PESO: 950 GR</t>
  </si>
  <si>
    <t>2.1.1-519.23</t>
  </si>
  <si>
    <t>VINAGRES; TIPO: MANZANA, PRESENTACION: ENVASE X 1 L, MATERIAL ENVASE: PLASTICO 1 (PET)</t>
  </si>
  <si>
    <t>2.1.1-454.28</t>
  </si>
  <si>
    <t>YERBAS; PALO: SIN, PESO: 1 Kg, MATERIAL ENVASE : PAPEL, CERTIFICADO FORESTAL (GFS): CON, ELEM. TRANSPORTE: SIN, MATERIAL ELEM. TRANSPORTE: SIN, LIBRE DE GLUTEN: SI</t>
  </si>
  <si>
    <t>2.1.1-6547.70</t>
  </si>
  <si>
    <t>LEGUMBRES; VARIEDAD: LENTEJA, ESTADO: SECO, PRESENTACION: BOLSA, PESO: 1 KG</t>
  </si>
  <si>
    <t xml:space="preserve">PAQUETE </t>
  </si>
  <si>
    <t>LEGUMBRES; VARIEDAD: LENTEJA, ESTADO: SECO, PRESENTACION: BOLSA, PESO: 1 Kg</t>
  </si>
  <si>
    <t>2.1.1-2616.9</t>
  </si>
  <si>
    <t>MAIZ; TIPO: BLANCO PISADO, PRESENTACION: ENVASE X 500 GR, FORMA DE PRESENTACION: SIN VALOR</t>
  </si>
  <si>
    <t>2.1.1-6547.56</t>
  </si>
  <si>
    <t>LEGUMBRES; VARIEDAD: POROTO BLANCO OVAL, ESTADO: SECO, PRESENTACION: BOLSA, PESO: 500 GR</t>
  </si>
  <si>
    <t>2.1.1-489.181</t>
  </si>
  <si>
    <t>ESPECIAS; TIPO: NUEZ MOSCADA, PRESENTACION: ENVASE X 25 GR, LIBRE DE GLUTEN: SI</t>
  </si>
  <si>
    <t>UNIDAD</t>
  </si>
  <si>
    <t>Plazos y lugares de entrega</t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</si>
  <si>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NUTRICION Y DIETOTERAPIA -HOSPITAL INT. DE NIÑOS EVA PERON – AV. VIRGEN DEL VALLE N° 1050-CATAMARCA DE 8:00 A 12:00HS., DEBIENDO CORRER LOS GASTOS DE FLETES, ACARREO, CARGA, DESCARGA Y SEGURO A CARGO DEL ADJUDICATARIO.</t>
    </r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</si>
  <si>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Cuarenta y cinco (45) Días habiles.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</si>
  <si>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Se realizara la entrega de lo adjudicado en dos (2) partes del cincuenta por ciento (50%) de cada item en cada una; la primera sera dentro de los diez (10) días habiles de notificada la Orden de Compra y la segunda a los Treinta y Cinco (35) dias posteriores de recepcionada la primera entrega.</t>
    </r>
  </si>
  <si>
    <r>
      <t xml:space="preserve">Condicion de Calidad:  </t>
    </r>
    <r>
      <rPr>
        <sz val="10"/>
        <rFont val="Times New Roman"/>
        <family val="1"/>
      </rPr>
      <t>Todos los productos deberán presentar en el envase el rótulo bien legible y responder a toda la información establecida en el Código Alimentario Argentino – Cap. V: “Normas para la Rotulación y Publicidad de Alimentos”. ANEXO Reglamento Técnico MERCOSUR para la rotulación de Alimentos Envasados – Inciso 5: Información Obligatoria: Denominación de venta del alimento; Lista de ingredientes; Contenidos netos; Identificación del origen; Nombre o razón social y dirección del importador, para alimentos importados; Identificación del lote; Fecha de duración mínima; Instrucción de uso del alimento, cuando corresponda.
La fecha de vencimiento de los productos adjudicados debe ser mayor a 6 (seis) meses al momento de ser bajada en el lugar de entrega y responder a las marcas y características presentadas en la oferta de la presente contratación. Además, debe presentarse el envase en óptimas condiciones de higiene e integridad del mismo.</t>
    </r>
  </si>
  <si>
    <r>
      <t>Forma de Pago</t>
    </r>
    <r>
      <rPr>
        <sz val="10"/>
        <rFont val="Times New Roman"/>
        <family val="1"/>
      </rPr>
      <t>: se realizara pago parciales, debiendo presentar la factura correspondiente a cada entrega prevista.</t>
    </r>
  </si>
  <si>
    <t>DE CORRESPONDER PRESENTAR LA SIGUIENTE DOCUMENTACION:
• Registro de habilitación bromatológica del establecimiento.
• Habilitación bromatológica del vehículo que transporta los alimentos.
• Certificado de desinfección.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</si>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</sst>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 €&quot;_-;\-* #,##0.00&quot; €&quot;_-;_-* \-??&quot; €&quot;_-;_-@_-"/>
    <numFmt numFmtId="165" formatCode="&quot;$&quot;#,##0.00"/>
    <numFmt numFmtId="166" formatCode="[$$-2C0A]\ #,##0.00;[$$-2C0A]&quot; -&quot;#,##0.00"/>
  </numFmts>
  <fonts count="17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9"/>
      <color rgb="FFFF0000"/>
      <name val="Times New Roman"/>
      <family val="1"/>
    </font>
    <font>
      <b/>
      <sz val="9"/>
      <name val="Times New Roman"/>
      <family val="1"/>
    </font>
    <font>
      <b/>
      <sz val="10"/>
      <color rgb="FFFF0000"/>
      <name val="Arial"/>
      <family val="2"/>
    </font>
    <font>
      <sz val="11"/>
      <name val="Calibri"/>
      <family val="2"/>
    </font>
    <font>
      <u/>
      <sz val="10"/>
      <name val="Times New Roman"/>
      <family val="1"/>
    </font>
    <font>
      <b/>
      <u/>
      <sz val="10"/>
      <name val="Times New Roman"/>
      <family val="1"/>
    </font>
    <font>
      <b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</fills>
  <borders count="2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164" fontId="1" fillId="0" borderId="0" applyBorder="0" applyProtection="0"/>
    <xf numFmtId="0" fontId="1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 inden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165" fontId="8" fillId="0" borderId="7" xfId="1" applyNumberFormat="1" applyFont="1" applyBorder="1" applyAlignment="1" applyProtection="1">
      <alignment horizontal="right" vertical="center" wrapText="1"/>
    </xf>
    <xf numFmtId="166" fontId="8" fillId="0" borderId="8" xfId="1" applyNumberFormat="1" applyFont="1" applyBorder="1" applyAlignment="1" applyProtection="1">
      <alignment horizontal="right" vertical="center" wrapText="1"/>
    </xf>
    <xf numFmtId="166" fontId="8" fillId="2" borderId="5" xfId="1" applyNumberFormat="1" applyFont="1" applyFill="1" applyBorder="1" applyAlignment="1" applyProtection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165" fontId="8" fillId="0" borderId="10" xfId="1" applyNumberFormat="1" applyFont="1" applyBorder="1" applyAlignment="1" applyProtection="1">
      <alignment horizontal="right" vertical="center" wrapText="1"/>
    </xf>
    <xf numFmtId="166" fontId="8" fillId="0" borderId="11" xfId="1" applyNumberFormat="1" applyFont="1" applyBorder="1" applyAlignment="1" applyProtection="1">
      <alignment horizontal="right" vertical="center" wrapText="1"/>
    </xf>
    <xf numFmtId="0" fontId="10" fillId="0" borderId="10" xfId="0" applyFont="1" applyBorder="1" applyAlignment="1">
      <alignment horizontal="center" vertical="center" wrapText="1"/>
    </xf>
    <xf numFmtId="166" fontId="11" fillId="2" borderId="5" xfId="1" applyNumberFormat="1" applyFont="1" applyFill="1" applyBorder="1" applyAlignment="1" applyProtection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1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12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4" fillId="0" borderId="17" xfId="0" applyFont="1" applyBorder="1" applyAlignment="1">
      <alignment horizontal="left" indent="3"/>
    </xf>
    <xf numFmtId="0" fontId="2" fillId="0" borderId="18" xfId="0" applyFont="1" applyBorder="1"/>
    <xf numFmtId="0" fontId="2" fillId="0" borderId="19" xfId="0" applyFont="1" applyBorder="1"/>
    <xf numFmtId="0" fontId="2" fillId="0" borderId="20" xfId="2" applyFont="1" applyBorder="1" applyAlignment="1">
      <alignment horizontal="left" wrapText="1"/>
    </xf>
    <xf numFmtId="0" fontId="2" fillId="0" borderId="0" xfId="2" applyFont="1" applyAlignment="1">
      <alignment horizontal="left" wrapText="1"/>
    </xf>
    <xf numFmtId="0" fontId="2" fillId="0" borderId="21" xfId="2" applyFont="1" applyBorder="1" applyAlignment="1">
      <alignment horizontal="left" wrapText="1"/>
    </xf>
    <xf numFmtId="0" fontId="16" fillId="0" borderId="0" xfId="0" applyFont="1" applyAlignment="1">
      <alignment horizontal="left" vertical="center"/>
    </xf>
    <xf numFmtId="0" fontId="15" fillId="0" borderId="20" xfId="2" applyFont="1" applyBorder="1" applyAlignment="1">
      <alignment horizontal="left" wrapText="1"/>
    </xf>
    <xf numFmtId="0" fontId="15" fillId="0" borderId="0" xfId="2" applyFont="1" applyAlignment="1">
      <alignment horizontal="left" wrapText="1"/>
    </xf>
    <xf numFmtId="0" fontId="15" fillId="0" borderId="21" xfId="2" applyFont="1" applyBorder="1" applyAlignment="1">
      <alignment horizontal="left" wrapText="1"/>
    </xf>
    <xf numFmtId="0" fontId="2" fillId="0" borderId="22" xfId="2" applyFont="1" applyBorder="1" applyAlignment="1">
      <alignment horizontal="left" wrapText="1"/>
    </xf>
    <xf numFmtId="0" fontId="2" fillId="0" borderId="23" xfId="2" applyFont="1" applyBorder="1" applyAlignment="1">
      <alignment horizontal="left" wrapText="1"/>
    </xf>
    <xf numFmtId="0" fontId="2" fillId="0" borderId="24" xfId="2" applyFont="1" applyBorder="1" applyAlignment="1">
      <alignment horizontal="left" wrapText="1"/>
    </xf>
    <xf numFmtId="0" fontId="2" fillId="0" borderId="0" xfId="0" applyFont="1" applyAlignment="1">
      <alignment wrapText="1"/>
    </xf>
  </cellXfs>
  <cellStyles count="3">
    <cellStyle name="Moneda" xfId="1" builtinId="4"/>
    <cellStyle name="Normal" xfId="0" builtinId="0"/>
    <cellStyle name="Normal 2" xfId="2" xr:uid="{3ECD5021-0379-4842-BA38-AE7F17071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191A-8F74-4230-8F96-4C4962570B3B}">
  <sheetPr>
    <pageSetUpPr fitToPage="1"/>
  </sheetPr>
  <dimension ref="A2:L61"/>
  <sheetViews>
    <sheetView tabSelected="1" zoomScale="115" zoomScaleNormal="115" workbookViewId="0">
      <selection activeCell="H12" sqref="H12"/>
    </sheetView>
  </sheetViews>
  <sheetFormatPr baseColWidth="10" defaultColWidth="11" defaultRowHeight="12.75" x14ac:dyDescent="0.2"/>
  <cols>
    <col min="1" max="1" width="4.5703125" style="1" customWidth="1"/>
    <col min="2" max="2" width="14" style="1" customWidth="1"/>
    <col min="3" max="3" width="13.28515625" style="1" customWidth="1"/>
    <col min="4" max="4" width="8.42578125" style="1" customWidth="1"/>
    <col min="5" max="5" width="92.7109375" style="1" customWidth="1"/>
    <col min="6" max="6" width="11" style="1"/>
    <col min="7" max="7" width="10.42578125" style="1" bestFit="1" customWidth="1"/>
    <col min="8" max="8" width="13.85546875" style="1" customWidth="1"/>
    <col min="9" max="9" width="18.5703125" style="1" customWidth="1"/>
    <col min="10" max="10" width="20.85546875" style="3" customWidth="1"/>
    <col min="11" max="11" width="255.7109375" style="1" hidden="1" customWidth="1"/>
    <col min="12" max="12" width="12.42578125" style="1" hidden="1" customWidth="1"/>
    <col min="13" max="16384" width="11" style="1"/>
  </cols>
  <sheetData>
    <row r="2" spans="1:12" ht="27" x14ac:dyDescent="0.35">
      <c r="B2" s="2" t="s">
        <v>0</v>
      </c>
      <c r="C2" s="2"/>
      <c r="D2" s="2"/>
      <c r="E2" s="2"/>
      <c r="F2" s="2"/>
      <c r="G2" s="2"/>
      <c r="H2" s="2"/>
    </row>
    <row r="3" spans="1:12" ht="12" customHeight="1" x14ac:dyDescent="0.2"/>
    <row r="4" spans="1:12" ht="18" customHeight="1" x14ac:dyDescent="0.25">
      <c r="A4" s="4" t="s">
        <v>1</v>
      </c>
      <c r="B4" s="4"/>
      <c r="C4" s="5" t="s">
        <v>2</v>
      </c>
      <c r="D4" s="5"/>
      <c r="E4" s="5"/>
      <c r="F4" s="6"/>
      <c r="G4" s="7"/>
      <c r="H4" s="6"/>
    </row>
    <row r="5" spans="1:12" ht="18" customHeight="1" x14ac:dyDescent="0.25">
      <c r="A5" s="4" t="s">
        <v>3</v>
      </c>
      <c r="B5" s="4"/>
      <c r="C5" s="5" t="s">
        <v>4</v>
      </c>
      <c r="D5" s="5"/>
      <c r="E5" s="5"/>
      <c r="F5" s="6"/>
      <c r="G5" s="7"/>
      <c r="H5" s="6"/>
    </row>
    <row r="6" spans="1:12" ht="16.5" customHeight="1" x14ac:dyDescent="0.25">
      <c r="A6" s="4" t="s">
        <v>5</v>
      </c>
      <c r="B6" s="4"/>
      <c r="C6" s="8">
        <v>2022</v>
      </c>
      <c r="D6" s="9"/>
      <c r="E6" s="9"/>
      <c r="F6" s="6"/>
      <c r="G6" s="7"/>
      <c r="H6" s="6"/>
    </row>
    <row r="7" spans="1:12" ht="16.5" customHeight="1" x14ac:dyDescent="0.25">
      <c r="A7" s="4" t="s">
        <v>6</v>
      </c>
      <c r="B7" s="4"/>
      <c r="C7" s="8">
        <v>1</v>
      </c>
      <c r="D7" s="9"/>
      <c r="E7" s="9"/>
      <c r="F7" s="6"/>
      <c r="G7" s="7"/>
      <c r="H7" s="6"/>
    </row>
    <row r="8" spans="1:12" ht="13.5" thickBot="1" x14ac:dyDescent="0.25">
      <c r="B8" s="6"/>
      <c r="C8" s="7"/>
      <c r="D8" s="6"/>
      <c r="E8" s="6"/>
      <c r="F8" s="6"/>
      <c r="G8" s="7"/>
      <c r="H8" s="6"/>
    </row>
    <row r="9" spans="1:12" ht="39.75" thickTop="1" thickBot="1" x14ac:dyDescent="0.25">
      <c r="A9" s="10" t="s">
        <v>7</v>
      </c>
      <c r="B9" s="10" t="s">
        <v>8</v>
      </c>
      <c r="C9" s="10" t="s">
        <v>9</v>
      </c>
      <c r="D9" s="11" t="s">
        <v>10</v>
      </c>
      <c r="E9" s="12" t="s">
        <v>11</v>
      </c>
      <c r="F9" s="13" t="s">
        <v>12</v>
      </c>
      <c r="G9" s="10" t="s">
        <v>13</v>
      </c>
      <c r="H9" s="10" t="s">
        <v>14</v>
      </c>
      <c r="I9" s="11" t="s">
        <v>15</v>
      </c>
      <c r="J9" s="14"/>
    </row>
    <row r="10" spans="1:12" ht="39.75" thickTop="1" thickBot="1" x14ac:dyDescent="0.25">
      <c r="A10" s="15">
        <v>1</v>
      </c>
      <c r="B10" s="16" t="s">
        <v>16</v>
      </c>
      <c r="C10" s="16" t="s">
        <v>17</v>
      </c>
      <c r="D10" s="17" t="str">
        <f>LEFT(B10,5)</f>
        <v>2.1.1</v>
      </c>
      <c r="E10" s="18" t="s">
        <v>18</v>
      </c>
      <c r="F10" s="17" t="s">
        <v>19</v>
      </c>
      <c r="G10" s="17">
        <v>550</v>
      </c>
      <c r="H10" s="19">
        <v>350</v>
      </c>
      <c r="I10" s="20">
        <f>H10*G10</f>
        <v>192500</v>
      </c>
      <c r="J10" s="21"/>
      <c r="K10" t="s">
        <v>18</v>
      </c>
      <c r="L10" s="1" t="b">
        <f>E10=K10</f>
        <v>1</v>
      </c>
    </row>
    <row r="11" spans="1:12" ht="39" thickBot="1" x14ac:dyDescent="0.25">
      <c r="A11" s="22">
        <v>2</v>
      </c>
      <c r="B11" s="23" t="s">
        <v>20</v>
      </c>
      <c r="C11" s="24" t="s">
        <v>17</v>
      </c>
      <c r="D11" s="24" t="s">
        <v>21</v>
      </c>
      <c r="E11" s="25" t="s">
        <v>22</v>
      </c>
      <c r="F11" s="24" t="s">
        <v>23</v>
      </c>
      <c r="G11" s="24">
        <v>500</v>
      </c>
      <c r="H11" s="26">
        <v>400</v>
      </c>
      <c r="I11" s="27">
        <f t="shared" ref="I11:I47" si="0">G11*H11</f>
        <v>200000</v>
      </c>
      <c r="J11" s="21"/>
      <c r="K11" t="s">
        <v>22</v>
      </c>
      <c r="L11" s="1" t="b">
        <f t="shared" ref="L11:L47" si="1">E11=K11</f>
        <v>1</v>
      </c>
    </row>
    <row r="12" spans="1:12" ht="26.25" thickBot="1" x14ac:dyDescent="0.25">
      <c r="A12" s="22">
        <v>3</v>
      </c>
      <c r="B12" s="23" t="s">
        <v>24</v>
      </c>
      <c r="C12" s="24" t="s">
        <v>17</v>
      </c>
      <c r="D12" s="24" t="s">
        <v>21</v>
      </c>
      <c r="E12" s="25" t="s">
        <v>25</v>
      </c>
      <c r="F12" s="24" t="s">
        <v>26</v>
      </c>
      <c r="G12" s="24">
        <v>250</v>
      </c>
      <c r="H12" s="26">
        <v>250</v>
      </c>
      <c r="I12" s="27">
        <f t="shared" si="0"/>
        <v>62500</v>
      </c>
      <c r="J12" s="21"/>
      <c r="K12" t="s">
        <v>25</v>
      </c>
      <c r="L12" s="1" t="b">
        <f t="shared" si="1"/>
        <v>1</v>
      </c>
    </row>
    <row r="13" spans="1:12" ht="21" customHeight="1" thickBot="1" x14ac:dyDescent="0.25">
      <c r="A13" s="22">
        <v>4</v>
      </c>
      <c r="B13" s="23" t="s">
        <v>27</v>
      </c>
      <c r="C13" s="24" t="s">
        <v>17</v>
      </c>
      <c r="D13" s="24" t="s">
        <v>21</v>
      </c>
      <c r="E13" s="25" t="s">
        <v>28</v>
      </c>
      <c r="F13" s="28" t="s">
        <v>29</v>
      </c>
      <c r="G13" s="24">
        <v>80</v>
      </c>
      <c r="H13" s="26">
        <v>400</v>
      </c>
      <c r="I13" s="27">
        <f t="shared" si="0"/>
        <v>32000</v>
      </c>
      <c r="J13" s="29" t="s">
        <v>30</v>
      </c>
      <c r="K13" t="s">
        <v>28</v>
      </c>
      <c r="L13" s="1" t="b">
        <f t="shared" si="1"/>
        <v>1</v>
      </c>
    </row>
    <row r="14" spans="1:12" ht="26.25" thickBot="1" x14ac:dyDescent="0.25">
      <c r="A14" s="22">
        <v>5</v>
      </c>
      <c r="B14" s="23" t="s">
        <v>31</v>
      </c>
      <c r="C14" s="24" t="s">
        <v>17</v>
      </c>
      <c r="D14" s="24" t="s">
        <v>21</v>
      </c>
      <c r="E14" s="25" t="s">
        <v>32</v>
      </c>
      <c r="F14" s="24" t="s">
        <v>26</v>
      </c>
      <c r="G14" s="24">
        <v>200</v>
      </c>
      <c r="H14" s="26">
        <v>50</v>
      </c>
      <c r="I14" s="27">
        <f t="shared" si="0"/>
        <v>10000</v>
      </c>
      <c r="J14" s="21"/>
      <c r="K14" t="s">
        <v>32</v>
      </c>
      <c r="L14" s="1" t="b">
        <f t="shared" si="1"/>
        <v>1</v>
      </c>
    </row>
    <row r="15" spans="1:12" ht="39" thickBot="1" x14ac:dyDescent="0.25">
      <c r="A15" s="22">
        <v>6</v>
      </c>
      <c r="B15" s="23" t="s">
        <v>33</v>
      </c>
      <c r="C15" s="24" t="s">
        <v>17</v>
      </c>
      <c r="D15" s="24" t="s">
        <v>21</v>
      </c>
      <c r="E15" s="25" t="s">
        <v>34</v>
      </c>
      <c r="F15" s="24" t="s">
        <v>23</v>
      </c>
      <c r="G15" s="24">
        <v>800</v>
      </c>
      <c r="H15" s="26">
        <v>130</v>
      </c>
      <c r="I15" s="27">
        <f t="shared" si="0"/>
        <v>104000</v>
      </c>
      <c r="J15" s="21"/>
      <c r="K15" t="s">
        <v>34</v>
      </c>
      <c r="L15" s="1" t="b">
        <f t="shared" si="1"/>
        <v>1</v>
      </c>
    </row>
    <row r="16" spans="1:12" ht="39" thickBot="1" x14ac:dyDescent="0.25">
      <c r="A16" s="22">
        <v>7</v>
      </c>
      <c r="B16" s="23" t="s">
        <v>35</v>
      </c>
      <c r="C16" s="24" t="s">
        <v>17</v>
      </c>
      <c r="D16" s="24" t="s">
        <v>21</v>
      </c>
      <c r="E16" s="25" t="s">
        <v>36</v>
      </c>
      <c r="F16" s="24" t="s">
        <v>26</v>
      </c>
      <c r="G16" s="24">
        <v>160</v>
      </c>
      <c r="H16" s="26">
        <v>120</v>
      </c>
      <c r="I16" s="27">
        <f t="shared" si="0"/>
        <v>19200</v>
      </c>
      <c r="J16" s="21"/>
      <c r="K16" t="s">
        <v>36</v>
      </c>
      <c r="L16" s="1" t="b">
        <f t="shared" si="1"/>
        <v>1</v>
      </c>
    </row>
    <row r="17" spans="1:12" ht="26.25" thickBot="1" x14ac:dyDescent="0.25">
      <c r="A17" s="22">
        <v>8</v>
      </c>
      <c r="B17" s="23" t="s">
        <v>37</v>
      </c>
      <c r="C17" s="24" t="s">
        <v>17</v>
      </c>
      <c r="D17" s="24" t="s">
        <v>21</v>
      </c>
      <c r="E17" s="25" t="s">
        <v>38</v>
      </c>
      <c r="F17" s="24" t="s">
        <v>26</v>
      </c>
      <c r="G17" s="24">
        <v>200</v>
      </c>
      <c r="H17" s="26">
        <v>150</v>
      </c>
      <c r="I17" s="27">
        <f t="shared" si="0"/>
        <v>30000</v>
      </c>
      <c r="J17" s="21"/>
      <c r="K17" t="s">
        <v>38</v>
      </c>
      <c r="L17" s="1" t="b">
        <f t="shared" si="1"/>
        <v>1</v>
      </c>
    </row>
    <row r="18" spans="1:12" ht="26.25" thickBot="1" x14ac:dyDescent="0.25">
      <c r="A18" s="22">
        <v>9</v>
      </c>
      <c r="B18" s="30" t="s">
        <v>39</v>
      </c>
      <c r="C18" s="24" t="s">
        <v>17</v>
      </c>
      <c r="D18" s="24" t="s">
        <v>21</v>
      </c>
      <c r="E18" s="31" t="s">
        <v>40</v>
      </c>
      <c r="F18" s="24" t="s">
        <v>26</v>
      </c>
      <c r="G18" s="24">
        <v>200</v>
      </c>
      <c r="H18" s="26">
        <v>380</v>
      </c>
      <c r="I18" s="27">
        <f t="shared" si="0"/>
        <v>76000</v>
      </c>
      <c r="J18" s="21"/>
      <c r="K18" t="s">
        <v>40</v>
      </c>
      <c r="L18" s="1" t="b">
        <f t="shared" si="1"/>
        <v>1</v>
      </c>
    </row>
    <row r="19" spans="1:12" ht="27" customHeight="1" thickBot="1" x14ac:dyDescent="0.25">
      <c r="A19" s="22">
        <v>10</v>
      </c>
      <c r="B19" s="30" t="s">
        <v>41</v>
      </c>
      <c r="C19" s="24" t="s">
        <v>17</v>
      </c>
      <c r="D19" s="24" t="s">
        <v>21</v>
      </c>
      <c r="E19" s="32" t="s">
        <v>42</v>
      </c>
      <c r="F19" s="24" t="s">
        <v>26</v>
      </c>
      <c r="G19" s="24">
        <v>6</v>
      </c>
      <c r="H19" s="26">
        <v>750</v>
      </c>
      <c r="I19" s="27">
        <f t="shared" si="0"/>
        <v>4500</v>
      </c>
      <c r="J19" s="29" t="s">
        <v>43</v>
      </c>
      <c r="K19" t="s">
        <v>42</v>
      </c>
      <c r="L19" s="1" t="b">
        <f t="shared" si="1"/>
        <v>1</v>
      </c>
    </row>
    <row r="20" spans="1:12" ht="16.5" customHeight="1" thickBot="1" x14ac:dyDescent="0.25">
      <c r="A20" s="22">
        <v>11</v>
      </c>
      <c r="B20" s="30" t="s">
        <v>44</v>
      </c>
      <c r="C20" s="24" t="s">
        <v>17</v>
      </c>
      <c r="D20" s="24" t="s">
        <v>21</v>
      </c>
      <c r="E20" s="31" t="s">
        <v>45</v>
      </c>
      <c r="F20" s="24" t="s">
        <v>26</v>
      </c>
      <c r="G20" s="24">
        <v>6</v>
      </c>
      <c r="H20" s="26">
        <v>1800</v>
      </c>
      <c r="I20" s="27">
        <f t="shared" si="0"/>
        <v>10800</v>
      </c>
      <c r="J20" s="21"/>
      <c r="K20" t="s">
        <v>45</v>
      </c>
      <c r="L20" s="1" t="b">
        <f t="shared" si="1"/>
        <v>1</v>
      </c>
    </row>
    <row r="21" spans="1:12" ht="26.25" thickBot="1" x14ac:dyDescent="0.25">
      <c r="A21" s="22">
        <v>12</v>
      </c>
      <c r="B21" s="30" t="s">
        <v>46</v>
      </c>
      <c r="C21" s="24" t="s">
        <v>17</v>
      </c>
      <c r="D21" s="24" t="s">
        <v>21</v>
      </c>
      <c r="E21" s="31" t="s">
        <v>47</v>
      </c>
      <c r="F21" s="24" t="s">
        <v>26</v>
      </c>
      <c r="G21" s="24">
        <v>200</v>
      </c>
      <c r="H21" s="26">
        <v>420</v>
      </c>
      <c r="I21" s="27">
        <f t="shared" si="0"/>
        <v>84000</v>
      </c>
      <c r="J21" s="21"/>
      <c r="K21" t="s">
        <v>47</v>
      </c>
      <c r="L21" s="1" t="b">
        <f t="shared" si="1"/>
        <v>1</v>
      </c>
    </row>
    <row r="22" spans="1:12" ht="21" customHeight="1" thickBot="1" x14ac:dyDescent="0.25">
      <c r="A22" s="22">
        <v>13</v>
      </c>
      <c r="B22" s="23" t="s">
        <v>48</v>
      </c>
      <c r="C22" s="24" t="s">
        <v>17</v>
      </c>
      <c r="D22" s="24" t="s">
        <v>21</v>
      </c>
      <c r="E22" s="25" t="s">
        <v>49</v>
      </c>
      <c r="F22" s="24" t="s">
        <v>19</v>
      </c>
      <c r="G22" s="24">
        <v>24</v>
      </c>
      <c r="H22" s="26">
        <v>320</v>
      </c>
      <c r="I22" s="27">
        <f t="shared" si="0"/>
        <v>7680</v>
      </c>
      <c r="J22" s="21"/>
      <c r="K22" t="s">
        <v>49</v>
      </c>
      <c r="L22" s="1" t="b">
        <f t="shared" si="1"/>
        <v>1</v>
      </c>
    </row>
    <row r="23" spans="1:12" ht="39" thickBot="1" x14ac:dyDescent="0.25">
      <c r="A23" s="22">
        <v>14</v>
      </c>
      <c r="B23" s="23" t="s">
        <v>50</v>
      </c>
      <c r="C23" s="24" t="s">
        <v>17</v>
      </c>
      <c r="D23" s="24" t="s">
        <v>21</v>
      </c>
      <c r="E23" s="25" t="s">
        <v>51</v>
      </c>
      <c r="F23" s="24" t="s">
        <v>23</v>
      </c>
      <c r="G23" s="24">
        <v>400</v>
      </c>
      <c r="H23" s="26">
        <v>90</v>
      </c>
      <c r="I23" s="27">
        <f t="shared" si="0"/>
        <v>36000</v>
      </c>
      <c r="J23" s="21"/>
      <c r="K23" t="s">
        <v>51</v>
      </c>
      <c r="L23" s="1" t="b">
        <f t="shared" si="1"/>
        <v>1</v>
      </c>
    </row>
    <row r="24" spans="1:12" ht="39" thickBot="1" x14ac:dyDescent="0.25">
      <c r="A24" s="22">
        <v>15</v>
      </c>
      <c r="B24" s="23" t="s">
        <v>52</v>
      </c>
      <c r="C24" s="24" t="s">
        <v>17</v>
      </c>
      <c r="D24" s="24" t="s">
        <v>21</v>
      </c>
      <c r="E24" s="25" t="s">
        <v>53</v>
      </c>
      <c r="F24" s="24" t="s">
        <v>23</v>
      </c>
      <c r="G24" s="24">
        <v>400</v>
      </c>
      <c r="H24" s="26">
        <v>90</v>
      </c>
      <c r="I24" s="27">
        <f t="shared" si="0"/>
        <v>36000</v>
      </c>
      <c r="J24" s="21"/>
      <c r="K24" t="s">
        <v>53</v>
      </c>
      <c r="L24" s="1" t="b">
        <f t="shared" si="1"/>
        <v>1</v>
      </c>
    </row>
    <row r="25" spans="1:12" ht="39" thickBot="1" x14ac:dyDescent="0.25">
      <c r="A25" s="22">
        <v>16</v>
      </c>
      <c r="B25" s="23" t="s">
        <v>54</v>
      </c>
      <c r="C25" s="24" t="s">
        <v>17</v>
      </c>
      <c r="D25" s="24" t="s">
        <v>21</v>
      </c>
      <c r="E25" s="25" t="s">
        <v>55</v>
      </c>
      <c r="F25" s="24" t="s">
        <v>23</v>
      </c>
      <c r="G25" s="24">
        <v>400</v>
      </c>
      <c r="H25" s="26">
        <v>90</v>
      </c>
      <c r="I25" s="27">
        <f t="shared" si="0"/>
        <v>36000</v>
      </c>
      <c r="J25" s="21"/>
      <c r="K25" t="s">
        <v>55</v>
      </c>
      <c r="L25" s="1" t="b">
        <f t="shared" si="1"/>
        <v>1</v>
      </c>
    </row>
    <row r="26" spans="1:12" ht="26.25" thickBot="1" x14ac:dyDescent="0.25">
      <c r="A26" s="22">
        <v>17</v>
      </c>
      <c r="B26" s="23" t="s">
        <v>56</v>
      </c>
      <c r="C26" s="24" t="s">
        <v>17</v>
      </c>
      <c r="D26" s="24" t="s">
        <v>21</v>
      </c>
      <c r="E26" s="25" t="s">
        <v>57</v>
      </c>
      <c r="F26" s="24" t="s">
        <v>23</v>
      </c>
      <c r="G26" s="24">
        <v>6</v>
      </c>
      <c r="H26" s="26">
        <v>99</v>
      </c>
      <c r="I26" s="27">
        <f t="shared" si="0"/>
        <v>594</v>
      </c>
      <c r="J26" s="21"/>
      <c r="K26" t="s">
        <v>57</v>
      </c>
      <c r="L26" s="1" t="b">
        <f t="shared" si="1"/>
        <v>1</v>
      </c>
    </row>
    <row r="27" spans="1:12" ht="21.75" customHeight="1" thickBot="1" x14ac:dyDescent="0.25">
      <c r="A27" s="22">
        <v>18</v>
      </c>
      <c r="B27" s="30" t="s">
        <v>58</v>
      </c>
      <c r="C27" s="24" t="s">
        <v>17</v>
      </c>
      <c r="D27" s="24" t="s">
        <v>21</v>
      </c>
      <c r="E27" s="31" t="s">
        <v>59</v>
      </c>
      <c r="F27" s="24" t="s">
        <v>23</v>
      </c>
      <c r="G27" s="24">
        <v>180</v>
      </c>
      <c r="H27" s="26">
        <v>90</v>
      </c>
      <c r="I27" s="27">
        <f t="shared" si="0"/>
        <v>16200</v>
      </c>
      <c r="J27" s="21"/>
      <c r="K27" t="s">
        <v>59</v>
      </c>
      <c r="L27" s="1" t="b">
        <f t="shared" si="1"/>
        <v>1</v>
      </c>
    </row>
    <row r="28" spans="1:12" ht="39" thickBot="1" x14ac:dyDescent="0.25">
      <c r="A28" s="22">
        <v>19</v>
      </c>
      <c r="B28" s="23" t="s">
        <v>60</v>
      </c>
      <c r="C28" s="24" t="s">
        <v>17</v>
      </c>
      <c r="D28" s="24" t="s">
        <v>21</v>
      </c>
      <c r="E28" s="25" t="s">
        <v>61</v>
      </c>
      <c r="F28" s="24" t="s">
        <v>23</v>
      </c>
      <c r="G28" s="24">
        <v>100</v>
      </c>
      <c r="H28" s="26">
        <v>139</v>
      </c>
      <c r="I28" s="27">
        <f t="shared" si="0"/>
        <v>13900</v>
      </c>
      <c r="J28" s="21"/>
      <c r="K28" t="s">
        <v>61</v>
      </c>
      <c r="L28" s="1" t="b">
        <f t="shared" si="1"/>
        <v>1</v>
      </c>
    </row>
    <row r="29" spans="1:12" ht="39" thickBot="1" x14ac:dyDescent="0.25">
      <c r="A29" s="22">
        <v>20</v>
      </c>
      <c r="B29" s="30" t="s">
        <v>62</v>
      </c>
      <c r="C29" s="24" t="s">
        <v>17</v>
      </c>
      <c r="D29" s="24" t="s">
        <v>21</v>
      </c>
      <c r="E29" s="31" t="s">
        <v>63</v>
      </c>
      <c r="F29" s="24" t="s">
        <v>23</v>
      </c>
      <c r="G29" s="24">
        <v>100</v>
      </c>
      <c r="H29" s="26">
        <v>99</v>
      </c>
      <c r="I29" s="27">
        <f t="shared" si="0"/>
        <v>9900</v>
      </c>
      <c r="J29" s="21"/>
      <c r="K29" t="s">
        <v>63</v>
      </c>
      <c r="L29" s="1" t="b">
        <f t="shared" si="1"/>
        <v>1</v>
      </c>
    </row>
    <row r="30" spans="1:12" ht="39" thickBot="1" x14ac:dyDescent="0.25">
      <c r="A30" s="22">
        <v>21</v>
      </c>
      <c r="B30" s="23" t="s">
        <v>64</v>
      </c>
      <c r="C30" s="24" t="s">
        <v>17</v>
      </c>
      <c r="D30" s="24" t="s">
        <v>21</v>
      </c>
      <c r="E30" s="25" t="s">
        <v>65</v>
      </c>
      <c r="F30" s="24" t="s">
        <v>23</v>
      </c>
      <c r="G30" s="24">
        <v>100</v>
      </c>
      <c r="H30" s="26">
        <v>68</v>
      </c>
      <c r="I30" s="27">
        <f t="shared" si="0"/>
        <v>6800</v>
      </c>
      <c r="J30" s="21"/>
      <c r="K30" t="s">
        <v>65</v>
      </c>
      <c r="L30" s="1" t="b">
        <f t="shared" si="1"/>
        <v>1</v>
      </c>
    </row>
    <row r="31" spans="1:12" ht="16.5" customHeight="1" thickBot="1" x14ac:dyDescent="0.25">
      <c r="A31" s="22">
        <v>22</v>
      </c>
      <c r="B31" s="23" t="s">
        <v>66</v>
      </c>
      <c r="C31" s="24" t="s">
        <v>17</v>
      </c>
      <c r="D31" s="24" t="s">
        <v>21</v>
      </c>
      <c r="E31" s="25" t="s">
        <v>67</v>
      </c>
      <c r="F31" s="24" t="s">
        <v>23</v>
      </c>
      <c r="G31" s="24">
        <v>70</v>
      </c>
      <c r="H31" s="26">
        <v>96</v>
      </c>
      <c r="I31" s="27">
        <f t="shared" si="0"/>
        <v>6720</v>
      </c>
      <c r="J31" s="21"/>
      <c r="K31" t="s">
        <v>67</v>
      </c>
      <c r="L31" s="1" t="b">
        <f t="shared" si="1"/>
        <v>1</v>
      </c>
    </row>
    <row r="32" spans="1:12" ht="39" thickBot="1" x14ac:dyDescent="0.25">
      <c r="A32" s="22">
        <v>23</v>
      </c>
      <c r="B32" s="23" t="s">
        <v>68</v>
      </c>
      <c r="C32" s="24" t="s">
        <v>17</v>
      </c>
      <c r="D32" s="24" t="s">
        <v>21</v>
      </c>
      <c r="E32" s="25" t="s">
        <v>69</v>
      </c>
      <c r="F32" s="24" t="s">
        <v>29</v>
      </c>
      <c r="G32" s="24">
        <v>400</v>
      </c>
      <c r="H32" s="26">
        <v>1100</v>
      </c>
      <c r="I32" s="27">
        <f t="shared" si="0"/>
        <v>440000</v>
      </c>
      <c r="J32" s="21"/>
      <c r="K32" t="s">
        <v>69</v>
      </c>
      <c r="L32" s="1" t="b">
        <f t="shared" si="1"/>
        <v>1</v>
      </c>
    </row>
    <row r="33" spans="1:12" ht="15.75" thickBot="1" x14ac:dyDescent="0.25">
      <c r="A33" s="22">
        <v>24</v>
      </c>
      <c r="B33" s="30" t="s">
        <v>70</v>
      </c>
      <c r="C33" s="24" t="s">
        <v>17</v>
      </c>
      <c r="D33" s="24" t="s">
        <v>21</v>
      </c>
      <c r="E33" s="33" t="s">
        <v>71</v>
      </c>
      <c r="F33" s="24" t="s">
        <v>72</v>
      </c>
      <c r="G33" s="24">
        <v>150</v>
      </c>
      <c r="H33" s="26">
        <v>80</v>
      </c>
      <c r="I33" s="27">
        <f t="shared" si="0"/>
        <v>12000</v>
      </c>
      <c r="J33" s="21"/>
      <c r="K33" t="s">
        <v>71</v>
      </c>
      <c r="L33" s="1" t="b">
        <f t="shared" si="1"/>
        <v>1</v>
      </c>
    </row>
    <row r="34" spans="1:12" ht="17.25" customHeight="1" thickBot="1" x14ac:dyDescent="0.25">
      <c r="A34" s="22">
        <v>25</v>
      </c>
      <c r="B34" s="23" t="s">
        <v>73</v>
      </c>
      <c r="C34" s="24" t="s">
        <v>17</v>
      </c>
      <c r="D34" s="24" t="s">
        <v>21</v>
      </c>
      <c r="E34" s="25" t="s">
        <v>74</v>
      </c>
      <c r="F34" s="24" t="s">
        <v>30</v>
      </c>
      <c r="G34" s="24">
        <v>14</v>
      </c>
      <c r="H34" s="26">
        <v>2200</v>
      </c>
      <c r="I34" s="27">
        <f t="shared" si="0"/>
        <v>30800</v>
      </c>
      <c r="J34" s="21"/>
      <c r="K34" t="s">
        <v>74</v>
      </c>
      <c r="L34" s="1" t="b">
        <f t="shared" si="1"/>
        <v>1</v>
      </c>
    </row>
    <row r="35" spans="1:12" ht="18" customHeight="1" thickBot="1" x14ac:dyDescent="0.25">
      <c r="A35" s="22">
        <v>26</v>
      </c>
      <c r="B35" s="23" t="s">
        <v>75</v>
      </c>
      <c r="C35" s="24" t="s">
        <v>17</v>
      </c>
      <c r="D35" s="24" t="s">
        <v>21</v>
      </c>
      <c r="E35" s="25" t="s">
        <v>76</v>
      </c>
      <c r="F35" s="24" t="s">
        <v>72</v>
      </c>
      <c r="G35" s="24">
        <v>150</v>
      </c>
      <c r="H35" s="26">
        <v>140</v>
      </c>
      <c r="I35" s="27">
        <f t="shared" si="0"/>
        <v>21000</v>
      </c>
      <c r="J35" s="21"/>
      <c r="K35" t="s">
        <v>76</v>
      </c>
      <c r="L35" s="1" t="b">
        <f t="shared" si="1"/>
        <v>1</v>
      </c>
    </row>
    <row r="36" spans="1:12" ht="26.25" thickBot="1" x14ac:dyDescent="0.25">
      <c r="A36" s="22">
        <v>27</v>
      </c>
      <c r="B36" s="30" t="s">
        <v>77</v>
      </c>
      <c r="C36" s="24" t="s">
        <v>17</v>
      </c>
      <c r="D36" s="24" t="s">
        <v>21</v>
      </c>
      <c r="E36" s="31" t="s">
        <v>78</v>
      </c>
      <c r="F36" s="24" t="s">
        <v>29</v>
      </c>
      <c r="G36" s="24">
        <v>180</v>
      </c>
      <c r="H36" s="26">
        <v>80</v>
      </c>
      <c r="I36" s="27">
        <f t="shared" si="0"/>
        <v>14400</v>
      </c>
      <c r="J36" s="21"/>
      <c r="K36" t="s">
        <v>78</v>
      </c>
      <c r="L36" s="1" t="b">
        <f t="shared" si="1"/>
        <v>1</v>
      </c>
    </row>
    <row r="37" spans="1:12" ht="20.25" customHeight="1" thickBot="1" x14ac:dyDescent="0.25">
      <c r="A37" s="22">
        <v>28</v>
      </c>
      <c r="B37" s="30" t="s">
        <v>79</v>
      </c>
      <c r="C37" s="24" t="s">
        <v>17</v>
      </c>
      <c r="D37" s="24" t="s">
        <v>21</v>
      </c>
      <c r="E37" s="31" t="s">
        <v>80</v>
      </c>
      <c r="F37" s="24" t="s">
        <v>23</v>
      </c>
      <c r="G37" s="24">
        <v>10</v>
      </c>
      <c r="H37" s="26">
        <v>1950</v>
      </c>
      <c r="I37" s="27">
        <f t="shared" si="0"/>
        <v>19500</v>
      </c>
      <c r="J37" s="21"/>
      <c r="K37" t="s">
        <v>80</v>
      </c>
      <c r="L37" s="1" t="b">
        <f t="shared" si="1"/>
        <v>1</v>
      </c>
    </row>
    <row r="38" spans="1:12" ht="18.75" customHeight="1" thickBot="1" x14ac:dyDescent="0.25">
      <c r="A38" s="22">
        <v>29</v>
      </c>
      <c r="B38" s="23" t="s">
        <v>81</v>
      </c>
      <c r="C38" s="24" t="s">
        <v>17</v>
      </c>
      <c r="D38" s="24" t="s">
        <v>21</v>
      </c>
      <c r="E38" s="25" t="s">
        <v>82</v>
      </c>
      <c r="F38" s="24" t="s">
        <v>29</v>
      </c>
      <c r="G38" s="24">
        <v>350</v>
      </c>
      <c r="H38" s="26">
        <v>80</v>
      </c>
      <c r="I38" s="27">
        <f t="shared" si="0"/>
        <v>28000</v>
      </c>
      <c r="J38" s="21"/>
      <c r="K38" t="s">
        <v>82</v>
      </c>
      <c r="L38" s="1" t="b">
        <f t="shared" si="1"/>
        <v>1</v>
      </c>
    </row>
    <row r="39" spans="1:12" ht="16.5" customHeight="1" thickBot="1" x14ac:dyDescent="0.25">
      <c r="A39" s="22">
        <v>30</v>
      </c>
      <c r="B39" s="23" t="s">
        <v>83</v>
      </c>
      <c r="C39" s="24" t="s">
        <v>17</v>
      </c>
      <c r="D39" s="24" t="s">
        <v>21</v>
      </c>
      <c r="E39" s="25" t="s">
        <v>84</v>
      </c>
      <c r="F39" s="24" t="s">
        <v>23</v>
      </c>
      <c r="G39" s="24">
        <v>350</v>
      </c>
      <c r="H39" s="26">
        <v>90</v>
      </c>
      <c r="I39" s="27">
        <f t="shared" si="0"/>
        <v>31500</v>
      </c>
      <c r="J39" s="21"/>
      <c r="K39" t="s">
        <v>84</v>
      </c>
      <c r="L39" s="1" t="b">
        <f t="shared" si="1"/>
        <v>1</v>
      </c>
    </row>
    <row r="40" spans="1:12" ht="26.25" thickBot="1" x14ac:dyDescent="0.25">
      <c r="A40" s="22">
        <v>31</v>
      </c>
      <c r="B40" s="30" t="s">
        <v>85</v>
      </c>
      <c r="C40" s="24" t="s">
        <v>17</v>
      </c>
      <c r="D40" s="24" t="s">
        <v>21</v>
      </c>
      <c r="E40" s="32" t="s">
        <v>86</v>
      </c>
      <c r="F40" s="24" t="s">
        <v>29</v>
      </c>
      <c r="G40" s="24">
        <v>100</v>
      </c>
      <c r="H40" s="26">
        <v>220</v>
      </c>
      <c r="I40" s="27">
        <f t="shared" si="0"/>
        <v>22000</v>
      </c>
      <c r="J40" s="29" t="s">
        <v>87</v>
      </c>
      <c r="K40" t="s">
        <v>86</v>
      </c>
      <c r="L40" s="1" t="b">
        <f t="shared" si="1"/>
        <v>1</v>
      </c>
    </row>
    <row r="41" spans="1:12" ht="26.25" thickBot="1" x14ac:dyDescent="0.25">
      <c r="A41" s="22">
        <v>32</v>
      </c>
      <c r="B41" s="30" t="s">
        <v>88</v>
      </c>
      <c r="C41" s="24" t="s">
        <v>17</v>
      </c>
      <c r="D41" s="24" t="s">
        <v>21</v>
      </c>
      <c r="E41" s="31" t="s">
        <v>89</v>
      </c>
      <c r="F41" s="24" t="s">
        <v>19</v>
      </c>
      <c r="G41" s="24">
        <v>250</v>
      </c>
      <c r="H41" s="26">
        <v>290</v>
      </c>
      <c r="I41" s="27">
        <f t="shared" si="0"/>
        <v>72500</v>
      </c>
      <c r="J41" s="21"/>
      <c r="K41" t="s">
        <v>89</v>
      </c>
      <c r="L41" s="1" t="b">
        <f t="shared" si="1"/>
        <v>1</v>
      </c>
    </row>
    <row r="42" spans="1:12" ht="26.25" thickBot="1" x14ac:dyDescent="0.25">
      <c r="A42" s="22">
        <v>33</v>
      </c>
      <c r="B42" s="23" t="s">
        <v>90</v>
      </c>
      <c r="C42" s="24" t="s">
        <v>17</v>
      </c>
      <c r="D42" s="24" t="s">
        <v>21</v>
      </c>
      <c r="E42" s="25" t="s">
        <v>91</v>
      </c>
      <c r="F42" s="24" t="s">
        <v>19</v>
      </c>
      <c r="G42" s="24">
        <v>25</v>
      </c>
      <c r="H42" s="26">
        <v>110</v>
      </c>
      <c r="I42" s="27">
        <f t="shared" si="0"/>
        <v>2750</v>
      </c>
      <c r="J42" s="21"/>
      <c r="K42" t="s">
        <v>91</v>
      </c>
      <c r="L42" s="1" t="b">
        <f t="shared" si="1"/>
        <v>1</v>
      </c>
    </row>
    <row r="43" spans="1:12" ht="27.75" customHeight="1" thickBot="1" x14ac:dyDescent="0.25">
      <c r="A43" s="22">
        <v>34</v>
      </c>
      <c r="B43" s="23" t="s">
        <v>92</v>
      </c>
      <c r="C43" s="24" t="s">
        <v>17</v>
      </c>
      <c r="D43" s="24" t="s">
        <v>21</v>
      </c>
      <c r="E43" s="25" t="s">
        <v>93</v>
      </c>
      <c r="F43" s="24" t="s">
        <v>23</v>
      </c>
      <c r="G43" s="24">
        <v>150</v>
      </c>
      <c r="H43" s="26">
        <v>700</v>
      </c>
      <c r="I43" s="27">
        <f t="shared" si="0"/>
        <v>105000</v>
      </c>
      <c r="J43" s="21"/>
      <c r="K43" t="s">
        <v>93</v>
      </c>
      <c r="L43" s="1" t="b">
        <f t="shared" si="1"/>
        <v>1</v>
      </c>
    </row>
    <row r="44" spans="1:12" ht="27.75" customHeight="1" thickBot="1" x14ac:dyDescent="0.25">
      <c r="A44" s="22">
        <v>35</v>
      </c>
      <c r="B44" s="34" t="s">
        <v>94</v>
      </c>
      <c r="C44" s="35" t="s">
        <v>17</v>
      </c>
      <c r="D44" s="35" t="s">
        <v>21</v>
      </c>
      <c r="E44" s="36" t="s">
        <v>95</v>
      </c>
      <c r="F44" s="37" t="s">
        <v>96</v>
      </c>
      <c r="G44" s="38">
        <v>150</v>
      </c>
      <c r="H44" s="26">
        <v>250</v>
      </c>
      <c r="I44" s="27">
        <f t="shared" si="0"/>
        <v>37500</v>
      </c>
      <c r="J44" s="29" t="s">
        <v>30</v>
      </c>
      <c r="K44" t="s">
        <v>97</v>
      </c>
      <c r="L44" s="1" t="b">
        <f t="shared" si="1"/>
        <v>1</v>
      </c>
    </row>
    <row r="45" spans="1:12" ht="27.75" customHeight="1" thickBot="1" x14ac:dyDescent="0.25">
      <c r="A45" s="22">
        <v>36</v>
      </c>
      <c r="B45" s="39" t="s">
        <v>98</v>
      </c>
      <c r="C45" s="23" t="s">
        <v>17</v>
      </c>
      <c r="D45" s="23" t="s">
        <v>21</v>
      </c>
      <c r="E45" s="40" t="s">
        <v>99</v>
      </c>
      <c r="F45" s="41" t="s">
        <v>96</v>
      </c>
      <c r="G45" s="42">
        <v>150</v>
      </c>
      <c r="H45" s="26">
        <v>160</v>
      </c>
      <c r="I45" s="27">
        <f t="shared" si="0"/>
        <v>24000</v>
      </c>
      <c r="J45" s="21"/>
      <c r="K45" t="s">
        <v>99</v>
      </c>
      <c r="L45" s="1" t="b">
        <f t="shared" si="1"/>
        <v>1</v>
      </c>
    </row>
    <row r="46" spans="1:12" ht="27.75" customHeight="1" thickBot="1" x14ac:dyDescent="0.25">
      <c r="A46" s="22">
        <v>37</v>
      </c>
      <c r="B46" s="43" t="s">
        <v>100</v>
      </c>
      <c r="C46" s="44" t="s">
        <v>17</v>
      </c>
      <c r="D46" s="44" t="s">
        <v>21</v>
      </c>
      <c r="E46" s="45" t="s">
        <v>101</v>
      </c>
      <c r="F46" s="46" t="s">
        <v>96</v>
      </c>
      <c r="G46" s="38">
        <v>150</v>
      </c>
      <c r="H46" s="26">
        <v>250</v>
      </c>
      <c r="I46" s="27">
        <f t="shared" si="0"/>
        <v>37500</v>
      </c>
      <c r="J46" s="29" t="s">
        <v>30</v>
      </c>
      <c r="K46" t="s">
        <v>101</v>
      </c>
      <c r="L46" s="1" t="b">
        <f t="shared" si="1"/>
        <v>1</v>
      </c>
    </row>
    <row r="47" spans="1:12" ht="27.75" customHeight="1" thickBot="1" x14ac:dyDescent="0.25">
      <c r="A47" s="22">
        <v>38</v>
      </c>
      <c r="B47" s="47" t="s">
        <v>102</v>
      </c>
      <c r="C47" s="23" t="s">
        <v>17</v>
      </c>
      <c r="D47" s="23" t="s">
        <v>21</v>
      </c>
      <c r="E47" s="40" t="s">
        <v>103</v>
      </c>
      <c r="F47" s="41" t="s">
        <v>104</v>
      </c>
      <c r="G47" s="42">
        <v>100</v>
      </c>
      <c r="H47" s="26">
        <v>110</v>
      </c>
      <c r="I47" s="27">
        <f t="shared" si="0"/>
        <v>11000</v>
      </c>
      <c r="J47" s="21"/>
      <c r="K47" t="s">
        <v>103</v>
      </c>
      <c r="L47" s="1" t="b">
        <f t="shared" si="1"/>
        <v>1</v>
      </c>
    </row>
    <row r="48" spans="1:12" ht="13.5" thickBot="1" x14ac:dyDescent="0.25"/>
    <row r="49" spans="2:6" x14ac:dyDescent="0.2">
      <c r="B49" s="48" t="s">
        <v>105</v>
      </c>
      <c r="C49" s="49"/>
      <c r="D49" s="49"/>
      <c r="E49" s="50"/>
    </row>
    <row r="50" spans="2:6" x14ac:dyDescent="0.2">
      <c r="B50" s="51" t="s">
        <v>106</v>
      </c>
      <c r="C50" s="52"/>
      <c r="D50" s="52"/>
      <c r="E50" s="53"/>
    </row>
    <row r="51" spans="2:6" ht="26.25" customHeight="1" x14ac:dyDescent="0.2">
      <c r="B51" s="51"/>
      <c r="C51" s="52"/>
      <c r="D51" s="52"/>
      <c r="E51" s="53"/>
    </row>
    <row r="52" spans="2:6" x14ac:dyDescent="0.2">
      <c r="B52" s="51" t="s">
        <v>107</v>
      </c>
      <c r="C52" s="52"/>
      <c r="D52" s="52"/>
      <c r="E52" s="53"/>
    </row>
    <row r="53" spans="2:6" ht="30.75" customHeight="1" x14ac:dyDescent="0.2">
      <c r="B53" s="51" t="s">
        <v>108</v>
      </c>
      <c r="C53" s="52"/>
      <c r="D53" s="52"/>
      <c r="E53" s="53"/>
      <c r="F53" s="54"/>
    </row>
    <row r="54" spans="2:6" ht="96.75" customHeight="1" x14ac:dyDescent="0.2">
      <c r="B54" s="55" t="s">
        <v>109</v>
      </c>
      <c r="C54" s="56"/>
      <c r="D54" s="56"/>
      <c r="E54" s="57"/>
    </row>
    <row r="55" spans="2:6" ht="18.75" customHeight="1" x14ac:dyDescent="0.2">
      <c r="B55" s="55" t="s">
        <v>110</v>
      </c>
      <c r="C55" s="56"/>
      <c r="D55" s="56"/>
      <c r="E55" s="57"/>
    </row>
    <row r="56" spans="2:6" ht="55.5" customHeight="1" thickBot="1" x14ac:dyDescent="0.25">
      <c r="B56" s="58" t="s">
        <v>111</v>
      </c>
      <c r="C56" s="59"/>
      <c r="D56" s="59"/>
      <c r="E56" s="60"/>
    </row>
    <row r="59" spans="2:6" x14ac:dyDescent="0.2">
      <c r="E59" s="1" t="s">
        <v>112</v>
      </c>
    </row>
    <row r="60" spans="2:6" x14ac:dyDescent="0.2">
      <c r="B60" s="61"/>
    </row>
    <row r="61" spans="2:6" x14ac:dyDescent="0.2">
      <c r="E61" s="1" t="s">
        <v>112</v>
      </c>
    </row>
  </sheetData>
  <mergeCells count="13">
    <mergeCell ref="B56:E56"/>
    <mergeCell ref="A7:B7"/>
    <mergeCell ref="B50:E51"/>
    <mergeCell ref="B52:E52"/>
    <mergeCell ref="B53:E53"/>
    <mergeCell ref="B54:E54"/>
    <mergeCell ref="B55:E55"/>
    <mergeCell ref="B2:H2"/>
    <mergeCell ref="A4:B4"/>
    <mergeCell ref="C4:E4"/>
    <mergeCell ref="A5:B5"/>
    <mergeCell ref="C5:E5"/>
    <mergeCell ref="A6:B6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COMPRAR</dc:creator>
  <cp:lastModifiedBy>COMPRAR</cp:lastModifiedBy>
  <dcterms:created xsi:type="dcterms:W3CDTF">2022-02-25T14:50:40Z</dcterms:created>
  <dcterms:modified xsi:type="dcterms:W3CDTF">2022-02-25T14:51:06Z</dcterms:modified>
</cp:coreProperties>
</file>