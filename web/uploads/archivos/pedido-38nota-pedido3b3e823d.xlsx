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609068-CAT-DPPR#MHP\"/>
    </mc:Choice>
  </mc:AlternateContent>
  <xr:revisionPtr revIDLastSave="0" documentId="8_{64678144-1FF1-4CF8-A5B5-7AFBE98C9B0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NEP" sheetId="1" r:id="rId1"/>
  </sheets>
  <definedNames>
    <definedName name="_xlnm._FilterDatabase" localSheetId="0" hidden="1">HNEP!$A$4:$K$33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3" i="1" l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J39" i="1" l="1"/>
  <c r="I35" i="1"/>
  <c r="J38" i="1"/>
  <c r="J41" i="1" s="1"/>
</calcChain>
</file>

<file path=xl/sharedStrings.xml><?xml version="1.0" encoding="utf-8"?>
<sst xmlns="http://schemas.openxmlformats.org/spreadsheetml/2006/main" count="148" uniqueCount="96">
  <si>
    <t>ID</t>
  </si>
  <si>
    <t>CODIGO ITEM</t>
  </si>
  <si>
    <t>RUBRO DE COMPRA</t>
  </si>
  <si>
    <t xml:space="preserve">I.P.P. </t>
  </si>
  <si>
    <t>UNIDAD DE MEDIDA</t>
  </si>
  <si>
    <t>CANTIDAD</t>
  </si>
  <si>
    <t>PRECIO UNITARIO ESTIMADO</t>
  </si>
  <si>
    <t xml:space="preserve">IMPORTE TOTAL ESTIMADO </t>
  </si>
  <si>
    <t>2.9.1-6952.22</t>
  </si>
  <si>
    <t>ELEMENTOS DE LIMPIEZA</t>
  </si>
  <si>
    <t>CEPILLOS; TIPO: ESCOBA REFORZADA, MATERIAL: PAJA</t>
  </si>
  <si>
    <t>UNIDAD</t>
  </si>
  <si>
    <t>2.3.4-783.84</t>
  </si>
  <si>
    <t>ROLLO</t>
  </si>
  <si>
    <t>2.9.5-1908.29</t>
  </si>
  <si>
    <t>PROD. MEDICO/FARMACEUTICOS/LAB</t>
  </si>
  <si>
    <t>2.9.1-6951.60</t>
  </si>
  <si>
    <t>BIDON</t>
  </si>
  <si>
    <t>2.9.1-6951.41</t>
  </si>
  <si>
    <t>2.9.1-6961.6</t>
  </si>
  <si>
    <t>2.9.1-6951.214</t>
  </si>
  <si>
    <t>2.9.1-6956.27</t>
  </si>
  <si>
    <t>2.9.1-4784.9</t>
  </si>
  <si>
    <t>2.9.1-2030.1</t>
  </si>
  <si>
    <t>PAQUETE</t>
  </si>
  <si>
    <t>2.9.1-1164.26</t>
  </si>
  <si>
    <t>ESPONJAS; USO: LIMPIEZA, ADITAMENTO: SIN VALOR, FORMA: RECTANGULAR, COLOR: AMARILLO, MATERIAL: FIBRA, LARGO X ANCHO X ESP: 9,7 X 5,7 X 3,5 Cm</t>
  </si>
  <si>
    <t>2.9.1-761.2</t>
  </si>
  <si>
    <t>PAR</t>
  </si>
  <si>
    <t>2.9.1-761.1</t>
  </si>
  <si>
    <t>2.9.1-683.5</t>
  </si>
  <si>
    <t>SECADORES DE GOMA; LARGO: 40 Cm, COLOR: NEGRO</t>
  </si>
  <si>
    <t>2.9.1-6956.50</t>
  </si>
  <si>
    <t>CAJA</t>
  </si>
  <si>
    <t>2.9.1-2661.51</t>
  </si>
  <si>
    <t>2.9.1-6951.27</t>
  </si>
  <si>
    <t>BOTELLA</t>
  </si>
  <si>
    <t>2.3.4-786.91</t>
  </si>
  <si>
    <t>2.3.4-783.40</t>
  </si>
  <si>
    <t>2.9.1-714.5</t>
  </si>
  <si>
    <t>FRANELAS; DIMENSION: 40 X 50 Cm</t>
  </si>
  <si>
    <t>2.9.1-678.1</t>
  </si>
  <si>
    <t>TRAPOS REJILLA; DIMENSION: 38 X 42 Cm, MATERIAL: PURO ALGODON, COLOR: BLANCO</t>
  </si>
  <si>
    <t>2.9.1-713.12</t>
  </si>
  <si>
    <t>TRAPOS DE PISO; DIMENSION: 50 X 55 Cm, COLOR: GRIS</t>
  </si>
  <si>
    <t>2.9.1-646.58</t>
  </si>
  <si>
    <t>2.9.1-6951.174</t>
  </si>
  <si>
    <t>TARRO</t>
  </si>
  <si>
    <t>2.3.4-783.90</t>
  </si>
  <si>
    <t>2.9.1-646.16</t>
  </si>
  <si>
    <t>2.9.1-646.26</t>
  </si>
  <si>
    <t>2.9.1-544.30</t>
  </si>
  <si>
    <t>Para la adquisición de Articulos de Limpieza destinados al Servicio de Economato del Hospital Interzonal de Niños Eva Peron, para el normal funcionamiento del organismo.</t>
  </si>
  <si>
    <t>OBJETO:</t>
  </si>
  <si>
    <t>Especificidades Item N° 5:</t>
  </si>
  <si>
    <t>Especificidades Item N° 20:</t>
  </si>
  <si>
    <t>Especificidades Item N° 4:</t>
  </si>
  <si>
    <t>Especificidades Item N° 6:</t>
  </si>
  <si>
    <t>Especificidades Item N° 9:</t>
  </si>
  <si>
    <t>Especificidades Item N° 8:</t>
  </si>
  <si>
    <t>Especificidades Item N° 18:</t>
  </si>
  <si>
    <t>EN AEROSOL</t>
  </si>
  <si>
    <t>NO SE ACEPTARAN PRODUCTOS PARA DILUIR, SOLO SE TENDRAN EN CUENTA PRODUCTOS PREPARADOS LISTOS PARA SU USO EN SU CORRESPONDIENTE ENVASE.</t>
  </si>
  <si>
    <r>
      <t xml:space="preserve">TOALLAS DE PAPEL; MATERIAL: FIBRA CELULOSICA, GRAMAJE: 20 GR/M2, DIMENSION: 25 Cm, PRESENTACION: </t>
    </r>
    <r>
      <rPr>
        <b/>
        <sz val="11"/>
        <color theme="1"/>
        <rFont val="Calibri"/>
        <family val="2"/>
        <scheme val="minor"/>
      </rPr>
      <t>2 X BOBINA X 400 M</t>
    </r>
  </si>
  <si>
    <r>
      <t xml:space="preserve">CEPILLOS P/LABORATORIO; TIPO: P/LIMPIEZA BIBERONES, MATERIAL: CERDA , TAMAÑO: </t>
    </r>
    <r>
      <rPr>
        <b/>
        <sz val="11"/>
        <color theme="1"/>
        <rFont val="Calibri"/>
        <family val="2"/>
        <scheme val="minor"/>
      </rPr>
      <t>DIAM. 8</t>
    </r>
  </si>
  <si>
    <r>
      <t>LIMPIADORES; TIPO: DESENGRASANTE, PRESENTACION:</t>
    </r>
    <r>
      <rPr>
        <b/>
        <sz val="11"/>
        <color theme="1"/>
        <rFont val="Calibri"/>
        <family val="2"/>
        <scheme val="minor"/>
      </rPr>
      <t xml:space="preserve"> ENVASE X 5 L</t>
    </r>
  </si>
  <si>
    <r>
      <t xml:space="preserve">LIMPIADORES; TIPO: DESINFECTANTE P/PISO, PRESENTACION: </t>
    </r>
    <r>
      <rPr>
        <b/>
        <sz val="11"/>
        <color theme="1"/>
        <rFont val="Calibri"/>
        <family val="2"/>
        <scheme val="minor"/>
      </rPr>
      <t>ENVASE X 5 L</t>
    </r>
  </si>
  <si>
    <r>
      <t xml:space="preserve">ELEM. P/LIMPIEZA SANITARIOS; TIPO: PASTILLA DESODORANTE, PRESENTACION: </t>
    </r>
    <r>
      <rPr>
        <b/>
        <sz val="11"/>
        <color theme="1"/>
        <rFont val="Calibri"/>
        <family val="2"/>
        <scheme val="minor"/>
      </rPr>
      <t>UNIDAD</t>
    </r>
  </si>
  <si>
    <r>
      <t xml:space="preserve">LIMPIADORES; TIPO: DETERGENTE NEUTRO, PRESENTACION: </t>
    </r>
    <r>
      <rPr>
        <b/>
        <sz val="11"/>
        <color theme="1"/>
        <rFont val="Calibri"/>
        <family val="2"/>
        <scheme val="minor"/>
      </rPr>
      <t>ENVASE X 5 L</t>
    </r>
  </si>
  <si>
    <r>
      <t xml:space="preserve">ARTICULOS DE TOCADOR; TIPO: JABON DE TOCADOR LIQUIDO, PRESENTACION: </t>
    </r>
    <r>
      <rPr>
        <b/>
        <sz val="11"/>
        <color theme="1"/>
        <rFont val="Calibri"/>
        <family val="2"/>
        <scheme val="minor"/>
      </rPr>
      <t>ENVASE X 5 L</t>
    </r>
  </si>
  <si>
    <r>
      <t xml:space="preserve">LIMPIADORES MULTIUSO; TIPO: CREMOSO, PRESENTACION: </t>
    </r>
    <r>
      <rPr>
        <b/>
        <sz val="11"/>
        <color theme="1"/>
        <rFont val="Calibri"/>
        <family val="2"/>
        <scheme val="minor"/>
      </rPr>
      <t>ENVASE X 750 GR</t>
    </r>
  </si>
  <si>
    <r>
      <t xml:space="preserve">GUANTES P/LIMPIEZA; MATERIAL: LATEX, TAMAÑO: </t>
    </r>
    <r>
      <rPr>
        <b/>
        <sz val="11"/>
        <color theme="1"/>
        <rFont val="Calibri"/>
        <family val="2"/>
        <scheme val="minor"/>
      </rPr>
      <t>MEDIANO</t>
    </r>
  </si>
  <si>
    <r>
      <t xml:space="preserve">GUANTES P/LIMPIEZA; TAMAÑO: </t>
    </r>
    <r>
      <rPr>
        <b/>
        <sz val="11"/>
        <color theme="1"/>
        <rFont val="Calibri"/>
        <family val="2"/>
        <scheme val="minor"/>
      </rPr>
      <t>GRANDE</t>
    </r>
    <r>
      <rPr>
        <sz val="11"/>
        <color theme="1"/>
        <rFont val="Calibri"/>
        <family val="2"/>
        <scheme val="minor"/>
      </rPr>
      <t>, MATERIAL: LATEX</t>
    </r>
  </si>
  <si>
    <r>
      <t xml:space="preserve">ARTICULOS DE TOCADOR; TIPO: JABON DE TOCADOR, PRESENTACION: </t>
    </r>
    <r>
      <rPr>
        <b/>
        <sz val="11"/>
        <color theme="1"/>
        <rFont val="Calibri"/>
        <family val="2"/>
        <scheme val="minor"/>
      </rPr>
      <t>CAJA X 60 X 90 GR</t>
    </r>
  </si>
  <si>
    <r>
      <rPr>
        <b/>
        <sz val="11"/>
        <color theme="1"/>
        <rFont val="Calibri"/>
        <family val="2"/>
        <scheme val="minor"/>
      </rPr>
      <t>TACHOS DE RESIDUOS</t>
    </r>
    <r>
      <rPr>
        <sz val="11"/>
        <color theme="1"/>
        <rFont val="Calibri"/>
        <family val="2"/>
        <scheme val="minor"/>
      </rPr>
      <t xml:space="preserve">; MATERIAL: PLASTICO, SECCION: RECTANGULAR, DIMENSION: </t>
    </r>
    <r>
      <rPr>
        <b/>
        <sz val="11"/>
        <color theme="1"/>
        <rFont val="Calibri"/>
        <family val="2"/>
        <scheme val="minor"/>
      </rPr>
      <t>50 L</t>
    </r>
    <r>
      <rPr>
        <sz val="11"/>
        <color theme="1"/>
        <rFont val="Calibri"/>
        <family val="2"/>
        <scheme val="minor"/>
      </rPr>
      <t>, TAPA: CON, TIPO DE PLASTICO: POLIESTIRENO</t>
    </r>
  </si>
  <si>
    <r>
      <t xml:space="preserve">LIMPIADORES; TIPO: LAVANDINA, PRESENTACION: </t>
    </r>
    <r>
      <rPr>
        <b/>
        <sz val="11"/>
        <color theme="1"/>
        <rFont val="Calibri"/>
        <family val="2"/>
        <scheme val="minor"/>
      </rPr>
      <t>ENVASE X 2 L</t>
    </r>
  </si>
  <si>
    <r>
      <t xml:space="preserve">PAPEL HIGIENICO; PRESENTACION: </t>
    </r>
    <r>
      <rPr>
        <b/>
        <sz val="11"/>
        <color theme="1"/>
        <rFont val="Calibri"/>
        <family val="2"/>
        <scheme val="minor"/>
      </rPr>
      <t>CAJA X 20</t>
    </r>
    <r>
      <rPr>
        <sz val="11"/>
        <color theme="1"/>
        <rFont val="Calibri"/>
        <family val="2"/>
        <scheme val="minor"/>
      </rPr>
      <t xml:space="preserve">, TIPO: DOBLE, ANCHO: 10 Cm, LARGO: 80 M, TIPO DE HOJA: </t>
    </r>
    <r>
      <rPr>
        <b/>
        <sz val="11"/>
        <color theme="1"/>
        <rFont val="Calibri"/>
        <family val="2"/>
        <scheme val="minor"/>
      </rPr>
      <t>DOBLE</t>
    </r>
  </si>
  <si>
    <r>
      <t xml:space="preserve">TOALLAS DE PAPEL; MATERIAL: PAPEL, GRAMAJE: SIN VALOR, DIMENSION: </t>
    </r>
    <r>
      <rPr>
        <b/>
        <sz val="11"/>
        <color theme="1"/>
        <rFont val="Calibri"/>
        <family val="2"/>
        <scheme val="minor"/>
      </rPr>
      <t>22,8 (ANCHO) Cm</t>
    </r>
    <r>
      <rPr>
        <sz val="11"/>
        <color theme="1"/>
        <rFont val="Calibri"/>
        <family val="2"/>
        <scheme val="minor"/>
      </rPr>
      <t xml:space="preserve">, COLOR: BLANCO, PRESENTACION: </t>
    </r>
    <r>
      <rPr>
        <b/>
        <sz val="11"/>
        <color theme="1"/>
        <rFont val="Calibri"/>
        <family val="2"/>
        <scheme val="minor"/>
      </rPr>
      <t>ROLLO</t>
    </r>
  </si>
  <si>
    <r>
      <t xml:space="preserve">BOLSAS DE RESIDUOS; DIMENSION: 80 X 110 Cm, PRESENTACION: </t>
    </r>
    <r>
      <rPr>
        <b/>
        <sz val="11"/>
        <color theme="1"/>
        <rFont val="Calibri"/>
        <family val="2"/>
        <scheme val="minor"/>
      </rPr>
      <t>POR UNIDAD</t>
    </r>
    <r>
      <rPr>
        <sz val="11"/>
        <color theme="1"/>
        <rFont val="Calibri"/>
        <family val="2"/>
        <scheme val="minor"/>
      </rPr>
      <t>, ESPESOR: 30 Mn, COLOR: TRANSPARENTE</t>
    </r>
  </si>
  <si>
    <r>
      <t xml:space="preserve">LIMPIADORES; TIPO: POLVO LIMPIADOR, PRESENTACION: </t>
    </r>
    <r>
      <rPr>
        <b/>
        <sz val="11"/>
        <color theme="1"/>
        <rFont val="Calibri"/>
        <family val="2"/>
        <scheme val="minor"/>
      </rPr>
      <t>ENVASE X 400 GR</t>
    </r>
  </si>
  <si>
    <r>
      <t xml:space="preserve">TOALLAS DE PAPEL; MATERIAL: PAPEL ABSORBENTE, GRAMAJE: 35 GR, DIMENSION: 20 X 24 Cm, PRESENTACION: </t>
    </r>
    <r>
      <rPr>
        <b/>
        <sz val="11"/>
        <color theme="1"/>
        <rFont val="Calibri"/>
        <family val="2"/>
        <scheme val="minor"/>
      </rPr>
      <t>ENVASE X 2500 HOJAS</t>
    </r>
  </si>
  <si>
    <r>
      <t xml:space="preserve">BOLSAS DE RESIDUOS; COLOR: OBSCURO, ESPESOR: 30 Mn, </t>
    </r>
    <r>
      <rPr>
        <b/>
        <sz val="11"/>
        <color theme="1"/>
        <rFont val="Calibri"/>
        <family val="2"/>
        <scheme val="minor"/>
      </rPr>
      <t>DIMENSION: 45 X 60 Cm</t>
    </r>
    <r>
      <rPr>
        <sz val="11"/>
        <color theme="1"/>
        <rFont val="Calibri"/>
        <family val="2"/>
        <scheme val="minor"/>
      </rPr>
      <t>, PRESENTACION: SIN VALOR</t>
    </r>
  </si>
  <si>
    <r>
      <t xml:space="preserve">BOLSAS DE RESIDUOS; </t>
    </r>
    <r>
      <rPr>
        <b/>
        <sz val="11"/>
        <color theme="1"/>
        <rFont val="Calibri"/>
        <family val="2"/>
        <scheme val="minor"/>
      </rPr>
      <t>DIMENSION: 60 X 90 Cm</t>
    </r>
    <r>
      <rPr>
        <sz val="11"/>
        <color theme="1"/>
        <rFont val="Calibri"/>
        <family val="2"/>
        <scheme val="minor"/>
      </rPr>
      <t>, ESPESOR: 30 mm, PRESENTACION: POR UNIDAD, COLOR: OSCURO</t>
    </r>
  </si>
  <si>
    <r>
      <t xml:space="preserve">DESODORANTES DE AMBIENTE; FORMATO: AEROSOL, CONTENIDO: </t>
    </r>
    <r>
      <rPr>
        <b/>
        <sz val="11"/>
        <color theme="1"/>
        <rFont val="Calibri"/>
        <family val="2"/>
        <scheme val="minor"/>
      </rPr>
      <t>440 CM3</t>
    </r>
    <r>
      <rPr>
        <sz val="11"/>
        <color theme="1"/>
        <rFont val="Calibri"/>
        <family val="2"/>
        <scheme val="minor"/>
      </rPr>
      <t xml:space="preserve">, PRESENTACION: </t>
    </r>
    <r>
      <rPr>
        <b/>
        <sz val="11"/>
        <color theme="1"/>
        <rFont val="Calibri"/>
        <family val="2"/>
        <scheme val="minor"/>
      </rPr>
      <t>UNIDAD</t>
    </r>
    <r>
      <rPr>
        <sz val="11"/>
        <color theme="1"/>
        <rFont val="Calibri"/>
        <family val="2"/>
        <scheme val="minor"/>
      </rPr>
      <t>, FRAGANCIA: NEUTRALIZADOR, LIBRE DE CFC: SI</t>
    </r>
  </si>
  <si>
    <t>Control IPP</t>
  </si>
  <si>
    <r>
      <rPr>
        <b/>
        <u/>
        <sz val="11"/>
        <color theme="1"/>
        <rFont val="Calibri"/>
        <family val="2"/>
        <scheme val="minor"/>
      </rPr>
      <t>Lugar de Entrega:</t>
    </r>
    <r>
      <rPr>
        <sz val="11"/>
        <color theme="1"/>
        <rFont val="Calibri"/>
        <family val="2"/>
        <scheme val="minor"/>
      </rPr>
      <t xml:space="preserve"> SERVICIO DE ECONOMATO -HOSPITAL INT. DE NIÑOS – AV. VIRGEN DEL VALLE N° 1050-CATAMARCA DE 8:00 A 12:00HS., DEBIENDO CORRER LOS GASTOS DE FLETES, ACARREO, CARGA, DESCARGA Y SEGURO A CARGO DEL ADJUDICATARIO.</t>
    </r>
  </si>
  <si>
    <r>
      <rPr>
        <sz val="11"/>
        <rFont val="Calibri"/>
        <family val="2"/>
        <scheme val="minor"/>
      </rPr>
      <t>2.5.4</t>
    </r>
    <r>
      <rPr>
        <sz val="11"/>
        <color theme="1"/>
        <rFont val="Calibri"/>
        <family val="2"/>
        <scheme val="minor"/>
      </rPr>
      <t>-505.92</t>
    </r>
  </si>
  <si>
    <r>
      <rPr>
        <sz val="11"/>
        <rFont val="Calibri"/>
        <family val="2"/>
        <scheme val="minor"/>
      </rPr>
      <t>DESINFECTANTES</t>
    </r>
    <r>
      <rPr>
        <sz val="11"/>
        <color theme="1"/>
        <rFont val="Calibri"/>
        <family val="2"/>
        <scheme val="minor"/>
      </rPr>
      <t xml:space="preserve">; PRINCIPIO ACTIVO: 2-FENIFENOL+ETANOL, CONTROL: BACTERIAS, PRESENTACION: </t>
    </r>
    <r>
      <rPr>
        <b/>
        <sz val="11"/>
        <color theme="1"/>
        <rFont val="Calibri"/>
        <family val="2"/>
        <scheme val="minor"/>
      </rPr>
      <t>ENVASE X 360 CM3</t>
    </r>
  </si>
  <si>
    <t>Especificidades Item N° 11:</t>
  </si>
  <si>
    <r>
      <t xml:space="preserve">LANAS DE ACERO; PRESENTACION: </t>
    </r>
    <r>
      <rPr>
        <b/>
        <sz val="11"/>
        <color theme="1"/>
        <rFont val="Calibri"/>
        <family val="2"/>
        <scheme val="minor"/>
      </rPr>
      <t>PAQUETE</t>
    </r>
    <r>
      <rPr>
        <sz val="11"/>
        <color theme="1"/>
        <rFont val="Calibri"/>
        <family val="2"/>
        <scheme val="minor"/>
      </rPr>
      <t xml:space="preserve">, CONTENIDO: </t>
    </r>
    <r>
      <rPr>
        <sz val="11"/>
        <rFont val="Calibri"/>
        <family val="2"/>
        <scheme val="minor"/>
      </rPr>
      <t>MADEJA</t>
    </r>
  </si>
  <si>
    <t>PAQUETE POR 10 ROLLITOS CADA UNO.</t>
  </si>
  <si>
    <t>ROLLO POR 40 PAÑOS CADA UNO.</t>
  </si>
  <si>
    <r>
      <rPr>
        <b/>
        <u/>
        <sz val="11"/>
        <color theme="1"/>
        <rFont val="Calibri"/>
        <family val="2"/>
        <scheme val="minor"/>
      </rPr>
      <t>Plazo de entrega:</t>
    </r>
    <r>
      <rPr>
        <sz val="11"/>
        <color theme="1"/>
        <rFont val="Calibri"/>
        <family val="2"/>
        <scheme val="minor"/>
      </rPr>
      <t xml:space="preserve"> Dentro de los 20 días corridos de notificada la Orden de Compra.</t>
    </r>
  </si>
  <si>
    <r>
      <rPr>
        <b/>
        <u/>
        <sz val="11"/>
        <color theme="1"/>
        <rFont val="Calibri"/>
        <family val="2"/>
        <scheme val="minor"/>
      </rPr>
      <t>Mantenimiento:</t>
    </r>
    <r>
      <rPr>
        <sz val="11"/>
        <color theme="1"/>
        <rFont val="Calibri"/>
        <family val="2"/>
        <scheme val="minor"/>
      </rPr>
      <t xml:space="preserve"> 45 días hábiles.</t>
    </r>
  </si>
  <si>
    <t>DESCRIPCION S/NOTA DE PEDIDO N° 106/2021</t>
  </si>
  <si>
    <r>
      <t>NO-2021-00571705-CAT-HNEP#MS</t>
    </r>
    <r>
      <rPr>
        <b/>
        <sz val="14"/>
        <color theme="1"/>
        <rFont val="Calibri"/>
        <family val="2"/>
        <scheme val="minor"/>
      </rPr>
      <t xml:space="preserve"> (Adq.de elementos de Limpieza-Hosp.de Niños)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</si>
</sst>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3" fillId="0" borderId="0" xfId="0" applyFont="1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44" fontId="0" fillId="0" borderId="7" xfId="1" applyFont="1" applyBorder="1" applyAlignment="1">
      <alignment horizontal="center" vertical="center"/>
    </xf>
    <xf numFmtId="44" fontId="0" fillId="0" borderId="8" xfId="0" applyNumberFormat="1" applyBorder="1" applyAlignment="1">
      <alignment vertical="center"/>
    </xf>
    <xf numFmtId="0" fontId="0" fillId="0" borderId="9" xfId="0" applyBorder="1" applyAlignment="1">
      <alignment horizontal="center" vertical="center"/>
    </xf>
    <xf numFmtId="44" fontId="0" fillId="0" borderId="10" xfId="0" applyNumberFormat="1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44" fontId="0" fillId="0" borderId="12" xfId="1" applyFont="1" applyBorder="1" applyAlignment="1">
      <alignment horizontal="center" vertical="center"/>
    </xf>
    <xf numFmtId="44" fontId="0" fillId="0" borderId="13" xfId="0" applyNumberFormat="1" applyBorder="1" applyAlignment="1">
      <alignment vertical="center"/>
    </xf>
    <xf numFmtId="0" fontId="5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4" fontId="2" fillId="3" borderId="5" xfId="0" applyNumberFormat="1" applyFont="1" applyFill="1" applyBorder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44" fontId="0" fillId="4" borderId="10" xfId="0" applyNumberForma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7" fillId="0" borderId="1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44" fontId="10" fillId="0" borderId="0" xfId="0" applyNumberFormat="1" applyFont="1"/>
    <xf numFmtId="44" fontId="10" fillId="0" borderId="15" xfId="1" applyFont="1" applyBorder="1"/>
    <xf numFmtId="44" fontId="11" fillId="0" borderId="0" xfId="1" applyFont="1"/>
    <xf numFmtId="0" fontId="8" fillId="2" borderId="14" xfId="0" applyFont="1" applyFill="1" applyBorder="1" applyAlignment="1">
      <alignment vertical="center" wrapText="1"/>
    </xf>
    <xf numFmtId="0" fontId="9" fillId="2" borderId="14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 wrapText="1"/>
    </xf>
    <xf numFmtId="44" fontId="0" fillId="5" borderId="10" xfId="0" applyNumberFormat="1" applyFill="1" applyBorder="1" applyAlignment="1">
      <alignment vertical="center"/>
    </xf>
    <xf numFmtId="44" fontId="0" fillId="0" borderId="0" xfId="0" applyNumberFormat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1"/>
  <sheetViews>
    <sheetView tabSelected="1" workbookViewId="0">
      <selection activeCell="A2" sqref="A2"/>
    </sheetView>
  </sheetViews>
  <sheetFormatPr baseColWidth="10" defaultRowHeight="15" x14ac:dyDescent="0.25"/>
  <cols>
    <col min="1" max="1" width="2.85546875" bestFit="1" customWidth="1"/>
    <col min="2" max="2" width="13.5703125" customWidth="1"/>
    <col min="3" max="3" width="11.85546875" customWidth="1"/>
    <col min="4" max="4" width="9" customWidth="1"/>
    <col min="5" max="5" width="68.85546875" customWidth="1"/>
    <col min="9" max="9" width="14.5703125" customWidth="1"/>
    <col min="10" max="10" width="12.85546875" bestFit="1" customWidth="1"/>
    <col min="11" max="11" width="34.28515625" customWidth="1"/>
  </cols>
  <sheetData>
    <row r="1" spans="1:11" x14ac:dyDescent="0.25">
      <c r="B1" s="25" t="s">
        <v>53</v>
      </c>
      <c r="C1" t="s">
        <v>52</v>
      </c>
    </row>
    <row r="2" spans="1:11" ht="18.75" x14ac:dyDescent="0.3">
      <c r="B2" s="1" t="s">
        <v>95</v>
      </c>
    </row>
    <row r="3" spans="1:11" ht="15.75" thickBot="1" x14ac:dyDescent="0.3"/>
    <row r="4" spans="1:11" ht="45.75" thickBot="1" x14ac:dyDescent="0.3">
      <c r="A4" s="2" t="s">
        <v>0</v>
      </c>
      <c r="B4" s="3" t="s">
        <v>1</v>
      </c>
      <c r="C4" s="3" t="s">
        <v>2</v>
      </c>
      <c r="D4" s="3" t="s">
        <v>3</v>
      </c>
      <c r="E4" s="3" t="s">
        <v>94</v>
      </c>
      <c r="F4" s="3" t="s">
        <v>4</v>
      </c>
      <c r="G4" s="3" t="s">
        <v>5</v>
      </c>
      <c r="H4" s="3" t="s">
        <v>6</v>
      </c>
      <c r="I4" s="4" t="s">
        <v>7</v>
      </c>
    </row>
    <row r="5" spans="1:11" ht="24" x14ac:dyDescent="0.25">
      <c r="A5" s="8">
        <v>1</v>
      </c>
      <c r="B5" s="9" t="s">
        <v>8</v>
      </c>
      <c r="C5" s="20" t="s">
        <v>9</v>
      </c>
      <c r="D5" s="9">
        <v>291</v>
      </c>
      <c r="E5" s="10" t="s">
        <v>10</v>
      </c>
      <c r="F5" s="9" t="s">
        <v>11</v>
      </c>
      <c r="G5" s="9">
        <v>10</v>
      </c>
      <c r="H5" s="11">
        <v>250</v>
      </c>
      <c r="I5" s="12">
        <f>G5*H5</f>
        <v>2500</v>
      </c>
    </row>
    <row r="6" spans="1:11" ht="30" x14ac:dyDescent="0.25">
      <c r="A6" s="13">
        <v>2</v>
      </c>
      <c r="B6" s="5" t="s">
        <v>12</v>
      </c>
      <c r="C6" s="21" t="s">
        <v>9</v>
      </c>
      <c r="D6" s="26">
        <v>234</v>
      </c>
      <c r="E6" s="6" t="s">
        <v>63</v>
      </c>
      <c r="F6" s="5" t="s">
        <v>13</v>
      </c>
      <c r="G6" s="5">
        <v>600</v>
      </c>
      <c r="H6" s="7">
        <v>900</v>
      </c>
      <c r="I6" s="27">
        <f t="shared" ref="I6:I33" si="0">G6*H6</f>
        <v>540000</v>
      </c>
    </row>
    <row r="7" spans="1:11" ht="48" x14ac:dyDescent="0.25">
      <c r="A7" s="13">
        <v>3</v>
      </c>
      <c r="B7" s="5" t="s">
        <v>14</v>
      </c>
      <c r="C7" s="21" t="s">
        <v>15</v>
      </c>
      <c r="D7" s="5">
        <v>291</v>
      </c>
      <c r="E7" s="6" t="s">
        <v>64</v>
      </c>
      <c r="F7" s="5" t="s">
        <v>11</v>
      </c>
      <c r="G7" s="5">
        <v>30</v>
      </c>
      <c r="H7" s="7">
        <v>700</v>
      </c>
      <c r="I7" s="14">
        <f t="shared" si="0"/>
        <v>21000</v>
      </c>
    </row>
    <row r="8" spans="1:11" ht="45" x14ac:dyDescent="0.25">
      <c r="A8" s="33">
        <v>4</v>
      </c>
      <c r="B8" s="5" t="s">
        <v>16</v>
      </c>
      <c r="C8" s="21" t="s">
        <v>9</v>
      </c>
      <c r="D8" s="5">
        <v>291</v>
      </c>
      <c r="E8" s="6" t="s">
        <v>65</v>
      </c>
      <c r="F8" s="5" t="s">
        <v>17</v>
      </c>
      <c r="G8" s="5">
        <v>20</v>
      </c>
      <c r="H8" s="7">
        <v>650</v>
      </c>
      <c r="I8" s="14">
        <f t="shared" si="0"/>
        <v>13000</v>
      </c>
      <c r="J8" s="37" t="s">
        <v>56</v>
      </c>
      <c r="K8" s="30" t="s">
        <v>62</v>
      </c>
    </row>
    <row r="9" spans="1:11" ht="30" x14ac:dyDescent="0.25">
      <c r="A9" s="33">
        <v>5</v>
      </c>
      <c r="B9" s="5" t="s">
        <v>86</v>
      </c>
      <c r="C9" s="21" t="s">
        <v>9</v>
      </c>
      <c r="D9" s="5">
        <v>291</v>
      </c>
      <c r="E9" s="6" t="s">
        <v>87</v>
      </c>
      <c r="F9" s="5" t="s">
        <v>11</v>
      </c>
      <c r="G9" s="5">
        <v>100</v>
      </c>
      <c r="H9" s="7">
        <v>200</v>
      </c>
      <c r="I9" s="14">
        <f t="shared" si="0"/>
        <v>20000</v>
      </c>
      <c r="J9" s="37" t="s">
        <v>54</v>
      </c>
      <c r="K9" s="30" t="s">
        <v>61</v>
      </c>
    </row>
    <row r="10" spans="1:11" ht="45" x14ac:dyDescent="0.25">
      <c r="A10" s="33">
        <v>6</v>
      </c>
      <c r="B10" s="5" t="s">
        <v>18</v>
      </c>
      <c r="C10" s="21" t="s">
        <v>9</v>
      </c>
      <c r="D10" s="5">
        <v>291</v>
      </c>
      <c r="E10" s="6" t="s">
        <v>66</v>
      </c>
      <c r="F10" s="5" t="s">
        <v>17</v>
      </c>
      <c r="G10" s="5">
        <v>200</v>
      </c>
      <c r="H10" s="7">
        <v>150</v>
      </c>
      <c r="I10" s="14">
        <f t="shared" si="0"/>
        <v>30000</v>
      </c>
      <c r="J10" s="37" t="s">
        <v>57</v>
      </c>
      <c r="K10" s="30" t="s">
        <v>62</v>
      </c>
    </row>
    <row r="11" spans="1:11" ht="30" x14ac:dyDescent="0.25">
      <c r="A11" s="13">
        <v>7</v>
      </c>
      <c r="B11" s="5" t="s">
        <v>19</v>
      </c>
      <c r="C11" s="21" t="s">
        <v>9</v>
      </c>
      <c r="D11" s="5">
        <v>291</v>
      </c>
      <c r="E11" s="6" t="s">
        <v>67</v>
      </c>
      <c r="F11" s="5" t="s">
        <v>11</v>
      </c>
      <c r="G11" s="5">
        <v>50</v>
      </c>
      <c r="H11" s="7">
        <v>70</v>
      </c>
      <c r="I11" s="14">
        <f t="shared" si="0"/>
        <v>3500</v>
      </c>
      <c r="J11" s="31"/>
      <c r="K11" s="28"/>
    </row>
    <row r="12" spans="1:11" ht="45" x14ac:dyDescent="0.25">
      <c r="A12" s="33">
        <v>8</v>
      </c>
      <c r="B12" s="5" t="s">
        <v>20</v>
      </c>
      <c r="C12" s="21" t="s">
        <v>9</v>
      </c>
      <c r="D12" s="5">
        <v>291</v>
      </c>
      <c r="E12" s="6" t="s">
        <v>68</v>
      </c>
      <c r="F12" s="5" t="s">
        <v>17</v>
      </c>
      <c r="G12" s="5">
        <v>100</v>
      </c>
      <c r="H12" s="7">
        <v>275</v>
      </c>
      <c r="I12" s="14">
        <f t="shared" si="0"/>
        <v>27500</v>
      </c>
      <c r="J12" s="38" t="s">
        <v>59</v>
      </c>
      <c r="K12" s="30" t="s">
        <v>62</v>
      </c>
    </row>
    <row r="13" spans="1:11" ht="45" x14ac:dyDescent="0.25">
      <c r="A13" s="33">
        <v>9</v>
      </c>
      <c r="B13" s="5" t="s">
        <v>21</v>
      </c>
      <c r="C13" s="21" t="s">
        <v>9</v>
      </c>
      <c r="D13" s="5">
        <v>291</v>
      </c>
      <c r="E13" s="6" t="s">
        <v>69</v>
      </c>
      <c r="F13" s="5" t="s">
        <v>17</v>
      </c>
      <c r="G13" s="5">
        <v>60</v>
      </c>
      <c r="H13" s="7">
        <v>450</v>
      </c>
      <c r="I13" s="14">
        <f t="shared" si="0"/>
        <v>27000</v>
      </c>
      <c r="J13" s="38" t="s">
        <v>58</v>
      </c>
      <c r="K13" s="30" t="s">
        <v>62</v>
      </c>
    </row>
    <row r="14" spans="1:11" ht="30" x14ac:dyDescent="0.25">
      <c r="A14" s="13">
        <v>10</v>
      </c>
      <c r="B14" s="5" t="s">
        <v>22</v>
      </c>
      <c r="C14" s="21" t="s">
        <v>9</v>
      </c>
      <c r="D14" s="5">
        <v>291</v>
      </c>
      <c r="E14" s="6" t="s">
        <v>70</v>
      </c>
      <c r="F14" s="5" t="s">
        <v>11</v>
      </c>
      <c r="G14" s="5">
        <v>30</v>
      </c>
      <c r="H14" s="7">
        <v>130</v>
      </c>
      <c r="I14" s="14">
        <f t="shared" si="0"/>
        <v>3900</v>
      </c>
      <c r="J14" s="31"/>
      <c r="K14" s="28"/>
    </row>
    <row r="15" spans="1:11" ht="24" x14ac:dyDescent="0.25">
      <c r="A15" s="13">
        <v>11</v>
      </c>
      <c r="B15" s="5" t="s">
        <v>23</v>
      </c>
      <c r="C15" s="21" t="s">
        <v>9</v>
      </c>
      <c r="D15" s="5">
        <v>291</v>
      </c>
      <c r="E15" s="6" t="s">
        <v>89</v>
      </c>
      <c r="F15" s="39" t="s">
        <v>24</v>
      </c>
      <c r="G15" s="5">
        <v>150</v>
      </c>
      <c r="H15" s="7">
        <v>37</v>
      </c>
      <c r="I15" s="14">
        <f t="shared" si="0"/>
        <v>5550</v>
      </c>
      <c r="J15" s="38" t="s">
        <v>88</v>
      </c>
      <c r="K15" s="30" t="s">
        <v>90</v>
      </c>
    </row>
    <row r="16" spans="1:11" ht="45" x14ac:dyDescent="0.25">
      <c r="A16" s="13">
        <v>12</v>
      </c>
      <c r="B16" s="5" t="s">
        <v>25</v>
      </c>
      <c r="C16" s="21" t="s">
        <v>9</v>
      </c>
      <c r="D16" s="5">
        <v>291</v>
      </c>
      <c r="E16" s="6" t="s">
        <v>26</v>
      </c>
      <c r="F16" s="5" t="s">
        <v>11</v>
      </c>
      <c r="G16" s="5">
        <v>300</v>
      </c>
      <c r="H16" s="7">
        <v>23</v>
      </c>
      <c r="I16" s="14">
        <f t="shared" si="0"/>
        <v>6900</v>
      </c>
      <c r="J16" s="31"/>
      <c r="K16" s="28"/>
    </row>
    <row r="17" spans="1:11" ht="24" x14ac:dyDescent="0.25">
      <c r="A17" s="13">
        <v>13</v>
      </c>
      <c r="B17" s="5" t="s">
        <v>27</v>
      </c>
      <c r="C17" s="21" t="s">
        <v>9</v>
      </c>
      <c r="D17" s="5">
        <v>291</v>
      </c>
      <c r="E17" s="6" t="s">
        <v>71</v>
      </c>
      <c r="F17" s="5" t="s">
        <v>28</v>
      </c>
      <c r="G17" s="5">
        <v>200</v>
      </c>
      <c r="H17" s="7">
        <v>145</v>
      </c>
      <c r="I17" s="14">
        <f t="shared" si="0"/>
        <v>29000</v>
      </c>
      <c r="J17" s="31"/>
      <c r="K17" s="28"/>
    </row>
    <row r="18" spans="1:11" ht="24" x14ac:dyDescent="0.25">
      <c r="A18" s="13">
        <v>14</v>
      </c>
      <c r="B18" s="5" t="s">
        <v>29</v>
      </c>
      <c r="C18" s="21" t="s">
        <v>9</v>
      </c>
      <c r="D18" s="5">
        <v>291</v>
      </c>
      <c r="E18" s="6" t="s">
        <v>72</v>
      </c>
      <c r="F18" s="5" t="s">
        <v>28</v>
      </c>
      <c r="G18" s="5">
        <v>200</v>
      </c>
      <c r="H18" s="7">
        <v>145</v>
      </c>
      <c r="I18" s="14">
        <f t="shared" si="0"/>
        <v>29000</v>
      </c>
      <c r="J18" s="31"/>
      <c r="K18" s="28"/>
    </row>
    <row r="19" spans="1:11" ht="24" x14ac:dyDescent="0.25">
      <c r="A19" s="13">
        <v>15</v>
      </c>
      <c r="B19" s="5" t="s">
        <v>30</v>
      </c>
      <c r="C19" s="21" t="s">
        <v>9</v>
      </c>
      <c r="D19" s="5">
        <v>291</v>
      </c>
      <c r="E19" s="6" t="s">
        <v>31</v>
      </c>
      <c r="F19" s="5" t="s">
        <v>11</v>
      </c>
      <c r="G19" s="5">
        <v>150</v>
      </c>
      <c r="H19" s="7">
        <v>100</v>
      </c>
      <c r="I19" s="14">
        <f t="shared" si="0"/>
        <v>15000</v>
      </c>
      <c r="J19" s="31"/>
      <c r="K19" s="28"/>
    </row>
    <row r="20" spans="1:11" ht="30" x14ac:dyDescent="0.25">
      <c r="A20" s="13">
        <v>16</v>
      </c>
      <c r="B20" s="5" t="s">
        <v>32</v>
      </c>
      <c r="C20" s="21" t="s">
        <v>9</v>
      </c>
      <c r="D20" s="5">
        <v>291</v>
      </c>
      <c r="E20" s="6" t="s">
        <v>73</v>
      </c>
      <c r="F20" s="5" t="s">
        <v>33</v>
      </c>
      <c r="G20" s="5">
        <v>2</v>
      </c>
      <c r="H20" s="7">
        <v>4800</v>
      </c>
      <c r="I20" s="14">
        <f t="shared" si="0"/>
        <v>9600</v>
      </c>
      <c r="J20" s="31"/>
      <c r="K20" s="28"/>
    </row>
    <row r="21" spans="1:11" ht="30" x14ac:dyDescent="0.25">
      <c r="A21" s="40">
        <v>17</v>
      </c>
      <c r="B21" s="5" t="s">
        <v>34</v>
      </c>
      <c r="C21" s="21" t="s">
        <v>9</v>
      </c>
      <c r="D21" s="41">
        <v>258</v>
      </c>
      <c r="E21" s="42" t="s">
        <v>74</v>
      </c>
      <c r="F21" s="5" t="s">
        <v>11</v>
      </c>
      <c r="G21" s="5">
        <v>10</v>
      </c>
      <c r="H21" s="7">
        <v>2000</v>
      </c>
      <c r="I21" s="43">
        <f t="shared" si="0"/>
        <v>20000</v>
      </c>
      <c r="J21" s="31"/>
      <c r="K21" s="28"/>
    </row>
    <row r="22" spans="1:11" ht="45" x14ac:dyDescent="0.25">
      <c r="A22" s="33">
        <v>18</v>
      </c>
      <c r="B22" s="5" t="s">
        <v>35</v>
      </c>
      <c r="C22" s="21" t="s">
        <v>9</v>
      </c>
      <c r="D22" s="5">
        <v>291</v>
      </c>
      <c r="E22" s="42" t="s">
        <v>75</v>
      </c>
      <c r="F22" s="5" t="s">
        <v>36</v>
      </c>
      <c r="G22" s="5">
        <v>900</v>
      </c>
      <c r="H22" s="7">
        <v>88</v>
      </c>
      <c r="I22" s="14">
        <f t="shared" si="0"/>
        <v>79200</v>
      </c>
      <c r="J22" s="38" t="s">
        <v>60</v>
      </c>
      <c r="K22" s="30" t="s">
        <v>62</v>
      </c>
    </row>
    <row r="23" spans="1:11" ht="30" x14ac:dyDescent="0.25">
      <c r="A23" s="13">
        <v>19</v>
      </c>
      <c r="B23" s="5" t="s">
        <v>37</v>
      </c>
      <c r="C23" s="21" t="s">
        <v>9</v>
      </c>
      <c r="D23" s="26">
        <v>234</v>
      </c>
      <c r="E23" s="42" t="s">
        <v>76</v>
      </c>
      <c r="F23" s="5" t="s">
        <v>33</v>
      </c>
      <c r="G23" s="5">
        <v>25</v>
      </c>
      <c r="H23" s="7">
        <v>1600</v>
      </c>
      <c r="I23" s="27">
        <f t="shared" si="0"/>
        <v>40000</v>
      </c>
      <c r="J23" s="31"/>
      <c r="K23" s="28"/>
    </row>
    <row r="24" spans="1:11" ht="30" x14ac:dyDescent="0.25">
      <c r="A24" s="33">
        <v>20</v>
      </c>
      <c r="B24" s="5" t="s">
        <v>38</v>
      </c>
      <c r="C24" s="21" t="s">
        <v>9</v>
      </c>
      <c r="D24" s="26">
        <v>234</v>
      </c>
      <c r="E24" s="42" t="s">
        <v>77</v>
      </c>
      <c r="F24" s="32" t="s">
        <v>13</v>
      </c>
      <c r="G24" s="5">
        <v>500</v>
      </c>
      <c r="H24" s="7">
        <v>55</v>
      </c>
      <c r="I24" s="27">
        <f t="shared" si="0"/>
        <v>27500</v>
      </c>
      <c r="J24" s="38" t="s">
        <v>55</v>
      </c>
      <c r="K24" s="30" t="s">
        <v>91</v>
      </c>
    </row>
    <row r="25" spans="1:11" ht="24" x14ac:dyDescent="0.25">
      <c r="A25" s="13">
        <v>21</v>
      </c>
      <c r="B25" s="5" t="s">
        <v>39</v>
      </c>
      <c r="C25" s="21" t="s">
        <v>9</v>
      </c>
      <c r="D25" s="5">
        <v>291</v>
      </c>
      <c r="E25" s="42" t="s">
        <v>40</v>
      </c>
      <c r="F25" s="5" t="s">
        <v>11</v>
      </c>
      <c r="G25" s="5">
        <v>30</v>
      </c>
      <c r="H25" s="7">
        <v>80</v>
      </c>
      <c r="I25" s="14">
        <f t="shared" si="0"/>
        <v>2400</v>
      </c>
      <c r="K25" s="28"/>
    </row>
    <row r="26" spans="1:11" ht="30" x14ac:dyDescent="0.25">
      <c r="A26" s="13">
        <v>22</v>
      </c>
      <c r="B26" s="5" t="s">
        <v>41</v>
      </c>
      <c r="C26" s="21" t="s">
        <v>9</v>
      </c>
      <c r="D26" s="5">
        <v>291</v>
      </c>
      <c r="E26" s="42" t="s">
        <v>42</v>
      </c>
      <c r="F26" s="5" t="s">
        <v>11</v>
      </c>
      <c r="G26" s="5">
        <v>200</v>
      </c>
      <c r="H26" s="7">
        <v>90</v>
      </c>
      <c r="I26" s="14">
        <f t="shared" si="0"/>
        <v>18000</v>
      </c>
      <c r="K26" s="28"/>
    </row>
    <row r="27" spans="1:11" ht="24" x14ac:dyDescent="0.25">
      <c r="A27" s="13">
        <v>23</v>
      </c>
      <c r="B27" s="5" t="s">
        <v>43</v>
      </c>
      <c r="C27" s="21" t="s">
        <v>9</v>
      </c>
      <c r="D27" s="5">
        <v>291</v>
      </c>
      <c r="E27" s="42" t="s">
        <v>44</v>
      </c>
      <c r="F27" s="5" t="s">
        <v>11</v>
      </c>
      <c r="G27" s="5">
        <v>250</v>
      </c>
      <c r="H27" s="7">
        <v>90</v>
      </c>
      <c r="I27" s="14">
        <f t="shared" si="0"/>
        <v>22500</v>
      </c>
      <c r="K27" s="28"/>
    </row>
    <row r="28" spans="1:11" ht="30" x14ac:dyDescent="0.25">
      <c r="A28" s="40">
        <v>24</v>
      </c>
      <c r="B28" s="5" t="s">
        <v>45</v>
      </c>
      <c r="C28" s="21" t="s">
        <v>9</v>
      </c>
      <c r="D28" s="41">
        <v>258</v>
      </c>
      <c r="E28" s="42" t="s">
        <v>78</v>
      </c>
      <c r="F28" s="5" t="s">
        <v>11</v>
      </c>
      <c r="G28" s="5">
        <v>5000</v>
      </c>
      <c r="H28" s="7">
        <v>19</v>
      </c>
      <c r="I28" s="43">
        <f t="shared" si="0"/>
        <v>95000</v>
      </c>
      <c r="K28" s="28"/>
    </row>
    <row r="29" spans="1:11" ht="24" x14ac:dyDescent="0.25">
      <c r="A29" s="13">
        <v>25</v>
      </c>
      <c r="B29" s="5" t="s">
        <v>46</v>
      </c>
      <c r="C29" s="21" t="s">
        <v>9</v>
      </c>
      <c r="D29" s="5">
        <v>291</v>
      </c>
      <c r="E29" s="42" t="s">
        <v>79</v>
      </c>
      <c r="F29" s="5" t="s">
        <v>47</v>
      </c>
      <c r="G29" s="5">
        <v>150</v>
      </c>
      <c r="H29" s="7">
        <v>200</v>
      </c>
      <c r="I29" s="14">
        <f t="shared" si="0"/>
        <v>30000</v>
      </c>
      <c r="K29" s="29"/>
    </row>
    <row r="30" spans="1:11" ht="30" x14ac:dyDescent="0.25">
      <c r="A30" s="13">
        <v>26</v>
      </c>
      <c r="B30" s="5" t="s">
        <v>48</v>
      </c>
      <c r="C30" s="21" t="s">
        <v>9</v>
      </c>
      <c r="D30" s="26">
        <v>234</v>
      </c>
      <c r="E30" s="42" t="s">
        <v>80</v>
      </c>
      <c r="F30" s="5" t="s">
        <v>33</v>
      </c>
      <c r="G30" s="5">
        <v>450</v>
      </c>
      <c r="H30" s="7">
        <v>900</v>
      </c>
      <c r="I30" s="27">
        <f t="shared" si="0"/>
        <v>405000</v>
      </c>
      <c r="K30" s="29"/>
    </row>
    <row r="31" spans="1:11" ht="30" x14ac:dyDescent="0.25">
      <c r="A31" s="40">
        <v>27</v>
      </c>
      <c r="B31" s="5" t="s">
        <v>49</v>
      </c>
      <c r="C31" s="21" t="s">
        <v>9</v>
      </c>
      <c r="D31" s="41">
        <v>258</v>
      </c>
      <c r="E31" s="42" t="s">
        <v>81</v>
      </c>
      <c r="F31" s="5" t="s">
        <v>11</v>
      </c>
      <c r="G31" s="5">
        <v>40000</v>
      </c>
      <c r="H31" s="7">
        <v>1.5</v>
      </c>
      <c r="I31" s="43">
        <f t="shared" si="0"/>
        <v>60000</v>
      </c>
      <c r="K31" s="29"/>
    </row>
    <row r="32" spans="1:11" ht="30" x14ac:dyDescent="0.25">
      <c r="A32" s="40">
        <v>28</v>
      </c>
      <c r="B32" s="5" t="s">
        <v>50</v>
      </c>
      <c r="C32" s="21" t="s">
        <v>9</v>
      </c>
      <c r="D32" s="41">
        <v>258</v>
      </c>
      <c r="E32" s="42" t="s">
        <v>82</v>
      </c>
      <c r="F32" s="5" t="s">
        <v>11</v>
      </c>
      <c r="G32" s="5">
        <v>30000</v>
      </c>
      <c r="H32" s="7">
        <v>4.5</v>
      </c>
      <c r="I32" s="43">
        <f t="shared" si="0"/>
        <v>135000</v>
      </c>
      <c r="K32" s="29"/>
    </row>
    <row r="33" spans="1:11" ht="45.75" thickBot="1" x14ac:dyDescent="0.3">
      <c r="A33" s="15">
        <v>29</v>
      </c>
      <c r="B33" s="16" t="s">
        <v>51</v>
      </c>
      <c r="C33" s="22" t="s">
        <v>9</v>
      </c>
      <c r="D33" s="16">
        <v>291</v>
      </c>
      <c r="E33" s="17" t="s">
        <v>83</v>
      </c>
      <c r="F33" s="16" t="s">
        <v>11</v>
      </c>
      <c r="G33" s="16">
        <v>150</v>
      </c>
      <c r="H33" s="18">
        <v>150</v>
      </c>
      <c r="I33" s="19">
        <f t="shared" si="0"/>
        <v>22500</v>
      </c>
      <c r="K33" s="29"/>
    </row>
    <row r="34" spans="1:11" ht="15.75" thickBot="1" x14ac:dyDescent="0.3"/>
    <row r="35" spans="1:11" ht="15.75" thickBot="1" x14ac:dyDescent="0.3">
      <c r="I35" s="23">
        <f>SUM(I5:I34)</f>
        <v>1740550</v>
      </c>
    </row>
    <row r="36" spans="1:11" x14ac:dyDescent="0.25">
      <c r="B36" s="45" t="s">
        <v>85</v>
      </c>
      <c r="C36" s="45"/>
      <c r="D36" s="45"/>
      <c r="E36" s="45"/>
      <c r="F36" s="45"/>
      <c r="G36" s="45"/>
    </row>
    <row r="37" spans="1:11" x14ac:dyDescent="0.25">
      <c r="B37" s="45"/>
      <c r="C37" s="45"/>
      <c r="D37" s="45"/>
      <c r="E37" s="45"/>
      <c r="F37" s="45"/>
      <c r="G37" s="45"/>
      <c r="I37" s="25" t="s">
        <v>84</v>
      </c>
    </row>
    <row r="38" spans="1:11" x14ac:dyDescent="0.25">
      <c r="B38" s="45"/>
      <c r="C38" s="45"/>
      <c r="D38" s="45"/>
      <c r="E38" s="45"/>
      <c r="F38" s="45"/>
      <c r="G38" s="45"/>
      <c r="I38" s="24">
        <v>234</v>
      </c>
      <c r="J38" s="34">
        <f>I6+I23+I24+I30</f>
        <v>1012500</v>
      </c>
    </row>
    <row r="39" spans="1:11" x14ac:dyDescent="0.25">
      <c r="B39" s="46" t="s">
        <v>92</v>
      </c>
      <c r="C39" s="46"/>
      <c r="D39" s="46"/>
      <c r="E39" s="46"/>
      <c r="F39" s="46"/>
      <c r="G39" s="46"/>
      <c r="I39" s="24">
        <v>258</v>
      </c>
      <c r="J39" s="44">
        <f>I21+I28+I31+I32</f>
        <v>310000</v>
      </c>
    </row>
    <row r="40" spans="1:11" ht="15.75" thickBot="1" x14ac:dyDescent="0.3">
      <c r="B40" s="46" t="s">
        <v>93</v>
      </c>
      <c r="C40" s="46"/>
      <c r="D40" s="46"/>
      <c r="E40" s="46"/>
      <c r="F40" s="46"/>
      <c r="G40" s="46"/>
      <c r="I40" s="24">
        <v>291</v>
      </c>
      <c r="J40" s="35">
        <v>418050</v>
      </c>
    </row>
    <row r="41" spans="1:11" x14ac:dyDescent="0.25">
      <c r="I41" s="24"/>
      <c r="J41" s="36">
        <f>SUBTOTAL(9,J38:J40)</f>
        <v>1740550</v>
      </c>
    </row>
  </sheetData>
  <mergeCells count="3">
    <mergeCell ref="B36:G38"/>
    <mergeCell ref="B39:G39"/>
    <mergeCell ref="B40:G40"/>
  </mergeCells>
  <pageMargins left="0.7" right="0.7" top="0.75" bottom="0.75" header="0.3" footer="0.3"/>
  <pageSetup paperSize="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HNEP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2021-06-22T12:47:22Z</dcterms:created>
  <dcterms:modified xsi:type="dcterms:W3CDTF">2021-08-09T15:52:53Z</dcterms:modified>
</cp:coreProperties>
</file>