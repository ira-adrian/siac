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1546FB0A-1D31-4C23-A42F-163393730633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3" r:id="rId1"/>
    <sheet name="N.P" sheetId="5" r:id="rId2"/>
    <sheet name="APG" sheetId="6" r:id="rId3"/>
    <sheet name="anexo I" sheetId="4" r:id="rId4"/>
    <sheet name="S.G" sheetId="8" r:id="rId5"/>
  </sheets>
  <definedNames>
    <definedName name="_xlnm._FilterDatabase" localSheetId="0" hidden="1">'Necesidades Trimestrales'!$E$2:$E$68</definedName>
  </definedNames>
  <calcPr calcId="18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6" i="3" l="1"/>
  <c r="J19" i="5"/>
  <c r="I17" i="3" l="1"/>
</calcChain>
</file>

<file path=xl/sharedStrings.xml><?xml version="1.0" encoding="utf-8"?>
<sst xmlns="http://schemas.openxmlformats.org/spreadsheetml/2006/main" count="154" uniqueCount="105">
  <si>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</si>
  <si>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</si>
  <si>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</si>
  <si>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</si>
  <si>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</si>
  <si>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</si>
  <si>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</si>
  <si>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</si>
  <si>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</si>
  <si>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</si>
  <si>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</si>
  <si>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</si>
  <si>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</si>
  <si>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</si>
  <si>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</si>
  <si>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Costo total estimado:</t>
  </si>
  <si>
    <t>EJERCICIO: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</si>
  <si>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</si>
  <si>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</si>
  <si>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</si>
  <si>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</si>
  <si>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</si>
  <si>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</si>
  <si>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</si>
  <si>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</si>
  <si>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</si>
  <si>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</si>
  <si>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</si>
  <si>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</si>
  <si>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</si>
  <si>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</si>
  <si>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</si>
  <si>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</si>
  <si>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</si>
  <si>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</si>
  <si>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</si>
  <si>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</si>
  <si>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</si>
  <si>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Pedido de Necesidades Trimestrales</t>
  </si>
  <si>
    <t>JURISDICCION:</t>
  </si>
  <si>
    <t>40 - MINISTERIO DE SALUD</t>
  </si>
  <si>
    <t xml:space="preserve">SAF N°: 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</si>
  <si>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</si>
  <si>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</si>
  <si>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</si>
  <si>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</si>
  <si>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</si>
  <si>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</si>
  <si>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</si>
  <si>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</si>
  <si>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</si>
  <si>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</si>
  <si>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TOTAL DEL RUBRO</t>
  </si>
  <si>
    <t>TOTAL</t>
  </si>
  <si>
    <t>Descripción técnica</t>
  </si>
  <si>
    <t>Plazos y lugares de entrega</t>
  </si>
  <si>
    <t>Plazo de entrega 10 dias</t>
  </si>
  <si>
    <t>Chacabuco N° 169</t>
  </si>
  <si>
    <t>Calidad Minima esperada</t>
  </si>
  <si>
    <t>Mantenimiento</t>
  </si>
  <si>
    <t>Garantia</t>
  </si>
  <si>
    <t>NO</t>
  </si>
  <si>
    <t>ANEXO I</t>
  </si>
  <si>
    <t>Ver anexo I</t>
  </si>
  <si>
    <t>DIRECCION PROVINCIAL DE MEDICINA SOCIAL INTEGRAL</t>
  </si>
  <si>
    <t>2.5.2-1873.7</t>
  </si>
  <si>
    <t>2.5.2-2200.19</t>
  </si>
  <si>
    <t>2.5.2-1913.15</t>
  </si>
  <si>
    <t>2.5.2-1895.73</t>
  </si>
  <si>
    <t>2.5.2-1894.78</t>
  </si>
  <si>
    <t>2.5.2-1895.80</t>
  </si>
  <si>
    <t>Prod.Farmaceuticos y Medicinales</t>
  </si>
  <si>
    <t>Primer Trimestre</t>
  </si>
  <si>
    <t>Contacto de referencia: Lic. VARGAS, Matias.  Celular: 3834007499</t>
  </si>
  <si>
    <t>011 - Direccion Provincial de Medicina Social Integral - Ministerio de Salud</t>
  </si>
  <si>
    <t>CORTICOIDES; DROGA GENERICA: MEPREDNISONA, FORMA FARMACEUTICA: COMPRIMIDO, PRESENTACION: 40 mGr, TIPO: MONODROGA</t>
  </si>
  <si>
    <t>HORMONAS MEDICINALES; TIPO: MONODROGA, DROGA GENERICA: ENANTATO DE TESTOSTERONA, FORMA FARMACEUTICA: AMPOLLA, PRESENTACION: ENVASE X 250 mGr, USO: SEXUAL</t>
  </si>
  <si>
    <t>HORMONAS MEDICINALES; TIPO: MONODROGA, DROGA GENERICA: TESTOSTERONA 1000 mGr, FORMA FARMACEUTICA: AMPOLLA, PRESENTACION: ENVASE X 4 mL, USO: HORMONOTERAPIA DE REEMPLAZO</t>
  </si>
  <si>
    <t>30 dias habiles</t>
  </si>
  <si>
    <t>LOS PRODUCTOS DEBERAN TENER UN VENCIMIENTO POSTERIOR A LOS DIECIOCHO (18) MESES DE SU RECEPCION</t>
  </si>
  <si>
    <t>ADJUNTAR TODOS LOS DATOS REQUERIDOS, CONSIGNANDO MARCA Y NUMERO DE CERTIFICADO DE ANMAT.</t>
  </si>
  <si>
    <t xml:space="preserve">Especificidades </t>
  </si>
  <si>
    <t xml:space="preserve">IDEM NOTA DE PEDIDO Y ENTREGA Nº 128/2020 </t>
  </si>
  <si>
    <t>128/2020</t>
  </si>
  <si>
    <t>40 - Ministerio de Salud</t>
  </si>
  <si>
    <t>11 - Ministerio de Salud</t>
  </si>
  <si>
    <t>131 - Direccion Provincial de Medicina Social Integral</t>
  </si>
  <si>
    <t>Ministerio de Salud</t>
  </si>
  <si>
    <t>6 meses</t>
  </si>
  <si>
    <t>Adquisición de Medicamentos para personas de escasos recursos</t>
  </si>
  <si>
    <t>CAJA</t>
  </si>
  <si>
    <t>AMPOLLA</t>
  </si>
  <si>
    <t>131- Direccion de Provincial de Medicina Social Integral</t>
  </si>
  <si>
    <t>Señor Jefe de Servicio Administrativo Financiero:</t>
  </si>
  <si>
    <t>"Autorizo la realización de los  trámites correspondientes, a fin de proveer a  este Organismo los bienes y/o servicios que se detallan en Nota  de Pedido N° " 128",  afectando la erogación resultante a los créditos presupuestarios aprobados a favor de esta Unidad Ejecutora, conforme al siguiente detalle:"</t>
  </si>
  <si>
    <t>1.1</t>
  </si>
  <si>
    <t>Productos Farmaceuticos y Medicinales</t>
  </si>
  <si>
    <t>997.792,77</t>
  </si>
  <si>
    <t>TOTAL DE PESOS: NOVECIENTOS NOVENTA YSIETE MIL SETECIENTOS NOVENTA Y DOS  77/100</t>
  </si>
  <si>
    <t>Adquisición de Medicamentos para beneficiarios de escasos recursos.</t>
  </si>
  <si>
    <t>SULFONAMIDA-QUIMIOTERAPICO; TIPO: ASOCIACION, DROGA GENERICA: ACETATO DE LEUPROLIDE, FORMA FARMACEUTICA: AMPOLLA, PRESENTACION: 3,75 mGr</t>
  </si>
  <si>
    <t>ANTICOAGULANTES P/PERSONAS; TIPO: MONODROGA, DROGA GENERICA: ENOXAPARINA 40 MG, FORMA FARMACEUTICA: JERINGA PRELLENADA, PRESENTACION: 10 UN</t>
  </si>
  <si>
    <t>CITOSTATICOS; TIPO: MONODROGA, DROGA GENERICA: METOTREXATO 15MG, FORMA FARMACEUTICA: COMPRIMIDO, PRESENTACION: UNIDAD</t>
  </si>
  <si>
    <t>CORTICOIDES; DROGA GENERICA: MEPREDNISONA, FORMA FARMACEUTICA: COMPRIMIDOX 20, PRESENTACION: 40 mGr, TIPO: MONODROGA</t>
  </si>
  <si>
    <t>CITOSTATICOS; TIPO: MONODROGA, DROGA GENERICA: METOTREXATO 15MG, FORMA FARMACEUTICA: COMPRIMIDO X 4, PRESENTACION: 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</si>
</sst>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.00_);_(\$* \(#,##0.00\);_(\$* \-??_);_(@_)"/>
    <numFmt numFmtId="165" formatCode="[$$-2C0A]\ #,##0.00"/>
    <numFmt numFmtId="166" formatCode="dd\-mm\-yy;@"/>
    <numFmt numFmtId="167" formatCode="[$$-2C0A]\ #,##0.00;[$$-2C0A]&quot; -&quot;#,##0.00"/>
    <numFmt numFmtId="168" formatCode="_-[$$-2C0A]\ * #,##0.00_-;\-[$$-2C0A]\ * #,##0.00_-;_-[$$-2C0A]\ * &quot;-&quot;??_-;_-@_-"/>
    <numFmt numFmtId="169" formatCode="_-* #,##0.00&quot; €&quot;_-;\-* #,##0.00&quot; €&quot;_-;_-* \-??&quot; €&quot;_-;_-@_-"/>
  </numFmts>
  <fonts count="34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Arial"/>
      <family val="2"/>
    </font>
    <font>
      <b/>
      <sz val="10"/>
      <color rgb="FF000000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2"/>
      <color rgb="FF000000"/>
      <name val="Cambria"/>
      <family val="1"/>
      <scheme val="major"/>
    </font>
    <font>
      <sz val="9"/>
      <name val="Times New Roman"/>
      <family val="1"/>
    </font>
    <font>
      <b/>
      <sz val="14"/>
      <name val="Arial"/>
      <family val="2"/>
    </font>
    <font>
      <b/>
      <sz val="14"/>
      <name val="Cambria"/>
      <family val="1"/>
      <scheme val="major"/>
    </font>
    <font>
      <u/>
      <sz val="9"/>
      <name val="Times New Roman"/>
      <family val="1"/>
    </font>
    <font>
      <b/>
      <u/>
      <sz val="11"/>
      <name val="Arial"/>
      <family val="2"/>
    </font>
    <font>
      <sz val="12"/>
      <color rgb="FF00000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7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auto="1"/>
      </left>
      <right/>
      <top style="thin">
        <color indexed="64"/>
      </top>
      <bottom/>
      <diagonal/>
    </border>
    <border>
      <left style="medium">
        <color rgb="FF3D3D3D"/>
      </left>
      <right/>
      <top style="thin">
        <color indexed="64"/>
      </top>
      <bottom/>
      <diagonal/>
    </border>
    <border>
      <left style="medium">
        <color rgb="FF3D3D3D"/>
      </left>
      <right style="medium">
        <color auto="1"/>
      </right>
      <top style="thin">
        <color indexed="64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/>
      <diagonal/>
    </border>
    <border>
      <left/>
      <right style="thin">
        <color indexed="64"/>
      </right>
      <top style="medium">
        <color rgb="FF3D3D3D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0">
    <xf numFmtId="0" fontId="0" fillId="0" borderId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169" fontId="20" fillId="0" borderId="0" applyBorder="0" applyProtection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</cellStyleXfs>
  <cellXfs count="177">
    <xf numFmtId="0" fontId="0" fillId="0" borderId="0" xfId="0"/>
    <xf numFmtId="0" fontId="3" fillId="0" borderId="0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15" fillId="0" borderId="0" xfId="0" applyFont="1"/>
    <xf numFmtId="168" fontId="15" fillId="0" borderId="0" xfId="0" applyNumberFormat="1" applyFont="1" applyAlignment="1">
      <alignment horizontal="right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horizontal="center" vertical="center" wrapText="1"/>
    </xf>
    <xf numFmtId="168" fontId="20" fillId="0" borderId="0" xfId="4" applyNumberFormat="1" applyAlignment="1">
      <alignment horizontal="right" vertical="center"/>
    </xf>
    <xf numFmtId="0" fontId="18" fillId="0" borderId="0" xfId="0" applyFont="1" applyFill="1" applyAlignment="1">
      <alignment horizontal="left" vertical="center" wrapText="1"/>
    </xf>
    <xf numFmtId="0" fontId="21" fillId="0" borderId="0" xfId="0" applyFont="1" applyFill="1" applyAlignment="1">
      <alignment horizontal="center" wrapText="1"/>
    </xf>
    <xf numFmtId="0" fontId="21" fillId="0" borderId="0" xfId="0" applyFont="1" applyFill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5" fillId="0" borderId="0" xfId="0" applyFont="1" applyFill="1"/>
    <xf numFmtId="0" fontId="27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center"/>
    </xf>
    <xf numFmtId="168" fontId="29" fillId="0" borderId="28" xfId="0" applyNumberFormat="1" applyFont="1" applyBorder="1" applyAlignment="1">
      <alignment horizontal="right" vertical="center"/>
    </xf>
    <xf numFmtId="0" fontId="15" fillId="0" borderId="0" xfId="0" applyFont="1" applyAlignment="1">
      <alignment horizontal="center" vertical="center"/>
    </xf>
    <xf numFmtId="0" fontId="30" fillId="0" borderId="2" xfId="0" applyFont="1" applyBorder="1" applyAlignment="1">
      <alignment horizontal="left" vertical="center" wrapText="1"/>
    </xf>
    <xf numFmtId="0" fontId="15" fillId="0" borderId="13" xfId="0" applyFont="1" applyBorder="1" applyAlignment="1">
      <alignment horizontal="left" vertical="center"/>
    </xf>
    <xf numFmtId="0" fontId="15" fillId="0" borderId="13" xfId="0" applyFont="1" applyBorder="1" applyAlignment="1">
      <alignment horizontal="center"/>
    </xf>
    <xf numFmtId="0" fontId="15" fillId="0" borderId="29" xfId="0" applyFont="1" applyBorder="1" applyAlignment="1">
      <alignment horizontal="left" vertical="center"/>
    </xf>
    <xf numFmtId="0" fontId="27" fillId="0" borderId="8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left" vertical="center"/>
    </xf>
    <xf numFmtId="0" fontId="15" fillId="0" borderId="0" xfId="0" applyFont="1" applyBorder="1" applyAlignment="1">
      <alignment horizontal="center"/>
    </xf>
    <xf numFmtId="0" fontId="15" fillId="0" borderId="4" xfId="0" applyFont="1" applyBorder="1" applyAlignment="1">
      <alignment horizontal="left" vertical="center"/>
    </xf>
    <xf numFmtId="0" fontId="30" fillId="0" borderId="8" xfId="0" applyFont="1" applyBorder="1" applyAlignment="1">
      <alignment horizontal="left" vertical="center" wrapText="1"/>
    </xf>
    <xf numFmtId="3" fontId="9" fillId="0" borderId="0" xfId="5" applyNumberFormat="1" applyFont="1" applyBorder="1" applyAlignment="1">
      <alignment horizontal="center" vertical="center"/>
    </xf>
    <xf numFmtId="169" fontId="9" fillId="0" borderId="0" xfId="4" applyFont="1" applyBorder="1" applyAlignment="1">
      <alignment horizontal="center" vertical="center" wrapText="1"/>
    </xf>
    <xf numFmtId="169" fontId="20" fillId="0" borderId="0" xfId="4" applyFont="1" applyBorder="1" applyAlignment="1">
      <alignment horizontal="center" vertical="center"/>
    </xf>
    <xf numFmtId="0" fontId="15" fillId="0" borderId="0" xfId="0" applyFont="1" applyFill="1" applyAlignment="1">
      <alignment wrapText="1"/>
    </xf>
    <xf numFmtId="0" fontId="27" fillId="0" borderId="30" xfId="0" applyFont="1" applyBorder="1" applyAlignment="1">
      <alignment horizontal="left" vertical="center" wrapText="1"/>
    </xf>
    <xf numFmtId="0" fontId="23" fillId="0" borderId="25" xfId="0" applyFont="1" applyBorder="1" applyAlignment="1">
      <alignment horizontal="center" vertical="center"/>
    </xf>
    <xf numFmtId="0" fontId="23" fillId="0" borderId="26" xfId="0" applyFont="1" applyBorder="1" applyAlignment="1">
      <alignment horizontal="left" vertical="center"/>
    </xf>
    <xf numFmtId="0" fontId="23" fillId="0" borderId="26" xfId="0" applyFont="1" applyBorder="1" applyAlignment="1">
      <alignment horizontal="center" vertical="center"/>
    </xf>
    <xf numFmtId="0" fontId="23" fillId="0" borderId="27" xfId="0" applyFont="1" applyBorder="1" applyAlignment="1">
      <alignment horizontal="center" vertical="center"/>
    </xf>
    <xf numFmtId="0" fontId="25" fillId="0" borderId="25" xfId="0" applyFont="1" applyFill="1" applyBorder="1" applyAlignment="1">
      <alignment horizontal="center" vertical="center" wrapText="1"/>
    </xf>
    <xf numFmtId="0" fontId="32" fillId="0" borderId="26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20" fillId="0" borderId="0" xfId="0" applyFont="1"/>
    <xf numFmtId="0" fontId="5" fillId="0" borderId="36" xfId="0" applyFont="1" applyBorder="1" applyAlignment="1">
      <alignment horizontal="right" vertical="center"/>
    </xf>
    <xf numFmtId="0" fontId="6" fillId="0" borderId="37" xfId="0" applyFont="1" applyFill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35" xfId="0" applyFont="1" applyFill="1" applyBorder="1" applyAlignment="1">
      <alignment horizontal="center" vertical="center"/>
    </xf>
    <xf numFmtId="0" fontId="9" fillId="0" borderId="35" xfId="0" applyFont="1" applyFill="1" applyBorder="1" applyAlignment="1">
      <alignment horizontal="center" vertical="center" wrapText="1"/>
    </xf>
    <xf numFmtId="167" fontId="9" fillId="0" borderId="35" xfId="4" applyNumberFormat="1" applyFont="1" applyFill="1" applyBorder="1" applyAlignment="1" applyProtection="1">
      <alignment horizontal="right" vertical="center" wrapText="1"/>
    </xf>
    <xf numFmtId="0" fontId="33" fillId="0" borderId="32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/>
    </xf>
    <xf numFmtId="167" fontId="9" fillId="0" borderId="41" xfId="4" applyNumberFormat="1" applyFont="1" applyFill="1" applyBorder="1" applyAlignment="1" applyProtection="1">
      <alignment horizontal="right" vertical="center" wrapText="1"/>
    </xf>
    <xf numFmtId="0" fontId="23" fillId="0" borderId="34" xfId="0" applyFont="1" applyBorder="1" applyAlignment="1">
      <alignment horizontal="center" vertical="center"/>
    </xf>
    <xf numFmtId="0" fontId="23" fillId="0" borderId="42" xfId="0" applyFont="1" applyBorder="1" applyAlignment="1">
      <alignment horizontal="center" vertical="center"/>
    </xf>
    <xf numFmtId="0" fontId="23" fillId="0" borderId="43" xfId="0" applyFont="1" applyBorder="1" applyAlignment="1">
      <alignment horizontal="center" vertical="center" wrapText="1"/>
    </xf>
    <xf numFmtId="0" fontId="23" fillId="0" borderId="43" xfId="0" applyFont="1" applyBorder="1" applyAlignment="1">
      <alignment horizontal="center" vertical="center"/>
    </xf>
    <xf numFmtId="168" fontId="24" fillId="0" borderId="44" xfId="4" applyNumberFormat="1" applyFont="1" applyBorder="1" applyAlignment="1">
      <alignment horizontal="center" vertical="center" wrapText="1"/>
    </xf>
    <xf numFmtId="168" fontId="23" fillId="0" borderId="45" xfId="0" applyNumberFormat="1" applyFont="1" applyBorder="1" applyAlignment="1">
      <alignment horizontal="center" vertical="center" wrapText="1"/>
    </xf>
    <xf numFmtId="168" fontId="26" fillId="0" borderId="10" xfId="0" applyNumberFormat="1" applyFont="1" applyBorder="1" applyAlignment="1">
      <alignment wrapText="1"/>
    </xf>
    <xf numFmtId="0" fontId="9" fillId="0" borderId="9" xfId="0" applyFont="1" applyFill="1" applyBorder="1" applyAlignment="1">
      <alignment vertical="center" wrapText="1"/>
    </xf>
    <xf numFmtId="0" fontId="7" fillId="0" borderId="9" xfId="0" applyFont="1" applyFill="1" applyBorder="1" applyAlignment="1">
      <alignment vertical="center" wrapText="1"/>
    </xf>
    <xf numFmtId="0" fontId="0" fillId="0" borderId="56" xfId="0" applyFont="1" applyFill="1" applyBorder="1" applyAlignment="1">
      <alignment horizontal="center" vertical="center"/>
    </xf>
    <xf numFmtId="0" fontId="0" fillId="0" borderId="18" xfId="0" applyFont="1" applyFill="1" applyBorder="1" applyAlignment="1">
      <alignment horizontal="center" vertical="center"/>
    </xf>
    <xf numFmtId="0" fontId="0" fillId="0" borderId="19" xfId="0" applyFont="1" applyFill="1" applyBorder="1" applyAlignment="1">
      <alignment horizontal="center" vertical="center"/>
    </xf>
    <xf numFmtId="3" fontId="10" fillId="0" borderId="0" xfId="0" applyNumberFormat="1" applyFont="1" applyFill="1" applyBorder="1" applyAlignment="1"/>
    <xf numFmtId="166" fontId="0" fillId="0" borderId="0" xfId="0" applyNumberFormat="1" applyFont="1" applyFill="1" applyBorder="1" applyAlignment="1">
      <alignment horizontal="left"/>
    </xf>
    <xf numFmtId="0" fontId="0" fillId="0" borderId="0" xfId="0" applyFont="1" applyFill="1" applyBorder="1"/>
    <xf numFmtId="0" fontId="0" fillId="0" borderId="0" xfId="0" applyFont="1" applyFill="1" applyBorder="1" applyAlignment="1">
      <alignment horizontal="left"/>
    </xf>
    <xf numFmtId="0" fontId="0" fillId="0" borderId="36" xfId="0" applyFont="1" applyFill="1" applyBorder="1"/>
    <xf numFmtId="0" fontId="0" fillId="0" borderId="52" xfId="0" applyFont="1" applyFill="1" applyBorder="1"/>
    <xf numFmtId="0" fontId="0" fillId="0" borderId="3" xfId="0" applyFont="1" applyFill="1" applyBorder="1"/>
    <xf numFmtId="0" fontId="0" fillId="0" borderId="3" xfId="0" applyFont="1" applyFill="1" applyBorder="1" applyAlignment="1">
      <alignment horizontal="left"/>
    </xf>
    <xf numFmtId="0" fontId="0" fillId="0" borderId="53" xfId="0" applyFont="1" applyFill="1" applyBorder="1"/>
    <xf numFmtId="0" fontId="14" fillId="0" borderId="55" xfId="0" applyFont="1" applyFill="1" applyBorder="1" applyAlignment="1">
      <alignment horizontal="center" vertical="center"/>
    </xf>
    <xf numFmtId="0" fontId="14" fillId="0" borderId="15" xfId="0" applyFont="1" applyFill="1" applyBorder="1" applyAlignment="1">
      <alignment horizontal="center" vertical="center"/>
    </xf>
    <xf numFmtId="0" fontId="14" fillId="0" borderId="15" xfId="0" applyFont="1" applyFill="1" applyBorder="1" applyAlignment="1">
      <alignment horizontal="left" vertical="center"/>
    </xf>
    <xf numFmtId="0" fontId="14" fillId="0" borderId="16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167" fontId="0" fillId="0" borderId="57" xfId="2" applyNumberFormat="1" applyFont="1" applyFill="1" applyBorder="1" applyAlignment="1" applyProtection="1">
      <alignment horizontal="center" vertical="center"/>
    </xf>
    <xf numFmtId="0" fontId="0" fillId="0" borderId="58" xfId="0" applyFont="1" applyFill="1" applyBorder="1" applyAlignment="1">
      <alignment horizontal="center" vertical="center"/>
    </xf>
    <xf numFmtId="0" fontId="0" fillId="0" borderId="20" xfId="0" applyFont="1" applyFill="1" applyBorder="1" applyAlignment="1">
      <alignment horizontal="center" vertical="center"/>
    </xf>
    <xf numFmtId="0" fontId="0" fillId="0" borderId="21" xfId="0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167" fontId="0" fillId="0" borderId="59" xfId="2" applyNumberFormat="1" applyFont="1" applyFill="1" applyBorder="1" applyAlignment="1" applyProtection="1">
      <alignment horizontal="center" vertical="center"/>
    </xf>
    <xf numFmtId="0" fontId="12" fillId="0" borderId="58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0" fontId="12" fillId="0" borderId="22" xfId="0" applyFont="1" applyFill="1" applyBorder="1" applyAlignment="1">
      <alignment horizontal="center" vertical="center"/>
    </xf>
    <xf numFmtId="0" fontId="0" fillId="0" borderId="60" xfId="0" applyFont="1" applyFill="1" applyBorder="1" applyAlignment="1">
      <alignment horizontal="center" vertical="center"/>
    </xf>
    <xf numFmtId="0" fontId="0" fillId="0" borderId="23" xfId="0" applyFont="1" applyFill="1" applyBorder="1" applyAlignment="1">
      <alignment horizontal="center" vertical="center"/>
    </xf>
    <xf numFmtId="0" fontId="0" fillId="0" borderId="24" xfId="0" applyFont="1" applyFill="1" applyBorder="1" applyAlignment="1">
      <alignment horizontal="center" vertical="center"/>
    </xf>
    <xf numFmtId="167" fontId="0" fillId="0" borderId="61" xfId="2" applyNumberFormat="1" applyFont="1" applyFill="1" applyBorder="1" applyAlignment="1" applyProtection="1">
      <alignment horizontal="center" vertical="center"/>
    </xf>
    <xf numFmtId="167" fontId="14" fillId="0" borderId="62" xfId="0" applyNumberFormat="1" applyFont="1" applyFill="1" applyBorder="1" applyAlignment="1">
      <alignment horizontal="center" vertical="center"/>
    </xf>
    <xf numFmtId="0" fontId="30" fillId="0" borderId="0" xfId="0" applyFont="1" applyBorder="1" applyAlignment="1">
      <alignment horizontal="left" vertical="center" wrapText="1"/>
    </xf>
    <xf numFmtId="0" fontId="27" fillId="0" borderId="0" xfId="0" applyFont="1" applyBorder="1" applyAlignment="1">
      <alignment horizontal="left" vertical="center" wrapText="1"/>
    </xf>
    <xf numFmtId="0" fontId="9" fillId="3" borderId="41" xfId="0" applyFont="1" applyFill="1" applyBorder="1" applyAlignment="1">
      <alignment horizontal="center" vertical="center"/>
    </xf>
    <xf numFmtId="0" fontId="9" fillId="3" borderId="35" xfId="0" applyFont="1" applyFill="1" applyBorder="1" applyAlignment="1">
      <alignment horizontal="center" vertical="center"/>
    </xf>
    <xf numFmtId="0" fontId="23" fillId="3" borderId="34" xfId="0" applyFont="1" applyFill="1" applyBorder="1" applyAlignment="1">
      <alignment horizontal="center" vertical="center"/>
    </xf>
    <xf numFmtId="0" fontId="15" fillId="0" borderId="31" xfId="0" applyFont="1" applyFill="1" applyBorder="1" applyAlignment="1">
      <alignment horizontal="center"/>
    </xf>
    <xf numFmtId="0" fontId="15" fillId="0" borderId="32" xfId="0" applyFont="1" applyFill="1" applyBorder="1" applyAlignment="1">
      <alignment horizontal="center"/>
    </xf>
    <xf numFmtId="0" fontId="15" fillId="0" borderId="0" xfId="0" applyFont="1" applyBorder="1" applyAlignment="1">
      <alignment vertical="center"/>
    </xf>
    <xf numFmtId="0" fontId="15" fillId="0" borderId="4" xfId="0" applyFont="1" applyBorder="1" applyAlignment="1">
      <alignment vertical="center"/>
    </xf>
    <xf numFmtId="0" fontId="15" fillId="0" borderId="0" xfId="0" applyFont="1" applyFill="1" applyBorder="1" applyAlignment="1">
      <alignment horizontal="left" vertical="center"/>
    </xf>
    <xf numFmtId="0" fontId="15" fillId="0" borderId="4" xfId="0" applyFont="1" applyFill="1" applyBorder="1" applyAlignment="1">
      <alignment horizontal="left" vertical="center"/>
    </xf>
    <xf numFmtId="0" fontId="15" fillId="0" borderId="4" xfId="0" applyFont="1" applyFill="1" applyBorder="1" applyAlignment="1">
      <alignment horizontal="center"/>
    </xf>
    <xf numFmtId="0" fontId="15" fillId="0" borderId="0" xfId="0" applyFont="1" applyFill="1" applyBorder="1" applyAlignment="1">
      <alignment horizontal="center"/>
    </xf>
    <xf numFmtId="0" fontId="15" fillId="0" borderId="4" xfId="0" applyFont="1" applyFill="1" applyBorder="1" applyAlignment="1">
      <alignment horizontal="center" wrapText="1"/>
    </xf>
    <xf numFmtId="0" fontId="15" fillId="0" borderId="0" xfId="0" applyFont="1" applyFill="1" applyBorder="1" applyAlignment="1">
      <alignment horizontal="left" wrapText="1"/>
    </xf>
    <xf numFmtId="0" fontId="15" fillId="0" borderId="4" xfId="0" applyFont="1" applyFill="1" applyBorder="1" applyAlignment="1">
      <alignment horizontal="left" wrapText="1"/>
    </xf>
    <xf numFmtId="0" fontId="15" fillId="0" borderId="0" xfId="0" applyFont="1" applyAlignment="1">
      <alignment horizontal="center"/>
    </xf>
    <xf numFmtId="0" fontId="15" fillId="0" borderId="4" xfId="0" applyFont="1" applyBorder="1" applyAlignment="1">
      <alignment horizontal="center"/>
    </xf>
    <xf numFmtId="0" fontId="21" fillId="0" borderId="11" xfId="0" applyFont="1" applyBorder="1" applyAlignment="1">
      <alignment horizontal="center" vertical="center" wrapText="1"/>
    </xf>
    <xf numFmtId="0" fontId="21" fillId="0" borderId="33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/>
    </xf>
    <xf numFmtId="0" fontId="16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right" vertical="center"/>
    </xf>
    <xf numFmtId="0" fontId="17" fillId="0" borderId="0" xfId="0" applyFont="1" applyBorder="1" applyAlignment="1">
      <alignment horizontal="left" vertical="center" wrapText="1"/>
    </xf>
    <xf numFmtId="0" fontId="18" fillId="0" borderId="0" xfId="0" applyFont="1" applyFill="1" applyBorder="1" applyAlignment="1">
      <alignment horizontal="left" wrapText="1" indent="1"/>
    </xf>
    <xf numFmtId="0" fontId="18" fillId="0" borderId="0" xfId="0" applyFont="1" applyFill="1" applyBorder="1" applyAlignment="1">
      <alignment horizontal="center" wrapText="1"/>
    </xf>
    <xf numFmtId="0" fontId="23" fillId="0" borderId="46" xfId="0" applyFont="1" applyBorder="1" applyAlignment="1">
      <alignment horizontal="center" vertical="center" wrapText="1"/>
    </xf>
    <xf numFmtId="0" fontId="23" fillId="0" borderId="47" xfId="0" applyFont="1" applyBorder="1" applyAlignment="1">
      <alignment horizontal="center" vertical="center" wrapText="1"/>
    </xf>
    <xf numFmtId="0" fontId="23" fillId="0" borderId="48" xfId="0" applyFont="1" applyBorder="1" applyAlignment="1">
      <alignment horizontal="center" vertical="center" wrapText="1"/>
    </xf>
    <xf numFmtId="0" fontId="28" fillId="0" borderId="28" xfId="0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 wrapText="1"/>
    </xf>
    <xf numFmtId="165" fontId="7" fillId="0" borderId="5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9" fillId="0" borderId="35" xfId="0" applyFont="1" applyFill="1" applyBorder="1" applyAlignment="1">
      <alignment horizontal="left" vertical="center" wrapText="1"/>
    </xf>
    <xf numFmtId="0" fontId="9" fillId="0" borderId="11" xfId="0" applyFont="1" applyFill="1" applyBorder="1" applyAlignment="1">
      <alignment horizontal="left" vertical="center" wrapText="1"/>
    </xf>
    <xf numFmtId="0" fontId="9" fillId="0" borderId="33" xfId="0" applyFont="1" applyFill="1" applyBorder="1" applyAlignment="1">
      <alignment horizontal="left" vertical="center" wrapText="1"/>
    </xf>
    <xf numFmtId="0" fontId="9" fillId="0" borderId="12" xfId="0" applyFont="1" applyFill="1" applyBorder="1" applyAlignment="1">
      <alignment horizontal="left" vertical="center" wrapText="1"/>
    </xf>
    <xf numFmtId="0" fontId="7" fillId="0" borderId="39" xfId="0" applyFont="1" applyBorder="1" applyAlignment="1">
      <alignment horizontal="left" vertical="center" wrapText="1"/>
    </xf>
    <xf numFmtId="0" fontId="6" fillId="0" borderId="5" xfId="0" applyFont="1" applyFill="1" applyBorder="1" applyAlignment="1">
      <alignment horizontal="left" vertical="center" wrapText="1" indent="1"/>
    </xf>
    <xf numFmtId="0" fontId="5" fillId="0" borderId="0" xfId="0" applyFont="1" applyBorder="1" applyAlignment="1">
      <alignment horizontal="center" vertical="center"/>
    </xf>
    <xf numFmtId="0" fontId="7" fillId="0" borderId="38" xfId="0" applyFont="1" applyBorder="1" applyAlignment="1">
      <alignment horizontal="left" vertical="center" wrapText="1"/>
    </xf>
    <xf numFmtId="0" fontId="6" fillId="0" borderId="11" xfId="0" applyFont="1" applyFill="1" applyBorder="1" applyAlignment="1">
      <alignment horizontal="left" vertical="center" wrapText="1" indent="1"/>
    </xf>
    <xf numFmtId="0" fontId="6" fillId="0" borderId="33" xfId="0" applyFont="1" applyFill="1" applyBorder="1" applyAlignment="1">
      <alignment horizontal="left" vertical="center" wrapText="1" indent="1"/>
    </xf>
    <xf numFmtId="0" fontId="6" fillId="0" borderId="12" xfId="0" applyFont="1" applyFill="1" applyBorder="1" applyAlignment="1">
      <alignment horizontal="left" vertical="center" wrapText="1" indent="1"/>
    </xf>
    <xf numFmtId="0" fontId="7" fillId="0" borderId="6" xfId="0" applyFont="1" applyBorder="1" applyAlignment="1">
      <alignment horizontal="left" vertical="center"/>
    </xf>
    <xf numFmtId="0" fontId="6" fillId="0" borderId="7" xfId="0" applyFont="1" applyFill="1" applyBorder="1" applyAlignment="1">
      <alignment horizontal="left" vertical="center" wrapText="1" indent="1"/>
    </xf>
    <xf numFmtId="0" fontId="6" fillId="0" borderId="5" xfId="0" applyFont="1" applyBorder="1" applyAlignment="1">
      <alignment horizontal="left" vertical="center" wrapText="1" indent="1"/>
    </xf>
    <xf numFmtId="0" fontId="15" fillId="0" borderId="0" xfId="0" applyFont="1" applyFill="1" applyBorder="1" applyAlignment="1">
      <alignment horizontal="center" wrapText="1"/>
    </xf>
    <xf numFmtId="0" fontId="9" fillId="0" borderId="38" xfId="0" applyFont="1" applyFill="1" applyBorder="1" applyAlignment="1">
      <alignment horizontal="left" vertical="center" wrapText="1"/>
    </xf>
    <xf numFmtId="0" fontId="9" fillId="0" borderId="49" xfId="0" applyFont="1" applyFill="1" applyBorder="1" applyAlignment="1">
      <alignment horizontal="left" vertical="center" wrapText="1"/>
    </xf>
    <xf numFmtId="0" fontId="9" fillId="0" borderId="50" xfId="0" applyFont="1" applyFill="1" applyBorder="1" applyAlignment="1">
      <alignment horizontal="left" vertical="center" wrapText="1"/>
    </xf>
    <xf numFmtId="0" fontId="12" fillId="0" borderId="37" xfId="0" applyFont="1" applyFill="1" applyBorder="1" applyAlignment="1">
      <alignment horizontal="left" indent="1"/>
    </xf>
    <xf numFmtId="0" fontId="0" fillId="0" borderId="11" xfId="0" applyFont="1" applyFill="1" applyBorder="1" applyAlignment="1">
      <alignment horizontal="center"/>
    </xf>
    <xf numFmtId="3" fontId="10" fillId="0" borderId="12" xfId="0" applyNumberFormat="1" applyFont="1" applyFill="1" applyBorder="1" applyAlignment="1">
      <alignment horizontal="center"/>
    </xf>
    <xf numFmtId="0" fontId="11" fillId="0" borderId="37" xfId="0" applyFont="1" applyFill="1" applyBorder="1" applyAlignment="1">
      <alignment horizontal="center" vertical="center" wrapText="1"/>
    </xf>
    <xf numFmtId="0" fontId="3" fillId="0" borderId="37" xfId="0" applyFont="1" applyFill="1" applyBorder="1"/>
    <xf numFmtId="0" fontId="0" fillId="0" borderId="18" xfId="0" applyFont="1" applyFill="1" applyBorder="1" applyAlignment="1">
      <alignment horizontal="left" vertical="center" wrapText="1"/>
    </xf>
    <xf numFmtId="0" fontId="13" fillId="0" borderId="37" xfId="0" applyFont="1" applyFill="1" applyBorder="1" applyAlignment="1">
      <alignment horizontal="left"/>
    </xf>
    <xf numFmtId="0" fontId="12" fillId="0" borderId="51" xfId="0" applyFont="1" applyFill="1" applyBorder="1"/>
    <xf numFmtId="0" fontId="12" fillId="0" borderId="17" xfId="0" applyFont="1" applyFill="1" applyBorder="1" applyAlignment="1">
      <alignment horizontal="left" vertical="center" wrapText="1" indent="1"/>
    </xf>
    <xf numFmtId="0" fontId="14" fillId="0" borderId="14" xfId="0" applyFont="1" applyFill="1" applyBorder="1" applyAlignment="1">
      <alignment horizontal="center" vertical="center"/>
    </xf>
    <xf numFmtId="0" fontId="14" fillId="0" borderId="37" xfId="0" applyFont="1" applyFill="1" applyBorder="1" applyAlignment="1">
      <alignment horizontal="center" vertical="center"/>
    </xf>
    <xf numFmtId="0" fontId="14" fillId="0" borderId="14" xfId="0" applyFont="1" applyFill="1" applyBorder="1" applyAlignment="1">
      <alignment horizontal="center" vertical="center" wrapText="1"/>
    </xf>
    <xf numFmtId="0" fontId="14" fillId="0" borderId="54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left" vertical="center" wrapText="1" indent="1"/>
    </xf>
    <xf numFmtId="0" fontId="12" fillId="0" borderId="70" xfId="0" applyFont="1" applyFill="1" applyBorder="1" applyAlignment="1">
      <alignment horizontal="left" vertical="center" wrapText="1" indent="1"/>
    </xf>
    <xf numFmtId="0" fontId="12" fillId="0" borderId="68" xfId="0" applyFont="1" applyFill="1" applyBorder="1" applyAlignment="1">
      <alignment horizontal="left" vertical="center" wrapText="1" indent="1"/>
    </xf>
    <xf numFmtId="0" fontId="12" fillId="0" borderId="69" xfId="0" applyFont="1" applyFill="1" applyBorder="1" applyAlignment="1">
      <alignment horizontal="left" vertical="center" wrapText="1" indent="1"/>
    </xf>
    <xf numFmtId="0" fontId="0" fillId="0" borderId="22" xfId="0" applyFont="1" applyFill="1" applyBorder="1" applyAlignment="1">
      <alignment horizontal="left" vertical="center"/>
    </xf>
    <xf numFmtId="0" fontId="0" fillId="0" borderId="23" xfId="0" applyFont="1" applyFill="1" applyBorder="1" applyAlignment="1">
      <alignment horizontal="left" vertical="center"/>
    </xf>
    <xf numFmtId="0" fontId="10" fillId="0" borderId="62" xfId="0" applyFont="1" applyFill="1" applyBorder="1" applyAlignment="1">
      <alignment horizontal="left" vertical="center" wrapText="1"/>
    </xf>
    <xf numFmtId="0" fontId="0" fillId="0" borderId="14" xfId="0" applyFont="1" applyFill="1" applyBorder="1"/>
    <xf numFmtId="0" fontId="10" fillId="0" borderId="63" xfId="0" applyFont="1" applyFill="1" applyBorder="1" applyAlignment="1">
      <alignment vertical="center" wrapText="1"/>
    </xf>
    <xf numFmtId="0" fontId="10" fillId="0" borderId="64" xfId="0" applyFont="1" applyFill="1" applyBorder="1" applyAlignment="1">
      <alignment vertical="center" wrapText="1"/>
    </xf>
    <xf numFmtId="0" fontId="10" fillId="0" borderId="65" xfId="0" applyFont="1" applyFill="1" applyBorder="1" applyAlignment="1">
      <alignment vertical="center" wrapText="1"/>
    </xf>
    <xf numFmtId="0" fontId="12" fillId="0" borderId="66" xfId="0" applyFont="1" applyFill="1" applyBorder="1" applyAlignment="1">
      <alignment vertical="center" wrapText="1"/>
    </xf>
    <xf numFmtId="0" fontId="12" fillId="0" borderId="54" xfId="0" applyFont="1" applyFill="1" applyBorder="1" applyAlignment="1">
      <alignment vertical="center" wrapText="1"/>
    </xf>
    <xf numFmtId="0" fontId="12" fillId="0" borderId="67" xfId="0" applyFont="1" applyFill="1" applyBorder="1" applyAlignment="1">
      <alignment vertical="center" wrapText="1"/>
    </xf>
    <xf numFmtId="0" fontId="31" fillId="0" borderId="0" xfId="0" applyFont="1" applyAlignment="1">
      <alignment horizontal="center"/>
    </xf>
    <xf numFmtId="0" fontId="20" fillId="0" borderId="0" xfId="0" applyFont="1" applyAlignment="1">
      <alignment horizontal="left"/>
    </xf>
  </cellXfs>
  <cellStyles count="10">
    <cellStyle name="Encabezado 1" xfId="1" xr:uid="{00000000-0005-0000-0000-000000000000}"/>
    <cellStyle name="Moneda 2" xfId="4" xr:uid="{00000000-0005-0000-0000-000001000000}"/>
    <cellStyle name="Moneda_AUTORIZACION Y NOTA DE PEDIDO" xfId="2" xr:uid="{00000000-0005-0000-0000-000002000000}"/>
    <cellStyle name="Neutral 1" xfId="3" xr:uid="{00000000-0005-0000-0000-000003000000}"/>
    <cellStyle name="Normal" xfId="0" builtinId="0"/>
    <cellStyle name="Normal 2" xfId="5" xr:uid="{00000000-0005-0000-0000-000005000000}"/>
    <cellStyle name="Normal 3" xfId="7" xr:uid="{00000000-0005-0000-0000-000006000000}"/>
    <cellStyle name="Normal 3 2" xfId="8" xr:uid="{00000000-0005-0000-0000-000007000000}"/>
    <cellStyle name="Normal 4" xfId="9" xr:uid="{00000000-0005-0000-0000-000008000000}"/>
    <cellStyle name="Normal 5" xfId="6" xr:uid="{00000000-0005-0000-0000-000009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152400</xdr:rowOff>
    </xdr:from>
    <xdr:to>
      <xdr:col>2</xdr:col>
      <xdr:colOff>581025</xdr:colOff>
      <xdr:row>3</xdr:row>
      <xdr:rowOff>142875</xdr:rowOff>
    </xdr:to>
    <xdr:pic>
      <xdr:nvPicPr>
        <xdr:cNvPr id="2" name="Imagen 1" descr="Descripción: C:\Documents and Settings\Administrador\Escritorio\Logo_Salud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52400"/>
          <a:ext cx="184785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523875</xdr:colOff>
      <xdr:row>44</xdr:row>
      <xdr:rowOff>32173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095875" cy="71568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35"/>
  <sheetViews>
    <sheetView tabSelected="1" zoomScale="60" zoomScaleNormal="60" workbookViewId="0">
      <selection activeCell="C27" sqref="C27:E27"/>
    </sheetView>
  </sheetViews>
  <sheetFormatPr baseColWidth="10" defaultColWidth="11" defaultRowHeight="12.75" x14ac:dyDescent="0.2"/>
  <cols>
    <col min="1" max="1" width="6.42578125" style="6" customWidth="1"/>
    <col min="2" max="2" width="13.85546875" style="17" customWidth="1"/>
    <col min="3" max="3" width="37.85546875" style="18" customWidth="1"/>
    <col min="4" max="4" width="8.42578125" style="19" customWidth="1"/>
    <col min="5" max="5" width="190.7109375" style="18" customWidth="1"/>
    <col min="6" max="6" width="23.28515625" style="19" customWidth="1"/>
    <col min="7" max="7" width="20" style="21" customWidth="1"/>
    <col min="8" max="8" width="18.140625" style="10" customWidth="1"/>
    <col min="9" max="9" width="23.5703125" style="7" customWidth="1"/>
    <col min="10" max="10" width="11" style="6"/>
    <col min="11" max="11" width="14.7109375" style="6" customWidth="1"/>
    <col min="12" max="12" width="13.7109375" style="6" customWidth="1"/>
    <col min="13" max="16384" width="11" style="6"/>
  </cols>
  <sheetData>
    <row r="2" spans="1:9" ht="27" x14ac:dyDescent="0.35">
      <c r="B2" s="115" t="s">
        <v>38</v>
      </c>
      <c r="C2" s="115"/>
      <c r="D2" s="115"/>
      <c r="E2" s="115"/>
      <c r="F2" s="115"/>
      <c r="G2" s="116"/>
      <c r="H2" s="117"/>
    </row>
    <row r="3" spans="1:9" ht="18" customHeight="1" x14ac:dyDescent="0.25">
      <c r="A3" s="118"/>
      <c r="B3" s="118"/>
      <c r="C3" s="119"/>
      <c r="D3" s="120"/>
      <c r="E3" s="119"/>
      <c r="F3" s="8"/>
      <c r="G3" s="9"/>
    </row>
    <row r="4" spans="1:9" ht="18" customHeight="1" x14ac:dyDescent="0.25">
      <c r="A4" s="118" t="s">
        <v>39</v>
      </c>
      <c r="B4" s="118"/>
      <c r="C4" s="119" t="s">
        <v>40</v>
      </c>
      <c r="D4" s="120"/>
      <c r="E4" s="119"/>
      <c r="F4" s="8"/>
      <c r="G4" s="9"/>
    </row>
    <row r="5" spans="1:9" ht="18" customHeight="1" x14ac:dyDescent="0.25">
      <c r="A5" s="118" t="s">
        <v>41</v>
      </c>
      <c r="B5" s="118"/>
      <c r="C5" s="119" t="s">
        <v>74</v>
      </c>
      <c r="D5" s="120"/>
      <c r="E5" s="119"/>
      <c r="F5" s="8"/>
      <c r="G5" s="9"/>
    </row>
    <row r="6" spans="1:9" ht="16.5" customHeight="1" x14ac:dyDescent="0.2">
      <c r="A6" s="118" t="s">
        <v>16</v>
      </c>
      <c r="B6" s="118"/>
      <c r="C6" s="11">
        <v>2021</v>
      </c>
      <c r="D6" s="12"/>
      <c r="E6" s="13"/>
      <c r="F6" s="8"/>
      <c r="G6" s="9"/>
    </row>
    <row r="7" spans="1:9" ht="15.75" x14ac:dyDescent="0.2">
      <c r="A7" s="118" t="s">
        <v>42</v>
      </c>
      <c r="B7" s="118"/>
      <c r="C7" s="11" t="s">
        <v>72</v>
      </c>
      <c r="D7" s="12"/>
      <c r="E7" s="13"/>
      <c r="F7" s="8"/>
      <c r="G7" s="9"/>
    </row>
    <row r="8" spans="1:9" ht="13.5" thickBot="1" x14ac:dyDescent="0.25">
      <c r="B8" s="14"/>
      <c r="C8" s="15"/>
      <c r="D8" s="8"/>
      <c r="E8" s="15"/>
      <c r="F8" s="8"/>
      <c r="G8" s="9"/>
    </row>
    <row r="9" spans="1:9" ht="51" customHeight="1" thickBot="1" x14ac:dyDescent="0.25">
      <c r="A9" s="36" t="s">
        <v>43</v>
      </c>
      <c r="B9" s="37" t="s">
        <v>44</v>
      </c>
      <c r="C9" s="38" t="s">
        <v>45</v>
      </c>
      <c r="D9" s="39" t="s">
        <v>46</v>
      </c>
      <c r="E9" s="54" t="s">
        <v>47</v>
      </c>
      <c r="F9" s="55" t="s">
        <v>48</v>
      </c>
      <c r="G9" s="56" t="s">
        <v>49</v>
      </c>
      <c r="H9" s="57" t="s">
        <v>50</v>
      </c>
      <c r="I9" s="58" t="s">
        <v>51</v>
      </c>
    </row>
    <row r="10" spans="1:9" ht="51" customHeight="1" thickBot="1" x14ac:dyDescent="0.25">
      <c r="A10" s="36">
        <v>1</v>
      </c>
      <c r="B10" t="s">
        <v>65</v>
      </c>
      <c r="C10" s="41" t="s">
        <v>71</v>
      </c>
      <c r="D10" s="53">
        <v>252</v>
      </c>
      <c r="E10" s="60" t="s">
        <v>101</v>
      </c>
      <c r="F10" s="60" t="s">
        <v>90</v>
      </c>
      <c r="G10" s="61">
        <v>65</v>
      </c>
      <c r="H10" s="49">
        <v>11948.58</v>
      </c>
      <c r="I10" s="1">
        <v>776657.7</v>
      </c>
    </row>
    <row r="11" spans="1:9" ht="51" customHeight="1" thickBot="1" x14ac:dyDescent="0.25">
      <c r="A11" s="36">
        <v>2</v>
      </c>
      <c r="B11" t="s">
        <v>69</v>
      </c>
      <c r="C11" s="41" t="s">
        <v>71</v>
      </c>
      <c r="D11" s="53">
        <v>252</v>
      </c>
      <c r="E11" s="60" t="s">
        <v>102</v>
      </c>
      <c r="F11" s="60" t="s">
        <v>90</v>
      </c>
      <c r="G11" s="61">
        <v>18</v>
      </c>
      <c r="H11" s="52">
        <v>547</v>
      </c>
      <c r="I11" s="60">
        <v>9846</v>
      </c>
    </row>
    <row r="12" spans="1:9" ht="51" customHeight="1" thickBot="1" x14ac:dyDescent="0.25">
      <c r="A12" s="36">
        <v>3</v>
      </c>
      <c r="B12" t="s">
        <v>66</v>
      </c>
      <c r="C12" s="41" t="s">
        <v>71</v>
      </c>
      <c r="D12" s="53">
        <v>252</v>
      </c>
      <c r="E12" s="60" t="s">
        <v>75</v>
      </c>
      <c r="F12" s="60" t="s">
        <v>90</v>
      </c>
      <c r="G12" s="61">
        <v>14</v>
      </c>
      <c r="H12" s="52">
        <v>1406.67</v>
      </c>
      <c r="I12" s="1">
        <v>19693.38</v>
      </c>
    </row>
    <row r="13" spans="1:9" ht="51" customHeight="1" thickBot="1" x14ac:dyDescent="0.25">
      <c r="A13" s="36">
        <v>4</v>
      </c>
      <c r="B13" t="s">
        <v>68</v>
      </c>
      <c r="C13" s="41" t="s">
        <v>71</v>
      </c>
      <c r="D13" s="98">
        <v>252</v>
      </c>
      <c r="E13" s="60" t="s">
        <v>76</v>
      </c>
      <c r="F13" s="60" t="s">
        <v>91</v>
      </c>
      <c r="G13" s="61">
        <v>6</v>
      </c>
      <c r="H13" s="52">
        <v>1004.96</v>
      </c>
      <c r="I13" s="1">
        <v>6029.76</v>
      </c>
    </row>
    <row r="14" spans="1:9" ht="51" customHeight="1" thickBot="1" x14ac:dyDescent="0.25">
      <c r="A14" s="36">
        <v>5</v>
      </c>
      <c r="B14" t="s">
        <v>70</v>
      </c>
      <c r="C14" s="41" t="s">
        <v>71</v>
      </c>
      <c r="D14" s="98">
        <v>252</v>
      </c>
      <c r="E14" s="60" t="s">
        <v>77</v>
      </c>
      <c r="F14" s="60" t="s">
        <v>91</v>
      </c>
      <c r="G14" s="61">
        <v>7</v>
      </c>
      <c r="H14" s="52">
        <v>6207.19</v>
      </c>
      <c r="I14" s="60">
        <v>43450.33</v>
      </c>
    </row>
    <row r="15" spans="1:9" s="16" customFormat="1" ht="43.5" customHeight="1" thickBot="1" x14ac:dyDescent="0.25">
      <c r="A15" s="40">
        <v>6</v>
      </c>
      <c r="B15" t="s">
        <v>67</v>
      </c>
      <c r="C15" s="41" t="s">
        <v>71</v>
      </c>
      <c r="D15" s="98">
        <v>252</v>
      </c>
      <c r="E15" s="60" t="s">
        <v>100</v>
      </c>
      <c r="F15" s="60" t="s">
        <v>91</v>
      </c>
      <c r="G15" s="61">
        <v>5</v>
      </c>
      <c r="H15" s="52">
        <v>28423.119999999999</v>
      </c>
      <c r="I15" s="1">
        <v>142115.54999999999</v>
      </c>
    </row>
    <row r="16" spans="1:9" ht="43.5" customHeight="1" thickBot="1" x14ac:dyDescent="0.3">
      <c r="A16" s="112"/>
      <c r="B16" s="113"/>
      <c r="C16" s="113"/>
      <c r="D16" s="114"/>
      <c r="E16" s="121" t="s">
        <v>52</v>
      </c>
      <c r="F16" s="122"/>
      <c r="G16" s="122"/>
      <c r="H16" s="123"/>
      <c r="I16" s="59">
        <f>SUM(I5:I15)</f>
        <v>997792.72</v>
      </c>
    </row>
    <row r="17" spans="1:12" ht="18.75" thickBot="1" x14ac:dyDescent="0.3">
      <c r="E17" s="124" t="s">
        <v>53</v>
      </c>
      <c r="F17" s="124"/>
      <c r="G17" s="124"/>
      <c r="H17" s="124"/>
      <c r="I17" s="20">
        <f>+I16</f>
        <v>997792.72</v>
      </c>
    </row>
    <row r="18" spans="1:12" ht="27" customHeight="1" thickTop="1" thickBot="1" x14ac:dyDescent="0.25"/>
    <row r="19" spans="1:12" x14ac:dyDescent="0.2">
      <c r="B19" s="22" t="s">
        <v>81</v>
      </c>
      <c r="C19" s="23" t="s">
        <v>63</v>
      </c>
      <c r="D19" s="24"/>
      <c r="E19" s="25"/>
    </row>
    <row r="20" spans="1:12" ht="24.75" customHeight="1" x14ac:dyDescent="0.2">
      <c r="B20" s="26"/>
      <c r="C20" s="27"/>
      <c r="D20" s="28"/>
      <c r="E20" s="29"/>
    </row>
    <row r="21" spans="1:12" ht="24.75" customHeight="1" x14ac:dyDescent="0.2">
      <c r="B21" s="30" t="s">
        <v>54</v>
      </c>
      <c r="C21" s="125"/>
      <c r="D21" s="125"/>
      <c r="E21" s="111"/>
    </row>
    <row r="22" spans="1:12" ht="24.75" customHeight="1" x14ac:dyDescent="0.2">
      <c r="B22" s="30"/>
      <c r="C22" s="107"/>
      <c r="D22" s="107"/>
      <c r="E22" s="107"/>
    </row>
    <row r="23" spans="1:12" ht="24.75" customHeight="1" x14ac:dyDescent="0.2">
      <c r="B23" s="30" t="s">
        <v>55</v>
      </c>
      <c r="C23" s="101" t="s">
        <v>56</v>
      </c>
      <c r="D23" s="101"/>
      <c r="E23" s="102"/>
    </row>
    <row r="24" spans="1:12" ht="24.75" customHeight="1" x14ac:dyDescent="0.2">
      <c r="B24" s="30"/>
      <c r="C24" s="101" t="s">
        <v>64</v>
      </c>
      <c r="D24" s="101"/>
      <c r="E24" s="102"/>
    </row>
    <row r="25" spans="1:12" ht="24.75" customHeight="1" x14ac:dyDescent="0.2">
      <c r="B25" s="30"/>
      <c r="C25" s="101" t="s">
        <v>57</v>
      </c>
      <c r="D25" s="101"/>
      <c r="E25" s="102"/>
    </row>
    <row r="26" spans="1:12" s="34" customFormat="1" ht="24.75" customHeight="1" x14ac:dyDescent="0.2">
      <c r="A26" s="6"/>
      <c r="B26" s="26"/>
      <c r="C26" s="103" t="s">
        <v>73</v>
      </c>
      <c r="D26" s="103"/>
      <c r="E26" s="104"/>
      <c r="F26" s="19"/>
      <c r="G26" s="21"/>
      <c r="H26" s="10"/>
      <c r="I26" s="7"/>
      <c r="J26" s="31"/>
      <c r="K26" s="32"/>
      <c r="L26" s="33"/>
    </row>
    <row r="27" spans="1:12" ht="24.75" customHeight="1" x14ac:dyDescent="0.2">
      <c r="B27" s="26"/>
      <c r="C27" s="105"/>
      <c r="D27" s="105"/>
      <c r="E27" s="105"/>
      <c r="J27" s="31"/>
      <c r="K27" s="32"/>
      <c r="L27" s="33"/>
    </row>
    <row r="28" spans="1:12" ht="24.75" customHeight="1" x14ac:dyDescent="0.2">
      <c r="B28" s="30" t="s">
        <v>58</v>
      </c>
      <c r="C28" s="106"/>
      <c r="D28" s="106"/>
      <c r="E28" s="105"/>
      <c r="J28" s="31"/>
      <c r="K28" s="32"/>
      <c r="L28" s="33"/>
    </row>
    <row r="29" spans="1:12" ht="24.75" customHeight="1" x14ac:dyDescent="0.2">
      <c r="B29" s="26"/>
      <c r="C29" s="107"/>
      <c r="D29" s="107"/>
      <c r="E29" s="107"/>
      <c r="J29" s="31"/>
      <c r="K29" s="32"/>
      <c r="L29" s="33"/>
    </row>
    <row r="30" spans="1:12" ht="24.75" customHeight="1" x14ac:dyDescent="0.2">
      <c r="B30" s="30" t="s">
        <v>59</v>
      </c>
      <c r="C30" s="108" t="s">
        <v>78</v>
      </c>
      <c r="D30" s="108"/>
      <c r="E30" s="109"/>
      <c r="J30" s="31"/>
      <c r="K30" s="32"/>
      <c r="L30" s="33"/>
    </row>
    <row r="31" spans="1:12" ht="24.75" customHeight="1" x14ac:dyDescent="0.2">
      <c r="B31" s="26"/>
      <c r="C31" s="107"/>
      <c r="D31" s="107"/>
      <c r="E31" s="107"/>
    </row>
    <row r="32" spans="1:12" ht="24.75" customHeight="1" x14ac:dyDescent="0.2">
      <c r="B32" s="30" t="s">
        <v>60</v>
      </c>
      <c r="C32" s="110"/>
      <c r="D32" s="110"/>
      <c r="E32" s="111"/>
    </row>
    <row r="33" spans="2:12" ht="24.75" customHeight="1" x14ac:dyDescent="0.2">
      <c r="B33" s="30"/>
      <c r="C33" s="105"/>
      <c r="D33" s="105"/>
      <c r="E33" s="105"/>
    </row>
    <row r="34" spans="2:12" ht="24.75" customHeight="1" thickBot="1" x14ac:dyDescent="0.25">
      <c r="B34" s="35"/>
      <c r="C34" s="99"/>
      <c r="D34" s="99"/>
      <c r="E34" s="100"/>
    </row>
    <row r="35" spans="2:12" x14ac:dyDescent="0.2">
      <c r="J35" s="31"/>
      <c r="K35" s="32"/>
      <c r="L35" s="33"/>
    </row>
  </sheetData>
  <mergeCells count="26">
    <mergeCell ref="C22:E22"/>
    <mergeCell ref="A16:D16"/>
    <mergeCell ref="B2:H2"/>
    <mergeCell ref="A3:B3"/>
    <mergeCell ref="C3:E3"/>
    <mergeCell ref="A4:B4"/>
    <mergeCell ref="C4:E4"/>
    <mergeCell ref="A5:B5"/>
    <mergeCell ref="C5:E5"/>
    <mergeCell ref="A6:B6"/>
    <mergeCell ref="A7:B7"/>
    <mergeCell ref="E16:H16"/>
    <mergeCell ref="E17:H17"/>
    <mergeCell ref="C21:E21"/>
    <mergeCell ref="C34:E34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topLeftCell="A25" workbookViewId="0">
      <selection activeCell="F27" sqref="F27"/>
    </sheetView>
  </sheetViews>
  <sheetFormatPr baseColWidth="10" defaultRowHeight="12.75" x14ac:dyDescent="0.2"/>
  <cols>
    <col min="2" max="2" width="14.42578125" customWidth="1"/>
    <col min="4" max="4" width="38.42578125" customWidth="1"/>
  </cols>
  <sheetData>
    <row r="1" spans="1:11" ht="13.5" thickBot="1" x14ac:dyDescent="0.25"/>
    <row r="2" spans="1:11" ht="16.5" thickBot="1" x14ac:dyDescent="0.25">
      <c r="A2" s="136" t="s">
        <v>0</v>
      </c>
      <c r="B2" s="136"/>
      <c r="C2" s="136"/>
      <c r="D2" s="136"/>
      <c r="E2" s="136"/>
      <c r="F2" s="136"/>
      <c r="G2" s="136"/>
      <c r="H2" s="136"/>
      <c r="I2" s="136"/>
      <c r="J2" s="44" t="s">
        <v>1</v>
      </c>
      <c r="K2" s="45" t="s">
        <v>83</v>
      </c>
    </row>
    <row r="3" spans="1:11" ht="16.5" thickBot="1" x14ac:dyDescent="0.25">
      <c r="A3" s="2"/>
      <c r="B3" s="2"/>
      <c r="C3" s="2"/>
      <c r="D3" s="3"/>
      <c r="E3" s="3"/>
      <c r="F3" s="3"/>
      <c r="G3" s="3"/>
      <c r="H3" s="3"/>
      <c r="I3" s="3"/>
      <c r="J3" s="3"/>
      <c r="K3" s="3"/>
    </row>
    <row r="4" spans="1:11" ht="16.5" thickBot="1" x14ac:dyDescent="0.25">
      <c r="A4" s="137" t="s">
        <v>2</v>
      </c>
      <c r="B4" s="137"/>
      <c r="C4" s="137"/>
      <c r="D4" s="138" t="s">
        <v>84</v>
      </c>
      <c r="E4" s="139"/>
      <c r="F4" s="139"/>
      <c r="G4" s="139"/>
      <c r="H4" s="139"/>
      <c r="I4" s="139"/>
      <c r="J4" s="139"/>
      <c r="K4" s="140"/>
    </row>
    <row r="5" spans="1:11" ht="16.5" thickBot="1" x14ac:dyDescent="0.25">
      <c r="A5" s="134" t="s">
        <v>3</v>
      </c>
      <c r="B5" s="134"/>
      <c r="C5" s="134"/>
      <c r="D5" s="135" t="s">
        <v>85</v>
      </c>
      <c r="E5" s="135"/>
      <c r="F5" s="135"/>
      <c r="G5" s="135"/>
      <c r="H5" s="135"/>
      <c r="I5" s="135"/>
      <c r="J5" s="135"/>
      <c r="K5" s="135"/>
    </row>
    <row r="6" spans="1:11" ht="16.5" thickBot="1" x14ac:dyDescent="0.25">
      <c r="A6" s="134" t="s">
        <v>4</v>
      </c>
      <c r="B6" s="134"/>
      <c r="C6" s="134"/>
      <c r="D6" s="135" t="s">
        <v>86</v>
      </c>
      <c r="E6" s="135"/>
      <c r="F6" s="135"/>
      <c r="G6" s="135"/>
      <c r="H6" s="135"/>
      <c r="I6" s="135"/>
      <c r="J6" s="135"/>
      <c r="K6" s="135"/>
    </row>
    <row r="7" spans="1:11" ht="16.5" thickBot="1" x14ac:dyDescent="0.25">
      <c r="A7" s="137" t="s">
        <v>5</v>
      </c>
      <c r="B7" s="137"/>
      <c r="C7" s="137"/>
      <c r="D7" s="135" t="s">
        <v>87</v>
      </c>
      <c r="E7" s="135"/>
      <c r="F7" s="135"/>
      <c r="G7" s="135"/>
      <c r="H7" s="135"/>
      <c r="I7" s="135"/>
      <c r="J7" s="135"/>
      <c r="K7" s="135"/>
    </row>
    <row r="8" spans="1:11" ht="16.5" thickBot="1" x14ac:dyDescent="0.25">
      <c r="A8" s="134" t="s">
        <v>6</v>
      </c>
      <c r="B8" s="134"/>
      <c r="C8" s="134"/>
      <c r="D8" s="135" t="s">
        <v>88</v>
      </c>
      <c r="E8" s="135"/>
      <c r="F8" s="135"/>
      <c r="G8" s="135"/>
      <c r="H8" s="135"/>
      <c r="I8" s="135"/>
      <c r="J8" s="135"/>
      <c r="K8" s="135"/>
    </row>
    <row r="9" spans="1:11" ht="16.5" thickBot="1" x14ac:dyDescent="0.25">
      <c r="A9" s="141" t="s">
        <v>7</v>
      </c>
      <c r="B9" s="141"/>
      <c r="C9" s="141"/>
      <c r="D9" s="142" t="s">
        <v>89</v>
      </c>
      <c r="E9" s="142"/>
      <c r="F9" s="142"/>
      <c r="G9" s="142"/>
      <c r="H9" s="142"/>
      <c r="I9" s="142"/>
      <c r="J9" s="142"/>
      <c r="K9" s="142"/>
    </row>
    <row r="10" spans="1:11" ht="16.5" thickBot="1" x14ac:dyDescent="0.25">
      <c r="A10" s="4"/>
      <c r="B10" s="4"/>
      <c r="C10" s="4"/>
      <c r="D10" s="5"/>
      <c r="E10" s="5"/>
      <c r="F10" s="5"/>
      <c r="G10" s="5"/>
      <c r="H10" s="5"/>
      <c r="I10" s="5"/>
      <c r="J10" s="5"/>
      <c r="K10" s="5"/>
    </row>
    <row r="11" spans="1:11" ht="13.5" thickBot="1" x14ac:dyDescent="0.25">
      <c r="A11" s="126" t="s">
        <v>8</v>
      </c>
      <c r="B11" s="127" t="s">
        <v>9</v>
      </c>
      <c r="C11" s="127" t="s">
        <v>10</v>
      </c>
      <c r="D11" s="127"/>
      <c r="E11" s="127"/>
      <c r="F11" s="127"/>
      <c r="G11" s="127"/>
      <c r="H11" s="127" t="s">
        <v>11</v>
      </c>
      <c r="I11" s="127" t="s">
        <v>12</v>
      </c>
      <c r="J11" s="127" t="s">
        <v>13</v>
      </c>
      <c r="K11" s="129" t="s">
        <v>14</v>
      </c>
    </row>
    <row r="12" spans="1:11" ht="13.5" thickBot="1" x14ac:dyDescent="0.25">
      <c r="A12" s="126"/>
      <c r="B12" s="127"/>
      <c r="C12" s="127"/>
      <c r="D12" s="127"/>
      <c r="E12" s="127"/>
      <c r="F12" s="127"/>
      <c r="G12" s="127"/>
      <c r="H12" s="127"/>
      <c r="I12" s="127"/>
      <c r="J12" s="127"/>
      <c r="K12" s="129"/>
    </row>
    <row r="13" spans="1:11" ht="13.5" thickBot="1" x14ac:dyDescent="0.25">
      <c r="A13" s="97">
        <v>1</v>
      </c>
      <c r="B13" t="s">
        <v>65</v>
      </c>
      <c r="C13" s="130" t="s">
        <v>101</v>
      </c>
      <c r="D13" s="130"/>
      <c r="E13" s="130"/>
      <c r="F13" s="130"/>
      <c r="G13" s="130"/>
      <c r="H13" s="47" t="s">
        <v>61</v>
      </c>
      <c r="I13" s="48" t="s">
        <v>90</v>
      </c>
      <c r="J13" s="49">
        <v>11948.58</v>
      </c>
      <c r="K13" s="50">
        <v>65</v>
      </c>
    </row>
    <row r="14" spans="1:11" ht="13.5" thickBot="1" x14ac:dyDescent="0.25">
      <c r="A14" s="51">
        <v>2</v>
      </c>
      <c r="B14" t="s">
        <v>66</v>
      </c>
      <c r="C14" s="130" t="s">
        <v>103</v>
      </c>
      <c r="D14" s="130"/>
      <c r="E14" s="130"/>
      <c r="F14" s="130"/>
      <c r="G14" s="130"/>
      <c r="H14" s="47" t="s">
        <v>61</v>
      </c>
      <c r="I14" s="48" t="s">
        <v>90</v>
      </c>
      <c r="J14" s="52">
        <v>1406.67</v>
      </c>
      <c r="K14" s="50">
        <v>14</v>
      </c>
    </row>
    <row r="15" spans="1:11" ht="13.5" thickBot="1" x14ac:dyDescent="0.25">
      <c r="A15" s="97">
        <v>3</v>
      </c>
      <c r="B15" t="s">
        <v>67</v>
      </c>
      <c r="C15" s="131" t="s">
        <v>100</v>
      </c>
      <c r="D15" s="132"/>
      <c r="E15" s="132"/>
      <c r="F15" s="132"/>
      <c r="G15" s="133"/>
      <c r="H15" s="47" t="s">
        <v>61</v>
      </c>
      <c r="I15" s="48" t="s">
        <v>91</v>
      </c>
      <c r="J15" s="52">
        <v>28423.119999999999</v>
      </c>
      <c r="K15" s="50">
        <v>5</v>
      </c>
    </row>
    <row r="16" spans="1:11" ht="13.5" thickBot="1" x14ac:dyDescent="0.25">
      <c r="A16" s="96">
        <v>4</v>
      </c>
      <c r="B16" t="s">
        <v>68</v>
      </c>
      <c r="C16" s="131" t="s">
        <v>76</v>
      </c>
      <c r="D16" s="132"/>
      <c r="E16" s="132"/>
      <c r="F16" s="132"/>
      <c r="G16" s="133"/>
      <c r="H16" s="47" t="s">
        <v>61</v>
      </c>
      <c r="I16" s="48" t="s">
        <v>91</v>
      </c>
      <c r="J16" s="52">
        <v>1004.96</v>
      </c>
      <c r="K16" s="50">
        <v>6</v>
      </c>
    </row>
    <row r="17" spans="1:11" ht="13.5" thickBot="1" x14ac:dyDescent="0.25">
      <c r="A17" s="46">
        <v>5</v>
      </c>
      <c r="B17" t="s">
        <v>69</v>
      </c>
      <c r="C17" s="131" t="s">
        <v>104</v>
      </c>
      <c r="D17" s="132"/>
      <c r="E17" s="132"/>
      <c r="F17" s="132"/>
      <c r="G17" s="133"/>
      <c r="H17" s="47" t="s">
        <v>61</v>
      </c>
      <c r="I17" s="48" t="s">
        <v>90</v>
      </c>
      <c r="J17" s="52">
        <v>547</v>
      </c>
      <c r="K17" s="50">
        <v>18</v>
      </c>
    </row>
    <row r="18" spans="1:11" ht="13.5" thickBot="1" x14ac:dyDescent="0.25">
      <c r="A18" s="96">
        <v>6</v>
      </c>
      <c r="B18" t="s">
        <v>70</v>
      </c>
      <c r="C18" s="131" t="s">
        <v>77</v>
      </c>
      <c r="D18" s="132"/>
      <c r="E18" s="132"/>
      <c r="F18" s="132"/>
      <c r="G18" s="133"/>
      <c r="H18" s="47" t="s">
        <v>61</v>
      </c>
      <c r="I18" s="48" t="s">
        <v>91</v>
      </c>
      <c r="J18" s="52">
        <v>6207.19</v>
      </c>
      <c r="K18" s="50">
        <v>7</v>
      </c>
    </row>
    <row r="19" spans="1:11" ht="16.5" thickBot="1" x14ac:dyDescent="0.25">
      <c r="A19" s="143" t="s">
        <v>15</v>
      </c>
      <c r="B19" s="143"/>
      <c r="C19" s="143"/>
      <c r="D19" s="143"/>
      <c r="E19" s="143"/>
      <c r="F19" s="143"/>
      <c r="G19" s="143"/>
      <c r="H19" s="143"/>
      <c r="I19" s="143"/>
      <c r="J19" s="128">
        <f>SUMPRODUCT(J13:J18,K13:K18)</f>
        <v>997792.7699999999</v>
      </c>
      <c r="K19" s="128"/>
    </row>
    <row r="20" spans="1:1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24" x14ac:dyDescent="0.2">
      <c r="A23" s="94" t="s">
        <v>81</v>
      </c>
      <c r="B23" s="27" t="s">
        <v>63</v>
      </c>
      <c r="C23" s="42"/>
      <c r="D23" s="27"/>
      <c r="E23" s="1"/>
      <c r="F23" s="1"/>
      <c r="G23" s="1"/>
      <c r="H23" s="1"/>
      <c r="I23" s="1"/>
      <c r="J23" s="1"/>
      <c r="K23" s="1"/>
    </row>
    <row r="24" spans="1:11" x14ac:dyDescent="0.2">
      <c r="A24" s="95"/>
      <c r="B24" s="27"/>
      <c r="C24" s="42"/>
      <c r="D24" s="27"/>
      <c r="E24" s="1"/>
      <c r="F24" s="1"/>
      <c r="G24" s="1"/>
      <c r="H24" s="1"/>
      <c r="I24" s="1"/>
      <c r="J24" s="1"/>
      <c r="K24" s="1"/>
    </row>
    <row r="25" spans="1:11" ht="36" x14ac:dyDescent="0.2">
      <c r="A25" s="94" t="s">
        <v>55</v>
      </c>
      <c r="B25" s="101" t="s">
        <v>56</v>
      </c>
      <c r="C25" s="101"/>
      <c r="D25" s="101"/>
      <c r="E25" s="1"/>
      <c r="F25" s="1"/>
      <c r="G25" s="1"/>
      <c r="H25" s="1"/>
      <c r="I25" s="1"/>
      <c r="J25" s="1"/>
      <c r="K25" s="1"/>
    </row>
    <row r="26" spans="1:11" x14ac:dyDescent="0.2">
      <c r="A26" s="94"/>
      <c r="B26" s="101" t="s">
        <v>64</v>
      </c>
      <c r="C26" s="101"/>
      <c r="D26" s="101"/>
      <c r="E26" s="1"/>
      <c r="F26" s="1"/>
      <c r="G26" s="1"/>
      <c r="H26" s="1"/>
      <c r="I26" s="1"/>
      <c r="J26" s="1"/>
      <c r="K26" s="1"/>
    </row>
    <row r="27" spans="1:11" x14ac:dyDescent="0.2">
      <c r="A27" s="94"/>
      <c r="B27" s="101" t="s">
        <v>57</v>
      </c>
      <c r="C27" s="101"/>
      <c r="D27" s="101"/>
      <c r="E27" s="1"/>
      <c r="F27" s="1"/>
      <c r="G27" s="1"/>
      <c r="H27" s="1"/>
      <c r="I27" s="1"/>
      <c r="J27" s="1"/>
      <c r="K27" s="1"/>
    </row>
    <row r="28" spans="1:11" x14ac:dyDescent="0.2">
      <c r="A28" s="95"/>
      <c r="B28" s="103" t="s">
        <v>73</v>
      </c>
      <c r="C28" s="103"/>
      <c r="D28" s="103"/>
      <c r="E28" s="1"/>
      <c r="F28" s="1"/>
      <c r="G28" s="1"/>
      <c r="H28" s="1"/>
      <c r="I28" s="1"/>
      <c r="J28" s="1"/>
      <c r="K28" s="1"/>
    </row>
    <row r="29" spans="1:11" x14ac:dyDescent="0.2">
      <c r="A29" s="95"/>
      <c r="B29" s="106"/>
      <c r="C29" s="106"/>
      <c r="D29" s="106"/>
      <c r="E29" s="1"/>
      <c r="F29" s="1"/>
      <c r="G29" s="1"/>
      <c r="H29" s="1"/>
      <c r="I29" s="1"/>
      <c r="J29" s="1"/>
      <c r="K29" s="1"/>
    </row>
    <row r="30" spans="1:11" ht="24" x14ac:dyDescent="0.2">
      <c r="A30" s="94" t="s">
        <v>59</v>
      </c>
      <c r="B30" s="108" t="s">
        <v>78</v>
      </c>
      <c r="C30" s="108"/>
      <c r="D30" s="108"/>
      <c r="E30" s="1"/>
      <c r="F30" s="1"/>
      <c r="G30" s="1"/>
      <c r="H30" s="1"/>
      <c r="I30" s="1"/>
      <c r="J30" s="1"/>
      <c r="K30" s="1"/>
    </row>
    <row r="31" spans="1:11" x14ac:dyDescent="0.2">
      <c r="A31" s="95"/>
      <c r="B31" s="144"/>
      <c r="C31" s="144"/>
      <c r="D31" s="144"/>
      <c r="E31" s="1"/>
      <c r="F31" s="1"/>
      <c r="G31" s="1"/>
      <c r="H31" s="1"/>
      <c r="I31" s="1"/>
      <c r="J31" s="1"/>
      <c r="K31" s="1"/>
    </row>
    <row r="32" spans="1:11" x14ac:dyDescent="0.2">
      <c r="A32" s="6" t="s">
        <v>79</v>
      </c>
      <c r="B32" s="6"/>
      <c r="C32" s="6"/>
      <c r="D32" s="6"/>
      <c r="E32" s="6"/>
      <c r="F32" s="6"/>
      <c r="G32" s="6"/>
      <c r="H32" s="6"/>
      <c r="I32" s="6"/>
      <c r="J32" s="6"/>
      <c r="K32" s="1"/>
    </row>
    <row r="33" spans="1:1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</sheetData>
  <mergeCells count="35">
    <mergeCell ref="B30:D30"/>
    <mergeCell ref="B31:D31"/>
    <mergeCell ref="B26:D26"/>
    <mergeCell ref="B27:D27"/>
    <mergeCell ref="B28:D28"/>
    <mergeCell ref="B29:D29"/>
    <mergeCell ref="A6:C6"/>
    <mergeCell ref="D6:K6"/>
    <mergeCell ref="B25:D25"/>
    <mergeCell ref="A2:I2"/>
    <mergeCell ref="A4:C4"/>
    <mergeCell ref="D4:K4"/>
    <mergeCell ref="A5:C5"/>
    <mergeCell ref="D5:K5"/>
    <mergeCell ref="A7:C7"/>
    <mergeCell ref="D7:K7"/>
    <mergeCell ref="A8:C8"/>
    <mergeCell ref="D8:K8"/>
    <mergeCell ref="A9:C9"/>
    <mergeCell ref="D9:K9"/>
    <mergeCell ref="C18:G18"/>
    <mergeCell ref="A19:I19"/>
    <mergeCell ref="J19:K19"/>
    <mergeCell ref="K11:K12"/>
    <mergeCell ref="C13:G13"/>
    <mergeCell ref="C14:G14"/>
    <mergeCell ref="C15:G15"/>
    <mergeCell ref="C16:G16"/>
    <mergeCell ref="C17:G17"/>
    <mergeCell ref="J11:J12"/>
    <mergeCell ref="A11:A12"/>
    <mergeCell ref="B11:B12"/>
    <mergeCell ref="C11:G12"/>
    <mergeCell ref="H11:H12"/>
    <mergeCell ref="I11:I1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7"/>
  <sheetViews>
    <sheetView workbookViewId="0">
      <selection activeCell="A8" sqref="A8:Q8"/>
    </sheetView>
  </sheetViews>
  <sheetFormatPr baseColWidth="10" defaultRowHeight="12.75" x14ac:dyDescent="0.2"/>
  <sheetData>
    <row r="1" spans="1:17" ht="15.75" thickBot="1" x14ac:dyDescent="0.3">
      <c r="A1" s="149" t="s">
        <v>16</v>
      </c>
      <c r="B1" s="149"/>
      <c r="C1" s="149"/>
      <c r="D1" s="150">
        <v>2020</v>
      </c>
      <c r="E1" s="150"/>
      <c r="F1" s="65"/>
      <c r="G1" s="65"/>
      <c r="H1" s="66"/>
      <c r="I1" s="66"/>
      <c r="J1" s="66"/>
      <c r="K1" s="66"/>
      <c r="L1" s="66"/>
      <c r="M1" s="66"/>
      <c r="N1" s="66"/>
      <c r="O1" s="67"/>
      <c r="P1" s="151" t="s">
        <v>17</v>
      </c>
      <c r="Q1" s="151"/>
    </row>
    <row r="2" spans="1:17" ht="13.5" thickBot="1" x14ac:dyDescent="0.25">
      <c r="A2" s="67"/>
      <c r="B2" s="67"/>
      <c r="C2" s="67"/>
      <c r="D2" s="67"/>
      <c r="E2" s="67"/>
      <c r="F2" s="67"/>
      <c r="G2" s="68"/>
      <c r="H2" s="66"/>
      <c r="I2" s="66"/>
      <c r="J2" s="66"/>
      <c r="K2" s="66"/>
      <c r="L2" s="66"/>
      <c r="M2" s="66"/>
      <c r="N2" s="66"/>
      <c r="O2" s="67"/>
      <c r="P2" s="151"/>
      <c r="Q2" s="151"/>
    </row>
    <row r="3" spans="1:17" ht="13.5" thickBot="1" x14ac:dyDescent="0.25">
      <c r="A3" s="67"/>
      <c r="B3" s="67"/>
      <c r="C3" s="67"/>
      <c r="D3" s="67"/>
      <c r="E3" s="67"/>
      <c r="F3" s="67"/>
      <c r="G3" s="68"/>
      <c r="H3" s="67"/>
      <c r="I3" s="67"/>
      <c r="J3" s="67"/>
      <c r="K3" s="67"/>
      <c r="L3" s="67"/>
      <c r="M3" s="67"/>
      <c r="N3" s="67"/>
      <c r="O3" s="67"/>
      <c r="P3" s="67"/>
      <c r="Q3" s="67"/>
    </row>
    <row r="4" spans="1:17" ht="15" thickBot="1" x14ac:dyDescent="0.25">
      <c r="A4" s="152" t="s">
        <v>18</v>
      </c>
      <c r="B4" s="152"/>
      <c r="C4" s="152"/>
      <c r="D4" s="152"/>
      <c r="E4" s="152"/>
      <c r="F4" s="152"/>
      <c r="G4" s="148" t="s">
        <v>84</v>
      </c>
      <c r="H4" s="148"/>
      <c r="I4" s="148"/>
      <c r="J4" s="148"/>
      <c r="K4" s="148"/>
      <c r="L4" s="148"/>
      <c r="M4" s="148"/>
      <c r="N4" s="148"/>
      <c r="O4" s="148"/>
      <c r="P4" s="148"/>
      <c r="Q4" s="148"/>
    </row>
    <row r="5" spans="1:17" ht="15" thickBot="1" x14ac:dyDescent="0.25">
      <c r="A5" s="145" t="s">
        <v>3</v>
      </c>
      <c r="B5" s="146"/>
      <c r="C5" s="146"/>
      <c r="D5" s="146"/>
      <c r="E5" s="146"/>
      <c r="F5" s="147"/>
      <c r="G5" s="148" t="s">
        <v>85</v>
      </c>
      <c r="H5" s="148"/>
      <c r="I5" s="148"/>
      <c r="J5" s="148"/>
      <c r="K5" s="148"/>
      <c r="L5" s="148"/>
      <c r="M5" s="148"/>
      <c r="N5" s="148"/>
      <c r="O5" s="148"/>
      <c r="P5" s="148"/>
      <c r="Q5" s="148"/>
    </row>
    <row r="6" spans="1:17" ht="15" thickBot="1" x14ac:dyDescent="0.25">
      <c r="A6" s="145" t="s">
        <v>4</v>
      </c>
      <c r="B6" s="146"/>
      <c r="C6" s="146"/>
      <c r="D6" s="146"/>
      <c r="E6" s="146"/>
      <c r="F6" s="147"/>
      <c r="G6" s="148" t="s">
        <v>92</v>
      </c>
      <c r="H6" s="148"/>
      <c r="I6" s="148"/>
      <c r="J6" s="148"/>
      <c r="K6" s="148"/>
      <c r="L6" s="148"/>
      <c r="M6" s="148"/>
      <c r="N6" s="148"/>
      <c r="O6" s="148"/>
      <c r="P6" s="148"/>
      <c r="Q6" s="148"/>
    </row>
    <row r="7" spans="1:17" ht="15" thickBot="1" x14ac:dyDescent="0.25">
      <c r="A7" s="145" t="s">
        <v>5</v>
      </c>
      <c r="B7" s="146"/>
      <c r="C7" s="146"/>
      <c r="D7" s="146"/>
      <c r="E7" s="146"/>
      <c r="F7" s="147"/>
      <c r="G7" s="148" t="s">
        <v>87</v>
      </c>
      <c r="H7" s="148"/>
      <c r="I7" s="148"/>
      <c r="J7" s="148"/>
      <c r="K7" s="148"/>
      <c r="L7" s="148"/>
      <c r="M7" s="148"/>
      <c r="N7" s="148"/>
      <c r="O7" s="148"/>
      <c r="P7" s="148"/>
      <c r="Q7" s="148"/>
    </row>
    <row r="8" spans="1:17" ht="13.5" thickBot="1" x14ac:dyDescent="0.25">
      <c r="A8" s="154" t="s">
        <v>19</v>
      </c>
      <c r="B8" s="154"/>
      <c r="C8" s="154"/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P8" s="154"/>
      <c r="Q8" s="154"/>
    </row>
    <row r="9" spans="1:17" ht="14.25" x14ac:dyDescent="0.2">
      <c r="A9" s="155" t="s">
        <v>93</v>
      </c>
      <c r="B9" s="155"/>
      <c r="C9" s="155"/>
      <c r="D9" s="155"/>
      <c r="E9" s="155"/>
      <c r="F9" s="155"/>
      <c r="G9" s="155"/>
      <c r="H9" s="155"/>
      <c r="I9" s="155"/>
      <c r="J9" s="155"/>
      <c r="K9" s="155"/>
      <c r="L9" s="155"/>
      <c r="M9" s="155"/>
      <c r="N9" s="155"/>
      <c r="O9" s="67"/>
      <c r="P9" s="67"/>
      <c r="Q9" s="69"/>
    </row>
    <row r="10" spans="1:17" ht="14.25" x14ac:dyDescent="0.2">
      <c r="A10" s="156" t="s">
        <v>94</v>
      </c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</row>
    <row r="11" spans="1:17" ht="13.5" thickBot="1" x14ac:dyDescent="0.25">
      <c r="A11" s="70"/>
      <c r="B11" s="71"/>
      <c r="C11" s="71"/>
      <c r="D11" s="71"/>
      <c r="E11" s="71"/>
      <c r="F11" s="71"/>
      <c r="G11" s="72"/>
      <c r="H11" s="71"/>
      <c r="I11" s="71"/>
      <c r="J11" s="71"/>
      <c r="K11" s="71"/>
      <c r="L11" s="71"/>
      <c r="M11" s="71"/>
      <c r="N11" s="71"/>
      <c r="O11" s="71"/>
      <c r="P11" s="71"/>
      <c r="Q11" s="73"/>
    </row>
    <row r="12" spans="1:17" ht="13.5" thickBot="1" x14ac:dyDescent="0.25">
      <c r="A12" s="157" t="s">
        <v>20</v>
      </c>
      <c r="B12" s="157"/>
      <c r="C12" s="157"/>
      <c r="D12" s="157"/>
      <c r="E12" s="157"/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7"/>
    </row>
    <row r="13" spans="1:17" ht="13.5" thickBot="1" x14ac:dyDescent="0.25">
      <c r="A13" s="158" t="s">
        <v>21</v>
      </c>
      <c r="B13" s="158"/>
      <c r="C13" s="158"/>
      <c r="D13" s="158"/>
      <c r="E13" s="158"/>
      <c r="F13" s="158"/>
      <c r="G13" s="158"/>
      <c r="H13" s="158"/>
      <c r="I13" s="158"/>
      <c r="J13" s="158"/>
      <c r="K13" s="158"/>
      <c r="L13" s="158"/>
      <c r="M13" s="158"/>
      <c r="N13" s="158"/>
      <c r="O13" s="159" t="s">
        <v>22</v>
      </c>
      <c r="P13" s="159"/>
      <c r="Q13" s="160" t="s">
        <v>23</v>
      </c>
    </row>
    <row r="14" spans="1:17" ht="13.5" thickBot="1" x14ac:dyDescent="0.25">
      <c r="A14" s="74" t="s">
        <v>24</v>
      </c>
      <c r="B14" s="75" t="s">
        <v>25</v>
      </c>
      <c r="C14" s="75" t="s">
        <v>26</v>
      </c>
      <c r="D14" s="75" t="s">
        <v>27</v>
      </c>
      <c r="E14" s="75" t="s">
        <v>28</v>
      </c>
      <c r="F14" s="75" t="s">
        <v>29</v>
      </c>
      <c r="G14" s="76" t="s">
        <v>30</v>
      </c>
      <c r="H14" s="75" t="s">
        <v>31</v>
      </c>
      <c r="I14" s="75" t="s">
        <v>32</v>
      </c>
      <c r="J14" s="75" t="s">
        <v>33</v>
      </c>
      <c r="K14" s="75" t="s">
        <v>33</v>
      </c>
      <c r="L14" s="75" t="s">
        <v>34</v>
      </c>
      <c r="M14" s="77" t="s">
        <v>35</v>
      </c>
      <c r="N14" s="78" t="s">
        <v>36</v>
      </c>
      <c r="O14" s="159"/>
      <c r="P14" s="159"/>
      <c r="Q14" s="160"/>
    </row>
    <row r="15" spans="1:17" x14ac:dyDescent="0.2">
      <c r="A15" s="62">
        <v>41</v>
      </c>
      <c r="B15" s="63"/>
      <c r="C15" s="63"/>
      <c r="D15" s="63">
        <v>1</v>
      </c>
      <c r="E15" s="63"/>
      <c r="F15" s="63">
        <v>4901</v>
      </c>
      <c r="G15" s="63">
        <v>3</v>
      </c>
      <c r="H15" s="63">
        <v>320</v>
      </c>
      <c r="I15" s="63">
        <v>2</v>
      </c>
      <c r="J15" s="63">
        <v>5</v>
      </c>
      <c r="K15" s="63">
        <v>2</v>
      </c>
      <c r="L15" s="63"/>
      <c r="M15" s="64">
        <v>1</v>
      </c>
      <c r="N15" s="63" t="s">
        <v>95</v>
      </c>
      <c r="O15" s="153" t="s">
        <v>96</v>
      </c>
      <c r="P15" s="153"/>
      <c r="Q15" s="79" t="s">
        <v>97</v>
      </c>
    </row>
    <row r="16" spans="1:17" x14ac:dyDescent="0.2">
      <c r="A16" s="80"/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2"/>
      <c r="N16" s="83"/>
      <c r="O16" s="165"/>
      <c r="P16" s="165"/>
      <c r="Q16" s="84"/>
    </row>
    <row r="17" spans="1:17" x14ac:dyDescent="0.2">
      <c r="A17" s="80"/>
      <c r="B17" s="81"/>
      <c r="C17" s="81"/>
      <c r="D17" s="81"/>
      <c r="E17" s="81"/>
      <c r="F17" s="83"/>
      <c r="G17" s="81"/>
      <c r="H17" s="81"/>
      <c r="I17" s="81"/>
      <c r="J17" s="81"/>
      <c r="K17" s="81"/>
      <c r="L17" s="81"/>
      <c r="M17" s="82"/>
      <c r="N17" s="83"/>
      <c r="O17" s="165"/>
      <c r="P17" s="165"/>
      <c r="Q17" s="84"/>
    </row>
    <row r="18" spans="1:17" x14ac:dyDescent="0.2">
      <c r="A18" s="80"/>
      <c r="B18" s="8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2"/>
      <c r="N18" s="83"/>
      <c r="O18" s="165"/>
      <c r="P18" s="165"/>
      <c r="Q18" s="84"/>
    </row>
    <row r="19" spans="1:17" x14ac:dyDescent="0.2">
      <c r="A19" s="80"/>
      <c r="B19" s="81"/>
      <c r="C19" s="81"/>
      <c r="D19" s="81"/>
      <c r="E19" s="81"/>
      <c r="F19" s="83"/>
      <c r="G19" s="81"/>
      <c r="H19" s="81"/>
      <c r="I19" s="81"/>
      <c r="J19" s="81"/>
      <c r="K19" s="81"/>
      <c r="L19" s="81"/>
      <c r="M19" s="82"/>
      <c r="N19" s="83"/>
      <c r="O19" s="165"/>
      <c r="P19" s="165"/>
      <c r="Q19" s="84"/>
    </row>
    <row r="20" spans="1:17" x14ac:dyDescent="0.2">
      <c r="A20" s="80"/>
      <c r="B20" s="81"/>
      <c r="C20" s="81"/>
      <c r="D20" s="81"/>
      <c r="E20" s="81"/>
      <c r="F20" s="83"/>
      <c r="G20" s="81"/>
      <c r="H20" s="81"/>
      <c r="I20" s="81"/>
      <c r="J20" s="81"/>
      <c r="K20" s="81"/>
      <c r="L20" s="81"/>
      <c r="M20" s="82"/>
      <c r="N20" s="83"/>
      <c r="O20" s="165"/>
      <c r="P20" s="165"/>
      <c r="Q20" s="84"/>
    </row>
    <row r="21" spans="1:17" ht="14.25" x14ac:dyDescent="0.2">
      <c r="A21" s="85"/>
      <c r="B21" s="86"/>
      <c r="C21" s="86"/>
      <c r="D21" s="86"/>
      <c r="E21" s="86"/>
      <c r="F21" s="83"/>
      <c r="G21" s="86"/>
      <c r="H21" s="86"/>
      <c r="I21" s="86"/>
      <c r="J21" s="86"/>
      <c r="K21" s="86"/>
      <c r="L21" s="86"/>
      <c r="M21" s="87"/>
      <c r="N21" s="88"/>
      <c r="O21" s="165"/>
      <c r="P21" s="165"/>
      <c r="Q21" s="84"/>
    </row>
    <row r="22" spans="1:17" ht="13.5" thickBot="1" x14ac:dyDescent="0.25">
      <c r="A22" s="89"/>
      <c r="B22" s="90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1"/>
      <c r="N22" s="90"/>
      <c r="O22" s="166"/>
      <c r="P22" s="166"/>
      <c r="Q22" s="92"/>
    </row>
    <row r="23" spans="1:17" ht="15.75" thickBot="1" x14ac:dyDescent="0.25">
      <c r="A23" s="167" t="s">
        <v>98</v>
      </c>
      <c r="B23" s="167"/>
      <c r="C23" s="167"/>
      <c r="D23" s="167"/>
      <c r="E23" s="167"/>
      <c r="F23" s="167"/>
      <c r="G23" s="167"/>
      <c r="H23" s="167"/>
      <c r="I23" s="167"/>
      <c r="J23" s="167"/>
      <c r="K23" s="167"/>
      <c r="L23" s="167"/>
      <c r="M23" s="167"/>
      <c r="N23" s="167"/>
      <c r="O23" s="167"/>
      <c r="P23" s="167"/>
      <c r="Q23" s="93" t="s">
        <v>97</v>
      </c>
    </row>
    <row r="24" spans="1:17" ht="13.5" thickBot="1" x14ac:dyDescent="0.25">
      <c r="A24" s="168"/>
      <c r="B24" s="168"/>
      <c r="C24" s="168"/>
      <c r="D24" s="168"/>
      <c r="E24" s="168"/>
      <c r="F24" s="168"/>
      <c r="G24" s="168"/>
      <c r="H24" s="168"/>
      <c r="I24" s="168"/>
      <c r="J24" s="168"/>
      <c r="K24" s="168"/>
      <c r="L24" s="168"/>
      <c r="M24" s="168"/>
      <c r="N24" s="168"/>
      <c r="O24" s="168"/>
      <c r="P24" s="168"/>
      <c r="Q24" s="168"/>
    </row>
    <row r="25" spans="1:17" ht="15" x14ac:dyDescent="0.2">
      <c r="A25" s="169" t="s">
        <v>37</v>
      </c>
      <c r="B25" s="170"/>
      <c r="C25" s="170"/>
      <c r="D25" s="170"/>
      <c r="E25" s="170"/>
      <c r="F25" s="171"/>
      <c r="G25" s="172"/>
      <c r="H25" s="173"/>
      <c r="I25" s="173"/>
      <c r="J25" s="173"/>
      <c r="K25" s="173"/>
      <c r="L25" s="173"/>
      <c r="M25" s="173"/>
      <c r="N25" s="173"/>
      <c r="O25" s="173"/>
      <c r="P25" s="173"/>
      <c r="Q25" s="174"/>
    </row>
    <row r="26" spans="1:17" x14ac:dyDescent="0.2">
      <c r="A26" s="161" t="s">
        <v>99</v>
      </c>
      <c r="B26" s="161"/>
      <c r="C26" s="161"/>
      <c r="D26" s="161"/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2"/>
    </row>
    <row r="27" spans="1:17" x14ac:dyDescent="0.2">
      <c r="A27" s="163"/>
      <c r="B27" s="163"/>
      <c r="C27" s="163"/>
      <c r="D27" s="163"/>
      <c r="E27" s="163"/>
      <c r="F27" s="163"/>
      <c r="G27" s="163"/>
      <c r="H27" s="163"/>
      <c r="I27" s="163"/>
      <c r="J27" s="163"/>
      <c r="K27" s="163"/>
      <c r="L27" s="163"/>
      <c r="M27" s="163"/>
      <c r="N27" s="163"/>
      <c r="O27" s="163"/>
      <c r="P27" s="163"/>
      <c r="Q27" s="164"/>
    </row>
  </sheetData>
  <mergeCells count="31"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5:F5"/>
    <mergeCell ref="G5:Q5"/>
    <mergeCell ref="A1:C1"/>
    <mergeCell ref="D1:E1"/>
    <mergeCell ref="P1:Q2"/>
    <mergeCell ref="A4:F4"/>
    <mergeCell ref="G4:Q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6:G12"/>
  <sheetViews>
    <sheetView workbookViewId="0">
      <selection activeCell="B12" sqref="B12:K12"/>
    </sheetView>
  </sheetViews>
  <sheetFormatPr baseColWidth="10" defaultRowHeight="12.75" x14ac:dyDescent="0.2"/>
  <cols>
    <col min="2" max="2" width="9" customWidth="1"/>
  </cols>
  <sheetData>
    <row r="6" spans="2:7" ht="15" x14ac:dyDescent="0.25">
      <c r="B6" s="175" t="s">
        <v>62</v>
      </c>
      <c r="C6" s="175"/>
      <c r="D6" s="175"/>
      <c r="E6" s="175"/>
      <c r="F6" s="175"/>
      <c r="G6" s="175"/>
    </row>
    <row r="8" spans="2:7" ht="14.25" customHeight="1" x14ac:dyDescent="0.2">
      <c r="B8" s="176" t="s">
        <v>82</v>
      </c>
      <c r="C8" s="176"/>
      <c r="D8" s="176"/>
      <c r="E8" s="176"/>
      <c r="F8" s="176"/>
      <c r="G8" s="176"/>
    </row>
    <row r="10" spans="2:7" x14ac:dyDescent="0.2">
      <c r="B10" t="s">
        <v>80</v>
      </c>
    </row>
    <row r="12" spans="2:7" x14ac:dyDescent="0.2">
      <c r="B12" s="43" t="s">
        <v>79</v>
      </c>
    </row>
  </sheetData>
  <mergeCells count="2">
    <mergeCell ref="B6:G6"/>
    <mergeCell ref="B8:G8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topLeftCell="A15" workbookViewId="0">
      <selection activeCell="H37" sqref="H37"/>
    </sheetView>
  </sheetViews>
  <sheetFormatPr baseColWidth="10" defaultRowHeight="12.7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Necesidades Trimestrales</vt:lpstr>
      <vt:lpstr>N.P</vt:lpstr>
      <vt:lpstr>APG</vt:lpstr>
      <vt:lpstr>anexo I</vt:lpstr>
      <vt:lpstr>S.G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farce</dc:creator>
  <cp:lastModifiedBy>COMPRAS</cp:lastModifiedBy>
  <cp:revision>3</cp:revision>
  <cp:lastPrinted>2020-07-21T14:18:42Z</cp:lastPrinted>
  <dcterms:created xsi:type="dcterms:W3CDTF">2020-07-17T23:44:49Z</dcterms:created>
  <dcterms:modified xsi:type="dcterms:W3CDTF">2021-08-17T14:32:05Z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