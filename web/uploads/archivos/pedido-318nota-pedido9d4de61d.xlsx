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255" windowWidth="15600" windowHeight="11400" tabRatio="500"/>
  </bookViews>
  <sheets>
    <sheet name="MOVILES" sheetId="5" r:id="rId1"/>
    <sheet name="Autor Gastar" sheetId="3" state="hidden" r:id="rId2"/>
  </sheets>
  <definedNames>
    <definedName name="_xlnm.Print_Area" localSheetId="1">'Autor Gastar'!$A$1:$Q$20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6" i="3" l="1"/>
  <c r="G5" i="3" l="1"/>
  <c r="G4" i="3"/>
  <c r="I10" i="5" l="1"/>
  <c r="I11" i="5" s="1"/>
  <c r="Q15" i="3" s="1"/>
  <c r="Q16" i="3" s="1"/>
</calcChain>
</file>

<file path=xl/sharedStrings.xml><?xml version="1.0" encoding="utf-8"?>
<sst xmlns="http://schemas.openxmlformats.org/spreadsheetml/2006/main" count="73" uniqueCount="69">
  <si>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</si>
  <si>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</si>
  <si>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</si>
  <si>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</si>
  <si>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</si>
  <si>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</si>
  <si>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</si>
  <si>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</si>
  <si>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</si>
  <si>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</si>
  <si>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</si>
  <si>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</si>
  <si>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</si>
  <si>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</si>
  <si>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</si>
  <si>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Mantenimiento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</si>
  <si>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</si>
  <si>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</si>
  <si>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</si>
  <si>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</si>
  <si>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</si>
  <si>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</si>
  <si>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</si>
  <si>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</si>
  <si>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</si>
  <si>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</si>
  <si>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</si>
  <si>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</si>
  <si>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</si>
  <si>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</si>
  <si>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</si>
  <si>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</si>
  <si>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</si>
  <si>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</si>
  <si>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</si>
  <si>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</si>
  <si>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</si>
  <si>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</si>
  <si>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SAF:</t>
  </si>
  <si>
    <t xml:space="preserve">DEPENDENCIA SOLICITANTE: </t>
  </si>
  <si>
    <r>
      <t>AUTORIZACIÓN</t>
    </r>
    <r>
      <rPr>
        <b/>
        <sz val="10"/>
        <rFont val="Century Gothic"/>
        <family val="2"/>
      </rPr>
      <t>:</t>
    </r>
  </si>
  <si>
    <t>1.1</t>
  </si>
  <si>
    <t>Calidad Mínima esperada</t>
  </si>
  <si>
    <t>Garantía</t>
  </si>
  <si>
    <t>MINISTERIO DE SEGURIDAD</t>
  </si>
  <si>
    <t>SAF 19 - DIRECCION PROVINCIAL DE ADM. Y RR.HH. DEL MINISTERIO DE SEGURIDAD</t>
  </si>
  <si>
    <t>30 (Treinta) días</t>
  </si>
  <si>
    <t>4.3.2</t>
  </si>
  <si>
    <t>Unidad</t>
  </si>
  <si>
    <t>EQUIPOS</t>
  </si>
  <si>
    <t>Especificidades Item N° 1:</t>
  </si>
  <si>
    <t>Descripcion:</t>
  </si>
  <si>
    <t xml:space="preserve">EQUIPOS DE TRANSPORTE TRACCION Y ELEVACION </t>
  </si>
  <si>
    <t>Ver Anexo detalle Tecnico</t>
  </si>
  <si>
    <t>Vehiculos nuevos sin Uso 0km</t>
  </si>
  <si>
    <t>GARANTÍA mínima de cinco años o 150.000 Km lo que ocurra primero, estableciendo claramente que partes mecánicas y/o electrónicas alcanzan dicha Garantía</t>
  </si>
  <si>
    <t>4.3.2-1715.337</t>
  </si>
  <si>
    <t>CAMIONETAS; AÑO: SIN VALOR, TIPO: PICK UP, POTENCIA: DESDE 140 CV, CILINDRADA: DESDE 1950 CM3, TRACCION: 4 X 2, CANT. DE CILINDROS: DESDE 4, CAPACIDAD DE CARGA: DESDE 500 KG, TIPO DE MOTOR: DIESEL</t>
  </si>
  <si>
    <r>
      <t xml:space="preserve">a) </t>
    </r>
    <r>
      <rPr>
        <b/>
        <sz val="10"/>
        <rFont val="Times New Roman"/>
        <family val="1"/>
      </rPr>
      <t>LUGAR DE ENTREGA: Dirección de Defensa Civil,</t>
    </r>
    <r>
      <rPr>
        <sz val="10"/>
        <rFont val="Times New Roman"/>
        <family val="1"/>
      </rPr>
      <t xml:space="preserve"> con domicilio en Av. Acosta Villafañez esq. Hernando de Pedraza. De 08 a 12 horas.   
b)</t>
    </r>
    <r>
      <rPr>
        <b/>
        <sz val="10"/>
        <rFont val="Times New Roman"/>
        <family val="1"/>
      </rPr>
      <t xml:space="preserve"> FORMA DE LA ENTREGA</t>
    </r>
    <r>
      <rPr>
        <sz val="10"/>
        <rFont val="Times New Roman"/>
        <family val="1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Times New Roman"/>
        <family val="1"/>
      </rPr>
      <t>PLAZO DE ENTREGA</t>
    </r>
    <r>
      <rPr>
        <sz val="10"/>
        <rFont val="Times New Roman"/>
        <family val="1"/>
      </rPr>
      <t>: El Oferente deberá establecer plazo de entrega de los elementos cotizados, debiendo ser expresado en días hábiles; que no podrá ser superior a Veinte (20) días hábiles, contados a partir de la recepción de la comunicación prevista en el Artículo 80° de del Reglamento Parcial N° 2 de la ley 4938.</t>
    </r>
  </si>
  <si>
    <t>Adquisición de Unidades Moviles con destino Al Ministerio de Seguridad.</t>
  </si>
  <si>
    <t>Autorizo la realización de los  trámites correspondientes, a fin de proveer a  este Organismo los bienes y/o servicios que se detallan en la Nesecidad Trimestral para el 2do. Trimestre,  afectando la erogación resultante a los créditos presupuestarios aprobados a favor de esta Unidad Ejecutora, conforme al siguiente detalle:</t>
  </si>
  <si>
    <t>COSTO ESTIMADO TOTAL: TREINTA UN MILLONES CUATROCIENTOS MIL CON 00/100</t>
  </si>
  <si>
    <r>
      <rPr>
        <b/>
        <u/>
        <sz val="10"/>
        <rFont val="Times New Roman"/>
        <family val="1"/>
      </rPr>
      <t xml:space="preserve">CARACTERÍSTICAS: </t>
    </r>
    <r>
      <rPr>
        <sz val="10"/>
        <rFont val="Times New Roman"/>
        <family val="1"/>
      </rPr>
      <t>VEHICULO  PICK  UP  DOBLE  CABINA  nuevo,  sin  uso,  0km,  tracción  4X2.  MOTOR  DIESEL: turbo mínimo. CILINDRADAS: 1950 c.c mínimo. TRANSMISIÓN: caja Manual de 6 velocidades.   DIRECCIÓN: Asistida.  DIMENSIONES: desde 5.25 metros  de longitud y 1.78metros de alto.</t>
    </r>
  </si>
  <si>
    <t xml:space="preserve">        Además deberá especificar que el precio ofrecido incluye: </t>
  </si>
  <si>
    <t>a.      UN SERVICIO que cubre la concesionaria sin cargo;</t>
  </si>
  <si>
    <t xml:space="preserve">b.      CURSO DE CAPACITACIÓN para el personal de mantenimiento; </t>
  </si>
  <si>
    <t>c.      MANUAL de información del vehículo;</t>
  </si>
  <si>
    <t xml:space="preserve">d.      PATENTAMIENTO deberá ser a nombre del “MINISTERIO DE SEGURIDAD - CUIT: 30-71435020-6" – </t>
  </si>
  <si>
    <r>
      <rPr>
        <b/>
        <sz val="10"/>
        <rFont val="Times New Roman"/>
        <family val="1"/>
      </rPr>
      <t xml:space="preserve">Además deberá especificar que el precio ofrecido incluye: </t>
    </r>
    <r>
      <rPr>
        <sz val="10"/>
        <rFont val="Times New Roman"/>
        <family val="1"/>
      </rPr>
      <t xml:space="preserve">
a. UN SERVICIO que cubre la concesionaria sin cargo;
b. CURSO DE CAPACITACIÓN para el personal de mantenimiento; 
c. MANUAL de información del vehículo;
d. PATENTAMIENTO deberá ser a nombre del “MINISTERIO DE SEGURIDAD - CUIT: 30-71435020-6" –                                                                         e. COBERTURA DE SEGURO OBLIGATORIO de responsabilidad civil contra terceros y terceros transportados por 60 (sesenta) días, contados a partir de la recepción definitiva de los móviles.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</si>
</sst>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\$* #,##0.00_);_(\$* \(#,##0.00\);_(\$* \-??_);_(@_)"/>
    <numFmt numFmtId="165" formatCode="[$$-2C0A]\ #,##0.00;[$$-2C0A]&quot; -&quot;#,##0.00"/>
    <numFmt numFmtId="166" formatCode="dd\-mm\-yy;@"/>
    <numFmt numFmtId="167" formatCode="_ [$$-2C0A]\ * #,##0.00_ ;_ [$$-2C0A]\ * \-#,##0.00_ ;_ [$$-2C0A]\ * &quot;-&quot;??_ ;_ @_ "/>
  </numFmts>
  <fonts count="2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u/>
      <sz val="10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u/>
      <sz val="10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</cellStyleXfs>
  <cellXfs count="107">
    <xf numFmtId="0" fontId="0" fillId="0" borderId="0" xfId="0"/>
    <xf numFmtId="0" fontId="6" fillId="0" borderId="0" xfId="0" applyFont="1"/>
    <xf numFmtId="0" fontId="6" fillId="0" borderId="0" xfId="0" applyFont="1" applyBorder="1"/>
    <xf numFmtId="3" fontId="11" fillId="0" borderId="0" xfId="0" applyNumberFormat="1" applyFont="1" applyBorder="1" applyAlignment="1"/>
    <xf numFmtId="166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10" xfId="0" applyFont="1" applyBorder="1"/>
    <xf numFmtId="0" fontId="6" fillId="0" borderId="21" xfId="0" applyFont="1" applyBorder="1"/>
    <xf numFmtId="0" fontId="6" fillId="0" borderId="12" xfId="0" applyFont="1" applyBorder="1"/>
    <xf numFmtId="0" fontId="6" fillId="0" borderId="12" xfId="0" applyFont="1" applyBorder="1" applyAlignment="1">
      <alignment horizontal="left"/>
    </xf>
    <xf numFmtId="0" fontId="6" fillId="0" borderId="22" xfId="0" applyFont="1" applyBorder="1"/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9" fillId="0" borderId="2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65" fontId="9" fillId="0" borderId="30" xfId="0" applyNumberFormat="1" applyFont="1" applyBorder="1" applyAlignment="1">
      <alignment horizontal="center" vertical="center"/>
    </xf>
    <xf numFmtId="0" fontId="6" fillId="0" borderId="27" xfId="0" applyFont="1" applyFill="1" applyBorder="1" applyAlignment="1">
      <alignment horizontal="center" vertical="center"/>
    </xf>
    <xf numFmtId="0" fontId="6" fillId="0" borderId="28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/>
    </xf>
    <xf numFmtId="165" fontId="6" fillId="0" borderId="14" xfId="2" applyNumberFormat="1" applyFont="1" applyFill="1" applyBorder="1" applyAlignment="1" applyProtection="1">
      <alignment horizontal="center" vertical="center"/>
    </xf>
    <xf numFmtId="0" fontId="14" fillId="0" borderId="0" xfId="0" applyFont="1"/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center" wrapText="1"/>
    </xf>
    <xf numFmtId="0" fontId="12" fillId="0" borderId="0" xfId="0" applyFont="1" applyFill="1" applyAlignment="1">
      <alignment horizontal="left" wrapText="1" indent="1"/>
    </xf>
    <xf numFmtId="0" fontId="13" fillId="0" borderId="0" xfId="0" applyFont="1" applyFill="1" applyAlignment="1">
      <alignment horizontal="left" wrapText="1"/>
    </xf>
    <xf numFmtId="0" fontId="13" fillId="0" borderId="36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4" fillId="0" borderId="3" xfId="0" applyFont="1" applyBorder="1"/>
    <xf numFmtId="0" fontId="14" fillId="0" borderId="4" xfId="0" applyFont="1" applyBorder="1"/>
    <xf numFmtId="0" fontId="14" fillId="0" borderId="5" xfId="0" applyFont="1" applyBorder="1" applyAlignment="1">
      <alignment horizontal="left" indent="3"/>
    </xf>
    <xf numFmtId="0" fontId="19" fillId="0" borderId="5" xfId="0" applyFont="1" applyBorder="1" applyAlignment="1">
      <alignment horizontal="left" indent="3"/>
    </xf>
    <xf numFmtId="0" fontId="14" fillId="0" borderId="0" xfId="0" applyFont="1" applyBorder="1"/>
    <xf numFmtId="0" fontId="14" fillId="0" borderId="6" xfId="0" applyFont="1" applyBorder="1"/>
    <xf numFmtId="0" fontId="14" fillId="0" borderId="0" xfId="0" applyFont="1" applyBorder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0" fontId="14" fillId="0" borderId="7" xfId="0" applyFont="1" applyBorder="1" applyAlignment="1">
      <alignment horizontal="left" indent="3"/>
    </xf>
    <xf numFmtId="0" fontId="14" fillId="0" borderId="8" xfId="0" applyFont="1" applyBorder="1"/>
    <xf numFmtId="0" fontId="14" fillId="0" borderId="9" xfId="0" applyFont="1" applyBorder="1"/>
    <xf numFmtId="0" fontId="14" fillId="0" borderId="0" xfId="0" applyFont="1" applyAlignment="1">
      <alignment vertical="center"/>
    </xf>
    <xf numFmtId="0" fontId="10" fillId="0" borderId="13" xfId="0" applyFont="1" applyBorder="1" applyAlignment="1"/>
    <xf numFmtId="0" fontId="10" fillId="0" borderId="32" xfId="0" applyFont="1" applyBorder="1" applyAlignment="1"/>
    <xf numFmtId="0" fontId="10" fillId="0" borderId="33" xfId="0" applyFont="1" applyBorder="1" applyAlignment="1"/>
    <xf numFmtId="0" fontId="14" fillId="0" borderId="0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3" fontId="14" fillId="0" borderId="0" xfId="0" applyNumberFormat="1" applyFont="1"/>
    <xf numFmtId="0" fontId="21" fillId="0" borderId="0" xfId="0" applyFont="1" applyAlignment="1">
      <alignment vertical="center"/>
    </xf>
    <xf numFmtId="0" fontId="19" fillId="0" borderId="2" xfId="0" applyFont="1" applyBorder="1"/>
    <xf numFmtId="0" fontId="14" fillId="0" borderId="5" xfId="0" applyFont="1" applyBorder="1"/>
    <xf numFmtId="0" fontId="20" fillId="0" borderId="0" xfId="0" applyFont="1" applyBorder="1" applyAlignment="1">
      <alignment horizontal="left"/>
    </xf>
    <xf numFmtId="167" fontId="14" fillId="0" borderId="0" xfId="0" applyNumberFormat="1" applyFont="1" applyBorder="1"/>
    <xf numFmtId="0" fontId="14" fillId="0" borderId="0" xfId="0" applyFont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center" wrapText="1"/>
    </xf>
    <xf numFmtId="0" fontId="14" fillId="0" borderId="0" xfId="0" applyFont="1" applyAlignment="1">
      <alignment wrapText="1"/>
    </xf>
    <xf numFmtId="0" fontId="18" fillId="0" borderId="39" xfId="0" applyFont="1" applyBorder="1" applyAlignment="1">
      <alignment horizontal="center" vertical="center" wrapText="1"/>
    </xf>
    <xf numFmtId="1" fontId="18" fillId="0" borderId="39" xfId="0" applyNumberFormat="1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0" fontId="13" fillId="0" borderId="46" xfId="0" applyFont="1" applyBorder="1" applyAlignment="1">
      <alignment horizontal="center" vertical="center" wrapText="1"/>
    </xf>
    <xf numFmtId="0" fontId="23" fillId="3" borderId="43" xfId="0" applyFont="1" applyFill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24" fillId="0" borderId="43" xfId="0" applyFont="1" applyBorder="1" applyAlignment="1">
      <alignment horizontal="left" vertical="center" wrapText="1"/>
    </xf>
    <xf numFmtId="167" fontId="18" fillId="0" borderId="39" xfId="0" applyNumberFormat="1" applyFont="1" applyBorder="1" applyAlignment="1">
      <alignment horizontal="center" vertical="center" wrapText="1"/>
    </xf>
    <xf numFmtId="167" fontId="18" fillId="0" borderId="40" xfId="0" applyNumberFormat="1" applyFont="1" applyBorder="1" applyAlignment="1">
      <alignment horizontal="right" vertical="center" wrapText="1"/>
    </xf>
    <xf numFmtId="167" fontId="23" fillId="0" borderId="14" xfId="0" applyNumberFormat="1" applyFont="1" applyBorder="1"/>
    <xf numFmtId="0" fontId="15" fillId="0" borderId="0" xfId="0" applyFont="1" applyBorder="1" applyAlignment="1">
      <alignment horizontal="center"/>
    </xf>
    <xf numFmtId="0" fontId="16" fillId="0" borderId="0" xfId="0" applyFont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wrapText="1" indent="1"/>
    </xf>
    <xf numFmtId="0" fontId="14" fillId="0" borderId="0" xfId="0" applyFont="1" applyAlignment="1">
      <alignment horizontal="left" wrapText="1"/>
    </xf>
    <xf numFmtId="0" fontId="14" fillId="0" borderId="6" xfId="0" applyFont="1" applyBorder="1" applyAlignment="1">
      <alignment horizontal="left" wrapText="1"/>
    </xf>
    <xf numFmtId="0" fontId="14" fillId="0" borderId="0" xfId="0" applyFont="1" applyAlignment="1">
      <alignment vertical="top" wrapText="1"/>
    </xf>
    <xf numFmtId="0" fontId="14" fillId="0" borderId="6" xfId="0" applyFont="1" applyBorder="1" applyAlignment="1">
      <alignment vertical="top" wrapText="1"/>
    </xf>
    <xf numFmtId="0" fontId="14" fillId="0" borderId="0" xfId="0" applyFont="1" applyFill="1" applyBorder="1" applyAlignment="1">
      <alignment horizontal="left" wrapText="1"/>
    </xf>
    <xf numFmtId="0" fontId="14" fillId="0" borderId="6" xfId="0" applyFont="1" applyFill="1" applyBorder="1" applyAlignment="1">
      <alignment horizontal="left" wrapText="1"/>
    </xf>
    <xf numFmtId="0" fontId="25" fillId="0" borderId="34" xfId="0" applyFont="1" applyBorder="1" applyAlignment="1">
      <alignment horizontal="left" vertical="center"/>
    </xf>
    <xf numFmtId="0" fontId="25" fillId="0" borderId="35" xfId="0" applyFont="1" applyBorder="1" applyAlignment="1">
      <alignment horizontal="left" vertical="center"/>
    </xf>
    <xf numFmtId="0" fontId="25" fillId="0" borderId="42" xfId="0" applyFont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 wrapText="1"/>
    </xf>
    <xf numFmtId="0" fontId="14" fillId="0" borderId="6" xfId="0" applyFont="1" applyFill="1" applyBorder="1" applyAlignment="1">
      <alignment horizontal="left" vertical="center" wrapText="1"/>
    </xf>
    <xf numFmtId="0" fontId="14" fillId="0" borderId="0" xfId="0" applyFont="1" applyBorder="1" applyAlignment="1">
      <alignment vertical="top" wrapText="1"/>
    </xf>
    <xf numFmtId="0" fontId="10" fillId="0" borderId="19" xfId="0" applyFont="1" applyBorder="1"/>
    <xf numFmtId="0" fontId="10" fillId="0" borderId="20" xfId="0" applyFont="1" applyBorder="1" applyAlignment="1">
      <alignment horizontal="left" vertical="center" wrapText="1" indent="1"/>
    </xf>
    <xf numFmtId="0" fontId="9" fillId="0" borderId="18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33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/>
    </xf>
    <xf numFmtId="0" fontId="10" fillId="0" borderId="11" xfId="0" applyFont="1" applyBorder="1" applyAlignment="1">
      <alignment horizontal="left" indent="1"/>
    </xf>
    <xf numFmtId="0" fontId="6" fillId="0" borderId="16" xfId="0" applyFont="1" applyBorder="1" applyAlignment="1">
      <alignment horizontal="center"/>
    </xf>
    <xf numFmtId="3" fontId="11" fillId="0" borderId="17" xfId="0" applyNumberFormat="1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6" fillId="0" borderId="11" xfId="0" applyFont="1" applyBorder="1"/>
    <xf numFmtId="0" fontId="10" fillId="0" borderId="30" xfId="0" applyFont="1" applyFill="1" applyBorder="1" applyAlignment="1">
      <alignment horizontal="left" vertical="center" wrapText="1" indent="1"/>
    </xf>
    <xf numFmtId="0" fontId="11" fillId="0" borderId="30" xfId="0" applyFont="1" applyBorder="1" applyAlignment="1">
      <alignment horizontal="left" vertical="center" wrapText="1"/>
    </xf>
    <xf numFmtId="0" fontId="6" fillId="0" borderId="18" xfId="0" applyFont="1" applyBorder="1"/>
    <xf numFmtId="0" fontId="9" fillId="0" borderId="1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0" fontId="11" fillId="0" borderId="16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0" fillId="3" borderId="38" xfId="0" applyFont="1" applyFill="1" applyBorder="1" applyAlignment="1">
      <alignment horizontal="center" vertical="center" wrapText="1"/>
    </xf>
  </cellXfs>
  <cellStyles count="5">
    <cellStyle name="Encabezado 1" xfId="1"/>
    <cellStyle name="Moneda_AUTORIZACION Y NOTA DE PEDIDO" xfId="2"/>
    <cellStyle name="Neutral 1" xfId="3"/>
    <cellStyle name="Normal" xfId="0" builtinId="0"/>
    <cellStyle name="Normal 2" xfId="4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6"/>
  <sheetViews>
    <sheetView tabSelected="1" topLeftCell="A13" zoomScale="85" zoomScaleNormal="85" workbookViewId="0">
      <selection activeCell="C19" sqref="C19:E19"/>
    </sheetView>
  </sheetViews>
  <sheetFormatPr baseColWidth="10" defaultColWidth="11" defaultRowHeight="12.75" x14ac:dyDescent="0.2"/>
  <cols>
    <col min="1" max="1" width="4.5703125" style="21" customWidth="1"/>
    <col min="2" max="2" width="13.5703125" style="21" customWidth="1"/>
    <col min="3" max="3" width="32.42578125" style="21" customWidth="1"/>
    <col min="4" max="4" width="8.42578125" style="21" customWidth="1"/>
    <col min="5" max="5" width="82.28515625" style="21" customWidth="1"/>
    <col min="6" max="6" width="11" style="21"/>
    <col min="7" max="7" width="12.7109375" style="21" customWidth="1"/>
    <col min="8" max="8" width="14.42578125" style="21" customWidth="1"/>
    <col min="9" max="9" width="18.5703125" style="21" customWidth="1"/>
    <col min="10" max="16384" width="11" style="21"/>
  </cols>
  <sheetData>
    <row r="2" spans="1:9" ht="27" x14ac:dyDescent="0.35">
      <c r="B2" s="68" t="s">
        <v>0</v>
      </c>
      <c r="C2" s="68"/>
      <c r="D2" s="68"/>
      <c r="E2" s="68"/>
      <c r="F2" s="68"/>
      <c r="G2" s="68"/>
      <c r="H2" s="68"/>
    </row>
    <row r="4" spans="1:9" ht="18" customHeight="1" x14ac:dyDescent="0.25">
      <c r="A4" s="69" t="s">
        <v>1</v>
      </c>
      <c r="B4" s="69"/>
      <c r="C4" s="70" t="s">
        <v>44</v>
      </c>
      <c r="D4" s="70"/>
      <c r="E4" s="70"/>
      <c r="F4" s="22"/>
      <c r="G4" s="23"/>
      <c r="H4" s="22"/>
    </row>
    <row r="5" spans="1:9" ht="18" customHeight="1" x14ac:dyDescent="0.25">
      <c r="A5" s="69" t="s">
        <v>2</v>
      </c>
      <c r="B5" s="69"/>
      <c r="C5" s="70" t="s">
        <v>45</v>
      </c>
      <c r="D5" s="70"/>
      <c r="E5" s="70"/>
      <c r="F5" s="22"/>
      <c r="G5" s="23"/>
      <c r="H5" s="22"/>
    </row>
    <row r="6" spans="1:9" ht="16.5" customHeight="1" x14ac:dyDescent="0.25">
      <c r="A6" s="69" t="s">
        <v>3</v>
      </c>
      <c r="B6" s="69"/>
      <c r="C6" s="24">
        <v>2022</v>
      </c>
      <c r="D6" s="25"/>
      <c r="E6" s="25"/>
      <c r="F6" s="22"/>
      <c r="G6" s="23"/>
      <c r="H6" s="22"/>
    </row>
    <row r="7" spans="1:9" ht="16.5" customHeight="1" x14ac:dyDescent="0.25">
      <c r="A7" s="69" t="s">
        <v>4</v>
      </c>
      <c r="B7" s="69"/>
      <c r="C7" s="24">
        <v>2</v>
      </c>
      <c r="D7" s="25"/>
      <c r="E7" s="25"/>
      <c r="F7" s="22"/>
      <c r="G7" s="23"/>
      <c r="H7" s="22"/>
    </row>
    <row r="8" spans="1:9" ht="13.5" thickBot="1" x14ac:dyDescent="0.25">
      <c r="B8" s="22"/>
      <c r="C8" s="23"/>
      <c r="D8" s="22"/>
      <c r="E8" s="22"/>
      <c r="F8" s="22"/>
      <c r="G8" s="23"/>
      <c r="H8" s="22"/>
    </row>
    <row r="9" spans="1:9" ht="39" thickBot="1" x14ac:dyDescent="0.25">
      <c r="A9" s="58" t="s">
        <v>5</v>
      </c>
      <c r="B9" s="59" t="s">
        <v>6</v>
      </c>
      <c r="C9" s="60" t="s">
        <v>7</v>
      </c>
      <c r="D9" s="60" t="s">
        <v>8</v>
      </c>
      <c r="E9" s="61" t="s">
        <v>9</v>
      </c>
      <c r="F9" s="57" t="s">
        <v>10</v>
      </c>
      <c r="G9" s="26" t="s">
        <v>11</v>
      </c>
      <c r="H9" s="26" t="s">
        <v>12</v>
      </c>
      <c r="I9" s="27" t="s">
        <v>13</v>
      </c>
    </row>
    <row r="10" spans="1:9" s="39" customFormat="1" ht="57.75" customHeight="1" thickBot="1" x14ac:dyDescent="0.25">
      <c r="A10" s="62">
        <v>1</v>
      </c>
      <c r="B10" s="63" t="s">
        <v>56</v>
      </c>
      <c r="C10" s="63" t="s">
        <v>49</v>
      </c>
      <c r="D10" s="63" t="s">
        <v>47</v>
      </c>
      <c r="E10" s="64" t="s">
        <v>57</v>
      </c>
      <c r="F10" s="55" t="s">
        <v>48</v>
      </c>
      <c r="G10" s="56">
        <v>4</v>
      </c>
      <c r="H10" s="65">
        <v>7850000</v>
      </c>
      <c r="I10" s="66">
        <f>G10*H10</f>
        <v>31400000</v>
      </c>
    </row>
    <row r="11" spans="1:9" ht="23.25" customHeight="1" thickBot="1" x14ac:dyDescent="0.3">
      <c r="A11" s="77" t="s">
        <v>61</v>
      </c>
      <c r="B11" s="78"/>
      <c r="C11" s="78"/>
      <c r="D11" s="78"/>
      <c r="E11" s="78"/>
      <c r="F11" s="78"/>
      <c r="G11" s="78"/>
      <c r="H11" s="79"/>
      <c r="I11" s="67">
        <f>SUM(I10:I10)</f>
        <v>31400000</v>
      </c>
    </row>
    <row r="12" spans="1:9" ht="23.25" customHeight="1" thickBot="1" x14ac:dyDescent="0.25">
      <c r="A12" s="49"/>
      <c r="B12" s="49"/>
      <c r="C12" s="49"/>
      <c r="D12" s="49"/>
      <c r="E12" s="49"/>
      <c r="F12" s="49"/>
      <c r="G12" s="49"/>
      <c r="H12" s="49"/>
      <c r="I12" s="50"/>
    </row>
    <row r="13" spans="1:9" ht="18" customHeight="1" x14ac:dyDescent="0.2">
      <c r="B13" s="47" t="s">
        <v>50</v>
      </c>
      <c r="C13" s="28"/>
      <c r="D13" s="28"/>
      <c r="E13" s="29"/>
    </row>
    <row r="14" spans="1:9" ht="19.5" customHeight="1" x14ac:dyDescent="0.2">
      <c r="B14" s="48" t="s">
        <v>51</v>
      </c>
      <c r="C14" s="32"/>
      <c r="D14" s="32"/>
      <c r="E14" s="33"/>
      <c r="F14" s="46"/>
    </row>
    <row r="15" spans="1:9" ht="51.75" customHeight="1" x14ac:dyDescent="0.2">
      <c r="B15" s="31"/>
      <c r="C15" s="82" t="s">
        <v>62</v>
      </c>
      <c r="D15" s="82"/>
      <c r="E15" s="74"/>
      <c r="F15" s="46"/>
      <c r="H15" s="54"/>
    </row>
    <row r="16" spans="1:9" ht="100.5" customHeight="1" x14ac:dyDescent="0.2">
      <c r="B16" s="31"/>
      <c r="C16" s="73" t="s">
        <v>68</v>
      </c>
      <c r="D16" s="73"/>
      <c r="E16" s="74"/>
      <c r="F16" s="46"/>
    </row>
    <row r="17" spans="2:9" ht="24" customHeight="1" x14ac:dyDescent="0.2">
      <c r="B17" s="31"/>
      <c r="C17" s="53" t="s">
        <v>53</v>
      </c>
      <c r="D17" s="51"/>
      <c r="E17" s="52"/>
      <c r="F17" s="46"/>
    </row>
    <row r="18" spans="2:9" ht="12.75" customHeight="1" x14ac:dyDescent="0.2">
      <c r="B18" s="31" t="s">
        <v>14</v>
      </c>
      <c r="C18" s="32"/>
      <c r="D18" s="43"/>
      <c r="E18" s="44"/>
      <c r="F18" s="46"/>
      <c r="I18" s="45"/>
    </row>
    <row r="19" spans="2:9" ht="93.75" customHeight="1" x14ac:dyDescent="0.2">
      <c r="B19" s="30"/>
      <c r="C19" s="80" t="s">
        <v>58</v>
      </c>
      <c r="D19" s="80"/>
      <c r="E19" s="81"/>
      <c r="F19" s="46"/>
    </row>
    <row r="20" spans="2:9" ht="15.75" x14ac:dyDescent="0.2">
      <c r="B20" s="31" t="s">
        <v>42</v>
      </c>
      <c r="C20" s="32"/>
      <c r="D20" s="32"/>
      <c r="E20" s="33"/>
      <c r="F20" s="46"/>
      <c r="I20" s="45"/>
    </row>
    <row r="21" spans="2:9" ht="26.25" customHeight="1" x14ac:dyDescent="0.2">
      <c r="B21" s="30"/>
      <c r="C21" s="75" t="s">
        <v>54</v>
      </c>
      <c r="D21" s="75"/>
      <c r="E21" s="76"/>
      <c r="F21" s="46"/>
    </row>
    <row r="22" spans="2:9" ht="18.75" customHeight="1" x14ac:dyDescent="0.2">
      <c r="B22" s="31" t="s">
        <v>15</v>
      </c>
      <c r="C22" s="34"/>
      <c r="D22" s="34"/>
      <c r="E22" s="35"/>
    </row>
    <row r="23" spans="2:9" ht="26.25" customHeight="1" x14ac:dyDescent="0.2">
      <c r="B23" s="30"/>
      <c r="C23" s="75" t="s">
        <v>46</v>
      </c>
      <c r="D23" s="75"/>
      <c r="E23" s="76"/>
    </row>
    <row r="24" spans="2:9" x14ac:dyDescent="0.2">
      <c r="B24" s="31" t="s">
        <v>43</v>
      </c>
      <c r="C24" s="32"/>
      <c r="D24" s="32"/>
      <c r="E24" s="33"/>
    </row>
    <row r="25" spans="2:9" ht="23.25" customHeight="1" x14ac:dyDescent="0.2">
      <c r="B25" s="31"/>
      <c r="C25" s="71" t="s">
        <v>55</v>
      </c>
      <c r="D25" s="71"/>
      <c r="E25" s="72"/>
    </row>
    <row r="26" spans="2:9" ht="13.5" thickBot="1" x14ac:dyDescent="0.25">
      <c r="B26" s="36"/>
      <c r="C26" s="37"/>
      <c r="D26" s="37"/>
      <c r="E26" s="38"/>
    </row>
    <row r="32" spans="2:9" ht="12.75" customHeight="1" x14ac:dyDescent="0.2">
      <c r="E32" s="21" t="s">
        <v>63</v>
      </c>
    </row>
    <row r="33" spans="5:5" x14ac:dyDescent="0.2">
      <c r="E33" s="21" t="s">
        <v>64</v>
      </c>
    </row>
    <row r="34" spans="5:5" x14ac:dyDescent="0.2">
      <c r="E34" s="21" t="s">
        <v>65</v>
      </c>
    </row>
    <row r="35" spans="5:5" x14ac:dyDescent="0.2">
      <c r="E35" s="54" t="s">
        <v>66</v>
      </c>
    </row>
    <row r="36" spans="5:5" x14ac:dyDescent="0.2">
      <c r="E36" s="21" t="s">
        <v>67</v>
      </c>
    </row>
  </sheetData>
  <mergeCells count="14">
    <mergeCell ref="C25:E25"/>
    <mergeCell ref="C16:E16"/>
    <mergeCell ref="C21:E21"/>
    <mergeCell ref="C23:E23"/>
    <mergeCell ref="A6:B6"/>
    <mergeCell ref="A11:H11"/>
    <mergeCell ref="A7:B7"/>
    <mergeCell ref="C19:E19"/>
    <mergeCell ref="C15:E15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opLeftCell="A4" zoomScale="115" zoomScaleNormal="115" workbookViewId="0">
      <selection activeCell="A19" sqref="A19:Q20"/>
    </sheetView>
  </sheetViews>
  <sheetFormatPr baseColWidth="10" defaultColWidth="11" defaultRowHeight="13.5" x14ac:dyDescent="0.25"/>
  <cols>
    <col min="1" max="5" width="4.42578125" style="1" customWidth="1"/>
    <col min="6" max="6" width="5.140625" style="1" customWidth="1"/>
    <col min="7" max="7" width="4.42578125" style="5" customWidth="1"/>
    <col min="8" max="14" width="4.42578125" style="1" customWidth="1"/>
    <col min="15" max="16" width="14.85546875" style="1" customWidth="1"/>
    <col min="17" max="17" width="24.140625" style="1" customWidth="1"/>
    <col min="18" max="18" width="11" style="1"/>
    <col min="19" max="19" width="11.7109375" style="1" bestFit="1" customWidth="1"/>
    <col min="20" max="16384" width="11" style="1"/>
  </cols>
  <sheetData>
    <row r="1" spans="1:17" ht="15.75" customHeight="1" x14ac:dyDescent="0.25">
      <c r="A1" s="91" t="s">
        <v>3</v>
      </c>
      <c r="B1" s="91"/>
      <c r="C1" s="91"/>
      <c r="D1" s="92">
        <v>2022</v>
      </c>
      <c r="E1" s="92"/>
      <c r="F1" s="3"/>
      <c r="G1" s="3"/>
      <c r="H1" s="4"/>
      <c r="I1" s="4"/>
      <c r="J1" s="4"/>
      <c r="K1" s="4"/>
      <c r="L1" s="4"/>
      <c r="M1" s="4"/>
      <c r="N1" s="4"/>
      <c r="P1" s="93" t="s">
        <v>16</v>
      </c>
      <c r="Q1" s="93"/>
    </row>
    <row r="2" spans="1:17" ht="15.75" customHeight="1" x14ac:dyDescent="0.25">
      <c r="H2" s="4"/>
      <c r="I2" s="4"/>
      <c r="J2" s="4"/>
      <c r="K2" s="4"/>
      <c r="L2" s="4"/>
      <c r="M2" s="4"/>
      <c r="N2" s="4"/>
      <c r="P2" s="93"/>
      <c r="Q2" s="93"/>
    </row>
    <row r="4" spans="1:17" ht="18" customHeight="1" thickBot="1" x14ac:dyDescent="0.35">
      <c r="A4" s="94" t="s">
        <v>17</v>
      </c>
      <c r="B4" s="94"/>
      <c r="C4" s="94"/>
      <c r="D4" s="94"/>
      <c r="E4" s="94"/>
      <c r="F4" s="94"/>
      <c r="G4" s="90" t="str">
        <f>+MOVILES!C4</f>
        <v>MINISTERIO DE SEGURIDAD</v>
      </c>
      <c r="H4" s="90"/>
      <c r="I4" s="90"/>
      <c r="J4" s="90"/>
      <c r="K4" s="90"/>
      <c r="L4" s="90"/>
      <c r="M4" s="90"/>
      <c r="N4" s="90"/>
      <c r="O4" s="90"/>
      <c r="P4" s="90"/>
      <c r="Q4" s="90"/>
    </row>
    <row r="5" spans="1:17" ht="18" customHeight="1" thickBot="1" x14ac:dyDescent="0.35">
      <c r="A5" s="86" t="s">
        <v>38</v>
      </c>
      <c r="B5" s="87"/>
      <c r="C5" s="87"/>
      <c r="D5" s="87"/>
      <c r="E5" s="87"/>
      <c r="F5" s="88"/>
      <c r="G5" s="40" t="str">
        <f>+MOVILES!C5</f>
        <v>SAF 19 - DIRECCION PROVINCIAL DE ADM. Y RR.HH. DEL MINISTERIO DE SEGURIDAD</v>
      </c>
      <c r="H5" s="41"/>
      <c r="I5" s="41"/>
      <c r="J5" s="41"/>
      <c r="K5" s="41"/>
      <c r="L5" s="41"/>
      <c r="M5" s="41"/>
      <c r="N5" s="41"/>
      <c r="O5" s="41"/>
      <c r="P5" s="41"/>
      <c r="Q5" s="42"/>
    </row>
    <row r="6" spans="1:17" ht="18" customHeight="1" thickBot="1" x14ac:dyDescent="0.35">
      <c r="A6" s="86" t="s">
        <v>18</v>
      </c>
      <c r="B6" s="87"/>
      <c r="C6" s="87"/>
      <c r="D6" s="87"/>
      <c r="E6" s="87"/>
      <c r="F6" s="88"/>
      <c r="G6" s="90" t="s">
        <v>44</v>
      </c>
      <c r="H6" s="90"/>
      <c r="I6" s="90"/>
      <c r="J6" s="90"/>
      <c r="K6" s="90"/>
      <c r="L6" s="90"/>
      <c r="M6" s="90"/>
      <c r="N6" s="90"/>
      <c r="O6" s="90"/>
      <c r="P6" s="90"/>
      <c r="Q6" s="90"/>
    </row>
    <row r="7" spans="1:17" ht="18" customHeight="1" thickBot="1" x14ac:dyDescent="0.35">
      <c r="A7" s="86" t="s">
        <v>39</v>
      </c>
      <c r="B7" s="87"/>
      <c r="C7" s="87"/>
      <c r="D7" s="87"/>
      <c r="E7" s="87"/>
      <c r="F7" s="88"/>
      <c r="G7" s="90" t="s">
        <v>44</v>
      </c>
      <c r="H7" s="90"/>
      <c r="I7" s="90"/>
      <c r="J7" s="90"/>
      <c r="K7" s="90"/>
      <c r="L7" s="90"/>
      <c r="M7" s="90"/>
      <c r="N7" s="90"/>
      <c r="O7" s="90"/>
      <c r="P7" s="90"/>
      <c r="Q7" s="90"/>
    </row>
    <row r="8" spans="1:17" ht="18" customHeight="1" thickBot="1" x14ac:dyDescent="0.3">
      <c r="A8" s="89" t="s">
        <v>40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</row>
    <row r="9" spans="1:17" ht="18" customHeight="1" x14ac:dyDescent="0.3">
      <c r="A9" s="83" t="s">
        <v>19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2"/>
      <c r="P9" s="2"/>
      <c r="Q9" s="6"/>
    </row>
    <row r="10" spans="1:17" ht="65.25" customHeight="1" x14ac:dyDescent="0.25">
      <c r="A10" s="84" t="s">
        <v>60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</row>
    <row r="11" spans="1:17" ht="9" customHeight="1" x14ac:dyDescent="0.25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5">
      <c r="A12" s="85" t="s">
        <v>20</v>
      </c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</row>
    <row r="13" spans="1:17" ht="15.75" customHeight="1" x14ac:dyDescent="0.25">
      <c r="A13" s="98" t="s">
        <v>21</v>
      </c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9" t="s">
        <v>22</v>
      </c>
      <c r="P13" s="99"/>
      <c r="Q13" s="100" t="s">
        <v>23</v>
      </c>
    </row>
    <row r="14" spans="1:17" ht="15.75" customHeight="1" thickBot="1" x14ac:dyDescent="0.3">
      <c r="A14" s="11" t="s">
        <v>24</v>
      </c>
      <c r="B14" s="12" t="s">
        <v>25</v>
      </c>
      <c r="C14" s="12" t="s">
        <v>26</v>
      </c>
      <c r="D14" s="12" t="s">
        <v>27</v>
      </c>
      <c r="E14" s="12" t="s">
        <v>28</v>
      </c>
      <c r="F14" s="12" t="s">
        <v>29</v>
      </c>
      <c r="G14" s="13" t="s">
        <v>30</v>
      </c>
      <c r="H14" s="12" t="s">
        <v>31</v>
      </c>
      <c r="I14" s="12" t="s">
        <v>32</v>
      </c>
      <c r="J14" s="12" t="s">
        <v>33</v>
      </c>
      <c r="K14" s="12" t="s">
        <v>33</v>
      </c>
      <c r="L14" s="12" t="s">
        <v>34</v>
      </c>
      <c r="M14" s="14" t="s">
        <v>35</v>
      </c>
      <c r="N14" s="15" t="s">
        <v>36</v>
      </c>
      <c r="O14" s="99"/>
      <c r="P14" s="99"/>
      <c r="Q14" s="100"/>
    </row>
    <row r="15" spans="1:17" ht="36" customHeight="1" thickBot="1" x14ac:dyDescent="0.3">
      <c r="A15" s="17">
        <v>1</v>
      </c>
      <c r="B15" s="18">
        <v>0</v>
      </c>
      <c r="C15" s="18">
        <v>0</v>
      </c>
      <c r="D15" s="18">
        <v>1</v>
      </c>
      <c r="E15" s="18">
        <v>0</v>
      </c>
      <c r="F15" s="18">
        <v>4901</v>
      </c>
      <c r="G15" s="18">
        <v>2</v>
      </c>
      <c r="H15" s="18">
        <v>1</v>
      </c>
      <c r="I15" s="18">
        <v>4</v>
      </c>
      <c r="J15" s="18">
        <v>3</v>
      </c>
      <c r="K15" s="18">
        <v>2</v>
      </c>
      <c r="L15" s="18">
        <v>0</v>
      </c>
      <c r="M15" s="19">
        <v>1</v>
      </c>
      <c r="N15" s="18" t="s">
        <v>41</v>
      </c>
      <c r="O15" s="105" t="s">
        <v>52</v>
      </c>
      <c r="P15" s="106"/>
      <c r="Q15" s="20">
        <f>+MOVILES!I11</f>
        <v>31400000</v>
      </c>
    </row>
    <row r="16" spans="1:17" ht="28.5" customHeight="1" thickBot="1" x14ac:dyDescent="0.3">
      <c r="A16" s="96" t="str">
        <f>+MOVILES!A11</f>
        <v>COSTO ESTIMADO TOTAL: TREINTA UN MILLONES CUATROCIENTOS MIL CON 00/100</v>
      </c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16">
        <f>SUM(Q15:Q15)</f>
        <v>31400000</v>
      </c>
    </row>
    <row r="17" spans="1:17" ht="18" customHeight="1" thickBot="1" x14ac:dyDescent="0.3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</row>
    <row r="18" spans="1:17" ht="17.25" customHeight="1" thickBot="1" x14ac:dyDescent="0.3">
      <c r="A18" s="101" t="s">
        <v>37</v>
      </c>
      <c r="B18" s="102"/>
      <c r="C18" s="102"/>
      <c r="D18" s="102"/>
      <c r="E18" s="102"/>
      <c r="F18" s="103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</row>
    <row r="19" spans="1:17" ht="18" customHeight="1" thickBot="1" x14ac:dyDescent="0.3">
      <c r="A19" s="95" t="s">
        <v>59</v>
      </c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</row>
    <row r="20" spans="1:17" ht="15" customHeight="1" x14ac:dyDescent="0.25">
      <c r="A20" s="95"/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</row>
  </sheetData>
  <mergeCells count="23">
    <mergeCell ref="A19:Q20"/>
    <mergeCell ref="A16:P16"/>
    <mergeCell ref="A17:Q17"/>
    <mergeCell ref="A13:N13"/>
    <mergeCell ref="O13:P14"/>
    <mergeCell ref="Q13:Q14"/>
    <mergeCell ref="A18:F18"/>
    <mergeCell ref="G18:Q18"/>
    <mergeCell ref="O15:P15"/>
    <mergeCell ref="A1:C1"/>
    <mergeCell ref="D1:E1"/>
    <mergeCell ref="P1:Q2"/>
    <mergeCell ref="A4:F4"/>
    <mergeCell ref="G4:Q4"/>
    <mergeCell ref="A9:N9"/>
    <mergeCell ref="A10:Q10"/>
    <mergeCell ref="A12:Q12"/>
    <mergeCell ref="A5:F5"/>
    <mergeCell ref="A8:Q8"/>
    <mergeCell ref="A6:F6"/>
    <mergeCell ref="G6:Q6"/>
    <mergeCell ref="A7:F7"/>
    <mergeCell ref="G7:Q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MOVILES</vt:lpstr>
      <vt:lpstr>Autor Gastar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Secretaria1</dc:creator>
  <cp:lastModifiedBy>Karen</cp:lastModifiedBy>
  <cp:revision>2</cp:revision>
  <cp:lastPrinted>2021-10-28T13:38:57Z</cp:lastPrinted>
  <dcterms:created xsi:type="dcterms:W3CDTF">2020-07-17T23:44:49Z</dcterms:created>
  <dcterms:modified xsi:type="dcterms:W3CDTF">2022-06-22T15:04:07Z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