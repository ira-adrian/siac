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45" windowWidth="16605" windowHeight="9435" tabRatio="500"/>
  </bookViews>
  <sheets>
    <sheet name="Necesidades Trimestrales" sheetId="1" r:id="rId1"/>
    <sheet name=" NotaPedido" sheetId="2" state="hidden" r:id="rId2"/>
    <sheet name="Autor Gastar" sheetId="3" state="hidden" r:id="rId3"/>
  </sheets>
  <definedNames>
    <definedName name="_xlnm.Print_Area" localSheetId="1">' NotaPedido'!$A$1:$K$15</definedName>
    <definedName name="_xlnm.Print_Area" localSheetId="2">'Autor Gastar'!$A$1:$Q$20</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0" i="1" l="1"/>
  <c r="G6" i="1"/>
  <c r="I13" i="2"/>
  <c r="J13" i="2"/>
  <c r="K13" i="2"/>
  <c r="I14" i="2"/>
  <c r="J14" i="2"/>
  <c r="K14" i="2"/>
  <c r="C13" i="2"/>
  <c r="C14" i="2"/>
  <c r="B13" i="2"/>
  <c r="B14" i="2"/>
  <c r="K12" i="2"/>
  <c r="I12" i="2"/>
  <c r="J12" i="2"/>
  <c r="C12" i="2"/>
  <c r="B12" i="2"/>
  <c r="I11" i="1" l="1"/>
  <c r="O15" i="3"/>
  <c r="A19" i="3"/>
  <c r="A10" i="3"/>
  <c r="J15" i="2" l="1"/>
  <c r="Q15" i="3" l="1"/>
  <c r="Q16" i="3" s="1"/>
  <c r="G6" i="3" l="1"/>
  <c r="G7" i="3"/>
  <c r="D3" i="2"/>
  <c r="G4" i="3" s="1"/>
  <c r="D4" i="2"/>
  <c r="G5" i="3" s="1"/>
  <c r="D1" i="3" l="1"/>
</calcChain>
</file>

<file path=xl/sharedStrings.xml><?xml version="1.0" encoding="utf-8"?>
<sst xmlns="http://schemas.openxmlformats.org/spreadsheetml/2006/main" count="85" uniqueCount="78">
  <si>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</si>
  <si>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</si>
  <si>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</si>
  <si>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</si>
  <si>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</si>
  <si>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</si>
  <si>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</si>
  <si>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</si>
  <si>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</si>
  <si>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</si>
  <si>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</si>
  <si>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</si>
  <si>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</si>
  <si>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</si>
  <si>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</si>
  <si>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</si>
  <si>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</si>
  <si>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</si>
  <si>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</si>
  <si>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</si>
  <si>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</si>
  <si>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</si>
  <si>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</si>
  <si>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</si>
  <si>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</si>
  <si>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</si>
  <si>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</si>
  <si>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</si>
  <si>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</si>
  <si>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</si>
  <si>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</si>
  <si>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</si>
  <si>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</si>
  <si>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</si>
  <si>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</si>
  <si>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</si>
  <si>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</si>
  <si>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</si>
  <si>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</si>
  <si>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</si>
  <si>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</si>
  <si>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</si>
  <si>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</si>
  <si>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</si>
  <si>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</si>
  <si>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</si>
  <si>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</si>
  <si>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</si>
  <si>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</si>
  <si>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</si>
  <si>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</si>
  <si>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</si>
  <si>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</si>
  <si>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</si>
  <si>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</si>
  <si>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90 - Ministerio de Seguridad</t>
  </si>
  <si>
    <t>Policía de la Provincia de Catamarca</t>
  </si>
  <si>
    <t>1.1</t>
  </si>
  <si>
    <t>SI</t>
  </si>
  <si>
    <t>7- Dirección Provincial de Administración de la Policía de la Provincia de Catamarca</t>
  </si>
  <si>
    <r>
      <t>AUTORIZACIÓN</t>
    </r>
    <r>
      <rPr>
        <b/>
        <sz val="10"/>
        <rFont val="Century Gothic"/>
        <family val="2"/>
      </rPr>
      <t>:</t>
    </r>
  </si>
  <si>
    <t>TOTAL DE PESOS:   Treinta y Cuatro Mil Novecientos Cincuenta con 00/100.-</t>
  </si>
  <si>
    <t>2.2.2-6728.85</t>
  </si>
  <si>
    <t>INDUMENT TEXTIL Y CONFECCIONES</t>
  </si>
  <si>
    <t>2.2.2</t>
  </si>
  <si>
    <t>Especificidades:</t>
  </si>
  <si>
    <r>
      <rPr>
        <sz val="10"/>
        <rFont val="Century Gothic"/>
        <family val="2"/>
      </rPr>
      <t xml:space="preserve">                     </t>
    </r>
    <r>
      <rPr>
        <u/>
        <sz val="10"/>
        <rFont val="Century Gothic"/>
        <family val="2"/>
      </rPr>
      <t xml:space="preserve">Descripción técnica Item 1 </t>
    </r>
  </si>
  <si>
    <r>
      <t xml:space="preserve">a) </t>
    </r>
    <r>
      <rPr>
        <b/>
        <sz val="10"/>
        <rFont val="Century Gothic"/>
        <family val="2"/>
      </rPr>
      <t>LUGAR DE ENTREGA: Departamento Logística, sito en Av. Felix Avellaneda RP N° 33  KM 2</t>
    </r>
    <r>
      <rPr>
        <sz val="10"/>
        <rFont val="Century Gothic"/>
        <family val="2"/>
      </rPr>
      <t>., SUMALAO - VALLE VIEJO. De 08 a 12 horas. 
b)</t>
    </r>
    <r>
      <rPr>
        <b/>
        <sz val="10"/>
        <rFont val="Century Gothic"/>
        <family val="2"/>
      </rPr>
      <t xml:space="preserve"> FORMA DE LA ENTREGA</t>
    </r>
    <r>
      <rPr>
        <sz val="10"/>
        <rFont val="Century Gothic"/>
        <family val="2"/>
      </rPr>
      <t xml:space="preserve">: Libre de flete, acarreo y embalaje, como así también, de todo riesgo de pérdida o destrucción total o parcial, por causas ajenas a la Institución.
c)  </t>
    </r>
    <r>
      <rPr>
        <b/>
        <sz val="10"/>
        <rFont val="Century Gothic"/>
        <family val="2"/>
      </rPr>
      <t>PLAZO DE ENTREGA</t>
    </r>
    <r>
      <rPr>
        <sz val="10"/>
        <rFont val="Century Gothic"/>
        <family val="2"/>
      </rPr>
      <t>: El Oferente deberá establecer plazo de entrega de los elementos cotizados, debiendo ser expresado en días hábiles; que no podrá ser superior a cinco (5) días hábiles, contados a partir de la recepción de la comunicación prevista en el Artículo 80° de del Reglamento Parcial N° 2 de la ley 4938.</t>
    </r>
  </si>
  <si>
    <t xml:space="preserve">30 (treinta)  días </t>
  </si>
  <si>
    <t>Adquisición de Uniformes de Fajina para el personal policial.</t>
  </si>
  <si>
    <t>División Intendencia, Departamento Logística</t>
  </si>
  <si>
    <t>Costo total estimado: Pesos Cinco Millones Doscientos Mil con 00/100.-</t>
  </si>
  <si>
    <t>3er trimestre Año 2021.-</t>
  </si>
  <si>
    <t>81/2021</t>
  </si>
  <si>
    <t>Que Cumpla con lo Solicitado de Forma Integra. Presentar Muestras para todos los  ítems, en su empaque original, en el cual puedan observase en forma clara la marca del mismo y sus características.
c.1) La recepción de las muestras se realizará en el Departamento Logística (D-4) de la Policía de Catamarca, hasta momentos antes de la apertura, sito en Ruta Provincial Nº 33, Sumalao - Valle Viejo. Provincia de Catamarca.
c.2) Debidamente rotuladas por ítems e identificando claramente el oferente cotizante. No se aceptaran muestras distintas a lo cotizado.</t>
  </si>
  <si>
    <t>CALZADO DE SEGURIDAD; TIPO: BORCEGUI TACTICO, SUELA: ANTIDESLIZANTE, PUNTERA: CON, MATERIAL: CUERO FLOR</t>
  </si>
  <si>
    <r>
      <t>Características;</t>
    </r>
    <r>
      <rPr>
        <sz val="10"/>
        <rFont val="Century Gothic"/>
        <family val="2"/>
      </rPr>
      <t xml:space="preserve"> Modelo Borceguí. Cuero vacuno flor, de 1.8 mm a 2 mm de espesor en capellada, talonera, refuerza de caña, ojalillero y tira larga. Cañas y fuelle: tejido plano fibra poliéster resistente al rasgado, durable y permeable al vapor de humedad. Forro (talonera, ojalillero, fuelle y cuello alto) material cuero vacuno flor napa, espesor de 1 a 1.2 mm de espesor como mínimo. Caña: Altura de caña: 200 mm como mínimo (desde la costura inferior), material tejido con soporte de 2 mm de espesor. Capellada: constituida en material no tejido de 1 mm a 1.2 mm de espesor como mínimo. Accesorios y elementos de armado: Cuello: Llevara en su interior acolchado perimetral de poliuretano expandido (goma espuma) con una densidad de 20grs/cm3, altura de 10 mm como mínimo. Pasa cordones: deberá llevar ocho (08) ojalillos, distribuido 4 de cada lado y diez (10) ganchos  alpinos cerrados  distribuidos cinco (05) de cada lado. Puntera: en material plástico ubicado en el interior entre el forro y el cuero, lo que deberá evitar la deformación  en la punta del calzado. Contrafuerte: en material sintético  termo formable, de 1.5 mm, lo que suministrara  al talón una posición firme sin provocar molestias. Deberá llevar dos remaches por pie en unión de costura  de capellada con caña. Cordones: de fibra sintética con herretes plásticos en sus extremos, largo aproximado 1,80 a 2,00 metros. Planilla de armado: material no tejido de 2 mm de espesor como mínimo, que contenga la forma anatómica del pie. Planilla de interior: material textil no tejida respirable, antimicótico, con soporte inyectado PU de alto confort, desmontable. Forma anatómica, con elevación en los laterales, llevara en el arco un soporte lo que otorgue estabilidad y contención. Deberá contar debajo del metatarso una elevación en forma de gota lo que evitara futuras deformaciones en los dedos. Planta exterior: constituida en poliuretano bidensidad, planta y entre planta inyectada (no pegada) al corte con la fusión  del material. Resistente al choque eléctrico según normas IRAM 3610. Planta: densidad de 1 +/-0.1 gr/cm3 dureza shore a 70 +/-5 grados, con dibujo antideslizante, con relieve ubicado para evitar el quiebre de la planta. Costuras: en hilo de nylon. Puntadas: 3 por cm, tres  (03) por cm en costura de cuello. Unión de caña y capellada: cuatro (04) costuras. Unión de talonera y caña tres (03) costura. Refuerzo de caña  y tira de atrás  dos costuras. Refuerzo de ojalillo, dibujo de fuelle, pegado del vivo del fuelle, dibujo de la caña una costura. Talles: 35/05; 36/14; 37/50; 38/140; 39/200; 40/250; 41/250; 42/250; 43/200; 44/100; 45/50; 46/10; 47/05.</t>
    </r>
  </si>
  <si>
    <t>6 meses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</si>
</sst>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quot;$&quot;\ * #,##0.00_ ;_ &quot;$&quot;\ * \-#,##0.00_ ;_ &quot;$&quot;\ * &quot;-&quot;??_ ;_ @_ "/>
    <numFmt numFmtId="165" formatCode="_(\$* #,##0.00_);_(\$* \(#,##0.00\);_(\$* \-??_);_(@_)"/>
    <numFmt numFmtId="166" formatCode="_-* #,##0.00&quot; €&quot;_-;\-* #,##0.00&quot; €&quot;_-;_-* \-??&quot; €&quot;_-;_-@_-"/>
    <numFmt numFmtId="167" formatCode="[$$-2C0A]\ #,##0.00;[$$-2C0A]&quot; -&quot;#,##0.00"/>
    <numFmt numFmtId="168" formatCode="[$$-2C0A]\ #,##0.00"/>
    <numFmt numFmtId="169" formatCode="dd\-mm\-yy;@"/>
    <numFmt numFmtId="170" formatCode="_ [$$-2C0A]\ * #,##0.00_ ;_ [$$-2C0A]\ * \-#,##0.00_ ;_ [$$-2C0A]\ * &quot;-&quot;??_ ;_ @_ "/>
    <numFmt numFmtId="171" formatCode="&quot;$&quot;\ #,##0.00"/>
  </numFmts>
  <fonts count="22"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Arial"/>
      <family val="2"/>
    </font>
    <font>
      <sz val="10"/>
      <name val="Century Gothic"/>
      <family val="2"/>
    </font>
    <font>
      <b/>
      <sz val="10"/>
      <name val="Century Gothic"/>
      <family val="2"/>
    </font>
    <font>
      <b/>
      <sz val="10"/>
      <color rgb="FF000000"/>
      <name val="Century Gothic"/>
      <family val="2"/>
    </font>
    <font>
      <sz val="10"/>
      <color rgb="FF000000"/>
      <name val="Century Gothic"/>
      <family val="2"/>
    </font>
    <font>
      <u/>
      <sz val="10"/>
      <name val="Century Gothic"/>
      <family val="2"/>
    </font>
    <font>
      <b/>
      <u/>
      <sz val="10"/>
      <name val="Century Gothic"/>
      <family val="2"/>
    </font>
    <font>
      <b/>
      <u/>
      <sz val="12"/>
      <name val="Century Gothic"/>
      <family val="2"/>
    </font>
    <font>
      <b/>
      <sz val="12"/>
      <name val="Century Gothic"/>
      <family val="2"/>
    </font>
    <font>
      <sz val="12"/>
      <name val="Century Gothic"/>
      <family val="2"/>
    </font>
    <font>
      <b/>
      <sz val="11"/>
      <name val="Century Gothic"/>
      <family val="2"/>
    </font>
    <font>
      <sz val="9"/>
      <name val="Century Gothic"/>
      <family val="2"/>
    </font>
    <font>
      <sz val="11"/>
      <name val="Century Gothic"/>
      <family val="2"/>
    </font>
    <font>
      <b/>
      <sz val="11"/>
      <color rgb="FF000000"/>
      <name val="Century Gothic"/>
      <family val="2"/>
    </font>
    <font>
      <b/>
      <sz val="22"/>
      <name val="Century Gothic"/>
      <family val="2"/>
    </font>
    <font>
      <b/>
      <sz val="12"/>
      <color rgb="FF000000"/>
      <name val="Century Gothic"/>
      <family val="2"/>
    </font>
    <font>
      <b/>
      <sz val="11"/>
      <name val="Times New Roman"/>
      <family val="1"/>
      <charset val="1"/>
    </font>
    <font>
      <sz val="10"/>
      <color theme="1"/>
      <name val="Century Gothic"/>
      <family val="2"/>
    </font>
  </fonts>
  <fills count="6">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FFFFFF"/>
        <bgColor rgb="FF000000"/>
      </patternFill>
    </fill>
  </fills>
  <borders count="57">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bottom style="medium">
        <color auto="1"/>
      </bottom>
      <diagonal/>
    </border>
    <border>
      <left/>
      <right style="thin">
        <color rgb="FF3D3D3D"/>
      </right>
      <top style="medium">
        <color rgb="FF3D3D3D"/>
      </top>
      <bottom style="thin">
        <color rgb="FF3D3D3D"/>
      </bottom>
      <diagonal/>
    </border>
    <border>
      <left/>
      <right/>
      <top style="medium">
        <color rgb="FF3D3D3D"/>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diagonal/>
    </border>
    <border>
      <left/>
      <right/>
      <top style="medium">
        <color auto="1"/>
      </top>
      <bottom style="medium">
        <color auto="1"/>
      </bottom>
      <diagonal/>
    </border>
    <border>
      <left style="thin">
        <color auto="1"/>
      </left>
      <right/>
      <top style="medium">
        <color indexed="64"/>
      </top>
      <bottom style="thin">
        <color auto="1"/>
      </bottom>
      <diagonal/>
    </border>
    <border>
      <left style="medium">
        <color auto="1"/>
      </left>
      <right style="medium">
        <color rgb="FF3D3D3D"/>
      </right>
      <top style="medium">
        <color auto="1"/>
      </top>
      <bottom/>
      <diagonal/>
    </border>
    <border>
      <left/>
      <right style="medium">
        <color rgb="FF3D3D3D"/>
      </right>
      <top style="medium">
        <color auto="1"/>
      </top>
      <bottom/>
      <diagonal/>
    </border>
    <border>
      <left/>
      <right style="medium">
        <color rgb="FF3D3D3D"/>
      </right>
      <top style="medium">
        <color auto="1"/>
      </top>
      <bottom style="medium">
        <color auto="1"/>
      </bottom>
      <diagonal/>
    </border>
    <border>
      <left/>
      <right style="thin">
        <color auto="1"/>
      </right>
      <top style="medium">
        <color auto="1"/>
      </top>
      <bottom style="thin">
        <color auto="1"/>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thin">
        <color auto="1"/>
      </right>
      <top style="medium">
        <color indexed="64"/>
      </top>
      <bottom style="medium">
        <color indexed="64"/>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style="thin">
        <color auto="1"/>
      </bottom>
      <diagonal/>
    </border>
  </borders>
  <cellStyleXfs count="5">
    <xf numFmtId="0" fontId="0" fillId="0" borderId="0"/>
    <xf numFmtId="166" fontId="4" fillId="0" borderId="0" applyBorder="0" applyProtection="0"/>
    <xf numFmtId="0" fontId="1" fillId="0" borderId="1" applyProtection="0"/>
    <xf numFmtId="165" fontId="2" fillId="0" borderId="0" applyBorder="0" applyProtection="0"/>
    <xf numFmtId="0" fontId="3" fillId="2" borderId="0" applyBorder="0" applyProtection="0"/>
  </cellStyleXfs>
  <cellXfs count="146">
    <xf numFmtId="0" fontId="0" fillId="0" borderId="0" xfId="0"/>
    <xf numFmtId="0" fontId="5" fillId="3" borderId="0" xfId="0" applyFont="1" applyFill="1"/>
    <xf numFmtId="0" fontId="8" fillId="3" borderId="0" xfId="0" applyFont="1" applyFill="1" applyAlignment="1">
      <alignment horizontal="left" wrapText="1"/>
    </xf>
    <xf numFmtId="0" fontId="7" fillId="3" borderId="43" xfId="0" applyFont="1" applyFill="1" applyBorder="1" applyAlignment="1">
      <alignment horizontal="center" vertical="center" wrapText="1"/>
    </xf>
    <xf numFmtId="0" fontId="5" fillId="3" borderId="0" xfId="0" applyFont="1" applyFill="1" applyBorder="1"/>
    <xf numFmtId="0" fontId="5" fillId="3" borderId="0" xfId="0" applyFont="1" applyFill="1" applyAlignment="1">
      <alignment horizontal="left"/>
    </xf>
    <xf numFmtId="0" fontId="8" fillId="3" borderId="0" xfId="0" applyFont="1" applyFill="1" applyAlignment="1">
      <alignment horizontal="center" wrapText="1"/>
    </xf>
    <xf numFmtId="0" fontId="19" fillId="4" borderId="0" xfId="0" applyFont="1" applyFill="1" applyAlignment="1">
      <alignment horizontal="left" wrapText="1" indent="1"/>
    </xf>
    <xf numFmtId="0" fontId="7" fillId="3" borderId="0" xfId="0" applyFont="1" applyFill="1" applyAlignment="1">
      <alignment horizontal="left" wrapText="1"/>
    </xf>
    <xf numFmtId="171" fontId="6" fillId="3" borderId="38" xfId="0" applyNumberFormat="1" applyFont="1" applyFill="1" applyBorder="1"/>
    <xf numFmtId="3" fontId="14" fillId="3" borderId="0" xfId="0" applyNumberFormat="1" applyFont="1" applyFill="1" applyBorder="1" applyAlignment="1"/>
    <xf numFmtId="169" fontId="5" fillId="3" borderId="0" xfId="0" applyNumberFormat="1" applyFont="1" applyFill="1" applyAlignment="1">
      <alignment horizontal="left"/>
    </xf>
    <xf numFmtId="0" fontId="5" fillId="3" borderId="10" xfId="0" applyFont="1" applyFill="1" applyBorder="1"/>
    <xf numFmtId="0" fontId="5" fillId="3" borderId="24" xfId="0" applyFont="1" applyFill="1" applyBorder="1"/>
    <xf numFmtId="0" fontId="5" fillId="3" borderId="12" xfId="0" applyFont="1" applyFill="1" applyBorder="1"/>
    <xf numFmtId="0" fontId="5" fillId="3" borderId="12" xfId="0" applyFont="1" applyFill="1" applyBorder="1" applyAlignment="1">
      <alignment horizontal="left"/>
    </xf>
    <xf numFmtId="0" fontId="5" fillId="3" borderId="25" xfId="0" applyFont="1" applyFill="1" applyBorder="1"/>
    <xf numFmtId="0" fontId="6" fillId="3" borderId="27" xfId="0" applyFont="1" applyFill="1" applyBorder="1" applyAlignment="1">
      <alignment horizontal="center" vertical="center"/>
    </xf>
    <xf numFmtId="0" fontId="6" fillId="3" borderId="28" xfId="0" applyFont="1" applyFill="1" applyBorder="1" applyAlignment="1">
      <alignment horizontal="center" vertical="center"/>
    </xf>
    <xf numFmtId="0" fontId="6" fillId="3" borderId="28" xfId="0" applyFont="1" applyFill="1" applyBorder="1" applyAlignment="1">
      <alignment horizontal="left" vertical="center"/>
    </xf>
    <xf numFmtId="0" fontId="6" fillId="3" borderId="29" xfId="0" applyFont="1" applyFill="1" applyBorder="1" applyAlignment="1">
      <alignment horizontal="center" vertical="center"/>
    </xf>
    <xf numFmtId="0" fontId="6" fillId="3" borderId="23" xfId="0" applyFont="1" applyFill="1" applyBorder="1" applyAlignment="1">
      <alignment horizontal="center" vertical="center"/>
    </xf>
    <xf numFmtId="0" fontId="5" fillId="3" borderId="3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167" fontId="5" fillId="3" borderId="33" xfId="3" applyNumberFormat="1" applyFont="1" applyFill="1" applyBorder="1" applyAlignment="1" applyProtection="1">
      <alignment horizontal="center" vertical="center"/>
    </xf>
    <xf numFmtId="167" fontId="6" fillId="3" borderId="34" xfId="0" applyNumberFormat="1" applyFont="1" applyFill="1" applyBorder="1" applyAlignment="1">
      <alignment horizontal="center" vertical="center"/>
    </xf>
    <xf numFmtId="0" fontId="11" fillId="3" borderId="10" xfId="0" applyFont="1" applyFill="1" applyBorder="1" applyAlignment="1">
      <alignment horizontal="right" vertical="center"/>
    </xf>
    <xf numFmtId="0" fontId="12" fillId="3" borderId="11" xfId="0" applyFont="1" applyFill="1" applyBorder="1" applyAlignment="1">
      <alignment horizontal="center" vertical="center"/>
    </xf>
    <xf numFmtId="0" fontId="5" fillId="3" borderId="0" xfId="0" applyFont="1" applyFill="1" applyBorder="1" applyAlignment="1">
      <alignment vertical="center"/>
    </xf>
    <xf numFmtId="0" fontId="11" fillId="3" borderId="12" xfId="0" applyFont="1" applyFill="1" applyBorder="1" applyAlignment="1">
      <alignment vertical="center"/>
    </xf>
    <xf numFmtId="0" fontId="11" fillId="3" borderId="0" xfId="0" applyFont="1" applyFill="1" applyBorder="1" applyAlignment="1">
      <alignment vertical="center"/>
    </xf>
    <xf numFmtId="0" fontId="13" fillId="3" borderId="0" xfId="0" applyFont="1" applyFill="1" applyBorder="1" applyAlignment="1">
      <alignment horizontal="left" vertical="center"/>
    </xf>
    <xf numFmtId="0" fontId="12" fillId="3" borderId="0" xfId="0" applyFont="1" applyFill="1" applyBorder="1" applyAlignment="1">
      <alignment horizontal="left" vertical="center" wrapText="1" indent="1"/>
    </xf>
    <xf numFmtId="0" fontId="5" fillId="3" borderId="41" xfId="0" applyFont="1" applyFill="1" applyBorder="1" applyAlignment="1">
      <alignment horizontal="center" vertical="center" wrapText="1"/>
    </xf>
    <xf numFmtId="0" fontId="5" fillId="3" borderId="42" xfId="0" applyFont="1" applyFill="1" applyBorder="1" applyAlignment="1">
      <alignment horizontal="center" vertical="center"/>
    </xf>
    <xf numFmtId="0" fontId="5" fillId="3" borderId="42" xfId="0" applyFont="1" applyFill="1" applyBorder="1" applyAlignment="1">
      <alignment horizontal="center" vertical="center" wrapText="1"/>
    </xf>
    <xf numFmtId="170" fontId="5" fillId="3" borderId="42" xfId="1" applyNumberFormat="1" applyFont="1" applyFill="1" applyBorder="1" applyAlignment="1" applyProtection="1">
      <alignment horizontal="center" vertical="center"/>
    </xf>
    <xf numFmtId="3" fontId="5" fillId="3" borderId="42" xfId="0" applyNumberFormat="1" applyFont="1" applyFill="1" applyBorder="1" applyAlignment="1">
      <alignment horizontal="center" vertical="center"/>
    </xf>
    <xf numFmtId="170" fontId="5" fillId="3" borderId="0" xfId="0" applyNumberFormat="1" applyFont="1" applyFill="1" applyBorder="1" applyAlignment="1">
      <alignment vertical="center"/>
    </xf>
    <xf numFmtId="0" fontId="9" fillId="5" borderId="2" xfId="0" applyFont="1" applyFill="1" applyBorder="1" applyAlignment="1">
      <alignment horizontal="left"/>
    </xf>
    <xf numFmtId="0" fontId="5" fillId="5" borderId="3" xfId="0" applyFont="1" applyFill="1" applyBorder="1"/>
    <xf numFmtId="0" fontId="5" fillId="5" borderId="4" xfId="0" applyFont="1" applyFill="1" applyBorder="1"/>
    <xf numFmtId="0" fontId="5" fillId="5" borderId="0" xfId="0" applyFont="1" applyFill="1" applyBorder="1"/>
    <xf numFmtId="0" fontId="5" fillId="5" borderId="6" xfId="0" applyFont="1" applyFill="1" applyBorder="1"/>
    <xf numFmtId="0" fontId="9" fillId="5" borderId="7" xfId="0" applyFont="1" applyFill="1" applyBorder="1" applyAlignment="1"/>
    <xf numFmtId="0" fontId="9" fillId="5" borderId="0" xfId="0" applyFont="1" applyFill="1" applyBorder="1" applyAlignment="1"/>
    <xf numFmtId="0" fontId="5" fillId="5" borderId="0" xfId="0" applyFont="1" applyFill="1" applyBorder="1" applyAlignment="1">
      <alignment horizontal="left" vertical="center" wrapText="1"/>
    </xf>
    <xf numFmtId="0" fontId="10" fillId="5" borderId="2" xfId="0" applyFont="1" applyFill="1" applyBorder="1" applyAlignment="1">
      <alignment horizontal="left" vertical="center"/>
    </xf>
    <xf numFmtId="0" fontId="5" fillId="5" borderId="3" xfId="0" applyFont="1" applyFill="1" applyBorder="1" applyAlignment="1">
      <alignment horizontal="center" vertical="center"/>
    </xf>
    <xf numFmtId="0" fontId="5" fillId="5" borderId="4" xfId="0" applyFont="1" applyFill="1" applyBorder="1" applyAlignment="1">
      <alignment horizontal="left"/>
    </xf>
    <xf numFmtId="0" fontId="5" fillId="5" borderId="5" xfId="0" applyFont="1" applyFill="1" applyBorder="1" applyAlignment="1">
      <alignment horizontal="center" vertical="center"/>
    </xf>
    <xf numFmtId="0" fontId="10" fillId="5" borderId="5" xfId="0" applyFont="1" applyFill="1" applyBorder="1" applyAlignment="1">
      <alignment horizontal="left" vertical="center"/>
    </xf>
    <xf numFmtId="0" fontId="5" fillId="5" borderId="0" xfId="0" applyFont="1" applyFill="1" applyBorder="1" applyAlignment="1">
      <alignment horizontal="center" vertical="center"/>
    </xf>
    <xf numFmtId="0" fontId="5" fillId="5" borderId="6" xfId="0" applyFont="1" applyFill="1" applyBorder="1" applyAlignment="1">
      <alignment horizontal="left"/>
    </xf>
    <xf numFmtId="0" fontId="5" fillId="5" borderId="7" xfId="0" applyFont="1" applyFill="1" applyBorder="1"/>
    <xf numFmtId="0" fontId="5" fillId="5" borderId="8" xfId="0" applyFont="1" applyFill="1" applyBorder="1"/>
    <xf numFmtId="0" fontId="5" fillId="5" borderId="9" xfId="0" applyFont="1" applyFill="1" applyBorder="1"/>
    <xf numFmtId="0" fontId="5" fillId="5" borderId="3" xfId="0" applyFont="1" applyFill="1" applyBorder="1" applyAlignment="1">
      <alignment horizontal="center" wrapText="1"/>
    </xf>
    <xf numFmtId="0" fontId="5" fillId="5" borderId="4" xfId="0" applyFont="1" applyFill="1" applyBorder="1" applyAlignment="1">
      <alignment horizontal="center" wrapText="1"/>
    </xf>
    <xf numFmtId="0" fontId="5" fillId="5" borderId="5" xfId="0" applyFont="1" applyFill="1" applyBorder="1" applyAlignment="1">
      <alignment horizontal="left" indent="3"/>
    </xf>
    <xf numFmtId="0" fontId="10" fillId="5" borderId="5" xfId="0" applyFont="1" applyFill="1" applyBorder="1" applyAlignment="1"/>
    <xf numFmtId="0" fontId="9" fillId="5" borderId="5" xfId="0" applyFont="1" applyFill="1" applyBorder="1" applyAlignment="1">
      <alignment horizontal="left" indent="3"/>
    </xf>
    <xf numFmtId="0" fontId="5" fillId="5" borderId="7" xfId="0" applyFont="1" applyFill="1" applyBorder="1" applyAlignment="1">
      <alignment horizontal="left" indent="3"/>
    </xf>
    <xf numFmtId="0" fontId="7" fillId="3" borderId="50" xfId="0" applyFont="1" applyFill="1" applyBorder="1" applyAlignment="1">
      <alignment horizontal="center" vertical="center" wrapText="1"/>
    </xf>
    <xf numFmtId="0" fontId="7" fillId="3" borderId="51"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20" fillId="0" borderId="0" xfId="0" applyFont="1" applyBorder="1" applyAlignment="1">
      <alignment vertical="center" wrapText="1"/>
    </xf>
    <xf numFmtId="0" fontId="21" fillId="0" borderId="52" xfId="0" applyFont="1" applyBorder="1" applyAlignment="1">
      <alignment horizontal="center" vertical="center"/>
    </xf>
    <xf numFmtId="0" fontId="9" fillId="5" borderId="5" xfId="0" applyFont="1" applyFill="1" applyBorder="1" applyAlignment="1">
      <alignment horizontal="left"/>
    </xf>
    <xf numFmtId="49" fontId="5" fillId="0" borderId="54" xfId="0" applyNumberFormat="1" applyFont="1" applyBorder="1" applyAlignment="1">
      <alignment vertical="center"/>
    </xf>
    <xf numFmtId="49" fontId="21" fillId="0" borderId="54" xfId="0" applyNumberFormat="1" applyFont="1" applyBorder="1" applyAlignment="1">
      <alignment vertical="center" wrapText="1"/>
    </xf>
    <xf numFmtId="0" fontId="8" fillId="3" borderId="54" xfId="0" applyFont="1" applyFill="1" applyBorder="1" applyAlignment="1">
      <alignment horizontal="center" vertical="center" wrapText="1"/>
    </xf>
    <xf numFmtId="49" fontId="21" fillId="0" borderId="54" xfId="0" applyNumberFormat="1" applyFont="1" applyBorder="1" applyAlignment="1">
      <alignment vertical="top" wrapText="1"/>
    </xf>
    <xf numFmtId="0" fontId="21" fillId="0" borderId="54" xfId="0" applyFont="1" applyBorder="1" applyAlignment="1">
      <alignment horizontal="center" vertical="center" wrapText="1"/>
    </xf>
    <xf numFmtId="164" fontId="21" fillId="0" borderId="54" xfId="1" applyNumberFormat="1" applyFont="1" applyBorder="1" applyAlignment="1">
      <alignment horizontal="center" vertical="center"/>
    </xf>
    <xf numFmtId="167" fontId="5" fillId="3" borderId="55" xfId="1" applyNumberFormat="1" applyFont="1" applyFill="1" applyBorder="1" applyAlignment="1" applyProtection="1">
      <alignment horizontal="right" vertical="center" wrapText="1"/>
    </xf>
    <xf numFmtId="49" fontId="5" fillId="3" borderId="56" xfId="0" applyNumberFormat="1" applyFont="1" applyFill="1" applyBorder="1"/>
    <xf numFmtId="0" fontId="5" fillId="5" borderId="8" xfId="0" applyFont="1" applyFill="1" applyBorder="1" applyAlignment="1">
      <alignment horizontal="left" vertical="center" wrapText="1"/>
    </xf>
    <xf numFmtId="0" fontId="5" fillId="5" borderId="9" xfId="0" applyFont="1" applyFill="1" applyBorder="1" applyAlignment="1">
      <alignment horizontal="left" vertical="center" wrapText="1"/>
    </xf>
    <xf numFmtId="0" fontId="17" fillId="3" borderId="0" xfId="0" applyFont="1" applyFill="1" applyBorder="1" applyAlignment="1">
      <alignment horizontal="left" vertical="center" wrapText="1"/>
    </xf>
    <xf numFmtId="0" fontId="18" fillId="3" borderId="0" xfId="0" applyFont="1" applyFill="1" applyBorder="1" applyAlignment="1">
      <alignment horizontal="center"/>
    </xf>
    <xf numFmtId="0" fontId="19" fillId="4" borderId="0" xfId="0" applyFont="1" applyFill="1" applyBorder="1" applyAlignment="1">
      <alignment horizontal="left" wrapText="1" indent="1"/>
    </xf>
    <xf numFmtId="0" fontId="9" fillId="5" borderId="5" xfId="0" applyFont="1" applyFill="1" applyBorder="1" applyAlignment="1">
      <alignment horizontal="left"/>
    </xf>
    <xf numFmtId="0" fontId="9" fillId="5" borderId="0" xfId="0" applyFont="1" applyFill="1" applyBorder="1" applyAlignment="1">
      <alignment horizontal="left"/>
    </xf>
    <xf numFmtId="0" fontId="10" fillId="0" borderId="0" xfId="0" applyFont="1" applyAlignment="1">
      <alignment horizontal="left" vertical="center" wrapText="1"/>
    </xf>
    <xf numFmtId="0" fontId="10" fillId="0" borderId="6" xfId="0" applyFont="1" applyBorder="1" applyAlignment="1">
      <alignment horizontal="left" vertical="center" wrapText="1"/>
    </xf>
    <xf numFmtId="0" fontId="5" fillId="5" borderId="0"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6" xfId="0" applyFont="1" applyFill="1" applyBorder="1" applyAlignment="1">
      <alignment horizontal="center"/>
    </xf>
    <xf numFmtId="0" fontId="5" fillId="5" borderId="0" xfId="0" applyFont="1" applyFill="1" applyBorder="1" applyAlignment="1">
      <alignment horizontal="left" wrapText="1"/>
    </xf>
    <xf numFmtId="0" fontId="5" fillId="5" borderId="6" xfId="0" applyFont="1" applyFill="1" applyBorder="1" applyAlignment="1">
      <alignment horizontal="left" wrapText="1"/>
    </xf>
    <xf numFmtId="0" fontId="5" fillId="5" borderId="0" xfId="0" applyFont="1" applyFill="1" applyBorder="1" applyAlignment="1">
      <alignment horizontal="left"/>
    </xf>
    <xf numFmtId="0" fontId="5" fillId="5" borderId="6" xfId="0" applyFont="1" applyFill="1" applyBorder="1" applyAlignment="1">
      <alignment horizontal="left"/>
    </xf>
    <xf numFmtId="0" fontId="11" fillId="3" borderId="0" xfId="0" applyFont="1" applyFill="1" applyBorder="1" applyAlignment="1">
      <alignment horizontal="center" vertical="center"/>
    </xf>
    <xf numFmtId="0" fontId="13" fillId="3" borderId="13" xfId="0" applyFont="1" applyFill="1" applyBorder="1" applyAlignment="1">
      <alignment horizontal="left" vertical="center" wrapText="1"/>
    </xf>
    <xf numFmtId="0" fontId="12" fillId="3" borderId="19" xfId="0" applyFont="1" applyFill="1" applyBorder="1" applyAlignment="1">
      <alignment horizontal="left" vertical="center" wrapText="1" indent="1"/>
    </xf>
    <xf numFmtId="0" fontId="12" fillId="3" borderId="44" xfId="0" applyFont="1" applyFill="1" applyBorder="1" applyAlignment="1">
      <alignment horizontal="left" vertical="center" wrapText="1" indent="1"/>
    </xf>
    <xf numFmtId="0" fontId="12" fillId="3" borderId="20" xfId="0" applyFont="1" applyFill="1" applyBorder="1" applyAlignment="1">
      <alignment horizontal="left" vertical="center" wrapText="1" indent="1"/>
    </xf>
    <xf numFmtId="0" fontId="13" fillId="3" borderId="15" xfId="0" applyFont="1" applyFill="1" applyBorder="1" applyAlignment="1">
      <alignment horizontal="left" vertical="center" wrapText="1"/>
    </xf>
    <xf numFmtId="0" fontId="12" fillId="3" borderId="14" xfId="0" applyFont="1" applyFill="1" applyBorder="1" applyAlignment="1">
      <alignment horizontal="left" vertical="center" wrapText="1" indent="1"/>
    </xf>
    <xf numFmtId="0" fontId="12" fillId="3" borderId="38" xfId="0" applyFont="1" applyFill="1" applyBorder="1" applyAlignment="1">
      <alignment horizontal="left" vertical="center" wrapText="1" indent="1"/>
    </xf>
    <xf numFmtId="168" fontId="12" fillId="3" borderId="38" xfId="0" applyNumberFormat="1" applyFont="1" applyFill="1" applyBorder="1" applyAlignment="1">
      <alignment horizontal="center" vertical="center"/>
    </xf>
    <xf numFmtId="0" fontId="12" fillId="3" borderId="35" xfId="0" applyFont="1" applyFill="1" applyBorder="1" applyAlignment="1">
      <alignment horizontal="left" vertical="center" wrapText="1" indent="1"/>
    </xf>
    <xf numFmtId="0" fontId="14" fillId="3" borderId="19" xfId="0" applyFont="1" applyFill="1" applyBorder="1" applyAlignment="1">
      <alignment horizontal="center" vertical="center"/>
    </xf>
    <xf numFmtId="0" fontId="20" fillId="0" borderId="14" xfId="0" applyFont="1" applyBorder="1" applyAlignment="1">
      <alignment horizontal="center" vertical="center" wrapText="1"/>
    </xf>
    <xf numFmtId="0" fontId="14" fillId="3" borderId="16"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4" fillId="3" borderId="48" xfId="0" applyFont="1" applyFill="1" applyBorder="1" applyAlignment="1">
      <alignment horizontal="center" vertical="center" wrapText="1"/>
    </xf>
    <xf numFmtId="0" fontId="13" fillId="3" borderId="16" xfId="0" applyFont="1" applyFill="1" applyBorder="1" applyAlignment="1">
      <alignment horizontal="left" vertical="center"/>
    </xf>
    <xf numFmtId="49" fontId="15" fillId="3" borderId="45" xfId="0" applyNumberFormat="1" applyFont="1" applyFill="1" applyBorder="1" applyAlignment="1">
      <alignment horizontal="left" vertical="center" wrapText="1"/>
    </xf>
    <xf numFmtId="0" fontId="15" fillId="3" borderId="53" xfId="0" applyFont="1" applyFill="1" applyBorder="1" applyAlignment="1">
      <alignment horizontal="left" vertical="center" wrapText="1"/>
    </xf>
    <xf numFmtId="0" fontId="15" fillId="3" borderId="49" xfId="0" applyFont="1" applyFill="1" applyBorder="1" applyAlignment="1">
      <alignment horizontal="left" vertical="center" wrapText="1"/>
    </xf>
    <xf numFmtId="0" fontId="5" fillId="3" borderId="19" xfId="0" applyFont="1" applyFill="1" applyBorder="1" applyAlignment="1">
      <alignment horizontal="center"/>
    </xf>
    <xf numFmtId="3" fontId="14" fillId="3" borderId="20" xfId="0" applyNumberFormat="1" applyFont="1" applyFill="1" applyBorder="1" applyAlignment="1">
      <alignment horizontal="center"/>
    </xf>
    <xf numFmtId="0" fontId="12" fillId="3" borderId="11" xfId="0" applyFont="1" applyFill="1" applyBorder="1" applyAlignment="1">
      <alignment horizontal="center" vertical="center" wrapText="1"/>
    </xf>
    <xf numFmtId="0" fontId="5" fillId="3" borderId="11" xfId="0" applyFont="1" applyFill="1" applyBorder="1"/>
    <xf numFmtId="0" fontId="16" fillId="3" borderId="11" xfId="0" applyFont="1" applyFill="1" applyBorder="1" applyAlignment="1">
      <alignment horizontal="left" indent="1"/>
    </xf>
    <xf numFmtId="0" fontId="5" fillId="3" borderId="13" xfId="0" applyFont="1" applyFill="1" applyBorder="1" applyAlignment="1">
      <alignment horizontal="left" vertical="center" wrapText="1"/>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10" fillId="3" borderId="11" xfId="0" applyFont="1" applyFill="1" applyBorder="1" applyAlignment="1">
      <alignment horizontal="left"/>
    </xf>
    <xf numFmtId="0" fontId="16" fillId="3" borderId="22" xfId="0" applyFont="1" applyFill="1" applyBorder="1"/>
    <xf numFmtId="0" fontId="16" fillId="3" borderId="23" xfId="0" applyFont="1" applyFill="1" applyBorder="1" applyAlignment="1">
      <alignment horizontal="left" vertical="center" wrapText="1" indent="1"/>
    </xf>
    <xf numFmtId="0" fontId="6" fillId="3" borderId="2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1" xfId="0" applyFont="1" applyFill="1" applyBorder="1" applyAlignment="1">
      <alignment horizontal="center" vertical="center" wrapText="1"/>
    </xf>
    <xf numFmtId="0" fontId="6" fillId="3" borderId="26" xfId="0" applyFont="1" applyFill="1" applyBorder="1" applyAlignment="1">
      <alignment horizontal="center" vertical="center"/>
    </xf>
    <xf numFmtId="0" fontId="5" fillId="3" borderId="32" xfId="0" applyFont="1" applyFill="1" applyBorder="1" applyAlignment="1">
      <alignment horizontal="left" vertical="center" wrapText="1"/>
    </xf>
    <xf numFmtId="0" fontId="5" fillId="3" borderId="39" xfId="0" applyFont="1" applyFill="1" applyBorder="1" applyAlignment="1">
      <alignment horizontal="left" vertical="center" wrapText="1"/>
    </xf>
    <xf numFmtId="0" fontId="14" fillId="3" borderId="19" xfId="0" applyFont="1" applyFill="1" applyBorder="1" applyAlignment="1">
      <alignment vertical="center" wrapText="1"/>
    </xf>
    <xf numFmtId="0" fontId="14" fillId="3" borderId="35" xfId="0" applyFont="1" applyFill="1" applyBorder="1" applyAlignment="1">
      <alignment vertical="center" wrapText="1"/>
    </xf>
    <xf numFmtId="0" fontId="14" fillId="3" borderId="17" xfId="0" applyFont="1" applyFill="1" applyBorder="1" applyAlignment="1">
      <alignment vertical="center" wrapText="1"/>
    </xf>
    <xf numFmtId="0" fontId="16" fillId="3" borderId="46" xfId="0" applyFont="1" applyFill="1" applyBorder="1" applyAlignment="1">
      <alignment vertical="center" wrapText="1"/>
    </xf>
    <xf numFmtId="0" fontId="16" fillId="3" borderId="47" xfId="0" applyFont="1" applyFill="1" applyBorder="1" applyAlignment="1">
      <alignment vertical="center" wrapText="1"/>
    </xf>
    <xf numFmtId="0" fontId="16" fillId="3" borderId="22" xfId="0" applyFont="1" applyFill="1" applyBorder="1" applyAlignment="1">
      <alignment horizontal="left" vertical="center" wrapText="1"/>
    </xf>
    <xf numFmtId="0" fontId="16" fillId="3" borderId="0"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3" borderId="24"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25" xfId="0" applyFont="1" applyFill="1" applyBorder="1" applyAlignment="1">
      <alignment horizontal="left" vertical="center" wrapText="1"/>
    </xf>
    <xf numFmtId="0" fontId="14" fillId="3" borderId="34" xfId="0" applyFont="1" applyFill="1" applyBorder="1" applyAlignment="1">
      <alignment horizontal="left" vertical="center" wrapText="1"/>
    </xf>
    <xf numFmtId="0" fontId="6" fillId="3" borderId="15" xfId="0" applyFont="1" applyFill="1" applyBorder="1" applyAlignment="1">
      <alignment vertical="center"/>
    </xf>
    <xf numFmtId="0" fontId="6" fillId="3" borderId="40" xfId="0" applyFont="1" applyFill="1" applyBorder="1" applyAlignment="1">
      <alignment vertical="center"/>
    </xf>
    <xf numFmtId="0" fontId="6" fillId="3" borderId="26" xfId="0" applyFont="1" applyFill="1" applyBorder="1" applyAlignment="1">
      <alignment vertical="center"/>
    </xf>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8"/>
  <sheetViews>
    <sheetView tabSelected="1" zoomScale="90" zoomScaleNormal="90" workbookViewId="0">
      <selection activeCell="E6" sqref="E6"/>
    </sheetView>
  </sheetViews>
  <sheetFormatPr baseColWidth="10" defaultColWidth="11" defaultRowHeight="13.5" x14ac:dyDescent="0.25"/>
  <cols>
    <col min="1" max="1" width="4.5703125" style="1" customWidth="1"/>
    <col min="2" max="2" width="17.140625" style="1" customWidth="1"/>
    <col min="3" max="3" width="27.42578125" style="1" customWidth="1"/>
    <col min="4" max="4" width="8.42578125" style="1" customWidth="1"/>
    <col min="5" max="5" width="94.28515625" style="1" customWidth="1"/>
    <col min="6" max="6" width="11" style="1"/>
    <col min="7" max="7" width="12.7109375" style="1" customWidth="1"/>
    <col min="8" max="8" width="13.85546875" style="1" customWidth="1"/>
    <col min="9" max="9" width="18.5703125" style="1" customWidth="1"/>
    <col min="10" max="16384" width="11" style="1"/>
  </cols>
  <sheetData>
    <row r="2" spans="1:9" ht="28.5" x14ac:dyDescent="0.4">
      <c r="B2" s="81" t="s">
        <v>0</v>
      </c>
      <c r="C2" s="81"/>
      <c r="D2" s="81"/>
      <c r="E2" s="81"/>
      <c r="F2" s="81"/>
      <c r="G2" s="81"/>
      <c r="H2" s="81"/>
    </row>
    <row r="4" spans="1:9" ht="18" customHeight="1" x14ac:dyDescent="0.25">
      <c r="A4" s="80" t="s">
        <v>1</v>
      </c>
      <c r="B4" s="80"/>
      <c r="C4" s="82" t="s">
        <v>55</v>
      </c>
      <c r="D4" s="82"/>
      <c r="E4" s="82"/>
      <c r="F4" s="2"/>
      <c r="G4" s="6"/>
      <c r="H4" s="2"/>
    </row>
    <row r="5" spans="1:9" ht="18" customHeight="1" x14ac:dyDescent="0.25">
      <c r="A5" s="80" t="s">
        <v>2</v>
      </c>
      <c r="B5" s="80"/>
      <c r="C5" s="82" t="s">
        <v>59</v>
      </c>
      <c r="D5" s="82"/>
      <c r="E5" s="82"/>
      <c r="F5" s="2"/>
      <c r="G5" s="6"/>
      <c r="H5" s="2"/>
    </row>
    <row r="6" spans="1:9" ht="16.5" customHeight="1" x14ac:dyDescent="0.25">
      <c r="A6" s="80" t="s">
        <v>3</v>
      </c>
      <c r="B6" s="80"/>
      <c r="C6" s="7">
        <v>2021</v>
      </c>
      <c r="D6" s="8"/>
      <c r="E6" s="8"/>
      <c r="F6" s="2"/>
      <c r="G6" s="6">
        <f>1524*8200</f>
        <v>12496800</v>
      </c>
      <c r="H6" s="2"/>
    </row>
    <row r="7" spans="1:9" ht="16.5" customHeight="1" x14ac:dyDescent="0.25">
      <c r="A7" s="80" t="s">
        <v>4</v>
      </c>
      <c r="B7" s="80"/>
      <c r="C7" s="7">
        <v>3</v>
      </c>
      <c r="D7" s="8"/>
      <c r="E7" s="8"/>
      <c r="F7" s="2"/>
      <c r="G7" s="6"/>
      <c r="H7" s="2"/>
    </row>
    <row r="8" spans="1:9" ht="14.25" thickBot="1" x14ac:dyDescent="0.3">
      <c r="B8" s="2"/>
      <c r="C8" s="6"/>
      <c r="D8" s="2"/>
      <c r="E8" s="2"/>
      <c r="F8" s="2"/>
      <c r="G8" s="6"/>
      <c r="H8" s="2"/>
    </row>
    <row r="9" spans="1:9" ht="39.75" thickTop="1" thickBot="1" x14ac:dyDescent="0.3">
      <c r="A9" s="64" t="s">
        <v>5</v>
      </c>
      <c r="B9" s="66" t="s">
        <v>6</v>
      </c>
      <c r="C9" s="65" t="s">
        <v>7</v>
      </c>
      <c r="D9" s="3" t="s">
        <v>8</v>
      </c>
      <c r="E9" s="3" t="s">
        <v>9</v>
      </c>
      <c r="F9" s="3" t="s">
        <v>10</v>
      </c>
      <c r="G9" s="3" t="s">
        <v>11</v>
      </c>
      <c r="H9" s="3" t="s">
        <v>12</v>
      </c>
      <c r="I9" s="3" t="s">
        <v>13</v>
      </c>
    </row>
    <row r="10" spans="1:9" ht="27.75" thickBot="1" x14ac:dyDescent="0.3">
      <c r="A10" s="68">
        <v>1</v>
      </c>
      <c r="B10" s="70" t="s">
        <v>62</v>
      </c>
      <c r="C10" s="71" t="s">
        <v>63</v>
      </c>
      <c r="D10" s="72" t="s">
        <v>64</v>
      </c>
      <c r="E10" s="73" t="s">
        <v>75</v>
      </c>
      <c r="F10" s="72" t="s">
        <v>14</v>
      </c>
      <c r="G10" s="74">
        <v>1524</v>
      </c>
      <c r="H10" s="75">
        <v>8200</v>
      </c>
      <c r="I10" s="76">
        <f>G10*H10</f>
        <v>12496800</v>
      </c>
    </row>
    <row r="11" spans="1:9" ht="18.75" customHeight="1" thickBot="1" x14ac:dyDescent="0.3">
      <c r="B11" s="67"/>
      <c r="I11" s="9">
        <f>SUM(I10:I10)</f>
        <v>12496800</v>
      </c>
    </row>
    <row r="12" spans="1:9" x14ac:dyDescent="0.25">
      <c r="B12" s="40" t="s">
        <v>65</v>
      </c>
      <c r="C12" s="41"/>
      <c r="D12" s="41"/>
      <c r="E12" s="42"/>
    </row>
    <row r="13" spans="1:9" x14ac:dyDescent="0.25">
      <c r="B13" s="83" t="s">
        <v>66</v>
      </c>
      <c r="C13" s="84"/>
      <c r="D13" s="43"/>
      <c r="E13" s="44"/>
    </row>
    <row r="14" spans="1:9" ht="274.5" customHeight="1" x14ac:dyDescent="0.25">
      <c r="B14" s="69"/>
      <c r="C14" s="85" t="s">
        <v>76</v>
      </c>
      <c r="D14" s="85"/>
      <c r="E14" s="86"/>
    </row>
    <row r="15" spans="1:9" ht="14.25" thickBot="1" x14ac:dyDescent="0.3">
      <c r="B15" s="45"/>
      <c r="C15" s="78"/>
      <c r="D15" s="78"/>
      <c r="E15" s="79"/>
    </row>
    <row r="16" spans="1:9" ht="14.25" thickBot="1" x14ac:dyDescent="0.3">
      <c r="B16" s="46"/>
      <c r="C16" s="47"/>
      <c r="D16" s="47"/>
      <c r="E16" s="47"/>
    </row>
    <row r="17" spans="2:5" x14ac:dyDescent="0.25">
      <c r="B17" s="48" t="s">
        <v>15</v>
      </c>
      <c r="C17" s="49"/>
      <c r="D17" s="41"/>
      <c r="E17" s="50"/>
    </row>
    <row r="18" spans="2:5" ht="85.5" customHeight="1" x14ac:dyDescent="0.25">
      <c r="B18" s="51"/>
      <c r="C18" s="87" t="s">
        <v>67</v>
      </c>
      <c r="D18" s="87"/>
      <c r="E18" s="88"/>
    </row>
    <row r="19" spans="2:5" x14ac:dyDescent="0.25">
      <c r="B19" s="51"/>
      <c r="C19" s="89"/>
      <c r="D19" s="89"/>
      <c r="E19" s="89"/>
    </row>
    <row r="20" spans="2:5" x14ac:dyDescent="0.25">
      <c r="B20" s="52" t="s">
        <v>16</v>
      </c>
      <c r="C20" s="53"/>
      <c r="D20" s="43"/>
      <c r="E20" s="54"/>
    </row>
    <row r="21" spans="2:5" ht="89.25" customHeight="1" x14ac:dyDescent="0.25">
      <c r="B21" s="51"/>
      <c r="C21" s="87" t="s">
        <v>74</v>
      </c>
      <c r="D21" s="87"/>
      <c r="E21" s="88"/>
    </row>
    <row r="22" spans="2:5" ht="15.75" customHeight="1" thickBot="1" x14ac:dyDescent="0.3">
      <c r="B22" s="55"/>
      <c r="C22" s="56"/>
      <c r="D22" s="56"/>
      <c r="E22" s="57"/>
    </row>
    <row r="23" spans="2:5" ht="14.25" thickBot="1" x14ac:dyDescent="0.3">
      <c r="B23" s="43"/>
      <c r="C23" s="43"/>
      <c r="D23" s="43"/>
      <c r="E23" s="43"/>
    </row>
    <row r="24" spans="2:5" x14ac:dyDescent="0.25">
      <c r="B24" s="48" t="s">
        <v>17</v>
      </c>
      <c r="C24" s="58"/>
      <c r="D24" s="58"/>
      <c r="E24" s="59"/>
    </row>
    <row r="25" spans="2:5" x14ac:dyDescent="0.25">
      <c r="B25" s="60"/>
      <c r="C25" s="90" t="s">
        <v>68</v>
      </c>
      <c r="D25" s="90"/>
      <c r="E25" s="91"/>
    </row>
    <row r="26" spans="2:5" x14ac:dyDescent="0.25">
      <c r="B26" s="61" t="s">
        <v>18</v>
      </c>
      <c r="C26" s="43"/>
      <c r="D26" s="43"/>
      <c r="E26" s="44"/>
    </row>
    <row r="27" spans="2:5" x14ac:dyDescent="0.25">
      <c r="B27" s="62"/>
      <c r="C27" s="92" t="s">
        <v>77</v>
      </c>
      <c r="D27" s="92"/>
      <c r="E27" s="93"/>
    </row>
    <row r="28" spans="2:5" ht="14.25" thickBot="1" x14ac:dyDescent="0.3">
      <c r="B28" s="63"/>
      <c r="C28" s="56"/>
      <c r="D28" s="56"/>
      <c r="E28" s="57"/>
    </row>
  </sheetData>
  <mergeCells count="15">
    <mergeCell ref="C18:E18"/>
    <mergeCell ref="C19:E19"/>
    <mergeCell ref="C21:E21"/>
    <mergeCell ref="C25:E25"/>
    <mergeCell ref="C27:E27"/>
    <mergeCell ref="C15:E15"/>
    <mergeCell ref="A6:B6"/>
    <mergeCell ref="A7:B7"/>
    <mergeCell ref="B2:H2"/>
    <mergeCell ref="A4:B4"/>
    <mergeCell ref="C4:E4"/>
    <mergeCell ref="A5:B5"/>
    <mergeCell ref="C5:E5"/>
    <mergeCell ref="B13:C13"/>
    <mergeCell ref="C14:E14"/>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6"/>
  <sheetViews>
    <sheetView zoomScale="85" zoomScaleNormal="85" workbookViewId="0">
      <selection activeCell="K2" sqref="K2"/>
    </sheetView>
  </sheetViews>
  <sheetFormatPr baseColWidth="10" defaultColWidth="9.140625" defaultRowHeight="13.5" x14ac:dyDescent="0.25"/>
  <cols>
    <col min="1" max="1" width="5.42578125" style="29" customWidth="1"/>
    <col min="2" max="2" width="12.28515625" style="29" customWidth="1"/>
    <col min="3" max="3" width="14.140625" style="29" customWidth="1"/>
    <col min="4" max="4" width="26" style="29" customWidth="1"/>
    <col min="5" max="5" width="8" style="29" customWidth="1"/>
    <col min="6" max="6" width="7.85546875" style="29" customWidth="1"/>
    <col min="7" max="7" width="77.42578125" style="29" customWidth="1"/>
    <col min="8" max="8" width="8.42578125" style="29" customWidth="1"/>
    <col min="9" max="9" width="12" style="29" customWidth="1"/>
    <col min="10" max="10" width="11.42578125" style="29" customWidth="1"/>
    <col min="11" max="11" width="10.85546875" style="29" customWidth="1"/>
    <col min="12" max="14" width="5.85546875" style="29" customWidth="1"/>
    <col min="15" max="15" width="12.5703125" style="29" customWidth="1"/>
    <col min="16" max="1024" width="9.140625" style="29"/>
    <col min="1025" max="16384" width="9.140625" style="1"/>
  </cols>
  <sheetData>
    <row r="1" spans="1:1024" ht="18" customHeight="1" x14ac:dyDescent="0.25">
      <c r="A1" s="94" t="s">
        <v>19</v>
      </c>
      <c r="B1" s="94"/>
      <c r="C1" s="94"/>
      <c r="D1" s="94"/>
      <c r="E1" s="94"/>
      <c r="F1" s="94"/>
      <c r="G1" s="94"/>
      <c r="H1" s="94"/>
      <c r="I1" s="94"/>
      <c r="J1" s="27" t="s">
        <v>20</v>
      </c>
      <c r="K1" s="28" t="s">
        <v>73</v>
      </c>
    </row>
    <row r="2" spans="1:1024" ht="18.75" customHeight="1" thickBot="1" x14ac:dyDescent="0.3">
      <c r="A2" s="30"/>
      <c r="B2" s="30"/>
      <c r="C2" s="30"/>
      <c r="D2" s="31"/>
      <c r="E2" s="31"/>
      <c r="F2" s="31"/>
      <c r="G2" s="31"/>
      <c r="H2" s="31"/>
      <c r="I2" s="31"/>
      <c r="J2" s="31"/>
      <c r="K2" s="31"/>
    </row>
    <row r="3" spans="1:1024" ht="18.75" customHeight="1" thickBot="1" x14ac:dyDescent="0.3">
      <c r="A3" s="95" t="s">
        <v>52</v>
      </c>
      <c r="B3" s="95"/>
      <c r="C3" s="95"/>
      <c r="D3" s="100" t="str">
        <f>'Necesidades Trimestrales'!C4</f>
        <v>90 - Ministerio de Seguridad</v>
      </c>
      <c r="E3" s="100"/>
      <c r="F3" s="100"/>
      <c r="G3" s="100"/>
      <c r="H3" s="100"/>
      <c r="I3" s="100"/>
      <c r="J3" s="100"/>
      <c r="K3" s="100"/>
    </row>
    <row r="4" spans="1:1024" ht="18.75" customHeight="1" thickBot="1" x14ac:dyDescent="0.3">
      <c r="A4" s="99" t="s">
        <v>53</v>
      </c>
      <c r="B4" s="99"/>
      <c r="C4" s="99"/>
      <c r="D4" s="100" t="str">
        <f>'Necesidades Trimestrales'!C5</f>
        <v>7- Dirección Provincial de Administración de la Policía de la Provincia de Catamarca</v>
      </c>
      <c r="E4" s="100"/>
      <c r="F4" s="100"/>
      <c r="G4" s="100"/>
      <c r="H4" s="100"/>
      <c r="I4" s="100"/>
      <c r="J4" s="100"/>
      <c r="K4" s="100"/>
    </row>
    <row r="5" spans="1:1024" ht="18.75" customHeight="1" thickBot="1" x14ac:dyDescent="0.3">
      <c r="A5" s="99" t="s">
        <v>32</v>
      </c>
      <c r="B5" s="99"/>
      <c r="C5" s="99"/>
      <c r="D5" s="100" t="s">
        <v>56</v>
      </c>
      <c r="E5" s="100"/>
      <c r="F5" s="100"/>
      <c r="G5" s="100"/>
      <c r="H5" s="100"/>
      <c r="I5" s="100"/>
      <c r="J5" s="100"/>
      <c r="K5" s="100"/>
    </row>
    <row r="6" spans="1:1024" ht="16.5" customHeight="1" thickBot="1" x14ac:dyDescent="0.3">
      <c r="A6" s="95" t="s">
        <v>54</v>
      </c>
      <c r="B6" s="95"/>
      <c r="C6" s="95"/>
      <c r="D6" s="96" t="s">
        <v>70</v>
      </c>
      <c r="E6" s="97"/>
      <c r="F6" s="97"/>
      <c r="G6" s="97"/>
      <c r="H6" s="97"/>
      <c r="I6" s="97"/>
      <c r="J6" s="97"/>
      <c r="K6" s="98"/>
    </row>
    <row r="7" spans="1:1024" ht="16.5" customHeight="1" thickBot="1" x14ac:dyDescent="0.3">
      <c r="A7" s="99" t="s">
        <v>21</v>
      </c>
      <c r="B7" s="99"/>
      <c r="C7" s="99"/>
      <c r="D7" s="100" t="s">
        <v>72</v>
      </c>
      <c r="E7" s="100"/>
      <c r="F7" s="100"/>
      <c r="G7" s="100"/>
      <c r="H7" s="100"/>
      <c r="I7" s="100"/>
      <c r="J7" s="100"/>
      <c r="K7" s="100"/>
    </row>
    <row r="8" spans="1:1024" ht="16.5" customHeight="1" thickBot="1" x14ac:dyDescent="0.3">
      <c r="A8" s="110" t="s">
        <v>22</v>
      </c>
      <c r="B8" s="110"/>
      <c r="C8" s="110"/>
      <c r="D8" s="103" t="s">
        <v>69</v>
      </c>
      <c r="E8" s="97"/>
      <c r="F8" s="97"/>
      <c r="G8" s="97"/>
      <c r="H8" s="97"/>
      <c r="I8" s="97"/>
      <c r="J8" s="97"/>
      <c r="K8" s="98"/>
    </row>
    <row r="9" spans="1:1024" ht="18" thickBot="1" x14ac:dyDescent="0.3">
      <c r="A9" s="32"/>
      <c r="B9" s="32"/>
      <c r="C9" s="32"/>
      <c r="D9" s="33"/>
      <c r="E9" s="33"/>
      <c r="F9" s="33"/>
      <c r="G9" s="33"/>
      <c r="H9" s="33"/>
      <c r="I9" s="33"/>
      <c r="J9" s="33"/>
      <c r="K9" s="33"/>
    </row>
    <row r="10" spans="1:1024" ht="14.25" customHeight="1" thickBot="1" x14ac:dyDescent="0.3">
      <c r="A10" s="104" t="s">
        <v>23</v>
      </c>
      <c r="B10" s="105" t="s">
        <v>24</v>
      </c>
      <c r="C10" s="106" t="s">
        <v>25</v>
      </c>
      <c r="D10" s="107"/>
      <c r="E10" s="107"/>
      <c r="F10" s="107"/>
      <c r="G10" s="108"/>
      <c r="H10" s="109" t="s">
        <v>26</v>
      </c>
      <c r="I10" s="107" t="s">
        <v>27</v>
      </c>
      <c r="J10" s="107" t="s">
        <v>28</v>
      </c>
      <c r="K10" s="108" t="s">
        <v>29</v>
      </c>
    </row>
    <row r="11" spans="1:1024" ht="14.25" customHeight="1" thickBot="1" x14ac:dyDescent="0.3">
      <c r="A11" s="104"/>
      <c r="B11" s="105"/>
      <c r="C11" s="106"/>
      <c r="D11" s="107"/>
      <c r="E11" s="107"/>
      <c r="F11" s="107"/>
      <c r="G11" s="108"/>
      <c r="H11" s="109"/>
      <c r="I11" s="107"/>
      <c r="J11" s="107"/>
      <c r="K11" s="108"/>
    </row>
    <row r="12" spans="1:1024" ht="22.5" customHeight="1" thickBot="1" x14ac:dyDescent="0.3">
      <c r="A12" s="34">
        <v>1</v>
      </c>
      <c r="B12" s="77" t="str">
        <f>'Necesidades Trimestrales'!B10</f>
        <v>2.2.2-6728.85</v>
      </c>
      <c r="C12" s="111" t="str">
        <f>'Necesidades Trimestrales'!E10</f>
        <v>CALZADO DE SEGURIDAD; TIPO: BORCEGUI TACTICO, SUELA: ANTIDESLIZANTE, PUNTERA: CON, MATERIAL: CUERO FLOR</v>
      </c>
      <c r="D12" s="112"/>
      <c r="E12" s="112"/>
      <c r="F12" s="112"/>
      <c r="G12" s="113"/>
      <c r="H12" s="35" t="s">
        <v>58</v>
      </c>
      <c r="I12" s="36" t="str">
        <f>'Necesidades Trimestrales'!F10</f>
        <v>UNIDAD</v>
      </c>
      <c r="J12" s="37">
        <f>'Necesidades Trimestrales'!H10</f>
        <v>8200</v>
      </c>
      <c r="K12" s="38">
        <f>'Necesidades Trimestrales'!G10</f>
        <v>1524</v>
      </c>
    </row>
    <row r="13" spans="1:1024" ht="22.5" customHeight="1" thickBot="1" x14ac:dyDescent="0.3">
      <c r="A13" s="34"/>
      <c r="B13" s="77" t="e">
        <f>'Necesidades Trimestrales'!#REF!</f>
        <v>#REF!</v>
      </c>
      <c r="C13" s="111" t="e">
        <f>'Necesidades Trimestrales'!#REF!</f>
        <v>#REF!</v>
      </c>
      <c r="D13" s="112"/>
      <c r="E13" s="112"/>
      <c r="F13" s="112"/>
      <c r="G13" s="113"/>
      <c r="H13" s="35" t="s">
        <v>58</v>
      </c>
      <c r="I13" s="36" t="e">
        <f>'Necesidades Trimestrales'!#REF!</f>
        <v>#REF!</v>
      </c>
      <c r="J13" s="37" t="e">
        <f>'Necesidades Trimestrales'!#REF!</f>
        <v>#REF!</v>
      </c>
      <c r="K13" s="38" t="e">
        <f>'Necesidades Trimestrales'!#REF!</f>
        <v>#REF!</v>
      </c>
    </row>
    <row r="14" spans="1:1024" ht="19.5" customHeight="1" x14ac:dyDescent="0.25">
      <c r="A14" s="34">
        <v>3</v>
      </c>
      <c r="B14" s="77" t="e">
        <f>'Necesidades Trimestrales'!#REF!</f>
        <v>#REF!</v>
      </c>
      <c r="C14" s="111" t="e">
        <f>'Necesidades Trimestrales'!#REF!</f>
        <v>#REF!</v>
      </c>
      <c r="D14" s="112"/>
      <c r="E14" s="112"/>
      <c r="F14" s="112"/>
      <c r="G14" s="113"/>
      <c r="H14" s="35" t="s">
        <v>58</v>
      </c>
      <c r="I14" s="36" t="e">
        <f>'Necesidades Trimestrales'!#REF!</f>
        <v>#REF!</v>
      </c>
      <c r="J14" s="37" t="e">
        <f>'Necesidades Trimestrales'!#REF!</f>
        <v>#REF!</v>
      </c>
      <c r="K14" s="38" t="e">
        <f>'Necesidades Trimestrales'!#REF!</f>
        <v>#REF!</v>
      </c>
    </row>
    <row r="15" spans="1:1024" ht="15.75" thickBot="1" x14ac:dyDescent="0.3">
      <c r="A15" s="101" t="s">
        <v>71</v>
      </c>
      <c r="B15" s="101"/>
      <c r="C15" s="101"/>
      <c r="D15" s="101"/>
      <c r="E15" s="101"/>
      <c r="F15" s="101"/>
      <c r="G15" s="101"/>
      <c r="H15" s="101"/>
      <c r="I15" s="101"/>
      <c r="J15" s="102">
        <f>'Necesidades Trimestrales'!I11</f>
        <v>12496800</v>
      </c>
      <c r="K15" s="10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row>
    <row r="16" spans="1:1024" x14ac:dyDescent="0.25">
      <c r="J16" s="39"/>
    </row>
  </sheetData>
  <mergeCells count="25">
    <mergeCell ref="A15:I15"/>
    <mergeCell ref="J15:K15"/>
    <mergeCell ref="D8:K8"/>
    <mergeCell ref="A10:A11"/>
    <mergeCell ref="B10:B11"/>
    <mergeCell ref="C10:G11"/>
    <mergeCell ref="H10:H11"/>
    <mergeCell ref="I10:I11"/>
    <mergeCell ref="J10:J11"/>
    <mergeCell ref="K10:K11"/>
    <mergeCell ref="A8:C8"/>
    <mergeCell ref="C14:G14"/>
    <mergeCell ref="C12:G12"/>
    <mergeCell ref="C13:G13"/>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topLeftCell="A7" workbookViewId="0">
      <selection activeCell="O15" sqref="O15:P15"/>
    </sheetView>
  </sheetViews>
  <sheetFormatPr baseColWidth="10" defaultColWidth="11" defaultRowHeight="13.5" x14ac:dyDescent="0.25"/>
  <cols>
    <col min="1" max="6" width="4.42578125" style="1" customWidth="1"/>
    <col min="7" max="7" width="4.42578125" style="5" customWidth="1"/>
    <col min="8" max="14" width="4.42578125" style="1" customWidth="1"/>
    <col min="15" max="16" width="14.85546875" style="1" customWidth="1"/>
    <col min="17" max="17" width="26.42578125" style="1" customWidth="1"/>
    <col min="18" max="16384" width="11" style="1"/>
  </cols>
  <sheetData>
    <row r="1" spans="1:17" ht="15.75" customHeight="1" x14ac:dyDescent="0.25">
      <c r="A1" s="114" t="s">
        <v>3</v>
      </c>
      <c r="B1" s="114"/>
      <c r="C1" s="114"/>
      <c r="D1" s="115">
        <f>'Necesidades Trimestrales'!C6</f>
        <v>2021</v>
      </c>
      <c r="E1" s="115"/>
      <c r="F1" s="10"/>
      <c r="G1" s="10"/>
      <c r="H1" s="11"/>
      <c r="I1" s="11"/>
      <c r="J1" s="11"/>
      <c r="K1" s="11"/>
      <c r="L1" s="11"/>
      <c r="M1" s="11"/>
      <c r="N1" s="11"/>
      <c r="P1" s="116" t="s">
        <v>30</v>
      </c>
      <c r="Q1" s="116"/>
    </row>
    <row r="2" spans="1:17" ht="15.75" customHeight="1" x14ac:dyDescent="0.25">
      <c r="H2" s="11"/>
      <c r="I2" s="11"/>
      <c r="J2" s="11"/>
      <c r="K2" s="11"/>
      <c r="L2" s="11"/>
      <c r="M2" s="11"/>
      <c r="N2" s="11"/>
      <c r="P2" s="116"/>
      <c r="Q2" s="116"/>
    </row>
    <row r="4" spans="1:17" ht="18" customHeight="1" thickBot="1" x14ac:dyDescent="0.35">
      <c r="A4" s="117" t="s">
        <v>31</v>
      </c>
      <c r="B4" s="117"/>
      <c r="C4" s="117"/>
      <c r="D4" s="117"/>
      <c r="E4" s="117"/>
      <c r="F4" s="117"/>
      <c r="G4" s="118" t="str">
        <f>' NotaPedido'!D3</f>
        <v>90 - Ministerio de Seguridad</v>
      </c>
      <c r="H4" s="118"/>
      <c r="I4" s="118"/>
      <c r="J4" s="118"/>
      <c r="K4" s="118"/>
      <c r="L4" s="118"/>
      <c r="M4" s="118"/>
      <c r="N4" s="118"/>
      <c r="O4" s="118"/>
      <c r="P4" s="118"/>
      <c r="Q4" s="118"/>
    </row>
    <row r="5" spans="1:17" ht="18" customHeight="1" thickBot="1" x14ac:dyDescent="0.35">
      <c r="A5" s="119" t="s">
        <v>53</v>
      </c>
      <c r="B5" s="120"/>
      <c r="C5" s="120"/>
      <c r="D5" s="120"/>
      <c r="E5" s="120"/>
      <c r="F5" s="121"/>
      <c r="G5" s="118" t="str">
        <f>' NotaPedido'!D4</f>
        <v>7- Dirección Provincial de Administración de la Policía de la Provincia de Catamarca</v>
      </c>
      <c r="H5" s="118"/>
      <c r="I5" s="118"/>
      <c r="J5" s="118"/>
      <c r="K5" s="118"/>
      <c r="L5" s="118"/>
      <c r="M5" s="118"/>
      <c r="N5" s="118"/>
      <c r="O5" s="118"/>
      <c r="P5" s="118"/>
      <c r="Q5" s="118"/>
    </row>
    <row r="6" spans="1:17" ht="18" customHeight="1" thickBot="1" x14ac:dyDescent="0.35">
      <c r="A6" s="119" t="s">
        <v>32</v>
      </c>
      <c r="B6" s="120"/>
      <c r="C6" s="120"/>
      <c r="D6" s="120"/>
      <c r="E6" s="120"/>
      <c r="F6" s="121"/>
      <c r="G6" s="118" t="str">
        <f>' NotaPedido'!D5</f>
        <v>Policía de la Provincia de Catamarca</v>
      </c>
      <c r="H6" s="118"/>
      <c r="I6" s="118"/>
      <c r="J6" s="118"/>
      <c r="K6" s="118"/>
      <c r="L6" s="118"/>
      <c r="M6" s="118"/>
      <c r="N6" s="118"/>
      <c r="O6" s="118"/>
      <c r="P6" s="118"/>
      <c r="Q6" s="118"/>
    </row>
    <row r="7" spans="1:17" ht="18" customHeight="1" thickBot="1" x14ac:dyDescent="0.35">
      <c r="A7" s="119" t="s">
        <v>54</v>
      </c>
      <c r="B7" s="120"/>
      <c r="C7" s="120"/>
      <c r="D7" s="120"/>
      <c r="E7" s="120"/>
      <c r="F7" s="121"/>
      <c r="G7" s="118" t="str">
        <f>' NotaPedido'!D6</f>
        <v>División Intendencia, Departamento Logística</v>
      </c>
      <c r="H7" s="118"/>
      <c r="I7" s="118"/>
      <c r="J7" s="118"/>
      <c r="K7" s="118"/>
      <c r="L7" s="118"/>
      <c r="M7" s="118"/>
      <c r="N7" s="118"/>
      <c r="O7" s="118"/>
      <c r="P7" s="118"/>
      <c r="Q7" s="118"/>
    </row>
    <row r="8" spans="1:17" ht="18" customHeight="1" thickBot="1" x14ac:dyDescent="0.3">
      <c r="A8" s="122" t="s">
        <v>60</v>
      </c>
      <c r="B8" s="122"/>
      <c r="C8" s="122"/>
      <c r="D8" s="122"/>
      <c r="E8" s="122"/>
      <c r="F8" s="122"/>
      <c r="G8" s="122"/>
      <c r="H8" s="122"/>
      <c r="I8" s="122"/>
      <c r="J8" s="122"/>
      <c r="K8" s="122"/>
      <c r="L8" s="122"/>
      <c r="M8" s="122"/>
      <c r="N8" s="122"/>
      <c r="O8" s="122"/>
      <c r="P8" s="122"/>
      <c r="Q8" s="122"/>
    </row>
    <row r="9" spans="1:17" ht="18" customHeight="1" x14ac:dyDescent="0.3">
      <c r="A9" s="123" t="s">
        <v>33</v>
      </c>
      <c r="B9" s="123"/>
      <c r="C9" s="123"/>
      <c r="D9" s="123"/>
      <c r="E9" s="123"/>
      <c r="F9" s="123"/>
      <c r="G9" s="123"/>
      <c r="H9" s="123"/>
      <c r="I9" s="123"/>
      <c r="J9" s="123"/>
      <c r="K9" s="123"/>
      <c r="L9" s="123"/>
      <c r="M9" s="123"/>
      <c r="N9" s="123"/>
      <c r="O9" s="4"/>
      <c r="P9" s="4"/>
      <c r="Q9" s="12"/>
    </row>
    <row r="10" spans="1:17" ht="66.75" customHeight="1" x14ac:dyDescent="0.25">
      <c r="A10" s="124"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81/2021,  afectando la erogación resultante a los créditos presupuestarios aprobados a favor de esta Unidad Ejecutora, conforme al siguiente detalle:</v>
      </c>
      <c r="B10" s="124"/>
      <c r="C10" s="124"/>
      <c r="D10" s="124"/>
      <c r="E10" s="124"/>
      <c r="F10" s="124"/>
      <c r="G10" s="124"/>
      <c r="H10" s="124"/>
      <c r="I10" s="124"/>
      <c r="J10" s="124"/>
      <c r="K10" s="124"/>
      <c r="L10" s="124"/>
      <c r="M10" s="124"/>
      <c r="N10" s="124"/>
      <c r="O10" s="124"/>
      <c r="P10" s="124"/>
      <c r="Q10" s="124"/>
    </row>
    <row r="11" spans="1:17" ht="9" customHeight="1" x14ac:dyDescent="0.25">
      <c r="A11" s="13"/>
      <c r="B11" s="14"/>
      <c r="C11" s="14"/>
      <c r="D11" s="14"/>
      <c r="E11" s="14"/>
      <c r="F11" s="14"/>
      <c r="G11" s="15"/>
      <c r="H11" s="14"/>
      <c r="I11" s="14"/>
      <c r="J11" s="14"/>
      <c r="K11" s="14"/>
      <c r="L11" s="14"/>
      <c r="M11" s="14"/>
      <c r="N11" s="14"/>
      <c r="O11" s="14"/>
      <c r="P11" s="14"/>
      <c r="Q11" s="16"/>
    </row>
    <row r="12" spans="1:17" ht="15.75" customHeight="1" x14ac:dyDescent="0.25">
      <c r="A12" s="125" t="s">
        <v>34</v>
      </c>
      <c r="B12" s="125"/>
      <c r="C12" s="125"/>
      <c r="D12" s="125"/>
      <c r="E12" s="125"/>
      <c r="F12" s="125"/>
      <c r="G12" s="125"/>
      <c r="H12" s="125"/>
      <c r="I12" s="125"/>
      <c r="J12" s="125"/>
      <c r="K12" s="125"/>
      <c r="L12" s="125"/>
      <c r="M12" s="125"/>
      <c r="N12" s="125"/>
      <c r="O12" s="125"/>
      <c r="P12" s="125"/>
      <c r="Q12" s="125"/>
    </row>
    <row r="13" spans="1:17" ht="15.75" customHeight="1" x14ac:dyDescent="0.25">
      <c r="A13" s="126" t="s">
        <v>35</v>
      </c>
      <c r="B13" s="126"/>
      <c r="C13" s="126"/>
      <c r="D13" s="126"/>
      <c r="E13" s="126"/>
      <c r="F13" s="126"/>
      <c r="G13" s="126"/>
      <c r="H13" s="126"/>
      <c r="I13" s="126"/>
      <c r="J13" s="126"/>
      <c r="K13" s="126"/>
      <c r="L13" s="126"/>
      <c r="M13" s="126"/>
      <c r="N13" s="126"/>
      <c r="O13" s="127" t="s">
        <v>36</v>
      </c>
      <c r="P13" s="127"/>
      <c r="Q13" s="128" t="s">
        <v>37</v>
      </c>
    </row>
    <row r="14" spans="1:17" ht="15.75" customHeight="1" thickBot="1" x14ac:dyDescent="0.3">
      <c r="A14" s="17" t="s">
        <v>38</v>
      </c>
      <c r="B14" s="18" t="s">
        <v>39</v>
      </c>
      <c r="C14" s="18" t="s">
        <v>40</v>
      </c>
      <c r="D14" s="18" t="s">
        <v>41</v>
      </c>
      <c r="E14" s="18" t="s">
        <v>42</v>
      </c>
      <c r="F14" s="18" t="s">
        <v>43</v>
      </c>
      <c r="G14" s="19" t="s">
        <v>44</v>
      </c>
      <c r="H14" s="18" t="s">
        <v>45</v>
      </c>
      <c r="I14" s="18" t="s">
        <v>46</v>
      </c>
      <c r="J14" s="18" t="s">
        <v>47</v>
      </c>
      <c r="K14" s="18" t="s">
        <v>47</v>
      </c>
      <c r="L14" s="18" t="s">
        <v>48</v>
      </c>
      <c r="M14" s="20" t="s">
        <v>49</v>
      </c>
      <c r="N14" s="21" t="s">
        <v>50</v>
      </c>
      <c r="O14" s="127"/>
      <c r="P14" s="127"/>
      <c r="Q14" s="128"/>
    </row>
    <row r="15" spans="1:17" ht="26.25" customHeight="1" x14ac:dyDescent="0.25">
      <c r="A15" s="22">
        <v>16</v>
      </c>
      <c r="B15" s="23">
        <v>0</v>
      </c>
      <c r="C15" s="23">
        <v>0</v>
      </c>
      <c r="D15" s="23">
        <v>1</v>
      </c>
      <c r="E15" s="23">
        <v>0</v>
      </c>
      <c r="F15" s="23">
        <v>10</v>
      </c>
      <c r="G15" s="23">
        <v>2</v>
      </c>
      <c r="H15" s="23">
        <v>210</v>
      </c>
      <c r="I15" s="23">
        <v>2</v>
      </c>
      <c r="J15" s="23">
        <v>9</v>
      </c>
      <c r="K15" s="23">
        <v>1</v>
      </c>
      <c r="L15" s="23">
        <v>0</v>
      </c>
      <c r="M15" s="24">
        <v>1</v>
      </c>
      <c r="N15" s="23" t="s">
        <v>57</v>
      </c>
      <c r="O15" s="129" t="e">
        <f>'Necesidades Trimestrales'!#REF!</f>
        <v>#REF!</v>
      </c>
      <c r="P15" s="130"/>
      <c r="Q15" s="25">
        <f>' NotaPedido'!J15</f>
        <v>12496800</v>
      </c>
    </row>
    <row r="16" spans="1:17" ht="33" customHeight="1" thickBot="1" x14ac:dyDescent="0.3">
      <c r="A16" s="142" t="s">
        <v>61</v>
      </c>
      <c r="B16" s="142"/>
      <c r="C16" s="142"/>
      <c r="D16" s="142"/>
      <c r="E16" s="142"/>
      <c r="F16" s="142"/>
      <c r="G16" s="142"/>
      <c r="H16" s="142"/>
      <c r="I16" s="142"/>
      <c r="J16" s="142"/>
      <c r="K16" s="142"/>
      <c r="L16" s="142"/>
      <c r="M16" s="142"/>
      <c r="N16" s="142"/>
      <c r="O16" s="142"/>
      <c r="P16" s="142"/>
      <c r="Q16" s="26">
        <f>Q15</f>
        <v>12496800</v>
      </c>
    </row>
    <row r="17" spans="1:17" ht="18" customHeight="1" thickBot="1" x14ac:dyDescent="0.3">
      <c r="A17" s="143"/>
      <c r="B17" s="144"/>
      <c r="C17" s="144"/>
      <c r="D17" s="144"/>
      <c r="E17" s="144"/>
      <c r="F17" s="144"/>
      <c r="G17" s="144"/>
      <c r="H17" s="144"/>
      <c r="I17" s="144"/>
      <c r="J17" s="144"/>
      <c r="K17" s="144"/>
      <c r="L17" s="144"/>
      <c r="M17" s="144"/>
      <c r="N17" s="144"/>
      <c r="O17" s="144"/>
      <c r="P17" s="144"/>
      <c r="Q17" s="145"/>
    </row>
    <row r="18" spans="1:17" ht="17.25" customHeight="1" thickBot="1" x14ac:dyDescent="0.3">
      <c r="A18" s="131" t="s">
        <v>51</v>
      </c>
      <c r="B18" s="132"/>
      <c r="C18" s="132"/>
      <c r="D18" s="132"/>
      <c r="E18" s="132"/>
      <c r="F18" s="133"/>
      <c r="G18" s="134"/>
      <c r="H18" s="135"/>
      <c r="I18" s="135"/>
      <c r="J18" s="135"/>
      <c r="K18" s="135"/>
      <c r="L18" s="135"/>
      <c r="M18" s="135"/>
      <c r="N18" s="135"/>
      <c r="O18" s="135"/>
      <c r="P18" s="135"/>
      <c r="Q18" s="135"/>
    </row>
    <row r="19" spans="1:17" ht="18" customHeight="1" x14ac:dyDescent="0.25">
      <c r="A19" s="136" t="str">
        <f>' NotaPedido'!D8</f>
        <v>Adquisición de Uniformes de Fajina para el personal policial.</v>
      </c>
      <c r="B19" s="137"/>
      <c r="C19" s="137"/>
      <c r="D19" s="137"/>
      <c r="E19" s="137"/>
      <c r="F19" s="137"/>
      <c r="G19" s="137"/>
      <c r="H19" s="137"/>
      <c r="I19" s="137"/>
      <c r="J19" s="137"/>
      <c r="K19" s="137"/>
      <c r="L19" s="137"/>
      <c r="M19" s="137"/>
      <c r="N19" s="137"/>
      <c r="O19" s="137"/>
      <c r="P19" s="137"/>
      <c r="Q19" s="138"/>
    </row>
    <row r="20" spans="1:17" ht="15" customHeight="1" thickBot="1" x14ac:dyDescent="0.3">
      <c r="A20" s="139"/>
      <c r="B20" s="140"/>
      <c r="C20" s="140"/>
      <c r="D20" s="140"/>
      <c r="E20" s="140"/>
      <c r="F20" s="140"/>
      <c r="G20" s="140"/>
      <c r="H20" s="140"/>
      <c r="I20" s="140"/>
      <c r="J20" s="140"/>
      <c r="K20" s="140"/>
      <c r="L20" s="140"/>
      <c r="M20" s="140"/>
      <c r="N20" s="140"/>
      <c r="O20" s="140"/>
      <c r="P20" s="140"/>
      <c r="Q20" s="141"/>
    </row>
  </sheetData>
  <mergeCells count="24">
    <mergeCell ref="O15:P15"/>
    <mergeCell ref="A18:F18"/>
    <mergeCell ref="G18:Q18"/>
    <mergeCell ref="A19:Q20"/>
    <mergeCell ref="A16:P16"/>
    <mergeCell ref="A17:Q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Policia</dc:creator>
  <cp:lastModifiedBy>Ponce</cp:lastModifiedBy>
  <cp:revision>2</cp:revision>
  <cp:lastPrinted>2020-07-17T22:18:48Z</cp:lastPrinted>
  <dcterms:created xsi:type="dcterms:W3CDTF">2020-07-17T23:44:49Z</dcterms:created>
  <dcterms:modified xsi:type="dcterms:W3CDTF">2021-09-13T15:13:35Z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