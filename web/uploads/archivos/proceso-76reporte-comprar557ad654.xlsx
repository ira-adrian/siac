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13. Adquisición Notebooks – AGG - SAF 38\PARA CARGAR\51\"/>
    </mc:Choice>
  </mc:AlternateContent>
  <xr:revisionPtr revIDLastSave="0" documentId="13_ncr:1_{3907E3C5-3F42-4EB2-8F8F-C6A94E991C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  <c r="M11" i="2"/>
  <c r="Q11" i="2"/>
  <c r="U11" i="2"/>
</calcChain>
</file>

<file path=xl/sharedStrings.xml><?xml version="1.0" encoding="utf-8"?>
<sst xmlns="http://schemas.openxmlformats.org/spreadsheetml/2006/main" count="47" uniqueCount="33">
  <si>
    <t>Número expediente:</t>
  </si>
  <si>
    <t>EX-2022-00465727-   -CAT-SCA#MEC</t>
  </si>
  <si>
    <t>Número proceso de compra:</t>
  </si>
  <si>
    <t>100-0051-CDI22</t>
  </si>
  <si>
    <t>Nombre descriptivo proceso de compra:</t>
  </si>
  <si>
    <t>Adq. de Notebooks con destino a Asesoría General de Gobierno del MGSDH - Nuevo Llamado</t>
  </si>
  <si>
    <t>Unidad Operativa de Compras:</t>
  </si>
  <si>
    <t>Secretaria de Compras y Abastecimiento</t>
  </si>
  <si>
    <t>Fecha de Apertura:</t>
  </si>
  <si>
    <t>20/04/2022</t>
  </si>
  <si>
    <t>Renglón</t>
  </si>
  <si>
    <t>Juan Manuel Olveira Luraschi</t>
  </si>
  <si>
    <t>MARTIN ABEL LAGORIA</t>
  </si>
  <si>
    <t>MIGUEL ANGEL MURO</t>
  </si>
  <si>
    <t>BRUNO RODOLFO LUCERO ALESSANDRO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</si>
  <si>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</si>
  <si>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</si>
  <si>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</si>
  <si>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</si>
  <si>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</si>
  <si>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</si>
  <si>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</si>
  <si>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</si>
  <si>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</si>
  <si>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</si>
  <si>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4.3.6-6160.219 </t>
  </si>
  <si>
    <t xml:space="preserve">COMPUTADORAS; TIPO: NOTEBOOK, CODIGO ETAP: PC-008, VERSION ETAP: 23.0 </t>
  </si>
  <si>
    <t xml:space="preserve">UNIDAD </t>
  </si>
  <si>
    <t xml:space="preserve">COMPUTADORAS; TIPO: NOTEBOOK, CODIGO ETAP: PC-008, VERSION ETAP: 23.0. MARCA: 
NSX </t>
  </si>
  <si>
    <t xml:space="preserve">"Notebook EXO Smart XQ5C-S5385 11va Gen - Intel® Core™ i5-1135G7 
Windows 11 8 GB DDR4 SSD 512GB SATA CReader Teclado 
numerico . / RJ-45 / WIFI ac + BT / 
HDMI / USB Intel® Iris® X / WCam HD LED 
IPS 15,6” | Resolución FULL HD de 1920x1080 16:9 1850 
gramos / Kensington Lock / Batería de alta duración " 
 </t>
  </si>
  <si>
    <t xml:space="preserve">Notebook marca lenovo Thinkbook 15 g2 itl i5 1135g7 8gb 
ssd256 w10p garantia 12 meses cci pantalla 15 full HD(1920 
x 1080) con teclado numerico </t>
  </si>
  <si>
    <t xml:space="preserve">Notebook marca HP 450G8 15.6" I5-1135G7 8GB 256SSD W10P garantia 
de 12 meses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</si>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</sst>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1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1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0.7109375" customWidth="1"/>
    <col min="5" max="5" width="82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8.7109375" customWidth="1"/>
    <col min="11" max="11" width="14.28515625" customWidth="1"/>
    <col min="12" max="12" width="17.28515625" customWidth="1"/>
    <col min="13" max="13" width="16.5703125" customWidth="1"/>
    <col min="14" max="14" width="61.85546875" customWidth="1"/>
    <col min="15" max="15" width="14.28515625" customWidth="1"/>
    <col min="16" max="16" width="17.28515625" customWidth="1"/>
    <col min="17" max="17" width="16.5703125" customWidth="1"/>
    <col min="18" max="18" width="52.7109375" customWidth="1"/>
    <col min="19" max="19" width="14.28515625" customWidth="1"/>
    <col min="20" max="20" width="17.28515625" customWidth="1"/>
    <col min="21" max="21" width="16.5703125" customWidth="1"/>
    <col min="22" max="22" width="63.28515625" customWidth="1"/>
  </cols>
  <sheetData>
    <row r="1" spans="1:22" x14ac:dyDescent="0.25">
      <c r="D1" s="2" t="s">
        <v>0</v>
      </c>
      <c r="E1" s="2" t="s">
        <v>1</v>
      </c>
    </row>
    <row r="2" spans="1:22" x14ac:dyDescent="0.25">
      <c r="D2" s="2" t="s">
        <v>2</v>
      </c>
      <c r="E2" s="2" t="s">
        <v>3</v>
      </c>
    </row>
    <row r="3" spans="1:22" x14ac:dyDescent="0.25">
      <c r="D3" s="2" t="s">
        <v>4</v>
      </c>
      <c r="E3" s="2" t="s">
        <v>5</v>
      </c>
    </row>
    <row r="4" spans="1:22" x14ac:dyDescent="0.25">
      <c r="D4" s="2" t="s">
        <v>6</v>
      </c>
      <c r="E4" s="2" t="s">
        <v>7</v>
      </c>
    </row>
    <row r="5" spans="1:22" x14ac:dyDescent="0.25">
      <c r="D5" s="2" t="s">
        <v>8</v>
      </c>
      <c r="E5" s="2" t="s">
        <v>9</v>
      </c>
    </row>
    <row r="8" spans="1:22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</row>
    <row r="9" spans="1:22" x14ac:dyDescent="0.25">
      <c r="A9" t="s">
        <v>10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s="3" t="s">
        <v>20</v>
      </c>
      <c r="H9" s="3" t="s">
        <v>21</v>
      </c>
      <c r="I9" t="s">
        <v>22</v>
      </c>
      <c r="J9" t="s">
        <v>23</v>
      </c>
      <c r="K9" s="3" t="s">
        <v>20</v>
      </c>
      <c r="L9" s="3" t="s">
        <v>21</v>
      </c>
      <c r="M9" t="s">
        <v>22</v>
      </c>
      <c r="N9" t="s">
        <v>23</v>
      </c>
      <c r="O9" s="3" t="s">
        <v>20</v>
      </c>
      <c r="P9" s="3" t="s">
        <v>21</v>
      </c>
      <c r="Q9" t="s">
        <v>22</v>
      </c>
      <c r="R9" t="s">
        <v>23</v>
      </c>
      <c r="S9" s="3" t="s">
        <v>20</v>
      </c>
      <c r="T9" s="3" t="s">
        <v>21</v>
      </c>
      <c r="U9" t="s">
        <v>22</v>
      </c>
      <c r="V9" t="s">
        <v>23</v>
      </c>
    </row>
    <row r="10" spans="1:22" ht="120" x14ac:dyDescent="0.25">
      <c r="A10" t="s">
        <v>24</v>
      </c>
      <c r="B10" t="s">
        <v>24</v>
      </c>
      <c r="C10" t="s">
        <v>25</v>
      </c>
      <c r="D10" t="s">
        <v>26</v>
      </c>
      <c r="E10">
        <v>10</v>
      </c>
      <c r="F10" t="s">
        <v>27</v>
      </c>
      <c r="G10" s="3">
        <v>132839</v>
      </c>
      <c r="H10" s="3">
        <v>10</v>
      </c>
      <c r="I10" s="4">
        <v>1328390</v>
      </c>
      <c r="J10" s="5" t="s">
        <v>28</v>
      </c>
      <c r="K10" s="3">
        <v>149990</v>
      </c>
      <c r="L10" s="3">
        <v>10</v>
      </c>
      <c r="M10" s="4">
        <v>1499900</v>
      </c>
      <c r="N10" s="5" t="s">
        <v>29</v>
      </c>
      <c r="O10" s="3">
        <v>182599</v>
      </c>
      <c r="P10" s="3">
        <v>10</v>
      </c>
      <c r="Q10" s="4">
        <v>1825990</v>
      </c>
      <c r="R10" s="5" t="s">
        <v>30</v>
      </c>
      <c r="S10" s="3">
        <v>195000</v>
      </c>
      <c r="T10" s="3">
        <v>10</v>
      </c>
      <c r="U10" s="4">
        <v>1950000</v>
      </c>
      <c r="V10" s="5" t="s">
        <v>31</v>
      </c>
    </row>
    <row r="11" spans="1:22" x14ac:dyDescent="0.25">
      <c r="C11" t="s">
        <v>32</v>
      </c>
      <c r="G11" s="3"/>
      <c r="H11" s="3"/>
      <c r="I11" s="4">
        <f>SUBTOTAL(109,Table2[Total por renglón])</f>
        <v>1328390</v>
      </c>
      <c r="J11" s="5"/>
      <c r="K11" s="3"/>
      <c r="L11" s="3"/>
      <c r="M11" s="4">
        <f>SUBTOTAL(109,Table3[Total por renglón])</f>
        <v>1499900</v>
      </c>
      <c r="N11" s="5"/>
      <c r="O11" s="3"/>
      <c r="P11" s="3"/>
      <c r="Q11" s="4">
        <f>SUBTOTAL(109,Table4[Total por renglón])</f>
        <v>1825990</v>
      </c>
      <c r="R11" s="5"/>
      <c r="S11" s="3"/>
      <c r="T11" s="3"/>
      <c r="U11" s="4">
        <f>SUBTOTAL(109,Table5[Total por renglón])</f>
        <v>1950000</v>
      </c>
      <c r="V11" s="5"/>
    </row>
  </sheetData>
  <mergeCells count="5">
    <mergeCell ref="G8:J8"/>
    <mergeCell ref="K8:N8"/>
    <mergeCell ref="O8:R8"/>
    <mergeCell ref="S8:V8"/>
    <mergeCell ref="A8:F8"/>
  </mergeCells>
  <pageMargins left="0.75" right="0.75" top="0.75" bottom="0.5" header="0.5" footer="0.7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2022-05-25T02:42:20Z</dcterms:created>
  <dcterms:modified xsi:type="dcterms:W3CDTF">2022-05-25T02:43:53Z</dcterms:modified>
</cp:coreProperties>
</file>