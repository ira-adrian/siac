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4° Trimestre 2021\MEDICAMENTOS UNIFICADOS 4° TRIEMSTRE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</definedName>
    <definedName name="A">'Necesidades Trimestrales'!#REF!</definedName>
    <definedName name="_xlnm.Print_Area" localSheetId="1">' NotaPedido'!$A$1:$I$53</definedName>
    <definedName name="_xlnm.Print_Area" localSheetId="2">'Autor Gastar'!$A$1:$Q$22</definedName>
  </definedNames>
  <calcPr calcId="152511"/>
</workbook>
</file>

<file path=xl/calcChain.xml><?xml version="1.0" encoding="utf-8"?>
<calcChain xmlns="http://schemas.openxmlformats.org/spreadsheetml/2006/main">
  <c r="I52" i="2" l="1"/>
  <c r="H52" i="2"/>
  <c r="G52" i="2"/>
  <c r="C52" i="2"/>
  <c r="A52" i="2"/>
  <c r="I51" i="2"/>
  <c r="H51" i="2"/>
  <c r="G51" i="2"/>
  <c r="C51" i="2"/>
  <c r="A51" i="2"/>
  <c r="I50" i="2"/>
  <c r="H50" i="2"/>
  <c r="G50" i="2"/>
  <c r="C50" i="2"/>
  <c r="A50" i="2"/>
  <c r="I49" i="2"/>
  <c r="H49" i="2"/>
  <c r="G49" i="2"/>
  <c r="C49" i="2"/>
  <c r="A49" i="2"/>
  <c r="I48" i="2"/>
  <c r="H48" i="2"/>
  <c r="G48" i="2"/>
  <c r="C48" i="2"/>
  <c r="A48" i="2"/>
  <c r="I47" i="2"/>
  <c r="H47" i="2"/>
  <c r="G47" i="2"/>
  <c r="C47" i="2"/>
  <c r="A47" i="2"/>
  <c r="I46" i="2"/>
  <c r="H46" i="2"/>
  <c r="G46" i="2"/>
  <c r="C46" i="2"/>
  <c r="A46" i="2"/>
  <c r="I45" i="2"/>
  <c r="H45" i="2"/>
  <c r="G45" i="2"/>
  <c r="C45" i="2"/>
  <c r="A45" i="2"/>
  <c r="I44" i="2"/>
  <c r="H44" i="2"/>
  <c r="G44" i="2"/>
  <c r="C44" i="2"/>
  <c r="A44" i="2"/>
  <c r="I43" i="2"/>
  <c r="H43" i="2"/>
  <c r="G43" i="2"/>
  <c r="C43" i="2"/>
  <c r="A43" i="2"/>
  <c r="I42" i="2"/>
  <c r="H42" i="2"/>
  <c r="G42" i="2"/>
  <c r="C42" i="2"/>
  <c r="A42" i="2"/>
  <c r="I41" i="2"/>
  <c r="H41" i="2"/>
  <c r="G41" i="2"/>
  <c r="C41" i="2"/>
  <c r="A41" i="2"/>
  <c r="I40" i="2"/>
  <c r="H40" i="2"/>
  <c r="G40" i="2"/>
  <c r="C40" i="2"/>
  <c r="A40" i="2"/>
  <c r="I39" i="2"/>
  <c r="H39" i="2"/>
  <c r="G39" i="2"/>
  <c r="C39" i="2"/>
  <c r="A39" i="2"/>
  <c r="I38" i="2"/>
  <c r="H38" i="2"/>
  <c r="G38" i="2"/>
  <c r="C38" i="2"/>
  <c r="A38" i="2"/>
  <c r="I37" i="2"/>
  <c r="H37" i="2"/>
  <c r="G37" i="2"/>
  <c r="C37" i="2"/>
  <c r="A37" i="2"/>
  <c r="I36" i="2"/>
  <c r="H36" i="2"/>
  <c r="G36" i="2"/>
  <c r="C36" i="2"/>
  <c r="A36" i="2"/>
  <c r="I35" i="2"/>
  <c r="H35" i="2"/>
  <c r="G35" i="2"/>
  <c r="C35" i="2"/>
  <c r="A35" i="2"/>
  <c r="I34" i="2"/>
  <c r="H34" i="2"/>
  <c r="G34" i="2"/>
  <c r="C34" i="2"/>
  <c r="A34" i="2"/>
  <c r="I33" i="2"/>
  <c r="H33" i="2"/>
  <c r="G33" i="2"/>
  <c r="C33" i="2"/>
  <c r="A33" i="2"/>
  <c r="I32" i="2"/>
  <c r="H32" i="2"/>
  <c r="G32" i="2"/>
  <c r="C32" i="2"/>
  <c r="A32" i="2"/>
  <c r="I31" i="2"/>
  <c r="H31" i="2"/>
  <c r="G31" i="2"/>
  <c r="C31" i="2"/>
  <c r="A31" i="2"/>
  <c r="I30" i="2"/>
  <c r="H30" i="2"/>
  <c r="G30" i="2"/>
  <c r="C30" i="2"/>
  <c r="A30" i="2"/>
  <c r="I29" i="2"/>
  <c r="H29" i="2"/>
  <c r="G29" i="2"/>
  <c r="C29" i="2"/>
  <c r="A29" i="2"/>
  <c r="I28" i="2"/>
  <c r="H28" i="2"/>
  <c r="G28" i="2"/>
  <c r="C28" i="2"/>
  <c r="A28" i="2"/>
  <c r="I27" i="2"/>
  <c r="H27" i="2"/>
  <c r="G27" i="2"/>
  <c r="C27" i="2"/>
  <c r="A27" i="2"/>
  <c r="I26" i="2"/>
  <c r="H26" i="2"/>
  <c r="G26" i="2"/>
  <c r="C26" i="2"/>
  <c r="A26" i="2"/>
  <c r="I25" i="2"/>
  <c r="H25" i="2"/>
  <c r="G25" i="2"/>
  <c r="C25" i="2"/>
  <c r="A25" i="2"/>
  <c r="I24" i="2"/>
  <c r="H24" i="2"/>
  <c r="G24" i="2"/>
  <c r="C24" i="2"/>
  <c r="A24" i="2"/>
  <c r="I31" i="1"/>
  <c r="I30" i="1"/>
  <c r="I22" i="1"/>
  <c r="I16" i="1"/>
  <c r="I50" i="1"/>
  <c r="I34" i="1"/>
  <c r="I29" i="1"/>
  <c r="I28" i="1"/>
  <c r="I19" i="1"/>
  <c r="I18" i="1"/>
  <c r="I15" i="1"/>
  <c r="I12" i="1"/>
  <c r="I11" i="1"/>
  <c r="I10" i="1"/>
  <c r="I48" i="1"/>
  <c r="I46" i="1"/>
  <c r="I45" i="1"/>
  <c r="I44" i="1"/>
  <c r="I43" i="1"/>
  <c r="I42" i="1"/>
  <c r="I17" i="1"/>
  <c r="I14" i="1"/>
  <c r="I41" i="1"/>
  <c r="I38" i="1"/>
  <c r="I37" i="1"/>
  <c r="I35" i="1"/>
  <c r="I33" i="1"/>
  <c r="I32" i="1"/>
  <c r="I26" i="1"/>
  <c r="I27" i="1" l="1"/>
  <c r="I36" i="1"/>
  <c r="I39" i="1"/>
  <c r="I40" i="1"/>
  <c r="I47" i="1"/>
  <c r="I49" i="1"/>
  <c r="I13" i="1"/>
  <c r="I20" i="1"/>
  <c r="I21" i="1"/>
  <c r="I23" i="1"/>
  <c r="I24" i="1"/>
  <c r="I25" i="1"/>
  <c r="A12" i="2" l="1"/>
  <c r="A13" i="2"/>
  <c r="A14" i="2"/>
  <c r="A15" i="2"/>
  <c r="A16" i="2"/>
  <c r="A17" i="2"/>
  <c r="A18" i="2"/>
  <c r="A19" i="2"/>
  <c r="A20" i="2"/>
  <c r="A21" i="2"/>
  <c r="A22" i="2"/>
  <c r="A23" i="2"/>
  <c r="I12" i="2" l="1"/>
  <c r="I13" i="2"/>
  <c r="I14" i="2"/>
  <c r="I15" i="2"/>
  <c r="I16" i="2"/>
  <c r="I17" i="2"/>
  <c r="I18" i="2"/>
  <c r="I19" i="2"/>
  <c r="I20" i="2"/>
  <c r="I21" i="2"/>
  <c r="I22" i="2"/>
  <c r="I23" i="2"/>
  <c r="H12" i="2"/>
  <c r="H13" i="2"/>
  <c r="H14" i="2"/>
  <c r="H15" i="2"/>
  <c r="H16" i="2"/>
  <c r="H17" i="2"/>
  <c r="H18" i="2"/>
  <c r="H19" i="2"/>
  <c r="H20" i="2"/>
  <c r="H21" i="2"/>
  <c r="H22" i="2"/>
  <c r="H23" i="2"/>
  <c r="G12" i="2"/>
  <c r="G13" i="2"/>
  <c r="G14" i="2"/>
  <c r="G15" i="2"/>
  <c r="G16" i="2"/>
  <c r="G17" i="2"/>
  <c r="G18" i="2"/>
  <c r="G19" i="2"/>
  <c r="G20" i="2"/>
  <c r="G21" i="2"/>
  <c r="G22" i="2"/>
  <c r="G23" i="2"/>
  <c r="C12" i="2"/>
  <c r="C13" i="2"/>
  <c r="C14" i="2"/>
  <c r="C15" i="2"/>
  <c r="C16" i="2"/>
  <c r="C17" i="2"/>
  <c r="C18" i="2"/>
  <c r="C19" i="2"/>
  <c r="C20" i="2"/>
  <c r="C21" i="2"/>
  <c r="C22" i="2"/>
  <c r="C23" i="2"/>
  <c r="Q18" i="3" l="1"/>
  <c r="I53" i="2" l="1"/>
</calcChain>
</file>

<file path=xl/sharedStrings.xml><?xml version="1.0" encoding="utf-8"?>
<sst xmlns="http://schemas.openxmlformats.org/spreadsheetml/2006/main" count="293" uniqueCount="137">
  <si>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</si>
  <si>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</si>
  <si>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</si>
  <si>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</si>
  <si>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</si>
  <si>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</si>
  <si>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</si>
  <si>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</si>
  <si>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</si>
  <si>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</si>
  <si>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</si>
  <si>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</si>
  <si>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</si>
  <si>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</si>
  <si>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</si>
  <si>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</si>
  <si>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</si>
  <si>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</si>
  <si>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</si>
  <si>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</si>
  <si>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</si>
  <si>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</si>
  <si>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</si>
  <si>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</si>
  <si>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</si>
  <si>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</si>
  <si>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</si>
  <si>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</si>
  <si>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</si>
  <si>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</si>
  <si>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</si>
  <si>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</si>
  <si>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</si>
  <si>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</si>
  <si>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</si>
  <si>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</si>
  <si>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</si>
  <si>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</si>
  <si>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</si>
  <si>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</si>
  <si>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</si>
  <si>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</si>
  <si>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</si>
  <si>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</si>
  <si>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</si>
  <si>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</si>
  <si>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</si>
  <si>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</si>
  <si>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</si>
  <si>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</si>
  <si>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NO</t>
  </si>
  <si>
    <t>40- Ministerio de Salud</t>
  </si>
  <si>
    <t>SI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</si>
  <si>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</si>
  <si>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</si>
  <si>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</si>
  <si>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</si>
  <si>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</si>
  <si>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</si>
  <si>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</si>
  <si>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</si>
  <si>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 xml:space="preserve">Pedido de Necesidades Trimestrales
</t>
  </si>
  <si>
    <t>28- Maternidad Provincial 25 de Mayo</t>
  </si>
  <si>
    <t>28 - MATERNIDAD PROVINCIAL 25 DE MAYO</t>
  </si>
  <si>
    <t>Año 2021</t>
  </si>
  <si>
    <t>SERVICIO DE FARMACIA -MATERNIDAD PROVINCIAL 25 DE MAYO - HERNANDO DE PEDRAZA 1650</t>
  </si>
  <si>
    <t>HORARIO DE 07:00 A 12:00</t>
  </si>
  <si>
    <t>2.5.2</t>
  </si>
  <si>
    <t>169-Direccion Asistencial</t>
  </si>
  <si>
    <t>Servicio de Farmacia</t>
  </si>
  <si>
    <t xml:space="preserve">169-Direccion Asistencial </t>
  </si>
  <si>
    <t xml:space="preserve">Servicio de Farmacia </t>
  </si>
  <si>
    <t>ALIMENTACION ENTERAL FORTIFICADO CON FIBRAS X 1000 ML</t>
  </si>
  <si>
    <t>COMPLEJO B AMPOLLAS TIPO BECOZYM NF</t>
  </si>
  <si>
    <t>FENOBARBITAL 200MG AMPOLLAS</t>
  </si>
  <si>
    <t>FENTANILO 250 MCG INYECTABLE</t>
  </si>
  <si>
    <t>KETAMINA 50MG/ML FCO AMPOLLA</t>
  </si>
  <si>
    <t>LORAZEPAM 4 MG/2ML AMPOLLA</t>
  </si>
  <si>
    <t>MIDAZOLAM 15 MG AMPOLLA</t>
  </si>
  <si>
    <t xml:space="preserve">Productos farmaceuticos y medicinales </t>
  </si>
  <si>
    <t>PARACETAMOL 1GR ML FRASCO AMPOLLA</t>
  </si>
  <si>
    <t xml:space="preserve">30 DIAS </t>
  </si>
  <si>
    <t xml:space="preserve">20 dias corridos desde la firma del documento contractual </t>
  </si>
  <si>
    <t xml:space="preserve">CEFTRIAXONA 1 GR FCO AMPOLLA </t>
  </si>
  <si>
    <t>DOPAMINA 200 MG  AMPOLLA X 5 ML</t>
  </si>
  <si>
    <t>ENOXAPARINA 40 MG AMPOLLA JERINGA PRELLENA</t>
  </si>
  <si>
    <t>PANCURONIO 4 MG/2ML</t>
  </si>
  <si>
    <t>SALBUTAMOL GOTAS x 10 ml</t>
  </si>
  <si>
    <t>ENVASE</t>
  </si>
  <si>
    <t>AMPOLLA</t>
  </si>
  <si>
    <t>GOTERO</t>
  </si>
  <si>
    <t>4°</t>
  </si>
  <si>
    <t>137/2021</t>
  </si>
  <si>
    <t>Autorizo la realización de los  trámites correspondientes, a fin de proveer a  este Organismo los bienes y/o servicios que se detallan en Nota  de Pedido N° 137/2021 ,  afectando la erogación resultante a los créditos presupuestarios aprobados a favor de esta Unidad Ejecutora, conforme al siguiente detalle:"</t>
  </si>
  <si>
    <t>ANTIEPILEPTICOS</t>
  </si>
  <si>
    <t>FLUMAZENIL 0,5 MG  AMPOLLAS X 5 ML</t>
  </si>
  <si>
    <t>NALOXONA 0,4 MG / ML AMPOLLA</t>
  </si>
  <si>
    <t>PROPARACAINA CLORHIDRATO 0,5% COLIRIO</t>
  </si>
  <si>
    <t>PROTAMINA SULFATO 50MG AMPOLLA</t>
  </si>
  <si>
    <t>TOBRAMICINA 0,3% COLIRIO</t>
  </si>
  <si>
    <t>TROPICAMIDA 0,5%+ FENILEFRINA 5% COLIRIO</t>
  </si>
  <si>
    <t xml:space="preserve">MEDICAMENTOS COVID </t>
  </si>
  <si>
    <t>ALIMENTACION PARENTERAL CON LIPIDOS PARA NEONATOS DE 0 A 500 ML con filtro</t>
  </si>
  <si>
    <t>UNIDAD</t>
  </si>
  <si>
    <t>AMINOACIDO 10%  X 500 ML FRASCO</t>
  </si>
  <si>
    <t>SOLUCION DEXTROSA AL 10% SACHET DE 500 ML</t>
  </si>
  <si>
    <t xml:space="preserve">SOLUCION DEXTROSA AL 5% SACHET DE 500 ML SISTEMA CERRADO, DOBLE PUERTO DE INYECCION </t>
  </si>
  <si>
    <t>SOLUCION FISIOLOGICA 0,9 % SACHET X 500 ML SISTEMA CERRADO DOBLE PUERTO DE INYECCION</t>
  </si>
  <si>
    <t>SOLUCION GLUCOSADA AL 25 % AMPOLLAS X 10 ML</t>
  </si>
  <si>
    <t>SOLUCION MANITOL DE SACHET 500 ML</t>
  </si>
  <si>
    <t>TRIGLICERIDO BOTELLA X 500 ML</t>
  </si>
  <si>
    <t xml:space="preserve">NUTRICION Y SOLUCIONES </t>
  </si>
  <si>
    <t>ACIDO FOLICO 1MG /ML GOTAS x 10 ML</t>
  </si>
  <si>
    <t>ACIDO FOLICO 5 MG COMPRIMIDOS</t>
  </si>
  <si>
    <t>ADENOSINA 6 MG AMPOLLA</t>
  </si>
  <si>
    <t xml:space="preserve">ALPROSTADILO 500 MG/ML ( PROSTAGLANDINA ) AMPOLLA  X 1 ML </t>
  </si>
  <si>
    <t>AMIODARONA 150 MG AMPOLLA X 3ML</t>
  </si>
  <si>
    <t>AMIODARONA 200 MG COMPRIMIDO</t>
  </si>
  <si>
    <t>FUROSEMIDA 20 MG  AMPOLLAS X 2 ML</t>
  </si>
  <si>
    <t>HIERRO+ACIDO FOLICO+B12 AMPOLLAS TIPO YECTAFER COMPLEX X 5 AMPOLLAS</t>
  </si>
  <si>
    <t>CAJA</t>
  </si>
  <si>
    <t>METILDOPA 500 MG COMPRIMIDOS</t>
  </si>
  <si>
    <t>VITAMINA K 1 MG AMPOLLA</t>
  </si>
  <si>
    <t>SANGRE Y ORGANO</t>
  </si>
  <si>
    <t>ALUMINIO HIDROXIDO + MAGNESIO HIDROXIDO SUSPENSIÓN x 160 ml</t>
  </si>
  <si>
    <t>FRASCO</t>
  </si>
  <si>
    <t>CREMA DE BISMUTO X 90 ML</t>
  </si>
  <si>
    <t>INSULINA CORRIENTE HUMANA 100 UI FCO AMP 10 ML</t>
  </si>
  <si>
    <t>FRASCO AMPOLLA</t>
  </si>
  <si>
    <t>INSULINA NPH HUMANA 100 UI FCO AMP 10 ML</t>
  </si>
  <si>
    <t xml:space="preserve">TRACTO ALIMENTARIO </t>
  </si>
  <si>
    <t>Especificidades Item N° 1 A 41 :</t>
  </si>
  <si>
    <r>
      <rPr>
        <b/>
        <u/>
        <sz val="14"/>
        <rFont val="Times New Roman"/>
        <family val="1"/>
      </rPr>
      <t>Costo total:</t>
    </r>
    <r>
      <rPr>
        <b/>
        <sz val="14"/>
        <rFont val="Times New Roman"/>
        <family val="1"/>
      </rPr>
      <t xml:space="preserve"> CUATRO MILLONES SETENTA MIL SETECIENTOS OCHENTA Y DOS CON 00/100</t>
    </r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</si>
  <si>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 CUATRO MILLONES SETENTA MIL SETECIENTOS OCHENTA Y DOS CON 00/100</t>
    </r>
  </si>
  <si>
    <t>Para la adquisición de Medicamentos , para ser destinados al Servicio de Farmacia de la Maternidad Provincial 25 de Mayo.-</t>
  </si>
  <si>
    <t xml:space="preserve">ADQUISICION DE MEDICAMENTOS </t>
  </si>
  <si>
    <t>4° TRIMESTRE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</si>
</sst>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&quot;$&quot;\ * #,##0.00_-;\-&quot;$&quot;\ * #,##0.00_-;_-&quot;$&quot;\ * &quot;-&quot;??_-;_-@"/>
  </numFmts>
  <fonts count="3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u/>
      <sz val="14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1" fillId="0" borderId="1" applyProtection="0"/>
    <xf numFmtId="0" fontId="3" fillId="2" borderId="0" applyBorder="0" applyProtection="0"/>
    <xf numFmtId="0" fontId="14" fillId="0" borderId="0"/>
    <xf numFmtId="44" fontId="22" fillId="0" borderId="0" applyFont="0" applyFill="0" applyBorder="0" applyAlignment="0" applyProtection="0"/>
    <xf numFmtId="0" fontId="14" fillId="0" borderId="0"/>
    <xf numFmtId="0" fontId="14" fillId="0" borderId="0"/>
  </cellStyleXfs>
  <cellXfs count="16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2" fillId="0" borderId="0" xfId="0" applyFont="1"/>
    <xf numFmtId="0" fontId="15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44" fontId="14" fillId="0" borderId="0" xfId="0" applyNumberFormat="1" applyFont="1" applyAlignment="1"/>
    <xf numFmtId="0" fontId="5" fillId="4" borderId="5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/>
    </xf>
    <xf numFmtId="8" fontId="2" fillId="4" borderId="0" xfId="0" applyNumberFormat="1" applyFont="1" applyFill="1" applyBorder="1" applyAlignment="1">
      <alignment vertical="center"/>
    </xf>
    <xf numFmtId="0" fontId="15" fillId="4" borderId="0" xfId="0" applyFont="1" applyFill="1"/>
    <xf numFmtId="0" fontId="24" fillId="4" borderId="0" xfId="0" applyFont="1" applyFill="1" applyBorder="1" applyAlignment="1">
      <alignment horizontal="left" vertical="center"/>
    </xf>
    <xf numFmtId="44" fontId="2" fillId="0" borderId="0" xfId="0" applyNumberFormat="1" applyFont="1" applyBorder="1" applyAlignment="1">
      <alignment vertical="center"/>
    </xf>
    <xf numFmtId="165" fontId="0" fillId="0" borderId="0" xfId="0" applyNumberFormat="1"/>
    <xf numFmtId="0" fontId="15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 wrapText="1"/>
    </xf>
    <xf numFmtId="0" fontId="15" fillId="0" borderId="29" xfId="0" applyFont="1" applyBorder="1"/>
    <xf numFmtId="0" fontId="15" fillId="0" borderId="32" xfId="0" applyFont="1" applyBorder="1"/>
    <xf numFmtId="0" fontId="30" fillId="0" borderId="34" xfId="0" applyFont="1" applyBorder="1"/>
    <xf numFmtId="0" fontId="15" fillId="0" borderId="35" xfId="0" applyFont="1" applyBorder="1"/>
    <xf numFmtId="0" fontId="30" fillId="0" borderId="35" xfId="0" applyFont="1" applyBorder="1"/>
    <xf numFmtId="0" fontId="30" fillId="0" borderId="35" xfId="0" applyFont="1" applyBorder="1" applyAlignment="1">
      <alignment horizontal="left" indent="3"/>
    </xf>
    <xf numFmtId="0" fontId="15" fillId="0" borderId="35" xfId="0" applyFont="1" applyBorder="1" applyAlignment="1">
      <alignment horizontal="left" indent="3"/>
    </xf>
    <xf numFmtId="0" fontId="15" fillId="0" borderId="36" xfId="0" applyFont="1" applyBorder="1" applyAlignment="1">
      <alignment horizontal="left" indent="3"/>
    </xf>
    <xf numFmtId="0" fontId="15" fillId="0" borderId="3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8" fillId="0" borderId="9" xfId="0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/>
    </xf>
    <xf numFmtId="0" fontId="32" fillId="4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44" fontId="24" fillId="4" borderId="9" xfId="4" applyFont="1" applyFill="1" applyBorder="1" applyAlignment="1">
      <alignment vertical="center"/>
    </xf>
    <xf numFmtId="0" fontId="24" fillId="4" borderId="9" xfId="0" applyFont="1" applyFill="1" applyBorder="1" applyAlignment="1">
      <alignment horizontal="center" vertical="center"/>
    </xf>
    <xf numFmtId="44" fontId="28" fillId="4" borderId="9" xfId="0" applyNumberFormat="1" applyFont="1" applyFill="1" applyBorder="1" applyAlignment="1">
      <alignment vertical="center"/>
    </xf>
    <xf numFmtId="0" fontId="18" fillId="4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1" fontId="20" fillId="0" borderId="9" xfId="0" applyNumberFormat="1" applyFont="1" applyFill="1" applyBorder="1" applyAlignment="1">
      <alignment horizontal="center" vertical="center" wrapText="1"/>
    </xf>
    <xf numFmtId="44" fontId="24" fillId="0" borderId="9" xfId="4" applyFont="1" applyFill="1" applyBorder="1" applyAlignment="1">
      <alignment vertic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30" fillId="0" borderId="36" xfId="0" applyFont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44" fontId="13" fillId="0" borderId="9" xfId="0" applyNumberFormat="1" applyFont="1" applyFill="1" applyBorder="1" applyAlignment="1">
      <alignment horizontal="center" vertical="center"/>
    </xf>
    <xf numFmtId="44" fontId="14" fillId="0" borderId="38" xfId="0" applyNumberFormat="1" applyFont="1" applyBorder="1" applyAlignment="1">
      <alignment horizontal="center" vertical="center"/>
    </xf>
    <xf numFmtId="44" fontId="14" fillId="0" borderId="56" xfId="0" applyNumberFormat="1" applyFont="1" applyBorder="1" applyAlignment="1">
      <alignment horizontal="center" vertical="center"/>
    </xf>
    <xf numFmtId="44" fontId="14" fillId="0" borderId="57" xfId="0" applyNumberFormat="1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0" fillId="5" borderId="58" xfId="0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/>
    </xf>
    <xf numFmtId="0" fontId="37" fillId="5" borderId="58" xfId="0" applyFont="1" applyFill="1" applyBorder="1" applyAlignment="1">
      <alignment horizontal="left" vertical="center" wrapText="1"/>
    </xf>
    <xf numFmtId="0" fontId="37" fillId="0" borderId="58" xfId="0" applyFont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/>
    </xf>
    <xf numFmtId="0" fontId="37" fillId="5" borderId="58" xfId="0" applyFont="1" applyFill="1" applyBorder="1" applyAlignment="1">
      <alignment horizontal="center" vertical="center"/>
    </xf>
    <xf numFmtId="3" fontId="37" fillId="5" borderId="58" xfId="0" applyNumberFormat="1" applyFont="1" applyFill="1" applyBorder="1" applyAlignment="1">
      <alignment horizontal="center" vertical="center"/>
    </xf>
    <xf numFmtId="166" fontId="37" fillId="5" borderId="58" xfId="0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15" fillId="0" borderId="30" xfId="0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8" fillId="4" borderId="9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29" fillId="4" borderId="9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5" fillId="4" borderId="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 indent="1"/>
    </xf>
    <xf numFmtId="0" fontId="35" fillId="0" borderId="34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11" fillId="0" borderId="52" xfId="0" applyFont="1" applyFill="1" applyBorder="1" applyAlignment="1">
      <alignment horizontal="left" vertical="center" wrapText="1" indent="1"/>
    </xf>
    <xf numFmtId="0" fontId="11" fillId="0" borderId="53" xfId="0" applyFont="1" applyFill="1" applyBorder="1" applyAlignment="1">
      <alignment horizontal="left" vertical="center" wrapText="1" indent="1"/>
    </xf>
    <xf numFmtId="0" fontId="11" fillId="0" borderId="54" xfId="0" applyFont="1" applyFill="1" applyBorder="1" applyAlignment="1">
      <alignment horizontal="left" vertical="center" wrapText="1" indent="1"/>
    </xf>
    <xf numFmtId="0" fontId="11" fillId="0" borderId="55" xfId="0" applyFont="1" applyFill="1" applyBorder="1" applyAlignment="1">
      <alignment horizontal="left" vertical="center" wrapText="1" indent="1"/>
    </xf>
    <xf numFmtId="0" fontId="24" fillId="0" borderId="42" xfId="0" applyFont="1" applyFill="1" applyBorder="1" applyAlignment="1">
      <alignment horizontal="left" vertical="center" wrapText="1"/>
    </xf>
    <xf numFmtId="0" fontId="24" fillId="0" borderId="44" xfId="0" applyFont="1" applyFill="1" applyBorder="1" applyAlignment="1">
      <alignment horizontal="lef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  <xf numFmtId="0" fontId="24" fillId="0" borderId="40" xfId="0" applyFont="1" applyFill="1" applyBorder="1" applyAlignment="1">
      <alignment horizontal="left" vertical="center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39" xfId="0" applyFont="1" applyFill="1" applyBorder="1" applyAlignment="1">
      <alignment horizontal="left" vertical="center" wrapText="1"/>
    </xf>
    <xf numFmtId="0" fontId="24" fillId="0" borderId="46" xfId="0" applyFont="1" applyFill="1" applyBorder="1" applyAlignment="1">
      <alignment horizontal="left" vertical="center" wrapText="1"/>
    </xf>
    <xf numFmtId="0" fontId="11" fillId="0" borderId="16" xfId="0" applyFont="1" applyFill="1" applyBorder="1"/>
    <xf numFmtId="0" fontId="13" fillId="0" borderId="1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indent="1"/>
    </xf>
    <xf numFmtId="0" fontId="12" fillId="0" borderId="6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24" xfId="0" applyFont="1" applyFill="1" applyBorder="1" applyAlignment="1">
      <alignment horizontal="left" vertical="center" wrapText="1" indent="1"/>
    </xf>
    <xf numFmtId="0" fontId="11" fillId="0" borderId="25" xfId="0" applyFont="1" applyFill="1" applyBorder="1" applyAlignment="1">
      <alignment horizontal="left" vertical="center" wrapText="1" indent="1"/>
    </xf>
    <xf numFmtId="0" fontId="0" fillId="0" borderId="13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11" fillId="0" borderId="17" xfId="0" applyFont="1" applyFill="1" applyBorder="1" applyAlignment="1">
      <alignment horizontal="left" vertical="center" wrapText="1" indent="1"/>
    </xf>
    <xf numFmtId="0" fontId="6" fillId="0" borderId="6" xfId="0" applyFont="1" applyFill="1" applyBorder="1" applyAlignment="1">
      <alignment horizontal="center" vertical="center"/>
    </xf>
  </cellXfs>
  <cellStyles count="7">
    <cellStyle name="Encabezado 1" xfId="1"/>
    <cellStyle name="Moneda" xfId="4" builtinId="4"/>
    <cellStyle name="Neutral 1" xfId="2"/>
    <cellStyle name="Normal" xfId="0" builtinId="0"/>
    <cellStyle name="Normal 2" xfId="3"/>
    <cellStyle name="Normal 3" xfId="5"/>
    <cellStyle name="Normal 4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69"/>
  <sheetViews>
    <sheetView tabSelected="1" topLeftCell="A46" zoomScale="90" zoomScaleNormal="90" workbookViewId="0">
      <selection activeCell="A9" sqref="A9:I9"/>
    </sheetView>
  </sheetViews>
  <sheetFormatPr baseColWidth="10" defaultColWidth="11" defaultRowHeight="12.75" x14ac:dyDescent="0.2"/>
  <cols>
    <col min="1" max="1" width="4.5703125" style="29" customWidth="1"/>
    <col min="2" max="2" width="13.140625" style="29" customWidth="1"/>
    <col min="3" max="3" width="35.28515625" style="38" customWidth="1"/>
    <col min="4" max="4" width="8.42578125" style="33" customWidth="1"/>
    <col min="5" max="5" width="85.140625" style="33" customWidth="1"/>
    <col min="6" max="6" width="26" style="38" customWidth="1"/>
    <col min="7" max="7" width="12.7109375" style="38" customWidth="1"/>
    <col min="8" max="8" width="15.42578125" style="33" customWidth="1"/>
    <col min="9" max="9" width="18.5703125" style="33" customWidth="1"/>
    <col min="10" max="10" width="13.140625" style="7" customWidth="1"/>
    <col min="11" max="16384" width="11" style="7"/>
  </cols>
  <sheetData>
    <row r="2" spans="1:9" ht="27.6" customHeight="1" x14ac:dyDescent="0.2">
      <c r="C2" s="92" t="s">
        <v>61</v>
      </c>
      <c r="D2" s="92"/>
      <c r="E2" s="92"/>
      <c r="F2" s="92"/>
      <c r="G2" s="92"/>
      <c r="H2" s="82"/>
    </row>
    <row r="4" spans="1:9" ht="18" customHeight="1" x14ac:dyDescent="0.25">
      <c r="A4" s="103" t="s">
        <v>0</v>
      </c>
      <c r="B4" s="103"/>
      <c r="C4" s="104" t="s">
        <v>49</v>
      </c>
      <c r="D4" s="104"/>
      <c r="E4" s="104"/>
      <c r="F4" s="35"/>
      <c r="G4" s="35"/>
      <c r="H4" s="34"/>
    </row>
    <row r="5" spans="1:9" ht="18" customHeight="1" x14ac:dyDescent="0.25">
      <c r="A5" s="103" t="s">
        <v>1</v>
      </c>
      <c r="B5" s="103"/>
      <c r="C5" s="104" t="s">
        <v>63</v>
      </c>
      <c r="D5" s="104"/>
      <c r="E5" s="104"/>
      <c r="F5" s="35"/>
      <c r="G5" s="35"/>
      <c r="H5" s="34"/>
    </row>
    <row r="6" spans="1:9" ht="16.5" customHeight="1" x14ac:dyDescent="0.25">
      <c r="A6" s="103" t="s">
        <v>2</v>
      </c>
      <c r="B6" s="103"/>
      <c r="C6" s="39" t="s">
        <v>64</v>
      </c>
      <c r="D6" s="36"/>
      <c r="E6" s="37"/>
      <c r="F6" s="35"/>
      <c r="G6" s="35"/>
      <c r="H6" s="34"/>
    </row>
    <row r="7" spans="1:9" ht="16.5" customHeight="1" x14ac:dyDescent="0.25">
      <c r="A7" s="103" t="s">
        <v>3</v>
      </c>
      <c r="B7" s="103"/>
      <c r="C7" s="39" t="s">
        <v>91</v>
      </c>
      <c r="D7" s="36"/>
      <c r="E7" s="37"/>
      <c r="F7" s="35"/>
      <c r="G7" s="35"/>
      <c r="H7" s="34"/>
    </row>
    <row r="8" spans="1:9" ht="13.5" thickBot="1" x14ac:dyDescent="0.25">
      <c r="C8" s="35"/>
      <c r="D8" s="35"/>
      <c r="E8" s="34"/>
      <c r="F8" s="35"/>
      <c r="G8" s="35"/>
      <c r="H8" s="34"/>
    </row>
    <row r="9" spans="1:9" ht="39" thickBot="1" x14ac:dyDescent="0.25">
      <c r="A9" s="58" t="s">
        <v>4</v>
      </c>
      <c r="B9" s="58" t="s">
        <v>53</v>
      </c>
      <c r="C9" s="51" t="s">
        <v>5</v>
      </c>
      <c r="D9" s="51" t="s">
        <v>54</v>
      </c>
      <c r="E9" s="51" t="s">
        <v>6</v>
      </c>
      <c r="F9" s="51" t="s">
        <v>7</v>
      </c>
      <c r="G9" s="51" t="s">
        <v>8</v>
      </c>
      <c r="H9" s="51" t="s">
        <v>9</v>
      </c>
      <c r="I9" s="51" t="s">
        <v>10</v>
      </c>
    </row>
    <row r="10" spans="1:9" ht="25.5" customHeight="1" thickBot="1" x14ac:dyDescent="0.25">
      <c r="A10" s="59">
        <v>1</v>
      </c>
      <c r="B10" s="59"/>
      <c r="C10" s="91" t="s">
        <v>123</v>
      </c>
      <c r="D10" s="60" t="s">
        <v>67</v>
      </c>
      <c r="E10" s="85" t="s">
        <v>112</v>
      </c>
      <c r="F10" s="88" t="s">
        <v>103</v>
      </c>
      <c r="G10" s="89">
        <v>20</v>
      </c>
      <c r="H10" s="90">
        <v>390</v>
      </c>
      <c r="I10" s="61">
        <f t="shared" ref="I10:I50" si="0">G10*H10</f>
        <v>7800</v>
      </c>
    </row>
    <row r="11" spans="1:9" ht="25.5" customHeight="1" thickBot="1" x14ac:dyDescent="0.25">
      <c r="A11" s="59">
        <v>2</v>
      </c>
      <c r="B11" s="59"/>
      <c r="C11" s="91" t="s">
        <v>123</v>
      </c>
      <c r="D11" s="60" t="s">
        <v>67</v>
      </c>
      <c r="E11" s="85" t="s">
        <v>113</v>
      </c>
      <c r="F11" s="88" t="s">
        <v>103</v>
      </c>
      <c r="G11" s="89">
        <v>500</v>
      </c>
      <c r="H11" s="90">
        <v>26</v>
      </c>
      <c r="I11" s="61">
        <f t="shared" si="0"/>
        <v>13000</v>
      </c>
    </row>
    <row r="12" spans="1:9" ht="25.5" customHeight="1" thickBot="1" x14ac:dyDescent="0.25">
      <c r="A12" s="59">
        <v>3</v>
      </c>
      <c r="B12" s="59"/>
      <c r="C12" s="91" t="s">
        <v>123</v>
      </c>
      <c r="D12" s="60" t="s">
        <v>67</v>
      </c>
      <c r="E12" s="85" t="s">
        <v>114</v>
      </c>
      <c r="F12" s="88" t="s">
        <v>103</v>
      </c>
      <c r="G12" s="89">
        <v>30</v>
      </c>
      <c r="H12" s="90">
        <v>131</v>
      </c>
      <c r="I12" s="61">
        <f t="shared" si="0"/>
        <v>3930</v>
      </c>
    </row>
    <row r="13" spans="1:9" ht="25.5" customHeight="1" thickBot="1" x14ac:dyDescent="0.25">
      <c r="A13" s="59">
        <v>4</v>
      </c>
      <c r="B13" s="59"/>
      <c r="C13" s="91" t="s">
        <v>101</v>
      </c>
      <c r="D13" s="60" t="s">
        <v>67</v>
      </c>
      <c r="E13" s="84" t="s">
        <v>72</v>
      </c>
      <c r="F13" s="88" t="s">
        <v>88</v>
      </c>
      <c r="G13" s="89">
        <v>10</v>
      </c>
      <c r="H13" s="90">
        <v>735.9</v>
      </c>
      <c r="I13" s="61">
        <f t="shared" si="0"/>
        <v>7359</v>
      </c>
    </row>
    <row r="14" spans="1:9" ht="25.5" customHeight="1" thickBot="1" x14ac:dyDescent="0.25">
      <c r="A14" s="59">
        <v>5</v>
      </c>
      <c r="B14" s="59"/>
      <c r="C14" s="91" t="s">
        <v>111</v>
      </c>
      <c r="D14" s="60" t="s">
        <v>67</v>
      </c>
      <c r="E14" s="85" t="s">
        <v>102</v>
      </c>
      <c r="F14" s="88" t="s">
        <v>103</v>
      </c>
      <c r="G14" s="89">
        <v>200</v>
      </c>
      <c r="H14" s="90">
        <v>8725</v>
      </c>
      <c r="I14" s="61">
        <f t="shared" si="0"/>
        <v>1745000</v>
      </c>
    </row>
    <row r="15" spans="1:9" ht="25.5" customHeight="1" thickBot="1" x14ac:dyDescent="0.25">
      <c r="A15" s="59">
        <v>6</v>
      </c>
      <c r="B15" s="59"/>
      <c r="C15" s="91" t="s">
        <v>123</v>
      </c>
      <c r="D15" s="60" t="s">
        <v>67</v>
      </c>
      <c r="E15" s="85" t="s">
        <v>115</v>
      </c>
      <c r="F15" s="88" t="s">
        <v>103</v>
      </c>
      <c r="G15" s="89">
        <v>20</v>
      </c>
      <c r="H15" s="90">
        <v>1252</v>
      </c>
      <c r="I15" s="61">
        <f t="shared" si="0"/>
        <v>25040</v>
      </c>
    </row>
    <row r="16" spans="1:9" ht="25.5" customHeight="1" thickBot="1" x14ac:dyDescent="0.25">
      <c r="A16" s="59">
        <v>7</v>
      </c>
      <c r="B16" s="59"/>
      <c r="C16" s="91" t="s">
        <v>130</v>
      </c>
      <c r="D16" s="60" t="s">
        <v>67</v>
      </c>
      <c r="E16" s="85" t="s">
        <v>124</v>
      </c>
      <c r="F16" s="88" t="s">
        <v>125</v>
      </c>
      <c r="G16" s="89">
        <v>10</v>
      </c>
      <c r="H16" s="90">
        <v>260</v>
      </c>
      <c r="I16" s="61">
        <f t="shared" si="0"/>
        <v>2600</v>
      </c>
    </row>
    <row r="17" spans="1:9" ht="25.5" customHeight="1" thickBot="1" x14ac:dyDescent="0.25">
      <c r="A17" s="59">
        <v>8</v>
      </c>
      <c r="B17" s="59"/>
      <c r="C17" s="91" t="s">
        <v>111</v>
      </c>
      <c r="D17" s="60" t="s">
        <v>67</v>
      </c>
      <c r="E17" s="85" t="s">
        <v>104</v>
      </c>
      <c r="F17" s="88" t="s">
        <v>103</v>
      </c>
      <c r="G17" s="89">
        <v>50</v>
      </c>
      <c r="H17" s="90">
        <v>1720</v>
      </c>
      <c r="I17" s="61">
        <f t="shared" si="0"/>
        <v>86000</v>
      </c>
    </row>
    <row r="18" spans="1:9" ht="25.5" customHeight="1" thickBot="1" x14ac:dyDescent="0.25">
      <c r="A18" s="59">
        <v>9</v>
      </c>
      <c r="B18" s="59"/>
      <c r="C18" s="91" t="s">
        <v>123</v>
      </c>
      <c r="D18" s="60" t="s">
        <v>67</v>
      </c>
      <c r="E18" s="85" t="s">
        <v>116</v>
      </c>
      <c r="F18" s="88" t="s">
        <v>103</v>
      </c>
      <c r="G18" s="89">
        <v>100</v>
      </c>
      <c r="H18" s="90">
        <v>9.8000000000000007</v>
      </c>
      <c r="I18" s="61">
        <f t="shared" si="0"/>
        <v>980.00000000000011</v>
      </c>
    </row>
    <row r="19" spans="1:9" ht="25.5" customHeight="1" thickBot="1" x14ac:dyDescent="0.25">
      <c r="A19" s="59">
        <v>10</v>
      </c>
      <c r="B19" s="59"/>
      <c r="C19" s="91" t="s">
        <v>123</v>
      </c>
      <c r="D19" s="60" t="s">
        <v>67</v>
      </c>
      <c r="E19" s="85" t="s">
        <v>117</v>
      </c>
      <c r="F19" s="88" t="s">
        <v>103</v>
      </c>
      <c r="G19" s="89">
        <v>100</v>
      </c>
      <c r="H19" s="90">
        <v>4.9000000000000004</v>
      </c>
      <c r="I19" s="61">
        <f t="shared" si="0"/>
        <v>490.00000000000006</v>
      </c>
    </row>
    <row r="20" spans="1:9" ht="25.5" customHeight="1" thickBot="1" x14ac:dyDescent="0.25">
      <c r="A20" s="59">
        <v>11</v>
      </c>
      <c r="B20" s="59"/>
      <c r="C20" s="91" t="s">
        <v>101</v>
      </c>
      <c r="D20" s="60" t="s">
        <v>67</v>
      </c>
      <c r="E20" s="87" t="s">
        <v>83</v>
      </c>
      <c r="F20" s="88" t="s">
        <v>89</v>
      </c>
      <c r="G20" s="89">
        <v>1000</v>
      </c>
      <c r="H20" s="90">
        <v>120</v>
      </c>
      <c r="I20" s="61">
        <f t="shared" si="0"/>
        <v>120000</v>
      </c>
    </row>
    <row r="21" spans="1:9" ht="25.5" customHeight="1" thickBot="1" x14ac:dyDescent="0.25">
      <c r="A21" s="59">
        <v>12</v>
      </c>
      <c r="B21" s="59"/>
      <c r="C21" s="91" t="s">
        <v>101</v>
      </c>
      <c r="D21" s="60" t="s">
        <v>67</v>
      </c>
      <c r="E21" s="85" t="s">
        <v>73</v>
      </c>
      <c r="F21" s="88" t="s">
        <v>89</v>
      </c>
      <c r="G21" s="89">
        <v>360</v>
      </c>
      <c r="H21" s="90">
        <v>98</v>
      </c>
      <c r="I21" s="61">
        <f t="shared" si="0"/>
        <v>35280</v>
      </c>
    </row>
    <row r="22" spans="1:9" ht="25.5" customHeight="1" thickBot="1" x14ac:dyDescent="0.25">
      <c r="A22" s="59">
        <v>13</v>
      </c>
      <c r="B22" s="59"/>
      <c r="C22" s="91" t="s">
        <v>130</v>
      </c>
      <c r="D22" s="60" t="s">
        <v>67</v>
      </c>
      <c r="E22" s="85" t="s">
        <v>126</v>
      </c>
      <c r="F22" s="88" t="s">
        <v>125</v>
      </c>
      <c r="G22" s="89">
        <v>10</v>
      </c>
      <c r="H22" s="90">
        <v>250</v>
      </c>
      <c r="I22" s="61">
        <f t="shared" si="0"/>
        <v>2500</v>
      </c>
    </row>
    <row r="23" spans="1:9" ht="25.5" customHeight="1" thickBot="1" x14ac:dyDescent="0.25">
      <c r="A23" s="59">
        <v>14</v>
      </c>
      <c r="B23" s="59"/>
      <c r="C23" s="91" t="s">
        <v>101</v>
      </c>
      <c r="D23" s="60" t="s">
        <v>67</v>
      </c>
      <c r="E23" s="85" t="s">
        <v>84</v>
      </c>
      <c r="F23" s="88" t="s">
        <v>89</v>
      </c>
      <c r="G23" s="89">
        <v>200</v>
      </c>
      <c r="H23" s="90">
        <v>165</v>
      </c>
      <c r="I23" s="61">
        <f t="shared" si="0"/>
        <v>33000</v>
      </c>
    </row>
    <row r="24" spans="1:9" ht="25.5" customHeight="1" thickBot="1" x14ac:dyDescent="0.25">
      <c r="A24" s="59">
        <v>15</v>
      </c>
      <c r="B24" s="59"/>
      <c r="C24" s="91" t="s">
        <v>101</v>
      </c>
      <c r="D24" s="60" t="s">
        <v>67</v>
      </c>
      <c r="E24" s="83" t="s">
        <v>85</v>
      </c>
      <c r="F24" s="88" t="s">
        <v>88</v>
      </c>
      <c r="G24" s="89">
        <v>300</v>
      </c>
      <c r="H24" s="90">
        <v>1250</v>
      </c>
      <c r="I24" s="61">
        <f t="shared" si="0"/>
        <v>375000</v>
      </c>
    </row>
    <row r="25" spans="1:9" ht="25.5" customHeight="1" thickBot="1" x14ac:dyDescent="0.25">
      <c r="A25" s="59">
        <v>16</v>
      </c>
      <c r="B25" s="59"/>
      <c r="C25" s="91" t="s">
        <v>101</v>
      </c>
      <c r="D25" s="60" t="s">
        <v>67</v>
      </c>
      <c r="E25" s="85" t="s">
        <v>74</v>
      </c>
      <c r="F25" s="88" t="s">
        <v>89</v>
      </c>
      <c r="G25" s="89">
        <v>200</v>
      </c>
      <c r="H25" s="90">
        <v>698</v>
      </c>
      <c r="I25" s="61">
        <f t="shared" si="0"/>
        <v>139600</v>
      </c>
    </row>
    <row r="26" spans="1:9" ht="25.5" customHeight="1" thickBot="1" x14ac:dyDescent="0.25">
      <c r="A26" s="59">
        <v>17</v>
      </c>
      <c r="B26" s="59"/>
      <c r="C26" s="91" t="s">
        <v>101</v>
      </c>
      <c r="D26" s="60" t="s">
        <v>67</v>
      </c>
      <c r="E26" s="84" t="s">
        <v>75</v>
      </c>
      <c r="F26" s="88" t="s">
        <v>89</v>
      </c>
      <c r="G26" s="89">
        <v>700</v>
      </c>
      <c r="H26" s="90">
        <v>390</v>
      </c>
      <c r="I26" s="61">
        <f t="shared" si="0"/>
        <v>273000</v>
      </c>
    </row>
    <row r="27" spans="1:9" ht="25.5" customHeight="1" thickBot="1" x14ac:dyDescent="0.25">
      <c r="A27" s="59">
        <v>18</v>
      </c>
      <c r="B27" s="59"/>
      <c r="C27" s="91" t="s">
        <v>94</v>
      </c>
      <c r="D27" s="60" t="s">
        <v>67</v>
      </c>
      <c r="E27" s="84" t="s">
        <v>95</v>
      </c>
      <c r="F27" s="88" t="s">
        <v>89</v>
      </c>
      <c r="G27" s="89">
        <v>30</v>
      </c>
      <c r="H27" s="90">
        <v>156</v>
      </c>
      <c r="I27" s="61">
        <f t="shared" si="0"/>
        <v>4680</v>
      </c>
    </row>
    <row r="28" spans="1:9" ht="25.5" customHeight="1" thickBot="1" x14ac:dyDescent="0.25">
      <c r="A28" s="59">
        <v>19</v>
      </c>
      <c r="B28" s="59"/>
      <c r="C28" s="91" t="s">
        <v>123</v>
      </c>
      <c r="D28" s="60" t="s">
        <v>67</v>
      </c>
      <c r="E28" s="85" t="s">
        <v>118</v>
      </c>
      <c r="F28" s="88" t="s">
        <v>103</v>
      </c>
      <c r="G28" s="89">
        <v>200</v>
      </c>
      <c r="H28" s="90">
        <v>31</v>
      </c>
      <c r="I28" s="61">
        <f t="shared" si="0"/>
        <v>6200</v>
      </c>
    </row>
    <row r="29" spans="1:9" ht="25.5" customHeight="1" thickBot="1" x14ac:dyDescent="0.25">
      <c r="A29" s="59">
        <v>20</v>
      </c>
      <c r="B29" s="59"/>
      <c r="C29" s="91" t="s">
        <v>123</v>
      </c>
      <c r="D29" s="60" t="s">
        <v>67</v>
      </c>
      <c r="E29" s="85" t="s">
        <v>119</v>
      </c>
      <c r="F29" s="88" t="s">
        <v>120</v>
      </c>
      <c r="G29" s="89">
        <v>30</v>
      </c>
      <c r="H29" s="90">
        <v>2900</v>
      </c>
      <c r="I29" s="61">
        <f t="shared" si="0"/>
        <v>87000</v>
      </c>
    </row>
    <row r="30" spans="1:9" ht="25.5" customHeight="1" thickBot="1" x14ac:dyDescent="0.25">
      <c r="A30" s="59">
        <v>21</v>
      </c>
      <c r="B30" s="59"/>
      <c r="C30" s="91" t="s">
        <v>130</v>
      </c>
      <c r="D30" s="60" t="s">
        <v>67</v>
      </c>
      <c r="E30" s="85" t="s">
        <v>127</v>
      </c>
      <c r="F30" s="88" t="s">
        <v>128</v>
      </c>
      <c r="G30" s="89">
        <v>30</v>
      </c>
      <c r="H30" s="90">
        <v>1385</v>
      </c>
      <c r="I30" s="61">
        <f t="shared" si="0"/>
        <v>41550</v>
      </c>
    </row>
    <row r="31" spans="1:9" ht="25.5" customHeight="1" thickBot="1" x14ac:dyDescent="0.25">
      <c r="A31" s="59">
        <v>22</v>
      </c>
      <c r="B31" s="59"/>
      <c r="C31" s="91" t="s">
        <v>130</v>
      </c>
      <c r="D31" s="60" t="s">
        <v>67</v>
      </c>
      <c r="E31" s="84" t="s">
        <v>129</v>
      </c>
      <c r="F31" s="88" t="s">
        <v>128</v>
      </c>
      <c r="G31" s="89">
        <v>10</v>
      </c>
      <c r="H31" s="90">
        <v>1395</v>
      </c>
      <c r="I31" s="61">
        <f t="shared" si="0"/>
        <v>13950</v>
      </c>
    </row>
    <row r="32" spans="1:9" ht="25.5" customHeight="1" thickBot="1" x14ac:dyDescent="0.25">
      <c r="A32" s="59">
        <v>23</v>
      </c>
      <c r="B32" s="59"/>
      <c r="C32" s="91" t="s">
        <v>101</v>
      </c>
      <c r="D32" s="60" t="s">
        <v>67</v>
      </c>
      <c r="E32" s="85" t="s">
        <v>76</v>
      </c>
      <c r="F32" s="88" t="s">
        <v>89</v>
      </c>
      <c r="G32" s="89">
        <v>20</v>
      </c>
      <c r="H32" s="90">
        <v>2400</v>
      </c>
      <c r="I32" s="61">
        <f t="shared" si="0"/>
        <v>48000</v>
      </c>
    </row>
    <row r="33" spans="1:9" ht="25.5" customHeight="1" thickBot="1" x14ac:dyDescent="0.25">
      <c r="A33" s="59">
        <v>24</v>
      </c>
      <c r="B33" s="59"/>
      <c r="C33" s="91" t="s">
        <v>101</v>
      </c>
      <c r="D33" s="60" t="s">
        <v>67</v>
      </c>
      <c r="E33" s="85" t="s">
        <v>77</v>
      </c>
      <c r="F33" s="88" t="s">
        <v>89</v>
      </c>
      <c r="G33" s="89">
        <v>100</v>
      </c>
      <c r="H33" s="90">
        <v>390</v>
      </c>
      <c r="I33" s="61">
        <f t="shared" si="0"/>
        <v>39000</v>
      </c>
    </row>
    <row r="34" spans="1:9" ht="25.5" customHeight="1" thickBot="1" x14ac:dyDescent="0.25">
      <c r="A34" s="59">
        <v>25</v>
      </c>
      <c r="B34" s="59"/>
      <c r="C34" s="91" t="s">
        <v>123</v>
      </c>
      <c r="D34" s="60" t="s">
        <v>67</v>
      </c>
      <c r="E34" s="85" t="s">
        <v>121</v>
      </c>
      <c r="F34" s="88" t="s">
        <v>103</v>
      </c>
      <c r="G34" s="89">
        <v>1000</v>
      </c>
      <c r="H34" s="90">
        <v>28</v>
      </c>
      <c r="I34" s="61">
        <f t="shared" si="0"/>
        <v>28000</v>
      </c>
    </row>
    <row r="35" spans="1:9" ht="25.5" customHeight="1" thickBot="1" x14ac:dyDescent="0.25">
      <c r="A35" s="59">
        <v>26</v>
      </c>
      <c r="B35" s="59"/>
      <c r="C35" s="91" t="s">
        <v>101</v>
      </c>
      <c r="D35" s="60" t="s">
        <v>67</v>
      </c>
      <c r="E35" s="85" t="s">
        <v>78</v>
      </c>
      <c r="F35" s="88" t="s">
        <v>89</v>
      </c>
      <c r="G35" s="89">
        <v>400</v>
      </c>
      <c r="H35" s="90">
        <v>445</v>
      </c>
      <c r="I35" s="61">
        <f t="shared" si="0"/>
        <v>178000</v>
      </c>
    </row>
    <row r="36" spans="1:9" ht="25.5" customHeight="1" thickBot="1" x14ac:dyDescent="0.25">
      <c r="A36" s="59">
        <v>27</v>
      </c>
      <c r="B36" s="59"/>
      <c r="C36" s="91" t="s">
        <v>94</v>
      </c>
      <c r="D36" s="60" t="s">
        <v>67</v>
      </c>
      <c r="E36" s="84" t="s">
        <v>96</v>
      </c>
      <c r="F36" s="88" t="s">
        <v>89</v>
      </c>
      <c r="G36" s="89">
        <v>30</v>
      </c>
      <c r="H36" s="90">
        <v>125</v>
      </c>
      <c r="I36" s="61">
        <f t="shared" si="0"/>
        <v>3750</v>
      </c>
    </row>
    <row r="37" spans="1:9" ht="25.5" customHeight="1" thickBot="1" x14ac:dyDescent="0.25">
      <c r="A37" s="59">
        <v>28</v>
      </c>
      <c r="B37" s="59"/>
      <c r="C37" s="91" t="s">
        <v>101</v>
      </c>
      <c r="D37" s="60" t="s">
        <v>67</v>
      </c>
      <c r="E37" s="85" t="s">
        <v>86</v>
      </c>
      <c r="F37" s="88" t="s">
        <v>89</v>
      </c>
      <c r="G37" s="89">
        <v>300</v>
      </c>
      <c r="H37" s="90">
        <v>245</v>
      </c>
      <c r="I37" s="61">
        <f t="shared" si="0"/>
        <v>73500</v>
      </c>
    </row>
    <row r="38" spans="1:9" ht="25.5" customHeight="1" thickBot="1" x14ac:dyDescent="0.25">
      <c r="A38" s="59">
        <v>29</v>
      </c>
      <c r="B38" s="59"/>
      <c r="C38" s="91" t="s">
        <v>101</v>
      </c>
      <c r="D38" s="60" t="s">
        <v>67</v>
      </c>
      <c r="E38" s="85" t="s">
        <v>80</v>
      </c>
      <c r="F38" s="88" t="s">
        <v>89</v>
      </c>
      <c r="G38" s="89">
        <v>100</v>
      </c>
      <c r="H38" s="90">
        <v>990</v>
      </c>
      <c r="I38" s="61">
        <f t="shared" si="0"/>
        <v>99000</v>
      </c>
    </row>
    <row r="39" spans="1:9" ht="25.5" customHeight="1" thickBot="1" x14ac:dyDescent="0.25">
      <c r="A39" s="59">
        <v>30</v>
      </c>
      <c r="B39" s="59"/>
      <c r="C39" s="91" t="s">
        <v>94</v>
      </c>
      <c r="D39" s="60" t="s">
        <v>67</v>
      </c>
      <c r="E39" s="86" t="s">
        <v>97</v>
      </c>
      <c r="F39" s="88" t="s">
        <v>90</v>
      </c>
      <c r="G39" s="89">
        <v>30</v>
      </c>
      <c r="H39" s="90">
        <v>558.6</v>
      </c>
      <c r="I39" s="61">
        <f t="shared" si="0"/>
        <v>16758</v>
      </c>
    </row>
    <row r="40" spans="1:9" ht="25.5" customHeight="1" thickBot="1" x14ac:dyDescent="0.25">
      <c r="A40" s="59">
        <v>31</v>
      </c>
      <c r="B40" s="59"/>
      <c r="C40" s="91" t="s">
        <v>94</v>
      </c>
      <c r="D40" s="60" t="s">
        <v>67</v>
      </c>
      <c r="E40" s="85" t="s">
        <v>98</v>
      </c>
      <c r="F40" s="88" t="s">
        <v>89</v>
      </c>
      <c r="G40" s="89">
        <v>5</v>
      </c>
      <c r="H40" s="90">
        <v>1200</v>
      </c>
      <c r="I40" s="61">
        <f t="shared" si="0"/>
        <v>6000</v>
      </c>
    </row>
    <row r="41" spans="1:9" ht="25.5" customHeight="1" thickBot="1" x14ac:dyDescent="0.25">
      <c r="A41" s="59">
        <v>32</v>
      </c>
      <c r="B41" s="59"/>
      <c r="C41" s="91" t="s">
        <v>101</v>
      </c>
      <c r="D41" s="60" t="s">
        <v>67</v>
      </c>
      <c r="E41" s="85" t="s">
        <v>87</v>
      </c>
      <c r="F41" s="88" t="s">
        <v>90</v>
      </c>
      <c r="G41" s="89">
        <v>30</v>
      </c>
      <c r="H41" s="90">
        <v>55</v>
      </c>
      <c r="I41" s="61">
        <f t="shared" si="0"/>
        <v>1650</v>
      </c>
    </row>
    <row r="42" spans="1:9" ht="25.5" customHeight="1" thickBot="1" x14ac:dyDescent="0.25">
      <c r="A42" s="59">
        <v>33</v>
      </c>
      <c r="B42" s="59"/>
      <c r="C42" s="91" t="s">
        <v>111</v>
      </c>
      <c r="D42" s="60" t="s">
        <v>67</v>
      </c>
      <c r="E42" s="85" t="s">
        <v>105</v>
      </c>
      <c r="F42" s="88" t="s">
        <v>103</v>
      </c>
      <c r="G42" s="89">
        <v>1000</v>
      </c>
      <c r="H42" s="90">
        <v>119</v>
      </c>
      <c r="I42" s="61">
        <f t="shared" si="0"/>
        <v>119000</v>
      </c>
    </row>
    <row r="43" spans="1:9" ht="25.5" customHeight="1" thickBot="1" x14ac:dyDescent="0.25">
      <c r="A43" s="59">
        <v>34</v>
      </c>
      <c r="B43" s="59"/>
      <c r="C43" s="91" t="s">
        <v>111</v>
      </c>
      <c r="D43" s="60" t="s">
        <v>67</v>
      </c>
      <c r="E43" s="85" t="s">
        <v>106</v>
      </c>
      <c r="F43" s="88" t="s">
        <v>103</v>
      </c>
      <c r="G43" s="89">
        <v>1500</v>
      </c>
      <c r="H43" s="90">
        <v>86</v>
      </c>
      <c r="I43" s="61">
        <f t="shared" si="0"/>
        <v>129000</v>
      </c>
    </row>
    <row r="44" spans="1:9" ht="25.5" customHeight="1" thickBot="1" x14ac:dyDescent="0.25">
      <c r="A44" s="59">
        <v>35</v>
      </c>
      <c r="B44" s="59"/>
      <c r="C44" s="91" t="s">
        <v>111</v>
      </c>
      <c r="D44" s="60" t="s">
        <v>67</v>
      </c>
      <c r="E44" s="85" t="s">
        <v>107</v>
      </c>
      <c r="F44" s="88" t="s">
        <v>103</v>
      </c>
      <c r="G44" s="89">
        <v>1200</v>
      </c>
      <c r="H44" s="90">
        <v>80</v>
      </c>
      <c r="I44" s="61">
        <f t="shared" si="0"/>
        <v>96000</v>
      </c>
    </row>
    <row r="45" spans="1:9" ht="25.5" customHeight="1" thickBot="1" x14ac:dyDescent="0.25">
      <c r="A45" s="59">
        <v>36</v>
      </c>
      <c r="B45" s="59"/>
      <c r="C45" s="91" t="s">
        <v>111</v>
      </c>
      <c r="D45" s="60" t="s">
        <v>67</v>
      </c>
      <c r="E45" s="85" t="s">
        <v>108</v>
      </c>
      <c r="F45" s="88" t="s">
        <v>103</v>
      </c>
      <c r="G45" s="89">
        <v>1500</v>
      </c>
      <c r="H45" s="90">
        <v>62</v>
      </c>
      <c r="I45" s="61">
        <f t="shared" si="0"/>
        <v>93000</v>
      </c>
    </row>
    <row r="46" spans="1:9" ht="25.5" customHeight="1" thickBot="1" x14ac:dyDescent="0.25">
      <c r="A46" s="59">
        <v>37</v>
      </c>
      <c r="B46" s="59"/>
      <c r="C46" s="91" t="s">
        <v>111</v>
      </c>
      <c r="D46" s="60" t="s">
        <v>67</v>
      </c>
      <c r="E46" s="85" t="s">
        <v>109</v>
      </c>
      <c r="F46" s="88" t="s">
        <v>103</v>
      </c>
      <c r="G46" s="89">
        <v>20</v>
      </c>
      <c r="H46" s="90">
        <v>286</v>
      </c>
      <c r="I46" s="61">
        <f t="shared" si="0"/>
        <v>5720</v>
      </c>
    </row>
    <row r="47" spans="1:9" ht="25.5" customHeight="1" thickBot="1" x14ac:dyDescent="0.25">
      <c r="A47" s="59">
        <v>38</v>
      </c>
      <c r="B47" s="59"/>
      <c r="C47" s="91" t="s">
        <v>94</v>
      </c>
      <c r="D47" s="60" t="s">
        <v>67</v>
      </c>
      <c r="E47" s="84" t="s">
        <v>99</v>
      </c>
      <c r="F47" s="88" t="s">
        <v>90</v>
      </c>
      <c r="G47" s="89">
        <v>40</v>
      </c>
      <c r="H47" s="90">
        <v>155</v>
      </c>
      <c r="I47" s="61">
        <f t="shared" si="0"/>
        <v>6200</v>
      </c>
    </row>
    <row r="48" spans="1:9" ht="25.5" customHeight="1" thickBot="1" x14ac:dyDescent="0.25">
      <c r="A48" s="59">
        <v>39</v>
      </c>
      <c r="B48" s="59"/>
      <c r="C48" s="91" t="s">
        <v>111</v>
      </c>
      <c r="D48" s="60" t="s">
        <v>67</v>
      </c>
      <c r="E48" s="85" t="s">
        <v>110</v>
      </c>
      <c r="F48" s="88" t="s">
        <v>103</v>
      </c>
      <c r="G48" s="89">
        <v>12</v>
      </c>
      <c r="H48" s="90">
        <v>1500</v>
      </c>
      <c r="I48" s="61">
        <f t="shared" si="0"/>
        <v>18000</v>
      </c>
    </row>
    <row r="49" spans="1:9" ht="25.5" customHeight="1" thickBot="1" x14ac:dyDescent="0.25">
      <c r="A49" s="59">
        <v>40</v>
      </c>
      <c r="B49" s="59"/>
      <c r="C49" s="91" t="s">
        <v>94</v>
      </c>
      <c r="D49" s="60" t="s">
        <v>67</v>
      </c>
      <c r="E49" s="85" t="s">
        <v>100</v>
      </c>
      <c r="F49" s="88" t="s">
        <v>90</v>
      </c>
      <c r="G49" s="89">
        <v>45</v>
      </c>
      <c r="H49" s="90">
        <v>361</v>
      </c>
      <c r="I49" s="61">
        <f t="shared" si="0"/>
        <v>16245</v>
      </c>
    </row>
    <row r="50" spans="1:9" ht="25.5" customHeight="1" thickBot="1" x14ac:dyDescent="0.25">
      <c r="A50" s="59">
        <v>41</v>
      </c>
      <c r="B50" s="59"/>
      <c r="C50" s="91" t="s">
        <v>123</v>
      </c>
      <c r="D50" s="60" t="s">
        <v>67</v>
      </c>
      <c r="E50" s="85" t="s">
        <v>122</v>
      </c>
      <c r="F50" s="88" t="s">
        <v>103</v>
      </c>
      <c r="G50" s="89">
        <v>2000</v>
      </c>
      <c r="H50" s="90">
        <v>35</v>
      </c>
      <c r="I50" s="61">
        <f t="shared" si="0"/>
        <v>70000</v>
      </c>
    </row>
    <row r="52" spans="1:9" ht="13.5" thickBot="1" x14ac:dyDescent="0.25"/>
    <row r="53" spans="1:9" x14ac:dyDescent="0.2">
      <c r="C53" s="42" t="s">
        <v>131</v>
      </c>
      <c r="D53" s="40"/>
      <c r="E53" s="40"/>
      <c r="F53" s="49"/>
    </row>
    <row r="54" spans="1:9" x14ac:dyDescent="0.2">
      <c r="C54" s="43"/>
      <c r="D54" s="62"/>
      <c r="E54" s="62"/>
      <c r="F54" s="48"/>
    </row>
    <row r="55" spans="1:9" ht="24.6" customHeight="1" thickBot="1" x14ac:dyDescent="0.25">
      <c r="C55" s="64" t="s">
        <v>55</v>
      </c>
      <c r="D55" s="99"/>
      <c r="E55" s="99"/>
      <c r="F55" s="100"/>
    </row>
    <row r="56" spans="1:9" ht="19.5" customHeight="1" x14ac:dyDescent="0.2">
      <c r="C56" s="42"/>
      <c r="D56" s="101"/>
      <c r="E56" s="101"/>
      <c r="F56" s="102"/>
    </row>
    <row r="57" spans="1:9" x14ac:dyDescent="0.2">
      <c r="C57" s="45"/>
      <c r="D57" s="97"/>
      <c r="E57" s="97"/>
      <c r="F57" s="98"/>
    </row>
    <row r="58" spans="1:9" x14ac:dyDescent="0.2">
      <c r="C58" s="44" t="s">
        <v>56</v>
      </c>
      <c r="D58" s="95" t="s">
        <v>82</v>
      </c>
      <c r="E58" s="95"/>
      <c r="F58" s="96"/>
    </row>
    <row r="59" spans="1:9" x14ac:dyDescent="0.2">
      <c r="C59" s="45"/>
      <c r="D59" s="62"/>
      <c r="E59" s="63"/>
      <c r="F59" s="48"/>
    </row>
    <row r="60" spans="1:9" x14ac:dyDescent="0.2">
      <c r="C60" s="44" t="s">
        <v>57</v>
      </c>
      <c r="D60" s="95" t="s">
        <v>65</v>
      </c>
      <c r="E60" s="95"/>
      <c r="F60" s="96"/>
    </row>
    <row r="61" spans="1:9" x14ac:dyDescent="0.2">
      <c r="C61" s="46"/>
      <c r="D61" s="95" t="s">
        <v>66</v>
      </c>
      <c r="E61" s="95"/>
      <c r="F61" s="96"/>
    </row>
    <row r="62" spans="1:9" x14ac:dyDescent="0.2">
      <c r="C62" s="46"/>
      <c r="D62" s="63"/>
      <c r="E62" s="63"/>
      <c r="F62" s="48"/>
    </row>
    <row r="63" spans="1:9" x14ac:dyDescent="0.2">
      <c r="C63" s="44" t="s">
        <v>58</v>
      </c>
      <c r="D63" s="62"/>
      <c r="E63" s="62"/>
      <c r="F63" s="48"/>
    </row>
    <row r="64" spans="1:9" x14ac:dyDescent="0.2">
      <c r="C64" s="43"/>
      <c r="D64" s="93"/>
      <c r="E64" s="93"/>
      <c r="F64" s="94"/>
    </row>
    <row r="65" spans="3:6" x14ac:dyDescent="0.2">
      <c r="C65" s="44" t="s">
        <v>59</v>
      </c>
      <c r="D65" s="93" t="s">
        <v>81</v>
      </c>
      <c r="E65" s="93"/>
      <c r="F65" s="94"/>
    </row>
    <row r="66" spans="3:6" x14ac:dyDescent="0.2">
      <c r="C66" s="43"/>
      <c r="D66" s="93"/>
      <c r="E66" s="93"/>
      <c r="F66" s="94"/>
    </row>
    <row r="67" spans="3:6" x14ac:dyDescent="0.2">
      <c r="C67" s="44" t="s">
        <v>60</v>
      </c>
      <c r="D67" s="62"/>
      <c r="E67" s="62"/>
      <c r="F67" s="48"/>
    </row>
    <row r="68" spans="3:6" x14ac:dyDescent="0.2">
      <c r="C68" s="45"/>
      <c r="D68" s="95"/>
      <c r="E68" s="95"/>
      <c r="F68" s="96"/>
    </row>
    <row r="69" spans="3:6" ht="13.5" thickBot="1" x14ac:dyDescent="0.25">
      <c r="C69" s="47"/>
      <c r="D69" s="41"/>
      <c r="E69" s="41"/>
      <c r="F69" s="50"/>
    </row>
  </sheetData>
  <mergeCells count="17">
    <mergeCell ref="A6:B6"/>
    <mergeCell ref="A7:B7"/>
    <mergeCell ref="A4:B4"/>
    <mergeCell ref="C4:E4"/>
    <mergeCell ref="A5:B5"/>
    <mergeCell ref="C5:E5"/>
    <mergeCell ref="C2:G2"/>
    <mergeCell ref="D66:F66"/>
    <mergeCell ref="D68:F68"/>
    <mergeCell ref="D57:F57"/>
    <mergeCell ref="D58:F58"/>
    <mergeCell ref="D60:F60"/>
    <mergeCell ref="D61:F61"/>
    <mergeCell ref="D64:F64"/>
    <mergeCell ref="D65:F65"/>
    <mergeCell ref="D55:F55"/>
    <mergeCell ref="D56:F56"/>
  </mergeCells>
  <phoneticPr fontId="31" type="noConversion"/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57"/>
  <sheetViews>
    <sheetView topLeftCell="A43" zoomScale="90" zoomScaleNormal="90" workbookViewId="0">
      <selection activeCell="I1" sqref="I1"/>
    </sheetView>
  </sheetViews>
  <sheetFormatPr baseColWidth="10" defaultColWidth="9.140625" defaultRowHeight="12.75" x14ac:dyDescent="0.2"/>
  <cols>
    <col min="1" max="1" width="6.42578125" style="24" customWidth="1"/>
    <col min="2" max="2" width="17.5703125" style="24" customWidth="1"/>
    <col min="3" max="3" width="14.140625" style="24" customWidth="1"/>
    <col min="4" max="4" width="48.140625" style="24" customWidth="1"/>
    <col min="5" max="5" width="29.140625" style="24" customWidth="1"/>
    <col min="6" max="6" width="12.42578125" style="24" customWidth="1"/>
    <col min="7" max="7" width="15.5703125" style="24" customWidth="1"/>
    <col min="8" max="8" width="14.7109375" style="24" customWidth="1"/>
    <col min="9" max="9" width="19.28515625" style="24" bestFit="1" customWidth="1"/>
    <col min="10" max="10" width="28.7109375" style="2" customWidth="1"/>
    <col min="11" max="1000" width="9.140625" style="2"/>
  </cols>
  <sheetData>
    <row r="1" spans="1:10" ht="18" customHeight="1" thickBot="1" x14ac:dyDescent="0.25">
      <c r="A1" s="118" t="s">
        <v>11</v>
      </c>
      <c r="B1" s="118"/>
      <c r="C1" s="118"/>
      <c r="D1" s="118"/>
      <c r="E1" s="118"/>
      <c r="F1" s="118"/>
      <c r="G1" s="118"/>
      <c r="H1" s="19" t="s">
        <v>12</v>
      </c>
      <c r="I1" s="167" t="s">
        <v>92</v>
      </c>
    </row>
    <row r="2" spans="1:10" ht="18.75" customHeight="1" thickBot="1" x14ac:dyDescent="0.25">
      <c r="A2" s="20"/>
      <c r="B2" s="20"/>
      <c r="C2" s="20"/>
      <c r="D2" s="21"/>
      <c r="E2" s="21"/>
      <c r="F2" s="21"/>
      <c r="G2" s="21"/>
      <c r="H2" s="21"/>
      <c r="I2" s="21"/>
    </row>
    <row r="3" spans="1:10" ht="18.75" customHeight="1" thickBot="1" x14ac:dyDescent="0.25">
      <c r="A3" s="119" t="s">
        <v>45</v>
      </c>
      <c r="B3" s="119"/>
      <c r="C3" s="119"/>
      <c r="D3" s="115" t="s">
        <v>51</v>
      </c>
      <c r="E3" s="116"/>
      <c r="F3" s="116"/>
      <c r="G3" s="116"/>
      <c r="H3" s="116"/>
      <c r="I3" s="117"/>
    </row>
    <row r="4" spans="1:10" ht="18.75" customHeight="1" thickBot="1" x14ac:dyDescent="0.25">
      <c r="A4" s="120" t="s">
        <v>46</v>
      </c>
      <c r="B4" s="120"/>
      <c r="C4" s="120"/>
      <c r="D4" s="115" t="s">
        <v>62</v>
      </c>
      <c r="E4" s="116"/>
      <c r="F4" s="116"/>
      <c r="G4" s="116"/>
      <c r="H4" s="116"/>
      <c r="I4" s="117"/>
    </row>
    <row r="5" spans="1:10" ht="21.75" customHeight="1" thickBot="1" x14ac:dyDescent="0.25">
      <c r="A5" s="120" t="s">
        <v>24</v>
      </c>
      <c r="B5" s="120"/>
      <c r="C5" s="120"/>
      <c r="D5" s="112" t="s">
        <v>68</v>
      </c>
      <c r="E5" s="113"/>
      <c r="F5" s="113"/>
      <c r="G5" s="113"/>
      <c r="H5" s="113"/>
      <c r="I5" s="114"/>
    </row>
    <row r="6" spans="1:10" ht="16.5" customHeight="1" thickBot="1" x14ac:dyDescent="0.25">
      <c r="A6" s="119" t="s">
        <v>47</v>
      </c>
      <c r="B6" s="119"/>
      <c r="C6" s="119"/>
      <c r="D6" s="112" t="s">
        <v>69</v>
      </c>
      <c r="E6" s="113"/>
      <c r="F6" s="113"/>
      <c r="G6" s="113"/>
      <c r="H6" s="113"/>
      <c r="I6" s="114"/>
    </row>
    <row r="7" spans="1:10" ht="16.5" customHeight="1" thickBot="1" x14ac:dyDescent="0.25">
      <c r="A7" s="120" t="s">
        <v>13</v>
      </c>
      <c r="B7" s="120"/>
      <c r="C7" s="120"/>
      <c r="D7" s="121" t="s">
        <v>136</v>
      </c>
      <c r="E7" s="121"/>
      <c r="F7" s="121"/>
      <c r="G7" s="121"/>
      <c r="H7" s="121"/>
      <c r="I7" s="121"/>
    </row>
    <row r="8" spans="1:10" ht="16.5" customHeight="1" thickBot="1" x14ac:dyDescent="0.25">
      <c r="A8" s="110" t="s">
        <v>14</v>
      </c>
      <c r="B8" s="110"/>
      <c r="C8" s="110"/>
      <c r="D8" s="111" t="s">
        <v>135</v>
      </c>
      <c r="E8" s="111"/>
      <c r="F8" s="111"/>
      <c r="G8" s="111"/>
      <c r="H8" s="111"/>
      <c r="I8" s="111"/>
    </row>
    <row r="9" spans="1:10" ht="16.5" thickBot="1" x14ac:dyDescent="0.25">
      <c r="A9" s="22"/>
      <c r="B9" s="22"/>
      <c r="C9" s="22"/>
      <c r="D9" s="23"/>
      <c r="E9" s="23"/>
      <c r="F9" s="23"/>
      <c r="G9" s="23"/>
      <c r="H9" s="23"/>
      <c r="I9" s="23"/>
    </row>
    <row r="10" spans="1:10" ht="18.75" customHeight="1" thickBot="1" x14ac:dyDescent="0.25">
      <c r="A10" s="109" t="s">
        <v>15</v>
      </c>
      <c r="B10" s="105" t="s">
        <v>16</v>
      </c>
      <c r="C10" s="105" t="s">
        <v>17</v>
      </c>
      <c r="D10" s="105"/>
      <c r="E10" s="105"/>
      <c r="F10" s="105" t="s">
        <v>18</v>
      </c>
      <c r="G10" s="105" t="s">
        <v>19</v>
      </c>
      <c r="H10" s="105" t="s">
        <v>20</v>
      </c>
      <c r="I10" s="105" t="s">
        <v>21</v>
      </c>
    </row>
    <row r="11" spans="1:10" ht="24" customHeight="1" thickBot="1" x14ac:dyDescent="0.25">
      <c r="A11" s="109"/>
      <c r="B11" s="105"/>
      <c r="C11" s="105"/>
      <c r="D11" s="105"/>
      <c r="E11" s="105"/>
      <c r="F11" s="105"/>
      <c r="G11" s="105"/>
      <c r="H11" s="105"/>
      <c r="I11" s="105"/>
    </row>
    <row r="12" spans="1:10" ht="48.75" customHeight="1" thickBot="1" x14ac:dyDescent="0.25">
      <c r="A12" s="52">
        <f>'Necesidades Trimestrales'!A10</f>
        <v>1</v>
      </c>
      <c r="B12" s="53">
        <v>0</v>
      </c>
      <c r="C12" s="106" t="str">
        <f>'Necesidades Trimestrales'!E10</f>
        <v>ACIDO FOLICO 1MG /ML GOTAS x 10 ML</v>
      </c>
      <c r="D12" s="106"/>
      <c r="E12" s="106"/>
      <c r="F12" s="54" t="s">
        <v>50</v>
      </c>
      <c r="G12" s="54" t="str">
        <f>'Necesidades Trimestrales'!F10</f>
        <v>UNIDAD</v>
      </c>
      <c r="H12" s="55">
        <f>'Necesidades Trimestrales'!H10</f>
        <v>390</v>
      </c>
      <c r="I12" s="56">
        <f>'Necesidades Trimestrales'!G10</f>
        <v>20</v>
      </c>
      <c r="J12" s="31"/>
    </row>
    <row r="13" spans="1:10" ht="47.25" customHeight="1" thickBot="1" x14ac:dyDescent="0.25">
      <c r="A13" s="52">
        <f>'Necesidades Trimestrales'!A11</f>
        <v>2</v>
      </c>
      <c r="B13" s="53">
        <v>0</v>
      </c>
      <c r="C13" s="106" t="str">
        <f>'Necesidades Trimestrales'!E11</f>
        <v>ACIDO FOLICO 5 MG COMPRIMIDOS</v>
      </c>
      <c r="D13" s="106"/>
      <c r="E13" s="106"/>
      <c r="F13" s="54" t="s">
        <v>50</v>
      </c>
      <c r="G13" s="54" t="str">
        <f>'Necesidades Trimestrales'!F11</f>
        <v>UNIDAD</v>
      </c>
      <c r="H13" s="55">
        <f>'Necesidades Trimestrales'!H11</f>
        <v>26</v>
      </c>
      <c r="I13" s="56">
        <f>'Necesidades Trimestrales'!G11</f>
        <v>500</v>
      </c>
      <c r="J13" s="31"/>
    </row>
    <row r="14" spans="1:10" ht="33.75" customHeight="1" thickBot="1" x14ac:dyDescent="0.25">
      <c r="A14" s="52">
        <f>'Necesidades Trimestrales'!A12</f>
        <v>3</v>
      </c>
      <c r="B14" s="53">
        <v>0</v>
      </c>
      <c r="C14" s="106" t="str">
        <f>'Necesidades Trimestrales'!E12</f>
        <v>ADENOSINA 6 MG AMPOLLA</v>
      </c>
      <c r="D14" s="106"/>
      <c r="E14" s="106"/>
      <c r="F14" s="54" t="s">
        <v>50</v>
      </c>
      <c r="G14" s="54" t="str">
        <f>'Necesidades Trimestrales'!F12</f>
        <v>UNIDAD</v>
      </c>
      <c r="H14" s="55">
        <f>'Necesidades Trimestrales'!H12</f>
        <v>131</v>
      </c>
      <c r="I14" s="56">
        <f>'Necesidades Trimestrales'!G12</f>
        <v>30</v>
      </c>
      <c r="J14" s="31"/>
    </row>
    <row r="15" spans="1:10" ht="40.5" customHeight="1" thickBot="1" x14ac:dyDescent="0.25">
      <c r="A15" s="52">
        <f>'Necesidades Trimestrales'!A13</f>
        <v>4</v>
      </c>
      <c r="B15" s="53">
        <v>0</v>
      </c>
      <c r="C15" s="106" t="str">
        <f>'Necesidades Trimestrales'!E13</f>
        <v>ALIMENTACION ENTERAL FORTIFICADO CON FIBRAS X 1000 ML</v>
      </c>
      <c r="D15" s="106"/>
      <c r="E15" s="106"/>
      <c r="F15" s="54" t="s">
        <v>50</v>
      </c>
      <c r="G15" s="54" t="str">
        <f>'Necesidades Trimestrales'!F13</f>
        <v>ENVASE</v>
      </c>
      <c r="H15" s="55">
        <f>'Necesidades Trimestrales'!H13</f>
        <v>735.9</v>
      </c>
      <c r="I15" s="56">
        <f>'Necesidades Trimestrales'!G13</f>
        <v>10</v>
      </c>
      <c r="J15" s="31"/>
    </row>
    <row r="16" spans="1:10" ht="40.5" customHeight="1" thickBot="1" x14ac:dyDescent="0.25">
      <c r="A16" s="52">
        <f>'Necesidades Trimestrales'!A14</f>
        <v>5</v>
      </c>
      <c r="B16" s="53">
        <v>0</v>
      </c>
      <c r="C16" s="106" t="str">
        <f>'Necesidades Trimestrales'!E14</f>
        <v>ALIMENTACION PARENTERAL CON LIPIDOS PARA NEONATOS DE 0 A 500 ML con filtro</v>
      </c>
      <c r="D16" s="106"/>
      <c r="E16" s="106"/>
      <c r="F16" s="54" t="s">
        <v>50</v>
      </c>
      <c r="G16" s="54" t="str">
        <f>'Necesidades Trimestrales'!F14</f>
        <v>UNIDAD</v>
      </c>
      <c r="H16" s="55">
        <f>'Necesidades Trimestrales'!H14</f>
        <v>8725</v>
      </c>
      <c r="I16" s="56">
        <f>'Necesidades Trimestrales'!G14</f>
        <v>200</v>
      </c>
      <c r="J16" s="31"/>
    </row>
    <row r="17" spans="1:10" ht="40.5" customHeight="1" thickBot="1" x14ac:dyDescent="0.25">
      <c r="A17" s="52">
        <f>'Necesidades Trimestrales'!A15</f>
        <v>6</v>
      </c>
      <c r="B17" s="53">
        <v>0</v>
      </c>
      <c r="C17" s="106" t="str">
        <f>'Necesidades Trimestrales'!E15</f>
        <v xml:space="preserve">ALPROSTADILO 500 MG/ML ( PROSTAGLANDINA ) AMPOLLA  X 1 ML </v>
      </c>
      <c r="D17" s="106"/>
      <c r="E17" s="106"/>
      <c r="F17" s="54" t="s">
        <v>50</v>
      </c>
      <c r="G17" s="54" t="str">
        <f>'Necesidades Trimestrales'!F15</f>
        <v>UNIDAD</v>
      </c>
      <c r="H17" s="55">
        <f>'Necesidades Trimestrales'!H15</f>
        <v>1252</v>
      </c>
      <c r="I17" s="56">
        <f>'Necesidades Trimestrales'!G15</f>
        <v>20</v>
      </c>
      <c r="J17" s="31"/>
    </row>
    <row r="18" spans="1:10" ht="48" customHeight="1" thickBot="1" x14ac:dyDescent="0.25">
      <c r="A18" s="52">
        <f>'Necesidades Trimestrales'!A16</f>
        <v>7</v>
      </c>
      <c r="B18" s="53">
        <v>0</v>
      </c>
      <c r="C18" s="106" t="str">
        <f>'Necesidades Trimestrales'!E16</f>
        <v>ALUMINIO HIDROXIDO + MAGNESIO HIDROXIDO SUSPENSIÓN x 160 ml</v>
      </c>
      <c r="D18" s="106"/>
      <c r="E18" s="106"/>
      <c r="F18" s="54" t="s">
        <v>50</v>
      </c>
      <c r="G18" s="54" t="str">
        <f>'Necesidades Trimestrales'!F16</f>
        <v>FRASCO</v>
      </c>
      <c r="H18" s="55">
        <f>'Necesidades Trimestrales'!H16</f>
        <v>260</v>
      </c>
      <c r="I18" s="56">
        <f>'Necesidades Trimestrales'!G16</f>
        <v>10</v>
      </c>
      <c r="J18" s="31"/>
    </row>
    <row r="19" spans="1:10" ht="38.25" customHeight="1" thickBot="1" x14ac:dyDescent="0.25">
      <c r="A19" s="52">
        <f>'Necesidades Trimestrales'!A17</f>
        <v>8</v>
      </c>
      <c r="B19" s="53">
        <v>0</v>
      </c>
      <c r="C19" s="106" t="str">
        <f>'Necesidades Trimestrales'!E17</f>
        <v>AMINOACIDO 10%  X 500 ML FRASCO</v>
      </c>
      <c r="D19" s="106"/>
      <c r="E19" s="106"/>
      <c r="F19" s="54" t="s">
        <v>50</v>
      </c>
      <c r="G19" s="54" t="str">
        <f>'Necesidades Trimestrales'!F17</f>
        <v>UNIDAD</v>
      </c>
      <c r="H19" s="55">
        <f>'Necesidades Trimestrales'!H17</f>
        <v>1720</v>
      </c>
      <c r="I19" s="56">
        <f>'Necesidades Trimestrales'!G17</f>
        <v>50</v>
      </c>
      <c r="J19" s="31"/>
    </row>
    <row r="20" spans="1:10" ht="40.5" customHeight="1" thickBot="1" x14ac:dyDescent="0.25">
      <c r="A20" s="52">
        <f>'Necesidades Trimestrales'!A18</f>
        <v>9</v>
      </c>
      <c r="B20" s="53">
        <v>0</v>
      </c>
      <c r="C20" s="106" t="str">
        <f>'Necesidades Trimestrales'!E18</f>
        <v>AMIODARONA 150 MG AMPOLLA X 3ML</v>
      </c>
      <c r="D20" s="106"/>
      <c r="E20" s="106"/>
      <c r="F20" s="54" t="s">
        <v>50</v>
      </c>
      <c r="G20" s="54" t="str">
        <f>'Necesidades Trimestrales'!F18</f>
        <v>UNIDAD</v>
      </c>
      <c r="H20" s="55">
        <f>'Necesidades Trimestrales'!H18</f>
        <v>9.8000000000000007</v>
      </c>
      <c r="I20" s="56">
        <f>'Necesidades Trimestrales'!G18</f>
        <v>100</v>
      </c>
      <c r="J20" s="31"/>
    </row>
    <row r="21" spans="1:10" ht="27.75" customHeight="1" thickBot="1" x14ac:dyDescent="0.25">
      <c r="A21" s="52">
        <f>'Necesidades Trimestrales'!A19</f>
        <v>10</v>
      </c>
      <c r="B21" s="53">
        <v>0</v>
      </c>
      <c r="C21" s="106" t="str">
        <f>'Necesidades Trimestrales'!E19</f>
        <v>AMIODARONA 200 MG COMPRIMIDO</v>
      </c>
      <c r="D21" s="106"/>
      <c r="E21" s="106"/>
      <c r="F21" s="54" t="s">
        <v>50</v>
      </c>
      <c r="G21" s="54" t="str">
        <f>'Necesidades Trimestrales'!F19</f>
        <v>UNIDAD</v>
      </c>
      <c r="H21" s="55">
        <f>'Necesidades Trimestrales'!H19</f>
        <v>4.9000000000000004</v>
      </c>
      <c r="I21" s="56">
        <f>'Necesidades Trimestrales'!G19</f>
        <v>100</v>
      </c>
      <c r="J21" s="31"/>
    </row>
    <row r="22" spans="1:10" ht="30" customHeight="1" thickBot="1" x14ac:dyDescent="0.25">
      <c r="A22" s="52">
        <f>'Necesidades Trimestrales'!A20</f>
        <v>11</v>
      </c>
      <c r="B22" s="53">
        <v>0</v>
      </c>
      <c r="C22" s="106" t="str">
        <f>'Necesidades Trimestrales'!E20</f>
        <v xml:space="preserve">CEFTRIAXONA 1 GR FCO AMPOLLA </v>
      </c>
      <c r="D22" s="106"/>
      <c r="E22" s="106"/>
      <c r="F22" s="54" t="s">
        <v>52</v>
      </c>
      <c r="G22" s="54" t="str">
        <f>'Necesidades Trimestrales'!F20</f>
        <v>AMPOLLA</v>
      </c>
      <c r="H22" s="55">
        <f>'Necesidades Trimestrales'!H20</f>
        <v>120</v>
      </c>
      <c r="I22" s="56">
        <f>'Necesidades Trimestrales'!G20</f>
        <v>1000</v>
      </c>
      <c r="J22" s="31"/>
    </row>
    <row r="23" spans="1:10" ht="33.75" customHeight="1" thickBot="1" x14ac:dyDescent="0.25">
      <c r="A23" s="52">
        <f>'Necesidades Trimestrales'!A21</f>
        <v>12</v>
      </c>
      <c r="B23" s="53">
        <v>0</v>
      </c>
      <c r="C23" s="106" t="str">
        <f>'Necesidades Trimestrales'!E21</f>
        <v>COMPLEJO B AMPOLLAS TIPO BECOZYM NF</v>
      </c>
      <c r="D23" s="106"/>
      <c r="E23" s="106"/>
      <c r="F23" s="54" t="s">
        <v>50</v>
      </c>
      <c r="G23" s="54" t="str">
        <f>'Necesidades Trimestrales'!F21</f>
        <v>AMPOLLA</v>
      </c>
      <c r="H23" s="55">
        <f>'Necesidades Trimestrales'!H21</f>
        <v>98</v>
      </c>
      <c r="I23" s="56">
        <f>'Necesidades Trimestrales'!G21</f>
        <v>360</v>
      </c>
      <c r="J23" s="31"/>
    </row>
    <row r="24" spans="1:10" ht="33.75" customHeight="1" thickBot="1" x14ac:dyDescent="0.25">
      <c r="A24" s="52">
        <f>'Necesidades Trimestrales'!A22</f>
        <v>13</v>
      </c>
      <c r="B24" s="53">
        <v>0</v>
      </c>
      <c r="C24" s="106" t="str">
        <f>'Necesidades Trimestrales'!E22</f>
        <v>CREMA DE BISMUTO X 90 ML</v>
      </c>
      <c r="D24" s="106"/>
      <c r="E24" s="106"/>
      <c r="F24" s="54" t="s">
        <v>50</v>
      </c>
      <c r="G24" s="54" t="str">
        <f>'Necesidades Trimestrales'!F22</f>
        <v>FRASCO</v>
      </c>
      <c r="H24" s="55">
        <f>'Necesidades Trimestrales'!H22</f>
        <v>250</v>
      </c>
      <c r="I24" s="56">
        <f>'Necesidades Trimestrales'!G22</f>
        <v>10</v>
      </c>
      <c r="J24" s="31"/>
    </row>
    <row r="25" spans="1:10" ht="33.75" customHeight="1" thickBot="1" x14ac:dyDescent="0.25">
      <c r="A25" s="52">
        <f>'Necesidades Trimestrales'!A23</f>
        <v>14</v>
      </c>
      <c r="B25" s="53">
        <v>0</v>
      </c>
      <c r="C25" s="106" t="str">
        <f>'Necesidades Trimestrales'!E23</f>
        <v>DOPAMINA 200 MG  AMPOLLA X 5 ML</v>
      </c>
      <c r="D25" s="106"/>
      <c r="E25" s="106"/>
      <c r="F25" s="54" t="s">
        <v>50</v>
      </c>
      <c r="G25" s="54" t="str">
        <f>'Necesidades Trimestrales'!F23</f>
        <v>AMPOLLA</v>
      </c>
      <c r="H25" s="55">
        <f>'Necesidades Trimestrales'!H23</f>
        <v>165</v>
      </c>
      <c r="I25" s="56">
        <f>'Necesidades Trimestrales'!G23</f>
        <v>200</v>
      </c>
      <c r="J25" s="31"/>
    </row>
    <row r="26" spans="1:10" ht="33.75" customHeight="1" thickBot="1" x14ac:dyDescent="0.25">
      <c r="A26" s="52">
        <f>'Necesidades Trimestrales'!A24</f>
        <v>15</v>
      </c>
      <c r="B26" s="53">
        <v>0</v>
      </c>
      <c r="C26" s="106" t="str">
        <f>'Necesidades Trimestrales'!E24</f>
        <v>ENOXAPARINA 40 MG AMPOLLA JERINGA PRELLENA</v>
      </c>
      <c r="D26" s="106"/>
      <c r="E26" s="106"/>
      <c r="F26" s="54" t="s">
        <v>50</v>
      </c>
      <c r="G26" s="54" t="str">
        <f>'Necesidades Trimestrales'!F24</f>
        <v>ENVASE</v>
      </c>
      <c r="H26" s="55">
        <f>'Necesidades Trimestrales'!H24</f>
        <v>1250</v>
      </c>
      <c r="I26" s="56">
        <f>'Necesidades Trimestrales'!G24</f>
        <v>300</v>
      </c>
      <c r="J26" s="31"/>
    </row>
    <row r="27" spans="1:10" ht="33.75" customHeight="1" thickBot="1" x14ac:dyDescent="0.25">
      <c r="A27" s="52">
        <f>'Necesidades Trimestrales'!A25</f>
        <v>16</v>
      </c>
      <c r="B27" s="53">
        <v>0</v>
      </c>
      <c r="C27" s="106" t="str">
        <f>'Necesidades Trimestrales'!E25</f>
        <v>FENOBARBITAL 200MG AMPOLLAS</v>
      </c>
      <c r="D27" s="106"/>
      <c r="E27" s="106"/>
      <c r="F27" s="54" t="s">
        <v>50</v>
      </c>
      <c r="G27" s="54" t="str">
        <f>'Necesidades Trimestrales'!F25</f>
        <v>AMPOLLA</v>
      </c>
      <c r="H27" s="55">
        <f>'Necesidades Trimestrales'!H25</f>
        <v>698</v>
      </c>
      <c r="I27" s="56">
        <f>'Necesidades Trimestrales'!G25</f>
        <v>200</v>
      </c>
      <c r="J27" s="31"/>
    </row>
    <row r="28" spans="1:10" ht="33.75" customHeight="1" thickBot="1" x14ac:dyDescent="0.25">
      <c r="A28" s="52">
        <f>'Necesidades Trimestrales'!A26</f>
        <v>17</v>
      </c>
      <c r="B28" s="53">
        <v>0</v>
      </c>
      <c r="C28" s="106" t="str">
        <f>'Necesidades Trimestrales'!E26</f>
        <v>FENTANILO 250 MCG INYECTABLE</v>
      </c>
      <c r="D28" s="106"/>
      <c r="E28" s="106"/>
      <c r="F28" s="54" t="s">
        <v>50</v>
      </c>
      <c r="G28" s="54" t="str">
        <f>'Necesidades Trimestrales'!F26</f>
        <v>AMPOLLA</v>
      </c>
      <c r="H28" s="55">
        <f>'Necesidades Trimestrales'!H26</f>
        <v>390</v>
      </c>
      <c r="I28" s="56">
        <f>'Necesidades Trimestrales'!G26</f>
        <v>700</v>
      </c>
      <c r="J28" s="31"/>
    </row>
    <row r="29" spans="1:10" ht="33.75" customHeight="1" thickBot="1" x14ac:dyDescent="0.25">
      <c r="A29" s="52">
        <f>'Necesidades Trimestrales'!A27</f>
        <v>18</v>
      </c>
      <c r="B29" s="53">
        <v>0</v>
      </c>
      <c r="C29" s="106" t="str">
        <f>'Necesidades Trimestrales'!E27</f>
        <v>FLUMAZENIL 0,5 MG  AMPOLLAS X 5 ML</v>
      </c>
      <c r="D29" s="106"/>
      <c r="E29" s="106"/>
      <c r="F29" s="54" t="s">
        <v>50</v>
      </c>
      <c r="G29" s="54" t="str">
        <f>'Necesidades Trimestrales'!F27</f>
        <v>AMPOLLA</v>
      </c>
      <c r="H29" s="55">
        <f>'Necesidades Trimestrales'!H27</f>
        <v>156</v>
      </c>
      <c r="I29" s="56">
        <f>'Necesidades Trimestrales'!G27</f>
        <v>30</v>
      </c>
      <c r="J29" s="31"/>
    </row>
    <row r="30" spans="1:10" ht="33.75" customHeight="1" thickBot="1" x14ac:dyDescent="0.25">
      <c r="A30" s="52">
        <f>'Necesidades Trimestrales'!A28</f>
        <v>19</v>
      </c>
      <c r="B30" s="53">
        <v>0</v>
      </c>
      <c r="C30" s="106" t="str">
        <f>'Necesidades Trimestrales'!E28</f>
        <v>FUROSEMIDA 20 MG  AMPOLLAS X 2 ML</v>
      </c>
      <c r="D30" s="106"/>
      <c r="E30" s="106"/>
      <c r="F30" s="54" t="s">
        <v>50</v>
      </c>
      <c r="G30" s="54" t="str">
        <f>'Necesidades Trimestrales'!F28</f>
        <v>UNIDAD</v>
      </c>
      <c r="H30" s="55">
        <f>'Necesidades Trimestrales'!H28</f>
        <v>31</v>
      </c>
      <c r="I30" s="56">
        <f>'Necesidades Trimestrales'!G28</f>
        <v>200</v>
      </c>
      <c r="J30" s="31"/>
    </row>
    <row r="31" spans="1:10" ht="33.75" customHeight="1" thickBot="1" x14ac:dyDescent="0.25">
      <c r="A31" s="52">
        <f>'Necesidades Trimestrales'!A29</f>
        <v>20</v>
      </c>
      <c r="B31" s="53">
        <v>0</v>
      </c>
      <c r="C31" s="106" t="str">
        <f>'Necesidades Trimestrales'!E29</f>
        <v>HIERRO+ACIDO FOLICO+B12 AMPOLLAS TIPO YECTAFER COMPLEX X 5 AMPOLLAS</v>
      </c>
      <c r="D31" s="106"/>
      <c r="E31" s="106"/>
      <c r="F31" s="54" t="s">
        <v>50</v>
      </c>
      <c r="G31" s="54" t="str">
        <f>'Necesidades Trimestrales'!F29</f>
        <v>CAJA</v>
      </c>
      <c r="H31" s="55">
        <f>'Necesidades Trimestrales'!H29</f>
        <v>2900</v>
      </c>
      <c r="I31" s="56">
        <f>'Necesidades Trimestrales'!G29</f>
        <v>30</v>
      </c>
      <c r="J31" s="31"/>
    </row>
    <row r="32" spans="1:10" ht="33.75" customHeight="1" thickBot="1" x14ac:dyDescent="0.25">
      <c r="A32" s="52">
        <f>'Necesidades Trimestrales'!A30</f>
        <v>21</v>
      </c>
      <c r="B32" s="53">
        <v>0</v>
      </c>
      <c r="C32" s="106" t="str">
        <f>'Necesidades Trimestrales'!E30</f>
        <v>INSULINA CORRIENTE HUMANA 100 UI FCO AMP 10 ML</v>
      </c>
      <c r="D32" s="106"/>
      <c r="E32" s="106"/>
      <c r="F32" s="54" t="s">
        <v>50</v>
      </c>
      <c r="G32" s="54" t="str">
        <f>'Necesidades Trimestrales'!F30</f>
        <v>FRASCO AMPOLLA</v>
      </c>
      <c r="H32" s="55">
        <f>'Necesidades Trimestrales'!H30</f>
        <v>1385</v>
      </c>
      <c r="I32" s="56">
        <f>'Necesidades Trimestrales'!G30</f>
        <v>30</v>
      </c>
      <c r="J32" s="31"/>
    </row>
    <row r="33" spans="1:10" ht="33.75" customHeight="1" thickBot="1" x14ac:dyDescent="0.25">
      <c r="A33" s="52">
        <f>'Necesidades Trimestrales'!A31</f>
        <v>22</v>
      </c>
      <c r="B33" s="53">
        <v>0</v>
      </c>
      <c r="C33" s="106" t="str">
        <f>'Necesidades Trimestrales'!E31</f>
        <v>INSULINA NPH HUMANA 100 UI FCO AMP 10 ML</v>
      </c>
      <c r="D33" s="106"/>
      <c r="E33" s="106"/>
      <c r="F33" s="54" t="s">
        <v>50</v>
      </c>
      <c r="G33" s="54" t="str">
        <f>'Necesidades Trimestrales'!F31</f>
        <v>FRASCO AMPOLLA</v>
      </c>
      <c r="H33" s="55">
        <f>'Necesidades Trimestrales'!H31</f>
        <v>1395</v>
      </c>
      <c r="I33" s="56">
        <f>'Necesidades Trimestrales'!G31</f>
        <v>10</v>
      </c>
      <c r="J33" s="31"/>
    </row>
    <row r="34" spans="1:10" ht="33.75" customHeight="1" thickBot="1" x14ac:dyDescent="0.25">
      <c r="A34" s="52">
        <f>'Necesidades Trimestrales'!A32</f>
        <v>23</v>
      </c>
      <c r="B34" s="53">
        <v>0</v>
      </c>
      <c r="C34" s="106" t="str">
        <f>'Necesidades Trimestrales'!E32</f>
        <v>KETAMINA 50MG/ML FCO AMPOLLA</v>
      </c>
      <c r="D34" s="106"/>
      <c r="E34" s="106"/>
      <c r="F34" s="54" t="s">
        <v>50</v>
      </c>
      <c r="G34" s="54" t="str">
        <f>'Necesidades Trimestrales'!F32</f>
        <v>AMPOLLA</v>
      </c>
      <c r="H34" s="55">
        <f>'Necesidades Trimestrales'!H32</f>
        <v>2400</v>
      </c>
      <c r="I34" s="56">
        <f>'Necesidades Trimestrales'!G32</f>
        <v>20</v>
      </c>
      <c r="J34" s="31"/>
    </row>
    <row r="35" spans="1:10" ht="33.75" customHeight="1" thickBot="1" x14ac:dyDescent="0.25">
      <c r="A35" s="52">
        <f>'Necesidades Trimestrales'!A33</f>
        <v>24</v>
      </c>
      <c r="B35" s="53">
        <v>0</v>
      </c>
      <c r="C35" s="106" t="str">
        <f>'Necesidades Trimestrales'!E33</f>
        <v>LORAZEPAM 4 MG/2ML AMPOLLA</v>
      </c>
      <c r="D35" s="106"/>
      <c r="E35" s="106"/>
      <c r="F35" s="54" t="s">
        <v>50</v>
      </c>
      <c r="G35" s="54" t="str">
        <f>'Necesidades Trimestrales'!F33</f>
        <v>AMPOLLA</v>
      </c>
      <c r="H35" s="55">
        <f>'Necesidades Trimestrales'!H33</f>
        <v>390</v>
      </c>
      <c r="I35" s="56">
        <f>'Necesidades Trimestrales'!G33</f>
        <v>100</v>
      </c>
      <c r="J35" s="31"/>
    </row>
    <row r="36" spans="1:10" ht="33.75" customHeight="1" thickBot="1" x14ac:dyDescent="0.25">
      <c r="A36" s="52">
        <f>'Necesidades Trimestrales'!A34</f>
        <v>25</v>
      </c>
      <c r="B36" s="53">
        <v>0</v>
      </c>
      <c r="C36" s="106" t="str">
        <f>'Necesidades Trimestrales'!E34</f>
        <v>METILDOPA 500 MG COMPRIMIDOS</v>
      </c>
      <c r="D36" s="106"/>
      <c r="E36" s="106"/>
      <c r="F36" s="54" t="s">
        <v>50</v>
      </c>
      <c r="G36" s="54" t="str">
        <f>'Necesidades Trimestrales'!F34</f>
        <v>UNIDAD</v>
      </c>
      <c r="H36" s="55">
        <f>'Necesidades Trimestrales'!H34</f>
        <v>28</v>
      </c>
      <c r="I36" s="56">
        <f>'Necesidades Trimestrales'!G34</f>
        <v>1000</v>
      </c>
      <c r="J36" s="31"/>
    </row>
    <row r="37" spans="1:10" ht="33.75" customHeight="1" thickBot="1" x14ac:dyDescent="0.25">
      <c r="A37" s="52">
        <f>'Necesidades Trimestrales'!A35</f>
        <v>26</v>
      </c>
      <c r="B37" s="53">
        <v>0</v>
      </c>
      <c r="C37" s="106" t="str">
        <f>'Necesidades Trimestrales'!E35</f>
        <v>MIDAZOLAM 15 MG AMPOLLA</v>
      </c>
      <c r="D37" s="106"/>
      <c r="E37" s="106"/>
      <c r="F37" s="54" t="s">
        <v>50</v>
      </c>
      <c r="G37" s="54" t="str">
        <f>'Necesidades Trimestrales'!F35</f>
        <v>AMPOLLA</v>
      </c>
      <c r="H37" s="55">
        <f>'Necesidades Trimestrales'!H35</f>
        <v>445</v>
      </c>
      <c r="I37" s="56">
        <f>'Necesidades Trimestrales'!G35</f>
        <v>400</v>
      </c>
      <c r="J37" s="31"/>
    </row>
    <row r="38" spans="1:10" ht="33.75" customHeight="1" thickBot="1" x14ac:dyDescent="0.25">
      <c r="A38" s="52">
        <f>'Necesidades Trimestrales'!A36</f>
        <v>27</v>
      </c>
      <c r="B38" s="53">
        <v>0</v>
      </c>
      <c r="C38" s="106" t="str">
        <f>'Necesidades Trimestrales'!E36</f>
        <v>NALOXONA 0,4 MG / ML AMPOLLA</v>
      </c>
      <c r="D38" s="106"/>
      <c r="E38" s="106"/>
      <c r="F38" s="54" t="s">
        <v>50</v>
      </c>
      <c r="G38" s="54" t="str">
        <f>'Necesidades Trimestrales'!F36</f>
        <v>AMPOLLA</v>
      </c>
      <c r="H38" s="55">
        <f>'Necesidades Trimestrales'!H36</f>
        <v>125</v>
      </c>
      <c r="I38" s="56">
        <f>'Necesidades Trimestrales'!G36</f>
        <v>30</v>
      </c>
      <c r="J38" s="31"/>
    </row>
    <row r="39" spans="1:10" ht="33.75" customHeight="1" thickBot="1" x14ac:dyDescent="0.25">
      <c r="A39" s="52">
        <f>'Necesidades Trimestrales'!A37</f>
        <v>28</v>
      </c>
      <c r="B39" s="53">
        <v>0</v>
      </c>
      <c r="C39" s="106" t="str">
        <f>'Necesidades Trimestrales'!E37</f>
        <v>PANCURONIO 4 MG/2ML</v>
      </c>
      <c r="D39" s="106"/>
      <c r="E39" s="106"/>
      <c r="F39" s="54" t="s">
        <v>50</v>
      </c>
      <c r="G39" s="54" t="str">
        <f>'Necesidades Trimestrales'!F37</f>
        <v>AMPOLLA</v>
      </c>
      <c r="H39" s="55">
        <f>'Necesidades Trimestrales'!H37</f>
        <v>245</v>
      </c>
      <c r="I39" s="56">
        <f>'Necesidades Trimestrales'!G37</f>
        <v>300</v>
      </c>
      <c r="J39" s="31"/>
    </row>
    <row r="40" spans="1:10" ht="33.75" customHeight="1" thickBot="1" x14ac:dyDescent="0.25">
      <c r="A40" s="52">
        <f>'Necesidades Trimestrales'!A38</f>
        <v>29</v>
      </c>
      <c r="B40" s="53">
        <v>0</v>
      </c>
      <c r="C40" s="106" t="str">
        <f>'Necesidades Trimestrales'!E38</f>
        <v>PARACETAMOL 1GR ML FRASCO AMPOLLA</v>
      </c>
      <c r="D40" s="106"/>
      <c r="E40" s="106"/>
      <c r="F40" s="54" t="s">
        <v>50</v>
      </c>
      <c r="G40" s="54" t="str">
        <f>'Necesidades Trimestrales'!F38</f>
        <v>AMPOLLA</v>
      </c>
      <c r="H40" s="55">
        <f>'Necesidades Trimestrales'!H38</f>
        <v>990</v>
      </c>
      <c r="I40" s="56">
        <f>'Necesidades Trimestrales'!G38</f>
        <v>100</v>
      </c>
      <c r="J40" s="31"/>
    </row>
    <row r="41" spans="1:10" ht="33.75" customHeight="1" thickBot="1" x14ac:dyDescent="0.25">
      <c r="A41" s="52">
        <f>'Necesidades Trimestrales'!A39</f>
        <v>30</v>
      </c>
      <c r="B41" s="53">
        <v>0</v>
      </c>
      <c r="C41" s="106" t="str">
        <f>'Necesidades Trimestrales'!E39</f>
        <v>PROPARACAINA CLORHIDRATO 0,5% COLIRIO</v>
      </c>
      <c r="D41" s="106"/>
      <c r="E41" s="106"/>
      <c r="F41" s="54" t="s">
        <v>50</v>
      </c>
      <c r="G41" s="54" t="str">
        <f>'Necesidades Trimestrales'!F39</f>
        <v>GOTERO</v>
      </c>
      <c r="H41" s="55">
        <f>'Necesidades Trimestrales'!H39</f>
        <v>558.6</v>
      </c>
      <c r="I41" s="56">
        <f>'Necesidades Trimestrales'!G39</f>
        <v>30</v>
      </c>
      <c r="J41" s="31"/>
    </row>
    <row r="42" spans="1:10" ht="33.75" customHeight="1" thickBot="1" x14ac:dyDescent="0.25">
      <c r="A42" s="52">
        <f>'Necesidades Trimestrales'!A40</f>
        <v>31</v>
      </c>
      <c r="B42" s="53">
        <v>0</v>
      </c>
      <c r="C42" s="106" t="str">
        <f>'Necesidades Trimestrales'!E40</f>
        <v>PROTAMINA SULFATO 50MG AMPOLLA</v>
      </c>
      <c r="D42" s="106"/>
      <c r="E42" s="106"/>
      <c r="F42" s="54" t="s">
        <v>50</v>
      </c>
      <c r="G42" s="54" t="str">
        <f>'Necesidades Trimestrales'!F40</f>
        <v>AMPOLLA</v>
      </c>
      <c r="H42" s="55">
        <f>'Necesidades Trimestrales'!H40</f>
        <v>1200</v>
      </c>
      <c r="I42" s="56">
        <f>'Necesidades Trimestrales'!G40</f>
        <v>5</v>
      </c>
      <c r="J42" s="31"/>
    </row>
    <row r="43" spans="1:10" ht="33.75" customHeight="1" thickBot="1" x14ac:dyDescent="0.25">
      <c r="A43" s="52">
        <f>'Necesidades Trimestrales'!A41</f>
        <v>32</v>
      </c>
      <c r="B43" s="53">
        <v>0</v>
      </c>
      <c r="C43" s="106" t="str">
        <f>'Necesidades Trimestrales'!E41</f>
        <v>SALBUTAMOL GOTAS x 10 ml</v>
      </c>
      <c r="D43" s="106"/>
      <c r="E43" s="106"/>
      <c r="F43" s="54" t="s">
        <v>50</v>
      </c>
      <c r="G43" s="54" t="str">
        <f>'Necesidades Trimestrales'!F41</f>
        <v>GOTERO</v>
      </c>
      <c r="H43" s="55">
        <f>'Necesidades Trimestrales'!H41</f>
        <v>55</v>
      </c>
      <c r="I43" s="56">
        <f>'Necesidades Trimestrales'!G41</f>
        <v>30</v>
      </c>
      <c r="J43" s="31"/>
    </row>
    <row r="44" spans="1:10" ht="33.75" customHeight="1" thickBot="1" x14ac:dyDescent="0.25">
      <c r="A44" s="52">
        <f>'Necesidades Trimestrales'!A42</f>
        <v>33</v>
      </c>
      <c r="B44" s="53">
        <v>0</v>
      </c>
      <c r="C44" s="106" t="str">
        <f>'Necesidades Trimestrales'!E42</f>
        <v>SOLUCION DEXTROSA AL 10% SACHET DE 500 ML</v>
      </c>
      <c r="D44" s="106"/>
      <c r="E44" s="106"/>
      <c r="F44" s="54" t="s">
        <v>50</v>
      </c>
      <c r="G44" s="54" t="str">
        <f>'Necesidades Trimestrales'!F42</f>
        <v>UNIDAD</v>
      </c>
      <c r="H44" s="55">
        <f>'Necesidades Trimestrales'!H42</f>
        <v>119</v>
      </c>
      <c r="I44" s="56">
        <f>'Necesidades Trimestrales'!G42</f>
        <v>1000</v>
      </c>
      <c r="J44" s="31"/>
    </row>
    <row r="45" spans="1:10" ht="33.75" customHeight="1" thickBot="1" x14ac:dyDescent="0.25">
      <c r="A45" s="52">
        <f>'Necesidades Trimestrales'!A43</f>
        <v>34</v>
      </c>
      <c r="B45" s="53">
        <v>0</v>
      </c>
      <c r="C45" s="106" t="str">
        <f>'Necesidades Trimestrales'!E43</f>
        <v xml:space="preserve">SOLUCION DEXTROSA AL 5% SACHET DE 500 ML SISTEMA CERRADO, DOBLE PUERTO DE INYECCION </v>
      </c>
      <c r="D45" s="106"/>
      <c r="E45" s="106"/>
      <c r="F45" s="54" t="s">
        <v>50</v>
      </c>
      <c r="G45" s="54" t="str">
        <f>'Necesidades Trimestrales'!F43</f>
        <v>UNIDAD</v>
      </c>
      <c r="H45" s="55">
        <f>'Necesidades Trimestrales'!H43</f>
        <v>86</v>
      </c>
      <c r="I45" s="56">
        <f>'Necesidades Trimestrales'!G43</f>
        <v>1500</v>
      </c>
      <c r="J45" s="31"/>
    </row>
    <row r="46" spans="1:10" ht="33.75" customHeight="1" thickBot="1" x14ac:dyDescent="0.25">
      <c r="A46" s="52">
        <f>'Necesidades Trimestrales'!A44</f>
        <v>35</v>
      </c>
      <c r="B46" s="53">
        <v>0</v>
      </c>
      <c r="C46" s="106" t="str">
        <f>'Necesidades Trimestrales'!E44</f>
        <v>SOLUCION FISIOLOGICA 0,9 % SACHET X 500 ML SISTEMA CERRADO DOBLE PUERTO DE INYECCION</v>
      </c>
      <c r="D46" s="106"/>
      <c r="E46" s="106"/>
      <c r="F46" s="54" t="s">
        <v>50</v>
      </c>
      <c r="G46" s="54" t="str">
        <f>'Necesidades Trimestrales'!F44</f>
        <v>UNIDAD</v>
      </c>
      <c r="H46" s="55">
        <f>'Necesidades Trimestrales'!H44</f>
        <v>80</v>
      </c>
      <c r="I46" s="56">
        <f>'Necesidades Trimestrales'!G44</f>
        <v>1200</v>
      </c>
      <c r="J46" s="31"/>
    </row>
    <row r="47" spans="1:10" ht="33.75" customHeight="1" thickBot="1" x14ac:dyDescent="0.25">
      <c r="A47" s="52">
        <f>'Necesidades Trimestrales'!A45</f>
        <v>36</v>
      </c>
      <c r="B47" s="53">
        <v>0</v>
      </c>
      <c r="C47" s="106" t="str">
        <f>'Necesidades Trimestrales'!E45</f>
        <v>SOLUCION GLUCOSADA AL 25 % AMPOLLAS X 10 ML</v>
      </c>
      <c r="D47" s="106"/>
      <c r="E47" s="106"/>
      <c r="F47" s="54" t="s">
        <v>50</v>
      </c>
      <c r="G47" s="54" t="str">
        <f>'Necesidades Trimestrales'!F45</f>
        <v>UNIDAD</v>
      </c>
      <c r="H47" s="55">
        <f>'Necesidades Trimestrales'!H45</f>
        <v>62</v>
      </c>
      <c r="I47" s="56">
        <f>'Necesidades Trimestrales'!G45</f>
        <v>1500</v>
      </c>
      <c r="J47" s="31"/>
    </row>
    <row r="48" spans="1:10" ht="33.75" customHeight="1" thickBot="1" x14ac:dyDescent="0.25">
      <c r="A48" s="52">
        <f>'Necesidades Trimestrales'!A46</f>
        <v>37</v>
      </c>
      <c r="B48" s="53">
        <v>0</v>
      </c>
      <c r="C48" s="106" t="str">
        <f>'Necesidades Trimestrales'!E46</f>
        <v>SOLUCION MANITOL DE SACHET 500 ML</v>
      </c>
      <c r="D48" s="106"/>
      <c r="E48" s="106"/>
      <c r="F48" s="54" t="s">
        <v>50</v>
      </c>
      <c r="G48" s="54" t="str">
        <f>'Necesidades Trimestrales'!F46</f>
        <v>UNIDAD</v>
      </c>
      <c r="H48" s="55">
        <f>'Necesidades Trimestrales'!H46</f>
        <v>286</v>
      </c>
      <c r="I48" s="56">
        <f>'Necesidades Trimestrales'!G46</f>
        <v>20</v>
      </c>
      <c r="J48" s="31"/>
    </row>
    <row r="49" spans="1:10" ht="33.75" customHeight="1" thickBot="1" x14ac:dyDescent="0.25">
      <c r="A49" s="52">
        <f>'Necesidades Trimestrales'!A47</f>
        <v>38</v>
      </c>
      <c r="B49" s="53">
        <v>0</v>
      </c>
      <c r="C49" s="106" t="str">
        <f>'Necesidades Trimestrales'!E47</f>
        <v>TOBRAMICINA 0,3% COLIRIO</v>
      </c>
      <c r="D49" s="106"/>
      <c r="E49" s="106"/>
      <c r="F49" s="54" t="s">
        <v>50</v>
      </c>
      <c r="G49" s="54" t="str">
        <f>'Necesidades Trimestrales'!F47</f>
        <v>GOTERO</v>
      </c>
      <c r="H49" s="55">
        <f>'Necesidades Trimestrales'!H47</f>
        <v>155</v>
      </c>
      <c r="I49" s="56">
        <f>'Necesidades Trimestrales'!G47</f>
        <v>40</v>
      </c>
      <c r="J49" s="31"/>
    </row>
    <row r="50" spans="1:10" ht="33.75" customHeight="1" thickBot="1" x14ac:dyDescent="0.25">
      <c r="A50" s="52">
        <f>'Necesidades Trimestrales'!A48</f>
        <v>39</v>
      </c>
      <c r="B50" s="53">
        <v>0</v>
      </c>
      <c r="C50" s="106" t="str">
        <f>'Necesidades Trimestrales'!E48</f>
        <v>TRIGLICERIDO BOTELLA X 500 ML</v>
      </c>
      <c r="D50" s="106"/>
      <c r="E50" s="106"/>
      <c r="F50" s="54" t="s">
        <v>50</v>
      </c>
      <c r="G50" s="54" t="str">
        <f>'Necesidades Trimestrales'!F48</f>
        <v>UNIDAD</v>
      </c>
      <c r="H50" s="55">
        <f>'Necesidades Trimestrales'!H48</f>
        <v>1500</v>
      </c>
      <c r="I50" s="56">
        <f>'Necesidades Trimestrales'!G48</f>
        <v>12</v>
      </c>
      <c r="J50" s="31"/>
    </row>
    <row r="51" spans="1:10" ht="33.75" customHeight="1" thickBot="1" x14ac:dyDescent="0.25">
      <c r="A51" s="52">
        <f>'Necesidades Trimestrales'!A49</f>
        <v>40</v>
      </c>
      <c r="B51" s="53">
        <v>0</v>
      </c>
      <c r="C51" s="106" t="str">
        <f>'Necesidades Trimestrales'!E49</f>
        <v>TROPICAMIDA 0,5%+ FENILEFRINA 5% COLIRIO</v>
      </c>
      <c r="D51" s="106"/>
      <c r="E51" s="106"/>
      <c r="F51" s="54" t="s">
        <v>50</v>
      </c>
      <c r="G51" s="54" t="str">
        <f>'Necesidades Trimestrales'!F49</f>
        <v>GOTERO</v>
      </c>
      <c r="H51" s="55">
        <f>'Necesidades Trimestrales'!H49</f>
        <v>361</v>
      </c>
      <c r="I51" s="56">
        <f>'Necesidades Trimestrales'!G49</f>
        <v>45</v>
      </c>
      <c r="J51" s="31"/>
    </row>
    <row r="52" spans="1:10" ht="36" customHeight="1" thickBot="1" x14ac:dyDescent="0.25">
      <c r="A52" s="52">
        <f>'Necesidades Trimestrales'!A50</f>
        <v>41</v>
      </c>
      <c r="B52" s="53">
        <v>0</v>
      </c>
      <c r="C52" s="106" t="str">
        <f>'Necesidades Trimestrales'!E50</f>
        <v>VITAMINA K 1 MG AMPOLLA</v>
      </c>
      <c r="D52" s="106"/>
      <c r="E52" s="106"/>
      <c r="F52" s="54" t="s">
        <v>50</v>
      </c>
      <c r="G52" s="54" t="str">
        <f>'Necesidades Trimestrales'!F50</f>
        <v>UNIDAD</v>
      </c>
      <c r="H52" s="55">
        <f>'Necesidades Trimestrales'!H50</f>
        <v>35</v>
      </c>
      <c r="I52" s="56">
        <f>'Necesidades Trimestrales'!G50</f>
        <v>2000</v>
      </c>
      <c r="J52" s="31"/>
    </row>
    <row r="53" spans="1:10" ht="37.5" customHeight="1" thickBot="1" x14ac:dyDescent="0.25">
      <c r="A53" s="107" t="s">
        <v>132</v>
      </c>
      <c r="B53" s="108"/>
      <c r="C53" s="108"/>
      <c r="D53" s="108"/>
      <c r="E53" s="108"/>
      <c r="F53" s="108"/>
      <c r="G53" s="108"/>
      <c r="H53" s="108"/>
      <c r="I53" s="57">
        <f>SUMPRODUCT(H12:H52*I12:I52)</f>
        <v>4070782</v>
      </c>
      <c r="J53" s="31"/>
    </row>
    <row r="54" spans="1:10" ht="61.5" customHeight="1" x14ac:dyDescent="0.2">
      <c r="B54" s="25"/>
      <c r="C54" s="26"/>
      <c r="D54" s="26"/>
      <c r="E54" s="26"/>
      <c r="F54" s="27"/>
      <c r="H54" s="28"/>
    </row>
    <row r="55" spans="1:10" x14ac:dyDescent="0.2">
      <c r="D55" s="30"/>
      <c r="E55" s="30"/>
      <c r="F55" s="30"/>
    </row>
    <row r="56" spans="1:10" x14ac:dyDescent="0.2">
      <c r="D56" s="30"/>
      <c r="E56" s="30"/>
      <c r="F56" s="30"/>
    </row>
    <row r="57" spans="1:10" x14ac:dyDescent="0.2">
      <c r="D57" s="30"/>
      <c r="E57" s="30"/>
      <c r="F57" s="30"/>
    </row>
  </sheetData>
  <mergeCells count="62">
    <mergeCell ref="C49:E49"/>
    <mergeCell ref="C50:E50"/>
    <mergeCell ref="C51:E51"/>
    <mergeCell ref="C44:E44"/>
    <mergeCell ref="C45:E45"/>
    <mergeCell ref="C46:E46"/>
    <mergeCell ref="C47:E47"/>
    <mergeCell ref="C48:E48"/>
    <mergeCell ref="C39:E39"/>
    <mergeCell ref="C40:E40"/>
    <mergeCell ref="C41:E41"/>
    <mergeCell ref="C42:E42"/>
    <mergeCell ref="C43:E43"/>
    <mergeCell ref="C34:E34"/>
    <mergeCell ref="C35:E35"/>
    <mergeCell ref="C36:E36"/>
    <mergeCell ref="C37:E37"/>
    <mergeCell ref="C38:E38"/>
    <mergeCell ref="C29:E29"/>
    <mergeCell ref="C30:E30"/>
    <mergeCell ref="C31:E31"/>
    <mergeCell ref="C32:E32"/>
    <mergeCell ref="C33:E33"/>
    <mergeCell ref="C24:E24"/>
    <mergeCell ref="C25:E25"/>
    <mergeCell ref="C26:E26"/>
    <mergeCell ref="C27:E27"/>
    <mergeCell ref="C28:E28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A53:H53"/>
    <mergeCell ref="I10:I11"/>
    <mergeCell ref="C17:E17"/>
    <mergeCell ref="C18:E18"/>
    <mergeCell ref="H10:H11"/>
    <mergeCell ref="B10:B11"/>
    <mergeCell ref="C19:E19"/>
    <mergeCell ref="C22:E22"/>
    <mergeCell ref="A10:A11"/>
    <mergeCell ref="F10:F11"/>
    <mergeCell ref="C14:E14"/>
    <mergeCell ref="C15:E15"/>
    <mergeCell ref="C21:E21"/>
    <mergeCell ref="C52:E52"/>
    <mergeCell ref="C20:E20"/>
    <mergeCell ref="C23:E23"/>
    <mergeCell ref="G10:G11"/>
    <mergeCell ref="C12:E12"/>
    <mergeCell ref="C16:E16"/>
    <mergeCell ref="C13:E13"/>
    <mergeCell ref="C10:E11"/>
  </mergeCells>
  <printOptions horizontalCentered="1"/>
  <pageMargins left="0.196527777777778" right="0.196527777777778" top="0.98402777777777795" bottom="0.98402777777777795" header="0.51180555555555496" footer="0.51180555555555496"/>
  <pageSetup paperSize="9" scale="58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="120" zoomScaleNormal="120" workbookViewId="0">
      <selection activeCell="A10" sqref="A10:Q10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710937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61" t="s">
        <v>2</v>
      </c>
      <c r="B1" s="161"/>
      <c r="C1" s="161"/>
      <c r="D1" s="162">
        <v>2021</v>
      </c>
      <c r="E1" s="162"/>
      <c r="F1" s="4"/>
      <c r="G1" s="4"/>
      <c r="H1" s="5"/>
      <c r="I1" s="5"/>
      <c r="J1" s="5"/>
      <c r="K1" s="5"/>
      <c r="L1" s="5"/>
      <c r="M1" s="5"/>
      <c r="N1" s="5"/>
      <c r="P1" s="163" t="s">
        <v>22</v>
      </c>
      <c r="Q1" s="163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163"/>
      <c r="Q2" s="163"/>
    </row>
    <row r="4" spans="1:19" s="6" customFormat="1" ht="18" customHeight="1" thickBot="1" x14ac:dyDescent="0.25">
      <c r="A4" s="164" t="s">
        <v>23</v>
      </c>
      <c r="B4" s="164"/>
      <c r="C4" s="164"/>
      <c r="D4" s="164"/>
      <c r="E4" s="164"/>
      <c r="F4" s="164"/>
      <c r="G4" s="165" t="s">
        <v>51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9" s="6" customFormat="1" ht="18" customHeight="1" thickBot="1" x14ac:dyDescent="0.25">
      <c r="A5" s="153" t="s">
        <v>46</v>
      </c>
      <c r="B5" s="154"/>
      <c r="C5" s="154"/>
      <c r="D5" s="154"/>
      <c r="E5" s="154"/>
      <c r="F5" s="155"/>
      <c r="G5" s="156" t="s">
        <v>62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9" s="6" customFormat="1" ht="30.75" customHeight="1" thickBot="1" x14ac:dyDescent="0.25">
      <c r="A6" s="153" t="s">
        <v>24</v>
      </c>
      <c r="B6" s="154"/>
      <c r="C6" s="154"/>
      <c r="D6" s="154"/>
      <c r="E6" s="154"/>
      <c r="F6" s="155"/>
      <c r="G6" s="158" t="s">
        <v>70</v>
      </c>
      <c r="H6" s="159"/>
      <c r="I6" s="159"/>
      <c r="J6" s="159"/>
      <c r="K6" s="159"/>
      <c r="L6" s="159"/>
      <c r="M6" s="159"/>
      <c r="N6" s="159"/>
      <c r="O6" s="159"/>
      <c r="P6" s="159"/>
      <c r="Q6" s="160"/>
    </row>
    <row r="7" spans="1:19" s="6" customFormat="1" ht="18" customHeight="1" thickBot="1" x14ac:dyDescent="0.25">
      <c r="A7" s="153" t="s">
        <v>47</v>
      </c>
      <c r="B7" s="154"/>
      <c r="C7" s="154"/>
      <c r="D7" s="154"/>
      <c r="E7" s="154"/>
      <c r="F7" s="155"/>
      <c r="G7" s="158" t="s">
        <v>71</v>
      </c>
      <c r="H7" s="159"/>
      <c r="I7" s="159"/>
      <c r="J7" s="159"/>
      <c r="K7" s="159"/>
      <c r="L7" s="159"/>
      <c r="M7" s="159"/>
      <c r="N7" s="159"/>
      <c r="O7" s="159"/>
      <c r="P7" s="159"/>
      <c r="Q7" s="160"/>
    </row>
    <row r="8" spans="1:19" ht="18" customHeight="1" thickBot="1" x14ac:dyDescent="0.25">
      <c r="A8" s="157" t="s">
        <v>25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</row>
    <row r="9" spans="1:19" ht="18" customHeight="1" x14ac:dyDescent="0.2">
      <c r="A9" s="143" t="s">
        <v>26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8"/>
      <c r="P9" s="8"/>
      <c r="Q9" s="9"/>
    </row>
    <row r="10" spans="1:19" ht="54.75" customHeight="1" x14ac:dyDescent="0.2">
      <c r="A10" s="166" t="s">
        <v>93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44" t="s">
        <v>27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9" ht="15.75" customHeight="1" thickBot="1" x14ac:dyDescent="0.25">
      <c r="A13" s="145" t="s">
        <v>28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6"/>
      <c r="O13" s="147" t="s">
        <v>29</v>
      </c>
      <c r="P13" s="148"/>
      <c r="Q13" s="151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77" t="s">
        <v>43</v>
      </c>
      <c r="O14" s="149"/>
      <c r="P14" s="150"/>
      <c r="Q14" s="152"/>
    </row>
    <row r="15" spans="1:19" ht="22.5" customHeight="1" x14ac:dyDescent="0.2">
      <c r="A15" s="67">
        <v>42</v>
      </c>
      <c r="B15" s="68"/>
      <c r="C15" s="68"/>
      <c r="D15" s="68">
        <v>2</v>
      </c>
      <c r="E15" s="68"/>
      <c r="F15" s="68">
        <v>4901</v>
      </c>
      <c r="G15" s="68">
        <v>3</v>
      </c>
      <c r="H15" s="69">
        <v>1</v>
      </c>
      <c r="I15" s="68">
        <v>2</v>
      </c>
      <c r="J15" s="68">
        <v>5</v>
      </c>
      <c r="K15" s="68">
        <v>2</v>
      </c>
      <c r="L15" s="68"/>
      <c r="M15" s="68">
        <v>1</v>
      </c>
      <c r="N15" s="74" t="s">
        <v>48</v>
      </c>
      <c r="O15" s="141" t="s">
        <v>79</v>
      </c>
      <c r="P15" s="142"/>
      <c r="Q15" s="79">
        <v>4070782</v>
      </c>
      <c r="R15" s="32"/>
      <c r="S15" s="18"/>
    </row>
    <row r="16" spans="1:19" ht="22.5" customHeight="1" x14ac:dyDescent="0.2">
      <c r="A16" s="70"/>
      <c r="B16" s="65"/>
      <c r="C16" s="65"/>
      <c r="D16" s="65"/>
      <c r="E16" s="65"/>
      <c r="F16" s="65"/>
      <c r="G16" s="65"/>
      <c r="H16" s="66"/>
      <c r="I16" s="65"/>
      <c r="J16" s="65"/>
      <c r="K16" s="65"/>
      <c r="L16" s="65"/>
      <c r="M16" s="65"/>
      <c r="N16" s="75"/>
      <c r="O16" s="139"/>
      <c r="P16" s="140"/>
      <c r="Q16" s="80"/>
      <c r="R16" s="1"/>
    </row>
    <row r="17" spans="1:17" ht="27.75" customHeight="1" thickBot="1" x14ac:dyDescent="0.25">
      <c r="A17" s="71"/>
      <c r="B17" s="72"/>
      <c r="C17" s="72"/>
      <c r="D17" s="72"/>
      <c r="E17" s="72"/>
      <c r="F17" s="72"/>
      <c r="G17" s="72"/>
      <c r="H17" s="73"/>
      <c r="I17" s="72"/>
      <c r="J17" s="72"/>
      <c r="K17" s="72"/>
      <c r="L17" s="72"/>
      <c r="M17" s="72"/>
      <c r="N17" s="76"/>
      <c r="O17" s="132"/>
      <c r="P17" s="133"/>
      <c r="Q17" s="81"/>
    </row>
    <row r="18" spans="1:17" ht="24.75" customHeight="1" thickBot="1" x14ac:dyDescent="0.25">
      <c r="A18" s="134" t="s">
        <v>133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78">
        <f>SUM(Q15:Q17)</f>
        <v>4070782</v>
      </c>
    </row>
    <row r="19" spans="1:17" ht="18" customHeight="1" thickBot="1" x14ac:dyDescent="0.25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</row>
    <row r="20" spans="1:17" ht="17.25" customHeight="1" x14ac:dyDescent="0.2">
      <c r="A20" s="122" t="s">
        <v>44</v>
      </c>
      <c r="B20" s="123"/>
      <c r="C20" s="123"/>
      <c r="D20" s="123"/>
      <c r="E20" s="123"/>
      <c r="F20" s="123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5"/>
    </row>
    <row r="21" spans="1:17" ht="18" customHeight="1" thickBot="1" x14ac:dyDescent="0.25">
      <c r="A21" s="126" t="s">
        <v>134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8"/>
    </row>
    <row r="22" spans="1:17" ht="15" customHeight="1" thickBot="1" x14ac:dyDescent="0.25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6:P16"/>
    <mergeCell ref="O15:P15"/>
    <mergeCell ref="A9:N9"/>
    <mergeCell ref="A10:Q10"/>
    <mergeCell ref="A12:Q12"/>
    <mergeCell ref="A13:N13"/>
    <mergeCell ref="O13:P14"/>
    <mergeCell ref="Q13:Q14"/>
    <mergeCell ref="A20:F20"/>
    <mergeCell ref="G20:Q20"/>
    <mergeCell ref="A21:Q22"/>
    <mergeCell ref="O17:P17"/>
    <mergeCell ref="A18:P18"/>
    <mergeCell ref="A19:Q19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</cp:lastModifiedBy>
  <cp:revision>2</cp:revision>
  <cp:lastPrinted>2021-10-12T11:10:16Z</cp:lastPrinted>
  <dcterms:created xsi:type="dcterms:W3CDTF">2020-07-17T23:44:49Z</dcterms:created>
  <dcterms:modified xsi:type="dcterms:W3CDTF">2021-11-04T11:45:20Z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