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15" i="3" s="1"/>
  <c r="Q23" i="3" s="1"/>
  <c r="D10" i="1"/>
</calcChain>
</file>

<file path=xl/sharedStrings.xml><?xml version="1.0" encoding="utf-8"?>
<sst xmlns="http://schemas.openxmlformats.org/spreadsheetml/2006/main" count="95" uniqueCount="78">
  <si>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</si>
  <si>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</si>
  <si>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</si>
  <si>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</si>
  <si>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</si>
  <si>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</si>
  <si>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</si>
  <si>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</si>
  <si>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</si>
  <si>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</si>
  <si>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</si>
  <si>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</si>
  <si>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</si>
  <si>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</si>
  <si>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</si>
  <si>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</si>
  <si>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</si>
  <si>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</si>
  <si>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</si>
  <si>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</si>
  <si>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</si>
  <si>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</si>
  <si>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</si>
  <si>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</si>
  <si>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</si>
  <si>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</si>
  <si>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</si>
  <si>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</si>
  <si>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</si>
  <si>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</si>
  <si>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</si>
  <si>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</si>
  <si>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</si>
  <si>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</si>
  <si>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</si>
  <si>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</si>
  <si>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</si>
  <si>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</si>
  <si>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</si>
  <si>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</si>
  <si>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</si>
  <si>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</si>
  <si>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</si>
  <si>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</si>
  <si>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</si>
  <si>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</si>
  <si>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</si>
  <si>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</si>
  <si>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</si>
  <si>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</si>
  <si>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</si>
  <si>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</si>
  <si>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</si>
  <si>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</si>
  <si>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</si>
  <si>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</si>
  <si>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</si>
  <si>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</si>
  <si>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</si>
  <si>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</si>
  <si>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</si>
  <si>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</si>
  <si>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</si>
  <si>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</si>
  <si>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</si>
  <si>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</si>
  <si>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ADQUISICION DE CHAPAS PARA TECHO PARA SER ENTRAGADAS A BENEFICIARIOS DEL PROGRAMA DE EMERGENCIA HABITACIONAL</t>
  </si>
  <si>
    <t>30 Dias.-</t>
  </si>
  <si>
    <t>PRODUCTOS NO FERROSOS</t>
  </si>
  <si>
    <t>2.7.2-2722.29</t>
  </si>
  <si>
    <t>MATERIALES DE CONSTRUCCION</t>
  </si>
  <si>
    <t>CHAPAS DE ZINC; LARGO: 4,35 M, ANCHO: 1,10 M, ESPESOR: CALIBRE 25 BWG</t>
  </si>
  <si>
    <t>CHAPA DE ZINC ACANALADA DE 1.10MTS DE ANCHO POR 4,35 MTS DE LARGO</t>
  </si>
  <si>
    <t>SI</t>
  </si>
  <si>
    <t>852/2021</t>
  </si>
  <si>
    <t>DENTRO DE LOS 15 DIAS HABILES, A PARTIR DEL PERFECCIONAMIENTO DEL DOCUMENTO CONTRACTUAL.</t>
  </si>
  <si>
    <t>Costo total estimado: Dos Millones Novecientos Noventa y Ocho Mil Seiscientos Veinte con 00/100</t>
  </si>
  <si>
    <r>
      <t xml:space="preserve">TOTAL DE PESOS: </t>
    </r>
    <r>
      <rPr>
        <b/>
        <sz val="10"/>
        <rFont val="Arial"/>
        <family val="2"/>
      </rPr>
      <t>Dos Millones Novecientos Noventa y Ocho Mil Seiscientos Veinte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</si>
</sst>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3" fontId="4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166" fontId="14" fillId="0" borderId="56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right" wrapText="1"/>
    </xf>
    <xf numFmtId="0" fontId="21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right" wrapText="1"/>
    </xf>
    <xf numFmtId="0" fontId="23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0" xfId="0" applyFont="1" applyBorder="1"/>
    <xf numFmtId="0" fontId="16" fillId="0" borderId="16" xfId="0" applyFont="1" applyBorder="1"/>
    <xf numFmtId="0" fontId="23" fillId="0" borderId="15" xfId="0" applyFont="1" applyBorder="1" applyAlignment="1">
      <alignment horizontal="left" indent="3"/>
    </xf>
    <xf numFmtId="0" fontId="16" fillId="0" borderId="15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left" indent="3"/>
    </xf>
    <xf numFmtId="0" fontId="16" fillId="0" borderId="18" xfId="0" applyFont="1" applyBorder="1"/>
    <xf numFmtId="0" fontId="16" fillId="0" borderId="19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9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center" vertical="center" wrapText="1"/>
    </xf>
    <xf numFmtId="166" fontId="4" fillId="4" borderId="29" xfId="1" applyNumberFormat="1" applyFont="1" applyFill="1" applyBorder="1" applyAlignment="1" applyProtection="1">
      <alignment horizontal="right" vertical="center" wrapText="1"/>
    </xf>
    <xf numFmtId="3" fontId="4" fillId="4" borderId="29" xfId="0" applyNumberFormat="1" applyFont="1" applyFill="1" applyBorder="1" applyAlignment="1">
      <alignment horizontal="center" vertical="center"/>
    </xf>
    <xf numFmtId="0" fontId="22" fillId="0" borderId="60" xfId="0" applyFont="1" applyBorder="1" applyAlignment="1">
      <alignment horizontal="center" vertical="center" wrapText="1"/>
    </xf>
    <xf numFmtId="0" fontId="0" fillId="0" borderId="7" xfId="0" applyBorder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 wrapText="1" indent="1"/>
    </xf>
    <xf numFmtId="0" fontId="8" fillId="0" borderId="26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 indent="1"/>
    </xf>
    <xf numFmtId="167" fontId="7" fillId="0" borderId="24" xfId="0" applyNumberFormat="1" applyFont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12" fillId="0" borderId="21" xfId="0" applyFont="1" applyBorder="1" applyAlignment="1">
      <alignment horizontal="left" indent="1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6" xfId="0" applyFont="1" applyBorder="1" applyAlignment="1">
      <alignment horizontal="left" vertical="center" wrapText="1"/>
    </xf>
    <xf numFmtId="0" fontId="0" fillId="0" borderId="3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0"/>
  <sheetViews>
    <sheetView tabSelected="1" zoomScale="85" zoomScaleNormal="85" workbookViewId="0">
      <selection activeCell="C27" sqref="C27:E27"/>
    </sheetView>
  </sheetViews>
  <sheetFormatPr baseColWidth="10" defaultColWidth="11" defaultRowHeight="12.75" x14ac:dyDescent="0.2"/>
  <cols>
    <col min="1" max="1" width="4.5703125" style="55" customWidth="1"/>
    <col min="2" max="2" width="12.85546875" style="55" customWidth="1"/>
    <col min="3" max="3" width="32.42578125" style="55" customWidth="1"/>
    <col min="4" max="4" width="8.42578125" style="55" customWidth="1"/>
    <col min="5" max="5" width="79" style="55" customWidth="1"/>
    <col min="6" max="6" width="11" style="55"/>
    <col min="7" max="7" width="12.7109375" style="55" customWidth="1"/>
    <col min="8" max="8" width="13.85546875" style="55" customWidth="1"/>
    <col min="9" max="9" width="18.5703125" style="55" customWidth="1"/>
    <col min="10" max="16384" width="11" style="55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96" t="s">
        <v>1</v>
      </c>
      <c r="B4" s="96"/>
      <c r="C4" s="97" t="s">
        <v>61</v>
      </c>
      <c r="D4" s="97"/>
      <c r="E4" s="97"/>
      <c r="F4" s="56"/>
      <c r="G4" s="57"/>
      <c r="H4" s="56"/>
    </row>
    <row r="5" spans="1:9" ht="18" customHeight="1" x14ac:dyDescent="0.25">
      <c r="A5" s="96" t="s">
        <v>2</v>
      </c>
      <c r="B5" s="96"/>
      <c r="C5" s="97" t="s">
        <v>62</v>
      </c>
      <c r="D5" s="97"/>
      <c r="E5" s="97"/>
      <c r="F5" s="56"/>
      <c r="G5" s="57"/>
      <c r="H5" s="56"/>
    </row>
    <row r="6" spans="1:9" ht="16.5" customHeight="1" x14ac:dyDescent="0.25">
      <c r="A6" s="96" t="s">
        <v>3</v>
      </c>
      <c r="B6" s="96"/>
      <c r="C6" s="87">
        <v>2021</v>
      </c>
      <c r="D6" s="88"/>
      <c r="E6" s="88"/>
      <c r="F6" s="56"/>
      <c r="G6" s="57"/>
      <c r="H6" s="56"/>
    </row>
    <row r="7" spans="1:9" ht="16.5" customHeight="1" x14ac:dyDescent="0.25">
      <c r="A7" s="96" t="s">
        <v>4</v>
      </c>
      <c r="B7" s="96"/>
      <c r="C7" s="87">
        <v>4</v>
      </c>
      <c r="D7" s="88"/>
      <c r="E7" s="88"/>
      <c r="F7" s="56"/>
      <c r="G7" s="57"/>
      <c r="H7" s="56"/>
    </row>
    <row r="8" spans="1:9" x14ac:dyDescent="0.2">
      <c r="B8" s="56"/>
      <c r="C8" s="57"/>
      <c r="D8" s="56"/>
      <c r="E8" s="56"/>
      <c r="F8" s="56"/>
      <c r="G8" s="57"/>
      <c r="H8" s="56"/>
    </row>
    <row r="9" spans="1:9" ht="39.75" thickTop="1" thickBot="1" x14ac:dyDescent="0.25">
      <c r="A9" s="58" t="s">
        <v>5</v>
      </c>
      <c r="B9" s="58" t="s">
        <v>6</v>
      </c>
      <c r="C9" s="58" t="s">
        <v>7</v>
      </c>
      <c r="D9" s="58" t="s">
        <v>8</v>
      </c>
      <c r="E9" s="58" t="s">
        <v>9</v>
      </c>
      <c r="F9" s="58" t="s">
        <v>10</v>
      </c>
      <c r="G9" s="58" t="s">
        <v>11</v>
      </c>
      <c r="H9" s="58" t="s">
        <v>12</v>
      </c>
      <c r="I9" s="58" t="s">
        <v>13</v>
      </c>
    </row>
    <row r="10" spans="1:9" ht="13.5" thickBot="1" x14ac:dyDescent="0.25">
      <c r="A10" s="59">
        <v>1</v>
      </c>
      <c r="B10" s="94" t="s">
        <v>69</v>
      </c>
      <c r="C10" s="94" t="s">
        <v>70</v>
      </c>
      <c r="D10" s="65" t="str">
        <f>LEFT(B10,5)</f>
        <v>2.7.2</v>
      </c>
      <c r="E10" s="94" t="s">
        <v>71</v>
      </c>
      <c r="F10" s="60" t="s">
        <v>14</v>
      </c>
      <c r="G10" s="60">
        <v>324</v>
      </c>
      <c r="H10" s="62">
        <v>9255</v>
      </c>
      <c r="I10" s="63">
        <f>H10*G10</f>
        <v>2998620</v>
      </c>
    </row>
    <row r="11" spans="1:9" ht="13.5" thickBot="1" x14ac:dyDescent="0.25">
      <c r="A11" s="64"/>
      <c r="B11"/>
      <c r="C11"/>
      <c r="D11" s="93"/>
      <c r="E11"/>
      <c r="F11" s="60"/>
      <c r="G11" s="60"/>
      <c r="H11" s="62"/>
      <c r="I11" s="63"/>
    </row>
    <row r="12" spans="1:9" x14ac:dyDescent="0.2">
      <c r="A12" s="64"/>
      <c r="B12"/>
      <c r="C12"/>
      <c r="D12" s="61"/>
      <c r="E12"/>
      <c r="F12" s="60"/>
      <c r="G12" s="60"/>
      <c r="H12" s="62"/>
      <c r="I12" s="63"/>
    </row>
    <row r="13" spans="1:9" x14ac:dyDescent="0.2">
      <c r="A13" s="64"/>
      <c r="B13" s="65"/>
      <c r="C13" s="66"/>
      <c r="D13" s="65"/>
      <c r="E13" s="66"/>
      <c r="F13" s="67"/>
      <c r="G13" s="67"/>
      <c r="H13" s="67"/>
      <c r="I13" s="68"/>
    </row>
    <row r="14" spans="1:9" x14ac:dyDescent="0.2">
      <c r="A14" s="69"/>
      <c r="B14" s="70"/>
      <c r="C14" s="71"/>
      <c r="D14" s="70"/>
      <c r="E14" s="71"/>
      <c r="F14" s="72"/>
      <c r="G14" s="72"/>
      <c r="H14" s="72"/>
      <c r="I14" s="73"/>
    </row>
    <row r="17" spans="2:5" x14ac:dyDescent="0.2">
      <c r="B17" s="74" t="s">
        <v>15</v>
      </c>
      <c r="C17" s="75"/>
      <c r="D17" s="75"/>
      <c r="E17" s="76"/>
    </row>
    <row r="18" spans="2:5" ht="5.25" customHeight="1" x14ac:dyDescent="0.2">
      <c r="B18" s="77"/>
      <c r="C18" s="78"/>
      <c r="D18" s="78"/>
      <c r="E18" s="79"/>
    </row>
    <row r="19" spans="2:5" x14ac:dyDescent="0.2">
      <c r="B19" s="80" t="s">
        <v>16</v>
      </c>
      <c r="C19" s="78"/>
      <c r="D19" s="78"/>
      <c r="E19" s="79"/>
    </row>
    <row r="20" spans="2:5" ht="41.25" customHeight="1" x14ac:dyDescent="0.2">
      <c r="B20" s="80"/>
      <c r="C20" s="98" t="s">
        <v>72</v>
      </c>
      <c r="D20" s="98"/>
      <c r="E20" s="98"/>
    </row>
    <row r="21" spans="2:5" x14ac:dyDescent="0.2">
      <c r="B21" s="80" t="s">
        <v>17</v>
      </c>
      <c r="C21" s="78"/>
      <c r="D21" s="78"/>
      <c r="E21" s="79"/>
    </row>
    <row r="22" spans="2:5" x14ac:dyDescent="0.2">
      <c r="B22" s="81"/>
      <c r="C22" s="99" t="s">
        <v>75</v>
      </c>
      <c r="D22" s="99"/>
      <c r="E22" s="99"/>
    </row>
    <row r="23" spans="2:5" x14ac:dyDescent="0.2">
      <c r="B23" s="81"/>
      <c r="C23" s="99" t="s">
        <v>59</v>
      </c>
      <c r="D23" s="99"/>
      <c r="E23" s="99"/>
    </row>
    <row r="24" spans="2:5" x14ac:dyDescent="0.2">
      <c r="B24" s="80" t="s">
        <v>18</v>
      </c>
      <c r="C24" s="78"/>
      <c r="D24" s="78"/>
      <c r="E24" s="79"/>
    </row>
    <row r="25" spans="2:5" ht="26.25" customHeight="1" x14ac:dyDescent="0.2">
      <c r="B25" s="81"/>
      <c r="C25" s="98" t="s">
        <v>60</v>
      </c>
      <c r="D25" s="98"/>
      <c r="E25" s="98"/>
    </row>
    <row r="26" spans="2:5" x14ac:dyDescent="0.2">
      <c r="B26" s="80" t="s">
        <v>19</v>
      </c>
      <c r="C26" s="82"/>
      <c r="D26" s="82"/>
      <c r="E26" s="83"/>
    </row>
    <row r="27" spans="2:5" ht="26.25" customHeight="1" x14ac:dyDescent="0.2">
      <c r="B27" s="81"/>
      <c r="C27" s="98" t="s">
        <v>67</v>
      </c>
      <c r="D27" s="98"/>
      <c r="E27" s="98"/>
    </row>
    <row r="28" spans="2:5" x14ac:dyDescent="0.2">
      <c r="B28" s="80" t="s">
        <v>20</v>
      </c>
      <c r="C28" s="78"/>
      <c r="D28" s="78"/>
      <c r="E28" s="79"/>
    </row>
    <row r="29" spans="2:5" ht="23.25" customHeight="1" x14ac:dyDescent="0.2">
      <c r="B29" s="80"/>
      <c r="C29" s="99"/>
      <c r="D29" s="99"/>
      <c r="E29" s="99"/>
    </row>
    <row r="30" spans="2:5" x14ac:dyDescent="0.2">
      <c r="B30" s="84"/>
      <c r="C30" s="85"/>
      <c r="D30" s="85"/>
      <c r="E30" s="86"/>
    </row>
    <row r="32" spans="2:5" x14ac:dyDescent="0.2">
      <c r="B32" s="74" t="s">
        <v>21</v>
      </c>
      <c r="C32" s="75"/>
      <c r="D32" s="75"/>
      <c r="E32" s="76"/>
    </row>
    <row r="33" spans="2:5" ht="7.5" customHeight="1" x14ac:dyDescent="0.2">
      <c r="B33" s="77"/>
      <c r="C33" s="78"/>
      <c r="D33" s="78"/>
      <c r="E33" s="79"/>
    </row>
    <row r="34" spans="2:5" x14ac:dyDescent="0.2">
      <c r="B34" s="80" t="s">
        <v>16</v>
      </c>
      <c r="C34" s="78"/>
      <c r="D34" s="78"/>
      <c r="E34" s="79"/>
    </row>
    <row r="35" spans="2:5" ht="39" customHeight="1" x14ac:dyDescent="0.2">
      <c r="B35" s="80"/>
      <c r="C35" s="98"/>
      <c r="D35" s="98"/>
      <c r="E35" s="98"/>
    </row>
    <row r="36" spans="2:5" x14ac:dyDescent="0.2">
      <c r="B36" s="80" t="s">
        <v>17</v>
      </c>
      <c r="C36" s="78"/>
      <c r="D36" s="78"/>
      <c r="E36" s="79"/>
    </row>
    <row r="37" spans="2:5" x14ac:dyDescent="0.2">
      <c r="B37" s="81"/>
      <c r="C37" s="99"/>
      <c r="D37" s="99"/>
      <c r="E37" s="99"/>
    </row>
    <row r="38" spans="2:5" x14ac:dyDescent="0.2">
      <c r="B38" s="81"/>
      <c r="C38" s="99"/>
      <c r="D38" s="99"/>
      <c r="E38" s="99"/>
    </row>
    <row r="39" spans="2:5" x14ac:dyDescent="0.2">
      <c r="B39" s="80" t="s">
        <v>18</v>
      </c>
      <c r="C39" s="78"/>
      <c r="D39" s="78"/>
      <c r="E39" s="79"/>
    </row>
    <row r="40" spans="2:5" x14ac:dyDescent="0.2">
      <c r="B40" s="81"/>
      <c r="C40" s="98"/>
      <c r="D40" s="98"/>
      <c r="E40" s="98"/>
    </row>
    <row r="41" spans="2:5" x14ac:dyDescent="0.2">
      <c r="B41" s="80" t="s">
        <v>19</v>
      </c>
      <c r="C41" s="82"/>
      <c r="D41" s="82"/>
      <c r="E41" s="83"/>
    </row>
    <row r="42" spans="2:5" x14ac:dyDescent="0.2">
      <c r="B42" s="81"/>
      <c r="C42" s="98"/>
      <c r="D42" s="98"/>
      <c r="E42" s="98"/>
    </row>
    <row r="43" spans="2:5" x14ac:dyDescent="0.2">
      <c r="B43" s="80" t="s">
        <v>20</v>
      </c>
      <c r="C43" s="78"/>
      <c r="D43" s="78"/>
      <c r="E43" s="79"/>
    </row>
    <row r="44" spans="2:5" x14ac:dyDescent="0.2">
      <c r="B44" s="80"/>
      <c r="C44" s="99"/>
      <c r="D44" s="99"/>
      <c r="E44" s="99"/>
    </row>
    <row r="45" spans="2:5" x14ac:dyDescent="0.2">
      <c r="B45" s="84"/>
      <c r="C45" s="85"/>
      <c r="D45" s="85"/>
      <c r="E45" s="86"/>
    </row>
    <row r="46" spans="2:5" ht="13.5" thickBot="1" x14ac:dyDescent="0.25"/>
    <row r="47" spans="2:5" x14ac:dyDescent="0.2">
      <c r="B47" s="74" t="s">
        <v>21</v>
      </c>
      <c r="C47" s="75"/>
      <c r="D47" s="75"/>
      <c r="E47" s="76"/>
    </row>
    <row r="48" spans="2:5" x14ac:dyDescent="0.2">
      <c r="B48" s="77"/>
      <c r="C48" s="78"/>
      <c r="D48" s="78"/>
      <c r="E48" s="79"/>
    </row>
    <row r="49" spans="2:5" x14ac:dyDescent="0.2">
      <c r="B49" s="80" t="s">
        <v>16</v>
      </c>
      <c r="C49" s="78"/>
      <c r="D49" s="78"/>
      <c r="E49" s="79"/>
    </row>
    <row r="50" spans="2:5" x14ac:dyDescent="0.2">
      <c r="B50" s="80"/>
      <c r="C50" s="98"/>
      <c r="D50" s="98"/>
      <c r="E50" s="98"/>
    </row>
    <row r="51" spans="2:5" x14ac:dyDescent="0.2">
      <c r="B51" s="80" t="s">
        <v>17</v>
      </c>
      <c r="C51" s="78"/>
      <c r="D51" s="78"/>
      <c r="E51" s="79"/>
    </row>
    <row r="52" spans="2:5" x14ac:dyDescent="0.2">
      <c r="B52" s="81"/>
      <c r="C52" s="99"/>
      <c r="D52" s="99"/>
      <c r="E52" s="99"/>
    </row>
    <row r="53" spans="2:5" x14ac:dyDescent="0.2">
      <c r="B53" s="81"/>
      <c r="C53" s="99"/>
      <c r="D53" s="99"/>
      <c r="E53" s="99"/>
    </row>
    <row r="54" spans="2:5" x14ac:dyDescent="0.2">
      <c r="B54" s="80" t="s">
        <v>18</v>
      </c>
      <c r="C54" s="78"/>
      <c r="D54" s="78"/>
      <c r="E54" s="79"/>
    </row>
    <row r="55" spans="2:5" x14ac:dyDescent="0.2">
      <c r="B55" s="81"/>
      <c r="C55" s="98"/>
      <c r="D55" s="98"/>
      <c r="E55" s="98"/>
    </row>
    <row r="56" spans="2:5" x14ac:dyDescent="0.2">
      <c r="B56" s="80" t="s">
        <v>19</v>
      </c>
      <c r="C56" s="82"/>
      <c r="D56" s="82"/>
      <c r="E56" s="83"/>
    </row>
    <row r="57" spans="2:5" x14ac:dyDescent="0.2">
      <c r="B57" s="81"/>
      <c r="C57" s="98"/>
      <c r="D57" s="98"/>
      <c r="E57" s="98"/>
    </row>
    <row r="58" spans="2:5" x14ac:dyDescent="0.2">
      <c r="B58" s="80" t="s">
        <v>20</v>
      </c>
      <c r="C58" s="78"/>
      <c r="D58" s="78"/>
      <c r="E58" s="79"/>
    </row>
    <row r="59" spans="2:5" x14ac:dyDescent="0.2">
      <c r="B59" s="80"/>
      <c r="C59" s="99"/>
      <c r="D59" s="99"/>
      <c r="E59" s="99"/>
    </row>
    <row r="60" spans="2:5" ht="13.5" thickBot="1" x14ac:dyDescent="0.25">
      <c r="B60" s="84"/>
      <c r="C60" s="85"/>
      <c r="D60" s="85"/>
      <c r="E60" s="86"/>
    </row>
  </sheetData>
  <mergeCells count="25">
    <mergeCell ref="C59:E59"/>
    <mergeCell ref="C50:E50"/>
    <mergeCell ref="C52:E52"/>
    <mergeCell ref="C53:E53"/>
    <mergeCell ref="C55:E55"/>
    <mergeCell ref="C57:E57"/>
    <mergeCell ref="C38:E38"/>
    <mergeCell ref="C40:E40"/>
    <mergeCell ref="C42:E42"/>
    <mergeCell ref="C44:E44"/>
    <mergeCell ref="C25:E25"/>
    <mergeCell ref="C27:E27"/>
    <mergeCell ref="C29:E29"/>
    <mergeCell ref="C35:E35"/>
    <mergeCell ref="C37:E37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Normal="100" workbookViewId="0">
      <selection activeCell="A17" sqref="A17:I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22</v>
      </c>
      <c r="B1" s="100"/>
      <c r="C1" s="100"/>
      <c r="D1" s="100"/>
      <c r="E1" s="100"/>
      <c r="F1" s="100"/>
      <c r="G1" s="100"/>
      <c r="H1" s="100"/>
      <c r="I1" s="100"/>
      <c r="J1" s="3" t="s">
        <v>23</v>
      </c>
      <c r="K1" s="4" t="s">
        <v>74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01" t="s">
        <v>56</v>
      </c>
      <c r="B3" s="101"/>
      <c r="C3" s="101"/>
      <c r="D3" s="102" t="str">
        <f>'Necesidades Trimestrales'!C4</f>
        <v>35 - Ministerio de Vivienda y Urbanizacion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57</v>
      </c>
      <c r="B4" s="103"/>
      <c r="C4" s="103"/>
      <c r="D4" s="102" t="str">
        <f>'Necesidades Trimestrales'!C5</f>
        <v>48 - Direccion Provincial de Gestion de Administracion y Recursos Humanos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35</v>
      </c>
      <c r="B5" s="103"/>
      <c r="C5" s="103"/>
      <c r="D5" s="102" t="s">
        <v>63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58</v>
      </c>
      <c r="B6" s="101"/>
      <c r="C6" s="101"/>
      <c r="D6" s="102" t="s">
        <v>64</v>
      </c>
      <c r="E6" s="102"/>
      <c r="F6" s="102"/>
      <c r="G6" s="102"/>
      <c r="H6" s="102"/>
      <c r="I6" s="102"/>
      <c r="J6" s="102"/>
      <c r="K6" s="102"/>
    </row>
    <row r="7" spans="1:11" ht="16.5" customHeight="1" thickBot="1" x14ac:dyDescent="0.25">
      <c r="A7" s="103" t="s">
        <v>24</v>
      </c>
      <c r="B7" s="103"/>
      <c r="C7" s="103"/>
      <c r="D7" s="102" t="str">
        <f>'Necesidades Trimestrales'!C7 &amp; "° Trimestre - Año " &amp; 'Necesidades Trimestrales'!C6</f>
        <v>4° Trimestre - Año 2021</v>
      </c>
      <c r="E7" s="102"/>
      <c r="F7" s="102"/>
      <c r="G7" s="102"/>
      <c r="H7" s="102"/>
      <c r="I7" s="102"/>
      <c r="J7" s="102"/>
      <c r="K7" s="102"/>
    </row>
    <row r="8" spans="1:11" ht="16.5" customHeight="1" x14ac:dyDescent="0.2">
      <c r="A8" s="104" t="s">
        <v>25</v>
      </c>
      <c r="B8" s="104"/>
      <c r="C8" s="104"/>
      <c r="D8" s="105" t="s">
        <v>66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06" t="s">
        <v>26</v>
      </c>
      <c r="B10" s="107" t="s">
        <v>27</v>
      </c>
      <c r="C10" s="107" t="s">
        <v>28</v>
      </c>
      <c r="D10" s="107"/>
      <c r="E10" s="107"/>
      <c r="F10" s="107"/>
      <c r="G10" s="107"/>
      <c r="H10" s="107" t="s">
        <v>29</v>
      </c>
      <c r="I10" s="107" t="s">
        <v>30</v>
      </c>
      <c r="J10" s="107" t="s">
        <v>31</v>
      </c>
      <c r="K10" s="108" t="s">
        <v>32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0.25" customHeight="1" thickBot="1" x14ac:dyDescent="0.25">
      <c r="A12" s="9">
        <v>1</v>
      </c>
      <c r="B12" s="89" t="str">
        <f>'Necesidades Trimestrales'!B10</f>
        <v>2.7.2-2722.29</v>
      </c>
      <c r="C12" s="111" t="str">
        <f>'Necesidades Trimestrales'!E10</f>
        <v>CHAPAS DE ZINC; LARGO: 4,35 M, ANCHO: 1,10 M, ESPESOR: CALIBRE 25 BWG</v>
      </c>
      <c r="D12" s="111"/>
      <c r="E12" s="111"/>
      <c r="F12" s="111"/>
      <c r="G12" s="111"/>
      <c r="H12" s="10" t="s">
        <v>73</v>
      </c>
      <c r="I12" s="90" t="str">
        <f>'Necesidades Trimestrales'!F10</f>
        <v>UNIDAD</v>
      </c>
      <c r="J12" s="91">
        <f>'Necesidades Trimestrales'!H10</f>
        <v>9255</v>
      </c>
      <c r="K12" s="92">
        <f>'Necesidades Trimestrales'!G10</f>
        <v>324</v>
      </c>
    </row>
    <row r="13" spans="1:11" ht="20.25" customHeight="1" thickBot="1" x14ac:dyDescent="0.25">
      <c r="A13" s="11">
        <v>2</v>
      </c>
      <c r="B13" s="89"/>
      <c r="C13" s="111"/>
      <c r="D13" s="111"/>
      <c r="E13" s="111"/>
      <c r="F13" s="111"/>
      <c r="G13" s="111"/>
      <c r="H13" s="10"/>
      <c r="I13" s="90"/>
      <c r="J13" s="91"/>
      <c r="K13" s="92"/>
    </row>
    <row r="14" spans="1:11" ht="20.25" customHeight="1" x14ac:dyDescent="0.2">
      <c r="A14" s="11">
        <v>3</v>
      </c>
      <c r="B14" s="89"/>
      <c r="C14" s="111"/>
      <c r="D14" s="111"/>
      <c r="E14" s="111"/>
      <c r="F14" s="111"/>
      <c r="G14" s="111"/>
      <c r="H14" s="10"/>
      <c r="I14" s="90"/>
      <c r="J14" s="91"/>
      <c r="K14" s="92"/>
    </row>
    <row r="15" spans="1:11" ht="20.25" customHeight="1" x14ac:dyDescent="0.2">
      <c r="A15" s="11">
        <v>4</v>
      </c>
      <c r="B15" s="12"/>
      <c r="C15" s="112"/>
      <c r="D15" s="112"/>
      <c r="E15" s="112"/>
      <c r="F15" s="112"/>
      <c r="G15" s="112"/>
      <c r="H15" s="13"/>
      <c r="I15" s="14"/>
      <c r="J15" s="14"/>
      <c r="K15" s="15"/>
    </row>
    <row r="16" spans="1:11" ht="20.25" customHeight="1" x14ac:dyDescent="0.2">
      <c r="A16" s="16">
        <v>5</v>
      </c>
      <c r="B16" s="17"/>
      <c r="C16" s="113"/>
      <c r="D16" s="113"/>
      <c r="E16" s="113"/>
      <c r="F16" s="113"/>
      <c r="G16" s="113"/>
      <c r="H16" s="18"/>
      <c r="I16" s="19"/>
      <c r="J16" s="19"/>
      <c r="K16" s="20"/>
    </row>
    <row r="17" spans="1:11" ht="20.25" customHeight="1" x14ac:dyDescent="0.2">
      <c r="A17" s="109" t="s">
        <v>76</v>
      </c>
      <c r="B17" s="109"/>
      <c r="C17" s="109"/>
      <c r="D17" s="109"/>
      <c r="E17" s="109"/>
      <c r="F17" s="109"/>
      <c r="G17" s="109"/>
      <c r="H17" s="109"/>
      <c r="I17" s="109"/>
      <c r="J17" s="110">
        <f>SUMPRODUCT(J12:J16,K12:K16)</f>
        <v>2998620</v>
      </c>
      <c r="K17" s="110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4" t="s">
        <v>3</v>
      </c>
      <c r="B1" s="114"/>
      <c r="C1" s="114"/>
      <c r="D1" s="115">
        <f>'Necesidades Trimestrales'!C6</f>
        <v>2021</v>
      </c>
      <c r="E1" s="115"/>
      <c r="F1" s="22"/>
      <c r="G1" s="22"/>
      <c r="H1" s="23"/>
      <c r="I1" s="23"/>
      <c r="J1" s="23"/>
      <c r="K1" s="23"/>
      <c r="L1" s="23"/>
      <c r="M1" s="23"/>
      <c r="N1" s="23"/>
      <c r="P1" s="116" t="s">
        <v>33</v>
      </c>
      <c r="Q1" s="116"/>
    </row>
    <row r="2" spans="1:17" ht="15.75" customHeight="1" x14ac:dyDescent="0.2">
      <c r="H2" s="23"/>
      <c r="I2" s="23"/>
      <c r="J2" s="23"/>
      <c r="K2" s="23"/>
      <c r="L2" s="23"/>
      <c r="M2" s="23"/>
      <c r="N2" s="23"/>
      <c r="P2" s="116"/>
      <c r="Q2" s="116"/>
    </row>
    <row r="4" spans="1:17" s="24" customFormat="1" ht="18" customHeight="1" thickBot="1" x14ac:dyDescent="0.25">
      <c r="A4" s="117" t="s">
        <v>34</v>
      </c>
      <c r="B4" s="117"/>
      <c r="C4" s="117"/>
      <c r="D4" s="117"/>
      <c r="E4" s="117"/>
      <c r="F4" s="117"/>
      <c r="G4" s="118" t="str">
        <f>' NotaPedido'!D3</f>
        <v>35 - Ministerio de Vivienda y Urbanizacion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24" customFormat="1" ht="18" customHeight="1" thickBot="1" x14ac:dyDescent="0.25">
      <c r="A5" s="119" t="s">
        <v>57</v>
      </c>
      <c r="B5" s="120"/>
      <c r="C5" s="120"/>
      <c r="D5" s="120"/>
      <c r="E5" s="120"/>
      <c r="F5" s="121"/>
      <c r="G5" s="118" t="str">
        <f>' NotaPedido'!D4</f>
        <v>48 - Direccion Provincial de Gestion de Administracion y Recursos Humanos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7" s="24" customFormat="1" ht="18" customHeight="1" thickBot="1" x14ac:dyDescent="0.25">
      <c r="A6" s="119" t="s">
        <v>35</v>
      </c>
      <c r="B6" s="120"/>
      <c r="C6" s="120"/>
      <c r="D6" s="120"/>
      <c r="E6" s="120"/>
      <c r="F6" s="121"/>
      <c r="G6" s="118" t="str">
        <f>' NotaPedido'!D5</f>
        <v>Ministerio de Vivienda y Urbanizacion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7" s="24" customFormat="1" ht="18" customHeight="1" thickBot="1" x14ac:dyDescent="0.25">
      <c r="A7" s="119" t="s">
        <v>58</v>
      </c>
      <c r="B7" s="120"/>
      <c r="C7" s="120"/>
      <c r="D7" s="120"/>
      <c r="E7" s="120"/>
      <c r="F7" s="121"/>
      <c r="G7" s="118" t="str">
        <f>' NotaPedido'!D6</f>
        <v>Secretaria de Administracion y Finanzas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7" ht="18" customHeight="1" thickBot="1" x14ac:dyDescent="0.25">
      <c r="A8" s="122" t="s">
        <v>36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23" t="s">
        <v>37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"/>
      <c r="P9" s="1"/>
      <c r="Q9" s="25"/>
    </row>
    <row r="10" spans="1:17" ht="54.75" customHeight="1" x14ac:dyDescent="0.2">
      <c r="A10" s="12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852/2021,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26"/>
      <c r="B11" s="27"/>
      <c r="C11" s="27"/>
      <c r="D11" s="27"/>
      <c r="E11" s="27"/>
      <c r="F11" s="27"/>
      <c r="G11" s="28"/>
      <c r="H11" s="27"/>
      <c r="I11" s="27"/>
      <c r="J11" s="27"/>
      <c r="K11" s="27"/>
      <c r="L11" s="27"/>
      <c r="M11" s="27"/>
      <c r="N11" s="27"/>
      <c r="O11" s="27"/>
      <c r="P11" s="27"/>
      <c r="Q11" s="29"/>
    </row>
    <row r="12" spans="1:17" ht="15.75" customHeight="1" x14ac:dyDescent="0.2">
      <c r="A12" s="125" t="s">
        <v>38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">
      <c r="A13" s="126" t="s">
        <v>39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40</v>
      </c>
      <c r="P13" s="127"/>
      <c r="Q13" s="128" t="s">
        <v>41</v>
      </c>
    </row>
    <row r="14" spans="1:17" ht="15.75" customHeight="1" x14ac:dyDescent="0.2">
      <c r="A14" s="30" t="s">
        <v>42</v>
      </c>
      <c r="B14" s="31" t="s">
        <v>43</v>
      </c>
      <c r="C14" s="31" t="s">
        <v>44</v>
      </c>
      <c r="D14" s="31" t="s">
        <v>45</v>
      </c>
      <c r="E14" s="31" t="s">
        <v>46</v>
      </c>
      <c r="F14" s="31" t="s">
        <v>47</v>
      </c>
      <c r="G14" s="32" t="s">
        <v>48</v>
      </c>
      <c r="H14" s="31" t="s">
        <v>49</v>
      </c>
      <c r="I14" s="31" t="s">
        <v>50</v>
      </c>
      <c r="J14" s="31" t="s">
        <v>51</v>
      </c>
      <c r="K14" s="31" t="s">
        <v>51</v>
      </c>
      <c r="L14" s="31" t="s">
        <v>52</v>
      </c>
      <c r="M14" s="33" t="s">
        <v>53</v>
      </c>
      <c r="N14" s="34" t="s">
        <v>54</v>
      </c>
      <c r="O14" s="127"/>
      <c r="P14" s="127"/>
      <c r="Q14" s="128"/>
    </row>
    <row r="15" spans="1:17" ht="17.25" customHeight="1" x14ac:dyDescent="0.2">
      <c r="A15" s="35">
        <v>21</v>
      </c>
      <c r="B15" s="36">
        <v>0</v>
      </c>
      <c r="C15" s="36">
        <v>0</v>
      </c>
      <c r="D15" s="36">
        <v>1</v>
      </c>
      <c r="E15" s="36">
        <v>0</v>
      </c>
      <c r="F15" s="36">
        <v>4901</v>
      </c>
      <c r="G15" s="36">
        <v>3</v>
      </c>
      <c r="H15" s="36">
        <v>370</v>
      </c>
      <c r="I15" s="37">
        <v>2</v>
      </c>
      <c r="J15" s="37">
        <v>7</v>
      </c>
      <c r="K15" s="37">
        <v>2</v>
      </c>
      <c r="L15" s="36">
        <v>0</v>
      </c>
      <c r="M15" s="38">
        <v>1</v>
      </c>
      <c r="N15" s="36" t="s">
        <v>65</v>
      </c>
      <c r="O15" s="129" t="s">
        <v>68</v>
      </c>
      <c r="P15" s="130"/>
      <c r="Q15" s="39">
        <f>'Necesidades Trimestrales'!I10</f>
        <v>2998620</v>
      </c>
    </row>
    <row r="16" spans="1:17" ht="17.25" customHeight="1" x14ac:dyDescent="0.2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/>
      <c r="N16" s="43"/>
      <c r="O16" s="131"/>
      <c r="P16" s="131"/>
      <c r="Q16" s="44"/>
    </row>
    <row r="17" spans="1:18" ht="17.25" customHeight="1" x14ac:dyDescent="0.2">
      <c r="A17" s="40"/>
      <c r="B17" s="41"/>
      <c r="C17" s="41"/>
      <c r="D17" s="41"/>
      <c r="E17" s="41"/>
      <c r="F17" s="43"/>
      <c r="G17" s="41"/>
      <c r="H17" s="41"/>
      <c r="I17" s="41"/>
      <c r="J17" s="41"/>
      <c r="K17" s="41"/>
      <c r="L17" s="41"/>
      <c r="M17" s="42"/>
      <c r="N17" s="43"/>
      <c r="O17" s="131"/>
      <c r="P17" s="131"/>
      <c r="Q17" s="44"/>
    </row>
    <row r="18" spans="1:18" ht="17.25" customHeight="1" x14ac:dyDescent="0.2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2"/>
      <c r="N18" s="43"/>
      <c r="O18" s="131"/>
      <c r="P18" s="131"/>
      <c r="Q18" s="44"/>
    </row>
    <row r="19" spans="1:18" ht="17.25" customHeight="1" x14ac:dyDescent="0.2">
      <c r="A19" s="40"/>
      <c r="B19" s="41"/>
      <c r="C19" s="41"/>
      <c r="D19" s="41"/>
      <c r="E19" s="41"/>
      <c r="F19" s="43"/>
      <c r="G19" s="41"/>
      <c r="H19" s="41"/>
      <c r="I19" s="41"/>
      <c r="J19" s="41"/>
      <c r="K19" s="41"/>
      <c r="L19" s="41"/>
      <c r="M19" s="42"/>
      <c r="N19" s="43"/>
      <c r="O19" s="131"/>
      <c r="P19" s="131"/>
      <c r="Q19" s="44"/>
    </row>
    <row r="20" spans="1:18" ht="17.25" customHeight="1" x14ac:dyDescent="0.2">
      <c r="A20" s="40"/>
      <c r="B20" s="41"/>
      <c r="C20" s="41"/>
      <c r="D20" s="41"/>
      <c r="E20" s="41"/>
      <c r="F20" s="43"/>
      <c r="G20" s="41"/>
      <c r="H20" s="41"/>
      <c r="I20" s="41"/>
      <c r="J20" s="41"/>
      <c r="K20" s="41"/>
      <c r="L20" s="41"/>
      <c r="M20" s="42"/>
      <c r="N20" s="43"/>
      <c r="O20" s="131"/>
      <c r="P20" s="131"/>
      <c r="Q20" s="44"/>
    </row>
    <row r="21" spans="1:18" ht="17.25" customHeight="1" x14ac:dyDescent="0.2">
      <c r="A21" s="45"/>
      <c r="B21" s="46"/>
      <c r="C21" s="46"/>
      <c r="D21" s="46"/>
      <c r="E21" s="46"/>
      <c r="F21" s="47"/>
      <c r="G21" s="46"/>
      <c r="H21" s="46"/>
      <c r="I21" s="46"/>
      <c r="J21" s="46"/>
      <c r="K21" s="46"/>
      <c r="L21" s="46"/>
      <c r="M21" s="48"/>
      <c r="N21" s="49"/>
      <c r="O21" s="137"/>
      <c r="P21" s="137"/>
      <c r="Q21" s="44"/>
      <c r="R21" s="1"/>
    </row>
    <row r="22" spans="1:18" ht="17.25" customHeight="1" x14ac:dyDescent="0.2">
      <c r="A22" s="50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2"/>
      <c r="N22" s="51"/>
      <c r="O22" s="138"/>
      <c r="P22" s="138"/>
      <c r="Q22" s="53"/>
    </row>
    <row r="23" spans="1:18" ht="27.75" customHeight="1" x14ac:dyDescent="0.2">
      <c r="A23" s="139" t="s">
        <v>77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54">
        <f>SUM(Q15:Q22)</f>
        <v>2998620</v>
      </c>
    </row>
    <row r="24" spans="1:18" ht="18" customHeight="1" thickBot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8" ht="17.25" customHeight="1" thickBot="1" x14ac:dyDescent="0.25">
      <c r="A25" s="132" t="s">
        <v>55</v>
      </c>
      <c r="B25" s="133"/>
      <c r="C25" s="133"/>
      <c r="D25" s="133"/>
      <c r="E25" s="133"/>
      <c r="F25" s="134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  <row r="26" spans="1:18" ht="18" customHeight="1" thickBot="1" x14ac:dyDescent="0.25">
      <c r="A26" s="136" t="s">
        <v>66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</row>
    <row r="27" spans="1:18" ht="15" customHeight="1" x14ac:dyDescent="0.2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2021-10-13T15:26:40Z</cp:lastPrinted>
  <dcterms:created xsi:type="dcterms:W3CDTF">2020-07-17T23:44:49Z</dcterms:created>
  <dcterms:modified xsi:type="dcterms:W3CDTF">2021-10-20T14:15:00Z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