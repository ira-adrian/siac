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CGP\Desktop\"/>
    </mc:Choice>
  </mc:AlternateContent>
  <xr:revisionPtr revIDLastSave="0" documentId="8_{2ECCE6E7-7C52-4B05-8633-A717736E1CEE}" xr6:coauthVersionLast="47" xr6:coauthVersionMax="47" xr10:uidLastSave="{00000000-0000-0000-0000-000000000000}"/>
  <bookViews>
    <workbookView xWindow="-120" yWindow="-120" windowWidth="29040" windowHeight="15840" tabRatio="500" activeTab="1" xr2:uid="{00000000-000D-0000-FFFF-FFFF00000000}"/>
  </bookViews>
  <sheets>
    <sheet name="Necesidades Trimestrales" sheetId="1" r:id="rId1"/>
    <sheet name=" NotaPedido" sheetId="2" r:id="rId2"/>
    <sheet name="Autor Gastar" sheetId="3" r:id="rId3"/>
  </sheets>
  <externalReferences>
    <externalReference r:id="rId4"/>
  </externalReferences>
  <definedNames>
    <definedName name="_xlnm.Print_Area" localSheetId="1">' NotaPedido'!$A$1:$H$9</definedName>
    <definedName name="_xlnm.Print_Area" localSheetId="2">'Autor Gastar'!$A$1:$Q$27</definedName>
  </definedNames>
  <calcPr calcId="181029" iterateDelta="1E-4"/>
</workbook>
</file>

<file path=xl/calcChain.xml><?xml version="1.0" encoding="utf-8"?>
<calcChain xmlns="http://schemas.openxmlformats.org/spreadsheetml/2006/main">
  <c r="I30" i="1" l="1"/>
  <c r="D30" i="1"/>
  <c r="I29" i="1"/>
  <c r="D29" i="1"/>
  <c r="I28" i="1"/>
  <c r="D28" i="1"/>
  <c r="I27" i="1"/>
  <c r="D27" i="1"/>
  <c r="I26" i="1"/>
  <c r="D26" i="1"/>
  <c r="I25" i="1"/>
  <c r="D25" i="1"/>
  <c r="I24" i="1"/>
  <c r="D24" i="1"/>
  <c r="I23" i="1"/>
  <c r="D23" i="1"/>
  <c r="I22" i="1"/>
  <c r="D22" i="1"/>
  <c r="I21" i="1"/>
  <c r="I20" i="1"/>
  <c r="D20" i="1"/>
  <c r="I19" i="1"/>
  <c r="D19" i="1"/>
  <c r="I18" i="1"/>
  <c r="D18" i="1"/>
  <c r="I17" i="1"/>
  <c r="D17" i="1"/>
  <c r="I16" i="1"/>
  <c r="D16" i="1"/>
  <c r="I15" i="1"/>
  <c r="D15" i="1"/>
  <c r="I14" i="1"/>
  <c r="D14" i="1"/>
  <c r="I13" i="1"/>
  <c r="D13" i="1"/>
  <c r="I12" i="1"/>
  <c r="D12" i="1"/>
  <c r="I11" i="1"/>
  <c r="D11" i="1"/>
  <c r="I10" i="1"/>
  <c r="D10" i="1"/>
  <c r="I9" i="1"/>
  <c r="D9" i="1"/>
  <c r="I31" i="1" l="1"/>
  <c r="C4" i="2"/>
  <c r="C3" i="2"/>
</calcChain>
</file>

<file path=xl/sharedStrings.xml><?xml version="1.0" encoding="utf-8"?>
<sst xmlns="http://schemas.openxmlformats.org/spreadsheetml/2006/main" count="305" uniqueCount="150">
  <si>
    <t>ID</t>
  </si>
  <si>
    <t>DESCRIPCION</t>
  </si>
  <si>
    <t>UNIDAD DE MEDIDA</t>
  </si>
  <si>
    <t>CANTIDAD</t>
  </si>
  <si>
    <t>PRECIO UNITARIO ESTIMADO</t>
  </si>
  <si>
    <t>NOTA DE PEDIDO</t>
  </si>
  <si>
    <t>N°</t>
  </si>
  <si>
    <t>PERIODO UTILIZACIÓN:</t>
  </si>
  <si>
    <t>OBJETO:</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</si>
  <si>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</si>
  <si>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</si>
  <si>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</si>
  <si>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</si>
  <si>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</si>
  <si>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</si>
  <si>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</si>
  <si>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</si>
  <si>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</si>
  <si>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</si>
  <si>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</si>
  <si>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</si>
  <si>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</si>
  <si>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</si>
  <si>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</si>
  <si>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</si>
  <si>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</si>
  <si>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</si>
  <si>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</si>
  <si>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</si>
  <si>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</si>
  <si>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</si>
  <si>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</si>
  <si>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</si>
  <si>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</si>
  <si>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</si>
  <si>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1.1</t>
  </si>
  <si>
    <t>OBSERVACIONES:</t>
  </si>
  <si>
    <t>9 - Direccion Provincial de Administracion de la Secretaria de Finanzas Publicas</t>
  </si>
  <si>
    <t>30 - Ministerio de Hacienda Publica</t>
  </si>
  <si>
    <t>2.9.2-261.14</t>
  </si>
  <si>
    <t>ABROCHADORAS DE PAPEL; TIPO: PINZA, P/BROCHES: 10/50, MATERIAL: METALICA, MEDIDA: 10/50</t>
  </si>
  <si>
    <t>UNIDAD</t>
  </si>
  <si>
    <t>2.9.2-317.5</t>
  </si>
  <si>
    <t>BOLIGRAFOS; TRAZO 1,0mm</t>
  </si>
  <si>
    <t>2.9.2-700.28</t>
  </si>
  <si>
    <t>BROCHES P/ABROCHADORA; NUMERO: 10/50, PRESENTACION: CAJA X 1000 UNIDADES</t>
  </si>
  <si>
    <t>2.9.2-323.4</t>
  </si>
  <si>
    <t>CORRECTORES DE ESCRITURA; CAPACIDAD: 7 mL, ENVASE: LAPIZ (PUNTA METAL), PRESENTACION: LAPIZ (PUNTA METAL) X 7 mL</t>
  </si>
  <si>
    <t>2.9.2-1062.12</t>
  </si>
  <si>
    <t>PAPELES ANOTADOR AUTOADHESIVOS; PRESENTACION: 100 HOJAS, LARGO X ANCHO: 76 X 76 mm</t>
  </si>
  <si>
    <t>2.3.1-6587.346</t>
  </si>
  <si>
    <t>PAPELES ENCUADERNADOS; CANT. DE HOJAS: 100, TAMAÑO: A4, TIPO: CUADERNO ESPIRALADO TAPA DURA, CERTIFICADO FORESTAL (GFS): SIN, PORC. FIBRAS RECICLADAS: 0 %, CERT. FIBRA ALTERNATIVA (FCA): SIN</t>
  </si>
  <si>
    <t>2.9.2-674.9</t>
  </si>
  <si>
    <t>REGLAS GRADUADAS; TIPO: PLANA, MATERIAL: PLASTICO, LONG.DE CUERPO: 30 Cm</t>
  </si>
  <si>
    <t>Papel de escritorio y carton</t>
  </si>
  <si>
    <t>Utiles de escritorio,oficina y enseñanza</t>
  </si>
  <si>
    <t>ADJUNTA DETALLE TECNICO</t>
  </si>
  <si>
    <t>NO</t>
  </si>
  <si>
    <t xml:space="preserve">CODIGO </t>
  </si>
  <si>
    <t>Contaduria General de la Provincia</t>
  </si>
  <si>
    <t>TOTAL DE PESOS: Doscientos Cincuenta y Siete mil Cuarenta y Cuatro con 00/100.-</t>
  </si>
  <si>
    <t>Contaduría General de la Provincia</t>
  </si>
  <si>
    <t>08/2021</t>
  </si>
  <si>
    <t>2.3.1-6563.763</t>
  </si>
  <si>
    <t>PAPELES EN HOJA; TIPO DE PAPEL: MULTIFUNCION, DIMENSION: 21 X 29,7 Cm, GRAMAJE: 80 GR/M2, PRESENTACION: ENVASE X 500 HOJAS, CERTIFICADO FORESTAL (GFS): SIN</t>
  </si>
  <si>
    <t>2.3.1-6563.936</t>
  </si>
  <si>
    <t>PAPELES EN HOJA; TIPO DE PAPEL: MULTIFUNCION, DIMENSION: 21,59 X 35,56 Cm, GRAMAJE: 80 GR, PRESENTACION: RESMA X 500 HOJAS, CERTIFICADO FORESTAL (GFS): SIN, PORC. FIBRAS RECICLADAS: 0 %, CERT. FIBRA ALTERNATIVA (FCA): SIN</t>
  </si>
  <si>
    <t>2.9.2-274.3</t>
  </si>
  <si>
    <t>BIBLIORATOS; ANCHO 80mm - ANILLO 2 Y PALANCA - TAMAÑO OFICIO - MATERIAL CARTON</t>
  </si>
  <si>
    <t>2.9.2-1358.353</t>
  </si>
  <si>
    <t>CARPETAS; MATERIAL PLASTICO - TAMAÑO A4.</t>
  </si>
  <si>
    <t>2.9.2-1358.354</t>
  </si>
  <si>
    <t>CARPETAS; MATERIAL PLASTICO - TAMAÑO OFICIO.</t>
  </si>
  <si>
    <t>2.9.2-1611.22</t>
  </si>
  <si>
    <t>FOLIOS TRANSPARENTES; TAMAÑO: OFICIO, PERFORACIONES: 11, MATERIAL: POLIPROPILENO</t>
  </si>
  <si>
    <t>2.9.2-1611.23</t>
  </si>
  <si>
    <t>FOLIOS TRANSPARENTES; TAMAÑO: A4, PERFORACIONES: 11, MATERIAL: POLIPROPILENO</t>
  </si>
  <si>
    <t>2.3.1-6587.295</t>
  </si>
  <si>
    <t>PAPELES ENCUADERNADOS; CANT. DE HOJAS: 80 HOJAS, TAMAÑO: A5, TIPO: BLOCK ESPIRALADO, CERTIFICADO FORESTAL (GFS): CON, PORC. FIBRAS RECICLADAS: 0 %, CERT. FIBRA ALTERNATIVA (FCA): SIN</t>
  </si>
  <si>
    <t>2.9.2-858.7</t>
  </si>
  <si>
    <t>PERFORADORAS; DIST. ENTRE AGUJ.: FIJO, N° PERFORACIONES: 2, MATERIAL ESTRUCTURA: FUNDICION HIERRO BASE MADERA, GUIA POSICION PAPEL: CON, TAMAÑO: GRANDE, MATERIAL: FUNDICION HIERRO BASE MADERA</t>
  </si>
  <si>
    <t>2.9.2-317.17</t>
  </si>
  <si>
    <t>BOLIGRAFOS; TRAZO: GRUESO, COLOR TINTA: NEGRO</t>
  </si>
  <si>
    <t>2.9.2-317.32</t>
  </si>
  <si>
    <t>BOLIGRAFOS; TRAZO: 0,8 mm</t>
  </si>
  <si>
    <t>2.9.2-848.5</t>
  </si>
  <si>
    <t>LAPIZ; TIPO: COMUN NRO 2, COLOR: NEGRO</t>
  </si>
  <si>
    <t>2.9.2-758.18</t>
  </si>
  <si>
    <t>TIJERAS P/CORTAR PAPELES; LONG.DE CUERPO: 17 Cm, MATERIAL: ACERO INOXIDABLE, CUCHILLA: REDONDEADAS, MANGO: PLASTICO</t>
  </si>
  <si>
    <t>2.9.2-661.25</t>
  </si>
  <si>
    <t>GOMAS DE BORRAR; USO: LAPIZ Y TINTA, DIMENSION: 55 X 17 mm, MATERIAL: CAUCHO, CANT. X CAJA: UNIDAD, PRESENTACION: UNIDAD</t>
  </si>
  <si>
    <t>3° Trimestre</t>
  </si>
  <si>
    <t>PAQUETE</t>
  </si>
  <si>
    <t>CAJA</t>
  </si>
  <si>
    <r>
      <t xml:space="preserve">Autorizo la realización de los  trámites correspondientes, a fin de proveer a  este Organismo los bienes y/o servicios que se detallan en Nota  de Pedido </t>
    </r>
    <r>
      <rPr>
        <b/>
        <sz val="11"/>
        <rFont val="Arial"/>
        <family val="2"/>
      </rPr>
      <t>N° 08/2021</t>
    </r>
    <r>
      <rPr>
        <sz val="11"/>
        <rFont val="Arial"/>
        <family val="2"/>
        <charset val="1"/>
      </rPr>
      <t>,  afectando la erogación resultante a los créditos presupuestarios aprobados a favor de esta Unidad Ejecutora, conforme al siguiente detalle:</t>
    </r>
  </si>
  <si>
    <t>EJERCICIO: 2021</t>
  </si>
  <si>
    <t>Pedido de Necesidades Trimestrales</t>
  </si>
  <si>
    <t>JURISDICCION:</t>
  </si>
  <si>
    <t>30 - MINISTERIO DE HACIENDA PUBLICA</t>
  </si>
  <si>
    <t xml:space="preserve">SAF N°: </t>
  </si>
  <si>
    <t>UNIDAD EJECUTORA</t>
  </si>
  <si>
    <t>CONTADURIA GENERAL DE LA PROVINCIA</t>
  </si>
  <si>
    <t>EJERCICIO:</t>
  </si>
  <si>
    <t>TRIMESTRE:</t>
  </si>
  <si>
    <t>CODIGO ITEM</t>
  </si>
  <si>
    <t>RUBRO DE COMPRA</t>
  </si>
  <si>
    <t xml:space="preserve">I.P.P. </t>
  </si>
  <si>
    <t>LIBRERIA,PAP. Y UTILES OFICINA</t>
  </si>
  <si>
    <t>2.9.2</t>
  </si>
  <si>
    <t xml:space="preserve">IMPORTE TOTAL ESTIMADO </t>
  </si>
  <si>
    <t>Costo total estimado Rubro: LIBRERIA,PAP. Y UTILES OFICINA</t>
  </si>
  <si>
    <t>ADQUISICIÓN DE ARTÍCULOS DE LIBRERÍA DESTINADOS AL FUNCIONAMIENTO DE C.G.P- MHP</t>
  </si>
  <si>
    <t>Descripción técnica</t>
  </si>
  <si>
    <t>Papel - tamaño A4 - 80g - resmas por 500 hojas</t>
  </si>
  <si>
    <t>SI</t>
  </si>
  <si>
    <t>Papel - tamaño Oficio - 80g - resmas por 500 hojas</t>
  </si>
  <si>
    <t>Especificidades Item Nº4:</t>
  </si>
  <si>
    <t>Especificidades Item N° 06:</t>
  </si>
  <si>
    <t>Folios - tamaño Oficio - paquete por 100 unidades.</t>
  </si>
  <si>
    <t>Especificidades Item N°07:</t>
  </si>
  <si>
    <t>Folios - tamaño A4 - paquete por 100 unidades.</t>
  </si>
  <si>
    <t>Especificidades Item N° 09:</t>
  </si>
  <si>
    <t>Cuadernos:  hojas cuadriculadas-Paquete por 5 unidades</t>
  </si>
  <si>
    <t>Especificidades Item N° 14:</t>
  </si>
  <si>
    <t>Bolígrafo trazo grueso-Color Azúl -Caja por 50 unidades</t>
  </si>
  <si>
    <t>Lapiz en caja por 12 unidades</t>
  </si>
  <si>
    <t>Notas autoadhesivas-Colores fluor: amarillo,verde y naranja</t>
  </si>
  <si>
    <t>Goma de borrar-Presentación: Caja por 36 unidades</t>
  </si>
  <si>
    <t>Especificidades Item N° 21:</t>
  </si>
  <si>
    <t>Corrector: Caja por 12 unidades</t>
  </si>
  <si>
    <t>Especificidades Item N° 15:</t>
  </si>
  <si>
    <t>Especificidades Item N°16:</t>
  </si>
  <si>
    <t>Bolígrafo trazo fino-Color Azúl -Caja por 50 unidades</t>
  </si>
  <si>
    <t>Bolígrafo trazo fino-Color Negro-Caja por 50 unidades</t>
  </si>
  <si>
    <t>Especificidades Item N° 18:</t>
  </si>
  <si>
    <t>Especificidades Item N°19:</t>
  </si>
  <si>
    <t>Especificidades Item N° 22:</t>
  </si>
  <si>
    <t>Especificidades Item N° 01:</t>
  </si>
  <si>
    <t>Especificidades Item N°02:</t>
  </si>
  <si>
    <t>Especificidades Item N°05:</t>
  </si>
  <si>
    <t>3º</t>
  </si>
  <si>
    <t>09 - DIRECCION PROVINCIAL DE ADMINISTRACION DE LA SECRETARIA DE FINANZAS PUBLICAS</t>
  </si>
  <si>
    <t>Adquisición de Artículos de Librería.</t>
  </si>
  <si>
    <t>029</t>
  </si>
  <si>
    <r>
      <t xml:space="preserve">  </t>
    </r>
    <r>
      <rPr>
        <u/>
        <sz val="10"/>
        <rFont val="Arial"/>
        <family val="2"/>
        <charset val="1"/>
      </rPr>
      <t>Plazos y lugares de entrega ( para todos los Items):</t>
    </r>
  </si>
  <si>
    <t>El plazo de entrega  no podrá ser superior a los Treinta (30) días hábiles a partir de la fecha de recepción de la respectiva Orden de Compra en el domicilio especial electrónico constituido, en virtud del método de contratación. La entrega de dichos bienes se realizará en el Ministerio de Hacienda Pública, en las oficinas de Contaduría General de la Provincia, sito en Avda.Venezuela S/Nº-Pabellón Nº21-C.A.P.E.San Fernando del Valle de Catamarca..
  Manteniniento de Oferta: 45 días</t>
  </si>
  <si>
    <t>Especificidades Item N° 13:</t>
  </si>
  <si>
    <t>Bolígrafo trazo grueso-Color Negro -Caja por 50 unidades</t>
  </si>
  <si>
    <t>Carpeta base opaca-Colores: azul(25 u)-celeste(25 u)-negro (25 u) y verde (25 u)</t>
  </si>
  <si>
    <t>Carpeta base opaca-Colores: azul (25 u )-celeste (25 u )-negro (25 u)-rojo (25 u) y verde (20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</si>
</sst>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dd\-mm\-yy;@"/>
    <numFmt numFmtId="168" formatCode="&quot;$&quot;\ #,##0.00"/>
    <numFmt numFmtId="169" formatCode="_-[$$-2C0A]\ * #,##0.00_-;\-[$$-2C0A]\ * #,##0.00_-;_-[$$-2C0A]\ * &quot;-&quot;??_-;_-@_-"/>
  </numFmts>
  <fonts count="32"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sz val="10"/>
      <color rgb="FF000000"/>
      <name val="Times New Roman"/>
      <family val="1"/>
    </font>
    <font>
      <sz val="10"/>
      <name val="Arial"/>
      <family val="2"/>
    </font>
    <font>
      <sz val="8"/>
      <name val="Arial"/>
      <family val="2"/>
    </font>
    <font>
      <sz val="11"/>
      <name val="Arial"/>
      <family val="2"/>
    </font>
    <font>
      <b/>
      <sz val="11"/>
      <name val="Arial"/>
      <family val="2"/>
    </font>
    <font>
      <b/>
      <sz val="12"/>
      <name val="Times New Roman"/>
      <family val="1"/>
    </font>
    <font>
      <sz val="10"/>
      <name val="Times New Roman"/>
      <family val="1"/>
    </font>
    <font>
      <b/>
      <u/>
      <sz val="22"/>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11"/>
      <name val="Arial"/>
      <family val="2"/>
    </font>
    <font>
      <u/>
      <sz val="10"/>
      <name val="Arial"/>
      <family val="2"/>
      <charset val="1"/>
    </font>
    <font>
      <sz val="12"/>
      <name val="Times New Roman"/>
      <family val="1"/>
    </font>
    <font>
      <sz val="10"/>
      <name val="Arial"/>
      <charset val="1"/>
    </font>
    <font>
      <u/>
      <sz val="12"/>
      <name val="Times New Roman"/>
      <family val="1"/>
    </font>
  </fonts>
  <fills count="9">
    <fill>
      <patternFill patternType="none"/>
    </fill>
    <fill>
      <patternFill patternType="gray125"/>
    </fill>
    <fill>
      <patternFill patternType="solid">
        <fgColor rgb="FFFFFF99"/>
        <bgColor rgb="FFFFFFCC"/>
      </patternFill>
    </fill>
    <fill>
      <patternFill patternType="solid">
        <fgColor theme="0"/>
        <bgColor rgb="FFC0C0C0"/>
      </patternFill>
    </fill>
    <fill>
      <patternFill patternType="solid">
        <fgColor rgb="FFFFFFFF"/>
        <bgColor indexed="64"/>
      </patternFill>
    </fill>
    <fill>
      <patternFill patternType="solid">
        <fgColor theme="0"/>
        <bgColor indexed="64"/>
      </patternFill>
    </fill>
    <fill>
      <patternFill patternType="solid">
        <fgColor theme="0"/>
        <bgColor rgb="FFCCFFFF"/>
      </patternFill>
    </fill>
    <fill>
      <patternFill patternType="solid">
        <fgColor theme="0"/>
        <bgColor rgb="FFFFFF00"/>
      </patternFill>
    </fill>
    <fill>
      <patternFill patternType="solid">
        <fgColor theme="0" tint="-0.14999847407452621"/>
        <bgColor rgb="FFCCFFFF"/>
      </patternFill>
    </fill>
  </fills>
  <borders count="60">
    <border>
      <left/>
      <right/>
      <top/>
      <bottom/>
      <diagonal/>
    </border>
    <border>
      <left/>
      <right/>
      <top/>
      <bottom style="thick">
        <color rgb="FF33CCCC"/>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indexed="64"/>
      </left>
      <right style="thick">
        <color rgb="FF000000"/>
      </right>
      <top style="medium">
        <color indexed="64"/>
      </top>
      <bottom style="medium">
        <color indexed="64"/>
      </bottom>
      <diagonal/>
    </border>
    <border>
      <left style="thick">
        <color rgb="FF000000"/>
      </left>
      <right style="thick">
        <color rgb="FF000000"/>
      </right>
      <top style="medium">
        <color indexed="64"/>
      </top>
      <bottom style="medium">
        <color indexed="64"/>
      </bottom>
      <diagonal/>
    </border>
    <border>
      <left style="thin">
        <color indexed="64"/>
      </left>
      <right style="thin">
        <color indexed="64"/>
      </right>
      <top/>
      <bottom style="thin">
        <color indexed="64"/>
      </bottom>
      <diagonal/>
    </border>
    <border>
      <left style="medium">
        <color rgb="FF000000"/>
      </left>
      <right/>
      <top style="thin">
        <color rgb="FF000000"/>
      </top>
      <bottom style="thin">
        <color rgb="FF000000"/>
      </bottom>
      <diagonal/>
    </border>
    <border>
      <left style="medium">
        <color indexed="64"/>
      </left>
      <right/>
      <top/>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s>
  <cellStyleXfs count="5">
    <xf numFmtId="0" fontId="0" fillId="0" borderId="0"/>
    <xf numFmtId="165" fontId="13" fillId="0" borderId="0" applyBorder="0" applyProtection="0"/>
    <xf numFmtId="0" fontId="1" fillId="0" borderId="1" applyProtection="0"/>
    <xf numFmtId="164" fontId="2" fillId="0" borderId="0" applyBorder="0" applyProtection="0"/>
    <xf numFmtId="0" fontId="3" fillId="2" borderId="0" applyBorder="0" applyProtection="0"/>
  </cellStyleXfs>
  <cellXfs count="179">
    <xf numFmtId="0" fontId="0" fillId="0" borderId="0" xfId="0"/>
    <xf numFmtId="0" fontId="0" fillId="0" borderId="0" xfId="0" applyBorder="1"/>
    <xf numFmtId="0" fontId="2" fillId="0" borderId="0" xfId="0" applyFont="1" applyBorder="1" applyAlignment="1">
      <alignment vertical="center"/>
    </xf>
    <xf numFmtId="0" fontId="5" fillId="0" borderId="4"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0" fontId="2" fillId="0" borderId="0" xfId="0" applyFont="1"/>
    <xf numFmtId="0" fontId="0" fillId="0" borderId="2" xfId="0" applyBorder="1"/>
    <xf numFmtId="0" fontId="0" fillId="0" borderId="15" xfId="0" applyBorder="1"/>
    <xf numFmtId="0" fontId="0" fillId="0" borderId="4" xfId="0" applyBorder="1"/>
    <xf numFmtId="0" fontId="0" fillId="0" borderId="4" xfId="0" applyBorder="1" applyAlignment="1">
      <alignment horizontal="left"/>
    </xf>
    <xf numFmtId="0" fontId="0" fillId="0" borderId="16" xfId="0" applyBorder="1"/>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2" fillId="0" borderId="19" xfId="0" applyFont="1" applyBorder="1" applyAlignment="1">
      <alignment horizontal="left" vertical="center"/>
    </xf>
    <xf numFmtId="0" fontId="12" fillId="0" borderId="20" xfId="0" applyFont="1" applyBorder="1" applyAlignment="1">
      <alignment horizontal="center" vertical="center"/>
    </xf>
    <xf numFmtId="0" fontId="12" fillId="0" borderId="14" xfId="0" applyFont="1" applyBorder="1" applyAlignment="1">
      <alignment horizontal="center" vertical="center"/>
    </xf>
    <xf numFmtId="0" fontId="0" fillId="0" borderId="25" xfId="0" applyFont="1" applyBorder="1" applyAlignment="1">
      <alignment horizontal="center" vertical="center"/>
    </xf>
    <xf numFmtId="0" fontId="0" fillId="0" borderId="26" xfId="0"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166" fontId="0" fillId="0" borderId="29" xfId="3" applyNumberFormat="1" applyFont="1" applyBorder="1" applyAlignment="1" applyProtection="1">
      <alignment horizontal="center" vertic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0" fillId="0" borderId="28" xfId="0"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166" fontId="0" fillId="0" borderId="33" xfId="3" applyNumberFormat="1" applyFont="1" applyBorder="1" applyAlignment="1" applyProtection="1">
      <alignment horizontal="center" vertical="center"/>
    </xf>
    <xf numFmtId="166" fontId="12" fillId="0" borderId="34" xfId="0" applyNumberFormat="1" applyFont="1" applyBorder="1" applyAlignment="1">
      <alignment horizontal="center" vertical="center"/>
    </xf>
    <xf numFmtId="0" fontId="0" fillId="0" borderId="25" xfId="0" applyFont="1" applyFill="1" applyBorder="1" applyAlignment="1">
      <alignment horizontal="center" vertical="center"/>
    </xf>
    <xf numFmtId="0" fontId="0" fillId="0" borderId="26" xfId="0" applyFont="1" applyFill="1" applyBorder="1" applyAlignment="1">
      <alignment horizontal="center" vertical="center"/>
    </xf>
    <xf numFmtId="0" fontId="0" fillId="0" borderId="27" xfId="0" applyFont="1" applyFill="1" applyBorder="1" applyAlignment="1">
      <alignment horizontal="center" vertical="center"/>
    </xf>
    <xf numFmtId="0" fontId="0" fillId="0" borderId="28" xfId="0" applyFont="1" applyFill="1" applyBorder="1" applyAlignment="1">
      <alignment horizontal="center" vertical="center"/>
    </xf>
    <xf numFmtId="0" fontId="15" fillId="4" borderId="40" xfId="0" applyFont="1" applyFill="1" applyBorder="1" applyAlignment="1">
      <alignment horizontal="center" vertical="center" wrapText="1"/>
    </xf>
    <xf numFmtId="0" fontId="0" fillId="5" borderId="22" xfId="0" applyFont="1" applyFill="1" applyBorder="1" applyAlignment="1">
      <alignment horizontal="center" vertical="center"/>
    </xf>
    <xf numFmtId="0" fontId="0" fillId="5" borderId="23" xfId="0" applyFont="1" applyFill="1" applyBorder="1" applyAlignment="1">
      <alignment horizontal="center" vertical="center"/>
    </xf>
    <xf numFmtId="169" fontId="0" fillId="5" borderId="24" xfId="3" applyNumberFormat="1" applyFont="1" applyFill="1" applyBorder="1" applyAlignment="1" applyProtection="1">
      <alignment horizontal="center" vertical="center"/>
    </xf>
    <xf numFmtId="0" fontId="0" fillId="5" borderId="26" xfId="0" applyFont="1" applyFill="1" applyBorder="1" applyAlignment="1">
      <alignment horizontal="center" vertical="center"/>
    </xf>
    <xf numFmtId="0" fontId="0" fillId="5" borderId="27" xfId="0" applyFont="1" applyFill="1" applyBorder="1" applyAlignment="1">
      <alignment horizontal="center" vertical="center"/>
    </xf>
    <xf numFmtId="0" fontId="0" fillId="5" borderId="28" xfId="0" applyFont="1" applyFill="1" applyBorder="1" applyAlignment="1">
      <alignment horizontal="center" vertical="center"/>
    </xf>
    <xf numFmtId="0" fontId="0" fillId="5" borderId="0" xfId="0" applyFill="1"/>
    <xf numFmtId="0" fontId="18" fillId="5" borderId="44" xfId="0" applyFont="1" applyFill="1" applyBorder="1" applyAlignment="1">
      <alignment horizontal="left" vertical="center" wrapText="1"/>
    </xf>
    <xf numFmtId="0" fontId="18" fillId="3" borderId="41" xfId="0" applyFont="1" applyFill="1" applyBorder="1" applyAlignment="1">
      <alignment horizontal="center" vertical="center" wrapText="1"/>
    </xf>
    <xf numFmtId="169" fontId="13" fillId="5" borderId="29" xfId="1" applyNumberFormat="1" applyFill="1" applyBorder="1" applyAlignment="1" applyProtection="1">
      <alignment vertical="center"/>
    </xf>
    <xf numFmtId="0" fontId="18" fillId="0" borderId="44" xfId="0" applyFont="1" applyFill="1" applyBorder="1" applyAlignment="1">
      <alignment horizontal="center" vertical="center"/>
    </xf>
    <xf numFmtId="168" fontId="18" fillId="0" borderId="44" xfId="0" applyNumberFormat="1" applyFont="1" applyFill="1" applyBorder="1" applyAlignment="1">
      <alignment horizontal="center" vertical="center"/>
    </xf>
    <xf numFmtId="1" fontId="18" fillId="0" borderId="44" xfId="0" applyNumberFormat="1" applyFont="1" applyFill="1" applyBorder="1" applyAlignment="1">
      <alignment horizontal="center" vertical="center"/>
    </xf>
    <xf numFmtId="0" fontId="19" fillId="6" borderId="38" xfId="0" applyFont="1" applyFill="1" applyBorder="1" applyAlignment="1">
      <alignment horizontal="center" vertical="center" wrapText="1"/>
    </xf>
    <xf numFmtId="0" fontId="19" fillId="6" borderId="39" xfId="0" applyFont="1" applyFill="1" applyBorder="1" applyAlignment="1">
      <alignment horizontal="center" vertical="center" wrapText="1"/>
    </xf>
    <xf numFmtId="0" fontId="19" fillId="6" borderId="6" xfId="0" applyFont="1" applyFill="1" applyBorder="1" applyAlignment="1">
      <alignment horizontal="center" vertical="center" wrapText="1"/>
    </xf>
    <xf numFmtId="168" fontId="19" fillId="6" borderId="39" xfId="0" applyNumberFormat="1" applyFont="1" applyFill="1" applyBorder="1" applyAlignment="1">
      <alignment horizontal="center" vertical="center" wrapText="1"/>
    </xf>
    <xf numFmtId="0" fontId="5" fillId="5" borderId="2" xfId="0" applyFont="1" applyFill="1" applyBorder="1" applyAlignment="1">
      <alignment horizontal="right" vertical="center"/>
    </xf>
    <xf numFmtId="49" fontId="6" fillId="7" borderId="3" xfId="0" applyNumberFormat="1" applyFont="1" applyFill="1" applyBorder="1" applyAlignment="1">
      <alignment horizontal="right" vertical="center"/>
    </xf>
    <xf numFmtId="0" fontId="14" fillId="0" borderId="40" xfId="0" applyFont="1" applyBorder="1" applyAlignment="1">
      <alignment horizontal="center" vertical="center" wrapText="1"/>
    </xf>
    <xf numFmtId="3" fontId="8" fillId="5" borderId="0" xfId="0" applyNumberFormat="1" applyFont="1" applyFill="1" applyBorder="1" applyAlignment="1"/>
    <xf numFmtId="167" fontId="0" fillId="5" borderId="0" xfId="0" applyNumberFormat="1" applyFill="1" applyAlignment="1">
      <alignment horizontal="left"/>
    </xf>
    <xf numFmtId="0" fontId="0" fillId="5" borderId="0" xfId="0" applyFill="1" applyAlignment="1">
      <alignment horizontal="left"/>
    </xf>
    <xf numFmtId="49" fontId="0" fillId="5" borderId="21" xfId="0" applyNumberFormat="1" applyFont="1" applyFill="1" applyBorder="1" applyAlignment="1">
      <alignment horizontal="center" vertical="center"/>
    </xf>
    <xf numFmtId="0" fontId="21" fillId="0" borderId="42" xfId="0" applyFont="1" applyBorder="1"/>
    <xf numFmtId="0" fontId="21" fillId="5" borderId="43" xfId="0" applyFont="1" applyFill="1" applyBorder="1"/>
    <xf numFmtId="0" fontId="21" fillId="0" borderId="0" xfId="0" applyFont="1"/>
    <xf numFmtId="0" fontId="21" fillId="0" borderId="45" xfId="0" applyFont="1" applyBorder="1"/>
    <xf numFmtId="0" fontId="21" fillId="0" borderId="46" xfId="0" applyFont="1" applyBorder="1" applyAlignment="1">
      <alignment horizontal="center" vertical="center"/>
    </xf>
    <xf numFmtId="0" fontId="21" fillId="0" borderId="46" xfId="0" applyFont="1" applyBorder="1" applyAlignment="1">
      <alignment horizontal="center"/>
    </xf>
    <xf numFmtId="0" fontId="23" fillId="0" borderId="46" xfId="0" applyFont="1" applyBorder="1" applyAlignment="1">
      <alignment horizontal="left" vertical="center" wrapText="1"/>
    </xf>
    <xf numFmtId="0" fontId="21" fillId="0" borderId="46" xfId="0" applyFont="1" applyBorder="1"/>
    <xf numFmtId="168" fontId="21" fillId="0" borderId="46" xfId="0" applyNumberFormat="1" applyFont="1" applyBorder="1" applyAlignment="1">
      <alignment horizontal="center"/>
    </xf>
    <xf numFmtId="0" fontId="21" fillId="5" borderId="52" xfId="0" applyFont="1" applyFill="1" applyBorder="1"/>
    <xf numFmtId="0" fontId="25" fillId="5" borderId="0" xfId="0" applyFont="1" applyFill="1" applyBorder="1" applyAlignment="1">
      <alignment horizontal="left" wrapText="1"/>
    </xf>
    <xf numFmtId="0" fontId="25" fillId="5" borderId="0" xfId="0" applyFont="1" applyFill="1" applyBorder="1" applyAlignment="1">
      <alignment horizontal="center" wrapText="1"/>
    </xf>
    <xf numFmtId="168" fontId="25" fillId="5" borderId="0" xfId="0" applyNumberFormat="1" applyFont="1" applyFill="1" applyBorder="1" applyAlignment="1">
      <alignment horizontal="center" wrapText="1"/>
    </xf>
    <xf numFmtId="0" fontId="26" fillId="5" borderId="43" xfId="0" applyFont="1" applyFill="1" applyBorder="1"/>
    <xf numFmtId="0" fontId="24" fillId="3" borderId="0" xfId="0" applyFont="1" applyFill="1" applyBorder="1" applyAlignment="1">
      <alignment horizontal="left" vertical="center" wrapText="1"/>
    </xf>
    <xf numFmtId="0" fontId="24" fillId="3" borderId="0" xfId="0" applyFont="1" applyFill="1" applyBorder="1" applyAlignment="1">
      <alignment horizontal="center" wrapText="1"/>
    </xf>
    <xf numFmtId="0" fontId="27" fillId="8" borderId="53" xfId="0" applyFont="1" applyFill="1" applyBorder="1" applyAlignment="1">
      <alignment horizontal="center" vertical="center" wrapText="1"/>
    </xf>
    <xf numFmtId="0" fontId="27" fillId="8" borderId="54" xfId="0" applyFont="1" applyFill="1" applyBorder="1" applyAlignment="1">
      <alignment horizontal="center" vertical="center" wrapText="1"/>
    </xf>
    <xf numFmtId="168" fontId="27" fillId="8" borderId="54" xfId="0" applyNumberFormat="1" applyFont="1" applyFill="1" applyBorder="1" applyAlignment="1">
      <alignment horizontal="center" vertical="center" wrapText="1"/>
    </xf>
    <xf numFmtId="0" fontId="27" fillId="8" borderId="55" xfId="0" applyFont="1" applyFill="1" applyBorder="1" applyAlignment="1">
      <alignment horizontal="center" vertical="center" wrapText="1"/>
    </xf>
    <xf numFmtId="0" fontId="26" fillId="3" borderId="50" xfId="0" applyFont="1" applyFill="1" applyBorder="1" applyAlignment="1">
      <alignment horizontal="center" vertical="center"/>
    </xf>
    <xf numFmtId="0" fontId="26" fillId="0" borderId="51" xfId="0" applyFont="1" applyBorder="1" applyAlignment="1">
      <alignment horizontal="left" vertical="center" wrapText="1"/>
    </xf>
    <xf numFmtId="0" fontId="26" fillId="0" borderId="51" xfId="0" applyFont="1" applyFill="1" applyBorder="1" applyAlignment="1">
      <alignment horizontal="center" vertical="center" wrapText="1"/>
    </xf>
    <xf numFmtId="0" fontId="25" fillId="0" borderId="40" xfId="0" applyFont="1" applyFill="1" applyBorder="1" applyAlignment="1">
      <alignment horizontal="center" vertical="center" wrapText="1"/>
    </xf>
    <xf numFmtId="0" fontId="26" fillId="0" borderId="51" xfId="0" applyFont="1" applyFill="1" applyBorder="1" applyAlignment="1">
      <alignment horizontal="left" vertical="center" wrapText="1"/>
    </xf>
    <xf numFmtId="0" fontId="26" fillId="0" borderId="51" xfId="0" applyFont="1" applyBorder="1" applyAlignment="1">
      <alignment horizontal="center" vertical="center"/>
    </xf>
    <xf numFmtId="0" fontId="26" fillId="0" borderId="51" xfId="0" applyFont="1" applyFill="1" applyBorder="1" applyAlignment="1">
      <alignment horizontal="center" vertical="center"/>
    </xf>
    <xf numFmtId="168" fontId="26" fillId="0" borderId="51" xfId="0" applyNumberFormat="1" applyFont="1" applyFill="1" applyBorder="1" applyAlignment="1">
      <alignment horizontal="center" vertical="center"/>
    </xf>
    <xf numFmtId="168" fontId="26" fillId="5" borderId="51" xfId="0" applyNumberFormat="1" applyFont="1" applyFill="1" applyBorder="1" applyAlignment="1">
      <alignment vertical="center"/>
    </xf>
    <xf numFmtId="0" fontId="26" fillId="0" borderId="44" xfId="0" applyFont="1" applyBorder="1" applyAlignment="1">
      <alignment horizontal="left" vertical="center" wrapText="1"/>
    </xf>
    <xf numFmtId="0" fontId="26" fillId="0" borderId="44" xfId="0" applyFont="1" applyBorder="1" applyAlignment="1">
      <alignment horizontal="center" vertical="center" wrapText="1"/>
    </xf>
    <xf numFmtId="0" fontId="25" fillId="0" borderId="49" xfId="0" applyFont="1" applyFill="1" applyBorder="1" applyAlignment="1">
      <alignment horizontal="center" vertical="center" wrapText="1"/>
    </xf>
    <xf numFmtId="0" fontId="26" fillId="0" borderId="44" xfId="0" applyFont="1" applyFill="1" applyBorder="1" applyAlignment="1">
      <alignment horizontal="center" vertical="center"/>
    </xf>
    <xf numFmtId="168" fontId="26" fillId="0" borderId="44" xfId="0" applyNumberFormat="1" applyFont="1" applyFill="1" applyBorder="1" applyAlignment="1">
      <alignment horizontal="center" vertical="center"/>
    </xf>
    <xf numFmtId="168" fontId="26" fillId="5" borderId="44" xfId="0" applyNumberFormat="1" applyFont="1" applyFill="1" applyBorder="1" applyAlignment="1">
      <alignment vertical="center"/>
    </xf>
    <xf numFmtId="0" fontId="26" fillId="0" borderId="44" xfId="0" applyFont="1" applyBorder="1" applyAlignment="1">
      <alignment horizontal="left" vertical="center"/>
    </xf>
    <xf numFmtId="1" fontId="26" fillId="0" borderId="44" xfId="0" applyNumberFormat="1" applyFont="1" applyFill="1" applyBorder="1" applyAlignment="1">
      <alignment horizontal="center" vertical="center"/>
    </xf>
    <xf numFmtId="0" fontId="26" fillId="0" borderId="57" xfId="0" applyFont="1" applyBorder="1" applyAlignment="1">
      <alignment horizontal="left" vertical="center" wrapText="1"/>
    </xf>
    <xf numFmtId="0" fontId="26" fillId="0" borderId="57" xfId="0" applyFont="1" applyBorder="1" applyAlignment="1">
      <alignment horizontal="center" vertical="center" wrapText="1"/>
    </xf>
    <xf numFmtId="0" fontId="25" fillId="0" borderId="58" xfId="0" applyFont="1" applyFill="1" applyBorder="1" applyAlignment="1">
      <alignment horizontal="center" vertical="center" wrapText="1"/>
    </xf>
    <xf numFmtId="0" fontId="26" fillId="0" borderId="57" xfId="0" applyFont="1" applyFill="1" applyBorder="1" applyAlignment="1">
      <alignment horizontal="center" vertical="center"/>
    </xf>
    <xf numFmtId="168" fontId="26" fillId="0" borderId="57" xfId="0" applyNumberFormat="1" applyFont="1" applyFill="1" applyBorder="1" applyAlignment="1">
      <alignment horizontal="center" vertical="center"/>
    </xf>
    <xf numFmtId="168" fontId="27" fillId="8" borderId="56" xfId="0" applyNumberFormat="1" applyFont="1" applyFill="1" applyBorder="1" applyAlignment="1">
      <alignment vertical="center"/>
    </xf>
    <xf numFmtId="0" fontId="21" fillId="0" borderId="0" xfId="0" applyFont="1" applyBorder="1"/>
    <xf numFmtId="0" fontId="29" fillId="0" borderId="0" xfId="0" applyFont="1"/>
    <xf numFmtId="0" fontId="26" fillId="0" borderId="42" xfId="0" applyFont="1" applyBorder="1" applyAlignment="1"/>
    <xf numFmtId="0" fontId="26" fillId="0" borderId="0" xfId="0" applyFont="1" applyBorder="1" applyAlignment="1"/>
    <xf numFmtId="0" fontId="26" fillId="0" borderId="43" xfId="0" applyFont="1" applyBorder="1" applyAlignment="1"/>
    <xf numFmtId="0" fontId="30" fillId="0" borderId="0" xfId="0" applyFont="1" applyAlignment="1"/>
    <xf numFmtId="0" fontId="31" fillId="0" borderId="47" xfId="0" applyFont="1" applyBorder="1"/>
    <xf numFmtId="0" fontId="29" fillId="0" borderId="48" xfId="0" applyFont="1" applyBorder="1"/>
    <xf numFmtId="0" fontId="29" fillId="0" borderId="59" xfId="0" applyFont="1" applyBorder="1" applyAlignment="1">
      <alignment vertical="center" wrapText="1"/>
    </xf>
    <xf numFmtId="0" fontId="29" fillId="0" borderId="42" xfId="0" applyFont="1" applyBorder="1"/>
    <xf numFmtId="0" fontId="29" fillId="0" borderId="0" xfId="0" applyFont="1" applyBorder="1"/>
    <xf numFmtId="0" fontId="29" fillId="0" borderId="43" xfId="0" applyFont="1" applyBorder="1" applyAlignment="1">
      <alignment vertical="center" wrapText="1"/>
    </xf>
    <xf numFmtId="0" fontId="31" fillId="0" borderId="42" xfId="0" applyFont="1" applyBorder="1" applyAlignment="1">
      <alignment horizontal="left" indent="3"/>
    </xf>
    <xf numFmtId="0" fontId="31" fillId="0" borderId="45" xfId="0" applyFont="1" applyBorder="1" applyAlignment="1">
      <alignment horizontal="left" indent="3"/>
    </xf>
    <xf numFmtId="0" fontId="29" fillId="0" borderId="45" xfId="0" applyFont="1" applyBorder="1" applyAlignment="1">
      <alignment horizontal="left" indent="3"/>
    </xf>
    <xf numFmtId="0" fontId="29" fillId="0" borderId="46" xfId="0" applyFont="1" applyBorder="1"/>
    <xf numFmtId="0" fontId="29" fillId="0" borderId="52" xfId="0" applyFont="1" applyBorder="1" applyAlignment="1">
      <alignment vertical="center" wrapText="1"/>
    </xf>
    <xf numFmtId="0" fontId="29" fillId="0" borderId="0" xfId="0" applyFont="1" applyBorder="1" applyAlignment="1">
      <alignment vertical="center" wrapText="1"/>
    </xf>
    <xf numFmtId="0" fontId="29" fillId="0" borderId="0" xfId="0" applyFont="1" applyBorder="1" applyAlignment="1">
      <alignment horizontal="left" indent="3"/>
    </xf>
    <xf numFmtId="0" fontId="21" fillId="5" borderId="0" xfId="0" applyFont="1" applyFill="1"/>
    <xf numFmtId="0" fontId="29" fillId="7" borderId="0" xfId="0" applyFont="1" applyFill="1" applyBorder="1" applyAlignment="1">
      <alignment horizontal="left" vertical="center" wrapText="1"/>
    </xf>
    <xf numFmtId="0" fontId="29" fillId="7" borderId="43" xfId="0" applyFont="1" applyFill="1" applyBorder="1" applyAlignment="1">
      <alignment horizontal="left" vertical="center" wrapText="1"/>
    </xf>
    <xf numFmtId="0" fontId="26" fillId="0" borderId="47" xfId="0" applyFont="1" applyBorder="1" applyAlignment="1">
      <alignment horizontal="left" wrapText="1"/>
    </xf>
    <xf numFmtId="0" fontId="26" fillId="0" borderId="48" xfId="0" applyFont="1" applyBorder="1" applyAlignment="1">
      <alignment horizontal="left" wrapText="1"/>
    </xf>
    <xf numFmtId="0" fontId="26" fillId="0" borderId="59" xfId="0" applyFont="1" applyBorder="1" applyAlignment="1">
      <alignment horizontal="left" wrapText="1"/>
    </xf>
    <xf numFmtId="0" fontId="26" fillId="0" borderId="45" xfId="0" applyNumberFormat="1" applyFont="1" applyBorder="1" applyAlignment="1">
      <alignment horizontal="left" vertical="top" wrapText="1"/>
    </xf>
    <xf numFmtId="0" fontId="26" fillId="0" borderId="46" xfId="0" applyNumberFormat="1" applyFont="1" applyBorder="1" applyAlignment="1">
      <alignment horizontal="left" vertical="top" wrapText="1"/>
    </xf>
    <xf numFmtId="0" fontId="26" fillId="0" borderId="52" xfId="0" applyNumberFormat="1" applyFont="1" applyBorder="1" applyAlignment="1">
      <alignment horizontal="left" vertical="top" wrapText="1"/>
    </xf>
    <xf numFmtId="0" fontId="29" fillId="7" borderId="46" xfId="0" applyFont="1" applyFill="1" applyBorder="1" applyAlignment="1">
      <alignment horizontal="left" wrapText="1"/>
    </xf>
    <xf numFmtId="0" fontId="29" fillId="7" borderId="52" xfId="0" applyFont="1" applyFill="1" applyBorder="1" applyAlignment="1">
      <alignment horizontal="left" wrapText="1"/>
    </xf>
    <xf numFmtId="0" fontId="24" fillId="5" borderId="42" xfId="0" applyFont="1" applyFill="1" applyBorder="1" applyAlignment="1">
      <alignment horizontal="left" vertical="center" wrapText="1"/>
    </xf>
    <xf numFmtId="0" fontId="24" fillId="5" borderId="0" xfId="0" applyFont="1" applyFill="1" applyBorder="1" applyAlignment="1">
      <alignment horizontal="left" vertical="center" wrapText="1"/>
    </xf>
    <xf numFmtId="0" fontId="27" fillId="8" borderId="49" xfId="0" applyFont="1" applyFill="1" applyBorder="1" applyAlignment="1">
      <alignment horizontal="center" vertical="center" wrapText="1"/>
    </xf>
    <xf numFmtId="0" fontId="22" fillId="0" borderId="0" xfId="0" applyFont="1" applyBorder="1" applyAlignment="1">
      <alignment horizontal="center"/>
    </xf>
    <xf numFmtId="0" fontId="24" fillId="5" borderId="47" xfId="0" applyFont="1" applyFill="1" applyBorder="1" applyAlignment="1">
      <alignment horizontal="left" vertical="center" wrapText="1"/>
    </xf>
    <xf numFmtId="0" fontId="24" fillId="5" borderId="48" xfId="0" applyFont="1" applyFill="1" applyBorder="1" applyAlignment="1">
      <alignment horizontal="left" vertical="center" wrapText="1"/>
    </xf>
    <xf numFmtId="0" fontId="24" fillId="3" borderId="48" xfId="0" applyFont="1" applyFill="1" applyBorder="1" applyAlignment="1">
      <alignment horizontal="left" wrapText="1"/>
    </xf>
    <xf numFmtId="0" fontId="24" fillId="3" borderId="0" xfId="0" applyFont="1" applyFill="1" applyBorder="1" applyAlignment="1">
      <alignment horizontal="left" wrapText="1"/>
    </xf>
    <xf numFmtId="0" fontId="24" fillId="3" borderId="0" xfId="0" applyFont="1" applyFill="1" applyBorder="1" applyAlignment="1">
      <alignment wrapText="1"/>
    </xf>
    <xf numFmtId="0" fontId="20" fillId="0" borderId="8" xfId="0" applyFont="1" applyBorder="1" applyAlignment="1">
      <alignment horizontal="left" vertical="center"/>
    </xf>
    <xf numFmtId="0" fontId="6" fillId="0" borderId="9" xfId="0" applyFont="1" applyFill="1" applyBorder="1" applyAlignment="1">
      <alignment horizontal="left" vertical="center" wrapText="1" indent="1"/>
    </xf>
    <xf numFmtId="0" fontId="5" fillId="0" borderId="0" xfId="0" applyFont="1" applyBorder="1" applyAlignment="1">
      <alignment horizontal="center" vertical="center"/>
    </xf>
    <xf numFmtId="0" fontId="20" fillId="0" borderId="5" xfId="0" applyFont="1" applyBorder="1" applyAlignment="1">
      <alignment horizontal="left" vertical="center" wrapText="1"/>
    </xf>
    <xf numFmtId="0" fontId="6" fillId="0" borderId="6" xfId="0" applyFont="1" applyFill="1" applyBorder="1" applyAlignment="1">
      <alignment horizontal="left" vertical="center" wrapText="1" indent="1"/>
    </xf>
    <xf numFmtId="0" fontId="20" fillId="0" borderId="7" xfId="0" applyFont="1" applyBorder="1" applyAlignment="1">
      <alignment horizontal="left" vertical="center" wrapText="1"/>
    </xf>
    <xf numFmtId="0" fontId="8" fillId="0" borderId="10" xfId="0" applyFont="1" applyBorder="1" applyAlignment="1">
      <alignment vertical="center" wrapText="1"/>
    </xf>
    <xf numFmtId="0" fontId="8" fillId="0" borderId="35" xfId="0" applyFont="1" applyBorder="1" applyAlignment="1">
      <alignment vertical="center" wrapText="1"/>
    </xf>
    <xf numFmtId="0" fontId="8" fillId="0" borderId="9" xfId="0" applyFont="1" applyBorder="1" applyAlignment="1">
      <alignment vertical="center" wrapText="1"/>
    </xf>
    <xf numFmtId="0" fontId="10" fillId="0" borderId="17" xfId="0" applyFont="1" applyBorder="1" applyAlignment="1">
      <alignment vertical="center" wrapText="1"/>
    </xf>
    <xf numFmtId="0" fontId="10" fillId="0" borderId="34" xfId="0" applyFont="1" applyFill="1" applyBorder="1" applyAlignment="1">
      <alignment horizontal="left" vertical="center" wrapText="1" indent="1"/>
    </xf>
    <xf numFmtId="0" fontId="13" fillId="5" borderId="10" xfId="0" applyFont="1" applyFill="1" applyBorder="1" applyAlignment="1">
      <alignment horizontal="center"/>
    </xf>
    <xf numFmtId="0" fontId="0" fillId="5" borderId="10" xfId="0" applyFont="1" applyFill="1" applyBorder="1" applyAlignment="1">
      <alignment horizontal="center"/>
    </xf>
    <xf numFmtId="3" fontId="8" fillId="5" borderId="11" xfId="0" applyNumberFormat="1" applyFont="1" applyFill="1" applyBorder="1" applyAlignment="1">
      <alignment horizontal="center"/>
    </xf>
    <xf numFmtId="0" fontId="9" fillId="5" borderId="3" xfId="0" applyFont="1" applyFill="1" applyBorder="1" applyAlignment="1">
      <alignment horizontal="center" vertical="center" wrapText="1"/>
    </xf>
    <xf numFmtId="0" fontId="2" fillId="0" borderId="3" xfId="0" applyFont="1" applyBorder="1"/>
    <xf numFmtId="0" fontId="10" fillId="0" borderId="3" xfId="0" applyFont="1" applyBorder="1" applyAlignment="1">
      <alignment horizontal="left" indent="1"/>
    </xf>
    <xf numFmtId="0" fontId="4" fillId="0" borderId="5" xfId="0" applyFont="1" applyBorder="1" applyAlignment="1">
      <alignment horizontal="left" vertical="center" wrapText="1"/>
    </xf>
    <xf numFmtId="0" fontId="4" fillId="0" borderId="36" xfId="0" applyFont="1" applyBorder="1" applyAlignment="1">
      <alignment horizontal="left" vertical="center" wrapText="1"/>
    </xf>
    <xf numFmtId="0" fontId="4" fillId="0" borderId="37" xfId="0" applyFont="1" applyBorder="1" applyAlignment="1">
      <alignment horizontal="left" vertical="center" wrapText="1"/>
    </xf>
    <xf numFmtId="0" fontId="11" fillId="0" borderId="3" xfId="0" applyFont="1" applyBorder="1" applyAlignment="1">
      <alignment horizontal="left"/>
    </xf>
    <xf numFmtId="0" fontId="10" fillId="0" borderId="13" xfId="0" applyFont="1" applyBorder="1"/>
    <xf numFmtId="0" fontId="10" fillId="0" borderId="14" xfId="0" applyFont="1" applyBorder="1" applyAlignment="1">
      <alignment horizontal="left" vertical="center" wrapText="1" indent="1"/>
    </xf>
    <xf numFmtId="0" fontId="12" fillId="0" borderId="12" xfId="0" applyFont="1" applyBorder="1" applyAlignment="1">
      <alignment horizontal="center" vertical="center"/>
    </xf>
    <xf numFmtId="0" fontId="12" fillId="0" borderId="3" xfId="0" applyFont="1" applyBorder="1" applyAlignment="1">
      <alignment horizontal="center" vertical="center"/>
    </xf>
    <xf numFmtId="0" fontId="12" fillId="0" borderId="12" xfId="0" applyFont="1" applyBorder="1" applyAlignment="1">
      <alignment horizontal="center" vertical="center" wrapText="1"/>
    </xf>
    <xf numFmtId="0" fontId="12" fillId="0" borderId="17" xfId="0" applyFont="1" applyBorder="1" applyAlignment="1">
      <alignment horizontal="center" vertical="center"/>
    </xf>
    <xf numFmtId="0" fontId="16" fillId="5" borderId="22" xfId="0" applyFont="1" applyFill="1" applyBorder="1" applyAlignment="1">
      <alignment horizontal="left" vertical="center" wrapText="1"/>
    </xf>
    <xf numFmtId="0" fontId="0" fillId="5" borderId="28" xfId="0" applyFont="1" applyFill="1" applyBorder="1" applyAlignment="1">
      <alignment horizontal="left" vertical="center" wrapText="1"/>
    </xf>
    <xf numFmtId="0" fontId="0" fillId="0" borderId="28" xfId="0" applyFont="1" applyBorder="1" applyAlignment="1">
      <alignment horizontal="left" vertical="center"/>
    </xf>
    <xf numFmtId="0" fontId="0" fillId="0" borderId="28" xfId="0" applyBorder="1" applyAlignment="1">
      <alignment horizontal="left" vertical="center"/>
    </xf>
    <xf numFmtId="0" fontId="0" fillId="0" borderId="31" xfId="0" applyBorder="1" applyAlignment="1">
      <alignment horizontal="left" vertical="center"/>
    </xf>
    <xf numFmtId="0" fontId="8" fillId="0" borderId="34" xfId="0" applyFont="1" applyBorder="1" applyAlignment="1">
      <alignment horizontal="left" vertical="center" wrapText="1"/>
    </xf>
    <xf numFmtId="0" fontId="0" fillId="0" borderId="12"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quiroga/AppData/Local/Temp/NecesidadesTrimestrales-NP-APG%20LIBRERIA%20-%20copi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s>
    <sheetDataSet>
      <sheetData sheetId="0">
        <row r="4">
          <cell r="C4" t="str">
            <v>30 - Ministerio de Hacienda Publica</v>
          </cell>
          <cell r="D4">
            <v>0</v>
          </cell>
          <cell r="E4">
            <v>0</v>
          </cell>
        </row>
        <row r="5">
          <cell r="C5" t="str">
            <v>9 - Direccion Provincial de Administracion de la Secretaria de Finanzas Publicas</v>
          </cell>
          <cell r="D5">
            <v>0</v>
          </cell>
          <cell r="E5">
            <v>0</v>
          </cell>
        </row>
      </sheetData>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3"/>
  <sheetViews>
    <sheetView topLeftCell="A82" zoomScale="90" zoomScaleNormal="90" workbookViewId="0">
      <selection activeCell="I56" sqref="I56"/>
    </sheetView>
  </sheetViews>
  <sheetFormatPr baseColWidth="10" defaultColWidth="12.5703125" defaultRowHeight="12.75" x14ac:dyDescent="0.2"/>
  <cols>
    <col min="1" max="1" width="4.140625" style="65" customWidth="1"/>
    <col min="2" max="2" width="16.85546875" style="65" customWidth="1"/>
    <col min="3" max="3" width="35.5703125" style="65" customWidth="1"/>
    <col min="4" max="4" width="6.42578125" style="65" customWidth="1"/>
    <col min="5" max="5" width="129.140625" style="65" customWidth="1"/>
    <col min="6" max="6" width="15.28515625" style="65" customWidth="1"/>
    <col min="7" max="7" width="12.42578125" style="65" customWidth="1"/>
    <col min="8" max="8" width="15.85546875" style="65" customWidth="1"/>
    <col min="9" max="9" width="17.7109375" style="125" customWidth="1"/>
    <col min="10" max="28" width="11" style="65" customWidth="1"/>
    <col min="29" max="16384" width="12.5703125" style="65"/>
  </cols>
  <sheetData>
    <row r="1" spans="1:9" ht="27" x14ac:dyDescent="0.35">
      <c r="A1" s="63"/>
      <c r="B1" s="139" t="s">
        <v>96</v>
      </c>
      <c r="C1" s="139"/>
      <c r="D1" s="139"/>
      <c r="E1" s="139"/>
      <c r="F1" s="139"/>
      <c r="G1" s="139"/>
      <c r="H1" s="139"/>
      <c r="I1" s="64"/>
    </row>
    <row r="2" spans="1:9" ht="15.75" thickBot="1" x14ac:dyDescent="0.25">
      <c r="A2" s="66"/>
      <c r="B2" s="67"/>
      <c r="C2" s="68"/>
      <c r="D2" s="68"/>
      <c r="E2" s="69"/>
      <c r="F2" s="70"/>
      <c r="G2" s="70"/>
      <c r="H2" s="71"/>
      <c r="I2" s="72"/>
    </row>
    <row r="3" spans="1:9" ht="15" x14ac:dyDescent="0.25">
      <c r="A3" s="140" t="s">
        <v>97</v>
      </c>
      <c r="B3" s="141"/>
      <c r="C3" s="142" t="s">
        <v>98</v>
      </c>
      <c r="D3" s="142"/>
      <c r="E3" s="142"/>
      <c r="F3" s="73"/>
      <c r="G3" s="74"/>
      <c r="H3" s="75"/>
      <c r="I3" s="76"/>
    </row>
    <row r="4" spans="1:9" ht="15" customHeight="1" x14ac:dyDescent="0.25">
      <c r="A4" s="136" t="s">
        <v>99</v>
      </c>
      <c r="B4" s="137"/>
      <c r="C4" s="143" t="s">
        <v>141</v>
      </c>
      <c r="D4" s="143"/>
      <c r="E4" s="143"/>
      <c r="F4" s="73"/>
      <c r="G4" s="74"/>
      <c r="H4" s="75"/>
      <c r="I4" s="76"/>
    </row>
    <row r="5" spans="1:9" ht="15" x14ac:dyDescent="0.25">
      <c r="A5" s="136" t="s">
        <v>100</v>
      </c>
      <c r="B5" s="137"/>
      <c r="C5" s="144" t="s">
        <v>101</v>
      </c>
      <c r="D5" s="144"/>
      <c r="E5" s="144"/>
      <c r="F5" s="73"/>
      <c r="G5" s="74"/>
      <c r="H5" s="75"/>
      <c r="I5" s="76"/>
    </row>
    <row r="6" spans="1:9" ht="15" customHeight="1" x14ac:dyDescent="0.25">
      <c r="A6" s="136" t="s">
        <v>102</v>
      </c>
      <c r="B6" s="137"/>
      <c r="C6" s="77">
        <v>2021</v>
      </c>
      <c r="D6" s="78"/>
      <c r="E6" s="77"/>
      <c r="F6" s="73"/>
      <c r="G6" s="74"/>
      <c r="H6" s="75"/>
      <c r="I6" s="76"/>
    </row>
    <row r="7" spans="1:9" ht="15.75" thickBot="1" x14ac:dyDescent="0.3">
      <c r="A7" s="136" t="s">
        <v>103</v>
      </c>
      <c r="B7" s="137"/>
      <c r="C7" s="77" t="s">
        <v>140</v>
      </c>
      <c r="D7" s="78"/>
      <c r="E7" s="77"/>
      <c r="F7" s="73"/>
      <c r="G7" s="74"/>
      <c r="H7" s="75"/>
      <c r="I7" s="76"/>
    </row>
    <row r="8" spans="1:9" ht="45.75" thickBot="1" x14ac:dyDescent="0.25">
      <c r="A8" s="79" t="s">
        <v>0</v>
      </c>
      <c r="B8" s="80" t="s">
        <v>104</v>
      </c>
      <c r="C8" s="80" t="s">
        <v>105</v>
      </c>
      <c r="D8" s="80" t="s">
        <v>106</v>
      </c>
      <c r="E8" s="80" t="s">
        <v>1</v>
      </c>
      <c r="F8" s="80" t="s">
        <v>2</v>
      </c>
      <c r="G8" s="80" t="s">
        <v>3</v>
      </c>
      <c r="H8" s="81" t="s">
        <v>4</v>
      </c>
      <c r="I8" s="82" t="s">
        <v>109</v>
      </c>
    </row>
    <row r="9" spans="1:9" ht="28.5" x14ac:dyDescent="0.2">
      <c r="A9" s="83">
        <v>1</v>
      </c>
      <c r="B9" s="84" t="s">
        <v>63</v>
      </c>
      <c r="C9" s="85" t="s">
        <v>107</v>
      </c>
      <c r="D9" s="86" t="str">
        <f t="shared" ref="D9:D20" si="0">LEFT(B9,5)</f>
        <v>2.3.1</v>
      </c>
      <c r="E9" s="87" t="s">
        <v>64</v>
      </c>
      <c r="F9" s="88" t="s">
        <v>41</v>
      </c>
      <c r="G9" s="89">
        <v>120</v>
      </c>
      <c r="H9" s="90">
        <v>600</v>
      </c>
      <c r="I9" s="91">
        <f t="shared" ref="I9:I30" si="1">H9*G9</f>
        <v>72000</v>
      </c>
    </row>
    <row r="10" spans="1:9" ht="42.75" x14ac:dyDescent="0.2">
      <c r="A10" s="83">
        <v>2</v>
      </c>
      <c r="B10" s="92" t="s">
        <v>65</v>
      </c>
      <c r="C10" s="93" t="s">
        <v>107</v>
      </c>
      <c r="D10" s="94" t="str">
        <f t="shared" si="0"/>
        <v>2.3.1</v>
      </c>
      <c r="E10" s="92" t="s">
        <v>66</v>
      </c>
      <c r="F10" s="93" t="s">
        <v>41</v>
      </c>
      <c r="G10" s="95">
        <v>90</v>
      </c>
      <c r="H10" s="96">
        <v>700</v>
      </c>
      <c r="I10" s="97">
        <f t="shared" si="1"/>
        <v>63000</v>
      </c>
    </row>
    <row r="11" spans="1:9" ht="28.5" customHeight="1" x14ac:dyDescent="0.2">
      <c r="A11" s="83">
        <v>3</v>
      </c>
      <c r="B11" s="98" t="s">
        <v>67</v>
      </c>
      <c r="C11" s="93" t="s">
        <v>107</v>
      </c>
      <c r="D11" s="94" t="str">
        <f t="shared" si="0"/>
        <v>2.9.2</v>
      </c>
      <c r="E11" s="92" t="s">
        <v>68</v>
      </c>
      <c r="F11" s="93" t="s">
        <v>41</v>
      </c>
      <c r="G11" s="95">
        <v>30</v>
      </c>
      <c r="H11" s="96">
        <v>350</v>
      </c>
      <c r="I11" s="97">
        <f t="shared" si="1"/>
        <v>10500</v>
      </c>
    </row>
    <row r="12" spans="1:9" ht="28.5" customHeight="1" x14ac:dyDescent="0.2">
      <c r="A12" s="83">
        <v>4</v>
      </c>
      <c r="B12" s="92" t="s">
        <v>69</v>
      </c>
      <c r="C12" s="93" t="s">
        <v>107</v>
      </c>
      <c r="D12" s="94" t="str">
        <f t="shared" si="0"/>
        <v>2.9.2</v>
      </c>
      <c r="E12" s="92" t="s">
        <v>70</v>
      </c>
      <c r="F12" s="93" t="s">
        <v>41</v>
      </c>
      <c r="G12" s="99">
        <v>100</v>
      </c>
      <c r="H12" s="96">
        <v>60</v>
      </c>
      <c r="I12" s="97">
        <f t="shared" si="1"/>
        <v>6000</v>
      </c>
    </row>
    <row r="13" spans="1:9" ht="28.5" customHeight="1" x14ac:dyDescent="0.2">
      <c r="A13" s="83">
        <v>5</v>
      </c>
      <c r="B13" s="92" t="s">
        <v>71</v>
      </c>
      <c r="C13" s="93" t="s">
        <v>107</v>
      </c>
      <c r="D13" s="94" t="str">
        <f t="shared" si="0"/>
        <v>2.9.2</v>
      </c>
      <c r="E13" s="92" t="s">
        <v>72</v>
      </c>
      <c r="F13" s="93" t="s">
        <v>41</v>
      </c>
      <c r="G13" s="99">
        <v>120</v>
      </c>
      <c r="H13" s="96">
        <v>85</v>
      </c>
      <c r="I13" s="97">
        <f t="shared" si="1"/>
        <v>10200</v>
      </c>
    </row>
    <row r="14" spans="1:9" ht="28.5" customHeight="1" x14ac:dyDescent="0.2">
      <c r="A14" s="83">
        <v>6</v>
      </c>
      <c r="B14" s="92" t="s">
        <v>73</v>
      </c>
      <c r="C14" s="93" t="s">
        <v>107</v>
      </c>
      <c r="D14" s="94" t="str">
        <f t="shared" si="0"/>
        <v>2.9.2</v>
      </c>
      <c r="E14" s="92" t="s">
        <v>74</v>
      </c>
      <c r="F14" s="93" t="s">
        <v>92</v>
      </c>
      <c r="G14" s="95">
        <v>6</v>
      </c>
      <c r="H14" s="96">
        <v>800</v>
      </c>
      <c r="I14" s="97">
        <f t="shared" si="1"/>
        <v>4800</v>
      </c>
    </row>
    <row r="15" spans="1:9" ht="28.5" customHeight="1" x14ac:dyDescent="0.2">
      <c r="A15" s="83">
        <v>7</v>
      </c>
      <c r="B15" s="92" t="s">
        <v>75</v>
      </c>
      <c r="C15" s="93" t="s">
        <v>107</v>
      </c>
      <c r="D15" s="94" t="str">
        <f t="shared" si="0"/>
        <v>2.9.2</v>
      </c>
      <c r="E15" s="92" t="s">
        <v>76</v>
      </c>
      <c r="F15" s="93" t="s">
        <v>92</v>
      </c>
      <c r="G15" s="95">
        <v>8</v>
      </c>
      <c r="H15" s="96">
        <v>700</v>
      </c>
      <c r="I15" s="97">
        <f t="shared" si="1"/>
        <v>5600</v>
      </c>
    </row>
    <row r="16" spans="1:9" ht="28.5" customHeight="1" x14ac:dyDescent="0.2">
      <c r="A16" s="83">
        <v>8</v>
      </c>
      <c r="B16" s="92" t="s">
        <v>50</v>
      </c>
      <c r="C16" s="93" t="s">
        <v>107</v>
      </c>
      <c r="D16" s="94" t="str">
        <f t="shared" si="0"/>
        <v>2.3.1</v>
      </c>
      <c r="E16" s="92" t="s">
        <v>51</v>
      </c>
      <c r="F16" s="93" t="s">
        <v>41</v>
      </c>
      <c r="G16" s="95">
        <v>24</v>
      </c>
      <c r="H16" s="96">
        <v>800</v>
      </c>
      <c r="I16" s="97">
        <f t="shared" si="1"/>
        <v>19200</v>
      </c>
    </row>
    <row r="17" spans="1:9" ht="28.5" customHeight="1" x14ac:dyDescent="0.2">
      <c r="A17" s="83">
        <v>9</v>
      </c>
      <c r="B17" s="92" t="s">
        <v>77</v>
      </c>
      <c r="C17" s="93" t="s">
        <v>107</v>
      </c>
      <c r="D17" s="94" t="str">
        <f t="shared" si="0"/>
        <v>2.3.1</v>
      </c>
      <c r="E17" s="92" t="s">
        <v>78</v>
      </c>
      <c r="F17" s="93" t="s">
        <v>92</v>
      </c>
      <c r="G17" s="95">
        <v>4</v>
      </c>
      <c r="H17" s="96">
        <v>780</v>
      </c>
      <c r="I17" s="97">
        <f t="shared" si="1"/>
        <v>3120</v>
      </c>
    </row>
    <row r="18" spans="1:9" ht="28.5" customHeight="1" x14ac:dyDescent="0.2">
      <c r="A18" s="83">
        <v>10</v>
      </c>
      <c r="B18" s="92" t="s">
        <v>39</v>
      </c>
      <c r="C18" s="93" t="s">
        <v>107</v>
      </c>
      <c r="D18" s="94" t="str">
        <f t="shared" si="0"/>
        <v>2.9.2</v>
      </c>
      <c r="E18" s="92" t="s">
        <v>40</v>
      </c>
      <c r="F18" s="93" t="s">
        <v>41</v>
      </c>
      <c r="G18" s="95">
        <v>12</v>
      </c>
      <c r="H18" s="96">
        <v>1450</v>
      </c>
      <c r="I18" s="97">
        <f t="shared" si="1"/>
        <v>17400</v>
      </c>
    </row>
    <row r="19" spans="1:9" ht="28.5" customHeight="1" x14ac:dyDescent="0.2">
      <c r="A19" s="83">
        <v>11</v>
      </c>
      <c r="B19" s="92" t="s">
        <v>44</v>
      </c>
      <c r="C19" s="93" t="s">
        <v>107</v>
      </c>
      <c r="D19" s="94" t="str">
        <f t="shared" si="0"/>
        <v>2.9.2</v>
      </c>
      <c r="E19" s="92" t="s">
        <v>45</v>
      </c>
      <c r="F19" s="93" t="s">
        <v>93</v>
      </c>
      <c r="G19" s="95">
        <v>60</v>
      </c>
      <c r="H19" s="96">
        <v>80</v>
      </c>
      <c r="I19" s="97">
        <f t="shared" si="1"/>
        <v>4800</v>
      </c>
    </row>
    <row r="20" spans="1:9" ht="28.5" customHeight="1" x14ac:dyDescent="0.2">
      <c r="A20" s="83">
        <v>12</v>
      </c>
      <c r="B20" s="92" t="s">
        <v>79</v>
      </c>
      <c r="C20" s="93" t="s">
        <v>107</v>
      </c>
      <c r="D20" s="94" t="str">
        <f t="shared" si="0"/>
        <v>2.9.2</v>
      </c>
      <c r="E20" s="92" t="s">
        <v>80</v>
      </c>
      <c r="F20" s="93" t="s">
        <v>41</v>
      </c>
      <c r="G20" s="95">
        <v>2</v>
      </c>
      <c r="H20" s="96">
        <v>2500</v>
      </c>
      <c r="I20" s="97">
        <f t="shared" si="1"/>
        <v>5000</v>
      </c>
    </row>
    <row r="21" spans="1:9" ht="28.5" customHeight="1" x14ac:dyDescent="0.2">
      <c r="A21" s="83">
        <v>13</v>
      </c>
      <c r="B21" s="92" t="s">
        <v>81</v>
      </c>
      <c r="C21" s="93" t="s">
        <v>107</v>
      </c>
      <c r="D21" s="94" t="s">
        <v>108</v>
      </c>
      <c r="E21" s="92" t="s">
        <v>82</v>
      </c>
      <c r="F21" s="93" t="s">
        <v>93</v>
      </c>
      <c r="G21" s="95">
        <v>4</v>
      </c>
      <c r="H21" s="96">
        <v>1500</v>
      </c>
      <c r="I21" s="97">
        <f t="shared" si="1"/>
        <v>6000</v>
      </c>
    </row>
    <row r="22" spans="1:9" ht="28.5" customHeight="1" x14ac:dyDescent="0.2">
      <c r="A22" s="83">
        <v>14</v>
      </c>
      <c r="B22" s="98" t="s">
        <v>83</v>
      </c>
      <c r="C22" s="93" t="s">
        <v>107</v>
      </c>
      <c r="D22" s="94" t="str">
        <f t="shared" ref="D22:D30" si="2">LEFT(B22,5)</f>
        <v>2.9.2</v>
      </c>
      <c r="E22" s="92" t="s">
        <v>84</v>
      </c>
      <c r="F22" s="93" t="s">
        <v>93</v>
      </c>
      <c r="G22" s="95">
        <v>2</v>
      </c>
      <c r="H22" s="96">
        <v>1500</v>
      </c>
      <c r="I22" s="97">
        <f t="shared" si="1"/>
        <v>3000</v>
      </c>
    </row>
    <row r="23" spans="1:9" ht="28.5" customHeight="1" x14ac:dyDescent="0.2">
      <c r="A23" s="83">
        <v>15</v>
      </c>
      <c r="B23" s="98" t="s">
        <v>83</v>
      </c>
      <c r="C23" s="93" t="s">
        <v>107</v>
      </c>
      <c r="D23" s="94" t="str">
        <f t="shared" si="2"/>
        <v>2.9.2</v>
      </c>
      <c r="E23" s="92" t="s">
        <v>84</v>
      </c>
      <c r="F23" s="93" t="s">
        <v>93</v>
      </c>
      <c r="G23" s="95">
        <v>2</v>
      </c>
      <c r="H23" s="96">
        <v>1500</v>
      </c>
      <c r="I23" s="97">
        <f t="shared" si="1"/>
        <v>3000</v>
      </c>
    </row>
    <row r="24" spans="1:9" ht="28.5" customHeight="1" x14ac:dyDescent="0.2">
      <c r="A24" s="83">
        <v>16</v>
      </c>
      <c r="B24" s="98" t="s">
        <v>42</v>
      </c>
      <c r="C24" s="93" t="s">
        <v>107</v>
      </c>
      <c r="D24" s="94" t="str">
        <f t="shared" si="2"/>
        <v>2.9.2</v>
      </c>
      <c r="E24" s="92" t="s">
        <v>43</v>
      </c>
      <c r="F24" s="93" t="s">
        <v>93</v>
      </c>
      <c r="G24" s="95">
        <v>4</v>
      </c>
      <c r="H24" s="96">
        <v>1500</v>
      </c>
      <c r="I24" s="97">
        <f t="shared" si="1"/>
        <v>6000</v>
      </c>
    </row>
    <row r="25" spans="1:9" ht="28.5" customHeight="1" x14ac:dyDescent="0.2">
      <c r="A25" s="83">
        <v>17</v>
      </c>
      <c r="B25" s="98" t="s">
        <v>52</v>
      </c>
      <c r="C25" s="93" t="s">
        <v>107</v>
      </c>
      <c r="D25" s="94" t="str">
        <f t="shared" si="2"/>
        <v>2.9.2</v>
      </c>
      <c r="E25" s="92" t="s">
        <v>53</v>
      </c>
      <c r="F25" s="93" t="s">
        <v>41</v>
      </c>
      <c r="G25" s="95">
        <v>10</v>
      </c>
      <c r="H25" s="96">
        <v>70</v>
      </c>
      <c r="I25" s="97">
        <f t="shared" si="1"/>
        <v>700</v>
      </c>
    </row>
    <row r="26" spans="1:9" ht="28.5" customHeight="1" x14ac:dyDescent="0.2">
      <c r="A26" s="83">
        <v>18</v>
      </c>
      <c r="B26" s="92" t="s">
        <v>85</v>
      </c>
      <c r="C26" s="93" t="s">
        <v>107</v>
      </c>
      <c r="D26" s="94" t="str">
        <f t="shared" si="2"/>
        <v>2.9.2</v>
      </c>
      <c r="E26" s="92" t="s">
        <v>86</v>
      </c>
      <c r="F26" s="93" t="s">
        <v>93</v>
      </c>
      <c r="G26" s="95">
        <v>12</v>
      </c>
      <c r="H26" s="96">
        <v>300</v>
      </c>
      <c r="I26" s="97">
        <f t="shared" si="1"/>
        <v>3600</v>
      </c>
    </row>
    <row r="27" spans="1:9" ht="28.5" customHeight="1" x14ac:dyDescent="0.2">
      <c r="A27" s="83">
        <v>19</v>
      </c>
      <c r="B27" s="92" t="s">
        <v>48</v>
      </c>
      <c r="C27" s="93" t="s">
        <v>107</v>
      </c>
      <c r="D27" s="94" t="str">
        <f t="shared" si="2"/>
        <v>2.9.2</v>
      </c>
      <c r="E27" s="92" t="s">
        <v>49</v>
      </c>
      <c r="F27" s="93" t="s">
        <v>41</v>
      </c>
      <c r="G27" s="95">
        <v>6</v>
      </c>
      <c r="H27" s="96">
        <v>150</v>
      </c>
      <c r="I27" s="97">
        <f t="shared" si="1"/>
        <v>900</v>
      </c>
    </row>
    <row r="28" spans="1:9" ht="28.5" x14ac:dyDescent="0.2">
      <c r="A28" s="83">
        <v>20</v>
      </c>
      <c r="B28" s="92" t="s">
        <v>87</v>
      </c>
      <c r="C28" s="93" t="s">
        <v>107</v>
      </c>
      <c r="D28" s="94" t="str">
        <f t="shared" si="2"/>
        <v>2.9.2</v>
      </c>
      <c r="E28" s="92" t="s">
        <v>88</v>
      </c>
      <c r="F28" s="93" t="s">
        <v>41</v>
      </c>
      <c r="G28" s="95">
        <v>4</v>
      </c>
      <c r="H28" s="96">
        <v>170</v>
      </c>
      <c r="I28" s="97">
        <f t="shared" si="1"/>
        <v>680</v>
      </c>
    </row>
    <row r="29" spans="1:9" ht="28.5" x14ac:dyDescent="0.2">
      <c r="A29" s="83">
        <v>21</v>
      </c>
      <c r="B29" s="92" t="s">
        <v>89</v>
      </c>
      <c r="C29" s="93" t="s">
        <v>107</v>
      </c>
      <c r="D29" s="94" t="str">
        <f t="shared" si="2"/>
        <v>2.9.2</v>
      </c>
      <c r="E29" s="92" t="s">
        <v>90</v>
      </c>
      <c r="F29" s="93" t="s">
        <v>93</v>
      </c>
      <c r="G29" s="95">
        <v>2</v>
      </c>
      <c r="H29" s="96">
        <v>972</v>
      </c>
      <c r="I29" s="97">
        <f t="shared" si="1"/>
        <v>1944</v>
      </c>
    </row>
    <row r="30" spans="1:9" ht="28.5" x14ac:dyDescent="0.2">
      <c r="A30" s="83">
        <v>22</v>
      </c>
      <c r="B30" s="100" t="s">
        <v>46</v>
      </c>
      <c r="C30" s="101" t="s">
        <v>107</v>
      </c>
      <c r="D30" s="102" t="str">
        <f t="shared" si="2"/>
        <v>2.9.2</v>
      </c>
      <c r="E30" s="100" t="s">
        <v>47</v>
      </c>
      <c r="F30" s="101" t="s">
        <v>41</v>
      </c>
      <c r="G30" s="103">
        <v>48</v>
      </c>
      <c r="H30" s="104">
        <v>200</v>
      </c>
      <c r="I30" s="97">
        <f t="shared" si="1"/>
        <v>9600</v>
      </c>
    </row>
    <row r="31" spans="1:9" ht="31.5" customHeight="1" x14ac:dyDescent="0.2">
      <c r="A31" s="138" t="s">
        <v>110</v>
      </c>
      <c r="B31" s="138"/>
      <c r="C31" s="138"/>
      <c r="D31" s="138"/>
      <c r="E31" s="138"/>
      <c r="F31" s="138"/>
      <c r="G31" s="138"/>
      <c r="H31" s="138"/>
      <c r="I31" s="105">
        <f>SUM(I9:I30)</f>
        <v>257044</v>
      </c>
    </row>
    <row r="33" spans="1:5" ht="13.5" thickBot="1" x14ac:dyDescent="0.25"/>
    <row r="34" spans="1:5" ht="18.75" customHeight="1" x14ac:dyDescent="0.2">
      <c r="A34" s="106"/>
      <c r="B34" s="128" t="s">
        <v>144</v>
      </c>
      <c r="C34" s="129"/>
      <c r="D34" s="129"/>
      <c r="E34" s="130"/>
    </row>
    <row r="35" spans="1:5" ht="4.5" customHeight="1" x14ac:dyDescent="0.25">
      <c r="A35" s="107"/>
      <c r="B35" s="108"/>
      <c r="C35" s="109"/>
      <c r="D35" s="109"/>
      <c r="E35" s="110"/>
    </row>
    <row r="36" spans="1:5" ht="66.75" customHeight="1" thickBot="1" x14ac:dyDescent="0.25">
      <c r="A36" s="111"/>
      <c r="B36" s="131" t="s">
        <v>145</v>
      </c>
      <c r="C36" s="132"/>
      <c r="D36" s="132"/>
      <c r="E36" s="133"/>
    </row>
    <row r="38" spans="1:5" ht="13.5" thickBot="1" x14ac:dyDescent="0.25"/>
    <row r="39" spans="1:5" ht="15.75" x14ac:dyDescent="0.25">
      <c r="B39" s="112" t="s">
        <v>137</v>
      </c>
      <c r="C39" s="113"/>
      <c r="D39" s="113"/>
      <c r="E39" s="114"/>
    </row>
    <row r="40" spans="1:5" ht="10.5" customHeight="1" x14ac:dyDescent="0.25">
      <c r="B40" s="115"/>
      <c r="C40" s="116"/>
      <c r="D40" s="116"/>
      <c r="E40" s="117"/>
    </row>
    <row r="41" spans="1:5" ht="15.75" x14ac:dyDescent="0.25">
      <c r="B41" s="118" t="s">
        <v>112</v>
      </c>
      <c r="C41" s="116"/>
      <c r="D41" s="116"/>
      <c r="E41" s="117"/>
    </row>
    <row r="42" spans="1:5" ht="16.5" thickBot="1" x14ac:dyDescent="0.3">
      <c r="B42" s="119"/>
      <c r="C42" s="134" t="s">
        <v>113</v>
      </c>
      <c r="D42" s="134"/>
      <c r="E42" s="135"/>
    </row>
    <row r="43" spans="1:5" ht="13.5" thickBot="1" x14ac:dyDescent="0.25"/>
    <row r="44" spans="1:5" s="111" customFormat="1" ht="15.75" x14ac:dyDescent="0.25">
      <c r="B44" s="112" t="s">
        <v>138</v>
      </c>
      <c r="C44" s="113"/>
      <c r="D44" s="113"/>
      <c r="E44" s="114"/>
    </row>
    <row r="45" spans="1:5" s="111" customFormat="1" ht="9" customHeight="1" x14ac:dyDescent="0.25">
      <c r="B45" s="115"/>
      <c r="C45" s="116"/>
      <c r="D45" s="116"/>
      <c r="E45" s="117"/>
    </row>
    <row r="46" spans="1:5" s="111" customFormat="1" ht="15.75" x14ac:dyDescent="0.25">
      <c r="B46" s="118" t="s">
        <v>112</v>
      </c>
      <c r="C46" s="116"/>
      <c r="D46" s="116"/>
      <c r="E46" s="117"/>
    </row>
    <row r="47" spans="1:5" s="111" customFormat="1" ht="15.75" customHeight="1" x14ac:dyDescent="0.25">
      <c r="B47" s="118"/>
      <c r="C47" s="126" t="s">
        <v>115</v>
      </c>
      <c r="D47" s="126"/>
      <c r="E47" s="127"/>
    </row>
    <row r="48" spans="1:5" s="111" customFormat="1" ht="16.5" thickBot="1" x14ac:dyDescent="0.3">
      <c r="B48" s="120"/>
      <c r="C48" s="121"/>
      <c r="D48" s="121"/>
      <c r="E48" s="122"/>
    </row>
    <row r="49" spans="2:5" s="111" customFormat="1" ht="16.5" thickBot="1" x14ac:dyDescent="0.3">
      <c r="B49" s="116"/>
      <c r="C49" s="116"/>
      <c r="D49" s="116"/>
      <c r="E49" s="123"/>
    </row>
    <row r="50" spans="2:5" s="111" customFormat="1" ht="15.75" x14ac:dyDescent="0.25">
      <c r="B50" s="112" t="s">
        <v>116</v>
      </c>
      <c r="C50" s="113"/>
      <c r="D50" s="113"/>
      <c r="E50" s="114"/>
    </row>
    <row r="51" spans="2:5" s="111" customFormat="1" ht="9.75" customHeight="1" x14ac:dyDescent="0.25">
      <c r="B51" s="115"/>
      <c r="C51" s="116"/>
      <c r="D51" s="116"/>
      <c r="E51" s="117"/>
    </row>
    <row r="52" spans="2:5" s="111" customFormat="1" ht="15.75" x14ac:dyDescent="0.25">
      <c r="B52" s="118" t="s">
        <v>112</v>
      </c>
      <c r="C52" s="116"/>
      <c r="D52" s="116"/>
      <c r="E52" s="117"/>
    </row>
    <row r="53" spans="2:5" s="111" customFormat="1" ht="15.75" customHeight="1" x14ac:dyDescent="0.25">
      <c r="B53" s="118"/>
      <c r="C53" s="126" t="s">
        <v>148</v>
      </c>
      <c r="D53" s="126"/>
      <c r="E53" s="127"/>
    </row>
    <row r="54" spans="2:5" s="111" customFormat="1" ht="16.5" thickBot="1" x14ac:dyDescent="0.3">
      <c r="B54" s="120"/>
      <c r="C54" s="121"/>
      <c r="D54" s="121"/>
      <c r="E54" s="122"/>
    </row>
    <row r="55" spans="2:5" s="111" customFormat="1" ht="16.5" thickBot="1" x14ac:dyDescent="0.3">
      <c r="B55" s="116"/>
      <c r="C55" s="116"/>
      <c r="D55" s="116"/>
      <c r="E55" s="123"/>
    </row>
    <row r="56" spans="2:5" s="111" customFormat="1" ht="15.75" x14ac:dyDescent="0.25">
      <c r="B56" s="112" t="s">
        <v>139</v>
      </c>
      <c r="C56" s="113"/>
      <c r="D56" s="113"/>
      <c r="E56" s="114"/>
    </row>
    <row r="57" spans="2:5" s="111" customFormat="1" ht="15.75" x14ac:dyDescent="0.25">
      <c r="B57" s="115"/>
      <c r="C57" s="116"/>
      <c r="D57" s="116"/>
      <c r="E57" s="117"/>
    </row>
    <row r="58" spans="2:5" s="111" customFormat="1" ht="15.75" x14ac:dyDescent="0.25">
      <c r="B58" s="118" t="s">
        <v>112</v>
      </c>
      <c r="C58" s="116"/>
      <c r="D58" s="116"/>
      <c r="E58" s="117"/>
    </row>
    <row r="59" spans="2:5" s="111" customFormat="1" ht="15.75" customHeight="1" x14ac:dyDescent="0.25">
      <c r="B59" s="118"/>
      <c r="C59" s="126" t="s">
        <v>149</v>
      </c>
      <c r="D59" s="126"/>
      <c r="E59" s="127"/>
    </row>
    <row r="60" spans="2:5" s="111" customFormat="1" ht="16.5" thickBot="1" x14ac:dyDescent="0.3">
      <c r="B60" s="120"/>
      <c r="C60" s="121"/>
      <c r="D60" s="121"/>
      <c r="E60" s="122"/>
    </row>
    <row r="61" spans="2:5" s="111" customFormat="1" ht="16.5" thickBot="1" x14ac:dyDescent="0.3">
      <c r="B61" s="116"/>
      <c r="C61" s="116"/>
      <c r="D61" s="116"/>
      <c r="E61" s="123"/>
    </row>
    <row r="62" spans="2:5" s="111" customFormat="1" ht="15.75" x14ac:dyDescent="0.25">
      <c r="B62" s="112" t="s">
        <v>117</v>
      </c>
      <c r="C62" s="113"/>
      <c r="D62" s="113"/>
      <c r="E62" s="114"/>
    </row>
    <row r="63" spans="2:5" s="111" customFormat="1" ht="5.25" customHeight="1" x14ac:dyDescent="0.25">
      <c r="B63" s="115"/>
      <c r="C63" s="116"/>
      <c r="D63" s="116"/>
      <c r="E63" s="117"/>
    </row>
    <row r="64" spans="2:5" s="111" customFormat="1" ht="15.75" x14ac:dyDescent="0.25">
      <c r="B64" s="118" t="s">
        <v>112</v>
      </c>
      <c r="C64" s="116"/>
      <c r="D64" s="116"/>
      <c r="E64" s="117"/>
    </row>
    <row r="65" spans="2:5" s="111" customFormat="1" ht="15.75" customHeight="1" x14ac:dyDescent="0.25">
      <c r="B65" s="118"/>
      <c r="C65" s="126" t="s">
        <v>118</v>
      </c>
      <c r="D65" s="126"/>
      <c r="E65" s="127"/>
    </row>
    <row r="66" spans="2:5" s="111" customFormat="1" ht="16.5" thickBot="1" x14ac:dyDescent="0.3">
      <c r="B66" s="120"/>
      <c r="C66" s="121"/>
      <c r="D66" s="121"/>
      <c r="E66" s="122"/>
    </row>
    <row r="67" spans="2:5" s="111" customFormat="1" ht="15.75" x14ac:dyDescent="0.25">
      <c r="B67" s="116"/>
      <c r="C67" s="116"/>
      <c r="D67" s="116"/>
      <c r="E67" s="123"/>
    </row>
    <row r="68" spans="2:5" s="111" customFormat="1" ht="16.5" thickBot="1" x14ac:dyDescent="0.3">
      <c r="B68" s="116"/>
      <c r="C68" s="116"/>
      <c r="D68" s="116"/>
      <c r="E68" s="123"/>
    </row>
    <row r="69" spans="2:5" s="111" customFormat="1" ht="15.75" x14ac:dyDescent="0.25">
      <c r="B69" s="112" t="s">
        <v>119</v>
      </c>
      <c r="C69" s="113"/>
      <c r="D69" s="113"/>
      <c r="E69" s="114"/>
    </row>
    <row r="70" spans="2:5" s="111" customFormat="1" ht="3" customHeight="1" x14ac:dyDescent="0.25">
      <c r="B70" s="115"/>
      <c r="C70" s="116"/>
      <c r="D70" s="116"/>
      <c r="E70" s="117"/>
    </row>
    <row r="71" spans="2:5" s="111" customFormat="1" ht="15.75" x14ac:dyDescent="0.25">
      <c r="B71" s="118" t="s">
        <v>112</v>
      </c>
      <c r="C71" s="116"/>
      <c r="D71" s="116"/>
      <c r="E71" s="117"/>
    </row>
    <row r="72" spans="2:5" s="111" customFormat="1" ht="15.75" customHeight="1" x14ac:dyDescent="0.25">
      <c r="B72" s="118"/>
      <c r="C72" s="126" t="s">
        <v>120</v>
      </c>
      <c r="D72" s="126"/>
      <c r="E72" s="127"/>
    </row>
    <row r="73" spans="2:5" s="111" customFormat="1" ht="16.5" thickBot="1" x14ac:dyDescent="0.3">
      <c r="B73" s="120"/>
      <c r="C73" s="121"/>
      <c r="D73" s="121"/>
      <c r="E73" s="122"/>
    </row>
    <row r="74" spans="2:5" s="111" customFormat="1" ht="15.75" x14ac:dyDescent="0.25">
      <c r="B74" s="124"/>
      <c r="C74" s="116"/>
      <c r="D74" s="116"/>
      <c r="E74" s="123"/>
    </row>
    <row r="75" spans="2:5" s="111" customFormat="1" ht="16.5" thickBot="1" x14ac:dyDescent="0.3">
      <c r="B75" s="124"/>
      <c r="C75" s="116"/>
      <c r="D75" s="116"/>
      <c r="E75" s="123"/>
    </row>
    <row r="76" spans="2:5" s="111" customFormat="1" ht="15.75" x14ac:dyDescent="0.25">
      <c r="B76" s="112" t="s">
        <v>121</v>
      </c>
      <c r="C76" s="113"/>
      <c r="D76" s="113"/>
      <c r="E76" s="114"/>
    </row>
    <row r="77" spans="2:5" s="111" customFormat="1" ht="3.75" customHeight="1" x14ac:dyDescent="0.25">
      <c r="B77" s="115"/>
      <c r="C77" s="116"/>
      <c r="D77" s="116"/>
      <c r="E77" s="117"/>
    </row>
    <row r="78" spans="2:5" s="111" customFormat="1" ht="15.75" x14ac:dyDescent="0.25">
      <c r="B78" s="118" t="s">
        <v>112</v>
      </c>
      <c r="C78" s="116"/>
      <c r="D78" s="116"/>
      <c r="E78" s="117"/>
    </row>
    <row r="79" spans="2:5" s="111" customFormat="1" ht="15.75" customHeight="1" x14ac:dyDescent="0.25">
      <c r="B79" s="118"/>
      <c r="C79" s="126" t="s">
        <v>122</v>
      </c>
      <c r="D79" s="126"/>
      <c r="E79" s="127"/>
    </row>
    <row r="80" spans="2:5" s="111" customFormat="1" ht="16.5" thickBot="1" x14ac:dyDescent="0.3">
      <c r="B80" s="120"/>
      <c r="C80" s="121"/>
      <c r="D80" s="121"/>
      <c r="E80" s="122"/>
    </row>
    <row r="81" spans="2:5" s="111" customFormat="1" ht="15.75" x14ac:dyDescent="0.25">
      <c r="B81" s="124"/>
      <c r="C81" s="116"/>
      <c r="D81" s="116"/>
      <c r="E81" s="123"/>
    </row>
    <row r="82" spans="2:5" s="111" customFormat="1" ht="16.5" thickBot="1" x14ac:dyDescent="0.3">
      <c r="B82" s="124"/>
      <c r="C82" s="116"/>
      <c r="D82" s="116"/>
      <c r="E82" s="123"/>
    </row>
    <row r="83" spans="2:5" s="111" customFormat="1" ht="15.75" x14ac:dyDescent="0.25">
      <c r="B83" s="112" t="s">
        <v>146</v>
      </c>
      <c r="C83" s="113"/>
      <c r="D83" s="113"/>
      <c r="E83" s="114"/>
    </row>
    <row r="84" spans="2:5" s="111" customFormat="1" ht="15.75" x14ac:dyDescent="0.25">
      <c r="B84" s="115"/>
      <c r="C84" s="116"/>
      <c r="D84" s="116"/>
      <c r="E84" s="117"/>
    </row>
    <row r="85" spans="2:5" s="111" customFormat="1" ht="15.75" x14ac:dyDescent="0.25">
      <c r="B85" s="118" t="s">
        <v>112</v>
      </c>
      <c r="C85" s="116"/>
      <c r="D85" s="116"/>
      <c r="E85" s="117"/>
    </row>
    <row r="86" spans="2:5" s="111" customFormat="1" ht="15.75" x14ac:dyDescent="0.25">
      <c r="B86" s="118"/>
      <c r="C86" s="126" t="s">
        <v>147</v>
      </c>
      <c r="D86" s="126"/>
      <c r="E86" s="127"/>
    </row>
    <row r="87" spans="2:5" s="111" customFormat="1" ht="16.5" thickBot="1" x14ac:dyDescent="0.3">
      <c r="B87" s="120"/>
      <c r="C87" s="121"/>
      <c r="D87" s="121"/>
      <c r="E87" s="122"/>
    </row>
    <row r="88" spans="2:5" s="111" customFormat="1" ht="16.5" thickBot="1" x14ac:dyDescent="0.3">
      <c r="B88" s="124"/>
      <c r="C88" s="116"/>
      <c r="D88" s="116"/>
      <c r="E88" s="123"/>
    </row>
    <row r="89" spans="2:5" s="111" customFormat="1" ht="15.75" x14ac:dyDescent="0.25">
      <c r="B89" s="112" t="s">
        <v>123</v>
      </c>
      <c r="C89" s="113"/>
      <c r="D89" s="113"/>
      <c r="E89" s="114"/>
    </row>
    <row r="90" spans="2:5" s="111" customFormat="1" ht="8.25" customHeight="1" x14ac:dyDescent="0.25">
      <c r="B90" s="115"/>
      <c r="C90" s="116"/>
      <c r="D90" s="116"/>
      <c r="E90" s="117"/>
    </row>
    <row r="91" spans="2:5" s="111" customFormat="1" ht="15.75" x14ac:dyDescent="0.25">
      <c r="B91" s="118" t="s">
        <v>112</v>
      </c>
      <c r="C91" s="116"/>
      <c r="D91" s="116"/>
      <c r="E91" s="117"/>
    </row>
    <row r="92" spans="2:5" s="111" customFormat="1" ht="15.75" customHeight="1" x14ac:dyDescent="0.25">
      <c r="B92" s="118"/>
      <c r="C92" s="126" t="s">
        <v>132</v>
      </c>
      <c r="D92" s="126"/>
      <c r="E92" s="127"/>
    </row>
    <row r="93" spans="2:5" s="111" customFormat="1" ht="16.5" thickBot="1" x14ac:dyDescent="0.3">
      <c r="B93" s="120"/>
      <c r="C93" s="121"/>
      <c r="D93" s="121"/>
      <c r="E93" s="122"/>
    </row>
    <row r="94" spans="2:5" s="111" customFormat="1" ht="16.5" thickBot="1" x14ac:dyDescent="0.3">
      <c r="B94" s="124"/>
      <c r="C94" s="116"/>
      <c r="D94" s="116"/>
      <c r="E94" s="123"/>
    </row>
    <row r="95" spans="2:5" s="111" customFormat="1" ht="15.75" x14ac:dyDescent="0.25">
      <c r="B95" s="112" t="s">
        <v>130</v>
      </c>
      <c r="C95" s="113"/>
      <c r="D95" s="113"/>
      <c r="E95" s="114"/>
    </row>
    <row r="96" spans="2:5" s="111" customFormat="1" ht="6" customHeight="1" x14ac:dyDescent="0.25">
      <c r="B96" s="115"/>
      <c r="C96" s="116"/>
      <c r="D96" s="116"/>
      <c r="E96" s="117"/>
    </row>
    <row r="97" spans="2:5" s="111" customFormat="1" ht="15.75" x14ac:dyDescent="0.25">
      <c r="B97" s="118" t="s">
        <v>112</v>
      </c>
      <c r="C97" s="116"/>
      <c r="D97" s="116"/>
      <c r="E97" s="117"/>
    </row>
    <row r="98" spans="2:5" s="111" customFormat="1" ht="15.75" customHeight="1" x14ac:dyDescent="0.25">
      <c r="B98" s="118"/>
      <c r="C98" s="126" t="s">
        <v>133</v>
      </c>
      <c r="D98" s="126"/>
      <c r="E98" s="127"/>
    </row>
    <row r="99" spans="2:5" s="111" customFormat="1" ht="16.5" thickBot="1" x14ac:dyDescent="0.3">
      <c r="B99" s="120"/>
      <c r="C99" s="121"/>
      <c r="D99" s="121"/>
      <c r="E99" s="122"/>
    </row>
    <row r="100" spans="2:5" s="111" customFormat="1" ht="15.75" x14ac:dyDescent="0.25">
      <c r="B100" s="124"/>
      <c r="C100" s="116"/>
      <c r="D100" s="116"/>
      <c r="E100" s="123"/>
    </row>
    <row r="101" spans="2:5" s="111" customFormat="1" ht="16.5" thickBot="1" x14ac:dyDescent="0.3">
      <c r="B101" s="116"/>
      <c r="C101" s="116"/>
      <c r="D101" s="116"/>
      <c r="E101" s="123"/>
    </row>
    <row r="102" spans="2:5" s="111" customFormat="1" ht="15.75" x14ac:dyDescent="0.25">
      <c r="B102" s="112" t="s">
        <v>131</v>
      </c>
      <c r="C102" s="113"/>
      <c r="D102" s="113"/>
      <c r="E102" s="114"/>
    </row>
    <row r="103" spans="2:5" s="111" customFormat="1" ht="3.75" customHeight="1" x14ac:dyDescent="0.25">
      <c r="B103" s="115"/>
      <c r="C103" s="116"/>
      <c r="D103" s="116"/>
      <c r="E103" s="117"/>
    </row>
    <row r="104" spans="2:5" s="111" customFormat="1" ht="15.75" x14ac:dyDescent="0.25">
      <c r="B104" s="118" t="s">
        <v>112</v>
      </c>
      <c r="C104" s="116"/>
      <c r="D104" s="116"/>
      <c r="E104" s="117"/>
    </row>
    <row r="105" spans="2:5" s="111" customFormat="1" ht="15.75" customHeight="1" x14ac:dyDescent="0.25">
      <c r="B105" s="118"/>
      <c r="C105" s="126" t="s">
        <v>124</v>
      </c>
      <c r="D105" s="126"/>
      <c r="E105" s="127"/>
    </row>
    <row r="106" spans="2:5" s="111" customFormat="1" ht="16.5" thickBot="1" x14ac:dyDescent="0.3">
      <c r="B106" s="120"/>
      <c r="C106" s="121"/>
      <c r="D106" s="121"/>
      <c r="E106" s="122"/>
    </row>
    <row r="107" spans="2:5" s="111" customFormat="1" ht="15.75" x14ac:dyDescent="0.25">
      <c r="B107" s="116"/>
      <c r="C107" s="116"/>
      <c r="D107" s="116"/>
      <c r="E107" s="123"/>
    </row>
    <row r="108" spans="2:5" s="111" customFormat="1" ht="8.25" customHeight="1" thickBot="1" x14ac:dyDescent="0.3">
      <c r="B108" s="116"/>
      <c r="C108" s="116"/>
      <c r="D108" s="116"/>
      <c r="E108" s="123"/>
    </row>
    <row r="109" spans="2:5" s="111" customFormat="1" ht="15.75" x14ac:dyDescent="0.25">
      <c r="B109" s="112" t="s">
        <v>134</v>
      </c>
      <c r="C109" s="113"/>
      <c r="D109" s="113"/>
      <c r="E109" s="114"/>
    </row>
    <row r="110" spans="2:5" s="111" customFormat="1" ht="3.75" customHeight="1" x14ac:dyDescent="0.25">
      <c r="B110" s="115"/>
      <c r="C110" s="116"/>
      <c r="D110" s="116"/>
      <c r="E110" s="117"/>
    </row>
    <row r="111" spans="2:5" s="111" customFormat="1" ht="15.75" x14ac:dyDescent="0.25">
      <c r="B111" s="118" t="s">
        <v>112</v>
      </c>
      <c r="C111" s="116"/>
      <c r="D111" s="116"/>
      <c r="E111" s="117"/>
    </row>
    <row r="112" spans="2:5" s="111" customFormat="1" ht="15.75" x14ac:dyDescent="0.25">
      <c r="B112" s="118"/>
      <c r="C112" s="126" t="s">
        <v>125</v>
      </c>
      <c r="D112" s="126"/>
      <c r="E112" s="127"/>
    </row>
    <row r="113" spans="2:5" s="111" customFormat="1" ht="6" customHeight="1" thickBot="1" x14ac:dyDescent="0.3">
      <c r="B113" s="120"/>
      <c r="C113" s="121"/>
      <c r="D113" s="121"/>
      <c r="E113" s="122"/>
    </row>
    <row r="114" spans="2:5" s="111" customFormat="1" ht="15.75" x14ac:dyDescent="0.25">
      <c r="B114" s="116"/>
      <c r="C114" s="116"/>
      <c r="D114" s="116"/>
      <c r="E114" s="123"/>
    </row>
    <row r="115" spans="2:5" s="111" customFormat="1" ht="6" customHeight="1" thickBot="1" x14ac:dyDescent="0.3">
      <c r="B115" s="116"/>
      <c r="C115" s="116"/>
      <c r="D115" s="116"/>
      <c r="E115" s="123"/>
    </row>
    <row r="116" spans="2:5" s="111" customFormat="1" ht="15.75" x14ac:dyDescent="0.25">
      <c r="B116" s="112" t="s">
        <v>135</v>
      </c>
      <c r="C116" s="113"/>
      <c r="D116" s="113"/>
      <c r="E116" s="114"/>
    </row>
    <row r="117" spans="2:5" s="111" customFormat="1" ht="1.5" customHeight="1" x14ac:dyDescent="0.25">
      <c r="B117" s="115"/>
      <c r="C117" s="116"/>
      <c r="D117" s="116"/>
      <c r="E117" s="117"/>
    </row>
    <row r="118" spans="2:5" s="111" customFormat="1" ht="15.75" x14ac:dyDescent="0.25">
      <c r="B118" s="118" t="s">
        <v>112</v>
      </c>
      <c r="C118" s="116"/>
      <c r="D118" s="116"/>
      <c r="E118" s="117"/>
    </row>
    <row r="119" spans="2:5" s="111" customFormat="1" ht="15.75" customHeight="1" x14ac:dyDescent="0.25">
      <c r="B119" s="118"/>
      <c r="C119" s="126" t="s">
        <v>126</v>
      </c>
      <c r="D119" s="126"/>
      <c r="E119" s="127"/>
    </row>
    <row r="120" spans="2:5" s="111" customFormat="1" ht="16.5" thickBot="1" x14ac:dyDescent="0.3">
      <c r="B120" s="120"/>
      <c r="C120" s="121"/>
      <c r="D120" s="121"/>
      <c r="E120" s="122"/>
    </row>
    <row r="121" spans="2:5" s="111" customFormat="1" ht="16.5" thickBot="1" x14ac:dyDescent="0.3">
      <c r="B121" s="116"/>
      <c r="C121" s="116"/>
      <c r="D121" s="116"/>
      <c r="E121" s="123"/>
    </row>
    <row r="122" spans="2:5" s="111" customFormat="1" ht="15.75" x14ac:dyDescent="0.25">
      <c r="B122" s="112" t="s">
        <v>128</v>
      </c>
      <c r="C122" s="113"/>
      <c r="D122" s="113"/>
      <c r="E122" s="114"/>
    </row>
    <row r="123" spans="2:5" s="111" customFormat="1" ht="7.5" customHeight="1" x14ac:dyDescent="0.25">
      <c r="B123" s="115"/>
      <c r="C123" s="116"/>
      <c r="D123" s="116"/>
      <c r="E123" s="117"/>
    </row>
    <row r="124" spans="2:5" s="111" customFormat="1" ht="15.75" x14ac:dyDescent="0.25">
      <c r="B124" s="118" t="s">
        <v>112</v>
      </c>
      <c r="C124" s="116"/>
      <c r="D124" s="116"/>
      <c r="E124" s="117"/>
    </row>
    <row r="125" spans="2:5" s="111" customFormat="1" ht="15.75" customHeight="1" x14ac:dyDescent="0.25">
      <c r="B125" s="118"/>
      <c r="C125" s="126" t="s">
        <v>127</v>
      </c>
      <c r="D125" s="126"/>
      <c r="E125" s="127"/>
    </row>
    <row r="126" spans="2:5" s="111" customFormat="1" ht="16.5" thickBot="1" x14ac:dyDescent="0.3">
      <c r="B126" s="120"/>
      <c r="C126" s="121"/>
      <c r="D126" s="121"/>
      <c r="E126" s="122"/>
    </row>
    <row r="127" spans="2:5" s="111" customFormat="1" ht="15.75" x14ac:dyDescent="0.25">
      <c r="B127" s="124"/>
      <c r="C127" s="116"/>
      <c r="D127" s="116"/>
      <c r="E127" s="123"/>
    </row>
    <row r="128" spans="2:5" s="111" customFormat="1" ht="10.5" customHeight="1" thickBot="1" x14ac:dyDescent="0.3">
      <c r="B128" s="124"/>
      <c r="C128" s="116"/>
      <c r="D128" s="116"/>
      <c r="E128" s="123"/>
    </row>
    <row r="129" spans="2:5" s="111" customFormat="1" ht="15.75" x14ac:dyDescent="0.25">
      <c r="B129" s="112" t="s">
        <v>136</v>
      </c>
      <c r="C129" s="113"/>
      <c r="D129" s="113"/>
      <c r="E129" s="114"/>
    </row>
    <row r="130" spans="2:5" s="111" customFormat="1" ht="6.75" customHeight="1" x14ac:dyDescent="0.25">
      <c r="B130" s="115"/>
      <c r="C130" s="116"/>
      <c r="D130" s="116"/>
      <c r="E130" s="117"/>
    </row>
    <row r="131" spans="2:5" s="111" customFormat="1" ht="15.75" x14ac:dyDescent="0.25">
      <c r="B131" s="118" t="s">
        <v>112</v>
      </c>
      <c r="C131" s="116"/>
      <c r="D131" s="116"/>
      <c r="E131" s="117"/>
    </row>
    <row r="132" spans="2:5" s="111" customFormat="1" ht="15.75" customHeight="1" x14ac:dyDescent="0.25">
      <c r="B132" s="118"/>
      <c r="C132" s="126" t="s">
        <v>129</v>
      </c>
      <c r="D132" s="126"/>
      <c r="E132" s="127"/>
    </row>
    <row r="133" spans="2:5" s="111" customFormat="1" ht="16.5" thickBot="1" x14ac:dyDescent="0.3">
      <c r="B133" s="120"/>
      <c r="C133" s="121"/>
      <c r="D133" s="121"/>
      <c r="E133" s="122"/>
    </row>
  </sheetData>
  <mergeCells count="27">
    <mergeCell ref="C86:E86"/>
    <mergeCell ref="A6:B6"/>
    <mergeCell ref="A7:B7"/>
    <mergeCell ref="A31:H31"/>
    <mergeCell ref="B1:H1"/>
    <mergeCell ref="A3:B3"/>
    <mergeCell ref="C3:E3"/>
    <mergeCell ref="A4:B4"/>
    <mergeCell ref="C4:E4"/>
    <mergeCell ref="A5:B5"/>
    <mergeCell ref="C5:E5"/>
    <mergeCell ref="C132:E132"/>
    <mergeCell ref="C98:E98"/>
    <mergeCell ref="B34:E34"/>
    <mergeCell ref="C92:E92"/>
    <mergeCell ref="C105:E105"/>
    <mergeCell ref="C112:E112"/>
    <mergeCell ref="C119:E119"/>
    <mergeCell ref="C125:E125"/>
    <mergeCell ref="C53:E53"/>
    <mergeCell ref="C59:E59"/>
    <mergeCell ref="C65:E65"/>
    <mergeCell ref="C72:E72"/>
    <mergeCell ref="C79:E79"/>
    <mergeCell ref="B36:E36"/>
    <mergeCell ref="C42:E42"/>
    <mergeCell ref="C47:E47"/>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G32"/>
  <sheetViews>
    <sheetView tabSelected="1" topLeftCell="A10" zoomScale="80" zoomScaleNormal="80" workbookViewId="0">
      <selection activeCell="O22" sqref="O22"/>
    </sheetView>
  </sheetViews>
  <sheetFormatPr baseColWidth="10" defaultColWidth="9.140625" defaultRowHeight="12.75" x14ac:dyDescent="0.2"/>
  <cols>
    <col min="1" max="1" width="4.140625" style="2" customWidth="1"/>
    <col min="2" max="2" width="16.85546875" style="2" customWidth="1"/>
    <col min="3" max="3" width="134.85546875" style="2" customWidth="1"/>
    <col min="4" max="4" width="17.85546875" style="2" customWidth="1"/>
    <col min="5" max="5" width="16.28515625" style="2" customWidth="1"/>
    <col min="6" max="6" width="12.42578125" style="2" customWidth="1"/>
    <col min="7" max="7" width="15.85546875" style="2" customWidth="1"/>
    <col min="8" max="8" width="13.140625" style="2" customWidth="1"/>
    <col min="9" max="11" width="5.85546875" style="2" customWidth="1"/>
    <col min="12" max="12" width="12.5703125" style="2" customWidth="1"/>
    <col min="13" max="1021" width="9.140625" style="2"/>
  </cols>
  <sheetData>
    <row r="1" spans="1:8" ht="20.25" customHeight="1" thickBot="1" x14ac:dyDescent="0.25">
      <c r="A1" s="147" t="s">
        <v>5</v>
      </c>
      <c r="B1" s="147"/>
      <c r="C1" s="147"/>
      <c r="D1" s="147"/>
      <c r="E1" s="147"/>
      <c r="F1" s="147"/>
      <c r="G1" s="56" t="s">
        <v>6</v>
      </c>
      <c r="H1" s="57" t="s">
        <v>62</v>
      </c>
    </row>
    <row r="2" spans="1:8" ht="18.75" customHeight="1" thickBot="1" x14ac:dyDescent="0.25">
      <c r="A2" s="3"/>
      <c r="B2" s="3"/>
      <c r="C2" s="4"/>
      <c r="D2" s="4"/>
      <c r="E2" s="4"/>
      <c r="F2" s="4"/>
      <c r="G2" s="4"/>
      <c r="H2" s="4"/>
    </row>
    <row r="3" spans="1:8" ht="18.75" customHeight="1" thickBot="1" x14ac:dyDescent="0.25">
      <c r="A3" s="148" t="s">
        <v>32</v>
      </c>
      <c r="B3" s="148"/>
      <c r="C3" s="149" t="str">
        <f>+'[1]Necesidades Trimestrales'!C4:E4</f>
        <v>30 - Ministerio de Hacienda Publica</v>
      </c>
      <c r="D3" s="149"/>
      <c r="E3" s="149"/>
      <c r="F3" s="149"/>
      <c r="G3" s="149"/>
      <c r="H3" s="149"/>
    </row>
    <row r="4" spans="1:8" ht="18.75" customHeight="1" thickBot="1" x14ac:dyDescent="0.25">
      <c r="A4" s="150" t="s">
        <v>33</v>
      </c>
      <c r="B4" s="150"/>
      <c r="C4" s="149" t="str">
        <f>+'[1]Necesidades Trimestrales'!C5:E5</f>
        <v>9 - Direccion Provincial de Administracion de la Secretaria de Finanzas Publicas</v>
      </c>
      <c r="D4" s="149"/>
      <c r="E4" s="149"/>
      <c r="F4" s="149"/>
      <c r="G4" s="149"/>
      <c r="H4" s="149"/>
    </row>
    <row r="5" spans="1:8" ht="37.5" customHeight="1" thickBot="1" x14ac:dyDescent="0.25">
      <c r="A5" s="150" t="s">
        <v>11</v>
      </c>
      <c r="B5" s="150"/>
      <c r="C5" s="149" t="s">
        <v>61</v>
      </c>
      <c r="D5" s="149"/>
      <c r="E5" s="149"/>
      <c r="F5" s="149"/>
      <c r="G5" s="149"/>
      <c r="H5" s="149"/>
    </row>
    <row r="6" spans="1:8" ht="16.5" customHeight="1" thickBot="1" x14ac:dyDescent="0.25">
      <c r="A6" s="148" t="s">
        <v>34</v>
      </c>
      <c r="B6" s="148"/>
      <c r="C6" s="149" t="s">
        <v>61</v>
      </c>
      <c r="D6" s="149"/>
      <c r="E6" s="149"/>
      <c r="F6" s="149"/>
      <c r="G6" s="149"/>
      <c r="H6" s="149"/>
    </row>
    <row r="7" spans="1:8" ht="16.5" customHeight="1" thickBot="1" x14ac:dyDescent="0.25">
      <c r="A7" s="150" t="s">
        <v>7</v>
      </c>
      <c r="B7" s="150"/>
      <c r="C7" s="149" t="s">
        <v>91</v>
      </c>
      <c r="D7" s="149"/>
      <c r="E7" s="149"/>
      <c r="F7" s="149"/>
      <c r="G7" s="149"/>
      <c r="H7" s="149"/>
    </row>
    <row r="8" spans="1:8" ht="16.5" customHeight="1" thickBot="1" x14ac:dyDescent="0.25">
      <c r="A8" s="145" t="s">
        <v>8</v>
      </c>
      <c r="B8" s="145"/>
      <c r="C8" s="146" t="s">
        <v>142</v>
      </c>
      <c r="D8" s="146"/>
      <c r="E8" s="146"/>
      <c r="F8" s="146"/>
      <c r="G8" s="146"/>
      <c r="H8" s="146"/>
    </row>
    <row r="9" spans="1:8" ht="16.5" thickBot="1" x14ac:dyDescent="0.25">
      <c r="A9" s="5"/>
      <c r="B9" s="5"/>
      <c r="C9" s="6"/>
      <c r="D9" s="6"/>
      <c r="E9" s="6"/>
      <c r="F9" s="6"/>
      <c r="G9" s="6"/>
      <c r="H9" s="6"/>
    </row>
    <row r="10" spans="1:8" ht="48" customHeight="1" thickBot="1" x14ac:dyDescent="0.25">
      <c r="A10" s="52" t="s">
        <v>0</v>
      </c>
      <c r="B10" s="53" t="s">
        <v>58</v>
      </c>
      <c r="C10" s="54" t="s">
        <v>1</v>
      </c>
      <c r="D10" s="52" t="s">
        <v>56</v>
      </c>
      <c r="E10" s="52" t="s">
        <v>2</v>
      </c>
      <c r="F10" s="55" t="s">
        <v>4</v>
      </c>
      <c r="G10" s="53" t="s">
        <v>3</v>
      </c>
    </row>
    <row r="11" spans="1:8" ht="35.25" customHeight="1" x14ac:dyDescent="0.2">
      <c r="A11" s="47">
        <v>1</v>
      </c>
      <c r="B11" s="46" t="s">
        <v>63</v>
      </c>
      <c r="C11" s="46" t="s">
        <v>64</v>
      </c>
      <c r="D11" s="38" t="s">
        <v>114</v>
      </c>
      <c r="E11" s="58" t="s">
        <v>41</v>
      </c>
      <c r="F11" s="50">
        <v>600</v>
      </c>
      <c r="G11" s="49">
        <v>120</v>
      </c>
    </row>
    <row r="12" spans="1:8" ht="36.75" customHeight="1" x14ac:dyDescent="0.2">
      <c r="A12" s="47">
        <v>2</v>
      </c>
      <c r="B12" s="46" t="s">
        <v>65</v>
      </c>
      <c r="C12" s="46" t="s">
        <v>66</v>
      </c>
      <c r="D12" s="38" t="s">
        <v>114</v>
      </c>
      <c r="E12" s="58" t="s">
        <v>41</v>
      </c>
      <c r="F12" s="50">
        <v>700</v>
      </c>
      <c r="G12" s="49">
        <v>90</v>
      </c>
    </row>
    <row r="13" spans="1:8" ht="28.5" customHeight="1" x14ac:dyDescent="0.2">
      <c r="A13" s="47">
        <v>3</v>
      </c>
      <c r="B13" s="46" t="s">
        <v>67</v>
      </c>
      <c r="C13" s="46" t="s">
        <v>68</v>
      </c>
      <c r="D13" s="38" t="s">
        <v>57</v>
      </c>
      <c r="E13" s="58" t="s">
        <v>41</v>
      </c>
      <c r="F13" s="50">
        <v>350</v>
      </c>
      <c r="G13" s="49">
        <v>30</v>
      </c>
    </row>
    <row r="14" spans="1:8" ht="28.5" customHeight="1" x14ac:dyDescent="0.2">
      <c r="A14" s="47">
        <v>4</v>
      </c>
      <c r="B14" s="46" t="s">
        <v>69</v>
      </c>
      <c r="C14" s="46" t="s">
        <v>70</v>
      </c>
      <c r="D14" s="38" t="s">
        <v>114</v>
      </c>
      <c r="E14" s="58" t="s">
        <v>41</v>
      </c>
      <c r="F14" s="50">
        <v>60</v>
      </c>
      <c r="G14" s="51">
        <v>100</v>
      </c>
    </row>
    <row r="15" spans="1:8" ht="28.5" customHeight="1" x14ac:dyDescent="0.2">
      <c r="A15" s="47">
        <v>5</v>
      </c>
      <c r="B15" s="46" t="s">
        <v>71</v>
      </c>
      <c r="C15" s="46" t="s">
        <v>72</v>
      </c>
      <c r="D15" s="38" t="s">
        <v>114</v>
      </c>
      <c r="E15" s="58" t="s">
        <v>41</v>
      </c>
      <c r="F15" s="50">
        <v>85</v>
      </c>
      <c r="G15" s="51">
        <v>120</v>
      </c>
    </row>
    <row r="16" spans="1:8" ht="28.5" customHeight="1" x14ac:dyDescent="0.2">
      <c r="A16" s="47">
        <v>6</v>
      </c>
      <c r="B16" s="46" t="s">
        <v>73</v>
      </c>
      <c r="C16" s="46" t="s">
        <v>74</v>
      </c>
      <c r="D16" s="38" t="s">
        <v>114</v>
      </c>
      <c r="E16" s="58" t="s">
        <v>92</v>
      </c>
      <c r="F16" s="50">
        <v>800</v>
      </c>
      <c r="G16" s="49">
        <v>6</v>
      </c>
    </row>
    <row r="17" spans="1:7" ht="28.5" customHeight="1" x14ac:dyDescent="0.2">
      <c r="A17" s="47">
        <v>7</v>
      </c>
      <c r="B17" s="46" t="s">
        <v>75</v>
      </c>
      <c r="C17" s="46" t="s">
        <v>76</v>
      </c>
      <c r="D17" s="38" t="s">
        <v>114</v>
      </c>
      <c r="E17" s="58" t="s">
        <v>92</v>
      </c>
      <c r="F17" s="50">
        <v>700</v>
      </c>
      <c r="G17" s="49">
        <v>8</v>
      </c>
    </row>
    <row r="18" spans="1:7" ht="28.5" customHeight="1" x14ac:dyDescent="0.2">
      <c r="A18" s="47">
        <v>8</v>
      </c>
      <c r="B18" s="46" t="s">
        <v>50</v>
      </c>
      <c r="C18" s="46" t="s">
        <v>51</v>
      </c>
      <c r="D18" s="38" t="s">
        <v>57</v>
      </c>
      <c r="E18" s="58" t="s">
        <v>41</v>
      </c>
      <c r="F18" s="50">
        <v>800</v>
      </c>
      <c r="G18" s="49">
        <v>24</v>
      </c>
    </row>
    <row r="19" spans="1:7" ht="28.5" customHeight="1" x14ac:dyDescent="0.2">
      <c r="A19" s="47">
        <v>9</v>
      </c>
      <c r="B19" s="46" t="s">
        <v>77</v>
      </c>
      <c r="C19" s="46" t="s">
        <v>78</v>
      </c>
      <c r="D19" s="38" t="s">
        <v>114</v>
      </c>
      <c r="E19" s="58" t="s">
        <v>92</v>
      </c>
      <c r="F19" s="50">
        <v>780</v>
      </c>
      <c r="G19" s="49">
        <v>4</v>
      </c>
    </row>
    <row r="20" spans="1:7" ht="28.5" customHeight="1" x14ac:dyDescent="0.2">
      <c r="A20" s="47">
        <v>10</v>
      </c>
      <c r="B20" s="46" t="s">
        <v>39</v>
      </c>
      <c r="C20" s="46" t="s">
        <v>40</v>
      </c>
      <c r="D20" s="38" t="s">
        <v>57</v>
      </c>
      <c r="E20" s="58" t="s">
        <v>41</v>
      </c>
      <c r="F20" s="50">
        <v>1450</v>
      </c>
      <c r="G20" s="49">
        <v>12</v>
      </c>
    </row>
    <row r="21" spans="1:7" ht="28.5" customHeight="1" x14ac:dyDescent="0.2">
      <c r="A21" s="47">
        <v>11</v>
      </c>
      <c r="B21" s="46" t="s">
        <v>44</v>
      </c>
      <c r="C21" s="46" t="s">
        <v>45</v>
      </c>
      <c r="D21" s="38" t="s">
        <v>57</v>
      </c>
      <c r="E21" s="58" t="s">
        <v>93</v>
      </c>
      <c r="F21" s="50">
        <v>80</v>
      </c>
      <c r="G21" s="49">
        <v>60</v>
      </c>
    </row>
    <row r="22" spans="1:7" ht="28.5" x14ac:dyDescent="0.2">
      <c r="A22" s="47">
        <v>12</v>
      </c>
      <c r="B22" s="46" t="s">
        <v>79</v>
      </c>
      <c r="C22" s="46" t="s">
        <v>80</v>
      </c>
      <c r="D22" s="38" t="s">
        <v>57</v>
      </c>
      <c r="E22" s="58" t="s">
        <v>41</v>
      </c>
      <c r="F22" s="50">
        <v>2500</v>
      </c>
      <c r="G22" s="49">
        <v>2</v>
      </c>
    </row>
    <row r="23" spans="1:7" ht="28.5" customHeight="1" x14ac:dyDescent="0.2">
      <c r="A23" s="47">
        <v>13</v>
      </c>
      <c r="B23" s="46" t="s">
        <v>81</v>
      </c>
      <c r="C23" s="46" t="s">
        <v>82</v>
      </c>
      <c r="D23" s="38" t="s">
        <v>114</v>
      </c>
      <c r="E23" s="58" t="s">
        <v>93</v>
      </c>
      <c r="F23" s="50">
        <v>1500</v>
      </c>
      <c r="G23" s="49">
        <v>4</v>
      </c>
    </row>
    <row r="24" spans="1:7" ht="28.5" customHeight="1" x14ac:dyDescent="0.2">
      <c r="A24" s="47">
        <v>14</v>
      </c>
      <c r="B24" s="46" t="s">
        <v>83</v>
      </c>
      <c r="C24" s="46" t="s">
        <v>84</v>
      </c>
      <c r="D24" s="38" t="s">
        <v>114</v>
      </c>
      <c r="E24" s="58" t="s">
        <v>93</v>
      </c>
      <c r="F24" s="50">
        <v>1500</v>
      </c>
      <c r="G24" s="49">
        <v>2</v>
      </c>
    </row>
    <row r="25" spans="1:7" ht="28.5" customHeight="1" x14ac:dyDescent="0.2">
      <c r="A25" s="47">
        <v>15</v>
      </c>
      <c r="B25" s="46" t="s">
        <v>83</v>
      </c>
      <c r="C25" s="46" t="s">
        <v>84</v>
      </c>
      <c r="D25" s="38" t="s">
        <v>114</v>
      </c>
      <c r="E25" s="58" t="s">
        <v>93</v>
      </c>
      <c r="F25" s="50">
        <v>1500</v>
      </c>
      <c r="G25" s="49">
        <v>2</v>
      </c>
    </row>
    <row r="26" spans="1:7" ht="28.5" customHeight="1" x14ac:dyDescent="0.2">
      <c r="A26" s="47">
        <v>16</v>
      </c>
      <c r="B26" s="46" t="s">
        <v>42</v>
      </c>
      <c r="C26" s="46" t="s">
        <v>43</v>
      </c>
      <c r="D26" s="38" t="s">
        <v>114</v>
      </c>
      <c r="E26" s="58" t="s">
        <v>93</v>
      </c>
      <c r="F26" s="50">
        <v>1500</v>
      </c>
      <c r="G26" s="49">
        <v>4</v>
      </c>
    </row>
    <row r="27" spans="1:7" ht="28.5" customHeight="1" x14ac:dyDescent="0.2">
      <c r="A27" s="47">
        <v>17</v>
      </c>
      <c r="B27" s="46" t="s">
        <v>52</v>
      </c>
      <c r="C27" s="46" t="s">
        <v>53</v>
      </c>
      <c r="D27" s="38" t="s">
        <v>57</v>
      </c>
      <c r="E27" s="58" t="s">
        <v>41</v>
      </c>
      <c r="F27" s="50">
        <v>70</v>
      </c>
      <c r="G27" s="49">
        <v>10</v>
      </c>
    </row>
    <row r="28" spans="1:7" ht="28.5" customHeight="1" x14ac:dyDescent="0.2">
      <c r="A28" s="47">
        <v>18</v>
      </c>
      <c r="B28" s="46" t="s">
        <v>85</v>
      </c>
      <c r="C28" s="46" t="s">
        <v>86</v>
      </c>
      <c r="D28" s="38" t="s">
        <v>114</v>
      </c>
      <c r="E28" s="58" t="s">
        <v>93</v>
      </c>
      <c r="F28" s="50">
        <v>300</v>
      </c>
      <c r="G28" s="49">
        <v>12</v>
      </c>
    </row>
    <row r="29" spans="1:7" ht="28.5" customHeight="1" x14ac:dyDescent="0.2">
      <c r="A29" s="47">
        <v>19</v>
      </c>
      <c r="B29" s="46" t="s">
        <v>48</v>
      </c>
      <c r="C29" s="46" t="s">
        <v>49</v>
      </c>
      <c r="D29" s="38" t="s">
        <v>114</v>
      </c>
      <c r="E29" s="58" t="s">
        <v>41</v>
      </c>
      <c r="F29" s="50">
        <v>150</v>
      </c>
      <c r="G29" s="49">
        <v>6</v>
      </c>
    </row>
    <row r="30" spans="1:7" ht="28.5" customHeight="1" x14ac:dyDescent="0.2">
      <c r="A30" s="47">
        <v>20</v>
      </c>
      <c r="B30" s="46" t="s">
        <v>87</v>
      </c>
      <c r="C30" s="46" t="s">
        <v>88</v>
      </c>
      <c r="D30" s="38" t="s">
        <v>57</v>
      </c>
      <c r="E30" s="58" t="s">
        <v>41</v>
      </c>
      <c r="F30" s="50">
        <v>170</v>
      </c>
      <c r="G30" s="49">
        <v>4</v>
      </c>
    </row>
    <row r="31" spans="1:7" ht="28.5" customHeight="1" x14ac:dyDescent="0.2">
      <c r="A31" s="47">
        <v>21</v>
      </c>
      <c r="B31" s="46" t="s">
        <v>89</v>
      </c>
      <c r="C31" s="46" t="s">
        <v>90</v>
      </c>
      <c r="D31" s="38" t="s">
        <v>114</v>
      </c>
      <c r="E31" s="58" t="s">
        <v>93</v>
      </c>
      <c r="F31" s="50">
        <v>972</v>
      </c>
      <c r="G31" s="49">
        <v>2</v>
      </c>
    </row>
    <row r="32" spans="1:7" ht="28.5" customHeight="1" x14ac:dyDescent="0.2">
      <c r="A32" s="47">
        <v>22</v>
      </c>
      <c r="B32" s="46" t="s">
        <v>46</v>
      </c>
      <c r="C32" s="46" t="s">
        <v>47</v>
      </c>
      <c r="D32" s="38" t="s">
        <v>114</v>
      </c>
      <c r="E32" s="58" t="s">
        <v>41</v>
      </c>
      <c r="F32" s="50">
        <v>200</v>
      </c>
      <c r="G32" s="49">
        <v>48</v>
      </c>
    </row>
  </sheetData>
  <mergeCells count="13">
    <mergeCell ref="A8:B8"/>
    <mergeCell ref="C8:H8"/>
    <mergeCell ref="A1:F1"/>
    <mergeCell ref="A6:B6"/>
    <mergeCell ref="C6:H6"/>
    <mergeCell ref="A7:B7"/>
    <mergeCell ref="C7:H7"/>
    <mergeCell ref="A3:B3"/>
    <mergeCell ref="C3:H3"/>
    <mergeCell ref="A4:B4"/>
    <mergeCell ref="C4:H4"/>
    <mergeCell ref="A5:B5"/>
    <mergeCell ref="C5:H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zoomScale="90" zoomScaleNormal="90" workbookViewId="0">
      <selection activeCell="U18" sqref="U18"/>
    </sheetView>
  </sheetViews>
  <sheetFormatPr baseColWidth="10" defaultColWidth="11" defaultRowHeight="12.75" x14ac:dyDescent="0.2"/>
  <cols>
    <col min="1" max="2" width="4.42578125" customWidth="1"/>
    <col min="3" max="3" width="5.28515625" customWidth="1"/>
    <col min="4" max="4" width="4.42578125" customWidth="1"/>
    <col min="5" max="5" width="4" bestFit="1" customWidth="1"/>
    <col min="6" max="6" width="5.28515625" customWidth="1"/>
    <col min="7" max="7" width="4.42578125" style="7" customWidth="1"/>
    <col min="8" max="11" width="4.42578125" customWidth="1"/>
    <col min="12" max="12" width="5.85546875" bestFit="1" customWidth="1"/>
    <col min="13" max="14" width="4.42578125" customWidth="1"/>
    <col min="15" max="16" width="14.85546875" customWidth="1"/>
    <col min="17" max="17" width="14.7109375" customWidth="1"/>
  </cols>
  <sheetData>
    <row r="1" spans="1:17" ht="15.75" customHeight="1" thickBot="1" x14ac:dyDescent="0.3">
      <c r="A1" s="156" t="s">
        <v>95</v>
      </c>
      <c r="B1" s="157"/>
      <c r="C1" s="157"/>
      <c r="D1" s="158"/>
      <c r="E1" s="158"/>
      <c r="F1" s="59"/>
      <c r="G1" s="59"/>
      <c r="H1" s="60"/>
      <c r="I1" s="60"/>
      <c r="J1" s="60"/>
      <c r="K1" s="60"/>
      <c r="L1" s="60"/>
      <c r="M1" s="60"/>
      <c r="N1" s="60"/>
      <c r="O1" s="45"/>
      <c r="P1" s="159" t="s">
        <v>9</v>
      </c>
      <c r="Q1" s="159"/>
    </row>
    <row r="2" spans="1:17" ht="15.75" customHeight="1" thickBot="1" x14ac:dyDescent="0.25">
      <c r="A2" s="45"/>
      <c r="B2" s="45"/>
      <c r="C2" s="45"/>
      <c r="D2" s="45"/>
      <c r="E2" s="45"/>
      <c r="F2" s="45"/>
      <c r="G2" s="61"/>
      <c r="H2" s="60"/>
      <c r="I2" s="60"/>
      <c r="J2" s="60"/>
      <c r="K2" s="60"/>
      <c r="L2" s="60"/>
      <c r="M2" s="60"/>
      <c r="N2" s="60"/>
      <c r="O2" s="45"/>
      <c r="P2" s="159"/>
      <c r="Q2" s="159"/>
    </row>
    <row r="4" spans="1:17" s="8" customFormat="1" ht="18" customHeight="1" thickBot="1" x14ac:dyDescent="0.25">
      <c r="A4" s="160" t="s">
        <v>10</v>
      </c>
      <c r="B4" s="160"/>
      <c r="C4" s="160"/>
      <c r="D4" s="160"/>
      <c r="E4" s="160"/>
      <c r="F4" s="160"/>
      <c r="G4" s="161" t="s">
        <v>38</v>
      </c>
      <c r="H4" s="161"/>
      <c r="I4" s="161"/>
      <c r="J4" s="161"/>
      <c r="K4" s="161"/>
      <c r="L4" s="161"/>
      <c r="M4" s="161"/>
      <c r="N4" s="161"/>
      <c r="O4" s="161"/>
      <c r="P4" s="161"/>
      <c r="Q4" s="161"/>
    </row>
    <row r="5" spans="1:17" s="8" customFormat="1" ht="18" customHeight="1" thickBot="1" x14ac:dyDescent="0.25">
      <c r="A5" s="162" t="s">
        <v>33</v>
      </c>
      <c r="B5" s="163"/>
      <c r="C5" s="163"/>
      <c r="D5" s="163"/>
      <c r="E5" s="163"/>
      <c r="F5" s="164"/>
      <c r="G5" s="161" t="s">
        <v>37</v>
      </c>
      <c r="H5" s="161"/>
      <c r="I5" s="161"/>
      <c r="J5" s="161"/>
      <c r="K5" s="161"/>
      <c r="L5" s="161"/>
      <c r="M5" s="161"/>
      <c r="N5" s="161"/>
      <c r="O5" s="161"/>
      <c r="P5" s="161"/>
      <c r="Q5" s="161"/>
    </row>
    <row r="6" spans="1:17" s="8" customFormat="1" ht="18" customHeight="1" thickBot="1" x14ac:dyDescent="0.25">
      <c r="A6" s="162" t="s">
        <v>11</v>
      </c>
      <c r="B6" s="163"/>
      <c r="C6" s="163"/>
      <c r="D6" s="163"/>
      <c r="E6" s="163"/>
      <c r="F6" s="164"/>
      <c r="G6" s="161" t="s">
        <v>59</v>
      </c>
      <c r="H6" s="161"/>
      <c r="I6" s="161"/>
      <c r="J6" s="161"/>
      <c r="K6" s="161"/>
      <c r="L6" s="161"/>
      <c r="M6" s="161"/>
      <c r="N6" s="161"/>
      <c r="O6" s="161"/>
      <c r="P6" s="161"/>
      <c r="Q6" s="161"/>
    </row>
    <row r="7" spans="1:17" s="8" customFormat="1" ht="15" thickBot="1" x14ac:dyDescent="0.25">
      <c r="A7" s="162" t="s">
        <v>34</v>
      </c>
      <c r="B7" s="163"/>
      <c r="C7" s="163"/>
      <c r="D7" s="163"/>
      <c r="E7" s="163"/>
      <c r="F7" s="164"/>
      <c r="G7" s="161" t="s">
        <v>59</v>
      </c>
      <c r="H7" s="161"/>
      <c r="I7" s="161"/>
      <c r="J7" s="161"/>
      <c r="K7" s="161"/>
      <c r="L7" s="161"/>
      <c r="M7" s="161"/>
      <c r="N7" s="161"/>
      <c r="O7" s="161"/>
      <c r="P7" s="161"/>
      <c r="Q7" s="161"/>
    </row>
    <row r="8" spans="1:17" ht="18" customHeight="1" thickBot="1" x14ac:dyDescent="0.25">
      <c r="A8" s="165" t="s">
        <v>12</v>
      </c>
      <c r="B8" s="165"/>
      <c r="C8" s="165"/>
      <c r="D8" s="165"/>
      <c r="E8" s="165"/>
      <c r="F8" s="165"/>
      <c r="G8" s="165"/>
      <c r="H8" s="165"/>
      <c r="I8" s="165"/>
      <c r="J8" s="165"/>
      <c r="K8" s="165"/>
      <c r="L8" s="165"/>
      <c r="M8" s="165"/>
      <c r="N8" s="165"/>
      <c r="O8" s="165"/>
      <c r="P8" s="165"/>
      <c r="Q8" s="165"/>
    </row>
    <row r="9" spans="1:17" ht="18" customHeight="1" x14ac:dyDescent="0.2">
      <c r="A9" s="166" t="s">
        <v>13</v>
      </c>
      <c r="B9" s="166"/>
      <c r="C9" s="166"/>
      <c r="D9" s="166"/>
      <c r="E9" s="166"/>
      <c r="F9" s="166"/>
      <c r="G9" s="166"/>
      <c r="H9" s="166"/>
      <c r="I9" s="166"/>
      <c r="J9" s="166"/>
      <c r="K9" s="166"/>
      <c r="L9" s="166"/>
      <c r="M9" s="166"/>
      <c r="N9" s="166"/>
      <c r="O9" s="1"/>
      <c r="P9" s="1"/>
      <c r="Q9" s="9"/>
    </row>
    <row r="10" spans="1:17" ht="47.25" customHeight="1" x14ac:dyDescent="0.2">
      <c r="A10" s="167" t="s">
        <v>94</v>
      </c>
      <c r="B10" s="167"/>
      <c r="C10" s="167"/>
      <c r="D10" s="167"/>
      <c r="E10" s="167"/>
      <c r="F10" s="167"/>
      <c r="G10" s="167"/>
      <c r="H10" s="167"/>
      <c r="I10" s="167"/>
      <c r="J10" s="167"/>
      <c r="K10" s="167"/>
      <c r="L10" s="167"/>
      <c r="M10" s="167"/>
      <c r="N10" s="167"/>
      <c r="O10" s="167"/>
      <c r="P10" s="167"/>
      <c r="Q10" s="167"/>
    </row>
    <row r="11" spans="1:17" ht="9" customHeight="1" thickBot="1" x14ac:dyDescent="0.25">
      <c r="A11" s="10"/>
      <c r="B11" s="11"/>
      <c r="C11" s="11"/>
      <c r="D11" s="11"/>
      <c r="E11" s="11"/>
      <c r="F11" s="11"/>
      <c r="G11" s="12"/>
      <c r="H11" s="11"/>
      <c r="I11" s="11"/>
      <c r="J11" s="11"/>
      <c r="K11" s="11"/>
      <c r="L11" s="11"/>
      <c r="M11" s="11"/>
      <c r="N11" s="11"/>
      <c r="O11" s="11"/>
      <c r="P11" s="11"/>
      <c r="Q11" s="13"/>
    </row>
    <row r="12" spans="1:17" ht="15.75" customHeight="1" thickBot="1" x14ac:dyDescent="0.25">
      <c r="A12" s="168" t="s">
        <v>14</v>
      </c>
      <c r="B12" s="168"/>
      <c r="C12" s="168"/>
      <c r="D12" s="168"/>
      <c r="E12" s="168"/>
      <c r="F12" s="168"/>
      <c r="G12" s="168"/>
      <c r="H12" s="168"/>
      <c r="I12" s="168"/>
      <c r="J12" s="168"/>
      <c r="K12" s="168"/>
      <c r="L12" s="168"/>
      <c r="M12" s="168"/>
      <c r="N12" s="168"/>
      <c r="O12" s="168"/>
      <c r="P12" s="168"/>
      <c r="Q12" s="168"/>
    </row>
    <row r="13" spans="1:17" ht="15.75" customHeight="1" thickBot="1" x14ac:dyDescent="0.25">
      <c r="A13" s="169" t="s">
        <v>15</v>
      </c>
      <c r="B13" s="169"/>
      <c r="C13" s="169"/>
      <c r="D13" s="169"/>
      <c r="E13" s="169"/>
      <c r="F13" s="169"/>
      <c r="G13" s="169"/>
      <c r="H13" s="169"/>
      <c r="I13" s="169"/>
      <c r="J13" s="169"/>
      <c r="K13" s="169"/>
      <c r="L13" s="169"/>
      <c r="M13" s="169"/>
      <c r="N13" s="169"/>
      <c r="O13" s="170" t="s">
        <v>16</v>
      </c>
      <c r="P13" s="170"/>
      <c r="Q13" s="171" t="s">
        <v>17</v>
      </c>
    </row>
    <row r="14" spans="1:17" ht="15.75" customHeight="1" thickBot="1" x14ac:dyDescent="0.25">
      <c r="A14" s="14" t="s">
        <v>18</v>
      </c>
      <c r="B14" s="15" t="s">
        <v>19</v>
      </c>
      <c r="C14" s="15" t="s">
        <v>20</v>
      </c>
      <c r="D14" s="15" t="s">
        <v>21</v>
      </c>
      <c r="E14" s="15" t="s">
        <v>22</v>
      </c>
      <c r="F14" s="15" t="s">
        <v>23</v>
      </c>
      <c r="G14" s="16" t="s">
        <v>24</v>
      </c>
      <c r="H14" s="15" t="s">
        <v>25</v>
      </c>
      <c r="I14" s="15" t="s">
        <v>26</v>
      </c>
      <c r="J14" s="15" t="s">
        <v>27</v>
      </c>
      <c r="K14" s="15" t="s">
        <v>27</v>
      </c>
      <c r="L14" s="15" t="s">
        <v>28</v>
      </c>
      <c r="M14" s="17" t="s">
        <v>29</v>
      </c>
      <c r="N14" s="18" t="s">
        <v>30</v>
      </c>
      <c r="O14" s="170"/>
      <c r="P14" s="170"/>
      <c r="Q14" s="171"/>
    </row>
    <row r="15" spans="1:17" s="45" customFormat="1" ht="24.75" customHeight="1" thickBot="1" x14ac:dyDescent="0.25">
      <c r="A15" s="62" t="s">
        <v>143</v>
      </c>
      <c r="B15" s="39">
        <v>0</v>
      </c>
      <c r="C15" s="39">
        <v>0</v>
      </c>
      <c r="D15" s="39">
        <v>1</v>
      </c>
      <c r="E15" s="39">
        <v>0</v>
      </c>
      <c r="F15" s="39">
        <v>4901</v>
      </c>
      <c r="G15" s="39">
        <v>1</v>
      </c>
      <c r="H15" s="39">
        <v>7</v>
      </c>
      <c r="I15" s="39">
        <v>2</v>
      </c>
      <c r="J15" s="39">
        <v>3</v>
      </c>
      <c r="K15" s="39">
        <v>1</v>
      </c>
      <c r="L15" s="39">
        <v>0</v>
      </c>
      <c r="M15" s="40">
        <v>1</v>
      </c>
      <c r="N15" s="39" t="s">
        <v>35</v>
      </c>
      <c r="O15" s="172" t="s">
        <v>54</v>
      </c>
      <c r="P15" s="172"/>
      <c r="Q15" s="48">
        <v>157320</v>
      </c>
    </row>
    <row r="16" spans="1:17" s="45" customFormat="1" ht="29.25" customHeight="1" x14ac:dyDescent="0.2">
      <c r="A16" s="62" t="s">
        <v>143</v>
      </c>
      <c r="B16" s="42">
        <v>0</v>
      </c>
      <c r="C16" s="42">
        <v>0</v>
      </c>
      <c r="D16" s="42">
        <v>1</v>
      </c>
      <c r="E16" s="42">
        <v>0</v>
      </c>
      <c r="F16" s="42">
        <v>4901</v>
      </c>
      <c r="G16" s="42">
        <v>1</v>
      </c>
      <c r="H16" s="42">
        <v>7</v>
      </c>
      <c r="I16" s="42">
        <v>2</v>
      </c>
      <c r="J16" s="42">
        <v>9</v>
      </c>
      <c r="K16" s="42">
        <v>2</v>
      </c>
      <c r="L16" s="42">
        <v>0</v>
      </c>
      <c r="M16" s="43">
        <v>1</v>
      </c>
      <c r="N16" s="44" t="s">
        <v>35</v>
      </c>
      <c r="O16" s="173" t="s">
        <v>55</v>
      </c>
      <c r="P16" s="173"/>
      <c r="Q16" s="41">
        <v>99724</v>
      </c>
    </row>
    <row r="17" spans="1:18" ht="17.25" customHeight="1" x14ac:dyDescent="0.2">
      <c r="A17" s="34"/>
      <c r="B17" s="35"/>
      <c r="C17" s="35"/>
      <c r="D17" s="35"/>
      <c r="E17" s="35"/>
      <c r="F17" s="37"/>
      <c r="G17" s="35"/>
      <c r="H17" s="35"/>
      <c r="I17" s="35"/>
      <c r="J17" s="35"/>
      <c r="K17" s="35"/>
      <c r="L17" s="35"/>
      <c r="M17" s="36"/>
      <c r="N17" s="37"/>
      <c r="O17" s="174"/>
      <c r="P17" s="174"/>
      <c r="Q17" s="23"/>
    </row>
    <row r="18" spans="1:18" ht="17.25" customHeight="1" x14ac:dyDescent="0.2">
      <c r="A18" s="34"/>
      <c r="B18" s="35"/>
      <c r="C18" s="35"/>
      <c r="D18" s="35"/>
      <c r="E18" s="35"/>
      <c r="F18" s="35"/>
      <c r="G18" s="35"/>
      <c r="H18" s="35"/>
      <c r="I18" s="35"/>
      <c r="J18" s="35"/>
      <c r="K18" s="35"/>
      <c r="L18" s="35"/>
      <c r="M18" s="36"/>
      <c r="N18" s="37"/>
      <c r="O18" s="174"/>
      <c r="P18" s="174"/>
      <c r="Q18" s="23"/>
    </row>
    <row r="19" spans="1:18" ht="17.25" customHeight="1" x14ac:dyDescent="0.2">
      <c r="A19" s="34"/>
      <c r="B19" s="35"/>
      <c r="C19" s="35"/>
      <c r="D19" s="35"/>
      <c r="E19" s="35"/>
      <c r="F19" s="37"/>
      <c r="G19" s="35"/>
      <c r="H19" s="35"/>
      <c r="I19" s="35"/>
      <c r="J19" s="35"/>
      <c r="K19" s="35"/>
      <c r="L19" s="35"/>
      <c r="M19" s="36"/>
      <c r="N19" s="37"/>
      <c r="O19" s="174"/>
      <c r="P19" s="174"/>
      <c r="Q19" s="23"/>
    </row>
    <row r="20" spans="1:18" ht="17.25" customHeight="1" x14ac:dyDescent="0.2">
      <c r="A20" s="19"/>
      <c r="B20" s="20"/>
      <c r="C20" s="20"/>
      <c r="D20" s="20"/>
      <c r="E20" s="20"/>
      <c r="F20" s="22"/>
      <c r="G20" s="20"/>
      <c r="H20" s="20"/>
      <c r="I20" s="20"/>
      <c r="J20" s="20"/>
      <c r="K20" s="20"/>
      <c r="L20" s="20"/>
      <c r="M20" s="21"/>
      <c r="N20" s="22"/>
      <c r="O20" s="174"/>
      <c r="P20" s="174"/>
      <c r="Q20" s="23"/>
    </row>
    <row r="21" spans="1:18" ht="17.25" customHeight="1" x14ac:dyDescent="0.2">
      <c r="A21" s="24"/>
      <c r="B21" s="25"/>
      <c r="C21" s="25"/>
      <c r="D21" s="25"/>
      <c r="E21" s="25"/>
      <c r="F21" s="26"/>
      <c r="G21" s="25"/>
      <c r="H21" s="25"/>
      <c r="I21" s="25"/>
      <c r="J21" s="25"/>
      <c r="K21" s="25"/>
      <c r="L21" s="25"/>
      <c r="M21" s="27"/>
      <c r="N21" s="28"/>
      <c r="O21" s="175"/>
      <c r="P21" s="175"/>
      <c r="Q21" s="23"/>
      <c r="R21" s="1"/>
    </row>
    <row r="22" spans="1:18" ht="17.25" customHeight="1" thickBot="1" x14ac:dyDescent="0.25">
      <c r="A22" s="29"/>
      <c r="B22" s="30"/>
      <c r="C22" s="30"/>
      <c r="D22" s="30"/>
      <c r="E22" s="30"/>
      <c r="F22" s="30"/>
      <c r="G22" s="30"/>
      <c r="H22" s="30"/>
      <c r="I22" s="30"/>
      <c r="J22" s="30"/>
      <c r="K22" s="30"/>
      <c r="L22" s="30"/>
      <c r="M22" s="31"/>
      <c r="N22" s="30"/>
      <c r="O22" s="176"/>
      <c r="P22" s="176"/>
      <c r="Q22" s="32"/>
    </row>
    <row r="23" spans="1:18" ht="33.75" customHeight="1" thickBot="1" x14ac:dyDescent="0.25">
      <c r="A23" s="177" t="s">
        <v>60</v>
      </c>
      <c r="B23" s="177"/>
      <c r="C23" s="177"/>
      <c r="D23" s="177"/>
      <c r="E23" s="177"/>
      <c r="F23" s="177"/>
      <c r="G23" s="177"/>
      <c r="H23" s="177"/>
      <c r="I23" s="177"/>
      <c r="J23" s="177"/>
      <c r="K23" s="177"/>
      <c r="L23" s="177"/>
      <c r="M23" s="177"/>
      <c r="N23" s="177"/>
      <c r="O23" s="177"/>
      <c r="P23" s="177"/>
      <c r="Q23" s="33">
        <v>257044</v>
      </c>
    </row>
    <row r="24" spans="1:18" ht="18" customHeight="1" thickBot="1" x14ac:dyDescent="0.25">
      <c r="A24" s="178"/>
      <c r="B24" s="178"/>
      <c r="C24" s="178"/>
      <c r="D24" s="178"/>
      <c r="E24" s="178"/>
      <c r="F24" s="178"/>
      <c r="G24" s="178"/>
      <c r="H24" s="178"/>
      <c r="I24" s="178"/>
      <c r="J24" s="178"/>
      <c r="K24" s="178"/>
      <c r="L24" s="178"/>
      <c r="M24" s="178"/>
      <c r="N24" s="178"/>
      <c r="O24" s="178"/>
      <c r="P24" s="178"/>
      <c r="Q24" s="178"/>
    </row>
    <row r="25" spans="1:18" ht="17.25" customHeight="1" thickBot="1" x14ac:dyDescent="0.25">
      <c r="A25" s="151" t="s">
        <v>31</v>
      </c>
      <c r="B25" s="152"/>
      <c r="C25" s="152"/>
      <c r="D25" s="152"/>
      <c r="E25" s="152"/>
      <c r="F25" s="153"/>
      <c r="G25" s="154"/>
      <c r="H25" s="154"/>
      <c r="I25" s="154"/>
      <c r="J25" s="154"/>
      <c r="K25" s="154"/>
      <c r="L25" s="154"/>
      <c r="M25" s="154"/>
      <c r="N25" s="154"/>
      <c r="O25" s="154"/>
      <c r="P25" s="154"/>
      <c r="Q25" s="154"/>
    </row>
    <row r="26" spans="1:18" ht="18" customHeight="1" thickBot="1" x14ac:dyDescent="0.25">
      <c r="A26" s="155" t="s">
        <v>111</v>
      </c>
      <c r="B26" s="155"/>
      <c r="C26" s="155"/>
      <c r="D26" s="155"/>
      <c r="E26" s="155"/>
      <c r="F26" s="155"/>
      <c r="G26" s="155"/>
      <c r="H26" s="155"/>
      <c r="I26" s="155"/>
      <c r="J26" s="155"/>
      <c r="K26" s="155"/>
      <c r="L26" s="155"/>
      <c r="M26" s="155"/>
      <c r="N26" s="155"/>
      <c r="O26" s="155"/>
      <c r="P26" s="155"/>
      <c r="Q26" s="155"/>
    </row>
    <row r="27" spans="1:18" ht="15" customHeight="1" thickBot="1" x14ac:dyDescent="0.25">
      <c r="A27" s="155"/>
      <c r="B27" s="155"/>
      <c r="C27" s="155"/>
      <c r="D27" s="155"/>
      <c r="E27" s="155"/>
      <c r="F27" s="155"/>
      <c r="G27" s="155"/>
      <c r="H27" s="155"/>
      <c r="I27" s="155"/>
      <c r="J27" s="155"/>
      <c r="K27" s="155"/>
      <c r="L27" s="155"/>
      <c r="M27" s="155"/>
      <c r="N27" s="155"/>
      <c r="O27" s="155"/>
      <c r="P27" s="155"/>
      <c r="Q27" s="155"/>
    </row>
    <row r="28" spans="1:18" ht="15.75" thickBot="1" x14ac:dyDescent="0.25">
      <c r="A28" s="151" t="s">
        <v>36</v>
      </c>
      <c r="B28" s="152"/>
      <c r="C28" s="152"/>
      <c r="D28" s="152"/>
      <c r="E28" s="152"/>
      <c r="F28" s="153"/>
      <c r="G28" s="154"/>
      <c r="H28" s="154"/>
      <c r="I28" s="154"/>
      <c r="J28" s="154"/>
      <c r="K28" s="154"/>
      <c r="L28" s="154"/>
      <c r="M28" s="154"/>
      <c r="N28" s="154"/>
      <c r="O28" s="154"/>
      <c r="P28" s="154"/>
      <c r="Q28" s="154"/>
    </row>
    <row r="29" spans="1:18" ht="13.5" thickBot="1" x14ac:dyDescent="0.25">
      <c r="A29" s="155"/>
      <c r="B29" s="155"/>
      <c r="C29" s="155"/>
      <c r="D29" s="155"/>
      <c r="E29" s="155"/>
      <c r="F29" s="155"/>
      <c r="G29" s="155"/>
      <c r="H29" s="155"/>
      <c r="I29" s="155"/>
      <c r="J29" s="155"/>
      <c r="K29" s="155"/>
      <c r="L29" s="155"/>
      <c r="M29" s="155"/>
      <c r="N29" s="155"/>
      <c r="O29" s="155"/>
      <c r="P29" s="155"/>
      <c r="Q29" s="155"/>
    </row>
    <row r="30" spans="1:18" ht="13.5" thickBot="1" x14ac:dyDescent="0.25">
      <c r="A30" s="155"/>
      <c r="B30" s="155"/>
      <c r="C30" s="155"/>
      <c r="D30" s="155"/>
      <c r="E30" s="155"/>
      <c r="F30" s="155"/>
      <c r="G30" s="155"/>
      <c r="H30" s="155"/>
      <c r="I30" s="155"/>
      <c r="J30" s="155"/>
      <c r="K30" s="155"/>
      <c r="L30" s="155"/>
      <c r="M30" s="155"/>
      <c r="N30" s="155"/>
      <c r="O30" s="155"/>
      <c r="P30" s="155"/>
      <c r="Q30" s="155"/>
    </row>
  </sheetData>
  <mergeCells count="34">
    <mergeCell ref="A25:F25"/>
    <mergeCell ref="G25:Q25"/>
    <mergeCell ref="A26:Q27"/>
    <mergeCell ref="O20:P20"/>
    <mergeCell ref="O21:P21"/>
    <mergeCell ref="O22:P22"/>
    <mergeCell ref="A23:P23"/>
    <mergeCell ref="A24:Q24"/>
    <mergeCell ref="O15:P15"/>
    <mergeCell ref="O16:P16"/>
    <mergeCell ref="O17:P17"/>
    <mergeCell ref="O18:P18"/>
    <mergeCell ref="O19:P19"/>
    <mergeCell ref="A10:Q10"/>
    <mergeCell ref="A12:Q12"/>
    <mergeCell ref="A13:N13"/>
    <mergeCell ref="O13:P14"/>
    <mergeCell ref="Q13:Q14"/>
    <mergeCell ref="A28:F28"/>
    <mergeCell ref="G28:Q28"/>
    <mergeCell ref="A29:Q30"/>
    <mergeCell ref="A1:C1"/>
    <mergeCell ref="D1:E1"/>
    <mergeCell ref="P1:Q2"/>
    <mergeCell ref="A4:F4"/>
    <mergeCell ref="G4:Q4"/>
    <mergeCell ref="A5:F5"/>
    <mergeCell ref="G5:Q5"/>
    <mergeCell ref="A8:Q8"/>
    <mergeCell ref="A6:F6"/>
    <mergeCell ref="G6:Q6"/>
    <mergeCell ref="A7:F7"/>
    <mergeCell ref="G7:Q7"/>
    <mergeCell ref="A9:N9"/>
  </mergeCells>
  <phoneticPr fontId="17" type="noConversion"/>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ignoredErrors>
    <ignoredError sqref="A15:A16" numberStoredAsText="1"/>
  </ignoredErrors>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CGP</cp:lastModifiedBy>
  <cp:revision>2</cp:revision>
  <cp:lastPrinted>2020-07-17T22:18:48Z</cp:lastPrinted>
  <dcterms:created xsi:type="dcterms:W3CDTF">2020-07-17T23:44:49Z</dcterms:created>
  <dcterms:modified xsi:type="dcterms:W3CDTF">2021-08-19T16:32:45Z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