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A10" i="3"/>
  <c r="Q15" i="3" l="1"/>
  <c r="Q23" i="3" s="1"/>
  <c r="G6" i="3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<sst xmlns="http://schemas.openxmlformats.org/spreadsheetml/2006/main" count="81" uniqueCount="73">
  <si>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</si>
  <si>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</si>
  <si>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</si>
  <si>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</si>
  <si>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</si>
  <si>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</si>
  <si>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</si>
  <si>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</si>
  <si>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</si>
  <si>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</si>
  <si>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</si>
  <si>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</si>
  <si>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</si>
  <si>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</si>
  <si>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</si>
  <si>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</si>
  <si>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</si>
  <si>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</si>
  <si>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</si>
  <si>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</si>
  <si>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</si>
  <si>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</si>
  <si>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</si>
  <si>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</si>
  <si>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</si>
  <si>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</si>
  <si>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</si>
  <si>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</si>
  <si>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</si>
  <si>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</si>
  <si>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</si>
  <si>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</si>
  <si>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</si>
  <si>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</si>
  <si>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</si>
  <si>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</si>
  <si>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</si>
  <si>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</si>
  <si>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</si>
  <si>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</si>
  <si>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</si>
  <si>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</si>
  <si>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</si>
  <si>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</si>
  <si>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</si>
  <si>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</si>
  <si>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</si>
  <si>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</si>
  <si>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</si>
  <si>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</si>
  <si>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</si>
  <si>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</si>
  <si>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</si>
  <si>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</si>
  <si>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</si>
  <si>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</si>
  <si>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</si>
  <si>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</si>
  <si>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</si>
  <si>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</si>
  <si>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</si>
  <si>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</si>
  <si>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</si>
  <si>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</si>
  <si>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</si>
  <si>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</si>
  <si>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Adquisicion de Combustible Gasoil para vehiculos Oficiales del Ministerio de Vivienda y Urbanizacion.</t>
  </si>
  <si>
    <t>DENTRO DE LOS 15 DIAS HABILES, A PARTIR DEL PERFECCIONAMIENTO DEL DOCUMENTO CONTRACTUAL.</t>
  </si>
  <si>
    <t>30 DIAS.</t>
  </si>
  <si>
    <t>SE SUGIERE LA ENTREGA DE VALES DE 10 LITROS. CUANDO LA CANTIDAD ADJUDICADA NO PERMITA LA CONFECCIONDE DICHO VALE SE PODRA CONFECCIONAR UN VALE POR UNA CANTIDAD MENOR.</t>
  </si>
  <si>
    <t>SI</t>
  </si>
  <si>
    <t>Costo total estimado: Ocho Millones Ciento Sesenta y Cuatro Mil con 00/100</t>
  </si>
  <si>
    <r>
      <t xml:space="preserve">TOTAL DE PESOS: </t>
    </r>
    <r>
      <rPr>
        <b/>
        <sz val="11"/>
        <rFont val="Arial"/>
        <family val="2"/>
      </rPr>
      <t>Ocho Millones Ciento Sesenta y Cuatro Mil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</si>
</sst>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9"/>
      <name val="Arial"/>
      <family val="2"/>
      <charset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0" fillId="0" borderId="31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C1" zoomScaleNormal="100" workbookViewId="0">
      <selection activeCell="I10" sqref="I10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59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61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4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ht="24" x14ac:dyDescent="0.2">
      <c r="A10" s="52">
        <v>1</v>
      </c>
      <c r="B10" s="68" t="s">
        <v>64</v>
      </c>
      <c r="C10" s="89" t="s">
        <v>62</v>
      </c>
      <c r="D10" s="68" t="str">
        <f>LEFT(B10,5)</f>
        <v>2.5.6</v>
      </c>
      <c r="E10" s="69" t="s">
        <v>65</v>
      </c>
      <c r="F10" s="68" t="s">
        <v>63</v>
      </c>
      <c r="G10" s="68">
        <v>40000</v>
      </c>
      <c r="H10" s="90">
        <v>204.1</v>
      </c>
      <c r="I10" s="76">
        <f>G10*H10</f>
        <v>8164000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8164000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7" t="s">
        <v>69</v>
      </c>
      <c r="D18" s="97"/>
      <c r="E18" s="98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6" t="s">
        <v>67</v>
      </c>
      <c r="D20" s="96"/>
      <c r="E20" s="96"/>
      <c r="F20" s="46"/>
      <c r="G20" s="46"/>
      <c r="H20" s="46"/>
      <c r="I20" s="46"/>
      <c r="J20" s="46"/>
    </row>
    <row r="21" spans="1:10" x14ac:dyDescent="0.2">
      <c r="A21" s="46"/>
      <c r="B21" s="65"/>
      <c r="C21" s="96" t="s">
        <v>57</v>
      </c>
      <c r="D21" s="96"/>
      <c r="E21" s="96"/>
      <c r="F21" s="46"/>
      <c r="G21" s="46"/>
      <c r="H21" s="46"/>
      <c r="I21" s="46"/>
      <c r="J21" s="46"/>
    </row>
    <row r="22" spans="1:10" x14ac:dyDescent="0.2">
      <c r="A22" s="46"/>
      <c r="B22" s="64" t="s">
        <v>17</v>
      </c>
      <c r="C22" s="62"/>
      <c r="D22" s="62"/>
      <c r="E22" s="63"/>
      <c r="F22" s="46"/>
      <c r="G22" s="46"/>
      <c r="H22" s="46"/>
      <c r="I22" s="46"/>
      <c r="J22" s="46"/>
    </row>
    <row r="23" spans="1:10" ht="26.25" customHeight="1" x14ac:dyDescent="0.2">
      <c r="A23" s="46"/>
      <c r="B23" s="65"/>
      <c r="C23" s="95"/>
      <c r="D23" s="95"/>
      <c r="E23" s="95"/>
      <c r="F23" s="46"/>
      <c r="G23" s="46"/>
      <c r="H23" s="46"/>
      <c r="I23" s="46"/>
      <c r="J23" s="46"/>
    </row>
    <row r="24" spans="1:10" x14ac:dyDescent="0.2">
      <c r="A24" s="46"/>
      <c r="B24" s="64" t="s">
        <v>18</v>
      </c>
      <c r="C24" s="66"/>
      <c r="D24" s="66"/>
      <c r="E24" s="67"/>
      <c r="F24" s="46"/>
      <c r="G24" s="46"/>
      <c r="H24" s="46"/>
      <c r="I24" s="46"/>
      <c r="J24" s="46"/>
    </row>
    <row r="25" spans="1:10" ht="26.25" customHeight="1" x14ac:dyDescent="0.2">
      <c r="A25" s="46"/>
      <c r="B25" s="65"/>
      <c r="C25" s="95" t="s">
        <v>68</v>
      </c>
      <c r="D25" s="95"/>
      <c r="E25" s="95"/>
      <c r="F25" s="46"/>
      <c r="G25" s="46"/>
      <c r="H25" s="46"/>
      <c r="I25" s="46"/>
      <c r="J25" s="46"/>
    </row>
    <row r="26" spans="1:10" x14ac:dyDescent="0.2">
      <c r="A26" s="46"/>
      <c r="B26" s="64" t="s">
        <v>19</v>
      </c>
      <c r="C26" s="62"/>
      <c r="D26" s="62"/>
      <c r="E26" s="63"/>
      <c r="F26" s="46"/>
      <c r="G26" s="46"/>
      <c r="H26" s="46"/>
      <c r="I26" s="46"/>
      <c r="J26" s="46"/>
    </row>
    <row r="27" spans="1:10" ht="23.25" customHeight="1" x14ac:dyDescent="0.2">
      <c r="A27" s="46"/>
      <c r="B27" s="64"/>
      <c r="C27" s="96"/>
      <c r="D27" s="96"/>
      <c r="E27" s="96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C23:E23"/>
    <mergeCell ref="C25:E25"/>
    <mergeCell ref="C27:E27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="87" zoomScaleNormal="87" workbookViewId="0">
      <selection activeCell="D5" sqref="D5:K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9" t="s">
        <v>20</v>
      </c>
      <c r="B1" s="99"/>
      <c r="C1" s="99"/>
      <c r="D1" s="99"/>
      <c r="E1" s="99"/>
      <c r="F1" s="99"/>
      <c r="G1" s="99"/>
      <c r="H1" s="99"/>
      <c r="I1" s="99"/>
      <c r="J1" s="77" t="s">
        <v>21</v>
      </c>
      <c r="K1" s="78"/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0" t="s">
        <v>54</v>
      </c>
      <c r="B3" s="100"/>
      <c r="C3" s="100"/>
      <c r="D3" s="101" t="str">
        <f>'Necesidades Trimestrales'!C4</f>
        <v>35 - Ministerio de Vivienda y Urbanizacion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55</v>
      </c>
      <c r="B4" s="102"/>
      <c r="C4" s="102"/>
      <c r="D4" s="101" t="str">
        <f>'Necesidades Trimestrales'!C5</f>
        <v>48 - Direccion Provincial de Gestion de Administracion y Recursos Humanos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33</v>
      </c>
      <c r="B5" s="102"/>
      <c r="C5" s="102"/>
      <c r="D5" s="101" t="s">
        <v>60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56</v>
      </c>
      <c r="B6" s="100"/>
      <c r="C6" s="100"/>
      <c r="D6" s="101" t="s">
        <v>60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22</v>
      </c>
      <c r="B7" s="102"/>
      <c r="C7" s="102"/>
      <c r="D7" s="101" t="str">
        <f>'Necesidades Trimestrales'!C7 &amp; "° Trimestre - Año " &amp; 'Necesidades Trimestrales'!C6</f>
        <v>4° Trimestre - Año 2022</v>
      </c>
      <c r="E7" s="101"/>
      <c r="F7" s="101"/>
      <c r="G7" s="101"/>
      <c r="H7" s="101"/>
      <c r="I7" s="101"/>
      <c r="J7" s="101"/>
      <c r="K7" s="101"/>
    </row>
    <row r="8" spans="1:11" ht="33" customHeight="1" x14ac:dyDescent="0.2">
      <c r="A8" s="103" t="s">
        <v>23</v>
      </c>
      <c r="B8" s="103"/>
      <c r="C8" s="103"/>
      <c r="D8" s="104" t="s">
        <v>66</v>
      </c>
      <c r="E8" s="104"/>
      <c r="F8" s="104"/>
      <c r="G8" s="104"/>
      <c r="H8" s="104"/>
      <c r="I8" s="104"/>
      <c r="J8" s="104"/>
      <c r="K8" s="104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5" t="s">
        <v>24</v>
      </c>
      <c r="B10" s="106" t="s">
        <v>25</v>
      </c>
      <c r="C10" s="106" t="s">
        <v>26</v>
      </c>
      <c r="D10" s="106"/>
      <c r="E10" s="106"/>
      <c r="F10" s="106"/>
      <c r="G10" s="106"/>
      <c r="H10" s="106" t="s">
        <v>27</v>
      </c>
      <c r="I10" s="106" t="s">
        <v>28</v>
      </c>
      <c r="J10" s="106" t="s">
        <v>29</v>
      </c>
      <c r="K10" s="107" t="s">
        <v>30</v>
      </c>
    </row>
    <row r="11" spans="1:11" ht="24" customHeight="1" thickBot="1" x14ac:dyDescent="0.25">
      <c r="A11" s="105"/>
      <c r="B11" s="106"/>
      <c r="C11" s="106"/>
      <c r="D11" s="106"/>
      <c r="E11" s="106"/>
      <c r="F11" s="106"/>
      <c r="G11" s="106"/>
      <c r="H11" s="106"/>
      <c r="I11" s="106"/>
      <c r="J11" s="106"/>
      <c r="K11" s="107"/>
    </row>
    <row r="12" spans="1:11" ht="36" customHeight="1" thickBot="1" x14ac:dyDescent="0.25">
      <c r="A12" s="83">
        <v>1</v>
      </c>
      <c r="B12" s="83" t="str">
        <f>'Necesidades Trimestrales'!B10</f>
        <v>2.5.6-793.31</v>
      </c>
      <c r="C12" s="110" t="str">
        <f>'Necesidades Trimestrales'!E10</f>
        <v>GAS OIL; PRESENTACION: POR LITRO, USO: MOTORES DIESEL, COMERCIALIZACION: GRADO 3, DESTINO: DPTO. S.F.V. DE CATAMARCA</v>
      </c>
      <c r="D12" s="110"/>
      <c r="E12" s="110"/>
      <c r="F12" s="110"/>
      <c r="G12" s="110"/>
      <c r="H12" s="83" t="s">
        <v>70</v>
      </c>
      <c r="I12" s="85" t="str">
        <f>'Necesidades Trimestrales'!F10</f>
        <v>LITROS</v>
      </c>
      <c r="J12" s="91">
        <f>'Necesidades Trimestrales'!H10</f>
        <v>204.1</v>
      </c>
      <c r="K12" s="87">
        <f>'Necesidades Trimestrales'!G10</f>
        <v>40000</v>
      </c>
    </row>
    <row r="13" spans="1:11" ht="27.75" customHeight="1" x14ac:dyDescent="0.2">
      <c r="A13" s="88"/>
      <c r="B13" s="84"/>
      <c r="C13" s="110"/>
      <c r="D13" s="110"/>
      <c r="E13" s="110"/>
      <c r="F13" s="110"/>
      <c r="G13" s="110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1"/>
      <c r="D14" s="111"/>
      <c r="E14" s="111"/>
      <c r="F14" s="111"/>
      <c r="G14" s="111"/>
      <c r="H14" s="5"/>
      <c r="I14" s="6"/>
      <c r="J14" s="6"/>
      <c r="K14" s="7"/>
    </row>
    <row r="15" spans="1:11" ht="20.25" customHeight="1" x14ac:dyDescent="0.2">
      <c r="A15" s="108" t="s">
        <v>71</v>
      </c>
      <c r="B15" s="108"/>
      <c r="C15" s="108"/>
      <c r="D15" s="108"/>
      <c r="E15" s="108"/>
      <c r="F15" s="108"/>
      <c r="G15" s="108"/>
      <c r="H15" s="108"/>
      <c r="I15" s="108"/>
      <c r="J15" s="109">
        <f>SUMPRODUCT(J12:J14,K12:K14)</f>
        <v>8164000</v>
      </c>
      <c r="K15" s="109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sqref="A1:C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42578125" customWidth="1"/>
  </cols>
  <sheetData>
    <row r="1" spans="1:17" ht="15.75" customHeight="1" x14ac:dyDescent="0.25">
      <c r="A1" s="112" t="s">
        <v>3</v>
      </c>
      <c r="B1" s="112"/>
      <c r="C1" s="112"/>
      <c r="D1" s="113">
        <f>'Necesidades Trimestrales'!C6</f>
        <v>2022</v>
      </c>
      <c r="E1" s="113"/>
      <c r="F1" s="9"/>
      <c r="G1" s="9"/>
      <c r="H1" s="10"/>
      <c r="I1" s="10"/>
      <c r="J1" s="10"/>
      <c r="K1" s="10"/>
      <c r="L1" s="10"/>
      <c r="M1" s="10"/>
      <c r="N1" s="10"/>
      <c r="P1" s="114" t="s">
        <v>31</v>
      </c>
      <c r="Q1" s="114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4"/>
      <c r="Q2" s="114"/>
    </row>
    <row r="4" spans="1:17" s="11" customFormat="1" ht="18" customHeight="1" thickBot="1" x14ac:dyDescent="0.25">
      <c r="A4" s="115" t="s">
        <v>32</v>
      </c>
      <c r="B4" s="115"/>
      <c r="C4" s="115"/>
      <c r="D4" s="115"/>
      <c r="E4" s="115"/>
      <c r="F4" s="115"/>
      <c r="G4" s="116" t="str">
        <f>' NotaPedido'!D3</f>
        <v>35 - Ministerio de Vivienda y Urbanizacion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1" customFormat="1" ht="18" customHeight="1" thickBot="1" x14ac:dyDescent="0.25">
      <c r="A5" s="117" t="s">
        <v>55</v>
      </c>
      <c r="B5" s="118"/>
      <c r="C5" s="118"/>
      <c r="D5" s="118"/>
      <c r="E5" s="118"/>
      <c r="F5" s="119"/>
      <c r="G5" s="116" t="str">
        <f>' NotaPedido'!D4</f>
        <v>48 - Direccion Provincial de Gestion de Administracion y Recursos Humanos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1" customFormat="1" ht="18" customHeight="1" thickBot="1" x14ac:dyDescent="0.25">
      <c r="A6" s="117" t="s">
        <v>33</v>
      </c>
      <c r="B6" s="118"/>
      <c r="C6" s="118"/>
      <c r="D6" s="118"/>
      <c r="E6" s="118"/>
      <c r="F6" s="119"/>
      <c r="G6" s="116" t="str">
        <f>' NotaPedido'!D5</f>
        <v>Ministerio de Vivienda y Urbanizacion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1" customFormat="1" ht="18" customHeight="1" thickBot="1" x14ac:dyDescent="0.25">
      <c r="A7" s="117" t="s">
        <v>56</v>
      </c>
      <c r="B7" s="118"/>
      <c r="C7" s="118"/>
      <c r="D7" s="118"/>
      <c r="E7" s="118"/>
      <c r="F7" s="119"/>
      <c r="G7" s="116" t="str">
        <f>' NotaPedido'!D6</f>
        <v>Ministerio de Vivienda y Urbanizacion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20" t="s">
        <v>34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35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2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3" t="s">
        <v>36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37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38</v>
      </c>
      <c r="P13" s="125"/>
      <c r="Q13" s="126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5"/>
      <c r="P14" s="125"/>
      <c r="Q14" s="126"/>
    </row>
    <row r="15" spans="1:17" ht="17.25" customHeight="1" x14ac:dyDescent="0.2">
      <c r="A15" s="42">
        <v>25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58</v>
      </c>
      <c r="O15" s="127" t="s">
        <v>62</v>
      </c>
      <c r="P15" s="128"/>
      <c r="Q15" s="22">
        <f>'Necesidades Trimestrales'!I10</f>
        <v>8164000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29"/>
      <c r="P16" s="129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9"/>
      <c r="P17" s="129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29"/>
      <c r="P18" s="129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9"/>
      <c r="P19" s="129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9"/>
      <c r="P20" s="129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5"/>
      <c r="P21" s="135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6"/>
      <c r="P22" s="136"/>
      <c r="Q22" s="36"/>
    </row>
    <row r="23" spans="1:18" ht="20.25" customHeight="1" x14ac:dyDescent="0.2">
      <c r="A23" s="137" t="s">
        <v>72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7">
        <f>SUM(Q15:Q22)</f>
        <v>8164000</v>
      </c>
    </row>
    <row r="24" spans="1:18" ht="18" customHeight="1" thickBot="1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17.25" customHeight="1" thickBot="1" x14ac:dyDescent="0.25">
      <c r="A25" s="130" t="s">
        <v>53</v>
      </c>
      <c r="B25" s="131"/>
      <c r="C25" s="131"/>
      <c r="D25" s="131"/>
      <c r="E25" s="131"/>
      <c r="F25" s="13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18" ht="23.25" customHeight="1" thickBot="1" x14ac:dyDescent="0.25">
      <c r="A26" s="134" t="s">
        <v>66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  <row r="27" spans="1:18" ht="20.25" customHeight="1" x14ac:dyDescent="0.2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2022-09-15T13:28:52Z</cp:lastPrinted>
  <dcterms:created xsi:type="dcterms:W3CDTF">2020-07-17T23:44:49Z</dcterms:created>
  <dcterms:modified xsi:type="dcterms:W3CDTF">2022-09-19T13:22:19Z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