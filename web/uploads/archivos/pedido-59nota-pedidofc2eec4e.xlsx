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473701-CAT-DPPR#MHP\"/>
    </mc:Choice>
  </mc:AlternateContent>
  <xr:revisionPtr revIDLastSave="0" documentId="8_{E58A67F0-71DD-4861-8EEC-3AD7AF7CFA79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NotaPedido'!$A$1:$K$29</definedName>
    <definedName name="_xlnm.Print_Area" localSheetId="2">'Autor Gastar'!$A$1:$Q$20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1" l="1"/>
  <c r="I23" i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I13" i="1"/>
  <c r="I26" i="1" l="1"/>
  <c r="I25" i="1"/>
  <c r="I24" i="1"/>
  <c r="I22" i="1"/>
  <c r="I21" i="1"/>
  <c r="I20" i="1"/>
  <c r="I19" i="1"/>
  <c r="I17" i="1"/>
  <c r="I16" i="1"/>
  <c r="I15" i="1"/>
  <c r="I14" i="1"/>
  <c r="I12" i="1"/>
  <c r="I11" i="1"/>
  <c r="I10" i="1"/>
  <c r="I27" i="1" l="1"/>
  <c r="J29" i="2" s="1"/>
  <c r="K12" i="2"/>
  <c r="J12" i="2"/>
  <c r="B12" i="2"/>
  <c r="C12" i="2"/>
  <c r="Q15" i="3" l="1"/>
  <c r="Q16" i="3" s="1"/>
  <c r="G6" i="3" l="1"/>
  <c r="G7" i="3"/>
  <c r="D3" i="2"/>
  <c r="G4" i="3" s="1"/>
  <c r="D4" i="2"/>
  <c r="G5" i="3" s="1"/>
  <c r="A10" i="3" l="1"/>
  <c r="D1" i="3"/>
</calcChain>
</file>

<file path=xl/sharedStrings.xml><?xml version="1.0" encoding="utf-8"?>
<sst xmlns="http://schemas.openxmlformats.org/spreadsheetml/2006/main" count="198" uniqueCount="114">
  <si>
    <t>Pedido de Necesidades Trimestrales</t>
  </si>
  <si>
    <t>JURISDICCION:</t>
  </si>
  <si>
    <t>90 - Ministerio de Seguridad</t>
  </si>
  <si>
    <t xml:space="preserve">SAF N°: </t>
  </si>
  <si>
    <t>7 - Direccion de Administracion de la Policia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</si>
  <si>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</si>
  <si>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</si>
  <si>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</si>
  <si>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</si>
  <si>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</si>
  <si>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</si>
  <si>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</si>
  <si>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</si>
  <si>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</si>
  <si>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</si>
  <si>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</si>
  <si>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2.9.1-6951.30</t>
  </si>
  <si>
    <t>ELEMENTOS DE LIMPIEZA</t>
  </si>
  <si>
    <t>2.9.1</t>
  </si>
  <si>
    <t>LIMPIADORES; TIPO: LAVANDINA, PRESENTACION: ENVASE X 5 L</t>
  </si>
  <si>
    <t>UNIDAD</t>
  </si>
  <si>
    <t>2.9.1-6951.306</t>
  </si>
  <si>
    <t>LIMPIADORES; TIPO: DETERGENTE, PRESENTACION: ENVASE X 900 mL, BIODEGRADABLE: SI</t>
  </si>
  <si>
    <t>2.9.1-6961.42</t>
  </si>
  <si>
    <t>ELEM. P/LIMPIEZA SANITARIOS; TIPO: DESODORANTE P/ PISO, PRESENTACION: ENVASE X 5 L, COMPUESTOS BIODEGRADABLES: SI</t>
  </si>
  <si>
    <t>2.9.1-6951.23</t>
  </si>
  <si>
    <t>LIMPIADORES; TIPO: ACAROINA, PRESENTACION: ENVASE X 1 L</t>
  </si>
  <si>
    <t>2.9.1-6952.31</t>
  </si>
  <si>
    <t>CEPILLOS; TIPO: ESCOBILLON, MATERIAL: CERDA</t>
  </si>
  <si>
    <t>2.9.1-713.8</t>
  </si>
  <si>
    <t>TRAPOS DE PISO; DIMENSION: 40 X 50 Cm, COLOR: SIN VALOR</t>
  </si>
  <si>
    <t>2.9.1-678.7</t>
  </si>
  <si>
    <t>TRAPOS REJILLA; DIMENSION: 40 X 50 Cm, COLOR: SIN VALOR, MATERIAL: ALGODON</t>
  </si>
  <si>
    <t>2.9.1-714.2</t>
  </si>
  <si>
    <t>FRANELAS; DIMENSION: 50 X 50 Cm</t>
  </si>
  <si>
    <t>2.9.1-646.16</t>
  </si>
  <si>
    <t>2.5.8</t>
  </si>
  <si>
    <t>BOLSAS DE RESIDUOS; COLOR: OBSCURO, ESPESOR: 30 Mn, DIMENSION: 45 X 60 Cm, PRESENTACION: SIN VALOR</t>
  </si>
  <si>
    <t>2.9.1-544.73</t>
  </si>
  <si>
    <t>DESODORANTES DE AMBIENTE; FORMATO: AEROSOL, FRAGANCIA: LAVANDA, PRESENTACION: ENVASE X 360 CM3, LIBRE DE CFC: SI</t>
  </si>
  <si>
    <t>2.9.1-6950.30</t>
  </si>
  <si>
    <t>LUSTRADORES; TIPO: LUSTRAMUEBLES, PRESENTACION: AEROSOL X 360 CM3</t>
  </si>
  <si>
    <t>2.9.1-683.5</t>
  </si>
  <si>
    <t>SECADORES DE GOMA; LARGO: 40 Cm, COLOR: NEGRO</t>
  </si>
  <si>
    <t>2.9.1-564.5</t>
  </si>
  <si>
    <t>BALDES DE PLASTICO; CAPACIDAD: 10 L, COLOR: AMARILLO</t>
  </si>
  <si>
    <t>2.3.4-786.93</t>
  </si>
  <si>
    <t>2.3.4</t>
  </si>
  <si>
    <t>PAPEL HIGIENICO; PRESENTACION: ENVASE X 4, TIPO: ROLLO PRECORTADO, ANCHO: 10 Cm, LARGO: 50 M, TIPO DE HOJA: DOBLE</t>
  </si>
  <si>
    <t>2.9.1-6961.6</t>
  </si>
  <si>
    <t>ELEM. P/LIMPIEZA SANITARIOS; TIPO: PASTILLA DESODORANTE, PRESENTACION: UNIDAD</t>
  </si>
  <si>
    <t>2.9.1-6956.78</t>
  </si>
  <si>
    <t>ARTICULOS DE TOCADOR; TIPO: JABON LIQUIDO, PRESENTACION: ENVASE X 295 mL</t>
  </si>
  <si>
    <t>2.9.1-1156.12</t>
  </si>
  <si>
    <t>PLUMEROS; PLUMA: SINTETICO. CLASE: SUAVE, MATERIAL MANGO: SEGUN PLIEGO, LARGO MANGO: 40 Cm, Nº VUELTAS PENACHO: SEGUN PLIEGO, TIPO: SUAVE</t>
  </si>
  <si>
    <t>Especificidades de todos los Items.</t>
  </si>
  <si>
    <r>
      <rPr>
        <u/>
        <sz val="10"/>
        <rFont val="Century Gothic"/>
        <family val="2"/>
      </rPr>
      <t>DESCRIPCION ITEM 17</t>
    </r>
    <r>
      <rPr>
        <sz val="10"/>
        <rFont val="Century Gothic"/>
        <family val="2"/>
      </rPr>
      <t>: Mango de Madera, Vueltas Penacho: sin valor</t>
    </r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</si>
  <si>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</si>
  <si>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</si>
  <si>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</si>
  <si>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r>
      <t xml:space="preserve">Que Cumpla con lo Solicitado de Forma Integra. </t>
    </r>
    <r>
      <rPr>
        <b/>
        <u/>
        <sz val="10"/>
        <rFont val="Century Gothic"/>
        <family val="2"/>
      </rPr>
      <t xml:space="preserve">Presentar Muestras, </t>
    </r>
    <r>
      <rPr>
        <sz val="10"/>
        <rFont val="Century Gothic"/>
        <family val="2"/>
      </rPr>
      <t>La recepción de las muestras se realizará en el Departamento Logística (D-4) de la Policía de Catamarca, hasta momentos antes de la apertura, sito en Av. Felix Avellaneda, RP Nº 33, Km 2, Sumalao - Valle Viejo. Provincia de Catamarca.
c.3) Debidamente rotuladas por ítems e identificando claramente el oferente cotizante. No se aceptaran muestras distintas a lo cotizado.</t>
    </r>
  </si>
  <si>
    <t>Mantenimiento</t>
  </si>
  <si>
    <t>30 dias</t>
  </si>
  <si>
    <t>Garantia</t>
  </si>
  <si>
    <t>*</t>
  </si>
  <si>
    <t>NOTA DE PEDIDO</t>
  </si>
  <si>
    <t>N°</t>
  </si>
  <si>
    <t>20/2021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</si>
  <si>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</si>
  <si>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</si>
  <si>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</si>
  <si>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</si>
  <si>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</si>
  <si>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Intendencia - Departamento Logística</t>
  </si>
  <si>
    <t>PERIODO UTILIZACIÓN:</t>
  </si>
  <si>
    <t>2do trimestre Año 2021.-</t>
  </si>
  <si>
    <t>OBJETO:</t>
  </si>
  <si>
    <t>Adquisición de elementos de limpieza destinados a dependencias policiales.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</si>
  <si>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</si>
  <si>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</si>
  <si>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</si>
  <si>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</si>
  <si>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</si>
  <si>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</si>
  <si>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</si>
  <si>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</si>
  <si>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si</t>
  </si>
  <si>
    <t>Costo total estimado: Pesos Un Millon Seiscientos Dos Mil Ochenta con 00/100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</si>
  <si>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</si>
  <si>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</si>
  <si>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</si>
  <si>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</si>
  <si>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</si>
  <si>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</si>
  <si>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</si>
  <si>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</si>
  <si>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</si>
  <si>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</si>
  <si>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</si>
  <si>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</si>
  <si>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</si>
  <si>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</si>
  <si>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</si>
  <si>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</si>
  <si>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</si>
  <si>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</si>
  <si>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</si>
  <si>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</si>
  <si>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</si>
  <si>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</si>
  <si>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Un Millon Seiscientos Dos Mil Ochenta con 00/100</t>
  </si>
  <si>
    <t>JUSTIFICACIÓN:</t>
  </si>
  <si>
    <t>Adquisición de elementos de limpieza destinados a dependencias policiales.-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</si>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</sst>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\ #,##0.00;[Red]&quot;$&quot;\ \-#,##0.00"/>
    <numFmt numFmtId="165" formatCode="_ &quot;$&quot;\ * #,##0.00_ ;_ &quot;$&quot;\ * \-#,##0.00_ ;_ &quot;$&quot;\ * &quot;-&quot;??_ ;_ @_ "/>
    <numFmt numFmtId="166" formatCode="_(\$* #,##0.00_);_(\$* \(#,##0.00\);_(\$* \-??_);_(@_)"/>
    <numFmt numFmtId="167" formatCode="_-* #,##0.00&quot; €&quot;_-;\-* #,##0.00&quot; €&quot;_-;_-* \-??&quot; €&quot;_-;_-@_-"/>
    <numFmt numFmtId="168" formatCode="[$$-2C0A]\ #,##0.00;[$$-2C0A]&quot; -&quot;#,##0.00"/>
    <numFmt numFmtId="169" formatCode="[$$-2C0A]\ #,##0.00"/>
    <numFmt numFmtId="170" formatCode="dd\-mm\-yy;@"/>
    <numFmt numFmtId="171" formatCode="_ [$$-2C0A]\ * #,##0.00_ ;_ [$$-2C0A]\ * \-#,##0.00_ ;_ [$$-2C0A]\ * &quot;-&quot;??_ ;_ @_ "/>
  </numFmts>
  <fonts count="19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sz val="11"/>
      <color rgb="FF333333"/>
      <name val="OpenSans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167" fontId="4" fillId="0" borderId="0" applyBorder="0" applyProtection="0"/>
    <xf numFmtId="0" fontId="1" fillId="0" borderId="1" applyProtection="0"/>
    <xf numFmtId="166" fontId="2" fillId="0" borderId="0" applyBorder="0" applyProtection="0"/>
    <xf numFmtId="0" fontId="3" fillId="2" borderId="0" applyBorder="0" applyProtection="0"/>
  </cellStyleXfs>
  <cellXfs count="149">
    <xf numFmtId="0" fontId="0" fillId="0" borderId="0" xfId="0"/>
    <xf numFmtId="0" fontId="5" fillId="3" borderId="0" xfId="0" applyFont="1" applyFill="1" applyAlignment="1">
      <alignment horizontal="center" vertical="center"/>
    </xf>
    <xf numFmtId="171" fontId="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0" fontId="8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wrapText="1"/>
    </xf>
    <xf numFmtId="0" fontId="8" fillId="3" borderId="0" xfId="0" applyFont="1" applyFill="1" applyAlignment="1">
      <alignment horizontal="left" wrapText="1"/>
    </xf>
    <xf numFmtId="0" fontId="7" fillId="3" borderId="48" xfId="0" applyFont="1" applyFill="1" applyBorder="1" applyAlignment="1">
      <alignment horizontal="center" vertical="center" wrapText="1"/>
    </xf>
    <xf numFmtId="0" fontId="7" fillId="3" borderId="48" xfId="0" applyFont="1" applyFill="1" applyBorder="1" applyAlignment="1">
      <alignment horizontal="left" vertical="center" wrapText="1"/>
    </xf>
    <xf numFmtId="171" fontId="7" fillId="3" borderId="48" xfId="0" applyNumberFormat="1" applyFont="1" applyFill="1" applyBorder="1" applyAlignment="1">
      <alignment horizontal="center" vertical="center" wrapText="1"/>
    </xf>
    <xf numFmtId="0" fontId="5" fillId="3" borderId="0" xfId="0" applyFont="1" applyFill="1" applyBorder="1"/>
    <xf numFmtId="0" fontId="9" fillId="3" borderId="49" xfId="0" applyFont="1" applyFill="1" applyBorder="1" applyAlignment="1">
      <alignment horizontal="center" vertical="center"/>
    </xf>
    <xf numFmtId="0" fontId="5" fillId="3" borderId="50" xfId="0" applyFont="1" applyFill="1" applyBorder="1" applyAlignment="1">
      <alignment vertical="center" wrapText="1"/>
    </xf>
    <xf numFmtId="49" fontId="5" fillId="3" borderId="50" xfId="0" applyNumberFormat="1" applyFont="1" applyFill="1" applyBorder="1" applyAlignment="1">
      <alignment vertical="center"/>
    </xf>
    <xf numFmtId="49" fontId="5" fillId="3" borderId="50" xfId="0" applyNumberFormat="1" applyFont="1" applyFill="1" applyBorder="1" applyAlignment="1">
      <alignment vertical="center" wrapText="1"/>
    </xf>
    <xf numFmtId="0" fontId="9" fillId="3" borderId="50" xfId="0" applyFont="1" applyFill="1" applyBorder="1" applyAlignment="1">
      <alignment horizontal="center" vertical="center" wrapText="1"/>
    </xf>
    <xf numFmtId="165" fontId="9" fillId="3" borderId="51" xfId="1" applyNumberFormat="1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 wrapText="1"/>
    </xf>
    <xf numFmtId="49" fontId="5" fillId="3" borderId="3" xfId="0" applyNumberFormat="1" applyFont="1" applyFill="1" applyBorder="1" applyAlignment="1">
      <alignment vertical="center"/>
    </xf>
    <xf numFmtId="49" fontId="5" fillId="3" borderId="3" xfId="0" applyNumberFormat="1" applyFont="1" applyFill="1" applyBorder="1" applyAlignment="1">
      <alignment vertical="center" wrapText="1"/>
    </xf>
    <xf numFmtId="0" fontId="9" fillId="3" borderId="3" xfId="0" applyFont="1" applyFill="1" applyBorder="1" applyAlignment="1">
      <alignment horizontal="center" vertical="center" wrapText="1"/>
    </xf>
    <xf numFmtId="164" fontId="9" fillId="3" borderId="3" xfId="0" applyNumberFormat="1" applyFont="1" applyFill="1" applyBorder="1" applyAlignment="1">
      <alignment horizontal="center" vertical="center"/>
    </xf>
    <xf numFmtId="165" fontId="9" fillId="3" borderId="4" xfId="1" applyNumberFormat="1" applyFont="1" applyFill="1" applyBorder="1" applyAlignment="1">
      <alignment vertical="center"/>
    </xf>
    <xf numFmtId="49" fontId="9" fillId="3" borderId="3" xfId="0" applyNumberFormat="1" applyFont="1" applyFill="1" applyBorder="1" applyAlignment="1">
      <alignment vertical="center"/>
    </xf>
    <xf numFmtId="49" fontId="5" fillId="0" borderId="3" xfId="0" applyNumberFormat="1" applyFont="1" applyBorder="1" applyAlignment="1">
      <alignment vertical="center" wrapText="1"/>
    </xf>
    <xf numFmtId="0" fontId="5" fillId="3" borderId="0" xfId="0" applyFont="1" applyFill="1" applyAlignment="1">
      <alignment horizontal="left"/>
    </xf>
    <xf numFmtId="171" fontId="6" fillId="3" borderId="45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top"/>
    </xf>
    <xf numFmtId="171" fontId="5" fillId="3" borderId="0" xfId="0" applyNumberFormat="1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0" fontId="5" fillId="3" borderId="10" xfId="0" applyFont="1" applyFill="1" applyBorder="1"/>
    <xf numFmtId="0" fontId="5" fillId="3" borderId="11" xfId="0" applyFont="1" applyFill="1" applyBorder="1" applyAlignment="1">
      <alignment horizontal="center" vertical="center"/>
    </xf>
    <xf numFmtId="0" fontId="5" fillId="3" borderId="11" xfId="0" applyFont="1" applyFill="1" applyBorder="1"/>
    <xf numFmtId="0" fontId="10" fillId="3" borderId="5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6" xfId="0" applyFont="1" applyFill="1" applyBorder="1"/>
    <xf numFmtId="0" fontId="5" fillId="3" borderId="7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wrapText="1"/>
    </xf>
    <xf numFmtId="0" fontId="10" fillId="3" borderId="1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left"/>
    </xf>
    <xf numFmtId="49" fontId="5" fillId="3" borderId="0" xfId="0" applyNumberFormat="1" applyFont="1" applyFill="1"/>
    <xf numFmtId="0" fontId="12" fillId="3" borderId="13" xfId="0" applyFont="1" applyFill="1" applyBorder="1" applyAlignment="1">
      <alignment horizontal="right" vertical="center"/>
    </xf>
    <xf numFmtId="0" fontId="13" fillId="3" borderId="14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2" fillId="3" borderId="15" xfId="0" applyFont="1" applyFill="1" applyBorder="1" applyAlignment="1">
      <alignment vertical="center"/>
    </xf>
    <xf numFmtId="0" fontId="12" fillId="3" borderId="0" xfId="0" applyFont="1" applyFill="1" applyBorder="1" applyAlignment="1">
      <alignment vertical="center"/>
    </xf>
    <xf numFmtId="0" fontId="14" fillId="3" borderId="0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left" vertical="center" wrapText="1" indent="1"/>
    </xf>
    <xf numFmtId="0" fontId="5" fillId="3" borderId="44" xfId="0" applyFont="1" applyFill="1" applyBorder="1" applyAlignment="1">
      <alignment horizontal="center" vertical="center" wrapText="1"/>
    </xf>
    <xf numFmtId="0" fontId="5" fillId="3" borderId="46" xfId="0" applyFont="1" applyFill="1" applyBorder="1"/>
    <xf numFmtId="0" fontId="5" fillId="3" borderId="45" xfId="0" applyFont="1" applyFill="1" applyBorder="1" applyAlignment="1">
      <alignment horizontal="center" vertical="center"/>
    </xf>
    <xf numFmtId="0" fontId="5" fillId="3" borderId="45" xfId="0" applyFont="1" applyFill="1" applyBorder="1" applyAlignment="1">
      <alignment horizontal="center" vertical="center" wrapText="1"/>
    </xf>
    <xf numFmtId="171" fontId="5" fillId="3" borderId="45" xfId="1" applyNumberFormat="1" applyFont="1" applyFill="1" applyBorder="1" applyAlignment="1" applyProtection="1">
      <alignment horizontal="center" vertical="center"/>
    </xf>
    <xf numFmtId="3" fontId="5" fillId="3" borderId="45" xfId="0" applyNumberFormat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71" fontId="5" fillId="3" borderId="0" xfId="0" applyNumberFormat="1" applyFont="1" applyFill="1" applyBorder="1" applyAlignment="1">
      <alignment vertical="center"/>
    </xf>
    <xf numFmtId="3" fontId="15" fillId="3" borderId="0" xfId="0" applyNumberFormat="1" applyFont="1" applyFill="1" applyBorder="1" applyAlignment="1"/>
    <xf numFmtId="170" fontId="5" fillId="3" borderId="0" xfId="0" applyNumberFormat="1" applyFont="1" applyFill="1" applyAlignment="1">
      <alignment horizontal="left"/>
    </xf>
    <xf numFmtId="0" fontId="5" fillId="3" borderId="13" xfId="0" applyFont="1" applyFill="1" applyBorder="1"/>
    <xf numFmtId="0" fontId="5" fillId="3" borderId="27" xfId="0" applyFont="1" applyFill="1" applyBorder="1"/>
    <xf numFmtId="0" fontId="5" fillId="3" borderId="15" xfId="0" applyFont="1" applyFill="1" applyBorder="1"/>
    <xf numFmtId="0" fontId="5" fillId="3" borderId="15" xfId="0" applyFont="1" applyFill="1" applyBorder="1" applyAlignment="1">
      <alignment horizontal="left"/>
    </xf>
    <xf numFmtId="0" fontId="5" fillId="3" borderId="28" xfId="0" applyFont="1" applyFill="1" applyBorder="1"/>
    <xf numFmtId="0" fontId="6" fillId="3" borderId="30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left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168" fontId="5" fillId="3" borderId="36" xfId="3" applyNumberFormat="1" applyFont="1" applyFill="1" applyBorder="1" applyAlignment="1" applyProtection="1">
      <alignment horizontal="center" vertical="center"/>
    </xf>
    <xf numFmtId="168" fontId="6" fillId="3" borderId="37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vertical="center"/>
    </xf>
    <xf numFmtId="171" fontId="6" fillId="3" borderId="0" xfId="0" applyNumberFormat="1" applyFont="1" applyFill="1" applyBorder="1" applyAlignment="1">
      <alignment horizontal="center" vertical="center"/>
    </xf>
    <xf numFmtId="0" fontId="10" fillId="3" borderId="53" xfId="0" applyFont="1" applyFill="1" applyBorder="1" applyAlignment="1">
      <alignment horizontal="left" vertical="top"/>
    </xf>
    <xf numFmtId="0" fontId="5" fillId="3" borderId="54" xfId="0" applyFont="1" applyFill="1" applyBorder="1" applyAlignment="1">
      <alignment vertical="top"/>
    </xf>
    <xf numFmtId="0" fontId="5" fillId="3" borderId="55" xfId="0" applyFont="1" applyFill="1" applyBorder="1" applyAlignment="1">
      <alignment horizontal="left" vertical="top"/>
    </xf>
    <xf numFmtId="0" fontId="10" fillId="3" borderId="56" xfId="0" applyFont="1" applyFill="1" applyBorder="1" applyAlignment="1">
      <alignment horizontal="left" vertical="top"/>
    </xf>
    <xf numFmtId="0" fontId="5" fillId="3" borderId="57" xfId="0" applyFont="1" applyFill="1" applyBorder="1" applyAlignment="1">
      <alignment vertical="top"/>
    </xf>
    <xf numFmtId="0" fontId="5" fillId="3" borderId="58" xfId="0" applyFont="1" applyFill="1" applyBorder="1" applyAlignment="1">
      <alignment horizontal="left" vertical="top"/>
    </xf>
    <xf numFmtId="0" fontId="5" fillId="3" borderId="57" xfId="0" applyFont="1" applyFill="1" applyBorder="1" applyAlignment="1">
      <alignment horizontal="left" vertical="center"/>
    </xf>
    <xf numFmtId="0" fontId="18" fillId="4" borderId="0" xfId="0" applyFont="1" applyFill="1" applyAlignment="1">
      <alignment wrapText="1"/>
    </xf>
    <xf numFmtId="0" fontId="5" fillId="3" borderId="9" xfId="0" applyFont="1" applyFill="1" applyBorder="1" applyAlignment="1">
      <alignment horizontal="left" wrapText="1"/>
    </xf>
    <xf numFmtId="0" fontId="5" fillId="3" borderId="12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left" wrapText="1" indent="1"/>
    </xf>
    <xf numFmtId="0" fontId="5" fillId="3" borderId="0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wrapText="1"/>
    </xf>
    <xf numFmtId="0" fontId="5" fillId="3" borderId="9" xfId="0" applyFont="1" applyFill="1" applyBorder="1" applyAlignment="1">
      <alignment horizontal="left" wrapText="1"/>
    </xf>
    <xf numFmtId="0" fontId="5" fillId="3" borderId="11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12" fillId="3" borderId="0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left" vertical="center" wrapText="1"/>
    </xf>
    <xf numFmtId="0" fontId="13" fillId="3" borderId="17" xfId="0" applyFont="1" applyFill="1" applyBorder="1" applyAlignment="1">
      <alignment horizontal="left" vertical="center" wrapText="1" indent="1"/>
    </xf>
    <xf numFmtId="0" fontId="14" fillId="3" borderId="18" xfId="0" applyFont="1" applyFill="1" applyBorder="1" applyAlignment="1">
      <alignment horizontal="left" vertical="center" wrapText="1"/>
    </xf>
    <xf numFmtId="0" fontId="13" fillId="3" borderId="41" xfId="0" applyFont="1" applyFill="1" applyBorder="1" applyAlignment="1">
      <alignment horizontal="left" vertical="center" wrapText="1" indent="1"/>
    </xf>
    <xf numFmtId="169" fontId="13" fillId="3" borderId="41" xfId="0" applyNumberFormat="1" applyFont="1" applyFill="1" applyBorder="1" applyAlignment="1">
      <alignment horizontal="center" vertical="center"/>
    </xf>
    <xf numFmtId="0" fontId="13" fillId="3" borderId="38" xfId="0" applyFont="1" applyFill="1" applyBorder="1" applyAlignment="1">
      <alignment horizontal="left" vertical="center" wrapText="1" indent="1"/>
    </xf>
    <xf numFmtId="0" fontId="13" fillId="3" borderId="52" xfId="0" applyFont="1" applyFill="1" applyBorder="1" applyAlignment="1">
      <alignment horizontal="left" vertical="center" wrapText="1" indent="1"/>
    </xf>
    <xf numFmtId="0" fontId="13" fillId="3" borderId="23" xfId="0" applyFont="1" applyFill="1" applyBorder="1" applyAlignment="1">
      <alignment horizontal="left" vertical="center" wrapText="1" indent="1"/>
    </xf>
    <xf numFmtId="0" fontId="15" fillId="3" borderId="19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 wrapText="1"/>
    </xf>
    <xf numFmtId="0" fontId="15" fillId="3" borderId="47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left" vertical="center"/>
    </xf>
    <xf numFmtId="0" fontId="16" fillId="3" borderId="3" xfId="0" applyFont="1" applyFill="1" applyBorder="1" applyAlignment="1">
      <alignment horizontal="left" wrapText="1"/>
    </xf>
    <xf numFmtId="0" fontId="5" fillId="3" borderId="22" xfId="0" applyFont="1" applyFill="1" applyBorder="1" applyAlignment="1">
      <alignment horizontal="center"/>
    </xf>
    <xf numFmtId="3" fontId="15" fillId="3" borderId="23" xfId="0" applyNumberFormat="1" applyFont="1" applyFill="1" applyBorder="1" applyAlignment="1">
      <alignment horizontal="center"/>
    </xf>
    <xf numFmtId="0" fontId="13" fillId="3" borderId="14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/>
    <xf numFmtId="0" fontId="17" fillId="3" borderId="14" xfId="0" applyFont="1" applyFill="1" applyBorder="1" applyAlignment="1">
      <alignment horizontal="left" indent="1"/>
    </xf>
    <xf numFmtId="0" fontId="5" fillId="3" borderId="16" xfId="0" applyFont="1" applyFill="1" applyBorder="1" applyAlignment="1">
      <alignment horizontal="left" vertical="center" wrapText="1"/>
    </xf>
    <xf numFmtId="0" fontId="5" fillId="3" borderId="39" xfId="0" applyFont="1" applyFill="1" applyBorder="1" applyAlignment="1">
      <alignment horizontal="left" vertical="center" wrapText="1"/>
    </xf>
    <xf numFmtId="0" fontId="5" fillId="3" borderId="40" xfId="0" applyFont="1" applyFill="1" applyBorder="1" applyAlignment="1">
      <alignment horizontal="left" vertical="center" wrapText="1"/>
    </xf>
    <xf numFmtId="0" fontId="11" fillId="3" borderId="14" xfId="0" applyFont="1" applyFill="1" applyBorder="1" applyAlignment="1">
      <alignment horizontal="left"/>
    </xf>
    <xf numFmtId="0" fontId="17" fillId="3" borderId="25" xfId="0" applyFont="1" applyFill="1" applyBorder="1" applyAlignment="1"/>
    <xf numFmtId="0" fontId="17" fillId="3" borderId="26" xfId="0" applyFont="1" applyFill="1" applyBorder="1" applyAlignment="1">
      <alignment horizontal="left" vertical="center" wrapText="1" indent="1"/>
    </xf>
    <xf numFmtId="0" fontId="6" fillId="3" borderId="2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left" vertical="center" wrapText="1"/>
    </xf>
    <xf numFmtId="0" fontId="5" fillId="3" borderId="42" xfId="0" applyFont="1" applyFill="1" applyBorder="1" applyAlignment="1">
      <alignment horizontal="left" vertical="center" wrapText="1"/>
    </xf>
    <xf numFmtId="0" fontId="15" fillId="3" borderId="22" xfId="0" applyFont="1" applyFill="1" applyBorder="1" applyAlignment="1">
      <alignment vertical="center" wrapText="1"/>
    </xf>
    <xf numFmtId="0" fontId="15" fillId="3" borderId="38" xfId="0" applyFont="1" applyFill="1" applyBorder="1" applyAlignment="1">
      <alignment vertical="center" wrapText="1"/>
    </xf>
    <xf numFmtId="0" fontId="15" fillId="3" borderId="20" xfId="0" applyFont="1" applyFill="1" applyBorder="1" applyAlignment="1">
      <alignment vertical="center" wrapText="1"/>
    </xf>
    <xf numFmtId="0" fontId="17" fillId="3" borderId="29" xfId="0" applyFont="1" applyFill="1" applyBorder="1" applyAlignment="1">
      <alignment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5" fillId="3" borderId="37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vertical="center"/>
    </xf>
    <xf numFmtId="0" fontId="6" fillId="3" borderId="43" xfId="0" applyFont="1" applyFill="1" applyBorder="1" applyAlignment="1">
      <alignment vertical="center"/>
    </xf>
    <xf numFmtId="0" fontId="6" fillId="3" borderId="29" xfId="0" applyFont="1" applyFill="1" applyBorder="1" applyAlignment="1">
      <alignment vertical="center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75"/>
  <sheetViews>
    <sheetView tabSelected="1" zoomScale="75" zoomScaleNormal="75" workbookViewId="0">
      <selection activeCell="B28" sqref="B28"/>
    </sheetView>
  </sheetViews>
  <sheetFormatPr baseColWidth="10" defaultColWidth="11" defaultRowHeight="13.5"/>
  <cols>
    <col min="1" max="1" width="7.140625" style="1" customWidth="1"/>
    <col min="2" max="2" width="21" style="1" customWidth="1"/>
    <col min="3" max="3" width="29" style="1" customWidth="1"/>
    <col min="4" max="4" width="8.42578125" style="3" customWidth="1"/>
    <col min="5" max="5" width="116.7109375" style="28" customWidth="1"/>
    <col min="6" max="6" width="11" style="1"/>
    <col min="7" max="7" width="12.7109375" style="1" customWidth="1"/>
    <col min="8" max="8" width="13.85546875" style="1" customWidth="1"/>
    <col min="9" max="9" width="18.5703125" style="2" customWidth="1"/>
    <col min="10" max="10" width="11" style="3"/>
    <col min="11" max="11" width="12.85546875" style="3" bestFit="1" customWidth="1"/>
    <col min="12" max="16384" width="11" style="3"/>
  </cols>
  <sheetData>
    <row r="2" spans="1:9">
      <c r="B2" s="94" t="s">
        <v>0</v>
      </c>
      <c r="C2" s="94"/>
      <c r="D2" s="94"/>
      <c r="E2" s="94"/>
      <c r="F2" s="94"/>
      <c r="G2" s="94"/>
      <c r="H2" s="94"/>
    </row>
    <row r="4" spans="1:9" ht="18" customHeight="1">
      <c r="A4" s="95" t="s">
        <v>1</v>
      </c>
      <c r="B4" s="95"/>
      <c r="C4" s="96" t="s">
        <v>2</v>
      </c>
      <c r="D4" s="96"/>
      <c r="E4" s="96"/>
      <c r="F4" s="4"/>
      <c r="G4" s="4"/>
      <c r="H4" s="4"/>
    </row>
    <row r="5" spans="1:9" ht="18" customHeight="1">
      <c r="A5" s="95" t="s">
        <v>3</v>
      </c>
      <c r="B5" s="95"/>
      <c r="C5" s="96" t="s">
        <v>4</v>
      </c>
      <c r="D5" s="96"/>
      <c r="E5" s="96"/>
      <c r="F5" s="4"/>
      <c r="G5" s="4"/>
      <c r="H5" s="4"/>
    </row>
    <row r="6" spans="1:9" ht="16.5" customHeight="1">
      <c r="A6" s="95" t="s">
        <v>5</v>
      </c>
      <c r="B6" s="95"/>
      <c r="C6" s="5">
        <v>2021</v>
      </c>
      <c r="D6" s="6"/>
      <c r="E6" s="6"/>
      <c r="F6" s="4"/>
      <c r="G6" s="4"/>
      <c r="H6" s="4"/>
    </row>
    <row r="7" spans="1:9" ht="16.5" customHeight="1">
      <c r="A7" s="95" t="s">
        <v>6</v>
      </c>
      <c r="B7" s="95"/>
      <c r="C7" s="5">
        <v>2</v>
      </c>
      <c r="D7" s="6"/>
      <c r="E7" s="6"/>
      <c r="F7" s="4"/>
      <c r="G7" s="4"/>
      <c r="H7" s="4"/>
    </row>
    <row r="8" spans="1:9" ht="14.25" thickBot="1">
      <c r="B8" s="4"/>
      <c r="C8" s="4"/>
      <c r="D8" s="7"/>
      <c r="E8" s="7"/>
      <c r="F8" s="4"/>
      <c r="G8" s="4"/>
      <c r="H8" s="4"/>
    </row>
    <row r="9" spans="1:9" s="11" customFormat="1" ht="39.75" thickTop="1" thickBot="1">
      <c r="A9" s="8" t="s">
        <v>7</v>
      </c>
      <c r="B9" s="8" t="s">
        <v>8</v>
      </c>
      <c r="C9" s="8" t="s">
        <v>9</v>
      </c>
      <c r="D9" s="8" t="s">
        <v>10</v>
      </c>
      <c r="E9" s="9" t="s">
        <v>11</v>
      </c>
      <c r="F9" s="8" t="s">
        <v>12</v>
      </c>
      <c r="G9" s="8" t="s">
        <v>13</v>
      </c>
      <c r="H9" s="8" t="s">
        <v>14</v>
      </c>
      <c r="I9" s="10" t="s">
        <v>15</v>
      </c>
    </row>
    <row r="10" spans="1:9" s="18" customFormat="1" ht="28.5" customHeight="1">
      <c r="A10" s="12">
        <v>1</v>
      </c>
      <c r="B10" s="13" t="s">
        <v>16</v>
      </c>
      <c r="C10" s="14" t="s">
        <v>17</v>
      </c>
      <c r="D10" s="14" t="s">
        <v>18</v>
      </c>
      <c r="E10" s="15" t="s">
        <v>19</v>
      </c>
      <c r="F10" s="15" t="s">
        <v>20</v>
      </c>
      <c r="G10" s="16">
        <v>300</v>
      </c>
      <c r="H10" s="24">
        <v>265</v>
      </c>
      <c r="I10" s="17">
        <f>H10*G10</f>
        <v>79500</v>
      </c>
    </row>
    <row r="11" spans="1:9" s="18" customFormat="1" ht="28.5" customHeight="1">
      <c r="A11" s="19">
        <v>2</v>
      </c>
      <c r="B11" s="20" t="s">
        <v>21</v>
      </c>
      <c r="C11" s="21" t="s">
        <v>17</v>
      </c>
      <c r="D11" s="21" t="s">
        <v>18</v>
      </c>
      <c r="E11" s="22" t="s">
        <v>22</v>
      </c>
      <c r="F11" s="22" t="s">
        <v>20</v>
      </c>
      <c r="G11" s="23">
        <v>1300</v>
      </c>
      <c r="H11" s="24">
        <v>109</v>
      </c>
      <c r="I11" s="25">
        <f t="shared" ref="I11:I26" si="0">H11*G11</f>
        <v>141700</v>
      </c>
    </row>
    <row r="12" spans="1:9" s="18" customFormat="1" ht="28.5" customHeight="1">
      <c r="A12" s="19">
        <v>3</v>
      </c>
      <c r="B12" s="20" t="s">
        <v>23</v>
      </c>
      <c r="C12" s="21" t="s">
        <v>17</v>
      </c>
      <c r="D12" s="21" t="s">
        <v>18</v>
      </c>
      <c r="E12" s="22" t="s">
        <v>24</v>
      </c>
      <c r="F12" s="22" t="s">
        <v>20</v>
      </c>
      <c r="G12" s="23">
        <v>260</v>
      </c>
      <c r="H12" s="24">
        <v>700</v>
      </c>
      <c r="I12" s="25">
        <f t="shared" si="0"/>
        <v>182000</v>
      </c>
    </row>
    <row r="13" spans="1:9" s="18" customFormat="1" ht="28.5" customHeight="1">
      <c r="A13" s="19">
        <v>4</v>
      </c>
      <c r="B13" s="20" t="s">
        <v>25</v>
      </c>
      <c r="C13" s="21" t="s">
        <v>17</v>
      </c>
      <c r="D13" s="21" t="s">
        <v>18</v>
      </c>
      <c r="E13" s="22" t="s">
        <v>26</v>
      </c>
      <c r="F13" s="22" t="s">
        <v>20</v>
      </c>
      <c r="G13" s="23">
        <v>1300</v>
      </c>
      <c r="H13" s="24">
        <v>475</v>
      </c>
      <c r="I13" s="25">
        <f t="shared" si="0"/>
        <v>617500</v>
      </c>
    </row>
    <row r="14" spans="1:9" s="18" customFormat="1" ht="28.5" customHeight="1">
      <c r="A14" s="19">
        <v>5</v>
      </c>
      <c r="B14" s="20" t="s">
        <v>27</v>
      </c>
      <c r="C14" s="21" t="s">
        <v>17</v>
      </c>
      <c r="D14" s="21" t="s">
        <v>18</v>
      </c>
      <c r="E14" s="21" t="s">
        <v>28</v>
      </c>
      <c r="F14" s="22" t="s">
        <v>20</v>
      </c>
      <c r="G14" s="23">
        <v>160</v>
      </c>
      <c r="H14" s="24">
        <v>219</v>
      </c>
      <c r="I14" s="25">
        <f t="shared" si="0"/>
        <v>35040</v>
      </c>
    </row>
    <row r="15" spans="1:9" s="18" customFormat="1" ht="28.5" customHeight="1">
      <c r="A15" s="19">
        <v>6</v>
      </c>
      <c r="B15" s="21" t="s">
        <v>29</v>
      </c>
      <c r="C15" s="21" t="s">
        <v>17</v>
      </c>
      <c r="D15" s="21" t="s">
        <v>18</v>
      </c>
      <c r="E15" s="22" t="s">
        <v>30</v>
      </c>
      <c r="F15" s="22" t="s">
        <v>20</v>
      </c>
      <c r="G15" s="23">
        <v>660</v>
      </c>
      <c r="H15" s="24">
        <v>89</v>
      </c>
      <c r="I15" s="25">
        <f t="shared" si="0"/>
        <v>58740</v>
      </c>
    </row>
    <row r="16" spans="1:9" s="18" customFormat="1" ht="28.5" customHeight="1">
      <c r="A16" s="19">
        <v>7</v>
      </c>
      <c r="B16" s="21" t="s">
        <v>31</v>
      </c>
      <c r="C16" s="21" t="s">
        <v>17</v>
      </c>
      <c r="D16" s="21" t="s">
        <v>18</v>
      </c>
      <c r="E16" s="22" t="s">
        <v>32</v>
      </c>
      <c r="F16" s="22" t="s">
        <v>20</v>
      </c>
      <c r="G16" s="23">
        <v>660</v>
      </c>
      <c r="H16" s="24">
        <v>89</v>
      </c>
      <c r="I16" s="25">
        <f t="shared" si="0"/>
        <v>58740</v>
      </c>
    </row>
    <row r="17" spans="1:9" s="18" customFormat="1" ht="28.5" customHeight="1">
      <c r="A17" s="19">
        <v>8</v>
      </c>
      <c r="B17" s="21" t="s">
        <v>33</v>
      </c>
      <c r="C17" s="21" t="s">
        <v>17</v>
      </c>
      <c r="D17" s="21" t="s">
        <v>18</v>
      </c>
      <c r="E17" s="21" t="s">
        <v>34</v>
      </c>
      <c r="F17" s="22" t="s">
        <v>20</v>
      </c>
      <c r="G17" s="23">
        <v>660</v>
      </c>
      <c r="H17" s="24">
        <v>89</v>
      </c>
      <c r="I17" s="25">
        <f t="shared" si="0"/>
        <v>58740</v>
      </c>
    </row>
    <row r="18" spans="1:9" s="18" customFormat="1" ht="28.5" customHeight="1">
      <c r="A18" s="19">
        <v>9</v>
      </c>
      <c r="B18" s="20" t="s">
        <v>35</v>
      </c>
      <c r="C18" s="21" t="s">
        <v>17</v>
      </c>
      <c r="D18" s="21" t="s">
        <v>36</v>
      </c>
      <c r="E18" s="22" t="s">
        <v>37</v>
      </c>
      <c r="F18" s="22" t="s">
        <v>20</v>
      </c>
      <c r="G18" s="23">
        <v>660</v>
      </c>
      <c r="H18" s="24">
        <v>88</v>
      </c>
      <c r="I18" s="25">
        <f t="shared" si="0"/>
        <v>58080</v>
      </c>
    </row>
    <row r="19" spans="1:9" s="18" customFormat="1" ht="28.5" customHeight="1">
      <c r="A19" s="19">
        <v>10</v>
      </c>
      <c r="B19" s="20" t="s">
        <v>38</v>
      </c>
      <c r="C19" s="21" t="s">
        <v>17</v>
      </c>
      <c r="D19" s="21" t="s">
        <v>18</v>
      </c>
      <c r="E19" s="22" t="s">
        <v>39</v>
      </c>
      <c r="F19" s="22" t="s">
        <v>20</v>
      </c>
      <c r="G19" s="23">
        <v>500</v>
      </c>
      <c r="H19" s="24">
        <v>189</v>
      </c>
      <c r="I19" s="25">
        <f t="shared" si="0"/>
        <v>94500</v>
      </c>
    </row>
    <row r="20" spans="1:9" s="18" customFormat="1" ht="28.5" customHeight="1">
      <c r="A20" s="19">
        <v>11</v>
      </c>
      <c r="B20" s="20" t="s">
        <v>40</v>
      </c>
      <c r="C20" s="21" t="s">
        <v>17</v>
      </c>
      <c r="D20" s="21" t="s">
        <v>18</v>
      </c>
      <c r="E20" s="22" t="s">
        <v>41</v>
      </c>
      <c r="F20" s="22" t="s">
        <v>20</v>
      </c>
      <c r="G20" s="23">
        <v>330</v>
      </c>
      <c r="H20" s="24">
        <v>235</v>
      </c>
      <c r="I20" s="25">
        <f t="shared" si="0"/>
        <v>77550</v>
      </c>
    </row>
    <row r="21" spans="1:9" s="18" customFormat="1" ht="28.5" customHeight="1">
      <c r="A21" s="19">
        <v>12</v>
      </c>
      <c r="B21" s="20" t="s">
        <v>42</v>
      </c>
      <c r="C21" s="21" t="s">
        <v>17</v>
      </c>
      <c r="D21" s="21" t="s">
        <v>18</v>
      </c>
      <c r="E21" s="22" t="s">
        <v>43</v>
      </c>
      <c r="F21" s="22" t="s">
        <v>20</v>
      </c>
      <c r="G21" s="23">
        <v>230</v>
      </c>
      <c r="H21" s="24">
        <v>99</v>
      </c>
      <c r="I21" s="25">
        <f t="shared" si="0"/>
        <v>22770</v>
      </c>
    </row>
    <row r="22" spans="1:9" s="18" customFormat="1" ht="28.5" customHeight="1">
      <c r="A22" s="19">
        <v>13</v>
      </c>
      <c r="B22" s="91" t="s">
        <v>44</v>
      </c>
      <c r="C22" s="21" t="s">
        <v>17</v>
      </c>
      <c r="D22" s="21" t="s">
        <v>18</v>
      </c>
      <c r="E22" s="21" t="s">
        <v>45</v>
      </c>
      <c r="F22" s="22" t="s">
        <v>20</v>
      </c>
      <c r="G22" s="23">
        <v>70</v>
      </c>
      <c r="H22" s="24">
        <v>199</v>
      </c>
      <c r="I22" s="25">
        <f t="shared" si="0"/>
        <v>13930</v>
      </c>
    </row>
    <row r="23" spans="1:9" s="18" customFormat="1" ht="28.5" customHeight="1">
      <c r="A23" s="19">
        <v>14</v>
      </c>
      <c r="B23" s="26" t="s">
        <v>46</v>
      </c>
      <c r="C23" s="21" t="s">
        <v>17</v>
      </c>
      <c r="D23" s="21" t="s">
        <v>47</v>
      </c>
      <c r="E23" s="22" t="s">
        <v>48</v>
      </c>
      <c r="F23" s="22" t="s">
        <v>20</v>
      </c>
      <c r="G23" s="23">
        <v>100</v>
      </c>
      <c r="H23" s="24">
        <v>135</v>
      </c>
      <c r="I23" s="25">
        <f t="shared" ref="I23" si="1">H23*G23</f>
        <v>13500</v>
      </c>
    </row>
    <row r="24" spans="1:9" s="18" customFormat="1" ht="28.5" customHeight="1">
      <c r="A24" s="19">
        <v>15</v>
      </c>
      <c r="B24" s="26" t="s">
        <v>49</v>
      </c>
      <c r="C24" s="21" t="s">
        <v>17</v>
      </c>
      <c r="D24" s="21" t="s">
        <v>18</v>
      </c>
      <c r="E24" s="22" t="s">
        <v>50</v>
      </c>
      <c r="F24" s="22" t="s">
        <v>20</v>
      </c>
      <c r="G24" s="23">
        <v>100</v>
      </c>
      <c r="H24" s="24">
        <v>89</v>
      </c>
      <c r="I24" s="25">
        <f t="shared" si="0"/>
        <v>8900</v>
      </c>
    </row>
    <row r="25" spans="1:9" s="18" customFormat="1" ht="28.5" customHeight="1">
      <c r="A25" s="19">
        <v>16</v>
      </c>
      <c r="B25" s="21" t="s">
        <v>51</v>
      </c>
      <c r="C25" s="21" t="s">
        <v>17</v>
      </c>
      <c r="D25" s="21" t="s">
        <v>18</v>
      </c>
      <c r="E25" s="22" t="s">
        <v>52</v>
      </c>
      <c r="F25" s="22" t="s">
        <v>20</v>
      </c>
      <c r="G25" s="23">
        <v>160</v>
      </c>
      <c r="H25" s="24">
        <v>289</v>
      </c>
      <c r="I25" s="25">
        <f t="shared" si="0"/>
        <v>46240</v>
      </c>
    </row>
    <row r="26" spans="1:9" s="18" customFormat="1" ht="28.5" customHeight="1">
      <c r="A26" s="19">
        <v>17</v>
      </c>
      <c r="B26" s="82" t="s">
        <v>53</v>
      </c>
      <c r="C26" s="21" t="s">
        <v>17</v>
      </c>
      <c r="D26" s="21" t="s">
        <v>18</v>
      </c>
      <c r="E26" s="27" t="s">
        <v>54</v>
      </c>
      <c r="F26" s="22" t="s">
        <v>20</v>
      </c>
      <c r="G26" s="23">
        <v>70</v>
      </c>
      <c r="H26" s="24">
        <v>495</v>
      </c>
      <c r="I26" s="25">
        <f t="shared" si="0"/>
        <v>34650</v>
      </c>
    </row>
    <row r="27" spans="1:9" ht="19.5" customHeight="1">
      <c r="I27" s="29">
        <f>SUM(I10:I26)</f>
        <v>1602080</v>
      </c>
    </row>
    <row r="28" spans="1:9" ht="19.5" customHeight="1">
      <c r="I28" s="83"/>
    </row>
    <row r="29" spans="1:9" s="32" customFormat="1" ht="18" customHeight="1">
      <c r="A29" s="30"/>
      <c r="B29" s="84" t="s">
        <v>55</v>
      </c>
      <c r="C29" s="85"/>
      <c r="D29" s="85"/>
      <c r="E29" s="86"/>
      <c r="F29" s="30"/>
      <c r="G29" s="30"/>
      <c r="H29" s="30"/>
      <c r="I29" s="31"/>
    </row>
    <row r="30" spans="1:9" s="32" customFormat="1" ht="55.5" customHeight="1">
      <c r="A30" s="30"/>
      <c r="B30" s="87"/>
      <c r="C30" s="90" t="s">
        <v>56</v>
      </c>
      <c r="D30" s="88"/>
      <c r="E30" s="89"/>
      <c r="F30" s="30"/>
      <c r="G30" s="30"/>
      <c r="H30" s="30"/>
      <c r="I30" s="31"/>
    </row>
    <row r="31" spans="1:9" ht="3.75" customHeight="1">
      <c r="B31" s="33"/>
      <c r="C31" s="34"/>
      <c r="D31" s="35"/>
      <c r="E31" s="93"/>
    </row>
    <row r="32" spans="1:9" ht="18.75" customHeight="1">
      <c r="B32" s="36" t="s">
        <v>57</v>
      </c>
      <c r="C32" s="37"/>
      <c r="D32" s="38"/>
      <c r="E32" s="39"/>
    </row>
    <row r="33" spans="1:9" ht="87.75" customHeight="1">
      <c r="B33" s="40"/>
      <c r="C33" s="97" t="s">
        <v>58</v>
      </c>
      <c r="D33" s="97"/>
      <c r="E33" s="98"/>
    </row>
    <row r="34" spans="1:9" ht="18.75" customHeight="1">
      <c r="B34" s="41" t="s">
        <v>59</v>
      </c>
      <c r="C34" s="42"/>
      <c r="D34" s="11"/>
      <c r="E34" s="43"/>
    </row>
    <row r="35" spans="1:9" ht="53.25" customHeight="1">
      <c r="B35" s="40"/>
      <c r="C35" s="97" t="s">
        <v>60</v>
      </c>
      <c r="D35" s="97"/>
      <c r="E35" s="98"/>
      <c r="F35" s="3"/>
      <c r="G35" s="3"/>
      <c r="H35" s="3"/>
      <c r="I35" s="3"/>
    </row>
    <row r="36" spans="1:9">
      <c r="B36" s="41" t="s">
        <v>61</v>
      </c>
      <c r="C36" s="44"/>
      <c r="D36" s="45"/>
      <c r="E36" s="92"/>
      <c r="F36" s="3"/>
      <c r="G36" s="3"/>
      <c r="H36" s="3"/>
      <c r="I36" s="3"/>
    </row>
    <row r="37" spans="1:9">
      <c r="B37" s="40"/>
      <c r="C37" s="99" t="s">
        <v>62</v>
      </c>
      <c r="D37" s="99"/>
      <c r="E37" s="100"/>
      <c r="F37" s="3"/>
      <c r="G37" s="3"/>
      <c r="H37" s="3"/>
      <c r="I37" s="3"/>
    </row>
    <row r="38" spans="1:9">
      <c r="B38" s="41" t="s">
        <v>63</v>
      </c>
      <c r="C38" s="42"/>
      <c r="D38" s="11"/>
      <c r="E38" s="43"/>
      <c r="F38" s="3"/>
      <c r="G38" s="3"/>
      <c r="H38" s="3"/>
      <c r="I38" s="3"/>
    </row>
    <row r="39" spans="1:9" ht="14.25" thickBot="1">
      <c r="B39" s="46"/>
      <c r="C39" s="101" t="s">
        <v>64</v>
      </c>
      <c r="D39" s="101"/>
      <c r="E39" s="102"/>
      <c r="F39" s="3"/>
      <c r="G39" s="3"/>
      <c r="H39" s="3"/>
      <c r="I39" s="3"/>
    </row>
    <row r="40" spans="1:9">
      <c r="B40" s="42"/>
      <c r="C40" s="42"/>
      <c r="D40" s="11"/>
      <c r="E40" s="47"/>
      <c r="F40" s="3"/>
      <c r="G40" s="3"/>
      <c r="H40" s="3"/>
      <c r="I40" s="3"/>
    </row>
    <row r="44" spans="1:9">
      <c r="A44" s="48"/>
      <c r="B44" s="48"/>
      <c r="C44" s="48"/>
      <c r="D44" s="48"/>
      <c r="E44" s="3"/>
      <c r="F44" s="3"/>
      <c r="G44" s="3"/>
      <c r="H44" s="3"/>
      <c r="I44" s="3"/>
    </row>
    <row r="47" spans="1:9">
      <c r="A47" s="48"/>
      <c r="B47" s="48"/>
      <c r="C47" s="48"/>
      <c r="D47" s="48"/>
      <c r="E47" s="3"/>
      <c r="F47" s="3"/>
      <c r="G47" s="3"/>
      <c r="H47" s="3"/>
      <c r="I47" s="3"/>
    </row>
    <row r="50" spans="1:9">
      <c r="A50" s="48"/>
      <c r="B50" s="48"/>
      <c r="C50" s="48"/>
      <c r="D50" s="48"/>
      <c r="E50" s="3"/>
      <c r="F50" s="3"/>
      <c r="G50" s="3"/>
      <c r="H50" s="3"/>
      <c r="I50" s="3"/>
    </row>
    <row r="52" spans="1:9">
      <c r="A52" s="48"/>
      <c r="B52" s="48"/>
      <c r="C52" s="48"/>
      <c r="D52" s="48"/>
      <c r="E52" s="3"/>
      <c r="F52" s="3"/>
      <c r="G52" s="3"/>
      <c r="H52" s="3"/>
      <c r="I52" s="3"/>
    </row>
    <row r="54" spans="1:9">
      <c r="A54" s="48"/>
      <c r="B54" s="48"/>
      <c r="C54" s="48"/>
      <c r="D54" s="48"/>
      <c r="E54" s="3"/>
      <c r="F54" s="3"/>
      <c r="G54" s="3"/>
      <c r="H54" s="3"/>
      <c r="I54" s="3"/>
    </row>
    <row r="58" spans="1:9">
      <c r="A58" s="48"/>
      <c r="B58" s="48"/>
      <c r="C58" s="48"/>
      <c r="D58" s="48"/>
      <c r="E58" s="3"/>
      <c r="F58" s="3"/>
      <c r="G58" s="3"/>
      <c r="H58" s="3"/>
      <c r="I58" s="3"/>
    </row>
    <row r="59" spans="1:9">
      <c r="A59" s="48"/>
      <c r="B59" s="48"/>
      <c r="C59" s="48"/>
      <c r="D59" s="48"/>
      <c r="E59" s="3"/>
      <c r="F59" s="3"/>
      <c r="G59" s="3"/>
      <c r="H59" s="3"/>
      <c r="I59" s="3"/>
    </row>
    <row r="60" spans="1:9">
      <c r="A60" s="48"/>
      <c r="B60" s="48"/>
      <c r="C60" s="48"/>
      <c r="D60" s="48"/>
      <c r="E60" s="3"/>
      <c r="F60" s="3"/>
      <c r="G60" s="3"/>
      <c r="H60" s="3"/>
      <c r="I60" s="3"/>
    </row>
    <row r="61" spans="1:9">
      <c r="A61" s="48"/>
      <c r="B61" s="48"/>
      <c r="C61" s="48"/>
      <c r="D61" s="48"/>
      <c r="E61" s="3"/>
      <c r="F61" s="3"/>
      <c r="G61" s="3"/>
      <c r="H61" s="3"/>
      <c r="I61" s="3"/>
    </row>
    <row r="62" spans="1:9">
      <c r="A62" s="48"/>
      <c r="B62" s="48"/>
      <c r="C62" s="48"/>
      <c r="D62" s="48"/>
      <c r="E62" s="3"/>
      <c r="F62" s="3"/>
      <c r="G62" s="3"/>
      <c r="H62" s="3"/>
      <c r="I62" s="3"/>
    </row>
    <row r="63" spans="1:9">
      <c r="A63" s="48"/>
      <c r="B63" s="48"/>
      <c r="C63" s="48"/>
      <c r="D63" s="48"/>
      <c r="E63" s="3"/>
      <c r="F63" s="3"/>
      <c r="G63" s="3"/>
      <c r="H63" s="3"/>
      <c r="I63" s="3"/>
    </row>
    <row r="64" spans="1:9">
      <c r="A64" s="48"/>
      <c r="B64" s="48"/>
      <c r="C64" s="48"/>
      <c r="D64" s="48"/>
      <c r="E64" s="3"/>
      <c r="F64" s="3"/>
      <c r="G64" s="3"/>
      <c r="H64" s="3"/>
      <c r="I64" s="3"/>
    </row>
    <row r="65" spans="1:9">
      <c r="A65" s="48"/>
      <c r="B65" s="48"/>
      <c r="C65" s="48"/>
      <c r="D65" s="48"/>
      <c r="E65" s="3"/>
      <c r="F65" s="3"/>
      <c r="G65" s="3"/>
      <c r="H65" s="3"/>
      <c r="I65" s="3"/>
    </row>
    <row r="66" spans="1:9">
      <c r="A66" s="48"/>
      <c r="B66" s="48"/>
      <c r="C66" s="48"/>
      <c r="D66" s="48"/>
      <c r="E66" s="3"/>
      <c r="F66" s="3"/>
      <c r="G66" s="3"/>
      <c r="H66" s="3"/>
      <c r="I66" s="3"/>
    </row>
    <row r="67" spans="1:9">
      <c r="A67" s="48"/>
      <c r="B67" s="48"/>
      <c r="C67" s="48"/>
      <c r="D67" s="48"/>
      <c r="E67" s="3"/>
      <c r="F67" s="3"/>
      <c r="G67" s="3"/>
      <c r="H67" s="3"/>
      <c r="I67" s="3"/>
    </row>
    <row r="68" spans="1:9">
      <c r="A68" s="48"/>
      <c r="B68" s="48"/>
      <c r="C68" s="48"/>
      <c r="D68" s="48"/>
      <c r="E68" s="3"/>
      <c r="F68" s="3"/>
      <c r="G68" s="3"/>
      <c r="H68" s="3"/>
      <c r="I68" s="3"/>
    </row>
    <row r="69" spans="1:9">
      <c r="A69" s="48"/>
      <c r="B69" s="48"/>
      <c r="C69" s="48"/>
      <c r="D69" s="48"/>
      <c r="E69" s="3"/>
      <c r="F69" s="3"/>
      <c r="G69" s="3"/>
      <c r="H69" s="3"/>
      <c r="I69" s="3"/>
    </row>
    <row r="70" spans="1:9">
      <c r="A70" s="48"/>
      <c r="B70" s="48"/>
      <c r="C70" s="48"/>
      <c r="D70" s="48"/>
      <c r="E70" s="3"/>
      <c r="F70" s="3"/>
      <c r="G70" s="3"/>
      <c r="H70" s="3"/>
      <c r="I70" s="3"/>
    </row>
    <row r="71" spans="1:9">
      <c r="A71" s="48"/>
      <c r="B71" s="48"/>
      <c r="C71" s="48"/>
      <c r="D71" s="48"/>
      <c r="E71" s="3"/>
      <c r="F71" s="3"/>
      <c r="G71" s="3"/>
      <c r="H71" s="3"/>
      <c r="I71" s="3"/>
    </row>
    <row r="72" spans="1:9">
      <c r="A72" s="48"/>
      <c r="B72" s="48"/>
      <c r="C72" s="48"/>
      <c r="D72" s="48"/>
      <c r="E72" s="3"/>
      <c r="F72" s="3"/>
      <c r="G72" s="3"/>
      <c r="H72" s="3"/>
      <c r="I72" s="3"/>
    </row>
    <row r="73" spans="1:9">
      <c r="A73" s="48"/>
      <c r="B73" s="48"/>
      <c r="C73" s="48"/>
      <c r="D73" s="48"/>
      <c r="E73" s="3"/>
      <c r="F73" s="3"/>
      <c r="G73" s="3"/>
      <c r="H73" s="3"/>
      <c r="I73" s="3"/>
    </row>
    <row r="74" spans="1:9">
      <c r="A74" s="48"/>
      <c r="B74" s="48"/>
      <c r="C74" s="48"/>
      <c r="D74" s="48"/>
      <c r="E74" s="3"/>
      <c r="F74" s="3"/>
      <c r="G74" s="3"/>
      <c r="H74" s="3"/>
      <c r="I74" s="3"/>
    </row>
    <row r="75" spans="1:9">
      <c r="A75" s="48"/>
      <c r="B75" s="48"/>
      <c r="C75" s="48"/>
      <c r="D75" s="48"/>
      <c r="E75" s="3"/>
      <c r="F75" s="3"/>
      <c r="G75" s="3"/>
      <c r="H75" s="3"/>
      <c r="I75" s="3"/>
    </row>
  </sheetData>
  <mergeCells count="11">
    <mergeCell ref="C35:E35"/>
    <mergeCell ref="C37:E37"/>
    <mergeCell ref="C39:E39"/>
    <mergeCell ref="A6:B6"/>
    <mergeCell ref="A7:B7"/>
    <mergeCell ref="C33:E33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0"/>
  <sheetViews>
    <sheetView topLeftCell="B20" zoomScale="85" zoomScaleNormal="85" workbookViewId="0">
      <selection activeCell="F31" sqref="F31"/>
    </sheetView>
  </sheetViews>
  <sheetFormatPr baseColWidth="10" defaultColWidth="9.140625" defaultRowHeight="13.5"/>
  <cols>
    <col min="1" max="1" width="5.42578125" style="51" customWidth="1"/>
    <col min="2" max="2" width="12.28515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77.42578125" style="51" customWidth="1"/>
    <col min="8" max="8" width="8.42578125" style="51" customWidth="1"/>
    <col min="9" max="9" width="12" style="51" customWidth="1"/>
    <col min="10" max="10" width="11.42578125" style="51" customWidth="1"/>
    <col min="11" max="11" width="10.85546875" style="51" customWidth="1"/>
    <col min="12" max="14" width="5.85546875" style="51" customWidth="1"/>
    <col min="15" max="15" width="12.5703125" style="51" customWidth="1"/>
    <col min="16" max="1024" width="9.140625" style="51"/>
    <col min="1025" max="16384" width="9.140625" style="3"/>
  </cols>
  <sheetData>
    <row r="1" spans="1:11" ht="18" customHeight="1">
      <c r="A1" s="103" t="s">
        <v>65</v>
      </c>
      <c r="B1" s="103"/>
      <c r="C1" s="103"/>
      <c r="D1" s="103"/>
      <c r="E1" s="103"/>
      <c r="F1" s="103"/>
      <c r="G1" s="103"/>
      <c r="H1" s="103"/>
      <c r="I1" s="103"/>
      <c r="J1" s="49" t="s">
        <v>66</v>
      </c>
      <c r="K1" s="50" t="s">
        <v>67</v>
      </c>
    </row>
    <row r="2" spans="1:11" ht="18.75" customHeight="1" thickBot="1">
      <c r="A2" s="52"/>
      <c r="B2" s="52"/>
      <c r="C2" s="52"/>
      <c r="D2" s="53"/>
      <c r="E2" s="53"/>
      <c r="F2" s="53"/>
      <c r="G2" s="53"/>
      <c r="H2" s="53"/>
      <c r="I2" s="53"/>
      <c r="J2" s="53"/>
      <c r="K2" s="53"/>
    </row>
    <row r="3" spans="1:11" ht="18.75" customHeight="1" thickBot="1">
      <c r="A3" s="104" t="s">
        <v>68</v>
      </c>
      <c r="B3" s="104"/>
      <c r="C3" s="104"/>
      <c r="D3" s="105" t="str">
        <f>'Necesidades Trimestrales'!C4</f>
        <v>90 - Ministerio de Seguridad</v>
      </c>
      <c r="E3" s="105"/>
      <c r="F3" s="105"/>
      <c r="G3" s="105"/>
      <c r="H3" s="105"/>
      <c r="I3" s="105"/>
      <c r="J3" s="105"/>
      <c r="K3" s="105"/>
    </row>
    <row r="4" spans="1:11" ht="18.75" customHeight="1" thickBot="1">
      <c r="A4" s="106" t="s">
        <v>69</v>
      </c>
      <c r="B4" s="106"/>
      <c r="C4" s="106"/>
      <c r="D4" s="105" t="str">
        <f>'Necesidades Trimestrales'!C5</f>
        <v>7 - Direccion de Administracion de la Policia de la Provincia de Catamarca</v>
      </c>
      <c r="E4" s="105"/>
      <c r="F4" s="105"/>
      <c r="G4" s="105"/>
      <c r="H4" s="105"/>
      <c r="I4" s="105"/>
      <c r="J4" s="105"/>
      <c r="K4" s="105"/>
    </row>
    <row r="5" spans="1:11" ht="18.75" customHeight="1" thickBot="1">
      <c r="A5" s="106" t="s">
        <v>70</v>
      </c>
      <c r="B5" s="106"/>
      <c r="C5" s="106"/>
      <c r="D5" s="105" t="s">
        <v>71</v>
      </c>
      <c r="E5" s="105"/>
      <c r="F5" s="105"/>
      <c r="G5" s="105"/>
      <c r="H5" s="105"/>
      <c r="I5" s="105"/>
      <c r="J5" s="105"/>
      <c r="K5" s="105"/>
    </row>
    <row r="6" spans="1:11" ht="16.5" customHeight="1" thickBot="1">
      <c r="A6" s="104" t="s">
        <v>72</v>
      </c>
      <c r="B6" s="104"/>
      <c r="C6" s="104"/>
      <c r="D6" s="105" t="s">
        <v>73</v>
      </c>
      <c r="E6" s="105"/>
      <c r="F6" s="105"/>
      <c r="G6" s="105"/>
      <c r="H6" s="105"/>
      <c r="I6" s="105"/>
      <c r="J6" s="105"/>
      <c r="K6" s="105"/>
    </row>
    <row r="7" spans="1:11" ht="16.5" customHeight="1" thickBot="1">
      <c r="A7" s="106" t="s">
        <v>74</v>
      </c>
      <c r="B7" s="106"/>
      <c r="C7" s="106"/>
      <c r="D7" s="105" t="s">
        <v>75</v>
      </c>
      <c r="E7" s="105"/>
      <c r="F7" s="105"/>
      <c r="G7" s="105"/>
      <c r="H7" s="105"/>
      <c r="I7" s="105"/>
      <c r="J7" s="105"/>
      <c r="K7" s="105"/>
    </row>
    <row r="8" spans="1:11" ht="16.5" customHeight="1" thickBot="1">
      <c r="A8" s="116" t="s">
        <v>76</v>
      </c>
      <c r="B8" s="116"/>
      <c r="C8" s="116"/>
      <c r="D8" s="109" t="s">
        <v>77</v>
      </c>
      <c r="E8" s="110"/>
      <c r="F8" s="110"/>
      <c r="G8" s="110"/>
      <c r="H8" s="110"/>
      <c r="I8" s="110"/>
      <c r="J8" s="110"/>
      <c r="K8" s="111"/>
    </row>
    <row r="9" spans="1:11" ht="18" thickBot="1">
      <c r="A9" s="54"/>
      <c r="B9" s="54"/>
      <c r="C9" s="54"/>
      <c r="D9" s="55"/>
      <c r="E9" s="55"/>
      <c r="F9" s="55"/>
      <c r="G9" s="55"/>
      <c r="H9" s="55"/>
      <c r="I9" s="55"/>
      <c r="J9" s="55"/>
      <c r="K9" s="55"/>
    </row>
    <row r="10" spans="1:11" ht="14.25" thickBot="1">
      <c r="A10" s="112" t="s">
        <v>78</v>
      </c>
      <c r="B10" s="113" t="s">
        <v>79</v>
      </c>
      <c r="C10" s="113" t="s">
        <v>80</v>
      </c>
      <c r="D10" s="113"/>
      <c r="E10" s="113"/>
      <c r="F10" s="113"/>
      <c r="G10" s="113"/>
      <c r="H10" s="113" t="s">
        <v>81</v>
      </c>
      <c r="I10" s="113" t="s">
        <v>82</v>
      </c>
      <c r="J10" s="113" t="s">
        <v>83</v>
      </c>
      <c r="K10" s="115" t="s">
        <v>84</v>
      </c>
    </row>
    <row r="11" spans="1:11" ht="14.25" thickBot="1">
      <c r="A11" s="112"/>
      <c r="B11" s="113"/>
      <c r="C11" s="114"/>
      <c r="D11" s="114"/>
      <c r="E11" s="114"/>
      <c r="F11" s="114"/>
      <c r="G11" s="114"/>
      <c r="H11" s="113"/>
      <c r="I11" s="113"/>
      <c r="J11" s="113"/>
      <c r="K11" s="115"/>
    </row>
    <row r="12" spans="1:11" ht="30.75" customHeight="1">
      <c r="A12" s="56">
        <v>1</v>
      </c>
      <c r="B12" s="57" t="str">
        <f>'Necesidades Trimestrales'!B10</f>
        <v>2.9.1-6951.30</v>
      </c>
      <c r="C12" s="117" t="str">
        <f>('Necesidades Trimestrales'!E10)</f>
        <v>LIMPIADORES; TIPO: LAVANDINA, PRESENTACION: ENVASE X 5 L</v>
      </c>
      <c r="D12" s="117"/>
      <c r="E12" s="117"/>
      <c r="F12" s="117"/>
      <c r="G12" s="117"/>
      <c r="H12" s="58" t="s">
        <v>85</v>
      </c>
      <c r="I12" s="59" t="s">
        <v>20</v>
      </c>
      <c r="J12" s="60">
        <f>'Necesidades Trimestrales'!H10</f>
        <v>265</v>
      </c>
      <c r="K12" s="61">
        <f>'Necesidades Trimestrales'!G10</f>
        <v>300</v>
      </c>
    </row>
    <row r="13" spans="1:11" ht="21.75" customHeight="1">
      <c r="A13" s="62">
        <v>2</v>
      </c>
      <c r="B13" s="57" t="str">
        <f>'Necesidades Trimestrales'!B11</f>
        <v>2.9.1-6951.306</v>
      </c>
      <c r="C13" s="117" t="str">
        <f>('Necesidades Trimestrales'!E11)</f>
        <v>LIMPIADORES; TIPO: DETERGENTE, PRESENTACION: ENVASE X 900 mL, BIODEGRADABLE: SI</v>
      </c>
      <c r="D13" s="117"/>
      <c r="E13" s="117"/>
      <c r="F13" s="117"/>
      <c r="G13" s="117"/>
      <c r="H13" s="58" t="s">
        <v>85</v>
      </c>
      <c r="I13" s="63" t="s">
        <v>20</v>
      </c>
      <c r="J13" s="60">
        <f>'Necesidades Trimestrales'!H11</f>
        <v>109</v>
      </c>
      <c r="K13" s="61">
        <f>'Necesidades Trimestrales'!G11</f>
        <v>1300</v>
      </c>
    </row>
    <row r="14" spans="1:11" ht="19.5" customHeight="1">
      <c r="A14" s="62">
        <v>3</v>
      </c>
      <c r="B14" s="57" t="str">
        <f>'Necesidades Trimestrales'!B12</f>
        <v>2.9.1-6961.42</v>
      </c>
      <c r="C14" s="117" t="str">
        <f>('Necesidades Trimestrales'!E12)</f>
        <v>ELEM. P/LIMPIEZA SANITARIOS; TIPO: DESODORANTE P/ PISO, PRESENTACION: ENVASE X 5 L, COMPUESTOS BIODEGRADABLES: SI</v>
      </c>
      <c r="D14" s="117"/>
      <c r="E14" s="117"/>
      <c r="F14" s="117"/>
      <c r="G14" s="117"/>
      <c r="H14" s="58" t="s">
        <v>85</v>
      </c>
      <c r="I14" s="63" t="s">
        <v>20</v>
      </c>
      <c r="J14" s="60">
        <f>'Necesidades Trimestrales'!H12</f>
        <v>700</v>
      </c>
      <c r="K14" s="61">
        <f>'Necesidades Trimestrales'!G12</f>
        <v>260</v>
      </c>
    </row>
    <row r="15" spans="1:11" ht="19.5" customHeight="1">
      <c r="A15" s="62">
        <v>4</v>
      </c>
      <c r="B15" s="57" t="str">
        <f>'Necesidades Trimestrales'!B13</f>
        <v>2.9.1-6951.23</v>
      </c>
      <c r="C15" s="117" t="str">
        <f>('Necesidades Trimestrales'!E13)</f>
        <v>LIMPIADORES; TIPO: ACAROINA, PRESENTACION: ENVASE X 1 L</v>
      </c>
      <c r="D15" s="117"/>
      <c r="E15" s="117"/>
      <c r="F15" s="117"/>
      <c r="G15" s="117"/>
      <c r="H15" s="58" t="s">
        <v>85</v>
      </c>
      <c r="I15" s="63" t="s">
        <v>20</v>
      </c>
      <c r="J15" s="60">
        <f>'Necesidades Trimestrales'!H13</f>
        <v>475</v>
      </c>
      <c r="K15" s="61">
        <f>'Necesidades Trimestrales'!G13</f>
        <v>1300</v>
      </c>
    </row>
    <row r="16" spans="1:11" ht="19.5" customHeight="1">
      <c r="A16" s="62">
        <v>5</v>
      </c>
      <c r="B16" s="57" t="str">
        <f>'Necesidades Trimestrales'!B14</f>
        <v>2.9.1-6952.31</v>
      </c>
      <c r="C16" s="117" t="str">
        <f>('Necesidades Trimestrales'!E14)</f>
        <v>CEPILLOS; TIPO: ESCOBILLON, MATERIAL: CERDA</v>
      </c>
      <c r="D16" s="117"/>
      <c r="E16" s="117"/>
      <c r="F16" s="117"/>
      <c r="G16" s="117"/>
      <c r="H16" s="58" t="s">
        <v>85</v>
      </c>
      <c r="I16" s="63" t="s">
        <v>20</v>
      </c>
      <c r="J16" s="60">
        <f>'Necesidades Trimestrales'!H14</f>
        <v>219</v>
      </c>
      <c r="K16" s="61">
        <f>'Necesidades Trimestrales'!G14</f>
        <v>160</v>
      </c>
    </row>
    <row r="17" spans="1:1024" ht="19.5" customHeight="1">
      <c r="A17" s="62">
        <v>6</v>
      </c>
      <c r="B17" s="57" t="str">
        <f>'Necesidades Trimestrales'!B15</f>
        <v>2.9.1-713.8</v>
      </c>
      <c r="C17" s="117" t="str">
        <f>('Necesidades Trimestrales'!E15)</f>
        <v>TRAPOS DE PISO; DIMENSION: 40 X 50 Cm, COLOR: SIN VALOR</v>
      </c>
      <c r="D17" s="117"/>
      <c r="E17" s="117"/>
      <c r="F17" s="117"/>
      <c r="G17" s="117"/>
      <c r="H17" s="58" t="s">
        <v>85</v>
      </c>
      <c r="I17" s="63" t="s">
        <v>20</v>
      </c>
      <c r="J17" s="60">
        <f>'Necesidades Trimestrales'!H15</f>
        <v>89</v>
      </c>
      <c r="K17" s="61">
        <f>'Necesidades Trimestrales'!G15</f>
        <v>660</v>
      </c>
    </row>
    <row r="18" spans="1:1024" ht="19.5" customHeight="1">
      <c r="A18" s="62">
        <v>7</v>
      </c>
      <c r="B18" s="57" t="str">
        <f>'Necesidades Trimestrales'!B16</f>
        <v>2.9.1-678.7</v>
      </c>
      <c r="C18" s="117" t="str">
        <f>('Necesidades Trimestrales'!E16)</f>
        <v>TRAPOS REJILLA; DIMENSION: 40 X 50 Cm, COLOR: SIN VALOR, MATERIAL: ALGODON</v>
      </c>
      <c r="D18" s="117"/>
      <c r="E18" s="117"/>
      <c r="F18" s="117"/>
      <c r="G18" s="117"/>
      <c r="H18" s="58" t="s">
        <v>85</v>
      </c>
      <c r="I18" s="63" t="s">
        <v>20</v>
      </c>
      <c r="J18" s="60">
        <f>'Necesidades Trimestrales'!H16</f>
        <v>89</v>
      </c>
      <c r="K18" s="61">
        <f>'Necesidades Trimestrales'!G16</f>
        <v>660</v>
      </c>
    </row>
    <row r="19" spans="1:1024" ht="19.5" customHeight="1">
      <c r="A19" s="62">
        <v>8</v>
      </c>
      <c r="B19" s="57" t="str">
        <f>'Necesidades Trimestrales'!B17</f>
        <v>2.9.1-714.2</v>
      </c>
      <c r="C19" s="117" t="str">
        <f>('Necesidades Trimestrales'!E17)</f>
        <v>FRANELAS; DIMENSION: 50 X 50 Cm</v>
      </c>
      <c r="D19" s="117"/>
      <c r="E19" s="117"/>
      <c r="F19" s="117"/>
      <c r="G19" s="117"/>
      <c r="H19" s="58" t="s">
        <v>85</v>
      </c>
      <c r="I19" s="63" t="s">
        <v>20</v>
      </c>
      <c r="J19" s="60">
        <f>'Necesidades Trimestrales'!H17</f>
        <v>89</v>
      </c>
      <c r="K19" s="61">
        <f>'Necesidades Trimestrales'!G17</f>
        <v>660</v>
      </c>
    </row>
    <row r="20" spans="1:1024" ht="19.5" customHeight="1">
      <c r="A20" s="62">
        <v>9</v>
      </c>
      <c r="B20" s="57" t="str">
        <f>'Necesidades Trimestrales'!B18</f>
        <v>2.9.1-646.16</v>
      </c>
      <c r="C20" s="117" t="str">
        <f>('Necesidades Trimestrales'!E18)</f>
        <v>BOLSAS DE RESIDUOS; COLOR: OBSCURO, ESPESOR: 30 Mn, DIMENSION: 45 X 60 Cm, PRESENTACION: SIN VALOR</v>
      </c>
      <c r="D20" s="117"/>
      <c r="E20" s="117"/>
      <c r="F20" s="117"/>
      <c r="G20" s="117"/>
      <c r="H20" s="58" t="s">
        <v>85</v>
      </c>
      <c r="I20" s="63" t="s">
        <v>20</v>
      </c>
      <c r="J20" s="60">
        <f>'Necesidades Trimestrales'!H18</f>
        <v>88</v>
      </c>
      <c r="K20" s="61">
        <f>'Necesidades Trimestrales'!G18</f>
        <v>660</v>
      </c>
    </row>
    <row r="21" spans="1:1024" ht="19.5" customHeight="1">
      <c r="A21" s="62">
        <v>10</v>
      </c>
      <c r="B21" s="57" t="str">
        <f>'Necesidades Trimestrales'!B19</f>
        <v>2.9.1-544.73</v>
      </c>
      <c r="C21" s="117" t="str">
        <f>('Necesidades Trimestrales'!E19)</f>
        <v>DESODORANTES DE AMBIENTE; FORMATO: AEROSOL, FRAGANCIA: LAVANDA, PRESENTACION: ENVASE X 360 CM3, LIBRE DE CFC: SI</v>
      </c>
      <c r="D21" s="117"/>
      <c r="E21" s="117"/>
      <c r="F21" s="117"/>
      <c r="G21" s="117"/>
      <c r="H21" s="58" t="s">
        <v>85</v>
      </c>
      <c r="I21" s="63" t="s">
        <v>20</v>
      </c>
      <c r="J21" s="60">
        <f>'Necesidades Trimestrales'!H19</f>
        <v>189</v>
      </c>
      <c r="K21" s="61">
        <f>'Necesidades Trimestrales'!G19</f>
        <v>500</v>
      </c>
    </row>
    <row r="22" spans="1:1024" ht="19.5" customHeight="1">
      <c r="A22" s="62">
        <v>11</v>
      </c>
      <c r="B22" s="57" t="str">
        <f>'Necesidades Trimestrales'!B20</f>
        <v>2.9.1-6950.30</v>
      </c>
      <c r="C22" s="117" t="str">
        <f>('Necesidades Trimestrales'!E20)</f>
        <v>LUSTRADORES; TIPO: LUSTRAMUEBLES, PRESENTACION: AEROSOL X 360 CM3</v>
      </c>
      <c r="D22" s="117"/>
      <c r="E22" s="117"/>
      <c r="F22" s="117"/>
      <c r="G22" s="117"/>
      <c r="H22" s="58" t="s">
        <v>85</v>
      </c>
      <c r="I22" s="63" t="s">
        <v>20</v>
      </c>
      <c r="J22" s="60">
        <f>'Necesidades Trimestrales'!H20</f>
        <v>235</v>
      </c>
      <c r="K22" s="61">
        <f>'Necesidades Trimestrales'!G20</f>
        <v>330</v>
      </c>
    </row>
    <row r="23" spans="1:1024" ht="19.5" customHeight="1">
      <c r="A23" s="62">
        <v>12</v>
      </c>
      <c r="B23" s="57" t="str">
        <f>'Necesidades Trimestrales'!B21</f>
        <v>2.9.1-683.5</v>
      </c>
      <c r="C23" s="117" t="str">
        <f>('Necesidades Trimestrales'!E21)</f>
        <v>SECADORES DE GOMA; LARGO: 40 Cm, COLOR: NEGRO</v>
      </c>
      <c r="D23" s="117"/>
      <c r="E23" s="117"/>
      <c r="F23" s="117"/>
      <c r="G23" s="117"/>
      <c r="H23" s="58" t="s">
        <v>85</v>
      </c>
      <c r="I23" s="63" t="s">
        <v>20</v>
      </c>
      <c r="J23" s="60">
        <f>'Necesidades Trimestrales'!H21</f>
        <v>99</v>
      </c>
      <c r="K23" s="61">
        <f>'Necesidades Trimestrales'!G21</f>
        <v>230</v>
      </c>
    </row>
    <row r="24" spans="1:1024" ht="19.5" customHeight="1">
      <c r="A24" s="62">
        <v>13</v>
      </c>
      <c r="B24" s="57" t="str">
        <f>'Necesidades Trimestrales'!B22</f>
        <v>2.9.1-564.5</v>
      </c>
      <c r="C24" s="117" t="str">
        <f>('Necesidades Trimestrales'!E22)</f>
        <v>BALDES DE PLASTICO; CAPACIDAD: 10 L, COLOR: AMARILLO</v>
      </c>
      <c r="D24" s="117"/>
      <c r="E24" s="117"/>
      <c r="F24" s="117"/>
      <c r="G24" s="117"/>
      <c r="H24" s="58" t="s">
        <v>85</v>
      </c>
      <c r="I24" s="63" t="s">
        <v>20</v>
      </c>
      <c r="J24" s="60">
        <f>'Necesidades Trimestrales'!H22</f>
        <v>199</v>
      </c>
      <c r="K24" s="61">
        <f>'Necesidades Trimestrales'!G22</f>
        <v>70</v>
      </c>
    </row>
    <row r="25" spans="1:1024" ht="19.5" customHeight="1">
      <c r="A25" s="62">
        <v>14</v>
      </c>
      <c r="B25" s="57" t="str">
        <f>'Necesidades Trimestrales'!B23</f>
        <v>2.3.4-786.93</v>
      </c>
      <c r="C25" s="117" t="str">
        <f>('Necesidades Trimestrales'!E23)</f>
        <v>PAPEL HIGIENICO; PRESENTACION: ENVASE X 4, TIPO: ROLLO PRECORTADO, ANCHO: 10 Cm, LARGO: 50 M, TIPO DE HOJA: DOBLE</v>
      </c>
      <c r="D25" s="117"/>
      <c r="E25" s="117"/>
      <c r="F25" s="117"/>
      <c r="G25" s="117"/>
      <c r="H25" s="58" t="s">
        <v>85</v>
      </c>
      <c r="I25" s="63" t="s">
        <v>20</v>
      </c>
      <c r="J25" s="60">
        <f>'Necesidades Trimestrales'!H23</f>
        <v>135</v>
      </c>
      <c r="K25" s="61">
        <f>'Necesidades Trimestrales'!G23</f>
        <v>100</v>
      </c>
    </row>
    <row r="26" spans="1:1024" ht="19.5" customHeight="1">
      <c r="A26" s="62">
        <v>15</v>
      </c>
      <c r="B26" s="57" t="str">
        <f>'Necesidades Trimestrales'!B24</f>
        <v>2.9.1-6961.6</v>
      </c>
      <c r="C26" s="117" t="str">
        <f>('Necesidades Trimestrales'!E24)</f>
        <v>ELEM. P/LIMPIEZA SANITARIOS; TIPO: PASTILLA DESODORANTE, PRESENTACION: UNIDAD</v>
      </c>
      <c r="D26" s="117"/>
      <c r="E26" s="117"/>
      <c r="F26" s="117"/>
      <c r="G26" s="117"/>
      <c r="H26" s="58" t="s">
        <v>85</v>
      </c>
      <c r="I26" s="63" t="s">
        <v>20</v>
      </c>
      <c r="J26" s="60">
        <f>'Necesidades Trimestrales'!H24</f>
        <v>89</v>
      </c>
      <c r="K26" s="61">
        <f>'Necesidades Trimestrales'!G24</f>
        <v>100</v>
      </c>
    </row>
    <row r="27" spans="1:1024" ht="19.5" customHeight="1">
      <c r="A27" s="62">
        <v>16</v>
      </c>
      <c r="B27" s="57" t="str">
        <f>'Necesidades Trimestrales'!B25</f>
        <v>2.9.1-6956.78</v>
      </c>
      <c r="C27" s="117" t="str">
        <f>('Necesidades Trimestrales'!E25)</f>
        <v>ARTICULOS DE TOCADOR; TIPO: JABON LIQUIDO, PRESENTACION: ENVASE X 295 mL</v>
      </c>
      <c r="D27" s="117"/>
      <c r="E27" s="117"/>
      <c r="F27" s="117"/>
      <c r="G27" s="117"/>
      <c r="H27" s="58" t="s">
        <v>85</v>
      </c>
      <c r="I27" s="63" t="s">
        <v>20</v>
      </c>
      <c r="J27" s="60">
        <f>'Necesidades Trimestrales'!H25</f>
        <v>289</v>
      </c>
      <c r="K27" s="61">
        <f>'Necesidades Trimestrales'!G25</f>
        <v>160</v>
      </c>
    </row>
    <row r="28" spans="1:1024" ht="19.5" customHeight="1">
      <c r="A28" s="62">
        <v>17</v>
      </c>
      <c r="B28" s="57" t="str">
        <f>'Necesidades Trimestrales'!B26</f>
        <v>2.9.1-1156.12</v>
      </c>
      <c r="C28" s="117" t="str">
        <f>('Necesidades Trimestrales'!E26)</f>
        <v>PLUMEROS; PLUMA: SINTETICO. CLASE: SUAVE, MATERIAL MANGO: SEGUN PLIEGO, LARGO MANGO: 40 Cm, Nº VUELTAS PENACHO: SEGUN PLIEGO, TIPO: SUAVE</v>
      </c>
      <c r="D28" s="117"/>
      <c r="E28" s="117"/>
      <c r="F28" s="117"/>
      <c r="G28" s="117"/>
      <c r="H28" s="58" t="s">
        <v>86</v>
      </c>
      <c r="I28" s="63" t="s">
        <v>20</v>
      </c>
      <c r="J28" s="60">
        <f>'Necesidades Trimestrales'!H26</f>
        <v>495</v>
      </c>
      <c r="K28" s="61">
        <f>'Necesidades Trimestrales'!G26</f>
        <v>70</v>
      </c>
    </row>
    <row r="29" spans="1:1024" ht="15">
      <c r="A29" s="107" t="s">
        <v>87</v>
      </c>
      <c r="B29" s="107"/>
      <c r="C29" s="107"/>
      <c r="D29" s="107"/>
      <c r="E29" s="107"/>
      <c r="F29" s="107"/>
      <c r="G29" s="107"/>
      <c r="H29" s="107"/>
      <c r="I29" s="107"/>
      <c r="J29" s="108">
        <f>'Necesidades Trimestrales'!I27</f>
        <v>1602080</v>
      </c>
      <c r="K29" s="10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WR29" s="3"/>
      <c r="WS29" s="3"/>
      <c r="WT29" s="3"/>
      <c r="WU29" s="3"/>
      <c r="WV29" s="3"/>
      <c r="WW29" s="3"/>
      <c r="WX29" s="3"/>
      <c r="WY29" s="3"/>
      <c r="WZ29" s="3"/>
      <c r="XA29" s="3"/>
      <c r="XB29" s="3"/>
      <c r="XC29" s="3"/>
      <c r="XD29" s="3"/>
      <c r="XE29" s="3"/>
      <c r="XF29" s="3"/>
      <c r="XG29" s="3"/>
      <c r="XH29" s="3"/>
      <c r="XI29" s="3"/>
      <c r="XJ29" s="3"/>
      <c r="XK29" s="3"/>
      <c r="XL29" s="3"/>
      <c r="XM29" s="3"/>
      <c r="XN29" s="3"/>
      <c r="XO29" s="3"/>
      <c r="XP29" s="3"/>
      <c r="XQ29" s="3"/>
      <c r="XR29" s="3"/>
      <c r="XS29" s="3"/>
      <c r="XT29" s="3"/>
      <c r="XU29" s="3"/>
      <c r="XV29" s="3"/>
      <c r="XW29" s="3"/>
      <c r="XX29" s="3"/>
      <c r="XY29" s="3"/>
      <c r="XZ29" s="3"/>
      <c r="YA29" s="3"/>
      <c r="YB29" s="3"/>
      <c r="YC29" s="3"/>
      <c r="YD29" s="3"/>
      <c r="YE29" s="3"/>
      <c r="YF29" s="3"/>
      <c r="YG29" s="3"/>
      <c r="YH29" s="3"/>
      <c r="YI29" s="3"/>
      <c r="YJ29" s="3"/>
      <c r="YK29" s="3"/>
      <c r="YL29" s="3"/>
      <c r="YM29" s="3"/>
      <c r="YN29" s="3"/>
      <c r="YO29" s="3"/>
      <c r="YP29" s="3"/>
      <c r="YQ29" s="3"/>
      <c r="YR29" s="3"/>
      <c r="YS29" s="3"/>
      <c r="YT29" s="3"/>
      <c r="YU29" s="3"/>
      <c r="YV29" s="3"/>
      <c r="YW29" s="3"/>
      <c r="YX29" s="3"/>
      <c r="YY29" s="3"/>
      <c r="YZ29" s="3"/>
      <c r="ZA29" s="3"/>
      <c r="ZB29" s="3"/>
      <c r="ZC29" s="3"/>
      <c r="ZD29" s="3"/>
      <c r="ZE29" s="3"/>
      <c r="ZF29" s="3"/>
      <c r="ZG29" s="3"/>
      <c r="ZH29" s="3"/>
      <c r="ZI29" s="3"/>
      <c r="ZJ29" s="3"/>
      <c r="ZK29" s="3"/>
      <c r="ZL29" s="3"/>
      <c r="ZM29" s="3"/>
      <c r="ZN29" s="3"/>
      <c r="ZO29" s="3"/>
      <c r="ZP29" s="3"/>
      <c r="ZQ29" s="3"/>
      <c r="ZR29" s="3"/>
      <c r="ZS29" s="3"/>
      <c r="ZT29" s="3"/>
      <c r="ZU29" s="3"/>
      <c r="ZV29" s="3"/>
      <c r="ZW29" s="3"/>
      <c r="ZX29" s="3"/>
      <c r="ZY29" s="3"/>
      <c r="ZZ29" s="3"/>
      <c r="AAA29" s="3"/>
      <c r="AAB29" s="3"/>
      <c r="AAC29" s="3"/>
      <c r="AAD29" s="3"/>
      <c r="AAE29" s="3"/>
      <c r="AAF29" s="3"/>
      <c r="AAG29" s="3"/>
      <c r="AAH29" s="3"/>
      <c r="AAI29" s="3"/>
      <c r="AAJ29" s="3"/>
      <c r="AAK29" s="3"/>
      <c r="AAL29" s="3"/>
      <c r="AAM29" s="3"/>
      <c r="AAN29" s="3"/>
      <c r="AAO29" s="3"/>
      <c r="AAP29" s="3"/>
      <c r="AAQ29" s="3"/>
      <c r="AAR29" s="3"/>
      <c r="AAS29" s="3"/>
      <c r="AAT29" s="3"/>
      <c r="AAU29" s="3"/>
      <c r="AAV29" s="3"/>
      <c r="AAW29" s="3"/>
      <c r="AAX29" s="3"/>
      <c r="AAY29" s="3"/>
      <c r="AAZ29" s="3"/>
      <c r="ABA29" s="3"/>
      <c r="ABB29" s="3"/>
      <c r="ABC29" s="3"/>
      <c r="ABD29" s="3"/>
      <c r="ABE29" s="3"/>
      <c r="ABF29" s="3"/>
      <c r="ABG29" s="3"/>
      <c r="ABH29" s="3"/>
      <c r="ABI29" s="3"/>
      <c r="ABJ29" s="3"/>
      <c r="ABK29" s="3"/>
      <c r="ABL29" s="3"/>
      <c r="ABM29" s="3"/>
      <c r="ABN29" s="3"/>
      <c r="ABO29" s="3"/>
      <c r="ABP29" s="3"/>
      <c r="ABQ29" s="3"/>
      <c r="ABR29" s="3"/>
      <c r="ABS29" s="3"/>
      <c r="ABT29" s="3"/>
      <c r="ABU29" s="3"/>
      <c r="ABV29" s="3"/>
      <c r="ABW29" s="3"/>
      <c r="ABX29" s="3"/>
      <c r="ABY29" s="3"/>
      <c r="ABZ29" s="3"/>
      <c r="ACA29" s="3"/>
      <c r="ACB29" s="3"/>
      <c r="ACC29" s="3"/>
      <c r="ACD29" s="3"/>
      <c r="ACE29" s="3"/>
      <c r="ACF29" s="3"/>
      <c r="ACG29" s="3"/>
      <c r="ACH29" s="3"/>
      <c r="ACI29" s="3"/>
      <c r="ACJ29" s="3"/>
      <c r="ACK29" s="3"/>
      <c r="ACL29" s="3"/>
      <c r="ACM29" s="3"/>
      <c r="ACN29" s="3"/>
      <c r="ACO29" s="3"/>
      <c r="ACP29" s="3"/>
      <c r="ACQ29" s="3"/>
      <c r="ACR29" s="3"/>
      <c r="ACS29" s="3"/>
      <c r="ACT29" s="3"/>
      <c r="ACU29" s="3"/>
      <c r="ACV29" s="3"/>
      <c r="ACW29" s="3"/>
      <c r="ACX29" s="3"/>
      <c r="ACY29" s="3"/>
      <c r="ACZ29" s="3"/>
      <c r="ADA29" s="3"/>
      <c r="ADB29" s="3"/>
      <c r="ADC29" s="3"/>
      <c r="ADD29" s="3"/>
      <c r="ADE29" s="3"/>
      <c r="ADF29" s="3"/>
      <c r="ADG29" s="3"/>
      <c r="ADH29" s="3"/>
      <c r="ADI29" s="3"/>
      <c r="ADJ29" s="3"/>
      <c r="ADK29" s="3"/>
      <c r="ADL29" s="3"/>
      <c r="ADM29" s="3"/>
      <c r="ADN29" s="3"/>
      <c r="ADO29" s="3"/>
      <c r="ADP29" s="3"/>
      <c r="ADQ29" s="3"/>
      <c r="ADR29" s="3"/>
      <c r="ADS29" s="3"/>
      <c r="ADT29" s="3"/>
      <c r="ADU29" s="3"/>
      <c r="ADV29" s="3"/>
      <c r="ADW29" s="3"/>
      <c r="ADX29" s="3"/>
      <c r="ADY29" s="3"/>
      <c r="ADZ29" s="3"/>
      <c r="AEA29" s="3"/>
      <c r="AEB29" s="3"/>
      <c r="AEC29" s="3"/>
      <c r="AED29" s="3"/>
      <c r="AEE29" s="3"/>
      <c r="AEF29" s="3"/>
      <c r="AEG29" s="3"/>
      <c r="AEH29" s="3"/>
      <c r="AEI29" s="3"/>
      <c r="AEJ29" s="3"/>
      <c r="AEK29" s="3"/>
      <c r="AEL29" s="3"/>
      <c r="AEM29" s="3"/>
      <c r="AEN29" s="3"/>
      <c r="AEO29" s="3"/>
      <c r="AEP29" s="3"/>
      <c r="AEQ29" s="3"/>
      <c r="AER29" s="3"/>
      <c r="AES29" s="3"/>
      <c r="AET29" s="3"/>
      <c r="AEU29" s="3"/>
      <c r="AEV29" s="3"/>
      <c r="AEW29" s="3"/>
      <c r="AEX29" s="3"/>
      <c r="AEY29" s="3"/>
      <c r="AEZ29" s="3"/>
      <c r="AFA29" s="3"/>
      <c r="AFB29" s="3"/>
      <c r="AFC29" s="3"/>
      <c r="AFD29" s="3"/>
      <c r="AFE29" s="3"/>
      <c r="AFF29" s="3"/>
      <c r="AFG29" s="3"/>
      <c r="AFH29" s="3"/>
      <c r="AFI29" s="3"/>
      <c r="AFJ29" s="3"/>
      <c r="AFK29" s="3"/>
      <c r="AFL29" s="3"/>
      <c r="AFM29" s="3"/>
      <c r="AFN29" s="3"/>
      <c r="AFO29" s="3"/>
      <c r="AFP29" s="3"/>
      <c r="AFQ29" s="3"/>
      <c r="AFR29" s="3"/>
      <c r="AFS29" s="3"/>
      <c r="AFT29" s="3"/>
      <c r="AFU29" s="3"/>
      <c r="AFV29" s="3"/>
      <c r="AFW29" s="3"/>
      <c r="AFX29" s="3"/>
      <c r="AFY29" s="3"/>
      <c r="AFZ29" s="3"/>
      <c r="AGA29" s="3"/>
      <c r="AGB29" s="3"/>
      <c r="AGC29" s="3"/>
      <c r="AGD29" s="3"/>
      <c r="AGE29" s="3"/>
      <c r="AGF29" s="3"/>
      <c r="AGG29" s="3"/>
      <c r="AGH29" s="3"/>
      <c r="AGI29" s="3"/>
      <c r="AGJ29" s="3"/>
      <c r="AGK29" s="3"/>
      <c r="AGL29" s="3"/>
      <c r="AGM29" s="3"/>
      <c r="AGN29" s="3"/>
      <c r="AGO29" s="3"/>
      <c r="AGP29" s="3"/>
      <c r="AGQ29" s="3"/>
      <c r="AGR29" s="3"/>
      <c r="AGS29" s="3"/>
      <c r="AGT29" s="3"/>
      <c r="AGU29" s="3"/>
      <c r="AGV29" s="3"/>
      <c r="AGW29" s="3"/>
      <c r="AGX29" s="3"/>
      <c r="AGY29" s="3"/>
      <c r="AGZ29" s="3"/>
      <c r="AHA29" s="3"/>
      <c r="AHB29" s="3"/>
      <c r="AHC29" s="3"/>
      <c r="AHD29" s="3"/>
      <c r="AHE29" s="3"/>
      <c r="AHF29" s="3"/>
      <c r="AHG29" s="3"/>
      <c r="AHH29" s="3"/>
      <c r="AHI29" s="3"/>
      <c r="AHJ29" s="3"/>
      <c r="AHK29" s="3"/>
      <c r="AHL29" s="3"/>
      <c r="AHM29" s="3"/>
      <c r="AHN29" s="3"/>
      <c r="AHO29" s="3"/>
      <c r="AHP29" s="3"/>
      <c r="AHQ29" s="3"/>
      <c r="AHR29" s="3"/>
      <c r="AHS29" s="3"/>
      <c r="AHT29" s="3"/>
      <c r="AHU29" s="3"/>
      <c r="AHV29" s="3"/>
      <c r="AHW29" s="3"/>
      <c r="AHX29" s="3"/>
      <c r="AHY29" s="3"/>
      <c r="AHZ29" s="3"/>
      <c r="AIA29" s="3"/>
      <c r="AIB29" s="3"/>
      <c r="AIC29" s="3"/>
      <c r="AID29" s="3"/>
      <c r="AIE29" s="3"/>
      <c r="AIF29" s="3"/>
      <c r="AIG29" s="3"/>
      <c r="AIH29" s="3"/>
      <c r="AII29" s="3"/>
      <c r="AIJ29" s="3"/>
      <c r="AIK29" s="3"/>
      <c r="AIL29" s="3"/>
      <c r="AIM29" s="3"/>
      <c r="AIN29" s="3"/>
      <c r="AIO29" s="3"/>
      <c r="AIP29" s="3"/>
      <c r="AIQ29" s="3"/>
      <c r="AIR29" s="3"/>
      <c r="AIS29" s="3"/>
      <c r="AIT29" s="3"/>
      <c r="AIU29" s="3"/>
      <c r="AIV29" s="3"/>
      <c r="AIW29" s="3"/>
      <c r="AIX29" s="3"/>
      <c r="AIY29" s="3"/>
      <c r="AIZ29" s="3"/>
      <c r="AJA29" s="3"/>
      <c r="AJB29" s="3"/>
      <c r="AJC29" s="3"/>
      <c r="AJD29" s="3"/>
      <c r="AJE29" s="3"/>
      <c r="AJF29" s="3"/>
      <c r="AJG29" s="3"/>
      <c r="AJH29" s="3"/>
      <c r="AJI29" s="3"/>
      <c r="AJJ29" s="3"/>
      <c r="AJK29" s="3"/>
      <c r="AJL29" s="3"/>
      <c r="AJM29" s="3"/>
      <c r="AJN29" s="3"/>
      <c r="AJO29" s="3"/>
      <c r="AJP29" s="3"/>
      <c r="AJQ29" s="3"/>
      <c r="AJR29" s="3"/>
      <c r="AJS29" s="3"/>
      <c r="AJT29" s="3"/>
      <c r="AJU29" s="3"/>
      <c r="AJV29" s="3"/>
      <c r="AJW29" s="3"/>
      <c r="AJX29" s="3"/>
      <c r="AJY29" s="3"/>
      <c r="AJZ29" s="3"/>
      <c r="AKA29" s="3"/>
      <c r="AKB29" s="3"/>
      <c r="AKC29" s="3"/>
      <c r="AKD29" s="3"/>
      <c r="AKE29" s="3"/>
      <c r="AKF29" s="3"/>
      <c r="AKG29" s="3"/>
      <c r="AKH29" s="3"/>
      <c r="AKI29" s="3"/>
      <c r="AKJ29" s="3"/>
      <c r="AKK29" s="3"/>
      <c r="AKL29" s="3"/>
      <c r="AKM29" s="3"/>
      <c r="AKN29" s="3"/>
      <c r="AKO29" s="3"/>
      <c r="AKP29" s="3"/>
      <c r="AKQ29" s="3"/>
      <c r="AKR29" s="3"/>
      <c r="AKS29" s="3"/>
      <c r="AKT29" s="3"/>
      <c r="AKU29" s="3"/>
      <c r="AKV29" s="3"/>
      <c r="AKW29" s="3"/>
      <c r="AKX29" s="3"/>
      <c r="AKY29" s="3"/>
      <c r="AKZ29" s="3"/>
      <c r="ALA29" s="3"/>
      <c r="ALB29" s="3"/>
      <c r="ALC29" s="3"/>
      <c r="ALD29" s="3"/>
      <c r="ALE29" s="3"/>
      <c r="ALF29" s="3"/>
      <c r="ALG29" s="3"/>
      <c r="ALH29" s="3"/>
      <c r="ALI29" s="3"/>
      <c r="ALJ29" s="3"/>
      <c r="ALK29" s="3"/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</row>
    <row r="30" spans="1:1024">
      <c r="J30" s="64"/>
    </row>
  </sheetData>
  <mergeCells count="39">
    <mergeCell ref="C15:G15"/>
    <mergeCell ref="C18:G18"/>
    <mergeCell ref="C19:G19"/>
    <mergeCell ref="C20:G20"/>
    <mergeCell ref="C28:G28"/>
    <mergeCell ref="C21:G21"/>
    <mergeCell ref="C22:G22"/>
    <mergeCell ref="C23:G23"/>
    <mergeCell ref="C24:G24"/>
    <mergeCell ref="C25:G25"/>
    <mergeCell ref="C26:G26"/>
    <mergeCell ref="C27:G27"/>
    <mergeCell ref="A29:I29"/>
    <mergeCell ref="J29:K29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2:G12"/>
    <mergeCell ref="C13:G13"/>
    <mergeCell ref="C16:G16"/>
    <mergeCell ref="C17:G17"/>
    <mergeCell ref="C14:G14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topLeftCell="A9" workbookViewId="0">
      <selection activeCell="O26" sqref="O26"/>
    </sheetView>
  </sheetViews>
  <sheetFormatPr baseColWidth="10" defaultColWidth="11" defaultRowHeight="13.5"/>
  <cols>
    <col min="1" max="6" width="4.42578125" style="3" customWidth="1"/>
    <col min="7" max="7" width="4.42578125" style="28" customWidth="1"/>
    <col min="8" max="14" width="4.42578125" style="3" customWidth="1"/>
    <col min="15" max="16" width="14.85546875" style="3" customWidth="1"/>
    <col min="17" max="17" width="14.7109375" style="3" customWidth="1"/>
    <col min="18" max="16384" width="11" style="3"/>
  </cols>
  <sheetData>
    <row r="1" spans="1:17" ht="15.75" customHeight="1">
      <c r="A1" s="118" t="s">
        <v>5</v>
      </c>
      <c r="B1" s="118"/>
      <c r="C1" s="118"/>
      <c r="D1" s="119">
        <f>'Necesidades Trimestrales'!C6</f>
        <v>2021</v>
      </c>
      <c r="E1" s="119"/>
      <c r="F1" s="65"/>
      <c r="G1" s="65"/>
      <c r="H1" s="66"/>
      <c r="I1" s="66"/>
      <c r="J1" s="66"/>
      <c r="K1" s="66"/>
      <c r="L1" s="66"/>
      <c r="M1" s="66"/>
      <c r="N1" s="66"/>
      <c r="P1" s="120" t="s">
        <v>88</v>
      </c>
      <c r="Q1" s="120"/>
    </row>
    <row r="2" spans="1:17" ht="15.75" customHeight="1">
      <c r="H2" s="66"/>
      <c r="I2" s="66"/>
      <c r="J2" s="66"/>
      <c r="K2" s="66"/>
      <c r="L2" s="66"/>
      <c r="M2" s="66"/>
      <c r="N2" s="66"/>
      <c r="P2" s="120"/>
      <c r="Q2" s="120"/>
    </row>
    <row r="4" spans="1:17" ht="18" customHeight="1" thickBot="1">
      <c r="A4" s="121" t="s">
        <v>89</v>
      </c>
      <c r="B4" s="121"/>
      <c r="C4" s="121"/>
      <c r="D4" s="121"/>
      <c r="E4" s="121"/>
      <c r="F4" s="121"/>
      <c r="G4" s="122" t="str">
        <f>' NotaPedido'!D3</f>
        <v>90 - Ministerio de Seguridad</v>
      </c>
      <c r="H4" s="122"/>
      <c r="I4" s="122"/>
      <c r="J4" s="122"/>
      <c r="K4" s="122"/>
      <c r="L4" s="122"/>
      <c r="M4" s="122"/>
      <c r="N4" s="122"/>
      <c r="O4" s="122"/>
      <c r="P4" s="122"/>
      <c r="Q4" s="122"/>
    </row>
    <row r="5" spans="1:17" ht="18" customHeight="1" thickBot="1">
      <c r="A5" s="123" t="s">
        <v>69</v>
      </c>
      <c r="B5" s="124"/>
      <c r="C5" s="124"/>
      <c r="D5" s="124"/>
      <c r="E5" s="124"/>
      <c r="F5" s="125"/>
      <c r="G5" s="122" t="str">
        <f>' NotaPedido'!D4</f>
        <v>7 - Direccion de Administracion de la Policia de la Provincia de Catamarca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</row>
    <row r="6" spans="1:17" ht="18" customHeight="1" thickBot="1">
      <c r="A6" s="123" t="s">
        <v>70</v>
      </c>
      <c r="B6" s="124"/>
      <c r="C6" s="124"/>
      <c r="D6" s="124"/>
      <c r="E6" s="124"/>
      <c r="F6" s="125"/>
      <c r="G6" s="122" t="str">
        <f>' NotaPedido'!D5</f>
        <v>Policía de la Provincia de Catamarca</v>
      </c>
      <c r="H6" s="122"/>
      <c r="I6" s="122"/>
      <c r="J6" s="122"/>
      <c r="K6" s="122"/>
      <c r="L6" s="122"/>
      <c r="M6" s="122"/>
      <c r="N6" s="122"/>
      <c r="O6" s="122"/>
      <c r="P6" s="122"/>
      <c r="Q6" s="122"/>
    </row>
    <row r="7" spans="1:17" ht="18" customHeight="1" thickBot="1">
      <c r="A7" s="123" t="s">
        <v>72</v>
      </c>
      <c r="B7" s="124"/>
      <c r="C7" s="124"/>
      <c r="D7" s="124"/>
      <c r="E7" s="124"/>
      <c r="F7" s="125"/>
      <c r="G7" s="122" t="str">
        <f>' NotaPedido'!D6</f>
        <v>División Intendencia - Departamento Logística</v>
      </c>
      <c r="H7" s="122"/>
      <c r="I7" s="122"/>
      <c r="J7" s="122"/>
      <c r="K7" s="122"/>
      <c r="L7" s="122"/>
      <c r="M7" s="122"/>
      <c r="N7" s="122"/>
      <c r="O7" s="122"/>
      <c r="P7" s="122"/>
      <c r="Q7" s="122"/>
    </row>
    <row r="8" spans="1:17" ht="18" customHeight="1" thickBot="1">
      <c r="A8" s="126" t="s">
        <v>90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</row>
    <row r="9" spans="1:17" ht="18" customHeight="1">
      <c r="A9" s="127" t="s">
        <v>91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1"/>
      <c r="P9" s="11"/>
      <c r="Q9" s="67"/>
    </row>
    <row r="10" spans="1:17" ht="54.75" customHeight="1">
      <c r="A10" s="12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20/2021,  afectando la erogación resultante a los créditos presupuestarios aprobados a favor de esta Unidad Ejecutora, conforme al siguiente detalle: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</row>
    <row r="11" spans="1:17" ht="9" customHeight="1">
      <c r="A11" s="68"/>
      <c r="B11" s="69"/>
      <c r="C11" s="69"/>
      <c r="D11" s="69"/>
      <c r="E11" s="69"/>
      <c r="F11" s="69"/>
      <c r="G11" s="70"/>
      <c r="H11" s="69"/>
      <c r="I11" s="69"/>
      <c r="J11" s="69"/>
      <c r="K11" s="69"/>
      <c r="L11" s="69"/>
      <c r="M11" s="69"/>
      <c r="N11" s="69"/>
      <c r="O11" s="69"/>
      <c r="P11" s="69"/>
      <c r="Q11" s="71"/>
    </row>
    <row r="12" spans="1:17" ht="15.75" customHeight="1">
      <c r="A12" s="129" t="s">
        <v>92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</row>
    <row r="13" spans="1:17" ht="15.75" customHeight="1">
      <c r="A13" s="130" t="s">
        <v>93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1" t="s">
        <v>94</v>
      </c>
      <c r="P13" s="131"/>
      <c r="Q13" s="132" t="s">
        <v>95</v>
      </c>
    </row>
    <row r="14" spans="1:17" ht="15.75" customHeight="1" thickBot="1">
      <c r="A14" s="72" t="s">
        <v>96</v>
      </c>
      <c r="B14" s="73" t="s">
        <v>97</v>
      </c>
      <c r="C14" s="73" t="s">
        <v>98</v>
      </c>
      <c r="D14" s="73" t="s">
        <v>99</v>
      </c>
      <c r="E14" s="73" t="s">
        <v>100</v>
      </c>
      <c r="F14" s="73" t="s">
        <v>101</v>
      </c>
      <c r="G14" s="74" t="s">
        <v>102</v>
      </c>
      <c r="H14" s="73" t="s">
        <v>103</v>
      </c>
      <c r="I14" s="73" t="s">
        <v>104</v>
      </c>
      <c r="J14" s="73" t="s">
        <v>105</v>
      </c>
      <c r="K14" s="73" t="s">
        <v>105</v>
      </c>
      <c r="L14" s="73" t="s">
        <v>106</v>
      </c>
      <c r="M14" s="75" t="s">
        <v>107</v>
      </c>
      <c r="N14" s="76" t="s">
        <v>108</v>
      </c>
      <c r="O14" s="131"/>
      <c r="P14" s="131"/>
      <c r="Q14" s="132"/>
    </row>
    <row r="15" spans="1:17" ht="17.25" customHeight="1">
      <c r="A15" s="77">
        <v>16</v>
      </c>
      <c r="B15" s="78">
        <v>0</v>
      </c>
      <c r="C15" s="78">
        <v>0</v>
      </c>
      <c r="D15" s="78">
        <v>1</v>
      </c>
      <c r="E15" s="78">
        <v>0</v>
      </c>
      <c r="F15" s="78">
        <v>10</v>
      </c>
      <c r="G15" s="78">
        <v>2</v>
      </c>
      <c r="H15" s="78">
        <v>1</v>
      </c>
      <c r="I15" s="78">
        <v>2</v>
      </c>
      <c r="J15" s="78">
        <v>9</v>
      </c>
      <c r="K15" s="78">
        <v>1</v>
      </c>
      <c r="L15" s="78">
        <v>0</v>
      </c>
      <c r="M15" s="79">
        <v>1</v>
      </c>
      <c r="N15" s="78" t="s">
        <v>109</v>
      </c>
      <c r="O15" s="133" t="s">
        <v>17</v>
      </c>
      <c r="P15" s="134"/>
      <c r="Q15" s="80">
        <f>' NotaPedido'!J29</f>
        <v>1602080</v>
      </c>
    </row>
    <row r="16" spans="1:17" ht="33" customHeight="1" thickBot="1">
      <c r="A16" s="145" t="s">
        <v>110</v>
      </c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81">
        <f>Q15</f>
        <v>1602080</v>
      </c>
    </row>
    <row r="17" spans="1:17" ht="18" customHeight="1" thickBot="1">
      <c r="A17" s="146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8"/>
    </row>
    <row r="18" spans="1:17" ht="17.25" customHeight="1" thickBot="1">
      <c r="A18" s="135" t="s">
        <v>111</v>
      </c>
      <c r="B18" s="136"/>
      <c r="C18" s="136"/>
      <c r="D18" s="136"/>
      <c r="E18" s="136"/>
      <c r="F18" s="137"/>
      <c r="G18" s="138" t="s">
        <v>112</v>
      </c>
      <c r="H18" s="138"/>
      <c r="I18" s="138"/>
      <c r="J18" s="138"/>
      <c r="K18" s="138"/>
      <c r="L18" s="138"/>
      <c r="M18" s="138"/>
      <c r="N18" s="138"/>
      <c r="O18" s="138"/>
      <c r="P18" s="138"/>
      <c r="Q18" s="138"/>
    </row>
    <row r="19" spans="1:17" ht="18" customHeight="1">
      <c r="A19" s="139" t="s">
        <v>113</v>
      </c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1"/>
    </row>
    <row r="20" spans="1:17" ht="15" customHeight="1" thickBot="1">
      <c r="A20" s="142"/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4"/>
    </row>
  </sheetData>
  <mergeCells count="24">
    <mergeCell ref="O15:P15"/>
    <mergeCell ref="A18:F18"/>
    <mergeCell ref="G18:Q18"/>
    <mergeCell ref="A19:Q20"/>
    <mergeCell ref="A16:P16"/>
    <mergeCell ref="A17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COMPRAS</cp:lastModifiedBy>
  <cp:revision>2</cp:revision>
  <dcterms:created xsi:type="dcterms:W3CDTF">2020-07-17T23:44:49Z</dcterms:created>
  <dcterms:modified xsi:type="dcterms:W3CDTF">2021-08-10T13:36:51Z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