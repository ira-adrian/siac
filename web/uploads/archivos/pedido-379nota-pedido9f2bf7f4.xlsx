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TRIMESTRALES\3° trimestre 2022\descartables COMUN\"/>
    </mc:Choice>
  </mc:AlternateContent>
  <xr:revisionPtr revIDLastSave="0" documentId="13_ncr:1_{2DCF0084-A68D-48C2-8276-FE3397EC95A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1" hidden="1">' NotaPedido'!$A$10:$K$33</definedName>
    <definedName name="_xlnm._FilterDatabase" localSheetId="0" hidden="1">'Necesidades Trimestrales'!$A$9:$I$30</definedName>
    <definedName name="_xlnm.Print_Area" localSheetId="1">' NotaPedido'!$A$1:$K$33</definedName>
    <definedName name="_xlnm.Print_Area" localSheetId="2">'Autor Gastar'!$A$1:$Q$22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12" i="2"/>
  <c r="I21" i="1"/>
  <c r="I11" i="1" l="1"/>
  <c r="I12" i="1"/>
  <c r="I13" i="1"/>
  <c r="I14" i="1"/>
  <c r="I15" i="1"/>
  <c r="I16" i="1"/>
  <c r="I17" i="1"/>
  <c r="I18" i="1"/>
  <c r="I19" i="1"/>
  <c r="I20" i="1"/>
  <c r="I22" i="1"/>
  <c r="I23" i="1"/>
  <c r="I24" i="1"/>
  <c r="I25" i="1"/>
  <c r="I26" i="1"/>
  <c r="I27" i="1"/>
  <c r="I28" i="1"/>
  <c r="I29" i="1"/>
  <c r="I30" i="1"/>
  <c r="I10" i="1"/>
  <c r="A32" i="2"/>
  <c r="A31" i="2"/>
  <c r="A30" i="2"/>
  <c r="A29" i="2"/>
  <c r="A28" i="2"/>
  <c r="A27" i="2"/>
  <c r="Q18" i="3" l="1"/>
  <c r="A24" i="2" l="1"/>
  <c r="A25" i="2"/>
  <c r="A26" i="2"/>
  <c r="A22" i="2" l="1"/>
  <c r="A12" i="2" l="1"/>
  <c r="A13" i="2"/>
  <c r="A14" i="2"/>
  <c r="A15" i="2"/>
  <c r="A16" i="2"/>
  <c r="A17" i="2"/>
  <c r="A18" i="2"/>
  <c r="A19" i="2"/>
  <c r="A20" i="2"/>
  <c r="A21" i="2"/>
  <c r="A23" i="2"/>
  <c r="J33" i="2" l="1"/>
  <c r="G6" i="3" l="1"/>
  <c r="G7" i="3"/>
  <c r="G4" i="3"/>
  <c r="G5" i="3"/>
</calcChain>
</file>

<file path=xl/sharedStrings.xml><?xml version="1.0" encoding="utf-8"?>
<sst xmlns="http://schemas.openxmlformats.org/spreadsheetml/2006/main" count="220" uniqueCount="130">
  <si>
    <t>Pedido de Necesidades Trimestrales</t>
  </si>
  <si>
    <t>JURISDICCION:</t>
  </si>
  <si>
    <t xml:space="preserve">SAF N°: </t>
  </si>
  <si>
    <t>EJERCICIO: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</si>
  <si>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</si>
  <si>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</si>
  <si>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</si>
  <si>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</si>
  <si>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</si>
  <si>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</si>
  <si>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</si>
  <si>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</si>
  <si>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</si>
  <si>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</si>
  <si>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</si>
  <si>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</si>
  <si>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</si>
  <si>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</si>
  <si>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</si>
  <si>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</si>
  <si>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</si>
  <si>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</si>
  <si>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</si>
  <si>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</si>
  <si>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</si>
  <si>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</si>
  <si>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</si>
  <si>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</si>
  <si>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</si>
  <si>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</si>
  <si>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</si>
  <si>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</si>
  <si>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</si>
  <si>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</si>
  <si>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</si>
  <si>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</si>
  <si>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</si>
  <si>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</si>
  <si>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</si>
  <si>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</si>
  <si>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</si>
  <si>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</si>
  <si>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</si>
  <si>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</si>
  <si>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</si>
  <si>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</si>
  <si>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</si>
  <si>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</si>
  <si>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</si>
  <si>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</si>
  <si>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</si>
  <si>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RUBRO DE COMPRA</t>
  </si>
  <si>
    <t xml:space="preserve">I.P.P. </t>
  </si>
  <si>
    <t>28- Maternidad Provincial 25 de Mayo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</si>
  <si>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</si>
  <si>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</si>
  <si>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</si>
  <si>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</si>
  <si>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</si>
  <si>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</si>
  <si>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</si>
  <si>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</si>
  <si>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TRIMESTRE:</t>
  </si>
  <si>
    <t xml:space="preserve">
</t>
  </si>
  <si>
    <t xml:space="preserve">Servicio de Farmacia  </t>
  </si>
  <si>
    <t>Utiles menores medico, Quirurgico y de Laboratorio</t>
  </si>
  <si>
    <t xml:space="preserve"> Adquisición de Productos Medicos para DESCARTABLE COMUN</t>
  </si>
  <si>
    <t>TAPON INTERMITENTE SISTEMA CERRADO CON ROSCA LUER LOCK</t>
  </si>
  <si>
    <t>Para la adquisición de Adquisición de Productos Medicos para DESCARTABLE COMUN, para ser destinados Servicio de Farmacia, de  la Maternidad Provincial 25 de Mayo.-</t>
  </si>
  <si>
    <t>2.9.5-441.319</t>
  </si>
  <si>
    <t>PROD. MEDICO/FARMACEUTICOS/LAB</t>
  </si>
  <si>
    <t>AGUJAS QUIRURGICAS; TIPO: BUTTERFLY, ESPECIFICACION: 25G, PRESENTACION: UNIDAD</t>
  </si>
  <si>
    <t>2.9.5-441.469</t>
  </si>
  <si>
    <t>AGUJAS QUIRURGICAS; TIPO: BUTTERFLY, ESPECIFICACION: 27, PRESENTACION: ENVASE ESTERIL</t>
  </si>
  <si>
    <t>2.9.5-427.31</t>
  </si>
  <si>
    <t>APOSITOS; TIPO: P/SUJECION DE CATETER, TAMAÑO: 10 X 12 Cm</t>
  </si>
  <si>
    <t>2.9.5-427.84</t>
  </si>
  <si>
    <t>APOSITOS; TIPO: P/SUJECION DE CATETER, TAMAÑO: 6 X 7 Cm</t>
  </si>
  <si>
    <t>2.9.5-2161.7</t>
  </si>
  <si>
    <t>CATÉTER INTRAVENOSO Nº 14; TIPO: INTRAVENOSO/CANALIZACIÓN</t>
  </si>
  <si>
    <t>2.9.5-2161.2</t>
  </si>
  <si>
    <t>CATÉTER INTRAVENOSO Nº 18; TIPO: INTRAVENOSO/CANALIZACIÓN</t>
  </si>
  <si>
    <t>2.9.5-2161.557</t>
  </si>
  <si>
    <t>CATÉTER INTRAVENOSO Nº 20; TIPO: INTRAVENOSO/CANALIZACIÓN</t>
  </si>
  <si>
    <t>2.9.5-2161.10</t>
  </si>
  <si>
    <t>CATÉTER INTRAVENOSO Nº 24; TIPO: INTRAVENOSO/CANALIZACIÓN</t>
  </si>
  <si>
    <t>2.9.5-2161.412</t>
  </si>
  <si>
    <t>CATETERES/SONDAS; NUMERO: 26 G, TIPO: CANALIZACION</t>
  </si>
  <si>
    <t>2.9.5-2204.57</t>
  </si>
  <si>
    <t>GUÍA DE SUERO; USO: ADMINISTRACIÓN FRACC. SANGRE; TIPO: MACROGOTERO Y FILTRO TIPO V-104</t>
  </si>
  <si>
    <t>2.9.5-2204.30</t>
  </si>
  <si>
    <t>GUÍAS DE SUERO; USO: PARA TRANFUSIÓN DE PLASMA Y SANGRE; AGUJA: SIN; MODELO: V20; TIPO: CONTÍNUO; CON CONEXIÓN ROLLER LUER SLIP</t>
  </si>
  <si>
    <t>2.9.5-2204.55</t>
  </si>
  <si>
    <t>GUIAS DE SUERO; USO: ADMINISTRACION DE SOLUCIONES, AGUJA: SIN, MODELO: P/EQUIPO, TIPO: PARA BOMBA INFUSORA</t>
  </si>
  <si>
    <t>2.9.5-2226.36</t>
  </si>
  <si>
    <t>CONECTORES P/MEDICINA; USO: SISTEMA CERRADO P/INYECCIÓN; CONECTOR: CONTROL DE FLUJO PARA VARIAS VÍAS</t>
  </si>
  <si>
    <t>2.9.5-2161.562</t>
  </si>
  <si>
    <t>CATÉTERES/SONDAS; NÚMERO: 16; TIPO: FOLEY DOBLE VÍA, 100% DE SILICONA</t>
  </si>
  <si>
    <t>2.9.5-2161.563</t>
  </si>
  <si>
    <t>CATÉTERES/SONDAS; NÚMERO: 18; TIPO: FOLEY DOBLE VÍA, 100% DE SILICONA</t>
  </si>
  <si>
    <t>2.9.5-2161.216</t>
  </si>
  <si>
    <t>CATETERES/SONDAS; NUMERO: K-30, TIPO: ASP. MUCUS Y ADMINISTRAC. OXIG</t>
  </si>
  <si>
    <t>2.9.5-2161.217</t>
  </si>
  <si>
    <t>CATETERES/SONDAS; NUMERO: K-31, TIPO: ASP. MUCUS Y ADMINISTRAC. OXIG</t>
  </si>
  <si>
    <t>2.9.5-2161.188</t>
  </si>
  <si>
    <t>CATETERES/SONDAS; NUMERO: K-33, TIPO: NASOGASTRICA</t>
  </si>
  <si>
    <t>2.9.5-2161.187</t>
  </si>
  <si>
    <t>CATETERES/SONDAS; NUMERO: K-35, TIPO: NASOGASTRICA PARA PREMATUROS</t>
  </si>
  <si>
    <t>2.9.5-2161.158</t>
  </si>
  <si>
    <t>CATETERES/SONDAS; NUMERO: K93, TIPO: URETRAL</t>
  </si>
  <si>
    <t>3°</t>
  </si>
  <si>
    <t>SEMESTRAL</t>
  </si>
  <si>
    <t>N° /2022</t>
  </si>
  <si>
    <t>"Autorizo la realización de los  trámites correspondientes, a fin de proveer a  este Organismo los bienes y/o servicios que se detallan en Nota  de Pedido N° /2022 ,  afectando la erogación resultante a los créditos presupuestarios aprobados a favor de esta Unidad Ejecutora, conforme al siguiente detalle:"</t>
  </si>
  <si>
    <t>Especificidades Item N° : 11</t>
  </si>
  <si>
    <t>Especificidades Item N° : 12</t>
  </si>
  <si>
    <t xml:space="preserve">Descripción técnica: </t>
  </si>
  <si>
    <t>10(DIEZ) DIAS HABILES</t>
  </si>
  <si>
    <t>30(TREINTA) DIAS HABILES</t>
  </si>
  <si>
    <t>LLAVE DE TRES VIAS- TIPO MCM, BRAUN</t>
  </si>
  <si>
    <t>Descripción técnica:                                         EQUIPO PARA TRANFUSION DE PLASMA Y SANGRE SIN AGUJA TIPO BIOM B-18</t>
  </si>
  <si>
    <t xml:space="preserve">                                                                30( TREINTA) DIAS HABILES</t>
  </si>
  <si>
    <t>2.9.5-2226.33</t>
  </si>
  <si>
    <t>CONECTORES P/MEDICINA; USO: SIST. INYECCION INTERMITENTE, CONECTOR: ESTANDAR</t>
  </si>
  <si>
    <t>GUIA PARA BOMBA SILICONADA TIPO PLASTIMED 1000</t>
  </si>
  <si>
    <t>SI</t>
  </si>
  <si>
    <t>Especificidades Item N° : 21</t>
  </si>
  <si>
    <t>Costo total estimado: UN MILLON SETENTA Y TRES MIL OCHOCIENTOS TREINTA Y CINCO CON 00/100</t>
  </si>
  <si>
    <t>TOTAL DE PESOS: UN MILLON SETENTA Y TRES MIL OCHOCIENTOS TREINTA Y CINCO CON 00/100</t>
  </si>
  <si>
    <t>Especificidades Item N° :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</si>
</sst>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4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  <font>
      <b/>
      <u/>
      <sz val="12"/>
      <name val="Times New Roman"/>
      <family val="1"/>
    </font>
    <font>
      <sz val="10"/>
      <name val="Arial"/>
    </font>
    <font>
      <b/>
      <sz val="10"/>
      <name val="Times New Roman"/>
      <family val="1"/>
    </font>
    <font>
      <b/>
      <u/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0">
    <xf numFmtId="0" fontId="0" fillId="0" borderId="0"/>
    <xf numFmtId="0" fontId="9" fillId="0" borderId="1" applyProtection="0"/>
    <xf numFmtId="164" fontId="10" fillId="0" borderId="0" applyBorder="0" applyProtection="0"/>
    <xf numFmtId="0" fontId="11" fillId="2" borderId="0" applyBorder="0" applyProtection="0"/>
    <xf numFmtId="165" fontId="18" fillId="0" borderId="0" applyBorder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8" fillId="6" borderId="0" applyNumberFormat="0" applyBorder="0" applyAlignment="0" applyProtection="0"/>
    <xf numFmtId="0" fontId="6" fillId="7" borderId="0" applyNumberFormat="0" applyBorder="0" applyAlignment="0" applyProtection="0"/>
    <xf numFmtId="0" fontId="2" fillId="0" borderId="0"/>
  </cellStyleXfs>
  <cellXfs count="204">
    <xf numFmtId="0" fontId="0" fillId="0" borderId="0" xfId="0"/>
    <xf numFmtId="0" fontId="0" fillId="0" borderId="0" xfId="0" applyBorder="1"/>
    <xf numFmtId="0" fontId="10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3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10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5" fontId="17" fillId="0" borderId="25" xfId="0" applyNumberFormat="1" applyFont="1" applyBorder="1" applyAlignment="1">
      <alignment horizontal="center" vertical="center"/>
    </xf>
    <xf numFmtId="0" fontId="19" fillId="0" borderId="0" xfId="0" applyFont="1"/>
    <xf numFmtId="0" fontId="0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5" fontId="18" fillId="0" borderId="0" xfId="4"/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165" fontId="0" fillId="0" borderId="35" xfId="2" applyNumberFormat="1" applyFont="1" applyBorder="1" applyAlignment="1" applyProtection="1">
      <alignment horizontal="center" vertical="center"/>
    </xf>
    <xf numFmtId="165" fontId="0" fillId="0" borderId="3" xfId="2" applyNumberFormat="1" applyFont="1" applyBorder="1" applyAlignment="1" applyProtection="1">
      <alignment horizontal="center" vertical="center"/>
    </xf>
    <xf numFmtId="0" fontId="22" fillId="3" borderId="0" xfId="0" applyFont="1" applyFill="1"/>
    <xf numFmtId="0" fontId="22" fillId="3" borderId="0" xfId="0" applyFont="1" applyFill="1" applyAlignment="1">
      <alignment horizontal="left" wrapText="1"/>
    </xf>
    <xf numFmtId="0" fontId="7" fillId="3" borderId="3" xfId="7" applyFont="1" applyFill="1" applyBorder="1" applyAlignment="1">
      <alignment horizontal="center" vertical="center" wrapText="1"/>
    </xf>
    <xf numFmtId="0" fontId="27" fillId="3" borderId="0" xfId="0" applyFont="1" applyFill="1" applyAlignment="1">
      <alignment horizontal="left" wrapText="1"/>
    </xf>
    <xf numFmtId="0" fontId="25" fillId="3" borderId="0" xfId="0" applyFont="1" applyFill="1" applyAlignment="1"/>
    <xf numFmtId="0" fontId="19" fillId="0" borderId="50" xfId="0" applyFont="1" applyBorder="1"/>
    <xf numFmtId="0" fontId="0" fillId="0" borderId="50" xfId="0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44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32" fillId="3" borderId="5" xfId="0" applyFont="1" applyFill="1" applyBorder="1" applyAlignment="1">
      <alignment horizontal="right" vertical="center"/>
    </xf>
    <xf numFmtId="0" fontId="32" fillId="3" borderId="7" xfId="0" applyFont="1" applyFill="1" applyBorder="1" applyAlignment="1">
      <alignment vertical="center"/>
    </xf>
    <xf numFmtId="0" fontId="32" fillId="3" borderId="0" xfId="0" applyFont="1" applyFill="1" applyBorder="1" applyAlignment="1">
      <alignment vertical="center"/>
    </xf>
    <xf numFmtId="0" fontId="34" fillId="3" borderId="0" xfId="0" applyFont="1" applyFill="1" applyBorder="1" applyAlignment="1">
      <alignment horizontal="left" vertical="center"/>
    </xf>
    <xf numFmtId="0" fontId="33" fillId="3" borderId="0" xfId="0" applyFont="1" applyFill="1" applyBorder="1" applyAlignment="1">
      <alignment horizontal="left" vertical="center" wrapText="1" indent="1"/>
    </xf>
    <xf numFmtId="0" fontId="31" fillId="3" borderId="2" xfId="5" applyFont="1" applyFill="1" applyBorder="1" applyAlignment="1">
      <alignment horizontal="center" vertical="center"/>
    </xf>
    <xf numFmtId="0" fontId="31" fillId="3" borderId="3" xfId="5" applyFont="1" applyFill="1" applyBorder="1" applyAlignment="1">
      <alignment horizontal="center" vertical="center"/>
    </xf>
    <xf numFmtId="0" fontId="31" fillId="3" borderId="3" xfId="5" applyFont="1" applyFill="1" applyBorder="1" applyAlignment="1">
      <alignment horizontal="center" wrapText="1"/>
    </xf>
    <xf numFmtId="0" fontId="31" fillId="3" borderId="32" xfId="5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vertical="center"/>
    </xf>
    <xf numFmtId="0" fontId="37" fillId="3" borderId="0" xfId="0" applyFont="1" applyFill="1" applyBorder="1" applyAlignment="1">
      <alignment vertical="center"/>
    </xf>
    <xf numFmtId="0" fontId="38" fillId="3" borderId="0" xfId="0" applyFont="1" applyFill="1" applyBorder="1" applyAlignment="1">
      <alignment vertical="center"/>
    </xf>
    <xf numFmtId="166" fontId="31" fillId="3" borderId="3" xfId="6" applyNumberFormat="1" applyFont="1" applyFill="1" applyBorder="1" applyAlignment="1" applyProtection="1">
      <alignment horizontal="center" vertical="center" wrapText="1"/>
    </xf>
    <xf numFmtId="1" fontId="32" fillId="3" borderId="0" xfId="0" applyNumberFormat="1" applyFont="1" applyFill="1" applyBorder="1" applyAlignment="1">
      <alignment vertical="center"/>
    </xf>
    <xf numFmtId="1" fontId="33" fillId="3" borderId="0" xfId="0" applyNumberFormat="1" applyFont="1" applyFill="1" applyBorder="1" applyAlignment="1">
      <alignment horizontal="left" vertical="center" wrapText="1" indent="1"/>
    </xf>
    <xf numFmtId="1" fontId="31" fillId="3" borderId="4" xfId="5" applyNumberFormat="1" applyFont="1" applyFill="1" applyBorder="1" applyAlignment="1">
      <alignment horizontal="center" vertical="center"/>
    </xf>
    <xf numFmtId="1" fontId="10" fillId="3" borderId="0" xfId="0" applyNumberFormat="1" applyFont="1" applyFill="1" applyBorder="1" applyAlignment="1">
      <alignment vertical="center"/>
    </xf>
    <xf numFmtId="0" fontId="27" fillId="3" borderId="53" xfId="0" applyFont="1" applyFill="1" applyBorder="1" applyAlignment="1">
      <alignment horizontal="center" vertical="center" wrapText="1"/>
    </xf>
    <xf numFmtId="0" fontId="27" fillId="3" borderId="54" xfId="0" applyFont="1" applyFill="1" applyBorder="1" applyAlignment="1">
      <alignment horizontal="center" vertical="center" wrapText="1"/>
    </xf>
    <xf numFmtId="0" fontId="27" fillId="3" borderId="55" xfId="0" applyFont="1" applyFill="1" applyBorder="1" applyAlignment="1">
      <alignment horizontal="center" vertical="center" wrapText="1"/>
    </xf>
    <xf numFmtId="169" fontId="27" fillId="3" borderId="15" xfId="0" applyNumberFormat="1" applyFont="1" applyFill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/>
    </xf>
    <xf numFmtId="0" fontId="40" fillId="3" borderId="0" xfId="0" applyFont="1" applyFill="1"/>
    <xf numFmtId="169" fontId="7" fillId="3" borderId="36" xfId="7" applyNumberFormat="1" applyFont="1" applyFill="1" applyBorder="1" applyAlignment="1">
      <alignment horizontal="center" vertical="center" wrapText="1"/>
    </xf>
    <xf numFmtId="170" fontId="29" fillId="0" borderId="57" xfId="0" applyNumberFormat="1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25" fillId="3" borderId="0" xfId="0" applyFont="1" applyFill="1" applyAlignment="1">
      <alignment vertical="center"/>
    </xf>
    <xf numFmtId="0" fontId="27" fillId="3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1" fontId="31" fillId="3" borderId="42" xfId="5" applyNumberFormat="1" applyFont="1" applyFill="1" applyBorder="1" applyAlignment="1">
      <alignment horizontal="center" vertical="center" wrapText="1"/>
    </xf>
    <xf numFmtId="0" fontId="22" fillId="3" borderId="0" xfId="0" applyFont="1" applyFill="1" applyAlignment="1">
      <alignment vertical="center"/>
    </xf>
    <xf numFmtId="0" fontId="28" fillId="3" borderId="52" xfId="0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169" fontId="25" fillId="3" borderId="0" xfId="0" applyNumberFormat="1" applyFont="1" applyFill="1" applyAlignment="1">
      <alignment horizontal="center"/>
    </xf>
    <xf numFmtId="169" fontId="22" fillId="3" borderId="0" xfId="0" applyNumberFormat="1" applyFont="1" applyFill="1" applyAlignment="1">
      <alignment horizontal="center"/>
    </xf>
    <xf numFmtId="169" fontId="19" fillId="0" borderId="0" xfId="0" applyNumberFormat="1" applyFont="1" applyAlignment="1">
      <alignment horizontal="center"/>
    </xf>
    <xf numFmtId="0" fontId="22" fillId="3" borderId="0" xfId="0" applyFont="1" applyFill="1" applyAlignment="1">
      <alignment wrapText="1"/>
    </xf>
    <xf numFmtId="0" fontId="0" fillId="0" borderId="50" xfId="0" applyBorder="1" applyAlignment="1">
      <alignment horizontal="center" vertical="center" wrapText="1"/>
    </xf>
    <xf numFmtId="0" fontId="19" fillId="0" borderId="50" xfId="0" applyFont="1" applyBorder="1" applyAlignment="1">
      <alignment vertical="center" wrapText="1"/>
    </xf>
    <xf numFmtId="0" fontId="19" fillId="0" borderId="0" xfId="0" applyFont="1" applyBorder="1" applyAlignment="1">
      <alignment vertical="center" wrapText="1"/>
    </xf>
    <xf numFmtId="0" fontId="19" fillId="0" borderId="0" xfId="0" applyFont="1" applyBorder="1"/>
    <xf numFmtId="168" fontId="0" fillId="0" borderId="3" xfId="0" applyNumberFormat="1" applyBorder="1" applyAlignment="1">
      <alignment horizontal="center" vertical="center"/>
    </xf>
    <xf numFmtId="0" fontId="5" fillId="3" borderId="32" xfId="6" applyFont="1" applyFill="1" applyBorder="1" applyAlignment="1">
      <alignment horizontal="center" vertical="center" wrapText="1"/>
    </xf>
    <xf numFmtId="0" fontId="25" fillId="0" borderId="0" xfId="0" applyFont="1" applyFill="1" applyAlignment="1"/>
    <xf numFmtId="0" fontId="23" fillId="0" borderId="0" xfId="0" applyFont="1" applyFill="1" applyAlignment="1">
      <alignment horizontal="left" wrapText="1" indent="1"/>
    </xf>
    <xf numFmtId="0" fontId="22" fillId="0" borderId="0" xfId="0" applyFont="1" applyFill="1" applyAlignment="1">
      <alignment horizontal="center" wrapText="1"/>
    </xf>
    <xf numFmtId="0" fontId="27" fillId="0" borderId="54" xfId="0" applyFont="1" applyFill="1" applyBorder="1" applyAlignment="1">
      <alignment horizontal="center" vertical="center" wrapText="1"/>
    </xf>
    <xf numFmtId="0" fontId="22" fillId="0" borderId="0" xfId="0" applyFont="1" applyFill="1"/>
    <xf numFmtId="0" fontId="19" fillId="0" borderId="0" xfId="0" applyFont="1" applyFill="1"/>
    <xf numFmtId="0" fontId="0" fillId="0" borderId="0" xfId="0" applyFill="1"/>
    <xf numFmtId="0" fontId="19" fillId="0" borderId="48" xfId="0" applyFont="1" applyFill="1" applyBorder="1" applyAlignment="1">
      <alignment vertical="center"/>
    </xf>
    <xf numFmtId="0" fontId="19" fillId="0" borderId="48" xfId="0" applyFont="1" applyFill="1" applyBorder="1" applyAlignment="1"/>
    <xf numFmtId="0" fontId="19" fillId="0" borderId="48" xfId="0" applyFont="1" applyFill="1" applyBorder="1" applyAlignment="1">
      <alignment wrapText="1"/>
    </xf>
    <xf numFmtId="0" fontId="19" fillId="0" borderId="51" xfId="0" applyFont="1" applyFill="1" applyBorder="1" applyAlignment="1">
      <alignment vertical="center"/>
    </xf>
    <xf numFmtId="0" fontId="19" fillId="0" borderId="0" xfId="0" applyFont="1" applyFill="1" applyBorder="1" applyAlignment="1">
      <alignment vertical="center"/>
    </xf>
    <xf numFmtId="0" fontId="22" fillId="0" borderId="0" xfId="0" applyFont="1" applyFill="1" applyAlignment="1">
      <alignment horizontal="center"/>
    </xf>
    <xf numFmtId="0" fontId="4" fillId="3" borderId="3" xfId="7" applyFont="1" applyFill="1" applyBorder="1" applyAlignment="1">
      <alignment horizontal="center" vertical="center" wrapText="1"/>
    </xf>
    <xf numFmtId="0" fontId="4" fillId="3" borderId="32" xfId="6" applyFont="1" applyFill="1" applyBorder="1" applyAlignment="1">
      <alignment horizontal="center" vertical="center" wrapText="1"/>
    </xf>
    <xf numFmtId="0" fontId="3" fillId="3" borderId="3" xfId="7" applyFont="1" applyFill="1" applyBorder="1" applyAlignment="1">
      <alignment horizontal="center" vertical="center" wrapText="1"/>
    </xf>
    <xf numFmtId="166" fontId="10" fillId="0" borderId="0" xfId="0" applyNumberFormat="1" applyFont="1" applyBorder="1" applyAlignment="1">
      <alignment vertical="center"/>
    </xf>
    <xf numFmtId="0" fontId="33" fillId="0" borderId="56" xfId="0" applyFont="1" applyFill="1" applyBorder="1" applyAlignment="1">
      <alignment horizontal="right" vertical="center"/>
    </xf>
    <xf numFmtId="0" fontId="19" fillId="0" borderId="48" xfId="0" applyFont="1" applyBorder="1" applyAlignment="1">
      <alignment horizontal="center" vertical="top" wrapText="1"/>
    </xf>
    <xf numFmtId="0" fontId="19" fillId="0" borderId="48" xfId="0" applyFont="1" applyBorder="1" applyAlignment="1">
      <alignment horizontal="center" vertical="top" wrapText="1"/>
    </xf>
    <xf numFmtId="0" fontId="45" fillId="0" borderId="61" xfId="0" applyFont="1" applyBorder="1" applyAlignment="1">
      <alignment horizontal="left" vertical="center"/>
    </xf>
    <xf numFmtId="0" fontId="45" fillId="0" borderId="61" xfId="0" applyFont="1" applyBorder="1" applyAlignment="1">
      <alignment horizontal="left" vertical="center" wrapText="1"/>
    </xf>
    <xf numFmtId="0" fontId="45" fillId="0" borderId="61" xfId="0" applyFont="1" applyBorder="1" applyAlignment="1">
      <alignment horizontal="center" vertical="center"/>
    </xf>
    <xf numFmtId="0" fontId="45" fillId="0" borderId="61" xfId="0" applyFont="1" applyBorder="1" applyAlignment="1">
      <alignment horizontal="center" vertical="center" wrapText="1"/>
    </xf>
    <xf numFmtId="0" fontId="1" fillId="3" borderId="3" xfId="7" applyFont="1" applyFill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top" wrapText="1"/>
    </xf>
    <xf numFmtId="0" fontId="47" fillId="0" borderId="44" xfId="0" applyFont="1" applyBorder="1" applyAlignment="1">
      <alignment horizontal="center" vertical="center"/>
    </xf>
    <xf numFmtId="0" fontId="47" fillId="0" borderId="44" xfId="0" applyFont="1" applyBorder="1" applyAlignment="1">
      <alignment horizontal="center" vertical="center" wrapText="1"/>
    </xf>
    <xf numFmtId="0" fontId="19" fillId="0" borderId="48" xfId="0" applyFont="1" applyFill="1" applyBorder="1" applyAlignment="1">
      <alignment horizontal="left" vertical="center" wrapText="1"/>
    </xf>
    <xf numFmtId="0" fontId="19" fillId="0" borderId="0" xfId="0" applyFont="1" applyBorder="1" applyAlignment="1">
      <alignment wrapText="1"/>
    </xf>
    <xf numFmtId="0" fontId="19" fillId="0" borderId="0" xfId="0" applyFont="1" applyBorder="1" applyAlignment="1"/>
    <xf numFmtId="0" fontId="19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wrapText="1"/>
    </xf>
    <xf numFmtId="0" fontId="7" fillId="0" borderId="0" xfId="7" applyFont="1" applyFill="1" applyBorder="1" applyAlignment="1">
      <alignment horizontal="center" vertical="center" wrapText="1"/>
    </xf>
    <xf numFmtId="169" fontId="7" fillId="3" borderId="67" xfId="7" applyNumberFormat="1" applyFont="1" applyFill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top" wrapText="1"/>
    </xf>
    <xf numFmtId="0" fontId="28" fillId="3" borderId="62" xfId="0" applyFont="1" applyFill="1" applyBorder="1" applyAlignment="1">
      <alignment horizontal="center" vertical="center"/>
    </xf>
    <xf numFmtId="0" fontId="7" fillId="3" borderId="63" xfId="7" applyFont="1" applyFill="1" applyBorder="1" applyAlignment="1">
      <alignment horizontal="center" vertical="center" wrapText="1"/>
    </xf>
    <xf numFmtId="0" fontId="45" fillId="3" borderId="64" xfId="0" applyFont="1" applyFill="1" applyBorder="1" applyAlignment="1">
      <alignment horizontal="left" vertical="center" wrapText="1"/>
    </xf>
    <xf numFmtId="0" fontId="5" fillId="3" borderId="65" xfId="6" applyFont="1" applyFill="1" applyBorder="1" applyAlignment="1">
      <alignment horizontal="center" vertical="center" wrapText="1"/>
    </xf>
    <xf numFmtId="1" fontId="31" fillId="3" borderId="66" xfId="5" applyNumberFormat="1" applyFont="1" applyFill="1" applyBorder="1" applyAlignment="1">
      <alignment horizontal="center" vertical="center" wrapText="1"/>
    </xf>
    <xf numFmtId="168" fontId="0" fillId="3" borderId="63" xfId="0" applyNumberFormat="1" applyFill="1" applyBorder="1" applyAlignment="1">
      <alignment horizontal="center" vertical="center"/>
    </xf>
    <xf numFmtId="0" fontId="45" fillId="3" borderId="61" xfId="0" applyFont="1" applyFill="1" applyBorder="1" applyAlignment="1">
      <alignment horizontal="left" vertical="center"/>
    </xf>
    <xf numFmtId="0" fontId="45" fillId="3" borderId="61" xfId="0" applyFont="1" applyFill="1" applyBorder="1" applyAlignment="1">
      <alignment horizontal="left" vertical="center" wrapText="1"/>
    </xf>
    <xf numFmtId="168" fontId="0" fillId="3" borderId="3" xfId="0" applyNumberForma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44" fillId="0" borderId="45" xfId="0" applyFont="1" applyBorder="1" applyAlignment="1">
      <alignment horizontal="center" vertical="center"/>
    </xf>
    <xf numFmtId="0" fontId="44" fillId="0" borderId="46" xfId="0" applyFont="1" applyBorder="1" applyAlignment="1">
      <alignment horizontal="center" vertical="center"/>
    </xf>
    <xf numFmtId="0" fontId="44" fillId="0" borderId="47" xfId="0" applyFont="1" applyBorder="1" applyAlignment="1">
      <alignment horizontal="center" vertical="center"/>
    </xf>
    <xf numFmtId="0" fontId="47" fillId="0" borderId="44" xfId="0" applyFont="1" applyBorder="1" applyAlignment="1">
      <alignment horizontal="left" vertical="center"/>
    </xf>
    <xf numFmtId="0" fontId="47" fillId="0" borderId="0" xfId="0" applyFont="1" applyBorder="1" applyAlignment="1">
      <alignment horizontal="left" vertical="center"/>
    </xf>
    <xf numFmtId="0" fontId="47" fillId="0" borderId="48" xfId="0" applyFont="1" applyBorder="1" applyAlignment="1">
      <alignment horizontal="left" vertical="center"/>
    </xf>
    <xf numFmtId="0" fontId="46" fillId="0" borderId="0" xfId="0" applyFont="1" applyBorder="1" applyAlignment="1">
      <alignment horizontal="center" vertical="top" wrapText="1"/>
    </xf>
    <xf numFmtId="0" fontId="46" fillId="0" borderId="48" xfId="0" applyFont="1" applyBorder="1" applyAlignment="1">
      <alignment horizontal="center" vertical="top" wrapText="1"/>
    </xf>
    <xf numFmtId="0" fontId="19" fillId="0" borderId="44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19" fillId="0" borderId="0" xfId="0" applyFont="1" applyBorder="1" applyAlignment="1">
      <alignment horizontal="center" vertical="top" wrapText="1"/>
    </xf>
    <xf numFmtId="0" fontId="19" fillId="0" borderId="48" xfId="0" applyFont="1" applyBorder="1" applyAlignment="1">
      <alignment horizontal="center" vertical="top" wrapText="1"/>
    </xf>
    <xf numFmtId="0" fontId="41" fillId="3" borderId="0" xfId="8" applyFont="1" applyFill="1" applyAlignment="1">
      <alignment horizontal="center" vertical="center"/>
    </xf>
    <xf numFmtId="0" fontId="19" fillId="0" borderId="0" xfId="0" applyFont="1" applyBorder="1" applyAlignment="1">
      <alignment horizontal="left" wrapText="1"/>
    </xf>
    <xf numFmtId="0" fontId="19" fillId="0" borderId="48" xfId="0" applyFont="1" applyBorder="1" applyAlignment="1">
      <alignment horizontal="left" wrapText="1"/>
    </xf>
    <xf numFmtId="0" fontId="26" fillId="3" borderId="0" xfId="0" applyFont="1" applyFill="1" applyBorder="1" applyAlignment="1">
      <alignment horizontal="left" vertical="center" wrapText="1"/>
    </xf>
    <xf numFmtId="0" fontId="23" fillId="3" borderId="0" xfId="0" applyFont="1" applyFill="1" applyAlignment="1">
      <alignment horizontal="left" wrapText="1" indent="1"/>
    </xf>
    <xf numFmtId="0" fontId="32" fillId="3" borderId="0" xfId="0" applyFont="1" applyFill="1" applyBorder="1" applyAlignment="1">
      <alignment horizontal="center" vertical="center"/>
    </xf>
    <xf numFmtId="0" fontId="34" fillId="3" borderId="8" xfId="0" applyFont="1" applyFill="1" applyBorder="1" applyAlignment="1">
      <alignment horizontal="left" vertical="center" wrapText="1"/>
    </xf>
    <xf numFmtId="0" fontId="33" fillId="3" borderId="9" xfId="0" applyFont="1" applyFill="1" applyBorder="1" applyAlignment="1">
      <alignment horizontal="left" vertical="center" wrapText="1" indent="1"/>
    </xf>
    <xf numFmtId="0" fontId="34" fillId="3" borderId="10" xfId="0" applyFont="1" applyFill="1" applyBorder="1" applyAlignment="1">
      <alignment horizontal="left" vertical="center" wrapText="1"/>
    </xf>
    <xf numFmtId="0" fontId="31" fillId="3" borderId="3" xfId="5" applyFont="1" applyFill="1" applyBorder="1" applyAlignment="1">
      <alignment horizontal="center" vertical="center" wrapText="1"/>
    </xf>
    <xf numFmtId="0" fontId="34" fillId="3" borderId="11" xfId="0" applyFont="1" applyFill="1" applyBorder="1" applyAlignment="1">
      <alignment horizontal="left" vertical="center"/>
    </xf>
    <xf numFmtId="0" fontId="33" fillId="3" borderId="12" xfId="0" applyFont="1" applyFill="1" applyBorder="1" applyAlignment="1">
      <alignment horizontal="left" vertical="center" wrapText="1" indent="1"/>
    </xf>
    <xf numFmtId="0" fontId="35" fillId="3" borderId="11" xfId="0" applyFont="1" applyFill="1" applyBorder="1" applyAlignment="1">
      <alignment horizontal="center" vertical="center"/>
    </xf>
    <xf numFmtId="0" fontId="35" fillId="3" borderId="29" xfId="0" applyFont="1" applyFill="1" applyBorder="1" applyAlignment="1">
      <alignment horizontal="center" vertical="center"/>
    </xf>
    <xf numFmtId="0" fontId="35" fillId="3" borderId="13" xfId="0" applyFont="1" applyFill="1" applyBorder="1" applyAlignment="1">
      <alignment horizontal="center" vertical="center" wrapText="1"/>
    </xf>
    <xf numFmtId="0" fontId="35" fillId="3" borderId="30" xfId="0" applyFont="1" applyFill="1" applyBorder="1" applyAlignment="1">
      <alignment horizontal="center" vertical="center" wrapText="1"/>
    </xf>
    <xf numFmtId="1" fontId="35" fillId="3" borderId="12" xfId="0" applyNumberFormat="1" applyFont="1" applyFill="1" applyBorder="1" applyAlignment="1">
      <alignment horizontal="center" vertical="center" wrapText="1"/>
    </xf>
    <xf numFmtId="1" fontId="35" fillId="3" borderId="31" xfId="0" applyNumberFormat="1" applyFont="1" applyFill="1" applyBorder="1" applyAlignment="1">
      <alignment horizontal="center" vertical="center" wrapText="1"/>
    </xf>
    <xf numFmtId="165" fontId="10" fillId="3" borderId="0" xfId="0" applyNumberFormat="1" applyFont="1" applyFill="1" applyBorder="1" applyAlignment="1">
      <alignment horizontal="center" vertical="center"/>
    </xf>
    <xf numFmtId="0" fontId="33" fillId="3" borderId="58" xfId="0" applyFont="1" applyFill="1" applyBorder="1" applyAlignment="1">
      <alignment horizontal="left" vertical="center" wrapText="1" indent="1"/>
    </xf>
    <xf numFmtId="0" fontId="33" fillId="3" borderId="59" xfId="0" applyFont="1" applyFill="1" applyBorder="1" applyAlignment="1">
      <alignment horizontal="left" vertical="center" wrapText="1" indent="1"/>
    </xf>
    <xf numFmtId="0" fontId="33" fillId="3" borderId="60" xfId="0" applyFont="1" applyFill="1" applyBorder="1" applyAlignment="1">
      <alignment horizontal="left" vertical="center" wrapText="1" indent="1"/>
    </xf>
    <xf numFmtId="166" fontId="36" fillId="3" borderId="42" xfId="0" applyNumberFormat="1" applyFont="1" applyFill="1" applyBorder="1" applyAlignment="1">
      <alignment horizontal="center" vertical="center"/>
    </xf>
    <xf numFmtId="166" fontId="36" fillId="3" borderId="41" xfId="0" applyNumberFormat="1" applyFont="1" applyFill="1" applyBorder="1" applyAlignment="1">
      <alignment horizontal="center" vertical="center"/>
    </xf>
    <xf numFmtId="0" fontId="15" fillId="0" borderId="17" xfId="0" applyFont="1" applyBorder="1" applyAlignment="1"/>
    <xf numFmtId="0" fontId="15" fillId="0" borderId="18" xfId="0" applyFont="1" applyFill="1" applyBorder="1" applyAlignment="1">
      <alignment horizontal="left" vertical="center" wrapText="1" indent="1"/>
    </xf>
    <xf numFmtId="0" fontId="17" fillId="0" borderId="16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indent="1"/>
    </xf>
    <xf numFmtId="0" fontId="16" fillId="0" borderId="6" xfId="0" applyFont="1" applyBorder="1" applyAlignment="1">
      <alignment horizontal="left"/>
    </xf>
    <xf numFmtId="0" fontId="0" fillId="0" borderId="14" xfId="0" applyFont="1" applyBorder="1" applyAlignment="1">
      <alignment horizontal="center"/>
    </xf>
    <xf numFmtId="3" fontId="13" fillId="0" borderId="15" xfId="0" applyNumberFormat="1" applyFont="1" applyBorder="1" applyAlignment="1">
      <alignment horizontal="center"/>
    </xf>
    <xf numFmtId="0" fontId="14" fillId="0" borderId="6" xfId="0" applyFont="1" applyBorder="1" applyAlignment="1">
      <alignment horizontal="center" vertical="center" wrapText="1"/>
    </xf>
    <xf numFmtId="0" fontId="10" fillId="0" borderId="6" xfId="0" applyFont="1" applyBorder="1" applyAlignment="1"/>
    <xf numFmtId="0" fontId="17" fillId="0" borderId="6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5" fillId="0" borderId="25" xfId="0" applyFont="1" applyFill="1" applyBorder="1" applyAlignment="1">
      <alignment horizontal="left" vertical="center" wrapText="1" indent="1"/>
    </xf>
    <xf numFmtId="0" fontId="43" fillId="0" borderId="25" xfId="0" applyFont="1" applyBorder="1" applyAlignment="1">
      <alignment horizontal="left" vertical="center" wrapText="1"/>
    </xf>
    <xf numFmtId="0" fontId="18" fillId="0" borderId="16" xfId="0" applyFont="1" applyBorder="1" applyAlignment="1"/>
    <xf numFmtId="0" fontId="0" fillId="0" borderId="16" xfId="0" applyBorder="1" applyAlignment="1"/>
    <xf numFmtId="0" fontId="18" fillId="0" borderId="37" xfId="0" applyFont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18" fillId="0" borderId="34" xfId="0" applyFont="1" applyBorder="1" applyAlignment="1">
      <alignment horizontal="left" vertical="center" wrapText="1"/>
    </xf>
    <xf numFmtId="0" fontId="0" fillId="0" borderId="34" xfId="0" applyFont="1" applyBorder="1" applyAlignment="1">
      <alignment horizontal="left" vertical="center" wrapText="1"/>
    </xf>
    <xf numFmtId="0" fontId="13" fillId="0" borderId="14" xfId="0" applyFont="1" applyBorder="1" applyAlignment="1">
      <alignment vertical="center" wrapText="1"/>
    </xf>
    <xf numFmtId="0" fontId="13" fillId="0" borderId="26" xfId="0" applyFont="1" applyBorder="1" applyAlignment="1">
      <alignment vertical="center" wrapText="1"/>
    </xf>
    <xf numFmtId="0" fontId="13" fillId="0" borderId="12" xfId="0" applyFont="1" applyBorder="1" applyAlignment="1">
      <alignment vertical="center" wrapText="1"/>
    </xf>
    <xf numFmtId="0" fontId="15" fillId="0" borderId="21" xfId="0" applyFont="1" applyBorder="1" applyAlignment="1">
      <alignment vertical="center" wrapText="1"/>
    </xf>
    <xf numFmtId="0" fontId="31" fillId="8" borderId="2" xfId="5" applyFont="1" applyFill="1" applyBorder="1" applyAlignment="1">
      <alignment horizontal="center" vertical="center"/>
    </xf>
    <xf numFmtId="0" fontId="31" fillId="8" borderId="32" xfId="5" applyFont="1" applyFill="1" applyBorder="1" applyAlignment="1">
      <alignment horizontal="center" vertical="center" wrapText="1"/>
    </xf>
    <xf numFmtId="0" fontId="31" fillId="8" borderId="3" xfId="5" applyFont="1" applyFill="1" applyBorder="1" applyAlignment="1">
      <alignment horizontal="center" vertical="center" wrapText="1"/>
    </xf>
    <xf numFmtId="0" fontId="31" fillId="8" borderId="3" xfId="5" applyFont="1" applyFill="1" applyBorder="1" applyAlignment="1">
      <alignment horizontal="center" vertical="center"/>
    </xf>
    <xf numFmtId="0" fontId="31" fillId="8" borderId="3" xfId="5" applyFont="1" applyFill="1" applyBorder="1" applyAlignment="1">
      <alignment horizontal="center" wrapText="1"/>
    </xf>
    <xf numFmtId="166" fontId="31" fillId="8" borderId="3" xfId="6" applyNumberFormat="1" applyFont="1" applyFill="1" applyBorder="1" applyAlignment="1" applyProtection="1">
      <alignment horizontal="center" vertical="center" wrapText="1"/>
    </xf>
    <xf numFmtId="1" fontId="31" fillId="8" borderId="4" xfId="5" applyNumberFormat="1" applyFont="1" applyFill="1" applyBorder="1" applyAlignment="1">
      <alignment horizontal="center" vertical="center"/>
    </xf>
  </cellXfs>
  <cellStyles count="10">
    <cellStyle name="20% - Énfasis2" xfId="7" builtinId="34"/>
    <cellStyle name="20% - Énfasis5" xfId="8" builtinId="46"/>
    <cellStyle name="Bueno" xfId="5" builtinId="26"/>
    <cellStyle name="Encabezado 1" xfId="1" xr:uid="{00000000-0005-0000-0000-000003000000}"/>
    <cellStyle name="Incorrecto" xfId="6" builtinId="27"/>
    <cellStyle name="Moneda 2" xfId="4" xr:uid="{00000000-0005-0000-0000-000005000000}"/>
    <cellStyle name="Moneda_AUTORIZACION Y NOTA DE PEDIDO" xfId="2" xr:uid="{00000000-0005-0000-0000-000006000000}"/>
    <cellStyle name="Neutral 1" xfId="3" xr:uid="{00000000-0005-0000-0000-000007000000}"/>
    <cellStyle name="Normal" xfId="0" builtinId="0"/>
    <cellStyle name="Normal 5" xfId="9" xr:uid="{00000000-0005-0000-0000-000009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76"/>
  <sheetViews>
    <sheetView tabSelected="1" topLeftCell="A96" zoomScale="75" zoomScaleNormal="75" workbookViewId="0">
      <selection activeCell="I78" sqref="I78"/>
    </sheetView>
  </sheetViews>
  <sheetFormatPr baseColWidth="10" defaultColWidth="11" defaultRowHeight="12.75" x14ac:dyDescent="0.2"/>
  <cols>
    <col min="1" max="1" width="7" style="71" customWidth="1"/>
    <col min="2" max="2" width="19.5703125" style="30" customWidth="1"/>
    <col min="3" max="3" width="25" style="77" customWidth="1"/>
    <col min="4" max="4" width="12.140625" style="30" customWidth="1"/>
    <col min="5" max="5" width="79" style="96" customWidth="1"/>
    <col min="6" max="6" width="17.85546875" style="30" bestFit="1" customWidth="1"/>
    <col min="7" max="7" width="12.7109375" style="71" customWidth="1"/>
    <col min="8" max="8" width="13.85546875" style="62" customWidth="1"/>
    <col min="9" max="9" width="30" style="75" customWidth="1"/>
    <col min="10" max="16384" width="11" style="18"/>
  </cols>
  <sheetData>
    <row r="2" spans="1:9" ht="27" x14ac:dyDescent="0.35">
      <c r="E2" s="84" t="s">
        <v>0</v>
      </c>
      <c r="F2" s="34"/>
      <c r="G2" s="67"/>
      <c r="I2" s="74"/>
    </row>
    <row r="4" spans="1:9" ht="18" customHeight="1" x14ac:dyDescent="0.25">
      <c r="A4" s="147" t="s">
        <v>1</v>
      </c>
      <c r="B4" s="147"/>
      <c r="C4" s="147"/>
      <c r="D4" s="147"/>
      <c r="E4" s="148" t="s">
        <v>57</v>
      </c>
      <c r="F4" s="148"/>
      <c r="G4" s="148"/>
    </row>
    <row r="5" spans="1:9" ht="18" customHeight="1" x14ac:dyDescent="0.25">
      <c r="A5" s="147" t="s">
        <v>2</v>
      </c>
      <c r="B5" s="147"/>
      <c r="C5" s="147"/>
      <c r="D5" s="147"/>
      <c r="E5" s="148" t="s">
        <v>53</v>
      </c>
      <c r="F5" s="148"/>
      <c r="G5" s="148"/>
    </row>
    <row r="6" spans="1:9" ht="16.5" customHeight="1" x14ac:dyDescent="0.25">
      <c r="A6" s="147" t="s">
        <v>3</v>
      </c>
      <c r="B6" s="147"/>
      <c r="C6" s="147"/>
      <c r="D6" s="147"/>
      <c r="E6" s="85">
        <v>2022</v>
      </c>
      <c r="F6" s="33"/>
      <c r="G6" s="68"/>
    </row>
    <row r="7" spans="1:9" ht="16.5" customHeight="1" x14ac:dyDescent="0.25">
      <c r="A7" s="147" t="s">
        <v>62</v>
      </c>
      <c r="B7" s="147"/>
      <c r="C7" s="147"/>
      <c r="D7" s="147"/>
      <c r="E7" s="85" t="s">
        <v>110</v>
      </c>
      <c r="F7" s="33"/>
      <c r="G7" s="68"/>
    </row>
    <row r="8" spans="1:9" ht="13.5" thickBot="1" x14ac:dyDescent="0.25">
      <c r="E8" s="86"/>
      <c r="F8" s="31"/>
      <c r="G8" s="69"/>
    </row>
    <row r="9" spans="1:9" ht="39" thickBot="1" x14ac:dyDescent="0.25">
      <c r="A9" s="58" t="s">
        <v>4</v>
      </c>
      <c r="B9" s="59" t="s">
        <v>5</v>
      </c>
      <c r="C9" s="59" t="s">
        <v>51</v>
      </c>
      <c r="D9" s="59" t="s">
        <v>52</v>
      </c>
      <c r="E9" s="87" t="s">
        <v>6</v>
      </c>
      <c r="F9" s="59" t="s">
        <v>7</v>
      </c>
      <c r="G9" s="60" t="s">
        <v>8</v>
      </c>
      <c r="H9" s="65" t="s">
        <v>9</v>
      </c>
      <c r="I9" s="61" t="s">
        <v>10</v>
      </c>
    </row>
    <row r="10" spans="1:9" s="24" customFormat="1" ht="39" thickBot="1" x14ac:dyDescent="0.25">
      <c r="A10" s="72">
        <v>1</v>
      </c>
      <c r="B10" s="104" t="s">
        <v>69</v>
      </c>
      <c r="C10" s="105" t="s">
        <v>70</v>
      </c>
      <c r="D10" s="83">
        <v>295</v>
      </c>
      <c r="E10" s="107" t="s">
        <v>71</v>
      </c>
      <c r="F10" s="32" t="s">
        <v>11</v>
      </c>
      <c r="G10" s="70">
        <v>50</v>
      </c>
      <c r="H10" s="82">
        <v>12</v>
      </c>
      <c r="I10" s="64">
        <f>+H10*G10</f>
        <v>600</v>
      </c>
    </row>
    <row r="11" spans="1:9" s="24" customFormat="1" ht="39" thickBot="1" x14ac:dyDescent="0.25">
      <c r="A11" s="73">
        <v>2</v>
      </c>
      <c r="B11" s="104" t="s">
        <v>72</v>
      </c>
      <c r="C11" s="105" t="s">
        <v>70</v>
      </c>
      <c r="D11" s="83">
        <v>295</v>
      </c>
      <c r="E11" s="107" t="s">
        <v>73</v>
      </c>
      <c r="F11" s="99" t="s">
        <v>11</v>
      </c>
      <c r="G11" s="70">
        <v>50</v>
      </c>
      <c r="H11" s="82">
        <v>12</v>
      </c>
      <c r="I11" s="64">
        <f t="shared" ref="I11:I30" si="0">+H11*G11</f>
        <v>600</v>
      </c>
    </row>
    <row r="12" spans="1:9" ht="39" thickBot="1" x14ac:dyDescent="0.25">
      <c r="A12" s="72">
        <v>3</v>
      </c>
      <c r="B12" s="104" t="s">
        <v>74</v>
      </c>
      <c r="C12" s="105" t="s">
        <v>70</v>
      </c>
      <c r="D12" s="83">
        <v>295</v>
      </c>
      <c r="E12" s="107" t="s">
        <v>75</v>
      </c>
      <c r="F12" s="108" t="s">
        <v>11</v>
      </c>
      <c r="G12" s="70">
        <v>180</v>
      </c>
      <c r="H12" s="82">
        <v>67</v>
      </c>
      <c r="I12" s="64">
        <f t="shared" si="0"/>
        <v>12060</v>
      </c>
    </row>
    <row r="13" spans="1:9" ht="39" thickBot="1" x14ac:dyDescent="0.25">
      <c r="A13" s="72">
        <v>4</v>
      </c>
      <c r="B13" s="104" t="s">
        <v>76</v>
      </c>
      <c r="C13" s="105" t="s">
        <v>70</v>
      </c>
      <c r="D13" s="83">
        <v>295</v>
      </c>
      <c r="E13" s="107" t="s">
        <v>77</v>
      </c>
      <c r="F13" s="108" t="s">
        <v>11</v>
      </c>
      <c r="G13" s="70">
        <v>950</v>
      </c>
      <c r="H13" s="82">
        <v>37.5</v>
      </c>
      <c r="I13" s="64">
        <f t="shared" si="0"/>
        <v>35625</v>
      </c>
    </row>
    <row r="14" spans="1:9" ht="39" thickBot="1" x14ac:dyDescent="0.25">
      <c r="A14" s="72">
        <v>5</v>
      </c>
      <c r="B14" s="104" t="s">
        <v>78</v>
      </c>
      <c r="C14" s="105" t="s">
        <v>70</v>
      </c>
      <c r="D14" s="83">
        <v>295</v>
      </c>
      <c r="E14" s="106" t="s">
        <v>79</v>
      </c>
      <c r="F14" s="32" t="s">
        <v>11</v>
      </c>
      <c r="G14" s="70">
        <v>50</v>
      </c>
      <c r="H14" s="82">
        <v>45</v>
      </c>
      <c r="I14" s="64">
        <f t="shared" si="0"/>
        <v>2250</v>
      </c>
    </row>
    <row r="15" spans="1:9" ht="39" thickBot="1" x14ac:dyDescent="0.25">
      <c r="A15" s="73">
        <v>6</v>
      </c>
      <c r="B15" s="104" t="s">
        <v>80</v>
      </c>
      <c r="C15" s="105" t="s">
        <v>70</v>
      </c>
      <c r="D15" s="83">
        <v>295</v>
      </c>
      <c r="E15" s="107" t="s">
        <v>81</v>
      </c>
      <c r="F15" s="32" t="s">
        <v>11</v>
      </c>
      <c r="G15" s="70">
        <v>1000</v>
      </c>
      <c r="H15" s="82">
        <v>85</v>
      </c>
      <c r="I15" s="64">
        <f t="shared" si="0"/>
        <v>85000</v>
      </c>
    </row>
    <row r="16" spans="1:9" customFormat="1" ht="39" thickBot="1" x14ac:dyDescent="0.25">
      <c r="A16" s="72">
        <v>7</v>
      </c>
      <c r="B16" s="104" t="s">
        <v>82</v>
      </c>
      <c r="C16" s="105" t="s">
        <v>70</v>
      </c>
      <c r="D16" s="98">
        <v>295</v>
      </c>
      <c r="E16" s="107" t="s">
        <v>83</v>
      </c>
      <c r="F16" s="97" t="s">
        <v>11</v>
      </c>
      <c r="G16" s="70">
        <v>1000</v>
      </c>
      <c r="H16" s="82">
        <v>85</v>
      </c>
      <c r="I16" s="64">
        <f t="shared" si="0"/>
        <v>85000</v>
      </c>
    </row>
    <row r="17" spans="1:10" ht="39" thickBot="1" x14ac:dyDescent="0.25">
      <c r="A17" s="72">
        <v>8</v>
      </c>
      <c r="B17" s="104" t="s">
        <v>84</v>
      </c>
      <c r="C17" s="105" t="s">
        <v>70</v>
      </c>
      <c r="D17" s="83">
        <v>295</v>
      </c>
      <c r="E17" s="107" t="s">
        <v>85</v>
      </c>
      <c r="F17" s="32" t="s">
        <v>11</v>
      </c>
      <c r="G17" s="70">
        <v>1400</v>
      </c>
      <c r="H17" s="82">
        <v>85</v>
      </c>
      <c r="I17" s="64">
        <f t="shared" si="0"/>
        <v>119000</v>
      </c>
    </row>
    <row r="18" spans="1:10" ht="39" thickBot="1" x14ac:dyDescent="0.25">
      <c r="A18" s="72">
        <v>9</v>
      </c>
      <c r="B18" s="104" t="s">
        <v>86</v>
      </c>
      <c r="C18" s="105" t="s">
        <v>70</v>
      </c>
      <c r="D18" s="83">
        <v>295</v>
      </c>
      <c r="E18" s="107" t="s">
        <v>87</v>
      </c>
      <c r="F18" s="99" t="s">
        <v>11</v>
      </c>
      <c r="G18" s="70">
        <v>300</v>
      </c>
      <c r="H18" s="82">
        <v>85</v>
      </c>
      <c r="I18" s="64">
        <f t="shared" si="0"/>
        <v>25500</v>
      </c>
    </row>
    <row r="19" spans="1:10" ht="39" thickBot="1" x14ac:dyDescent="0.25">
      <c r="A19" s="73">
        <v>10</v>
      </c>
      <c r="B19" s="104" t="s">
        <v>88</v>
      </c>
      <c r="C19" s="105" t="s">
        <v>70</v>
      </c>
      <c r="D19" s="83">
        <v>295</v>
      </c>
      <c r="E19" s="107" t="s">
        <v>89</v>
      </c>
      <c r="F19" s="99" t="s">
        <v>11</v>
      </c>
      <c r="G19" s="70">
        <v>100</v>
      </c>
      <c r="H19" s="82">
        <v>2004</v>
      </c>
      <c r="I19" s="64">
        <f t="shared" si="0"/>
        <v>200400</v>
      </c>
    </row>
    <row r="20" spans="1:10" ht="39" thickBot="1" x14ac:dyDescent="0.25">
      <c r="A20" s="72">
        <v>11</v>
      </c>
      <c r="B20" s="104" t="s">
        <v>90</v>
      </c>
      <c r="C20" s="105" t="s">
        <v>70</v>
      </c>
      <c r="D20" s="83">
        <v>295</v>
      </c>
      <c r="E20" s="107" t="s">
        <v>91</v>
      </c>
      <c r="F20" s="32" t="s">
        <v>11</v>
      </c>
      <c r="G20" s="70">
        <v>600</v>
      </c>
      <c r="H20" s="82">
        <v>68.5</v>
      </c>
      <c r="I20" s="64">
        <f t="shared" si="0"/>
        <v>41100</v>
      </c>
    </row>
    <row r="21" spans="1:10" ht="39" thickBot="1" x14ac:dyDescent="0.25">
      <c r="A21" s="72">
        <v>12</v>
      </c>
      <c r="B21" s="126" t="s">
        <v>92</v>
      </c>
      <c r="C21" s="127" t="s">
        <v>70</v>
      </c>
      <c r="D21" s="83">
        <v>295</v>
      </c>
      <c r="E21" s="127" t="s">
        <v>93</v>
      </c>
      <c r="F21" s="32" t="s">
        <v>11</v>
      </c>
      <c r="G21" s="70">
        <v>500</v>
      </c>
      <c r="H21" s="128">
        <v>255</v>
      </c>
      <c r="I21" s="64">
        <f t="shared" ref="I21" si="1">+H21*G21</f>
        <v>127500</v>
      </c>
      <c r="J21" s="117"/>
    </row>
    <row r="22" spans="1:10" ht="39" thickBot="1" x14ac:dyDescent="0.25">
      <c r="A22" s="73">
        <v>13</v>
      </c>
      <c r="B22" s="105" t="s">
        <v>94</v>
      </c>
      <c r="C22" s="105" t="s">
        <v>70</v>
      </c>
      <c r="D22" s="83">
        <v>295</v>
      </c>
      <c r="E22" s="107" t="s">
        <v>95</v>
      </c>
      <c r="F22" s="99" t="s">
        <v>11</v>
      </c>
      <c r="G22" s="70">
        <v>1000</v>
      </c>
      <c r="H22" s="82">
        <v>35</v>
      </c>
      <c r="I22" s="64">
        <f t="shared" si="0"/>
        <v>35000</v>
      </c>
    </row>
    <row r="23" spans="1:10" ht="39" thickBot="1" x14ac:dyDescent="0.25">
      <c r="A23" s="72">
        <v>14</v>
      </c>
      <c r="B23" s="104" t="s">
        <v>96</v>
      </c>
      <c r="C23" s="105" t="s">
        <v>70</v>
      </c>
      <c r="D23" s="83">
        <v>295</v>
      </c>
      <c r="E23" s="104" t="s">
        <v>97</v>
      </c>
      <c r="F23" s="99" t="s">
        <v>11</v>
      </c>
      <c r="G23" s="70">
        <v>50</v>
      </c>
      <c r="H23" s="82">
        <v>380</v>
      </c>
      <c r="I23" s="64">
        <f t="shared" si="0"/>
        <v>19000</v>
      </c>
    </row>
    <row r="24" spans="1:10" ht="39" thickBot="1" x14ac:dyDescent="0.25">
      <c r="A24" s="72">
        <v>15</v>
      </c>
      <c r="B24" s="104" t="s">
        <v>98</v>
      </c>
      <c r="C24" s="105" t="s">
        <v>70</v>
      </c>
      <c r="D24" s="83">
        <v>295</v>
      </c>
      <c r="E24" s="104" t="s">
        <v>99</v>
      </c>
      <c r="F24" s="32" t="s">
        <v>11</v>
      </c>
      <c r="G24" s="70">
        <v>50</v>
      </c>
      <c r="H24" s="82">
        <v>380</v>
      </c>
      <c r="I24" s="64">
        <f t="shared" si="0"/>
        <v>19000</v>
      </c>
    </row>
    <row r="25" spans="1:10" ht="39" thickBot="1" x14ac:dyDescent="0.25">
      <c r="A25" s="72">
        <v>16</v>
      </c>
      <c r="B25" s="104" t="s">
        <v>100</v>
      </c>
      <c r="C25" s="105" t="s">
        <v>70</v>
      </c>
      <c r="D25" s="83">
        <v>295</v>
      </c>
      <c r="E25" s="104" t="s">
        <v>101</v>
      </c>
      <c r="F25" s="32" t="s">
        <v>11</v>
      </c>
      <c r="G25" s="70">
        <v>150</v>
      </c>
      <c r="H25" s="82">
        <v>48</v>
      </c>
      <c r="I25" s="64">
        <f t="shared" si="0"/>
        <v>7200</v>
      </c>
    </row>
    <row r="26" spans="1:10" ht="39" thickBot="1" x14ac:dyDescent="0.25">
      <c r="A26" s="73">
        <v>17</v>
      </c>
      <c r="B26" s="104" t="s">
        <v>102</v>
      </c>
      <c r="C26" s="105" t="s">
        <v>70</v>
      </c>
      <c r="D26" s="83">
        <v>295</v>
      </c>
      <c r="E26" s="104" t="s">
        <v>103</v>
      </c>
      <c r="F26" s="32" t="s">
        <v>11</v>
      </c>
      <c r="G26" s="70">
        <v>150</v>
      </c>
      <c r="H26" s="82">
        <v>48</v>
      </c>
      <c r="I26" s="64">
        <f t="shared" si="0"/>
        <v>7200</v>
      </c>
    </row>
    <row r="27" spans="1:10" ht="39" thickBot="1" x14ac:dyDescent="0.25">
      <c r="A27" s="72">
        <v>18</v>
      </c>
      <c r="B27" s="104" t="s">
        <v>104</v>
      </c>
      <c r="C27" s="105" t="s">
        <v>70</v>
      </c>
      <c r="D27" s="83">
        <v>295</v>
      </c>
      <c r="E27" s="104" t="s">
        <v>105</v>
      </c>
      <c r="F27" s="32" t="s">
        <v>11</v>
      </c>
      <c r="G27" s="70">
        <v>2000</v>
      </c>
      <c r="H27" s="82">
        <v>48</v>
      </c>
      <c r="I27" s="64">
        <f t="shared" si="0"/>
        <v>96000</v>
      </c>
    </row>
    <row r="28" spans="1:10" ht="39" thickBot="1" x14ac:dyDescent="0.25">
      <c r="A28" s="72">
        <v>19</v>
      </c>
      <c r="B28" s="104" t="s">
        <v>106</v>
      </c>
      <c r="C28" s="105" t="s">
        <v>70</v>
      </c>
      <c r="D28" s="83">
        <v>295</v>
      </c>
      <c r="E28" s="104" t="s">
        <v>107</v>
      </c>
      <c r="F28" s="32" t="s">
        <v>11</v>
      </c>
      <c r="G28" s="70">
        <v>1200</v>
      </c>
      <c r="H28" s="82">
        <v>48</v>
      </c>
      <c r="I28" s="64">
        <f t="shared" si="0"/>
        <v>57600</v>
      </c>
    </row>
    <row r="29" spans="1:10" ht="39" thickBot="1" x14ac:dyDescent="0.25">
      <c r="A29" s="72">
        <v>20</v>
      </c>
      <c r="B29" s="104" t="s">
        <v>108</v>
      </c>
      <c r="C29" s="105" t="s">
        <v>70</v>
      </c>
      <c r="D29" s="83">
        <v>295</v>
      </c>
      <c r="E29" s="104" t="s">
        <v>109</v>
      </c>
      <c r="F29" s="32" t="s">
        <v>11</v>
      </c>
      <c r="G29" s="70">
        <v>1000</v>
      </c>
      <c r="H29" s="82">
        <v>85</v>
      </c>
      <c r="I29" s="64">
        <f t="shared" si="0"/>
        <v>85000</v>
      </c>
    </row>
    <row r="30" spans="1:10" ht="39" thickBot="1" x14ac:dyDescent="0.25">
      <c r="A30" s="120">
        <v>21</v>
      </c>
      <c r="B30" s="104" t="s">
        <v>122</v>
      </c>
      <c r="C30" s="122" t="s">
        <v>70</v>
      </c>
      <c r="D30" s="123">
        <v>295</v>
      </c>
      <c r="E30" s="107" t="s">
        <v>123</v>
      </c>
      <c r="F30" s="121" t="s">
        <v>11</v>
      </c>
      <c r="G30" s="124">
        <v>600</v>
      </c>
      <c r="H30" s="125">
        <v>22</v>
      </c>
      <c r="I30" s="118">
        <f t="shared" si="0"/>
        <v>13200</v>
      </c>
    </row>
    <row r="31" spans="1:10" ht="15.75" x14ac:dyDescent="0.25">
      <c r="A31" s="37"/>
      <c r="B31" s="63"/>
      <c r="E31" s="88"/>
      <c r="I31" s="76"/>
    </row>
    <row r="32" spans="1:10" x14ac:dyDescent="0.2">
      <c r="A32" s="37"/>
      <c r="B32" s="18"/>
      <c r="D32" s="18"/>
      <c r="E32" s="89"/>
      <c r="F32" s="18"/>
      <c r="I32" s="76"/>
    </row>
    <row r="33" spans="1:9" ht="13.5" customHeight="1" thickBot="1" x14ac:dyDescent="0.25">
      <c r="A33" s="37"/>
      <c r="B33" s="66"/>
      <c r="C33" s="78"/>
      <c r="D33" s="36"/>
      <c r="E33" s="90"/>
      <c r="F33" s="18"/>
      <c r="G33" s="144"/>
      <c r="H33" s="18"/>
      <c r="I33" s="18"/>
    </row>
    <row r="34" spans="1:9" ht="15" customHeight="1" x14ac:dyDescent="0.2">
      <c r="A34" s="37"/>
      <c r="B34" s="131" t="s">
        <v>114</v>
      </c>
      <c r="C34" s="132"/>
      <c r="D34" s="132"/>
      <c r="E34" s="133"/>
      <c r="F34" s="18"/>
      <c r="G34" s="144"/>
      <c r="H34" s="18"/>
      <c r="I34" s="18"/>
    </row>
    <row r="35" spans="1:9" ht="15" customHeight="1" x14ac:dyDescent="0.2">
      <c r="A35" s="37"/>
      <c r="B35" s="38"/>
      <c r="C35" s="80"/>
      <c r="D35" s="81"/>
      <c r="E35" s="91"/>
      <c r="F35" s="18"/>
      <c r="G35" s="144"/>
      <c r="H35" s="18"/>
      <c r="I35" s="18"/>
    </row>
    <row r="36" spans="1:9" ht="15" customHeight="1" x14ac:dyDescent="0.2">
      <c r="A36" s="37"/>
      <c r="B36" s="134" t="s">
        <v>120</v>
      </c>
      <c r="C36" s="135"/>
      <c r="D36" s="135"/>
      <c r="E36" s="136"/>
      <c r="F36" s="18"/>
      <c r="G36" s="144"/>
      <c r="H36" s="18"/>
      <c r="I36" s="18"/>
    </row>
    <row r="37" spans="1:9" ht="27" customHeight="1" x14ac:dyDescent="0.2">
      <c r="A37" s="37"/>
      <c r="B37" s="39"/>
      <c r="C37" s="142" t="s">
        <v>63</v>
      </c>
      <c r="D37" s="142"/>
      <c r="E37" s="143"/>
      <c r="F37" s="18"/>
      <c r="G37" s="144"/>
      <c r="H37" s="18"/>
      <c r="I37" s="18"/>
    </row>
    <row r="38" spans="1:9" ht="32.25" customHeight="1" x14ac:dyDescent="0.2">
      <c r="A38" s="37"/>
      <c r="B38" s="111" t="s">
        <v>59</v>
      </c>
      <c r="C38" s="129" t="s">
        <v>117</v>
      </c>
      <c r="D38" s="129"/>
      <c r="E38" s="130"/>
      <c r="F38" s="18"/>
      <c r="G38" s="144"/>
      <c r="H38" s="18"/>
      <c r="I38" s="18"/>
    </row>
    <row r="39" spans="1:9" ht="15" customHeight="1" x14ac:dyDescent="0.2">
      <c r="A39" s="37"/>
      <c r="B39" s="139"/>
      <c r="C39" s="140"/>
      <c r="D39" s="140"/>
      <c r="E39" s="141"/>
      <c r="F39" s="18"/>
      <c r="G39" s="144"/>
      <c r="H39" s="18"/>
      <c r="I39" s="18"/>
    </row>
    <row r="40" spans="1:9" ht="24.75" customHeight="1" x14ac:dyDescent="0.2">
      <c r="A40" s="37"/>
      <c r="B40" s="110" t="s">
        <v>60</v>
      </c>
      <c r="C40" s="129" t="s">
        <v>61</v>
      </c>
      <c r="D40" s="129"/>
      <c r="E40" s="130"/>
      <c r="F40" s="18"/>
      <c r="G40" s="144"/>
      <c r="H40" s="18"/>
      <c r="I40" s="18"/>
    </row>
    <row r="41" spans="1:9" ht="15" customHeight="1" x14ac:dyDescent="0.2">
      <c r="A41" s="37"/>
      <c r="B41" s="38"/>
      <c r="C41" s="113"/>
      <c r="D41" s="114"/>
      <c r="E41" s="92"/>
      <c r="F41" s="18"/>
      <c r="G41" s="144"/>
      <c r="H41" s="18"/>
      <c r="I41" s="18"/>
    </row>
    <row r="42" spans="1:9" ht="30" customHeight="1" x14ac:dyDescent="0.2">
      <c r="A42" s="37"/>
      <c r="B42" s="111" t="s">
        <v>54</v>
      </c>
      <c r="C42" s="129"/>
      <c r="D42" s="129"/>
      <c r="E42" s="130"/>
      <c r="F42" s="18"/>
      <c r="G42" s="144"/>
      <c r="H42" s="18"/>
      <c r="I42" s="18"/>
    </row>
    <row r="43" spans="1:9" ht="12.75" customHeight="1" x14ac:dyDescent="0.2">
      <c r="A43" s="37"/>
      <c r="B43" s="38"/>
      <c r="C43" s="113"/>
      <c r="D43" s="113"/>
      <c r="E43" s="93"/>
      <c r="F43" s="18"/>
      <c r="G43" s="144"/>
      <c r="H43" s="18"/>
      <c r="I43" s="18"/>
    </row>
    <row r="44" spans="1:9" ht="15" customHeight="1" x14ac:dyDescent="0.2">
      <c r="A44" s="37"/>
      <c r="B44" s="110" t="s">
        <v>55</v>
      </c>
      <c r="C44" s="115"/>
      <c r="D44" s="145" t="s">
        <v>121</v>
      </c>
      <c r="E44" s="146"/>
      <c r="F44" s="18"/>
      <c r="G44" s="144"/>
      <c r="H44" s="18"/>
      <c r="I44" s="18"/>
    </row>
    <row r="45" spans="1:9" ht="15" customHeight="1" x14ac:dyDescent="0.2">
      <c r="A45" s="37"/>
      <c r="B45" s="38"/>
      <c r="C45" s="113"/>
      <c r="D45" s="113"/>
      <c r="E45" s="93"/>
      <c r="F45" s="18"/>
      <c r="G45" s="144"/>
      <c r="H45" s="18"/>
      <c r="I45" s="18"/>
    </row>
    <row r="46" spans="1:9" ht="15" customHeight="1" x14ac:dyDescent="0.2">
      <c r="A46" s="37"/>
      <c r="B46" s="110" t="s">
        <v>56</v>
      </c>
      <c r="C46" s="80"/>
      <c r="D46" s="81"/>
      <c r="E46" s="91"/>
      <c r="F46" s="18"/>
      <c r="G46" s="144"/>
      <c r="H46" s="18"/>
      <c r="I46" s="18"/>
    </row>
    <row r="47" spans="1:9" ht="15" customHeight="1" x14ac:dyDescent="0.2">
      <c r="A47" s="37"/>
      <c r="B47" s="39"/>
      <c r="C47" s="113"/>
      <c r="D47" s="114"/>
      <c r="E47" s="92"/>
      <c r="F47" s="18"/>
      <c r="G47" s="144"/>
      <c r="H47" s="18"/>
      <c r="I47" s="18"/>
    </row>
    <row r="48" spans="1:9" ht="12.75" customHeight="1" thickBot="1" x14ac:dyDescent="0.25">
      <c r="A48" s="37"/>
      <c r="B48" s="40"/>
      <c r="C48" s="79"/>
      <c r="D48" s="35"/>
      <c r="E48" s="94"/>
      <c r="F48" s="18"/>
      <c r="G48" s="144"/>
      <c r="H48" s="18"/>
      <c r="I48" s="18"/>
    </row>
    <row r="49" spans="1:9" ht="12.75" customHeight="1" thickBot="1" x14ac:dyDescent="0.25">
      <c r="A49" s="37"/>
      <c r="B49" s="66"/>
      <c r="C49" s="80"/>
      <c r="D49" s="81"/>
      <c r="E49" s="95"/>
      <c r="F49" s="18"/>
      <c r="G49" s="144"/>
      <c r="H49" s="18"/>
      <c r="I49" s="18"/>
    </row>
    <row r="50" spans="1:9" ht="15.75" x14ac:dyDescent="0.2">
      <c r="B50" s="131" t="s">
        <v>115</v>
      </c>
      <c r="C50" s="132"/>
      <c r="D50" s="132"/>
      <c r="E50" s="133"/>
      <c r="I50" s="76"/>
    </row>
    <row r="51" spans="1:9" x14ac:dyDescent="0.2">
      <c r="B51" s="38"/>
      <c r="C51" s="80"/>
      <c r="D51" s="81"/>
      <c r="E51" s="91"/>
      <c r="I51" s="76"/>
    </row>
    <row r="52" spans="1:9" x14ac:dyDescent="0.2">
      <c r="B52" s="134" t="s">
        <v>116</v>
      </c>
      <c r="C52" s="135"/>
      <c r="D52" s="135"/>
      <c r="E52" s="136"/>
      <c r="I52" s="76"/>
    </row>
    <row r="53" spans="1:9" ht="12.75" customHeight="1" x14ac:dyDescent="0.2">
      <c r="B53" s="39"/>
      <c r="C53" s="137" t="s">
        <v>124</v>
      </c>
      <c r="D53" s="137"/>
      <c r="E53" s="138"/>
      <c r="I53" s="76"/>
    </row>
    <row r="54" spans="1:9" x14ac:dyDescent="0.2">
      <c r="B54" s="39"/>
      <c r="C54" s="109"/>
      <c r="D54" s="109"/>
      <c r="E54" s="102"/>
      <c r="I54" s="76"/>
    </row>
    <row r="55" spans="1:9" x14ac:dyDescent="0.2">
      <c r="B55" s="39"/>
      <c r="C55" s="109"/>
      <c r="D55" s="109"/>
      <c r="E55" s="102"/>
      <c r="I55" s="76"/>
    </row>
    <row r="56" spans="1:9" ht="26.25" customHeight="1" x14ac:dyDescent="0.2">
      <c r="B56" s="111" t="s">
        <v>59</v>
      </c>
      <c r="C56" s="129" t="s">
        <v>117</v>
      </c>
      <c r="D56" s="129"/>
      <c r="E56" s="130"/>
      <c r="I56" s="76"/>
    </row>
    <row r="57" spans="1:9" ht="27" customHeight="1" x14ac:dyDescent="0.2">
      <c r="B57" s="139"/>
      <c r="C57" s="140"/>
      <c r="D57" s="140"/>
      <c r="E57" s="141"/>
      <c r="I57" s="76"/>
    </row>
    <row r="58" spans="1:9" x14ac:dyDescent="0.2">
      <c r="B58" s="110" t="s">
        <v>60</v>
      </c>
      <c r="C58" s="129" t="s">
        <v>61</v>
      </c>
      <c r="D58" s="129"/>
      <c r="E58" s="130"/>
      <c r="I58" s="76"/>
    </row>
    <row r="59" spans="1:9" x14ac:dyDescent="0.2">
      <c r="B59" s="38"/>
      <c r="C59" s="113"/>
      <c r="D59" s="114"/>
      <c r="E59" s="92"/>
      <c r="I59" s="76"/>
    </row>
    <row r="60" spans="1:9" ht="25.5" x14ac:dyDescent="0.2">
      <c r="B60" s="111" t="s">
        <v>54</v>
      </c>
      <c r="C60" s="129"/>
      <c r="D60" s="129"/>
      <c r="E60" s="130"/>
      <c r="I60" s="76"/>
    </row>
    <row r="61" spans="1:9" x14ac:dyDescent="0.2">
      <c r="B61" s="38"/>
      <c r="C61" s="113"/>
      <c r="D61" s="113"/>
      <c r="E61" s="93"/>
      <c r="I61" s="76"/>
    </row>
    <row r="62" spans="1:9" x14ac:dyDescent="0.2">
      <c r="B62" s="110" t="s">
        <v>55</v>
      </c>
      <c r="C62" s="115"/>
      <c r="D62" s="116"/>
      <c r="E62" s="112" t="s">
        <v>118</v>
      </c>
      <c r="I62" s="76"/>
    </row>
    <row r="63" spans="1:9" x14ac:dyDescent="0.2">
      <c r="B63" s="38"/>
      <c r="C63" s="113"/>
      <c r="D63" s="113"/>
      <c r="E63" s="93"/>
      <c r="I63" s="76"/>
    </row>
    <row r="64" spans="1:9" x14ac:dyDescent="0.2">
      <c r="B64" s="110" t="s">
        <v>56</v>
      </c>
      <c r="C64" s="80"/>
      <c r="D64" s="81"/>
      <c r="E64" s="91"/>
      <c r="I64" s="76"/>
    </row>
    <row r="65" spans="2:9" x14ac:dyDescent="0.2">
      <c r="B65" s="39"/>
      <c r="C65" s="113"/>
      <c r="D65" s="114"/>
      <c r="E65" s="92"/>
      <c r="I65" s="76"/>
    </row>
    <row r="66" spans="2:9" ht="13.5" thickBot="1" x14ac:dyDescent="0.25">
      <c r="B66" s="40"/>
      <c r="C66" s="79"/>
      <c r="D66" s="35"/>
      <c r="E66" s="94"/>
      <c r="I66" s="76"/>
    </row>
    <row r="67" spans="2:9" x14ac:dyDescent="0.2">
      <c r="I67" s="76"/>
    </row>
    <row r="68" spans="2:9" x14ac:dyDescent="0.2">
      <c r="I68" s="76"/>
    </row>
    <row r="69" spans="2:9" x14ac:dyDescent="0.2">
      <c r="I69" s="76"/>
    </row>
    <row r="70" spans="2:9" x14ac:dyDescent="0.2">
      <c r="I70" s="76"/>
    </row>
    <row r="71" spans="2:9" ht="13.5" thickBot="1" x14ac:dyDescent="0.25">
      <c r="I71" s="76"/>
    </row>
    <row r="72" spans="2:9" ht="15.75" x14ac:dyDescent="0.2">
      <c r="B72" s="131" t="s">
        <v>129</v>
      </c>
      <c r="C72" s="132"/>
      <c r="D72" s="132"/>
      <c r="E72" s="133"/>
      <c r="I72" s="76"/>
    </row>
    <row r="73" spans="2:9" x14ac:dyDescent="0.2">
      <c r="B73" s="38"/>
      <c r="C73" s="80"/>
      <c r="D73" s="81"/>
      <c r="E73" s="91"/>
      <c r="I73" s="76"/>
    </row>
    <row r="74" spans="2:9" x14ac:dyDescent="0.2">
      <c r="B74" s="134" t="s">
        <v>116</v>
      </c>
      <c r="C74" s="135"/>
      <c r="D74" s="135"/>
      <c r="E74" s="136"/>
      <c r="I74" s="76"/>
    </row>
    <row r="75" spans="2:9" x14ac:dyDescent="0.2">
      <c r="B75" s="39"/>
      <c r="C75" s="137" t="s">
        <v>119</v>
      </c>
      <c r="D75" s="137"/>
      <c r="E75" s="138"/>
      <c r="I75" s="76"/>
    </row>
    <row r="76" spans="2:9" x14ac:dyDescent="0.2">
      <c r="B76" s="39"/>
      <c r="C76" s="109"/>
      <c r="D76" s="109"/>
      <c r="E76" s="102"/>
      <c r="I76" s="76"/>
    </row>
    <row r="77" spans="2:9" x14ac:dyDescent="0.2">
      <c r="B77" s="39"/>
      <c r="C77" s="109"/>
      <c r="D77" s="109"/>
      <c r="E77" s="102"/>
      <c r="I77" s="76"/>
    </row>
    <row r="78" spans="2:9" ht="33" customHeight="1" x14ac:dyDescent="0.2">
      <c r="B78" s="111" t="s">
        <v>59</v>
      </c>
      <c r="C78" s="129" t="s">
        <v>117</v>
      </c>
      <c r="D78" s="129"/>
      <c r="E78" s="130"/>
      <c r="I78" s="76"/>
    </row>
    <row r="79" spans="2:9" x14ac:dyDescent="0.2">
      <c r="B79" s="139"/>
      <c r="C79" s="140"/>
      <c r="D79" s="140"/>
      <c r="E79" s="141"/>
      <c r="I79" s="76"/>
    </row>
    <row r="80" spans="2:9" x14ac:dyDescent="0.2">
      <c r="B80" s="110" t="s">
        <v>60</v>
      </c>
      <c r="C80" s="129" t="s">
        <v>61</v>
      </c>
      <c r="D80" s="129"/>
      <c r="E80" s="130"/>
      <c r="I80" s="76"/>
    </row>
    <row r="81" spans="2:9" x14ac:dyDescent="0.2">
      <c r="B81" s="38"/>
      <c r="C81" s="113"/>
      <c r="D81" s="114"/>
      <c r="E81" s="92"/>
      <c r="I81" s="76"/>
    </row>
    <row r="82" spans="2:9" ht="25.5" x14ac:dyDescent="0.2">
      <c r="B82" s="111" t="s">
        <v>54</v>
      </c>
      <c r="C82" s="129"/>
      <c r="D82" s="129"/>
      <c r="E82" s="130"/>
      <c r="I82" s="76"/>
    </row>
    <row r="83" spans="2:9" x14ac:dyDescent="0.2">
      <c r="B83" s="38"/>
      <c r="C83" s="113"/>
      <c r="D83" s="113"/>
      <c r="E83" s="93"/>
      <c r="I83" s="76"/>
    </row>
    <row r="84" spans="2:9" x14ac:dyDescent="0.2">
      <c r="B84" s="110" t="s">
        <v>55</v>
      </c>
      <c r="C84" s="115"/>
      <c r="D84" s="116"/>
      <c r="E84" s="112" t="s">
        <v>118</v>
      </c>
      <c r="I84" s="76"/>
    </row>
    <row r="85" spans="2:9" x14ac:dyDescent="0.2">
      <c r="B85" s="38"/>
      <c r="C85" s="113"/>
      <c r="D85" s="113"/>
      <c r="E85" s="93"/>
      <c r="I85" s="76"/>
    </row>
    <row r="86" spans="2:9" x14ac:dyDescent="0.2">
      <c r="B86" s="110" t="s">
        <v>56</v>
      </c>
      <c r="C86" s="80"/>
      <c r="D86" s="81"/>
      <c r="E86" s="91"/>
      <c r="I86" s="76"/>
    </row>
    <row r="87" spans="2:9" x14ac:dyDescent="0.2">
      <c r="B87" s="39"/>
      <c r="C87" s="113"/>
      <c r="D87" s="114"/>
      <c r="E87" s="92"/>
      <c r="I87" s="76"/>
    </row>
    <row r="88" spans="2:9" ht="13.5" thickBot="1" x14ac:dyDescent="0.25">
      <c r="B88" s="40"/>
      <c r="C88" s="79"/>
      <c r="D88" s="35"/>
      <c r="E88" s="94"/>
      <c r="I88" s="76"/>
    </row>
    <row r="89" spans="2:9" ht="13.5" thickBot="1" x14ac:dyDescent="0.25">
      <c r="I89" s="76"/>
    </row>
    <row r="90" spans="2:9" ht="15.75" x14ac:dyDescent="0.2">
      <c r="B90" s="131" t="s">
        <v>126</v>
      </c>
      <c r="C90" s="132"/>
      <c r="D90" s="132"/>
      <c r="E90" s="133"/>
      <c r="I90" s="76"/>
    </row>
    <row r="91" spans="2:9" x14ac:dyDescent="0.2">
      <c r="B91" s="38"/>
      <c r="C91" s="80"/>
      <c r="D91" s="81"/>
      <c r="E91" s="91"/>
      <c r="I91" s="76"/>
    </row>
    <row r="92" spans="2:9" x14ac:dyDescent="0.2">
      <c r="B92" s="134" t="s">
        <v>116</v>
      </c>
      <c r="C92" s="135"/>
      <c r="D92" s="135"/>
      <c r="E92" s="136"/>
      <c r="I92" s="76"/>
    </row>
    <row r="93" spans="2:9" x14ac:dyDescent="0.2">
      <c r="B93" s="39"/>
      <c r="C93" s="137" t="s">
        <v>67</v>
      </c>
      <c r="D93" s="137"/>
      <c r="E93" s="138"/>
      <c r="I93" s="76"/>
    </row>
    <row r="94" spans="2:9" x14ac:dyDescent="0.2">
      <c r="B94" s="39"/>
      <c r="C94" s="119"/>
      <c r="D94" s="119"/>
      <c r="E94" s="103"/>
      <c r="I94" s="76"/>
    </row>
    <row r="95" spans="2:9" x14ac:dyDescent="0.2">
      <c r="B95" s="39"/>
      <c r="C95" s="119"/>
      <c r="D95" s="119"/>
      <c r="E95" s="103"/>
      <c r="I95" s="76"/>
    </row>
    <row r="96" spans="2:9" x14ac:dyDescent="0.2">
      <c r="B96" s="111" t="s">
        <v>59</v>
      </c>
      <c r="C96" s="129" t="s">
        <v>117</v>
      </c>
      <c r="D96" s="129"/>
      <c r="E96" s="130"/>
      <c r="I96" s="76"/>
    </row>
    <row r="97" spans="2:9" x14ac:dyDescent="0.2">
      <c r="B97" s="139"/>
      <c r="C97" s="140"/>
      <c r="D97" s="140"/>
      <c r="E97" s="141"/>
      <c r="I97" s="76"/>
    </row>
    <row r="98" spans="2:9" x14ac:dyDescent="0.2">
      <c r="B98" s="110" t="s">
        <v>60</v>
      </c>
      <c r="C98" s="129" t="s">
        <v>61</v>
      </c>
      <c r="D98" s="129"/>
      <c r="E98" s="130"/>
      <c r="I98" s="76"/>
    </row>
    <row r="99" spans="2:9" x14ac:dyDescent="0.2">
      <c r="B99" s="38"/>
      <c r="C99" s="113"/>
      <c r="D99" s="114"/>
      <c r="E99" s="92"/>
      <c r="I99" s="76"/>
    </row>
    <row r="100" spans="2:9" ht="25.5" x14ac:dyDescent="0.2">
      <c r="B100" s="111" t="s">
        <v>54</v>
      </c>
      <c r="C100" s="129"/>
      <c r="D100" s="129"/>
      <c r="E100" s="130"/>
      <c r="I100" s="76"/>
    </row>
    <row r="101" spans="2:9" x14ac:dyDescent="0.2">
      <c r="B101" s="38"/>
      <c r="C101" s="113"/>
      <c r="D101" s="113"/>
      <c r="E101" s="93"/>
      <c r="I101" s="76"/>
    </row>
    <row r="102" spans="2:9" x14ac:dyDescent="0.2">
      <c r="B102" s="110" t="s">
        <v>55</v>
      </c>
      <c r="C102" s="115"/>
      <c r="D102" s="116"/>
      <c r="E102" s="112" t="s">
        <v>118</v>
      </c>
      <c r="I102" s="76"/>
    </row>
    <row r="103" spans="2:9" x14ac:dyDescent="0.2">
      <c r="B103" s="38"/>
      <c r="C103" s="113"/>
      <c r="D103" s="113"/>
      <c r="E103" s="93"/>
      <c r="I103" s="76"/>
    </row>
    <row r="104" spans="2:9" x14ac:dyDescent="0.2">
      <c r="B104" s="110" t="s">
        <v>56</v>
      </c>
      <c r="C104" s="80"/>
      <c r="D104" s="81"/>
      <c r="E104" s="91"/>
      <c r="I104" s="76"/>
    </row>
    <row r="105" spans="2:9" x14ac:dyDescent="0.2">
      <c r="B105" s="39"/>
      <c r="C105" s="113"/>
      <c r="D105" s="114"/>
      <c r="E105" s="92"/>
      <c r="I105" s="76"/>
    </row>
    <row r="106" spans="2:9" ht="13.5" thickBot="1" x14ac:dyDescent="0.25">
      <c r="B106" s="40"/>
      <c r="C106" s="79"/>
      <c r="D106" s="35"/>
      <c r="E106" s="94"/>
      <c r="I106" s="76"/>
    </row>
    <row r="107" spans="2:9" x14ac:dyDescent="0.2">
      <c r="I107" s="76"/>
    </row>
    <row r="108" spans="2:9" x14ac:dyDescent="0.2">
      <c r="I108" s="76"/>
    </row>
    <row r="109" spans="2:9" x14ac:dyDescent="0.2">
      <c r="I109" s="76"/>
    </row>
    <row r="110" spans="2:9" x14ac:dyDescent="0.2">
      <c r="I110" s="76"/>
    </row>
    <row r="111" spans="2:9" x14ac:dyDescent="0.2">
      <c r="I111" s="76"/>
    </row>
    <row r="112" spans="2:9" x14ac:dyDescent="0.2">
      <c r="I112" s="76"/>
    </row>
    <row r="113" spans="9:9" x14ac:dyDescent="0.2">
      <c r="I113" s="76"/>
    </row>
    <row r="114" spans="9:9" x14ac:dyDescent="0.2">
      <c r="I114" s="76"/>
    </row>
    <row r="115" spans="9:9" x14ac:dyDescent="0.2">
      <c r="I115" s="76"/>
    </row>
    <row r="116" spans="9:9" x14ac:dyDescent="0.2">
      <c r="I116" s="76"/>
    </row>
    <row r="117" spans="9:9" x14ac:dyDescent="0.2">
      <c r="I117" s="76"/>
    </row>
    <row r="118" spans="9:9" x14ac:dyDescent="0.2">
      <c r="I118" s="76"/>
    </row>
    <row r="119" spans="9:9" x14ac:dyDescent="0.2">
      <c r="I119" s="76"/>
    </row>
    <row r="120" spans="9:9" x14ac:dyDescent="0.2">
      <c r="I120" s="76"/>
    </row>
    <row r="121" spans="9:9" x14ac:dyDescent="0.2">
      <c r="I121" s="76"/>
    </row>
    <row r="122" spans="9:9" x14ac:dyDescent="0.2">
      <c r="I122" s="76"/>
    </row>
    <row r="123" spans="9:9" x14ac:dyDescent="0.2">
      <c r="I123" s="76"/>
    </row>
    <row r="124" spans="9:9" x14ac:dyDescent="0.2">
      <c r="I124" s="76"/>
    </row>
    <row r="125" spans="9:9" x14ac:dyDescent="0.2">
      <c r="I125" s="76"/>
    </row>
    <row r="126" spans="9:9" x14ac:dyDescent="0.2">
      <c r="I126" s="76"/>
    </row>
    <row r="127" spans="9:9" x14ac:dyDescent="0.2">
      <c r="I127" s="76"/>
    </row>
    <row r="128" spans="9:9" x14ac:dyDescent="0.2">
      <c r="I128" s="76"/>
    </row>
    <row r="129" spans="9:9" x14ac:dyDescent="0.2">
      <c r="I129" s="76"/>
    </row>
    <row r="130" spans="9:9" x14ac:dyDescent="0.2">
      <c r="I130" s="76"/>
    </row>
    <row r="131" spans="9:9" x14ac:dyDescent="0.2">
      <c r="I131" s="76"/>
    </row>
    <row r="132" spans="9:9" x14ac:dyDescent="0.2">
      <c r="I132" s="76"/>
    </row>
    <row r="133" spans="9:9" x14ac:dyDescent="0.2">
      <c r="I133" s="76"/>
    </row>
    <row r="134" spans="9:9" x14ac:dyDescent="0.2">
      <c r="I134" s="76"/>
    </row>
    <row r="135" spans="9:9" x14ac:dyDescent="0.2">
      <c r="I135" s="76"/>
    </row>
    <row r="136" spans="9:9" x14ac:dyDescent="0.2">
      <c r="I136" s="76"/>
    </row>
    <row r="137" spans="9:9" x14ac:dyDescent="0.2">
      <c r="I137" s="76"/>
    </row>
    <row r="138" spans="9:9" x14ac:dyDescent="0.2">
      <c r="I138" s="76"/>
    </row>
    <row r="139" spans="9:9" x14ac:dyDescent="0.2">
      <c r="I139" s="76"/>
    </row>
    <row r="140" spans="9:9" x14ac:dyDescent="0.2">
      <c r="I140" s="76"/>
    </row>
    <row r="141" spans="9:9" x14ac:dyDescent="0.2">
      <c r="I141" s="76"/>
    </row>
    <row r="142" spans="9:9" x14ac:dyDescent="0.2">
      <c r="I142" s="76"/>
    </row>
    <row r="143" spans="9:9" x14ac:dyDescent="0.2">
      <c r="I143" s="76"/>
    </row>
    <row r="144" spans="9:9" x14ac:dyDescent="0.2">
      <c r="I144" s="76"/>
    </row>
    <row r="145" spans="9:9" x14ac:dyDescent="0.2">
      <c r="I145" s="76"/>
    </row>
    <row r="146" spans="9:9" x14ac:dyDescent="0.2">
      <c r="I146" s="76"/>
    </row>
    <row r="147" spans="9:9" x14ac:dyDescent="0.2">
      <c r="I147" s="76"/>
    </row>
    <row r="148" spans="9:9" x14ac:dyDescent="0.2">
      <c r="I148" s="76"/>
    </row>
    <row r="149" spans="9:9" x14ac:dyDescent="0.2">
      <c r="I149" s="76"/>
    </row>
    <row r="150" spans="9:9" x14ac:dyDescent="0.2">
      <c r="I150" s="76"/>
    </row>
    <row r="151" spans="9:9" x14ac:dyDescent="0.2">
      <c r="I151" s="76"/>
    </row>
    <row r="152" spans="9:9" x14ac:dyDescent="0.2">
      <c r="I152" s="76"/>
    </row>
    <row r="153" spans="9:9" x14ac:dyDescent="0.2">
      <c r="I153" s="76"/>
    </row>
    <row r="154" spans="9:9" x14ac:dyDescent="0.2">
      <c r="I154" s="76"/>
    </row>
    <row r="155" spans="9:9" x14ac:dyDescent="0.2">
      <c r="I155" s="76"/>
    </row>
    <row r="156" spans="9:9" x14ac:dyDescent="0.2">
      <c r="I156" s="76"/>
    </row>
    <row r="157" spans="9:9" x14ac:dyDescent="0.2">
      <c r="I157" s="76"/>
    </row>
    <row r="158" spans="9:9" x14ac:dyDescent="0.2">
      <c r="I158" s="76"/>
    </row>
    <row r="159" spans="9:9" x14ac:dyDescent="0.2">
      <c r="I159" s="76"/>
    </row>
    <row r="160" spans="9:9" x14ac:dyDescent="0.2">
      <c r="I160" s="76"/>
    </row>
    <row r="161" spans="9:9" x14ac:dyDescent="0.2">
      <c r="I161" s="76"/>
    </row>
    <row r="162" spans="9:9" x14ac:dyDescent="0.2">
      <c r="I162" s="76"/>
    </row>
    <row r="163" spans="9:9" x14ac:dyDescent="0.2">
      <c r="I163" s="76"/>
    </row>
    <row r="164" spans="9:9" x14ac:dyDescent="0.2">
      <c r="I164" s="76"/>
    </row>
    <row r="165" spans="9:9" x14ac:dyDescent="0.2">
      <c r="I165" s="76"/>
    </row>
    <row r="166" spans="9:9" x14ac:dyDescent="0.2">
      <c r="I166" s="76"/>
    </row>
    <row r="167" spans="9:9" x14ac:dyDescent="0.2">
      <c r="I167" s="76"/>
    </row>
    <row r="168" spans="9:9" x14ac:dyDescent="0.2">
      <c r="I168" s="76"/>
    </row>
    <row r="169" spans="9:9" x14ac:dyDescent="0.2">
      <c r="I169" s="76"/>
    </row>
    <row r="170" spans="9:9" x14ac:dyDescent="0.2">
      <c r="I170" s="76"/>
    </row>
    <row r="171" spans="9:9" x14ac:dyDescent="0.2">
      <c r="I171" s="76"/>
    </row>
    <row r="172" spans="9:9" x14ac:dyDescent="0.2">
      <c r="I172" s="76"/>
    </row>
    <row r="173" spans="9:9" x14ac:dyDescent="0.2">
      <c r="I173" s="76"/>
    </row>
    <row r="174" spans="9:9" x14ac:dyDescent="0.2">
      <c r="I174" s="76"/>
    </row>
    <row r="175" spans="9:9" x14ac:dyDescent="0.2">
      <c r="I175" s="76"/>
    </row>
    <row r="176" spans="9:9" x14ac:dyDescent="0.2">
      <c r="I176" s="76"/>
    </row>
  </sheetData>
  <mergeCells count="36">
    <mergeCell ref="C75:E75"/>
    <mergeCell ref="C78:E78"/>
    <mergeCell ref="B79:E79"/>
    <mergeCell ref="C80:E80"/>
    <mergeCell ref="C82:E82"/>
    <mergeCell ref="C58:E58"/>
    <mergeCell ref="C60:E60"/>
    <mergeCell ref="B72:E72"/>
    <mergeCell ref="B74:E74"/>
    <mergeCell ref="B50:E50"/>
    <mergeCell ref="B52:E52"/>
    <mergeCell ref="C53:E53"/>
    <mergeCell ref="C56:E56"/>
    <mergeCell ref="B57:E57"/>
    <mergeCell ref="A4:D4"/>
    <mergeCell ref="A5:D5"/>
    <mergeCell ref="A6:D6"/>
    <mergeCell ref="A7:D7"/>
    <mergeCell ref="E4:G4"/>
    <mergeCell ref="E5:G5"/>
    <mergeCell ref="C38:E38"/>
    <mergeCell ref="C37:E37"/>
    <mergeCell ref="G33:G49"/>
    <mergeCell ref="C40:E40"/>
    <mergeCell ref="B39:E39"/>
    <mergeCell ref="C42:E42"/>
    <mergeCell ref="B34:E34"/>
    <mergeCell ref="B36:E36"/>
    <mergeCell ref="D44:E44"/>
    <mergeCell ref="C98:E98"/>
    <mergeCell ref="C100:E100"/>
    <mergeCell ref="B90:E90"/>
    <mergeCell ref="B92:E92"/>
    <mergeCell ref="C93:E93"/>
    <mergeCell ref="C96:E96"/>
    <mergeCell ref="B97:E97"/>
  </mergeCells>
  <phoneticPr fontId="24" type="noConversion"/>
  <conditionalFormatting sqref="L6">
    <cfRule type="duplicateValues" dxfId="9" priority="12"/>
  </conditionalFormatting>
  <conditionalFormatting sqref="E89 E67:E71 E1:E9 E14:E20 E26:E35 E37:E43 E45:E49 E107:E1048576 E22:E24">
    <cfRule type="duplicateValues" dxfId="8" priority="11"/>
  </conditionalFormatting>
  <conditionalFormatting sqref="E10:E11">
    <cfRule type="duplicateValues" dxfId="7" priority="9"/>
  </conditionalFormatting>
  <conditionalFormatting sqref="E12:E13">
    <cfRule type="duplicateValues" dxfId="6" priority="8"/>
  </conditionalFormatting>
  <conditionalFormatting sqref="E25">
    <cfRule type="duplicateValues" dxfId="5" priority="7"/>
  </conditionalFormatting>
  <conditionalFormatting sqref="J21">
    <cfRule type="duplicateValues" dxfId="4" priority="5"/>
  </conditionalFormatting>
  <conditionalFormatting sqref="E50:E51 E53:E66">
    <cfRule type="duplicateValues" dxfId="3" priority="4"/>
  </conditionalFormatting>
  <conditionalFormatting sqref="E72:E73 E75:E88">
    <cfRule type="duplicateValues" dxfId="2" priority="3"/>
  </conditionalFormatting>
  <conditionalFormatting sqref="E90:E91 E93:E106">
    <cfRule type="duplicateValues" dxfId="1" priority="2"/>
  </conditionalFormatting>
  <conditionalFormatting sqref="E21">
    <cfRule type="duplicateValues" dxfId="0" priority="1"/>
  </conditionalFormatting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Y40"/>
  <sheetViews>
    <sheetView topLeftCell="A25" zoomScale="68" zoomScaleNormal="68" workbookViewId="0">
      <selection activeCell="C32" sqref="C32:G32"/>
    </sheetView>
  </sheetViews>
  <sheetFormatPr baseColWidth="10" defaultColWidth="9.140625" defaultRowHeight="12.75" x14ac:dyDescent="0.2"/>
  <cols>
    <col min="1" max="1" width="13.140625" style="50" customWidth="1"/>
    <col min="2" max="2" width="19.5703125" style="50" customWidth="1"/>
    <col min="3" max="3" width="14.140625" style="50" customWidth="1"/>
    <col min="4" max="4" width="26" style="50" customWidth="1"/>
    <col min="5" max="5" width="8" style="50" customWidth="1"/>
    <col min="6" max="6" width="7.85546875" style="50" customWidth="1"/>
    <col min="7" max="7" width="42" style="50" customWidth="1"/>
    <col min="8" max="8" width="9.28515625" style="50" customWidth="1"/>
    <col min="9" max="9" width="15.5703125" style="50" customWidth="1"/>
    <col min="10" max="10" width="20.42578125" style="50" customWidth="1"/>
    <col min="11" max="11" width="30.42578125" style="57" customWidth="1"/>
    <col min="12" max="1013" width="9.140625" style="2"/>
  </cols>
  <sheetData>
    <row r="1" spans="1:1013" ht="18" customHeight="1" x14ac:dyDescent="0.2">
      <c r="A1" s="149" t="s">
        <v>12</v>
      </c>
      <c r="B1" s="149"/>
      <c r="C1" s="149"/>
      <c r="D1" s="149"/>
      <c r="E1" s="149"/>
      <c r="F1" s="149"/>
      <c r="G1" s="149"/>
      <c r="H1" s="149"/>
      <c r="I1" s="149"/>
      <c r="J1" s="41"/>
      <c r="K1" s="101" t="s">
        <v>112</v>
      </c>
    </row>
    <row r="2" spans="1:1013" ht="18.75" customHeight="1" thickBot="1" x14ac:dyDescent="0.25">
      <c r="A2" s="42"/>
      <c r="B2" s="42"/>
      <c r="C2" s="42"/>
      <c r="D2" s="43"/>
      <c r="E2" s="43"/>
      <c r="F2" s="43"/>
      <c r="G2" s="43"/>
      <c r="H2" s="43"/>
      <c r="I2" s="43"/>
      <c r="J2" s="43"/>
      <c r="K2" s="54"/>
    </row>
    <row r="3" spans="1:1013" ht="18.75" customHeight="1" thickBot="1" x14ac:dyDescent="0.25">
      <c r="A3" s="150" t="s">
        <v>13</v>
      </c>
      <c r="B3" s="150"/>
      <c r="C3" s="150"/>
      <c r="D3" s="151" t="s">
        <v>58</v>
      </c>
      <c r="E3" s="151"/>
      <c r="F3" s="151"/>
      <c r="G3" s="151"/>
      <c r="H3" s="151"/>
      <c r="I3" s="151"/>
      <c r="J3" s="151"/>
      <c r="K3" s="151"/>
    </row>
    <row r="4" spans="1:1013" ht="18.75" customHeight="1" thickBot="1" x14ac:dyDescent="0.25">
      <c r="A4" s="152" t="s">
        <v>14</v>
      </c>
      <c r="B4" s="152"/>
      <c r="C4" s="152"/>
      <c r="D4" s="151" t="s">
        <v>53</v>
      </c>
      <c r="E4" s="151"/>
      <c r="F4" s="151"/>
      <c r="G4" s="151"/>
      <c r="H4" s="151"/>
      <c r="I4" s="151"/>
      <c r="J4" s="151"/>
      <c r="K4" s="151"/>
    </row>
    <row r="5" spans="1:1013" ht="18.75" customHeight="1" thickBot="1" x14ac:dyDescent="0.25">
      <c r="A5" s="152" t="s">
        <v>15</v>
      </c>
      <c r="B5" s="152"/>
      <c r="C5" s="152"/>
      <c r="D5" s="151" t="s">
        <v>50</v>
      </c>
      <c r="E5" s="151"/>
      <c r="F5" s="151"/>
      <c r="G5" s="151"/>
      <c r="H5" s="151"/>
      <c r="I5" s="151"/>
      <c r="J5" s="151"/>
      <c r="K5" s="151"/>
    </row>
    <row r="6" spans="1:1013" ht="16.5" customHeight="1" thickBot="1" x14ac:dyDescent="0.25">
      <c r="A6" s="150" t="s">
        <v>16</v>
      </c>
      <c r="B6" s="150"/>
      <c r="C6" s="150"/>
      <c r="D6" s="151" t="s">
        <v>64</v>
      </c>
      <c r="E6" s="151"/>
      <c r="F6" s="151"/>
      <c r="G6" s="151"/>
      <c r="H6" s="151"/>
      <c r="I6" s="151"/>
      <c r="J6" s="151"/>
      <c r="K6" s="151"/>
    </row>
    <row r="7" spans="1:1013" ht="16.5" customHeight="1" thickBot="1" x14ac:dyDescent="0.25">
      <c r="A7" s="152" t="s">
        <v>17</v>
      </c>
      <c r="B7" s="152"/>
      <c r="C7" s="152"/>
      <c r="D7" s="151" t="s">
        <v>111</v>
      </c>
      <c r="E7" s="151"/>
      <c r="F7" s="151"/>
      <c r="G7" s="151"/>
      <c r="H7" s="151"/>
      <c r="I7" s="151"/>
      <c r="J7" s="151"/>
      <c r="K7" s="151"/>
    </row>
    <row r="8" spans="1:1013" ht="36" customHeight="1" thickBot="1" x14ac:dyDescent="0.25">
      <c r="A8" s="154" t="s">
        <v>18</v>
      </c>
      <c r="B8" s="154"/>
      <c r="C8" s="154"/>
      <c r="D8" s="155" t="s">
        <v>66</v>
      </c>
      <c r="E8" s="155"/>
      <c r="F8" s="155"/>
      <c r="G8" s="155"/>
      <c r="H8" s="155"/>
      <c r="I8" s="155"/>
      <c r="J8" s="155"/>
      <c r="K8" s="155"/>
    </row>
    <row r="9" spans="1:1013" ht="16.5" thickBot="1" x14ac:dyDescent="0.25">
      <c r="A9" s="44"/>
      <c r="B9" s="44"/>
      <c r="C9" s="44"/>
      <c r="D9" s="45"/>
      <c r="E9" s="45"/>
      <c r="F9" s="45"/>
      <c r="G9" s="45"/>
      <c r="H9" s="45"/>
      <c r="I9" s="45"/>
      <c r="J9" s="45"/>
      <c r="K9" s="55"/>
    </row>
    <row r="10" spans="1:1013" ht="18.75" customHeight="1" thickBot="1" x14ac:dyDescent="0.25">
      <c r="A10" s="156" t="s">
        <v>19</v>
      </c>
      <c r="B10" s="158" t="s">
        <v>20</v>
      </c>
      <c r="C10" s="158" t="s">
        <v>21</v>
      </c>
      <c r="D10" s="158"/>
      <c r="E10" s="158"/>
      <c r="F10" s="158"/>
      <c r="G10" s="158"/>
      <c r="H10" s="158" t="s">
        <v>22</v>
      </c>
      <c r="I10" s="158" t="s">
        <v>23</v>
      </c>
      <c r="J10" s="158" t="s">
        <v>24</v>
      </c>
      <c r="K10" s="160" t="s">
        <v>25</v>
      </c>
    </row>
    <row r="11" spans="1:1013" ht="24" customHeight="1" thickBot="1" x14ac:dyDescent="0.25">
      <c r="A11" s="157"/>
      <c r="B11" s="159"/>
      <c r="C11" s="159"/>
      <c r="D11" s="159"/>
      <c r="E11" s="159"/>
      <c r="F11" s="159"/>
      <c r="G11" s="159"/>
      <c r="H11" s="159"/>
      <c r="I11" s="159"/>
      <c r="J11" s="159"/>
      <c r="K11" s="161"/>
      <c r="ALW11"/>
      <c r="ALX11"/>
      <c r="ALY11"/>
    </row>
    <row r="12" spans="1:1013" ht="43.5" customHeight="1" thickBot="1" x14ac:dyDescent="0.3">
      <c r="A12" s="197">
        <f>'Necesidades Trimestrales'!A10</f>
        <v>1</v>
      </c>
      <c r="B12" s="198" t="str">
        <f>+'Necesidades Trimestrales'!B10</f>
        <v>2.9.5-441.319</v>
      </c>
      <c r="C12" s="199" t="str">
        <f>+'Necesidades Trimestrales'!E10</f>
        <v>AGUJAS QUIRURGICAS; TIPO: BUTTERFLY, ESPECIFICACION: 25G, PRESENTACION: UNIDAD</v>
      </c>
      <c r="D12" s="199"/>
      <c r="E12" s="199"/>
      <c r="F12" s="199"/>
      <c r="G12" s="199"/>
      <c r="H12" s="200" t="s">
        <v>26</v>
      </c>
      <c r="I12" s="201" t="str">
        <f>+'Necesidades Trimestrales'!F10</f>
        <v>UNIDAD</v>
      </c>
      <c r="J12" s="202">
        <f>+'Necesidades Trimestrales'!H10</f>
        <v>12</v>
      </c>
      <c r="K12" s="203">
        <f>+'Necesidades Trimestrales'!G10</f>
        <v>50</v>
      </c>
      <c r="M12" s="100"/>
      <c r="Q12" s="100"/>
    </row>
    <row r="13" spans="1:1013" ht="43.5" customHeight="1" thickBot="1" x14ac:dyDescent="0.3">
      <c r="A13" s="197">
        <f>'Necesidades Trimestrales'!A11</f>
        <v>2</v>
      </c>
      <c r="B13" s="198" t="str">
        <f>+'Necesidades Trimestrales'!B11</f>
        <v>2.9.5-441.469</v>
      </c>
      <c r="C13" s="199" t="str">
        <f>+'Necesidades Trimestrales'!E11</f>
        <v>AGUJAS QUIRURGICAS; TIPO: BUTTERFLY, ESPECIFICACION: 27, PRESENTACION: ENVASE ESTERIL</v>
      </c>
      <c r="D13" s="199"/>
      <c r="E13" s="199"/>
      <c r="F13" s="199"/>
      <c r="G13" s="199"/>
      <c r="H13" s="200" t="s">
        <v>26</v>
      </c>
      <c r="I13" s="201" t="str">
        <f>+'Necesidades Trimestrales'!F11</f>
        <v>UNIDAD</v>
      </c>
      <c r="J13" s="202">
        <f>+'Necesidades Trimestrales'!H11</f>
        <v>12</v>
      </c>
      <c r="K13" s="203">
        <f>+'Necesidades Trimestrales'!G11</f>
        <v>50</v>
      </c>
      <c r="M13" s="100"/>
    </row>
    <row r="14" spans="1:1013" ht="43.5" customHeight="1" thickBot="1" x14ac:dyDescent="0.3">
      <c r="A14" s="197">
        <f>'Necesidades Trimestrales'!A12</f>
        <v>3</v>
      </c>
      <c r="B14" s="198" t="str">
        <f>+'Necesidades Trimestrales'!B12</f>
        <v>2.9.5-427.31</v>
      </c>
      <c r="C14" s="199" t="str">
        <f>+'Necesidades Trimestrales'!E12</f>
        <v>APOSITOS; TIPO: P/SUJECION DE CATETER, TAMAÑO: 10 X 12 Cm</v>
      </c>
      <c r="D14" s="199"/>
      <c r="E14" s="199"/>
      <c r="F14" s="199"/>
      <c r="G14" s="199"/>
      <c r="H14" s="200" t="s">
        <v>26</v>
      </c>
      <c r="I14" s="201" t="str">
        <f>+'Necesidades Trimestrales'!F12</f>
        <v>UNIDAD</v>
      </c>
      <c r="J14" s="202">
        <f>+'Necesidades Trimestrales'!H12</f>
        <v>67</v>
      </c>
      <c r="K14" s="203">
        <f>+'Necesidades Trimestrales'!G12</f>
        <v>180</v>
      </c>
      <c r="M14" s="100"/>
    </row>
    <row r="15" spans="1:1013" ht="43.5" customHeight="1" thickBot="1" x14ac:dyDescent="0.3">
      <c r="A15" s="197">
        <f>'Necesidades Trimestrales'!A13</f>
        <v>4</v>
      </c>
      <c r="B15" s="198" t="str">
        <f>+'Necesidades Trimestrales'!B13</f>
        <v>2.9.5-427.84</v>
      </c>
      <c r="C15" s="199" t="str">
        <f>+'Necesidades Trimestrales'!E13</f>
        <v>APOSITOS; TIPO: P/SUJECION DE CATETER, TAMAÑO: 6 X 7 Cm</v>
      </c>
      <c r="D15" s="199"/>
      <c r="E15" s="199"/>
      <c r="F15" s="199"/>
      <c r="G15" s="199"/>
      <c r="H15" s="200" t="s">
        <v>26</v>
      </c>
      <c r="I15" s="201" t="str">
        <f>+'Necesidades Trimestrales'!F13</f>
        <v>UNIDAD</v>
      </c>
      <c r="J15" s="202">
        <f>+'Necesidades Trimestrales'!H13</f>
        <v>37.5</v>
      </c>
      <c r="K15" s="203">
        <f>+'Necesidades Trimestrales'!G13</f>
        <v>950</v>
      </c>
      <c r="M15" s="100"/>
    </row>
    <row r="16" spans="1:1013" ht="43.5" customHeight="1" thickBot="1" x14ac:dyDescent="0.3">
      <c r="A16" s="197">
        <f>'Necesidades Trimestrales'!A14</f>
        <v>5</v>
      </c>
      <c r="B16" s="198" t="str">
        <f>+'Necesidades Trimestrales'!B14</f>
        <v>2.9.5-2161.7</v>
      </c>
      <c r="C16" s="199" t="str">
        <f>+'Necesidades Trimestrales'!E14</f>
        <v>CATÉTER INTRAVENOSO Nº 14; TIPO: INTRAVENOSO/CANALIZACIÓN</v>
      </c>
      <c r="D16" s="199"/>
      <c r="E16" s="199"/>
      <c r="F16" s="199"/>
      <c r="G16" s="199"/>
      <c r="H16" s="200" t="s">
        <v>26</v>
      </c>
      <c r="I16" s="201" t="str">
        <f>+'Necesidades Trimestrales'!F14</f>
        <v>UNIDAD</v>
      </c>
      <c r="J16" s="202">
        <f>+'Necesidades Trimestrales'!H14</f>
        <v>45</v>
      </c>
      <c r="K16" s="203">
        <f>+'Necesidades Trimestrales'!G14</f>
        <v>50</v>
      </c>
      <c r="M16" s="100"/>
    </row>
    <row r="17" spans="1:13" ht="43.5" customHeight="1" thickBot="1" x14ac:dyDescent="0.3">
      <c r="A17" s="197">
        <f>'Necesidades Trimestrales'!A15</f>
        <v>6</v>
      </c>
      <c r="B17" s="198" t="str">
        <f>+'Necesidades Trimestrales'!B15</f>
        <v>2.9.5-2161.2</v>
      </c>
      <c r="C17" s="199" t="str">
        <f>+'Necesidades Trimestrales'!E15</f>
        <v>CATÉTER INTRAVENOSO Nº 18; TIPO: INTRAVENOSO/CANALIZACIÓN</v>
      </c>
      <c r="D17" s="199"/>
      <c r="E17" s="199"/>
      <c r="F17" s="199"/>
      <c r="G17" s="199"/>
      <c r="H17" s="200" t="s">
        <v>26</v>
      </c>
      <c r="I17" s="201" t="str">
        <f>+'Necesidades Trimestrales'!F15</f>
        <v>UNIDAD</v>
      </c>
      <c r="J17" s="202">
        <f>+'Necesidades Trimestrales'!H15</f>
        <v>85</v>
      </c>
      <c r="K17" s="203">
        <f>+'Necesidades Trimestrales'!G15</f>
        <v>1000</v>
      </c>
      <c r="M17" s="100"/>
    </row>
    <row r="18" spans="1:13" ht="43.5" customHeight="1" thickBot="1" x14ac:dyDescent="0.3">
      <c r="A18" s="197">
        <f>'Necesidades Trimestrales'!A16</f>
        <v>7</v>
      </c>
      <c r="B18" s="198" t="str">
        <f>+'Necesidades Trimestrales'!B16</f>
        <v>2.9.5-2161.557</v>
      </c>
      <c r="C18" s="199" t="str">
        <f>+'Necesidades Trimestrales'!E16</f>
        <v>CATÉTER INTRAVENOSO Nº 20; TIPO: INTRAVENOSO/CANALIZACIÓN</v>
      </c>
      <c r="D18" s="199"/>
      <c r="E18" s="199"/>
      <c r="F18" s="199"/>
      <c r="G18" s="199"/>
      <c r="H18" s="200" t="s">
        <v>26</v>
      </c>
      <c r="I18" s="201" t="str">
        <f>+'Necesidades Trimestrales'!F16</f>
        <v>UNIDAD</v>
      </c>
      <c r="J18" s="202">
        <f>+'Necesidades Trimestrales'!H16</f>
        <v>85</v>
      </c>
      <c r="K18" s="203">
        <f>+'Necesidades Trimestrales'!G16</f>
        <v>1000</v>
      </c>
      <c r="M18" s="100"/>
    </row>
    <row r="19" spans="1:13" ht="43.5" customHeight="1" thickBot="1" x14ac:dyDescent="0.3">
      <c r="A19" s="197">
        <f>'Necesidades Trimestrales'!A17</f>
        <v>8</v>
      </c>
      <c r="B19" s="198" t="str">
        <f>+'Necesidades Trimestrales'!B17</f>
        <v>2.9.5-2161.10</v>
      </c>
      <c r="C19" s="199" t="str">
        <f>+'Necesidades Trimestrales'!E17</f>
        <v>CATÉTER INTRAVENOSO Nº 24; TIPO: INTRAVENOSO/CANALIZACIÓN</v>
      </c>
      <c r="D19" s="199"/>
      <c r="E19" s="199"/>
      <c r="F19" s="199"/>
      <c r="G19" s="199"/>
      <c r="H19" s="200" t="s">
        <v>26</v>
      </c>
      <c r="I19" s="201" t="str">
        <f>+'Necesidades Trimestrales'!F17</f>
        <v>UNIDAD</v>
      </c>
      <c r="J19" s="202">
        <f>+'Necesidades Trimestrales'!H17</f>
        <v>85</v>
      </c>
      <c r="K19" s="203">
        <f>+'Necesidades Trimestrales'!G17</f>
        <v>1400</v>
      </c>
      <c r="M19" s="100"/>
    </row>
    <row r="20" spans="1:13" ht="43.5" customHeight="1" thickBot="1" x14ac:dyDescent="0.3">
      <c r="A20" s="197">
        <f>'Necesidades Trimestrales'!A18</f>
        <v>9</v>
      </c>
      <c r="B20" s="198" t="str">
        <f>+'Necesidades Trimestrales'!B18</f>
        <v>2.9.5-2161.412</v>
      </c>
      <c r="C20" s="199" t="str">
        <f>+'Necesidades Trimestrales'!E18</f>
        <v>CATETERES/SONDAS; NUMERO: 26 G, TIPO: CANALIZACION</v>
      </c>
      <c r="D20" s="199"/>
      <c r="E20" s="199"/>
      <c r="F20" s="199"/>
      <c r="G20" s="199"/>
      <c r="H20" s="200" t="s">
        <v>26</v>
      </c>
      <c r="I20" s="201" t="str">
        <f>+'Necesidades Trimestrales'!F18</f>
        <v>UNIDAD</v>
      </c>
      <c r="J20" s="202">
        <f>+'Necesidades Trimestrales'!H18</f>
        <v>85</v>
      </c>
      <c r="K20" s="203">
        <f>+'Necesidades Trimestrales'!G18</f>
        <v>300</v>
      </c>
      <c r="M20" s="100"/>
    </row>
    <row r="21" spans="1:13" ht="43.5" customHeight="1" thickBot="1" x14ac:dyDescent="0.3">
      <c r="A21" s="197">
        <f>'Necesidades Trimestrales'!A19</f>
        <v>10</v>
      </c>
      <c r="B21" s="198" t="str">
        <f>+'Necesidades Trimestrales'!B19</f>
        <v>2.9.5-2204.57</v>
      </c>
      <c r="C21" s="199" t="str">
        <f>+'Necesidades Trimestrales'!E19</f>
        <v>GUÍA DE SUERO; USO: ADMINISTRACIÓN FRACC. SANGRE; TIPO: MACROGOTERO Y FILTRO TIPO V-104</v>
      </c>
      <c r="D21" s="199"/>
      <c r="E21" s="199"/>
      <c r="F21" s="199"/>
      <c r="G21" s="199"/>
      <c r="H21" s="200" t="s">
        <v>26</v>
      </c>
      <c r="I21" s="201" t="str">
        <f>+'Necesidades Trimestrales'!F19</f>
        <v>UNIDAD</v>
      </c>
      <c r="J21" s="202">
        <f>+'Necesidades Trimestrales'!H19</f>
        <v>2004</v>
      </c>
      <c r="K21" s="203">
        <f>+'Necesidades Trimestrales'!G19</f>
        <v>100</v>
      </c>
      <c r="M21" s="100"/>
    </row>
    <row r="22" spans="1:13" ht="43.5" customHeight="1" thickBot="1" x14ac:dyDescent="0.3">
      <c r="A22" s="197">
        <f>'Necesidades Trimestrales'!A20</f>
        <v>11</v>
      </c>
      <c r="B22" s="198" t="str">
        <f>+'Necesidades Trimestrales'!B20</f>
        <v>2.9.5-2204.30</v>
      </c>
      <c r="C22" s="199" t="str">
        <f>+'Necesidades Trimestrales'!E20</f>
        <v>GUÍAS DE SUERO; USO: PARA TRANFUSIÓN DE PLASMA Y SANGRE; AGUJA: SIN; MODELO: V20; TIPO: CONTÍNUO; CON CONEXIÓN ROLLER LUER SLIP</v>
      </c>
      <c r="D22" s="199"/>
      <c r="E22" s="199"/>
      <c r="F22" s="199"/>
      <c r="G22" s="199"/>
      <c r="H22" s="200" t="s">
        <v>125</v>
      </c>
      <c r="I22" s="201" t="str">
        <f>+'Necesidades Trimestrales'!F20</f>
        <v>UNIDAD</v>
      </c>
      <c r="J22" s="202">
        <f>+'Necesidades Trimestrales'!H20</f>
        <v>68.5</v>
      </c>
      <c r="K22" s="203">
        <f>+'Necesidades Trimestrales'!G20</f>
        <v>600</v>
      </c>
      <c r="M22" s="100"/>
    </row>
    <row r="23" spans="1:13" ht="43.5" customHeight="1" thickBot="1" x14ac:dyDescent="0.3">
      <c r="A23" s="197">
        <f>'Necesidades Trimestrales'!A21</f>
        <v>12</v>
      </c>
      <c r="B23" s="198" t="str">
        <f>+'Necesidades Trimestrales'!B21</f>
        <v>2.9.5-2204.55</v>
      </c>
      <c r="C23" s="199" t="str">
        <f>+'Necesidades Trimestrales'!E21</f>
        <v>GUIAS DE SUERO; USO: ADMINISTRACION DE SOLUCIONES, AGUJA: SIN, MODELO: P/EQUIPO, TIPO: PARA BOMBA INFUSORA</v>
      </c>
      <c r="D23" s="199"/>
      <c r="E23" s="199"/>
      <c r="F23" s="199"/>
      <c r="G23" s="199"/>
      <c r="H23" s="200" t="s">
        <v>125</v>
      </c>
      <c r="I23" s="201" t="str">
        <f>+'Necesidades Trimestrales'!F21</f>
        <v>UNIDAD</v>
      </c>
      <c r="J23" s="202">
        <f>+'Necesidades Trimestrales'!H21</f>
        <v>255</v>
      </c>
      <c r="K23" s="203">
        <f>+'Necesidades Trimestrales'!G21</f>
        <v>500</v>
      </c>
      <c r="M23" s="100"/>
    </row>
    <row r="24" spans="1:13" ht="43.5" customHeight="1" thickBot="1" x14ac:dyDescent="0.3">
      <c r="A24" s="197">
        <f>'Necesidades Trimestrales'!A22</f>
        <v>13</v>
      </c>
      <c r="B24" s="198" t="str">
        <f>+'Necesidades Trimestrales'!B22</f>
        <v>2.9.5-2226.36</v>
      </c>
      <c r="C24" s="199" t="str">
        <f>+'Necesidades Trimestrales'!E22</f>
        <v>CONECTORES P/MEDICINA; USO: SISTEMA CERRADO P/INYECCIÓN; CONECTOR: CONTROL DE FLUJO PARA VARIAS VÍAS</v>
      </c>
      <c r="D24" s="199"/>
      <c r="E24" s="199"/>
      <c r="F24" s="199"/>
      <c r="G24" s="199"/>
      <c r="H24" s="200" t="s">
        <v>125</v>
      </c>
      <c r="I24" s="201" t="str">
        <f>+'Necesidades Trimestrales'!F22</f>
        <v>UNIDAD</v>
      </c>
      <c r="J24" s="202">
        <f>+'Necesidades Trimestrales'!H22</f>
        <v>35</v>
      </c>
      <c r="K24" s="203">
        <f>+'Necesidades Trimestrales'!G22</f>
        <v>1000</v>
      </c>
      <c r="M24" s="100"/>
    </row>
    <row r="25" spans="1:13" ht="43.5" customHeight="1" thickBot="1" x14ac:dyDescent="0.3">
      <c r="A25" s="197">
        <f>'Necesidades Trimestrales'!A23</f>
        <v>14</v>
      </c>
      <c r="B25" s="198" t="str">
        <f>+'Necesidades Trimestrales'!B23</f>
        <v>2.9.5-2161.562</v>
      </c>
      <c r="C25" s="199" t="str">
        <f>+'Necesidades Trimestrales'!E23</f>
        <v>CATÉTERES/SONDAS; NÚMERO: 16; TIPO: FOLEY DOBLE VÍA, 100% DE SILICONA</v>
      </c>
      <c r="D25" s="199"/>
      <c r="E25" s="199"/>
      <c r="F25" s="199"/>
      <c r="G25" s="199"/>
      <c r="H25" s="200" t="s">
        <v>26</v>
      </c>
      <c r="I25" s="201" t="str">
        <f>+'Necesidades Trimestrales'!F23</f>
        <v>UNIDAD</v>
      </c>
      <c r="J25" s="202">
        <f>+'Necesidades Trimestrales'!H23</f>
        <v>380</v>
      </c>
      <c r="K25" s="203">
        <f>+'Necesidades Trimestrales'!G23</f>
        <v>50</v>
      </c>
      <c r="M25" s="100"/>
    </row>
    <row r="26" spans="1:13" ht="43.5" customHeight="1" thickBot="1" x14ac:dyDescent="0.3">
      <c r="A26" s="197">
        <f>'Necesidades Trimestrales'!A24</f>
        <v>15</v>
      </c>
      <c r="B26" s="198" t="str">
        <f>+'Necesidades Trimestrales'!B24</f>
        <v>2.9.5-2161.563</v>
      </c>
      <c r="C26" s="199" t="str">
        <f>+'Necesidades Trimestrales'!E24</f>
        <v>CATÉTERES/SONDAS; NÚMERO: 18; TIPO: FOLEY DOBLE VÍA, 100% DE SILICONA</v>
      </c>
      <c r="D26" s="199"/>
      <c r="E26" s="199"/>
      <c r="F26" s="199"/>
      <c r="G26" s="199"/>
      <c r="H26" s="200" t="s">
        <v>26</v>
      </c>
      <c r="I26" s="201" t="str">
        <f>+'Necesidades Trimestrales'!F24</f>
        <v>UNIDAD</v>
      </c>
      <c r="J26" s="202">
        <f>+'Necesidades Trimestrales'!H24</f>
        <v>380</v>
      </c>
      <c r="K26" s="203">
        <f>+'Necesidades Trimestrales'!G24</f>
        <v>50</v>
      </c>
      <c r="M26" s="100"/>
    </row>
    <row r="27" spans="1:13" ht="43.5" customHeight="1" thickBot="1" x14ac:dyDescent="0.3">
      <c r="A27" s="197">
        <f>'Necesidades Trimestrales'!A25</f>
        <v>16</v>
      </c>
      <c r="B27" s="198" t="str">
        <f>+'Necesidades Trimestrales'!B25</f>
        <v>2.9.5-2161.216</v>
      </c>
      <c r="C27" s="199" t="str">
        <f>+'Necesidades Trimestrales'!E25</f>
        <v>CATETERES/SONDAS; NUMERO: K-30, TIPO: ASP. MUCUS Y ADMINISTRAC. OXIG</v>
      </c>
      <c r="D27" s="199"/>
      <c r="E27" s="199"/>
      <c r="F27" s="199"/>
      <c r="G27" s="199"/>
      <c r="H27" s="200" t="s">
        <v>26</v>
      </c>
      <c r="I27" s="201" t="str">
        <f>+'Necesidades Trimestrales'!F25</f>
        <v>UNIDAD</v>
      </c>
      <c r="J27" s="202">
        <f>+'Necesidades Trimestrales'!H25</f>
        <v>48</v>
      </c>
      <c r="K27" s="203">
        <f>+'Necesidades Trimestrales'!G25</f>
        <v>150</v>
      </c>
      <c r="M27" s="100"/>
    </row>
    <row r="28" spans="1:13" ht="43.5" customHeight="1" thickBot="1" x14ac:dyDescent="0.3">
      <c r="A28" s="197">
        <f>'Necesidades Trimestrales'!A26</f>
        <v>17</v>
      </c>
      <c r="B28" s="198" t="str">
        <f>+'Necesidades Trimestrales'!B26</f>
        <v>2.9.5-2161.217</v>
      </c>
      <c r="C28" s="199" t="str">
        <f>+'Necesidades Trimestrales'!E26</f>
        <v>CATETERES/SONDAS; NUMERO: K-31, TIPO: ASP. MUCUS Y ADMINISTRAC. OXIG</v>
      </c>
      <c r="D28" s="199"/>
      <c r="E28" s="199"/>
      <c r="F28" s="199"/>
      <c r="G28" s="199"/>
      <c r="H28" s="200" t="s">
        <v>26</v>
      </c>
      <c r="I28" s="201" t="str">
        <f>+'Necesidades Trimestrales'!F26</f>
        <v>UNIDAD</v>
      </c>
      <c r="J28" s="202">
        <f>+'Necesidades Trimestrales'!H26</f>
        <v>48</v>
      </c>
      <c r="K28" s="203">
        <f>+'Necesidades Trimestrales'!G26</f>
        <v>150</v>
      </c>
      <c r="M28" s="100"/>
    </row>
    <row r="29" spans="1:13" ht="43.5" customHeight="1" thickBot="1" x14ac:dyDescent="0.3">
      <c r="A29" s="197">
        <f>'Necesidades Trimestrales'!A27</f>
        <v>18</v>
      </c>
      <c r="B29" s="198" t="str">
        <f>+'Necesidades Trimestrales'!B27</f>
        <v>2.9.5-2161.188</v>
      </c>
      <c r="C29" s="199" t="str">
        <f>+'Necesidades Trimestrales'!E27</f>
        <v>CATETERES/SONDAS; NUMERO: K-33, TIPO: NASOGASTRICA</v>
      </c>
      <c r="D29" s="199"/>
      <c r="E29" s="199"/>
      <c r="F29" s="199"/>
      <c r="G29" s="199"/>
      <c r="H29" s="200" t="s">
        <v>26</v>
      </c>
      <c r="I29" s="201" t="str">
        <f>+'Necesidades Trimestrales'!F27</f>
        <v>UNIDAD</v>
      </c>
      <c r="J29" s="202">
        <f>+'Necesidades Trimestrales'!H27</f>
        <v>48</v>
      </c>
      <c r="K29" s="203">
        <f>+'Necesidades Trimestrales'!G27</f>
        <v>2000</v>
      </c>
      <c r="M29" s="100"/>
    </row>
    <row r="30" spans="1:13" ht="43.5" customHeight="1" thickBot="1" x14ac:dyDescent="0.3">
      <c r="A30" s="197">
        <f>'Necesidades Trimestrales'!A28</f>
        <v>19</v>
      </c>
      <c r="B30" s="198" t="str">
        <f>+'Necesidades Trimestrales'!B28</f>
        <v>2.9.5-2161.187</v>
      </c>
      <c r="C30" s="199" t="str">
        <f>+'Necesidades Trimestrales'!E28</f>
        <v>CATETERES/SONDAS; NUMERO: K-35, TIPO: NASOGASTRICA PARA PREMATUROS</v>
      </c>
      <c r="D30" s="199"/>
      <c r="E30" s="199"/>
      <c r="F30" s="199"/>
      <c r="G30" s="199"/>
      <c r="H30" s="200" t="s">
        <v>26</v>
      </c>
      <c r="I30" s="201" t="str">
        <f>+'Necesidades Trimestrales'!F28</f>
        <v>UNIDAD</v>
      </c>
      <c r="J30" s="202">
        <f>+'Necesidades Trimestrales'!H28</f>
        <v>48</v>
      </c>
      <c r="K30" s="203">
        <f>+'Necesidades Trimestrales'!G28</f>
        <v>1200</v>
      </c>
      <c r="M30" s="100"/>
    </row>
    <row r="31" spans="1:13" ht="43.5" customHeight="1" thickBot="1" x14ac:dyDescent="0.3">
      <c r="A31" s="197">
        <f>'Necesidades Trimestrales'!A29</f>
        <v>20</v>
      </c>
      <c r="B31" s="198" t="str">
        <f>+'Necesidades Trimestrales'!B29</f>
        <v>2.9.5-2161.158</v>
      </c>
      <c r="C31" s="199" t="str">
        <f>+'Necesidades Trimestrales'!E29</f>
        <v>CATETERES/SONDAS; NUMERO: K93, TIPO: URETRAL</v>
      </c>
      <c r="D31" s="199"/>
      <c r="E31" s="199"/>
      <c r="F31" s="199"/>
      <c r="G31" s="199"/>
      <c r="H31" s="200" t="s">
        <v>26</v>
      </c>
      <c r="I31" s="201" t="str">
        <f>+'Necesidades Trimestrales'!F29</f>
        <v>UNIDAD</v>
      </c>
      <c r="J31" s="202">
        <f>+'Necesidades Trimestrales'!H29</f>
        <v>85</v>
      </c>
      <c r="K31" s="203">
        <f>+'Necesidades Trimestrales'!G29</f>
        <v>1000</v>
      </c>
      <c r="M31" s="100"/>
    </row>
    <row r="32" spans="1:13" ht="43.5" customHeight="1" x14ac:dyDescent="0.25">
      <c r="A32" s="46">
        <f>'Necesidades Trimestrales'!A30</f>
        <v>21</v>
      </c>
      <c r="B32" s="49" t="str">
        <f>+'Necesidades Trimestrales'!B30</f>
        <v>2.9.5-2226.33</v>
      </c>
      <c r="C32" s="153" t="str">
        <f>+'Necesidades Trimestrales'!E30</f>
        <v>CONECTORES P/MEDICINA; USO: SIST. INYECCION INTERMITENTE, CONECTOR: ESTANDAR</v>
      </c>
      <c r="D32" s="153"/>
      <c r="E32" s="153"/>
      <c r="F32" s="153"/>
      <c r="G32" s="153"/>
      <c r="H32" s="47" t="s">
        <v>125</v>
      </c>
      <c r="I32" s="48" t="str">
        <f>+'Necesidades Trimestrales'!F30</f>
        <v>UNIDAD</v>
      </c>
      <c r="J32" s="53">
        <f>+'Necesidades Trimestrales'!H30</f>
        <v>22</v>
      </c>
      <c r="K32" s="56">
        <f>+'Necesidades Trimestrales'!G30</f>
        <v>600</v>
      </c>
      <c r="M32" s="100"/>
    </row>
    <row r="33" spans="1:11" ht="41.25" customHeight="1" thickBot="1" x14ac:dyDescent="0.25">
      <c r="A33" s="163" t="s">
        <v>127</v>
      </c>
      <c r="B33" s="164"/>
      <c r="C33" s="164"/>
      <c r="D33" s="164"/>
      <c r="E33" s="164"/>
      <c r="F33" s="164"/>
      <c r="G33" s="164"/>
      <c r="H33" s="164"/>
      <c r="I33" s="165"/>
      <c r="J33" s="166">
        <f>SUMPRODUCT(J12:J32*K12:K32)</f>
        <v>1073835</v>
      </c>
      <c r="K33" s="167"/>
    </row>
    <row r="34" spans="1:11" ht="12.75" customHeight="1" x14ac:dyDescent="0.2"/>
    <row r="36" spans="1:11" ht="12.75" customHeight="1" x14ac:dyDescent="0.2">
      <c r="J36" s="162"/>
      <c r="K36" s="162"/>
    </row>
    <row r="37" spans="1:11" ht="12.75" customHeight="1" x14ac:dyDescent="0.2">
      <c r="D37" s="51"/>
      <c r="E37" s="51"/>
      <c r="F37" s="51"/>
      <c r="G37" s="51"/>
      <c r="H37" s="51"/>
      <c r="I37" s="51"/>
    </row>
    <row r="38" spans="1:11" ht="15" x14ac:dyDescent="0.2">
      <c r="D38" s="51"/>
      <c r="E38" s="51"/>
      <c r="F38" s="51"/>
      <c r="G38" s="51"/>
      <c r="H38" s="51"/>
      <c r="I38" s="51"/>
    </row>
    <row r="39" spans="1:11" ht="30" customHeight="1" x14ac:dyDescent="0.2">
      <c r="D39" s="51"/>
      <c r="E39" s="51"/>
      <c r="F39" s="51"/>
      <c r="G39" s="51"/>
      <c r="H39" s="51"/>
      <c r="I39" s="51"/>
    </row>
    <row r="40" spans="1:11" ht="15" customHeight="1" x14ac:dyDescent="0.2">
      <c r="D40" s="52"/>
      <c r="E40" s="51"/>
      <c r="F40" s="51"/>
      <c r="G40" s="51"/>
      <c r="H40" s="51"/>
      <c r="I40" s="51"/>
    </row>
  </sheetData>
  <mergeCells count="44">
    <mergeCell ref="C14:G14"/>
    <mergeCell ref="C24:G24"/>
    <mergeCell ref="C18:G18"/>
    <mergeCell ref="C16:G16"/>
    <mergeCell ref="C17:G17"/>
    <mergeCell ref="C23:G23"/>
    <mergeCell ref="C21:G21"/>
    <mergeCell ref="C19:G19"/>
    <mergeCell ref="C20:G20"/>
    <mergeCell ref="J36:K36"/>
    <mergeCell ref="A33:I33"/>
    <mergeCell ref="J33:K33"/>
    <mergeCell ref="C22:G22"/>
    <mergeCell ref="C15:G15"/>
    <mergeCell ref="C25:G25"/>
    <mergeCell ref="C26:G26"/>
    <mergeCell ref="C27:G27"/>
    <mergeCell ref="C28:G28"/>
    <mergeCell ref="C29:G29"/>
    <mergeCell ref="C30:G30"/>
    <mergeCell ref="C31:G31"/>
    <mergeCell ref="C32:G32"/>
    <mergeCell ref="C12:G12"/>
    <mergeCell ref="C13:G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honeticPr fontId="39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"/>
  <sheetViews>
    <sheetView topLeftCell="A6" workbookViewId="0">
      <selection activeCell="T18" sqref="T18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76" t="s">
        <v>3</v>
      </c>
      <c r="B1" s="176"/>
      <c r="C1" s="176"/>
      <c r="D1" s="177">
        <v>2022</v>
      </c>
      <c r="E1" s="177"/>
      <c r="F1" s="4"/>
      <c r="G1" s="4"/>
      <c r="H1" s="5"/>
      <c r="I1" s="5"/>
      <c r="J1" s="5"/>
      <c r="K1" s="5"/>
      <c r="L1" s="5"/>
      <c r="M1" s="5"/>
      <c r="N1" s="5"/>
      <c r="P1" s="178" t="s">
        <v>27</v>
      </c>
      <c r="Q1" s="178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78"/>
      <c r="Q2" s="178"/>
    </row>
    <row r="4" spans="1:17" s="6" customFormat="1" ht="18" customHeight="1" thickBot="1" x14ac:dyDescent="0.25">
      <c r="A4" s="179" t="s">
        <v>28</v>
      </c>
      <c r="B4" s="179"/>
      <c r="C4" s="179"/>
      <c r="D4" s="179"/>
      <c r="E4" s="179"/>
      <c r="F4" s="179"/>
      <c r="G4" s="174" t="str">
        <f>' NotaPedido'!D3</f>
        <v>40- Ministerio de Salud</v>
      </c>
      <c r="H4" s="174"/>
      <c r="I4" s="174"/>
      <c r="J4" s="174"/>
      <c r="K4" s="174"/>
      <c r="L4" s="174"/>
      <c r="M4" s="174"/>
      <c r="N4" s="174"/>
      <c r="O4" s="174"/>
      <c r="P4" s="174"/>
      <c r="Q4" s="174"/>
    </row>
    <row r="5" spans="1:17" s="6" customFormat="1" ht="18" customHeight="1" thickBot="1" x14ac:dyDescent="0.25">
      <c r="A5" s="171" t="s">
        <v>14</v>
      </c>
      <c r="B5" s="172"/>
      <c r="C5" s="172"/>
      <c r="D5" s="172"/>
      <c r="E5" s="172"/>
      <c r="F5" s="173"/>
      <c r="G5" s="174" t="str">
        <f>' NotaPedido'!D4</f>
        <v>28- Maternidad Provincial 25 de Mayo</v>
      </c>
      <c r="H5" s="174"/>
      <c r="I5" s="174"/>
      <c r="J5" s="174"/>
      <c r="K5" s="174"/>
      <c r="L5" s="174"/>
      <c r="M5" s="174"/>
      <c r="N5" s="174"/>
      <c r="O5" s="174"/>
      <c r="P5" s="174"/>
      <c r="Q5" s="174"/>
    </row>
    <row r="6" spans="1:17" s="6" customFormat="1" ht="18" customHeight="1" thickBot="1" x14ac:dyDescent="0.25">
      <c r="A6" s="171" t="s">
        <v>15</v>
      </c>
      <c r="B6" s="172"/>
      <c r="C6" s="172"/>
      <c r="D6" s="172"/>
      <c r="E6" s="172"/>
      <c r="F6" s="173"/>
      <c r="G6" s="174" t="str">
        <f>' NotaPedido'!D5</f>
        <v xml:space="preserve">169- Direccion Asistencial 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</row>
    <row r="7" spans="1:17" s="6" customFormat="1" ht="18" customHeight="1" thickBot="1" x14ac:dyDescent="0.25">
      <c r="A7" s="171" t="s">
        <v>16</v>
      </c>
      <c r="B7" s="172"/>
      <c r="C7" s="172"/>
      <c r="D7" s="172"/>
      <c r="E7" s="172"/>
      <c r="F7" s="173"/>
      <c r="G7" s="174" t="str">
        <f>' NotaPedido'!D6</f>
        <v xml:space="preserve">Servicio de Farmacia  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</row>
    <row r="8" spans="1:17" ht="18" customHeight="1" thickBot="1" x14ac:dyDescent="0.25">
      <c r="A8" s="175" t="s">
        <v>29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</row>
    <row r="9" spans="1:17" ht="18" customHeight="1" x14ac:dyDescent="0.2">
      <c r="A9" s="168" t="s">
        <v>30</v>
      </c>
      <c r="B9" s="168"/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"/>
      <c r="P9" s="1"/>
      <c r="Q9" s="7"/>
    </row>
    <row r="10" spans="1:17" ht="54.75" customHeight="1" x14ac:dyDescent="0.2">
      <c r="A10" s="169" t="s">
        <v>113</v>
      </c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70" t="s">
        <v>31</v>
      </c>
      <c r="B12" s="170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</row>
    <row r="13" spans="1:17" ht="15.75" customHeight="1" thickBot="1" x14ac:dyDescent="0.25">
      <c r="A13" s="180" t="s">
        <v>32</v>
      </c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1" t="s">
        <v>33</v>
      </c>
      <c r="P13" s="181"/>
      <c r="Q13" s="182" t="s">
        <v>34</v>
      </c>
    </row>
    <row r="14" spans="1:17" ht="15.75" customHeight="1" thickBot="1" x14ac:dyDescent="0.25">
      <c r="A14" s="12" t="s">
        <v>35</v>
      </c>
      <c r="B14" s="13" t="s">
        <v>36</v>
      </c>
      <c r="C14" s="13" t="s">
        <v>37</v>
      </c>
      <c r="D14" s="13" t="s">
        <v>38</v>
      </c>
      <c r="E14" s="13" t="s">
        <v>39</v>
      </c>
      <c r="F14" s="13" t="s">
        <v>40</v>
      </c>
      <c r="G14" s="14" t="s">
        <v>41</v>
      </c>
      <c r="H14" s="13" t="s">
        <v>42</v>
      </c>
      <c r="I14" s="13" t="s">
        <v>43</v>
      </c>
      <c r="J14" s="13" t="s">
        <v>44</v>
      </c>
      <c r="K14" s="13" t="s">
        <v>44</v>
      </c>
      <c r="L14" s="13" t="s">
        <v>45</v>
      </c>
      <c r="M14" s="15" t="s">
        <v>46</v>
      </c>
      <c r="N14" s="16" t="s">
        <v>47</v>
      </c>
      <c r="O14" s="181"/>
      <c r="P14" s="181"/>
      <c r="Q14" s="182"/>
    </row>
    <row r="15" spans="1:17" ht="27" customHeight="1" x14ac:dyDescent="0.2">
      <c r="A15" s="21">
        <v>42</v>
      </c>
      <c r="B15" s="22"/>
      <c r="C15" s="22"/>
      <c r="D15" s="22">
        <v>2</v>
      </c>
      <c r="E15" s="22"/>
      <c r="F15" s="22">
        <v>4901</v>
      </c>
      <c r="G15" s="22">
        <v>3</v>
      </c>
      <c r="H15" s="22">
        <v>1</v>
      </c>
      <c r="I15" s="22">
        <v>2</v>
      </c>
      <c r="J15" s="22">
        <v>9</v>
      </c>
      <c r="K15" s="22">
        <v>5</v>
      </c>
      <c r="L15" s="22"/>
      <c r="M15" s="23">
        <v>1</v>
      </c>
      <c r="N15" s="22" t="s">
        <v>48</v>
      </c>
      <c r="O15" s="189" t="s">
        <v>65</v>
      </c>
      <c r="P15" s="190"/>
      <c r="Q15" s="29">
        <v>1073835</v>
      </c>
    </row>
    <row r="16" spans="1:17" ht="28.5" customHeight="1" x14ac:dyDescent="0.2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7"/>
      <c r="O16" s="191"/>
      <c r="P16" s="192"/>
      <c r="Q16" s="28"/>
    </row>
    <row r="17" spans="1:17" ht="28.5" customHeight="1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20"/>
      <c r="O17" s="183"/>
      <c r="P17" s="184"/>
      <c r="Q17" s="29"/>
    </row>
    <row r="18" spans="1:17" ht="31.5" customHeight="1" thickBot="1" x14ac:dyDescent="0.25">
      <c r="A18" s="186" t="s">
        <v>128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7">
        <f>SUM(Q15:Q16)</f>
        <v>1073835</v>
      </c>
    </row>
    <row r="19" spans="1:17" ht="18" customHeight="1" thickBot="1" x14ac:dyDescent="0.25">
      <c r="A19" s="187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7" ht="17.25" customHeight="1" thickBot="1" x14ac:dyDescent="0.25">
      <c r="A20" s="193" t="s">
        <v>49</v>
      </c>
      <c r="B20" s="194"/>
      <c r="C20" s="194"/>
      <c r="D20" s="194"/>
      <c r="E20" s="194"/>
      <c r="F20" s="195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</row>
    <row r="21" spans="1:17" ht="18" customHeight="1" thickBot="1" x14ac:dyDescent="0.25">
      <c r="A21" s="185" t="s">
        <v>68</v>
      </c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  <c r="Q21" s="185"/>
    </row>
    <row r="22" spans="1:17" ht="39.75" customHeight="1" thickBot="1" x14ac:dyDescent="0.25">
      <c r="A22" s="185"/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  <c r="Q22" s="185"/>
    </row>
  </sheetData>
  <mergeCells count="26">
    <mergeCell ref="A13:N13"/>
    <mergeCell ref="O13:P14"/>
    <mergeCell ref="Q13:Q14"/>
    <mergeCell ref="O17:P17"/>
    <mergeCell ref="A21:Q22"/>
    <mergeCell ref="A18:P18"/>
    <mergeCell ref="A19:Q19"/>
    <mergeCell ref="O15:P15"/>
    <mergeCell ref="O16:P16"/>
    <mergeCell ref="A20:F20"/>
    <mergeCell ref="G20:Q20"/>
    <mergeCell ref="A1:C1"/>
    <mergeCell ref="D1:E1"/>
    <mergeCell ref="P1:Q2"/>
    <mergeCell ref="A4:F4"/>
    <mergeCell ref="G4:Q4"/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</mergeCells>
  <phoneticPr fontId="42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usuario</cp:lastModifiedBy>
  <cp:revision>2</cp:revision>
  <cp:lastPrinted>2021-02-26T14:25:47Z</cp:lastPrinted>
  <dcterms:created xsi:type="dcterms:W3CDTF">2020-07-17T23:44:49Z</dcterms:created>
  <dcterms:modified xsi:type="dcterms:W3CDTF">2022-07-26T11:20:26Z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