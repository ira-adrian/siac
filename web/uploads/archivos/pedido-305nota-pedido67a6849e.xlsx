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0577727-B491-47E5-B643-6A0E3E988761}" xr6:coauthVersionLast="46" xr6:coauthVersionMax="46" xr10:uidLastSave="{00000000-0000-0000-0000-000000000000}"/>
  <bookViews>
    <workbookView xWindow="-120" yWindow="-120" windowWidth="29040" windowHeight="15840" xr2:uid="{E77AC81D-32F9-4C4F-B41F-98176CB3C079}"/>
  </bookViews>
  <sheets>
    <sheet name="HNEP" sheetId="1" r:id="rId1"/>
  </sheets>
  <definedNames>
    <definedName name="_xlnm._FilterDatabase" localSheetId="0" hidden="1">HNEP!$A$8:$I$8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</calcChain>
</file>

<file path=xl/sharedStrings.xml><?xml version="1.0" encoding="utf-8"?>
<sst xmlns="http://schemas.openxmlformats.org/spreadsheetml/2006/main" count="87" uniqueCount="46">
  <si>
    <t>ENVASES PARA DISPENSER MARCA ADOX. DEBE INCLUIR UN DISPENSER CADA 10 ENVASES.</t>
  </si>
  <si>
    <t>Descripción técnica</t>
  </si>
  <si>
    <t>Especificidades Item N° 16 Y 17: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</si>
  <si>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</si>
  <si>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</si>
  <si>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</si>
  <si>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</si>
  <si>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</si>
  <si>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TINTURA DE IODO FUERTE X 1 LITRO</t>
  </si>
  <si>
    <t>PROD. MEDICO/ FARMACEUTICOS/LAB</t>
  </si>
  <si>
    <t>NITROFURAZONA X 1 LITRO</t>
  </si>
  <si>
    <t>MONOPERSUFATO DE POTASIO DESINFECTANTE DE SUPERFICIE SOBRE PARA PREPARAR UN LITRO DE SOLUCION TIPO LT8</t>
  </si>
  <si>
    <t xml:space="preserve">LOCION ALCOHOLICA BACTERICIDA CON CLORHEXIDINA TIPO L9  ENV.X 800ML </t>
  </si>
  <si>
    <t xml:space="preserve">JABON LIQUIDO HIPOALERGENICO CON EMOLIENTE TIPO JL4 ENV.X 800ML </t>
  </si>
  <si>
    <t xml:space="preserve">IODOPOVIDONA 5% JABON X 1 LITRO CON VALVULA ATOMIZADORA </t>
  </si>
  <si>
    <t>IODOPOVIDONA 10%SOLUCION X 1 LITRO CON VALVULA ATOMIZADORA</t>
  </si>
  <si>
    <t>GLUTARALDEHIDO 2% CON SURFACTANTE BIDON X 4 LITROS</t>
  </si>
  <si>
    <t>DETERGENTE TRES ENZIMAS ( LIPASA, AMILASA,PROTEASA ) BIDON X 5 LITROS</t>
  </si>
  <si>
    <t>CLOROXILENOL  X 5 LITROS</t>
  </si>
  <si>
    <t xml:space="preserve">CLORHEXIDINA 4% JABON X 500 ML CON VALVULA DISPENSADORA </t>
  </si>
  <si>
    <t>CLORHEXIDINA 2% SOLUCION ACUOSA X 250 ML</t>
  </si>
  <si>
    <t>ALCOHOL IODADO AL  2% X 1 LITRO</t>
  </si>
  <si>
    <t>ALCOHOL EN GEL X 500 ML.</t>
  </si>
  <si>
    <t>ALCOHOL EN GEL X 250 ML</t>
  </si>
  <si>
    <t>ALCOHOL 96º X 1000 ML</t>
  </si>
  <si>
    <t>ALCOHOL 96 % X 500 ML</t>
  </si>
  <si>
    <t>ALCOHOL 70 % X 500 ML</t>
  </si>
  <si>
    <t>ALCOHOL 70 % X 1000 ML</t>
  </si>
  <si>
    <t>AGUA OXIGENADA MEDICINAL DE 10 VOLUMENES X 1 LITRO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</si>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</sst>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56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/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165" fontId="2" fillId="0" borderId="0" xfId="0" applyNumberFormat="1" applyFont="1"/>
    <xf numFmtId="0" fontId="4" fillId="0" borderId="8" xfId="0" applyFont="1" applyBorder="1" applyAlignment="1">
      <alignment horizontal="left" indent="3"/>
    </xf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/>
    </xf>
    <xf numFmtId="0" fontId="5" fillId="0" borderId="10" xfId="0" applyFont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0" fontId="5" fillId="0" borderId="10" xfId="2" applyBorder="1" applyAlignment="1">
      <alignment horizontal="left" vertical="center" wrapText="1"/>
    </xf>
    <xf numFmtId="0" fontId="5" fillId="0" borderId="14" xfId="2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vertical="center" wrapText="1"/>
    </xf>
    <xf numFmtId="165" fontId="3" fillId="2" borderId="15" xfId="1" applyNumberFormat="1" applyFont="1" applyFill="1" applyBorder="1" applyAlignment="1" applyProtection="1">
      <alignment horizontal="right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wrapText="1"/>
    </xf>
    <xf numFmtId="0" fontId="0" fillId="0" borderId="16" xfId="0" applyBorder="1"/>
    <xf numFmtId="0" fontId="3" fillId="0" borderId="17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164" fontId="9" fillId="3" borderId="18" xfId="0" applyNumberFormat="1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 indent="1"/>
    </xf>
    <xf numFmtId="0" fontId="12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left" wrapText="1" indent="1"/>
    </xf>
    <xf numFmtId="0" fontId="13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5D02D27A-C16C-44A7-B282-26F3C3257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6F65-B374-4C65-AF16-F6C194E3B14F}">
  <dimension ref="A1:O43"/>
  <sheetViews>
    <sheetView tabSelected="1" workbookViewId="0">
      <selection activeCell="E25" sqref="E25"/>
    </sheetView>
  </sheetViews>
  <sheetFormatPr baseColWidth="10" defaultRowHeight="15" x14ac:dyDescent="0.25"/>
  <cols>
    <col min="1" max="1" width="6.42578125" customWidth="1"/>
    <col min="2" max="2" width="11" customWidth="1"/>
    <col min="3" max="3" width="28.42578125" customWidth="1"/>
    <col min="4" max="4" width="8.42578125" customWidth="1"/>
    <col min="5" max="5" width="57.7109375" customWidth="1"/>
    <col min="7" max="7" width="10.42578125" bestFit="1" customWidth="1"/>
    <col min="8" max="8" width="13.85546875" customWidth="1"/>
    <col min="9" max="9" width="18.5703125" customWidth="1"/>
  </cols>
  <sheetData>
    <row r="1" spans="1:9" ht="27" x14ac:dyDescent="0.35">
      <c r="A1" s="1"/>
      <c r="B1" s="55" t="s">
        <v>45</v>
      </c>
      <c r="C1" s="55"/>
      <c r="D1" s="55"/>
      <c r="E1" s="55"/>
      <c r="F1" s="55"/>
      <c r="G1" s="55"/>
      <c r="H1" s="55"/>
      <c r="I1" s="1"/>
    </row>
    <row r="2" spans="1:9" x14ac:dyDescent="0.25">
      <c r="A2" s="1"/>
      <c r="B2" s="1"/>
      <c r="C2" s="1"/>
      <c r="D2" s="1"/>
      <c r="E2" s="1"/>
      <c r="F2" s="1"/>
      <c r="G2" s="1"/>
      <c r="H2" s="2"/>
      <c r="I2" s="1"/>
    </row>
    <row r="3" spans="1:9" ht="15.75" x14ac:dyDescent="0.25">
      <c r="A3" s="53" t="s">
        <v>44</v>
      </c>
      <c r="B3" s="53"/>
      <c r="C3" s="54" t="s">
        <v>43</v>
      </c>
      <c r="D3" s="54"/>
      <c r="E3" s="54"/>
      <c r="F3" s="50"/>
      <c r="G3" s="49"/>
      <c r="H3" s="48"/>
      <c r="I3" s="1"/>
    </row>
    <row r="4" spans="1:9" ht="15.75" x14ac:dyDescent="0.25">
      <c r="A4" s="53" t="s">
        <v>42</v>
      </c>
      <c r="B4" s="53"/>
      <c r="C4" s="54" t="s">
        <v>41</v>
      </c>
      <c r="D4" s="54"/>
      <c r="E4" s="54"/>
      <c r="F4" s="50" t="s">
        <v>40</v>
      </c>
      <c r="G4" s="49" t="s">
        <v>40</v>
      </c>
      <c r="H4" s="48"/>
      <c r="I4" s="1"/>
    </row>
    <row r="5" spans="1:9" ht="15.75" x14ac:dyDescent="0.25">
      <c r="A5" s="53" t="s">
        <v>39</v>
      </c>
      <c r="B5" s="53"/>
      <c r="C5" s="52">
        <v>2021</v>
      </c>
      <c r="D5" s="51"/>
      <c r="E5" s="51"/>
      <c r="F5" s="50"/>
      <c r="G5" s="49"/>
      <c r="H5" s="48"/>
      <c r="I5" s="1"/>
    </row>
    <row r="6" spans="1:9" ht="15.75" x14ac:dyDescent="0.25">
      <c r="A6" s="53" t="s">
        <v>38</v>
      </c>
      <c r="B6" s="53"/>
      <c r="C6" s="52">
        <v>2</v>
      </c>
      <c r="D6" s="51"/>
      <c r="E6" s="51"/>
      <c r="F6" s="50"/>
      <c r="G6" s="49"/>
      <c r="H6" s="48"/>
      <c r="I6" s="1"/>
    </row>
    <row r="7" spans="1:9" ht="15.75" thickBot="1" x14ac:dyDescent="0.3">
      <c r="A7" s="1"/>
      <c r="B7" s="50"/>
      <c r="C7" s="49"/>
      <c r="D7" s="50"/>
      <c r="E7" s="50"/>
      <c r="F7" s="50"/>
      <c r="G7" s="49"/>
      <c r="H7" s="48"/>
      <c r="I7" s="1"/>
    </row>
    <row r="8" spans="1:9" ht="36.75" thickBot="1" x14ac:dyDescent="0.3">
      <c r="A8" s="47" t="s">
        <v>37</v>
      </c>
      <c r="B8" s="47" t="s">
        <v>36</v>
      </c>
      <c r="C8" s="47" t="s">
        <v>35</v>
      </c>
      <c r="D8" s="47" t="s">
        <v>34</v>
      </c>
      <c r="E8" s="47" t="s">
        <v>33</v>
      </c>
      <c r="F8" s="47" t="s">
        <v>32</v>
      </c>
      <c r="G8" s="45" t="s">
        <v>31</v>
      </c>
      <c r="H8" s="46" t="s">
        <v>30</v>
      </c>
      <c r="I8" s="45" t="s">
        <v>29</v>
      </c>
    </row>
    <row r="9" spans="1:9" ht="26.25" x14ac:dyDescent="0.25">
      <c r="A9" s="44">
        <v>1</v>
      </c>
      <c r="B9" s="43"/>
      <c r="C9" s="42" t="s">
        <v>9</v>
      </c>
      <c r="D9" s="41">
        <v>252</v>
      </c>
      <c r="E9" s="38" t="s">
        <v>28</v>
      </c>
      <c r="F9" s="22" t="s">
        <v>7</v>
      </c>
      <c r="G9" s="21">
        <v>200</v>
      </c>
      <c r="H9" s="20">
        <v>270</v>
      </c>
      <c r="I9" s="40">
        <f>+G9*H9</f>
        <v>54000</v>
      </c>
    </row>
    <row r="10" spans="1:9" ht="26.25" x14ac:dyDescent="0.25">
      <c r="A10" s="27">
        <v>2</v>
      </c>
      <c r="B10" s="26"/>
      <c r="C10" s="25" t="s">
        <v>9</v>
      </c>
      <c r="D10" s="24">
        <v>252</v>
      </c>
      <c r="E10" s="38" t="s">
        <v>27</v>
      </c>
      <c r="F10" s="22" t="s">
        <v>7</v>
      </c>
      <c r="G10" s="21">
        <v>5000</v>
      </c>
      <c r="H10" s="20">
        <v>109</v>
      </c>
      <c r="I10" s="19">
        <f>+G10*H10</f>
        <v>545000</v>
      </c>
    </row>
    <row r="11" spans="1:9" ht="26.25" x14ac:dyDescent="0.25">
      <c r="A11" s="27">
        <v>3</v>
      </c>
      <c r="B11" s="26"/>
      <c r="C11" s="25" t="s">
        <v>9</v>
      </c>
      <c r="D11" s="24">
        <v>252</v>
      </c>
      <c r="E11" s="38" t="s">
        <v>26</v>
      </c>
      <c r="F11" s="22" t="s">
        <v>7</v>
      </c>
      <c r="G11" s="21">
        <v>9000</v>
      </c>
      <c r="H11" s="20">
        <v>200</v>
      </c>
      <c r="I11" s="19">
        <f>+G11*H11</f>
        <v>1800000</v>
      </c>
    </row>
    <row r="12" spans="1:9" ht="26.25" x14ac:dyDescent="0.25">
      <c r="A12" s="27">
        <v>4</v>
      </c>
      <c r="B12" s="26"/>
      <c r="C12" s="25" t="s">
        <v>9</v>
      </c>
      <c r="D12" s="24">
        <v>252</v>
      </c>
      <c r="E12" s="38" t="s">
        <v>25</v>
      </c>
      <c r="F12" s="22" t="s">
        <v>7</v>
      </c>
      <c r="G12" s="21">
        <v>3000</v>
      </c>
      <c r="H12" s="20">
        <v>101</v>
      </c>
      <c r="I12" s="19">
        <f>+G12*H12</f>
        <v>303000</v>
      </c>
    </row>
    <row r="13" spans="1:9" ht="26.25" x14ac:dyDescent="0.25">
      <c r="A13" s="27">
        <v>5</v>
      </c>
      <c r="B13" s="26"/>
      <c r="C13" s="25" t="s">
        <v>9</v>
      </c>
      <c r="D13" s="24">
        <v>252</v>
      </c>
      <c r="E13" s="39" t="s">
        <v>24</v>
      </c>
      <c r="F13" s="22" t="s">
        <v>7</v>
      </c>
      <c r="G13" s="21">
        <v>3000</v>
      </c>
      <c r="H13" s="20">
        <v>192.5</v>
      </c>
      <c r="I13" s="19">
        <f>+G13*H13</f>
        <v>577500</v>
      </c>
    </row>
    <row r="14" spans="1:9" ht="26.25" x14ac:dyDescent="0.25">
      <c r="A14" s="27">
        <v>6</v>
      </c>
      <c r="B14" s="26"/>
      <c r="C14" s="25" t="s">
        <v>9</v>
      </c>
      <c r="D14" s="24">
        <v>252</v>
      </c>
      <c r="E14" s="38" t="s">
        <v>23</v>
      </c>
      <c r="F14" s="22" t="s">
        <v>7</v>
      </c>
      <c r="G14" s="21">
        <v>2000</v>
      </c>
      <c r="H14" s="20">
        <v>145.5</v>
      </c>
      <c r="I14" s="19">
        <f>+G14*H14</f>
        <v>291000</v>
      </c>
    </row>
    <row r="15" spans="1:9" ht="26.25" x14ac:dyDescent="0.25">
      <c r="A15" s="27">
        <v>7</v>
      </c>
      <c r="B15" s="26"/>
      <c r="C15" s="25" t="s">
        <v>9</v>
      </c>
      <c r="D15" s="24">
        <v>252</v>
      </c>
      <c r="E15" s="38" t="s">
        <v>22</v>
      </c>
      <c r="F15" s="22" t="s">
        <v>7</v>
      </c>
      <c r="G15" s="21">
        <v>5000</v>
      </c>
      <c r="H15" s="20">
        <v>209</v>
      </c>
      <c r="I15" s="19">
        <f>+G15*H15</f>
        <v>1045000</v>
      </c>
    </row>
    <row r="16" spans="1:9" ht="26.25" x14ac:dyDescent="0.25">
      <c r="A16" s="27">
        <v>8</v>
      </c>
      <c r="B16" s="26"/>
      <c r="C16" s="25" t="s">
        <v>9</v>
      </c>
      <c r="D16" s="24">
        <v>252</v>
      </c>
      <c r="E16" s="38" t="s">
        <v>21</v>
      </c>
      <c r="F16" s="22" t="s">
        <v>7</v>
      </c>
      <c r="G16" s="21">
        <v>70</v>
      </c>
      <c r="H16" s="20">
        <v>1800</v>
      </c>
      <c r="I16" s="19">
        <f>+G16*H16</f>
        <v>126000</v>
      </c>
    </row>
    <row r="17" spans="1:15" ht="26.25" x14ac:dyDescent="0.25">
      <c r="A17" s="27">
        <v>9</v>
      </c>
      <c r="B17" s="26"/>
      <c r="C17" s="25" t="s">
        <v>9</v>
      </c>
      <c r="D17" s="24">
        <v>252</v>
      </c>
      <c r="E17" s="38" t="s">
        <v>20</v>
      </c>
      <c r="F17" s="22" t="s">
        <v>7</v>
      </c>
      <c r="G17" s="21">
        <v>2500</v>
      </c>
      <c r="H17" s="20">
        <v>361</v>
      </c>
      <c r="I17" s="19">
        <f>+G17*H17</f>
        <v>902500</v>
      </c>
    </row>
    <row r="18" spans="1:15" ht="26.25" x14ac:dyDescent="0.25">
      <c r="A18" s="27">
        <v>10</v>
      </c>
      <c r="B18" s="26"/>
      <c r="C18" s="25" t="s">
        <v>9</v>
      </c>
      <c r="D18" s="24">
        <v>252</v>
      </c>
      <c r="E18" s="38" t="s">
        <v>19</v>
      </c>
      <c r="F18" s="22" t="s">
        <v>7</v>
      </c>
      <c r="G18" s="21">
        <v>4000</v>
      </c>
      <c r="H18" s="20">
        <v>556</v>
      </c>
      <c r="I18" s="19">
        <f>+G18*H18</f>
        <v>2224000</v>
      </c>
    </row>
    <row r="19" spans="1:15" ht="26.25" x14ac:dyDescent="0.25">
      <c r="A19" s="27">
        <v>11</v>
      </c>
      <c r="B19" s="26"/>
      <c r="C19" s="25" t="s">
        <v>9</v>
      </c>
      <c r="D19" s="24">
        <v>252</v>
      </c>
      <c r="E19" s="38" t="s">
        <v>18</v>
      </c>
      <c r="F19" s="22" t="s">
        <v>7</v>
      </c>
      <c r="G19" s="21">
        <v>4</v>
      </c>
      <c r="H19" s="20">
        <v>4750</v>
      </c>
      <c r="I19" s="19">
        <f>+G19*H19</f>
        <v>19000</v>
      </c>
    </row>
    <row r="20" spans="1:15" ht="26.25" x14ac:dyDescent="0.25">
      <c r="A20" s="27">
        <v>12</v>
      </c>
      <c r="B20" s="26"/>
      <c r="C20" s="25" t="s">
        <v>9</v>
      </c>
      <c r="D20" s="24">
        <v>252</v>
      </c>
      <c r="E20" s="38" t="s">
        <v>17</v>
      </c>
      <c r="F20" s="22" t="s">
        <v>7</v>
      </c>
      <c r="G20" s="21">
        <v>100</v>
      </c>
      <c r="H20" s="20">
        <v>4325.75</v>
      </c>
      <c r="I20" s="19">
        <f>+G20*H20</f>
        <v>432575</v>
      </c>
    </row>
    <row r="21" spans="1:15" ht="26.25" x14ac:dyDescent="0.25">
      <c r="A21" s="27">
        <v>13</v>
      </c>
      <c r="B21" s="26"/>
      <c r="C21" s="25" t="s">
        <v>9</v>
      </c>
      <c r="D21" s="24">
        <v>252</v>
      </c>
      <c r="E21" s="37" t="s">
        <v>16</v>
      </c>
      <c r="F21" s="22" t="s">
        <v>7</v>
      </c>
      <c r="G21" s="21">
        <v>10</v>
      </c>
      <c r="H21" s="20">
        <v>2450</v>
      </c>
      <c r="I21" s="19">
        <f>+G21*H21</f>
        <v>24500</v>
      </c>
    </row>
    <row r="22" spans="1:15" ht="26.25" x14ac:dyDescent="0.25">
      <c r="A22" s="27">
        <v>14</v>
      </c>
      <c r="B22" s="26"/>
      <c r="C22" s="25" t="s">
        <v>9</v>
      </c>
      <c r="D22" s="24">
        <v>252</v>
      </c>
      <c r="E22" s="23" t="s">
        <v>15</v>
      </c>
      <c r="F22" s="22" t="s">
        <v>7</v>
      </c>
      <c r="G22" s="21">
        <v>600</v>
      </c>
      <c r="H22" s="20">
        <v>585</v>
      </c>
      <c r="I22" s="19">
        <f>+G22*H22</f>
        <v>351000</v>
      </c>
    </row>
    <row r="23" spans="1:15" ht="27" thickBot="1" x14ac:dyDescent="0.3">
      <c r="A23" s="27">
        <v>15</v>
      </c>
      <c r="B23" s="26"/>
      <c r="C23" s="25" t="s">
        <v>9</v>
      </c>
      <c r="D23" s="24">
        <v>252</v>
      </c>
      <c r="E23" s="36" t="s">
        <v>14</v>
      </c>
      <c r="F23" s="22" t="s">
        <v>7</v>
      </c>
      <c r="G23" s="21">
        <v>100</v>
      </c>
      <c r="H23" s="20">
        <v>480</v>
      </c>
      <c r="I23" s="19">
        <f>+G23*H23</f>
        <v>48000</v>
      </c>
    </row>
    <row r="24" spans="1:15" ht="27" customHeight="1" x14ac:dyDescent="0.25">
      <c r="A24" s="27">
        <v>16</v>
      </c>
      <c r="B24" s="26"/>
      <c r="C24" s="25" t="s">
        <v>9</v>
      </c>
      <c r="D24" s="24">
        <v>252</v>
      </c>
      <c r="E24" s="32" t="s">
        <v>13</v>
      </c>
      <c r="F24" s="22" t="s">
        <v>7</v>
      </c>
      <c r="G24" s="21">
        <v>840</v>
      </c>
      <c r="H24" s="20">
        <v>847</v>
      </c>
      <c r="I24" s="19">
        <f>+G24*H24</f>
        <v>711480</v>
      </c>
      <c r="K24" s="35" t="s">
        <v>2</v>
      </c>
      <c r="L24" s="34" t="s">
        <v>0</v>
      </c>
      <c r="M24" s="34"/>
      <c r="N24" s="34"/>
      <c r="O24" s="33"/>
    </row>
    <row r="25" spans="1:15" ht="27" thickBot="1" x14ac:dyDescent="0.3">
      <c r="A25" s="27">
        <v>17</v>
      </c>
      <c r="B25" s="26"/>
      <c r="C25" s="25" t="s">
        <v>9</v>
      </c>
      <c r="D25" s="24">
        <v>252</v>
      </c>
      <c r="E25" s="32" t="s">
        <v>12</v>
      </c>
      <c r="F25" s="22" t="s">
        <v>7</v>
      </c>
      <c r="G25" s="21">
        <v>150</v>
      </c>
      <c r="H25" s="20">
        <v>980</v>
      </c>
      <c r="I25" s="19">
        <f>+G25*H25</f>
        <v>147000</v>
      </c>
      <c r="K25" s="31"/>
      <c r="L25" s="30"/>
      <c r="M25" s="30"/>
      <c r="N25" s="30"/>
      <c r="O25" s="29"/>
    </row>
    <row r="26" spans="1:15" ht="38.25" x14ac:dyDescent="0.25">
      <c r="A26" s="27">
        <v>18</v>
      </c>
      <c r="B26" s="26"/>
      <c r="C26" s="25" t="s">
        <v>9</v>
      </c>
      <c r="D26" s="24">
        <v>252</v>
      </c>
      <c r="E26" s="28" t="s">
        <v>11</v>
      </c>
      <c r="F26" s="22" t="s">
        <v>7</v>
      </c>
      <c r="G26" s="21">
        <v>1800</v>
      </c>
      <c r="H26" s="20">
        <v>157.30000000000001</v>
      </c>
      <c r="I26" s="19">
        <f>+G26*H26</f>
        <v>283140</v>
      </c>
    </row>
    <row r="27" spans="1:15" ht="26.25" x14ac:dyDescent="0.25">
      <c r="A27" s="27">
        <v>19</v>
      </c>
      <c r="B27" s="26"/>
      <c r="C27" s="25" t="s">
        <v>9</v>
      </c>
      <c r="D27" s="24">
        <v>252</v>
      </c>
      <c r="E27" s="23" t="s">
        <v>10</v>
      </c>
      <c r="F27" s="22" t="s">
        <v>7</v>
      </c>
      <c r="G27" s="21">
        <v>150</v>
      </c>
      <c r="H27" s="20">
        <v>764.81</v>
      </c>
      <c r="I27" s="19">
        <f>+G27*H27</f>
        <v>114721.49999999999</v>
      </c>
    </row>
    <row r="28" spans="1:15" ht="26.25" x14ac:dyDescent="0.25">
      <c r="A28" s="27">
        <v>20</v>
      </c>
      <c r="B28" s="26"/>
      <c r="C28" s="25" t="s">
        <v>9</v>
      </c>
      <c r="D28" s="24">
        <v>252</v>
      </c>
      <c r="E28" s="23" t="s">
        <v>8</v>
      </c>
      <c r="F28" s="22" t="s">
        <v>7</v>
      </c>
      <c r="G28" s="21">
        <v>3</v>
      </c>
      <c r="H28" s="20">
        <v>829</v>
      </c>
      <c r="I28" s="19">
        <f>+G28*H28</f>
        <v>2487</v>
      </c>
    </row>
    <row r="29" spans="1:15" ht="15.75" thickBot="1" x14ac:dyDescent="0.3">
      <c r="A29" s="1"/>
      <c r="B29" s="1"/>
      <c r="C29" s="1"/>
      <c r="D29" s="1"/>
      <c r="E29" s="1"/>
      <c r="F29" s="1"/>
      <c r="G29" s="1"/>
      <c r="H29" s="2"/>
      <c r="I29" s="17"/>
    </row>
    <row r="30" spans="1:15" ht="18.75" customHeight="1" x14ac:dyDescent="0.25">
      <c r="A30" s="1"/>
      <c r="B30" s="18" t="s">
        <v>6</v>
      </c>
      <c r="C30" s="9"/>
      <c r="D30" s="9"/>
      <c r="E30" s="8"/>
      <c r="F30" s="1"/>
      <c r="G30" s="1"/>
      <c r="H30" s="2"/>
      <c r="I30" s="17"/>
    </row>
    <row r="31" spans="1:15" ht="33.75" customHeight="1" x14ac:dyDescent="0.25">
      <c r="A31" s="1"/>
      <c r="B31" s="16" t="s">
        <v>5</v>
      </c>
      <c r="C31" s="15"/>
      <c r="D31" s="15"/>
      <c r="E31" s="14"/>
      <c r="F31" s="1"/>
      <c r="G31" s="1"/>
      <c r="H31" s="2"/>
      <c r="I31" s="1"/>
    </row>
    <row r="32" spans="1:15" x14ac:dyDescent="0.25">
      <c r="A32" s="1"/>
      <c r="B32" s="16"/>
      <c r="C32" s="15"/>
      <c r="D32" s="15"/>
      <c r="E32" s="14"/>
      <c r="F32" s="1"/>
      <c r="G32" s="1"/>
      <c r="H32" s="2"/>
      <c r="I32" s="1"/>
    </row>
    <row r="33" spans="1:9" x14ac:dyDescent="0.25">
      <c r="A33" s="1"/>
      <c r="B33" s="16" t="s">
        <v>4</v>
      </c>
      <c r="C33" s="15"/>
      <c r="D33" s="15"/>
      <c r="E33" s="14"/>
      <c r="F33" s="1"/>
      <c r="G33" s="1"/>
      <c r="H33" s="2"/>
      <c r="I33" s="1"/>
    </row>
    <row r="34" spans="1:9" ht="15.75" thickBot="1" x14ac:dyDescent="0.3">
      <c r="A34" s="1"/>
      <c r="B34" s="13" t="s">
        <v>3</v>
      </c>
      <c r="C34" s="12"/>
      <c r="D34" s="12"/>
      <c r="E34" s="11"/>
      <c r="F34" s="1"/>
      <c r="G34" s="1"/>
      <c r="H34" s="2"/>
      <c r="I34" s="1"/>
    </row>
    <row r="35" spans="1:9" ht="15.75" thickBot="1" x14ac:dyDescent="0.3">
      <c r="A35" s="1"/>
      <c r="B35" s="1"/>
      <c r="C35" s="1"/>
      <c r="D35" s="1"/>
      <c r="E35" s="1"/>
      <c r="F35" s="1"/>
      <c r="G35" s="1"/>
      <c r="H35" s="2"/>
      <c r="I35" s="1"/>
    </row>
    <row r="36" spans="1:9" x14ac:dyDescent="0.25">
      <c r="A36" s="1"/>
      <c r="B36" s="10" t="s">
        <v>2</v>
      </c>
      <c r="C36" s="9"/>
      <c r="D36" s="9"/>
      <c r="E36" s="8"/>
      <c r="F36" s="1"/>
      <c r="G36" s="1"/>
      <c r="H36" s="2"/>
      <c r="I36" s="1"/>
    </row>
    <row r="37" spans="1:9" x14ac:dyDescent="0.25">
      <c r="A37" s="1"/>
      <c r="B37" s="7" t="s">
        <v>1</v>
      </c>
      <c r="C37" s="1"/>
      <c r="D37" s="1"/>
      <c r="E37" s="6"/>
      <c r="F37" s="1"/>
      <c r="G37" s="1"/>
      <c r="H37" s="2"/>
      <c r="I37" s="1"/>
    </row>
    <row r="38" spans="1:9" ht="15.75" thickBot="1" x14ac:dyDescent="0.3">
      <c r="A38" s="1"/>
      <c r="B38" s="5" t="s">
        <v>0</v>
      </c>
      <c r="C38" s="4"/>
      <c r="D38" s="4"/>
      <c r="E38" s="3"/>
      <c r="F38" s="1"/>
      <c r="G38" s="1"/>
      <c r="H38" s="2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2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2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2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2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2"/>
      <c r="I43" s="1"/>
    </row>
  </sheetData>
  <autoFilter ref="A8:I8" xr:uid="{DC08FAFF-981D-40E9-8491-4377BC787644}">
    <sortState xmlns:xlrd2="http://schemas.microsoft.com/office/spreadsheetml/2017/richdata2" ref="A9:I28">
      <sortCondition ref="E8"/>
    </sortState>
  </autoFilter>
  <mergeCells count="12">
    <mergeCell ref="B1:H1"/>
    <mergeCell ref="A3:B3"/>
    <mergeCell ref="C3:E3"/>
    <mergeCell ref="A4:B4"/>
    <mergeCell ref="C4:E4"/>
    <mergeCell ref="B31:E32"/>
    <mergeCell ref="B33:E33"/>
    <mergeCell ref="B38:E38"/>
    <mergeCell ref="K24:K25"/>
    <mergeCell ref="L24:O25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2021-08-13T14:32:22Z</dcterms:created>
  <dcterms:modified xsi:type="dcterms:W3CDTF">2021-08-13T14:32:48Z</dcterms:modified>
</cp:coreProperties>
</file>