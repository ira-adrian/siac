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8C6B8D2A-4D0A-491A-8F4F-C98C442088E1}" xr6:coauthVersionLast="47" xr6:coauthVersionMax="47" xr10:uidLastSave="{00000000-0000-0000-0000-000000000000}"/>
  <bookViews>
    <workbookView xWindow="-120" yWindow="-120" windowWidth="29040" windowHeight="15840" tabRatio="488" xr2:uid="{00000000-000D-0000-FFFF-FFFF00000000}"/>
  </bookViews>
  <sheets>
    <sheet name="Necesidades Trimestrales" sheetId="1" r:id="rId1"/>
    <sheet name=" NotaPedido" sheetId="2" r:id="rId2"/>
    <sheet name="Autor Gastar" sheetId="3" r:id="rId3"/>
  </sheets>
  <externalReferences>
    <externalReference r:id="rId4"/>
  </externalReferences>
  <definedNames>
    <definedName name="_xlnm._FilterDatabase" localSheetId="0" hidden="1">'Necesidades Trimestrales'!$A$9:$I$41</definedName>
    <definedName name="_xlnm.Print_Area" localSheetId="1">' NotaPedido'!$A$1:$K$50</definedName>
    <definedName name="_xlnm.Print_Area" localSheetId="2">'Autor Gastar'!$A$1:$Q$25</definedName>
    <definedName name="_xlnm.Print_Area" localSheetId="0">'Necesidades Trimestrales'!$A$1:$I$54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46" i="2" l="1"/>
  <c r="K47" i="2"/>
  <c r="K48" i="2"/>
  <c r="K49" i="2"/>
  <c r="J46" i="2"/>
  <c r="J47" i="2"/>
  <c r="J48" i="2"/>
  <c r="J49" i="2"/>
  <c r="I46" i="2"/>
  <c r="I47" i="2"/>
  <c r="I48" i="2"/>
  <c r="I49" i="2"/>
  <c r="C46" i="2"/>
  <c r="C47" i="2"/>
  <c r="C48" i="2"/>
  <c r="C49" i="2"/>
  <c r="B46" i="2"/>
  <c r="B47" i="2"/>
  <c r="B48" i="2"/>
  <c r="B49" i="2"/>
  <c r="I44" i="1"/>
  <c r="I45" i="1"/>
  <c r="I46" i="1"/>
  <c r="I47" i="1"/>
  <c r="K44" i="2" l="1"/>
  <c r="K45" i="2"/>
  <c r="J44" i="2"/>
  <c r="J45" i="2"/>
  <c r="I44" i="2"/>
  <c r="I45" i="2"/>
  <c r="C44" i="2"/>
  <c r="C45" i="2"/>
  <c r="B44" i="2"/>
  <c r="B45" i="2"/>
  <c r="I42" i="1"/>
  <c r="I43" i="1"/>
  <c r="I15" i="3" l="1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13" i="2"/>
  <c r="B12" i="2"/>
  <c r="C12" i="2" l="1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K26" i="2" l="1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32" i="1"/>
  <c r="I33" i="1"/>
  <c r="I34" i="1"/>
  <c r="I35" i="1"/>
  <c r="I36" i="1"/>
  <c r="I37" i="1"/>
  <c r="I38" i="1"/>
  <c r="I39" i="1"/>
  <c r="I40" i="1"/>
  <c r="I41" i="1"/>
  <c r="I30" i="1" l="1"/>
  <c r="I31" i="1"/>
  <c r="K21" i="2" l="1"/>
  <c r="K22" i="2"/>
  <c r="K23" i="2"/>
  <c r="K24" i="2"/>
  <c r="K25" i="2"/>
  <c r="J21" i="2"/>
  <c r="J22" i="2"/>
  <c r="J23" i="2"/>
  <c r="J24" i="2"/>
  <c r="J25" i="2"/>
  <c r="J26" i="2"/>
  <c r="J27" i="2"/>
  <c r="J28" i="2"/>
  <c r="J29" i="2"/>
  <c r="J30" i="2"/>
  <c r="I21" i="2"/>
  <c r="I22" i="2"/>
  <c r="I23" i="2"/>
  <c r="I24" i="2"/>
  <c r="I25" i="2"/>
  <c r="I26" i="2"/>
  <c r="I27" i="2"/>
  <c r="I28" i="2"/>
  <c r="I29" i="2"/>
  <c r="I19" i="1"/>
  <c r="I20" i="1"/>
  <c r="I21" i="1"/>
  <c r="I22" i="1"/>
  <c r="I23" i="1"/>
  <c r="I24" i="1"/>
  <c r="I25" i="1"/>
  <c r="I26" i="1"/>
  <c r="I27" i="1"/>
  <c r="I28" i="1"/>
  <c r="I29" i="1"/>
  <c r="I12" i="2" l="1"/>
  <c r="I13" i="2"/>
  <c r="I14" i="2"/>
  <c r="I15" i="2"/>
  <c r="I16" i="2"/>
  <c r="I17" i="2"/>
  <c r="I18" i="2"/>
  <c r="I19" i="2"/>
  <c r="I20" i="2"/>
  <c r="K12" i="2"/>
  <c r="K13" i="2"/>
  <c r="K14" i="2"/>
  <c r="K15" i="2"/>
  <c r="K16" i="2"/>
  <c r="K17" i="2"/>
  <c r="K18" i="2"/>
  <c r="K19" i="2"/>
  <c r="K20" i="2"/>
  <c r="J12" i="2"/>
  <c r="J13" i="2"/>
  <c r="J14" i="2"/>
  <c r="J15" i="2"/>
  <c r="J16" i="2"/>
  <c r="J17" i="2"/>
  <c r="J18" i="2"/>
  <c r="J19" i="2"/>
  <c r="J20" i="2"/>
  <c r="I10" i="1"/>
  <c r="I11" i="1"/>
  <c r="I12" i="1"/>
  <c r="I13" i="1"/>
  <c r="I14" i="1"/>
  <c r="I15" i="1"/>
  <c r="I16" i="1"/>
  <c r="I17" i="1"/>
  <c r="I18" i="1"/>
  <c r="J50" i="2" l="1"/>
  <c r="A10" i="3"/>
  <c r="G6" i="3" l="1"/>
  <c r="D3" i="2"/>
  <c r="G4" i="3" s="1"/>
  <c r="D4" i="2"/>
  <c r="G5" i="3" s="1"/>
  <c r="D1" i="3" l="1"/>
  <c r="Q21" i="3" l="1"/>
</calcChain>
</file>

<file path=xl/sharedStrings.xml><?xml version="1.0" encoding="utf-8"?>
<sst xmlns="http://schemas.openxmlformats.org/spreadsheetml/2006/main" count="343" uniqueCount="210">
  <si>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</si>
  <si>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</si>
  <si>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</si>
  <si>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</si>
  <si>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</si>
  <si>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</si>
  <si>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</si>
  <si>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</si>
  <si>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</si>
  <si>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</si>
  <si>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</si>
  <si>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</si>
  <si>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</si>
  <si>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</si>
  <si>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</si>
  <si>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</si>
  <si>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</si>
  <si>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</si>
  <si>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</si>
  <si>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</si>
  <si>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</si>
  <si>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</si>
  <si>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</si>
  <si>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</si>
  <si>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</si>
  <si>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</si>
  <si>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</si>
  <si>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</si>
  <si>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</si>
  <si>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</si>
  <si>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</si>
  <si>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</si>
  <si>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</si>
  <si>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</si>
  <si>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</si>
  <si>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</si>
  <si>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</si>
  <si>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</si>
  <si>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</si>
  <si>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</si>
  <si>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</si>
  <si>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</si>
  <si>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</si>
  <si>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</si>
  <si>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</si>
  <si>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</si>
  <si>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</si>
  <si>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</si>
  <si>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</si>
  <si>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</si>
  <si>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</si>
  <si>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</si>
  <si>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</si>
  <si>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</si>
  <si>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 xml:space="preserve"> </t>
  </si>
  <si>
    <t>UNIDAD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</si>
  <si>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</si>
  <si>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</si>
  <si>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r>
      <t>Mantenimiento de Oferta</t>
    </r>
    <r>
      <rPr>
        <sz val="10"/>
        <rFont val="Times New Roman"/>
        <family val="1"/>
      </rPr>
      <t xml:space="preserve">: 45 dias habiles </t>
    </r>
  </si>
  <si>
    <t>Servicio de Economato</t>
  </si>
  <si>
    <t>Trimestre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</si>
  <si>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diez (10) días habiles de notificada la Orden de Compra</t>
    </r>
  </si>
  <si>
    <t>Utiles de Escritorio, Oficina y 
Enseñanaza</t>
  </si>
  <si>
    <t>2.9.6-1355.1491</t>
  </si>
  <si>
    <t>REPUESTOS</t>
  </si>
  <si>
    <t>CARTUCHOS DE TINTA; CODIGO: 21XL, USO: HEWLETT PACKARD</t>
  </si>
  <si>
    <t>2.9.6-1355.1492</t>
  </si>
  <si>
    <t>CARTUCHOS DE TINTA; CODIGO: 22XL, USO: HEWLETT PACKARD</t>
  </si>
  <si>
    <t>2.9.6-1355.1044</t>
  </si>
  <si>
    <t>CARTUCHOS DE TINTA; CODIGO: HP27, DESCRIPCION: CARTUCHO TINTA, COLOR: NEGRO, USO: HEWLETT PACKARD</t>
  </si>
  <si>
    <t>2.9.6-1355.1045</t>
  </si>
  <si>
    <t>CARTUCHOS DE TINTA; CODIGO: HP28, DESCRIPCION: CARTUCHO TINTA, COLOR: COLOR, USO: HEWLETT PACKARD</t>
  </si>
  <si>
    <t>2.9.6-1355.664</t>
  </si>
  <si>
    <t>CARTUCHOS DE TINTA; CODIGO: C6656A, PRODUCTO: TINTA, COLOR: NEGRA, USO: HEWLETT PACKARD, DESCRIPCION: TINTA</t>
  </si>
  <si>
    <t>2.9.6-1355.1138</t>
  </si>
  <si>
    <t>CARTUCHOS DE TINTA; CODIGO: C6657AL, DESCRIPCION: CARTUCHO DE TINTA, COLOR: COLOR, USO: HEWLETT PACKARD</t>
  </si>
  <si>
    <t>2.9.6-1355.1988</t>
  </si>
  <si>
    <t>CARTUCHOS DE TINTA; CODIGO: 664, USO: HEWLET PACKARD</t>
  </si>
  <si>
    <t>2.9.6-1355.1667</t>
  </si>
  <si>
    <t>CARTUCHOS DE TINTA; CODIGO: HP675, USO: HEWLETT PACKARD</t>
  </si>
  <si>
    <t>2.9.6-1355.1993</t>
  </si>
  <si>
    <t>CARTUCHOS DE TINTA; USO: HP, CODIGO: 950XL</t>
  </si>
  <si>
    <t>2.9.6-1355.1750</t>
  </si>
  <si>
    <t>CARTUCHOS DE TINTA; CODIGO: 951XL, USO: HP</t>
  </si>
  <si>
    <t>2.9.6-1355.2063</t>
  </si>
  <si>
    <t>CARTUCHOS DE TINTA; CODIGO: 954XL, USO: HEWLETT PACKARD</t>
  </si>
  <si>
    <t>2.9.6-1355.1074</t>
  </si>
  <si>
    <t>CARTUCHOS DE TINTA; CODIGO: PG40, DESCRIPCION: SIN VALOR, COLOR: SIN VALOR, USO: CANON</t>
  </si>
  <si>
    <t>2.9.6-1355.1131</t>
  </si>
  <si>
    <t>CARTUCHOS DE TINTA; CODIGO: CL41, DESCRIPCION: SIN VALOR, COLOR: SIN VALOR, USO: CANON</t>
  </si>
  <si>
    <t>2.9.6-1355.1580</t>
  </si>
  <si>
    <t>CARTUCHOS DE TINTA; CODIGO: T135120 - AL, USO: EPSON</t>
  </si>
  <si>
    <t>2.9.6-1355.1581</t>
  </si>
  <si>
    <t>CARTUCHOS DE TINTA; CODIGO: T133220 - AL, USO: EPSON</t>
  </si>
  <si>
    <t>2.9.6-1355.1582</t>
  </si>
  <si>
    <t>CARTUCHOS DE TINTA; CODIGO: T133320 - AL, USO: EPSON</t>
  </si>
  <si>
    <t>2.9.6-1355.1583</t>
  </si>
  <si>
    <t>CARTUCHOS DE TINTA; CODIGO: T133420 - AL, USO: EPSON</t>
  </si>
  <si>
    <t>2.9.6-401.1362</t>
  </si>
  <si>
    <t>CARTUCHOS DE TONER; CODIGO: CE285A, USO: HEWLETT PACKARD</t>
  </si>
  <si>
    <t>2.9.6-401.2278</t>
  </si>
  <si>
    <t>CARTUCHOS DE TONER; CODIGO: MLT-D111L, USO: SAMSUNG</t>
  </si>
  <si>
    <t>2.9.6-1355.1831</t>
  </si>
  <si>
    <t xml:space="preserve">CARTUCHOS DE TINTA; CODIGO: MLT-D101S, USO: SAMSUNG </t>
  </si>
  <si>
    <t>2.9.6-401.1786</t>
  </si>
  <si>
    <t>CARTUCHOS DE TONER; CODIGO: CE410A, USO: HEWLETT PACKARD</t>
  </si>
  <si>
    <t>2.9.6-401.1724</t>
  </si>
  <si>
    <t>CARTUCHOS DE TONER; CODIGO: CE411A, USO: HP</t>
  </si>
  <si>
    <t>2.9.6-401.1725</t>
  </si>
  <si>
    <t>CARTUCHOS DE TONER; CODIGO: CE412A, USO: HP</t>
  </si>
  <si>
    <t>2.9.6-401.1726</t>
  </si>
  <si>
    <t>CARTUCHOS DE TONER; CODIGO: CE413A, USO: HP</t>
  </si>
  <si>
    <t>2.9.6-401.2138</t>
  </si>
  <si>
    <t>CARTUCHOS DE TONER; CODIGO: CF280X, USO: HEWLETT PACKARD</t>
  </si>
  <si>
    <t>019/2022</t>
  </si>
  <si>
    <t>Para la adquisición de Cartuchos de Tinta y Toners destinados al Servicio de Informatica del Hospital Interzonal de Niños Eva Peron, para el normal funcionamiento del organismo.</t>
  </si>
  <si>
    <t>Servicio de Informatica</t>
  </si>
  <si>
    <t>Cartuchos de Tinta y Toners</t>
  </si>
  <si>
    <t xml:space="preserve">Especificaciones Técnicas: </t>
  </si>
  <si>
    <t>ITEM Nº 1:</t>
  </si>
  <si>
    <t xml:space="preserve">Cartucho Alternativo 21 XL (Negro) </t>
  </si>
  <si>
    <t>ITEM Nº 2:</t>
  </si>
  <si>
    <t xml:space="preserve">Cartucho Alternativo 22 XL (Tricolor) </t>
  </si>
  <si>
    <t>ITEM Nº 3:</t>
  </si>
  <si>
    <t xml:space="preserve">Cartucho Alternativo 27 XL (Negro) </t>
  </si>
  <si>
    <t>ITEM Nº :4</t>
  </si>
  <si>
    <t xml:space="preserve">Cartucho Alternativo 28 XL (Tricolor) </t>
  </si>
  <si>
    <t>ITEM Nº 5:</t>
  </si>
  <si>
    <t xml:space="preserve">Cartucho Alternativo 56 (Negro) </t>
  </si>
  <si>
    <t>ITEM Nº 6:</t>
  </si>
  <si>
    <t xml:space="preserve">Cartucho Alternativo 57 (Tricolor) </t>
  </si>
  <si>
    <t>ITEM Nº 7:</t>
  </si>
  <si>
    <t xml:space="preserve">Cartucho Alternativo 60 XL (Negro) </t>
  </si>
  <si>
    <t>ITEM Nº 8:</t>
  </si>
  <si>
    <t xml:space="preserve">Cartucho Alternativo 60 XL (Tricolor) </t>
  </si>
  <si>
    <t>ITEM Nº 9:</t>
  </si>
  <si>
    <t xml:space="preserve">Cartucho Alternativo 662 XL (Negro) </t>
  </si>
  <si>
    <t>ITEM Nº 10:</t>
  </si>
  <si>
    <t xml:space="preserve">Cartucho Alternativo 662 XL (Tricolor) </t>
  </si>
  <si>
    <t>ITEM Nº 11:</t>
  </si>
  <si>
    <t>Cartucho Original HP 664 (Negro)</t>
  </si>
  <si>
    <t>ITEM Nº 12:</t>
  </si>
  <si>
    <t>Cartucho Original HP 664 (Tricolor)</t>
  </si>
  <si>
    <t>ITEM Nº 13:</t>
  </si>
  <si>
    <t xml:space="preserve">Cartucho Alternativo 675 XL (Negro) </t>
  </si>
  <si>
    <t>ITEM Nº 14:</t>
  </si>
  <si>
    <t xml:space="preserve">Cartucho Alternativo 675 XL (Tricolor) </t>
  </si>
  <si>
    <t>ITEM Nº 15:</t>
  </si>
  <si>
    <t>ITEM Nº 16:</t>
  </si>
  <si>
    <t>ITEM Nº 17:</t>
  </si>
  <si>
    <t>ITEM Nº 18:</t>
  </si>
  <si>
    <t>ITEM Nº 19:</t>
  </si>
  <si>
    <t>ITEM Nº 20:</t>
  </si>
  <si>
    <t xml:space="preserve">Cartucho Alternativo 135 (Negro) </t>
  </si>
  <si>
    <t>ITEM Nº 21:</t>
  </si>
  <si>
    <t xml:space="preserve">Cartucho Alternativo 133 (Cyan) </t>
  </si>
  <si>
    <t>ITEM Nº 22:</t>
  </si>
  <si>
    <t xml:space="preserve">Cartucho Alternativo 133 (Magenta) </t>
  </si>
  <si>
    <t>ITEM Nº 23:</t>
  </si>
  <si>
    <t xml:space="preserve">Cartucho Alternativo 133 (Amarillo) </t>
  </si>
  <si>
    <t>ITEM Nº 24:</t>
  </si>
  <si>
    <t>ITEM Nº 25:</t>
  </si>
  <si>
    <t>Toner Alternativo 48A (Negro) c/chip</t>
  </si>
  <si>
    <t>ITEM Nº 26:</t>
  </si>
  <si>
    <t>ITEM Nº 27:</t>
  </si>
  <si>
    <t>ITEM Nº 28:</t>
  </si>
  <si>
    <t>ITEM Nº 29:</t>
  </si>
  <si>
    <t>ITEM Nº 30:</t>
  </si>
  <si>
    <t>ITEM Nº 31:</t>
  </si>
  <si>
    <t>ITEM Nº 32:</t>
  </si>
  <si>
    <t>ITEM Nº 33:</t>
  </si>
  <si>
    <t>CARTUCHOS DE TONER; CODIGO: W1105A, USO: HEWLETT PACKARD</t>
  </si>
  <si>
    <t>2.9.6-401.2378</t>
  </si>
  <si>
    <t>TOTAL DE PESOS: UN MILLON QUINIENTOS DIECISEIS MIL NOVECIENTOS VEINTISIETE CON 00/100.</t>
  </si>
  <si>
    <t>CARTUCHOS DE TINTA; CODIGO: CC641WL, USO: HEWLETT PACKARD</t>
  </si>
  <si>
    <t>2.9.6-1355.1405</t>
  </si>
  <si>
    <t>CARTUCHOS DE TINTA; CODIGO: CC644WL, USO: HEWLETT PACKARD</t>
  </si>
  <si>
    <t>2.9.6-1355.1404</t>
  </si>
  <si>
    <t>CARTUCHOS DE TINTA; CODIGO: CZ105AL, USO: HEWLETT PACKARD</t>
  </si>
  <si>
    <t>2.9.6-1355.1839</t>
  </si>
  <si>
    <t>CARTUCHOS DE TINTA; CODIGO: CZ106AL, USO: HP DESKJET 3515</t>
  </si>
  <si>
    <t>2.9.6-1355.1840</t>
  </si>
  <si>
    <t>SI</t>
  </si>
  <si>
    <t>ITEM Nº 34:</t>
  </si>
  <si>
    <t>ITEM Nº 35:</t>
  </si>
  <si>
    <t>ITEM Nº 36:</t>
  </si>
  <si>
    <t xml:space="preserve">Cartucho Original HP 951 XL (Cyan) </t>
  </si>
  <si>
    <t xml:space="preserve">Cartucho Original HP 950 XL (Negro) </t>
  </si>
  <si>
    <t xml:space="preserve">Cartucho Original HP 951 XL (Magenta) </t>
  </si>
  <si>
    <t xml:space="preserve">Cartucho Original HP 951 XL (Amarillo) </t>
  </si>
  <si>
    <t xml:space="preserve">Cartucho Original HP 954 XL (Negro) </t>
  </si>
  <si>
    <t xml:space="preserve">Cartucho Original HP 954 XL (Cyan) </t>
  </si>
  <si>
    <t xml:space="preserve">Cartucho Original HP 954 XL (Magenta) </t>
  </si>
  <si>
    <t xml:space="preserve">Cartucho Original HP 954 XL (Amarillo) </t>
  </si>
  <si>
    <t>ITEM Nº 37:</t>
  </si>
  <si>
    <t>ITEM Nº 38:</t>
  </si>
  <si>
    <t>Cartucho Original Canon PG-40 (Negro)</t>
  </si>
  <si>
    <t>Cartucho Original Canon CL-41 (Color)</t>
  </si>
  <si>
    <t>CARTUCHOS DE TONER; CODIGO: CF248A, USO: HEWLETT PACKARD</t>
  </si>
  <si>
    <t>2.9.6-401.2384</t>
  </si>
  <si>
    <t>Toner Alternativo 85A (Negro) c/chip</t>
  </si>
  <si>
    <t>Toner Alternativo D111 (Negro) c/chip</t>
  </si>
  <si>
    <t>Toner Alternativo D101 (Negro) c/chip</t>
  </si>
  <si>
    <t>Toner Alternativo CE410A(Negro) c/chip</t>
  </si>
  <si>
    <t>Toner Alternativo CE411A(Cyan) c/chip</t>
  </si>
  <si>
    <t>Toner Alternativo CE413A(Magenta) c/chip</t>
  </si>
  <si>
    <t>Toner Alternativo CE412A(Amarillo) c/chip</t>
  </si>
  <si>
    <t>Toner Alternativo 105A (Negro) c/chip</t>
  </si>
  <si>
    <t>Toner Alternativo 80X (Negro) c/chip</t>
  </si>
  <si>
    <t>Costo total estimado: Un Millon Quinientos Dieciseis Mil Novecientos Veintisiete Con 00/100.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</si>
</sst>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</numFmts>
  <fonts count="32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u/>
      <sz val="12"/>
      <name val="Times New Roman"/>
      <family val="1"/>
    </font>
    <font>
      <sz val="12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/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9">
    <xf numFmtId="0" fontId="0" fillId="0" borderId="0"/>
    <xf numFmtId="165" fontId="17" fillId="0" borderId="0" applyBorder="0" applyProtection="0"/>
    <xf numFmtId="0" fontId="4" fillId="0" borderId="1" applyProtection="0"/>
    <xf numFmtId="164" fontId="5" fillId="0" borderId="0" applyBorder="0" applyProtection="0"/>
    <xf numFmtId="0" fontId="6" fillId="2" borderId="0" applyBorder="0" applyProtection="0"/>
    <xf numFmtId="0" fontId="17" fillId="0" borderId="0"/>
    <xf numFmtId="43" fontId="3" fillId="0" borderId="0" applyFont="0" applyFill="0" applyBorder="0" applyAlignment="0" applyProtection="0"/>
    <xf numFmtId="0" fontId="2" fillId="0" borderId="0"/>
    <xf numFmtId="0" fontId="1" fillId="0" borderId="0"/>
  </cellStyleXfs>
  <cellXfs count="165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2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5" fillId="0" borderId="0" xfId="0" applyFont="1"/>
    <xf numFmtId="0" fontId="0" fillId="0" borderId="10" xfId="0" applyBorder="1"/>
    <xf numFmtId="0" fontId="0" fillId="0" borderId="24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5" xfId="0" applyBorder="1"/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166" fontId="0" fillId="0" borderId="31" xfId="3" applyNumberFormat="1" applyFont="1" applyBorder="1" applyAlignment="1" applyProtection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166" fontId="16" fillId="0" borderId="36" xfId="0" applyNumberFormat="1" applyFont="1" applyBorder="1" applyAlignment="1">
      <alignment horizontal="center" vertical="center"/>
    </xf>
    <xf numFmtId="0" fontId="18" fillId="0" borderId="0" xfId="0" applyFont="1"/>
    <xf numFmtId="0" fontId="21" fillId="0" borderId="0" xfId="0" applyFont="1" applyAlignment="1">
      <alignment horizontal="left" wrapText="1"/>
    </xf>
    <xf numFmtId="0" fontId="21" fillId="0" borderId="0" xfId="0" applyFont="1" applyAlignment="1">
      <alignment horizontal="center" wrapText="1"/>
    </xf>
    <xf numFmtId="0" fontId="18" fillId="0" borderId="3" xfId="0" applyFont="1" applyBorder="1"/>
    <xf numFmtId="0" fontId="18" fillId="0" borderId="4" xfId="0" applyFont="1" applyBorder="1"/>
    <xf numFmtId="0" fontId="18" fillId="0" borderId="5" xfId="0" applyFont="1" applyBorder="1"/>
    <xf numFmtId="0" fontId="18" fillId="0" borderId="0" xfId="0" applyFont="1" applyBorder="1"/>
    <xf numFmtId="166" fontId="18" fillId="0" borderId="0" xfId="0" applyNumberFormat="1" applyFont="1"/>
    <xf numFmtId="0" fontId="8" fillId="3" borderId="10" xfId="0" applyFont="1" applyFill="1" applyBorder="1" applyAlignment="1">
      <alignment horizontal="right" vertical="center"/>
    </xf>
    <xf numFmtId="0" fontId="9" fillId="4" borderId="11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0" fillId="3" borderId="0" xfId="0" applyFill="1"/>
    <xf numFmtId="0" fontId="8" fillId="3" borderId="12" xfId="0" applyFont="1" applyFill="1" applyBorder="1" applyAlignment="1">
      <alignment vertical="center"/>
    </xf>
    <xf numFmtId="0" fontId="8" fillId="3" borderId="0" xfId="0" applyFont="1" applyFill="1" applyBorder="1" applyAlignment="1">
      <alignment vertical="center"/>
    </xf>
    <xf numFmtId="0" fontId="10" fillId="3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left" vertical="center" wrapText="1" indent="1"/>
    </xf>
    <xf numFmtId="0" fontId="26" fillId="4" borderId="0" xfId="0" applyFont="1" applyFill="1" applyAlignment="1">
      <alignment horizontal="left" wrapText="1" indent="1"/>
    </xf>
    <xf numFmtId="0" fontId="22" fillId="3" borderId="0" xfId="0" applyFont="1" applyFill="1" applyAlignment="1">
      <alignment horizontal="left" wrapText="1"/>
    </xf>
    <xf numFmtId="167" fontId="18" fillId="0" borderId="0" xfId="0" applyNumberFormat="1" applyFont="1"/>
    <xf numFmtId="169" fontId="23" fillId="0" borderId="0" xfId="0" applyNumberFormat="1" applyFont="1"/>
    <xf numFmtId="169" fontId="24" fillId="0" borderId="0" xfId="0" applyNumberFormat="1" applyFont="1" applyAlignment="1">
      <alignment horizontal="left" wrapText="1"/>
    </xf>
    <xf numFmtId="167" fontId="5" fillId="3" borderId="0" xfId="0" applyNumberFormat="1" applyFont="1" applyFill="1" applyBorder="1" applyAlignment="1">
      <alignment vertical="center"/>
    </xf>
    <xf numFmtId="0" fontId="0" fillId="0" borderId="27" xfId="0" applyFont="1" applyFill="1" applyBorder="1" applyAlignment="1">
      <alignment horizontal="center" vertical="center"/>
    </xf>
    <xf numFmtId="0" fontId="0" fillId="0" borderId="28" xfId="0" applyFont="1" applyFill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5" xfId="0" applyFont="1" applyBorder="1" applyAlignment="1">
      <alignment horizontal="left" vertical="center"/>
    </xf>
    <xf numFmtId="0" fontId="16" fillId="0" borderId="46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166" fontId="0" fillId="0" borderId="50" xfId="3" applyNumberFormat="1" applyFont="1" applyBorder="1" applyAlignment="1" applyProtection="1">
      <alignment horizontal="center" vertical="center"/>
    </xf>
    <xf numFmtId="0" fontId="0" fillId="0" borderId="53" xfId="0" applyBorder="1"/>
    <xf numFmtId="0" fontId="23" fillId="0" borderId="54" xfId="0" applyFont="1" applyBorder="1" applyAlignment="1">
      <alignment horizontal="center" vertical="center"/>
    </xf>
    <xf numFmtId="166" fontId="23" fillId="4" borderId="55" xfId="1" applyNumberFormat="1" applyFont="1" applyFill="1" applyBorder="1" applyAlignment="1" applyProtection="1">
      <alignment horizontal="right" vertical="center" wrapText="1"/>
    </xf>
    <xf numFmtId="0" fontId="7" fillId="3" borderId="54" xfId="0" applyFont="1" applyFill="1" applyBorder="1" applyAlignment="1">
      <alignment horizontal="center" vertical="center"/>
    </xf>
    <xf numFmtId="0" fontId="7" fillId="3" borderId="53" xfId="0" applyFont="1" applyFill="1" applyBorder="1" applyAlignment="1">
      <alignment horizontal="left" vertical="center"/>
    </xf>
    <xf numFmtId="3" fontId="7" fillId="3" borderId="55" xfId="0" applyNumberFormat="1" applyFont="1" applyFill="1" applyBorder="1" applyAlignment="1">
      <alignment horizontal="center" vertical="center"/>
    </xf>
    <xf numFmtId="166" fontId="7" fillId="3" borderId="53" xfId="1" applyNumberFormat="1" applyFont="1" applyFill="1" applyBorder="1" applyAlignment="1" applyProtection="1">
      <alignment horizontal="right" vertical="center" wrapText="1"/>
    </xf>
    <xf numFmtId="0" fontId="7" fillId="4" borderId="53" xfId="0" applyFont="1" applyFill="1" applyBorder="1" applyAlignment="1">
      <alignment horizontal="center" vertical="center"/>
    </xf>
    <xf numFmtId="0" fontId="7" fillId="3" borderId="53" xfId="0" applyFont="1" applyFill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169" fontId="27" fillId="0" borderId="14" xfId="0" applyNumberFormat="1" applyFont="1" applyBorder="1" applyAlignment="1">
      <alignment horizontal="center" vertical="center" wrapText="1"/>
    </xf>
    <xf numFmtId="0" fontId="25" fillId="0" borderId="2" xfId="0" applyFont="1" applyBorder="1" applyAlignment="1">
      <alignment horizontal="left" indent="3"/>
    </xf>
    <xf numFmtId="0" fontId="25" fillId="0" borderId="7" xfId="0" applyFont="1" applyBorder="1" applyAlignment="1"/>
    <xf numFmtId="0" fontId="18" fillId="0" borderId="8" xfId="0" applyFont="1" applyBorder="1" applyAlignment="1">
      <alignment horizontal="center" wrapText="1"/>
    </xf>
    <xf numFmtId="0" fontId="18" fillId="0" borderId="8" xfId="0" applyFont="1" applyFill="1" applyBorder="1" applyAlignment="1">
      <alignment horizontal="center" wrapText="1"/>
    </xf>
    <xf numFmtId="0" fontId="18" fillId="0" borderId="9" xfId="0" applyFont="1" applyBorder="1" applyAlignment="1">
      <alignment horizontal="center" wrapText="1"/>
    </xf>
    <xf numFmtId="0" fontId="24" fillId="0" borderId="56" xfId="0" applyFont="1" applyBorder="1" applyAlignment="1">
      <alignment horizontal="center" vertical="center" wrapText="1"/>
    </xf>
    <xf numFmtId="0" fontId="24" fillId="4" borderId="56" xfId="0" applyFont="1" applyFill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0" fillId="0" borderId="53" xfId="0" applyBorder="1" applyAlignment="1">
      <alignment wrapText="1"/>
    </xf>
    <xf numFmtId="0" fontId="0" fillId="3" borderId="57" xfId="0" applyFont="1" applyFill="1" applyBorder="1" applyAlignment="1">
      <alignment horizontal="center" vertical="center"/>
    </xf>
    <xf numFmtId="0" fontId="0" fillId="4" borderId="57" xfId="0" applyFont="1" applyFill="1" applyBorder="1" applyAlignment="1">
      <alignment horizontal="center" vertical="center"/>
    </xf>
    <xf numFmtId="0" fontId="0" fillId="4" borderId="58" xfId="0" applyFont="1" applyFill="1" applyBorder="1" applyAlignment="1">
      <alignment horizontal="center" vertical="center"/>
    </xf>
    <xf numFmtId="0" fontId="17" fillId="4" borderId="57" xfId="0" applyFont="1" applyFill="1" applyBorder="1" applyAlignment="1">
      <alignment horizontal="center" vertical="center"/>
    </xf>
    <xf numFmtId="0" fontId="0" fillId="3" borderId="28" xfId="0" applyFont="1" applyFill="1" applyBorder="1" applyAlignment="1">
      <alignment horizontal="center" vertical="center"/>
    </xf>
    <xf numFmtId="0" fontId="0" fillId="4" borderId="28" xfId="0" applyFont="1" applyFill="1" applyBorder="1" applyAlignment="1">
      <alignment horizontal="center" vertical="center"/>
    </xf>
    <xf numFmtId="0" fontId="0" fillId="4" borderId="29" xfId="0" applyFont="1" applyFill="1" applyBorder="1" applyAlignment="1">
      <alignment horizontal="center" vertical="center"/>
    </xf>
    <xf numFmtId="0" fontId="17" fillId="4" borderId="28" xfId="0" applyFont="1" applyFill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6" xfId="0" applyBorder="1" applyAlignment="1">
      <alignment wrapText="1"/>
    </xf>
    <xf numFmtId="0" fontId="0" fillId="0" borderId="53" xfId="0" applyBorder="1" applyAlignment="1">
      <alignment horizontal="center" vertical="center"/>
    </xf>
    <xf numFmtId="0" fontId="18" fillId="0" borderId="8" xfId="0" applyFont="1" applyBorder="1"/>
    <xf numFmtId="166" fontId="23" fillId="4" borderId="56" xfId="1" applyNumberFormat="1" applyFont="1" applyFill="1" applyBorder="1" applyAlignment="1" applyProtection="1">
      <alignment horizontal="right" vertical="center" wrapText="1"/>
    </xf>
    <xf numFmtId="0" fontId="24" fillId="4" borderId="60" xfId="0" applyFont="1" applyFill="1" applyBorder="1" applyAlignment="1">
      <alignment horizontal="center" vertical="center" wrapText="1"/>
    </xf>
    <xf numFmtId="166" fontId="23" fillId="4" borderId="60" xfId="1" applyNumberFormat="1" applyFont="1" applyFill="1" applyBorder="1" applyAlignment="1" applyProtection="1">
      <alignment horizontal="right" vertical="center" wrapText="1"/>
    </xf>
    <xf numFmtId="0" fontId="0" fillId="0" borderId="61" xfId="0" applyBorder="1" applyAlignment="1">
      <alignment horizontal="center" vertical="center"/>
    </xf>
    <xf numFmtId="0" fontId="24" fillId="0" borderId="61" xfId="0" applyFont="1" applyBorder="1" applyAlignment="1">
      <alignment horizontal="center" vertical="center" wrapText="1"/>
    </xf>
    <xf numFmtId="0" fontId="0" fillId="0" borderId="61" xfId="0" applyBorder="1" applyAlignment="1">
      <alignment wrapText="1"/>
    </xf>
    <xf numFmtId="0" fontId="29" fillId="0" borderId="5" xfId="0" applyFont="1" applyBorder="1" applyAlignment="1">
      <alignment horizontal="right"/>
    </xf>
    <xf numFmtId="0" fontId="29" fillId="0" borderId="0" xfId="0" applyFont="1" applyBorder="1" applyAlignment="1">
      <alignment horizontal="left"/>
    </xf>
    <xf numFmtId="0" fontId="29" fillId="0" borderId="7" xfId="0" applyFont="1" applyBorder="1" applyAlignment="1">
      <alignment horizontal="right"/>
    </xf>
    <xf numFmtId="0" fontId="29" fillId="0" borderId="8" xfId="0" applyFont="1" applyBorder="1" applyAlignment="1">
      <alignment horizontal="left"/>
    </xf>
    <xf numFmtId="0" fontId="29" fillId="0" borderId="9" xfId="0" applyFont="1" applyBorder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30" fillId="3" borderId="54" xfId="0" applyFont="1" applyFill="1" applyBorder="1" applyAlignment="1">
      <alignment horizontal="center" vertical="center"/>
    </xf>
    <xf numFmtId="0" fontId="31" fillId="3" borderId="0" xfId="0" applyFont="1" applyFill="1" applyAlignment="1">
      <alignment horizontal="center" vertical="center"/>
    </xf>
    <xf numFmtId="0" fontId="31" fillId="3" borderId="53" xfId="0" applyFont="1" applyFill="1" applyBorder="1" applyAlignment="1">
      <alignment horizontal="center" vertical="center"/>
    </xf>
    <xf numFmtId="0" fontId="30" fillId="3" borderId="53" xfId="0" applyFont="1" applyFill="1" applyBorder="1" applyAlignment="1">
      <alignment horizontal="center" vertical="center" wrapText="1"/>
    </xf>
    <xf numFmtId="0" fontId="31" fillId="3" borderId="0" xfId="0" applyFont="1" applyFill="1" applyAlignment="1">
      <alignment wrapText="1"/>
    </xf>
    <xf numFmtId="0" fontId="30" fillId="4" borderId="60" xfId="0" applyFont="1" applyFill="1" applyBorder="1" applyAlignment="1">
      <alignment horizontal="center" vertical="center" wrapText="1"/>
    </xf>
    <xf numFmtId="166" fontId="30" fillId="4" borderId="60" xfId="1" applyNumberFormat="1" applyFont="1" applyFill="1" applyBorder="1" applyAlignment="1" applyProtection="1">
      <alignment horizontal="right" vertical="center" wrapText="1"/>
    </xf>
    <xf numFmtId="166" fontId="30" fillId="4" borderId="55" xfId="1" applyNumberFormat="1" applyFont="1" applyFill="1" applyBorder="1" applyAlignment="1" applyProtection="1">
      <alignment horizontal="right" vertical="center" wrapText="1"/>
    </xf>
    <xf numFmtId="0" fontId="29" fillId="0" borderId="6" xfId="0" applyFont="1" applyBorder="1"/>
    <xf numFmtId="0" fontId="19" fillId="0" borderId="0" xfId="0" applyFont="1" applyBorder="1" applyAlignment="1">
      <alignment horizontal="center"/>
    </xf>
    <xf numFmtId="0" fontId="20" fillId="0" borderId="0" xfId="0" applyFont="1" applyBorder="1" applyAlignment="1">
      <alignment horizontal="left" vertical="center" wrapText="1"/>
    </xf>
    <xf numFmtId="0" fontId="26" fillId="4" borderId="0" xfId="0" applyFont="1" applyFill="1" applyBorder="1" applyAlignment="1">
      <alignment horizontal="left" wrapText="1" indent="1"/>
    </xf>
    <xf numFmtId="0" fontId="28" fillId="0" borderId="2" xfId="0" applyFont="1" applyBorder="1" applyAlignment="1">
      <alignment horizontal="left" vertical="center" wrapText="1"/>
    </xf>
    <xf numFmtId="0" fontId="28" fillId="0" borderId="3" xfId="0" applyFont="1" applyBorder="1" applyAlignment="1">
      <alignment horizontal="left" vertical="center" wrapText="1"/>
    </xf>
    <xf numFmtId="0" fontId="28" fillId="0" borderId="4" xfId="0" applyFont="1" applyBorder="1" applyAlignment="1">
      <alignment horizontal="left" vertical="center" wrapText="1"/>
    </xf>
    <xf numFmtId="0" fontId="18" fillId="4" borderId="5" xfId="5" applyFont="1" applyFill="1" applyBorder="1" applyAlignment="1">
      <alignment horizontal="left" wrapText="1"/>
    </xf>
    <xf numFmtId="0" fontId="18" fillId="4" borderId="0" xfId="5" applyFont="1" applyFill="1" applyBorder="1" applyAlignment="1">
      <alignment horizontal="left" wrapText="1"/>
    </xf>
    <xf numFmtId="0" fontId="18" fillId="4" borderId="6" xfId="5" applyFont="1" applyFill="1" applyBorder="1" applyAlignment="1">
      <alignment horizontal="left" wrapText="1"/>
    </xf>
    <xf numFmtId="0" fontId="7" fillId="3" borderId="53" xfId="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left" vertical="center" wrapText="1"/>
    </xf>
    <xf numFmtId="0" fontId="9" fillId="3" borderId="14" xfId="0" applyFont="1" applyFill="1" applyBorder="1" applyAlignment="1">
      <alignment horizontal="left" vertical="center" wrapText="1" indent="1"/>
    </xf>
    <xf numFmtId="0" fontId="10" fillId="3" borderId="15" xfId="0" applyFont="1" applyFill="1" applyBorder="1" applyAlignment="1">
      <alignment horizontal="left" vertical="center" wrapText="1"/>
    </xf>
    <xf numFmtId="0" fontId="9" fillId="4" borderId="17" xfId="0" applyFont="1" applyFill="1" applyBorder="1" applyAlignment="1">
      <alignment horizontal="left" vertical="center" wrapText="1" indent="1"/>
    </xf>
    <xf numFmtId="0" fontId="11" fillId="3" borderId="16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left" vertical="center"/>
    </xf>
    <xf numFmtId="167" fontId="10" fillId="3" borderId="14" xfId="0" applyNumberFormat="1" applyFont="1" applyFill="1" applyBorder="1" applyAlignment="1">
      <alignment horizontal="center" vertical="center"/>
    </xf>
    <xf numFmtId="0" fontId="0" fillId="0" borderId="19" xfId="0" applyFont="1" applyBorder="1" applyAlignment="1">
      <alignment horizontal="center"/>
    </xf>
    <xf numFmtId="3" fontId="12" fillId="0" borderId="20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 vertical="center" wrapText="1"/>
    </xf>
    <xf numFmtId="0" fontId="5" fillId="0" borderId="11" xfId="0" applyFont="1" applyBorder="1"/>
    <xf numFmtId="0" fontId="14" fillId="0" borderId="11" xfId="0" applyFont="1" applyBorder="1" applyAlignment="1">
      <alignment horizontal="left" indent="1"/>
    </xf>
    <xf numFmtId="0" fontId="7" fillId="0" borderId="13" xfId="0" applyFont="1" applyBorder="1" applyAlignment="1">
      <alignment horizontal="left" vertical="center" wrapText="1"/>
    </xf>
    <xf numFmtId="0" fontId="7" fillId="0" borderId="38" xfId="0" applyFont="1" applyBorder="1" applyAlignment="1">
      <alignment horizontal="left" vertical="center" wrapText="1"/>
    </xf>
    <xf numFmtId="0" fontId="7" fillId="0" borderId="39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/>
    </xf>
    <xf numFmtId="0" fontId="14" fillId="0" borderId="22" xfId="0" applyFont="1" applyBorder="1"/>
    <xf numFmtId="0" fontId="14" fillId="0" borderId="23" xfId="0" applyFont="1" applyBorder="1" applyAlignment="1">
      <alignment horizontal="left" vertical="center" wrapText="1" indent="1"/>
    </xf>
    <xf numFmtId="0" fontId="16" fillId="0" borderId="21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48" xfId="0" applyFont="1" applyBorder="1" applyAlignment="1">
      <alignment horizontal="center" vertical="center" wrapText="1"/>
    </xf>
    <xf numFmtId="0" fontId="16" fillId="0" borderId="49" xfId="0" applyFont="1" applyBorder="1" applyAlignment="1">
      <alignment horizontal="center" vertical="center" wrapText="1"/>
    </xf>
    <xf numFmtId="0" fontId="16" fillId="0" borderId="51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/>
    </xf>
    <xf numFmtId="0" fontId="17" fillId="0" borderId="59" xfId="0" applyFont="1" applyBorder="1" applyAlignment="1">
      <alignment horizontal="left" vertical="center" wrapText="1"/>
    </xf>
    <xf numFmtId="0" fontId="0" fillId="0" borderId="59" xfId="0" applyFont="1" applyBorder="1" applyAlignment="1">
      <alignment horizontal="left" vertical="center" wrapText="1"/>
    </xf>
    <xf numFmtId="0" fontId="0" fillId="0" borderId="30" xfId="0" applyFont="1" applyBorder="1" applyAlignment="1">
      <alignment horizontal="left" vertical="center" wrapText="1"/>
    </xf>
    <xf numFmtId="0" fontId="0" fillId="0" borderId="30" xfId="0" applyFont="1" applyBorder="1" applyAlignment="1">
      <alignment horizontal="left" vertical="center"/>
    </xf>
    <xf numFmtId="0" fontId="17" fillId="0" borderId="30" xfId="0" applyFont="1" applyBorder="1" applyAlignment="1">
      <alignment horizontal="left" vertical="center"/>
    </xf>
    <xf numFmtId="0" fontId="12" fillId="0" borderId="19" xfId="0" applyFont="1" applyBorder="1" applyAlignment="1">
      <alignment vertical="center" wrapText="1"/>
    </xf>
    <xf numFmtId="0" fontId="12" fillId="0" borderId="37" xfId="0" applyFont="1" applyBorder="1" applyAlignment="1">
      <alignment vertical="center" wrapText="1"/>
    </xf>
    <xf numFmtId="0" fontId="12" fillId="0" borderId="17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4" fillId="4" borderId="36" xfId="0" applyFont="1" applyFill="1" applyBorder="1" applyAlignment="1">
      <alignment horizontal="left" vertical="center" wrapText="1" indent="1"/>
    </xf>
    <xf numFmtId="0" fontId="0" fillId="0" borderId="30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12" fillId="0" borderId="36" xfId="0" applyFont="1" applyBorder="1" applyAlignment="1">
      <alignment horizontal="left" vertical="center" wrapText="1"/>
    </xf>
    <xf numFmtId="0" fontId="0" fillId="0" borderId="21" xfId="0" applyBorder="1"/>
  </cellXfs>
  <cellStyles count="9">
    <cellStyle name="Encabezado 1" xfId="2" xr:uid="{00000000-0005-0000-0000-000000000000}"/>
    <cellStyle name="Millares 2" xfId="6" xr:uid="{00000000-0005-0000-0000-000001000000}"/>
    <cellStyle name="Moneda" xfId="1" builtinId="4"/>
    <cellStyle name="Moneda_AUTORIZACION Y NOTA DE PEDIDO" xfId="3" xr:uid="{00000000-0005-0000-0000-000003000000}"/>
    <cellStyle name="Neutral 1" xfId="4" xr:uid="{00000000-0005-0000-0000-000004000000}"/>
    <cellStyle name="Normal" xfId="0" builtinId="0"/>
    <cellStyle name="Normal 2 3" xfId="5" xr:uid="{00000000-0005-0000-0000-000006000000}"/>
    <cellStyle name="Normal 3" xfId="7" xr:uid="{00000000-0005-0000-0000-000007000000}"/>
    <cellStyle name="Normal 4" xfId="8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esktop/SECRETARIA%20DE%20CONTRATACIONES%20-%20PEDIDOS/2021/ECONOMATO/LIBRERIA%20SAF%2024%20-%202&#186;%20TRIMEST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10">
          <cell r="D10">
            <v>292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93"/>
  <sheetViews>
    <sheetView tabSelected="1" topLeftCell="A26" zoomScale="93" zoomScaleNormal="93" workbookViewId="0">
      <selection activeCell="E88" sqref="E88"/>
    </sheetView>
  </sheetViews>
  <sheetFormatPr baseColWidth="10" defaultColWidth="11" defaultRowHeight="12.75" x14ac:dyDescent="0.2"/>
  <cols>
    <col min="1" max="1" width="6.42578125" style="26" customWidth="1"/>
    <col min="2" max="2" width="15.7109375" style="26" customWidth="1"/>
    <col min="3" max="3" width="25.140625" style="26" customWidth="1"/>
    <col min="4" max="4" width="8.42578125" style="26" customWidth="1"/>
    <col min="5" max="5" width="59.28515625" style="26" customWidth="1"/>
    <col min="6" max="6" width="11" style="26"/>
    <col min="7" max="7" width="10.85546875" style="26" customWidth="1"/>
    <col min="8" max="8" width="13.85546875" style="45" customWidth="1"/>
    <col min="9" max="9" width="18.5703125" style="26" customWidth="1"/>
    <col min="10" max="10" width="11" style="26"/>
    <col min="11" max="11" width="12.140625" style="26" bestFit="1" customWidth="1"/>
    <col min="12" max="12" width="13.140625" style="26" customWidth="1"/>
    <col min="13" max="16384" width="11" style="26"/>
  </cols>
  <sheetData>
    <row r="1" spans="1:11" ht="3.75" customHeight="1" x14ac:dyDescent="0.2"/>
    <row r="2" spans="1:11" ht="27" x14ac:dyDescent="0.35">
      <c r="B2" s="111" t="s">
        <v>0</v>
      </c>
      <c r="C2" s="111"/>
      <c r="D2" s="111"/>
      <c r="E2" s="111"/>
      <c r="F2" s="111"/>
      <c r="G2" s="111"/>
      <c r="H2" s="111"/>
    </row>
    <row r="3" spans="1:11" ht="5.25" customHeight="1" x14ac:dyDescent="0.2">
      <c r="H3" s="45" t="s">
        <v>54</v>
      </c>
    </row>
    <row r="4" spans="1:11" ht="18" customHeight="1" x14ac:dyDescent="0.25">
      <c r="A4" s="112" t="s">
        <v>1</v>
      </c>
      <c r="B4" s="112"/>
      <c r="C4" s="113" t="s">
        <v>52</v>
      </c>
      <c r="D4" s="113"/>
      <c r="E4" s="113"/>
      <c r="F4" s="27"/>
      <c r="G4" s="28"/>
      <c r="H4" s="46"/>
    </row>
    <row r="5" spans="1:11" ht="18" customHeight="1" x14ac:dyDescent="0.25">
      <c r="A5" s="112" t="s">
        <v>2</v>
      </c>
      <c r="B5" s="112"/>
      <c r="C5" s="113" t="s">
        <v>51</v>
      </c>
      <c r="D5" s="113"/>
      <c r="E5" s="113"/>
      <c r="F5" s="27"/>
      <c r="G5" s="28" t="s">
        <v>54</v>
      </c>
      <c r="H5" s="46"/>
    </row>
    <row r="6" spans="1:11" ht="16.5" customHeight="1" x14ac:dyDescent="0.25">
      <c r="A6" s="112" t="s">
        <v>3</v>
      </c>
      <c r="B6" s="112"/>
      <c r="C6" s="42">
        <v>2022</v>
      </c>
      <c r="D6" s="43"/>
      <c r="E6" s="43"/>
      <c r="F6" s="27"/>
      <c r="G6" s="28"/>
      <c r="H6" s="46"/>
    </row>
    <row r="7" spans="1:11" ht="16.5" customHeight="1" x14ac:dyDescent="0.25">
      <c r="A7" s="112" t="s">
        <v>4</v>
      </c>
      <c r="B7" s="112"/>
      <c r="C7" s="42">
        <v>1</v>
      </c>
      <c r="D7" s="43"/>
      <c r="E7" s="43"/>
      <c r="F7" s="27"/>
      <c r="G7" s="28"/>
      <c r="H7" s="46"/>
    </row>
    <row r="8" spans="1:11" ht="5.25" customHeight="1" thickBot="1" x14ac:dyDescent="0.25">
      <c r="B8" s="27"/>
      <c r="C8" s="28"/>
      <c r="D8" s="27"/>
      <c r="E8" s="27"/>
      <c r="F8" s="27"/>
      <c r="G8" s="28"/>
      <c r="H8" s="46"/>
      <c r="J8" s="44"/>
    </row>
    <row r="9" spans="1:11" ht="36.75" thickBot="1" x14ac:dyDescent="0.25">
      <c r="A9" s="65" t="s">
        <v>5</v>
      </c>
      <c r="B9" s="65" t="s">
        <v>6</v>
      </c>
      <c r="C9" s="65" t="s">
        <v>7</v>
      </c>
      <c r="D9" s="65" t="s">
        <v>8</v>
      </c>
      <c r="E9" s="65" t="s">
        <v>9</v>
      </c>
      <c r="F9" s="65" t="s">
        <v>10</v>
      </c>
      <c r="G9" s="65" t="s">
        <v>11</v>
      </c>
      <c r="H9" s="66" t="s">
        <v>12</v>
      </c>
      <c r="I9" s="65" t="s">
        <v>13</v>
      </c>
      <c r="K9" s="33"/>
    </row>
    <row r="10" spans="1:11" ht="25.5" x14ac:dyDescent="0.2">
      <c r="A10" s="57">
        <v>1</v>
      </c>
      <c r="B10" s="84" t="s">
        <v>63</v>
      </c>
      <c r="C10" s="84" t="s">
        <v>64</v>
      </c>
      <c r="D10" s="72">
        <v>292</v>
      </c>
      <c r="E10" s="85" t="s">
        <v>65</v>
      </c>
      <c r="F10" s="73" t="s">
        <v>55</v>
      </c>
      <c r="G10" s="73">
        <v>16</v>
      </c>
      <c r="H10" s="88">
        <v>990</v>
      </c>
      <c r="I10" s="58">
        <f t="shared" ref="I10:I47" si="0">+G10*H10</f>
        <v>15840</v>
      </c>
      <c r="K10" s="33"/>
    </row>
    <row r="11" spans="1:11" ht="25.5" x14ac:dyDescent="0.2">
      <c r="A11" s="57">
        <v>2</v>
      </c>
      <c r="B11" s="86" t="s">
        <v>66</v>
      </c>
      <c r="C11" s="86" t="s">
        <v>64</v>
      </c>
      <c r="D11" s="74">
        <v>292</v>
      </c>
      <c r="E11" s="75" t="s">
        <v>67</v>
      </c>
      <c r="F11" s="89" t="s">
        <v>55</v>
      </c>
      <c r="G11" s="89">
        <v>16</v>
      </c>
      <c r="H11" s="90">
        <v>1850</v>
      </c>
      <c r="I11" s="58">
        <f t="shared" si="0"/>
        <v>29600</v>
      </c>
      <c r="K11" s="33"/>
    </row>
    <row r="12" spans="1:11" ht="25.5" x14ac:dyDescent="0.2">
      <c r="A12" s="57">
        <v>3</v>
      </c>
      <c r="B12" s="86" t="s">
        <v>68</v>
      </c>
      <c r="C12" s="86" t="s">
        <v>64</v>
      </c>
      <c r="D12" s="74">
        <v>292</v>
      </c>
      <c r="E12" s="75" t="s">
        <v>69</v>
      </c>
      <c r="F12" s="89" t="s">
        <v>55</v>
      </c>
      <c r="G12" s="89">
        <v>6</v>
      </c>
      <c r="H12" s="90">
        <v>1235</v>
      </c>
      <c r="I12" s="58">
        <f t="shared" si="0"/>
        <v>7410</v>
      </c>
      <c r="K12" s="33"/>
    </row>
    <row r="13" spans="1:11" ht="25.5" x14ac:dyDescent="0.2">
      <c r="A13" s="57">
        <v>4</v>
      </c>
      <c r="B13" s="86" t="s">
        <v>70</v>
      </c>
      <c r="C13" s="86" t="s">
        <v>64</v>
      </c>
      <c r="D13" s="74">
        <v>292</v>
      </c>
      <c r="E13" s="75" t="s">
        <v>71</v>
      </c>
      <c r="F13" s="89" t="s">
        <v>55</v>
      </c>
      <c r="G13" s="89">
        <v>6</v>
      </c>
      <c r="H13" s="90">
        <v>1970</v>
      </c>
      <c r="I13" s="58">
        <f t="shared" si="0"/>
        <v>11820</v>
      </c>
      <c r="K13" s="33"/>
    </row>
    <row r="14" spans="1:11" ht="38.25" x14ac:dyDescent="0.2">
      <c r="A14" s="57">
        <v>5</v>
      </c>
      <c r="B14" s="86" t="s">
        <v>72</v>
      </c>
      <c r="C14" s="86" t="s">
        <v>64</v>
      </c>
      <c r="D14" s="74">
        <v>292</v>
      </c>
      <c r="E14" s="75" t="s">
        <v>73</v>
      </c>
      <c r="F14" s="89" t="s">
        <v>55</v>
      </c>
      <c r="G14" s="89">
        <v>3</v>
      </c>
      <c r="H14" s="90">
        <v>1630</v>
      </c>
      <c r="I14" s="58">
        <f t="shared" si="0"/>
        <v>4890</v>
      </c>
    </row>
    <row r="15" spans="1:11" ht="38.25" x14ac:dyDescent="0.2">
      <c r="A15" s="57">
        <v>6</v>
      </c>
      <c r="B15" s="86" t="s">
        <v>74</v>
      </c>
      <c r="C15" s="86" t="s">
        <v>64</v>
      </c>
      <c r="D15" s="74">
        <v>292</v>
      </c>
      <c r="E15" s="75" t="s">
        <v>75</v>
      </c>
      <c r="F15" s="89" t="s">
        <v>55</v>
      </c>
      <c r="G15" s="89">
        <v>3</v>
      </c>
      <c r="H15" s="90">
        <v>1875</v>
      </c>
      <c r="I15" s="58">
        <f t="shared" si="0"/>
        <v>5625</v>
      </c>
    </row>
    <row r="16" spans="1:11" ht="25.5" x14ac:dyDescent="0.2">
      <c r="A16" s="57">
        <v>7</v>
      </c>
      <c r="B16" s="101" t="s">
        <v>175</v>
      </c>
      <c r="C16" s="86" t="s">
        <v>64</v>
      </c>
      <c r="D16" s="74">
        <v>292</v>
      </c>
      <c r="E16" s="75" t="s">
        <v>174</v>
      </c>
      <c r="F16" s="89" t="s">
        <v>55</v>
      </c>
      <c r="G16" s="89">
        <v>12</v>
      </c>
      <c r="H16" s="90">
        <v>1500</v>
      </c>
      <c r="I16" s="58">
        <f t="shared" si="0"/>
        <v>18000</v>
      </c>
    </row>
    <row r="17" spans="1:9" ht="25.5" x14ac:dyDescent="0.2">
      <c r="A17" s="57">
        <v>8</v>
      </c>
      <c r="B17" s="101" t="s">
        <v>177</v>
      </c>
      <c r="C17" s="86" t="s">
        <v>64</v>
      </c>
      <c r="D17" s="74">
        <v>292</v>
      </c>
      <c r="E17" s="75" t="s">
        <v>176</v>
      </c>
      <c r="F17" s="89" t="s">
        <v>55</v>
      </c>
      <c r="G17" s="89">
        <v>12</v>
      </c>
      <c r="H17" s="90">
        <v>1920</v>
      </c>
      <c r="I17" s="58">
        <f t="shared" si="0"/>
        <v>23040</v>
      </c>
    </row>
    <row r="18" spans="1:9" ht="25.5" x14ac:dyDescent="0.2">
      <c r="A18" s="57">
        <v>9</v>
      </c>
      <c r="B18" s="56" t="s">
        <v>179</v>
      </c>
      <c r="C18" s="86" t="s">
        <v>64</v>
      </c>
      <c r="D18" s="74">
        <v>292</v>
      </c>
      <c r="E18" s="75" t="s">
        <v>178</v>
      </c>
      <c r="F18" s="89" t="s">
        <v>55</v>
      </c>
      <c r="G18" s="89">
        <v>8</v>
      </c>
      <c r="H18" s="90">
        <v>1650</v>
      </c>
      <c r="I18" s="58">
        <f t="shared" si="0"/>
        <v>13200</v>
      </c>
    </row>
    <row r="19" spans="1:9" ht="25.5" x14ac:dyDescent="0.2">
      <c r="A19" s="57">
        <v>10</v>
      </c>
      <c r="B19" t="s">
        <v>181</v>
      </c>
      <c r="C19" s="86" t="s">
        <v>64</v>
      </c>
      <c r="D19" s="74">
        <v>292</v>
      </c>
      <c r="E19" s="99" t="s">
        <v>180</v>
      </c>
      <c r="F19" s="89" t="s">
        <v>55</v>
      </c>
      <c r="G19" s="89">
        <v>8</v>
      </c>
      <c r="H19" s="90">
        <v>2190</v>
      </c>
      <c r="I19" s="58">
        <f t="shared" si="0"/>
        <v>17520</v>
      </c>
    </row>
    <row r="20" spans="1:9" x14ac:dyDescent="0.2">
      <c r="A20" s="57">
        <v>11</v>
      </c>
      <c r="B20" s="86" t="s">
        <v>76</v>
      </c>
      <c r="C20" s="86" t="s">
        <v>64</v>
      </c>
      <c r="D20" s="74">
        <v>292</v>
      </c>
      <c r="E20" s="75" t="s">
        <v>77</v>
      </c>
      <c r="F20" s="89" t="s">
        <v>55</v>
      </c>
      <c r="G20" s="89">
        <v>8</v>
      </c>
      <c r="H20" s="90">
        <v>2035</v>
      </c>
      <c r="I20" s="58">
        <f t="shared" si="0"/>
        <v>16280</v>
      </c>
    </row>
    <row r="21" spans="1:9" x14ac:dyDescent="0.2">
      <c r="A21" s="57">
        <v>12</v>
      </c>
      <c r="B21" s="86" t="s">
        <v>76</v>
      </c>
      <c r="C21" s="86" t="s">
        <v>64</v>
      </c>
      <c r="D21" s="74">
        <v>292</v>
      </c>
      <c r="E21" s="75" t="s">
        <v>77</v>
      </c>
      <c r="F21" s="89" t="s">
        <v>55</v>
      </c>
      <c r="G21" s="89">
        <v>8</v>
      </c>
      <c r="H21" s="90">
        <v>2035</v>
      </c>
      <c r="I21" s="58">
        <f t="shared" si="0"/>
        <v>16280</v>
      </c>
    </row>
    <row r="22" spans="1:9" ht="25.5" x14ac:dyDescent="0.2">
      <c r="A22" s="57">
        <v>13</v>
      </c>
      <c r="B22" s="86" t="s">
        <v>78</v>
      </c>
      <c r="C22" s="86" t="s">
        <v>64</v>
      </c>
      <c r="D22" s="74">
        <v>292</v>
      </c>
      <c r="E22" s="75" t="s">
        <v>79</v>
      </c>
      <c r="F22" s="89" t="s">
        <v>55</v>
      </c>
      <c r="G22" s="89">
        <v>4</v>
      </c>
      <c r="H22" s="90">
        <v>2399</v>
      </c>
      <c r="I22" s="58">
        <f t="shared" si="0"/>
        <v>9596</v>
      </c>
    </row>
    <row r="23" spans="1:9" ht="25.5" x14ac:dyDescent="0.2">
      <c r="A23" s="57">
        <v>14</v>
      </c>
      <c r="B23" s="86" t="s">
        <v>78</v>
      </c>
      <c r="C23" s="86" t="s">
        <v>64</v>
      </c>
      <c r="D23" s="74">
        <v>292</v>
      </c>
      <c r="E23" s="75" t="s">
        <v>79</v>
      </c>
      <c r="F23" s="89" t="s">
        <v>55</v>
      </c>
      <c r="G23" s="89">
        <v>4</v>
      </c>
      <c r="H23" s="90">
        <v>2300</v>
      </c>
      <c r="I23" s="58">
        <f t="shared" si="0"/>
        <v>9200</v>
      </c>
    </row>
    <row r="24" spans="1:9" x14ac:dyDescent="0.2">
      <c r="A24" s="57">
        <v>15</v>
      </c>
      <c r="B24" s="86" t="s">
        <v>80</v>
      </c>
      <c r="C24" s="86" t="s">
        <v>64</v>
      </c>
      <c r="D24" s="74">
        <v>292</v>
      </c>
      <c r="E24" s="75" t="s">
        <v>81</v>
      </c>
      <c r="F24" s="89" t="s">
        <v>55</v>
      </c>
      <c r="G24" s="89">
        <v>10</v>
      </c>
      <c r="H24" s="90">
        <v>6500</v>
      </c>
      <c r="I24" s="58">
        <f t="shared" si="0"/>
        <v>65000</v>
      </c>
    </row>
    <row r="25" spans="1:9" x14ac:dyDescent="0.2">
      <c r="A25" s="57">
        <v>16</v>
      </c>
      <c r="B25" s="86" t="s">
        <v>82</v>
      </c>
      <c r="C25" s="86" t="s">
        <v>64</v>
      </c>
      <c r="D25" s="74">
        <v>292</v>
      </c>
      <c r="E25" s="75" t="s">
        <v>83</v>
      </c>
      <c r="F25" s="89" t="s">
        <v>55</v>
      </c>
      <c r="G25" s="89">
        <v>10</v>
      </c>
      <c r="H25" s="90">
        <v>5580</v>
      </c>
      <c r="I25" s="58">
        <f t="shared" si="0"/>
        <v>55800</v>
      </c>
    </row>
    <row r="26" spans="1:9" x14ac:dyDescent="0.2">
      <c r="A26" s="57">
        <v>17</v>
      </c>
      <c r="B26" s="86" t="s">
        <v>82</v>
      </c>
      <c r="C26" s="86" t="s">
        <v>64</v>
      </c>
      <c r="D26" s="74">
        <v>292</v>
      </c>
      <c r="E26" s="75" t="s">
        <v>83</v>
      </c>
      <c r="F26" s="89" t="s">
        <v>55</v>
      </c>
      <c r="G26" s="89">
        <v>10</v>
      </c>
      <c r="H26" s="90">
        <v>5100</v>
      </c>
      <c r="I26" s="58">
        <f t="shared" si="0"/>
        <v>51000</v>
      </c>
    </row>
    <row r="27" spans="1:9" x14ac:dyDescent="0.2">
      <c r="A27" s="57">
        <v>18</v>
      </c>
      <c r="B27" s="86" t="s">
        <v>82</v>
      </c>
      <c r="C27" s="86" t="s">
        <v>64</v>
      </c>
      <c r="D27" s="74">
        <v>292</v>
      </c>
      <c r="E27" s="75" t="s">
        <v>83</v>
      </c>
      <c r="F27" s="89" t="s">
        <v>55</v>
      </c>
      <c r="G27" s="89">
        <v>10</v>
      </c>
      <c r="H27" s="90">
        <v>5779</v>
      </c>
      <c r="I27" s="58">
        <f t="shared" si="0"/>
        <v>57790</v>
      </c>
    </row>
    <row r="28" spans="1:9" ht="25.5" x14ac:dyDescent="0.2">
      <c r="A28" s="57">
        <v>19</v>
      </c>
      <c r="B28" s="86" t="s">
        <v>84</v>
      </c>
      <c r="C28" s="86" t="s">
        <v>64</v>
      </c>
      <c r="D28" s="74">
        <v>292</v>
      </c>
      <c r="E28" s="75" t="s">
        <v>85</v>
      </c>
      <c r="F28" s="89" t="s">
        <v>55</v>
      </c>
      <c r="G28" s="89">
        <v>30</v>
      </c>
      <c r="H28" s="90">
        <v>7990</v>
      </c>
      <c r="I28" s="58">
        <f t="shared" si="0"/>
        <v>239700</v>
      </c>
    </row>
    <row r="29" spans="1:9" ht="25.5" x14ac:dyDescent="0.2">
      <c r="A29" s="57">
        <v>20</v>
      </c>
      <c r="B29" s="86" t="s">
        <v>84</v>
      </c>
      <c r="C29" s="86" t="s">
        <v>64</v>
      </c>
      <c r="D29" s="74">
        <v>292</v>
      </c>
      <c r="E29" s="75" t="s">
        <v>85</v>
      </c>
      <c r="F29" s="89" t="s">
        <v>55</v>
      </c>
      <c r="G29" s="89">
        <v>30</v>
      </c>
      <c r="H29" s="90">
        <v>5728</v>
      </c>
      <c r="I29" s="58">
        <f t="shared" si="0"/>
        <v>171840</v>
      </c>
    </row>
    <row r="30" spans="1:9" ht="25.5" x14ac:dyDescent="0.2">
      <c r="A30" s="57">
        <v>21</v>
      </c>
      <c r="B30" s="86" t="s">
        <v>84</v>
      </c>
      <c r="C30" s="86" t="s">
        <v>64</v>
      </c>
      <c r="D30" s="74">
        <v>292</v>
      </c>
      <c r="E30" s="75" t="s">
        <v>85</v>
      </c>
      <c r="F30" s="89" t="s">
        <v>55</v>
      </c>
      <c r="G30" s="89">
        <v>30</v>
      </c>
      <c r="H30" s="90">
        <v>5728</v>
      </c>
      <c r="I30" s="58">
        <f t="shared" si="0"/>
        <v>171840</v>
      </c>
    </row>
    <row r="31" spans="1:9" ht="25.5" x14ac:dyDescent="0.2">
      <c r="A31" s="57">
        <v>22</v>
      </c>
      <c r="B31" s="86" t="s">
        <v>84</v>
      </c>
      <c r="C31" s="86" t="s">
        <v>64</v>
      </c>
      <c r="D31" s="74">
        <v>292</v>
      </c>
      <c r="E31" s="75" t="s">
        <v>85</v>
      </c>
      <c r="F31" s="89" t="s">
        <v>55</v>
      </c>
      <c r="G31" s="89">
        <v>30</v>
      </c>
      <c r="H31" s="90">
        <v>5728</v>
      </c>
      <c r="I31" s="58">
        <f t="shared" si="0"/>
        <v>171840</v>
      </c>
    </row>
    <row r="32" spans="1:9" ht="25.5" x14ac:dyDescent="0.2">
      <c r="A32" s="57">
        <v>23</v>
      </c>
      <c r="B32" s="86" t="s">
        <v>86</v>
      </c>
      <c r="C32" s="86" t="s">
        <v>64</v>
      </c>
      <c r="D32" s="74">
        <v>292</v>
      </c>
      <c r="E32" s="75" t="s">
        <v>87</v>
      </c>
      <c r="F32" s="89" t="s">
        <v>55</v>
      </c>
      <c r="G32" s="89">
        <v>2</v>
      </c>
      <c r="H32" s="90">
        <v>5133</v>
      </c>
      <c r="I32" s="58">
        <f t="shared" si="0"/>
        <v>10266</v>
      </c>
    </row>
    <row r="33" spans="1:9" ht="25.5" x14ac:dyDescent="0.2">
      <c r="A33" s="57">
        <v>24</v>
      </c>
      <c r="B33" s="86" t="s">
        <v>88</v>
      </c>
      <c r="C33" s="86" t="s">
        <v>64</v>
      </c>
      <c r="D33" s="74">
        <v>292</v>
      </c>
      <c r="E33" s="75" t="s">
        <v>89</v>
      </c>
      <c r="F33" s="89" t="s">
        <v>55</v>
      </c>
      <c r="G33" s="89">
        <v>2</v>
      </c>
      <c r="H33" s="90">
        <v>5775</v>
      </c>
      <c r="I33" s="58">
        <f t="shared" si="0"/>
        <v>11550</v>
      </c>
    </row>
    <row r="34" spans="1:9" x14ac:dyDescent="0.2">
      <c r="A34" s="57">
        <v>25</v>
      </c>
      <c r="B34" s="86" t="s">
        <v>90</v>
      </c>
      <c r="C34" s="86" t="s">
        <v>64</v>
      </c>
      <c r="D34" s="74">
        <v>292</v>
      </c>
      <c r="E34" s="75" t="s">
        <v>91</v>
      </c>
      <c r="F34" s="89" t="s">
        <v>55</v>
      </c>
      <c r="G34" s="89">
        <v>10</v>
      </c>
      <c r="H34" s="90">
        <v>200</v>
      </c>
      <c r="I34" s="58">
        <f t="shared" si="0"/>
        <v>2000</v>
      </c>
    </row>
    <row r="35" spans="1:9" x14ac:dyDescent="0.2">
      <c r="A35" s="57">
        <v>26</v>
      </c>
      <c r="B35" s="86" t="s">
        <v>92</v>
      </c>
      <c r="C35" s="86" t="s">
        <v>64</v>
      </c>
      <c r="D35" s="74">
        <v>292</v>
      </c>
      <c r="E35" s="75" t="s">
        <v>93</v>
      </c>
      <c r="F35" s="89" t="s">
        <v>55</v>
      </c>
      <c r="G35" s="89">
        <v>10</v>
      </c>
      <c r="H35" s="90">
        <v>198</v>
      </c>
      <c r="I35" s="58">
        <f t="shared" si="0"/>
        <v>1980</v>
      </c>
    </row>
    <row r="36" spans="1:9" x14ac:dyDescent="0.2">
      <c r="A36" s="57">
        <v>27</v>
      </c>
      <c r="B36" s="86" t="s">
        <v>94</v>
      </c>
      <c r="C36" s="86" t="s">
        <v>64</v>
      </c>
      <c r="D36" s="74">
        <v>292</v>
      </c>
      <c r="E36" s="75" t="s">
        <v>95</v>
      </c>
      <c r="F36" s="89" t="s">
        <v>55</v>
      </c>
      <c r="G36" s="89">
        <v>10</v>
      </c>
      <c r="H36" s="90">
        <v>198</v>
      </c>
      <c r="I36" s="58">
        <f t="shared" si="0"/>
        <v>1980</v>
      </c>
    </row>
    <row r="37" spans="1:9" x14ac:dyDescent="0.2">
      <c r="A37" s="57">
        <v>28</v>
      </c>
      <c r="B37" s="86" t="s">
        <v>96</v>
      </c>
      <c r="C37" s="86" t="s">
        <v>64</v>
      </c>
      <c r="D37" s="74">
        <v>292</v>
      </c>
      <c r="E37" s="75" t="s">
        <v>97</v>
      </c>
      <c r="F37" s="89" t="s">
        <v>55</v>
      </c>
      <c r="G37" s="89">
        <v>10</v>
      </c>
      <c r="H37" s="90">
        <v>198</v>
      </c>
      <c r="I37" s="58">
        <f t="shared" si="0"/>
        <v>1980</v>
      </c>
    </row>
    <row r="38" spans="1:9" ht="25.5" x14ac:dyDescent="0.2">
      <c r="A38" s="57">
        <v>29</v>
      </c>
      <c r="B38" s="86" t="s">
        <v>98</v>
      </c>
      <c r="C38" s="86" t="s">
        <v>64</v>
      </c>
      <c r="D38" s="74">
        <v>292</v>
      </c>
      <c r="E38" s="75" t="s">
        <v>99</v>
      </c>
      <c r="F38" s="89" t="s">
        <v>55</v>
      </c>
      <c r="G38" s="89">
        <v>60</v>
      </c>
      <c r="H38" s="90">
        <v>875</v>
      </c>
      <c r="I38" s="58">
        <f t="shared" si="0"/>
        <v>52500</v>
      </c>
    </row>
    <row r="39" spans="1:9" ht="25.5" x14ac:dyDescent="0.2">
      <c r="A39" s="102">
        <v>30</v>
      </c>
      <c r="B39" s="103" t="s">
        <v>199</v>
      </c>
      <c r="C39" s="104" t="s">
        <v>64</v>
      </c>
      <c r="D39" s="105">
        <v>292</v>
      </c>
      <c r="E39" s="106" t="s">
        <v>198</v>
      </c>
      <c r="F39" s="107" t="s">
        <v>55</v>
      </c>
      <c r="G39" s="107">
        <v>30</v>
      </c>
      <c r="H39" s="108">
        <v>1155</v>
      </c>
      <c r="I39" s="109">
        <f t="shared" si="0"/>
        <v>34650</v>
      </c>
    </row>
    <row r="40" spans="1:9" x14ac:dyDescent="0.2">
      <c r="A40" s="57">
        <v>31</v>
      </c>
      <c r="B40" s="86" t="s">
        <v>100</v>
      </c>
      <c r="C40" s="86" t="s">
        <v>64</v>
      </c>
      <c r="D40" s="74">
        <v>292</v>
      </c>
      <c r="E40" s="75" t="s">
        <v>101</v>
      </c>
      <c r="F40" s="89" t="s">
        <v>55</v>
      </c>
      <c r="G40" s="89">
        <v>70</v>
      </c>
      <c r="H40" s="90">
        <v>1440</v>
      </c>
      <c r="I40" s="58">
        <f t="shared" si="0"/>
        <v>100800</v>
      </c>
    </row>
    <row r="41" spans="1:9" ht="42.75" customHeight="1" x14ac:dyDescent="0.2">
      <c r="A41" s="57">
        <v>32</v>
      </c>
      <c r="B41" s="86" t="s">
        <v>102</v>
      </c>
      <c r="C41" s="86" t="s">
        <v>64</v>
      </c>
      <c r="D41" s="74">
        <v>292</v>
      </c>
      <c r="E41" s="75" t="s">
        <v>103</v>
      </c>
      <c r="F41" s="89" t="s">
        <v>55</v>
      </c>
      <c r="G41" s="89">
        <v>30</v>
      </c>
      <c r="H41" s="90">
        <v>1295</v>
      </c>
      <c r="I41" s="58">
        <f t="shared" si="0"/>
        <v>38850</v>
      </c>
    </row>
    <row r="42" spans="1:9" ht="42.75" customHeight="1" x14ac:dyDescent="0.2">
      <c r="A42" s="57">
        <v>33</v>
      </c>
      <c r="B42" s="86" t="s">
        <v>104</v>
      </c>
      <c r="C42" s="86" t="s">
        <v>64</v>
      </c>
      <c r="D42" s="74">
        <v>292</v>
      </c>
      <c r="E42" s="75" t="s">
        <v>105</v>
      </c>
      <c r="F42" s="89" t="s">
        <v>55</v>
      </c>
      <c r="G42" s="89">
        <v>3</v>
      </c>
      <c r="H42" s="90">
        <v>1590</v>
      </c>
      <c r="I42" s="58">
        <f t="shared" si="0"/>
        <v>4770</v>
      </c>
    </row>
    <row r="43" spans="1:9" ht="42.75" customHeight="1" x14ac:dyDescent="0.2">
      <c r="A43" s="57">
        <v>34</v>
      </c>
      <c r="B43" s="86" t="s">
        <v>106</v>
      </c>
      <c r="C43" s="86" t="s">
        <v>64</v>
      </c>
      <c r="D43" s="74">
        <v>292</v>
      </c>
      <c r="E43" s="75" t="s">
        <v>107</v>
      </c>
      <c r="F43" s="89" t="s">
        <v>55</v>
      </c>
      <c r="G43" s="89">
        <v>3</v>
      </c>
      <c r="H43" s="90">
        <v>1590</v>
      </c>
      <c r="I43" s="58">
        <f t="shared" si="0"/>
        <v>4770</v>
      </c>
    </row>
    <row r="44" spans="1:9" ht="42.75" customHeight="1" x14ac:dyDescent="0.2">
      <c r="A44" s="57">
        <v>35</v>
      </c>
      <c r="B44" s="86" t="s">
        <v>108</v>
      </c>
      <c r="C44" s="86" t="s">
        <v>64</v>
      </c>
      <c r="D44" s="74">
        <v>292</v>
      </c>
      <c r="E44" s="75" t="s">
        <v>109</v>
      </c>
      <c r="F44" s="89" t="s">
        <v>55</v>
      </c>
      <c r="G44" s="89">
        <v>3</v>
      </c>
      <c r="H44" s="90">
        <v>1590</v>
      </c>
      <c r="I44" s="58">
        <f t="shared" si="0"/>
        <v>4770</v>
      </c>
    </row>
    <row r="45" spans="1:9" ht="42.75" customHeight="1" x14ac:dyDescent="0.2">
      <c r="A45" s="57">
        <v>36</v>
      </c>
      <c r="B45" s="86" t="s">
        <v>110</v>
      </c>
      <c r="C45" s="86" t="s">
        <v>64</v>
      </c>
      <c r="D45" s="74">
        <v>292</v>
      </c>
      <c r="E45" s="75" t="s">
        <v>111</v>
      </c>
      <c r="F45" s="89" t="s">
        <v>55</v>
      </c>
      <c r="G45" s="89">
        <v>3</v>
      </c>
      <c r="H45" s="90">
        <v>1590</v>
      </c>
      <c r="I45" s="58">
        <f t="shared" si="0"/>
        <v>4770</v>
      </c>
    </row>
    <row r="46" spans="1:9" ht="42.75" customHeight="1" x14ac:dyDescent="0.2">
      <c r="A46" s="57">
        <v>37</v>
      </c>
      <c r="B46" s="100" t="s">
        <v>172</v>
      </c>
      <c r="C46" s="86" t="s">
        <v>64</v>
      </c>
      <c r="D46" s="74">
        <v>292</v>
      </c>
      <c r="E46" s="99" t="s">
        <v>171</v>
      </c>
      <c r="F46" s="89" t="s">
        <v>55</v>
      </c>
      <c r="G46" s="89">
        <v>15</v>
      </c>
      <c r="H46" s="90">
        <v>3680</v>
      </c>
      <c r="I46" s="58">
        <f t="shared" si="0"/>
        <v>55200</v>
      </c>
    </row>
    <row r="47" spans="1:9" ht="42.75" customHeight="1" thickBot="1" x14ac:dyDescent="0.25">
      <c r="A47" s="57">
        <v>38</v>
      </c>
      <c r="B47" s="91" t="s">
        <v>112</v>
      </c>
      <c r="C47" s="91" t="s">
        <v>64</v>
      </c>
      <c r="D47" s="92">
        <v>292</v>
      </c>
      <c r="E47" s="93" t="s">
        <v>113</v>
      </c>
      <c r="F47" s="89" t="s">
        <v>55</v>
      </c>
      <c r="G47" s="89">
        <v>2</v>
      </c>
      <c r="H47" s="90">
        <v>1490</v>
      </c>
      <c r="I47" s="58">
        <f t="shared" si="0"/>
        <v>2980</v>
      </c>
    </row>
    <row r="48" spans="1:9" ht="13.5" thickBot="1" x14ac:dyDescent="0.25">
      <c r="I48" s="33"/>
    </row>
    <row r="49" spans="2:9" x14ac:dyDescent="0.2">
      <c r="B49" s="67" t="s">
        <v>56</v>
      </c>
      <c r="C49" s="29"/>
      <c r="D49" s="29"/>
      <c r="E49" s="30"/>
      <c r="I49" s="33"/>
    </row>
    <row r="50" spans="2:9" ht="13.5" customHeight="1" x14ac:dyDescent="0.2">
      <c r="B50" s="117" t="s">
        <v>57</v>
      </c>
      <c r="C50" s="118"/>
      <c r="D50" s="118"/>
      <c r="E50" s="119"/>
    </row>
    <row r="51" spans="2:9" ht="25.5" customHeight="1" x14ac:dyDescent="0.2">
      <c r="B51" s="117"/>
      <c r="C51" s="118"/>
      <c r="D51" s="118"/>
      <c r="E51" s="119"/>
      <c r="F51" s="31"/>
      <c r="G51" s="32"/>
    </row>
    <row r="52" spans="2:9" ht="13.5" customHeight="1" x14ac:dyDescent="0.2">
      <c r="B52" s="117" t="s">
        <v>61</v>
      </c>
      <c r="C52" s="118"/>
      <c r="D52" s="118"/>
      <c r="E52" s="119"/>
      <c r="F52" s="31"/>
      <c r="G52" s="32"/>
    </row>
    <row r="53" spans="2:9" ht="13.5" thickBot="1" x14ac:dyDescent="0.25">
      <c r="B53" s="68" t="s">
        <v>58</v>
      </c>
      <c r="C53" s="69"/>
      <c r="D53" s="70"/>
      <c r="E53" s="71"/>
      <c r="F53" s="31"/>
      <c r="G53" s="32"/>
    </row>
    <row r="54" spans="2:9" ht="12" customHeight="1" thickBot="1" x14ac:dyDescent="0.25"/>
    <row r="55" spans="2:9" ht="15.75" x14ac:dyDescent="0.2">
      <c r="B55" s="114" t="s">
        <v>118</v>
      </c>
      <c r="C55" s="115"/>
      <c r="D55" s="115"/>
      <c r="E55" s="116"/>
    </row>
    <row r="56" spans="2:9" ht="15.75" x14ac:dyDescent="0.25">
      <c r="B56" s="94" t="s">
        <v>119</v>
      </c>
      <c r="C56" s="95" t="s">
        <v>120</v>
      </c>
      <c r="E56" s="110"/>
    </row>
    <row r="57" spans="2:9" ht="15.75" x14ac:dyDescent="0.25">
      <c r="B57" s="94" t="s">
        <v>121</v>
      </c>
      <c r="C57" s="95" t="s">
        <v>122</v>
      </c>
      <c r="E57" s="110"/>
    </row>
    <row r="58" spans="2:9" ht="15.75" x14ac:dyDescent="0.25">
      <c r="B58" s="94" t="s">
        <v>123</v>
      </c>
      <c r="C58" s="95" t="s">
        <v>124</v>
      </c>
      <c r="E58" s="110"/>
    </row>
    <row r="59" spans="2:9" ht="15.75" x14ac:dyDescent="0.25">
      <c r="B59" s="94" t="s">
        <v>125</v>
      </c>
      <c r="C59" s="95" t="s">
        <v>126</v>
      </c>
      <c r="E59" s="110"/>
    </row>
    <row r="60" spans="2:9" ht="15.75" x14ac:dyDescent="0.25">
      <c r="B60" s="94" t="s">
        <v>127</v>
      </c>
      <c r="C60" s="95" t="s">
        <v>128</v>
      </c>
      <c r="E60" s="110"/>
    </row>
    <row r="61" spans="2:9" ht="15.75" x14ac:dyDescent="0.25">
      <c r="B61" s="94" t="s">
        <v>129</v>
      </c>
      <c r="C61" s="95" t="s">
        <v>130</v>
      </c>
      <c r="E61" s="110"/>
    </row>
    <row r="62" spans="2:9" ht="15.75" x14ac:dyDescent="0.25">
      <c r="B62" s="94" t="s">
        <v>131</v>
      </c>
      <c r="C62" s="95" t="s">
        <v>132</v>
      </c>
      <c r="E62" s="110"/>
    </row>
    <row r="63" spans="2:9" ht="15.75" x14ac:dyDescent="0.25">
      <c r="B63" s="94" t="s">
        <v>133</v>
      </c>
      <c r="C63" s="95" t="s">
        <v>134</v>
      </c>
      <c r="E63" s="110"/>
    </row>
    <row r="64" spans="2:9" ht="15.75" x14ac:dyDescent="0.25">
      <c r="B64" s="94" t="s">
        <v>135</v>
      </c>
      <c r="C64" s="95" t="s">
        <v>136</v>
      </c>
      <c r="E64" s="110"/>
    </row>
    <row r="65" spans="2:5" ht="15.75" x14ac:dyDescent="0.25">
      <c r="B65" s="94" t="s">
        <v>137</v>
      </c>
      <c r="C65" s="95" t="s">
        <v>138</v>
      </c>
      <c r="E65" s="110"/>
    </row>
    <row r="66" spans="2:5" ht="15.75" x14ac:dyDescent="0.25">
      <c r="B66" s="94" t="s">
        <v>139</v>
      </c>
      <c r="C66" s="95" t="s">
        <v>140</v>
      </c>
      <c r="E66" s="110"/>
    </row>
    <row r="67" spans="2:5" ht="15.75" x14ac:dyDescent="0.25">
      <c r="B67" s="94" t="s">
        <v>141</v>
      </c>
      <c r="C67" s="95" t="s">
        <v>142</v>
      </c>
      <c r="E67" s="110"/>
    </row>
    <row r="68" spans="2:5" ht="15.75" x14ac:dyDescent="0.25">
      <c r="B68" s="94" t="s">
        <v>143</v>
      </c>
      <c r="C68" s="95" t="s">
        <v>144</v>
      </c>
      <c r="E68" s="110"/>
    </row>
    <row r="69" spans="2:5" ht="15.75" x14ac:dyDescent="0.25">
      <c r="B69" s="94" t="s">
        <v>145</v>
      </c>
      <c r="C69" s="95" t="s">
        <v>146</v>
      </c>
      <c r="E69" s="110"/>
    </row>
    <row r="70" spans="2:5" ht="15.75" x14ac:dyDescent="0.25">
      <c r="B70" s="94" t="s">
        <v>147</v>
      </c>
      <c r="C70" s="95" t="s">
        <v>187</v>
      </c>
      <c r="E70" s="110"/>
    </row>
    <row r="71" spans="2:5" ht="15.75" x14ac:dyDescent="0.25">
      <c r="B71" s="94" t="s">
        <v>148</v>
      </c>
      <c r="C71" s="95" t="s">
        <v>186</v>
      </c>
      <c r="E71" s="110"/>
    </row>
    <row r="72" spans="2:5" ht="15.75" x14ac:dyDescent="0.25">
      <c r="B72" s="94" t="s">
        <v>149</v>
      </c>
      <c r="C72" s="95" t="s">
        <v>188</v>
      </c>
      <c r="E72" s="110"/>
    </row>
    <row r="73" spans="2:5" ht="15.75" x14ac:dyDescent="0.25">
      <c r="B73" s="94" t="s">
        <v>150</v>
      </c>
      <c r="C73" s="95" t="s">
        <v>189</v>
      </c>
      <c r="E73" s="110"/>
    </row>
    <row r="74" spans="2:5" ht="15.75" x14ac:dyDescent="0.25">
      <c r="B74" s="94" t="s">
        <v>151</v>
      </c>
      <c r="C74" s="95" t="s">
        <v>190</v>
      </c>
      <c r="E74" s="110"/>
    </row>
    <row r="75" spans="2:5" ht="15.75" x14ac:dyDescent="0.25">
      <c r="B75" s="94" t="s">
        <v>152</v>
      </c>
      <c r="C75" s="95" t="s">
        <v>191</v>
      </c>
      <c r="E75" s="110"/>
    </row>
    <row r="76" spans="2:5" ht="15.75" x14ac:dyDescent="0.25">
      <c r="B76" s="94" t="s">
        <v>154</v>
      </c>
      <c r="C76" s="95" t="s">
        <v>192</v>
      </c>
      <c r="E76" s="110"/>
    </row>
    <row r="77" spans="2:5" ht="15.75" x14ac:dyDescent="0.25">
      <c r="B77" s="94" t="s">
        <v>156</v>
      </c>
      <c r="C77" s="95" t="s">
        <v>193</v>
      </c>
      <c r="E77" s="110"/>
    </row>
    <row r="78" spans="2:5" ht="15.75" x14ac:dyDescent="0.25">
      <c r="B78" s="94" t="s">
        <v>158</v>
      </c>
      <c r="C78" s="95" t="s">
        <v>196</v>
      </c>
      <c r="E78" s="110"/>
    </row>
    <row r="79" spans="2:5" ht="15.75" x14ac:dyDescent="0.25">
      <c r="B79" s="94" t="s">
        <v>160</v>
      </c>
      <c r="C79" s="95" t="s">
        <v>197</v>
      </c>
      <c r="E79" s="110"/>
    </row>
    <row r="80" spans="2:5" ht="15.75" x14ac:dyDescent="0.25">
      <c r="B80" s="94" t="s">
        <v>161</v>
      </c>
      <c r="C80" s="95" t="s">
        <v>153</v>
      </c>
      <c r="E80" s="110"/>
    </row>
    <row r="81" spans="2:5" ht="15.75" x14ac:dyDescent="0.25">
      <c r="B81" s="94" t="s">
        <v>163</v>
      </c>
      <c r="C81" s="95" t="s">
        <v>155</v>
      </c>
      <c r="E81" s="110"/>
    </row>
    <row r="82" spans="2:5" ht="15.75" x14ac:dyDescent="0.25">
      <c r="B82" s="94" t="s">
        <v>164</v>
      </c>
      <c r="C82" s="95" t="s">
        <v>157</v>
      </c>
      <c r="E82" s="110"/>
    </row>
    <row r="83" spans="2:5" ht="15.75" x14ac:dyDescent="0.25">
      <c r="B83" s="94" t="s">
        <v>165</v>
      </c>
      <c r="C83" s="95" t="s">
        <v>159</v>
      </c>
      <c r="E83" s="110"/>
    </row>
    <row r="84" spans="2:5" ht="15.75" x14ac:dyDescent="0.25">
      <c r="B84" s="94" t="s">
        <v>166</v>
      </c>
      <c r="C84" s="95" t="s">
        <v>200</v>
      </c>
      <c r="E84" s="110"/>
    </row>
    <row r="85" spans="2:5" ht="15.75" x14ac:dyDescent="0.25">
      <c r="B85" s="94" t="s">
        <v>167</v>
      </c>
      <c r="C85" s="95" t="s">
        <v>162</v>
      </c>
      <c r="E85" s="110"/>
    </row>
    <row r="86" spans="2:5" ht="15.75" x14ac:dyDescent="0.25">
      <c r="B86" s="94" t="s">
        <v>168</v>
      </c>
      <c r="C86" s="95" t="s">
        <v>201</v>
      </c>
      <c r="E86" s="110"/>
    </row>
    <row r="87" spans="2:5" ht="15.75" x14ac:dyDescent="0.25">
      <c r="B87" s="94" t="s">
        <v>169</v>
      </c>
      <c r="C87" s="95" t="s">
        <v>202</v>
      </c>
      <c r="E87" s="110"/>
    </row>
    <row r="88" spans="2:5" ht="15.75" x14ac:dyDescent="0.25">
      <c r="B88" s="94" t="s">
        <v>170</v>
      </c>
      <c r="C88" s="95" t="s">
        <v>203</v>
      </c>
      <c r="E88" s="110"/>
    </row>
    <row r="89" spans="2:5" ht="15.75" x14ac:dyDescent="0.25">
      <c r="B89" s="94" t="s">
        <v>183</v>
      </c>
      <c r="C89" s="95" t="s">
        <v>204</v>
      </c>
      <c r="E89" s="110"/>
    </row>
    <row r="90" spans="2:5" ht="15.75" x14ac:dyDescent="0.25">
      <c r="B90" s="94" t="s">
        <v>184</v>
      </c>
      <c r="C90" s="95" t="s">
        <v>206</v>
      </c>
      <c r="E90" s="110"/>
    </row>
    <row r="91" spans="2:5" ht="15.75" x14ac:dyDescent="0.25">
      <c r="B91" s="94" t="s">
        <v>185</v>
      </c>
      <c r="C91" s="95" t="s">
        <v>205</v>
      </c>
      <c r="E91" s="110"/>
    </row>
    <row r="92" spans="2:5" ht="15.75" x14ac:dyDescent="0.25">
      <c r="B92" s="94" t="s">
        <v>194</v>
      </c>
      <c r="C92" s="95" t="s">
        <v>207</v>
      </c>
      <c r="E92" s="110"/>
    </row>
    <row r="93" spans="2:5" ht="16.5" thickBot="1" x14ac:dyDescent="0.3">
      <c r="B93" s="96" t="s">
        <v>195</v>
      </c>
      <c r="C93" s="97" t="s">
        <v>208</v>
      </c>
      <c r="D93" s="87"/>
      <c r="E93" s="98"/>
    </row>
  </sheetData>
  <autoFilter ref="A9:I41" xr:uid="{00000000-0009-0000-0000-000000000000}"/>
  <sortState xmlns:xlrd2="http://schemas.microsoft.com/office/spreadsheetml/2017/richdata2" ref="A10:H43">
    <sortCondition ref="E10:E43"/>
  </sortState>
  <mergeCells count="10">
    <mergeCell ref="B55:E55"/>
    <mergeCell ref="A6:B6"/>
    <mergeCell ref="A7:B7"/>
    <mergeCell ref="B50:E51"/>
    <mergeCell ref="B52:E52"/>
    <mergeCell ref="B2:H2"/>
    <mergeCell ref="A4:B4"/>
    <mergeCell ref="C4:E4"/>
    <mergeCell ref="A5:B5"/>
    <mergeCell ref="C5:E5"/>
  </mergeCells>
  <printOptions horizontalCentered="1"/>
  <pageMargins left="0.11811023622047245" right="0.11811023622047245" top="0.35433070866141736" bottom="0.15748031496062992" header="0" footer="0"/>
  <pageSetup paperSize="5" scale="94" firstPageNumber="0" fitToHeight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50"/>
  <sheetViews>
    <sheetView topLeftCell="A52" zoomScale="80" zoomScaleNormal="80" workbookViewId="0">
      <selection activeCell="H54" sqref="H54"/>
    </sheetView>
  </sheetViews>
  <sheetFormatPr baseColWidth="10" defaultColWidth="9.140625" defaultRowHeight="12.75" x14ac:dyDescent="0.2"/>
  <cols>
    <col min="1" max="1" width="5.5703125" style="36" customWidth="1"/>
    <col min="2" max="2" width="15.140625" style="36" customWidth="1"/>
    <col min="3" max="3" width="14.140625" style="36" customWidth="1"/>
    <col min="4" max="4" width="26" style="36" customWidth="1"/>
    <col min="5" max="5" width="8" style="36" customWidth="1"/>
    <col min="6" max="6" width="7.85546875" style="36" customWidth="1"/>
    <col min="7" max="7" width="48.5703125" style="36" customWidth="1"/>
    <col min="8" max="8" width="9.28515625" style="36" customWidth="1"/>
    <col min="9" max="9" width="15.5703125" style="36" customWidth="1"/>
    <col min="10" max="10" width="14.7109375" style="36" customWidth="1"/>
    <col min="11" max="11" width="15.5703125" style="36" customWidth="1"/>
    <col min="12" max="13" width="5.85546875" style="36" customWidth="1"/>
    <col min="14" max="14" width="14.140625" style="36" customWidth="1"/>
    <col min="15" max="15" width="12.5703125" style="36" customWidth="1"/>
    <col min="16" max="1024" width="9.140625" style="36"/>
    <col min="1025" max="16384" width="9.140625" style="37"/>
  </cols>
  <sheetData>
    <row r="1" spans="1:11" ht="18" customHeight="1" x14ac:dyDescent="0.2">
      <c r="A1" s="121" t="s">
        <v>14</v>
      </c>
      <c r="B1" s="121"/>
      <c r="C1" s="121"/>
      <c r="D1" s="121"/>
      <c r="E1" s="121"/>
      <c r="F1" s="121"/>
      <c r="G1" s="121"/>
      <c r="H1" s="121"/>
      <c r="I1" s="121"/>
      <c r="J1" s="34" t="s">
        <v>15</v>
      </c>
      <c r="K1" s="35" t="s">
        <v>114</v>
      </c>
    </row>
    <row r="2" spans="1:11" ht="18.75" customHeight="1" thickBot="1" x14ac:dyDescent="0.25">
      <c r="A2" s="38"/>
      <c r="B2" s="38"/>
      <c r="C2" s="38"/>
      <c r="D2" s="39"/>
      <c r="E2" s="39"/>
      <c r="F2" s="39"/>
      <c r="G2" s="39"/>
      <c r="H2" s="39"/>
      <c r="I2" s="39"/>
      <c r="J2" s="39"/>
      <c r="K2" s="39"/>
    </row>
    <row r="3" spans="1:11" ht="18.75" customHeight="1" thickBot="1" x14ac:dyDescent="0.25">
      <c r="A3" s="122" t="s">
        <v>48</v>
      </c>
      <c r="B3" s="122"/>
      <c r="C3" s="122"/>
      <c r="D3" s="123" t="str">
        <f>'Necesidades Trimestrales'!C4</f>
        <v>040 - Ministerio de Salud</v>
      </c>
      <c r="E3" s="123"/>
      <c r="F3" s="123"/>
      <c r="G3" s="123"/>
      <c r="H3" s="123"/>
      <c r="I3" s="123"/>
      <c r="J3" s="123"/>
      <c r="K3" s="123"/>
    </row>
    <row r="4" spans="1:11" ht="18.75" customHeight="1" thickBot="1" x14ac:dyDescent="0.25">
      <c r="A4" s="124" t="s">
        <v>49</v>
      </c>
      <c r="B4" s="124"/>
      <c r="C4" s="124"/>
      <c r="D4" s="123" t="str">
        <f>'Necesidades Trimestrales'!C5</f>
        <v>024 - Hospital Interzonal de Niños</v>
      </c>
      <c r="E4" s="123"/>
      <c r="F4" s="123"/>
      <c r="G4" s="123"/>
      <c r="H4" s="123"/>
      <c r="I4" s="123"/>
      <c r="J4" s="123"/>
      <c r="K4" s="123"/>
    </row>
    <row r="5" spans="1:11" ht="18.75" customHeight="1" thickBot="1" x14ac:dyDescent="0.25">
      <c r="A5" s="124" t="s">
        <v>27</v>
      </c>
      <c r="B5" s="124"/>
      <c r="C5" s="124"/>
      <c r="D5" s="123" t="s">
        <v>51</v>
      </c>
      <c r="E5" s="123"/>
      <c r="F5" s="123"/>
      <c r="G5" s="123"/>
      <c r="H5" s="123"/>
      <c r="I5" s="123"/>
      <c r="J5" s="123"/>
      <c r="K5" s="123"/>
    </row>
    <row r="6" spans="1:11" ht="16.5" customHeight="1" thickBot="1" x14ac:dyDescent="0.25">
      <c r="A6" s="122" t="s">
        <v>50</v>
      </c>
      <c r="B6" s="122"/>
      <c r="C6" s="122"/>
      <c r="D6" s="123" t="s">
        <v>59</v>
      </c>
      <c r="E6" s="123"/>
      <c r="F6" s="123"/>
      <c r="G6" s="123"/>
      <c r="H6" s="123"/>
      <c r="I6" s="123"/>
      <c r="J6" s="123"/>
      <c r="K6" s="123"/>
    </row>
    <row r="7" spans="1:11" ht="16.5" customHeight="1" x14ac:dyDescent="0.2">
      <c r="A7" s="124" t="s">
        <v>16</v>
      </c>
      <c r="B7" s="124"/>
      <c r="C7" s="124"/>
      <c r="D7" s="123" t="s">
        <v>60</v>
      </c>
      <c r="E7" s="123"/>
      <c r="F7" s="123"/>
      <c r="G7" s="123"/>
      <c r="H7" s="123"/>
      <c r="I7" s="123"/>
      <c r="J7" s="123"/>
      <c r="K7" s="123"/>
    </row>
    <row r="8" spans="1:11" ht="16.5" customHeight="1" x14ac:dyDescent="0.2">
      <c r="A8" s="129" t="s">
        <v>17</v>
      </c>
      <c r="B8" s="129"/>
      <c r="C8" s="129"/>
      <c r="D8" s="125" t="s">
        <v>117</v>
      </c>
      <c r="E8" s="125"/>
      <c r="F8" s="125"/>
      <c r="G8" s="125"/>
      <c r="H8" s="125"/>
      <c r="I8" s="125"/>
      <c r="J8" s="125"/>
      <c r="K8" s="125"/>
    </row>
    <row r="9" spans="1:11" ht="15.75" x14ac:dyDescent="0.2">
      <c r="A9" s="40"/>
      <c r="B9" s="40"/>
      <c r="C9" s="40"/>
      <c r="D9" s="41"/>
      <c r="E9" s="41"/>
      <c r="F9" s="41"/>
      <c r="G9" s="41"/>
      <c r="H9" s="41"/>
      <c r="I9" s="41"/>
      <c r="J9" s="41"/>
      <c r="K9" s="41"/>
    </row>
    <row r="10" spans="1:11" ht="18.75" customHeight="1" x14ac:dyDescent="0.2">
      <c r="A10" s="126" t="s">
        <v>18</v>
      </c>
      <c r="B10" s="127" t="s">
        <v>19</v>
      </c>
      <c r="C10" s="127" t="s">
        <v>20</v>
      </c>
      <c r="D10" s="127"/>
      <c r="E10" s="127"/>
      <c r="F10" s="127"/>
      <c r="G10" s="127"/>
      <c r="H10" s="127" t="s">
        <v>21</v>
      </c>
      <c r="I10" s="127" t="s">
        <v>22</v>
      </c>
      <c r="J10" s="127" t="s">
        <v>23</v>
      </c>
      <c r="K10" s="128" t="s">
        <v>24</v>
      </c>
    </row>
    <row r="11" spans="1:11" ht="24" customHeight="1" thickBot="1" x14ac:dyDescent="0.25">
      <c r="A11" s="126"/>
      <c r="B11" s="127"/>
      <c r="C11" s="127"/>
      <c r="D11" s="127"/>
      <c r="E11" s="127"/>
      <c r="F11" s="127"/>
      <c r="G11" s="127"/>
      <c r="H11" s="127"/>
      <c r="I11" s="127"/>
      <c r="J11" s="127"/>
      <c r="K11" s="128"/>
    </row>
    <row r="12" spans="1:11" ht="27.75" customHeight="1" x14ac:dyDescent="0.2">
      <c r="A12" s="59">
        <v>1</v>
      </c>
      <c r="B12" s="60" t="str">
        <f>'Necesidades Trimestrales'!B10</f>
        <v>2.9.6-1355.1491</v>
      </c>
      <c r="C12" s="120" t="str">
        <f>'Necesidades Trimestrales'!E10</f>
        <v>CARTUCHOS DE TINTA; CODIGO: 21XL, USO: HEWLETT PACKARD</v>
      </c>
      <c r="D12" s="120"/>
      <c r="E12" s="120"/>
      <c r="F12" s="120"/>
      <c r="G12" s="120"/>
      <c r="H12" s="63" t="s">
        <v>182</v>
      </c>
      <c r="I12" s="64" t="str">
        <f>'Necesidades Trimestrales'!F10</f>
        <v>UNIDAD</v>
      </c>
      <c r="J12" s="62">
        <f>'Necesidades Trimestrales'!H10</f>
        <v>990</v>
      </c>
      <c r="K12" s="61">
        <f>'Necesidades Trimestrales'!G10</f>
        <v>16</v>
      </c>
    </row>
    <row r="13" spans="1:11" ht="27.75" customHeight="1" x14ac:dyDescent="0.2">
      <c r="A13" s="59">
        <v>2</v>
      </c>
      <c r="B13" s="60" t="str">
        <f>'Necesidades Trimestrales'!B11</f>
        <v>2.9.6-1355.1492</v>
      </c>
      <c r="C13" s="120" t="str">
        <f>'Necesidades Trimestrales'!E11</f>
        <v>CARTUCHOS DE TINTA; CODIGO: 22XL, USO: HEWLETT PACKARD</v>
      </c>
      <c r="D13" s="120"/>
      <c r="E13" s="120"/>
      <c r="F13" s="120"/>
      <c r="G13" s="120"/>
      <c r="H13" s="63" t="s">
        <v>182</v>
      </c>
      <c r="I13" s="64" t="str">
        <f>'Necesidades Trimestrales'!F11</f>
        <v>UNIDAD</v>
      </c>
      <c r="J13" s="62">
        <f>'Necesidades Trimestrales'!H11</f>
        <v>1850</v>
      </c>
      <c r="K13" s="61">
        <f>'Necesidades Trimestrales'!G11</f>
        <v>16</v>
      </c>
    </row>
    <row r="14" spans="1:11" ht="27.75" customHeight="1" x14ac:dyDescent="0.2">
      <c r="A14" s="59">
        <v>3</v>
      </c>
      <c r="B14" s="60" t="str">
        <f>'Necesidades Trimestrales'!B12</f>
        <v>2.9.6-1355.1044</v>
      </c>
      <c r="C14" s="120" t="str">
        <f>'Necesidades Trimestrales'!E12</f>
        <v>CARTUCHOS DE TINTA; CODIGO: HP27, DESCRIPCION: CARTUCHO TINTA, COLOR: NEGRO, USO: HEWLETT PACKARD</v>
      </c>
      <c r="D14" s="120"/>
      <c r="E14" s="120"/>
      <c r="F14" s="120"/>
      <c r="G14" s="120"/>
      <c r="H14" s="63" t="s">
        <v>182</v>
      </c>
      <c r="I14" s="64" t="str">
        <f>'Necesidades Trimestrales'!F12</f>
        <v>UNIDAD</v>
      </c>
      <c r="J14" s="62">
        <f>'Necesidades Trimestrales'!H12</f>
        <v>1235</v>
      </c>
      <c r="K14" s="61">
        <f>'Necesidades Trimestrales'!G12</f>
        <v>6</v>
      </c>
    </row>
    <row r="15" spans="1:11" ht="27.75" customHeight="1" x14ac:dyDescent="0.2">
      <c r="A15" s="59">
        <v>4</v>
      </c>
      <c r="B15" s="60" t="str">
        <f>'Necesidades Trimestrales'!B13</f>
        <v>2.9.6-1355.1045</v>
      </c>
      <c r="C15" s="120" t="str">
        <f>'Necesidades Trimestrales'!E13</f>
        <v>CARTUCHOS DE TINTA; CODIGO: HP28, DESCRIPCION: CARTUCHO TINTA, COLOR: COLOR, USO: HEWLETT PACKARD</v>
      </c>
      <c r="D15" s="120"/>
      <c r="E15" s="120"/>
      <c r="F15" s="120"/>
      <c r="G15" s="120"/>
      <c r="H15" s="63" t="s">
        <v>182</v>
      </c>
      <c r="I15" s="64" t="str">
        <f>'Necesidades Trimestrales'!F13</f>
        <v>UNIDAD</v>
      </c>
      <c r="J15" s="62">
        <f>'Necesidades Trimestrales'!H13</f>
        <v>1970</v>
      </c>
      <c r="K15" s="61">
        <f>'Necesidades Trimestrales'!G13</f>
        <v>6</v>
      </c>
    </row>
    <row r="16" spans="1:11" ht="27.75" customHeight="1" x14ac:dyDescent="0.2">
      <c r="A16" s="59">
        <v>5</v>
      </c>
      <c r="B16" s="60" t="str">
        <f>'Necesidades Trimestrales'!B14</f>
        <v>2.9.6-1355.664</v>
      </c>
      <c r="C16" s="120" t="str">
        <f>'Necesidades Trimestrales'!E14</f>
        <v>CARTUCHOS DE TINTA; CODIGO: C6656A, PRODUCTO: TINTA, COLOR: NEGRA, USO: HEWLETT PACKARD, DESCRIPCION: TINTA</v>
      </c>
      <c r="D16" s="120"/>
      <c r="E16" s="120"/>
      <c r="F16" s="120"/>
      <c r="G16" s="120"/>
      <c r="H16" s="63" t="s">
        <v>182</v>
      </c>
      <c r="I16" s="64" t="str">
        <f>'Necesidades Trimestrales'!F14</f>
        <v>UNIDAD</v>
      </c>
      <c r="J16" s="62">
        <f>'Necesidades Trimestrales'!H14</f>
        <v>1630</v>
      </c>
      <c r="K16" s="61">
        <f>'Necesidades Trimestrales'!G14</f>
        <v>3</v>
      </c>
    </row>
    <row r="17" spans="1:14" ht="27.75" customHeight="1" x14ac:dyDescent="0.2">
      <c r="A17" s="59">
        <v>6</v>
      </c>
      <c r="B17" s="60" t="str">
        <f>'Necesidades Trimestrales'!B15</f>
        <v>2.9.6-1355.1138</v>
      </c>
      <c r="C17" s="120" t="str">
        <f>'Necesidades Trimestrales'!E15</f>
        <v>CARTUCHOS DE TINTA; CODIGO: C6657AL, DESCRIPCION: CARTUCHO DE TINTA, COLOR: COLOR, USO: HEWLETT PACKARD</v>
      </c>
      <c r="D17" s="120"/>
      <c r="E17" s="120"/>
      <c r="F17" s="120"/>
      <c r="G17" s="120"/>
      <c r="H17" s="63" t="s">
        <v>182</v>
      </c>
      <c r="I17" s="64" t="str">
        <f>'Necesidades Trimestrales'!F15</f>
        <v>UNIDAD</v>
      </c>
      <c r="J17" s="62">
        <f>'Necesidades Trimestrales'!H15</f>
        <v>1875</v>
      </c>
      <c r="K17" s="61">
        <f>'Necesidades Trimestrales'!G15</f>
        <v>3</v>
      </c>
    </row>
    <row r="18" spans="1:14" ht="27.75" customHeight="1" x14ac:dyDescent="0.2">
      <c r="A18" s="59">
        <v>7</v>
      </c>
      <c r="B18" s="60" t="str">
        <f>'Necesidades Trimestrales'!B16</f>
        <v>2.9.6-1355.1405</v>
      </c>
      <c r="C18" s="120" t="str">
        <f>'Necesidades Trimestrales'!E16</f>
        <v>CARTUCHOS DE TINTA; CODIGO: CC641WL, USO: HEWLETT PACKARD</v>
      </c>
      <c r="D18" s="120"/>
      <c r="E18" s="120"/>
      <c r="F18" s="120"/>
      <c r="G18" s="120"/>
      <c r="H18" s="63" t="s">
        <v>182</v>
      </c>
      <c r="I18" s="64" t="str">
        <f>'Necesidades Trimestrales'!F16</f>
        <v>UNIDAD</v>
      </c>
      <c r="J18" s="62">
        <f>'Necesidades Trimestrales'!H16</f>
        <v>1500</v>
      </c>
      <c r="K18" s="61">
        <f>'Necesidades Trimestrales'!G16</f>
        <v>12</v>
      </c>
    </row>
    <row r="19" spans="1:14" ht="27.75" customHeight="1" x14ac:dyDescent="0.2">
      <c r="A19" s="59">
        <v>8</v>
      </c>
      <c r="B19" s="60" t="str">
        <f>'Necesidades Trimestrales'!B17</f>
        <v>2.9.6-1355.1404</v>
      </c>
      <c r="C19" s="120" t="str">
        <f>'Necesidades Trimestrales'!E17</f>
        <v>CARTUCHOS DE TINTA; CODIGO: CC644WL, USO: HEWLETT PACKARD</v>
      </c>
      <c r="D19" s="120"/>
      <c r="E19" s="120"/>
      <c r="F19" s="120"/>
      <c r="G19" s="120"/>
      <c r="H19" s="63" t="s">
        <v>182</v>
      </c>
      <c r="I19" s="64" t="str">
        <f>'Necesidades Trimestrales'!F17</f>
        <v>UNIDAD</v>
      </c>
      <c r="J19" s="62">
        <f>'Necesidades Trimestrales'!H17</f>
        <v>1920</v>
      </c>
      <c r="K19" s="61">
        <f>'Necesidades Trimestrales'!G17</f>
        <v>12</v>
      </c>
    </row>
    <row r="20" spans="1:14" ht="27.75" customHeight="1" x14ac:dyDescent="0.2">
      <c r="A20" s="59">
        <v>9</v>
      </c>
      <c r="B20" s="60" t="str">
        <f>'Necesidades Trimestrales'!B18</f>
        <v>2.9.6-1355.1839</v>
      </c>
      <c r="C20" s="120" t="str">
        <f>'Necesidades Trimestrales'!E18</f>
        <v>CARTUCHOS DE TINTA; CODIGO: CZ105AL, USO: HEWLETT PACKARD</v>
      </c>
      <c r="D20" s="120"/>
      <c r="E20" s="120"/>
      <c r="F20" s="120"/>
      <c r="G20" s="120"/>
      <c r="H20" s="63" t="s">
        <v>182</v>
      </c>
      <c r="I20" s="64" t="str">
        <f>'Necesidades Trimestrales'!F18</f>
        <v>UNIDAD</v>
      </c>
      <c r="J20" s="62">
        <f>'Necesidades Trimestrales'!H18</f>
        <v>1650</v>
      </c>
      <c r="K20" s="61">
        <f>'Necesidades Trimestrales'!G18</f>
        <v>8</v>
      </c>
    </row>
    <row r="21" spans="1:14" ht="27.75" customHeight="1" x14ac:dyDescent="0.2">
      <c r="A21" s="59">
        <v>10</v>
      </c>
      <c r="B21" s="60" t="str">
        <f>'Necesidades Trimestrales'!B19</f>
        <v>2.9.6-1355.1840</v>
      </c>
      <c r="C21" s="120" t="str">
        <f>'Necesidades Trimestrales'!E19</f>
        <v>CARTUCHOS DE TINTA; CODIGO: CZ106AL, USO: HP DESKJET 3515</v>
      </c>
      <c r="D21" s="120"/>
      <c r="E21" s="120"/>
      <c r="F21" s="120"/>
      <c r="G21" s="120"/>
      <c r="H21" s="63" t="s">
        <v>182</v>
      </c>
      <c r="I21" s="64" t="str">
        <f>'Necesidades Trimestrales'!F19</f>
        <v>UNIDAD</v>
      </c>
      <c r="J21" s="62">
        <f>'Necesidades Trimestrales'!H19</f>
        <v>2190</v>
      </c>
      <c r="K21" s="61">
        <f>'Necesidades Trimestrales'!G19</f>
        <v>8</v>
      </c>
    </row>
    <row r="22" spans="1:14" ht="27.75" customHeight="1" x14ac:dyDescent="0.2">
      <c r="A22" s="59">
        <v>11</v>
      </c>
      <c r="B22" s="60" t="str">
        <f>'Necesidades Trimestrales'!B20</f>
        <v>2.9.6-1355.1988</v>
      </c>
      <c r="C22" s="120" t="str">
        <f>'Necesidades Trimestrales'!E20</f>
        <v>CARTUCHOS DE TINTA; CODIGO: 664, USO: HEWLET PACKARD</v>
      </c>
      <c r="D22" s="120"/>
      <c r="E22" s="120"/>
      <c r="F22" s="120"/>
      <c r="G22" s="120"/>
      <c r="H22" s="63" t="s">
        <v>182</v>
      </c>
      <c r="I22" s="64" t="str">
        <f>'Necesidades Trimestrales'!F20</f>
        <v>UNIDAD</v>
      </c>
      <c r="J22" s="62">
        <f>'Necesidades Trimestrales'!H20</f>
        <v>2035</v>
      </c>
      <c r="K22" s="61">
        <f>'Necesidades Trimestrales'!G20</f>
        <v>8</v>
      </c>
    </row>
    <row r="23" spans="1:14" ht="27.75" customHeight="1" x14ac:dyDescent="0.2">
      <c r="A23" s="59">
        <v>12</v>
      </c>
      <c r="B23" s="60" t="str">
        <f>'Necesidades Trimestrales'!B21</f>
        <v>2.9.6-1355.1988</v>
      </c>
      <c r="C23" s="120" t="str">
        <f>'Necesidades Trimestrales'!E21</f>
        <v>CARTUCHOS DE TINTA; CODIGO: 664, USO: HEWLET PACKARD</v>
      </c>
      <c r="D23" s="120"/>
      <c r="E23" s="120"/>
      <c r="F23" s="120"/>
      <c r="G23" s="120"/>
      <c r="H23" s="63" t="s">
        <v>182</v>
      </c>
      <c r="I23" s="64" t="str">
        <f>'Necesidades Trimestrales'!F21</f>
        <v>UNIDAD</v>
      </c>
      <c r="J23" s="62">
        <f>'Necesidades Trimestrales'!H21</f>
        <v>2035</v>
      </c>
      <c r="K23" s="61">
        <f>'Necesidades Trimestrales'!G21</f>
        <v>8</v>
      </c>
    </row>
    <row r="24" spans="1:14" ht="27.75" customHeight="1" x14ac:dyDescent="0.2">
      <c r="A24" s="59">
        <v>13</v>
      </c>
      <c r="B24" s="60" t="str">
        <f>'Necesidades Trimestrales'!B22</f>
        <v>2.9.6-1355.1667</v>
      </c>
      <c r="C24" s="120" t="str">
        <f>'Necesidades Trimestrales'!E22</f>
        <v>CARTUCHOS DE TINTA; CODIGO: HP675, USO: HEWLETT PACKARD</v>
      </c>
      <c r="D24" s="120"/>
      <c r="E24" s="120"/>
      <c r="F24" s="120"/>
      <c r="G24" s="120"/>
      <c r="H24" s="63" t="s">
        <v>182</v>
      </c>
      <c r="I24" s="64" t="str">
        <f>'Necesidades Trimestrales'!F22</f>
        <v>UNIDAD</v>
      </c>
      <c r="J24" s="62">
        <f>'Necesidades Trimestrales'!H22</f>
        <v>2399</v>
      </c>
      <c r="K24" s="61">
        <f>'Necesidades Trimestrales'!G22</f>
        <v>4</v>
      </c>
    </row>
    <row r="25" spans="1:14" ht="27.75" customHeight="1" x14ac:dyDescent="0.2">
      <c r="A25" s="59">
        <v>14</v>
      </c>
      <c r="B25" s="60" t="str">
        <f>'Necesidades Trimestrales'!B23</f>
        <v>2.9.6-1355.1667</v>
      </c>
      <c r="C25" s="120" t="str">
        <f>'Necesidades Trimestrales'!E23</f>
        <v>CARTUCHOS DE TINTA; CODIGO: HP675, USO: HEWLETT PACKARD</v>
      </c>
      <c r="D25" s="120"/>
      <c r="E25" s="120"/>
      <c r="F25" s="120"/>
      <c r="G25" s="120"/>
      <c r="H25" s="63" t="s">
        <v>182</v>
      </c>
      <c r="I25" s="64" t="str">
        <f>'Necesidades Trimestrales'!F23</f>
        <v>UNIDAD</v>
      </c>
      <c r="J25" s="62">
        <f>'Necesidades Trimestrales'!H23</f>
        <v>2300</v>
      </c>
      <c r="K25" s="61">
        <f>'Necesidades Trimestrales'!G23</f>
        <v>4</v>
      </c>
    </row>
    <row r="26" spans="1:14" ht="27.75" customHeight="1" x14ac:dyDescent="0.2">
      <c r="A26" s="59">
        <v>15</v>
      </c>
      <c r="B26" s="60" t="str">
        <f>'Necesidades Trimestrales'!B24</f>
        <v>2.9.6-1355.1993</v>
      </c>
      <c r="C26" s="120" t="str">
        <f>'Necesidades Trimestrales'!E24</f>
        <v>CARTUCHOS DE TINTA; USO: HP, CODIGO: 950XL</v>
      </c>
      <c r="D26" s="120"/>
      <c r="E26" s="120"/>
      <c r="F26" s="120"/>
      <c r="G26" s="120"/>
      <c r="H26" s="63" t="s">
        <v>182</v>
      </c>
      <c r="I26" s="64" t="str">
        <f>'Necesidades Trimestrales'!F24</f>
        <v>UNIDAD</v>
      </c>
      <c r="J26" s="62">
        <f>'Necesidades Trimestrales'!H24</f>
        <v>6500</v>
      </c>
      <c r="K26" s="61">
        <f>'Necesidades Trimestrales'!G24</f>
        <v>10</v>
      </c>
    </row>
    <row r="27" spans="1:14" ht="27.75" customHeight="1" x14ac:dyDescent="0.2">
      <c r="A27" s="59">
        <v>16</v>
      </c>
      <c r="B27" s="60" t="str">
        <f>'Necesidades Trimestrales'!B25</f>
        <v>2.9.6-1355.1750</v>
      </c>
      <c r="C27" s="120" t="str">
        <f>'Necesidades Trimestrales'!E25</f>
        <v>CARTUCHOS DE TINTA; CODIGO: 951XL, USO: HP</v>
      </c>
      <c r="D27" s="120"/>
      <c r="E27" s="120"/>
      <c r="F27" s="120"/>
      <c r="G27" s="120"/>
      <c r="H27" s="63" t="s">
        <v>182</v>
      </c>
      <c r="I27" s="64" t="str">
        <f>'Necesidades Trimestrales'!F25</f>
        <v>UNIDAD</v>
      </c>
      <c r="J27" s="62">
        <f>'Necesidades Trimestrales'!H25</f>
        <v>5580</v>
      </c>
      <c r="K27" s="61">
        <f>'Necesidades Trimestrales'!G25</f>
        <v>10</v>
      </c>
    </row>
    <row r="28" spans="1:14" ht="27.75" customHeight="1" x14ac:dyDescent="0.2">
      <c r="A28" s="59">
        <v>17</v>
      </c>
      <c r="B28" s="60" t="str">
        <f>'Necesidades Trimestrales'!B26</f>
        <v>2.9.6-1355.1750</v>
      </c>
      <c r="C28" s="120" t="str">
        <f>'Necesidades Trimestrales'!E26</f>
        <v>CARTUCHOS DE TINTA; CODIGO: 951XL, USO: HP</v>
      </c>
      <c r="D28" s="120"/>
      <c r="E28" s="120"/>
      <c r="F28" s="120"/>
      <c r="G28" s="120"/>
      <c r="H28" s="63" t="s">
        <v>182</v>
      </c>
      <c r="I28" s="64" t="str">
        <f>'Necesidades Trimestrales'!F26</f>
        <v>UNIDAD</v>
      </c>
      <c r="J28" s="62">
        <f>'Necesidades Trimestrales'!H26</f>
        <v>5100</v>
      </c>
      <c r="K28" s="61">
        <f>'Necesidades Trimestrales'!G26</f>
        <v>10</v>
      </c>
    </row>
    <row r="29" spans="1:14" ht="27.75" customHeight="1" x14ac:dyDescent="0.2">
      <c r="A29" s="59">
        <v>18</v>
      </c>
      <c r="B29" s="60" t="str">
        <f>'Necesidades Trimestrales'!B27</f>
        <v>2.9.6-1355.1750</v>
      </c>
      <c r="C29" s="120" t="str">
        <f>'Necesidades Trimestrales'!E27</f>
        <v>CARTUCHOS DE TINTA; CODIGO: 951XL, USO: HP</v>
      </c>
      <c r="D29" s="120"/>
      <c r="E29" s="120"/>
      <c r="F29" s="120"/>
      <c r="G29" s="120"/>
      <c r="H29" s="63" t="s">
        <v>182</v>
      </c>
      <c r="I29" s="64" t="str">
        <f>'Necesidades Trimestrales'!F27</f>
        <v>UNIDAD</v>
      </c>
      <c r="J29" s="62">
        <f>'Necesidades Trimestrales'!H27</f>
        <v>5779</v>
      </c>
      <c r="K29" s="61">
        <f>'Necesidades Trimestrales'!G27</f>
        <v>10</v>
      </c>
    </row>
    <row r="30" spans="1:14" ht="27.75" customHeight="1" x14ac:dyDescent="0.2">
      <c r="A30" s="59">
        <v>19</v>
      </c>
      <c r="B30" s="60" t="str">
        <f>'Necesidades Trimestrales'!B28</f>
        <v>2.9.6-1355.2063</v>
      </c>
      <c r="C30" s="120" t="str">
        <f>'Necesidades Trimestrales'!E28</f>
        <v>CARTUCHOS DE TINTA; CODIGO: 954XL, USO: HEWLETT PACKARD</v>
      </c>
      <c r="D30" s="120"/>
      <c r="E30" s="120"/>
      <c r="F30" s="120"/>
      <c r="G30" s="120"/>
      <c r="H30" s="63" t="s">
        <v>182</v>
      </c>
      <c r="I30" s="64" t="str">
        <f>'Necesidades Trimestrales'!F28</f>
        <v>UNIDAD</v>
      </c>
      <c r="J30" s="62">
        <f>'Necesidades Trimestrales'!H28</f>
        <v>7990</v>
      </c>
      <c r="K30" s="61">
        <f>'Necesidades Trimestrales'!G28</f>
        <v>30</v>
      </c>
    </row>
    <row r="31" spans="1:14" ht="27.75" customHeight="1" x14ac:dyDescent="0.2">
      <c r="A31" s="59">
        <v>20</v>
      </c>
      <c r="B31" s="60" t="str">
        <f>'Necesidades Trimestrales'!B29</f>
        <v>2.9.6-1355.2063</v>
      </c>
      <c r="C31" s="120" t="str">
        <f>'Necesidades Trimestrales'!E29</f>
        <v>CARTUCHOS DE TINTA; CODIGO: 954XL, USO: HEWLETT PACKARD</v>
      </c>
      <c r="D31" s="120"/>
      <c r="E31" s="120"/>
      <c r="F31" s="120"/>
      <c r="G31" s="120"/>
      <c r="H31" s="63" t="s">
        <v>182</v>
      </c>
      <c r="I31" s="64" t="str">
        <f>'Necesidades Trimestrales'!F29</f>
        <v>UNIDAD</v>
      </c>
      <c r="J31" s="62">
        <f>'Necesidades Trimestrales'!H29</f>
        <v>5728</v>
      </c>
      <c r="K31" s="61">
        <f>'Necesidades Trimestrales'!G29</f>
        <v>30</v>
      </c>
      <c r="N31" s="36" t="s">
        <v>54</v>
      </c>
    </row>
    <row r="32" spans="1:14" ht="27.75" customHeight="1" x14ac:dyDescent="0.2">
      <c r="A32" s="59">
        <v>21</v>
      </c>
      <c r="B32" s="60" t="str">
        <f>'Necesidades Trimestrales'!B30</f>
        <v>2.9.6-1355.2063</v>
      </c>
      <c r="C32" s="120" t="str">
        <f>'Necesidades Trimestrales'!E30</f>
        <v>CARTUCHOS DE TINTA; CODIGO: 954XL, USO: HEWLETT PACKARD</v>
      </c>
      <c r="D32" s="120"/>
      <c r="E32" s="120"/>
      <c r="F32" s="120"/>
      <c r="G32" s="120"/>
      <c r="H32" s="63" t="s">
        <v>182</v>
      </c>
      <c r="I32" s="64" t="str">
        <f>'Necesidades Trimestrales'!F30</f>
        <v>UNIDAD</v>
      </c>
      <c r="J32" s="62">
        <f>'Necesidades Trimestrales'!H30</f>
        <v>5728</v>
      </c>
      <c r="K32" s="61">
        <f>'Necesidades Trimestrales'!G30</f>
        <v>30</v>
      </c>
    </row>
    <row r="33" spans="1:11" ht="27.75" customHeight="1" x14ac:dyDescent="0.2">
      <c r="A33" s="59">
        <v>22</v>
      </c>
      <c r="B33" s="60" t="str">
        <f>'Necesidades Trimestrales'!B31</f>
        <v>2.9.6-1355.2063</v>
      </c>
      <c r="C33" s="120" t="str">
        <f>'Necesidades Trimestrales'!E31</f>
        <v>CARTUCHOS DE TINTA; CODIGO: 954XL, USO: HEWLETT PACKARD</v>
      </c>
      <c r="D33" s="120"/>
      <c r="E33" s="120"/>
      <c r="F33" s="120"/>
      <c r="G33" s="120"/>
      <c r="H33" s="63" t="s">
        <v>182</v>
      </c>
      <c r="I33" s="64" t="str">
        <f>'Necesidades Trimestrales'!F31</f>
        <v>UNIDAD</v>
      </c>
      <c r="J33" s="62">
        <f>'Necesidades Trimestrales'!H31</f>
        <v>5728</v>
      </c>
      <c r="K33" s="61">
        <f>'Necesidades Trimestrales'!G31</f>
        <v>30</v>
      </c>
    </row>
    <row r="34" spans="1:11" ht="27.75" customHeight="1" x14ac:dyDescent="0.2">
      <c r="A34" s="59">
        <v>23</v>
      </c>
      <c r="B34" s="60" t="str">
        <f>'Necesidades Trimestrales'!B32</f>
        <v>2.9.6-1355.1074</v>
      </c>
      <c r="C34" s="120" t="str">
        <f>'Necesidades Trimestrales'!E32</f>
        <v>CARTUCHOS DE TINTA; CODIGO: PG40, DESCRIPCION: SIN VALOR, COLOR: SIN VALOR, USO: CANON</v>
      </c>
      <c r="D34" s="120"/>
      <c r="E34" s="120"/>
      <c r="F34" s="120"/>
      <c r="G34" s="120"/>
      <c r="H34" s="63" t="s">
        <v>182</v>
      </c>
      <c r="I34" s="64" t="str">
        <f>'Necesidades Trimestrales'!F32</f>
        <v>UNIDAD</v>
      </c>
      <c r="J34" s="62">
        <f>'Necesidades Trimestrales'!H32</f>
        <v>5133</v>
      </c>
      <c r="K34" s="61">
        <f>'Necesidades Trimestrales'!G32</f>
        <v>2</v>
      </c>
    </row>
    <row r="35" spans="1:11" ht="27.75" customHeight="1" x14ac:dyDescent="0.2">
      <c r="A35" s="59">
        <v>24</v>
      </c>
      <c r="B35" s="60" t="str">
        <f>'Necesidades Trimestrales'!B33</f>
        <v>2.9.6-1355.1131</v>
      </c>
      <c r="C35" s="120" t="str">
        <f>'Necesidades Trimestrales'!E33</f>
        <v>CARTUCHOS DE TINTA; CODIGO: CL41, DESCRIPCION: SIN VALOR, COLOR: SIN VALOR, USO: CANON</v>
      </c>
      <c r="D35" s="120"/>
      <c r="E35" s="120"/>
      <c r="F35" s="120"/>
      <c r="G35" s="120"/>
      <c r="H35" s="63" t="s">
        <v>182</v>
      </c>
      <c r="I35" s="64" t="str">
        <f>'Necesidades Trimestrales'!F33</f>
        <v>UNIDAD</v>
      </c>
      <c r="J35" s="62">
        <f>'Necesidades Trimestrales'!H33</f>
        <v>5775</v>
      </c>
      <c r="K35" s="61">
        <f>'Necesidades Trimestrales'!G33</f>
        <v>2</v>
      </c>
    </row>
    <row r="36" spans="1:11" ht="27.75" customHeight="1" x14ac:dyDescent="0.2">
      <c r="A36" s="59">
        <v>25</v>
      </c>
      <c r="B36" s="60" t="str">
        <f>'Necesidades Trimestrales'!B34</f>
        <v>2.9.6-1355.1580</v>
      </c>
      <c r="C36" s="120" t="str">
        <f>'Necesidades Trimestrales'!E34</f>
        <v>CARTUCHOS DE TINTA; CODIGO: T135120 - AL, USO: EPSON</v>
      </c>
      <c r="D36" s="120"/>
      <c r="E36" s="120"/>
      <c r="F36" s="120"/>
      <c r="G36" s="120"/>
      <c r="H36" s="63" t="s">
        <v>182</v>
      </c>
      <c r="I36" s="64" t="str">
        <f>'Necesidades Trimestrales'!F34</f>
        <v>UNIDAD</v>
      </c>
      <c r="J36" s="62">
        <f>'Necesidades Trimestrales'!H34</f>
        <v>200</v>
      </c>
      <c r="K36" s="61">
        <f>'Necesidades Trimestrales'!G34</f>
        <v>10</v>
      </c>
    </row>
    <row r="37" spans="1:11" ht="27.75" customHeight="1" x14ac:dyDescent="0.2">
      <c r="A37" s="59">
        <v>26</v>
      </c>
      <c r="B37" s="60" t="str">
        <f>'Necesidades Trimestrales'!B35</f>
        <v>2.9.6-1355.1581</v>
      </c>
      <c r="C37" s="120" t="str">
        <f>'Necesidades Trimestrales'!E35</f>
        <v>CARTUCHOS DE TINTA; CODIGO: T133220 - AL, USO: EPSON</v>
      </c>
      <c r="D37" s="120"/>
      <c r="E37" s="120"/>
      <c r="F37" s="120"/>
      <c r="G37" s="120"/>
      <c r="H37" s="63" t="s">
        <v>182</v>
      </c>
      <c r="I37" s="64" t="str">
        <f>'Necesidades Trimestrales'!F35</f>
        <v>UNIDAD</v>
      </c>
      <c r="J37" s="62">
        <f>'Necesidades Trimestrales'!H35</f>
        <v>198</v>
      </c>
      <c r="K37" s="61">
        <f>'Necesidades Trimestrales'!G35</f>
        <v>10</v>
      </c>
    </row>
    <row r="38" spans="1:11" ht="27.75" customHeight="1" x14ac:dyDescent="0.2">
      <c r="A38" s="59">
        <v>27</v>
      </c>
      <c r="B38" s="60" t="str">
        <f>'Necesidades Trimestrales'!B36</f>
        <v>2.9.6-1355.1582</v>
      </c>
      <c r="C38" s="120" t="str">
        <f>'Necesidades Trimestrales'!E36</f>
        <v>CARTUCHOS DE TINTA; CODIGO: T133320 - AL, USO: EPSON</v>
      </c>
      <c r="D38" s="120"/>
      <c r="E38" s="120"/>
      <c r="F38" s="120"/>
      <c r="G38" s="120"/>
      <c r="H38" s="63" t="s">
        <v>182</v>
      </c>
      <c r="I38" s="64" t="str">
        <f>'Necesidades Trimestrales'!F36</f>
        <v>UNIDAD</v>
      </c>
      <c r="J38" s="62">
        <f>'Necesidades Trimestrales'!H36</f>
        <v>198</v>
      </c>
      <c r="K38" s="61">
        <f>'Necesidades Trimestrales'!G36</f>
        <v>10</v>
      </c>
    </row>
    <row r="39" spans="1:11" ht="27.75" customHeight="1" x14ac:dyDescent="0.2">
      <c r="A39" s="59">
        <v>28</v>
      </c>
      <c r="B39" s="60" t="str">
        <f>'Necesidades Trimestrales'!B37</f>
        <v>2.9.6-1355.1583</v>
      </c>
      <c r="C39" s="120" t="str">
        <f>'Necesidades Trimestrales'!E37</f>
        <v>CARTUCHOS DE TINTA; CODIGO: T133420 - AL, USO: EPSON</v>
      </c>
      <c r="D39" s="120"/>
      <c r="E39" s="120"/>
      <c r="F39" s="120"/>
      <c r="G39" s="120"/>
      <c r="H39" s="63" t="s">
        <v>182</v>
      </c>
      <c r="I39" s="64" t="str">
        <f>'Necesidades Trimestrales'!F37</f>
        <v>UNIDAD</v>
      </c>
      <c r="J39" s="62">
        <f>'Necesidades Trimestrales'!H37</f>
        <v>198</v>
      </c>
      <c r="K39" s="61">
        <f>'Necesidades Trimestrales'!G37</f>
        <v>10</v>
      </c>
    </row>
    <row r="40" spans="1:11" ht="27.75" customHeight="1" x14ac:dyDescent="0.2">
      <c r="A40" s="59">
        <v>29</v>
      </c>
      <c r="B40" s="60" t="str">
        <f>'Necesidades Trimestrales'!B38</f>
        <v>2.9.6-401.1362</v>
      </c>
      <c r="C40" s="120" t="str">
        <f>'Necesidades Trimestrales'!E38</f>
        <v>CARTUCHOS DE TONER; CODIGO: CE285A, USO: HEWLETT PACKARD</v>
      </c>
      <c r="D40" s="120"/>
      <c r="E40" s="120"/>
      <c r="F40" s="120"/>
      <c r="G40" s="120"/>
      <c r="H40" s="63" t="s">
        <v>182</v>
      </c>
      <c r="I40" s="64" t="str">
        <f>'Necesidades Trimestrales'!F38</f>
        <v>UNIDAD</v>
      </c>
      <c r="J40" s="62">
        <f>'Necesidades Trimestrales'!H38</f>
        <v>875</v>
      </c>
      <c r="K40" s="61">
        <f>'Necesidades Trimestrales'!G38</f>
        <v>60</v>
      </c>
    </row>
    <row r="41" spans="1:11" ht="27.75" customHeight="1" x14ac:dyDescent="0.2">
      <c r="A41" s="59">
        <v>30</v>
      </c>
      <c r="B41" s="60" t="str">
        <f>'Necesidades Trimestrales'!B39</f>
        <v>2.9.6-401.2384</v>
      </c>
      <c r="C41" s="120" t="str">
        <f>'Necesidades Trimestrales'!E39</f>
        <v>CARTUCHOS DE TONER; CODIGO: CF248A, USO: HEWLETT PACKARD</v>
      </c>
      <c r="D41" s="120"/>
      <c r="E41" s="120"/>
      <c r="F41" s="120"/>
      <c r="G41" s="120"/>
      <c r="H41" s="63" t="s">
        <v>182</v>
      </c>
      <c r="I41" s="64" t="str">
        <f>'Necesidades Trimestrales'!F39</f>
        <v>UNIDAD</v>
      </c>
      <c r="J41" s="62">
        <f>'Necesidades Trimestrales'!H39</f>
        <v>1155</v>
      </c>
      <c r="K41" s="61">
        <f>'Necesidades Trimestrales'!G39</f>
        <v>30</v>
      </c>
    </row>
    <row r="42" spans="1:11" ht="41.25" customHeight="1" x14ac:dyDescent="0.2">
      <c r="A42" s="59">
        <v>31</v>
      </c>
      <c r="B42" s="60" t="str">
        <f>'Necesidades Trimestrales'!B40</f>
        <v>2.9.6-401.2278</v>
      </c>
      <c r="C42" s="120" t="str">
        <f>'Necesidades Trimestrales'!E40</f>
        <v>CARTUCHOS DE TONER; CODIGO: MLT-D111L, USO: SAMSUNG</v>
      </c>
      <c r="D42" s="120"/>
      <c r="E42" s="120"/>
      <c r="F42" s="120"/>
      <c r="G42" s="120"/>
      <c r="H42" s="63" t="s">
        <v>182</v>
      </c>
      <c r="I42" s="64" t="str">
        <f>'Necesidades Trimestrales'!F40</f>
        <v>UNIDAD</v>
      </c>
      <c r="J42" s="62">
        <f>'Necesidades Trimestrales'!H40</f>
        <v>1440</v>
      </c>
      <c r="K42" s="61">
        <f>'Necesidades Trimestrales'!G40</f>
        <v>70</v>
      </c>
    </row>
    <row r="43" spans="1:11" ht="27.75" customHeight="1" x14ac:dyDescent="0.2">
      <c r="A43" s="59">
        <v>32</v>
      </c>
      <c r="B43" s="60" t="str">
        <f>'Necesidades Trimestrales'!B41</f>
        <v>2.9.6-1355.1831</v>
      </c>
      <c r="C43" s="120" t="str">
        <f>'Necesidades Trimestrales'!E41</f>
        <v xml:space="preserve">CARTUCHOS DE TINTA; CODIGO: MLT-D101S, USO: SAMSUNG </v>
      </c>
      <c r="D43" s="120"/>
      <c r="E43" s="120"/>
      <c r="F43" s="120"/>
      <c r="G43" s="120"/>
      <c r="H43" s="63" t="s">
        <v>182</v>
      </c>
      <c r="I43" s="64" t="str">
        <f>'Necesidades Trimestrales'!F41</f>
        <v>UNIDAD</v>
      </c>
      <c r="J43" s="62">
        <f>'Necesidades Trimestrales'!H41</f>
        <v>1295</v>
      </c>
      <c r="K43" s="61">
        <f>'Necesidades Trimestrales'!G41</f>
        <v>30</v>
      </c>
    </row>
    <row r="44" spans="1:11" ht="27.75" customHeight="1" x14ac:dyDescent="0.2">
      <c r="A44" s="59">
        <v>33</v>
      </c>
      <c r="B44" s="60" t="str">
        <f>'Necesidades Trimestrales'!B42</f>
        <v>2.9.6-401.1786</v>
      </c>
      <c r="C44" s="120" t="str">
        <f>'Necesidades Trimestrales'!E42</f>
        <v>CARTUCHOS DE TONER; CODIGO: CE410A, USO: HEWLETT PACKARD</v>
      </c>
      <c r="D44" s="120"/>
      <c r="E44" s="120"/>
      <c r="F44" s="120"/>
      <c r="G44" s="120"/>
      <c r="H44" s="63" t="s">
        <v>182</v>
      </c>
      <c r="I44" s="64" t="str">
        <f>'Necesidades Trimestrales'!F42</f>
        <v>UNIDAD</v>
      </c>
      <c r="J44" s="62">
        <f>'Necesidades Trimestrales'!H42</f>
        <v>1590</v>
      </c>
      <c r="K44" s="61">
        <f>'Necesidades Trimestrales'!G42</f>
        <v>3</v>
      </c>
    </row>
    <row r="45" spans="1:11" ht="27.75" customHeight="1" x14ac:dyDescent="0.2">
      <c r="A45" s="59">
        <v>34</v>
      </c>
      <c r="B45" s="60" t="str">
        <f>'Necesidades Trimestrales'!B43</f>
        <v>2.9.6-401.1724</v>
      </c>
      <c r="C45" s="120" t="str">
        <f>'Necesidades Trimestrales'!E43</f>
        <v>CARTUCHOS DE TONER; CODIGO: CE411A, USO: HP</v>
      </c>
      <c r="D45" s="120"/>
      <c r="E45" s="120"/>
      <c r="F45" s="120"/>
      <c r="G45" s="120"/>
      <c r="H45" s="63" t="s">
        <v>182</v>
      </c>
      <c r="I45" s="64" t="str">
        <f>'Necesidades Trimestrales'!F43</f>
        <v>UNIDAD</v>
      </c>
      <c r="J45" s="62">
        <f>'Necesidades Trimestrales'!H43</f>
        <v>1590</v>
      </c>
      <c r="K45" s="61">
        <f>'Necesidades Trimestrales'!G43</f>
        <v>3</v>
      </c>
    </row>
    <row r="46" spans="1:11" ht="27.75" customHeight="1" x14ac:dyDescent="0.2">
      <c r="A46" s="59">
        <v>35</v>
      </c>
      <c r="B46" s="60" t="str">
        <f>'Necesidades Trimestrales'!B44</f>
        <v>2.9.6-401.1725</v>
      </c>
      <c r="C46" s="120" t="str">
        <f>'Necesidades Trimestrales'!E44</f>
        <v>CARTUCHOS DE TONER; CODIGO: CE412A, USO: HP</v>
      </c>
      <c r="D46" s="120"/>
      <c r="E46" s="120"/>
      <c r="F46" s="120"/>
      <c r="G46" s="120"/>
      <c r="H46" s="63" t="s">
        <v>182</v>
      </c>
      <c r="I46" s="64" t="str">
        <f>'Necesidades Trimestrales'!F44</f>
        <v>UNIDAD</v>
      </c>
      <c r="J46" s="62">
        <f>'Necesidades Trimestrales'!H44</f>
        <v>1590</v>
      </c>
      <c r="K46" s="61">
        <f>'Necesidades Trimestrales'!G44</f>
        <v>3</v>
      </c>
    </row>
    <row r="47" spans="1:11" ht="27.75" customHeight="1" x14ac:dyDescent="0.2">
      <c r="A47" s="59">
        <v>36</v>
      </c>
      <c r="B47" s="60" t="str">
        <f>'Necesidades Trimestrales'!B45</f>
        <v>2.9.6-401.1726</v>
      </c>
      <c r="C47" s="120" t="str">
        <f>'Necesidades Trimestrales'!E45</f>
        <v>CARTUCHOS DE TONER; CODIGO: CE413A, USO: HP</v>
      </c>
      <c r="D47" s="120"/>
      <c r="E47" s="120"/>
      <c r="F47" s="120"/>
      <c r="G47" s="120"/>
      <c r="H47" s="63" t="s">
        <v>182</v>
      </c>
      <c r="I47" s="64" t="str">
        <f>'Necesidades Trimestrales'!F45</f>
        <v>UNIDAD</v>
      </c>
      <c r="J47" s="62">
        <f>'Necesidades Trimestrales'!H45</f>
        <v>1590</v>
      </c>
      <c r="K47" s="61">
        <f>'Necesidades Trimestrales'!G45</f>
        <v>3</v>
      </c>
    </row>
    <row r="48" spans="1:11" ht="27.75" customHeight="1" x14ac:dyDescent="0.2">
      <c r="A48" s="59">
        <v>37</v>
      </c>
      <c r="B48" s="60" t="str">
        <f>'Necesidades Trimestrales'!B46</f>
        <v>2.9.6-401.2378</v>
      </c>
      <c r="C48" s="120" t="str">
        <f>'Necesidades Trimestrales'!E46</f>
        <v>CARTUCHOS DE TONER; CODIGO: W1105A, USO: HEWLETT PACKARD</v>
      </c>
      <c r="D48" s="120"/>
      <c r="E48" s="120"/>
      <c r="F48" s="120"/>
      <c r="G48" s="120"/>
      <c r="H48" s="63" t="s">
        <v>182</v>
      </c>
      <c r="I48" s="64" t="str">
        <f>'Necesidades Trimestrales'!F46</f>
        <v>UNIDAD</v>
      </c>
      <c r="J48" s="62">
        <f>'Necesidades Trimestrales'!H46</f>
        <v>3680</v>
      </c>
      <c r="K48" s="61">
        <f>'Necesidades Trimestrales'!G46</f>
        <v>15</v>
      </c>
    </row>
    <row r="49" spans="1:14" ht="27.75" customHeight="1" thickBot="1" x14ac:dyDescent="0.25">
      <c r="A49" s="59">
        <v>38</v>
      </c>
      <c r="B49" s="60" t="str">
        <f>'Necesidades Trimestrales'!B47</f>
        <v>2.9.6-401.2138</v>
      </c>
      <c r="C49" s="120" t="str">
        <f>'Necesidades Trimestrales'!E47</f>
        <v>CARTUCHOS DE TONER; CODIGO: CF280X, USO: HEWLETT PACKARD</v>
      </c>
      <c r="D49" s="120"/>
      <c r="E49" s="120"/>
      <c r="F49" s="120"/>
      <c r="G49" s="120"/>
      <c r="H49" s="63" t="s">
        <v>182</v>
      </c>
      <c r="I49" s="64" t="str">
        <f>'Necesidades Trimestrales'!F47</f>
        <v>UNIDAD</v>
      </c>
      <c r="J49" s="62">
        <f>'Necesidades Trimestrales'!H47</f>
        <v>1490</v>
      </c>
      <c r="K49" s="61">
        <f>'Necesidades Trimestrales'!G47</f>
        <v>2</v>
      </c>
    </row>
    <row r="50" spans="1:14" ht="20.25" customHeight="1" thickBot="1" x14ac:dyDescent="0.25">
      <c r="A50" s="123" t="s">
        <v>209</v>
      </c>
      <c r="B50" s="123"/>
      <c r="C50" s="123"/>
      <c r="D50" s="123"/>
      <c r="E50" s="123"/>
      <c r="F50" s="123"/>
      <c r="G50" s="123"/>
      <c r="H50" s="123"/>
      <c r="I50" s="123"/>
      <c r="J50" s="130">
        <f>SUMPRODUCT(J12:J49,K12:K49)</f>
        <v>1516927</v>
      </c>
      <c r="K50" s="130"/>
      <c r="N50" s="47"/>
    </row>
  </sheetData>
  <mergeCells count="60">
    <mergeCell ref="C46:G46"/>
    <mergeCell ref="C47:G47"/>
    <mergeCell ref="C48:G48"/>
    <mergeCell ref="C49:G49"/>
    <mergeCell ref="A50:I50"/>
    <mergeCell ref="J50:K50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4:G24"/>
    <mergeCell ref="C21:G21"/>
    <mergeCell ref="C22:G22"/>
    <mergeCell ref="C23:G23"/>
    <mergeCell ref="C30:G30"/>
    <mergeCell ref="C31:G31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25:G25"/>
    <mergeCell ref="C26:G26"/>
    <mergeCell ref="C27:G27"/>
    <mergeCell ref="C28:G28"/>
    <mergeCell ref="C29:G29"/>
    <mergeCell ref="C32:G32"/>
    <mergeCell ref="C33:G33"/>
    <mergeCell ref="C34:G34"/>
    <mergeCell ref="C35:G35"/>
    <mergeCell ref="C36:G36"/>
    <mergeCell ref="C42:G42"/>
    <mergeCell ref="C43:G43"/>
    <mergeCell ref="C44:G44"/>
    <mergeCell ref="C45:G45"/>
    <mergeCell ref="C37:G37"/>
    <mergeCell ref="C38:G38"/>
    <mergeCell ref="C39:G39"/>
    <mergeCell ref="C40:G40"/>
    <mergeCell ref="C41:G41"/>
  </mergeCells>
  <printOptions horizontalCentered="1"/>
  <pageMargins left="0.19685039370078741" right="0.19685039370078741" top="0.39370078740157483" bottom="0.39370078740157483" header="0" footer="0"/>
  <pageSetup paperSize="5" scale="90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5"/>
  <sheetViews>
    <sheetView topLeftCell="A6" zoomScale="130" zoomScaleNormal="130" workbookViewId="0">
      <selection activeCell="O2" sqref="O2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31" t="s">
        <v>3</v>
      </c>
      <c r="B1" s="131"/>
      <c r="C1" s="131"/>
      <c r="D1" s="132">
        <f>'Necesidades Trimestrales'!C6</f>
        <v>2022</v>
      </c>
      <c r="E1" s="132"/>
      <c r="F1" s="3"/>
      <c r="G1" s="3"/>
      <c r="H1" s="4"/>
      <c r="I1" s="4"/>
      <c r="J1" s="4"/>
      <c r="K1" s="4"/>
      <c r="L1" s="4"/>
      <c r="M1" s="4"/>
      <c r="N1" s="4"/>
      <c r="P1" s="133" t="s">
        <v>25</v>
      </c>
      <c r="Q1" s="133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33"/>
      <c r="Q2" s="133"/>
    </row>
    <row r="4" spans="1:17" s="5" customFormat="1" ht="18" customHeight="1" thickBot="1" x14ac:dyDescent="0.25">
      <c r="A4" s="134" t="s">
        <v>26</v>
      </c>
      <c r="B4" s="134"/>
      <c r="C4" s="134"/>
      <c r="D4" s="134"/>
      <c r="E4" s="134"/>
      <c r="F4" s="134"/>
      <c r="G4" s="135" t="str">
        <f>' NotaPedido'!D3</f>
        <v>040 - Ministerio de Salud</v>
      </c>
      <c r="H4" s="135"/>
      <c r="I4" s="135"/>
      <c r="J4" s="135"/>
      <c r="K4" s="135"/>
      <c r="L4" s="135"/>
      <c r="M4" s="135"/>
      <c r="N4" s="135"/>
      <c r="O4" s="135"/>
      <c r="P4" s="135"/>
      <c r="Q4" s="135"/>
    </row>
    <row r="5" spans="1:17" s="5" customFormat="1" ht="18" customHeight="1" thickBot="1" x14ac:dyDescent="0.25">
      <c r="A5" s="136" t="s">
        <v>49</v>
      </c>
      <c r="B5" s="137"/>
      <c r="C5" s="137"/>
      <c r="D5" s="137"/>
      <c r="E5" s="137"/>
      <c r="F5" s="138"/>
      <c r="G5" s="135" t="str">
        <f>' NotaPedido'!D4</f>
        <v>024 - Hospital Interzonal de Niños</v>
      </c>
      <c r="H5" s="135"/>
      <c r="I5" s="135"/>
      <c r="J5" s="135"/>
      <c r="K5" s="135"/>
      <c r="L5" s="135"/>
      <c r="M5" s="135"/>
      <c r="N5" s="135"/>
      <c r="O5" s="135"/>
      <c r="P5" s="135"/>
      <c r="Q5" s="135"/>
    </row>
    <row r="6" spans="1:17" s="5" customFormat="1" ht="18" customHeight="1" thickBot="1" x14ac:dyDescent="0.25">
      <c r="A6" s="136" t="s">
        <v>27</v>
      </c>
      <c r="B6" s="137"/>
      <c r="C6" s="137"/>
      <c r="D6" s="137"/>
      <c r="E6" s="137"/>
      <c r="F6" s="138"/>
      <c r="G6" s="135" t="str">
        <f>' NotaPedido'!D5</f>
        <v>024 - Hospital Interzonal de Niños</v>
      </c>
      <c r="H6" s="135"/>
      <c r="I6" s="135"/>
      <c r="J6" s="135"/>
      <c r="K6" s="135"/>
      <c r="L6" s="135"/>
      <c r="M6" s="135"/>
      <c r="N6" s="135"/>
      <c r="O6" s="135"/>
      <c r="P6" s="135"/>
      <c r="Q6" s="135"/>
    </row>
    <row r="7" spans="1:17" s="5" customFormat="1" ht="18" customHeight="1" thickBot="1" x14ac:dyDescent="0.25">
      <c r="A7" s="136" t="s">
        <v>50</v>
      </c>
      <c r="B7" s="137"/>
      <c r="C7" s="137"/>
      <c r="D7" s="137"/>
      <c r="E7" s="137"/>
      <c r="F7" s="138"/>
      <c r="G7" s="135" t="s">
        <v>116</v>
      </c>
      <c r="H7" s="135"/>
      <c r="I7" s="135"/>
      <c r="J7" s="135"/>
      <c r="K7" s="135"/>
      <c r="L7" s="135"/>
      <c r="M7" s="135"/>
      <c r="N7" s="135"/>
      <c r="O7" s="135"/>
      <c r="P7" s="135"/>
      <c r="Q7" s="135"/>
    </row>
    <row r="8" spans="1:17" ht="18" customHeight="1" thickBot="1" x14ac:dyDescent="0.25">
      <c r="A8" s="139" t="s">
        <v>28</v>
      </c>
      <c r="B8" s="139"/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</row>
    <row r="9" spans="1:17" ht="18" customHeight="1" x14ac:dyDescent="0.2">
      <c r="A9" s="140" t="s">
        <v>29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"/>
      <c r="P9" s="1"/>
      <c r="Q9" s="6"/>
    </row>
    <row r="10" spans="1:17" ht="54.75" customHeight="1" x14ac:dyDescent="0.2">
      <c r="A10" s="141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019/2022,  afectando la erogación resultante a los créditos presupuestarios aprobados a favor de esta Unidad Ejecutora, conforme al siguiente detalle:</v>
      </c>
      <c r="B10" s="141"/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42" t="s">
        <v>30</v>
      </c>
      <c r="B12" s="142"/>
      <c r="C12" s="142"/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2"/>
      <c r="P12" s="142"/>
      <c r="Q12" s="142"/>
    </row>
    <row r="13" spans="1:17" ht="15.75" customHeight="1" thickBot="1" x14ac:dyDescent="0.25">
      <c r="A13" s="143" t="s">
        <v>31</v>
      </c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5" t="s">
        <v>32</v>
      </c>
      <c r="P13" s="146"/>
      <c r="Q13" s="149" t="s">
        <v>33</v>
      </c>
    </row>
    <row r="14" spans="1:17" ht="15.75" customHeight="1" thickBot="1" x14ac:dyDescent="0.25">
      <c r="A14" s="50" t="s">
        <v>34</v>
      </c>
      <c r="B14" s="51" t="s">
        <v>35</v>
      </c>
      <c r="C14" s="51" t="s">
        <v>36</v>
      </c>
      <c r="D14" s="51" t="s">
        <v>37</v>
      </c>
      <c r="E14" s="51" t="s">
        <v>38</v>
      </c>
      <c r="F14" s="51" t="s">
        <v>39</v>
      </c>
      <c r="G14" s="52" t="s">
        <v>40</v>
      </c>
      <c r="H14" s="51" t="s">
        <v>41</v>
      </c>
      <c r="I14" s="51" t="s">
        <v>42</v>
      </c>
      <c r="J14" s="51" t="s">
        <v>43</v>
      </c>
      <c r="K14" s="51" t="s">
        <v>43</v>
      </c>
      <c r="L14" s="51" t="s">
        <v>44</v>
      </c>
      <c r="M14" s="53" t="s">
        <v>45</v>
      </c>
      <c r="N14" s="54" t="s">
        <v>46</v>
      </c>
      <c r="O14" s="147"/>
      <c r="P14" s="148"/>
      <c r="Q14" s="150"/>
    </row>
    <row r="15" spans="1:17" ht="26.25" customHeight="1" x14ac:dyDescent="0.2">
      <c r="A15" s="48">
        <v>36</v>
      </c>
      <c r="B15" s="49"/>
      <c r="C15" s="49"/>
      <c r="D15" s="49">
        <v>1</v>
      </c>
      <c r="E15" s="49"/>
      <c r="F15" s="49">
        <v>4901</v>
      </c>
      <c r="G15" s="49">
        <v>3</v>
      </c>
      <c r="H15" s="49">
        <v>310</v>
      </c>
      <c r="I15" s="76" t="str">
        <f>LEFT('[1]Necesidades Trimestrales'!D10,1)</f>
        <v>2</v>
      </c>
      <c r="J15" s="76">
        <v>9</v>
      </c>
      <c r="K15" s="76">
        <v>2</v>
      </c>
      <c r="L15" s="77"/>
      <c r="M15" s="78">
        <v>1</v>
      </c>
      <c r="N15" s="79" t="s">
        <v>53</v>
      </c>
      <c r="O15" s="151" t="s">
        <v>62</v>
      </c>
      <c r="P15" s="152"/>
      <c r="Q15" s="55">
        <v>1516927</v>
      </c>
    </row>
    <row r="16" spans="1:17" ht="24.75" customHeight="1" x14ac:dyDescent="0.2">
      <c r="A16" s="11"/>
      <c r="B16" s="12"/>
      <c r="C16" s="12"/>
      <c r="D16" s="12"/>
      <c r="E16" s="12"/>
      <c r="F16" s="12"/>
      <c r="G16" s="12"/>
      <c r="H16" s="12"/>
      <c r="I16" s="80"/>
      <c r="J16" s="80"/>
      <c r="K16" s="80"/>
      <c r="L16" s="81"/>
      <c r="M16" s="82"/>
      <c r="N16" s="83"/>
      <c r="O16" s="153"/>
      <c r="P16" s="154"/>
      <c r="Q16" s="15"/>
    </row>
    <row r="17" spans="1:18" ht="17.25" customHeight="1" x14ac:dyDescent="0.2">
      <c r="A17" s="11"/>
      <c r="B17" s="12"/>
      <c r="C17" s="12"/>
      <c r="D17" s="12"/>
      <c r="E17" s="12"/>
      <c r="F17" s="12"/>
      <c r="G17" s="12"/>
      <c r="H17" s="12"/>
      <c r="I17" s="80"/>
      <c r="J17" s="80"/>
      <c r="K17" s="80"/>
      <c r="L17" s="81"/>
      <c r="M17" s="82"/>
      <c r="N17" s="83"/>
      <c r="O17" s="155"/>
      <c r="P17" s="154"/>
      <c r="Q17" s="15"/>
    </row>
    <row r="18" spans="1:18" ht="17.25" customHeight="1" x14ac:dyDescent="0.2">
      <c r="A18" s="11"/>
      <c r="B18" s="12"/>
      <c r="C18" s="12"/>
      <c r="D18" s="12"/>
      <c r="E18" s="12"/>
      <c r="F18" s="14"/>
      <c r="G18" s="12"/>
      <c r="H18" s="12"/>
      <c r="I18" s="12"/>
      <c r="J18" s="12"/>
      <c r="K18" s="12"/>
      <c r="L18" s="12"/>
      <c r="M18" s="13"/>
      <c r="N18" s="14"/>
      <c r="O18" s="154"/>
      <c r="P18" s="154"/>
      <c r="Q18" s="15"/>
    </row>
    <row r="19" spans="1:18" ht="17.25" customHeight="1" x14ac:dyDescent="0.2">
      <c r="A19" s="16"/>
      <c r="B19" s="17"/>
      <c r="C19" s="17"/>
      <c r="D19" s="17"/>
      <c r="E19" s="17"/>
      <c r="F19" s="18"/>
      <c r="G19" s="17"/>
      <c r="H19" s="17"/>
      <c r="I19" s="17"/>
      <c r="J19" s="17"/>
      <c r="K19" s="17"/>
      <c r="L19" s="17"/>
      <c r="M19" s="19"/>
      <c r="N19" s="20"/>
      <c r="O19" s="161"/>
      <c r="P19" s="161"/>
      <c r="Q19" s="15"/>
      <c r="R19" s="1"/>
    </row>
    <row r="20" spans="1:18" ht="17.25" customHeight="1" x14ac:dyDescent="0.2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3"/>
      <c r="N20" s="22"/>
      <c r="O20" s="162"/>
      <c r="P20" s="162"/>
      <c r="Q20" s="24"/>
    </row>
    <row r="21" spans="1:18" ht="29.25" customHeight="1" x14ac:dyDescent="0.2">
      <c r="A21" s="163" t="s">
        <v>173</v>
      </c>
      <c r="B21" s="163"/>
      <c r="C21" s="163"/>
      <c r="D21" s="163"/>
      <c r="E21" s="163"/>
      <c r="F21" s="163"/>
      <c r="G21" s="163"/>
      <c r="H21" s="163"/>
      <c r="I21" s="163"/>
      <c r="J21" s="163"/>
      <c r="K21" s="163"/>
      <c r="L21" s="163"/>
      <c r="M21" s="163"/>
      <c r="N21" s="163"/>
      <c r="O21" s="163"/>
      <c r="P21" s="163"/>
      <c r="Q21" s="25">
        <f>SUM(Q15:Q20)</f>
        <v>1516927</v>
      </c>
    </row>
    <row r="22" spans="1:18" ht="18" customHeight="1" thickBo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  <c r="K22" s="164"/>
      <c r="L22" s="164"/>
      <c r="M22" s="164"/>
      <c r="N22" s="164"/>
      <c r="O22" s="164"/>
      <c r="P22" s="164"/>
      <c r="Q22" s="164"/>
    </row>
    <row r="23" spans="1:18" ht="17.25" customHeight="1" thickBot="1" x14ac:dyDescent="0.25">
      <c r="A23" s="156" t="s">
        <v>47</v>
      </c>
      <c r="B23" s="157"/>
      <c r="C23" s="157"/>
      <c r="D23" s="157"/>
      <c r="E23" s="157"/>
      <c r="F23" s="158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</row>
    <row r="24" spans="1:18" ht="18" customHeight="1" thickBot="1" x14ac:dyDescent="0.25">
      <c r="A24" s="160" t="s">
        <v>115</v>
      </c>
      <c r="B24" s="160"/>
      <c r="C24" s="160"/>
      <c r="D24" s="160"/>
      <c r="E24" s="160"/>
      <c r="F24" s="160"/>
      <c r="G24" s="160"/>
      <c r="H24" s="160"/>
      <c r="I24" s="160"/>
      <c r="J24" s="160"/>
      <c r="K24" s="160"/>
      <c r="L24" s="160"/>
      <c r="M24" s="160"/>
      <c r="N24" s="160"/>
      <c r="O24" s="160"/>
      <c r="P24" s="160"/>
      <c r="Q24" s="160"/>
    </row>
    <row r="25" spans="1:18" ht="26.25" customHeight="1" x14ac:dyDescent="0.2">
      <c r="A25" s="160"/>
      <c r="B25" s="160"/>
      <c r="C25" s="160"/>
      <c r="D25" s="160"/>
      <c r="E25" s="160"/>
      <c r="F25" s="160"/>
      <c r="G25" s="160"/>
      <c r="H25" s="160"/>
      <c r="I25" s="160"/>
      <c r="J25" s="160"/>
      <c r="K25" s="160"/>
      <c r="L25" s="160"/>
      <c r="M25" s="160"/>
      <c r="N25" s="160"/>
      <c r="O25" s="160"/>
      <c r="P25" s="160"/>
      <c r="Q25" s="160"/>
    </row>
  </sheetData>
  <mergeCells count="29">
    <mergeCell ref="A24:Q25"/>
    <mergeCell ref="O18:P18"/>
    <mergeCell ref="O19:P19"/>
    <mergeCell ref="O20:P20"/>
    <mergeCell ref="A21:P21"/>
    <mergeCell ref="A22:Q22"/>
    <mergeCell ref="O15:P15"/>
    <mergeCell ref="O16:P16"/>
    <mergeCell ref="O17:P17"/>
    <mergeCell ref="A23:F23"/>
    <mergeCell ref="G23:Q23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ELIAS QUINTAR</cp:lastModifiedBy>
  <cp:revision>2</cp:revision>
  <cp:lastPrinted>2022-02-16T13:50:34Z</cp:lastPrinted>
  <dcterms:created xsi:type="dcterms:W3CDTF">2020-07-17T23:44:49Z</dcterms:created>
  <dcterms:modified xsi:type="dcterms:W3CDTF">2022-03-17T13:00:48Z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