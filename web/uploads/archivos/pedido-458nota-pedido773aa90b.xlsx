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VADEMECUM\CODIFICACION RUBEN\"/>
    </mc:Choice>
  </mc:AlternateContent>
  <xr:revisionPtr revIDLastSave="0" documentId="13_ncr:1_{5ED8B565-A597-41CA-A4A2-CC6A6628518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NotaPedido'!$A$1:$K$56</definedName>
    <definedName name="_xlnm.Print_Area" localSheetId="2">'Autor Gastar'!$A$1:$Q$27</definedName>
    <definedName name="_xlnm.Print_Area" localSheetId="0">'Necesidades Trimestrales'!$E$9:$E$55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J12" i="2"/>
  <c r="I12" i="2"/>
  <c r="B12" i="2"/>
  <c r="C12" i="2"/>
  <c r="I13" i="1" l="1"/>
  <c r="I11" i="1" l="1"/>
  <c r="I12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7" i="1"/>
  <c r="I48" i="1"/>
  <c r="I49" i="1"/>
  <c r="I50" i="1"/>
  <c r="I51" i="1"/>
  <c r="I52" i="1"/>
  <c r="I53" i="1"/>
  <c r="I54" i="1"/>
  <c r="I55" i="1"/>
  <c r="I10" i="1"/>
  <c r="K12" i="2" l="1"/>
  <c r="Q23" i="3" l="1"/>
  <c r="A10" i="3" l="1"/>
  <c r="G6" i="3" l="1"/>
  <c r="G7" i="3"/>
  <c r="D3" i="2"/>
  <c r="G4" i="3" s="1"/>
  <c r="D4" i="2"/>
  <c r="G5" i="3" s="1"/>
  <c r="D1" i="3" l="1"/>
  <c r="J56" i="2" l="1"/>
</calcChain>
</file>

<file path=xl/sharedStrings.xml><?xml version="1.0" encoding="utf-8"?>
<sst xmlns="http://schemas.openxmlformats.org/spreadsheetml/2006/main" count="311" uniqueCount="181">
  <si>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</si>
  <si>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</si>
  <si>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</si>
  <si>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</si>
  <si>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</si>
  <si>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</si>
  <si>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</si>
  <si>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</si>
  <si>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</si>
  <si>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</si>
  <si>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</si>
  <si>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</si>
  <si>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</si>
  <si>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</si>
  <si>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</si>
  <si>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</si>
  <si>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</si>
  <si>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</si>
  <si>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</si>
  <si>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</si>
  <si>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</si>
  <si>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</si>
  <si>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</si>
  <si>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</si>
  <si>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</si>
  <si>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</si>
  <si>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</si>
  <si>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</si>
  <si>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</si>
  <si>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</si>
  <si>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</si>
  <si>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</si>
  <si>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</si>
  <si>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</si>
  <si>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</si>
  <si>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</si>
  <si>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</si>
  <si>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</si>
  <si>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</si>
  <si>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</si>
  <si>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</si>
  <si>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</si>
  <si>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</si>
  <si>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</si>
  <si>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</si>
  <si>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</si>
  <si>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</si>
  <si>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</si>
  <si>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</si>
  <si>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</si>
  <si>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</si>
  <si>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</si>
  <si>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1.1</t>
  </si>
  <si>
    <t>NO</t>
  </si>
  <si>
    <r>
      <t>Mantenimiento</t>
    </r>
    <r>
      <rPr>
        <sz val="10"/>
        <rFont val="Times New Roman"/>
        <family val="1"/>
      </rPr>
      <t xml:space="preserve">: 45 dias habiles </t>
    </r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</si>
  <si>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…........................... DE XX:00 AXX:00HS.,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</si>
  <si>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XXXX</t>
    </r>
  </si>
  <si>
    <r>
      <rPr>
        <u/>
        <sz val="11"/>
        <rFont val="Times New Roman"/>
        <family val="1"/>
      </rPr>
      <t>Calidad Minima</t>
    </r>
    <r>
      <rPr>
        <sz val="11"/>
        <rFont val="Times New Roman"/>
        <family val="1"/>
      </rPr>
      <t xml:space="preserve"> esperada:</t>
    </r>
  </si>
  <si>
    <t>11/ 23/ 24  o  28- "…......."</t>
  </si>
  <si>
    <t>XXXX</t>
  </si>
  <si>
    <t>Costo total estimado: xxxxxxxxxxxxxxxxxxxx con 00/100.</t>
  </si>
  <si>
    <t>TOTAL DE PESOS: xxxxxxxxxxxxxxx con 00/100.</t>
  </si>
  <si>
    <t>Para la adquisición de .... … destinados al servico de …... del Hospital …...............</t>
  </si>
  <si>
    <t>AMPOLLA</t>
  </si>
  <si>
    <t>COMPRIMIDO</t>
  </si>
  <si>
    <t>FRASCO</t>
  </si>
  <si>
    <t>CAJA</t>
  </si>
  <si>
    <t>UNIDAD</t>
  </si>
  <si>
    <t>GOTERO</t>
  </si>
  <si>
    <t>FRASCO AMPOLLA</t>
  </si>
  <si>
    <t>CAPSULA</t>
  </si>
  <si>
    <t>Semestral</t>
  </si>
  <si>
    <t>xxx/2022</t>
  </si>
  <si>
    <t xml:space="preserve">Adquisición de TRACTO ALIMENTARIO Y METABOLISMO / VITAMINAS Y OTROS /ANTIDIABETICOS E INSULINAS </t>
  </si>
  <si>
    <t>ANTIESPASMODICOS; TIPO: MONODROGA, DROGA GENERICA: ATROPINA 1%, FORMA FARMACEUTICA: AMPOLLA, PRESENTACION: ENVASE X 1 mL</t>
  </si>
  <si>
    <t>2.5.2-1843.63</t>
  </si>
  <si>
    <t>ANALGESICOS ; TIPO: ASOCIACION, DROGA GENERICA: DIPIRONA+ HIOSCINA, FORMA FARMACEUTICA: AMPOLLA, PRESENTACION: AMPOLLA X 5 mL</t>
  </si>
  <si>
    <t>2.5.2-1724.57</t>
  </si>
  <si>
    <t>ANTIESPASMODICOS; TIPO: MONODROGA, PRESENTACION: 10 mGr, FORMA FARMACEUTICA: COMPRIMIDO, DROGA GENERICA: HIOSCINA N-BUTILBROMURO</t>
  </si>
  <si>
    <t>2.5.2-1843.1</t>
  </si>
  <si>
    <t>2.5.2-1843.51</t>
  </si>
  <si>
    <t>ANTIULCEROSOS; TIPO: MONODROGA, DROGA GENERICA: OMEPRAZOL 40 mGr, FORMA FARMACEUTICA: AMPOLLA, PRESENTACION: UNIDAD</t>
  </si>
  <si>
    <t>2.5.2-1849.19</t>
  </si>
  <si>
    <t>ANTIULCEROSOS; TIPO: MONODROGA, DROGA GENERICA: OMEPRAZOL, FORMA FARMACEUTICA: CAPSULA, PRESENTACION: 20 mGr</t>
  </si>
  <si>
    <t>2.5.2-1849.3</t>
  </si>
  <si>
    <t>VASELINA; TIPO: LIQUIDA, PRESENTACION: ENVASE X 1000 mL</t>
  </si>
  <si>
    <t>2.5.2-5520.5</t>
  </si>
  <si>
    <t>ANTIACIDOS; TIPO: MONODROGA, DROGA GENERICA: SUCRALFATO, FORMA FARMACEUTICA: SOLUCION, PRESENTACION: ENVASE X 200 mL</t>
  </si>
  <si>
    <t>2.5.2-1841.13</t>
  </si>
  <si>
    <t>ANTIACIDOS; TIPO: MONODROGA, DROGA GENERICA: RANITIDINA, FORMA FARMACEUTICA: AMPOLLA, PRESENTACION: UNIDAD</t>
  </si>
  <si>
    <t>2.5.2-1841.17</t>
  </si>
  <si>
    <t>ANTIDIARREICOS; TIPO: MONODROGA, DROGA GENERICA: LOPERAMIDA, FORMA FARMACEUTICA: CAPSULA, PRESENTACION: 2 mGr</t>
  </si>
  <si>
    <t>2.5.2-1816.34</t>
  </si>
  <si>
    <t>2.5.2-6910.11</t>
  </si>
  <si>
    <t>2.5.2-6910.3</t>
  </si>
  <si>
    <t>ANTIDIARREICOS; TIPO: MONODROGA, DROGA GENERICA: BISMUTO, FORMA FARMACEUTICA: CREMA, PRESENTACION: 90 mL</t>
  </si>
  <si>
    <t>2.5.2-1816.19</t>
  </si>
  <si>
    <t>2.5.2-3259.11</t>
  </si>
  <si>
    <t>VITAMINAS; FORMA FARMACEUTICA: AMPOLLA, PRESENTACION: 2 mL, TIPO: MONODROGA, DROGA GENERICA: VITAMINA B</t>
  </si>
  <si>
    <t>2.5.2-1901.7</t>
  </si>
  <si>
    <t>ANTIANEMICOS; TIPO: MONODROGA, DROGA GENERICA: COMPLEJO VITAMINICO B, FORMA FARMACEUTICA: COMPRIMIDO, PRESENTACION: UNIDAD</t>
  </si>
  <si>
    <t>2.5.2-1872.65</t>
  </si>
  <si>
    <t>ANTIEMETICOS; TIPO: MONODROGA, DROGA GENERICA: METOCLOPRAMIDA, FORMA FARMACEUTICA: AMPOLLA, PRESENTACION: 2 mL</t>
  </si>
  <si>
    <t>2.5.2-6910.6</t>
  </si>
  <si>
    <t>HIPOGLUCEMIANTES INYECTABLES; TIPO: MONODROGA, DROGA GENERICA: INSULINA CTE, FORMA FARMACEUTICA: AMPOLLA, PRESENTACION: ENVASE X 10 mL</t>
  </si>
  <si>
    <t>2.5.2-1861.33</t>
  </si>
  <si>
    <t>HIPOGLUCEMIANTES INYECTABLES; TIPO: MONODROGA, DROGA GENERICA: INSULINA HUMANA NHP 100 UI, FORMA FARMACEUTICA: AMPOLLA, PRESENTACION: 10 mL</t>
  </si>
  <si>
    <t>2.5.2-1861.10</t>
  </si>
  <si>
    <t>REGULADORES INTESTINALES; TIPO: MONODROGA, DROGA GENERICA: LACTULOSA, FORMA FARMACEUTICA: JARABE, PRESENTACION: 120 mL</t>
  </si>
  <si>
    <t>2.5.2-2804.1</t>
  </si>
  <si>
    <t>ANTIMICOTICOS; TIPO: MONODROGA, DROGA GENERICA: NISTATINA 100000 UI/ML, FORMA FARMACEUTICA: SUSPENSION, PRESENTACION: ENVASE X 60 mL</t>
  </si>
  <si>
    <t>2.5.2-1823.46</t>
  </si>
  <si>
    <t>LAXANTES; TIPO: MONODROGA, DROGA GENERICA: PICOSULFATO SODICO, FORMA FARMACEUTICA: GOTAS, PRESENTACION: 15 mL</t>
  </si>
  <si>
    <t>2.5.2-2481.13</t>
  </si>
  <si>
    <t>HIPOGLUCEMIANTES ORALES; TIPO: MONODROGA, DROGA GENERICA: METFORMINA, FORMA FARMACEUTICA: COMPRIMIDO, PRESENTACION: 500 mGr</t>
  </si>
  <si>
    <t>2.5.2-1862.1</t>
  </si>
  <si>
    <t>HIPOGLUCEMIANTES ORALES; TIPO: MONODROGA, DROGA GENERICA: METFORMINA, FORMA FARMACEUTICA: COMPRIMIDO, PRESENTACION: 850 mGr</t>
  </si>
  <si>
    <t>2.5.2-1862.16</t>
  </si>
  <si>
    <t>RECONSTITUYENTE GENERAL; TIPO: ASOCIACION, DROGA GENERICA: SALES DE REHIDRATACION, FORMA FARMACEUTICA: POLVO, PRESENTACION: SOBRE X 27,9 GR</t>
  </si>
  <si>
    <t>2.5.2-1903.85</t>
  </si>
  <si>
    <t>HIPOGLUCEMIANTES ORALES; TIPO: MONODROGA, FORMA FARMACEUTICA: COMPRIMIDO, PRESENTACION: 5 mGr, DROGA GENERICA: GLIBENCLAMIDA</t>
  </si>
  <si>
    <t>2.5.2-1862.3</t>
  </si>
  <si>
    <t>RECONSTITUYENTE GENERAL; TIPO: MONODROGA, DROGA GENERICA: CALCIO CARBONATO, FORMA FARMACEUTICA: COMPRIMIDO, PRESENTACION: 1250 mGr</t>
  </si>
  <si>
    <t>2.5.2-1903.66</t>
  </si>
  <si>
    <t>RECONSTITUYENTE GENERAL; TIPO: MONODROGA, DROGA GENERICA: CALCIO CARBONATO, FORMA FARMACEUTICA: COMPRIMIDO, PRESENTACION: 500 mGr</t>
  </si>
  <si>
    <t>2.5.2-1903.89</t>
  </si>
  <si>
    <t>ANTIEMETICOS; TIPO: MONODROGA, DROGA GENERICA: ONDANSETRON X 8 mGr, FORMA FARMACEUTICA: AMPOLLA, PRESENTACION: ENVASE X 1 UN</t>
  </si>
  <si>
    <t>2.5.2-6910.13</t>
  </si>
  <si>
    <t>2.5.2-2480.14</t>
  </si>
  <si>
    <t>DIGESTIVOS; TIPO: MONODROGA, DROGA GENERICA: ACIDO URSODESOXICOLICO, FORMA FARMACEUTICA: COMPRIMIDO, PRESENTACION: 150 MGR</t>
  </si>
  <si>
    <t>2.5.2-3259.14</t>
  </si>
  <si>
    <t>DIGESTIVOS; TIPO: MONODROGA, DROGA GENERICA: ACIDO URSODEOXICOLICO, FORMA FARMACEUTICA: COMPRIMIDO, PRESENTACION: 300 MGR</t>
  </si>
  <si>
    <t>2.5.2-1841.33</t>
  </si>
  <si>
    <t>ANTIACIDOS; TIPO: ASOCIACION, DROGA GENERICA: HIDROX. ALUM. + HIDROX. MAG., FORMA FARMACEUTICA: SUSPENSION, PRESENTACION: ENVASE X 160 ML</t>
  </si>
  <si>
    <t>ANTIESPASMODICOS; TIPO: MONODROGA, DROGA GENERICA: HIOSCINA N-BUTILBROMURO 20 MG, FORMA FARMACEUTICA: AMPOLLA, PRESENTACION: 1 ML</t>
  </si>
  <si>
    <t>2.5.2-8078.68</t>
  </si>
  <si>
    <t>EXCIPIENTES; TIPO: MONODROGA, PRESENTACION: ENVASE X 1 Kg, COMPUESTO: CARBON ACTIVADO, CONCENTRACION/PUREZA: 100 %</t>
  </si>
  <si>
    <t>ANTISEPTICOS LOCALES P/PERSONA; TIPO: MONODROGA, DROGA GENERICA: CLORHEXIDINA DIGLUCONATO 0,12 %, FORMA FARMACEUTICA: LIQUIDO, PRESENTACION: ENVASE X 200 ML</t>
  </si>
  <si>
    <t>2.5.2-1723.176</t>
  </si>
  <si>
    <t>ANTIEMETICOS; TIPO: MONODROGA, DROGA GENERICA: DOMPERIDONA 4 MG, FORMA FARMACEUTICA: AMPOLLA, PRESENTACION: 3 ML</t>
  </si>
  <si>
    <t>NORMALIZADORES DE CALCEMIA; TIPO: MONODROGA, FORMA FARMACEUTICA: ELIXIR, PRESENTACION: 150 mL, DROGA GENERICA: GLUCONATO DE POTASIO</t>
  </si>
  <si>
    <t>2.5.2-2689.1</t>
  </si>
  <si>
    <t>ANTIACIDOS; TIPO: MONODROGA, DROGA GENERICA: HIDROXIDO DE MAGNESIO, FORMA FARMACEUTICA: SUSPENCION, PRESENTACION: ENVASE X 240 ML</t>
  </si>
  <si>
    <t>2.5.2-1841.34</t>
  </si>
  <si>
    <t>HIPOGLUCEMIANTES INYECTABLES; TIPO: MONODROGA, DROGA GENERICA: INSULINA ASPARTICA, FORMA FARMACEUTICA: LAPICERA PRELLENADA, PRESENTACION: 5 UNIDADES</t>
  </si>
  <si>
    <t>2.5.2-1861.38</t>
  </si>
  <si>
    <t>HIPOGLUCEMIANTES INYECTABLES; TIPO: MONODROGA, DROGA GENERICA: INSULINA HUMANA NHP 100 UI, FORMA FARMACEUTICA: LAPICERA PRELLENADA, PRESENTACION: 5 AMPOLLAS</t>
  </si>
  <si>
    <t>LAXANTES; TIPO: MONODROGA, DROGA GENERICA: LIMONADA, FORMA FARMACEUTICA: POLVO, PRESENTACION: 60 GR</t>
  </si>
  <si>
    <t>2.5.2-2481.38</t>
  </si>
  <si>
    <t>ANTIHEMETICOS; TIPO: MONODROGA, DROGA GENERICA: METOCLOPRAMIDA 0,2 %, FORMA FARMACEUTICA: GOTAS, PRESENTACION: 20 ML</t>
  </si>
  <si>
    <t>ANTIEMETICOS; TIPO: MONODROGA, DROGA GENERICA: METOCLOPRAMIDA 0.5%, FORMA FARMACEUTICA: GOTAS, PRESENTACION: ENVASE X 20 ML</t>
  </si>
  <si>
    <t>2.5.2-6910.21</t>
  </si>
  <si>
    <t>VITAMINAS; TIPO: ASOCIACION, DROGA GENERICA: VIT.A +D+C, FORMA FARMACEUTICA: GOTA, PRESENTACION: 30 ML</t>
  </si>
  <si>
    <t>2.5.2-1901.127</t>
  </si>
  <si>
    <t>VITAMINAS; TIPO: MONODROGA, DROGA GENERICA: VITAMINA C 200 MG/ML, FORMA FARMACEUTICA: AMPOLLA, PRESENTACION: 5 ML</t>
  </si>
  <si>
    <t>2.5.2-1901.128</t>
  </si>
  <si>
    <t>VITAMINAS; TIPO: MONODROGA, DROGA GENERICA: VITAMINA C, FORMA FARMACEUTICA: COMPRIMIDOS, PRESENTACION: 10 COMPRIMIDOS</t>
  </si>
  <si>
    <t>VITAMINAS; TIPO: MONODROGA, DROGA GENERICA: VITAMINA D3 2000 UI/ML, FORMA FARMACEUTICA: SOLUCION, PRESENTACION: 2 ML</t>
  </si>
  <si>
    <t>2.5.2-1901.130</t>
  </si>
  <si>
    <r>
      <t>Descripción técnica:</t>
    </r>
    <r>
      <rPr>
        <sz val="11"/>
        <color theme="1"/>
        <rFont val="Calibri"/>
        <family val="2"/>
        <scheme val="minor"/>
      </rPr>
      <t xml:space="preserve"> VITAMINA C , CONCENTRACION 2GRS , COMPRIMIDOS EFERVESCENTES </t>
    </r>
  </si>
  <si>
    <t>ANTIEMETICOS; TIPO: MONODROGA, DROGA GENERICA: DOMPERIDONA 1%, FORMA FARMACEUTICA: GOTAS, PRESENTACION: ENVASE X 20 ML</t>
  </si>
  <si>
    <t>2.5.2-1901.129</t>
  </si>
  <si>
    <r>
      <t xml:space="preserve">Descripción técnica: </t>
    </r>
    <r>
      <rPr>
        <sz val="11"/>
        <color theme="1"/>
        <rFont val="Calibri"/>
        <family val="2"/>
        <scheme val="minor"/>
      </rPr>
      <t>INSULINA CORRIENTE HUMANA 100 UI FCO AMP 10 ML</t>
    </r>
  </si>
  <si>
    <t>2.5.2-1861.39</t>
  </si>
  <si>
    <t>PROD. MEDICO/FARMACEUTICOS/LAB</t>
  </si>
  <si>
    <t>QUIMICOS</t>
  </si>
  <si>
    <t>SI</t>
  </si>
  <si>
    <t>Product. Farmaceut. Y Medicinales</t>
  </si>
  <si>
    <t>Especificidades Item N° 11:</t>
  </si>
  <si>
    <r>
      <t xml:space="preserve">Descripción técnica: </t>
    </r>
    <r>
      <rPr>
        <sz val="11"/>
        <color theme="1"/>
        <rFont val="Calibri"/>
        <family val="2"/>
        <scheme val="minor"/>
      </rPr>
      <t>COLUTORIO TIPO ELUDRIL CLASSIC X 200 ML</t>
    </r>
  </si>
  <si>
    <r>
      <rPr>
        <b/>
        <u/>
        <sz val="10"/>
        <rFont val="Times New Roman"/>
        <family val="1"/>
      </rPr>
      <t>Especificidades</t>
    </r>
    <r>
      <rPr>
        <b/>
        <sz val="10"/>
        <rFont val="Times New Roman"/>
        <family val="1"/>
      </rPr>
      <t xml:space="preserve">: ITEMS N 12 </t>
    </r>
    <r>
      <rPr>
        <sz val="10"/>
        <rFont val="Times New Roman"/>
        <family val="1"/>
      </rPr>
      <t>: VITAMINAS; FORMA FARMACEUTICA: AMPOLLA, PRESENTACION: 2 mL, TIPO: BECOZYM NF AMPOLLAS</t>
    </r>
  </si>
  <si>
    <t>2.5.2-3603.13</t>
  </si>
  <si>
    <t>EVACUANTES INTESTINALES; TIPO: ASOCIACION, DROGA GENERICA: FOSFATO MONOSODICO-BISODICO, FORMA FARMACEUTICA: SOLUCION, PRESENTACION: ENVASE X 45 mL</t>
  </si>
  <si>
    <t>2.5.2-3603.1</t>
  </si>
  <si>
    <t>EVACUANTES INTESTINALES; DROGA GENERICA: FOSFATO MONOSODICO-BISODICO, FORMA FARMACEUTICA: SOLUCION, PRESENTACION: 135 mL, TIPO: ASOCIACION</t>
  </si>
  <si>
    <t>Especificidades Item N° 45:</t>
  </si>
  <si>
    <t>Especificidades Item N° 36:</t>
  </si>
  <si>
    <r>
      <t>Descripción técnica:</t>
    </r>
    <r>
      <rPr>
        <sz val="11"/>
        <color theme="1"/>
        <rFont val="Calibri"/>
        <family val="2"/>
        <scheme val="minor"/>
      </rPr>
      <t xml:space="preserve"> TIPO FOSFODON</t>
    </r>
  </si>
  <si>
    <t>Especificidades Item N° 21:</t>
  </si>
  <si>
    <t>Especificidades Item N° 13:</t>
  </si>
  <si>
    <r>
      <t xml:space="preserve">Descripción técnica: </t>
    </r>
    <r>
      <rPr>
        <sz val="11"/>
        <color theme="1"/>
        <rFont val="Calibri"/>
        <family val="2"/>
        <scheme val="minor"/>
      </rPr>
      <t>TIPO: BECOZYM NF Comprimido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</si>
</sst>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&quot;$&quot;\ #,##0.00"/>
    <numFmt numFmtId="171" formatCode="_-&quot;$&quot;\ * #,##0.00_-;\-&quot;$&quot;\ * #,##0.00_-;_-&quot;$&quot;\ * &quot;-&quot;??_-;_-@"/>
  </numFmts>
  <fonts count="34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Times New Roman"/>
      <family val="1"/>
    </font>
    <font>
      <u/>
      <sz val="11"/>
      <name val="Times New Roman"/>
      <family val="1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name val="Times New Roman"/>
      <family val="1"/>
    </font>
    <font>
      <b/>
      <sz val="10"/>
      <name val="Times New Roman"/>
      <family val="1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166" fontId="16" fillId="0" borderId="0" applyBorder="0" applyProtection="0"/>
    <xf numFmtId="0" fontId="3" fillId="0" borderId="1" applyProtection="0"/>
    <xf numFmtId="165" fontId="4" fillId="0" borderId="0" applyBorder="0" applyProtection="0"/>
    <xf numFmtId="0" fontId="5" fillId="2" borderId="0" applyBorder="0" applyProtection="0"/>
    <xf numFmtId="0" fontId="16" fillId="0" borderId="0"/>
    <xf numFmtId="0" fontId="16" fillId="0" borderId="0"/>
    <xf numFmtId="0" fontId="16" fillId="0" borderId="0"/>
    <xf numFmtId="43" fontId="2" fillId="0" borderId="0" applyFont="0" applyFill="0" applyBorder="0" applyAlignment="0" applyProtection="0"/>
  </cellStyleXfs>
  <cellXfs count="172">
    <xf numFmtId="0" fontId="0" fillId="0" borderId="0" xfId="0"/>
    <xf numFmtId="0" fontId="0" fillId="0" borderId="0" xfId="0" applyAlignment="1">
      <alignment horizontal="left"/>
    </xf>
    <xf numFmtId="3" fontId="11" fillId="0" borderId="0" xfId="0" applyNumberFormat="1" applyFont="1"/>
    <xf numFmtId="169" fontId="0" fillId="0" borderId="0" xfId="0" applyNumberFormat="1" applyAlignment="1">
      <alignment horizontal="left"/>
    </xf>
    <xf numFmtId="0" fontId="4" fillId="0" borderId="0" xfId="0" applyFont="1"/>
    <xf numFmtId="0" fontId="0" fillId="0" borderId="10" xfId="0" applyBorder="1"/>
    <xf numFmtId="0" fontId="0" fillId="0" borderId="24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5" xfId="0" applyBorder="1"/>
    <xf numFmtId="0" fontId="15" fillId="0" borderId="27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28" xfId="0" applyFont="1" applyBorder="1" applyAlignment="1">
      <alignment horizontal="left" vertical="center"/>
    </xf>
    <xf numFmtId="0" fontId="15" fillId="0" borderId="29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167" fontId="0" fillId="0" borderId="33" xfId="3" applyNumberFormat="1" applyFont="1" applyBorder="1" applyAlignment="1" applyProtection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7" fontId="0" fillId="0" borderId="38" xfId="3" applyNumberFormat="1" applyFont="1" applyBorder="1" applyAlignment="1" applyProtection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67" fontId="0" fillId="0" borderId="42" xfId="3" applyNumberFormat="1" applyFont="1" applyBorder="1" applyAlignment="1" applyProtection="1">
      <alignment horizontal="center" vertical="center"/>
    </xf>
    <xf numFmtId="0" fontId="7" fillId="3" borderId="10" xfId="0" applyFont="1" applyFill="1" applyBorder="1" applyAlignment="1">
      <alignment horizontal="right" vertical="center"/>
    </xf>
    <xf numFmtId="0" fontId="4" fillId="3" borderId="0" xfId="0" applyFont="1" applyFill="1" applyAlignment="1">
      <alignment vertical="center"/>
    </xf>
    <xf numFmtId="0" fontId="0" fillId="3" borderId="0" xfId="0" applyFill="1"/>
    <xf numFmtId="0" fontId="7" fillId="3" borderId="12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0" fontId="9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 wrapText="1" indent="1"/>
    </xf>
    <xf numFmtId="0" fontId="6" fillId="3" borderId="48" xfId="0" applyFont="1" applyFill="1" applyBorder="1" applyAlignment="1">
      <alignment horizontal="center" vertical="center"/>
    </xf>
    <xf numFmtId="167" fontId="6" fillId="3" borderId="48" xfId="1" applyNumberFormat="1" applyFont="1" applyFill="1" applyBorder="1" applyAlignment="1" applyProtection="1">
      <alignment horizontal="right" vertical="center" wrapText="1"/>
    </xf>
    <xf numFmtId="3" fontId="6" fillId="3" borderId="48" xfId="0" applyNumberFormat="1" applyFont="1" applyFill="1" applyBorder="1" applyAlignment="1">
      <alignment horizontal="center" vertical="center"/>
    </xf>
    <xf numFmtId="0" fontId="24" fillId="4" borderId="0" xfId="0" applyFont="1" applyFill="1" applyAlignment="1">
      <alignment horizontal="left" wrapText="1" indent="1"/>
    </xf>
    <xf numFmtId="0" fontId="21" fillId="3" borderId="0" xfId="0" applyFont="1" applyFill="1" applyAlignment="1">
      <alignment horizontal="left" wrapText="1"/>
    </xf>
    <xf numFmtId="0" fontId="0" fillId="4" borderId="31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16" fillId="4" borderId="31" xfId="0" applyFont="1" applyFill="1" applyBorder="1" applyAlignment="1">
      <alignment horizontal="center" vertical="center"/>
    </xf>
    <xf numFmtId="0" fontId="17" fillId="3" borderId="0" xfId="0" applyFont="1" applyFill="1"/>
    <xf numFmtId="0" fontId="20" fillId="3" borderId="0" xfId="0" applyFont="1" applyFill="1" applyAlignment="1">
      <alignment horizontal="left" wrapText="1"/>
    </xf>
    <xf numFmtId="0" fontId="20" fillId="3" borderId="0" xfId="0" applyFont="1" applyFill="1" applyAlignment="1">
      <alignment horizontal="center" wrapText="1"/>
    </xf>
    <xf numFmtId="0" fontId="17" fillId="3" borderId="3" xfId="0" applyFont="1" applyFill="1" applyBorder="1"/>
    <xf numFmtId="0" fontId="17" fillId="3" borderId="4" xfId="0" applyFont="1" applyFill="1" applyBorder="1"/>
    <xf numFmtId="0" fontId="17" fillId="3" borderId="0" xfId="0" applyFont="1" applyFill="1" applyAlignment="1">
      <alignment horizontal="center" vertical="center"/>
    </xf>
    <xf numFmtId="170" fontId="22" fillId="3" borderId="0" xfId="0" applyNumberFormat="1" applyFont="1" applyFill="1"/>
    <xf numFmtId="170" fontId="22" fillId="3" borderId="0" xfId="0" applyNumberFormat="1" applyFont="1" applyFill="1" applyAlignment="1">
      <alignment horizontal="center" vertical="center"/>
    </xf>
    <xf numFmtId="0" fontId="23" fillId="3" borderId="7" xfId="0" applyFont="1" applyFill="1" applyBorder="1"/>
    <xf numFmtId="0" fontId="16" fillId="3" borderId="47" xfId="0" applyFont="1" applyFill="1" applyBorder="1" applyAlignment="1">
      <alignment horizontal="center" vertical="center"/>
    </xf>
    <xf numFmtId="164" fontId="17" fillId="3" borderId="0" xfId="0" applyNumberFormat="1" applyFont="1" applyFill="1"/>
    <xf numFmtId="0" fontId="17" fillId="3" borderId="5" xfId="6" applyFont="1" applyFill="1" applyBorder="1" applyAlignment="1">
      <alignment horizontal="left" wrapText="1"/>
    </xf>
    <xf numFmtId="0" fontId="17" fillId="3" borderId="0" xfId="6" applyFont="1" applyFill="1" applyAlignment="1">
      <alignment horizontal="left" wrapText="1"/>
    </xf>
    <xf numFmtId="0" fontId="17" fillId="3" borderId="6" xfId="6" applyFont="1" applyFill="1" applyBorder="1" applyAlignment="1">
      <alignment horizontal="left" wrapText="1"/>
    </xf>
    <xf numFmtId="0" fontId="27" fillId="0" borderId="5" xfId="7" applyFont="1" applyBorder="1" applyAlignment="1">
      <alignment horizontal="center" vertical="center" wrapText="1"/>
    </xf>
    <xf numFmtId="0" fontId="17" fillId="3" borderId="0" xfId="0" applyFont="1" applyFill="1" applyAlignment="1">
      <alignment horizontal="center" wrapText="1"/>
    </xf>
    <xf numFmtId="0" fontId="17" fillId="3" borderId="6" xfId="0" applyFont="1" applyFill="1" applyBorder="1" applyAlignment="1">
      <alignment horizontal="center" wrapText="1"/>
    </xf>
    <xf numFmtId="0" fontId="17" fillId="3" borderId="8" xfId="0" applyFont="1" applyFill="1" applyBorder="1"/>
    <xf numFmtId="0" fontId="17" fillId="3" borderId="9" xfId="0" applyFont="1" applyFill="1" applyBorder="1"/>
    <xf numFmtId="0" fontId="17" fillId="3" borderId="2" xfId="0" applyFont="1" applyFill="1" applyBorder="1"/>
    <xf numFmtId="0" fontId="24" fillId="6" borderId="0" xfId="0" applyFont="1" applyFill="1" applyAlignment="1">
      <alignment horizontal="left" wrapText="1" indent="1"/>
    </xf>
    <xf numFmtId="0" fontId="8" fillId="5" borderId="11" xfId="0" applyFont="1" applyFill="1" applyBorder="1" applyAlignment="1">
      <alignment horizontal="center" vertical="center"/>
    </xf>
    <xf numFmtId="167" fontId="15" fillId="5" borderId="43" xfId="0" applyNumberFormat="1" applyFont="1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26" fillId="3" borderId="47" xfId="0" applyFont="1" applyFill="1" applyBorder="1" applyAlignment="1">
      <alignment horizontal="center" vertical="center" wrapText="1"/>
    </xf>
    <xf numFmtId="3" fontId="16" fillId="3" borderId="47" xfId="0" applyNumberFormat="1" applyFont="1" applyFill="1" applyBorder="1" applyAlignment="1">
      <alignment horizontal="center" vertical="center"/>
    </xf>
    <xf numFmtId="164" fontId="16" fillId="4" borderId="47" xfId="1" applyNumberFormat="1" applyFill="1" applyBorder="1" applyAlignment="1" applyProtection="1">
      <alignment horizontal="right" vertical="center" wrapText="1"/>
    </xf>
    <xf numFmtId="0" fontId="16" fillId="3" borderId="47" xfId="0" applyFont="1" applyFill="1" applyBorder="1" applyAlignment="1">
      <alignment horizontal="center" vertical="center" wrapText="1"/>
    </xf>
    <xf numFmtId="3" fontId="16" fillId="3" borderId="47" xfId="6" applyNumberFormat="1" applyFill="1" applyBorder="1" applyAlignment="1">
      <alignment horizontal="center" vertical="center"/>
    </xf>
    <xf numFmtId="0" fontId="16" fillId="3" borderId="49" xfId="0" applyFont="1" applyFill="1" applyBorder="1" applyAlignment="1">
      <alignment horizontal="center" vertical="center"/>
    </xf>
    <xf numFmtId="0" fontId="26" fillId="3" borderId="49" xfId="0" applyFont="1" applyFill="1" applyBorder="1" applyAlignment="1">
      <alignment horizontal="center" vertical="center" wrapText="1"/>
    </xf>
    <xf numFmtId="0" fontId="16" fillId="3" borderId="49" xfId="0" applyFont="1" applyFill="1" applyBorder="1" applyAlignment="1">
      <alignment horizontal="center" vertical="center" wrapText="1"/>
    </xf>
    <xf numFmtId="3" fontId="16" fillId="3" borderId="49" xfId="0" applyNumberFormat="1" applyFont="1" applyFill="1" applyBorder="1" applyAlignment="1">
      <alignment horizontal="center" vertical="center"/>
    </xf>
    <xf numFmtId="164" fontId="16" fillId="4" borderId="49" xfId="1" applyNumberFormat="1" applyFill="1" applyBorder="1" applyAlignment="1" applyProtection="1">
      <alignment horizontal="right" vertical="center" wrapText="1"/>
    </xf>
    <xf numFmtId="0" fontId="25" fillId="3" borderId="50" xfId="0" applyFont="1" applyFill="1" applyBorder="1" applyAlignment="1">
      <alignment horizontal="center" vertical="center" wrapText="1"/>
    </xf>
    <xf numFmtId="0" fontId="25" fillId="3" borderId="51" xfId="0" applyFont="1" applyFill="1" applyBorder="1" applyAlignment="1">
      <alignment horizontal="center" vertical="center" wrapText="1"/>
    </xf>
    <xf numFmtId="0" fontId="25" fillId="3" borderId="52" xfId="0" applyFont="1" applyFill="1" applyBorder="1" applyAlignment="1">
      <alignment horizontal="center" vertical="center" wrapText="1"/>
    </xf>
    <xf numFmtId="0" fontId="25" fillId="3" borderId="53" xfId="0" applyFont="1" applyFill="1" applyBorder="1" applyAlignment="1">
      <alignment horizontal="center" vertical="center" wrapText="1"/>
    </xf>
    <xf numFmtId="0" fontId="25" fillId="3" borderId="54" xfId="0" applyFont="1" applyFill="1" applyBorder="1" applyAlignment="1">
      <alignment horizontal="center" vertical="center" wrapText="1"/>
    </xf>
    <xf numFmtId="164" fontId="25" fillId="3" borderId="55" xfId="0" applyNumberFormat="1" applyFont="1" applyFill="1" applyBorder="1" applyAlignment="1">
      <alignment horizontal="center" vertical="center" wrapText="1"/>
    </xf>
    <xf numFmtId="44" fontId="16" fillId="3" borderId="47" xfId="1" applyNumberFormat="1" applyFill="1" applyBorder="1" applyAlignment="1">
      <alignment horizontal="center" vertical="center"/>
    </xf>
    <xf numFmtId="3" fontId="16" fillId="3" borderId="47" xfId="1" applyNumberFormat="1" applyFill="1" applyBorder="1" applyAlignment="1">
      <alignment horizontal="center" vertical="center"/>
    </xf>
    <xf numFmtId="0" fontId="30" fillId="0" borderId="2" xfId="0" applyFont="1" applyBorder="1"/>
    <xf numFmtId="0" fontId="0" fillId="0" borderId="3" xfId="0" applyBorder="1"/>
    <xf numFmtId="0" fontId="0" fillId="0" borderId="4" xfId="0" applyBorder="1"/>
    <xf numFmtId="0" fontId="29" fillId="0" borderId="5" xfId="0" applyFont="1" applyBorder="1"/>
    <xf numFmtId="0" fontId="0" fillId="0" borderId="6" xfId="0" applyBorder="1"/>
    <xf numFmtId="0" fontId="29" fillId="0" borderId="7" xfId="0" applyFont="1" applyBorder="1"/>
    <xf numFmtId="0" fontId="16" fillId="3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47" xfId="0" applyFill="1" applyBorder="1" applyAlignment="1">
      <alignment horizontal="left" vertical="center" wrapText="1"/>
    </xf>
    <xf numFmtId="0" fontId="16" fillId="3" borderId="47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25" fillId="3" borderId="56" xfId="0" applyFont="1" applyFill="1" applyBorder="1" applyAlignment="1">
      <alignment horizontal="center" vertical="center" wrapText="1"/>
    </xf>
    <xf numFmtId="44" fontId="16" fillId="3" borderId="49" xfId="1" applyNumberFormat="1" applyFill="1" applyBorder="1" applyAlignment="1">
      <alignment horizontal="center" vertical="center"/>
    </xf>
    <xf numFmtId="0" fontId="16" fillId="3" borderId="0" xfId="0" applyFont="1" applyFill="1" applyAlignment="1">
      <alignment horizontal="left" vertical="center" wrapText="1"/>
    </xf>
    <xf numFmtId="44" fontId="16" fillId="3" borderId="47" xfId="1" applyNumberFormat="1" applyFill="1" applyBorder="1" applyAlignment="1">
      <alignment horizontal="right" vertical="center"/>
    </xf>
    <xf numFmtId="0" fontId="0" fillId="3" borderId="47" xfId="0" applyFill="1" applyBorder="1" applyAlignment="1">
      <alignment horizontal="center" vertical="center" wrapText="1"/>
    </xf>
    <xf numFmtId="0" fontId="0" fillId="3" borderId="47" xfId="0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/>
    </xf>
    <xf numFmtId="0" fontId="26" fillId="3" borderId="0" xfId="0" applyFont="1" applyFill="1" applyAlignment="1">
      <alignment horizontal="left" vertical="center"/>
    </xf>
    <xf numFmtId="0" fontId="0" fillId="3" borderId="0" xfId="0" applyFill="1" applyAlignment="1">
      <alignment vertical="center" wrapText="1"/>
    </xf>
    <xf numFmtId="0" fontId="26" fillId="3" borderId="59" xfId="0" applyFont="1" applyFill="1" applyBorder="1" applyAlignment="1">
      <alignment horizontal="center" vertical="center"/>
    </xf>
    <xf numFmtId="171" fontId="16" fillId="3" borderId="47" xfId="0" applyNumberFormat="1" applyFont="1" applyFill="1" applyBorder="1" applyAlignment="1">
      <alignment horizontal="center" vertical="center"/>
    </xf>
    <xf numFmtId="0" fontId="26" fillId="3" borderId="47" xfId="0" applyFont="1" applyFill="1" applyBorder="1" applyAlignment="1">
      <alignment horizontal="left" vertical="center"/>
    </xf>
    <xf numFmtId="0" fontId="0" fillId="3" borderId="47" xfId="0" applyFill="1" applyBorder="1" applyAlignment="1">
      <alignment vertical="center" wrapText="1"/>
    </xf>
    <xf numFmtId="0" fontId="26" fillId="3" borderId="47" xfId="0" applyFont="1" applyFill="1" applyBorder="1" applyAlignment="1">
      <alignment horizontal="center" vertical="center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17" fillId="3" borderId="5" xfId="6" applyFont="1" applyFill="1" applyBorder="1" applyAlignment="1">
      <alignment horizontal="left" wrapText="1"/>
    </xf>
    <xf numFmtId="0" fontId="17" fillId="3" borderId="0" xfId="6" applyFont="1" applyFill="1" applyAlignment="1">
      <alignment horizontal="left" wrapText="1"/>
    </xf>
    <xf numFmtId="0" fontId="17" fillId="3" borderId="6" xfId="6" applyFont="1" applyFill="1" applyBorder="1" applyAlignment="1">
      <alignment horizontal="left" wrapText="1"/>
    </xf>
    <xf numFmtId="0" fontId="19" fillId="3" borderId="0" xfId="0" applyFont="1" applyFill="1" applyAlignment="1">
      <alignment horizontal="left" vertical="center" wrapText="1"/>
    </xf>
    <xf numFmtId="0" fontId="19" fillId="5" borderId="0" xfId="0" applyFont="1" applyFill="1" applyAlignment="1">
      <alignment horizontal="left" vertical="center" wrapText="1"/>
    </xf>
    <xf numFmtId="0" fontId="18" fillId="3" borderId="0" xfId="0" applyFont="1" applyFill="1" applyAlignment="1">
      <alignment horizontal="center"/>
    </xf>
    <xf numFmtId="0" fontId="24" fillId="4" borderId="0" xfId="0" applyFont="1" applyFill="1" applyAlignment="1">
      <alignment horizontal="left" wrapText="1" indent="1"/>
    </xf>
    <xf numFmtId="0" fontId="24" fillId="6" borderId="0" xfId="0" applyFont="1" applyFill="1" applyAlignment="1">
      <alignment horizontal="left" wrapText="1" indent="1"/>
    </xf>
    <xf numFmtId="0" fontId="30" fillId="0" borderId="2" xfId="0" applyFont="1" applyBorder="1" applyAlignment="1">
      <alignment horizontal="left"/>
    </xf>
    <xf numFmtId="0" fontId="30" fillId="0" borderId="3" xfId="0" applyFont="1" applyBorder="1" applyAlignment="1">
      <alignment horizontal="left"/>
    </xf>
    <xf numFmtId="0" fontId="30" fillId="0" borderId="4" xfId="0" applyFont="1" applyBorder="1" applyAlignment="1">
      <alignment horizontal="left"/>
    </xf>
    <xf numFmtId="0" fontId="7" fillId="3" borderId="0" xfId="0" applyFont="1" applyFill="1" applyAlignment="1">
      <alignment horizontal="center" vertical="center"/>
    </xf>
    <xf numFmtId="0" fontId="9" fillId="5" borderId="13" xfId="0" applyFont="1" applyFill="1" applyBorder="1" applyAlignment="1">
      <alignment horizontal="left" vertical="center" wrapText="1"/>
    </xf>
    <xf numFmtId="0" fontId="8" fillId="5" borderId="14" xfId="0" applyFont="1" applyFill="1" applyBorder="1" applyAlignment="1">
      <alignment horizontal="left" vertical="center" wrapText="1" indent="1"/>
    </xf>
    <xf numFmtId="0" fontId="9" fillId="5" borderId="15" xfId="0" applyFont="1" applyFill="1" applyBorder="1" applyAlignment="1">
      <alignment horizontal="left" vertical="center" wrapText="1"/>
    </xf>
    <xf numFmtId="0" fontId="9" fillId="3" borderId="13" xfId="0" applyFont="1" applyFill="1" applyBorder="1" applyAlignment="1">
      <alignment horizontal="left" vertical="center" wrapText="1"/>
    </xf>
    <xf numFmtId="0" fontId="8" fillId="3" borderId="14" xfId="0" applyFont="1" applyFill="1" applyBorder="1" applyAlignment="1">
      <alignment horizontal="left" vertical="center" wrapText="1" indent="1"/>
    </xf>
    <xf numFmtId="0" fontId="8" fillId="3" borderId="58" xfId="0" applyFont="1" applyFill="1" applyBorder="1" applyAlignment="1">
      <alignment horizontal="left" vertical="center" wrapText="1" indent="1"/>
    </xf>
    <xf numFmtId="168" fontId="9" fillId="3" borderId="14" xfId="0" applyNumberFormat="1" applyFont="1" applyFill="1" applyBorder="1" applyAlignment="1">
      <alignment horizontal="center" vertical="center"/>
    </xf>
    <xf numFmtId="0" fontId="6" fillId="3" borderId="48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9" fillId="5" borderId="16" xfId="0" applyFont="1" applyFill="1" applyBorder="1" applyAlignment="1">
      <alignment horizontal="left" vertical="center"/>
    </xf>
    <xf numFmtId="0" fontId="8" fillId="6" borderId="17" xfId="0" applyFont="1" applyFill="1" applyBorder="1" applyAlignment="1">
      <alignment horizontal="left" vertical="center" wrapText="1" indent="1"/>
    </xf>
    <xf numFmtId="0" fontId="10" fillId="3" borderId="16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 wrapText="1"/>
    </xf>
    <xf numFmtId="0" fontId="10" fillId="3" borderId="57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3" fontId="11" fillId="0" borderId="20" xfId="0" applyNumberFormat="1" applyFont="1" applyBorder="1" applyAlignment="1">
      <alignment horizontal="center"/>
    </xf>
    <xf numFmtId="0" fontId="12" fillId="0" borderId="11" xfId="0" applyFont="1" applyBorder="1" applyAlignment="1">
      <alignment horizontal="center" vertical="center" wrapText="1"/>
    </xf>
    <xf numFmtId="0" fontId="4" fillId="0" borderId="11" xfId="0" applyFont="1" applyBorder="1"/>
    <xf numFmtId="0" fontId="13" fillId="0" borderId="11" xfId="0" applyFont="1" applyBorder="1" applyAlignment="1">
      <alignment horizontal="left" indent="1"/>
    </xf>
    <xf numFmtId="0" fontId="6" fillId="5" borderId="13" xfId="0" applyFont="1" applyFill="1" applyBorder="1" applyAlignment="1">
      <alignment horizontal="left" vertical="center" wrapText="1"/>
    </xf>
    <xf numFmtId="0" fontId="6" fillId="5" borderId="45" xfId="0" applyFont="1" applyFill="1" applyBorder="1" applyAlignment="1">
      <alignment horizontal="left" vertical="center" wrapText="1"/>
    </xf>
    <xf numFmtId="0" fontId="6" fillId="5" borderId="46" xfId="0" applyFont="1" applyFill="1" applyBorder="1" applyAlignment="1">
      <alignment horizontal="left" vertical="center" wrapText="1"/>
    </xf>
    <xf numFmtId="0" fontId="13" fillId="5" borderId="11" xfId="0" applyFont="1" applyFill="1" applyBorder="1" applyAlignment="1">
      <alignment horizontal="left" indent="1"/>
    </xf>
    <xf numFmtId="0" fontId="14" fillId="0" borderId="11" xfId="0" applyFont="1" applyBorder="1" applyAlignment="1">
      <alignment horizontal="left"/>
    </xf>
    <xf numFmtId="0" fontId="13" fillId="0" borderId="22" xfId="0" applyFont="1" applyBorder="1"/>
    <xf numFmtId="0" fontId="13" fillId="5" borderId="23" xfId="0" applyFont="1" applyFill="1" applyBorder="1" applyAlignment="1">
      <alignment horizontal="left" vertical="center" wrapText="1" indent="1"/>
    </xf>
    <xf numFmtId="0" fontId="15" fillId="0" borderId="21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/>
    </xf>
    <xf numFmtId="0" fontId="16" fillId="0" borderId="31" xfId="0" applyFont="1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37" xfId="0" applyBorder="1" applyAlignment="1">
      <alignment horizontal="left" vertical="center"/>
    </xf>
    <xf numFmtId="0" fontId="11" fillId="0" borderId="19" xfId="0" applyFont="1" applyBorder="1" applyAlignment="1">
      <alignment vertical="center" wrapText="1"/>
    </xf>
    <xf numFmtId="0" fontId="11" fillId="0" borderId="44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0" fontId="13" fillId="0" borderId="26" xfId="0" applyFont="1" applyBorder="1" applyAlignment="1">
      <alignment vertical="center" wrapText="1"/>
    </xf>
    <xf numFmtId="0" fontId="13" fillId="6" borderId="43" xfId="0" applyFont="1" applyFill="1" applyBorder="1" applyAlignment="1">
      <alignment horizontal="left" vertical="center" wrapText="1" indent="1"/>
    </xf>
    <xf numFmtId="0" fontId="0" fillId="0" borderId="40" xfId="0" applyBorder="1" applyAlignment="1">
      <alignment horizontal="left" vertical="center"/>
    </xf>
    <xf numFmtId="0" fontId="11" fillId="5" borderId="43" xfId="0" applyFont="1" applyFill="1" applyBorder="1" applyAlignment="1">
      <alignment horizontal="left" vertical="center" wrapText="1"/>
    </xf>
    <xf numFmtId="0" fontId="0" fillId="0" borderId="21" xfId="0" applyBorder="1"/>
  </cellXfs>
  <cellStyles count="9">
    <cellStyle name="Encabezado 1" xfId="2" xr:uid="{00000000-0005-0000-0000-000000000000}"/>
    <cellStyle name="Millares 2" xfId="8" xr:uid="{00000000-0005-0000-0000-000001000000}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" xfId="5" xr:uid="{00000000-0005-0000-0000-000006000000}"/>
    <cellStyle name="Normal 2 2" xfId="7" xr:uid="{00000000-0005-0000-0000-000007000000}"/>
    <cellStyle name="Normal 2 3" xfId="6" xr:uid="{00000000-0005-0000-0000-000008000000}"/>
  </cellStyles>
  <dxfs count="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79"/>
  <sheetViews>
    <sheetView tabSelected="1" topLeftCell="A56" zoomScale="106" zoomScaleNormal="106" workbookViewId="0">
      <selection activeCell="B67" sqref="B67"/>
    </sheetView>
  </sheetViews>
  <sheetFormatPr baseColWidth="10" defaultColWidth="11" defaultRowHeight="12.75" x14ac:dyDescent="0.2"/>
  <cols>
    <col min="1" max="1" width="4.5703125" style="44" customWidth="1"/>
    <col min="2" max="2" width="14" style="44" customWidth="1"/>
    <col min="3" max="3" width="23.85546875" style="44" customWidth="1"/>
    <col min="4" max="4" width="8.42578125" style="44" customWidth="1"/>
    <col min="5" max="5" width="93.42578125" style="44" customWidth="1"/>
    <col min="6" max="6" width="19.28515625" style="44" bestFit="1" customWidth="1"/>
    <col min="7" max="7" width="12.42578125" style="44" customWidth="1"/>
    <col min="8" max="8" width="16.7109375" style="44" customWidth="1"/>
    <col min="9" max="9" width="18.5703125" style="54" customWidth="1"/>
    <col min="10" max="12" width="11" style="44"/>
    <col min="13" max="13" width="12" style="44" bestFit="1" customWidth="1"/>
    <col min="14" max="16384" width="11" style="44"/>
  </cols>
  <sheetData>
    <row r="2" spans="1:12" ht="27" x14ac:dyDescent="0.35">
      <c r="B2" s="123" t="s">
        <v>0</v>
      </c>
      <c r="C2" s="123"/>
      <c r="D2" s="123"/>
      <c r="E2" s="123"/>
      <c r="F2" s="123"/>
      <c r="G2" s="123"/>
      <c r="H2" s="123"/>
    </row>
    <row r="3" spans="1:12" ht="12" customHeight="1" x14ac:dyDescent="0.2"/>
    <row r="4" spans="1:12" ht="18" customHeight="1" x14ac:dyDescent="0.25">
      <c r="A4" s="121" t="s">
        <v>1</v>
      </c>
      <c r="B4" s="121"/>
      <c r="C4" s="124" t="s">
        <v>51</v>
      </c>
      <c r="D4" s="124"/>
      <c r="E4" s="124"/>
      <c r="F4" s="45"/>
      <c r="G4" s="46"/>
      <c r="H4" s="45"/>
    </row>
    <row r="5" spans="1:12" ht="18" customHeight="1" x14ac:dyDescent="0.25">
      <c r="A5" s="122" t="s">
        <v>2</v>
      </c>
      <c r="B5" s="122"/>
      <c r="C5" s="125" t="s">
        <v>58</v>
      </c>
      <c r="D5" s="125"/>
      <c r="E5" s="125"/>
      <c r="F5" s="45"/>
      <c r="G5" s="46"/>
      <c r="H5" s="45"/>
    </row>
    <row r="6" spans="1:12" ht="16.5" customHeight="1" x14ac:dyDescent="0.25">
      <c r="A6" s="121" t="s">
        <v>3</v>
      </c>
      <c r="B6" s="121"/>
      <c r="C6" s="39">
        <v>2022</v>
      </c>
      <c r="D6" s="40"/>
      <c r="E6" s="40"/>
      <c r="F6" s="45"/>
      <c r="G6" s="46"/>
      <c r="H6" s="45"/>
    </row>
    <row r="7" spans="1:12" ht="16.5" customHeight="1" x14ac:dyDescent="0.25">
      <c r="A7" s="122" t="s">
        <v>4</v>
      </c>
      <c r="B7" s="122"/>
      <c r="C7" s="64">
        <v>3</v>
      </c>
      <c r="D7" s="40"/>
      <c r="E7" s="40"/>
      <c r="F7" s="45"/>
      <c r="G7" s="46"/>
      <c r="H7" s="45"/>
    </row>
    <row r="8" spans="1:12" ht="13.5" thickBot="1" x14ac:dyDescent="0.25">
      <c r="B8" s="45"/>
      <c r="C8" s="46"/>
      <c r="D8" s="45"/>
      <c r="E8" s="45"/>
      <c r="F8" s="45"/>
      <c r="G8" s="46"/>
      <c r="H8" s="45"/>
    </row>
    <row r="9" spans="1:12" ht="39" thickBot="1" x14ac:dyDescent="0.25">
      <c r="A9" s="80" t="s">
        <v>5</v>
      </c>
      <c r="B9" s="81" t="s">
        <v>6</v>
      </c>
      <c r="C9" s="101" t="s">
        <v>7</v>
      </c>
      <c r="D9" s="82" t="s">
        <v>8</v>
      </c>
      <c r="E9" s="83" t="s">
        <v>9</v>
      </c>
      <c r="F9" s="84" t="s">
        <v>10</v>
      </c>
      <c r="G9" s="81" t="s">
        <v>11</v>
      </c>
      <c r="H9" s="81" t="s">
        <v>12</v>
      </c>
      <c r="I9" s="85" t="s">
        <v>13</v>
      </c>
    </row>
    <row r="10" spans="1:12" ht="62.25" customHeight="1" x14ac:dyDescent="0.2">
      <c r="A10" s="75">
        <v>1</v>
      </c>
      <c r="B10" s="77" t="s">
        <v>97</v>
      </c>
      <c r="C10" s="100" t="s">
        <v>164</v>
      </c>
      <c r="D10" s="76">
        <v>252</v>
      </c>
      <c r="E10" s="96" t="s">
        <v>129</v>
      </c>
      <c r="F10" s="77" t="s">
        <v>64</v>
      </c>
      <c r="G10" s="78"/>
      <c r="H10" s="102">
        <v>58.5</v>
      </c>
      <c r="I10" s="79">
        <f>+G10*H10</f>
        <v>0</v>
      </c>
      <c r="K10"/>
    </row>
    <row r="11" spans="1:12" ht="57.75" customHeight="1" x14ac:dyDescent="0.2">
      <c r="A11" s="53">
        <v>2</v>
      </c>
      <c r="B11" s="73" t="s">
        <v>130</v>
      </c>
      <c r="C11" s="100" t="s">
        <v>164</v>
      </c>
      <c r="D11" s="100">
        <v>252</v>
      </c>
      <c r="E11" s="95" t="s">
        <v>131</v>
      </c>
      <c r="F11" s="73" t="s">
        <v>64</v>
      </c>
      <c r="G11" s="71"/>
      <c r="H11" s="86">
        <v>146.93</v>
      </c>
      <c r="I11" s="72">
        <f t="shared" ref="I11:I55" si="0">+G11*H11</f>
        <v>0</v>
      </c>
      <c r="K11"/>
    </row>
    <row r="12" spans="1:12" ht="38.25" x14ac:dyDescent="0.2">
      <c r="A12" s="53">
        <v>3</v>
      </c>
      <c r="B12" s="73" t="s">
        <v>132</v>
      </c>
      <c r="C12" s="100" t="s">
        <v>164</v>
      </c>
      <c r="D12" s="100">
        <v>252</v>
      </c>
      <c r="E12" s="96" t="s">
        <v>133</v>
      </c>
      <c r="F12" s="73" t="s">
        <v>65</v>
      </c>
      <c r="G12" s="71"/>
      <c r="H12" s="86">
        <v>260</v>
      </c>
      <c r="I12" s="72">
        <f t="shared" si="0"/>
        <v>0</v>
      </c>
      <c r="K12"/>
    </row>
    <row r="13" spans="1:12" ht="50.25" customHeight="1" x14ac:dyDescent="0.2">
      <c r="A13" s="75">
        <v>4</v>
      </c>
      <c r="B13" s="73" t="s">
        <v>75</v>
      </c>
      <c r="C13" s="100" t="s">
        <v>164</v>
      </c>
      <c r="D13" s="70">
        <v>252</v>
      </c>
      <c r="E13" s="97" t="s">
        <v>74</v>
      </c>
      <c r="F13" s="73" t="s">
        <v>63</v>
      </c>
      <c r="G13" s="71"/>
      <c r="H13" s="86">
        <v>50.4</v>
      </c>
      <c r="I13" s="72">
        <f t="shared" si="0"/>
        <v>0</v>
      </c>
      <c r="K13"/>
    </row>
    <row r="14" spans="1:12" ht="66.75" customHeight="1" x14ac:dyDescent="0.2">
      <c r="A14" s="53">
        <v>5</v>
      </c>
      <c r="B14" s="73" t="s">
        <v>80</v>
      </c>
      <c r="C14" s="100" t="s">
        <v>164</v>
      </c>
      <c r="D14" s="70">
        <v>252</v>
      </c>
      <c r="E14" s="95" t="s">
        <v>134</v>
      </c>
      <c r="F14" s="73" t="s">
        <v>63</v>
      </c>
      <c r="G14" s="71"/>
      <c r="H14" s="86">
        <v>65</v>
      </c>
      <c r="I14" s="72">
        <f t="shared" si="0"/>
        <v>0</v>
      </c>
      <c r="K14" s="98"/>
      <c r="L14" s="98"/>
    </row>
    <row r="15" spans="1:12" ht="73.5" customHeight="1" x14ac:dyDescent="0.2">
      <c r="A15" s="53">
        <v>6</v>
      </c>
      <c r="B15" s="73" t="s">
        <v>79</v>
      </c>
      <c r="C15" s="100" t="s">
        <v>164</v>
      </c>
      <c r="D15" s="70">
        <v>252</v>
      </c>
      <c r="E15" s="97" t="s">
        <v>78</v>
      </c>
      <c r="F15" s="73" t="s">
        <v>64</v>
      </c>
      <c r="G15" s="71"/>
      <c r="H15" s="86">
        <v>11</v>
      </c>
      <c r="I15" s="72">
        <f t="shared" si="0"/>
        <v>0</v>
      </c>
      <c r="K15" s="98"/>
      <c r="L15" s="98"/>
    </row>
    <row r="16" spans="1:12" ht="54.75" customHeight="1" x14ac:dyDescent="0.2">
      <c r="A16" s="75">
        <v>7</v>
      </c>
      <c r="B16" s="73" t="s">
        <v>77</v>
      </c>
      <c r="C16" s="100" t="s">
        <v>164</v>
      </c>
      <c r="D16" s="70">
        <v>252</v>
      </c>
      <c r="E16" s="97" t="s">
        <v>76</v>
      </c>
      <c r="F16" s="73" t="s">
        <v>63</v>
      </c>
      <c r="G16" s="71"/>
      <c r="H16" s="86">
        <v>92</v>
      </c>
      <c r="I16" s="72">
        <f t="shared" si="0"/>
        <v>0</v>
      </c>
      <c r="K16"/>
    </row>
    <row r="17" spans="1:12" ht="38.25" x14ac:dyDescent="0.2">
      <c r="A17" s="53">
        <v>8</v>
      </c>
      <c r="B17" s="73" t="s">
        <v>123</v>
      </c>
      <c r="C17" s="105" t="s">
        <v>164</v>
      </c>
      <c r="D17" s="70">
        <v>252</v>
      </c>
      <c r="E17" s="97" t="s">
        <v>122</v>
      </c>
      <c r="F17" s="73" t="s">
        <v>64</v>
      </c>
      <c r="G17" s="71"/>
      <c r="H17" s="86">
        <v>6.3</v>
      </c>
      <c r="I17" s="72">
        <f t="shared" si="0"/>
        <v>0</v>
      </c>
      <c r="K17"/>
    </row>
    <row r="18" spans="1:12" ht="69.75" customHeight="1" x14ac:dyDescent="0.2">
      <c r="A18" s="53">
        <v>9</v>
      </c>
      <c r="B18" s="73" t="s">
        <v>135</v>
      </c>
      <c r="C18" s="106" t="s">
        <v>165</v>
      </c>
      <c r="D18" s="70">
        <v>252</v>
      </c>
      <c r="E18" s="95" t="s">
        <v>136</v>
      </c>
      <c r="F18" s="73" t="s">
        <v>67</v>
      </c>
      <c r="G18" s="71"/>
      <c r="H18" s="86">
        <v>1800</v>
      </c>
      <c r="I18" s="72">
        <f t="shared" si="0"/>
        <v>0</v>
      </c>
      <c r="K18"/>
    </row>
    <row r="19" spans="1:12" ht="74.25" customHeight="1" x14ac:dyDescent="0.2">
      <c r="A19" s="75">
        <v>10</v>
      </c>
      <c r="B19" s="73" t="s">
        <v>125</v>
      </c>
      <c r="C19" s="100" t="s">
        <v>164</v>
      </c>
      <c r="D19" s="99">
        <v>252</v>
      </c>
      <c r="E19" s="97" t="s">
        <v>124</v>
      </c>
      <c r="F19" s="73" t="s">
        <v>64</v>
      </c>
      <c r="G19" s="71"/>
      <c r="H19" s="86">
        <v>5.98</v>
      </c>
      <c r="I19" s="72">
        <f t="shared" si="0"/>
        <v>0</v>
      </c>
      <c r="K19" s="98"/>
      <c r="L19" s="98"/>
    </row>
    <row r="20" spans="1:12" ht="70.5" customHeight="1" x14ac:dyDescent="0.2">
      <c r="A20" s="53">
        <v>11</v>
      </c>
      <c r="B20" s="73" t="s">
        <v>138</v>
      </c>
      <c r="C20" s="105" t="s">
        <v>164</v>
      </c>
      <c r="D20" s="70">
        <v>252</v>
      </c>
      <c r="E20" s="95" t="s">
        <v>137</v>
      </c>
      <c r="F20" s="73" t="s">
        <v>65</v>
      </c>
      <c r="G20" s="71"/>
      <c r="H20" s="86">
        <v>1288</v>
      </c>
      <c r="I20" s="72">
        <f t="shared" si="0"/>
        <v>0</v>
      </c>
      <c r="K20" s="98"/>
      <c r="L20" s="98"/>
    </row>
    <row r="21" spans="1:12" ht="67.5" customHeight="1" x14ac:dyDescent="0.2">
      <c r="A21" s="53">
        <v>12</v>
      </c>
      <c r="B21" s="73" t="s">
        <v>99</v>
      </c>
      <c r="C21" s="100" t="s">
        <v>164</v>
      </c>
      <c r="D21" s="70">
        <v>252</v>
      </c>
      <c r="E21" s="97" t="s">
        <v>98</v>
      </c>
      <c r="F21" s="73" t="s">
        <v>63</v>
      </c>
      <c r="G21" s="71"/>
      <c r="H21" s="86">
        <v>110</v>
      </c>
      <c r="I21" s="72">
        <f t="shared" si="0"/>
        <v>0</v>
      </c>
      <c r="K21"/>
    </row>
    <row r="22" spans="1:12" ht="56.25" customHeight="1" x14ac:dyDescent="0.2">
      <c r="A22" s="75">
        <v>13</v>
      </c>
      <c r="B22" s="73" t="s">
        <v>101</v>
      </c>
      <c r="C22" s="100" t="s">
        <v>164</v>
      </c>
      <c r="D22" s="70">
        <v>252</v>
      </c>
      <c r="E22" s="97" t="s">
        <v>100</v>
      </c>
      <c r="F22" s="73" t="s">
        <v>64</v>
      </c>
      <c r="G22" s="71"/>
      <c r="H22" s="86">
        <v>17.8</v>
      </c>
      <c r="I22" s="72">
        <f t="shared" si="0"/>
        <v>0</v>
      </c>
      <c r="K22"/>
    </row>
    <row r="23" spans="1:12" ht="38.25" x14ac:dyDescent="0.2">
      <c r="A23" s="53">
        <v>14</v>
      </c>
      <c r="B23" s="73" t="s">
        <v>96</v>
      </c>
      <c r="C23" s="105" t="s">
        <v>164</v>
      </c>
      <c r="D23" s="70">
        <v>252</v>
      </c>
      <c r="E23" s="97" t="s">
        <v>95</v>
      </c>
      <c r="F23" s="73" t="s">
        <v>65</v>
      </c>
      <c r="G23" s="71"/>
      <c r="H23" s="86">
        <v>530</v>
      </c>
      <c r="I23" s="72">
        <f t="shared" si="0"/>
        <v>0</v>
      </c>
      <c r="K23"/>
    </row>
    <row r="24" spans="1:12" ht="62.25" customHeight="1" x14ac:dyDescent="0.2">
      <c r="A24" s="53">
        <v>15</v>
      </c>
      <c r="B24" s="73" t="s">
        <v>94</v>
      </c>
      <c r="C24" s="105" t="s">
        <v>164</v>
      </c>
      <c r="D24" s="70">
        <v>252</v>
      </c>
      <c r="E24" s="95" t="s">
        <v>139</v>
      </c>
      <c r="F24" s="73" t="s">
        <v>63</v>
      </c>
      <c r="G24" s="71"/>
      <c r="H24" s="86">
        <v>60</v>
      </c>
      <c r="I24" s="72">
        <f t="shared" si="0"/>
        <v>0</v>
      </c>
      <c r="K24"/>
    </row>
    <row r="25" spans="1:12" ht="66.75" customHeight="1" x14ac:dyDescent="0.2">
      <c r="A25" s="75">
        <v>16</v>
      </c>
      <c r="B25" s="73" t="s">
        <v>93</v>
      </c>
      <c r="C25" s="105" t="s">
        <v>164</v>
      </c>
      <c r="D25" s="70">
        <v>252</v>
      </c>
      <c r="E25" s="97" t="s">
        <v>160</v>
      </c>
      <c r="F25" s="73" t="s">
        <v>68</v>
      </c>
      <c r="G25" s="71"/>
      <c r="H25" s="86">
        <v>210</v>
      </c>
      <c r="I25" s="72">
        <f t="shared" si="0"/>
        <v>0</v>
      </c>
      <c r="K25"/>
    </row>
    <row r="26" spans="1:12" ht="60" customHeight="1" x14ac:dyDescent="0.2">
      <c r="A26" s="53">
        <v>17</v>
      </c>
      <c r="B26" s="73" t="s">
        <v>121</v>
      </c>
      <c r="C26" s="100" t="s">
        <v>164</v>
      </c>
      <c r="D26" s="70">
        <v>252</v>
      </c>
      <c r="E26" s="97" t="s">
        <v>120</v>
      </c>
      <c r="F26" s="73" t="s">
        <v>64</v>
      </c>
      <c r="G26" s="71"/>
      <c r="H26" s="86">
        <v>4.5</v>
      </c>
      <c r="I26" s="72">
        <f t="shared" si="0"/>
        <v>0</v>
      </c>
      <c r="K26" s="98"/>
      <c r="L26" s="98"/>
    </row>
    <row r="27" spans="1:12" ht="62.25" customHeight="1" x14ac:dyDescent="0.2">
      <c r="A27" s="53">
        <v>18</v>
      </c>
      <c r="B27" s="73" t="s">
        <v>141</v>
      </c>
      <c r="C27" s="100" t="s">
        <v>164</v>
      </c>
      <c r="D27" s="70">
        <v>252</v>
      </c>
      <c r="E27" s="95" t="s">
        <v>140</v>
      </c>
      <c r="F27" s="73" t="s">
        <v>65</v>
      </c>
      <c r="G27" s="71"/>
      <c r="H27" s="86">
        <v>676.74</v>
      </c>
      <c r="I27" s="72">
        <f t="shared" si="0"/>
        <v>0</v>
      </c>
      <c r="K27"/>
    </row>
    <row r="28" spans="1:12" ht="63.75" customHeight="1" x14ac:dyDescent="0.2">
      <c r="A28" s="75">
        <v>19</v>
      </c>
      <c r="B28" s="73" t="s">
        <v>143</v>
      </c>
      <c r="C28" s="100" t="s">
        <v>164</v>
      </c>
      <c r="D28" s="70">
        <v>252</v>
      </c>
      <c r="E28" s="96" t="s">
        <v>142</v>
      </c>
      <c r="F28" s="73" t="s">
        <v>65</v>
      </c>
      <c r="G28" s="71"/>
      <c r="H28" s="86">
        <v>1500</v>
      </c>
      <c r="I28" s="72">
        <f t="shared" si="0"/>
        <v>0</v>
      </c>
      <c r="K28"/>
    </row>
    <row r="29" spans="1:12" ht="38.25" x14ac:dyDescent="0.2">
      <c r="A29" s="53">
        <v>20</v>
      </c>
      <c r="B29" s="73" t="s">
        <v>145</v>
      </c>
      <c r="C29" s="100" t="s">
        <v>164</v>
      </c>
      <c r="D29" s="70">
        <v>252</v>
      </c>
      <c r="E29" s="95" t="s">
        <v>144</v>
      </c>
      <c r="F29" s="73" t="s">
        <v>66</v>
      </c>
      <c r="G29" s="71"/>
      <c r="H29" s="86">
        <v>15552</v>
      </c>
      <c r="I29" s="72">
        <f t="shared" si="0"/>
        <v>0</v>
      </c>
      <c r="K29"/>
    </row>
    <row r="30" spans="1:12" ht="38.25" x14ac:dyDescent="0.2">
      <c r="A30" s="53">
        <v>21</v>
      </c>
      <c r="B30" s="73" t="s">
        <v>105</v>
      </c>
      <c r="C30" s="100" t="s">
        <v>164</v>
      </c>
      <c r="D30" s="70">
        <v>252</v>
      </c>
      <c r="E30" s="97" t="s">
        <v>104</v>
      </c>
      <c r="F30" s="73" t="s">
        <v>69</v>
      </c>
      <c r="G30" s="71"/>
      <c r="H30" s="86">
        <v>1675</v>
      </c>
      <c r="I30" s="72">
        <f t="shared" si="0"/>
        <v>0</v>
      </c>
      <c r="K30"/>
    </row>
    <row r="31" spans="1:12" ht="38.25" x14ac:dyDescent="0.2">
      <c r="A31" s="75">
        <v>22</v>
      </c>
      <c r="B31" s="73" t="s">
        <v>107</v>
      </c>
      <c r="C31" s="100" t="s">
        <v>164</v>
      </c>
      <c r="D31" s="70">
        <v>252</v>
      </c>
      <c r="E31" s="97" t="s">
        <v>106</v>
      </c>
      <c r="F31" s="73" t="s">
        <v>69</v>
      </c>
      <c r="G31" s="71"/>
      <c r="H31" s="86">
        <v>1675</v>
      </c>
      <c r="I31" s="72">
        <f t="shared" si="0"/>
        <v>0</v>
      </c>
      <c r="K31"/>
    </row>
    <row r="32" spans="1:12" ht="77.25" customHeight="1" x14ac:dyDescent="0.2">
      <c r="A32" s="53">
        <v>23</v>
      </c>
      <c r="B32" s="73" t="s">
        <v>163</v>
      </c>
      <c r="C32" s="100" t="s">
        <v>164</v>
      </c>
      <c r="D32" s="70">
        <v>252</v>
      </c>
      <c r="E32" s="95" t="s">
        <v>146</v>
      </c>
      <c r="F32" s="73" t="s">
        <v>66</v>
      </c>
      <c r="G32" s="71"/>
      <c r="H32" s="86">
        <v>8934</v>
      </c>
      <c r="I32" s="72">
        <f t="shared" si="0"/>
        <v>0</v>
      </c>
      <c r="K32"/>
    </row>
    <row r="33" spans="1:12" ht="58.5" customHeight="1" x14ac:dyDescent="0.2">
      <c r="A33" s="53">
        <v>24</v>
      </c>
      <c r="B33" s="73" t="s">
        <v>109</v>
      </c>
      <c r="C33" s="100" t="s">
        <v>164</v>
      </c>
      <c r="D33" s="70">
        <v>252</v>
      </c>
      <c r="E33" s="97" t="s">
        <v>108</v>
      </c>
      <c r="F33" s="73" t="s">
        <v>65</v>
      </c>
      <c r="G33" s="71"/>
      <c r="H33" s="86">
        <v>365</v>
      </c>
      <c r="I33" s="72">
        <f t="shared" si="0"/>
        <v>0</v>
      </c>
      <c r="K33"/>
    </row>
    <row r="34" spans="1:12" ht="50.25" customHeight="1" x14ac:dyDescent="0.2">
      <c r="A34" s="75">
        <v>25</v>
      </c>
      <c r="B34" s="73" t="s">
        <v>148</v>
      </c>
      <c r="C34" s="100" t="s">
        <v>164</v>
      </c>
      <c r="D34" s="70">
        <v>252</v>
      </c>
      <c r="E34" s="95" t="s">
        <v>147</v>
      </c>
      <c r="F34" s="73" t="s">
        <v>65</v>
      </c>
      <c r="G34" s="71"/>
      <c r="H34" s="86">
        <v>280</v>
      </c>
      <c r="I34" s="72">
        <f t="shared" si="0"/>
        <v>0</v>
      </c>
      <c r="K34"/>
    </row>
    <row r="35" spans="1:12" ht="66" customHeight="1" x14ac:dyDescent="0.2">
      <c r="A35" s="53">
        <v>26</v>
      </c>
      <c r="B35" s="73" t="s">
        <v>92</v>
      </c>
      <c r="C35" s="100" t="s">
        <v>164</v>
      </c>
      <c r="D35" s="70">
        <v>252</v>
      </c>
      <c r="E35" s="97" t="s">
        <v>91</v>
      </c>
      <c r="F35" s="73" t="s">
        <v>64</v>
      </c>
      <c r="G35" s="71"/>
      <c r="H35" s="86">
        <v>2.7</v>
      </c>
      <c r="I35" s="72">
        <f t="shared" si="0"/>
        <v>0</v>
      </c>
      <c r="K35" s="98"/>
      <c r="L35" s="98"/>
    </row>
    <row r="36" spans="1:12" ht="38.25" x14ac:dyDescent="0.2">
      <c r="A36" s="53">
        <v>27</v>
      </c>
      <c r="B36" s="73" t="s">
        <v>115</v>
      </c>
      <c r="C36" s="100" t="s">
        <v>164</v>
      </c>
      <c r="D36" s="70">
        <v>252</v>
      </c>
      <c r="E36" s="97" t="s">
        <v>114</v>
      </c>
      <c r="F36" s="73" t="s">
        <v>64</v>
      </c>
      <c r="G36" s="71"/>
      <c r="H36" s="86">
        <v>5.7</v>
      </c>
      <c r="I36" s="72">
        <f t="shared" si="0"/>
        <v>0</v>
      </c>
      <c r="K36"/>
    </row>
    <row r="37" spans="1:12" ht="38.25" x14ac:dyDescent="0.2">
      <c r="A37" s="75">
        <v>28</v>
      </c>
      <c r="B37" s="73" t="s">
        <v>117</v>
      </c>
      <c r="C37" s="100" t="s">
        <v>164</v>
      </c>
      <c r="D37" s="70">
        <v>252</v>
      </c>
      <c r="E37" s="97" t="s">
        <v>116</v>
      </c>
      <c r="F37" s="73" t="s">
        <v>64</v>
      </c>
      <c r="G37" s="71"/>
      <c r="H37" s="86">
        <v>7.2</v>
      </c>
      <c r="I37" s="72">
        <f t="shared" si="0"/>
        <v>0</v>
      </c>
      <c r="K37"/>
    </row>
    <row r="38" spans="1:12" ht="66.75" customHeight="1" x14ac:dyDescent="0.2">
      <c r="A38" s="53">
        <v>29</v>
      </c>
      <c r="B38" s="73" t="s">
        <v>128</v>
      </c>
      <c r="C38" s="100" t="s">
        <v>164</v>
      </c>
      <c r="D38" s="70">
        <v>252</v>
      </c>
      <c r="E38" s="96" t="s">
        <v>149</v>
      </c>
      <c r="F38" s="73" t="s">
        <v>68</v>
      </c>
      <c r="G38" s="71"/>
      <c r="H38" s="86">
        <v>145</v>
      </c>
      <c r="I38" s="72">
        <f t="shared" si="0"/>
        <v>0</v>
      </c>
      <c r="K38"/>
    </row>
    <row r="39" spans="1:12" ht="54.75" customHeight="1" x14ac:dyDescent="0.2">
      <c r="A39" s="53">
        <v>30</v>
      </c>
      <c r="B39" s="73" t="s">
        <v>151</v>
      </c>
      <c r="C39" s="100" t="s">
        <v>164</v>
      </c>
      <c r="D39" s="70">
        <v>252</v>
      </c>
      <c r="E39" s="103" t="s">
        <v>150</v>
      </c>
      <c r="F39" s="73" t="s">
        <v>68</v>
      </c>
      <c r="G39" s="71"/>
      <c r="H39" s="86">
        <v>150</v>
      </c>
      <c r="I39" s="72">
        <f t="shared" si="0"/>
        <v>0</v>
      </c>
      <c r="K39"/>
    </row>
    <row r="40" spans="1:12" ht="68.25" customHeight="1" x14ac:dyDescent="0.2">
      <c r="A40" s="75">
        <v>31</v>
      </c>
      <c r="B40" s="73" t="s">
        <v>103</v>
      </c>
      <c r="C40" s="100" t="s">
        <v>164</v>
      </c>
      <c r="D40" s="70">
        <v>252</v>
      </c>
      <c r="E40" s="97" t="s">
        <v>102</v>
      </c>
      <c r="F40" s="73" t="s">
        <v>63</v>
      </c>
      <c r="G40" s="71"/>
      <c r="H40" s="86">
        <v>35.799999999999997</v>
      </c>
      <c r="I40" s="72">
        <f t="shared" si="0"/>
        <v>0</v>
      </c>
      <c r="K40" s="98"/>
      <c r="L40" s="98"/>
    </row>
    <row r="41" spans="1:12" ht="38.25" x14ac:dyDescent="0.2">
      <c r="A41" s="53">
        <v>32</v>
      </c>
      <c r="B41" s="73" t="s">
        <v>111</v>
      </c>
      <c r="C41" s="100" t="s">
        <v>164</v>
      </c>
      <c r="D41" s="70">
        <v>252</v>
      </c>
      <c r="E41" s="97" t="s">
        <v>110</v>
      </c>
      <c r="F41" s="73" t="s">
        <v>65</v>
      </c>
      <c r="G41" s="71"/>
      <c r="H41" s="86">
        <v>285</v>
      </c>
      <c r="I41" s="72">
        <f t="shared" si="0"/>
        <v>0</v>
      </c>
      <c r="K41"/>
    </row>
    <row r="42" spans="1:12" ht="60" customHeight="1" x14ac:dyDescent="0.2">
      <c r="A42" s="53">
        <v>33</v>
      </c>
      <c r="B42" s="73" t="s">
        <v>84</v>
      </c>
      <c r="C42" s="100" t="s">
        <v>164</v>
      </c>
      <c r="D42" s="70">
        <v>252</v>
      </c>
      <c r="E42" s="97" t="s">
        <v>83</v>
      </c>
      <c r="F42" s="73" t="s">
        <v>70</v>
      </c>
      <c r="G42" s="71"/>
      <c r="H42" s="86">
        <v>2.2999999999999998</v>
      </c>
      <c r="I42" s="72">
        <f t="shared" si="0"/>
        <v>0</v>
      </c>
      <c r="K42" s="98"/>
      <c r="L42" s="98"/>
    </row>
    <row r="43" spans="1:12" ht="63" customHeight="1" x14ac:dyDescent="0.2">
      <c r="A43" s="75">
        <v>34</v>
      </c>
      <c r="B43" s="73" t="s">
        <v>82</v>
      </c>
      <c r="C43" s="105" t="s">
        <v>164</v>
      </c>
      <c r="D43" s="70">
        <v>252</v>
      </c>
      <c r="E43" s="97" t="s">
        <v>81</v>
      </c>
      <c r="F43" s="73" t="s">
        <v>63</v>
      </c>
      <c r="G43" s="71"/>
      <c r="H43" s="86">
        <v>550</v>
      </c>
      <c r="I43" s="72">
        <f t="shared" si="0"/>
        <v>0</v>
      </c>
      <c r="K43" s="98"/>
      <c r="L43" s="98"/>
    </row>
    <row r="44" spans="1:12" ht="66" customHeight="1" x14ac:dyDescent="0.2">
      <c r="A44" s="53">
        <v>35</v>
      </c>
      <c r="B44" s="73" t="s">
        <v>127</v>
      </c>
      <c r="C44" s="100" t="s">
        <v>164</v>
      </c>
      <c r="D44" s="70">
        <v>252</v>
      </c>
      <c r="E44" s="97" t="s">
        <v>126</v>
      </c>
      <c r="F44" s="73" t="s">
        <v>63</v>
      </c>
      <c r="G44" s="71"/>
      <c r="H44" s="86">
        <v>106.8</v>
      </c>
      <c r="I44" s="72">
        <f t="shared" si="0"/>
        <v>0</v>
      </c>
      <c r="K44"/>
    </row>
    <row r="45" spans="1:12" ht="66" customHeight="1" x14ac:dyDescent="0.2">
      <c r="A45" s="53">
        <v>36</v>
      </c>
      <c r="B45" s="109" t="s">
        <v>171</v>
      </c>
      <c r="C45" s="100" t="s">
        <v>164</v>
      </c>
      <c r="D45" s="70">
        <v>252</v>
      </c>
      <c r="E45" s="110" t="s">
        <v>172</v>
      </c>
      <c r="F45" s="111" t="s">
        <v>65</v>
      </c>
      <c r="G45" s="71"/>
      <c r="H45" s="112">
        <v>1833.02</v>
      </c>
      <c r="I45" s="72"/>
      <c r="K45"/>
    </row>
    <row r="46" spans="1:12" ht="66" customHeight="1" x14ac:dyDescent="0.2">
      <c r="A46" s="75">
        <v>37</v>
      </c>
      <c r="B46" s="113" t="s">
        <v>173</v>
      </c>
      <c r="C46" s="100" t="s">
        <v>164</v>
      </c>
      <c r="D46" s="70">
        <v>252</v>
      </c>
      <c r="E46" s="114" t="s">
        <v>174</v>
      </c>
      <c r="F46" s="115" t="s">
        <v>65</v>
      </c>
      <c r="G46" s="71"/>
      <c r="H46" s="112">
        <v>1057.25</v>
      </c>
      <c r="I46" s="72"/>
      <c r="K46"/>
    </row>
    <row r="47" spans="1:12" ht="61.5" customHeight="1" x14ac:dyDescent="0.2">
      <c r="A47" s="53">
        <v>38</v>
      </c>
      <c r="B47" s="73" t="s">
        <v>113</v>
      </c>
      <c r="C47" s="100" t="s">
        <v>164</v>
      </c>
      <c r="D47" s="70">
        <v>252</v>
      </c>
      <c r="E47" s="97" t="s">
        <v>112</v>
      </c>
      <c r="F47" s="73" t="s">
        <v>68</v>
      </c>
      <c r="G47" s="71"/>
      <c r="H47" s="86">
        <v>885.68</v>
      </c>
      <c r="I47" s="72">
        <f t="shared" si="0"/>
        <v>0</v>
      </c>
      <c r="K47"/>
    </row>
    <row r="48" spans="1:12" ht="57" customHeight="1" x14ac:dyDescent="0.2">
      <c r="A48" s="53">
        <v>39</v>
      </c>
      <c r="B48" s="73" t="s">
        <v>153</v>
      </c>
      <c r="C48" s="100" t="s">
        <v>164</v>
      </c>
      <c r="D48" s="70">
        <v>252</v>
      </c>
      <c r="E48" s="95" t="s">
        <v>152</v>
      </c>
      <c r="F48" s="73" t="s">
        <v>65</v>
      </c>
      <c r="G48" s="74"/>
      <c r="H48" s="104">
        <v>210</v>
      </c>
      <c r="I48" s="72">
        <f t="shared" si="0"/>
        <v>0</v>
      </c>
      <c r="K48"/>
    </row>
    <row r="49" spans="1:12" ht="63" customHeight="1" x14ac:dyDescent="0.2">
      <c r="A49" s="75">
        <v>40</v>
      </c>
      <c r="B49" s="73" t="s">
        <v>90</v>
      </c>
      <c r="C49" s="100" t="s">
        <v>164</v>
      </c>
      <c r="D49" s="70">
        <v>252</v>
      </c>
      <c r="E49" s="97" t="s">
        <v>89</v>
      </c>
      <c r="F49" s="73" t="s">
        <v>63</v>
      </c>
      <c r="G49" s="74"/>
      <c r="H49" s="104">
        <v>47.5</v>
      </c>
      <c r="I49" s="72">
        <f t="shared" si="0"/>
        <v>0</v>
      </c>
      <c r="K49"/>
    </row>
    <row r="50" spans="1:12" ht="77.25" customHeight="1" x14ac:dyDescent="0.2">
      <c r="A50" s="53">
        <v>41</v>
      </c>
      <c r="B50" s="73" t="s">
        <v>119</v>
      </c>
      <c r="C50" s="100" t="s">
        <v>164</v>
      </c>
      <c r="D50" s="70">
        <v>252</v>
      </c>
      <c r="E50" s="97" t="s">
        <v>118</v>
      </c>
      <c r="F50" s="73" t="s">
        <v>67</v>
      </c>
      <c r="G50" s="74"/>
      <c r="H50" s="104">
        <v>88</v>
      </c>
      <c r="I50" s="72">
        <f t="shared" si="0"/>
        <v>0</v>
      </c>
      <c r="K50"/>
    </row>
    <row r="51" spans="1:12" ht="51" customHeight="1" x14ac:dyDescent="0.2">
      <c r="A51" s="53">
        <v>42</v>
      </c>
      <c r="B51" s="73" t="s">
        <v>88</v>
      </c>
      <c r="C51" s="100" t="s">
        <v>164</v>
      </c>
      <c r="D51" s="70">
        <v>252</v>
      </c>
      <c r="E51" s="97" t="s">
        <v>87</v>
      </c>
      <c r="F51" s="73" t="s">
        <v>65</v>
      </c>
      <c r="G51" s="74"/>
      <c r="H51" s="104">
        <v>830</v>
      </c>
      <c r="I51" s="72">
        <f t="shared" si="0"/>
        <v>0</v>
      </c>
      <c r="K51" s="98"/>
      <c r="L51" s="98"/>
    </row>
    <row r="52" spans="1:12" ht="42.75" customHeight="1" x14ac:dyDescent="0.2">
      <c r="A52" s="75">
        <v>43</v>
      </c>
      <c r="B52" s="73" t="s">
        <v>86</v>
      </c>
      <c r="C52" s="100" t="s">
        <v>164</v>
      </c>
      <c r="D52" s="70">
        <v>252</v>
      </c>
      <c r="E52" s="97" t="s">
        <v>85</v>
      </c>
      <c r="F52" s="73" t="s">
        <v>65</v>
      </c>
      <c r="G52" s="74"/>
      <c r="H52" s="104">
        <v>980</v>
      </c>
      <c r="I52" s="72">
        <f t="shared" si="0"/>
        <v>0</v>
      </c>
      <c r="K52" s="98"/>
      <c r="L52" s="98"/>
    </row>
    <row r="53" spans="1:12" ht="57" customHeight="1" x14ac:dyDescent="0.2">
      <c r="A53" s="53">
        <v>44</v>
      </c>
      <c r="B53" s="73" t="s">
        <v>155</v>
      </c>
      <c r="C53" s="100" t="s">
        <v>164</v>
      </c>
      <c r="D53" s="70">
        <v>252</v>
      </c>
      <c r="E53" s="95" t="s">
        <v>154</v>
      </c>
      <c r="F53" s="73" t="s">
        <v>63</v>
      </c>
      <c r="G53" s="74"/>
      <c r="H53" s="104">
        <v>65</v>
      </c>
      <c r="I53" s="72">
        <f t="shared" si="0"/>
        <v>0</v>
      </c>
      <c r="K53"/>
    </row>
    <row r="54" spans="1:12" ht="54" customHeight="1" x14ac:dyDescent="0.2">
      <c r="A54" s="53">
        <v>45</v>
      </c>
      <c r="B54" s="94" t="s">
        <v>161</v>
      </c>
      <c r="C54" s="100" t="s">
        <v>164</v>
      </c>
      <c r="D54" s="70">
        <v>252</v>
      </c>
      <c r="E54" s="96" t="s">
        <v>156</v>
      </c>
      <c r="F54" s="73" t="s">
        <v>66</v>
      </c>
      <c r="G54" s="74"/>
      <c r="H54" s="104">
        <v>882.5</v>
      </c>
      <c r="I54" s="72">
        <f t="shared" si="0"/>
        <v>0</v>
      </c>
      <c r="K54"/>
    </row>
    <row r="55" spans="1:12" ht="68.25" customHeight="1" x14ac:dyDescent="0.2">
      <c r="A55" s="75">
        <v>46</v>
      </c>
      <c r="B55" s="73" t="s">
        <v>158</v>
      </c>
      <c r="C55" s="100" t="s">
        <v>164</v>
      </c>
      <c r="D55" s="70">
        <v>252</v>
      </c>
      <c r="E55" s="96" t="s">
        <v>157</v>
      </c>
      <c r="F55" s="73" t="s">
        <v>65</v>
      </c>
      <c r="G55" s="87"/>
      <c r="H55" s="104">
        <v>958</v>
      </c>
      <c r="I55" s="72">
        <f t="shared" si="0"/>
        <v>0</v>
      </c>
      <c r="K55"/>
    </row>
    <row r="57" spans="1:12" ht="13.5" thickBot="1" x14ac:dyDescent="0.25"/>
    <row r="58" spans="1:12" ht="21.75" customHeight="1" x14ac:dyDescent="0.2">
      <c r="B58" s="63" t="s">
        <v>170</v>
      </c>
      <c r="C58" s="47"/>
      <c r="D58" s="47"/>
      <c r="E58" s="48"/>
      <c r="F58" s="49"/>
      <c r="G58" s="49"/>
      <c r="H58" s="50"/>
    </row>
    <row r="59" spans="1:12" ht="11.25" customHeight="1" x14ac:dyDescent="0.2">
      <c r="B59" s="118" t="s">
        <v>55</v>
      </c>
      <c r="C59" s="119"/>
      <c r="D59" s="119"/>
      <c r="E59" s="120"/>
      <c r="F59" s="49"/>
      <c r="G59" s="51"/>
      <c r="H59" s="50"/>
    </row>
    <row r="60" spans="1:12" ht="23.25" customHeight="1" x14ac:dyDescent="0.2">
      <c r="B60" s="118"/>
      <c r="C60" s="119"/>
      <c r="D60" s="119"/>
      <c r="E60" s="120"/>
      <c r="F60" s="49"/>
      <c r="G60" s="49"/>
      <c r="H60" s="50"/>
    </row>
    <row r="61" spans="1:12" ht="24" customHeight="1" x14ac:dyDescent="0.2">
      <c r="B61" s="118" t="s">
        <v>56</v>
      </c>
      <c r="C61" s="119"/>
      <c r="D61" s="119"/>
      <c r="E61" s="120"/>
      <c r="F61" s="49"/>
      <c r="G61" s="49"/>
      <c r="H61" s="50"/>
    </row>
    <row r="62" spans="1:12" ht="15" customHeight="1" x14ac:dyDescent="0.2">
      <c r="B62" s="55"/>
      <c r="C62" s="56"/>
      <c r="D62" s="56"/>
      <c r="E62" s="57"/>
      <c r="F62" s="49"/>
      <c r="G62" s="49"/>
      <c r="H62" s="50"/>
    </row>
    <row r="63" spans="1:12" ht="29.25" customHeight="1" x14ac:dyDescent="0.2">
      <c r="B63" s="58" t="s">
        <v>57</v>
      </c>
      <c r="C63" s="59"/>
      <c r="D63" s="59"/>
      <c r="E63" s="60"/>
      <c r="F63" s="49"/>
      <c r="G63" s="49"/>
      <c r="H63" s="50"/>
    </row>
    <row r="64" spans="1:12" ht="30" customHeight="1" thickBot="1" x14ac:dyDescent="0.25">
      <c r="B64" s="52" t="s">
        <v>54</v>
      </c>
      <c r="C64" s="61"/>
      <c r="D64" s="61"/>
      <c r="E64" s="62"/>
    </row>
    <row r="65" spans="2:5" ht="15" x14ac:dyDescent="0.25">
      <c r="B65" s="88" t="s">
        <v>179</v>
      </c>
      <c r="C65" s="89"/>
      <c r="D65" s="89"/>
      <c r="E65" s="90"/>
    </row>
    <row r="66" spans="2:5" ht="15" x14ac:dyDescent="0.25">
      <c r="B66" s="91" t="s">
        <v>180</v>
      </c>
      <c r="C66"/>
      <c r="D66"/>
      <c r="E66" s="92"/>
    </row>
    <row r="67" spans="2:5" ht="15.75" thickBot="1" x14ac:dyDescent="0.3">
      <c r="B67" s="93"/>
      <c r="C67" s="116"/>
      <c r="D67" s="116"/>
      <c r="E67" s="117"/>
    </row>
    <row r="68" spans="2:5" ht="15" x14ac:dyDescent="0.25">
      <c r="B68" s="88" t="s">
        <v>168</v>
      </c>
      <c r="C68" s="89"/>
      <c r="D68" s="89"/>
      <c r="E68" s="90"/>
    </row>
    <row r="69" spans="2:5" ht="15" x14ac:dyDescent="0.25">
      <c r="B69" s="91" t="s">
        <v>169</v>
      </c>
      <c r="C69"/>
      <c r="D69"/>
      <c r="E69" s="92"/>
    </row>
    <row r="70" spans="2:5" ht="23.25" customHeight="1" thickBot="1" x14ac:dyDescent="0.3">
      <c r="B70" s="93"/>
      <c r="C70" s="116"/>
      <c r="D70" s="116"/>
      <c r="E70" s="117"/>
    </row>
    <row r="71" spans="2:5" ht="15" x14ac:dyDescent="0.25">
      <c r="B71" s="88" t="s">
        <v>178</v>
      </c>
      <c r="C71" s="89"/>
      <c r="D71" s="89"/>
      <c r="E71" s="90"/>
    </row>
    <row r="72" spans="2:5" ht="15" x14ac:dyDescent="0.25">
      <c r="B72" s="91" t="s">
        <v>162</v>
      </c>
      <c r="C72"/>
      <c r="D72"/>
      <c r="E72" s="92"/>
    </row>
    <row r="73" spans="2:5" ht="34.5" customHeight="1" thickBot="1" x14ac:dyDescent="0.3">
      <c r="B73" s="93"/>
      <c r="C73" s="116"/>
      <c r="D73" s="116"/>
      <c r="E73" s="117"/>
    </row>
    <row r="74" spans="2:5" ht="15" x14ac:dyDescent="0.25">
      <c r="B74" s="126" t="s">
        <v>176</v>
      </c>
      <c r="C74" s="127"/>
      <c r="D74" s="127"/>
      <c r="E74" s="128"/>
    </row>
    <row r="75" spans="2:5" ht="15" x14ac:dyDescent="0.25">
      <c r="B75" s="91" t="s">
        <v>159</v>
      </c>
      <c r="C75"/>
      <c r="D75"/>
      <c r="E75" s="92"/>
    </row>
    <row r="76" spans="2:5" ht="27.75" customHeight="1" thickBot="1" x14ac:dyDescent="0.3">
      <c r="B76" s="93"/>
      <c r="C76" s="116"/>
      <c r="D76" s="116"/>
      <c r="E76" s="117"/>
    </row>
    <row r="77" spans="2:5" ht="15" x14ac:dyDescent="0.25">
      <c r="B77" s="126" t="s">
        <v>175</v>
      </c>
      <c r="C77" s="127"/>
      <c r="D77" s="127"/>
      <c r="E77" s="128"/>
    </row>
    <row r="78" spans="2:5" ht="15" x14ac:dyDescent="0.25">
      <c r="B78" s="91" t="s">
        <v>177</v>
      </c>
      <c r="C78"/>
      <c r="D78"/>
      <c r="E78" s="92"/>
    </row>
    <row r="79" spans="2:5" ht="35.25" customHeight="1" thickBot="1" x14ac:dyDescent="0.3">
      <c r="B79" s="93"/>
      <c r="C79" s="116"/>
      <c r="D79" s="116"/>
      <c r="E79" s="117"/>
    </row>
  </sheetData>
  <mergeCells count="16">
    <mergeCell ref="B77:E77"/>
    <mergeCell ref="C79:E79"/>
    <mergeCell ref="C73:E73"/>
    <mergeCell ref="B74:E74"/>
    <mergeCell ref="C76:E76"/>
    <mergeCell ref="B2:H2"/>
    <mergeCell ref="A4:B4"/>
    <mergeCell ref="C4:E4"/>
    <mergeCell ref="A5:B5"/>
    <mergeCell ref="C5:E5"/>
    <mergeCell ref="C70:E70"/>
    <mergeCell ref="B59:E60"/>
    <mergeCell ref="B61:E61"/>
    <mergeCell ref="A6:B6"/>
    <mergeCell ref="A7:B7"/>
    <mergeCell ref="C67:E67"/>
  </mergeCells>
  <phoneticPr fontId="33" type="noConversion"/>
  <conditionalFormatting sqref="B63">
    <cfRule type="duplicateValues" dxfId="3" priority="1"/>
  </conditionalFormatting>
  <conditionalFormatting sqref="B63">
    <cfRule type="duplicateValues" dxfId="2" priority="2"/>
  </conditionalFormatting>
  <conditionalFormatting sqref="B63">
    <cfRule type="duplicateValues" dxfId="1" priority="3"/>
  </conditionalFormatting>
  <conditionalFormatting sqref="B63">
    <cfRule type="duplicateValues" dxfId="0" priority="4"/>
  </conditionalFormatting>
  <printOptions horizontalCentered="1"/>
  <pageMargins left="0.11811023622047245" right="0.11811023622047245" top="0.74803149606299213" bottom="0.35433070866141736" header="0.11811023622047245" footer="0"/>
  <pageSetup paperSize="5" scale="55" firstPageNumber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56"/>
  <sheetViews>
    <sheetView topLeftCell="A4" zoomScale="110" zoomScaleNormal="110" workbookViewId="0">
      <selection activeCell="A56" sqref="A56:I56"/>
    </sheetView>
  </sheetViews>
  <sheetFormatPr baseColWidth="10" defaultColWidth="9.140625" defaultRowHeight="12.75" x14ac:dyDescent="0.2"/>
  <cols>
    <col min="1" max="1" width="5.5703125" style="30" customWidth="1"/>
    <col min="2" max="2" width="15.140625" style="30" customWidth="1"/>
    <col min="3" max="3" width="14.140625" style="30" customWidth="1"/>
    <col min="4" max="4" width="26" style="30" customWidth="1"/>
    <col min="5" max="5" width="8" style="30" customWidth="1"/>
    <col min="6" max="6" width="7.85546875" style="30" customWidth="1"/>
    <col min="7" max="7" width="48.5703125" style="30" customWidth="1"/>
    <col min="8" max="8" width="9.28515625" style="30" customWidth="1"/>
    <col min="9" max="9" width="19.7109375" style="30" customWidth="1"/>
    <col min="10" max="10" width="14.7109375" style="30" customWidth="1"/>
    <col min="11" max="11" width="15.5703125" style="30" customWidth="1"/>
    <col min="12" max="14" width="5.85546875" style="30" customWidth="1"/>
    <col min="15" max="15" width="12.5703125" style="30" customWidth="1"/>
    <col min="16" max="1024" width="9.140625" style="30"/>
    <col min="1025" max="16384" width="9.140625" style="31"/>
  </cols>
  <sheetData>
    <row r="1" spans="1:11" ht="15.75" x14ac:dyDescent="0.2">
      <c r="A1" s="129" t="s">
        <v>14</v>
      </c>
      <c r="B1" s="129"/>
      <c r="C1" s="129"/>
      <c r="D1" s="129"/>
      <c r="E1" s="129"/>
      <c r="F1" s="129"/>
      <c r="G1" s="129"/>
      <c r="H1" s="129"/>
      <c r="I1" s="129"/>
      <c r="J1" s="29" t="s">
        <v>15</v>
      </c>
      <c r="K1" s="65" t="s">
        <v>72</v>
      </c>
    </row>
    <row r="2" spans="1:11" ht="16.5" thickBot="1" x14ac:dyDescent="0.25">
      <c r="A2" s="32"/>
      <c r="B2" s="32"/>
      <c r="C2" s="32"/>
      <c r="D2" s="33"/>
      <c r="E2" s="33"/>
      <c r="F2" s="33"/>
      <c r="G2" s="33"/>
      <c r="H2" s="33"/>
      <c r="I2" s="33"/>
      <c r="J2" s="33"/>
      <c r="K2" s="33"/>
    </row>
    <row r="3" spans="1:11" ht="16.5" thickBot="1" x14ac:dyDescent="0.25">
      <c r="A3" s="133" t="s">
        <v>48</v>
      </c>
      <c r="B3" s="133"/>
      <c r="C3" s="133"/>
      <c r="D3" s="134" t="str">
        <f>'Necesidades Trimestrales'!C4</f>
        <v>040 - Ministerio de Salud</v>
      </c>
      <c r="E3" s="134"/>
      <c r="F3" s="134"/>
      <c r="G3" s="134"/>
      <c r="H3" s="134"/>
      <c r="I3" s="134"/>
      <c r="J3" s="134"/>
      <c r="K3" s="134"/>
    </row>
    <row r="4" spans="1:11" ht="16.5" thickBot="1" x14ac:dyDescent="0.25">
      <c r="A4" s="132" t="s">
        <v>49</v>
      </c>
      <c r="B4" s="132"/>
      <c r="C4" s="132"/>
      <c r="D4" s="131" t="str">
        <f>'Necesidades Trimestrales'!C5</f>
        <v>11/ 23/ 24  o  28- "…......."</v>
      </c>
      <c r="E4" s="131"/>
      <c r="F4" s="131"/>
      <c r="G4" s="131"/>
      <c r="H4" s="131"/>
      <c r="I4" s="131"/>
      <c r="J4" s="131"/>
      <c r="K4" s="131"/>
    </row>
    <row r="5" spans="1:11" ht="16.5" thickBot="1" x14ac:dyDescent="0.25">
      <c r="A5" s="132" t="s">
        <v>27</v>
      </c>
      <c r="B5" s="132"/>
      <c r="C5" s="132"/>
      <c r="D5" s="131" t="s">
        <v>59</v>
      </c>
      <c r="E5" s="131"/>
      <c r="F5" s="131"/>
      <c r="G5" s="131"/>
      <c r="H5" s="131"/>
      <c r="I5" s="131"/>
      <c r="J5" s="131"/>
      <c r="K5" s="131"/>
    </row>
    <row r="6" spans="1:11" ht="16.5" thickBot="1" x14ac:dyDescent="0.25">
      <c r="A6" s="130" t="s">
        <v>50</v>
      </c>
      <c r="B6" s="130"/>
      <c r="C6" s="130"/>
      <c r="D6" s="131" t="s">
        <v>59</v>
      </c>
      <c r="E6" s="131"/>
      <c r="F6" s="131"/>
      <c r="G6" s="131"/>
      <c r="H6" s="131"/>
      <c r="I6" s="131"/>
      <c r="J6" s="131"/>
      <c r="K6" s="131"/>
    </row>
    <row r="7" spans="1:11" ht="15.75" x14ac:dyDescent="0.2">
      <c r="A7" s="132" t="s">
        <v>16</v>
      </c>
      <c r="B7" s="132"/>
      <c r="C7" s="132"/>
      <c r="D7" s="131" t="s">
        <v>71</v>
      </c>
      <c r="E7" s="131"/>
      <c r="F7" s="131"/>
      <c r="G7" s="131"/>
      <c r="H7" s="131"/>
      <c r="I7" s="131"/>
      <c r="J7" s="131"/>
      <c r="K7" s="131"/>
    </row>
    <row r="8" spans="1:11" ht="18.75" customHeight="1" x14ac:dyDescent="0.2">
      <c r="A8" s="139" t="s">
        <v>17</v>
      </c>
      <c r="B8" s="139"/>
      <c r="C8" s="139"/>
      <c r="D8" s="140" t="s">
        <v>73</v>
      </c>
      <c r="E8" s="140"/>
      <c r="F8" s="140"/>
      <c r="G8" s="140"/>
      <c r="H8" s="140"/>
      <c r="I8" s="140"/>
      <c r="J8" s="140"/>
      <c r="K8" s="140"/>
    </row>
    <row r="9" spans="1:11" ht="15.75" x14ac:dyDescent="0.2">
      <c r="A9" s="34"/>
      <c r="B9" s="34"/>
      <c r="C9" s="34"/>
      <c r="D9" s="35"/>
      <c r="E9" s="35"/>
      <c r="F9" s="35"/>
      <c r="G9" s="35"/>
      <c r="H9" s="35"/>
      <c r="I9" s="35"/>
      <c r="J9" s="35"/>
      <c r="K9" s="35"/>
    </row>
    <row r="10" spans="1:11" ht="13.5" thickBot="1" x14ac:dyDescent="0.25">
      <c r="A10" s="141" t="s">
        <v>18</v>
      </c>
      <c r="B10" s="142" t="s">
        <v>19</v>
      </c>
      <c r="C10" s="142" t="s">
        <v>20</v>
      </c>
      <c r="D10" s="142"/>
      <c r="E10" s="142"/>
      <c r="F10" s="142"/>
      <c r="G10" s="142"/>
      <c r="H10" s="142" t="s">
        <v>21</v>
      </c>
      <c r="I10" s="142" t="s">
        <v>22</v>
      </c>
      <c r="J10" s="142" t="s">
        <v>23</v>
      </c>
      <c r="K10" s="144" t="s">
        <v>24</v>
      </c>
    </row>
    <row r="11" spans="1:11" ht="35.25" customHeight="1" thickBot="1" x14ac:dyDescent="0.25">
      <c r="A11" s="141"/>
      <c r="B11" s="142"/>
      <c r="C11" s="142"/>
      <c r="D11" s="142"/>
      <c r="E11" s="142"/>
      <c r="F11" s="142"/>
      <c r="G11" s="142"/>
      <c r="H11" s="143"/>
      <c r="I11" s="142"/>
      <c r="J11" s="142"/>
      <c r="K11" s="144"/>
    </row>
    <row r="12" spans="1:11" ht="39.75" customHeight="1" thickBot="1" x14ac:dyDescent="0.25">
      <c r="A12" s="36">
        <v>1</v>
      </c>
      <c r="B12" s="36" t="str">
        <f>'Necesidades Trimestrales'!B10</f>
        <v>2.5.2-3259.11</v>
      </c>
      <c r="C12" s="137" t="str">
        <f>'Necesidades Trimestrales'!E10</f>
        <v>DIGESTIVOS; TIPO: MONODROGA, DROGA GENERICA: ACIDO URSODESOXICOLICO, FORMA FARMACEUTICA: COMPRIMIDO, PRESENTACION: 150 MGR</v>
      </c>
      <c r="D12" s="137"/>
      <c r="E12" s="137"/>
      <c r="F12" s="137"/>
      <c r="G12" s="138"/>
      <c r="H12" s="108" t="s">
        <v>53</v>
      </c>
      <c r="I12" s="107" t="str">
        <f>'Necesidades Trimestrales'!F10</f>
        <v>COMPRIMIDO</v>
      </c>
      <c r="J12" s="37">
        <f>'Necesidades Trimestrales'!H10</f>
        <v>58.5</v>
      </c>
      <c r="K12" s="38">
        <f>+'Necesidades Trimestrales'!G10</f>
        <v>0</v>
      </c>
    </row>
    <row r="13" spans="1:11" ht="39.75" customHeight="1" thickBot="1" x14ac:dyDescent="0.25">
      <c r="A13" s="36">
        <v>2</v>
      </c>
      <c r="B13" s="36" t="str">
        <f>'Necesidades Trimestrales'!B11</f>
        <v>2.5.2-3259.14</v>
      </c>
      <c r="C13" s="137" t="str">
        <f>'Necesidades Trimestrales'!E11</f>
        <v>DIGESTIVOS; TIPO: MONODROGA, DROGA GENERICA: ACIDO URSODEOXICOLICO, FORMA FARMACEUTICA: COMPRIMIDO, PRESENTACION: 300 MGR</v>
      </c>
      <c r="D13" s="137"/>
      <c r="E13" s="137"/>
      <c r="F13" s="137"/>
      <c r="G13" s="138"/>
      <c r="H13" s="108" t="s">
        <v>53</v>
      </c>
      <c r="I13" s="107" t="str">
        <f>'Necesidades Trimestrales'!F11</f>
        <v>COMPRIMIDO</v>
      </c>
      <c r="J13" s="37">
        <f>'Necesidades Trimestrales'!H11</f>
        <v>146.93</v>
      </c>
      <c r="K13" s="38">
        <f>+'Necesidades Trimestrales'!G11</f>
        <v>0</v>
      </c>
    </row>
    <row r="14" spans="1:11" ht="39.75" customHeight="1" thickBot="1" x14ac:dyDescent="0.25">
      <c r="A14" s="36">
        <v>3</v>
      </c>
      <c r="B14" s="36" t="str">
        <f>'Necesidades Trimestrales'!B12</f>
        <v>2.5.2-1841.33</v>
      </c>
      <c r="C14" s="137" t="str">
        <f>'Necesidades Trimestrales'!E12</f>
        <v>ANTIACIDOS; TIPO: ASOCIACION, DROGA GENERICA: HIDROX. ALUM. + HIDROX. MAG., FORMA FARMACEUTICA: SUSPENSION, PRESENTACION: ENVASE X 160 ML</v>
      </c>
      <c r="D14" s="137"/>
      <c r="E14" s="137"/>
      <c r="F14" s="137"/>
      <c r="G14" s="138"/>
      <c r="H14" s="108" t="s">
        <v>53</v>
      </c>
      <c r="I14" s="107" t="str">
        <f>'Necesidades Trimestrales'!F12</f>
        <v>FRASCO</v>
      </c>
      <c r="J14" s="37">
        <f>'Necesidades Trimestrales'!H12</f>
        <v>260</v>
      </c>
      <c r="K14" s="38">
        <f>+'Necesidades Trimestrales'!G12</f>
        <v>0</v>
      </c>
    </row>
    <row r="15" spans="1:11" ht="39.75" customHeight="1" thickBot="1" x14ac:dyDescent="0.25">
      <c r="A15" s="36">
        <v>4</v>
      </c>
      <c r="B15" s="36" t="str">
        <f>'Necesidades Trimestrales'!B13</f>
        <v>2.5.2-1843.63</v>
      </c>
      <c r="C15" s="137" t="str">
        <f>'Necesidades Trimestrales'!E13</f>
        <v>ANTIESPASMODICOS; TIPO: MONODROGA, DROGA GENERICA: ATROPINA 1%, FORMA FARMACEUTICA: AMPOLLA, PRESENTACION: ENVASE X 1 mL</v>
      </c>
      <c r="D15" s="137"/>
      <c r="E15" s="137"/>
      <c r="F15" s="137"/>
      <c r="G15" s="138"/>
      <c r="H15" s="108" t="s">
        <v>53</v>
      </c>
      <c r="I15" s="107" t="str">
        <f>'Necesidades Trimestrales'!F13</f>
        <v>AMPOLLA</v>
      </c>
      <c r="J15" s="37">
        <f>'Necesidades Trimestrales'!H13</f>
        <v>50.4</v>
      </c>
      <c r="K15" s="38">
        <f>+'Necesidades Trimestrales'!G13</f>
        <v>0</v>
      </c>
    </row>
    <row r="16" spans="1:11" ht="39.75" customHeight="1" thickBot="1" x14ac:dyDescent="0.25">
      <c r="A16" s="36">
        <v>5</v>
      </c>
      <c r="B16" s="36" t="str">
        <f>'Necesidades Trimestrales'!B14</f>
        <v>2.5.2-1843.51</v>
      </c>
      <c r="C16" s="137" t="str">
        <f>'Necesidades Trimestrales'!E14</f>
        <v>ANTIESPASMODICOS; TIPO: MONODROGA, DROGA GENERICA: HIOSCINA N-BUTILBROMURO 20 MG, FORMA FARMACEUTICA: AMPOLLA, PRESENTACION: 1 ML</v>
      </c>
      <c r="D16" s="137"/>
      <c r="E16" s="137"/>
      <c r="F16" s="137"/>
      <c r="G16" s="138"/>
      <c r="H16" s="108" t="s">
        <v>53</v>
      </c>
      <c r="I16" s="107" t="str">
        <f>'Necesidades Trimestrales'!F14</f>
        <v>AMPOLLA</v>
      </c>
      <c r="J16" s="37">
        <f>'Necesidades Trimestrales'!H14</f>
        <v>65</v>
      </c>
      <c r="K16" s="38">
        <f>+'Necesidades Trimestrales'!G14</f>
        <v>0</v>
      </c>
    </row>
    <row r="17" spans="1:11" ht="39.75" customHeight="1" thickBot="1" x14ac:dyDescent="0.25">
      <c r="A17" s="36">
        <v>6</v>
      </c>
      <c r="B17" s="36" t="str">
        <f>'Necesidades Trimestrales'!B15</f>
        <v>2.5.2-1843.1</v>
      </c>
      <c r="C17" s="137" t="str">
        <f>'Necesidades Trimestrales'!E15</f>
        <v>ANTIESPASMODICOS; TIPO: MONODROGA, PRESENTACION: 10 mGr, FORMA FARMACEUTICA: COMPRIMIDO, DROGA GENERICA: HIOSCINA N-BUTILBROMURO</v>
      </c>
      <c r="D17" s="137"/>
      <c r="E17" s="137"/>
      <c r="F17" s="137"/>
      <c r="G17" s="138"/>
      <c r="H17" s="108" t="s">
        <v>53</v>
      </c>
      <c r="I17" s="107" t="str">
        <f>'Necesidades Trimestrales'!F15</f>
        <v>COMPRIMIDO</v>
      </c>
      <c r="J17" s="37">
        <f>'Necesidades Trimestrales'!H15</f>
        <v>11</v>
      </c>
      <c r="K17" s="38">
        <f>+'Necesidades Trimestrales'!G15</f>
        <v>0</v>
      </c>
    </row>
    <row r="18" spans="1:11" ht="39.75" customHeight="1" thickBot="1" x14ac:dyDescent="0.25">
      <c r="A18" s="36">
        <v>7</v>
      </c>
      <c r="B18" s="36" t="str">
        <f>'Necesidades Trimestrales'!B16</f>
        <v>2.5.2-1724.57</v>
      </c>
      <c r="C18" s="137" t="str">
        <f>'Necesidades Trimestrales'!E16</f>
        <v>ANALGESICOS ; TIPO: ASOCIACION, DROGA GENERICA: DIPIRONA+ HIOSCINA, FORMA FARMACEUTICA: AMPOLLA, PRESENTACION: AMPOLLA X 5 mL</v>
      </c>
      <c r="D18" s="137"/>
      <c r="E18" s="137"/>
      <c r="F18" s="137"/>
      <c r="G18" s="138"/>
      <c r="H18" s="108" t="s">
        <v>53</v>
      </c>
      <c r="I18" s="107" t="str">
        <f>'Necesidades Trimestrales'!F16</f>
        <v>AMPOLLA</v>
      </c>
      <c r="J18" s="37">
        <f>'Necesidades Trimestrales'!H16</f>
        <v>92</v>
      </c>
      <c r="K18" s="38">
        <f>+'Necesidades Trimestrales'!G16</f>
        <v>0</v>
      </c>
    </row>
    <row r="19" spans="1:11" ht="39.75" customHeight="1" thickBot="1" x14ac:dyDescent="0.25">
      <c r="A19" s="36">
        <v>8</v>
      </c>
      <c r="B19" s="36" t="str">
        <f>'Necesidades Trimestrales'!B17</f>
        <v>2.5.2-1903.66</v>
      </c>
      <c r="C19" s="137" t="str">
        <f>'Necesidades Trimestrales'!E17</f>
        <v>RECONSTITUYENTE GENERAL; TIPO: MONODROGA, DROGA GENERICA: CALCIO CARBONATO, FORMA FARMACEUTICA: COMPRIMIDO, PRESENTACION: 1250 mGr</v>
      </c>
      <c r="D19" s="137"/>
      <c r="E19" s="137"/>
      <c r="F19" s="137"/>
      <c r="G19" s="138"/>
      <c r="H19" s="108" t="s">
        <v>53</v>
      </c>
      <c r="I19" s="107" t="str">
        <f>'Necesidades Trimestrales'!F17</f>
        <v>COMPRIMIDO</v>
      </c>
      <c r="J19" s="37">
        <f>'Necesidades Trimestrales'!H17</f>
        <v>6.3</v>
      </c>
      <c r="K19" s="38">
        <f>+'Necesidades Trimestrales'!G17</f>
        <v>0</v>
      </c>
    </row>
    <row r="20" spans="1:11" ht="39.75" customHeight="1" thickBot="1" x14ac:dyDescent="0.25">
      <c r="A20" s="36">
        <v>9</v>
      </c>
      <c r="B20" s="36" t="str">
        <f>'Necesidades Trimestrales'!B18</f>
        <v>2.5.2-8078.68</v>
      </c>
      <c r="C20" s="137" t="str">
        <f>'Necesidades Trimestrales'!E18</f>
        <v>EXCIPIENTES; TIPO: MONODROGA, PRESENTACION: ENVASE X 1 Kg, COMPUESTO: CARBON ACTIVADO, CONCENTRACION/PUREZA: 100 %</v>
      </c>
      <c r="D20" s="137"/>
      <c r="E20" s="137"/>
      <c r="F20" s="137"/>
      <c r="G20" s="138"/>
      <c r="H20" s="108" t="s">
        <v>53</v>
      </c>
      <c r="I20" s="107" t="str">
        <f>'Necesidades Trimestrales'!F18</f>
        <v>UNIDAD</v>
      </c>
      <c r="J20" s="37">
        <f>'Necesidades Trimestrales'!H18</f>
        <v>1800</v>
      </c>
      <c r="K20" s="38">
        <f>+'Necesidades Trimestrales'!G18</f>
        <v>0</v>
      </c>
    </row>
    <row r="21" spans="1:11" ht="39.75" customHeight="1" thickBot="1" x14ac:dyDescent="0.25">
      <c r="A21" s="36">
        <v>10</v>
      </c>
      <c r="B21" s="36" t="str">
        <f>'Necesidades Trimestrales'!B19</f>
        <v>2.5.2-1903.89</v>
      </c>
      <c r="C21" s="137" t="str">
        <f>'Necesidades Trimestrales'!E19</f>
        <v>RECONSTITUYENTE GENERAL; TIPO: MONODROGA, DROGA GENERICA: CALCIO CARBONATO, FORMA FARMACEUTICA: COMPRIMIDO, PRESENTACION: 500 mGr</v>
      </c>
      <c r="D21" s="137"/>
      <c r="E21" s="137"/>
      <c r="F21" s="137"/>
      <c r="G21" s="138"/>
      <c r="H21" s="108" t="s">
        <v>53</v>
      </c>
      <c r="I21" s="107" t="str">
        <f>'Necesidades Trimestrales'!F19</f>
        <v>COMPRIMIDO</v>
      </c>
      <c r="J21" s="37">
        <f>'Necesidades Trimestrales'!H19</f>
        <v>5.98</v>
      </c>
      <c r="K21" s="38">
        <f>+'Necesidades Trimestrales'!G19</f>
        <v>0</v>
      </c>
    </row>
    <row r="22" spans="1:11" ht="39.75" customHeight="1" thickBot="1" x14ac:dyDescent="0.25">
      <c r="A22" s="36">
        <v>11</v>
      </c>
      <c r="B22" s="36" t="str">
        <f>'Necesidades Trimestrales'!B20</f>
        <v>2.5.2-1723.176</v>
      </c>
      <c r="C22" s="137" t="str">
        <f>'Necesidades Trimestrales'!E20</f>
        <v>ANTISEPTICOS LOCALES P/PERSONA; TIPO: MONODROGA, DROGA GENERICA: CLORHEXIDINA DIGLUCONATO 0,12 %, FORMA FARMACEUTICA: LIQUIDO, PRESENTACION: ENVASE X 200 ML</v>
      </c>
      <c r="D22" s="137"/>
      <c r="E22" s="137"/>
      <c r="F22" s="137"/>
      <c r="G22" s="138"/>
      <c r="H22" s="108" t="s">
        <v>166</v>
      </c>
      <c r="I22" s="107" t="str">
        <f>'Necesidades Trimestrales'!F20</f>
        <v>FRASCO</v>
      </c>
      <c r="J22" s="37">
        <f>'Necesidades Trimestrales'!H20</f>
        <v>1288</v>
      </c>
      <c r="K22" s="38">
        <f>+'Necesidades Trimestrales'!G20</f>
        <v>0</v>
      </c>
    </row>
    <row r="23" spans="1:11" ht="39.75" customHeight="1" thickBot="1" x14ac:dyDescent="0.25">
      <c r="A23" s="36">
        <v>12</v>
      </c>
      <c r="B23" s="36" t="str">
        <f>'Necesidades Trimestrales'!B21</f>
        <v>2.5.2-1901.7</v>
      </c>
      <c r="C23" s="137" t="str">
        <f>'Necesidades Trimestrales'!E21</f>
        <v>VITAMINAS; FORMA FARMACEUTICA: AMPOLLA, PRESENTACION: 2 mL, TIPO: MONODROGA, DROGA GENERICA: VITAMINA B</v>
      </c>
      <c r="D23" s="137"/>
      <c r="E23" s="137"/>
      <c r="F23" s="137"/>
      <c r="G23" s="138"/>
      <c r="H23" s="108" t="s">
        <v>166</v>
      </c>
      <c r="I23" s="107" t="str">
        <f>'Necesidades Trimestrales'!F21</f>
        <v>AMPOLLA</v>
      </c>
      <c r="J23" s="37">
        <f>'Necesidades Trimestrales'!H21</f>
        <v>110</v>
      </c>
      <c r="K23" s="38">
        <f>+'Necesidades Trimestrales'!G21</f>
        <v>0</v>
      </c>
    </row>
    <row r="24" spans="1:11" ht="39.75" customHeight="1" thickBot="1" x14ac:dyDescent="0.25">
      <c r="A24" s="36">
        <v>13</v>
      </c>
      <c r="B24" s="36" t="str">
        <f>'Necesidades Trimestrales'!B22</f>
        <v>2.5.2-1872.65</v>
      </c>
      <c r="C24" s="137" t="str">
        <f>'Necesidades Trimestrales'!E22</f>
        <v>ANTIANEMICOS; TIPO: MONODROGA, DROGA GENERICA: COMPLEJO VITAMINICO B, FORMA FARMACEUTICA: COMPRIMIDO, PRESENTACION: UNIDAD</v>
      </c>
      <c r="D24" s="137"/>
      <c r="E24" s="137"/>
      <c r="F24" s="137"/>
      <c r="G24" s="138"/>
      <c r="H24" s="108" t="s">
        <v>53</v>
      </c>
      <c r="I24" s="107" t="str">
        <f>'Necesidades Trimestrales'!F22</f>
        <v>COMPRIMIDO</v>
      </c>
      <c r="J24" s="37">
        <f>'Necesidades Trimestrales'!H22</f>
        <v>17.8</v>
      </c>
      <c r="K24" s="38">
        <f>+'Necesidades Trimestrales'!G22</f>
        <v>0</v>
      </c>
    </row>
    <row r="25" spans="1:11" ht="39.75" customHeight="1" thickBot="1" x14ac:dyDescent="0.25">
      <c r="A25" s="36">
        <v>14</v>
      </c>
      <c r="B25" s="36" t="str">
        <f>'Necesidades Trimestrales'!B23</f>
        <v>2.5.2-1816.19</v>
      </c>
      <c r="C25" s="137" t="str">
        <f>'Necesidades Trimestrales'!E23</f>
        <v>ANTIDIARREICOS; TIPO: MONODROGA, DROGA GENERICA: BISMUTO, FORMA FARMACEUTICA: CREMA, PRESENTACION: 90 mL</v>
      </c>
      <c r="D25" s="137"/>
      <c r="E25" s="137"/>
      <c r="F25" s="137"/>
      <c r="G25" s="138"/>
      <c r="H25" s="108" t="s">
        <v>53</v>
      </c>
      <c r="I25" s="107" t="str">
        <f>'Necesidades Trimestrales'!F23</f>
        <v>FRASCO</v>
      </c>
      <c r="J25" s="37">
        <f>'Necesidades Trimestrales'!H23</f>
        <v>530</v>
      </c>
      <c r="K25" s="38">
        <f>+'Necesidades Trimestrales'!G23</f>
        <v>0</v>
      </c>
    </row>
    <row r="26" spans="1:11" ht="39.75" customHeight="1" thickBot="1" x14ac:dyDescent="0.25">
      <c r="A26" s="36">
        <v>15</v>
      </c>
      <c r="B26" s="36" t="str">
        <f>'Necesidades Trimestrales'!B24</f>
        <v>2.5.2-6910.3</v>
      </c>
      <c r="C26" s="137" t="str">
        <f>'Necesidades Trimestrales'!E24</f>
        <v>ANTIEMETICOS; TIPO: MONODROGA, DROGA GENERICA: DOMPERIDONA 4 MG, FORMA FARMACEUTICA: AMPOLLA, PRESENTACION: 3 ML</v>
      </c>
      <c r="D26" s="137"/>
      <c r="E26" s="137"/>
      <c r="F26" s="137"/>
      <c r="G26" s="138"/>
      <c r="H26" s="108" t="s">
        <v>53</v>
      </c>
      <c r="I26" s="107" t="str">
        <f>'Necesidades Trimestrales'!F24</f>
        <v>AMPOLLA</v>
      </c>
      <c r="J26" s="37">
        <f>'Necesidades Trimestrales'!H24</f>
        <v>60</v>
      </c>
      <c r="K26" s="38">
        <f>+'Necesidades Trimestrales'!G24</f>
        <v>0</v>
      </c>
    </row>
    <row r="27" spans="1:11" ht="39.75" customHeight="1" thickBot="1" x14ac:dyDescent="0.25">
      <c r="A27" s="36">
        <v>16</v>
      </c>
      <c r="B27" s="36" t="str">
        <f>'Necesidades Trimestrales'!B25</f>
        <v>2.5.2-6910.11</v>
      </c>
      <c r="C27" s="137" t="str">
        <f>'Necesidades Trimestrales'!E25</f>
        <v>ANTIEMETICOS; TIPO: MONODROGA, DROGA GENERICA: DOMPERIDONA 1%, FORMA FARMACEUTICA: GOTAS, PRESENTACION: ENVASE X 20 ML</v>
      </c>
      <c r="D27" s="137"/>
      <c r="E27" s="137"/>
      <c r="F27" s="137"/>
      <c r="G27" s="138"/>
      <c r="H27" s="108" t="s">
        <v>53</v>
      </c>
      <c r="I27" s="107" t="str">
        <f>'Necesidades Trimestrales'!F25</f>
        <v>GOTERO</v>
      </c>
      <c r="J27" s="37">
        <f>'Necesidades Trimestrales'!H25</f>
        <v>210</v>
      </c>
      <c r="K27" s="38">
        <f>+'Necesidades Trimestrales'!G25</f>
        <v>0</v>
      </c>
    </row>
    <row r="28" spans="1:11" ht="39.75" customHeight="1" thickBot="1" x14ac:dyDescent="0.25">
      <c r="A28" s="36">
        <v>17</v>
      </c>
      <c r="B28" s="36" t="str">
        <f>'Necesidades Trimestrales'!B26</f>
        <v>2.5.2-1862.3</v>
      </c>
      <c r="C28" s="137" t="str">
        <f>'Necesidades Trimestrales'!E26</f>
        <v>HIPOGLUCEMIANTES ORALES; TIPO: MONODROGA, FORMA FARMACEUTICA: COMPRIMIDO, PRESENTACION: 5 mGr, DROGA GENERICA: GLIBENCLAMIDA</v>
      </c>
      <c r="D28" s="137"/>
      <c r="E28" s="137"/>
      <c r="F28" s="137"/>
      <c r="G28" s="138"/>
      <c r="H28" s="108" t="s">
        <v>53</v>
      </c>
      <c r="I28" s="107" t="str">
        <f>'Necesidades Trimestrales'!F26</f>
        <v>COMPRIMIDO</v>
      </c>
      <c r="J28" s="37">
        <f>'Necesidades Trimestrales'!H26</f>
        <v>4.5</v>
      </c>
      <c r="K28" s="38">
        <f>+'Necesidades Trimestrales'!G26</f>
        <v>0</v>
      </c>
    </row>
    <row r="29" spans="1:11" ht="39.75" customHeight="1" thickBot="1" x14ac:dyDescent="0.25">
      <c r="A29" s="36">
        <v>18</v>
      </c>
      <c r="B29" s="36" t="str">
        <f>'Necesidades Trimestrales'!B27</f>
        <v>2.5.2-2689.1</v>
      </c>
      <c r="C29" s="137" t="str">
        <f>'Necesidades Trimestrales'!E27</f>
        <v>NORMALIZADORES DE CALCEMIA; TIPO: MONODROGA, FORMA FARMACEUTICA: ELIXIR, PRESENTACION: 150 mL, DROGA GENERICA: GLUCONATO DE POTASIO</v>
      </c>
      <c r="D29" s="137"/>
      <c r="E29" s="137"/>
      <c r="F29" s="137"/>
      <c r="G29" s="138"/>
      <c r="H29" s="108" t="s">
        <v>53</v>
      </c>
      <c r="I29" s="107" t="str">
        <f>'Necesidades Trimestrales'!F27</f>
        <v>FRASCO</v>
      </c>
      <c r="J29" s="37">
        <f>'Necesidades Trimestrales'!H27</f>
        <v>676.74</v>
      </c>
      <c r="K29" s="38">
        <f>+'Necesidades Trimestrales'!G27</f>
        <v>0</v>
      </c>
    </row>
    <row r="30" spans="1:11" ht="39.75" customHeight="1" thickBot="1" x14ac:dyDescent="0.25">
      <c r="A30" s="36">
        <v>19</v>
      </c>
      <c r="B30" s="36" t="str">
        <f>'Necesidades Trimestrales'!B28</f>
        <v>2.5.2-1841.34</v>
      </c>
      <c r="C30" s="137" t="str">
        <f>'Necesidades Trimestrales'!E28</f>
        <v>ANTIACIDOS; TIPO: MONODROGA, DROGA GENERICA: HIDROXIDO DE MAGNESIO, FORMA FARMACEUTICA: SUSPENCION, PRESENTACION: ENVASE X 240 ML</v>
      </c>
      <c r="D30" s="137"/>
      <c r="E30" s="137"/>
      <c r="F30" s="137"/>
      <c r="G30" s="138"/>
      <c r="H30" s="108" t="s">
        <v>53</v>
      </c>
      <c r="I30" s="107" t="str">
        <f>'Necesidades Trimestrales'!F28</f>
        <v>FRASCO</v>
      </c>
      <c r="J30" s="37">
        <f>'Necesidades Trimestrales'!H28</f>
        <v>1500</v>
      </c>
      <c r="K30" s="38">
        <f>+'Necesidades Trimestrales'!G28</f>
        <v>0</v>
      </c>
    </row>
    <row r="31" spans="1:11" ht="39.75" customHeight="1" thickBot="1" x14ac:dyDescent="0.25">
      <c r="A31" s="36">
        <v>20</v>
      </c>
      <c r="B31" s="36" t="str">
        <f>'Necesidades Trimestrales'!B29</f>
        <v>2.5.2-1861.38</v>
      </c>
      <c r="C31" s="137" t="str">
        <f>'Necesidades Trimestrales'!E29</f>
        <v>HIPOGLUCEMIANTES INYECTABLES; TIPO: MONODROGA, DROGA GENERICA: INSULINA ASPARTICA, FORMA FARMACEUTICA: LAPICERA PRELLENADA, PRESENTACION: 5 UNIDADES</v>
      </c>
      <c r="D31" s="137"/>
      <c r="E31" s="137"/>
      <c r="F31" s="137"/>
      <c r="G31" s="138"/>
      <c r="H31" s="108" t="s">
        <v>53</v>
      </c>
      <c r="I31" s="107" t="str">
        <f>'Necesidades Trimestrales'!F29</f>
        <v>CAJA</v>
      </c>
      <c r="J31" s="37">
        <f>'Necesidades Trimestrales'!H29</f>
        <v>15552</v>
      </c>
      <c r="K31" s="38">
        <f>+'Necesidades Trimestrales'!G29</f>
        <v>0</v>
      </c>
    </row>
    <row r="32" spans="1:11" ht="39.75" customHeight="1" thickBot="1" x14ac:dyDescent="0.25">
      <c r="A32" s="36">
        <v>21</v>
      </c>
      <c r="B32" s="36" t="str">
        <f>'Necesidades Trimestrales'!B30</f>
        <v>2.5.2-1861.33</v>
      </c>
      <c r="C32" s="137" t="str">
        <f>'Necesidades Trimestrales'!E30</f>
        <v>HIPOGLUCEMIANTES INYECTABLES; TIPO: MONODROGA, DROGA GENERICA: INSULINA CTE, FORMA FARMACEUTICA: AMPOLLA, PRESENTACION: ENVASE X 10 mL</v>
      </c>
      <c r="D32" s="137"/>
      <c r="E32" s="137"/>
      <c r="F32" s="137"/>
      <c r="G32" s="138"/>
      <c r="H32" s="108" t="s">
        <v>53</v>
      </c>
      <c r="I32" s="107" t="str">
        <f>'Necesidades Trimestrales'!F30</f>
        <v>FRASCO AMPOLLA</v>
      </c>
      <c r="J32" s="37">
        <f>'Necesidades Trimestrales'!H30</f>
        <v>1675</v>
      </c>
      <c r="K32" s="38">
        <f>+'Necesidades Trimestrales'!G30</f>
        <v>0</v>
      </c>
    </row>
    <row r="33" spans="1:11" ht="39.75" customHeight="1" thickBot="1" x14ac:dyDescent="0.25">
      <c r="A33" s="36">
        <v>22</v>
      </c>
      <c r="B33" s="36" t="str">
        <f>'Necesidades Trimestrales'!B31</f>
        <v>2.5.2-1861.10</v>
      </c>
      <c r="C33" s="137" t="str">
        <f>'Necesidades Trimestrales'!E31</f>
        <v>HIPOGLUCEMIANTES INYECTABLES; TIPO: MONODROGA, DROGA GENERICA: INSULINA HUMANA NHP 100 UI, FORMA FARMACEUTICA: AMPOLLA, PRESENTACION: 10 mL</v>
      </c>
      <c r="D33" s="137"/>
      <c r="E33" s="137"/>
      <c r="F33" s="137"/>
      <c r="G33" s="138"/>
      <c r="H33" s="108" t="s">
        <v>53</v>
      </c>
      <c r="I33" s="107" t="str">
        <f>'Necesidades Trimestrales'!F31</f>
        <v>FRASCO AMPOLLA</v>
      </c>
      <c r="J33" s="37">
        <f>'Necesidades Trimestrales'!H31</f>
        <v>1675</v>
      </c>
      <c r="K33" s="38">
        <f>+'Necesidades Trimestrales'!G31</f>
        <v>0</v>
      </c>
    </row>
    <row r="34" spans="1:11" ht="39.75" customHeight="1" thickBot="1" x14ac:dyDescent="0.25">
      <c r="A34" s="36">
        <v>23</v>
      </c>
      <c r="B34" s="36" t="str">
        <f>'Necesidades Trimestrales'!B32</f>
        <v>2.5.2-1861.39</v>
      </c>
      <c r="C34" s="137" t="str">
        <f>'Necesidades Trimestrales'!E32</f>
        <v>HIPOGLUCEMIANTES INYECTABLES; TIPO: MONODROGA, DROGA GENERICA: INSULINA HUMANA NHP 100 UI, FORMA FARMACEUTICA: LAPICERA PRELLENADA, PRESENTACION: 5 AMPOLLAS</v>
      </c>
      <c r="D34" s="137"/>
      <c r="E34" s="137"/>
      <c r="F34" s="137"/>
      <c r="G34" s="138"/>
      <c r="H34" s="108" t="s">
        <v>166</v>
      </c>
      <c r="I34" s="107" t="str">
        <f>'Necesidades Trimestrales'!F32</f>
        <v>CAJA</v>
      </c>
      <c r="J34" s="37">
        <f>'Necesidades Trimestrales'!H32</f>
        <v>8934</v>
      </c>
      <c r="K34" s="38">
        <f>+'Necesidades Trimestrales'!G32</f>
        <v>0</v>
      </c>
    </row>
    <row r="35" spans="1:11" ht="39.75" customHeight="1" thickBot="1" x14ac:dyDescent="0.25">
      <c r="A35" s="36">
        <v>24</v>
      </c>
      <c r="B35" s="36" t="str">
        <f>'Necesidades Trimestrales'!B33</f>
        <v>2.5.2-2804.1</v>
      </c>
      <c r="C35" s="137" t="str">
        <f>'Necesidades Trimestrales'!E33</f>
        <v>REGULADORES INTESTINALES; TIPO: MONODROGA, DROGA GENERICA: LACTULOSA, FORMA FARMACEUTICA: JARABE, PRESENTACION: 120 mL</v>
      </c>
      <c r="D35" s="137"/>
      <c r="E35" s="137"/>
      <c r="F35" s="137"/>
      <c r="G35" s="138"/>
      <c r="H35" s="108" t="s">
        <v>53</v>
      </c>
      <c r="I35" s="107" t="str">
        <f>'Necesidades Trimestrales'!F33</f>
        <v>FRASCO</v>
      </c>
      <c r="J35" s="37">
        <f>'Necesidades Trimestrales'!H33</f>
        <v>365</v>
      </c>
      <c r="K35" s="38">
        <f>+'Necesidades Trimestrales'!G33</f>
        <v>0</v>
      </c>
    </row>
    <row r="36" spans="1:11" ht="39.75" customHeight="1" thickBot="1" x14ac:dyDescent="0.25">
      <c r="A36" s="36">
        <v>25</v>
      </c>
      <c r="B36" s="36" t="str">
        <f>'Necesidades Trimestrales'!B34</f>
        <v>2.5.2-2481.38</v>
      </c>
      <c r="C36" s="137" t="str">
        <f>'Necesidades Trimestrales'!E34</f>
        <v>LAXANTES; TIPO: MONODROGA, DROGA GENERICA: LIMONADA, FORMA FARMACEUTICA: POLVO, PRESENTACION: 60 GR</v>
      </c>
      <c r="D36" s="137"/>
      <c r="E36" s="137"/>
      <c r="F36" s="137"/>
      <c r="G36" s="138"/>
      <c r="H36" s="108" t="s">
        <v>53</v>
      </c>
      <c r="I36" s="107" t="str">
        <f>'Necesidades Trimestrales'!F34</f>
        <v>FRASCO</v>
      </c>
      <c r="J36" s="37">
        <f>'Necesidades Trimestrales'!H34</f>
        <v>280</v>
      </c>
      <c r="K36" s="38">
        <f>+'Necesidades Trimestrales'!G34</f>
        <v>0</v>
      </c>
    </row>
    <row r="37" spans="1:11" ht="39.75" customHeight="1" thickBot="1" x14ac:dyDescent="0.25">
      <c r="A37" s="36">
        <v>26</v>
      </c>
      <c r="B37" s="36" t="str">
        <f>'Necesidades Trimestrales'!B35</f>
        <v>2.5.2-1816.34</v>
      </c>
      <c r="C37" s="137" t="str">
        <f>'Necesidades Trimestrales'!E35</f>
        <v>ANTIDIARREICOS; TIPO: MONODROGA, DROGA GENERICA: LOPERAMIDA, FORMA FARMACEUTICA: CAPSULA, PRESENTACION: 2 mGr</v>
      </c>
      <c r="D37" s="137"/>
      <c r="E37" s="137"/>
      <c r="F37" s="137"/>
      <c r="G37" s="138"/>
      <c r="H37" s="108" t="s">
        <v>53</v>
      </c>
      <c r="I37" s="107" t="str">
        <f>'Necesidades Trimestrales'!F35</f>
        <v>COMPRIMIDO</v>
      </c>
      <c r="J37" s="37">
        <f>'Necesidades Trimestrales'!H35</f>
        <v>2.7</v>
      </c>
      <c r="K37" s="38">
        <f>+'Necesidades Trimestrales'!G35</f>
        <v>0</v>
      </c>
    </row>
    <row r="38" spans="1:11" ht="39.75" customHeight="1" thickBot="1" x14ac:dyDescent="0.25">
      <c r="A38" s="36">
        <v>27</v>
      </c>
      <c r="B38" s="36" t="str">
        <f>'Necesidades Trimestrales'!B36</f>
        <v>2.5.2-1862.1</v>
      </c>
      <c r="C38" s="137" t="str">
        <f>'Necesidades Trimestrales'!E36</f>
        <v>HIPOGLUCEMIANTES ORALES; TIPO: MONODROGA, DROGA GENERICA: METFORMINA, FORMA FARMACEUTICA: COMPRIMIDO, PRESENTACION: 500 mGr</v>
      </c>
      <c r="D38" s="137"/>
      <c r="E38" s="137"/>
      <c r="F38" s="137"/>
      <c r="G38" s="138"/>
      <c r="H38" s="108" t="s">
        <v>53</v>
      </c>
      <c r="I38" s="107" t="str">
        <f>'Necesidades Trimestrales'!F36</f>
        <v>COMPRIMIDO</v>
      </c>
      <c r="J38" s="37">
        <f>'Necesidades Trimestrales'!H36</f>
        <v>5.7</v>
      </c>
      <c r="K38" s="38">
        <f>+'Necesidades Trimestrales'!G36</f>
        <v>0</v>
      </c>
    </row>
    <row r="39" spans="1:11" ht="39.75" customHeight="1" thickBot="1" x14ac:dyDescent="0.25">
      <c r="A39" s="36">
        <v>28</v>
      </c>
      <c r="B39" s="36" t="str">
        <f>'Necesidades Trimestrales'!B37</f>
        <v>2.5.2-1862.16</v>
      </c>
      <c r="C39" s="137" t="str">
        <f>'Necesidades Trimestrales'!E37</f>
        <v>HIPOGLUCEMIANTES ORALES; TIPO: MONODROGA, DROGA GENERICA: METFORMINA, FORMA FARMACEUTICA: COMPRIMIDO, PRESENTACION: 850 mGr</v>
      </c>
      <c r="D39" s="137"/>
      <c r="E39" s="137"/>
      <c r="F39" s="137"/>
      <c r="G39" s="138"/>
      <c r="H39" s="108" t="s">
        <v>53</v>
      </c>
      <c r="I39" s="107" t="str">
        <f>'Necesidades Trimestrales'!F37</f>
        <v>COMPRIMIDO</v>
      </c>
      <c r="J39" s="37">
        <f>'Necesidades Trimestrales'!H37</f>
        <v>7.2</v>
      </c>
      <c r="K39" s="38">
        <f>+'Necesidades Trimestrales'!G37</f>
        <v>0</v>
      </c>
    </row>
    <row r="40" spans="1:11" ht="39.75" customHeight="1" thickBot="1" x14ac:dyDescent="0.25">
      <c r="A40" s="36">
        <v>29</v>
      </c>
      <c r="B40" s="36" t="str">
        <f>'Necesidades Trimestrales'!B38</f>
        <v>2.5.2-2480.14</v>
      </c>
      <c r="C40" s="137" t="str">
        <f>'Necesidades Trimestrales'!E38</f>
        <v>ANTIHEMETICOS; TIPO: MONODROGA, DROGA GENERICA: METOCLOPRAMIDA 0,2 %, FORMA FARMACEUTICA: GOTAS, PRESENTACION: 20 ML</v>
      </c>
      <c r="D40" s="137"/>
      <c r="E40" s="137"/>
      <c r="F40" s="137"/>
      <c r="G40" s="138"/>
      <c r="H40" s="108" t="s">
        <v>53</v>
      </c>
      <c r="I40" s="107" t="str">
        <f>'Necesidades Trimestrales'!F38</f>
        <v>GOTERO</v>
      </c>
      <c r="J40" s="37">
        <f>'Necesidades Trimestrales'!H38</f>
        <v>145</v>
      </c>
      <c r="K40" s="38">
        <f>+'Necesidades Trimestrales'!G38</f>
        <v>0</v>
      </c>
    </row>
    <row r="41" spans="1:11" ht="39.75" customHeight="1" thickBot="1" x14ac:dyDescent="0.25">
      <c r="A41" s="36">
        <v>30</v>
      </c>
      <c r="B41" s="36" t="str">
        <f>'Necesidades Trimestrales'!B39</f>
        <v>2.5.2-6910.21</v>
      </c>
      <c r="C41" s="137" t="str">
        <f>'Necesidades Trimestrales'!E39</f>
        <v>ANTIEMETICOS; TIPO: MONODROGA, DROGA GENERICA: METOCLOPRAMIDA 0.5%, FORMA FARMACEUTICA: GOTAS, PRESENTACION: ENVASE X 20 ML</v>
      </c>
      <c r="D41" s="137"/>
      <c r="E41" s="137"/>
      <c r="F41" s="137"/>
      <c r="G41" s="138"/>
      <c r="H41" s="108" t="s">
        <v>53</v>
      </c>
      <c r="I41" s="107" t="str">
        <f>'Necesidades Trimestrales'!F39</f>
        <v>GOTERO</v>
      </c>
      <c r="J41" s="37">
        <f>'Necesidades Trimestrales'!H39</f>
        <v>150</v>
      </c>
      <c r="K41" s="38">
        <f>+'Necesidades Trimestrales'!G39</f>
        <v>0</v>
      </c>
    </row>
    <row r="42" spans="1:11" ht="39.75" customHeight="1" thickBot="1" x14ac:dyDescent="0.25">
      <c r="A42" s="36">
        <v>31</v>
      </c>
      <c r="B42" s="36" t="str">
        <f>'Necesidades Trimestrales'!B40</f>
        <v>2.5.2-6910.6</v>
      </c>
      <c r="C42" s="137" t="str">
        <f>'Necesidades Trimestrales'!E40</f>
        <v>ANTIEMETICOS; TIPO: MONODROGA, DROGA GENERICA: METOCLOPRAMIDA, FORMA FARMACEUTICA: AMPOLLA, PRESENTACION: 2 mL</v>
      </c>
      <c r="D42" s="137"/>
      <c r="E42" s="137"/>
      <c r="F42" s="137"/>
      <c r="G42" s="138"/>
      <c r="H42" s="108" t="s">
        <v>53</v>
      </c>
      <c r="I42" s="107" t="str">
        <f>'Necesidades Trimestrales'!F40</f>
        <v>AMPOLLA</v>
      </c>
      <c r="J42" s="37">
        <f>'Necesidades Trimestrales'!H40</f>
        <v>35.799999999999997</v>
      </c>
      <c r="K42" s="38">
        <f>+'Necesidades Trimestrales'!G40</f>
        <v>0</v>
      </c>
    </row>
    <row r="43" spans="1:11" ht="39.75" customHeight="1" thickBot="1" x14ac:dyDescent="0.25">
      <c r="A43" s="36">
        <v>32</v>
      </c>
      <c r="B43" s="36" t="str">
        <f>'Necesidades Trimestrales'!B41</f>
        <v>2.5.2-1823.46</v>
      </c>
      <c r="C43" s="137" t="str">
        <f>'Necesidades Trimestrales'!E41</f>
        <v>ANTIMICOTICOS; TIPO: MONODROGA, DROGA GENERICA: NISTATINA 100000 UI/ML, FORMA FARMACEUTICA: SUSPENSION, PRESENTACION: ENVASE X 60 mL</v>
      </c>
      <c r="D43" s="137"/>
      <c r="E43" s="137"/>
      <c r="F43" s="137"/>
      <c r="G43" s="138"/>
      <c r="H43" s="108" t="s">
        <v>53</v>
      </c>
      <c r="I43" s="107" t="str">
        <f>'Necesidades Trimestrales'!F41</f>
        <v>FRASCO</v>
      </c>
      <c r="J43" s="37">
        <f>'Necesidades Trimestrales'!H41</f>
        <v>285</v>
      </c>
      <c r="K43" s="38">
        <f>+'Necesidades Trimestrales'!G41</f>
        <v>0</v>
      </c>
    </row>
    <row r="44" spans="1:11" ht="39.75" customHeight="1" thickBot="1" x14ac:dyDescent="0.25">
      <c r="A44" s="36">
        <v>33</v>
      </c>
      <c r="B44" s="36" t="str">
        <f>'Necesidades Trimestrales'!B42</f>
        <v>2.5.2-1849.3</v>
      </c>
      <c r="C44" s="137" t="str">
        <f>'Necesidades Trimestrales'!E42</f>
        <v>ANTIULCEROSOS; TIPO: MONODROGA, DROGA GENERICA: OMEPRAZOL, FORMA FARMACEUTICA: CAPSULA, PRESENTACION: 20 mGr</v>
      </c>
      <c r="D44" s="137"/>
      <c r="E44" s="137"/>
      <c r="F44" s="137"/>
      <c r="G44" s="138"/>
      <c r="H44" s="108" t="s">
        <v>53</v>
      </c>
      <c r="I44" s="107" t="str">
        <f>'Necesidades Trimestrales'!F42</f>
        <v>CAPSULA</v>
      </c>
      <c r="J44" s="37">
        <f>'Necesidades Trimestrales'!H42</f>
        <v>2.2999999999999998</v>
      </c>
      <c r="K44" s="38">
        <f>+'Necesidades Trimestrales'!G42</f>
        <v>0</v>
      </c>
    </row>
    <row r="45" spans="1:11" ht="39.75" customHeight="1" thickBot="1" x14ac:dyDescent="0.25">
      <c r="A45" s="36">
        <v>34</v>
      </c>
      <c r="B45" s="36" t="str">
        <f>'Necesidades Trimestrales'!B43</f>
        <v>2.5.2-1849.19</v>
      </c>
      <c r="C45" s="137" t="str">
        <f>'Necesidades Trimestrales'!E43</f>
        <v>ANTIULCEROSOS; TIPO: MONODROGA, DROGA GENERICA: OMEPRAZOL 40 mGr, FORMA FARMACEUTICA: AMPOLLA, PRESENTACION: UNIDAD</v>
      </c>
      <c r="D45" s="137"/>
      <c r="E45" s="137"/>
      <c r="F45" s="137"/>
      <c r="G45" s="138"/>
      <c r="H45" s="108" t="s">
        <v>53</v>
      </c>
      <c r="I45" s="107" t="str">
        <f>'Necesidades Trimestrales'!F43</f>
        <v>AMPOLLA</v>
      </c>
      <c r="J45" s="37">
        <f>'Necesidades Trimestrales'!H43</f>
        <v>550</v>
      </c>
      <c r="K45" s="38">
        <f>+'Necesidades Trimestrales'!G43</f>
        <v>0</v>
      </c>
    </row>
    <row r="46" spans="1:11" ht="39.75" customHeight="1" thickBot="1" x14ac:dyDescent="0.25">
      <c r="A46" s="36">
        <v>35</v>
      </c>
      <c r="B46" s="36" t="str">
        <f>'Necesidades Trimestrales'!B44</f>
        <v>2.5.2-6910.13</v>
      </c>
      <c r="C46" s="137" t="str">
        <f>'Necesidades Trimestrales'!E44</f>
        <v>ANTIEMETICOS; TIPO: MONODROGA, DROGA GENERICA: ONDANSETRON X 8 mGr, FORMA FARMACEUTICA: AMPOLLA, PRESENTACION: ENVASE X 1 UN</v>
      </c>
      <c r="D46" s="137"/>
      <c r="E46" s="137"/>
      <c r="F46" s="137"/>
      <c r="G46" s="138"/>
      <c r="H46" s="108" t="s">
        <v>53</v>
      </c>
      <c r="I46" s="107" t="str">
        <f>'Necesidades Trimestrales'!F44</f>
        <v>AMPOLLA</v>
      </c>
      <c r="J46" s="37">
        <f>'Necesidades Trimestrales'!H44</f>
        <v>106.8</v>
      </c>
      <c r="K46" s="38">
        <f>+'Necesidades Trimestrales'!G44</f>
        <v>0</v>
      </c>
    </row>
    <row r="47" spans="1:11" ht="39.75" customHeight="1" thickBot="1" x14ac:dyDescent="0.25">
      <c r="A47" s="36">
        <v>36</v>
      </c>
      <c r="B47" s="36" t="str">
        <f>'Necesidades Trimestrales'!B47</f>
        <v>2.5.2-2481.13</v>
      </c>
      <c r="C47" s="137" t="str">
        <f>'Necesidades Trimestrales'!E47</f>
        <v>LAXANTES; TIPO: MONODROGA, DROGA GENERICA: PICOSULFATO SODICO, FORMA FARMACEUTICA: GOTAS, PRESENTACION: 15 mL</v>
      </c>
      <c r="D47" s="137"/>
      <c r="E47" s="137"/>
      <c r="F47" s="137"/>
      <c r="G47" s="138"/>
      <c r="H47" s="108" t="s">
        <v>53</v>
      </c>
      <c r="I47" s="107" t="str">
        <f>'Necesidades Trimestrales'!F47</f>
        <v>GOTERO</v>
      </c>
      <c r="J47" s="37">
        <f>'Necesidades Trimestrales'!H47</f>
        <v>885.68</v>
      </c>
      <c r="K47" s="38">
        <f>+'Necesidades Trimestrales'!G47</f>
        <v>0</v>
      </c>
    </row>
    <row r="48" spans="1:11" ht="39.75" customHeight="1" thickBot="1" x14ac:dyDescent="0.25">
      <c r="A48" s="36">
        <v>37</v>
      </c>
      <c r="B48" s="36" t="str">
        <f>'Necesidades Trimestrales'!B48</f>
        <v>2.5.2-1901.127</v>
      </c>
      <c r="C48" s="137" t="str">
        <f>'Necesidades Trimestrales'!E48</f>
        <v>VITAMINAS; TIPO: ASOCIACION, DROGA GENERICA: VIT.A +D+C, FORMA FARMACEUTICA: GOTA, PRESENTACION: 30 ML</v>
      </c>
      <c r="D48" s="137"/>
      <c r="E48" s="137"/>
      <c r="F48" s="137"/>
      <c r="G48" s="138"/>
      <c r="H48" s="108" t="s">
        <v>53</v>
      </c>
      <c r="I48" s="107" t="str">
        <f>'Necesidades Trimestrales'!F48</f>
        <v>FRASCO</v>
      </c>
      <c r="J48" s="37">
        <f>'Necesidades Trimestrales'!H48</f>
        <v>210</v>
      </c>
      <c r="K48" s="38">
        <f>+'Necesidades Trimestrales'!G48</f>
        <v>0</v>
      </c>
    </row>
    <row r="49" spans="1:11" ht="39.75" customHeight="1" thickBot="1" x14ac:dyDescent="0.25">
      <c r="A49" s="36">
        <v>38</v>
      </c>
      <c r="B49" s="36" t="str">
        <f>'Necesidades Trimestrales'!B49</f>
        <v>2.5.2-1841.17</v>
      </c>
      <c r="C49" s="137" t="str">
        <f>'Necesidades Trimestrales'!E49</f>
        <v>ANTIACIDOS; TIPO: MONODROGA, DROGA GENERICA: RANITIDINA, FORMA FARMACEUTICA: AMPOLLA, PRESENTACION: UNIDAD</v>
      </c>
      <c r="D49" s="137"/>
      <c r="E49" s="137"/>
      <c r="F49" s="137"/>
      <c r="G49" s="138"/>
      <c r="H49" s="108" t="s">
        <v>53</v>
      </c>
      <c r="I49" s="107" t="str">
        <f>'Necesidades Trimestrales'!F49</f>
        <v>AMPOLLA</v>
      </c>
      <c r="J49" s="37">
        <f>'Necesidades Trimestrales'!H49</f>
        <v>47.5</v>
      </c>
      <c r="K49" s="38">
        <f>+'Necesidades Trimestrales'!G49</f>
        <v>0</v>
      </c>
    </row>
    <row r="50" spans="1:11" ht="39.75" customHeight="1" thickBot="1" x14ac:dyDescent="0.25">
      <c r="A50" s="36">
        <v>39</v>
      </c>
      <c r="B50" s="36" t="str">
        <f>'Necesidades Trimestrales'!B50</f>
        <v>2.5.2-1903.85</v>
      </c>
      <c r="C50" s="137" t="str">
        <f>'Necesidades Trimestrales'!E50</f>
        <v>RECONSTITUYENTE GENERAL; TIPO: ASOCIACION, DROGA GENERICA: SALES DE REHIDRATACION, FORMA FARMACEUTICA: POLVO, PRESENTACION: SOBRE X 27,9 GR</v>
      </c>
      <c r="D50" s="137"/>
      <c r="E50" s="137"/>
      <c r="F50" s="137"/>
      <c r="G50" s="138"/>
      <c r="H50" s="108" t="s">
        <v>53</v>
      </c>
      <c r="I50" s="107" t="str">
        <f>'Necesidades Trimestrales'!F50</f>
        <v>UNIDAD</v>
      </c>
      <c r="J50" s="37">
        <f>'Necesidades Trimestrales'!H50</f>
        <v>88</v>
      </c>
      <c r="K50" s="38">
        <f>+'Necesidades Trimestrales'!G50</f>
        <v>0</v>
      </c>
    </row>
    <row r="51" spans="1:11" ht="39.75" customHeight="1" thickBot="1" x14ac:dyDescent="0.25">
      <c r="A51" s="36">
        <v>40</v>
      </c>
      <c r="B51" s="36" t="str">
        <f>'Necesidades Trimestrales'!B51</f>
        <v>2.5.2-1841.13</v>
      </c>
      <c r="C51" s="137" t="str">
        <f>'Necesidades Trimestrales'!E51</f>
        <v>ANTIACIDOS; TIPO: MONODROGA, DROGA GENERICA: SUCRALFATO, FORMA FARMACEUTICA: SOLUCION, PRESENTACION: ENVASE X 200 mL</v>
      </c>
      <c r="D51" s="137"/>
      <c r="E51" s="137"/>
      <c r="F51" s="137"/>
      <c r="G51" s="138"/>
      <c r="H51" s="108" t="s">
        <v>53</v>
      </c>
      <c r="I51" s="107" t="str">
        <f>'Necesidades Trimestrales'!F51</f>
        <v>FRASCO</v>
      </c>
      <c r="J51" s="37">
        <f>'Necesidades Trimestrales'!H51</f>
        <v>830</v>
      </c>
      <c r="K51" s="38">
        <f>+'Necesidades Trimestrales'!G51</f>
        <v>0</v>
      </c>
    </row>
    <row r="52" spans="1:11" ht="39.75" customHeight="1" thickBot="1" x14ac:dyDescent="0.25">
      <c r="A52" s="36">
        <v>41</v>
      </c>
      <c r="B52" s="36" t="str">
        <f>'Necesidades Trimestrales'!B52</f>
        <v>2.5.2-5520.5</v>
      </c>
      <c r="C52" s="137" t="str">
        <f>'Necesidades Trimestrales'!E52</f>
        <v>VASELINA; TIPO: LIQUIDA, PRESENTACION: ENVASE X 1000 mL</v>
      </c>
      <c r="D52" s="137"/>
      <c r="E52" s="137"/>
      <c r="F52" s="137"/>
      <c r="G52" s="138"/>
      <c r="H52" s="108" t="s">
        <v>53</v>
      </c>
      <c r="I52" s="107" t="str">
        <f>'Necesidades Trimestrales'!F52</f>
        <v>FRASCO</v>
      </c>
      <c r="J52" s="37">
        <f>'Necesidades Trimestrales'!H52</f>
        <v>980</v>
      </c>
      <c r="K52" s="38">
        <f>+'Necesidades Trimestrales'!G52</f>
        <v>0</v>
      </c>
    </row>
    <row r="53" spans="1:11" ht="39.75" customHeight="1" thickBot="1" x14ac:dyDescent="0.25">
      <c r="A53" s="36">
        <v>42</v>
      </c>
      <c r="B53" s="36" t="str">
        <f>'Necesidades Trimestrales'!B53</f>
        <v>2.5.2-1901.128</v>
      </c>
      <c r="C53" s="137" t="str">
        <f>'Necesidades Trimestrales'!E53</f>
        <v>VITAMINAS; TIPO: MONODROGA, DROGA GENERICA: VITAMINA C 200 MG/ML, FORMA FARMACEUTICA: AMPOLLA, PRESENTACION: 5 ML</v>
      </c>
      <c r="D53" s="137"/>
      <c r="E53" s="137"/>
      <c r="F53" s="137"/>
      <c r="G53" s="138"/>
      <c r="H53" s="108" t="s">
        <v>53</v>
      </c>
      <c r="I53" s="107" t="str">
        <f>'Necesidades Trimestrales'!F53</f>
        <v>AMPOLLA</v>
      </c>
      <c r="J53" s="37">
        <f>'Necesidades Trimestrales'!H53</f>
        <v>65</v>
      </c>
      <c r="K53" s="38">
        <f>+'Necesidades Trimestrales'!G53</f>
        <v>0</v>
      </c>
    </row>
    <row r="54" spans="1:11" ht="39.75" customHeight="1" thickBot="1" x14ac:dyDescent="0.25">
      <c r="A54" s="36">
        <v>43</v>
      </c>
      <c r="B54" s="36" t="str">
        <f>'Necesidades Trimestrales'!B54</f>
        <v>2.5.2-1901.129</v>
      </c>
      <c r="C54" s="137" t="str">
        <f>'Necesidades Trimestrales'!E54</f>
        <v>VITAMINAS; TIPO: MONODROGA, DROGA GENERICA: VITAMINA C, FORMA FARMACEUTICA: COMPRIMIDOS, PRESENTACION: 10 COMPRIMIDOS</v>
      </c>
      <c r="D54" s="137"/>
      <c r="E54" s="137"/>
      <c r="F54" s="137"/>
      <c r="G54" s="138"/>
      <c r="H54" s="108" t="s">
        <v>166</v>
      </c>
      <c r="I54" s="107" t="str">
        <f>'Necesidades Trimestrales'!F54</f>
        <v>CAJA</v>
      </c>
      <c r="J54" s="37">
        <f>'Necesidades Trimestrales'!H54</f>
        <v>882.5</v>
      </c>
      <c r="K54" s="38">
        <f>+'Necesidades Trimestrales'!G54</f>
        <v>0</v>
      </c>
    </row>
    <row r="55" spans="1:11" ht="39.75" customHeight="1" thickBot="1" x14ac:dyDescent="0.25">
      <c r="A55" s="36">
        <v>44</v>
      </c>
      <c r="B55" s="36" t="str">
        <f>'Necesidades Trimestrales'!B55</f>
        <v>2.5.2-1901.130</v>
      </c>
      <c r="C55" s="137" t="str">
        <f>'Necesidades Trimestrales'!E55</f>
        <v>VITAMINAS; TIPO: MONODROGA, DROGA GENERICA: VITAMINA D3 2000 UI/ML, FORMA FARMACEUTICA: SOLUCION, PRESENTACION: 2 ML</v>
      </c>
      <c r="D55" s="137"/>
      <c r="E55" s="137"/>
      <c r="F55" s="137"/>
      <c r="G55" s="138"/>
      <c r="H55" s="108" t="s">
        <v>53</v>
      </c>
      <c r="I55" s="107" t="str">
        <f>'Necesidades Trimestrales'!F55</f>
        <v>FRASCO</v>
      </c>
      <c r="J55" s="37">
        <f>'Necesidades Trimestrales'!H55</f>
        <v>958</v>
      </c>
      <c r="K55" s="38">
        <f>+'Necesidades Trimestrales'!G55</f>
        <v>0</v>
      </c>
    </row>
    <row r="56" spans="1:11" ht="25.5" customHeight="1" thickBot="1" x14ac:dyDescent="0.25">
      <c r="A56" s="134" t="s">
        <v>60</v>
      </c>
      <c r="B56" s="134"/>
      <c r="C56" s="134"/>
      <c r="D56" s="134"/>
      <c r="E56" s="134"/>
      <c r="F56" s="134"/>
      <c r="G56" s="134"/>
      <c r="H56" s="135"/>
      <c r="I56" s="134"/>
      <c r="J56" s="136">
        <f>SUMPRODUCT(J12:J55,K12:K55)</f>
        <v>0</v>
      </c>
      <c r="K56" s="136"/>
    </row>
  </sheetData>
  <mergeCells count="66">
    <mergeCell ref="C54:G54"/>
    <mergeCell ref="C55:G55"/>
    <mergeCell ref="C49:G49"/>
    <mergeCell ref="C50:G50"/>
    <mergeCell ref="C51:G51"/>
    <mergeCell ref="C52:G52"/>
    <mergeCell ref="C53:G53"/>
    <mergeCell ref="C44:G44"/>
    <mergeCell ref="C45:G45"/>
    <mergeCell ref="C46:G46"/>
    <mergeCell ref="C47:G47"/>
    <mergeCell ref="C48:G48"/>
    <mergeCell ref="C39:G39"/>
    <mergeCell ref="C40:G40"/>
    <mergeCell ref="C41:G41"/>
    <mergeCell ref="C42:G42"/>
    <mergeCell ref="C43:G43"/>
    <mergeCell ref="C34:G34"/>
    <mergeCell ref="C35:G35"/>
    <mergeCell ref="C36:G36"/>
    <mergeCell ref="C37:G37"/>
    <mergeCell ref="C38:G38"/>
    <mergeCell ref="C29:G29"/>
    <mergeCell ref="C30:G30"/>
    <mergeCell ref="C31:G31"/>
    <mergeCell ref="C32:G32"/>
    <mergeCell ref="C33:G33"/>
    <mergeCell ref="C26:G26"/>
    <mergeCell ref="C27:G27"/>
    <mergeCell ref="C28:G28"/>
    <mergeCell ref="C19:G19"/>
    <mergeCell ref="C20:G20"/>
    <mergeCell ref="C21:G21"/>
    <mergeCell ref="C22:G22"/>
    <mergeCell ref="C13:G13"/>
    <mergeCell ref="C14:G14"/>
    <mergeCell ref="C15:G15"/>
    <mergeCell ref="C16:G16"/>
    <mergeCell ref="C17:G17"/>
    <mergeCell ref="A56:I56"/>
    <mergeCell ref="J56:K56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23:G23"/>
    <mergeCell ref="C24:G24"/>
    <mergeCell ref="C25:G25"/>
    <mergeCell ref="C18:G18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"/>
  <sheetViews>
    <sheetView topLeftCell="A16" zoomScale="130" zoomScaleNormal="130" workbookViewId="0">
      <selection activeCell="P35" sqref="P35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1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45" t="s">
        <v>3</v>
      </c>
      <c r="B1" s="145"/>
      <c r="C1" s="145"/>
      <c r="D1" s="146">
        <f>'Necesidades Trimestrales'!C6</f>
        <v>2022</v>
      </c>
      <c r="E1" s="146"/>
      <c r="F1" s="2"/>
      <c r="G1" s="2"/>
      <c r="H1" s="3"/>
      <c r="I1" s="3"/>
      <c r="J1" s="3"/>
      <c r="K1" s="3"/>
      <c r="L1" s="3"/>
      <c r="M1" s="3"/>
      <c r="N1" s="3"/>
      <c r="P1" s="147" t="s">
        <v>25</v>
      </c>
      <c r="Q1" s="147"/>
    </row>
    <row r="2" spans="1:17" ht="15.75" customHeight="1" x14ac:dyDescent="0.2">
      <c r="H2" s="3"/>
      <c r="I2" s="3"/>
      <c r="J2" s="3"/>
      <c r="K2" s="3"/>
      <c r="L2" s="3"/>
      <c r="M2" s="3"/>
      <c r="N2" s="3"/>
      <c r="P2" s="147"/>
      <c r="Q2" s="147"/>
    </row>
    <row r="4" spans="1:17" s="4" customFormat="1" ht="18" customHeight="1" thickBot="1" x14ac:dyDescent="0.25">
      <c r="A4" s="148" t="s">
        <v>26</v>
      </c>
      <c r="B4" s="148"/>
      <c r="C4" s="148"/>
      <c r="D4" s="148"/>
      <c r="E4" s="148"/>
      <c r="F4" s="148"/>
      <c r="G4" s="149" t="str">
        <f>' NotaPedido'!D3</f>
        <v>040 - Ministerio de Salud</v>
      </c>
      <c r="H4" s="149"/>
      <c r="I4" s="149"/>
      <c r="J4" s="149"/>
      <c r="K4" s="149"/>
      <c r="L4" s="149"/>
      <c r="M4" s="149"/>
      <c r="N4" s="149"/>
      <c r="O4" s="149"/>
      <c r="P4" s="149"/>
      <c r="Q4" s="149"/>
    </row>
    <row r="5" spans="1:17" s="4" customFormat="1" ht="18" customHeight="1" thickBot="1" x14ac:dyDescent="0.25">
      <c r="A5" s="150" t="s">
        <v>49</v>
      </c>
      <c r="B5" s="151"/>
      <c r="C5" s="151"/>
      <c r="D5" s="151"/>
      <c r="E5" s="151"/>
      <c r="F5" s="152"/>
      <c r="G5" s="153" t="str">
        <f>' NotaPedido'!D4</f>
        <v>11/ 23/ 24  o  28- "…......."</v>
      </c>
      <c r="H5" s="153"/>
      <c r="I5" s="153"/>
      <c r="J5" s="153"/>
      <c r="K5" s="153"/>
      <c r="L5" s="153"/>
      <c r="M5" s="153"/>
      <c r="N5" s="153"/>
      <c r="O5" s="153"/>
      <c r="P5" s="153"/>
      <c r="Q5" s="153"/>
    </row>
    <row r="6" spans="1:17" s="4" customFormat="1" ht="18" customHeight="1" thickBot="1" x14ac:dyDescent="0.25">
      <c r="A6" s="150" t="s">
        <v>27</v>
      </c>
      <c r="B6" s="151"/>
      <c r="C6" s="151"/>
      <c r="D6" s="151"/>
      <c r="E6" s="151"/>
      <c r="F6" s="152"/>
      <c r="G6" s="153" t="str">
        <f>' NotaPedido'!D5</f>
        <v>XXXX</v>
      </c>
      <c r="H6" s="153"/>
      <c r="I6" s="153"/>
      <c r="J6" s="153"/>
      <c r="K6" s="153"/>
      <c r="L6" s="153"/>
      <c r="M6" s="153"/>
      <c r="N6" s="153"/>
      <c r="O6" s="153"/>
      <c r="P6" s="153"/>
      <c r="Q6" s="153"/>
    </row>
    <row r="7" spans="1:17" s="4" customFormat="1" ht="18" customHeight="1" thickBot="1" x14ac:dyDescent="0.25">
      <c r="A7" s="150" t="s">
        <v>50</v>
      </c>
      <c r="B7" s="151"/>
      <c r="C7" s="151"/>
      <c r="D7" s="151"/>
      <c r="E7" s="151"/>
      <c r="F7" s="152"/>
      <c r="G7" s="153" t="str">
        <f>' NotaPedido'!D6</f>
        <v>XXXX</v>
      </c>
      <c r="H7" s="153"/>
      <c r="I7" s="153"/>
      <c r="J7" s="153"/>
      <c r="K7" s="153"/>
      <c r="L7" s="153"/>
      <c r="M7" s="153"/>
      <c r="N7" s="153"/>
      <c r="O7" s="153"/>
      <c r="P7" s="153"/>
      <c r="Q7" s="153"/>
    </row>
    <row r="8" spans="1:17" ht="18" customHeight="1" thickBot="1" x14ac:dyDescent="0.25">
      <c r="A8" s="154" t="s">
        <v>28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</row>
    <row r="9" spans="1:17" ht="18" customHeight="1" x14ac:dyDescent="0.2">
      <c r="A9" s="155" t="s">
        <v>29</v>
      </c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Q9" s="5"/>
    </row>
    <row r="10" spans="1:17" ht="54.75" customHeight="1" x14ac:dyDescent="0.2">
      <c r="A10" s="156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xxx/2022,  afectando la erogación resultante a los créditos presupuestarios aprobados a favor de esta Unidad Ejecutora, conforme al siguiente detalle: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</row>
    <row r="11" spans="1:17" ht="9" customHeight="1" x14ac:dyDescent="0.2">
      <c r="A11" s="6"/>
      <c r="B11" s="7"/>
      <c r="C11" s="7"/>
      <c r="D11" s="7"/>
      <c r="E11" s="7"/>
      <c r="F11" s="7"/>
      <c r="G11" s="8"/>
      <c r="H11" s="7"/>
      <c r="I11" s="7"/>
      <c r="J11" s="7"/>
      <c r="K11" s="7"/>
      <c r="L11" s="7"/>
      <c r="M11" s="7"/>
      <c r="N11" s="7"/>
      <c r="O11" s="7"/>
      <c r="P11" s="7"/>
      <c r="Q11" s="9"/>
    </row>
    <row r="12" spans="1:17" ht="15.75" customHeight="1" x14ac:dyDescent="0.2">
      <c r="A12" s="157" t="s">
        <v>30</v>
      </c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</row>
    <row r="13" spans="1:17" ht="15.75" customHeight="1" x14ac:dyDescent="0.2">
      <c r="A13" s="158" t="s">
        <v>31</v>
      </c>
      <c r="B13" s="158"/>
      <c r="C13" s="158"/>
      <c r="D13" s="158"/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9" t="s">
        <v>32</v>
      </c>
      <c r="P13" s="159"/>
      <c r="Q13" s="160" t="s">
        <v>33</v>
      </c>
    </row>
    <row r="14" spans="1:17" ht="15.75" customHeight="1" x14ac:dyDescent="0.2">
      <c r="A14" s="10" t="s">
        <v>34</v>
      </c>
      <c r="B14" s="11" t="s">
        <v>35</v>
      </c>
      <c r="C14" s="11" t="s">
        <v>36</v>
      </c>
      <c r="D14" s="11" t="s">
        <v>37</v>
      </c>
      <c r="E14" s="11" t="s">
        <v>38</v>
      </c>
      <c r="F14" s="11" t="s">
        <v>39</v>
      </c>
      <c r="G14" s="12" t="s">
        <v>40</v>
      </c>
      <c r="H14" s="11" t="s">
        <v>41</v>
      </c>
      <c r="I14" s="11" t="s">
        <v>42</v>
      </c>
      <c r="J14" s="11" t="s">
        <v>43</v>
      </c>
      <c r="K14" s="11" t="s">
        <v>43</v>
      </c>
      <c r="L14" s="11" t="s">
        <v>44</v>
      </c>
      <c r="M14" s="13" t="s">
        <v>45</v>
      </c>
      <c r="N14" s="14" t="s">
        <v>46</v>
      </c>
      <c r="O14" s="159"/>
      <c r="P14" s="159"/>
      <c r="Q14" s="160"/>
    </row>
    <row r="15" spans="1:17" ht="26.25" customHeight="1" x14ac:dyDescent="0.2">
      <c r="A15" s="68"/>
      <c r="B15" s="41"/>
      <c r="C15" s="41"/>
      <c r="D15" s="69"/>
      <c r="E15" s="41"/>
      <c r="F15" s="41">
        <v>4901</v>
      </c>
      <c r="G15" s="41">
        <v>3</v>
      </c>
      <c r="H15" s="41">
        <v>310</v>
      </c>
      <c r="I15" s="67">
        <v>2</v>
      </c>
      <c r="J15" s="67">
        <v>5</v>
      </c>
      <c r="K15" s="67">
        <v>2</v>
      </c>
      <c r="L15" s="41"/>
      <c r="M15" s="42">
        <v>1</v>
      </c>
      <c r="N15" s="43" t="s">
        <v>52</v>
      </c>
      <c r="O15" s="161" t="s">
        <v>167</v>
      </c>
      <c r="P15" s="162"/>
      <c r="Q15" s="15"/>
    </row>
    <row r="16" spans="1:17" ht="17.25" customHeight="1" x14ac:dyDescent="0.2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8"/>
      <c r="N16" s="19"/>
      <c r="O16" s="163"/>
      <c r="P16" s="163"/>
      <c r="Q16" s="20"/>
    </row>
    <row r="17" spans="1:17" ht="17.25" customHeight="1" x14ac:dyDescent="0.2">
      <c r="A17" s="16"/>
      <c r="B17" s="17"/>
      <c r="C17" s="17"/>
      <c r="D17" s="17"/>
      <c r="E17" s="17"/>
      <c r="F17" s="19"/>
      <c r="G17" s="17"/>
      <c r="H17" s="17"/>
      <c r="I17" s="17"/>
      <c r="J17" s="17"/>
      <c r="K17" s="17"/>
      <c r="L17" s="17"/>
      <c r="M17" s="18"/>
      <c r="N17" s="19"/>
      <c r="O17" s="163"/>
      <c r="P17" s="163"/>
      <c r="Q17" s="20"/>
    </row>
    <row r="18" spans="1:17" ht="17.25" customHeight="1" x14ac:dyDescent="0.2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8"/>
      <c r="N18" s="19"/>
      <c r="O18" s="163"/>
      <c r="P18" s="163"/>
      <c r="Q18" s="20"/>
    </row>
    <row r="19" spans="1:17" ht="17.25" customHeight="1" x14ac:dyDescent="0.2">
      <c r="A19" s="16"/>
      <c r="B19" s="17"/>
      <c r="C19" s="17"/>
      <c r="D19" s="17"/>
      <c r="E19" s="17"/>
      <c r="F19" s="19"/>
      <c r="G19" s="17"/>
      <c r="H19" s="17"/>
      <c r="I19" s="17"/>
      <c r="J19" s="17"/>
      <c r="K19" s="17"/>
      <c r="L19" s="17"/>
      <c r="M19" s="18"/>
      <c r="N19" s="19"/>
      <c r="O19" s="163"/>
      <c r="P19" s="163"/>
      <c r="Q19" s="20"/>
    </row>
    <row r="20" spans="1:17" ht="17.25" customHeight="1" x14ac:dyDescent="0.2">
      <c r="A20" s="16"/>
      <c r="B20" s="17"/>
      <c r="C20" s="17"/>
      <c r="D20" s="17"/>
      <c r="E20" s="17"/>
      <c r="F20" s="19"/>
      <c r="G20" s="17"/>
      <c r="H20" s="17"/>
      <c r="I20" s="17"/>
      <c r="J20" s="17"/>
      <c r="K20" s="17"/>
      <c r="L20" s="17"/>
      <c r="M20" s="18"/>
      <c r="N20" s="19"/>
      <c r="O20" s="163"/>
      <c r="P20" s="163"/>
      <c r="Q20" s="20"/>
    </row>
    <row r="21" spans="1:17" ht="17.25" customHeight="1" x14ac:dyDescent="0.2">
      <c r="A21" s="21"/>
      <c r="B21" s="22"/>
      <c r="C21" s="22"/>
      <c r="D21" s="22"/>
      <c r="E21" s="22"/>
      <c r="F21" s="19"/>
      <c r="G21" s="22"/>
      <c r="H21" s="22"/>
      <c r="I21" s="22"/>
      <c r="J21" s="22"/>
      <c r="K21" s="22"/>
      <c r="L21" s="22"/>
      <c r="M21" s="23"/>
      <c r="N21" s="24"/>
      <c r="O21" s="163"/>
      <c r="P21" s="163"/>
      <c r="Q21" s="20"/>
    </row>
    <row r="22" spans="1:17" ht="17.25" customHeight="1" x14ac:dyDescent="0.2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7"/>
      <c r="N22" s="26"/>
      <c r="O22" s="169"/>
      <c r="P22" s="169"/>
      <c r="Q22" s="28"/>
    </row>
    <row r="23" spans="1:17" ht="29.25" customHeight="1" x14ac:dyDescent="0.2">
      <c r="A23" s="170" t="s">
        <v>61</v>
      </c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66">
        <f>SUM(Q15:Q22)</f>
        <v>0</v>
      </c>
    </row>
    <row r="24" spans="1:17" ht="18" customHeight="1" thickBot="1" x14ac:dyDescent="0.25">
      <c r="A24" s="171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</row>
    <row r="25" spans="1:17" ht="17.25" customHeight="1" thickBot="1" x14ac:dyDescent="0.25">
      <c r="A25" s="164" t="s">
        <v>47</v>
      </c>
      <c r="B25" s="165"/>
      <c r="C25" s="165"/>
      <c r="D25" s="165"/>
      <c r="E25" s="165"/>
      <c r="F25" s="166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</row>
    <row r="26" spans="1:17" ht="18" customHeight="1" thickBot="1" x14ac:dyDescent="0.25">
      <c r="A26" s="168" t="s">
        <v>62</v>
      </c>
      <c r="B26" s="168"/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/>
    </row>
    <row r="27" spans="1:17" ht="15" customHeight="1" x14ac:dyDescent="0.2">
      <c r="A27" s="168"/>
      <c r="B27" s="168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COMPRAR</cp:lastModifiedBy>
  <cp:revision>2</cp:revision>
  <cp:lastPrinted>2022-01-24T15:08:47Z</cp:lastPrinted>
  <dcterms:created xsi:type="dcterms:W3CDTF">2020-07-17T23:44:49Z</dcterms:created>
  <dcterms:modified xsi:type="dcterms:W3CDTF">2022-08-23T15:11:04Z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