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F8CCFD8B-7DC0-40AB-B60A-E3B63AE6BE31}" xr6:coauthVersionLast="47" xr6:coauthVersionMax="47" xr10:uidLastSave="{00000000-0000-0000-0000-000000000000}"/>
  <bookViews>
    <workbookView xWindow="-120" yWindow="-120" windowWidth="29040" windowHeight="15840" tabRatio="514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Trimestrales'!$A$9:$I$49</definedName>
    <definedName name="_xlnm.Print_Area" localSheetId="1">' NotaPedido'!$A$1:$K$53</definedName>
    <definedName name="_xlnm.Print_Area" localSheetId="2">'Autor Gastar'!$A$1:$Q$27</definedName>
    <definedName name="_xlnm.Print_Area" localSheetId="0">'Necesidades Trimestrales'!$A$1:$I$49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" i="3" l="1"/>
  <c r="C12" i="2"/>
  <c r="I26" i="1"/>
  <c r="Q21" i="3" l="1"/>
  <c r="I11" i="1" l="1"/>
  <c r="I12" i="1"/>
  <c r="I10" i="1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17" i="2"/>
  <c r="J17" i="2"/>
  <c r="K17" i="2"/>
  <c r="C18" i="2"/>
  <c r="C19" i="2"/>
  <c r="C20" i="2"/>
  <c r="C21" i="2"/>
  <c r="C22" i="2"/>
  <c r="C23" i="2"/>
  <c r="C24" i="2"/>
  <c r="C25" i="2"/>
  <c r="C26" i="2"/>
  <c r="C27" i="2"/>
  <c r="C29" i="2"/>
  <c r="C30" i="2"/>
  <c r="C31" i="2"/>
  <c r="C32" i="2"/>
  <c r="C33" i="2"/>
  <c r="C34" i="2"/>
  <c r="C35" i="2"/>
  <c r="C36" i="2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0" i="1"/>
  <c r="I31" i="1"/>
  <c r="I32" i="1"/>
  <c r="I33" i="1"/>
  <c r="I34" i="1"/>
  <c r="K13" i="2"/>
  <c r="K15" i="2"/>
  <c r="K16" i="2"/>
  <c r="J13" i="2"/>
  <c r="J15" i="2"/>
  <c r="J16" i="2"/>
  <c r="I13" i="2"/>
  <c r="I14" i="2"/>
  <c r="I15" i="2"/>
  <c r="I16" i="2"/>
  <c r="I13" i="1"/>
  <c r="I14" i="1"/>
  <c r="I15" i="1"/>
  <c r="D3" i="2"/>
  <c r="G4" i="3" s="1"/>
  <c r="D4" i="2"/>
  <c r="G5" i="3" s="1"/>
  <c r="A10" i="3"/>
  <c r="D1" i="3"/>
  <c r="I12" i="2"/>
  <c r="I50" i="1" l="1"/>
  <c r="J52" i="2"/>
</calcChain>
</file>

<file path=xl/sharedStrings.xml><?xml version="1.0" encoding="utf-8"?>
<sst xmlns="http://schemas.openxmlformats.org/spreadsheetml/2006/main" count="563" uniqueCount="186">
  <si>
    <t>JURISDICCION:</t>
  </si>
  <si>
    <t xml:space="preserve">SAF N°: </t>
  </si>
  <si>
    <t>EJERCICIO: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</si>
  <si>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</si>
  <si>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</si>
  <si>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</si>
  <si>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</si>
  <si>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</si>
  <si>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</si>
  <si>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</si>
  <si>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</si>
  <si>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</si>
  <si>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</si>
  <si>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</si>
  <si>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</si>
  <si>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</si>
  <si>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</si>
  <si>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</si>
  <si>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</si>
  <si>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</si>
  <si>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</si>
  <si>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</si>
  <si>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</si>
  <si>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</si>
  <si>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</si>
  <si>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</si>
  <si>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</si>
  <si>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</si>
  <si>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</si>
  <si>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</si>
  <si>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</si>
  <si>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</si>
  <si>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</si>
  <si>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</si>
  <si>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</si>
  <si>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</si>
  <si>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</si>
  <si>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</si>
  <si>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</si>
  <si>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</si>
  <si>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</si>
  <si>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</si>
  <si>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</si>
  <si>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</si>
  <si>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</si>
  <si>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</si>
  <si>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</si>
  <si>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</si>
  <si>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</si>
  <si>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</si>
  <si>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</si>
  <si>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</si>
  <si>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</si>
  <si>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</si>
  <si>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</si>
  <si>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</si>
  <si>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</si>
  <si>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</si>
  <si>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UTILES Y PRODUCTOS DEPORTIVOS</t>
  </si>
  <si>
    <t>2.2.2-1045.73</t>
  </si>
  <si>
    <t>INDUMENT TEXTIL Y CONFECCIONES</t>
  </si>
  <si>
    <t>INDUMENTARIA P/PRACTICA DEPORT; USO: PRACTICA DE FUTBOL, TELA: MICRO PIQUE 100% POLIESTER, CRITERIO SOCIAL: SIN</t>
  </si>
  <si>
    <t>2.9.9-2761.3</t>
  </si>
  <si>
    <t>REDES P/DEPORTES; MATERIAL: POLIETILENO, USO: FUTBOL</t>
  </si>
  <si>
    <t>2.7.9-1540.31</t>
  </si>
  <si>
    <t>EQUIPOS</t>
  </si>
  <si>
    <t>TROFEOS; MATERIAL: PLASTICO, BASE: MARMOL, GRABADO: CON</t>
  </si>
  <si>
    <t>2.7.2-2038.16</t>
  </si>
  <si>
    <t>JOYERIA Y ORFEBRERIA</t>
  </si>
  <si>
    <t>MEDALLAS; MATERIAL: ZAMAC PLATEADO A VIEJO, DIAMETRO: 55 mm, GRABADO: CON</t>
  </si>
  <si>
    <t>PROD. MEDICO/FARMACEUTICOS/LAB</t>
  </si>
  <si>
    <t>2.9.5-7429.4</t>
  </si>
  <si>
    <t>PROTECTORES BUCALES; MATERIAL: GOMA, PRESENTACION: UNIDAD</t>
  </si>
  <si>
    <t>2.9.6-9084.6</t>
  </si>
  <si>
    <t>R. Y A. P/PRACTICA DEPORTIVA; ELEMENTO: BASTON P/HOCKEY</t>
  </si>
  <si>
    <t>2.9.9-2448.43</t>
  </si>
  <si>
    <t>PELOTAS; MATERIAL: PVC, TIPO: HOCKEY, NUMERO: 235 mm</t>
  </si>
  <si>
    <t>2.9.9-2448.39</t>
  </si>
  <si>
    <t>PELOTAS; MATERIAL: CUERO, TIPO: BASQUET, NUMERO: 7</t>
  </si>
  <si>
    <t>2.9.9-2761.5</t>
  </si>
  <si>
    <t>REDES P/DEPORTES; MATERIAL: POLIETILENO, USO: BASQUET</t>
  </si>
  <si>
    <t>2.9.9-2448.25</t>
  </si>
  <si>
    <t>PELOTAS; MATERIAL: GOMA, TIPO: BASQUET, NUMERO: 5</t>
  </si>
  <si>
    <t>2.9.9-2448.40</t>
  </si>
  <si>
    <t>PELOTAS; MATERIAL: SINTETICO, TIPO: VOLEY, NUMERO: 65 Cm</t>
  </si>
  <si>
    <t>2.9.9-2761.2</t>
  </si>
  <si>
    <t>REDES P/DEPORTES; USO: VOLEY, MATERIAL: POLIETILENO</t>
  </si>
  <si>
    <t>2.9.6-9084.35</t>
  </si>
  <si>
    <t>R. Y A. P/PRACTICA DEPORTIVA; ELEMENTO: PECHERA DE ENTRENAMIENTO</t>
  </si>
  <si>
    <t>2.9.6-9084.38</t>
  </si>
  <si>
    <t>R. Y A. P/PRACTICA DEPORTIVA; ELEMENTO: ESCALERA P/COORDINACION</t>
  </si>
  <si>
    <t>2.9.6-9084.76</t>
  </si>
  <si>
    <t>R. Y A. P/PRACTICA DEPORTIVA; ELEMENTO: VALLA REGULABLE</t>
  </si>
  <si>
    <t>2.9.6-9084.20</t>
  </si>
  <si>
    <t>R. Y A. P/PRACTICA DEPORTIVA; ELEMENTO: MANOPLA P/NATACION</t>
  </si>
  <si>
    <t>PRENDAS DE VESTIR</t>
  </si>
  <si>
    <t>1.1</t>
  </si>
  <si>
    <t>PRODUCTOS NO FERROSOS</t>
  </si>
  <si>
    <t>OTROS N.E.P.</t>
  </si>
  <si>
    <t>ALTA</t>
  </si>
  <si>
    <t>Especificidades Item N° 3:</t>
  </si>
  <si>
    <t>Especificidades Item N° 4:</t>
  </si>
  <si>
    <t>Especificidades Item N°5:</t>
  </si>
  <si>
    <t>Especificidades Item N°6:</t>
  </si>
  <si>
    <t>Especificidades Item N°7:</t>
  </si>
  <si>
    <t>Especificidades Item N°8:</t>
  </si>
  <si>
    <t>Especificidades Item N°9:</t>
  </si>
  <si>
    <t>10 dias</t>
  </si>
  <si>
    <t>Especificidades Item N°10:</t>
  </si>
  <si>
    <t>Especificidades Item N°11:</t>
  </si>
  <si>
    <t>Especificidades Item N°12:</t>
  </si>
  <si>
    <t>Especificidades Item N°13:</t>
  </si>
  <si>
    <t>Especificidades Item N°14:</t>
  </si>
  <si>
    <t>Especificidades Item N°15:</t>
  </si>
  <si>
    <t>Especificidades Item N°16:</t>
  </si>
  <si>
    <t>Especificidades Item N°18:</t>
  </si>
  <si>
    <t>Especificidades Item N°17:</t>
  </si>
  <si>
    <t>Especificidades Item N°19:</t>
  </si>
  <si>
    <t>Especificidades Item N°20:</t>
  </si>
  <si>
    <t>Especificidades Item N°21:</t>
  </si>
  <si>
    <t>Especificidades Item N°22:</t>
  </si>
  <si>
    <t>Especificidades Item N°23:</t>
  </si>
  <si>
    <t>Especificidades Item N°24:</t>
  </si>
  <si>
    <t>Especificidades Item N°25:</t>
  </si>
  <si>
    <t>Red de voley con cable doble banda  PVC, malla 10 x10 polietileno</t>
  </si>
  <si>
    <t>Pelota de futbol tipo Nassau Pro , material PU , cosida a mano, Nº5, uso profesional, tipo de superficie: cesped natural.</t>
  </si>
  <si>
    <t>Pelotas de rugby N° 5, tipo Goalty Trainner</t>
  </si>
  <si>
    <t>45- Ministerio de Desarrollo Social y Deporte</t>
  </si>
  <si>
    <t>25- Direccion Provincial de Gestion  Administrativa y RRHH</t>
  </si>
  <si>
    <t>Actividad Central</t>
  </si>
  <si>
    <t>Secretaria de Deporte y Recreacion- Polideportivo Capital cito en calle: RAMON J. LUNA S/N San Fernando del Valle de Catamarca</t>
  </si>
  <si>
    <t>S/E</t>
  </si>
  <si>
    <t>44 Promocion Deportiva y Recreativa</t>
  </si>
  <si>
    <t>2.2.2</t>
  </si>
  <si>
    <t>2.9.6</t>
  </si>
  <si>
    <t>2.9.9</t>
  </si>
  <si>
    <t>2.7.9</t>
  </si>
  <si>
    <t>2.7.2-2038.72</t>
  </si>
  <si>
    <t>MEDALLAS; MATERIAL: ZAMAC PLATEADO A VIEJO, DIAMETRO: 30 mm, GRABADO: CON</t>
  </si>
  <si>
    <t>2.7.2</t>
  </si>
  <si>
    <t>2.9.5</t>
  </si>
  <si>
    <t>2.9.9-2448.4</t>
  </si>
  <si>
    <t>PELOTAS; NUMERO: 5, TIPO: RUGBY, MATERIAL: CUERO</t>
  </si>
  <si>
    <t>2.9.9-3889.2</t>
  </si>
  <si>
    <t>FLOTADORES; MATERIAL: POLIETILENO, DIMENSION: 17 X 45 X 3 Cm, TIPO: TABLA</t>
  </si>
  <si>
    <t>PRIMER SEMESTRE</t>
  </si>
  <si>
    <t>PERIODO DE UTILIZACION</t>
  </si>
  <si>
    <t>2.9.9-2448.1</t>
  </si>
  <si>
    <t>PELOTAS; MATERIAL: CUERO, NUMERO: 5, TIPO: FUTBOL</t>
  </si>
  <si>
    <t>Pedido de Necesidades Semestrales</t>
  </si>
  <si>
    <t>30 dias</t>
  </si>
  <si>
    <t>MEDIA</t>
  </si>
  <si>
    <t>Red de futbol, tejido doble malla 14 x 14, hilo de 4 mm (el par), marca Networld</t>
  </si>
  <si>
    <t>Trofeo de 30 cm, material plastico, base de marmol , con grabado, marca Poker</t>
  </si>
  <si>
    <t>Trofeo de 40 cm, material plastico, base de marmol , con grabado, marca Poker</t>
  </si>
  <si>
    <t>Trofeo de 50 cm, material plastico, base de marmol , con grabado, grabado marca Poker</t>
  </si>
  <si>
    <t>Trofeo de 60 cm, material plastico, base de marmol , con grabado, marca Poker</t>
  </si>
  <si>
    <t>Trofeo de 70 cm, material plastico, base de marmol , con grabado, marca Poker</t>
  </si>
  <si>
    <t>MEIDA</t>
  </si>
  <si>
    <t>Trofeo de 80 cm, material plastico, base de marmol , con grabado, marca Poker</t>
  </si>
  <si>
    <t>Medalla de 30 mm de diámetro, material zamac, color plateado a viejo, con grabado, marca Piscue</t>
  </si>
  <si>
    <t>Medalla de 55 mm de diámetro, material zamac, color plateado a viejo, con grabado, marca Piscue</t>
  </si>
  <si>
    <t>Protector bucal, material goma, marca Sol Fitness</t>
  </si>
  <si>
    <t>Baston para hockey, material fibra de vidrio y carbono, de 37", marca Grays.</t>
  </si>
  <si>
    <t>Bocha de hockey tipo Nassau, punteada , material PVC , nucleo hueco</t>
  </si>
  <si>
    <t>Pelotas de basquet N°7 , marca Molten GG7X, tamaño y peso oficiales Liga Nacional Basquet, Cuero compuesto premium, 12 paneles , camara Nylon enrollado butilo vejiga, Construcción Laminado, uso en interiores</t>
  </si>
  <si>
    <t>Red de basquet tejido doble hilo, 4 mm, polietileno, el par , marca Networld</t>
  </si>
  <si>
    <t>Pelotas de basquet N°5, marca Molten GG7X, tamaño y peso oficiales Liga Nacional Basquet, Cuero compuesto premium, 12 paneles , camara Nylon enrollado butilo vejiga, Construcción Laminado, uso en interiores</t>
  </si>
  <si>
    <t xml:space="preserve">Pelotas de Voley marca  MiKasa oficial, Federación Internacional Voley - FIVB </t>
  </si>
  <si>
    <t>Escalera de cordinacion, material PVC, con 10 escalones regulables, marca Deporetes Full</t>
  </si>
  <si>
    <t>Valla regulable de 1 mts de altura, material PVC, marca New Plast</t>
  </si>
  <si>
    <t>Manopla de natacion, material polipropileno, tamaño L, marca Marfed</t>
  </si>
  <si>
    <t>Flotador tipo tabla para natacion, marca Evaplast</t>
  </si>
  <si>
    <t>Secretaria de Deportes y Recreacion</t>
  </si>
  <si>
    <t>44 - Promocion Deportiva y Recreativa</t>
  </si>
  <si>
    <t xml:space="preserve"> 1° semestre</t>
  </si>
  <si>
    <t>Adquisicion de Elementos deportivos para la Secretaria de Deporte y Recreacion  Dependientes del Ministerio de Desarrollo Social y Deporte.-</t>
  </si>
  <si>
    <t>si</t>
  </si>
  <si>
    <t>Costo total estimado: NOVECIENTOS NOVENTA Y NUEVE MIL SETENTA  CON 00/100.-</t>
  </si>
  <si>
    <t>UTILES MENORES MEDICOS, QUIRURGICOS Y DE LABORATORIO</t>
  </si>
  <si>
    <t>REPUESTOS Y ACCESORIOS</t>
  </si>
  <si>
    <t>TOTAL DE PESOS: NOVECIENTOS NOVENTA Y NUEVE MIL SETENTA  CON 00/100 CENTAVOS</t>
  </si>
  <si>
    <t>Adquisicion de Elementos deportivos para para la Secretaria de Deportes y Recreacion,  Dependientes del Ministerio de Desarrollo Social y Deporte.-</t>
  </si>
  <si>
    <t>118/2021</t>
  </si>
  <si>
    <t>Juego de pecheras para entrenamiento de futbol, tela set de poliester, talle universal, marca Lotto (cada juego contiene 11 pecheras)</t>
  </si>
  <si>
    <t>Indumentaria completa para practica deportiva de futbol incluye  (16 prendas cada juego que contiene: medias, short y remera manga corta cuello redondo talle universal) en tela micro picket 100%poliester, marca Lotto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</si>
</sst>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  <numFmt numFmtId="168" formatCode="_ [$$-2C0A]\ * #,##0.00_ ;_ [$$-2C0A]\ * \-#,##0.00_ ;_ [$$-2C0A]\ * &quot;-&quot;??_ ;_ @_ "/>
    <numFmt numFmtId="169" formatCode="&quot;$&quot;\ #,##0.00"/>
    <numFmt numFmtId="170" formatCode="_-[$$-2C0A]\ * #,##0.00_-;\-[$$-2C0A]\ * #,##0.00_-;_-[$$-2C0A]\ 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</borders>
  <cellStyleXfs count="4">
    <xf numFmtId="0" fontId="0" fillId="0" borderId="0"/>
    <xf numFmtId="164" fontId="14" fillId="0" borderId="0" applyBorder="0" applyProtection="0"/>
    <xf numFmtId="0" fontId="1" fillId="0" borderId="1" applyProtection="0"/>
    <xf numFmtId="0" fontId="3" fillId="2" borderId="0" applyBorder="0" applyProtection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5" fontId="13" fillId="0" borderId="32" xfId="0" applyNumberFormat="1" applyFont="1" applyBorder="1" applyAlignment="1">
      <alignment horizontal="center" vertical="center"/>
    </xf>
    <xf numFmtId="0" fontId="15" fillId="0" borderId="0" xfId="0" applyFont="1"/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166" fontId="24" fillId="0" borderId="0" xfId="0" applyNumberFormat="1" applyFont="1" applyBorder="1" applyAlignment="1">
      <alignment horizontal="center" vertical="center"/>
    </xf>
    <xf numFmtId="0" fontId="15" fillId="0" borderId="0" xfId="0" applyFont="1" applyFill="1"/>
    <xf numFmtId="0" fontId="2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8" fillId="0" borderId="0" xfId="0" applyFont="1" applyFill="1" applyBorder="1" applyAlignment="1">
      <alignment horizontal="center" wrapText="1"/>
    </xf>
    <xf numFmtId="165" fontId="20" fillId="0" borderId="0" xfId="1" applyNumberFormat="1" applyFont="1" applyFill="1" applyBorder="1" applyAlignment="1" applyProtection="1">
      <alignment horizontal="right" vertical="center" wrapText="1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19" fillId="3" borderId="37" xfId="0" applyFont="1" applyFill="1" applyBorder="1" applyAlignment="1">
      <alignment horizontal="center" vertical="center" wrapText="1"/>
    </xf>
    <xf numFmtId="0" fontId="19" fillId="3" borderId="38" xfId="0" applyFont="1" applyFill="1" applyBorder="1" applyAlignment="1">
      <alignment horizontal="center" vertical="center" wrapText="1"/>
    </xf>
    <xf numFmtId="0" fontId="19" fillId="3" borderId="39" xfId="0" applyFont="1" applyFill="1" applyBorder="1" applyAlignment="1">
      <alignment horizontal="center" vertical="center" wrapText="1"/>
    </xf>
    <xf numFmtId="169" fontId="20" fillId="3" borderId="2" xfId="0" applyNumberFormat="1" applyFont="1" applyFill="1" applyBorder="1" applyAlignment="1">
      <alignment horizontal="right" vertical="center" wrapText="1"/>
    </xf>
    <xf numFmtId="0" fontId="0" fillId="3" borderId="0" xfId="0" applyFill="1"/>
    <xf numFmtId="0" fontId="18" fillId="3" borderId="2" xfId="0" applyFont="1" applyFill="1" applyBorder="1" applyAlignment="1">
      <alignment horizont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169" fontId="20" fillId="4" borderId="2" xfId="1" applyNumberFormat="1" applyFont="1" applyFill="1" applyBorder="1" applyAlignment="1" applyProtection="1">
      <alignment horizontal="right" vertical="center" wrapText="1"/>
    </xf>
    <xf numFmtId="0" fontId="21" fillId="3" borderId="40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wrapText="1"/>
    </xf>
    <xf numFmtId="169" fontId="20" fillId="4" borderId="43" xfId="1" applyNumberFormat="1" applyFont="1" applyFill="1" applyBorder="1" applyAlignment="1" applyProtection="1">
      <alignment horizontal="right" vertical="center" wrapText="1"/>
    </xf>
    <xf numFmtId="0" fontId="15" fillId="3" borderId="42" xfId="0" applyFont="1" applyFill="1" applyBorder="1"/>
    <xf numFmtId="0" fontId="15" fillId="3" borderId="36" xfId="0" applyFont="1" applyFill="1" applyBorder="1"/>
    <xf numFmtId="166" fontId="0" fillId="0" borderId="0" xfId="0" applyNumberFormat="1"/>
    <xf numFmtId="0" fontId="4" fillId="3" borderId="20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5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165" fontId="20" fillId="4" borderId="2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28" fillId="3" borderId="2" xfId="0" applyFont="1" applyFill="1" applyBorder="1"/>
    <xf numFmtId="0" fontId="22" fillId="3" borderId="3" xfId="0" applyFont="1" applyFill="1" applyBorder="1"/>
    <xf numFmtId="0" fontId="15" fillId="3" borderId="4" xfId="0" applyFont="1" applyFill="1" applyBorder="1"/>
    <xf numFmtId="0" fontId="15" fillId="3" borderId="5" xfId="0" applyFont="1" applyFill="1" applyBorder="1"/>
    <xf numFmtId="0" fontId="15" fillId="3" borderId="6" xfId="0" applyFont="1" applyFill="1" applyBorder="1"/>
    <xf numFmtId="0" fontId="15" fillId="3" borderId="0" xfId="0" applyFont="1" applyFill="1" applyBorder="1"/>
    <xf numFmtId="0" fontId="15" fillId="3" borderId="7" xfId="0" applyFont="1" applyFill="1" applyBorder="1"/>
    <xf numFmtId="0" fontId="22" fillId="3" borderId="6" xfId="0" applyFont="1" applyFill="1" applyBorder="1" applyAlignment="1">
      <alignment horizontal="left" indent="3"/>
    </xf>
    <xf numFmtId="0" fontId="15" fillId="3" borderId="6" xfId="0" applyFont="1" applyFill="1" applyBorder="1" applyAlignment="1">
      <alignment horizontal="left" indent="3"/>
    </xf>
    <xf numFmtId="0" fontId="15" fillId="3" borderId="0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8" xfId="0" applyFont="1" applyFill="1" applyBorder="1" applyAlignment="1">
      <alignment horizontal="left" indent="3"/>
    </xf>
    <xf numFmtId="0" fontId="15" fillId="3" borderId="9" xfId="0" applyFont="1" applyFill="1" applyBorder="1"/>
    <xf numFmtId="0" fontId="15" fillId="3" borderId="10" xfId="0" applyFont="1" applyFill="1" applyBorder="1"/>
    <xf numFmtId="0" fontId="22" fillId="3" borderId="0" xfId="0" applyFont="1" applyFill="1" applyBorder="1"/>
    <xf numFmtId="0" fontId="22" fillId="3" borderId="0" xfId="0" applyFont="1" applyFill="1" applyBorder="1" applyAlignment="1">
      <alignment horizontal="left" indent="3"/>
    </xf>
    <xf numFmtId="0" fontId="15" fillId="3" borderId="0" xfId="0" applyFont="1" applyFill="1" applyBorder="1" applyAlignment="1">
      <alignment horizontal="left" indent="3"/>
    </xf>
    <xf numFmtId="0" fontId="20" fillId="3" borderId="41" xfId="0" applyFont="1" applyFill="1" applyBorder="1" applyAlignment="1">
      <alignment horizontal="center" vertical="center"/>
    </xf>
    <xf numFmtId="0" fontId="0" fillId="3" borderId="42" xfId="0" applyFill="1" applyBorder="1"/>
    <xf numFmtId="0" fontId="21" fillId="3" borderId="42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21" fillId="3" borderId="0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/>
    </xf>
    <xf numFmtId="166" fontId="15" fillId="0" borderId="0" xfId="0" applyNumberFormat="1" applyFont="1"/>
    <xf numFmtId="0" fontId="25" fillId="3" borderId="2" xfId="0" applyFont="1" applyFill="1" applyBorder="1" applyAlignment="1">
      <alignment horizontal="center"/>
    </xf>
    <xf numFmtId="168" fontId="25" fillId="3" borderId="2" xfId="0" applyNumberFormat="1" applyFont="1" applyFill="1" applyBorder="1"/>
    <xf numFmtId="0" fontId="25" fillId="3" borderId="2" xfId="0" quotePrefix="1" applyFont="1" applyFill="1" applyBorder="1" applyAlignment="1">
      <alignment horizontal="center"/>
    </xf>
    <xf numFmtId="170" fontId="25" fillId="3" borderId="2" xfId="1" applyNumberFormat="1" applyFont="1" applyFill="1" applyBorder="1" applyProtection="1"/>
    <xf numFmtId="0" fontId="6" fillId="4" borderId="12" xfId="0" applyFont="1" applyFill="1" applyBorder="1" applyAlignment="1">
      <alignment horizontal="center" vertical="center"/>
    </xf>
    <xf numFmtId="0" fontId="0" fillId="4" borderId="46" xfId="0" applyFont="1" applyFill="1" applyBorder="1" applyAlignment="1">
      <alignment horizontal="center" vertical="center"/>
    </xf>
    <xf numFmtId="0" fontId="0" fillId="4" borderId="47" xfId="0" applyFont="1" applyFill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0" fillId="3" borderId="4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5" fillId="4" borderId="0" xfId="0" applyFont="1" applyFill="1" applyBorder="1" applyAlignment="1">
      <alignment horizontal="left" vertical="center" wrapText="1"/>
    </xf>
    <xf numFmtId="0" fontId="15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wrapText="1"/>
    </xf>
    <xf numFmtId="0" fontId="15" fillId="4" borderId="0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center" wrapText="1"/>
    </xf>
    <xf numFmtId="0" fontId="15" fillId="4" borderId="7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5" fillId="0" borderId="0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0" fontId="7" fillId="3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 indent="1"/>
    </xf>
    <xf numFmtId="166" fontId="24" fillId="0" borderId="15" xfId="0" applyNumberFormat="1" applyFont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/>
    </xf>
    <xf numFmtId="0" fontId="26" fillId="3" borderId="2" xfId="0" applyFont="1" applyFill="1" applyBorder="1" applyAlignment="1">
      <alignment vertical="center"/>
    </xf>
    <xf numFmtId="0" fontId="26" fillId="3" borderId="2" xfId="0" applyFont="1" applyFill="1" applyBorder="1" applyAlignment="1">
      <alignment vertical="distributed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26" fillId="3" borderId="41" xfId="0" applyFont="1" applyFill="1" applyBorder="1" applyAlignment="1">
      <alignment vertical="distributed"/>
    </xf>
    <xf numFmtId="0" fontId="26" fillId="3" borderId="36" xfId="0" applyFont="1" applyFill="1" applyBorder="1" applyAlignment="1">
      <alignment vertical="distributed"/>
    </xf>
    <xf numFmtId="0" fontId="9" fillId="0" borderId="21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27" fillId="4" borderId="32" xfId="0" applyFont="1" applyFill="1" applyBorder="1" applyAlignment="1">
      <alignment horizontal="left" vertical="center" wrapText="1" indent="1"/>
    </xf>
    <xf numFmtId="0" fontId="13" fillId="0" borderId="32" xfId="0" applyFont="1" applyBorder="1" applyAlignment="1">
      <alignment horizontal="left" vertical="center" wrapText="1"/>
    </xf>
    <xf numFmtId="0" fontId="0" fillId="0" borderId="23" xfId="0" applyBorder="1"/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22412</xdr:colOff>
      <xdr:row>34</xdr:row>
      <xdr:rowOff>33617</xdr:rowOff>
    </xdr:from>
    <xdr:to>
      <xdr:col>8</xdr:col>
      <xdr:colOff>1210236</xdr:colOff>
      <xdr:row>48</xdr:row>
      <xdr:rowOff>168088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2412" y="6432176"/>
          <a:ext cx="15822706" cy="23532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36</xdr:row>
      <xdr:rowOff>47625</xdr:rowOff>
    </xdr:from>
    <xdr:to>
      <xdr:col>10</xdr:col>
      <xdr:colOff>1009650</xdr:colOff>
      <xdr:row>50</xdr:row>
      <xdr:rowOff>533400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47625" y="11820525"/>
          <a:ext cx="11515725" cy="533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C648"/>
  <sheetViews>
    <sheetView tabSelected="1" topLeftCell="A13" zoomScale="85" zoomScaleNormal="85" workbookViewId="0">
      <selection activeCell="F80" sqref="F80"/>
    </sheetView>
  </sheetViews>
  <sheetFormatPr baseColWidth="10" defaultColWidth="11" defaultRowHeight="12.75" x14ac:dyDescent="0.2"/>
  <cols>
    <col min="1" max="1" width="4.5703125" style="24" customWidth="1"/>
    <col min="2" max="2" width="19.5703125" style="24" customWidth="1"/>
    <col min="3" max="3" width="32.42578125" style="24" customWidth="1"/>
    <col min="4" max="4" width="8.42578125" style="24" customWidth="1"/>
    <col min="5" max="5" width="117.140625" style="24" customWidth="1"/>
    <col min="6" max="6" width="14" style="33" customWidth="1"/>
    <col min="7" max="7" width="12.7109375" style="33" customWidth="1"/>
    <col min="8" max="8" width="13.85546875" style="33" customWidth="1"/>
    <col min="9" max="9" width="18.5703125" style="33" customWidth="1"/>
    <col min="10" max="10" width="11" style="24"/>
    <col min="11" max="11" width="11.7109375" style="24" bestFit="1" customWidth="1"/>
    <col min="12" max="16384" width="11" style="24"/>
  </cols>
  <sheetData>
    <row r="2" spans="1:9" ht="27" x14ac:dyDescent="0.35">
      <c r="A2" s="33"/>
      <c r="B2" s="112" t="s">
        <v>149</v>
      </c>
      <c r="C2" s="112"/>
      <c r="D2" s="112"/>
      <c r="E2" s="112"/>
      <c r="F2" s="112"/>
      <c r="G2" s="112"/>
      <c r="H2" s="112"/>
    </row>
    <row r="3" spans="1:9" x14ac:dyDescent="0.2">
      <c r="A3" s="33"/>
      <c r="B3" s="33"/>
      <c r="C3" s="33"/>
      <c r="D3" s="33"/>
      <c r="E3" s="33"/>
    </row>
    <row r="4" spans="1:9" ht="18" customHeight="1" x14ac:dyDescent="0.25">
      <c r="A4" s="111" t="s">
        <v>0</v>
      </c>
      <c r="B4" s="111"/>
      <c r="C4" s="113" t="s">
        <v>127</v>
      </c>
      <c r="D4" s="113"/>
      <c r="E4" s="113"/>
      <c r="F4" s="34"/>
      <c r="G4" s="35"/>
      <c r="H4" s="34"/>
    </row>
    <row r="5" spans="1:9" ht="18" customHeight="1" x14ac:dyDescent="0.25">
      <c r="A5" s="111" t="s">
        <v>1</v>
      </c>
      <c r="B5" s="111"/>
      <c r="C5" s="113" t="s">
        <v>128</v>
      </c>
      <c r="D5" s="113"/>
      <c r="E5" s="113"/>
      <c r="F5" s="34"/>
      <c r="G5" s="35"/>
      <c r="H5" s="34"/>
    </row>
    <row r="6" spans="1:9" ht="16.5" customHeight="1" x14ac:dyDescent="0.25">
      <c r="A6" s="111" t="s">
        <v>2</v>
      </c>
      <c r="B6" s="111"/>
      <c r="C6" s="57">
        <v>2021</v>
      </c>
      <c r="D6" s="58"/>
      <c r="E6" s="58"/>
      <c r="F6" s="34"/>
      <c r="G6" s="35"/>
      <c r="H6" s="34"/>
    </row>
    <row r="7" spans="1:9" ht="35.25" customHeight="1" x14ac:dyDescent="0.25">
      <c r="A7" s="111" t="s">
        <v>146</v>
      </c>
      <c r="B7" s="111"/>
      <c r="C7" s="57" t="s">
        <v>145</v>
      </c>
      <c r="D7" s="58"/>
      <c r="E7" s="58"/>
      <c r="F7" s="34"/>
      <c r="G7" s="35"/>
      <c r="H7" s="34"/>
    </row>
    <row r="8" spans="1:9" ht="13.5" thickBot="1" x14ac:dyDescent="0.25">
      <c r="A8" s="33"/>
      <c r="B8" s="34"/>
      <c r="C8" s="35"/>
      <c r="D8" s="34"/>
      <c r="E8" s="34"/>
      <c r="F8" s="34"/>
      <c r="G8" s="35"/>
      <c r="H8" s="34"/>
    </row>
    <row r="9" spans="1:9" ht="38.25" x14ac:dyDescent="0.2">
      <c r="A9" s="59" t="s">
        <v>3</v>
      </c>
      <c r="B9" s="60" t="s">
        <v>4</v>
      </c>
      <c r="C9" s="60" t="s">
        <v>5</v>
      </c>
      <c r="D9" s="61" t="s">
        <v>6</v>
      </c>
      <c r="E9" s="60" t="s">
        <v>7</v>
      </c>
      <c r="F9" s="36" t="s">
        <v>8</v>
      </c>
      <c r="G9" s="37" t="s">
        <v>9</v>
      </c>
      <c r="H9" s="37" t="s">
        <v>10</v>
      </c>
      <c r="I9" s="38" t="s">
        <v>11</v>
      </c>
    </row>
    <row r="10" spans="1:9" ht="16.5" customHeight="1" x14ac:dyDescent="0.2">
      <c r="A10" s="62">
        <v>1</v>
      </c>
      <c r="B10" s="63" t="s">
        <v>147</v>
      </c>
      <c r="C10" s="63" t="s">
        <v>58</v>
      </c>
      <c r="D10" s="89" t="s">
        <v>135</v>
      </c>
      <c r="E10" s="63" t="s">
        <v>148</v>
      </c>
      <c r="F10" s="43" t="s">
        <v>12</v>
      </c>
      <c r="G10" s="43">
        <v>74</v>
      </c>
      <c r="H10" s="39">
        <v>2600</v>
      </c>
      <c r="I10" s="56">
        <f>G10*H10</f>
        <v>192400</v>
      </c>
    </row>
    <row r="11" spans="1:9" x14ac:dyDescent="0.2">
      <c r="A11" s="62">
        <v>2</v>
      </c>
      <c r="B11" s="63" t="s">
        <v>59</v>
      </c>
      <c r="C11" s="63" t="s">
        <v>60</v>
      </c>
      <c r="D11" s="100" t="s">
        <v>133</v>
      </c>
      <c r="E11" s="63" t="s">
        <v>61</v>
      </c>
      <c r="F11" s="100" t="s">
        <v>12</v>
      </c>
      <c r="G11" s="41">
        <v>9</v>
      </c>
      <c r="H11" s="39">
        <v>40000</v>
      </c>
      <c r="I11" s="56">
        <f t="shared" ref="I11:I12" si="0">G11*H11</f>
        <v>360000</v>
      </c>
    </row>
    <row r="12" spans="1:9" x14ac:dyDescent="0.2">
      <c r="A12" s="62">
        <v>3</v>
      </c>
      <c r="B12" s="63" t="s">
        <v>87</v>
      </c>
      <c r="C12" s="63" t="s">
        <v>58</v>
      </c>
      <c r="D12" s="89" t="s">
        <v>134</v>
      </c>
      <c r="E12" s="63" t="s">
        <v>88</v>
      </c>
      <c r="F12" s="42" t="s">
        <v>12</v>
      </c>
      <c r="G12" s="41">
        <v>5</v>
      </c>
      <c r="H12" s="39">
        <v>25000</v>
      </c>
      <c r="I12" s="56">
        <f t="shared" si="0"/>
        <v>125000</v>
      </c>
    </row>
    <row r="13" spans="1:9" x14ac:dyDescent="0.2">
      <c r="A13" s="62">
        <v>4</v>
      </c>
      <c r="B13" s="63" t="s">
        <v>62</v>
      </c>
      <c r="C13" s="63" t="s">
        <v>58</v>
      </c>
      <c r="D13" s="89" t="s">
        <v>135</v>
      </c>
      <c r="E13" s="63" t="s">
        <v>63</v>
      </c>
      <c r="F13" s="42" t="s">
        <v>12</v>
      </c>
      <c r="G13" s="41">
        <v>5</v>
      </c>
      <c r="H13" s="39">
        <v>12000</v>
      </c>
      <c r="I13" s="56">
        <f t="shared" ref="I13:I16" si="1">+G13*H13</f>
        <v>60000</v>
      </c>
    </row>
    <row r="14" spans="1:9" x14ac:dyDescent="0.2">
      <c r="A14" s="62">
        <v>5</v>
      </c>
      <c r="B14" s="63" t="s">
        <v>64</v>
      </c>
      <c r="C14" s="63" t="s">
        <v>65</v>
      </c>
      <c r="D14" s="89" t="s">
        <v>136</v>
      </c>
      <c r="E14" s="63" t="s">
        <v>66</v>
      </c>
      <c r="F14" s="42" t="s">
        <v>12</v>
      </c>
      <c r="G14" s="41">
        <v>18</v>
      </c>
      <c r="H14" s="39">
        <v>290</v>
      </c>
      <c r="I14" s="56">
        <f t="shared" si="1"/>
        <v>5220</v>
      </c>
    </row>
    <row r="15" spans="1:9" x14ac:dyDescent="0.2">
      <c r="A15" s="62">
        <v>6</v>
      </c>
      <c r="B15" s="63" t="s">
        <v>64</v>
      </c>
      <c r="C15" s="63" t="s">
        <v>65</v>
      </c>
      <c r="D15" s="89" t="s">
        <v>136</v>
      </c>
      <c r="E15" s="63" t="s">
        <v>66</v>
      </c>
      <c r="F15" s="42" t="s">
        <v>12</v>
      </c>
      <c r="G15" s="41">
        <v>18</v>
      </c>
      <c r="H15" s="39">
        <v>385</v>
      </c>
      <c r="I15" s="56">
        <f t="shared" si="1"/>
        <v>6930</v>
      </c>
    </row>
    <row r="16" spans="1:9" x14ac:dyDescent="0.2">
      <c r="A16" s="62">
        <v>7</v>
      </c>
      <c r="B16" s="63" t="s">
        <v>64</v>
      </c>
      <c r="C16" s="63" t="s">
        <v>65</v>
      </c>
      <c r="D16" s="89" t="s">
        <v>136</v>
      </c>
      <c r="E16" s="63" t="s">
        <v>66</v>
      </c>
      <c r="F16" s="43" t="s">
        <v>12</v>
      </c>
      <c r="G16" s="41">
        <v>18</v>
      </c>
      <c r="H16" s="39">
        <v>595</v>
      </c>
      <c r="I16" s="56">
        <f t="shared" si="1"/>
        <v>10710</v>
      </c>
    </row>
    <row r="17" spans="1:9" x14ac:dyDescent="0.2">
      <c r="A17" s="62">
        <v>8</v>
      </c>
      <c r="B17" s="63" t="s">
        <v>64</v>
      </c>
      <c r="C17" s="63" t="s">
        <v>65</v>
      </c>
      <c r="D17" s="89" t="s">
        <v>136</v>
      </c>
      <c r="E17" s="63" t="s">
        <v>66</v>
      </c>
      <c r="F17" s="42" t="s">
        <v>12</v>
      </c>
      <c r="G17" s="41">
        <v>18</v>
      </c>
      <c r="H17" s="39">
        <v>785</v>
      </c>
      <c r="I17" s="56">
        <f t="shared" ref="I17:I34" si="2">+G17*H17</f>
        <v>14130</v>
      </c>
    </row>
    <row r="18" spans="1:9" x14ac:dyDescent="0.2">
      <c r="A18" s="62">
        <v>9</v>
      </c>
      <c r="B18" s="63" t="s">
        <v>64</v>
      </c>
      <c r="C18" s="63" t="s">
        <v>65</v>
      </c>
      <c r="D18" s="89" t="s">
        <v>136</v>
      </c>
      <c r="E18" s="63" t="s">
        <v>66</v>
      </c>
      <c r="F18" s="42" t="s">
        <v>12</v>
      </c>
      <c r="G18" s="41">
        <v>18</v>
      </c>
      <c r="H18" s="39">
        <v>900</v>
      </c>
      <c r="I18" s="56">
        <f t="shared" si="2"/>
        <v>16200</v>
      </c>
    </row>
    <row r="19" spans="1:9" x14ac:dyDescent="0.2">
      <c r="A19" s="62">
        <v>10</v>
      </c>
      <c r="B19" s="63" t="s">
        <v>64</v>
      </c>
      <c r="C19" s="63" t="s">
        <v>65</v>
      </c>
      <c r="D19" s="89" t="s">
        <v>136</v>
      </c>
      <c r="E19" s="63" t="s">
        <v>66</v>
      </c>
      <c r="F19" s="42" t="s">
        <v>12</v>
      </c>
      <c r="G19" s="41">
        <v>18</v>
      </c>
      <c r="H19" s="39">
        <v>1020</v>
      </c>
      <c r="I19" s="56">
        <f t="shared" si="2"/>
        <v>18360</v>
      </c>
    </row>
    <row r="20" spans="1:9" x14ac:dyDescent="0.2">
      <c r="A20" s="62">
        <v>11</v>
      </c>
      <c r="B20" s="63" t="s">
        <v>137</v>
      </c>
      <c r="C20" s="63" t="s">
        <v>68</v>
      </c>
      <c r="D20" s="89" t="s">
        <v>139</v>
      </c>
      <c r="E20" s="63" t="s">
        <v>138</v>
      </c>
      <c r="F20" s="42" t="s">
        <v>12</v>
      </c>
      <c r="G20" s="41">
        <v>10</v>
      </c>
      <c r="H20" s="39">
        <v>200</v>
      </c>
      <c r="I20" s="56">
        <f t="shared" si="2"/>
        <v>2000</v>
      </c>
    </row>
    <row r="21" spans="1:9" x14ac:dyDescent="0.2">
      <c r="A21" s="62">
        <v>12</v>
      </c>
      <c r="B21" s="63" t="s">
        <v>67</v>
      </c>
      <c r="C21" s="63" t="s">
        <v>68</v>
      </c>
      <c r="D21" s="89" t="s">
        <v>139</v>
      </c>
      <c r="E21" s="63" t="s">
        <v>69</v>
      </c>
      <c r="F21" s="42" t="s">
        <v>12</v>
      </c>
      <c r="G21" s="41">
        <v>20</v>
      </c>
      <c r="H21" s="39">
        <v>275</v>
      </c>
      <c r="I21" s="56">
        <f t="shared" si="2"/>
        <v>5500</v>
      </c>
    </row>
    <row r="22" spans="1:9" x14ac:dyDescent="0.2">
      <c r="A22" s="62">
        <v>13</v>
      </c>
      <c r="B22" s="63" t="s">
        <v>71</v>
      </c>
      <c r="C22" s="63" t="s">
        <v>70</v>
      </c>
      <c r="D22" s="89" t="s">
        <v>140</v>
      </c>
      <c r="E22" s="63" t="s">
        <v>72</v>
      </c>
      <c r="F22" s="43" t="s">
        <v>12</v>
      </c>
      <c r="G22" s="41">
        <v>4</v>
      </c>
      <c r="H22" s="39">
        <v>800</v>
      </c>
      <c r="I22" s="56">
        <f t="shared" si="2"/>
        <v>3200</v>
      </c>
    </row>
    <row r="23" spans="1:9" x14ac:dyDescent="0.2">
      <c r="A23" s="62">
        <v>14</v>
      </c>
      <c r="B23" s="63" t="s">
        <v>73</v>
      </c>
      <c r="C23" s="63" t="s">
        <v>58</v>
      </c>
      <c r="D23" s="89" t="s">
        <v>134</v>
      </c>
      <c r="E23" s="63" t="s">
        <v>74</v>
      </c>
      <c r="F23" s="42" t="s">
        <v>12</v>
      </c>
      <c r="G23" s="41">
        <v>10</v>
      </c>
      <c r="H23" s="39">
        <v>2600</v>
      </c>
      <c r="I23" s="56">
        <f t="shared" si="2"/>
        <v>26000</v>
      </c>
    </row>
    <row r="24" spans="1:9" x14ac:dyDescent="0.2">
      <c r="A24" s="62">
        <v>15</v>
      </c>
      <c r="B24" s="63" t="s">
        <v>75</v>
      </c>
      <c r="C24" s="63" t="s">
        <v>58</v>
      </c>
      <c r="D24" s="89" t="s">
        <v>135</v>
      </c>
      <c r="E24" s="63" t="s">
        <v>76</v>
      </c>
      <c r="F24" s="42" t="s">
        <v>12</v>
      </c>
      <c r="G24" s="41">
        <v>10</v>
      </c>
      <c r="H24" s="39">
        <v>320</v>
      </c>
      <c r="I24" s="56">
        <f t="shared" si="2"/>
        <v>3200</v>
      </c>
    </row>
    <row r="25" spans="1:9" x14ac:dyDescent="0.2">
      <c r="A25" s="62">
        <v>16</v>
      </c>
      <c r="B25" s="63" t="s">
        <v>77</v>
      </c>
      <c r="C25" s="63" t="s">
        <v>58</v>
      </c>
      <c r="D25" s="89" t="s">
        <v>135</v>
      </c>
      <c r="E25" s="63" t="s">
        <v>78</v>
      </c>
      <c r="F25" s="42" t="s">
        <v>12</v>
      </c>
      <c r="G25" s="41">
        <v>10</v>
      </c>
      <c r="H25" s="39">
        <v>1800</v>
      </c>
      <c r="I25" s="56">
        <f t="shared" si="2"/>
        <v>18000</v>
      </c>
    </row>
    <row r="26" spans="1:9" x14ac:dyDescent="0.2">
      <c r="A26" s="62">
        <v>17</v>
      </c>
      <c r="B26" s="63" t="s">
        <v>79</v>
      </c>
      <c r="C26" s="63" t="s">
        <v>58</v>
      </c>
      <c r="D26" s="89" t="s">
        <v>135</v>
      </c>
      <c r="E26" s="63" t="s">
        <v>80</v>
      </c>
      <c r="F26" s="42" t="s">
        <v>12</v>
      </c>
      <c r="G26" s="41">
        <v>6</v>
      </c>
      <c r="H26" s="39">
        <v>4500</v>
      </c>
      <c r="I26" s="56">
        <f t="shared" si="2"/>
        <v>27000</v>
      </c>
    </row>
    <row r="27" spans="1:9" x14ac:dyDescent="0.2">
      <c r="A27" s="62">
        <v>18</v>
      </c>
      <c r="B27" s="63" t="s">
        <v>81</v>
      </c>
      <c r="C27" s="63" t="s">
        <v>58</v>
      </c>
      <c r="D27" s="89" t="s">
        <v>135</v>
      </c>
      <c r="E27" s="63" t="s">
        <v>82</v>
      </c>
      <c r="F27" s="42" t="s">
        <v>12</v>
      </c>
      <c r="G27" s="41">
        <v>6</v>
      </c>
      <c r="H27" s="39">
        <v>2700</v>
      </c>
      <c r="I27" s="56">
        <f t="shared" si="2"/>
        <v>16200</v>
      </c>
    </row>
    <row r="28" spans="1:9" x14ac:dyDescent="0.2">
      <c r="A28" s="62">
        <v>19</v>
      </c>
      <c r="B28" s="63" t="s">
        <v>83</v>
      </c>
      <c r="C28" s="63" t="s">
        <v>58</v>
      </c>
      <c r="D28" s="89" t="s">
        <v>135</v>
      </c>
      <c r="E28" s="63" t="s">
        <v>84</v>
      </c>
      <c r="F28" s="42" t="s">
        <v>12</v>
      </c>
      <c r="G28" s="41">
        <v>10</v>
      </c>
      <c r="H28" s="39">
        <v>3300</v>
      </c>
      <c r="I28" s="56">
        <f t="shared" si="2"/>
        <v>33000</v>
      </c>
    </row>
    <row r="29" spans="1:9" x14ac:dyDescent="0.2">
      <c r="A29" s="62">
        <v>20</v>
      </c>
      <c r="B29" s="63" t="s">
        <v>85</v>
      </c>
      <c r="C29" s="63" t="s">
        <v>58</v>
      </c>
      <c r="D29" s="89" t="s">
        <v>135</v>
      </c>
      <c r="E29" s="63" t="s">
        <v>86</v>
      </c>
      <c r="F29" s="43" t="s">
        <v>12</v>
      </c>
      <c r="G29" s="41">
        <v>6</v>
      </c>
      <c r="H29" s="39">
        <v>4100</v>
      </c>
      <c r="I29" s="56">
        <f t="shared" si="2"/>
        <v>24600</v>
      </c>
    </row>
    <row r="30" spans="1:9" x14ac:dyDescent="0.2">
      <c r="A30" s="62">
        <v>21</v>
      </c>
      <c r="B30" s="63" t="s">
        <v>141</v>
      </c>
      <c r="C30" s="63" t="s">
        <v>58</v>
      </c>
      <c r="D30" s="89" t="s">
        <v>135</v>
      </c>
      <c r="E30" s="63" t="s">
        <v>142</v>
      </c>
      <c r="F30" s="42" t="s">
        <v>12</v>
      </c>
      <c r="G30" s="41">
        <v>10</v>
      </c>
      <c r="H30" s="39">
        <v>1800</v>
      </c>
      <c r="I30" s="56">
        <f t="shared" si="2"/>
        <v>18000</v>
      </c>
    </row>
    <row r="31" spans="1:9" x14ac:dyDescent="0.2">
      <c r="A31" s="62">
        <v>22</v>
      </c>
      <c r="B31" s="63" t="s">
        <v>89</v>
      </c>
      <c r="C31" s="63" t="s">
        <v>58</v>
      </c>
      <c r="D31" s="89" t="s">
        <v>134</v>
      </c>
      <c r="E31" s="63" t="s">
        <v>90</v>
      </c>
      <c r="F31" s="42" t="s">
        <v>12</v>
      </c>
      <c r="G31" s="41">
        <v>6</v>
      </c>
      <c r="H31" s="39">
        <v>900</v>
      </c>
      <c r="I31" s="56">
        <f t="shared" si="2"/>
        <v>5400</v>
      </c>
    </row>
    <row r="32" spans="1:9" x14ac:dyDescent="0.2">
      <c r="A32" s="62">
        <v>23</v>
      </c>
      <c r="B32" s="63" t="s">
        <v>91</v>
      </c>
      <c r="C32" s="63" t="s">
        <v>58</v>
      </c>
      <c r="D32" s="89" t="s">
        <v>134</v>
      </c>
      <c r="E32" s="63" t="s">
        <v>92</v>
      </c>
      <c r="F32" s="42" t="s">
        <v>12</v>
      </c>
      <c r="G32" s="41">
        <v>6</v>
      </c>
      <c r="H32" s="39">
        <v>450</v>
      </c>
      <c r="I32" s="56">
        <f t="shared" si="2"/>
        <v>2700</v>
      </c>
    </row>
    <row r="33" spans="1:16" x14ac:dyDescent="0.2">
      <c r="A33" s="62">
        <v>24</v>
      </c>
      <c r="B33" s="63" t="s">
        <v>93</v>
      </c>
      <c r="C33" s="63" t="s">
        <v>58</v>
      </c>
      <c r="D33" s="89" t="s">
        <v>134</v>
      </c>
      <c r="E33" s="63" t="s">
        <v>94</v>
      </c>
      <c r="F33" s="42" t="s">
        <v>12</v>
      </c>
      <c r="G33" s="41">
        <v>4</v>
      </c>
      <c r="H33" s="39">
        <v>680</v>
      </c>
      <c r="I33" s="56">
        <f t="shared" si="2"/>
        <v>2720</v>
      </c>
    </row>
    <row r="34" spans="1:16" x14ac:dyDescent="0.2">
      <c r="A34" s="62">
        <v>25</v>
      </c>
      <c r="B34" s="63" t="s">
        <v>143</v>
      </c>
      <c r="C34" s="63" t="s">
        <v>58</v>
      </c>
      <c r="D34" s="89" t="s">
        <v>135</v>
      </c>
      <c r="E34" s="63" t="s">
        <v>144</v>
      </c>
      <c r="F34" s="42" t="s">
        <v>12</v>
      </c>
      <c r="G34" s="41">
        <v>4</v>
      </c>
      <c r="H34" s="39">
        <v>650</v>
      </c>
      <c r="I34" s="56">
        <f t="shared" si="2"/>
        <v>2600</v>
      </c>
    </row>
    <row r="35" spans="1:16" x14ac:dyDescent="0.2">
      <c r="A35" s="62"/>
      <c r="B35" s="63"/>
      <c r="C35" s="63"/>
      <c r="D35" s="42"/>
      <c r="E35" s="64"/>
      <c r="F35" s="43"/>
      <c r="G35" s="43"/>
      <c r="H35" s="39"/>
      <c r="I35" s="56"/>
    </row>
    <row r="36" spans="1:16" x14ac:dyDescent="0.2">
      <c r="A36" s="62"/>
      <c r="B36" s="63"/>
      <c r="C36" s="63"/>
      <c r="D36" s="42"/>
      <c r="E36" s="63"/>
      <c r="F36" s="42"/>
      <c r="G36" s="41"/>
      <c r="H36" s="39"/>
      <c r="I36" s="56"/>
    </row>
    <row r="37" spans="1:16" x14ac:dyDescent="0.2">
      <c r="A37" s="62"/>
      <c r="B37" s="63"/>
      <c r="C37" s="63"/>
      <c r="D37" s="42"/>
      <c r="E37" s="63"/>
      <c r="F37" s="42"/>
      <c r="G37" s="41"/>
      <c r="H37" s="39"/>
      <c r="I37" s="56"/>
    </row>
    <row r="38" spans="1:16" x14ac:dyDescent="0.2">
      <c r="A38" s="62"/>
      <c r="B38" s="63"/>
      <c r="C38" s="63"/>
      <c r="D38" s="42"/>
      <c r="E38" s="63"/>
      <c r="F38" s="42"/>
      <c r="G38" s="41"/>
      <c r="H38" s="39"/>
      <c r="I38" s="56"/>
    </row>
    <row r="39" spans="1:16" x14ac:dyDescent="0.2">
      <c r="A39" s="62"/>
      <c r="B39" s="63"/>
      <c r="C39" s="63"/>
      <c r="D39" s="42"/>
      <c r="E39" s="63"/>
      <c r="F39" s="42"/>
      <c r="G39" s="41"/>
      <c r="H39" s="39"/>
      <c r="I39" s="56"/>
      <c r="J39" s="28"/>
      <c r="K39" s="28"/>
      <c r="L39" s="28"/>
      <c r="M39" s="28"/>
      <c r="N39" s="28"/>
      <c r="O39" s="28"/>
      <c r="P39" s="28"/>
    </row>
    <row r="40" spans="1:16" x14ac:dyDescent="0.2">
      <c r="A40" s="62"/>
      <c r="B40" s="63"/>
      <c r="C40" s="63"/>
      <c r="D40" s="42"/>
      <c r="E40" s="63"/>
      <c r="F40" s="42"/>
      <c r="G40" s="41"/>
      <c r="H40" s="39"/>
      <c r="I40" s="56"/>
      <c r="J40" s="28"/>
      <c r="K40" s="28"/>
      <c r="L40" s="28"/>
      <c r="M40" s="28"/>
      <c r="N40" s="28"/>
      <c r="O40" s="28"/>
      <c r="P40" s="28"/>
    </row>
    <row r="41" spans="1:16" x14ac:dyDescent="0.2">
      <c r="A41" s="62"/>
      <c r="B41" s="63"/>
      <c r="C41" s="63"/>
      <c r="D41" s="42"/>
      <c r="E41" s="63"/>
      <c r="F41" s="43"/>
      <c r="G41" s="43"/>
      <c r="H41" s="39"/>
      <c r="I41" s="56"/>
      <c r="J41" s="29"/>
      <c r="K41" s="30"/>
      <c r="L41" s="29"/>
      <c r="M41" s="31"/>
      <c r="N41" s="32"/>
      <c r="O41" s="32"/>
      <c r="P41" s="28"/>
    </row>
    <row r="42" spans="1:16" x14ac:dyDescent="0.2">
      <c r="A42" s="62"/>
      <c r="B42" s="63"/>
      <c r="C42" s="63"/>
      <c r="D42" s="42"/>
      <c r="E42" s="63"/>
      <c r="F42" s="42"/>
      <c r="G42" s="41"/>
      <c r="H42" s="39"/>
      <c r="I42" s="56"/>
      <c r="J42" s="28"/>
      <c r="K42" s="28"/>
      <c r="L42" s="28"/>
      <c r="M42" s="28"/>
      <c r="N42" s="28"/>
      <c r="O42" s="28"/>
      <c r="P42" s="28"/>
    </row>
    <row r="43" spans="1:16" x14ac:dyDescent="0.2">
      <c r="A43" s="62"/>
      <c r="B43" s="63"/>
      <c r="C43" s="63"/>
      <c r="D43" s="42"/>
      <c r="E43" s="63"/>
      <c r="F43" s="42"/>
      <c r="G43" s="41"/>
      <c r="H43" s="39"/>
      <c r="I43" s="56"/>
      <c r="J43" s="32"/>
      <c r="K43" s="32"/>
      <c r="L43" s="28"/>
      <c r="M43" s="28"/>
      <c r="N43" s="28"/>
      <c r="O43" s="28"/>
      <c r="P43" s="28"/>
    </row>
    <row r="44" spans="1:16" x14ac:dyDescent="0.2">
      <c r="A44" s="62"/>
      <c r="B44" s="63"/>
      <c r="C44" s="63"/>
      <c r="D44" s="42"/>
      <c r="E44" s="63"/>
      <c r="F44" s="42"/>
      <c r="G44" s="41"/>
      <c r="H44" s="39"/>
      <c r="I44" s="56"/>
      <c r="J44" s="32"/>
      <c r="K44" s="32"/>
      <c r="L44" s="28"/>
      <c r="M44" s="28"/>
      <c r="N44" s="28"/>
      <c r="O44" s="28"/>
      <c r="P44" s="28"/>
    </row>
    <row r="45" spans="1:16" x14ac:dyDescent="0.2">
      <c r="A45" s="62"/>
      <c r="B45" s="63"/>
      <c r="C45" s="63"/>
      <c r="D45" s="42"/>
      <c r="E45" s="63"/>
      <c r="F45" s="42"/>
      <c r="G45" s="41"/>
      <c r="H45" s="39"/>
      <c r="I45" s="56"/>
      <c r="J45" s="28"/>
      <c r="K45" s="28"/>
      <c r="L45" s="28"/>
      <c r="M45" s="28"/>
      <c r="N45" s="28"/>
      <c r="O45" s="28"/>
      <c r="P45" s="28"/>
    </row>
    <row r="46" spans="1:16" x14ac:dyDescent="0.2">
      <c r="A46" s="62"/>
      <c r="B46" s="63"/>
      <c r="C46" s="63"/>
      <c r="D46" s="42"/>
      <c r="E46" s="63"/>
      <c r="F46" s="42"/>
      <c r="G46" s="41"/>
      <c r="H46" s="39"/>
      <c r="I46" s="56"/>
    </row>
    <row r="47" spans="1:16" x14ac:dyDescent="0.2">
      <c r="A47" s="62"/>
      <c r="B47" s="63"/>
      <c r="C47" s="63"/>
      <c r="D47" s="42"/>
      <c r="E47" s="63"/>
      <c r="F47" s="43"/>
      <c r="G47" s="43"/>
      <c r="H47" s="39"/>
      <c r="I47" s="56"/>
    </row>
    <row r="48" spans="1:16" ht="14.25" customHeight="1" x14ac:dyDescent="0.2">
      <c r="A48" s="62"/>
      <c r="B48" s="63"/>
      <c r="C48" s="63"/>
      <c r="D48" s="42"/>
      <c r="E48" s="63"/>
      <c r="F48" s="42"/>
      <c r="G48" s="41"/>
      <c r="H48" s="39"/>
      <c r="I48" s="56"/>
    </row>
    <row r="49" spans="1:29" ht="16.5" customHeight="1" x14ac:dyDescent="0.2">
      <c r="A49" s="62"/>
      <c r="B49" s="63"/>
      <c r="C49" s="63"/>
      <c r="D49" s="42"/>
      <c r="E49" s="63"/>
      <c r="F49" s="42"/>
      <c r="G49" s="41"/>
      <c r="H49" s="44"/>
      <c r="I49" s="56"/>
    </row>
    <row r="50" spans="1:29" ht="16.5" customHeight="1" x14ac:dyDescent="0.2">
      <c r="A50" s="62"/>
      <c r="B50" s="63"/>
      <c r="C50" s="63"/>
      <c r="D50" s="42"/>
      <c r="E50" s="63"/>
      <c r="F50" s="42"/>
      <c r="G50" s="41"/>
      <c r="H50" s="44"/>
      <c r="I50" s="56">
        <f>SUM(I10:I49)</f>
        <v>999070</v>
      </c>
    </row>
    <row r="51" spans="1:29" ht="16.5" customHeight="1" x14ac:dyDescent="0.2">
      <c r="A51" s="25"/>
      <c r="B51" s="1"/>
      <c r="C51" s="1"/>
      <c r="D51" s="26"/>
      <c r="E51" s="1"/>
      <c r="F51" s="45"/>
      <c r="G51" s="46"/>
      <c r="H51" s="47"/>
      <c r="I51" s="40"/>
      <c r="J51"/>
      <c r="K51" s="40"/>
      <c r="L51" s="4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spans="1:29" x14ac:dyDescent="0.2">
      <c r="A52" s="83"/>
      <c r="B52" s="84"/>
      <c r="C52" s="84"/>
      <c r="D52" s="85"/>
      <c r="E52" s="84"/>
      <c r="F52" s="48"/>
      <c r="G52" s="48"/>
      <c r="H52" s="48"/>
      <c r="I52" s="49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 ht="13.5" thickBot="1" x14ac:dyDescent="0.25">
      <c r="A53" s="86"/>
      <c r="B53" s="87"/>
      <c r="C53" s="87"/>
      <c r="D53" s="88"/>
      <c r="E53" s="87"/>
    </row>
    <row r="54" spans="1:29" x14ac:dyDescent="0.2">
      <c r="A54" s="33"/>
      <c r="B54" s="65" t="s">
        <v>13</v>
      </c>
      <c r="C54" s="66"/>
      <c r="D54" s="66"/>
      <c r="E54" s="67"/>
    </row>
    <row r="55" spans="1:29" ht="5.25" customHeight="1" x14ac:dyDescent="0.2">
      <c r="A55" s="33"/>
      <c r="B55" s="68"/>
      <c r="C55" s="69"/>
      <c r="D55" s="69"/>
      <c r="E55" s="70"/>
    </row>
    <row r="56" spans="1:29" x14ac:dyDescent="0.2">
      <c r="A56" s="33"/>
      <c r="B56" s="71" t="s">
        <v>14</v>
      </c>
      <c r="C56" s="69"/>
      <c r="D56" s="69"/>
      <c r="E56" s="70"/>
    </row>
    <row r="57" spans="1:29" ht="41.25" customHeight="1" x14ac:dyDescent="0.2">
      <c r="A57" s="33"/>
      <c r="B57" s="71"/>
      <c r="C57" s="108" t="s">
        <v>125</v>
      </c>
      <c r="D57" s="108"/>
      <c r="E57" s="108"/>
    </row>
    <row r="58" spans="1:29" x14ac:dyDescent="0.2">
      <c r="A58" s="33"/>
      <c r="B58" s="71" t="s">
        <v>15</v>
      </c>
      <c r="C58" s="69"/>
      <c r="D58" s="69"/>
      <c r="E58" s="70"/>
    </row>
    <row r="59" spans="1:29" x14ac:dyDescent="0.2">
      <c r="A59" s="33"/>
      <c r="B59" s="72"/>
      <c r="C59" s="106" t="s">
        <v>107</v>
      </c>
      <c r="D59" s="106"/>
      <c r="E59" s="106"/>
    </row>
    <row r="60" spans="1:29" x14ac:dyDescent="0.2">
      <c r="A60" s="33"/>
      <c r="B60" s="72"/>
      <c r="C60" s="106" t="s">
        <v>130</v>
      </c>
      <c r="D60" s="106"/>
      <c r="E60" s="106"/>
    </row>
    <row r="61" spans="1:29" x14ac:dyDescent="0.2">
      <c r="A61" s="33"/>
      <c r="B61" s="71" t="s">
        <v>16</v>
      </c>
      <c r="C61" s="73"/>
      <c r="D61" s="73"/>
      <c r="E61" s="74"/>
    </row>
    <row r="62" spans="1:29" ht="26.25" customHeight="1" x14ac:dyDescent="0.2">
      <c r="A62" s="33"/>
      <c r="B62" s="72"/>
      <c r="C62" s="107" t="s">
        <v>151</v>
      </c>
      <c r="D62" s="107"/>
      <c r="E62" s="107"/>
    </row>
    <row r="63" spans="1:29" x14ac:dyDescent="0.2">
      <c r="A63" s="33"/>
      <c r="B63" s="71" t="s">
        <v>17</v>
      </c>
      <c r="C63" s="75"/>
      <c r="D63" s="75"/>
      <c r="E63" s="76"/>
    </row>
    <row r="64" spans="1:29" ht="26.25" customHeight="1" x14ac:dyDescent="0.2">
      <c r="A64" s="33"/>
      <c r="B64" s="72"/>
      <c r="C64" s="109" t="s">
        <v>150</v>
      </c>
      <c r="D64" s="109"/>
      <c r="E64" s="109"/>
    </row>
    <row r="65" spans="1:5" x14ac:dyDescent="0.2">
      <c r="A65" s="33"/>
      <c r="B65" s="71" t="s">
        <v>18</v>
      </c>
      <c r="C65" s="73"/>
      <c r="D65" s="73"/>
      <c r="E65" s="74"/>
    </row>
    <row r="66" spans="1:5" ht="23.25" customHeight="1" x14ac:dyDescent="0.2">
      <c r="A66" s="33"/>
      <c r="B66" s="71"/>
      <c r="C66" s="110" t="s">
        <v>131</v>
      </c>
      <c r="D66" s="110"/>
      <c r="E66" s="110"/>
    </row>
    <row r="67" spans="1:5" ht="13.5" thickBot="1" x14ac:dyDescent="0.25">
      <c r="A67" s="33"/>
      <c r="B67" s="77"/>
      <c r="C67" s="78"/>
      <c r="D67" s="78"/>
      <c r="E67" s="79"/>
    </row>
    <row r="68" spans="1:5" ht="13.5" thickBot="1" x14ac:dyDescent="0.25">
      <c r="A68" s="33"/>
      <c r="B68" s="33"/>
      <c r="C68" s="33"/>
      <c r="D68" s="33"/>
      <c r="E68" s="33"/>
    </row>
    <row r="69" spans="1:5" x14ac:dyDescent="0.2">
      <c r="A69" s="33"/>
      <c r="B69" s="65" t="s">
        <v>19</v>
      </c>
      <c r="C69" s="66"/>
      <c r="D69" s="66"/>
      <c r="E69" s="67"/>
    </row>
    <row r="70" spans="1:5" ht="7.5" customHeight="1" x14ac:dyDescent="0.2">
      <c r="A70" s="33"/>
      <c r="B70" s="68"/>
      <c r="C70" s="69"/>
      <c r="D70" s="69"/>
      <c r="E70" s="70"/>
    </row>
    <row r="71" spans="1:5" x14ac:dyDescent="0.2">
      <c r="A71" s="33"/>
      <c r="B71" s="71" t="s">
        <v>14</v>
      </c>
      <c r="C71" s="69"/>
      <c r="D71" s="69"/>
      <c r="E71" s="70"/>
    </row>
    <row r="72" spans="1:5" ht="39" customHeight="1" x14ac:dyDescent="0.2">
      <c r="A72" s="33"/>
      <c r="B72" s="71"/>
      <c r="C72" s="108" t="s">
        <v>185</v>
      </c>
      <c r="D72" s="108"/>
      <c r="E72" s="108"/>
    </row>
    <row r="73" spans="1:5" x14ac:dyDescent="0.2">
      <c r="A73" s="33"/>
      <c r="B73" s="71" t="s">
        <v>15</v>
      </c>
      <c r="C73" s="69"/>
      <c r="D73" s="69"/>
      <c r="E73" s="70"/>
    </row>
    <row r="74" spans="1:5" x14ac:dyDescent="0.2">
      <c r="A74" s="33"/>
      <c r="B74" s="72"/>
      <c r="C74" s="106" t="s">
        <v>107</v>
      </c>
      <c r="D74" s="106"/>
      <c r="E74" s="106"/>
    </row>
    <row r="75" spans="1:5" x14ac:dyDescent="0.2">
      <c r="A75" s="33"/>
      <c r="B75" s="72"/>
      <c r="C75" s="106" t="s">
        <v>130</v>
      </c>
      <c r="D75" s="106"/>
      <c r="E75" s="106"/>
    </row>
    <row r="76" spans="1:5" x14ac:dyDescent="0.2">
      <c r="A76" s="33"/>
      <c r="B76" s="71" t="s">
        <v>16</v>
      </c>
      <c r="C76" s="73"/>
      <c r="D76" s="73"/>
      <c r="E76" s="74"/>
    </row>
    <row r="77" spans="1:5" x14ac:dyDescent="0.2">
      <c r="A77" s="33"/>
      <c r="B77" s="72"/>
      <c r="C77" s="107" t="s">
        <v>151</v>
      </c>
      <c r="D77" s="107"/>
      <c r="E77" s="107"/>
    </row>
    <row r="78" spans="1:5" x14ac:dyDescent="0.2">
      <c r="A78" s="33"/>
      <c r="B78" s="71" t="s">
        <v>17</v>
      </c>
      <c r="C78" s="75"/>
      <c r="D78" s="75"/>
      <c r="E78" s="76"/>
    </row>
    <row r="79" spans="1:5" x14ac:dyDescent="0.2">
      <c r="A79" s="33"/>
      <c r="B79" s="72"/>
      <c r="C79" s="109" t="s">
        <v>150</v>
      </c>
      <c r="D79" s="109"/>
      <c r="E79" s="109"/>
    </row>
    <row r="80" spans="1:5" x14ac:dyDescent="0.2">
      <c r="A80" s="33"/>
      <c r="B80" s="71" t="s">
        <v>18</v>
      </c>
      <c r="C80" s="73"/>
      <c r="D80" s="73"/>
      <c r="E80" s="74"/>
    </row>
    <row r="81" spans="1:5" x14ac:dyDescent="0.2">
      <c r="A81" s="33"/>
      <c r="B81" s="71"/>
      <c r="C81" s="110" t="s">
        <v>131</v>
      </c>
      <c r="D81" s="110"/>
      <c r="E81" s="110"/>
    </row>
    <row r="82" spans="1:5" ht="13.5" thickBot="1" x14ac:dyDescent="0.25">
      <c r="A82" s="33"/>
      <c r="B82" s="77"/>
      <c r="C82" s="78"/>
      <c r="D82" s="78"/>
      <c r="E82" s="79"/>
    </row>
    <row r="83" spans="1:5" ht="13.5" thickBot="1" x14ac:dyDescent="0.25">
      <c r="A83" s="33"/>
      <c r="B83" s="33"/>
      <c r="C83" s="33"/>
      <c r="D83" s="33"/>
      <c r="E83" s="33"/>
    </row>
    <row r="84" spans="1:5" x14ac:dyDescent="0.2">
      <c r="A84" s="33"/>
      <c r="B84" s="65" t="s">
        <v>100</v>
      </c>
      <c r="C84" s="66"/>
      <c r="D84" s="66"/>
      <c r="E84" s="67"/>
    </row>
    <row r="85" spans="1:5" x14ac:dyDescent="0.2">
      <c r="A85" s="33"/>
      <c r="B85" s="68"/>
      <c r="C85" s="69"/>
      <c r="D85" s="69"/>
      <c r="E85" s="70"/>
    </row>
    <row r="86" spans="1:5" x14ac:dyDescent="0.2">
      <c r="A86" s="33"/>
      <c r="B86" s="71" t="s">
        <v>14</v>
      </c>
      <c r="C86" s="69"/>
      <c r="D86" s="69"/>
      <c r="E86" s="70"/>
    </row>
    <row r="87" spans="1:5" x14ac:dyDescent="0.2">
      <c r="A87" s="33"/>
      <c r="B87" s="71"/>
      <c r="C87" s="108" t="s">
        <v>184</v>
      </c>
      <c r="D87" s="108"/>
      <c r="E87" s="108"/>
    </row>
    <row r="88" spans="1:5" x14ac:dyDescent="0.2">
      <c r="A88" s="33"/>
      <c r="B88" s="71" t="s">
        <v>15</v>
      </c>
      <c r="C88" s="69"/>
      <c r="D88" s="69"/>
      <c r="E88" s="70"/>
    </row>
    <row r="89" spans="1:5" x14ac:dyDescent="0.2">
      <c r="A89" s="33"/>
      <c r="B89" s="72"/>
      <c r="C89" s="106" t="s">
        <v>107</v>
      </c>
      <c r="D89" s="106"/>
      <c r="E89" s="106"/>
    </row>
    <row r="90" spans="1:5" x14ac:dyDescent="0.2">
      <c r="A90" s="33"/>
      <c r="B90" s="72"/>
      <c r="C90" s="106" t="s">
        <v>130</v>
      </c>
      <c r="D90" s="106"/>
      <c r="E90" s="106"/>
    </row>
    <row r="91" spans="1:5" x14ac:dyDescent="0.2">
      <c r="A91" s="33"/>
      <c r="B91" s="71" t="s">
        <v>16</v>
      </c>
      <c r="C91" s="73"/>
      <c r="D91" s="73"/>
      <c r="E91" s="74"/>
    </row>
    <row r="92" spans="1:5" x14ac:dyDescent="0.2">
      <c r="A92" s="33"/>
      <c r="B92" s="72"/>
      <c r="C92" s="107" t="s">
        <v>151</v>
      </c>
      <c r="D92" s="107"/>
      <c r="E92" s="107"/>
    </row>
    <row r="93" spans="1:5" x14ac:dyDescent="0.2">
      <c r="A93" s="33"/>
      <c r="B93" s="71" t="s">
        <v>17</v>
      </c>
      <c r="C93" s="75"/>
      <c r="D93" s="75"/>
      <c r="E93" s="76"/>
    </row>
    <row r="94" spans="1:5" x14ac:dyDescent="0.2">
      <c r="A94" s="33"/>
      <c r="B94" s="72"/>
      <c r="C94" s="109" t="s">
        <v>150</v>
      </c>
      <c r="D94" s="109"/>
      <c r="E94" s="109"/>
    </row>
    <row r="95" spans="1:5" x14ac:dyDescent="0.2">
      <c r="A95" s="33"/>
      <c r="B95" s="71" t="s">
        <v>18</v>
      </c>
      <c r="C95" s="73"/>
      <c r="D95" s="73"/>
      <c r="E95" s="74"/>
    </row>
    <row r="96" spans="1:5" x14ac:dyDescent="0.2">
      <c r="A96" s="33"/>
      <c r="B96" s="71"/>
      <c r="C96" s="110" t="s">
        <v>131</v>
      </c>
      <c r="D96" s="110"/>
      <c r="E96" s="110"/>
    </row>
    <row r="97" spans="1:5" ht="13.5" thickBot="1" x14ac:dyDescent="0.25">
      <c r="A97" s="33"/>
      <c r="B97" s="77"/>
      <c r="C97" s="78"/>
      <c r="D97" s="78"/>
      <c r="E97" s="79"/>
    </row>
    <row r="98" spans="1:5" ht="13.5" thickBot="1" x14ac:dyDescent="0.25">
      <c r="A98" s="33"/>
      <c r="B98" s="33"/>
      <c r="C98" s="33"/>
      <c r="D98" s="33"/>
      <c r="E98" s="33"/>
    </row>
    <row r="99" spans="1:5" x14ac:dyDescent="0.2">
      <c r="A99" s="33"/>
      <c r="B99" s="65" t="s">
        <v>101</v>
      </c>
      <c r="C99" s="66"/>
      <c r="D99" s="66"/>
      <c r="E99" s="67"/>
    </row>
    <row r="100" spans="1:5" x14ac:dyDescent="0.2">
      <c r="A100" s="33"/>
      <c r="B100" s="68"/>
      <c r="C100" s="69"/>
      <c r="D100" s="69"/>
      <c r="E100" s="70"/>
    </row>
    <row r="101" spans="1:5" x14ac:dyDescent="0.2">
      <c r="A101" s="33"/>
      <c r="B101" s="71" t="s">
        <v>14</v>
      </c>
      <c r="C101" s="69"/>
      <c r="D101" s="69"/>
      <c r="E101" s="70"/>
    </row>
    <row r="102" spans="1:5" x14ac:dyDescent="0.2">
      <c r="A102" s="33"/>
      <c r="B102" s="71"/>
      <c r="C102" s="108" t="s">
        <v>152</v>
      </c>
      <c r="D102" s="108"/>
      <c r="E102" s="108"/>
    </row>
    <row r="103" spans="1:5" x14ac:dyDescent="0.2">
      <c r="A103" s="33"/>
      <c r="B103" s="71" t="s">
        <v>15</v>
      </c>
      <c r="C103" s="69"/>
      <c r="D103" s="69"/>
      <c r="E103" s="70"/>
    </row>
    <row r="104" spans="1:5" x14ac:dyDescent="0.2">
      <c r="A104" s="33"/>
      <c r="B104" s="72"/>
      <c r="C104" s="106" t="s">
        <v>107</v>
      </c>
      <c r="D104" s="106"/>
      <c r="E104" s="106"/>
    </row>
    <row r="105" spans="1:5" x14ac:dyDescent="0.2">
      <c r="A105" s="33"/>
      <c r="B105" s="72"/>
      <c r="C105" s="106" t="s">
        <v>130</v>
      </c>
      <c r="D105" s="106"/>
      <c r="E105" s="106"/>
    </row>
    <row r="106" spans="1:5" x14ac:dyDescent="0.2">
      <c r="A106" s="33"/>
      <c r="B106" s="71" t="s">
        <v>16</v>
      </c>
      <c r="C106" s="73"/>
      <c r="D106" s="73"/>
      <c r="E106" s="74"/>
    </row>
    <row r="107" spans="1:5" x14ac:dyDescent="0.2">
      <c r="A107" s="33"/>
      <c r="B107" s="72"/>
      <c r="C107" s="107" t="s">
        <v>99</v>
      </c>
      <c r="D107" s="107"/>
      <c r="E107" s="107"/>
    </row>
    <row r="108" spans="1:5" x14ac:dyDescent="0.2">
      <c r="A108" s="33"/>
      <c r="B108" s="71" t="s">
        <v>17</v>
      </c>
      <c r="C108" s="75"/>
      <c r="D108" s="75"/>
      <c r="E108" s="76"/>
    </row>
    <row r="109" spans="1:5" x14ac:dyDescent="0.2">
      <c r="A109" s="33"/>
      <c r="B109" s="72"/>
      <c r="C109" s="109" t="s">
        <v>150</v>
      </c>
      <c r="D109" s="109"/>
      <c r="E109" s="109"/>
    </row>
    <row r="110" spans="1:5" x14ac:dyDescent="0.2">
      <c r="A110" s="33"/>
      <c r="B110" s="71" t="s">
        <v>18</v>
      </c>
      <c r="C110" s="73"/>
      <c r="D110" s="73"/>
      <c r="E110" s="74"/>
    </row>
    <row r="111" spans="1:5" x14ac:dyDescent="0.2">
      <c r="A111" s="33"/>
      <c r="B111" s="71"/>
      <c r="C111" s="110" t="s">
        <v>131</v>
      </c>
      <c r="D111" s="110"/>
      <c r="E111" s="110"/>
    </row>
    <row r="112" spans="1:5" ht="13.5" thickBot="1" x14ac:dyDescent="0.25">
      <c r="A112" s="33"/>
      <c r="B112" s="77"/>
      <c r="C112" s="78"/>
      <c r="D112" s="78"/>
      <c r="E112" s="79"/>
    </row>
    <row r="113" spans="1:5" ht="13.5" thickBot="1" x14ac:dyDescent="0.25">
      <c r="A113" s="33"/>
      <c r="B113" s="33"/>
      <c r="C113" s="33"/>
      <c r="D113" s="33"/>
      <c r="E113" s="33"/>
    </row>
    <row r="114" spans="1:5" x14ac:dyDescent="0.2">
      <c r="A114" s="33"/>
      <c r="B114" s="65" t="s">
        <v>102</v>
      </c>
      <c r="C114" s="66"/>
      <c r="D114" s="66"/>
      <c r="E114" s="67"/>
    </row>
    <row r="115" spans="1:5" x14ac:dyDescent="0.2">
      <c r="A115" s="33"/>
      <c r="B115" s="68"/>
      <c r="C115" s="69"/>
      <c r="D115" s="69"/>
      <c r="E115" s="70"/>
    </row>
    <row r="116" spans="1:5" x14ac:dyDescent="0.2">
      <c r="A116" s="33"/>
      <c r="B116" s="71" t="s">
        <v>14</v>
      </c>
      <c r="C116" s="69"/>
      <c r="D116" s="69"/>
      <c r="E116" s="70"/>
    </row>
    <row r="117" spans="1:5" x14ac:dyDescent="0.2">
      <c r="A117" s="33"/>
      <c r="B117" s="71"/>
      <c r="C117" s="108" t="s">
        <v>153</v>
      </c>
      <c r="D117" s="108"/>
      <c r="E117" s="108"/>
    </row>
    <row r="118" spans="1:5" x14ac:dyDescent="0.2">
      <c r="A118" s="33"/>
      <c r="B118" s="71" t="s">
        <v>15</v>
      </c>
      <c r="C118" s="69"/>
      <c r="D118" s="69"/>
      <c r="E118" s="70"/>
    </row>
    <row r="119" spans="1:5" x14ac:dyDescent="0.2">
      <c r="A119" s="33"/>
      <c r="B119" s="72"/>
      <c r="C119" s="106" t="s">
        <v>107</v>
      </c>
      <c r="D119" s="106"/>
      <c r="E119" s="106"/>
    </row>
    <row r="120" spans="1:5" x14ac:dyDescent="0.2">
      <c r="A120" s="33"/>
      <c r="B120" s="72"/>
      <c r="C120" s="106" t="s">
        <v>130</v>
      </c>
      <c r="D120" s="106"/>
      <c r="E120" s="106"/>
    </row>
    <row r="121" spans="1:5" x14ac:dyDescent="0.2">
      <c r="A121" s="33"/>
      <c r="B121" s="71" t="s">
        <v>16</v>
      </c>
      <c r="C121" s="73"/>
      <c r="D121" s="73"/>
      <c r="E121" s="74"/>
    </row>
    <row r="122" spans="1:5" x14ac:dyDescent="0.2">
      <c r="A122" s="33"/>
      <c r="B122" s="72"/>
      <c r="C122" s="107" t="s">
        <v>151</v>
      </c>
      <c r="D122" s="107"/>
      <c r="E122" s="107"/>
    </row>
    <row r="123" spans="1:5" x14ac:dyDescent="0.2">
      <c r="A123" s="33"/>
      <c r="B123" s="71" t="s">
        <v>17</v>
      </c>
      <c r="C123" s="75"/>
      <c r="D123" s="75"/>
      <c r="E123" s="76"/>
    </row>
    <row r="124" spans="1:5" x14ac:dyDescent="0.2">
      <c r="A124" s="33"/>
      <c r="B124" s="72"/>
      <c r="C124" s="109" t="s">
        <v>150</v>
      </c>
      <c r="D124" s="109"/>
      <c r="E124" s="109"/>
    </row>
    <row r="125" spans="1:5" x14ac:dyDescent="0.2">
      <c r="A125" s="33"/>
      <c r="B125" s="71" t="s">
        <v>18</v>
      </c>
      <c r="C125" s="73"/>
      <c r="D125" s="73"/>
      <c r="E125" s="74"/>
    </row>
    <row r="126" spans="1:5" x14ac:dyDescent="0.2">
      <c r="A126" s="33"/>
      <c r="B126" s="71"/>
      <c r="C126" s="110" t="s">
        <v>131</v>
      </c>
      <c r="D126" s="110"/>
      <c r="E126" s="110"/>
    </row>
    <row r="127" spans="1:5" ht="13.5" thickBot="1" x14ac:dyDescent="0.25">
      <c r="A127" s="33"/>
      <c r="B127" s="77"/>
      <c r="C127" s="78"/>
      <c r="D127" s="78"/>
      <c r="E127" s="79"/>
    </row>
    <row r="128" spans="1:5" ht="13.5" thickBot="1" x14ac:dyDescent="0.25">
      <c r="A128" s="33"/>
      <c r="B128" s="33"/>
      <c r="C128" s="33"/>
      <c r="D128" s="33"/>
      <c r="E128" s="33"/>
    </row>
    <row r="129" spans="1:5" x14ac:dyDescent="0.2">
      <c r="A129" s="33"/>
      <c r="B129" s="65" t="s">
        <v>103</v>
      </c>
      <c r="C129" s="66"/>
      <c r="D129" s="66"/>
      <c r="E129" s="67"/>
    </row>
    <row r="130" spans="1:5" x14ac:dyDescent="0.2">
      <c r="A130" s="33"/>
      <c r="B130" s="68"/>
      <c r="C130" s="69"/>
      <c r="D130" s="69"/>
      <c r="E130" s="70"/>
    </row>
    <row r="131" spans="1:5" x14ac:dyDescent="0.2">
      <c r="A131" s="33"/>
      <c r="B131" s="71" t="s">
        <v>14</v>
      </c>
      <c r="C131" s="69"/>
      <c r="D131" s="69"/>
      <c r="E131" s="70"/>
    </row>
    <row r="132" spans="1:5" x14ac:dyDescent="0.2">
      <c r="A132" s="33"/>
      <c r="B132" s="71"/>
      <c r="C132" s="108" t="s">
        <v>154</v>
      </c>
      <c r="D132" s="108"/>
      <c r="E132" s="108"/>
    </row>
    <row r="133" spans="1:5" x14ac:dyDescent="0.2">
      <c r="A133" s="33"/>
      <c r="B133" s="71" t="s">
        <v>15</v>
      </c>
      <c r="C133" s="69"/>
      <c r="D133" s="69"/>
      <c r="E133" s="70"/>
    </row>
    <row r="134" spans="1:5" x14ac:dyDescent="0.2">
      <c r="A134" s="33"/>
      <c r="B134" s="72"/>
      <c r="C134" s="106" t="s">
        <v>107</v>
      </c>
      <c r="D134" s="106"/>
      <c r="E134" s="106"/>
    </row>
    <row r="135" spans="1:5" x14ac:dyDescent="0.2">
      <c r="A135" s="33"/>
      <c r="B135" s="72"/>
      <c r="C135" s="106" t="s">
        <v>130</v>
      </c>
      <c r="D135" s="106"/>
      <c r="E135" s="106"/>
    </row>
    <row r="136" spans="1:5" x14ac:dyDescent="0.2">
      <c r="A136" s="33"/>
      <c r="B136" s="71" t="s">
        <v>16</v>
      </c>
      <c r="C136" s="73"/>
      <c r="D136" s="73"/>
      <c r="E136" s="74"/>
    </row>
    <row r="137" spans="1:5" x14ac:dyDescent="0.2">
      <c r="A137" s="33"/>
      <c r="B137" s="72"/>
      <c r="C137" s="107" t="s">
        <v>151</v>
      </c>
      <c r="D137" s="107"/>
      <c r="E137" s="107"/>
    </row>
    <row r="138" spans="1:5" x14ac:dyDescent="0.2">
      <c r="A138" s="33"/>
      <c r="B138" s="71" t="s">
        <v>17</v>
      </c>
      <c r="C138" s="75"/>
      <c r="D138" s="75"/>
      <c r="E138" s="76"/>
    </row>
    <row r="139" spans="1:5" x14ac:dyDescent="0.2">
      <c r="A139" s="33"/>
      <c r="B139" s="72"/>
      <c r="C139" s="109" t="s">
        <v>150</v>
      </c>
      <c r="D139" s="109"/>
      <c r="E139" s="109"/>
    </row>
    <row r="140" spans="1:5" x14ac:dyDescent="0.2">
      <c r="A140" s="33"/>
      <c r="B140" s="71" t="s">
        <v>18</v>
      </c>
      <c r="C140" s="73"/>
      <c r="D140" s="73"/>
      <c r="E140" s="74"/>
    </row>
    <row r="141" spans="1:5" x14ac:dyDescent="0.2">
      <c r="A141" s="33"/>
      <c r="B141" s="71"/>
      <c r="C141" s="110" t="s">
        <v>131</v>
      </c>
      <c r="D141" s="110"/>
      <c r="E141" s="110"/>
    </row>
    <row r="142" spans="1:5" ht="13.5" thickBot="1" x14ac:dyDescent="0.25">
      <c r="A142" s="33"/>
      <c r="B142" s="77"/>
      <c r="C142" s="78"/>
      <c r="D142" s="78"/>
      <c r="E142" s="79"/>
    </row>
    <row r="143" spans="1:5" ht="13.5" thickBot="1" x14ac:dyDescent="0.25">
      <c r="A143" s="33"/>
      <c r="B143" s="33"/>
      <c r="C143" s="33"/>
      <c r="D143" s="33"/>
      <c r="E143" s="33"/>
    </row>
    <row r="144" spans="1:5" x14ac:dyDescent="0.2">
      <c r="A144" s="33"/>
      <c r="B144" s="65" t="s">
        <v>104</v>
      </c>
      <c r="C144" s="66"/>
      <c r="D144" s="66"/>
      <c r="E144" s="67"/>
    </row>
    <row r="145" spans="1:5" x14ac:dyDescent="0.2">
      <c r="A145" s="33"/>
      <c r="B145" s="68"/>
      <c r="C145" s="69"/>
      <c r="D145" s="69"/>
      <c r="E145" s="70"/>
    </row>
    <row r="146" spans="1:5" x14ac:dyDescent="0.2">
      <c r="A146" s="33"/>
      <c r="B146" s="71" t="s">
        <v>14</v>
      </c>
      <c r="C146" s="69"/>
      <c r="D146" s="69"/>
      <c r="E146" s="70"/>
    </row>
    <row r="147" spans="1:5" x14ac:dyDescent="0.2">
      <c r="A147" s="33"/>
      <c r="B147" s="71"/>
      <c r="C147" s="108" t="s">
        <v>155</v>
      </c>
      <c r="D147" s="108"/>
      <c r="E147" s="108"/>
    </row>
    <row r="148" spans="1:5" x14ac:dyDescent="0.2">
      <c r="A148" s="33"/>
      <c r="B148" s="71" t="s">
        <v>15</v>
      </c>
      <c r="C148" s="69"/>
      <c r="D148" s="69"/>
      <c r="E148" s="70"/>
    </row>
    <row r="149" spans="1:5" x14ac:dyDescent="0.2">
      <c r="A149" s="33"/>
      <c r="B149" s="72"/>
      <c r="C149" s="106" t="s">
        <v>107</v>
      </c>
      <c r="D149" s="106"/>
      <c r="E149" s="106"/>
    </row>
    <row r="150" spans="1:5" x14ac:dyDescent="0.2">
      <c r="A150" s="33"/>
      <c r="B150" s="72"/>
      <c r="C150" s="106" t="s">
        <v>130</v>
      </c>
      <c r="D150" s="106"/>
      <c r="E150" s="106"/>
    </row>
    <row r="151" spans="1:5" x14ac:dyDescent="0.2">
      <c r="A151" s="33"/>
      <c r="B151" s="71" t="s">
        <v>16</v>
      </c>
      <c r="C151" s="73"/>
      <c r="D151" s="73"/>
      <c r="E151" s="74"/>
    </row>
    <row r="152" spans="1:5" x14ac:dyDescent="0.2">
      <c r="A152" s="33"/>
      <c r="B152" s="72"/>
      <c r="C152" s="107" t="s">
        <v>151</v>
      </c>
      <c r="D152" s="107"/>
      <c r="E152" s="107"/>
    </row>
    <row r="153" spans="1:5" x14ac:dyDescent="0.2">
      <c r="A153" s="33"/>
      <c r="B153" s="71" t="s">
        <v>17</v>
      </c>
      <c r="C153" s="75"/>
      <c r="D153" s="75"/>
      <c r="E153" s="76"/>
    </row>
    <row r="154" spans="1:5" x14ac:dyDescent="0.2">
      <c r="A154" s="33"/>
      <c r="B154" s="72"/>
      <c r="C154" s="109" t="s">
        <v>150</v>
      </c>
      <c r="D154" s="109"/>
      <c r="E154" s="109"/>
    </row>
    <row r="155" spans="1:5" x14ac:dyDescent="0.2">
      <c r="A155" s="33"/>
      <c r="B155" s="71" t="s">
        <v>18</v>
      </c>
      <c r="C155" s="73"/>
      <c r="D155" s="73"/>
      <c r="E155" s="74"/>
    </row>
    <row r="156" spans="1:5" x14ac:dyDescent="0.2">
      <c r="A156" s="33"/>
      <c r="B156" s="71"/>
      <c r="C156" s="110" t="s">
        <v>131</v>
      </c>
      <c r="D156" s="110"/>
      <c r="E156" s="110"/>
    </row>
    <row r="157" spans="1:5" ht="13.5" thickBot="1" x14ac:dyDescent="0.25">
      <c r="A157" s="33"/>
      <c r="B157" s="77"/>
      <c r="C157" s="78"/>
      <c r="D157" s="78"/>
      <c r="E157" s="79"/>
    </row>
    <row r="158" spans="1:5" ht="13.5" thickBot="1" x14ac:dyDescent="0.25">
      <c r="A158" s="33"/>
      <c r="B158" s="33"/>
      <c r="C158" s="33"/>
      <c r="D158" s="33"/>
      <c r="E158" s="33"/>
    </row>
    <row r="159" spans="1:5" x14ac:dyDescent="0.2">
      <c r="A159" s="33"/>
      <c r="B159" s="65" t="s">
        <v>105</v>
      </c>
      <c r="C159" s="66"/>
      <c r="D159" s="66"/>
      <c r="E159" s="67"/>
    </row>
    <row r="160" spans="1:5" x14ac:dyDescent="0.2">
      <c r="A160" s="33"/>
      <c r="B160" s="68"/>
      <c r="C160" s="69"/>
      <c r="D160" s="69"/>
      <c r="E160" s="70"/>
    </row>
    <row r="161" spans="1:5" x14ac:dyDescent="0.2">
      <c r="A161" s="33"/>
      <c r="B161" s="71" t="s">
        <v>14</v>
      </c>
      <c r="C161" s="69"/>
      <c r="D161" s="69"/>
      <c r="E161" s="70"/>
    </row>
    <row r="162" spans="1:5" x14ac:dyDescent="0.2">
      <c r="A162" s="33"/>
      <c r="B162" s="71"/>
      <c r="C162" s="108" t="s">
        <v>156</v>
      </c>
      <c r="D162" s="108"/>
      <c r="E162" s="108"/>
    </row>
    <row r="163" spans="1:5" x14ac:dyDescent="0.2">
      <c r="A163" s="33"/>
      <c r="B163" s="71" t="s">
        <v>15</v>
      </c>
      <c r="C163" s="69"/>
      <c r="D163" s="69"/>
      <c r="E163" s="70"/>
    </row>
    <row r="164" spans="1:5" x14ac:dyDescent="0.2">
      <c r="A164" s="33"/>
      <c r="B164" s="72"/>
      <c r="C164" s="106" t="s">
        <v>107</v>
      </c>
      <c r="D164" s="106"/>
      <c r="E164" s="106"/>
    </row>
    <row r="165" spans="1:5" x14ac:dyDescent="0.2">
      <c r="A165" s="33"/>
      <c r="B165" s="72"/>
      <c r="C165" s="106" t="s">
        <v>130</v>
      </c>
      <c r="D165" s="106"/>
      <c r="E165" s="106"/>
    </row>
    <row r="166" spans="1:5" x14ac:dyDescent="0.2">
      <c r="A166" s="33"/>
      <c r="B166" s="71" t="s">
        <v>16</v>
      </c>
      <c r="C166" s="73"/>
      <c r="D166" s="73"/>
      <c r="E166" s="74"/>
    </row>
    <row r="167" spans="1:5" x14ac:dyDescent="0.2">
      <c r="A167" s="33"/>
      <c r="B167" s="72"/>
      <c r="C167" s="107" t="s">
        <v>151</v>
      </c>
      <c r="D167" s="107"/>
      <c r="E167" s="107"/>
    </row>
    <row r="168" spans="1:5" x14ac:dyDescent="0.2">
      <c r="A168" s="33"/>
      <c r="B168" s="71" t="s">
        <v>17</v>
      </c>
      <c r="C168" s="75"/>
      <c r="D168" s="75"/>
      <c r="E168" s="76"/>
    </row>
    <row r="169" spans="1:5" x14ac:dyDescent="0.2">
      <c r="A169" s="33"/>
      <c r="B169" s="72"/>
      <c r="C169" s="109" t="s">
        <v>150</v>
      </c>
      <c r="D169" s="109"/>
      <c r="E169" s="109"/>
    </row>
    <row r="170" spans="1:5" x14ac:dyDescent="0.2">
      <c r="A170" s="33"/>
      <c r="B170" s="71" t="s">
        <v>18</v>
      </c>
      <c r="C170" s="73"/>
      <c r="D170" s="73"/>
      <c r="E170" s="74"/>
    </row>
    <row r="171" spans="1:5" x14ac:dyDescent="0.2">
      <c r="A171" s="33"/>
      <c r="B171" s="71"/>
      <c r="C171" s="110" t="s">
        <v>131</v>
      </c>
      <c r="D171" s="110"/>
      <c r="E171" s="110"/>
    </row>
    <row r="172" spans="1:5" ht="13.5" thickBot="1" x14ac:dyDescent="0.25">
      <c r="A172" s="33"/>
      <c r="B172" s="77"/>
      <c r="C172" s="78"/>
      <c r="D172" s="78"/>
      <c r="E172" s="79"/>
    </row>
    <row r="173" spans="1:5" ht="13.5" thickBot="1" x14ac:dyDescent="0.25">
      <c r="A173" s="33"/>
      <c r="B173" s="33"/>
      <c r="C173" s="33"/>
      <c r="D173" s="33"/>
      <c r="E173" s="33"/>
    </row>
    <row r="174" spans="1:5" x14ac:dyDescent="0.2">
      <c r="A174" s="33"/>
      <c r="B174" s="65" t="s">
        <v>106</v>
      </c>
      <c r="C174" s="66"/>
      <c r="D174" s="66"/>
      <c r="E174" s="67"/>
    </row>
    <row r="175" spans="1:5" x14ac:dyDescent="0.2">
      <c r="A175" s="33"/>
      <c r="B175" s="68"/>
      <c r="C175" s="69"/>
      <c r="D175" s="69"/>
      <c r="E175" s="70"/>
    </row>
    <row r="176" spans="1:5" x14ac:dyDescent="0.2">
      <c r="A176" s="33"/>
      <c r="B176" s="71" t="s">
        <v>14</v>
      </c>
      <c r="C176" s="69"/>
      <c r="D176" s="69"/>
      <c r="E176" s="70"/>
    </row>
    <row r="177" spans="1:5" x14ac:dyDescent="0.2">
      <c r="A177" s="33"/>
      <c r="B177" s="71"/>
      <c r="C177" s="108" t="s">
        <v>157</v>
      </c>
      <c r="D177" s="108"/>
      <c r="E177" s="108"/>
    </row>
    <row r="178" spans="1:5" x14ac:dyDescent="0.2">
      <c r="A178" s="33"/>
      <c r="B178" s="71" t="s">
        <v>15</v>
      </c>
      <c r="C178" s="69"/>
      <c r="D178" s="69"/>
      <c r="E178" s="70"/>
    </row>
    <row r="179" spans="1:5" x14ac:dyDescent="0.2">
      <c r="A179" s="33"/>
      <c r="B179" s="72"/>
      <c r="C179" s="106" t="s">
        <v>107</v>
      </c>
      <c r="D179" s="106"/>
      <c r="E179" s="106"/>
    </row>
    <row r="180" spans="1:5" x14ac:dyDescent="0.2">
      <c r="A180" s="33"/>
      <c r="B180" s="72"/>
      <c r="C180" s="106" t="s">
        <v>130</v>
      </c>
      <c r="D180" s="106"/>
      <c r="E180" s="106"/>
    </row>
    <row r="181" spans="1:5" x14ac:dyDescent="0.2">
      <c r="A181" s="33"/>
      <c r="B181" s="71" t="s">
        <v>16</v>
      </c>
      <c r="C181" s="73"/>
      <c r="D181" s="73"/>
      <c r="E181" s="74"/>
    </row>
    <row r="182" spans="1:5" x14ac:dyDescent="0.2">
      <c r="A182" s="33"/>
      <c r="B182" s="72"/>
      <c r="C182" s="107" t="s">
        <v>158</v>
      </c>
      <c r="D182" s="107"/>
      <c r="E182" s="107"/>
    </row>
    <row r="183" spans="1:5" x14ac:dyDescent="0.2">
      <c r="A183" s="33"/>
      <c r="B183" s="71" t="s">
        <v>17</v>
      </c>
      <c r="C183" s="75"/>
      <c r="D183" s="75"/>
      <c r="E183" s="76"/>
    </row>
    <row r="184" spans="1:5" x14ac:dyDescent="0.2">
      <c r="A184" s="33"/>
      <c r="B184" s="72"/>
      <c r="C184" s="109" t="s">
        <v>150</v>
      </c>
      <c r="D184" s="109"/>
      <c r="E184" s="109"/>
    </row>
    <row r="185" spans="1:5" x14ac:dyDescent="0.2">
      <c r="A185" s="33"/>
      <c r="B185" s="71" t="s">
        <v>18</v>
      </c>
      <c r="C185" s="73"/>
      <c r="D185" s="73"/>
      <c r="E185" s="74"/>
    </row>
    <row r="186" spans="1:5" x14ac:dyDescent="0.2">
      <c r="A186" s="33"/>
      <c r="B186" s="71"/>
      <c r="C186" s="110" t="s">
        <v>131</v>
      </c>
      <c r="D186" s="110"/>
      <c r="E186" s="110"/>
    </row>
    <row r="187" spans="1:5" ht="13.5" thickBot="1" x14ac:dyDescent="0.25">
      <c r="A187" s="33"/>
      <c r="B187" s="77"/>
      <c r="C187" s="78"/>
      <c r="D187" s="78"/>
      <c r="E187" s="79"/>
    </row>
    <row r="188" spans="1:5" ht="13.5" thickBot="1" x14ac:dyDescent="0.25">
      <c r="A188" s="33"/>
      <c r="B188" s="33"/>
      <c r="C188" s="33"/>
      <c r="D188" s="33"/>
      <c r="E188" s="33"/>
    </row>
    <row r="189" spans="1:5" x14ac:dyDescent="0.2">
      <c r="A189" s="33"/>
      <c r="B189" s="65" t="s">
        <v>108</v>
      </c>
      <c r="C189" s="66"/>
      <c r="D189" s="66"/>
      <c r="E189" s="67"/>
    </row>
    <row r="190" spans="1:5" x14ac:dyDescent="0.2">
      <c r="A190" s="33"/>
      <c r="B190" s="68"/>
      <c r="C190" s="69"/>
      <c r="D190" s="69"/>
      <c r="E190" s="70"/>
    </row>
    <row r="191" spans="1:5" x14ac:dyDescent="0.2">
      <c r="A191" s="33"/>
      <c r="B191" s="71" t="s">
        <v>14</v>
      </c>
      <c r="C191" s="69"/>
      <c r="D191" s="69"/>
      <c r="E191" s="70"/>
    </row>
    <row r="192" spans="1:5" x14ac:dyDescent="0.2">
      <c r="A192" s="33"/>
      <c r="B192" s="71"/>
      <c r="C192" s="108" t="s">
        <v>159</v>
      </c>
      <c r="D192" s="108"/>
      <c r="E192" s="108"/>
    </row>
    <row r="193" spans="1:5" x14ac:dyDescent="0.2">
      <c r="A193" s="33"/>
      <c r="B193" s="71" t="s">
        <v>15</v>
      </c>
      <c r="C193" s="69"/>
      <c r="D193" s="69"/>
      <c r="E193" s="70"/>
    </row>
    <row r="194" spans="1:5" x14ac:dyDescent="0.2">
      <c r="A194" s="33"/>
      <c r="B194" s="72"/>
      <c r="C194" s="106" t="s">
        <v>107</v>
      </c>
      <c r="D194" s="106"/>
      <c r="E194" s="106"/>
    </row>
    <row r="195" spans="1:5" x14ac:dyDescent="0.2">
      <c r="A195" s="33"/>
      <c r="B195" s="72"/>
      <c r="C195" s="106" t="s">
        <v>130</v>
      </c>
      <c r="D195" s="106"/>
      <c r="E195" s="106"/>
    </row>
    <row r="196" spans="1:5" x14ac:dyDescent="0.2">
      <c r="A196" s="33"/>
      <c r="B196" s="71" t="s">
        <v>16</v>
      </c>
      <c r="C196" s="73"/>
      <c r="D196" s="73"/>
      <c r="E196" s="74"/>
    </row>
    <row r="197" spans="1:5" x14ac:dyDescent="0.2">
      <c r="A197" s="33"/>
      <c r="B197" s="72"/>
      <c r="C197" s="107" t="s">
        <v>158</v>
      </c>
      <c r="D197" s="107"/>
      <c r="E197" s="107"/>
    </row>
    <row r="198" spans="1:5" x14ac:dyDescent="0.2">
      <c r="A198" s="33"/>
      <c r="B198" s="71" t="s">
        <v>17</v>
      </c>
      <c r="C198" s="75"/>
      <c r="D198" s="75"/>
      <c r="E198" s="76"/>
    </row>
    <row r="199" spans="1:5" x14ac:dyDescent="0.2">
      <c r="A199" s="33"/>
      <c r="B199" s="72"/>
      <c r="C199" s="109" t="s">
        <v>150</v>
      </c>
      <c r="D199" s="109"/>
      <c r="E199" s="109"/>
    </row>
    <row r="200" spans="1:5" x14ac:dyDescent="0.2">
      <c r="A200" s="33"/>
      <c r="B200" s="71" t="s">
        <v>18</v>
      </c>
      <c r="C200" s="73"/>
      <c r="D200" s="73"/>
      <c r="E200" s="74"/>
    </row>
    <row r="201" spans="1:5" x14ac:dyDescent="0.2">
      <c r="A201" s="33"/>
      <c r="B201" s="71"/>
      <c r="C201" s="110" t="s">
        <v>131</v>
      </c>
      <c r="D201" s="110"/>
      <c r="E201" s="110"/>
    </row>
    <row r="202" spans="1:5" ht="13.5" thickBot="1" x14ac:dyDescent="0.25">
      <c r="A202" s="33"/>
      <c r="B202" s="77"/>
      <c r="C202" s="78"/>
      <c r="D202" s="78"/>
      <c r="E202" s="79"/>
    </row>
    <row r="203" spans="1:5" ht="13.5" thickBot="1" x14ac:dyDescent="0.25">
      <c r="A203" s="33"/>
      <c r="B203" s="33"/>
      <c r="C203" s="33"/>
      <c r="D203" s="33"/>
      <c r="E203" s="33"/>
    </row>
    <row r="204" spans="1:5" x14ac:dyDescent="0.2">
      <c r="A204" s="33"/>
      <c r="B204" s="65" t="s">
        <v>109</v>
      </c>
      <c r="C204" s="66"/>
      <c r="D204" s="66"/>
      <c r="E204" s="67"/>
    </row>
    <row r="205" spans="1:5" x14ac:dyDescent="0.2">
      <c r="A205" s="33"/>
      <c r="B205" s="68"/>
      <c r="C205" s="69"/>
      <c r="D205" s="69"/>
      <c r="E205" s="70"/>
    </row>
    <row r="206" spans="1:5" x14ac:dyDescent="0.2">
      <c r="A206" s="33"/>
      <c r="B206" s="71" t="s">
        <v>14</v>
      </c>
      <c r="C206" s="69"/>
      <c r="D206" s="69"/>
      <c r="E206" s="70"/>
    </row>
    <row r="207" spans="1:5" x14ac:dyDescent="0.2">
      <c r="A207" s="33"/>
      <c r="B207" s="71"/>
      <c r="C207" s="108" t="s">
        <v>160</v>
      </c>
      <c r="D207" s="108"/>
      <c r="E207" s="108"/>
    </row>
    <row r="208" spans="1:5" x14ac:dyDescent="0.2">
      <c r="A208" s="33"/>
      <c r="B208" s="71" t="s">
        <v>15</v>
      </c>
      <c r="C208" s="69"/>
      <c r="D208" s="69"/>
      <c r="E208" s="70"/>
    </row>
    <row r="209" spans="1:5" x14ac:dyDescent="0.2">
      <c r="A209" s="33"/>
      <c r="B209" s="72"/>
      <c r="C209" s="106" t="s">
        <v>107</v>
      </c>
      <c r="D209" s="106"/>
      <c r="E209" s="106"/>
    </row>
    <row r="210" spans="1:5" x14ac:dyDescent="0.2">
      <c r="A210" s="33"/>
      <c r="B210" s="72"/>
      <c r="C210" s="106" t="s">
        <v>130</v>
      </c>
      <c r="D210" s="106"/>
      <c r="E210" s="106"/>
    </row>
    <row r="211" spans="1:5" x14ac:dyDescent="0.2">
      <c r="A211" s="33"/>
      <c r="B211" s="71" t="s">
        <v>16</v>
      </c>
      <c r="C211" s="73"/>
      <c r="D211" s="73"/>
      <c r="E211" s="74"/>
    </row>
    <row r="212" spans="1:5" x14ac:dyDescent="0.2">
      <c r="A212" s="33"/>
      <c r="B212" s="72"/>
      <c r="C212" s="107" t="s">
        <v>151</v>
      </c>
      <c r="D212" s="107"/>
      <c r="E212" s="107"/>
    </row>
    <row r="213" spans="1:5" x14ac:dyDescent="0.2">
      <c r="A213" s="33"/>
      <c r="B213" s="71" t="s">
        <v>17</v>
      </c>
      <c r="C213" s="75"/>
      <c r="D213" s="75"/>
      <c r="E213" s="76"/>
    </row>
    <row r="214" spans="1:5" x14ac:dyDescent="0.2">
      <c r="A214" s="33"/>
      <c r="B214" s="72"/>
      <c r="C214" s="109" t="s">
        <v>150</v>
      </c>
      <c r="D214" s="109"/>
      <c r="E214" s="109"/>
    </row>
    <row r="215" spans="1:5" x14ac:dyDescent="0.2">
      <c r="A215" s="33"/>
      <c r="B215" s="71" t="s">
        <v>18</v>
      </c>
      <c r="C215" s="73"/>
      <c r="D215" s="73"/>
      <c r="E215" s="74"/>
    </row>
    <row r="216" spans="1:5" x14ac:dyDescent="0.2">
      <c r="A216" s="33"/>
      <c r="B216" s="71"/>
      <c r="C216" s="110" t="s">
        <v>131</v>
      </c>
      <c r="D216" s="110"/>
      <c r="E216" s="110"/>
    </row>
    <row r="217" spans="1:5" ht="13.5" thickBot="1" x14ac:dyDescent="0.25">
      <c r="A217" s="33"/>
      <c r="B217" s="77"/>
      <c r="C217" s="78"/>
      <c r="D217" s="78"/>
      <c r="E217" s="79"/>
    </row>
    <row r="218" spans="1:5" ht="13.5" thickBot="1" x14ac:dyDescent="0.25">
      <c r="A218" s="33"/>
      <c r="B218" s="33"/>
      <c r="C218" s="33"/>
      <c r="D218" s="33"/>
      <c r="E218" s="33"/>
    </row>
    <row r="219" spans="1:5" x14ac:dyDescent="0.2">
      <c r="A219" s="33"/>
      <c r="B219" s="65" t="s">
        <v>110</v>
      </c>
      <c r="C219" s="66"/>
      <c r="D219" s="66"/>
      <c r="E219" s="67"/>
    </row>
    <row r="220" spans="1:5" x14ac:dyDescent="0.2">
      <c r="A220" s="33"/>
      <c r="B220" s="68"/>
      <c r="C220" s="69"/>
      <c r="D220" s="69"/>
      <c r="E220" s="70"/>
    </row>
    <row r="221" spans="1:5" x14ac:dyDescent="0.2">
      <c r="A221" s="33"/>
      <c r="B221" s="71" t="s">
        <v>14</v>
      </c>
      <c r="C221" s="69"/>
      <c r="D221" s="69"/>
      <c r="E221" s="70"/>
    </row>
    <row r="222" spans="1:5" x14ac:dyDescent="0.2">
      <c r="A222" s="33"/>
      <c r="B222" s="71"/>
      <c r="C222" s="108" t="s">
        <v>161</v>
      </c>
      <c r="D222" s="108"/>
      <c r="E222" s="108"/>
    </row>
    <row r="223" spans="1:5" x14ac:dyDescent="0.2">
      <c r="A223" s="33"/>
      <c r="B223" s="71" t="s">
        <v>15</v>
      </c>
      <c r="C223" s="69"/>
      <c r="D223" s="69"/>
      <c r="E223" s="70"/>
    </row>
    <row r="224" spans="1:5" x14ac:dyDescent="0.2">
      <c r="A224" s="33"/>
      <c r="B224" s="72"/>
      <c r="C224" s="106" t="s">
        <v>107</v>
      </c>
      <c r="D224" s="106"/>
      <c r="E224" s="106"/>
    </row>
    <row r="225" spans="1:5" x14ac:dyDescent="0.2">
      <c r="A225" s="33"/>
      <c r="B225" s="72"/>
      <c r="C225" s="106" t="s">
        <v>130</v>
      </c>
      <c r="D225" s="106"/>
      <c r="E225" s="106"/>
    </row>
    <row r="226" spans="1:5" x14ac:dyDescent="0.2">
      <c r="A226" s="33"/>
      <c r="B226" s="71" t="s">
        <v>16</v>
      </c>
      <c r="C226" s="73"/>
      <c r="D226" s="73"/>
      <c r="E226" s="74"/>
    </row>
    <row r="227" spans="1:5" x14ac:dyDescent="0.2">
      <c r="A227" s="33"/>
      <c r="B227" s="72"/>
      <c r="C227" s="107" t="s">
        <v>151</v>
      </c>
      <c r="D227" s="107"/>
      <c r="E227" s="107"/>
    </row>
    <row r="228" spans="1:5" x14ac:dyDescent="0.2">
      <c r="A228" s="33"/>
      <c r="B228" s="71" t="s">
        <v>17</v>
      </c>
      <c r="C228" s="75"/>
      <c r="D228" s="75"/>
      <c r="E228" s="76"/>
    </row>
    <row r="229" spans="1:5" x14ac:dyDescent="0.2">
      <c r="A229" s="33"/>
      <c r="B229" s="72"/>
      <c r="C229" s="109" t="s">
        <v>150</v>
      </c>
      <c r="D229" s="109"/>
      <c r="E229" s="109"/>
    </row>
    <row r="230" spans="1:5" x14ac:dyDescent="0.2">
      <c r="A230" s="33"/>
      <c r="B230" s="71" t="s">
        <v>18</v>
      </c>
      <c r="C230" s="73"/>
      <c r="D230" s="73"/>
      <c r="E230" s="74"/>
    </row>
    <row r="231" spans="1:5" x14ac:dyDescent="0.2">
      <c r="A231" s="33"/>
      <c r="B231" s="71"/>
      <c r="C231" s="110" t="s">
        <v>131</v>
      </c>
      <c r="D231" s="110"/>
      <c r="E231" s="110"/>
    </row>
    <row r="232" spans="1:5" ht="13.5" thickBot="1" x14ac:dyDescent="0.25">
      <c r="A232" s="33"/>
      <c r="B232" s="77"/>
      <c r="C232" s="78"/>
      <c r="D232" s="78"/>
      <c r="E232" s="79"/>
    </row>
    <row r="233" spans="1:5" ht="13.5" thickBot="1" x14ac:dyDescent="0.25">
      <c r="A233" s="33"/>
      <c r="B233" s="33"/>
      <c r="C233" s="33"/>
      <c r="D233" s="33"/>
      <c r="E233" s="33"/>
    </row>
    <row r="234" spans="1:5" x14ac:dyDescent="0.2">
      <c r="A234" s="33"/>
      <c r="B234" s="65" t="s">
        <v>111</v>
      </c>
      <c r="C234" s="66"/>
      <c r="D234" s="66"/>
      <c r="E234" s="67"/>
    </row>
    <row r="235" spans="1:5" x14ac:dyDescent="0.2">
      <c r="A235" s="33"/>
      <c r="B235" s="68"/>
      <c r="C235" s="69"/>
      <c r="D235" s="69"/>
      <c r="E235" s="70"/>
    </row>
    <row r="236" spans="1:5" x14ac:dyDescent="0.2">
      <c r="A236" s="33"/>
      <c r="B236" s="71" t="s">
        <v>14</v>
      </c>
      <c r="C236" s="69"/>
      <c r="D236" s="69"/>
      <c r="E236" s="70"/>
    </row>
    <row r="237" spans="1:5" x14ac:dyDescent="0.2">
      <c r="A237" s="33"/>
      <c r="B237" s="71"/>
      <c r="C237" s="108" t="s">
        <v>162</v>
      </c>
      <c r="D237" s="108"/>
      <c r="E237" s="108"/>
    </row>
    <row r="238" spans="1:5" x14ac:dyDescent="0.2">
      <c r="A238" s="33"/>
      <c r="B238" s="71" t="s">
        <v>15</v>
      </c>
      <c r="C238" s="69"/>
      <c r="D238" s="69"/>
      <c r="E238" s="70"/>
    </row>
    <row r="239" spans="1:5" x14ac:dyDescent="0.2">
      <c r="A239" s="33"/>
      <c r="B239" s="72"/>
      <c r="C239" s="106" t="s">
        <v>107</v>
      </c>
      <c r="D239" s="106"/>
      <c r="E239" s="106"/>
    </row>
    <row r="240" spans="1:5" x14ac:dyDescent="0.2">
      <c r="A240" s="33"/>
      <c r="B240" s="72"/>
      <c r="C240" s="106" t="s">
        <v>130</v>
      </c>
      <c r="D240" s="106"/>
      <c r="E240" s="106"/>
    </row>
    <row r="241" spans="1:5" x14ac:dyDescent="0.2">
      <c r="A241" s="33"/>
      <c r="B241" s="71" t="s">
        <v>16</v>
      </c>
      <c r="C241" s="73"/>
      <c r="D241" s="73"/>
      <c r="E241" s="74"/>
    </row>
    <row r="242" spans="1:5" x14ac:dyDescent="0.2">
      <c r="A242" s="33"/>
      <c r="B242" s="72"/>
      <c r="C242" s="107" t="s">
        <v>151</v>
      </c>
      <c r="D242" s="107"/>
      <c r="E242" s="107"/>
    </row>
    <row r="243" spans="1:5" x14ac:dyDescent="0.2">
      <c r="A243" s="33"/>
      <c r="B243" s="71" t="s">
        <v>17</v>
      </c>
      <c r="C243" s="75"/>
      <c r="D243" s="75"/>
      <c r="E243" s="76"/>
    </row>
    <row r="244" spans="1:5" x14ac:dyDescent="0.2">
      <c r="A244" s="33"/>
      <c r="B244" s="72"/>
      <c r="C244" s="109" t="s">
        <v>150</v>
      </c>
      <c r="D244" s="109"/>
      <c r="E244" s="109"/>
    </row>
    <row r="245" spans="1:5" x14ac:dyDescent="0.2">
      <c r="A245" s="33"/>
      <c r="B245" s="71" t="s">
        <v>18</v>
      </c>
      <c r="C245" s="73"/>
      <c r="D245" s="73"/>
      <c r="E245" s="74"/>
    </row>
    <row r="246" spans="1:5" x14ac:dyDescent="0.2">
      <c r="A246" s="33"/>
      <c r="B246" s="71"/>
      <c r="C246" s="110" t="s">
        <v>131</v>
      </c>
      <c r="D246" s="110"/>
      <c r="E246" s="110"/>
    </row>
    <row r="247" spans="1:5" ht="13.5" thickBot="1" x14ac:dyDescent="0.25">
      <c r="A247" s="33"/>
      <c r="B247" s="77"/>
      <c r="C247" s="78"/>
      <c r="D247" s="78"/>
      <c r="E247" s="79"/>
    </row>
    <row r="248" spans="1:5" ht="13.5" thickBot="1" x14ac:dyDescent="0.25">
      <c r="A248" s="33"/>
      <c r="B248" s="33"/>
      <c r="C248" s="33"/>
      <c r="D248" s="33"/>
      <c r="E248" s="33"/>
    </row>
    <row r="249" spans="1:5" x14ac:dyDescent="0.2">
      <c r="A249" s="33"/>
      <c r="B249" s="65" t="s">
        <v>112</v>
      </c>
      <c r="C249" s="66"/>
      <c r="D249" s="66"/>
      <c r="E249" s="67"/>
    </row>
    <row r="250" spans="1:5" x14ac:dyDescent="0.2">
      <c r="A250" s="33"/>
      <c r="B250" s="68"/>
      <c r="C250" s="69"/>
      <c r="D250" s="69"/>
      <c r="E250" s="70"/>
    </row>
    <row r="251" spans="1:5" x14ac:dyDescent="0.2">
      <c r="A251" s="33"/>
      <c r="B251" s="71" t="s">
        <v>14</v>
      </c>
      <c r="C251" s="69"/>
      <c r="D251" s="69"/>
      <c r="E251" s="70"/>
    </row>
    <row r="252" spans="1:5" x14ac:dyDescent="0.2">
      <c r="A252" s="33"/>
      <c r="B252" s="71"/>
      <c r="C252" s="108" t="s">
        <v>163</v>
      </c>
      <c r="D252" s="108"/>
      <c r="E252" s="108"/>
    </row>
    <row r="253" spans="1:5" x14ac:dyDescent="0.2">
      <c r="A253" s="33"/>
      <c r="B253" s="71" t="s">
        <v>15</v>
      </c>
      <c r="C253" s="69"/>
      <c r="D253" s="69"/>
      <c r="E253" s="70"/>
    </row>
    <row r="254" spans="1:5" x14ac:dyDescent="0.2">
      <c r="A254" s="33"/>
      <c r="B254" s="72"/>
      <c r="C254" s="106" t="s">
        <v>107</v>
      </c>
      <c r="D254" s="106"/>
      <c r="E254" s="106"/>
    </row>
    <row r="255" spans="1:5" x14ac:dyDescent="0.2">
      <c r="A255" s="33"/>
      <c r="B255" s="72"/>
      <c r="C255" s="106" t="s">
        <v>130</v>
      </c>
      <c r="D255" s="106"/>
      <c r="E255" s="106"/>
    </row>
    <row r="256" spans="1:5" x14ac:dyDescent="0.2">
      <c r="A256" s="33"/>
      <c r="B256" s="71" t="s">
        <v>16</v>
      </c>
      <c r="C256" s="73"/>
      <c r="D256" s="73"/>
      <c r="E256" s="74"/>
    </row>
    <row r="257" spans="1:5" x14ac:dyDescent="0.2">
      <c r="A257" s="33"/>
      <c r="B257" s="72"/>
      <c r="C257" s="107" t="s">
        <v>99</v>
      </c>
      <c r="D257" s="107"/>
      <c r="E257" s="107"/>
    </row>
    <row r="258" spans="1:5" x14ac:dyDescent="0.2">
      <c r="A258" s="33"/>
      <c r="B258" s="71" t="s">
        <v>17</v>
      </c>
      <c r="C258" s="75"/>
      <c r="D258" s="75"/>
      <c r="E258" s="76"/>
    </row>
    <row r="259" spans="1:5" x14ac:dyDescent="0.2">
      <c r="A259" s="33"/>
      <c r="B259" s="72"/>
      <c r="C259" s="109" t="s">
        <v>150</v>
      </c>
      <c r="D259" s="109"/>
      <c r="E259" s="109"/>
    </row>
    <row r="260" spans="1:5" x14ac:dyDescent="0.2">
      <c r="A260" s="33"/>
      <c r="B260" s="71" t="s">
        <v>18</v>
      </c>
      <c r="C260" s="73"/>
      <c r="D260" s="73"/>
      <c r="E260" s="74"/>
    </row>
    <row r="261" spans="1:5" x14ac:dyDescent="0.2">
      <c r="A261" s="33"/>
      <c r="B261" s="71"/>
      <c r="C261" s="110" t="s">
        <v>131</v>
      </c>
      <c r="D261" s="110"/>
      <c r="E261" s="110"/>
    </row>
    <row r="262" spans="1:5" ht="13.5" thickBot="1" x14ac:dyDescent="0.25">
      <c r="A262" s="33"/>
      <c r="B262" s="77"/>
      <c r="C262" s="78"/>
      <c r="D262" s="78"/>
      <c r="E262" s="79"/>
    </row>
    <row r="263" spans="1:5" ht="13.5" thickBot="1" x14ac:dyDescent="0.25">
      <c r="A263" s="33"/>
      <c r="B263" s="33"/>
      <c r="C263" s="33"/>
      <c r="D263" s="33"/>
      <c r="E263" s="33"/>
    </row>
    <row r="264" spans="1:5" x14ac:dyDescent="0.2">
      <c r="A264" s="33"/>
      <c r="B264" s="65" t="s">
        <v>113</v>
      </c>
      <c r="C264" s="66"/>
      <c r="D264" s="66"/>
      <c r="E264" s="67"/>
    </row>
    <row r="265" spans="1:5" x14ac:dyDescent="0.2">
      <c r="A265" s="33"/>
      <c r="B265" s="68"/>
      <c r="C265" s="69"/>
      <c r="D265" s="69"/>
      <c r="E265" s="70"/>
    </row>
    <row r="266" spans="1:5" x14ac:dyDescent="0.2">
      <c r="A266" s="33"/>
      <c r="B266" s="71" t="s">
        <v>14</v>
      </c>
      <c r="C266" s="69"/>
      <c r="D266" s="69"/>
      <c r="E266" s="70"/>
    </row>
    <row r="267" spans="1:5" x14ac:dyDescent="0.2">
      <c r="A267" s="33"/>
      <c r="B267" s="71"/>
      <c r="C267" s="108" t="s">
        <v>164</v>
      </c>
      <c r="D267" s="108"/>
      <c r="E267" s="108"/>
    </row>
    <row r="268" spans="1:5" x14ac:dyDescent="0.2">
      <c r="A268" s="33"/>
      <c r="B268" s="71" t="s">
        <v>15</v>
      </c>
      <c r="C268" s="69"/>
      <c r="D268" s="69"/>
      <c r="E268" s="70"/>
    </row>
    <row r="269" spans="1:5" x14ac:dyDescent="0.2">
      <c r="A269" s="33"/>
      <c r="B269" s="72"/>
      <c r="C269" s="106" t="s">
        <v>107</v>
      </c>
      <c r="D269" s="106"/>
      <c r="E269" s="106"/>
    </row>
    <row r="270" spans="1:5" x14ac:dyDescent="0.2">
      <c r="A270" s="33"/>
      <c r="B270" s="72"/>
      <c r="C270" s="106" t="s">
        <v>130</v>
      </c>
      <c r="D270" s="106"/>
      <c r="E270" s="106"/>
    </row>
    <row r="271" spans="1:5" x14ac:dyDescent="0.2">
      <c r="A271" s="33"/>
      <c r="B271" s="71" t="s">
        <v>16</v>
      </c>
      <c r="C271" s="73"/>
      <c r="D271" s="73"/>
      <c r="E271" s="74"/>
    </row>
    <row r="272" spans="1:5" x14ac:dyDescent="0.2">
      <c r="A272" s="33"/>
      <c r="B272" s="72"/>
      <c r="C272" s="107" t="s">
        <v>99</v>
      </c>
      <c r="D272" s="107"/>
      <c r="E272" s="107"/>
    </row>
    <row r="273" spans="1:5" x14ac:dyDescent="0.2">
      <c r="A273" s="33"/>
      <c r="B273" s="71" t="s">
        <v>17</v>
      </c>
      <c r="C273" s="75"/>
      <c r="D273" s="75"/>
      <c r="E273" s="76"/>
    </row>
    <row r="274" spans="1:5" x14ac:dyDescent="0.2">
      <c r="A274" s="33"/>
      <c r="B274" s="72"/>
      <c r="C274" s="109" t="s">
        <v>150</v>
      </c>
      <c r="D274" s="109"/>
      <c r="E274" s="109"/>
    </row>
    <row r="275" spans="1:5" x14ac:dyDescent="0.2">
      <c r="A275" s="33"/>
      <c r="B275" s="71" t="s">
        <v>18</v>
      </c>
      <c r="C275" s="73"/>
      <c r="D275" s="73"/>
      <c r="E275" s="74"/>
    </row>
    <row r="276" spans="1:5" x14ac:dyDescent="0.2">
      <c r="A276" s="33"/>
      <c r="B276" s="71"/>
      <c r="C276" s="110" t="s">
        <v>131</v>
      </c>
      <c r="D276" s="110"/>
      <c r="E276" s="110"/>
    </row>
    <row r="277" spans="1:5" ht="13.5" thickBot="1" x14ac:dyDescent="0.25">
      <c r="A277" s="33"/>
      <c r="B277" s="77"/>
      <c r="C277" s="78"/>
      <c r="D277" s="78"/>
      <c r="E277" s="79"/>
    </row>
    <row r="278" spans="1:5" ht="13.5" thickBot="1" x14ac:dyDescent="0.25">
      <c r="A278" s="33"/>
      <c r="B278" s="33"/>
      <c r="C278" s="33"/>
      <c r="D278" s="33"/>
      <c r="E278" s="33"/>
    </row>
    <row r="279" spans="1:5" x14ac:dyDescent="0.2">
      <c r="A279" s="33"/>
      <c r="B279" s="65" t="s">
        <v>114</v>
      </c>
      <c r="C279" s="66"/>
      <c r="D279" s="66"/>
      <c r="E279" s="67"/>
    </row>
    <row r="280" spans="1:5" x14ac:dyDescent="0.2">
      <c r="A280" s="33"/>
      <c r="B280" s="68"/>
      <c r="C280" s="69"/>
      <c r="D280" s="69"/>
      <c r="E280" s="70"/>
    </row>
    <row r="281" spans="1:5" x14ac:dyDescent="0.2">
      <c r="A281" s="33"/>
      <c r="B281" s="71" t="s">
        <v>14</v>
      </c>
      <c r="C281" s="69"/>
      <c r="D281" s="69"/>
      <c r="E281" s="70"/>
    </row>
    <row r="282" spans="1:5" ht="27.75" customHeight="1" x14ac:dyDescent="0.2">
      <c r="A282" s="33"/>
      <c r="B282" s="71"/>
      <c r="C282" s="108" t="s">
        <v>165</v>
      </c>
      <c r="D282" s="108"/>
      <c r="E282" s="108"/>
    </row>
    <row r="283" spans="1:5" x14ac:dyDescent="0.2">
      <c r="A283" s="33"/>
      <c r="B283" s="71" t="s">
        <v>15</v>
      </c>
      <c r="C283" s="69"/>
      <c r="D283" s="69"/>
      <c r="E283" s="70"/>
    </row>
    <row r="284" spans="1:5" x14ac:dyDescent="0.2">
      <c r="A284" s="33"/>
      <c r="B284" s="72"/>
      <c r="C284" s="106" t="s">
        <v>107</v>
      </c>
      <c r="D284" s="106"/>
      <c r="E284" s="106"/>
    </row>
    <row r="285" spans="1:5" x14ac:dyDescent="0.2">
      <c r="A285" s="33"/>
      <c r="B285" s="72"/>
      <c r="C285" s="106" t="s">
        <v>130</v>
      </c>
      <c r="D285" s="106"/>
      <c r="E285" s="106"/>
    </row>
    <row r="286" spans="1:5" x14ac:dyDescent="0.2">
      <c r="A286" s="33"/>
      <c r="B286" s="71" t="s">
        <v>16</v>
      </c>
      <c r="C286" s="73"/>
      <c r="D286" s="73"/>
      <c r="E286" s="74"/>
    </row>
    <row r="287" spans="1:5" x14ac:dyDescent="0.2">
      <c r="A287" s="33"/>
      <c r="B287" s="72"/>
      <c r="C287" s="107" t="s">
        <v>99</v>
      </c>
      <c r="D287" s="107"/>
      <c r="E287" s="107"/>
    </row>
    <row r="288" spans="1:5" x14ac:dyDescent="0.2">
      <c r="A288" s="33"/>
      <c r="B288" s="71" t="s">
        <v>17</v>
      </c>
      <c r="C288" s="75"/>
      <c r="D288" s="75"/>
      <c r="E288" s="76"/>
    </row>
    <row r="289" spans="1:5" x14ac:dyDescent="0.2">
      <c r="A289" s="33"/>
      <c r="B289" s="72"/>
      <c r="C289" s="109" t="s">
        <v>150</v>
      </c>
      <c r="D289" s="109"/>
      <c r="E289" s="109"/>
    </row>
    <row r="290" spans="1:5" x14ac:dyDescent="0.2">
      <c r="A290" s="33"/>
      <c r="B290" s="71" t="s">
        <v>18</v>
      </c>
      <c r="C290" s="73"/>
      <c r="D290" s="73"/>
      <c r="E290" s="74"/>
    </row>
    <row r="291" spans="1:5" x14ac:dyDescent="0.2">
      <c r="A291" s="33"/>
      <c r="B291" s="71"/>
      <c r="C291" s="110" t="s">
        <v>131</v>
      </c>
      <c r="D291" s="110"/>
      <c r="E291" s="110"/>
    </row>
    <row r="292" spans="1:5" ht="13.5" thickBot="1" x14ac:dyDescent="0.25">
      <c r="A292" s="33"/>
      <c r="B292" s="77"/>
      <c r="C292" s="78"/>
      <c r="D292" s="78"/>
      <c r="E292" s="79"/>
    </row>
    <row r="293" spans="1:5" ht="13.5" thickBot="1" x14ac:dyDescent="0.25">
      <c r="A293" s="33"/>
      <c r="B293" s="33"/>
      <c r="C293" s="33"/>
      <c r="D293" s="33"/>
      <c r="E293" s="33"/>
    </row>
    <row r="294" spans="1:5" x14ac:dyDescent="0.2">
      <c r="A294" s="33"/>
      <c r="B294" s="65" t="s">
        <v>116</v>
      </c>
      <c r="C294" s="66"/>
      <c r="D294" s="66"/>
      <c r="E294" s="67"/>
    </row>
    <row r="295" spans="1:5" x14ac:dyDescent="0.2">
      <c r="A295" s="33"/>
      <c r="B295" s="68"/>
      <c r="C295" s="69"/>
      <c r="D295" s="69"/>
      <c r="E295" s="70"/>
    </row>
    <row r="296" spans="1:5" x14ac:dyDescent="0.2">
      <c r="A296" s="33"/>
      <c r="B296" s="71" t="s">
        <v>14</v>
      </c>
      <c r="C296" s="69"/>
      <c r="D296" s="69"/>
      <c r="E296" s="70"/>
    </row>
    <row r="297" spans="1:5" x14ac:dyDescent="0.2">
      <c r="A297" s="33"/>
      <c r="B297" s="71"/>
      <c r="C297" s="108" t="s">
        <v>166</v>
      </c>
      <c r="D297" s="108"/>
      <c r="E297" s="108"/>
    </row>
    <row r="298" spans="1:5" x14ac:dyDescent="0.2">
      <c r="A298" s="33"/>
      <c r="B298" s="71" t="s">
        <v>15</v>
      </c>
      <c r="C298" s="69"/>
      <c r="D298" s="69"/>
      <c r="E298" s="70"/>
    </row>
    <row r="299" spans="1:5" x14ac:dyDescent="0.2">
      <c r="A299" s="33"/>
      <c r="B299" s="72"/>
      <c r="C299" s="106" t="s">
        <v>107</v>
      </c>
      <c r="D299" s="106"/>
      <c r="E299" s="106"/>
    </row>
    <row r="300" spans="1:5" x14ac:dyDescent="0.2">
      <c r="A300" s="33"/>
      <c r="B300" s="72"/>
      <c r="C300" s="106" t="s">
        <v>130</v>
      </c>
      <c r="D300" s="106"/>
      <c r="E300" s="106"/>
    </row>
    <row r="301" spans="1:5" x14ac:dyDescent="0.2">
      <c r="A301" s="33"/>
      <c r="B301" s="71" t="s">
        <v>16</v>
      </c>
      <c r="C301" s="73"/>
      <c r="D301" s="73"/>
      <c r="E301" s="74"/>
    </row>
    <row r="302" spans="1:5" x14ac:dyDescent="0.2">
      <c r="A302" s="33"/>
      <c r="B302" s="72"/>
      <c r="C302" s="107" t="s">
        <v>99</v>
      </c>
      <c r="D302" s="107"/>
      <c r="E302" s="107"/>
    </row>
    <row r="303" spans="1:5" x14ac:dyDescent="0.2">
      <c r="A303" s="33"/>
      <c r="B303" s="71" t="s">
        <v>17</v>
      </c>
      <c r="C303" s="75"/>
      <c r="D303" s="75"/>
      <c r="E303" s="76"/>
    </row>
    <row r="304" spans="1:5" x14ac:dyDescent="0.2">
      <c r="A304" s="33"/>
      <c r="B304" s="72"/>
      <c r="C304" s="109" t="s">
        <v>150</v>
      </c>
      <c r="D304" s="109"/>
      <c r="E304" s="109"/>
    </row>
    <row r="305" spans="1:5" x14ac:dyDescent="0.2">
      <c r="A305" s="33"/>
      <c r="B305" s="71" t="s">
        <v>18</v>
      </c>
      <c r="C305" s="73"/>
      <c r="D305" s="73"/>
      <c r="E305" s="74"/>
    </row>
    <row r="306" spans="1:5" x14ac:dyDescent="0.2">
      <c r="A306" s="33"/>
      <c r="B306" s="71"/>
      <c r="C306" s="110" t="s">
        <v>131</v>
      </c>
      <c r="D306" s="110"/>
      <c r="E306" s="110"/>
    </row>
    <row r="307" spans="1:5" ht="13.5" thickBot="1" x14ac:dyDescent="0.25">
      <c r="A307" s="33"/>
      <c r="B307" s="77"/>
      <c r="C307" s="78"/>
      <c r="D307" s="78"/>
      <c r="E307" s="79"/>
    </row>
    <row r="308" spans="1:5" ht="13.5" thickBot="1" x14ac:dyDescent="0.25">
      <c r="A308" s="33"/>
      <c r="B308" s="33"/>
      <c r="C308" s="33"/>
      <c r="D308" s="33"/>
      <c r="E308" s="33"/>
    </row>
    <row r="309" spans="1:5" x14ac:dyDescent="0.2">
      <c r="A309" s="33"/>
      <c r="B309" s="65" t="s">
        <v>115</v>
      </c>
      <c r="C309" s="66"/>
      <c r="D309" s="66"/>
      <c r="E309" s="67"/>
    </row>
    <row r="310" spans="1:5" x14ac:dyDescent="0.2">
      <c r="A310" s="33"/>
      <c r="B310" s="68"/>
      <c r="C310" s="69"/>
      <c r="D310" s="69"/>
      <c r="E310" s="70"/>
    </row>
    <row r="311" spans="1:5" x14ac:dyDescent="0.2">
      <c r="A311" s="33"/>
      <c r="B311" s="71" t="s">
        <v>14</v>
      </c>
      <c r="C311" s="69"/>
      <c r="D311" s="69"/>
      <c r="E311" s="70"/>
    </row>
    <row r="312" spans="1:5" ht="27.75" customHeight="1" x14ac:dyDescent="0.2">
      <c r="A312" s="33"/>
      <c r="B312" s="71"/>
      <c r="C312" s="108" t="s">
        <v>167</v>
      </c>
      <c r="D312" s="108"/>
      <c r="E312" s="108"/>
    </row>
    <row r="313" spans="1:5" x14ac:dyDescent="0.2">
      <c r="A313" s="33"/>
      <c r="B313" s="71" t="s">
        <v>15</v>
      </c>
      <c r="C313" s="69"/>
      <c r="D313" s="69"/>
      <c r="E313" s="70"/>
    </row>
    <row r="314" spans="1:5" x14ac:dyDescent="0.2">
      <c r="A314" s="33"/>
      <c r="B314" s="72"/>
      <c r="C314" s="106" t="s">
        <v>107</v>
      </c>
      <c r="D314" s="106"/>
      <c r="E314" s="106"/>
    </row>
    <row r="315" spans="1:5" x14ac:dyDescent="0.2">
      <c r="A315" s="33"/>
      <c r="B315" s="72"/>
      <c r="C315" s="106" t="s">
        <v>130</v>
      </c>
      <c r="D315" s="106"/>
      <c r="E315" s="106"/>
    </row>
    <row r="316" spans="1:5" x14ac:dyDescent="0.2">
      <c r="A316" s="33"/>
      <c r="B316" s="71" t="s">
        <v>16</v>
      </c>
      <c r="C316" s="73"/>
      <c r="D316" s="73"/>
      <c r="E316" s="74"/>
    </row>
    <row r="317" spans="1:5" x14ac:dyDescent="0.2">
      <c r="A317" s="33"/>
      <c r="B317" s="72"/>
      <c r="C317" s="107" t="s">
        <v>99</v>
      </c>
      <c r="D317" s="107"/>
      <c r="E317" s="107"/>
    </row>
    <row r="318" spans="1:5" x14ac:dyDescent="0.2">
      <c r="A318" s="33"/>
      <c r="B318" s="71" t="s">
        <v>17</v>
      </c>
      <c r="C318" s="75"/>
      <c r="D318" s="75"/>
      <c r="E318" s="76"/>
    </row>
    <row r="319" spans="1:5" x14ac:dyDescent="0.2">
      <c r="A319" s="33"/>
      <c r="B319" s="72"/>
      <c r="C319" s="109" t="s">
        <v>150</v>
      </c>
      <c r="D319" s="109"/>
      <c r="E319" s="109"/>
    </row>
    <row r="320" spans="1:5" x14ac:dyDescent="0.2">
      <c r="A320" s="33"/>
      <c r="B320" s="71" t="s">
        <v>18</v>
      </c>
      <c r="C320" s="73"/>
      <c r="D320" s="73"/>
      <c r="E320" s="74"/>
    </row>
    <row r="321" spans="1:5" x14ac:dyDescent="0.2">
      <c r="A321" s="33"/>
      <c r="B321" s="71"/>
      <c r="C321" s="110" t="s">
        <v>131</v>
      </c>
      <c r="D321" s="110"/>
      <c r="E321" s="110"/>
    </row>
    <row r="322" spans="1:5" ht="13.5" thickBot="1" x14ac:dyDescent="0.25">
      <c r="A322" s="33"/>
      <c r="B322" s="77"/>
      <c r="C322" s="78"/>
      <c r="D322" s="78"/>
      <c r="E322" s="79"/>
    </row>
    <row r="323" spans="1:5" ht="13.5" thickBot="1" x14ac:dyDescent="0.25">
      <c r="A323" s="33"/>
      <c r="B323" s="33"/>
      <c r="C323" s="33"/>
      <c r="D323" s="33"/>
      <c r="E323" s="33"/>
    </row>
    <row r="324" spans="1:5" x14ac:dyDescent="0.2">
      <c r="A324" s="33"/>
      <c r="B324" s="65" t="s">
        <v>117</v>
      </c>
      <c r="C324" s="66"/>
      <c r="D324" s="66"/>
      <c r="E324" s="67"/>
    </row>
    <row r="325" spans="1:5" x14ac:dyDescent="0.2">
      <c r="A325" s="33"/>
      <c r="B325" s="68"/>
      <c r="C325" s="69"/>
      <c r="D325" s="69"/>
      <c r="E325" s="70"/>
    </row>
    <row r="326" spans="1:5" x14ac:dyDescent="0.2">
      <c r="A326" s="33"/>
      <c r="B326" s="71" t="s">
        <v>14</v>
      </c>
      <c r="C326" s="69"/>
      <c r="D326" s="69"/>
      <c r="E326" s="70"/>
    </row>
    <row r="327" spans="1:5" x14ac:dyDescent="0.2">
      <c r="A327" s="33"/>
      <c r="B327" s="71"/>
      <c r="C327" s="108" t="s">
        <v>168</v>
      </c>
      <c r="D327" s="108"/>
      <c r="E327" s="108"/>
    </row>
    <row r="328" spans="1:5" x14ac:dyDescent="0.2">
      <c r="A328" s="33"/>
      <c r="B328" s="71" t="s">
        <v>15</v>
      </c>
      <c r="C328" s="69"/>
      <c r="D328" s="69"/>
      <c r="E328" s="70"/>
    </row>
    <row r="329" spans="1:5" x14ac:dyDescent="0.2">
      <c r="A329" s="33"/>
      <c r="B329" s="72"/>
      <c r="C329" s="106" t="s">
        <v>107</v>
      </c>
      <c r="D329" s="106"/>
      <c r="E329" s="106"/>
    </row>
    <row r="330" spans="1:5" x14ac:dyDescent="0.2">
      <c r="A330" s="33"/>
      <c r="B330" s="72"/>
      <c r="C330" s="106" t="s">
        <v>130</v>
      </c>
      <c r="D330" s="106"/>
      <c r="E330" s="106"/>
    </row>
    <row r="331" spans="1:5" x14ac:dyDescent="0.2">
      <c r="A331" s="33"/>
      <c r="B331" s="71" t="s">
        <v>16</v>
      </c>
      <c r="C331" s="73"/>
      <c r="D331" s="73"/>
      <c r="E331" s="74"/>
    </row>
    <row r="332" spans="1:5" x14ac:dyDescent="0.2">
      <c r="A332" s="33"/>
      <c r="B332" s="72"/>
      <c r="C332" s="107" t="s">
        <v>99</v>
      </c>
      <c r="D332" s="107"/>
      <c r="E332" s="107"/>
    </row>
    <row r="333" spans="1:5" x14ac:dyDescent="0.2">
      <c r="A333" s="33"/>
      <c r="B333" s="71" t="s">
        <v>17</v>
      </c>
      <c r="C333" s="75"/>
      <c r="D333" s="75"/>
      <c r="E333" s="76"/>
    </row>
    <row r="334" spans="1:5" x14ac:dyDescent="0.2">
      <c r="A334" s="33"/>
      <c r="B334" s="72"/>
      <c r="C334" s="109" t="s">
        <v>150</v>
      </c>
      <c r="D334" s="109"/>
      <c r="E334" s="109"/>
    </row>
    <row r="335" spans="1:5" x14ac:dyDescent="0.2">
      <c r="A335" s="33"/>
      <c r="B335" s="71" t="s">
        <v>18</v>
      </c>
      <c r="C335" s="73"/>
      <c r="D335" s="73"/>
      <c r="E335" s="74"/>
    </row>
    <row r="336" spans="1:5" x14ac:dyDescent="0.2">
      <c r="A336" s="33"/>
      <c r="B336" s="71"/>
      <c r="C336" s="110" t="s">
        <v>131</v>
      </c>
      <c r="D336" s="110"/>
      <c r="E336" s="110"/>
    </row>
    <row r="337" spans="1:5" ht="13.5" thickBot="1" x14ac:dyDescent="0.25">
      <c r="A337" s="33"/>
      <c r="B337" s="77"/>
      <c r="C337" s="78"/>
      <c r="D337" s="78"/>
      <c r="E337" s="79"/>
    </row>
    <row r="338" spans="1:5" ht="13.5" thickBot="1" x14ac:dyDescent="0.25">
      <c r="A338" s="33"/>
      <c r="B338" s="33"/>
      <c r="C338" s="33"/>
      <c r="D338" s="33"/>
      <c r="E338" s="33"/>
    </row>
    <row r="339" spans="1:5" x14ac:dyDescent="0.2">
      <c r="A339" s="33"/>
      <c r="B339" s="65" t="s">
        <v>118</v>
      </c>
      <c r="C339" s="66"/>
      <c r="D339" s="66"/>
      <c r="E339" s="67"/>
    </row>
    <row r="340" spans="1:5" x14ac:dyDescent="0.2">
      <c r="A340" s="33"/>
      <c r="B340" s="68"/>
      <c r="C340" s="69"/>
      <c r="D340" s="69"/>
      <c r="E340" s="70"/>
    </row>
    <row r="341" spans="1:5" x14ac:dyDescent="0.2">
      <c r="A341" s="33"/>
      <c r="B341" s="71" t="s">
        <v>14</v>
      </c>
      <c r="C341" s="69"/>
      <c r="D341" s="69"/>
      <c r="E341" s="70"/>
    </row>
    <row r="342" spans="1:5" x14ac:dyDescent="0.2">
      <c r="A342" s="33"/>
      <c r="B342" s="71"/>
      <c r="C342" s="108" t="s">
        <v>124</v>
      </c>
      <c r="D342" s="108"/>
      <c r="E342" s="108"/>
    </row>
    <row r="343" spans="1:5" x14ac:dyDescent="0.2">
      <c r="A343" s="33"/>
      <c r="B343" s="71" t="s">
        <v>15</v>
      </c>
      <c r="C343" s="69"/>
      <c r="D343" s="69"/>
      <c r="E343" s="70"/>
    </row>
    <row r="344" spans="1:5" x14ac:dyDescent="0.2">
      <c r="A344" s="33"/>
      <c r="B344" s="72"/>
      <c r="C344" s="106" t="s">
        <v>107</v>
      </c>
      <c r="D344" s="106"/>
      <c r="E344" s="106"/>
    </row>
    <row r="345" spans="1:5" x14ac:dyDescent="0.2">
      <c r="A345" s="33"/>
      <c r="B345" s="72"/>
      <c r="C345" s="106" t="s">
        <v>130</v>
      </c>
      <c r="D345" s="106"/>
      <c r="E345" s="106"/>
    </row>
    <row r="346" spans="1:5" x14ac:dyDescent="0.2">
      <c r="A346" s="33"/>
      <c r="B346" s="71" t="s">
        <v>16</v>
      </c>
      <c r="C346" s="73"/>
      <c r="D346" s="73"/>
      <c r="E346" s="74"/>
    </row>
    <row r="347" spans="1:5" x14ac:dyDescent="0.2">
      <c r="A347" s="33"/>
      <c r="B347" s="72"/>
      <c r="C347" s="107" t="s">
        <v>99</v>
      </c>
      <c r="D347" s="107"/>
      <c r="E347" s="107"/>
    </row>
    <row r="348" spans="1:5" x14ac:dyDescent="0.2">
      <c r="A348" s="33"/>
      <c r="B348" s="71" t="s">
        <v>17</v>
      </c>
      <c r="C348" s="75"/>
      <c r="D348" s="75"/>
      <c r="E348" s="76"/>
    </row>
    <row r="349" spans="1:5" x14ac:dyDescent="0.2">
      <c r="A349" s="33"/>
      <c r="B349" s="72"/>
      <c r="C349" s="109" t="s">
        <v>150</v>
      </c>
      <c r="D349" s="109"/>
      <c r="E349" s="109"/>
    </row>
    <row r="350" spans="1:5" x14ac:dyDescent="0.2">
      <c r="A350" s="33"/>
      <c r="B350" s="71" t="s">
        <v>18</v>
      </c>
      <c r="C350" s="73"/>
      <c r="D350" s="73"/>
      <c r="E350" s="74"/>
    </row>
    <row r="351" spans="1:5" x14ac:dyDescent="0.2">
      <c r="A351" s="33"/>
      <c r="B351" s="71"/>
      <c r="C351" s="110" t="s">
        <v>131</v>
      </c>
      <c r="D351" s="110"/>
      <c r="E351" s="110"/>
    </row>
    <row r="352" spans="1:5" ht="13.5" thickBot="1" x14ac:dyDescent="0.25">
      <c r="A352" s="33"/>
      <c r="B352" s="77"/>
      <c r="C352" s="78"/>
      <c r="D352" s="78"/>
      <c r="E352" s="79"/>
    </row>
    <row r="353" spans="1:5" ht="13.5" thickBot="1" x14ac:dyDescent="0.25">
      <c r="A353" s="33"/>
      <c r="B353" s="33"/>
      <c r="C353" s="33"/>
      <c r="D353" s="33"/>
      <c r="E353" s="33"/>
    </row>
    <row r="354" spans="1:5" x14ac:dyDescent="0.2">
      <c r="A354" s="33"/>
      <c r="B354" s="65" t="s">
        <v>119</v>
      </c>
      <c r="C354" s="66"/>
      <c r="D354" s="66"/>
      <c r="E354" s="67"/>
    </row>
    <row r="355" spans="1:5" x14ac:dyDescent="0.2">
      <c r="A355" s="33"/>
      <c r="B355" s="68"/>
      <c r="C355" s="69"/>
      <c r="D355" s="69"/>
      <c r="E355" s="70"/>
    </row>
    <row r="356" spans="1:5" x14ac:dyDescent="0.2">
      <c r="A356" s="33"/>
      <c r="B356" s="71" t="s">
        <v>14</v>
      </c>
      <c r="C356" s="69"/>
      <c r="D356" s="69"/>
      <c r="E356" s="70"/>
    </row>
    <row r="357" spans="1:5" x14ac:dyDescent="0.2">
      <c r="A357" s="33"/>
      <c r="B357" s="71"/>
      <c r="C357" s="108" t="s">
        <v>126</v>
      </c>
      <c r="D357" s="108"/>
      <c r="E357" s="108"/>
    </row>
    <row r="358" spans="1:5" x14ac:dyDescent="0.2">
      <c r="A358" s="33"/>
      <c r="B358" s="71" t="s">
        <v>15</v>
      </c>
      <c r="C358" s="69"/>
      <c r="D358" s="69"/>
      <c r="E358" s="70"/>
    </row>
    <row r="359" spans="1:5" x14ac:dyDescent="0.2">
      <c r="A359" s="33"/>
      <c r="B359" s="72"/>
      <c r="C359" s="106" t="s">
        <v>107</v>
      </c>
      <c r="D359" s="106"/>
      <c r="E359" s="106"/>
    </row>
    <row r="360" spans="1:5" x14ac:dyDescent="0.2">
      <c r="A360" s="33"/>
      <c r="B360" s="72"/>
      <c r="C360" s="106" t="s">
        <v>130</v>
      </c>
      <c r="D360" s="106"/>
      <c r="E360" s="106"/>
    </row>
    <row r="361" spans="1:5" x14ac:dyDescent="0.2">
      <c r="A361" s="33"/>
      <c r="B361" s="71" t="s">
        <v>16</v>
      </c>
      <c r="C361" s="73"/>
      <c r="D361" s="73"/>
      <c r="E361" s="74"/>
    </row>
    <row r="362" spans="1:5" x14ac:dyDescent="0.2">
      <c r="A362" s="33"/>
      <c r="B362" s="72"/>
      <c r="C362" s="107" t="s">
        <v>99</v>
      </c>
      <c r="D362" s="107"/>
      <c r="E362" s="107"/>
    </row>
    <row r="363" spans="1:5" x14ac:dyDescent="0.2">
      <c r="A363" s="33"/>
      <c r="B363" s="71" t="s">
        <v>17</v>
      </c>
      <c r="C363" s="75"/>
      <c r="D363" s="75"/>
      <c r="E363" s="76"/>
    </row>
    <row r="364" spans="1:5" x14ac:dyDescent="0.2">
      <c r="A364" s="33"/>
      <c r="B364" s="72"/>
      <c r="C364" s="109" t="s">
        <v>150</v>
      </c>
      <c r="D364" s="109"/>
      <c r="E364" s="109"/>
    </row>
    <row r="365" spans="1:5" x14ac:dyDescent="0.2">
      <c r="A365" s="33"/>
      <c r="B365" s="71" t="s">
        <v>18</v>
      </c>
      <c r="C365" s="73"/>
      <c r="D365" s="73"/>
      <c r="E365" s="74"/>
    </row>
    <row r="366" spans="1:5" x14ac:dyDescent="0.2">
      <c r="A366" s="33"/>
      <c r="B366" s="71"/>
      <c r="C366" s="110" t="s">
        <v>131</v>
      </c>
      <c r="D366" s="110"/>
      <c r="E366" s="110"/>
    </row>
    <row r="367" spans="1:5" ht="13.5" thickBot="1" x14ac:dyDescent="0.25">
      <c r="A367" s="33"/>
      <c r="B367" s="77"/>
      <c r="C367" s="78"/>
      <c r="D367" s="78"/>
      <c r="E367" s="79"/>
    </row>
    <row r="368" spans="1:5" ht="13.5" thickBot="1" x14ac:dyDescent="0.25">
      <c r="A368" s="33"/>
      <c r="B368" s="33"/>
      <c r="C368" s="33"/>
      <c r="D368" s="33"/>
      <c r="E368" s="33"/>
    </row>
    <row r="369" spans="1:5" x14ac:dyDescent="0.2">
      <c r="A369" s="33"/>
      <c r="B369" s="65" t="s">
        <v>120</v>
      </c>
      <c r="C369" s="66"/>
      <c r="D369" s="66"/>
      <c r="E369" s="67"/>
    </row>
    <row r="370" spans="1:5" x14ac:dyDescent="0.2">
      <c r="A370" s="33"/>
      <c r="B370" s="68"/>
      <c r="C370" s="69"/>
      <c r="D370" s="69"/>
      <c r="E370" s="70"/>
    </row>
    <row r="371" spans="1:5" x14ac:dyDescent="0.2">
      <c r="A371" s="33"/>
      <c r="B371" s="71" t="s">
        <v>14</v>
      </c>
      <c r="C371" s="69"/>
      <c r="D371" s="69"/>
      <c r="E371" s="70"/>
    </row>
    <row r="372" spans="1:5" x14ac:dyDescent="0.2">
      <c r="A372" s="33"/>
      <c r="B372" s="71"/>
      <c r="C372" s="108" t="s">
        <v>169</v>
      </c>
      <c r="D372" s="108"/>
      <c r="E372" s="108"/>
    </row>
    <row r="373" spans="1:5" x14ac:dyDescent="0.2">
      <c r="A373" s="33"/>
      <c r="B373" s="71" t="s">
        <v>15</v>
      </c>
      <c r="C373" s="69"/>
      <c r="D373" s="69"/>
      <c r="E373" s="70"/>
    </row>
    <row r="374" spans="1:5" x14ac:dyDescent="0.2">
      <c r="A374" s="33"/>
      <c r="B374" s="72"/>
      <c r="C374" s="106" t="s">
        <v>107</v>
      </c>
      <c r="D374" s="106"/>
      <c r="E374" s="106"/>
    </row>
    <row r="375" spans="1:5" x14ac:dyDescent="0.2">
      <c r="A375" s="33"/>
      <c r="B375" s="72"/>
      <c r="C375" s="106" t="s">
        <v>130</v>
      </c>
      <c r="D375" s="106"/>
      <c r="E375" s="106"/>
    </row>
    <row r="376" spans="1:5" x14ac:dyDescent="0.2">
      <c r="A376" s="33"/>
      <c r="B376" s="71" t="s">
        <v>16</v>
      </c>
      <c r="C376" s="73"/>
      <c r="D376" s="73"/>
      <c r="E376" s="74"/>
    </row>
    <row r="377" spans="1:5" x14ac:dyDescent="0.2">
      <c r="A377" s="33"/>
      <c r="B377" s="72"/>
      <c r="C377" s="107" t="s">
        <v>151</v>
      </c>
      <c r="D377" s="107"/>
      <c r="E377" s="107"/>
    </row>
    <row r="378" spans="1:5" x14ac:dyDescent="0.2">
      <c r="A378" s="33"/>
      <c r="B378" s="71" t="s">
        <v>17</v>
      </c>
      <c r="C378" s="75"/>
      <c r="D378" s="75"/>
      <c r="E378" s="76"/>
    </row>
    <row r="379" spans="1:5" x14ac:dyDescent="0.2">
      <c r="A379" s="33"/>
      <c r="B379" s="72"/>
      <c r="C379" s="109" t="s">
        <v>150</v>
      </c>
      <c r="D379" s="109"/>
      <c r="E379" s="109"/>
    </row>
    <row r="380" spans="1:5" x14ac:dyDescent="0.2">
      <c r="A380" s="33"/>
      <c r="B380" s="71" t="s">
        <v>18</v>
      </c>
      <c r="C380" s="73"/>
      <c r="D380" s="73"/>
      <c r="E380" s="74"/>
    </row>
    <row r="381" spans="1:5" x14ac:dyDescent="0.2">
      <c r="A381" s="33"/>
      <c r="B381" s="71"/>
      <c r="C381" s="110" t="s">
        <v>131</v>
      </c>
      <c r="D381" s="110"/>
      <c r="E381" s="110"/>
    </row>
    <row r="382" spans="1:5" ht="13.5" thickBot="1" x14ac:dyDescent="0.25">
      <c r="A382" s="33"/>
      <c r="B382" s="77"/>
      <c r="C382" s="78"/>
      <c r="D382" s="78"/>
      <c r="E382" s="79"/>
    </row>
    <row r="383" spans="1:5" ht="13.5" thickBot="1" x14ac:dyDescent="0.25">
      <c r="A383" s="33"/>
      <c r="B383" s="33"/>
      <c r="C383" s="33"/>
      <c r="D383" s="33"/>
      <c r="E383" s="33"/>
    </row>
    <row r="384" spans="1:5" x14ac:dyDescent="0.2">
      <c r="A384" s="33"/>
      <c r="B384" s="65" t="s">
        <v>121</v>
      </c>
      <c r="C384" s="66"/>
      <c r="D384" s="66"/>
      <c r="E384" s="67"/>
    </row>
    <row r="385" spans="1:5" x14ac:dyDescent="0.2">
      <c r="A385" s="33"/>
      <c r="B385" s="68"/>
      <c r="C385" s="69"/>
      <c r="D385" s="69"/>
      <c r="E385" s="70"/>
    </row>
    <row r="386" spans="1:5" x14ac:dyDescent="0.2">
      <c r="A386" s="33"/>
      <c r="B386" s="71" t="s">
        <v>14</v>
      </c>
      <c r="C386" s="69"/>
      <c r="D386" s="69"/>
      <c r="E386" s="70"/>
    </row>
    <row r="387" spans="1:5" x14ac:dyDescent="0.2">
      <c r="A387" s="33"/>
      <c r="B387" s="71"/>
      <c r="C387" s="108" t="s">
        <v>170</v>
      </c>
      <c r="D387" s="108"/>
      <c r="E387" s="108"/>
    </row>
    <row r="388" spans="1:5" x14ac:dyDescent="0.2">
      <c r="A388" s="33"/>
      <c r="B388" s="71" t="s">
        <v>15</v>
      </c>
      <c r="C388" s="69"/>
      <c r="D388" s="69"/>
      <c r="E388" s="70"/>
    </row>
    <row r="389" spans="1:5" x14ac:dyDescent="0.2">
      <c r="A389" s="33"/>
      <c r="B389" s="72"/>
      <c r="C389" s="106" t="s">
        <v>107</v>
      </c>
      <c r="D389" s="106"/>
      <c r="E389" s="106"/>
    </row>
    <row r="390" spans="1:5" x14ac:dyDescent="0.2">
      <c r="A390" s="33"/>
      <c r="B390" s="72"/>
      <c r="C390" s="106" t="s">
        <v>130</v>
      </c>
      <c r="D390" s="106"/>
      <c r="E390" s="106"/>
    </row>
    <row r="391" spans="1:5" x14ac:dyDescent="0.2">
      <c r="A391" s="33"/>
      <c r="B391" s="71" t="s">
        <v>16</v>
      </c>
      <c r="C391" s="73"/>
      <c r="D391" s="73"/>
      <c r="E391" s="74"/>
    </row>
    <row r="392" spans="1:5" x14ac:dyDescent="0.2">
      <c r="A392" s="33"/>
      <c r="B392" s="72"/>
      <c r="C392" s="107" t="s">
        <v>151</v>
      </c>
      <c r="D392" s="107"/>
      <c r="E392" s="107"/>
    </row>
    <row r="393" spans="1:5" x14ac:dyDescent="0.2">
      <c r="A393" s="33"/>
      <c r="B393" s="71" t="s">
        <v>17</v>
      </c>
      <c r="C393" s="75"/>
      <c r="D393" s="75"/>
      <c r="E393" s="76"/>
    </row>
    <row r="394" spans="1:5" x14ac:dyDescent="0.2">
      <c r="A394" s="33"/>
      <c r="B394" s="72"/>
      <c r="C394" s="109" t="s">
        <v>150</v>
      </c>
      <c r="D394" s="109"/>
      <c r="E394" s="109"/>
    </row>
    <row r="395" spans="1:5" x14ac:dyDescent="0.2">
      <c r="A395" s="33"/>
      <c r="B395" s="71" t="s">
        <v>18</v>
      </c>
      <c r="C395" s="73"/>
      <c r="D395" s="73"/>
      <c r="E395" s="74"/>
    </row>
    <row r="396" spans="1:5" x14ac:dyDescent="0.2">
      <c r="A396" s="33"/>
      <c r="B396" s="71"/>
      <c r="C396" s="110" t="s">
        <v>131</v>
      </c>
      <c r="D396" s="110"/>
      <c r="E396" s="110"/>
    </row>
    <row r="397" spans="1:5" ht="13.5" thickBot="1" x14ac:dyDescent="0.25">
      <c r="A397" s="33"/>
      <c r="B397" s="77"/>
      <c r="C397" s="78"/>
      <c r="D397" s="78"/>
      <c r="E397" s="79"/>
    </row>
    <row r="398" spans="1:5" ht="13.5" thickBot="1" x14ac:dyDescent="0.25">
      <c r="A398" s="33"/>
      <c r="B398" s="33"/>
      <c r="C398" s="33"/>
      <c r="D398" s="33"/>
      <c r="E398" s="33"/>
    </row>
    <row r="399" spans="1:5" x14ac:dyDescent="0.2">
      <c r="A399" s="33"/>
      <c r="B399" s="65" t="s">
        <v>122</v>
      </c>
      <c r="C399" s="66"/>
      <c r="D399" s="66"/>
      <c r="E399" s="67"/>
    </row>
    <row r="400" spans="1:5" x14ac:dyDescent="0.2">
      <c r="A400" s="33"/>
      <c r="B400" s="68"/>
      <c r="C400" s="69"/>
      <c r="D400" s="69"/>
      <c r="E400" s="70"/>
    </row>
    <row r="401" spans="1:5" x14ac:dyDescent="0.2">
      <c r="A401" s="33"/>
      <c r="B401" s="71" t="s">
        <v>14</v>
      </c>
      <c r="C401" s="69"/>
      <c r="D401" s="69"/>
      <c r="E401" s="70"/>
    </row>
    <row r="402" spans="1:5" x14ac:dyDescent="0.2">
      <c r="A402" s="33"/>
      <c r="B402" s="71"/>
      <c r="C402" s="108" t="s">
        <v>171</v>
      </c>
      <c r="D402" s="108"/>
      <c r="E402" s="108"/>
    </row>
    <row r="403" spans="1:5" x14ac:dyDescent="0.2">
      <c r="A403" s="33"/>
      <c r="B403" s="71" t="s">
        <v>15</v>
      </c>
      <c r="C403" s="69"/>
      <c r="D403" s="69"/>
      <c r="E403" s="70"/>
    </row>
    <row r="404" spans="1:5" x14ac:dyDescent="0.2">
      <c r="A404" s="33"/>
      <c r="B404" s="72"/>
      <c r="C404" s="106" t="s">
        <v>107</v>
      </c>
      <c r="D404" s="106"/>
      <c r="E404" s="106"/>
    </row>
    <row r="405" spans="1:5" x14ac:dyDescent="0.2">
      <c r="A405" s="33"/>
      <c r="B405" s="72"/>
      <c r="C405" s="106" t="s">
        <v>130</v>
      </c>
      <c r="D405" s="106"/>
      <c r="E405" s="106"/>
    </row>
    <row r="406" spans="1:5" x14ac:dyDescent="0.2">
      <c r="A406" s="33"/>
      <c r="B406" s="71" t="s">
        <v>16</v>
      </c>
      <c r="C406" s="73"/>
      <c r="D406" s="73"/>
      <c r="E406" s="74"/>
    </row>
    <row r="407" spans="1:5" x14ac:dyDescent="0.2">
      <c r="A407" s="33"/>
      <c r="B407" s="72"/>
      <c r="C407" s="107" t="s">
        <v>151</v>
      </c>
      <c r="D407" s="107"/>
      <c r="E407" s="107"/>
    </row>
    <row r="408" spans="1:5" x14ac:dyDescent="0.2">
      <c r="A408" s="33"/>
      <c r="B408" s="71" t="s">
        <v>17</v>
      </c>
      <c r="C408" s="75"/>
      <c r="D408" s="75"/>
      <c r="E408" s="76"/>
    </row>
    <row r="409" spans="1:5" x14ac:dyDescent="0.2">
      <c r="A409" s="33"/>
      <c r="B409" s="72"/>
      <c r="C409" s="109" t="s">
        <v>150</v>
      </c>
      <c r="D409" s="109"/>
      <c r="E409" s="109"/>
    </row>
    <row r="410" spans="1:5" x14ac:dyDescent="0.2">
      <c r="A410" s="33"/>
      <c r="B410" s="71" t="s">
        <v>18</v>
      </c>
      <c r="C410" s="73"/>
      <c r="D410" s="73"/>
      <c r="E410" s="74"/>
    </row>
    <row r="411" spans="1:5" x14ac:dyDescent="0.2">
      <c r="A411" s="33"/>
      <c r="B411" s="71"/>
      <c r="C411" s="110" t="s">
        <v>131</v>
      </c>
      <c r="D411" s="110"/>
      <c r="E411" s="110"/>
    </row>
    <row r="412" spans="1:5" ht="13.5" thickBot="1" x14ac:dyDescent="0.25">
      <c r="A412" s="33"/>
      <c r="B412" s="77"/>
      <c r="C412" s="78"/>
      <c r="D412" s="78"/>
      <c r="E412" s="79"/>
    </row>
    <row r="413" spans="1:5" ht="13.5" thickBot="1" x14ac:dyDescent="0.25">
      <c r="A413" s="33"/>
      <c r="B413" s="33"/>
      <c r="C413" s="33"/>
      <c r="D413" s="33"/>
      <c r="E413" s="33"/>
    </row>
    <row r="414" spans="1:5" x14ac:dyDescent="0.2">
      <c r="A414" s="33"/>
      <c r="B414" s="65" t="s">
        <v>123</v>
      </c>
      <c r="C414" s="66"/>
      <c r="D414" s="66"/>
      <c r="E414" s="67"/>
    </row>
    <row r="415" spans="1:5" x14ac:dyDescent="0.2">
      <c r="A415" s="33"/>
      <c r="B415" s="68"/>
      <c r="C415" s="69"/>
      <c r="D415" s="69"/>
      <c r="E415" s="70"/>
    </row>
    <row r="416" spans="1:5" x14ac:dyDescent="0.2">
      <c r="A416" s="33"/>
      <c r="B416" s="71" t="s">
        <v>14</v>
      </c>
      <c r="C416" s="69"/>
      <c r="D416" s="69"/>
      <c r="E416" s="70"/>
    </row>
    <row r="417" spans="1:5" x14ac:dyDescent="0.2">
      <c r="A417" s="33"/>
      <c r="B417" s="71"/>
      <c r="C417" s="108" t="s">
        <v>172</v>
      </c>
      <c r="D417" s="108"/>
      <c r="E417" s="108"/>
    </row>
    <row r="418" spans="1:5" x14ac:dyDescent="0.2">
      <c r="A418" s="33"/>
      <c r="B418" s="71" t="s">
        <v>15</v>
      </c>
      <c r="C418" s="69"/>
      <c r="D418" s="69"/>
      <c r="E418" s="70"/>
    </row>
    <row r="419" spans="1:5" x14ac:dyDescent="0.2">
      <c r="A419" s="33"/>
      <c r="B419" s="72"/>
      <c r="C419" s="106" t="s">
        <v>107</v>
      </c>
      <c r="D419" s="106"/>
      <c r="E419" s="106"/>
    </row>
    <row r="420" spans="1:5" x14ac:dyDescent="0.2">
      <c r="A420" s="33"/>
      <c r="B420" s="72"/>
      <c r="C420" s="106" t="s">
        <v>130</v>
      </c>
      <c r="D420" s="106"/>
      <c r="E420" s="106"/>
    </row>
    <row r="421" spans="1:5" x14ac:dyDescent="0.2">
      <c r="A421" s="33"/>
      <c r="B421" s="71" t="s">
        <v>16</v>
      </c>
      <c r="C421" s="73"/>
      <c r="D421" s="73"/>
      <c r="E421" s="74"/>
    </row>
    <row r="422" spans="1:5" x14ac:dyDescent="0.2">
      <c r="A422" s="33"/>
      <c r="B422" s="72"/>
      <c r="C422" s="107" t="s">
        <v>99</v>
      </c>
      <c r="D422" s="107"/>
      <c r="E422" s="107"/>
    </row>
    <row r="423" spans="1:5" x14ac:dyDescent="0.2">
      <c r="A423" s="33"/>
      <c r="B423" s="71" t="s">
        <v>17</v>
      </c>
      <c r="C423" s="75"/>
      <c r="D423" s="75"/>
      <c r="E423" s="76"/>
    </row>
    <row r="424" spans="1:5" x14ac:dyDescent="0.2">
      <c r="A424" s="33"/>
      <c r="B424" s="72"/>
      <c r="C424" s="109" t="s">
        <v>150</v>
      </c>
      <c r="D424" s="109"/>
      <c r="E424" s="109"/>
    </row>
    <row r="425" spans="1:5" x14ac:dyDescent="0.2">
      <c r="A425" s="33"/>
      <c r="B425" s="71" t="s">
        <v>18</v>
      </c>
      <c r="C425" s="73"/>
      <c r="D425" s="73"/>
      <c r="E425" s="74"/>
    </row>
    <row r="426" spans="1:5" x14ac:dyDescent="0.2">
      <c r="A426" s="33"/>
      <c r="B426" s="71"/>
      <c r="C426" s="110" t="s">
        <v>131</v>
      </c>
      <c r="D426" s="110"/>
      <c r="E426" s="110"/>
    </row>
    <row r="427" spans="1:5" ht="13.5" thickBot="1" x14ac:dyDescent="0.25">
      <c r="A427" s="33"/>
      <c r="B427" s="77"/>
      <c r="C427" s="78"/>
      <c r="D427" s="78"/>
      <c r="E427" s="79"/>
    </row>
    <row r="428" spans="1:5" x14ac:dyDescent="0.2">
      <c r="A428" s="33"/>
      <c r="B428" s="33"/>
      <c r="C428" s="33"/>
      <c r="D428" s="33"/>
      <c r="E428" s="33"/>
    </row>
    <row r="429" spans="1:5" x14ac:dyDescent="0.2">
      <c r="A429" s="33"/>
      <c r="B429" s="33"/>
      <c r="C429" s="33"/>
      <c r="D429" s="33"/>
      <c r="E429" s="33"/>
    </row>
    <row r="430" spans="1:5" x14ac:dyDescent="0.2">
      <c r="A430" s="33"/>
      <c r="B430" s="69"/>
      <c r="C430" s="69"/>
      <c r="D430" s="69"/>
      <c r="E430" s="69"/>
    </row>
    <row r="431" spans="1:5" x14ac:dyDescent="0.2">
      <c r="A431" s="33"/>
      <c r="B431" s="80"/>
      <c r="C431" s="69"/>
      <c r="D431" s="69"/>
      <c r="E431" s="69"/>
    </row>
    <row r="432" spans="1:5" x14ac:dyDescent="0.2">
      <c r="A432" s="33"/>
      <c r="B432" s="69"/>
      <c r="C432" s="69"/>
      <c r="D432" s="69"/>
      <c r="E432" s="69"/>
    </row>
    <row r="433" spans="1:5" x14ac:dyDescent="0.2">
      <c r="A433" s="33"/>
      <c r="B433" s="81"/>
      <c r="C433" s="69"/>
      <c r="D433" s="69"/>
      <c r="E433" s="69"/>
    </row>
    <row r="434" spans="1:5" x14ac:dyDescent="0.2">
      <c r="A434" s="33"/>
      <c r="B434" s="81"/>
      <c r="C434" s="101"/>
      <c r="D434" s="101"/>
      <c r="E434" s="101"/>
    </row>
    <row r="435" spans="1:5" x14ac:dyDescent="0.2">
      <c r="A435" s="33"/>
      <c r="B435" s="81"/>
      <c r="C435" s="69"/>
      <c r="D435" s="69"/>
      <c r="E435" s="69"/>
    </row>
    <row r="436" spans="1:5" x14ac:dyDescent="0.2">
      <c r="A436" s="33"/>
      <c r="B436" s="82"/>
      <c r="C436" s="102"/>
      <c r="D436" s="102"/>
      <c r="E436" s="102"/>
    </row>
    <row r="437" spans="1:5" x14ac:dyDescent="0.2">
      <c r="A437" s="33"/>
      <c r="B437" s="82"/>
      <c r="C437" s="102"/>
      <c r="D437" s="102"/>
      <c r="E437" s="102"/>
    </row>
    <row r="438" spans="1:5" x14ac:dyDescent="0.2">
      <c r="A438" s="33"/>
      <c r="B438" s="81"/>
      <c r="C438" s="73"/>
      <c r="D438" s="73"/>
      <c r="E438" s="73"/>
    </row>
    <row r="439" spans="1:5" x14ac:dyDescent="0.2">
      <c r="A439" s="33"/>
      <c r="B439" s="82"/>
      <c r="C439" s="103"/>
      <c r="D439" s="103"/>
      <c r="E439" s="103"/>
    </row>
    <row r="440" spans="1:5" x14ac:dyDescent="0.2">
      <c r="A440" s="33"/>
      <c r="B440" s="81"/>
      <c r="C440" s="75"/>
      <c r="D440" s="75"/>
      <c r="E440" s="75"/>
    </row>
    <row r="441" spans="1:5" x14ac:dyDescent="0.2">
      <c r="A441" s="33"/>
      <c r="B441" s="82"/>
      <c r="C441" s="104"/>
      <c r="D441" s="104"/>
      <c r="E441" s="104"/>
    </row>
    <row r="442" spans="1:5" x14ac:dyDescent="0.2">
      <c r="A442" s="33"/>
      <c r="B442" s="81"/>
      <c r="C442" s="73"/>
      <c r="D442" s="73"/>
      <c r="E442" s="73"/>
    </row>
    <row r="443" spans="1:5" x14ac:dyDescent="0.2">
      <c r="A443" s="33"/>
      <c r="B443" s="81"/>
      <c r="C443" s="105"/>
      <c r="D443" s="105"/>
      <c r="E443" s="105"/>
    </row>
    <row r="444" spans="1:5" x14ac:dyDescent="0.2">
      <c r="A444" s="33"/>
      <c r="B444" s="82"/>
      <c r="C444" s="69"/>
      <c r="D444" s="69"/>
      <c r="E444" s="69"/>
    </row>
    <row r="445" spans="1:5" x14ac:dyDescent="0.2">
      <c r="A445" s="33"/>
      <c r="B445" s="69"/>
      <c r="C445" s="69"/>
      <c r="D445" s="69"/>
      <c r="E445" s="69"/>
    </row>
    <row r="446" spans="1:5" x14ac:dyDescent="0.2">
      <c r="A446" s="33"/>
      <c r="B446" s="69"/>
      <c r="C446" s="69"/>
      <c r="D446" s="69"/>
      <c r="E446" s="69"/>
    </row>
    <row r="447" spans="1:5" x14ac:dyDescent="0.2">
      <c r="A447" s="33"/>
      <c r="B447" s="69"/>
      <c r="C447" s="69"/>
      <c r="D447" s="69"/>
      <c r="E447" s="69"/>
    </row>
    <row r="448" spans="1:5" x14ac:dyDescent="0.2">
      <c r="A448" s="33"/>
      <c r="B448" s="80"/>
      <c r="C448" s="69"/>
      <c r="D448" s="69"/>
      <c r="E448" s="69"/>
    </row>
    <row r="449" spans="1:5" x14ac:dyDescent="0.2">
      <c r="A449" s="33"/>
      <c r="B449" s="69"/>
      <c r="C449" s="69"/>
      <c r="D449" s="69"/>
      <c r="E449" s="69"/>
    </row>
    <row r="450" spans="1:5" x14ac:dyDescent="0.2">
      <c r="A450" s="33"/>
      <c r="B450" s="81"/>
      <c r="C450" s="69"/>
      <c r="D450" s="69"/>
      <c r="E450" s="69"/>
    </row>
    <row r="451" spans="1:5" x14ac:dyDescent="0.2">
      <c r="A451" s="33"/>
      <c r="B451" s="81"/>
      <c r="C451" s="101"/>
      <c r="D451" s="101"/>
      <c r="E451" s="101"/>
    </row>
    <row r="452" spans="1:5" x14ac:dyDescent="0.2">
      <c r="A452" s="33"/>
      <c r="B452" s="81"/>
      <c r="C452" s="69"/>
      <c r="D452" s="69"/>
      <c r="E452" s="69"/>
    </row>
    <row r="453" spans="1:5" x14ac:dyDescent="0.2">
      <c r="A453" s="33"/>
      <c r="B453" s="82"/>
      <c r="C453" s="102"/>
      <c r="D453" s="102"/>
      <c r="E453" s="102"/>
    </row>
    <row r="454" spans="1:5" x14ac:dyDescent="0.2">
      <c r="A454" s="33"/>
      <c r="B454" s="82"/>
      <c r="C454" s="102"/>
      <c r="D454" s="102"/>
      <c r="E454" s="102"/>
    </row>
    <row r="455" spans="1:5" x14ac:dyDescent="0.2">
      <c r="A455" s="33"/>
      <c r="B455" s="81"/>
      <c r="C455" s="73"/>
      <c r="D455" s="73"/>
      <c r="E455" s="73"/>
    </row>
    <row r="456" spans="1:5" x14ac:dyDescent="0.2">
      <c r="A456" s="33"/>
      <c r="B456" s="82"/>
      <c r="C456" s="103"/>
      <c r="D456" s="103"/>
      <c r="E456" s="103"/>
    </row>
    <row r="457" spans="1:5" x14ac:dyDescent="0.2">
      <c r="A457" s="33"/>
      <c r="B457" s="81"/>
      <c r="C457" s="75"/>
      <c r="D457" s="75"/>
      <c r="E457" s="75"/>
    </row>
    <row r="458" spans="1:5" x14ac:dyDescent="0.2">
      <c r="A458" s="33"/>
      <c r="B458" s="82"/>
      <c r="C458" s="104"/>
      <c r="D458" s="104"/>
      <c r="E458" s="104"/>
    </row>
    <row r="459" spans="1:5" x14ac:dyDescent="0.2">
      <c r="A459" s="33"/>
      <c r="B459" s="81"/>
      <c r="C459" s="73"/>
      <c r="D459" s="73"/>
      <c r="E459" s="73"/>
    </row>
    <row r="460" spans="1:5" x14ac:dyDescent="0.2">
      <c r="A460" s="33"/>
      <c r="B460" s="81"/>
      <c r="C460" s="105"/>
      <c r="D460" s="105"/>
      <c r="E460" s="105"/>
    </row>
    <row r="461" spans="1:5" x14ac:dyDescent="0.2">
      <c r="A461" s="33"/>
      <c r="B461" s="82"/>
      <c r="C461" s="69"/>
      <c r="D461" s="69"/>
      <c r="E461" s="69"/>
    </row>
    <row r="462" spans="1:5" x14ac:dyDescent="0.2">
      <c r="A462" s="33"/>
      <c r="B462" s="69"/>
      <c r="C462" s="69"/>
      <c r="D462" s="69"/>
      <c r="E462" s="69"/>
    </row>
    <row r="463" spans="1:5" x14ac:dyDescent="0.2">
      <c r="A463" s="33"/>
      <c r="B463" s="80"/>
      <c r="C463" s="69"/>
      <c r="D463" s="69"/>
      <c r="E463" s="69"/>
    </row>
    <row r="464" spans="1:5" x14ac:dyDescent="0.2">
      <c r="A464" s="33"/>
      <c r="B464" s="69"/>
      <c r="C464" s="69"/>
      <c r="D464" s="69"/>
      <c r="E464" s="69"/>
    </row>
    <row r="465" spans="1:5" x14ac:dyDescent="0.2">
      <c r="A465" s="33"/>
      <c r="B465" s="81"/>
      <c r="C465" s="69"/>
      <c r="D465" s="69"/>
      <c r="E465" s="69"/>
    </row>
    <row r="466" spans="1:5" x14ac:dyDescent="0.2">
      <c r="A466" s="33"/>
      <c r="B466" s="81"/>
      <c r="C466" s="101"/>
      <c r="D466" s="101"/>
      <c r="E466" s="101"/>
    </row>
    <row r="467" spans="1:5" x14ac:dyDescent="0.2">
      <c r="A467" s="33"/>
      <c r="B467" s="81"/>
      <c r="C467" s="69"/>
      <c r="D467" s="69"/>
      <c r="E467" s="69"/>
    </row>
    <row r="468" spans="1:5" x14ac:dyDescent="0.2">
      <c r="A468" s="33"/>
      <c r="B468" s="82"/>
      <c r="C468" s="102"/>
      <c r="D468" s="102"/>
      <c r="E468" s="102"/>
    </row>
    <row r="469" spans="1:5" x14ac:dyDescent="0.2">
      <c r="A469" s="33"/>
      <c r="B469" s="82"/>
      <c r="C469" s="102"/>
      <c r="D469" s="102"/>
      <c r="E469" s="102"/>
    </row>
    <row r="470" spans="1:5" x14ac:dyDescent="0.2">
      <c r="A470" s="33"/>
      <c r="B470" s="81"/>
      <c r="C470" s="73"/>
      <c r="D470" s="73"/>
      <c r="E470" s="73"/>
    </row>
    <row r="471" spans="1:5" x14ac:dyDescent="0.2">
      <c r="A471" s="33"/>
      <c r="B471" s="82"/>
      <c r="C471" s="103"/>
      <c r="D471" s="103"/>
      <c r="E471" s="103"/>
    </row>
    <row r="472" spans="1:5" x14ac:dyDescent="0.2">
      <c r="A472" s="33"/>
      <c r="B472" s="81"/>
      <c r="C472" s="75"/>
      <c r="D472" s="75"/>
      <c r="E472" s="75"/>
    </row>
    <row r="473" spans="1:5" x14ac:dyDescent="0.2">
      <c r="A473" s="33"/>
      <c r="B473" s="82"/>
      <c r="C473" s="104"/>
      <c r="D473" s="104"/>
      <c r="E473" s="104"/>
    </row>
    <row r="474" spans="1:5" x14ac:dyDescent="0.2">
      <c r="A474" s="33"/>
      <c r="B474" s="81"/>
      <c r="C474" s="73"/>
      <c r="D474" s="73"/>
      <c r="E474" s="73"/>
    </row>
    <row r="475" spans="1:5" x14ac:dyDescent="0.2">
      <c r="A475" s="33"/>
      <c r="B475" s="81"/>
      <c r="C475" s="105"/>
      <c r="D475" s="105"/>
      <c r="E475" s="105"/>
    </row>
    <row r="476" spans="1:5" x14ac:dyDescent="0.2">
      <c r="A476" s="33"/>
      <c r="B476" s="82"/>
      <c r="C476" s="69"/>
      <c r="D476" s="69"/>
      <c r="E476" s="69"/>
    </row>
    <row r="477" spans="1:5" x14ac:dyDescent="0.2">
      <c r="A477" s="33"/>
      <c r="B477" s="69"/>
      <c r="C477" s="69"/>
      <c r="D477" s="69"/>
      <c r="E477" s="69"/>
    </row>
    <row r="478" spans="1:5" x14ac:dyDescent="0.2">
      <c r="A478" s="33"/>
      <c r="B478" s="69"/>
      <c r="C478" s="69"/>
      <c r="D478" s="69"/>
      <c r="E478" s="69"/>
    </row>
    <row r="479" spans="1:5" x14ac:dyDescent="0.2">
      <c r="A479" s="33"/>
      <c r="B479" s="80"/>
      <c r="C479" s="69"/>
      <c r="D479" s="69"/>
      <c r="E479" s="69"/>
    </row>
    <row r="480" spans="1:5" x14ac:dyDescent="0.2">
      <c r="A480" s="33"/>
      <c r="B480" s="69"/>
      <c r="C480" s="69"/>
      <c r="D480" s="69"/>
      <c r="E480" s="69"/>
    </row>
    <row r="481" spans="1:5" x14ac:dyDescent="0.2">
      <c r="A481" s="33"/>
      <c r="B481" s="81"/>
      <c r="C481" s="69"/>
      <c r="D481" s="69"/>
      <c r="E481" s="69"/>
    </row>
    <row r="482" spans="1:5" x14ac:dyDescent="0.2">
      <c r="A482" s="33"/>
      <c r="B482" s="81"/>
      <c r="C482" s="101"/>
      <c r="D482" s="101"/>
      <c r="E482" s="101"/>
    </row>
    <row r="483" spans="1:5" x14ac:dyDescent="0.2">
      <c r="A483" s="33"/>
      <c r="B483" s="81"/>
      <c r="C483" s="69"/>
      <c r="D483" s="69"/>
      <c r="E483" s="69"/>
    </row>
    <row r="484" spans="1:5" x14ac:dyDescent="0.2">
      <c r="A484" s="33"/>
      <c r="B484" s="82"/>
      <c r="C484" s="102"/>
      <c r="D484" s="102"/>
      <c r="E484" s="102"/>
    </row>
    <row r="485" spans="1:5" x14ac:dyDescent="0.2">
      <c r="A485" s="33"/>
      <c r="B485" s="82"/>
      <c r="C485" s="102"/>
      <c r="D485" s="102"/>
      <c r="E485" s="102"/>
    </row>
    <row r="486" spans="1:5" x14ac:dyDescent="0.2">
      <c r="A486" s="33"/>
      <c r="B486" s="81"/>
      <c r="C486" s="73"/>
      <c r="D486" s="73"/>
      <c r="E486" s="73"/>
    </row>
    <row r="487" spans="1:5" x14ac:dyDescent="0.2">
      <c r="A487" s="33"/>
      <c r="B487" s="82"/>
      <c r="C487" s="103"/>
      <c r="D487" s="103"/>
      <c r="E487" s="103"/>
    </row>
    <row r="488" spans="1:5" x14ac:dyDescent="0.2">
      <c r="A488" s="33"/>
      <c r="B488" s="81"/>
      <c r="C488" s="75"/>
      <c r="D488" s="75"/>
      <c r="E488" s="75"/>
    </row>
    <row r="489" spans="1:5" x14ac:dyDescent="0.2">
      <c r="A489" s="33"/>
      <c r="B489" s="82"/>
      <c r="C489" s="104"/>
      <c r="D489" s="104"/>
      <c r="E489" s="104"/>
    </row>
    <row r="490" spans="1:5" x14ac:dyDescent="0.2">
      <c r="A490" s="33"/>
      <c r="B490" s="81"/>
      <c r="C490" s="73"/>
      <c r="D490" s="73"/>
      <c r="E490" s="73"/>
    </row>
    <row r="491" spans="1:5" x14ac:dyDescent="0.2">
      <c r="A491" s="33"/>
      <c r="B491" s="81"/>
      <c r="C491" s="105"/>
      <c r="D491" s="105"/>
      <c r="E491" s="105"/>
    </row>
    <row r="492" spans="1:5" x14ac:dyDescent="0.2">
      <c r="A492" s="33"/>
      <c r="B492" s="82"/>
      <c r="C492" s="69"/>
      <c r="D492" s="69"/>
      <c r="E492" s="69"/>
    </row>
    <row r="493" spans="1:5" x14ac:dyDescent="0.2">
      <c r="A493" s="33"/>
      <c r="B493" s="69"/>
      <c r="C493" s="69"/>
      <c r="D493" s="69"/>
      <c r="E493" s="69"/>
    </row>
    <row r="494" spans="1:5" x14ac:dyDescent="0.2">
      <c r="A494" s="33"/>
      <c r="B494" s="80"/>
      <c r="C494" s="69"/>
      <c r="D494" s="69"/>
      <c r="E494" s="69"/>
    </row>
    <row r="495" spans="1:5" x14ac:dyDescent="0.2">
      <c r="A495" s="33"/>
      <c r="B495" s="69"/>
      <c r="C495" s="69"/>
      <c r="D495" s="69"/>
      <c r="E495" s="69"/>
    </row>
    <row r="496" spans="1:5" x14ac:dyDescent="0.2">
      <c r="A496" s="33"/>
      <c r="B496" s="81"/>
      <c r="C496" s="69"/>
      <c r="D496" s="69"/>
      <c r="E496" s="69"/>
    </row>
    <row r="497" spans="1:5" x14ac:dyDescent="0.2">
      <c r="A497" s="33"/>
      <c r="B497" s="81"/>
      <c r="C497" s="101"/>
      <c r="D497" s="101"/>
      <c r="E497" s="101"/>
    </row>
    <row r="498" spans="1:5" x14ac:dyDescent="0.2">
      <c r="A498" s="33"/>
      <c r="B498" s="81"/>
      <c r="C498" s="69"/>
      <c r="D498" s="69"/>
      <c r="E498" s="69"/>
    </row>
    <row r="499" spans="1:5" x14ac:dyDescent="0.2">
      <c r="A499" s="33"/>
      <c r="B499" s="82"/>
      <c r="C499" s="102"/>
      <c r="D499" s="102"/>
      <c r="E499" s="102"/>
    </row>
    <row r="500" spans="1:5" x14ac:dyDescent="0.2">
      <c r="A500" s="33"/>
      <c r="B500" s="82"/>
      <c r="C500" s="102"/>
      <c r="D500" s="102"/>
      <c r="E500" s="102"/>
    </row>
    <row r="501" spans="1:5" x14ac:dyDescent="0.2">
      <c r="A501" s="33"/>
      <c r="B501" s="81"/>
      <c r="C501" s="73"/>
      <c r="D501" s="73"/>
      <c r="E501" s="73"/>
    </row>
    <row r="502" spans="1:5" x14ac:dyDescent="0.2">
      <c r="A502" s="33"/>
      <c r="B502" s="82"/>
      <c r="C502" s="103"/>
      <c r="D502" s="103"/>
      <c r="E502" s="103"/>
    </row>
    <row r="503" spans="1:5" x14ac:dyDescent="0.2">
      <c r="A503" s="33"/>
      <c r="B503" s="81"/>
      <c r="C503" s="75"/>
      <c r="D503" s="75"/>
      <c r="E503" s="75"/>
    </row>
    <row r="504" spans="1:5" x14ac:dyDescent="0.2">
      <c r="A504" s="33"/>
      <c r="B504" s="82"/>
      <c r="C504" s="104"/>
      <c r="D504" s="104"/>
      <c r="E504" s="104"/>
    </row>
    <row r="505" spans="1:5" x14ac:dyDescent="0.2">
      <c r="A505" s="33"/>
      <c r="B505" s="81"/>
      <c r="C505" s="73"/>
      <c r="D505" s="73"/>
      <c r="E505" s="73"/>
    </row>
    <row r="506" spans="1:5" x14ac:dyDescent="0.2">
      <c r="A506" s="33"/>
      <c r="B506" s="81"/>
      <c r="C506" s="105"/>
      <c r="D506" s="105"/>
      <c r="E506" s="105"/>
    </row>
    <row r="507" spans="1:5" x14ac:dyDescent="0.2">
      <c r="A507" s="33"/>
      <c r="B507" s="82"/>
      <c r="C507" s="69"/>
      <c r="D507" s="69"/>
      <c r="E507" s="69"/>
    </row>
    <row r="508" spans="1:5" x14ac:dyDescent="0.2">
      <c r="A508" s="33"/>
      <c r="B508" s="69"/>
      <c r="C508" s="69"/>
      <c r="D508" s="69"/>
      <c r="E508" s="69"/>
    </row>
    <row r="509" spans="1:5" x14ac:dyDescent="0.2">
      <c r="A509" s="33"/>
      <c r="B509" s="80"/>
      <c r="C509" s="69"/>
      <c r="D509" s="69"/>
      <c r="E509" s="69"/>
    </row>
    <row r="510" spans="1:5" x14ac:dyDescent="0.2">
      <c r="A510" s="33"/>
      <c r="B510" s="69"/>
      <c r="C510" s="69"/>
      <c r="D510" s="69"/>
      <c r="E510" s="69"/>
    </row>
    <row r="511" spans="1:5" x14ac:dyDescent="0.2">
      <c r="A511" s="33"/>
      <c r="B511" s="81"/>
      <c r="C511" s="69"/>
      <c r="D511" s="69"/>
      <c r="E511" s="69"/>
    </row>
    <row r="512" spans="1:5" x14ac:dyDescent="0.2">
      <c r="A512" s="33"/>
      <c r="B512" s="81"/>
      <c r="C512" s="101"/>
      <c r="D512" s="101"/>
      <c r="E512" s="101"/>
    </row>
    <row r="513" spans="1:5" x14ac:dyDescent="0.2">
      <c r="A513" s="33"/>
      <c r="B513" s="81"/>
      <c r="C513" s="69"/>
      <c r="D513" s="69"/>
      <c r="E513" s="69"/>
    </row>
    <row r="514" spans="1:5" x14ac:dyDescent="0.2">
      <c r="A514" s="33"/>
      <c r="B514" s="82"/>
      <c r="C514" s="102"/>
      <c r="D514" s="102"/>
      <c r="E514" s="102"/>
    </row>
    <row r="515" spans="1:5" x14ac:dyDescent="0.2">
      <c r="A515" s="33"/>
      <c r="B515" s="82"/>
      <c r="C515" s="102"/>
      <c r="D515" s="102"/>
      <c r="E515" s="102"/>
    </row>
    <row r="516" spans="1:5" x14ac:dyDescent="0.2">
      <c r="A516" s="33"/>
      <c r="B516" s="81"/>
      <c r="C516" s="73"/>
      <c r="D516" s="73"/>
      <c r="E516" s="73"/>
    </row>
    <row r="517" spans="1:5" x14ac:dyDescent="0.2">
      <c r="A517" s="33"/>
      <c r="B517" s="82"/>
      <c r="C517" s="103"/>
      <c r="D517" s="103"/>
      <c r="E517" s="103"/>
    </row>
    <row r="518" spans="1:5" x14ac:dyDescent="0.2">
      <c r="A518" s="33"/>
      <c r="B518" s="81"/>
      <c r="C518" s="75"/>
      <c r="D518" s="75"/>
      <c r="E518" s="75"/>
    </row>
    <row r="519" spans="1:5" x14ac:dyDescent="0.2">
      <c r="A519" s="33"/>
      <c r="B519" s="82"/>
      <c r="C519" s="104"/>
      <c r="D519" s="104"/>
      <c r="E519" s="104"/>
    </row>
    <row r="520" spans="1:5" x14ac:dyDescent="0.2">
      <c r="A520" s="33"/>
      <c r="B520" s="81"/>
      <c r="C520" s="73"/>
      <c r="D520" s="73"/>
      <c r="E520" s="73"/>
    </row>
    <row r="521" spans="1:5" x14ac:dyDescent="0.2">
      <c r="A521" s="33"/>
      <c r="B521" s="81"/>
      <c r="C521" s="105"/>
      <c r="D521" s="105"/>
      <c r="E521" s="105"/>
    </row>
    <row r="522" spans="1:5" x14ac:dyDescent="0.2">
      <c r="A522" s="33"/>
      <c r="B522" s="82"/>
      <c r="C522" s="69"/>
      <c r="D522" s="69"/>
      <c r="E522" s="69"/>
    </row>
    <row r="523" spans="1:5" x14ac:dyDescent="0.2">
      <c r="A523" s="33"/>
      <c r="B523" s="69"/>
      <c r="C523" s="69"/>
      <c r="D523" s="69"/>
      <c r="E523" s="69"/>
    </row>
    <row r="524" spans="1:5" x14ac:dyDescent="0.2">
      <c r="A524" s="33"/>
      <c r="B524" s="80"/>
      <c r="C524" s="69"/>
      <c r="D524" s="69"/>
      <c r="E524" s="69"/>
    </row>
    <row r="525" spans="1:5" x14ac:dyDescent="0.2">
      <c r="A525" s="33"/>
      <c r="B525" s="69"/>
      <c r="C525" s="69"/>
      <c r="D525" s="69"/>
      <c r="E525" s="69"/>
    </row>
    <row r="526" spans="1:5" x14ac:dyDescent="0.2">
      <c r="A526" s="33"/>
      <c r="B526" s="81"/>
      <c r="C526" s="69"/>
      <c r="D526" s="69"/>
      <c r="E526" s="69"/>
    </row>
    <row r="527" spans="1:5" x14ac:dyDescent="0.2">
      <c r="A527" s="33"/>
      <c r="B527" s="81"/>
      <c r="C527" s="101"/>
      <c r="D527" s="101"/>
      <c r="E527" s="101"/>
    </row>
    <row r="528" spans="1:5" x14ac:dyDescent="0.2">
      <c r="A528" s="33"/>
      <c r="B528" s="81"/>
      <c r="C528" s="69"/>
      <c r="D528" s="69"/>
      <c r="E528" s="69"/>
    </row>
    <row r="529" spans="1:5" x14ac:dyDescent="0.2">
      <c r="A529" s="33"/>
      <c r="B529" s="82"/>
      <c r="C529" s="102"/>
      <c r="D529" s="102"/>
      <c r="E529" s="102"/>
    </row>
    <row r="530" spans="1:5" x14ac:dyDescent="0.2">
      <c r="A530" s="33"/>
      <c r="B530" s="82"/>
      <c r="C530" s="102"/>
      <c r="D530" s="102"/>
      <c r="E530" s="102"/>
    </row>
    <row r="531" spans="1:5" x14ac:dyDescent="0.2">
      <c r="A531" s="33"/>
      <c r="B531" s="81"/>
      <c r="C531" s="73"/>
      <c r="D531" s="73"/>
      <c r="E531" s="73"/>
    </row>
    <row r="532" spans="1:5" x14ac:dyDescent="0.2">
      <c r="A532" s="33"/>
      <c r="B532" s="82"/>
      <c r="C532" s="103"/>
      <c r="D532" s="103"/>
      <c r="E532" s="103"/>
    </row>
    <row r="533" spans="1:5" x14ac:dyDescent="0.2">
      <c r="A533" s="33"/>
      <c r="B533" s="81"/>
      <c r="C533" s="75"/>
      <c r="D533" s="75"/>
      <c r="E533" s="75"/>
    </row>
    <row r="534" spans="1:5" x14ac:dyDescent="0.2">
      <c r="A534" s="33"/>
      <c r="B534" s="82"/>
      <c r="C534" s="104"/>
      <c r="D534" s="104"/>
      <c r="E534" s="104"/>
    </row>
    <row r="535" spans="1:5" x14ac:dyDescent="0.2">
      <c r="A535" s="33"/>
      <c r="B535" s="81"/>
      <c r="C535" s="73"/>
      <c r="D535" s="73"/>
      <c r="E535" s="73"/>
    </row>
    <row r="536" spans="1:5" x14ac:dyDescent="0.2">
      <c r="A536" s="33"/>
      <c r="B536" s="81"/>
      <c r="C536" s="105"/>
      <c r="D536" s="105"/>
      <c r="E536" s="105"/>
    </row>
    <row r="537" spans="1:5" x14ac:dyDescent="0.2">
      <c r="A537" s="33"/>
      <c r="B537" s="82"/>
      <c r="C537" s="69"/>
      <c r="D537" s="69"/>
      <c r="E537" s="69"/>
    </row>
    <row r="538" spans="1:5" x14ac:dyDescent="0.2">
      <c r="A538" s="33"/>
      <c r="B538" s="69"/>
      <c r="C538" s="69"/>
      <c r="D538" s="69"/>
      <c r="E538" s="69"/>
    </row>
    <row r="539" spans="1:5" x14ac:dyDescent="0.2">
      <c r="A539" s="33"/>
      <c r="B539" s="80"/>
      <c r="C539" s="69"/>
      <c r="D539" s="69"/>
      <c r="E539" s="69"/>
    </row>
    <row r="540" spans="1:5" x14ac:dyDescent="0.2">
      <c r="A540" s="33"/>
      <c r="B540" s="69"/>
      <c r="C540" s="69"/>
      <c r="D540" s="69"/>
      <c r="E540" s="69"/>
    </row>
    <row r="541" spans="1:5" x14ac:dyDescent="0.2">
      <c r="A541" s="33"/>
      <c r="B541" s="81"/>
      <c r="C541" s="69"/>
      <c r="D541" s="69"/>
      <c r="E541" s="69"/>
    </row>
    <row r="542" spans="1:5" x14ac:dyDescent="0.2">
      <c r="A542" s="33"/>
      <c r="B542" s="81"/>
      <c r="C542" s="101"/>
      <c r="D542" s="101"/>
      <c r="E542" s="101"/>
    </row>
    <row r="543" spans="1:5" x14ac:dyDescent="0.2">
      <c r="A543" s="33"/>
      <c r="B543" s="81"/>
      <c r="C543" s="69"/>
      <c r="D543" s="69"/>
      <c r="E543" s="69"/>
    </row>
    <row r="544" spans="1:5" x14ac:dyDescent="0.2">
      <c r="A544" s="33"/>
      <c r="B544" s="82"/>
      <c r="C544" s="102"/>
      <c r="D544" s="102"/>
      <c r="E544" s="102"/>
    </row>
    <row r="545" spans="1:5" x14ac:dyDescent="0.2">
      <c r="A545" s="33"/>
      <c r="B545" s="82"/>
      <c r="C545" s="102"/>
      <c r="D545" s="102"/>
      <c r="E545" s="102"/>
    </row>
    <row r="546" spans="1:5" x14ac:dyDescent="0.2">
      <c r="A546" s="33"/>
      <c r="B546" s="81"/>
      <c r="C546" s="73"/>
      <c r="D546" s="73"/>
      <c r="E546" s="73"/>
    </row>
    <row r="547" spans="1:5" x14ac:dyDescent="0.2">
      <c r="A547" s="33"/>
      <c r="B547" s="82"/>
      <c r="C547" s="103"/>
      <c r="D547" s="103"/>
      <c r="E547" s="103"/>
    </row>
    <row r="548" spans="1:5" x14ac:dyDescent="0.2">
      <c r="A548" s="33"/>
      <c r="B548" s="81"/>
      <c r="C548" s="75"/>
      <c r="D548" s="75"/>
      <c r="E548" s="75"/>
    </row>
    <row r="549" spans="1:5" x14ac:dyDescent="0.2">
      <c r="A549" s="33"/>
      <c r="B549" s="82"/>
      <c r="C549" s="104"/>
      <c r="D549" s="104"/>
      <c r="E549" s="104"/>
    </row>
    <row r="550" spans="1:5" x14ac:dyDescent="0.2">
      <c r="A550" s="33"/>
      <c r="B550" s="81"/>
      <c r="C550" s="73"/>
      <c r="D550" s="73"/>
      <c r="E550" s="73"/>
    </row>
    <row r="551" spans="1:5" x14ac:dyDescent="0.2">
      <c r="A551" s="33"/>
      <c r="B551" s="81"/>
      <c r="C551" s="105"/>
      <c r="D551" s="105"/>
      <c r="E551" s="105"/>
    </row>
    <row r="552" spans="1:5" x14ac:dyDescent="0.2">
      <c r="A552" s="33"/>
      <c r="B552" s="82"/>
      <c r="C552" s="69"/>
      <c r="D552" s="69"/>
      <c r="E552" s="69"/>
    </row>
    <row r="553" spans="1:5" x14ac:dyDescent="0.2">
      <c r="A553" s="33"/>
      <c r="B553" s="69"/>
      <c r="C553" s="69"/>
      <c r="D553" s="69"/>
      <c r="E553" s="69"/>
    </row>
    <row r="554" spans="1:5" x14ac:dyDescent="0.2">
      <c r="A554" s="33"/>
      <c r="B554" s="80"/>
      <c r="C554" s="69"/>
      <c r="D554" s="69"/>
      <c r="E554" s="69"/>
    </row>
    <row r="555" spans="1:5" x14ac:dyDescent="0.2">
      <c r="A555" s="33"/>
      <c r="B555" s="69"/>
      <c r="C555" s="69"/>
      <c r="D555" s="69"/>
      <c r="E555" s="69"/>
    </row>
    <row r="556" spans="1:5" x14ac:dyDescent="0.2">
      <c r="A556" s="33"/>
      <c r="B556" s="81"/>
      <c r="C556" s="69"/>
      <c r="D556" s="69"/>
      <c r="E556" s="69"/>
    </row>
    <row r="557" spans="1:5" x14ac:dyDescent="0.2">
      <c r="A557" s="33"/>
      <c r="B557" s="81"/>
      <c r="C557" s="101"/>
      <c r="D557" s="101"/>
      <c r="E557" s="101"/>
    </row>
    <row r="558" spans="1:5" x14ac:dyDescent="0.2">
      <c r="A558" s="33"/>
      <c r="B558" s="81"/>
      <c r="C558" s="69"/>
      <c r="D558" s="69"/>
      <c r="E558" s="69"/>
    </row>
    <row r="559" spans="1:5" x14ac:dyDescent="0.2">
      <c r="A559" s="33"/>
      <c r="B559" s="82"/>
      <c r="C559" s="102"/>
      <c r="D559" s="102"/>
      <c r="E559" s="102"/>
    </row>
    <row r="560" spans="1:5" x14ac:dyDescent="0.2">
      <c r="A560" s="33"/>
      <c r="B560" s="82"/>
      <c r="C560" s="102"/>
      <c r="D560" s="102"/>
      <c r="E560" s="102"/>
    </row>
    <row r="561" spans="1:5" x14ac:dyDescent="0.2">
      <c r="A561" s="33"/>
      <c r="B561" s="81"/>
      <c r="C561" s="73"/>
      <c r="D561" s="73"/>
      <c r="E561" s="73"/>
    </row>
    <row r="562" spans="1:5" x14ac:dyDescent="0.2">
      <c r="A562" s="33"/>
      <c r="B562" s="82"/>
      <c r="C562" s="103"/>
      <c r="D562" s="103"/>
      <c r="E562" s="103"/>
    </row>
    <row r="563" spans="1:5" x14ac:dyDescent="0.2">
      <c r="A563" s="33"/>
      <c r="B563" s="81"/>
      <c r="C563" s="75"/>
      <c r="D563" s="75"/>
      <c r="E563" s="75"/>
    </row>
    <row r="564" spans="1:5" x14ac:dyDescent="0.2">
      <c r="A564" s="33"/>
      <c r="B564" s="82"/>
      <c r="C564" s="104"/>
      <c r="D564" s="104"/>
      <c r="E564" s="104"/>
    </row>
    <row r="565" spans="1:5" x14ac:dyDescent="0.2">
      <c r="A565" s="33"/>
      <c r="B565" s="81"/>
      <c r="C565" s="73"/>
      <c r="D565" s="73"/>
      <c r="E565" s="73"/>
    </row>
    <row r="566" spans="1:5" x14ac:dyDescent="0.2">
      <c r="A566" s="33"/>
      <c r="B566" s="81"/>
      <c r="C566" s="105"/>
      <c r="D566" s="105"/>
      <c r="E566" s="105"/>
    </row>
    <row r="567" spans="1:5" x14ac:dyDescent="0.2">
      <c r="A567" s="33"/>
      <c r="B567" s="82"/>
      <c r="C567" s="69"/>
      <c r="D567" s="69"/>
      <c r="E567" s="69"/>
    </row>
    <row r="568" spans="1:5" x14ac:dyDescent="0.2">
      <c r="A568" s="33"/>
      <c r="B568" s="69"/>
      <c r="C568" s="69"/>
      <c r="D568" s="69"/>
      <c r="E568" s="69"/>
    </row>
    <row r="569" spans="1:5" x14ac:dyDescent="0.2">
      <c r="A569" s="33"/>
      <c r="B569" s="80"/>
      <c r="C569" s="69"/>
      <c r="D569" s="69"/>
      <c r="E569" s="69"/>
    </row>
    <row r="570" spans="1:5" x14ac:dyDescent="0.2">
      <c r="A570" s="33"/>
      <c r="B570" s="69"/>
      <c r="C570" s="69"/>
      <c r="D570" s="69"/>
      <c r="E570" s="69"/>
    </row>
    <row r="571" spans="1:5" x14ac:dyDescent="0.2">
      <c r="A571" s="33"/>
      <c r="B571" s="81"/>
      <c r="C571" s="69"/>
      <c r="D571" s="69"/>
      <c r="E571" s="69"/>
    </row>
    <row r="572" spans="1:5" x14ac:dyDescent="0.2">
      <c r="A572" s="33"/>
      <c r="B572" s="81"/>
      <c r="C572" s="101"/>
      <c r="D572" s="101"/>
      <c r="E572" s="101"/>
    </row>
    <row r="573" spans="1:5" x14ac:dyDescent="0.2">
      <c r="A573" s="33"/>
      <c r="B573" s="81"/>
      <c r="C573" s="69"/>
      <c r="D573" s="69"/>
      <c r="E573" s="69"/>
    </row>
    <row r="574" spans="1:5" x14ac:dyDescent="0.2">
      <c r="A574" s="33"/>
      <c r="B574" s="82"/>
      <c r="C574" s="102"/>
      <c r="D574" s="102"/>
      <c r="E574" s="102"/>
    </row>
    <row r="575" spans="1:5" x14ac:dyDescent="0.2">
      <c r="A575" s="33"/>
      <c r="B575" s="82"/>
      <c r="C575" s="102"/>
      <c r="D575" s="102"/>
      <c r="E575" s="102"/>
    </row>
    <row r="576" spans="1:5" x14ac:dyDescent="0.2">
      <c r="A576" s="33"/>
      <c r="B576" s="81"/>
      <c r="C576" s="73"/>
      <c r="D576" s="73"/>
      <c r="E576" s="73"/>
    </row>
    <row r="577" spans="1:5" x14ac:dyDescent="0.2">
      <c r="A577" s="33"/>
      <c r="B577" s="82"/>
      <c r="C577" s="103"/>
      <c r="D577" s="103"/>
      <c r="E577" s="103"/>
    </row>
    <row r="578" spans="1:5" x14ac:dyDescent="0.2">
      <c r="A578" s="33"/>
      <c r="B578" s="81"/>
      <c r="C578" s="75"/>
      <c r="D578" s="75"/>
      <c r="E578" s="75"/>
    </row>
    <row r="579" spans="1:5" x14ac:dyDescent="0.2">
      <c r="A579" s="33"/>
      <c r="B579" s="82"/>
      <c r="C579" s="104"/>
      <c r="D579" s="104"/>
      <c r="E579" s="104"/>
    </row>
    <row r="580" spans="1:5" x14ac:dyDescent="0.2">
      <c r="A580" s="33"/>
      <c r="B580" s="81"/>
      <c r="C580" s="73"/>
      <c r="D580" s="73"/>
      <c r="E580" s="73"/>
    </row>
    <row r="581" spans="1:5" x14ac:dyDescent="0.2">
      <c r="A581" s="33"/>
      <c r="B581" s="81"/>
      <c r="C581" s="105"/>
      <c r="D581" s="105"/>
      <c r="E581" s="105"/>
    </row>
    <row r="582" spans="1:5" x14ac:dyDescent="0.2">
      <c r="A582" s="33"/>
      <c r="B582" s="82"/>
      <c r="C582" s="69"/>
      <c r="D582" s="69"/>
      <c r="E582" s="69"/>
    </row>
    <row r="583" spans="1:5" x14ac:dyDescent="0.2">
      <c r="A583" s="33"/>
      <c r="B583" s="69"/>
      <c r="C583" s="69"/>
      <c r="D583" s="69"/>
      <c r="E583" s="69"/>
    </row>
    <row r="584" spans="1:5" x14ac:dyDescent="0.2">
      <c r="A584" s="33"/>
      <c r="B584" s="80"/>
      <c r="C584" s="69"/>
      <c r="D584" s="69"/>
      <c r="E584" s="69"/>
    </row>
    <row r="585" spans="1:5" x14ac:dyDescent="0.2">
      <c r="A585" s="33"/>
      <c r="B585" s="69"/>
      <c r="C585" s="69"/>
      <c r="D585" s="69"/>
      <c r="E585" s="69"/>
    </row>
    <row r="586" spans="1:5" x14ac:dyDescent="0.2">
      <c r="A586" s="33"/>
      <c r="B586" s="81"/>
      <c r="C586" s="69"/>
      <c r="D586" s="69"/>
      <c r="E586" s="69"/>
    </row>
    <row r="587" spans="1:5" x14ac:dyDescent="0.2">
      <c r="A587" s="33"/>
      <c r="B587" s="81"/>
      <c r="C587" s="101"/>
      <c r="D587" s="101"/>
      <c r="E587" s="101"/>
    </row>
    <row r="588" spans="1:5" x14ac:dyDescent="0.2">
      <c r="A588" s="33"/>
      <c r="B588" s="81"/>
      <c r="C588" s="69"/>
      <c r="D588" s="69"/>
      <c r="E588" s="69"/>
    </row>
    <row r="589" spans="1:5" x14ac:dyDescent="0.2">
      <c r="A589" s="33"/>
      <c r="B589" s="82"/>
      <c r="C589" s="102"/>
      <c r="D589" s="102"/>
      <c r="E589" s="102"/>
    </row>
    <row r="590" spans="1:5" x14ac:dyDescent="0.2">
      <c r="A590" s="33"/>
      <c r="B590" s="82"/>
      <c r="C590" s="102"/>
      <c r="D590" s="102"/>
      <c r="E590" s="102"/>
    </row>
    <row r="591" spans="1:5" x14ac:dyDescent="0.2">
      <c r="A591" s="33"/>
      <c r="B591" s="81"/>
      <c r="C591" s="73"/>
      <c r="D591" s="73"/>
      <c r="E591" s="73"/>
    </row>
    <row r="592" spans="1:5" x14ac:dyDescent="0.2">
      <c r="A592" s="33"/>
      <c r="B592" s="82"/>
      <c r="C592" s="103"/>
      <c r="D592" s="103"/>
      <c r="E592" s="103"/>
    </row>
    <row r="593" spans="1:5" x14ac:dyDescent="0.2">
      <c r="A593" s="33"/>
      <c r="B593" s="81"/>
      <c r="C593" s="75"/>
      <c r="D593" s="75"/>
      <c r="E593" s="75"/>
    </row>
    <row r="594" spans="1:5" x14ac:dyDescent="0.2">
      <c r="A594" s="33"/>
      <c r="B594" s="82"/>
      <c r="C594" s="104"/>
      <c r="D594" s="104"/>
      <c r="E594" s="104"/>
    </row>
    <row r="595" spans="1:5" x14ac:dyDescent="0.2">
      <c r="A595" s="33"/>
      <c r="B595" s="81"/>
      <c r="C595" s="73"/>
      <c r="D595" s="73"/>
      <c r="E595" s="73"/>
    </row>
    <row r="596" spans="1:5" x14ac:dyDescent="0.2">
      <c r="A596" s="33"/>
      <c r="B596" s="81"/>
      <c r="C596" s="105"/>
      <c r="D596" s="105"/>
      <c r="E596" s="105"/>
    </row>
    <row r="597" spans="1:5" x14ac:dyDescent="0.2">
      <c r="A597" s="33"/>
      <c r="B597" s="82"/>
      <c r="C597" s="69"/>
      <c r="D597" s="69"/>
      <c r="E597" s="69"/>
    </row>
    <row r="598" spans="1:5" x14ac:dyDescent="0.2">
      <c r="A598" s="33"/>
      <c r="B598" s="69"/>
      <c r="C598" s="69"/>
      <c r="D598" s="69"/>
      <c r="E598" s="69"/>
    </row>
    <row r="599" spans="1:5" x14ac:dyDescent="0.2">
      <c r="A599" s="33"/>
      <c r="B599" s="80"/>
      <c r="C599" s="69"/>
      <c r="D599" s="69"/>
      <c r="E599" s="69"/>
    </row>
    <row r="600" spans="1:5" x14ac:dyDescent="0.2">
      <c r="A600" s="33"/>
      <c r="B600" s="69"/>
      <c r="C600" s="69"/>
      <c r="D600" s="69"/>
      <c r="E600" s="69"/>
    </row>
    <row r="601" spans="1:5" x14ac:dyDescent="0.2">
      <c r="A601" s="33"/>
      <c r="B601" s="81"/>
      <c r="C601" s="69"/>
      <c r="D601" s="69"/>
      <c r="E601" s="69"/>
    </row>
    <row r="602" spans="1:5" x14ac:dyDescent="0.2">
      <c r="A602" s="33"/>
      <c r="B602" s="81"/>
      <c r="C602" s="101"/>
      <c r="D602" s="101"/>
      <c r="E602" s="101"/>
    </row>
    <row r="603" spans="1:5" x14ac:dyDescent="0.2">
      <c r="A603" s="33"/>
      <c r="B603" s="81"/>
      <c r="C603" s="69"/>
      <c r="D603" s="69"/>
      <c r="E603" s="69"/>
    </row>
    <row r="604" spans="1:5" x14ac:dyDescent="0.2">
      <c r="A604" s="33"/>
      <c r="B604" s="82"/>
      <c r="C604" s="102"/>
      <c r="D604" s="102"/>
      <c r="E604" s="102"/>
    </row>
    <row r="605" spans="1:5" x14ac:dyDescent="0.2">
      <c r="A605" s="33"/>
      <c r="B605" s="82"/>
      <c r="C605" s="102"/>
      <c r="D605" s="102"/>
      <c r="E605" s="102"/>
    </row>
    <row r="606" spans="1:5" x14ac:dyDescent="0.2">
      <c r="A606" s="33"/>
      <c r="B606" s="81"/>
      <c r="C606" s="73"/>
      <c r="D606" s="73"/>
      <c r="E606" s="73"/>
    </row>
    <row r="607" spans="1:5" x14ac:dyDescent="0.2">
      <c r="A607" s="33"/>
      <c r="B607" s="82"/>
      <c r="C607" s="103"/>
      <c r="D607" s="103"/>
      <c r="E607" s="103"/>
    </row>
    <row r="608" spans="1:5" x14ac:dyDescent="0.2">
      <c r="A608" s="33"/>
      <c r="B608" s="81"/>
      <c r="C608" s="75"/>
      <c r="D608" s="75"/>
      <c r="E608" s="75"/>
    </row>
    <row r="609" spans="1:5" x14ac:dyDescent="0.2">
      <c r="A609" s="33"/>
      <c r="B609" s="82"/>
      <c r="C609" s="104"/>
      <c r="D609" s="104"/>
      <c r="E609" s="104"/>
    </row>
    <row r="610" spans="1:5" x14ac:dyDescent="0.2">
      <c r="A610" s="33"/>
      <c r="B610" s="81"/>
      <c r="C610" s="73"/>
      <c r="D610" s="73"/>
      <c r="E610" s="73"/>
    </row>
    <row r="611" spans="1:5" x14ac:dyDescent="0.2">
      <c r="A611" s="33"/>
      <c r="B611" s="81"/>
      <c r="C611" s="105"/>
      <c r="D611" s="105"/>
      <c r="E611" s="105"/>
    </row>
    <row r="612" spans="1:5" x14ac:dyDescent="0.2">
      <c r="A612" s="33"/>
      <c r="B612" s="82"/>
      <c r="C612" s="69"/>
      <c r="D612" s="69"/>
      <c r="E612" s="69"/>
    </row>
    <row r="613" spans="1:5" x14ac:dyDescent="0.2">
      <c r="A613" s="33"/>
      <c r="B613" s="69"/>
      <c r="C613" s="69"/>
      <c r="D613" s="69"/>
      <c r="E613" s="69"/>
    </row>
    <row r="614" spans="1:5" x14ac:dyDescent="0.2">
      <c r="A614" s="33"/>
      <c r="B614" s="69"/>
      <c r="C614" s="69"/>
      <c r="D614" s="69"/>
      <c r="E614" s="69"/>
    </row>
    <row r="615" spans="1:5" x14ac:dyDescent="0.2">
      <c r="A615" s="33"/>
      <c r="B615" s="80"/>
      <c r="C615" s="69"/>
      <c r="D615" s="69"/>
      <c r="E615" s="69"/>
    </row>
    <row r="616" spans="1:5" x14ac:dyDescent="0.2">
      <c r="A616" s="33"/>
      <c r="B616" s="69"/>
      <c r="C616" s="69"/>
      <c r="D616" s="69"/>
      <c r="E616" s="69"/>
    </row>
    <row r="617" spans="1:5" x14ac:dyDescent="0.2">
      <c r="A617" s="33"/>
      <c r="B617" s="81"/>
      <c r="C617" s="69"/>
      <c r="D617" s="69"/>
      <c r="E617" s="69"/>
    </row>
    <row r="618" spans="1:5" x14ac:dyDescent="0.2">
      <c r="A618" s="33"/>
      <c r="B618" s="81"/>
      <c r="C618" s="101"/>
      <c r="D618" s="101"/>
      <c r="E618" s="101"/>
    </row>
    <row r="619" spans="1:5" x14ac:dyDescent="0.2">
      <c r="A619" s="33"/>
      <c r="B619" s="81"/>
      <c r="C619" s="69"/>
      <c r="D619" s="69"/>
      <c r="E619" s="69"/>
    </row>
    <row r="620" spans="1:5" x14ac:dyDescent="0.2">
      <c r="A620" s="33"/>
      <c r="B620" s="82"/>
      <c r="C620" s="102"/>
      <c r="D620" s="102"/>
      <c r="E620" s="102"/>
    </row>
    <row r="621" spans="1:5" x14ac:dyDescent="0.2">
      <c r="A621" s="33"/>
      <c r="B621" s="82"/>
      <c r="C621" s="102"/>
      <c r="D621" s="102"/>
      <c r="E621" s="102"/>
    </row>
    <row r="622" spans="1:5" x14ac:dyDescent="0.2">
      <c r="A622" s="33"/>
      <c r="B622" s="81"/>
      <c r="C622" s="73"/>
      <c r="D622" s="73"/>
      <c r="E622" s="73"/>
    </row>
    <row r="623" spans="1:5" x14ac:dyDescent="0.2">
      <c r="A623" s="33"/>
      <c r="B623" s="82"/>
      <c r="C623" s="103"/>
      <c r="D623" s="103"/>
      <c r="E623" s="103"/>
    </row>
    <row r="624" spans="1:5" x14ac:dyDescent="0.2">
      <c r="A624" s="33"/>
      <c r="B624" s="81"/>
      <c r="C624" s="75"/>
      <c r="D624" s="75"/>
      <c r="E624" s="75"/>
    </row>
    <row r="625" spans="1:5" x14ac:dyDescent="0.2">
      <c r="A625" s="33"/>
      <c r="B625" s="82"/>
      <c r="C625" s="104"/>
      <c r="D625" s="104"/>
      <c r="E625" s="104"/>
    </row>
    <row r="626" spans="1:5" x14ac:dyDescent="0.2">
      <c r="A626" s="33"/>
      <c r="B626" s="81"/>
      <c r="C626" s="73"/>
      <c r="D626" s="73"/>
      <c r="E626" s="73"/>
    </row>
    <row r="627" spans="1:5" x14ac:dyDescent="0.2">
      <c r="A627" s="33"/>
      <c r="B627" s="81"/>
      <c r="C627" s="105"/>
      <c r="D627" s="105"/>
      <c r="E627" s="105"/>
    </row>
    <row r="628" spans="1:5" x14ac:dyDescent="0.2">
      <c r="A628" s="33"/>
      <c r="B628" s="82"/>
      <c r="C628" s="69"/>
      <c r="D628" s="69"/>
      <c r="E628" s="69"/>
    </row>
    <row r="629" spans="1:5" x14ac:dyDescent="0.2">
      <c r="A629" s="33"/>
      <c r="B629" s="69"/>
      <c r="C629" s="69"/>
      <c r="D629" s="69"/>
      <c r="E629" s="69"/>
    </row>
    <row r="630" spans="1:5" x14ac:dyDescent="0.2">
      <c r="A630" s="33"/>
      <c r="B630" s="80"/>
      <c r="C630" s="69"/>
      <c r="D630" s="69"/>
      <c r="E630" s="69"/>
    </row>
    <row r="631" spans="1:5" x14ac:dyDescent="0.2">
      <c r="A631" s="33"/>
      <c r="B631" s="69"/>
      <c r="C631" s="69"/>
      <c r="D631" s="69"/>
      <c r="E631" s="69"/>
    </row>
    <row r="632" spans="1:5" x14ac:dyDescent="0.2">
      <c r="A632" s="33"/>
      <c r="B632" s="81"/>
      <c r="C632" s="69"/>
      <c r="D632" s="69"/>
      <c r="E632" s="69"/>
    </row>
    <row r="633" spans="1:5" x14ac:dyDescent="0.2">
      <c r="A633" s="33"/>
      <c r="B633" s="81"/>
      <c r="C633" s="101"/>
      <c r="D633" s="101"/>
      <c r="E633" s="101"/>
    </row>
    <row r="634" spans="1:5" x14ac:dyDescent="0.2">
      <c r="A634" s="33"/>
      <c r="B634" s="81"/>
      <c r="C634" s="69"/>
      <c r="D634" s="69"/>
      <c r="E634" s="69"/>
    </row>
    <row r="635" spans="1:5" x14ac:dyDescent="0.2">
      <c r="A635" s="33"/>
      <c r="B635" s="82"/>
      <c r="C635" s="102"/>
      <c r="D635" s="102"/>
      <c r="E635" s="102"/>
    </row>
    <row r="636" spans="1:5" x14ac:dyDescent="0.2">
      <c r="A636" s="33"/>
      <c r="B636" s="82"/>
      <c r="C636" s="102"/>
      <c r="D636" s="102"/>
      <c r="E636" s="102"/>
    </row>
    <row r="637" spans="1:5" x14ac:dyDescent="0.2">
      <c r="A637" s="33"/>
      <c r="B637" s="81"/>
      <c r="C637" s="73"/>
      <c r="D637" s="73"/>
      <c r="E637" s="73"/>
    </row>
    <row r="638" spans="1:5" x14ac:dyDescent="0.2">
      <c r="A638" s="33"/>
      <c r="B638" s="82"/>
      <c r="C638" s="103"/>
      <c r="D638" s="103"/>
      <c r="E638" s="103"/>
    </row>
    <row r="639" spans="1:5" x14ac:dyDescent="0.2">
      <c r="B639" s="81"/>
      <c r="C639" s="75"/>
      <c r="D639" s="75"/>
      <c r="E639" s="75"/>
    </row>
    <row r="640" spans="1:5" x14ac:dyDescent="0.2">
      <c r="B640" s="82"/>
      <c r="C640" s="104"/>
      <c r="D640" s="104"/>
      <c r="E640" s="104"/>
    </row>
    <row r="641" spans="2:5" x14ac:dyDescent="0.2">
      <c r="B641" s="81"/>
      <c r="C641" s="73"/>
      <c r="D641" s="73"/>
      <c r="E641" s="73"/>
    </row>
    <row r="642" spans="2:5" x14ac:dyDescent="0.2">
      <c r="B642" s="81"/>
      <c r="C642" s="105"/>
      <c r="D642" s="105"/>
      <c r="E642" s="105"/>
    </row>
    <row r="643" spans="2:5" x14ac:dyDescent="0.2">
      <c r="B643" s="82"/>
      <c r="C643" s="69"/>
      <c r="D643" s="69"/>
      <c r="E643" s="69"/>
    </row>
    <row r="644" spans="2:5" x14ac:dyDescent="0.2">
      <c r="B644" s="69"/>
      <c r="C644" s="69"/>
      <c r="D644" s="69"/>
      <c r="E644" s="69"/>
    </row>
    <row r="645" spans="2:5" x14ac:dyDescent="0.2">
      <c r="B645" s="69"/>
      <c r="C645" s="69"/>
      <c r="D645" s="69"/>
      <c r="E645" s="69"/>
    </row>
    <row r="646" spans="2:5" x14ac:dyDescent="0.2">
      <c r="B646" s="69"/>
      <c r="C646" s="69"/>
      <c r="D646" s="69"/>
      <c r="E646" s="69"/>
    </row>
    <row r="647" spans="2:5" x14ac:dyDescent="0.2">
      <c r="B647" s="69"/>
      <c r="C647" s="69"/>
      <c r="D647" s="69"/>
      <c r="E647" s="69"/>
    </row>
    <row r="648" spans="2:5" ht="12.75" customHeight="1" x14ac:dyDescent="0.2">
      <c r="B648" s="69"/>
      <c r="C648" s="69"/>
      <c r="D648" s="69"/>
      <c r="E648" s="69"/>
    </row>
  </sheetData>
  <autoFilter ref="A9:I49" xr:uid="{00000000-0009-0000-0000-000000000000}"/>
  <mergeCells count="241">
    <mergeCell ref="C607:E607"/>
    <mergeCell ref="C609:E609"/>
    <mergeCell ref="C611:E611"/>
    <mergeCell ref="C577:E577"/>
    <mergeCell ref="C579:E579"/>
    <mergeCell ref="C581:E581"/>
    <mergeCell ref="C587:E587"/>
    <mergeCell ref="C589:E589"/>
    <mergeCell ref="C590:E590"/>
    <mergeCell ref="C592:E592"/>
    <mergeCell ref="C594:E594"/>
    <mergeCell ref="C596:E596"/>
    <mergeCell ref="C562:E562"/>
    <mergeCell ref="C564:E564"/>
    <mergeCell ref="C566:E566"/>
    <mergeCell ref="C572:E572"/>
    <mergeCell ref="C574:E574"/>
    <mergeCell ref="C575:E575"/>
    <mergeCell ref="C602:E602"/>
    <mergeCell ref="C604:E604"/>
    <mergeCell ref="C605:E605"/>
    <mergeCell ref="C542:E542"/>
    <mergeCell ref="C544:E544"/>
    <mergeCell ref="C545:E545"/>
    <mergeCell ref="C547:E547"/>
    <mergeCell ref="C549:E549"/>
    <mergeCell ref="C551:E551"/>
    <mergeCell ref="C557:E557"/>
    <mergeCell ref="C559:E559"/>
    <mergeCell ref="C560:E560"/>
    <mergeCell ref="C424:E424"/>
    <mergeCell ref="C426:E426"/>
    <mergeCell ref="C411:E411"/>
    <mergeCell ref="C417:E417"/>
    <mergeCell ref="C419:E419"/>
    <mergeCell ref="C420:E420"/>
    <mergeCell ref="C422:E422"/>
    <mergeCell ref="C402:E402"/>
    <mergeCell ref="C404:E404"/>
    <mergeCell ref="C405:E405"/>
    <mergeCell ref="C407:E407"/>
    <mergeCell ref="C409:E409"/>
    <mergeCell ref="C389:E389"/>
    <mergeCell ref="C390:E390"/>
    <mergeCell ref="C392:E392"/>
    <mergeCell ref="C394:E394"/>
    <mergeCell ref="C396:E396"/>
    <mergeCell ref="C375:E375"/>
    <mergeCell ref="C377:E377"/>
    <mergeCell ref="C379:E379"/>
    <mergeCell ref="C381:E381"/>
    <mergeCell ref="C387:E387"/>
    <mergeCell ref="C362:E362"/>
    <mergeCell ref="C364:E364"/>
    <mergeCell ref="C366:E366"/>
    <mergeCell ref="C372:E372"/>
    <mergeCell ref="C374:E374"/>
    <mergeCell ref="C349:E349"/>
    <mergeCell ref="C351:E351"/>
    <mergeCell ref="C357:E357"/>
    <mergeCell ref="C359:E359"/>
    <mergeCell ref="C360:E360"/>
    <mergeCell ref="C336:E336"/>
    <mergeCell ref="C342:E342"/>
    <mergeCell ref="C344:E344"/>
    <mergeCell ref="C345:E345"/>
    <mergeCell ref="C347:E347"/>
    <mergeCell ref="C327:E327"/>
    <mergeCell ref="C329:E329"/>
    <mergeCell ref="C330:E330"/>
    <mergeCell ref="C332:E332"/>
    <mergeCell ref="C334:E334"/>
    <mergeCell ref="C314:E314"/>
    <mergeCell ref="C315:E315"/>
    <mergeCell ref="C317:E317"/>
    <mergeCell ref="C319:E319"/>
    <mergeCell ref="C321:E321"/>
    <mergeCell ref="C300:E300"/>
    <mergeCell ref="C302:E302"/>
    <mergeCell ref="C304:E304"/>
    <mergeCell ref="C306:E306"/>
    <mergeCell ref="C312:E312"/>
    <mergeCell ref="C287:E287"/>
    <mergeCell ref="C289:E289"/>
    <mergeCell ref="C291:E291"/>
    <mergeCell ref="C297:E297"/>
    <mergeCell ref="C299:E299"/>
    <mergeCell ref="C274:E274"/>
    <mergeCell ref="C276:E276"/>
    <mergeCell ref="C282:E282"/>
    <mergeCell ref="C284:E284"/>
    <mergeCell ref="C285:E285"/>
    <mergeCell ref="C261:E261"/>
    <mergeCell ref="C267:E267"/>
    <mergeCell ref="C269:E269"/>
    <mergeCell ref="C270:E270"/>
    <mergeCell ref="C272:E272"/>
    <mergeCell ref="C252:E252"/>
    <mergeCell ref="C254:E254"/>
    <mergeCell ref="C255:E255"/>
    <mergeCell ref="C257:E257"/>
    <mergeCell ref="C259:E259"/>
    <mergeCell ref="C239:E239"/>
    <mergeCell ref="C240:E240"/>
    <mergeCell ref="C242:E242"/>
    <mergeCell ref="C244:E244"/>
    <mergeCell ref="C246:E246"/>
    <mergeCell ref="C225:E225"/>
    <mergeCell ref="C227:E227"/>
    <mergeCell ref="C229:E229"/>
    <mergeCell ref="C231:E231"/>
    <mergeCell ref="C237:E237"/>
    <mergeCell ref="C212:E212"/>
    <mergeCell ref="C214:E214"/>
    <mergeCell ref="C216:E216"/>
    <mergeCell ref="C222:E222"/>
    <mergeCell ref="C224:E224"/>
    <mergeCell ref="C199:E199"/>
    <mergeCell ref="C201:E201"/>
    <mergeCell ref="C207:E207"/>
    <mergeCell ref="C209:E209"/>
    <mergeCell ref="C210:E210"/>
    <mergeCell ref="C186:E186"/>
    <mergeCell ref="C192:E192"/>
    <mergeCell ref="C194:E194"/>
    <mergeCell ref="C195:E195"/>
    <mergeCell ref="C197:E197"/>
    <mergeCell ref="C177:E177"/>
    <mergeCell ref="C179:E179"/>
    <mergeCell ref="C180:E180"/>
    <mergeCell ref="C182:E182"/>
    <mergeCell ref="C184:E184"/>
    <mergeCell ref="C164:E164"/>
    <mergeCell ref="C165:E165"/>
    <mergeCell ref="C167:E167"/>
    <mergeCell ref="C169:E169"/>
    <mergeCell ref="C141:E141"/>
    <mergeCell ref="C147:E147"/>
    <mergeCell ref="C149:E149"/>
    <mergeCell ref="C171:E171"/>
    <mergeCell ref="C150:E150"/>
    <mergeCell ref="C152:E152"/>
    <mergeCell ref="C154:E154"/>
    <mergeCell ref="C156:E156"/>
    <mergeCell ref="C162:E162"/>
    <mergeCell ref="C75:E75"/>
    <mergeCell ref="C77:E77"/>
    <mergeCell ref="C79:E79"/>
    <mergeCell ref="C81:E81"/>
    <mergeCell ref="C62:E62"/>
    <mergeCell ref="C64:E64"/>
    <mergeCell ref="C66:E66"/>
    <mergeCell ref="C72:E72"/>
    <mergeCell ref="C74:E74"/>
    <mergeCell ref="A6:B6"/>
    <mergeCell ref="A7:B7"/>
    <mergeCell ref="C57:E57"/>
    <mergeCell ref="C59:E59"/>
    <mergeCell ref="C60:E60"/>
    <mergeCell ref="B2:H2"/>
    <mergeCell ref="A4:B4"/>
    <mergeCell ref="C4:E4"/>
    <mergeCell ref="A5:B5"/>
    <mergeCell ref="C5:E5"/>
    <mergeCell ref="C96:E96"/>
    <mergeCell ref="C87:E87"/>
    <mergeCell ref="C89:E89"/>
    <mergeCell ref="C90:E90"/>
    <mergeCell ref="C92:E92"/>
    <mergeCell ref="C94:E94"/>
    <mergeCell ref="C111:E111"/>
    <mergeCell ref="C117:E117"/>
    <mergeCell ref="C119:E119"/>
    <mergeCell ref="C120:E120"/>
    <mergeCell ref="C122:E122"/>
    <mergeCell ref="C102:E102"/>
    <mergeCell ref="C104:E104"/>
    <mergeCell ref="C105:E105"/>
    <mergeCell ref="C107:E107"/>
    <mergeCell ref="C109:E109"/>
    <mergeCell ref="C137:E137"/>
    <mergeCell ref="C139:E139"/>
    <mergeCell ref="C124:E124"/>
    <mergeCell ref="C126:E126"/>
    <mergeCell ref="C132:E132"/>
    <mergeCell ref="C134:E134"/>
    <mergeCell ref="C135:E135"/>
    <mergeCell ref="C532:E532"/>
    <mergeCell ref="C534:E534"/>
    <mergeCell ref="C536:E536"/>
    <mergeCell ref="C434:E434"/>
    <mergeCell ref="C436:E436"/>
    <mergeCell ref="C437:E437"/>
    <mergeCell ref="C439:E439"/>
    <mergeCell ref="C441:E441"/>
    <mergeCell ref="C443:E443"/>
    <mergeCell ref="C487:E487"/>
    <mergeCell ref="C489:E489"/>
    <mergeCell ref="C491:E491"/>
    <mergeCell ref="C497:E497"/>
    <mergeCell ref="C499:E499"/>
    <mergeCell ref="C500:E500"/>
    <mergeCell ref="C502:E502"/>
    <mergeCell ref="C504:E504"/>
    <mergeCell ref="C506:E506"/>
    <mergeCell ref="C512:E512"/>
    <mergeCell ref="C514:E514"/>
    <mergeCell ref="C515:E515"/>
    <mergeCell ref="C517:E517"/>
    <mergeCell ref="C519:E519"/>
    <mergeCell ref="C521:E521"/>
    <mergeCell ref="C471:E471"/>
    <mergeCell ref="C473:E473"/>
    <mergeCell ref="C475:E475"/>
    <mergeCell ref="C482:E482"/>
    <mergeCell ref="C484:E484"/>
    <mergeCell ref="C485:E485"/>
    <mergeCell ref="C527:E527"/>
    <mergeCell ref="C529:E529"/>
    <mergeCell ref="C530:E530"/>
    <mergeCell ref="C451:E451"/>
    <mergeCell ref="C453:E453"/>
    <mergeCell ref="C454:E454"/>
    <mergeCell ref="C456:E456"/>
    <mergeCell ref="C458:E458"/>
    <mergeCell ref="C460:E460"/>
    <mergeCell ref="C466:E466"/>
    <mergeCell ref="C468:E468"/>
    <mergeCell ref="C469:E469"/>
    <mergeCell ref="C633:E633"/>
    <mergeCell ref="C635:E635"/>
    <mergeCell ref="C636:E636"/>
    <mergeCell ref="C638:E638"/>
    <mergeCell ref="C640:E640"/>
    <mergeCell ref="C642:E642"/>
    <mergeCell ref="C618:E618"/>
    <mergeCell ref="C620:E620"/>
    <mergeCell ref="C621:E621"/>
    <mergeCell ref="C623:E623"/>
    <mergeCell ref="C625:E625"/>
    <mergeCell ref="C627:E627"/>
  </mergeCells>
  <pageMargins left="0" right="0" top="0.55118110236220474" bottom="0" header="0.51181102362204722" footer="0.51181102362204722"/>
  <pageSetup paperSize="5" scale="59" firstPageNumber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5"/>
  <sheetViews>
    <sheetView workbookViewId="0">
      <selection activeCell="B12" sqref="B12:B3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11.7109375" style="2" bestFit="1" customWidth="1"/>
    <col min="13" max="14" width="5.85546875" style="2" customWidth="1"/>
    <col min="15" max="15" width="12.5703125" style="2" customWidth="1"/>
    <col min="16" max="1024" width="9.140625" style="2"/>
  </cols>
  <sheetData>
    <row r="1" spans="1:12" customFormat="1" ht="18" customHeight="1" x14ac:dyDescent="0.2">
      <c r="A1" s="114" t="s">
        <v>20</v>
      </c>
      <c r="B1" s="114"/>
      <c r="C1" s="114"/>
      <c r="D1" s="114"/>
      <c r="E1" s="114"/>
      <c r="F1" s="114"/>
      <c r="G1" s="114"/>
      <c r="H1" s="114"/>
      <c r="I1" s="114"/>
      <c r="J1" s="3" t="s">
        <v>21</v>
      </c>
      <c r="K1" s="95" t="s">
        <v>183</v>
      </c>
    </row>
    <row r="2" spans="1:12" customFormat="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2" customFormat="1" ht="18.75" customHeight="1" thickBot="1" x14ac:dyDescent="0.25">
      <c r="A3" s="115" t="s">
        <v>55</v>
      </c>
      <c r="B3" s="115"/>
      <c r="C3" s="115"/>
      <c r="D3" s="116" t="str">
        <f>'Necesidades Trimestrales'!C4</f>
        <v>45- Ministerio de Desarrollo Social y Deporte</v>
      </c>
      <c r="E3" s="116"/>
      <c r="F3" s="116"/>
      <c r="G3" s="116"/>
      <c r="H3" s="116"/>
      <c r="I3" s="116"/>
      <c r="J3" s="116"/>
      <c r="K3" s="116"/>
    </row>
    <row r="4" spans="1:12" customFormat="1" ht="18.75" customHeight="1" thickBot="1" x14ac:dyDescent="0.25">
      <c r="A4" s="117" t="s">
        <v>56</v>
      </c>
      <c r="B4" s="117"/>
      <c r="C4" s="117"/>
      <c r="D4" s="116" t="str">
        <f>'Necesidades Trimestrales'!C5</f>
        <v>25- Direccion Provincial de Gestion  Administrativa y RRHH</v>
      </c>
      <c r="E4" s="116"/>
      <c r="F4" s="116"/>
      <c r="G4" s="116"/>
      <c r="H4" s="116"/>
      <c r="I4" s="116"/>
      <c r="J4" s="116"/>
      <c r="K4" s="116"/>
    </row>
    <row r="5" spans="1:12" customFormat="1" ht="18.75" customHeight="1" thickBot="1" x14ac:dyDescent="0.25">
      <c r="A5" s="117" t="s">
        <v>34</v>
      </c>
      <c r="B5" s="117"/>
      <c r="C5" s="117"/>
      <c r="D5" s="116" t="s">
        <v>174</v>
      </c>
      <c r="E5" s="116"/>
      <c r="F5" s="116"/>
      <c r="G5" s="116"/>
      <c r="H5" s="116"/>
      <c r="I5" s="116"/>
      <c r="J5" s="116"/>
      <c r="K5" s="116"/>
    </row>
    <row r="6" spans="1:12" customFormat="1" ht="16.5" customHeight="1" thickBot="1" x14ac:dyDescent="0.25">
      <c r="A6" s="115" t="s">
        <v>57</v>
      </c>
      <c r="B6" s="115"/>
      <c r="C6" s="115"/>
      <c r="D6" s="116" t="s">
        <v>173</v>
      </c>
      <c r="E6" s="116"/>
      <c r="F6" s="116"/>
      <c r="G6" s="116"/>
      <c r="H6" s="116"/>
      <c r="I6" s="116"/>
      <c r="J6" s="116"/>
      <c r="K6" s="116"/>
    </row>
    <row r="7" spans="1:12" customFormat="1" ht="16.5" customHeight="1" x14ac:dyDescent="0.2">
      <c r="A7" s="117" t="s">
        <v>22</v>
      </c>
      <c r="B7" s="117"/>
      <c r="C7" s="117"/>
      <c r="D7" s="116" t="s">
        <v>175</v>
      </c>
      <c r="E7" s="116"/>
      <c r="F7" s="116"/>
      <c r="G7" s="116"/>
      <c r="H7" s="116"/>
      <c r="I7" s="116"/>
      <c r="J7" s="116"/>
      <c r="K7" s="116"/>
    </row>
    <row r="8" spans="1:12" customFormat="1" ht="39.75" customHeight="1" x14ac:dyDescent="0.2">
      <c r="A8" s="118" t="s">
        <v>23</v>
      </c>
      <c r="B8" s="118"/>
      <c r="C8" s="118"/>
      <c r="D8" s="119" t="s">
        <v>176</v>
      </c>
      <c r="E8" s="119"/>
      <c r="F8" s="119"/>
      <c r="G8" s="119"/>
      <c r="H8" s="119"/>
      <c r="I8" s="119"/>
      <c r="J8" s="119"/>
      <c r="K8" s="119"/>
    </row>
    <row r="9" spans="1:12" customFormat="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2" customFormat="1" ht="18.75" customHeight="1" x14ac:dyDescent="0.2">
      <c r="A10" s="120" t="s">
        <v>24</v>
      </c>
      <c r="B10" s="121" t="s">
        <v>25</v>
      </c>
      <c r="C10" s="121" t="s">
        <v>26</v>
      </c>
      <c r="D10" s="121"/>
      <c r="E10" s="121"/>
      <c r="F10" s="121"/>
      <c r="G10" s="121"/>
      <c r="H10" s="121" t="s">
        <v>27</v>
      </c>
      <c r="I10" s="121" t="s">
        <v>28</v>
      </c>
      <c r="J10" s="121" t="s">
        <v>29</v>
      </c>
      <c r="K10" s="122" t="s">
        <v>30</v>
      </c>
    </row>
    <row r="11" spans="1:12" customFormat="1" ht="24" customHeight="1" thickBot="1" x14ac:dyDescent="0.25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2"/>
    </row>
    <row r="12" spans="1:12" customFormat="1" ht="31.5" customHeight="1" thickBot="1" x14ac:dyDescent="0.25">
      <c r="A12" s="8">
        <v>1</v>
      </c>
      <c r="B12" s="63" t="s">
        <v>147</v>
      </c>
      <c r="C12" s="125" t="str">
        <f>'Necesidades Trimestrales'!E10</f>
        <v>PELOTAS; MATERIAL: CUERO, NUMERO: 5, TIPO: FUTBOL</v>
      </c>
      <c r="D12" s="126"/>
      <c r="E12" s="126"/>
      <c r="F12" s="126"/>
      <c r="G12" s="127"/>
      <c r="H12" s="52" t="s">
        <v>31</v>
      </c>
      <c r="I12" s="53" t="str">
        <f>'Necesidades Trimestrales'!F10</f>
        <v>UNIDAD</v>
      </c>
      <c r="J12" s="54">
        <v>2600</v>
      </c>
      <c r="K12" s="55">
        <v>74</v>
      </c>
      <c r="L12" s="50"/>
    </row>
    <row r="13" spans="1:12" customFormat="1" ht="36" customHeight="1" thickBot="1" x14ac:dyDescent="0.25">
      <c r="A13" s="8">
        <v>2</v>
      </c>
      <c r="B13" s="63" t="s">
        <v>59</v>
      </c>
      <c r="C13" s="125" t="s">
        <v>61</v>
      </c>
      <c r="D13" s="126"/>
      <c r="E13" s="126"/>
      <c r="F13" s="126"/>
      <c r="G13" s="127"/>
      <c r="H13" s="52" t="s">
        <v>31</v>
      </c>
      <c r="I13" s="53" t="str">
        <f>'Necesidades Trimestrales'!F11</f>
        <v>UNIDAD</v>
      </c>
      <c r="J13" s="54">
        <f>'Necesidades Trimestrales'!H11</f>
        <v>40000</v>
      </c>
      <c r="K13" s="55">
        <f>'Necesidades Trimestrales'!G11</f>
        <v>9</v>
      </c>
    </row>
    <row r="14" spans="1:12" customFormat="1" ht="33.75" customHeight="1" thickBot="1" x14ac:dyDescent="0.25">
      <c r="A14" s="8">
        <v>3</v>
      </c>
      <c r="B14" s="63" t="s">
        <v>87</v>
      </c>
      <c r="C14" s="125" t="s">
        <v>88</v>
      </c>
      <c r="D14" s="126"/>
      <c r="E14" s="126"/>
      <c r="F14" s="126"/>
      <c r="G14" s="127"/>
      <c r="H14" s="52" t="s">
        <v>31</v>
      </c>
      <c r="I14" s="53" t="str">
        <f>'Necesidades Trimestrales'!F12</f>
        <v>UNIDAD</v>
      </c>
      <c r="J14" s="54">
        <v>25000</v>
      </c>
      <c r="K14" s="55">
        <v>5</v>
      </c>
    </row>
    <row r="15" spans="1:12" customFormat="1" ht="20.25" customHeight="1" thickBot="1" x14ac:dyDescent="0.25">
      <c r="A15" s="8">
        <v>4</v>
      </c>
      <c r="B15" s="63" t="s">
        <v>62</v>
      </c>
      <c r="C15" s="125" t="s">
        <v>63</v>
      </c>
      <c r="D15" s="126"/>
      <c r="E15" s="126"/>
      <c r="F15" s="126"/>
      <c r="G15" s="127"/>
      <c r="H15" s="52" t="s">
        <v>31</v>
      </c>
      <c r="I15" s="53" t="str">
        <f>'Necesidades Trimestrales'!F13</f>
        <v>UNIDAD</v>
      </c>
      <c r="J15" s="54">
        <f>'Necesidades Trimestrales'!H13</f>
        <v>12000</v>
      </c>
      <c r="K15" s="55">
        <f>'Necesidades Trimestrales'!G13</f>
        <v>5</v>
      </c>
      <c r="L15" s="50"/>
    </row>
    <row r="16" spans="1:12" customFormat="1" ht="26.25" customHeight="1" thickBot="1" x14ac:dyDescent="0.25">
      <c r="A16" s="8">
        <v>5</v>
      </c>
      <c r="B16" s="63" t="s">
        <v>64</v>
      </c>
      <c r="C16" s="128" t="s">
        <v>66</v>
      </c>
      <c r="D16" s="128"/>
      <c r="E16" s="128"/>
      <c r="F16" s="128"/>
      <c r="G16" s="128"/>
      <c r="H16" s="52" t="s">
        <v>31</v>
      </c>
      <c r="I16" s="53" t="str">
        <f>'Necesidades Trimestrales'!F14</f>
        <v>UNIDAD</v>
      </c>
      <c r="J16" s="54">
        <f>'Necesidades Trimestrales'!H14</f>
        <v>290</v>
      </c>
      <c r="K16" s="55">
        <f>'Necesidades Trimestrales'!G14</f>
        <v>18</v>
      </c>
    </row>
    <row r="17" spans="1:1024" ht="26.25" customHeight="1" thickBot="1" x14ac:dyDescent="0.25">
      <c r="A17" s="8">
        <v>6</v>
      </c>
      <c r="B17" s="63" t="s">
        <v>64</v>
      </c>
      <c r="C17" s="128" t="s">
        <v>66</v>
      </c>
      <c r="D17" s="128"/>
      <c r="E17" s="128"/>
      <c r="F17" s="128"/>
      <c r="G17" s="128"/>
      <c r="H17" s="52" t="s">
        <v>31</v>
      </c>
      <c r="I17" s="53" t="str">
        <f>'Necesidades Trimestrales'!F15</f>
        <v>UNIDAD</v>
      </c>
      <c r="J17" s="54">
        <f>'Necesidades Trimestrales'!H15</f>
        <v>385</v>
      </c>
      <c r="K17" s="55">
        <f>'Necesidades Trimestrales'!G15</f>
        <v>18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39.75" customHeight="1" thickBot="1" x14ac:dyDescent="0.25">
      <c r="A18" s="8">
        <v>7</v>
      </c>
      <c r="B18" s="63" t="s">
        <v>64</v>
      </c>
      <c r="C18" s="128" t="str">
        <f>'Necesidades Trimestrales'!E16</f>
        <v>TROFEOS; MATERIAL: PLASTICO, BASE: MARMOL, GRABADO: CON</v>
      </c>
      <c r="D18" s="128"/>
      <c r="E18" s="128"/>
      <c r="F18" s="128"/>
      <c r="G18" s="128"/>
      <c r="H18" s="52" t="s">
        <v>31</v>
      </c>
      <c r="I18" s="53" t="str">
        <f>'Necesidades Trimestrales'!F16</f>
        <v>UNIDAD</v>
      </c>
      <c r="J18" s="54">
        <f>'Necesidades Trimestrales'!H16</f>
        <v>595</v>
      </c>
      <c r="K18" s="55">
        <f>'Necesidades Trimestrales'!G16</f>
        <v>18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33.75" customHeight="1" thickBot="1" x14ac:dyDescent="0.25">
      <c r="A19" s="8">
        <v>8</v>
      </c>
      <c r="B19" s="63" t="s">
        <v>64</v>
      </c>
      <c r="C19" s="128" t="str">
        <f>'Necesidades Trimestrales'!E17</f>
        <v>TROFEOS; MATERIAL: PLASTICO, BASE: MARMOL, GRABADO: CON</v>
      </c>
      <c r="D19" s="128"/>
      <c r="E19" s="128"/>
      <c r="F19" s="128"/>
      <c r="G19" s="128"/>
      <c r="H19" s="52" t="s">
        <v>31</v>
      </c>
      <c r="I19" s="53" t="str">
        <f>'Necesidades Trimestrales'!F17</f>
        <v>UNIDAD</v>
      </c>
      <c r="J19" s="54">
        <f>'Necesidades Trimestrales'!H17</f>
        <v>785</v>
      </c>
      <c r="K19" s="55">
        <f>'Necesidades Trimestrales'!G17</f>
        <v>18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35.25" customHeight="1" thickBot="1" x14ac:dyDescent="0.25">
      <c r="A20" s="8">
        <v>9</v>
      </c>
      <c r="B20" s="63" t="s">
        <v>64</v>
      </c>
      <c r="C20" s="128" t="str">
        <f>'Necesidades Trimestrales'!E18</f>
        <v>TROFEOS; MATERIAL: PLASTICO, BASE: MARMOL, GRABADO: CON</v>
      </c>
      <c r="D20" s="128"/>
      <c r="E20" s="128"/>
      <c r="F20" s="128"/>
      <c r="G20" s="128"/>
      <c r="H20" s="52" t="s">
        <v>31</v>
      </c>
      <c r="I20" s="53" t="str">
        <f>'Necesidades Trimestrales'!F18</f>
        <v>UNIDAD</v>
      </c>
      <c r="J20" s="54">
        <f>'Necesidades Trimestrales'!H18</f>
        <v>900</v>
      </c>
      <c r="K20" s="55">
        <f>'Necesidades Trimestrales'!G18</f>
        <v>18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26.25" customHeight="1" thickBot="1" x14ac:dyDescent="0.25">
      <c r="A21" s="8">
        <v>10</v>
      </c>
      <c r="B21" s="63" t="s">
        <v>64</v>
      </c>
      <c r="C21" s="128" t="str">
        <f>'Necesidades Trimestrales'!E19</f>
        <v>TROFEOS; MATERIAL: PLASTICO, BASE: MARMOL, GRABADO: CON</v>
      </c>
      <c r="D21" s="128"/>
      <c r="E21" s="128"/>
      <c r="F21" s="128"/>
      <c r="G21" s="128"/>
      <c r="H21" s="52" t="s">
        <v>31</v>
      </c>
      <c r="I21" s="53" t="str">
        <f>'Necesidades Trimestrales'!F19</f>
        <v>UNIDAD</v>
      </c>
      <c r="J21" s="54">
        <f>'Necesidades Trimestrales'!H19</f>
        <v>1020</v>
      </c>
      <c r="K21" s="55">
        <f>'Necesidades Trimestrales'!G19</f>
        <v>18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26.25" customHeight="1" thickBot="1" x14ac:dyDescent="0.25">
      <c r="A22" s="8">
        <v>11</v>
      </c>
      <c r="B22" s="63" t="s">
        <v>137</v>
      </c>
      <c r="C22" s="128" t="str">
        <f>'Necesidades Trimestrales'!E20</f>
        <v>MEDALLAS; MATERIAL: ZAMAC PLATEADO A VIEJO, DIAMETRO: 30 mm, GRABADO: CON</v>
      </c>
      <c r="D22" s="128"/>
      <c r="E22" s="128"/>
      <c r="F22" s="128"/>
      <c r="G22" s="128"/>
      <c r="H22" s="52" t="s">
        <v>31</v>
      </c>
      <c r="I22" s="53" t="str">
        <f>'Necesidades Trimestrales'!F20</f>
        <v>UNIDAD</v>
      </c>
      <c r="J22" s="54">
        <f>'Necesidades Trimestrales'!H20</f>
        <v>200</v>
      </c>
      <c r="K22" s="55">
        <f>'Necesidades Trimestrales'!G20</f>
        <v>10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26.25" customHeight="1" thickBot="1" x14ac:dyDescent="0.25">
      <c r="A23" s="8">
        <v>12</v>
      </c>
      <c r="B23" s="63" t="s">
        <v>67</v>
      </c>
      <c r="C23" s="128" t="str">
        <f>'Necesidades Trimestrales'!E21</f>
        <v>MEDALLAS; MATERIAL: ZAMAC PLATEADO A VIEJO, DIAMETRO: 55 mm, GRABADO: CON</v>
      </c>
      <c r="D23" s="128"/>
      <c r="E23" s="128"/>
      <c r="F23" s="128"/>
      <c r="G23" s="128"/>
      <c r="H23" s="52" t="s">
        <v>31</v>
      </c>
      <c r="I23" s="53" t="str">
        <f>'Necesidades Trimestrales'!F21</f>
        <v>UNIDAD</v>
      </c>
      <c r="J23" s="54">
        <f>'Necesidades Trimestrales'!H21</f>
        <v>275</v>
      </c>
      <c r="K23" s="55">
        <f>'Necesidades Trimestrales'!G21</f>
        <v>20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ht="26.25" customHeight="1" thickBot="1" x14ac:dyDescent="0.25">
      <c r="A24" s="8">
        <v>13</v>
      </c>
      <c r="B24" s="63" t="s">
        <v>71</v>
      </c>
      <c r="C24" s="128" t="str">
        <f>'Necesidades Trimestrales'!E22</f>
        <v>PROTECTORES BUCALES; MATERIAL: GOMA, PRESENTACION: UNIDAD</v>
      </c>
      <c r="D24" s="128"/>
      <c r="E24" s="128"/>
      <c r="F24" s="128"/>
      <c r="G24" s="128"/>
      <c r="H24" s="52" t="s">
        <v>31</v>
      </c>
      <c r="I24" s="53" t="str">
        <f>'Necesidades Trimestrales'!F22</f>
        <v>UNIDAD</v>
      </c>
      <c r="J24" s="54">
        <f>'Necesidades Trimestrales'!H22</f>
        <v>800</v>
      </c>
      <c r="K24" s="55">
        <f>'Necesidades Trimestrales'!G22</f>
        <v>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26.25" customHeight="1" thickBot="1" x14ac:dyDescent="0.25">
      <c r="A25" s="8">
        <v>14</v>
      </c>
      <c r="B25" s="63" t="s">
        <v>73</v>
      </c>
      <c r="C25" s="128" t="str">
        <f>'Necesidades Trimestrales'!E23</f>
        <v>R. Y A. P/PRACTICA DEPORTIVA; ELEMENTO: BASTON P/HOCKEY</v>
      </c>
      <c r="D25" s="128"/>
      <c r="E25" s="128"/>
      <c r="F25" s="128"/>
      <c r="G25" s="128"/>
      <c r="H25" s="52" t="s">
        <v>31</v>
      </c>
      <c r="I25" s="53" t="str">
        <f>'Necesidades Trimestrales'!F23</f>
        <v>UNIDAD</v>
      </c>
      <c r="J25" s="54">
        <f>'Necesidades Trimestrales'!H23</f>
        <v>2600</v>
      </c>
      <c r="K25" s="55">
        <f>'Necesidades Trimestrales'!G23</f>
        <v>10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26.25" customHeight="1" thickBot="1" x14ac:dyDescent="0.25">
      <c r="A26" s="8">
        <v>15</v>
      </c>
      <c r="B26" s="63" t="s">
        <v>75</v>
      </c>
      <c r="C26" s="128" t="str">
        <f>'Necesidades Trimestrales'!E24</f>
        <v>PELOTAS; MATERIAL: PVC, TIPO: HOCKEY, NUMERO: 235 mm</v>
      </c>
      <c r="D26" s="128"/>
      <c r="E26" s="128"/>
      <c r="F26" s="128"/>
      <c r="G26" s="128"/>
      <c r="H26" s="52" t="s">
        <v>31</v>
      </c>
      <c r="I26" s="53" t="str">
        <f>'Necesidades Trimestrales'!F24</f>
        <v>UNIDAD</v>
      </c>
      <c r="J26" s="54">
        <f>'Necesidades Trimestrales'!H24</f>
        <v>320</v>
      </c>
      <c r="K26" s="55">
        <f>'Necesidades Trimestrales'!G24</f>
        <v>10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26.25" customHeight="1" thickBot="1" x14ac:dyDescent="0.25">
      <c r="A27" s="8">
        <v>16</v>
      </c>
      <c r="B27" s="63" t="s">
        <v>77</v>
      </c>
      <c r="C27" s="128" t="str">
        <f>'Necesidades Trimestrales'!E25</f>
        <v>PELOTAS; MATERIAL: CUERO, TIPO: BASQUET, NUMERO: 7</v>
      </c>
      <c r="D27" s="128"/>
      <c r="E27" s="128"/>
      <c r="F27" s="128"/>
      <c r="G27" s="128"/>
      <c r="H27" s="52" t="s">
        <v>31</v>
      </c>
      <c r="I27" s="53" t="str">
        <f>'Necesidades Trimestrales'!F25</f>
        <v>UNIDAD</v>
      </c>
      <c r="J27" s="54">
        <f>'Necesidades Trimestrales'!H25</f>
        <v>1800</v>
      </c>
      <c r="K27" s="55">
        <f>'Necesidades Trimestrales'!G25</f>
        <v>10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26.25" customHeight="1" thickBot="1" x14ac:dyDescent="0.25">
      <c r="A28" s="8">
        <v>17</v>
      </c>
      <c r="B28" s="63" t="s">
        <v>79</v>
      </c>
      <c r="C28" s="125" t="s">
        <v>80</v>
      </c>
      <c r="D28" s="126"/>
      <c r="E28" s="126"/>
      <c r="F28" s="126"/>
      <c r="G28" s="127"/>
      <c r="H28" s="52" t="s">
        <v>177</v>
      </c>
      <c r="I28" s="53" t="s">
        <v>12</v>
      </c>
      <c r="J28" s="54">
        <v>4500</v>
      </c>
      <c r="K28" s="55">
        <v>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26.25" customHeight="1" thickBot="1" x14ac:dyDescent="0.25">
      <c r="A29" s="8">
        <v>18</v>
      </c>
      <c r="B29" s="63" t="s">
        <v>81</v>
      </c>
      <c r="C29" s="128" t="str">
        <f>'Necesidades Trimestrales'!E27</f>
        <v>PELOTAS; MATERIAL: GOMA, TIPO: BASQUET, NUMERO: 5</v>
      </c>
      <c r="D29" s="128"/>
      <c r="E29" s="128"/>
      <c r="F29" s="128"/>
      <c r="G29" s="128"/>
      <c r="H29" s="52" t="s">
        <v>31</v>
      </c>
      <c r="I29" s="53" t="str">
        <f>'Necesidades Trimestrales'!F27</f>
        <v>UNIDAD</v>
      </c>
      <c r="J29" s="54">
        <f>'Necesidades Trimestrales'!H27</f>
        <v>2700</v>
      </c>
      <c r="K29" s="55">
        <f>'Necesidades Trimestrales'!G27</f>
        <v>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26.25" customHeight="1" thickBot="1" x14ac:dyDescent="0.25">
      <c r="A30" s="8">
        <v>19</v>
      </c>
      <c r="B30" s="63" t="s">
        <v>83</v>
      </c>
      <c r="C30" s="128" t="str">
        <f>'Necesidades Trimestrales'!E28</f>
        <v>PELOTAS; MATERIAL: SINTETICO, TIPO: VOLEY, NUMERO: 65 Cm</v>
      </c>
      <c r="D30" s="128"/>
      <c r="E30" s="128"/>
      <c r="F30" s="128"/>
      <c r="G30" s="128"/>
      <c r="H30" s="52" t="s">
        <v>31</v>
      </c>
      <c r="I30" s="53" t="str">
        <f>'Necesidades Trimestrales'!F28</f>
        <v>UNIDAD</v>
      </c>
      <c r="J30" s="54">
        <f>'Necesidades Trimestrales'!H28</f>
        <v>3300</v>
      </c>
      <c r="K30" s="55">
        <f>'Necesidades Trimestrales'!G28</f>
        <v>10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26.25" customHeight="1" thickBot="1" x14ac:dyDescent="0.25">
      <c r="A31" s="8">
        <v>20</v>
      </c>
      <c r="B31" s="63" t="s">
        <v>85</v>
      </c>
      <c r="C31" s="128" t="str">
        <f>'Necesidades Trimestrales'!E29</f>
        <v>REDES P/DEPORTES; USO: VOLEY, MATERIAL: POLIETILENO</v>
      </c>
      <c r="D31" s="128"/>
      <c r="E31" s="128"/>
      <c r="F31" s="128"/>
      <c r="G31" s="128"/>
      <c r="H31" s="52" t="s">
        <v>31</v>
      </c>
      <c r="I31" s="53" t="str">
        <f>'Necesidades Trimestrales'!F29</f>
        <v>UNIDAD</v>
      </c>
      <c r="J31" s="54">
        <f>'Necesidades Trimestrales'!H29</f>
        <v>4100</v>
      </c>
      <c r="K31" s="55">
        <f>'Necesidades Trimestrales'!G29</f>
        <v>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26.25" customHeight="1" thickBot="1" x14ac:dyDescent="0.25">
      <c r="A32" s="8">
        <v>21</v>
      </c>
      <c r="B32" s="63" t="s">
        <v>141</v>
      </c>
      <c r="C32" s="128" t="str">
        <f>'Necesidades Trimestrales'!E30</f>
        <v>PELOTAS; NUMERO: 5, TIPO: RUGBY, MATERIAL: CUERO</v>
      </c>
      <c r="D32" s="128"/>
      <c r="E32" s="128"/>
      <c r="F32" s="128"/>
      <c r="G32" s="128"/>
      <c r="H32" s="52" t="s">
        <v>31</v>
      </c>
      <c r="I32" s="53" t="str">
        <f>'Necesidades Trimestrales'!F30</f>
        <v>UNIDAD</v>
      </c>
      <c r="J32" s="54">
        <f>'Necesidades Trimestrales'!H30</f>
        <v>1800</v>
      </c>
      <c r="K32" s="55">
        <f>'Necesidades Trimestrales'!G30</f>
        <v>10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26.25" customHeight="1" thickBot="1" x14ac:dyDescent="0.25">
      <c r="A33" s="8">
        <v>22</v>
      </c>
      <c r="B33" s="63" t="s">
        <v>89</v>
      </c>
      <c r="C33" s="128" t="str">
        <f>'Necesidades Trimestrales'!E31</f>
        <v>R. Y A. P/PRACTICA DEPORTIVA; ELEMENTO: ESCALERA P/COORDINACION</v>
      </c>
      <c r="D33" s="128"/>
      <c r="E33" s="128"/>
      <c r="F33" s="128"/>
      <c r="G33" s="128"/>
      <c r="H33" s="52" t="s">
        <v>31</v>
      </c>
      <c r="I33" s="53" t="str">
        <f>'Necesidades Trimestrales'!F31</f>
        <v>UNIDAD</v>
      </c>
      <c r="J33" s="54">
        <f>'Necesidades Trimestrales'!H31</f>
        <v>900</v>
      </c>
      <c r="K33" s="55">
        <f>'Necesidades Trimestrales'!G31</f>
        <v>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26.25" customHeight="1" thickBot="1" x14ac:dyDescent="0.25">
      <c r="A34" s="8">
        <v>23</v>
      </c>
      <c r="B34" s="63" t="s">
        <v>91</v>
      </c>
      <c r="C34" s="128" t="str">
        <f>'Necesidades Trimestrales'!E32</f>
        <v>R. Y A. P/PRACTICA DEPORTIVA; ELEMENTO: VALLA REGULABLE</v>
      </c>
      <c r="D34" s="128"/>
      <c r="E34" s="128"/>
      <c r="F34" s="128"/>
      <c r="G34" s="128"/>
      <c r="H34" s="52" t="s">
        <v>31</v>
      </c>
      <c r="I34" s="53" t="str">
        <f>'Necesidades Trimestrales'!F32</f>
        <v>UNIDAD</v>
      </c>
      <c r="J34" s="54">
        <f>'Necesidades Trimestrales'!H32</f>
        <v>450</v>
      </c>
      <c r="K34" s="55">
        <f>'Necesidades Trimestrales'!G32</f>
        <v>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26.25" customHeight="1" thickBot="1" x14ac:dyDescent="0.25">
      <c r="A35" s="8">
        <v>24</v>
      </c>
      <c r="B35" s="63" t="s">
        <v>93</v>
      </c>
      <c r="C35" s="128" t="str">
        <f>'Necesidades Trimestrales'!E33</f>
        <v>R. Y A. P/PRACTICA DEPORTIVA; ELEMENTO: MANOPLA P/NATACION</v>
      </c>
      <c r="D35" s="128"/>
      <c r="E35" s="128"/>
      <c r="F35" s="128"/>
      <c r="G35" s="128"/>
      <c r="H35" s="52" t="s">
        <v>31</v>
      </c>
      <c r="I35" s="53" t="str">
        <f>'Necesidades Trimestrales'!F33</f>
        <v>UNIDAD</v>
      </c>
      <c r="J35" s="54">
        <f>'Necesidades Trimestrales'!H33</f>
        <v>680</v>
      </c>
      <c r="K35" s="55">
        <f>'Necesidades Trimestrales'!G33</f>
        <v>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26.25" customHeight="1" thickBot="1" x14ac:dyDescent="0.25">
      <c r="A36" s="8">
        <v>25</v>
      </c>
      <c r="B36" s="63" t="s">
        <v>143</v>
      </c>
      <c r="C36" s="128" t="str">
        <f>'Necesidades Trimestrales'!E34</f>
        <v>FLOTADORES; MATERIAL: POLIETILENO, DIMENSION: 17 X 45 X 3 Cm, TIPO: TABLA</v>
      </c>
      <c r="D36" s="128"/>
      <c r="E36" s="128"/>
      <c r="F36" s="128"/>
      <c r="G36" s="128"/>
      <c r="H36" s="52" t="s">
        <v>31</v>
      </c>
      <c r="I36" s="53" t="str">
        <f>'Necesidades Trimestrales'!F34</f>
        <v>UNIDAD</v>
      </c>
      <c r="J36" s="54">
        <f>'Necesidades Trimestrales'!H34</f>
        <v>650</v>
      </c>
      <c r="K36" s="55">
        <f>'Necesidades Trimestrales'!G34</f>
        <v>4</v>
      </c>
      <c r="L36" s="50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26.25" customHeight="1" thickBot="1" x14ac:dyDescent="0.25">
      <c r="A37" s="8"/>
      <c r="B37" s="51"/>
      <c r="C37" s="128"/>
      <c r="D37" s="128"/>
      <c r="E37" s="128"/>
      <c r="F37" s="128"/>
      <c r="G37" s="128"/>
      <c r="H37" s="52"/>
      <c r="I37" s="53"/>
      <c r="J37" s="54"/>
      <c r="K37" s="55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26.25" customHeight="1" thickBot="1" x14ac:dyDescent="0.25">
      <c r="A38" s="8"/>
      <c r="B38" s="51"/>
      <c r="C38" s="128"/>
      <c r="D38" s="128"/>
      <c r="E38" s="128"/>
      <c r="F38" s="128"/>
      <c r="G38" s="128"/>
      <c r="H38" s="52"/>
      <c r="I38" s="53"/>
      <c r="J38" s="54"/>
      <c r="K38" s="55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26.25" customHeight="1" thickBot="1" x14ac:dyDescent="0.25">
      <c r="A39" s="8"/>
      <c r="B39" s="51"/>
      <c r="C39" s="128"/>
      <c r="D39" s="128"/>
      <c r="E39" s="128"/>
      <c r="F39" s="128"/>
      <c r="G39" s="128"/>
      <c r="H39" s="52"/>
      <c r="I39" s="53"/>
      <c r="J39" s="54"/>
      <c r="K39" s="55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26.25" customHeight="1" thickBot="1" x14ac:dyDescent="0.25">
      <c r="A40" s="8"/>
      <c r="B40" s="51"/>
      <c r="C40" s="128"/>
      <c r="D40" s="128"/>
      <c r="E40" s="128"/>
      <c r="F40" s="128"/>
      <c r="G40" s="128"/>
      <c r="H40" s="52"/>
      <c r="I40" s="53"/>
      <c r="J40" s="54"/>
      <c r="K40" s="5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26.25" customHeight="1" thickBot="1" x14ac:dyDescent="0.25">
      <c r="A41" s="8"/>
      <c r="B41" s="51"/>
      <c r="C41" s="128"/>
      <c r="D41" s="128"/>
      <c r="E41" s="128"/>
      <c r="F41" s="128"/>
      <c r="G41" s="128"/>
      <c r="H41" s="52"/>
      <c r="I41" s="53"/>
      <c r="J41" s="54"/>
      <c r="K41" s="55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ht="26.25" customHeight="1" thickBot="1" x14ac:dyDescent="0.25">
      <c r="A42" s="8"/>
      <c r="B42" s="51"/>
      <c r="C42" s="128"/>
      <c r="D42" s="128"/>
      <c r="E42" s="128"/>
      <c r="F42" s="128"/>
      <c r="G42" s="128"/>
      <c r="H42" s="52"/>
      <c r="I42" s="53"/>
      <c r="J42" s="54"/>
      <c r="K42" s="55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  <row r="43" spans="1:1024" ht="26.25" customHeight="1" thickBot="1" x14ac:dyDescent="0.25">
      <c r="A43" s="8"/>
      <c r="B43" s="51"/>
      <c r="C43" s="128"/>
      <c r="D43" s="128"/>
      <c r="E43" s="128"/>
      <c r="F43" s="128"/>
      <c r="G43" s="128"/>
      <c r="H43" s="52"/>
      <c r="I43" s="53"/>
      <c r="J43" s="54"/>
      <c r="K43" s="5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26.25" customHeight="1" thickBot="1" x14ac:dyDescent="0.25">
      <c r="A44" s="8"/>
      <c r="B44" s="51"/>
      <c r="C44" s="128"/>
      <c r="D44" s="128"/>
      <c r="E44" s="128"/>
      <c r="F44" s="128"/>
      <c r="G44" s="128"/>
      <c r="H44" s="52"/>
      <c r="I44" s="53"/>
      <c r="J44" s="54"/>
      <c r="K44" s="55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26.25" customHeight="1" thickBot="1" x14ac:dyDescent="0.25">
      <c r="A45" s="8"/>
      <c r="B45" s="51"/>
      <c r="C45" s="128"/>
      <c r="D45" s="128"/>
      <c r="E45" s="128"/>
      <c r="F45" s="128"/>
      <c r="G45" s="128"/>
      <c r="H45" s="52"/>
      <c r="I45" s="53"/>
      <c r="J45" s="54"/>
      <c r="K45" s="5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26.25" customHeight="1" thickBot="1" x14ac:dyDescent="0.25">
      <c r="A46" s="8"/>
      <c r="B46" s="51"/>
      <c r="C46" s="128"/>
      <c r="D46" s="128"/>
      <c r="E46" s="128"/>
      <c r="F46" s="128"/>
      <c r="G46" s="128"/>
      <c r="H46" s="52"/>
      <c r="I46" s="53"/>
      <c r="J46" s="54"/>
      <c r="K46" s="55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26.25" customHeight="1" thickBot="1" x14ac:dyDescent="0.25">
      <c r="A47" s="8"/>
      <c r="B47" s="51"/>
      <c r="C47" s="128"/>
      <c r="D47" s="128"/>
      <c r="E47" s="128"/>
      <c r="F47" s="128"/>
      <c r="G47" s="128"/>
      <c r="H47" s="52"/>
      <c r="I47" s="53"/>
      <c r="J47" s="54"/>
      <c r="K47" s="55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26.25" customHeight="1" thickBot="1" x14ac:dyDescent="0.25">
      <c r="A48" s="8"/>
      <c r="B48" s="51"/>
      <c r="C48" s="128"/>
      <c r="D48" s="128"/>
      <c r="E48" s="128"/>
      <c r="F48" s="128"/>
      <c r="G48" s="128"/>
      <c r="H48" s="52"/>
      <c r="I48" s="53"/>
      <c r="J48" s="54"/>
      <c r="K48" s="55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26.25" customHeight="1" thickBot="1" x14ac:dyDescent="0.25">
      <c r="A49" s="8"/>
      <c r="B49" s="51"/>
      <c r="C49" s="128"/>
      <c r="D49" s="128"/>
      <c r="E49" s="128"/>
      <c r="F49" s="128"/>
      <c r="G49" s="128"/>
      <c r="H49" s="52"/>
      <c r="I49" s="53"/>
      <c r="J49" s="54"/>
      <c r="K49" s="55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40.5" customHeight="1" thickBot="1" x14ac:dyDescent="0.25">
      <c r="A50" s="8"/>
      <c r="B50" s="51"/>
      <c r="C50" s="128"/>
      <c r="D50" s="128"/>
      <c r="E50" s="128"/>
      <c r="F50" s="128"/>
      <c r="G50" s="128"/>
      <c r="H50" s="52"/>
      <c r="I50" s="53"/>
      <c r="J50" s="54"/>
      <c r="K50" s="55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45" customHeight="1" thickBot="1" x14ac:dyDescent="0.25">
      <c r="A51" s="8"/>
      <c r="B51" s="51"/>
      <c r="C51" s="128"/>
      <c r="D51" s="128"/>
      <c r="E51" s="128"/>
      <c r="F51" s="128"/>
      <c r="G51" s="128"/>
      <c r="H51" s="52"/>
      <c r="I51" s="53"/>
      <c r="J51" s="54"/>
      <c r="K51" s="55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26.25" customHeight="1" thickBot="1" x14ac:dyDescent="0.25">
      <c r="A52" s="123" t="s">
        <v>178</v>
      </c>
      <c r="B52" s="123"/>
      <c r="C52" s="123"/>
      <c r="D52" s="123"/>
      <c r="E52" s="123"/>
      <c r="F52" s="123"/>
      <c r="G52" s="123"/>
      <c r="H52" s="123"/>
      <c r="I52" s="123"/>
      <c r="J52" s="124">
        <f>SUMPRODUCT(J12:J51,K12:K51)</f>
        <v>999070</v>
      </c>
      <c r="K52" s="124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26.2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27"/>
      <c r="K53" s="27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26.2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27"/>
      <c r="K54" s="27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26.25" customHeight="1" x14ac:dyDescent="0.2"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26.25" customHeight="1" x14ac:dyDescent="0.2"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26.25" customHeight="1" x14ac:dyDescent="0.2"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26.25" customHeight="1" x14ac:dyDescent="0.2"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ht="26.25" customHeight="1" x14ac:dyDescent="0.2"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ht="26.25" customHeight="1" x14ac:dyDescent="0.2"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:1024" ht="26.25" customHeight="1" x14ac:dyDescent="0.2"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:1024" ht="26.25" customHeight="1" x14ac:dyDescent="0.2"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26.25" customHeight="1" x14ac:dyDescent="0.2"/>
    <row r="64" spans="1:1024" ht="26.25" customHeight="1" x14ac:dyDescent="0.2"/>
    <row r="65" customFormat="1" ht="26.25" customHeight="1" x14ac:dyDescent="0.2"/>
  </sheetData>
  <mergeCells count="62">
    <mergeCell ref="C50:G50"/>
    <mergeCell ref="C51:G51"/>
    <mergeCell ref="C47:G47"/>
    <mergeCell ref="C48:G48"/>
    <mergeCell ref="C49:G49"/>
    <mergeCell ref="C41:G41"/>
    <mergeCell ref="C42:G42"/>
    <mergeCell ref="C44:G44"/>
    <mergeCell ref="C45:G45"/>
    <mergeCell ref="C46:G46"/>
    <mergeCell ref="C38:G38"/>
    <mergeCell ref="C39:G39"/>
    <mergeCell ref="C40:G40"/>
    <mergeCell ref="C36:G36"/>
    <mergeCell ref="C37:G37"/>
    <mergeCell ref="C31:G31"/>
    <mergeCell ref="C32:G32"/>
    <mergeCell ref="C33:G33"/>
    <mergeCell ref="C34:G34"/>
    <mergeCell ref="C35:G35"/>
    <mergeCell ref="C25:G25"/>
    <mergeCell ref="C26:G26"/>
    <mergeCell ref="C27:G27"/>
    <mergeCell ref="C29:G29"/>
    <mergeCell ref="C30:G30"/>
    <mergeCell ref="C28:G28"/>
    <mergeCell ref="A52:I52"/>
    <mergeCell ref="J52:K52"/>
    <mergeCell ref="C12:G12"/>
    <mergeCell ref="C13:G13"/>
    <mergeCell ref="C14:G14"/>
    <mergeCell ref="C15:G15"/>
    <mergeCell ref="C16:G16"/>
    <mergeCell ref="C43:G43"/>
    <mergeCell ref="C17:G17"/>
    <mergeCell ref="C18:G18"/>
    <mergeCell ref="C19:G19"/>
    <mergeCell ref="C20:G20"/>
    <mergeCell ref="C21:G21"/>
    <mergeCell ref="C22:G22"/>
    <mergeCell ref="C23:G23"/>
    <mergeCell ref="C24:G2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" right="0" top="0.98425196850393704" bottom="0" header="0.51181102362204722" footer="0.51181102362204722"/>
  <pageSetup paperSize="5" scale="55" firstPageNumber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topLeftCell="A10" zoomScale="115" zoomScaleNormal="115" workbookViewId="0">
      <selection activeCell="M18" sqref="M18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5.5703125" customWidth="1"/>
  </cols>
  <sheetData>
    <row r="1" spans="1:23" ht="15.75" customHeight="1" x14ac:dyDescent="0.25">
      <c r="A1" s="129" t="s">
        <v>2</v>
      </c>
      <c r="B1" s="129"/>
      <c r="C1" s="129"/>
      <c r="D1" s="130">
        <f>'Necesidades Trimestrales'!C6</f>
        <v>2021</v>
      </c>
      <c r="E1" s="130"/>
      <c r="F1" s="10"/>
      <c r="G1" s="10"/>
      <c r="H1" s="11"/>
      <c r="I1" s="11"/>
      <c r="J1" s="11"/>
      <c r="K1" s="11"/>
      <c r="L1" s="11"/>
      <c r="M1" s="11"/>
      <c r="N1" s="11"/>
      <c r="P1" s="131" t="s">
        <v>32</v>
      </c>
      <c r="Q1" s="131"/>
    </row>
    <row r="2" spans="1:23" ht="15.75" customHeight="1" x14ac:dyDescent="0.2">
      <c r="H2" s="11"/>
      <c r="I2" s="11"/>
      <c r="J2" s="11"/>
      <c r="K2" s="11"/>
      <c r="L2" s="11"/>
      <c r="M2" s="11"/>
      <c r="N2" s="11"/>
      <c r="P2" s="131"/>
      <c r="Q2" s="131"/>
    </row>
    <row r="4" spans="1:23" s="12" customFormat="1" ht="18" customHeight="1" thickBot="1" x14ac:dyDescent="0.25">
      <c r="A4" s="132" t="s">
        <v>33</v>
      </c>
      <c r="B4" s="132"/>
      <c r="C4" s="132"/>
      <c r="D4" s="132"/>
      <c r="E4" s="132"/>
      <c r="F4" s="132"/>
      <c r="G4" s="133" t="str">
        <f>' NotaPedido'!D3</f>
        <v>45- Ministerio de Desarrollo Social y Deporte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23" s="12" customFormat="1" ht="18" customHeight="1" thickBot="1" x14ac:dyDescent="0.25">
      <c r="A5" s="134" t="s">
        <v>56</v>
      </c>
      <c r="B5" s="135"/>
      <c r="C5" s="135"/>
      <c r="D5" s="135"/>
      <c r="E5" s="135"/>
      <c r="F5" s="136"/>
      <c r="G5" s="133" t="str">
        <f>' NotaPedido'!D4</f>
        <v>25- Direccion Provincial de Gestion  Administrativa y RRHH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23" s="12" customFormat="1" ht="18" customHeight="1" thickBot="1" x14ac:dyDescent="0.25">
      <c r="A6" s="134" t="s">
        <v>34</v>
      </c>
      <c r="B6" s="135"/>
      <c r="C6" s="135"/>
      <c r="D6" s="135"/>
      <c r="E6" s="135"/>
      <c r="F6" s="136"/>
      <c r="G6" s="133" t="s">
        <v>132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23" s="12" customFormat="1" ht="18" customHeight="1" thickBot="1" x14ac:dyDescent="0.25">
      <c r="A7" s="134" t="s">
        <v>57</v>
      </c>
      <c r="B7" s="135"/>
      <c r="C7" s="135"/>
      <c r="D7" s="135"/>
      <c r="E7" s="135"/>
      <c r="F7" s="136"/>
      <c r="G7" s="133" t="s">
        <v>129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23" ht="18" customHeight="1" thickBot="1" x14ac:dyDescent="0.25">
      <c r="A8" s="137" t="s">
        <v>35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23" ht="18" customHeight="1" x14ac:dyDescent="0.2">
      <c r="A9" s="140" t="s">
        <v>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13"/>
    </row>
    <row r="10" spans="1:23" ht="54.75" customHeight="1" x14ac:dyDescent="0.2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118/2021,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23" ht="9" customHeight="1" thickBot="1" x14ac:dyDescent="0.25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23" ht="15.75" customHeight="1" thickBot="1" x14ac:dyDescent="0.25">
      <c r="A12" s="142" t="s">
        <v>37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V12" s="24"/>
      <c r="W12" s="90"/>
    </row>
    <row r="13" spans="1:23" ht="15.75" customHeight="1" thickBot="1" x14ac:dyDescent="0.25">
      <c r="A13" s="143" t="s">
        <v>38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39</v>
      </c>
      <c r="P13" s="144"/>
      <c r="Q13" s="145" t="s">
        <v>40</v>
      </c>
      <c r="V13" s="24"/>
      <c r="W13" s="24"/>
    </row>
    <row r="14" spans="1:23" ht="15.75" customHeight="1" thickBot="1" x14ac:dyDescent="0.25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44"/>
      <c r="P14" s="144"/>
      <c r="Q14" s="145"/>
      <c r="V14" s="24"/>
      <c r="W14" s="90"/>
    </row>
    <row r="15" spans="1:23" ht="18" customHeight="1" x14ac:dyDescent="0.2">
      <c r="A15" s="91">
        <v>44</v>
      </c>
      <c r="B15" s="91"/>
      <c r="C15" s="91"/>
      <c r="D15" s="91">
        <v>1</v>
      </c>
      <c r="E15" s="91"/>
      <c r="F15" s="96">
        <v>4901</v>
      </c>
      <c r="G15" s="96">
        <v>1</v>
      </c>
      <c r="H15" s="96">
        <v>4</v>
      </c>
      <c r="I15" s="91">
        <v>2</v>
      </c>
      <c r="J15" s="91">
        <v>2</v>
      </c>
      <c r="K15" s="91">
        <v>2</v>
      </c>
      <c r="L15" s="91"/>
      <c r="M15" s="91">
        <v>1</v>
      </c>
      <c r="N15" s="91" t="s">
        <v>96</v>
      </c>
      <c r="O15" s="138" t="s">
        <v>95</v>
      </c>
      <c r="P15" s="138"/>
      <c r="Q15" s="92">
        <v>360000</v>
      </c>
      <c r="V15" s="24"/>
      <c r="W15" s="90"/>
    </row>
    <row r="16" spans="1:23" ht="18" customHeight="1" x14ac:dyDescent="0.2">
      <c r="A16" s="91">
        <v>44</v>
      </c>
      <c r="B16" s="91"/>
      <c r="C16" s="91"/>
      <c r="D16" s="91">
        <v>1</v>
      </c>
      <c r="E16" s="91"/>
      <c r="F16" s="97">
        <v>4901</v>
      </c>
      <c r="G16" s="97">
        <v>1</v>
      </c>
      <c r="H16" s="97">
        <v>4</v>
      </c>
      <c r="I16" s="93">
        <v>2</v>
      </c>
      <c r="J16" s="91">
        <v>7</v>
      </c>
      <c r="K16" s="91">
        <v>2</v>
      </c>
      <c r="L16" s="91"/>
      <c r="M16" s="91">
        <v>1</v>
      </c>
      <c r="N16" s="91" t="s">
        <v>96</v>
      </c>
      <c r="O16" s="139" t="s">
        <v>97</v>
      </c>
      <c r="P16" s="139"/>
      <c r="Q16" s="92">
        <v>7500</v>
      </c>
      <c r="V16" s="24"/>
      <c r="W16" s="90"/>
    </row>
    <row r="17" spans="1:23" ht="18" customHeight="1" x14ac:dyDescent="0.2">
      <c r="A17" s="91">
        <v>44</v>
      </c>
      <c r="B17" s="91"/>
      <c r="C17" s="91"/>
      <c r="D17" s="91">
        <v>1</v>
      </c>
      <c r="E17" s="91"/>
      <c r="F17" s="98">
        <v>4901</v>
      </c>
      <c r="G17" s="99">
        <v>1</v>
      </c>
      <c r="H17" s="99">
        <v>4</v>
      </c>
      <c r="I17" s="93">
        <v>2</v>
      </c>
      <c r="J17" s="91">
        <v>7</v>
      </c>
      <c r="K17" s="91">
        <v>9</v>
      </c>
      <c r="L17" s="91"/>
      <c r="M17" s="91">
        <v>1</v>
      </c>
      <c r="N17" s="91" t="s">
        <v>96</v>
      </c>
      <c r="O17" s="139" t="s">
        <v>98</v>
      </c>
      <c r="P17" s="139"/>
      <c r="Q17" s="92">
        <v>71550</v>
      </c>
      <c r="V17" s="24"/>
      <c r="W17" s="24"/>
    </row>
    <row r="18" spans="1:23" ht="21.75" customHeight="1" x14ac:dyDescent="0.2">
      <c r="A18" s="91">
        <v>44</v>
      </c>
      <c r="B18" s="91"/>
      <c r="C18" s="91"/>
      <c r="D18" s="91">
        <v>1</v>
      </c>
      <c r="E18" s="91"/>
      <c r="F18" s="99">
        <v>4901</v>
      </c>
      <c r="G18" s="99">
        <v>1</v>
      </c>
      <c r="H18" s="99">
        <v>4</v>
      </c>
      <c r="I18" s="93">
        <v>2</v>
      </c>
      <c r="J18" s="91">
        <v>9</v>
      </c>
      <c r="K18" s="91">
        <v>5</v>
      </c>
      <c r="L18" s="91"/>
      <c r="M18" s="91">
        <v>1</v>
      </c>
      <c r="N18" s="91" t="s">
        <v>96</v>
      </c>
      <c r="O18" s="146" t="s">
        <v>179</v>
      </c>
      <c r="P18" s="147"/>
      <c r="Q18" s="92">
        <v>3200</v>
      </c>
      <c r="V18" s="24"/>
      <c r="W18" s="24"/>
    </row>
    <row r="19" spans="1:23" ht="18" customHeight="1" x14ac:dyDescent="0.2">
      <c r="A19" s="91">
        <v>44</v>
      </c>
      <c r="B19" s="91"/>
      <c r="C19" s="91"/>
      <c r="D19" s="91">
        <v>1</v>
      </c>
      <c r="E19" s="91"/>
      <c r="F19" s="99">
        <v>4901</v>
      </c>
      <c r="G19" s="99">
        <v>1</v>
      </c>
      <c r="H19" s="91">
        <v>4</v>
      </c>
      <c r="I19" s="93">
        <v>2</v>
      </c>
      <c r="J19" s="91">
        <v>9</v>
      </c>
      <c r="K19" s="91">
        <v>6</v>
      </c>
      <c r="L19" s="91"/>
      <c r="M19" s="91">
        <v>1</v>
      </c>
      <c r="N19" s="91" t="s">
        <v>96</v>
      </c>
      <c r="O19" s="146" t="s">
        <v>180</v>
      </c>
      <c r="P19" s="147"/>
      <c r="Q19" s="92">
        <v>161820</v>
      </c>
      <c r="V19" s="24"/>
      <c r="W19" s="24"/>
    </row>
    <row r="20" spans="1:23" ht="18" customHeight="1" x14ac:dyDescent="0.2">
      <c r="A20" s="91">
        <v>44</v>
      </c>
      <c r="B20" s="91"/>
      <c r="C20" s="91"/>
      <c r="D20" s="91">
        <v>1</v>
      </c>
      <c r="E20" s="91"/>
      <c r="F20" s="99">
        <v>4901</v>
      </c>
      <c r="G20" s="99">
        <v>1</v>
      </c>
      <c r="H20" s="91">
        <v>4</v>
      </c>
      <c r="I20" s="93">
        <v>2</v>
      </c>
      <c r="J20" s="91">
        <v>9</v>
      </c>
      <c r="K20" s="91">
        <v>9</v>
      </c>
      <c r="L20" s="91"/>
      <c r="M20" s="91">
        <v>1</v>
      </c>
      <c r="N20" s="91" t="s">
        <v>96</v>
      </c>
      <c r="O20" s="138" t="s">
        <v>98</v>
      </c>
      <c r="P20" s="138"/>
      <c r="Q20" s="94">
        <v>395000</v>
      </c>
      <c r="V20" s="24"/>
      <c r="W20" s="90">
        <f>SUM(W12:W17)</f>
        <v>0</v>
      </c>
    </row>
    <row r="21" spans="1:23" ht="30" customHeight="1" thickBot="1" x14ac:dyDescent="0.25">
      <c r="A21" s="153" t="s">
        <v>181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23">
        <f>SUM(Q15:Q20)</f>
        <v>999070</v>
      </c>
      <c r="R21" s="1"/>
      <c r="V21" s="24"/>
      <c r="W21" s="24"/>
    </row>
    <row r="22" spans="1:23" ht="17.25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V22" s="24"/>
      <c r="W22" s="24"/>
    </row>
    <row r="23" spans="1:23" ht="20.25" customHeight="1" thickBot="1" x14ac:dyDescent="0.25">
      <c r="A23" s="148" t="s">
        <v>54</v>
      </c>
      <c r="B23" s="149"/>
      <c r="C23" s="149"/>
      <c r="D23" s="149"/>
      <c r="E23" s="149"/>
      <c r="F23" s="150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</row>
    <row r="24" spans="1:23" ht="18" customHeight="1" thickBot="1" x14ac:dyDescent="0.25">
      <c r="A24" s="152" t="s">
        <v>182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23" ht="17.25" customHeight="1" thickBot="1" x14ac:dyDescent="0.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  <row r="26" spans="1:23" ht="18" customHeight="1" x14ac:dyDescent="0.2"/>
    <row r="27" spans="1:23" ht="15" customHeight="1" x14ac:dyDescent="0.2"/>
  </sheetData>
  <mergeCells count="29">
    <mergeCell ref="O18:P18"/>
    <mergeCell ref="O19:P19"/>
    <mergeCell ref="A23:F23"/>
    <mergeCell ref="G23:Q23"/>
    <mergeCell ref="A24:Q25"/>
    <mergeCell ref="O20:P20"/>
    <mergeCell ref="A21:P21"/>
    <mergeCell ref="A22:Q22"/>
    <mergeCell ref="O15:P15"/>
    <mergeCell ref="O16:P16"/>
    <mergeCell ref="O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2021-01-15T14:01:03Z</cp:lastPrinted>
  <dcterms:created xsi:type="dcterms:W3CDTF">2020-07-17T23:44:49Z</dcterms:created>
  <dcterms:modified xsi:type="dcterms:W3CDTF">2021-08-17T12:41:18Z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