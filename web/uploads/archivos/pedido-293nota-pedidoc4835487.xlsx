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53EB9A14-F943-481B-8BA7-B91A2AFA10F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 NO PERECEDEROS" sheetId="2" r:id="rId1"/>
    <sheet name="Nota de Pedido NO PERECEDEROS" sheetId="4" r:id="rId2"/>
    <sheet name="APG NO PERECEDEROS" sheetId="5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K13" i="4" l="1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12" i="4"/>
  <c r="A24" i="4"/>
  <c r="A25" i="4"/>
  <c r="A26" i="4"/>
  <c r="A27" i="4"/>
  <c r="A28" i="4"/>
  <c r="A29" i="4"/>
  <c r="A30" i="4"/>
  <c r="A31" i="4"/>
  <c r="A32" i="4"/>
  <c r="A33" i="4"/>
  <c r="A34" i="4"/>
  <c r="A35" i="4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10" i="2"/>
  <c r="J34" i="2" s="1"/>
  <c r="Q26" i="5" l="1"/>
  <c r="D1" i="5"/>
  <c r="A26" i="5"/>
  <c r="A23" i="4"/>
  <c r="A22" i="4"/>
  <c r="A21" i="4"/>
  <c r="A20" i="4"/>
  <c r="A19" i="4"/>
  <c r="A18" i="4"/>
  <c r="A17" i="4"/>
  <c r="A16" i="4"/>
  <c r="A15" i="4"/>
  <c r="A14" i="4"/>
  <c r="A13" i="4"/>
  <c r="A12" i="4"/>
  <c r="D7" i="4"/>
  <c r="J36" i="4" l="1"/>
</calcChain>
</file>

<file path=xl/sharedStrings.xml><?xml version="1.0" encoding="utf-8"?>
<sst xmlns="http://schemas.openxmlformats.org/spreadsheetml/2006/main" count="227" uniqueCount="127">
  <si>
    <t>Alimentos</t>
  </si>
  <si>
    <t>I.P.P</t>
  </si>
  <si>
    <t>2..1.1.</t>
  </si>
  <si>
    <t>2.1.1</t>
  </si>
  <si>
    <t>CODIGO</t>
  </si>
  <si>
    <t>2.1.1-455.4</t>
  </si>
  <si>
    <t>2.1.1-481.38</t>
  </si>
  <si>
    <t>2.1.1-6547.17</t>
  </si>
  <si>
    <t>2.1.1-5917.8</t>
  </si>
  <si>
    <t>2.1.1-482.81</t>
  </si>
  <si>
    <t>2.1.1-435.60</t>
  </si>
  <si>
    <t>2.1.1-708.42</t>
  </si>
  <si>
    <t>2.1.1-439.68</t>
  </si>
  <si>
    <t>2.1.1-2615.15</t>
  </si>
  <si>
    <t>2.1.1-708.45</t>
  </si>
  <si>
    <t>AZUCARES; TIPO: "A" COMUN, ESTADO: MOLIDA, PESO: 1 Kg, MATERIAL ENVASE: PLASTICO, CERTIFICADO FORESTAL (GFS): SIN, ELEM. TRANSPORTE: SIN, MATERIAL ELEM. TRANSPORTE: SIN</t>
  </si>
  <si>
    <t>YERBAS; PALO: CON, PESO: 1 Kg, MATERIAL ENVASE : PAPEL, CERTIFICADO FORESTAL (GFS): CON, ELEM. TRANSPORTE: SIN, MATERIAL ELEM. TRANSPORTE: SIN, LIBRE DE GLUTEN: SI</t>
  </si>
  <si>
    <t>2.1.1-454.25</t>
  </si>
  <si>
    <t>HARINAS; TIPO: LEUDANTE,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</si>
  <si>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</si>
  <si>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EN ACEITE, PESO: 300 GR, ENVASE: LATA, ELEM. TRANSPORTE: SIN, MATERIAL ELEM. TRANSPORTE: SIN</t>
  </si>
  <si>
    <t>ACEITES COMESTIBLES; TIPO: GIRASOL, PRESENTACION: ENVASE X 1 L, MATERIAL ENVASE: PVC, ELEM. TRANSPORTE: SIN, MATERIAL ELEM. TRANSPORTE : SIN, LIBRE DE GLUTEN: NO</t>
  </si>
  <si>
    <t>MATE COCIDO; ENVASE: CAJA CARTON, PESO X SAQ.: 3, PRESENTACION: ENSOBRADO, SAQUITOS P/CAJA: 50</t>
  </si>
  <si>
    <t>LEGUMBRES; VARIEDAD: ARVEJA, ESTADO: REMOJADO EN CONSERVA, PRESENTACION: LATA, PESO: 350 GR</t>
  </si>
  <si>
    <t>CACAO; TIPO: INSTANTANEO, PRESENTACION: ENVASE X 800 GR, FORMA DE PRESENTACION: POLVO, MATERIAL ENVASE: CARTON, CERTICADO FORESTAL (GFS): CON, LIBRE DE GLUTEN: SI</t>
  </si>
  <si>
    <t>CONSERVAS PESCADO Y FRUTOS MAR; TIPO: CABALLA, ESTADO: AL NATURAL, PESO: 300 GR, ENVASE: LATA, ELEM. TRANSPORTE: SIN, MATERIAL ELEM. TRANSPORTE: SIN</t>
  </si>
  <si>
    <t>CEREALES; TIPO: TRIGO BURGOL, PRESENTACION: ENVASE X 1 Kg</t>
  </si>
  <si>
    <t>CONSERVAS DE CARNE; ENVASE: LATA, TIPO: PICADILLO, PESO: 100 GR, VARIEDAD: SIN VALOR</t>
  </si>
  <si>
    <t>2.1.1-731.14</t>
  </si>
  <si>
    <t>FRUTAS; VARIEDAD: DURAZNO, ESTADO: CONSERVA, PRESENTACION: ENVASE X 820 GR, PESO: 820 GR</t>
  </si>
  <si>
    <t>2.1.1-6539.47</t>
  </si>
  <si>
    <t>MAIZ; TIPO: CHOCLO DESGRANADO, PRESENTACION: ENVASE X 500 GR, FORMA DE PRESENTACION: LATA</t>
  </si>
  <si>
    <t>2.1.1-2616.11</t>
  </si>
  <si>
    <t>LEVADURAS; TIPO: DE CERVEZA, PRESENTACION: PAQUETE, PESO: 500 GR, LIBRE DE GLUTEN: SI</t>
  </si>
  <si>
    <t>2.1.1-2116.13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</si>
  <si>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</si>
  <si>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</si>
  <si>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</si>
  <si>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</si>
  <si>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</si>
  <si>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2.1.1-2868.71</t>
  </si>
  <si>
    <t>TE; PRESENTACION: EN SAQUITOS ENSOBRADOS, PESO: SIN VALOR, TIPO: SIN VALOR, SAQUITOS 2G P/CAJA: 50</t>
  </si>
  <si>
    <t>2.1.1-511.5</t>
  </si>
  <si>
    <t>SEMOLAS; TIPO: NATURAL, PRESENTACION: BOLSA, PESO: 1 Kg, MATERIAL ENVASE: PLASTICO 1 (PET), CERTICADO FORESTAL (GFS): SIN, LIBRE DE GLUTEN: NO</t>
  </si>
  <si>
    <t>2.1.1-2126.14</t>
  </si>
  <si>
    <t>PURE; TIPO: TOMATE PERITA, ENVASE: CAJA DE CARTON, PESO: 520 GR, LIBRE DE GLUTEN: NO</t>
  </si>
  <si>
    <t>2.1.1-509.14</t>
  </si>
  <si>
    <t>DESCRIPCION</t>
  </si>
  <si>
    <t>PEDIDOS DE NECESIDADES TRIMESTRALES</t>
  </si>
  <si>
    <t>UNIDAD</t>
  </si>
  <si>
    <t>RUBRO</t>
  </si>
  <si>
    <t>CANTIDAD</t>
  </si>
  <si>
    <t>ID</t>
  </si>
  <si>
    <t>Especificidades Item N° 1: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</si>
  <si>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</si>
  <si>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</si>
  <si>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</si>
  <si>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</si>
  <si>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</si>
  <si>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</si>
  <si>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 xml:space="preserve">JURISDICCION:  </t>
  </si>
  <si>
    <t xml:space="preserve"> 20- MINISTERIO DE GOBIERNO, JUSTICIA Y DERECHOS HUMANOS</t>
  </si>
  <si>
    <t xml:space="preserve">SAF N° </t>
  </si>
  <si>
    <t>EJERCICIO:</t>
  </si>
  <si>
    <t>TRIMESTRE</t>
  </si>
  <si>
    <t>UNIDAD DE MEDIDA</t>
  </si>
  <si>
    <t>PRECIO UNITARIO ESTIMADO</t>
  </si>
  <si>
    <t>IMPORTE TOTAL ESTIMADO</t>
  </si>
  <si>
    <t>06- SECRETARIA DE GESTION ADMINISTRATIVA DEL MINISTERIO DE GOBIERNO , JUSTICIA Y DERECHOS HUMANOS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</si>
  <si>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</si>
  <si>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</si>
  <si>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</si>
  <si>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</si>
  <si>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</si>
  <si>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</si>
  <si>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</si>
  <si>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</si>
  <si>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</si>
  <si>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</si>
  <si>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</si>
  <si>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</si>
  <si>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</si>
  <si>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</si>
  <si>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</si>
  <si>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</si>
  <si>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</si>
  <si>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</si>
  <si>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</si>
  <si>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</si>
  <si>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</si>
  <si>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</si>
  <si>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</si>
  <si>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</si>
  <si>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</si>
  <si>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</si>
  <si>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</si>
  <si>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</si>
  <si>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</si>
  <si>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</si>
  <si>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</si>
  <si>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</si>
  <si>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</si>
  <si>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</si>
  <si>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</si>
  <si>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</si>
  <si>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</si>
  <si>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</si>
  <si>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</si>
  <si>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</si>
  <si>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</si>
  <si>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</si>
  <si>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</si>
  <si>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DULCE DE LECHE,CAPACIDAD: 500 GR TIPO:SIN VALOR,ENVASE PLASTICO,PRESENTACION ENVASE PLASTICO X 500 GR</t>
  </si>
  <si>
    <t>COSTO TOTAL ESTIMADO: SON PESOS SEISCIENTOS TREINTA Y SEIS MIL TRESCIENTOS CON 00/100</t>
  </si>
  <si>
    <t>2.1.1-482.77</t>
  </si>
  <si>
    <t>HARINAS; TIPO: DE TRIGO 0000, PRESENTACION: ENVASE X 1 Kg, MATERIAL ENVASE: PAPEL, CERTICADO FORESTAL (GFS):SIN ,ELEM.TRANSPORTE: SIN, MATERIAL ELEM.TRANSPORTE:SIN,LIBRE DE GLUTEN:NO</t>
  </si>
  <si>
    <t>2.1.1-510.5</t>
  </si>
  <si>
    <t>GELATINAS; ENVASE: CAJA DE CARTON, SABOR: FRUTILLA, PESO: 30 GR, TIPO: BAJAS CALORIAS</t>
  </si>
  <si>
    <t>COSTO TOTAL ESTIMADO: SEISCIENTOS TREINTA Y SEIS MIL TRESCIENTOS CON 00/100.</t>
  </si>
  <si>
    <t>035/2021</t>
  </si>
  <si>
    <t>20- MINISTERIO DE GOBIERNO,JUSTICIA Y DERECHOS HUMANOS</t>
  </si>
  <si>
    <t>06- SECRETARIA DE GESTION ADMINISTRATIVA DEL MINISTERIO DE GOBIERNO,JUSTICIA Y DERECHOS HUMANOS</t>
  </si>
  <si>
    <t>Adquisición de ALIMENTOS NO PERECEDEROS  para el Hogar Warmi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</si>
  <si>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35/2021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</si>
  <si>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ALIMENTOS PARA PERSONAS</t>
  </si>
  <si>
    <t>Adquiscion de ALIMENTOS NO PERECEDEROS para el Hogar Warmi</t>
  </si>
  <si>
    <t>2.1.1-706.4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</si>
</sst>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3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4" fillId="33" borderId="30" xfId="0" applyFont="1" applyFill="1" applyBorder="1" applyAlignment="1">
      <alignment horizontal="right" vertical="center"/>
    </xf>
    <xf numFmtId="17" fontId="25" fillId="33" borderId="31" xfId="0" applyNumberFormat="1" applyFont="1" applyFill="1" applyBorder="1" applyAlignment="1">
      <alignment horizontal="center" vertical="center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2" xfId="0" applyFont="1" applyFill="1" applyBorder="1" applyAlignment="1">
      <alignment vertical="center"/>
    </xf>
    <xf numFmtId="0" fontId="24" fillId="33" borderId="32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left"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0" xfId="0" applyFont="1" applyFill="1" applyBorder="1" applyAlignment="1">
      <alignment horizontal="left" vertical="center" wrapText="1" indent="1"/>
    </xf>
    <xf numFmtId="0" fontId="28" fillId="33" borderId="3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2" xfId="0" applyFont="1" applyBorder="1" applyAlignment="1">
      <alignment horizontal="left" vertical="center"/>
    </xf>
    <xf numFmtId="0" fontId="28" fillId="0" borderId="53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168" fontId="26" fillId="0" borderId="62" xfId="43" applyNumberFormat="1" applyFont="1" applyFill="1" applyBorder="1" applyAlignment="1" applyProtection="1">
      <alignment horizontal="center" vertical="center"/>
    </xf>
    <xf numFmtId="0" fontId="26" fillId="0" borderId="6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4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0" fillId="0" borderId="25" xfId="0" applyBorder="1"/>
    <xf numFmtId="0" fontId="0" fillId="0" borderId="0" xfId="0" applyFill="1" applyBorder="1"/>
    <xf numFmtId="0" fontId="0" fillId="0" borderId="0" xfId="0" applyBorder="1"/>
    <xf numFmtId="0" fontId="0" fillId="0" borderId="26" xfId="0" applyFill="1" applyBorder="1"/>
    <xf numFmtId="0" fontId="0" fillId="0" borderId="27" xfId="0" applyBorder="1"/>
    <xf numFmtId="0" fontId="0" fillId="0" borderId="28" xfId="0" applyBorder="1"/>
    <xf numFmtId="0" fontId="1" fillId="0" borderId="28" xfId="0" applyFont="1" applyBorder="1" applyAlignment="1">
      <alignment vertical="center"/>
    </xf>
    <xf numFmtId="0" fontId="1" fillId="0" borderId="28" xfId="0" applyFont="1" applyBorder="1"/>
    <xf numFmtId="0" fontId="0" fillId="0" borderId="28" xfId="0" applyFill="1" applyBorder="1"/>
    <xf numFmtId="0" fontId="0" fillId="0" borderId="29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0" borderId="19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/>
    <xf numFmtId="0" fontId="0" fillId="0" borderId="24" xfId="0" applyFill="1" applyBorder="1"/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9" xfId="0" applyFill="1" applyBorder="1"/>
    <xf numFmtId="12" fontId="33" fillId="0" borderId="1" xfId="0" applyNumberFormat="1" applyFont="1" applyFill="1" applyBorder="1" applyAlignment="1">
      <alignment vertical="center"/>
    </xf>
    <xf numFmtId="0" fontId="33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wrapText="1"/>
    </xf>
    <xf numFmtId="0" fontId="0" fillId="0" borderId="3" xfId="0" applyFont="1" applyFill="1" applyBorder="1" applyAlignment="1">
      <alignment vertical="center"/>
    </xf>
    <xf numFmtId="0" fontId="33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 wrapText="1"/>
    </xf>
    <xf numFmtId="0" fontId="33" fillId="0" borderId="3" xfId="0" applyFont="1" applyFill="1" applyBorder="1" applyAlignment="1">
      <alignment horizontal="center" vertical="center" wrapText="1"/>
    </xf>
    <xf numFmtId="43" fontId="0" fillId="0" borderId="3" xfId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43" fontId="0" fillId="0" borderId="1" xfId="1" applyFont="1" applyFill="1" applyBorder="1" applyAlignment="1">
      <alignment vertical="center"/>
    </xf>
    <xf numFmtId="0" fontId="0" fillId="0" borderId="1" xfId="0" applyFont="1" applyFill="1" applyBorder="1"/>
    <xf numFmtId="0" fontId="1" fillId="0" borderId="63" xfId="0" applyFont="1" applyBorder="1" applyAlignment="1">
      <alignment vertical="center"/>
    </xf>
    <xf numFmtId="0" fontId="0" fillId="0" borderId="6" xfId="0" applyFill="1" applyBorder="1" applyAlignment="1">
      <alignment horizontal="left"/>
    </xf>
    <xf numFmtId="0" fontId="3" fillId="0" borderId="66" xfId="0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vertical="center"/>
    </xf>
    <xf numFmtId="0" fontId="0" fillId="0" borderId="66" xfId="0" applyFont="1" applyFill="1" applyBorder="1" applyAlignment="1">
      <alignment horizontal="center" vertical="center"/>
    </xf>
    <xf numFmtId="0" fontId="0" fillId="0" borderId="63" xfId="0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33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 wrapText="1"/>
    </xf>
    <xf numFmtId="0" fontId="33" fillId="0" borderId="7" xfId="0" applyFont="1" applyFill="1" applyBorder="1" applyAlignment="1">
      <alignment horizontal="center" vertical="center" wrapText="1"/>
    </xf>
    <xf numFmtId="43" fontId="0" fillId="0" borderId="7" xfId="1" applyFont="1" applyFill="1" applyBorder="1" applyAlignment="1">
      <alignment vertical="center"/>
    </xf>
    <xf numFmtId="43" fontId="0" fillId="0" borderId="67" xfId="1" applyFont="1" applyFill="1" applyBorder="1" applyAlignment="1">
      <alignment vertical="center"/>
    </xf>
    <xf numFmtId="43" fontId="3" fillId="0" borderId="22" xfId="0" applyNumberFormat="1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26" xfId="0" applyFont="1" applyFill="1" applyBorder="1" applyAlignment="1">
      <alignment horizontal="left" vertical="center" wrapText="1"/>
    </xf>
    <xf numFmtId="0" fontId="19" fillId="0" borderId="20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3" fillId="33" borderId="0" xfId="0" applyFont="1" applyFill="1" applyBorder="1" applyAlignment="1">
      <alignment horizontal="center" vertical="center"/>
    </xf>
    <xf numFmtId="0" fontId="27" fillId="33" borderId="33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34" xfId="0" applyFont="1" applyFill="1" applyBorder="1" applyAlignment="1">
      <alignment horizontal="left" vertical="center" wrapText="1"/>
    </xf>
    <xf numFmtId="0" fontId="27" fillId="33" borderId="35" xfId="0" applyFont="1" applyFill="1" applyBorder="1" applyAlignment="1">
      <alignment horizontal="left" vertical="center"/>
    </xf>
    <xf numFmtId="0" fontId="25" fillId="33" borderId="36" xfId="0" applyFont="1" applyFill="1" applyBorder="1" applyAlignment="1">
      <alignment horizontal="left" vertical="center" wrapText="1" indent="1"/>
    </xf>
    <xf numFmtId="0" fontId="28" fillId="33" borderId="35" xfId="0" applyFont="1" applyFill="1" applyBorder="1" applyAlignment="1">
      <alignment horizontal="center" vertical="center"/>
    </xf>
    <xf numFmtId="0" fontId="28" fillId="33" borderId="37" xfId="0" applyFont="1" applyFill="1" applyBorder="1" applyAlignment="1">
      <alignment horizontal="center" vertical="center" wrapText="1"/>
    </xf>
    <xf numFmtId="0" fontId="28" fillId="33" borderId="36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4" xfId="0" applyFont="1" applyBorder="1"/>
    <xf numFmtId="0" fontId="30" fillId="0" borderId="43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4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6" fillId="0" borderId="33" xfId="0" applyFont="1" applyBorder="1"/>
    <xf numFmtId="0" fontId="26" fillId="0" borderId="41" xfId="0" applyFont="1" applyBorder="1"/>
    <xf numFmtId="0" fontId="26" fillId="0" borderId="42" xfId="0" applyFont="1" applyBorder="1"/>
    <xf numFmtId="0" fontId="30" fillId="0" borderId="33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30" fillId="0" borderId="42" xfId="0" applyFont="1" applyBorder="1" applyAlignment="1">
      <alignment horizontal="left" indent="1"/>
    </xf>
    <xf numFmtId="0" fontId="26" fillId="0" borderId="33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 wrapText="1"/>
    </xf>
    <xf numFmtId="0" fontId="30" fillId="0" borderId="33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30" fillId="0" borderId="42" xfId="0" applyFont="1" applyBorder="1" applyAlignment="1">
      <alignment horizontal="left" wrapText="1" indent="1"/>
    </xf>
    <xf numFmtId="0" fontId="24" fillId="0" borderId="33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24" fillId="0" borderId="42" xfId="0" applyFont="1" applyBorder="1" applyAlignment="1">
      <alignment horizontal="left"/>
    </xf>
    <xf numFmtId="0" fontId="30" fillId="0" borderId="44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0" fillId="0" borderId="32" xfId="0" applyFont="1" applyFill="1" applyBorder="1" applyAlignment="1">
      <alignment horizontal="left" vertical="center" wrapText="1" indent="1"/>
    </xf>
    <xf numFmtId="0" fontId="30" fillId="0" borderId="40" xfId="0" applyFont="1" applyFill="1" applyBorder="1" applyAlignment="1">
      <alignment horizontal="left" vertical="center" wrapText="1" indent="1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4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6" fillId="0" borderId="60" xfId="0" applyFont="1" applyFill="1" applyBorder="1" applyAlignment="1">
      <alignment horizontal="left" vertical="center" wrapText="1"/>
    </xf>
    <xf numFmtId="0" fontId="26" fillId="0" borderId="61" xfId="0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4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5" xfId="0" applyFont="1" applyBorder="1" applyAlignment="1">
      <alignment vertical="center" wrapText="1"/>
    </xf>
    <xf numFmtId="0" fontId="30" fillId="0" borderId="43" xfId="0" applyFont="1" applyBorder="1" applyAlignment="1">
      <alignment vertical="center" wrapText="1"/>
    </xf>
    <xf numFmtId="0" fontId="30" fillId="0" borderId="38" xfId="0" applyFont="1" applyBorder="1" applyAlignment="1">
      <alignment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K57"/>
  <sheetViews>
    <sheetView tabSelected="1" workbookViewId="0">
      <selection activeCell="C23" sqref="C23"/>
    </sheetView>
  </sheetViews>
  <sheetFormatPr baseColWidth="10" defaultRowHeight="15" x14ac:dyDescent="0.25"/>
  <cols>
    <col min="1" max="1" width="4" style="5" customWidth="1"/>
    <col min="2" max="2" width="4.7109375" style="5" customWidth="1"/>
    <col min="3" max="3" width="13.85546875" customWidth="1"/>
    <col min="4" max="5" width="12.42578125" style="5" customWidth="1"/>
    <col min="6" max="6" width="58.7109375" customWidth="1"/>
    <col min="7" max="7" width="13.140625" style="6" customWidth="1"/>
    <col min="8" max="8" width="11.42578125" style="6"/>
    <col min="9" max="10" width="11.42578125" customWidth="1"/>
  </cols>
  <sheetData>
    <row r="1" spans="2:11" s="5" customFormat="1" ht="15.75" thickBot="1" x14ac:dyDescent="0.3">
      <c r="G1" s="6"/>
      <c r="H1" s="6"/>
    </row>
    <row r="2" spans="2:11" s="5" customFormat="1" ht="29.25" customHeight="1" thickBot="1" x14ac:dyDescent="0.3">
      <c r="B2" s="120" t="s">
        <v>48</v>
      </c>
      <c r="C2" s="121"/>
      <c r="D2" s="121"/>
      <c r="E2" s="121"/>
      <c r="F2" s="121"/>
      <c r="G2" s="121"/>
      <c r="H2" s="121"/>
      <c r="I2" s="121"/>
      <c r="J2" s="122"/>
    </row>
    <row r="3" spans="2:11" s="5" customFormat="1" x14ac:dyDescent="0.25">
      <c r="B3" s="63"/>
      <c r="C3" s="64"/>
      <c r="D3" s="64"/>
      <c r="E3" s="64"/>
      <c r="F3" s="65"/>
      <c r="G3" s="65"/>
      <c r="H3" s="64"/>
      <c r="I3" s="65"/>
      <c r="J3" s="66"/>
    </row>
    <row r="4" spans="2:11" s="5" customFormat="1" ht="25.5" customHeight="1" x14ac:dyDescent="0.3">
      <c r="B4" s="99" t="s">
        <v>60</v>
      </c>
      <c r="C4" s="73"/>
      <c r="D4" s="125" t="s">
        <v>61</v>
      </c>
      <c r="E4" s="125"/>
      <c r="F4" s="125"/>
      <c r="G4" s="125"/>
      <c r="H4" s="125"/>
      <c r="I4" s="125"/>
      <c r="J4" s="126"/>
    </row>
    <row r="5" spans="2:11" s="5" customFormat="1" ht="21.75" customHeight="1" x14ac:dyDescent="0.3">
      <c r="B5" s="99" t="s">
        <v>62</v>
      </c>
      <c r="C5" s="73"/>
      <c r="D5" s="74" t="s">
        <v>68</v>
      </c>
      <c r="E5" s="74"/>
      <c r="F5" s="74"/>
      <c r="G5" s="8"/>
      <c r="H5" s="75"/>
      <c r="I5" s="8"/>
      <c r="J5" s="100"/>
    </row>
    <row r="6" spans="2:11" s="5" customFormat="1" ht="23.25" customHeight="1" x14ac:dyDescent="0.3">
      <c r="B6" s="99" t="s">
        <v>63</v>
      </c>
      <c r="C6" s="73"/>
      <c r="D6" s="125">
        <v>2021</v>
      </c>
      <c r="E6" s="125"/>
      <c r="F6" s="125"/>
      <c r="G6" s="125"/>
      <c r="H6" s="125"/>
      <c r="I6" s="125"/>
      <c r="J6" s="126"/>
    </row>
    <row r="7" spans="2:11" s="5" customFormat="1" ht="28.5" customHeight="1" x14ac:dyDescent="0.3">
      <c r="B7" s="123" t="s">
        <v>64</v>
      </c>
      <c r="C7" s="124"/>
      <c r="D7" s="125">
        <v>2</v>
      </c>
      <c r="E7" s="125"/>
      <c r="F7" s="125"/>
      <c r="G7" s="125"/>
      <c r="H7" s="125"/>
      <c r="I7" s="125"/>
      <c r="J7" s="126"/>
    </row>
    <row r="8" spans="2:11" s="5" customFormat="1" ht="18" customHeight="1" thickBot="1" x14ac:dyDescent="0.35">
      <c r="B8" s="67"/>
      <c r="C8" s="68"/>
      <c r="D8" s="68"/>
      <c r="E8" s="68"/>
      <c r="F8" s="69"/>
      <c r="G8" s="70"/>
      <c r="H8" s="71"/>
      <c r="I8" s="68"/>
      <c r="J8" s="72"/>
    </row>
    <row r="9" spans="2:11" s="3" customFormat="1" ht="51.75" customHeight="1" thickBot="1" x14ac:dyDescent="0.3">
      <c r="B9" s="60" t="s">
        <v>52</v>
      </c>
      <c r="C9" s="61" t="s">
        <v>4</v>
      </c>
      <c r="D9" s="62" t="s">
        <v>50</v>
      </c>
      <c r="E9" s="7" t="s">
        <v>1</v>
      </c>
      <c r="F9" s="7" t="s">
        <v>47</v>
      </c>
      <c r="G9" s="76" t="s">
        <v>65</v>
      </c>
      <c r="H9" s="77" t="s">
        <v>51</v>
      </c>
      <c r="I9" s="59" t="s">
        <v>66</v>
      </c>
      <c r="J9" s="59" t="s">
        <v>67</v>
      </c>
      <c r="K9" s="2"/>
    </row>
    <row r="10" spans="2:11" s="3" customFormat="1" ht="51.75" customHeight="1" x14ac:dyDescent="0.25">
      <c r="B10" s="101">
        <v>1</v>
      </c>
      <c r="C10" s="90" t="s">
        <v>5</v>
      </c>
      <c r="D10" s="91" t="s">
        <v>0</v>
      </c>
      <c r="E10" s="91" t="s">
        <v>3</v>
      </c>
      <c r="F10" s="92" t="s">
        <v>112</v>
      </c>
      <c r="G10" s="93" t="s">
        <v>49</v>
      </c>
      <c r="H10" s="91">
        <v>9</v>
      </c>
      <c r="I10" s="94">
        <v>900</v>
      </c>
      <c r="J10" s="102">
        <f t="shared" ref="J10:J33" si="0">+H10*I10</f>
        <v>8100</v>
      </c>
      <c r="K10" s="2"/>
    </row>
    <row r="11" spans="2:11" s="1" customFormat="1" ht="53.25" customHeight="1" x14ac:dyDescent="0.25">
      <c r="B11" s="103">
        <v>2</v>
      </c>
      <c r="C11" s="90" t="s">
        <v>6</v>
      </c>
      <c r="D11" s="91" t="s">
        <v>0</v>
      </c>
      <c r="E11" s="91" t="s">
        <v>3</v>
      </c>
      <c r="F11" s="92" t="s">
        <v>15</v>
      </c>
      <c r="G11" s="93" t="s">
        <v>49</v>
      </c>
      <c r="H11" s="91">
        <v>360</v>
      </c>
      <c r="I11" s="94">
        <v>75</v>
      </c>
      <c r="J11" s="102">
        <f t="shared" si="0"/>
        <v>27000</v>
      </c>
    </row>
    <row r="12" spans="2:11" s="1" customFormat="1" ht="59.25" customHeight="1" x14ac:dyDescent="0.25">
      <c r="B12" s="104">
        <v>3</v>
      </c>
      <c r="C12" s="95" t="s">
        <v>17</v>
      </c>
      <c r="D12" s="88" t="s">
        <v>0</v>
      </c>
      <c r="E12" s="88" t="s">
        <v>3</v>
      </c>
      <c r="F12" s="96" t="s">
        <v>16</v>
      </c>
      <c r="G12" s="87" t="s">
        <v>49</v>
      </c>
      <c r="H12" s="86">
        <v>120</v>
      </c>
      <c r="I12" s="97">
        <v>450</v>
      </c>
      <c r="J12" s="102">
        <f t="shared" si="0"/>
        <v>54000</v>
      </c>
    </row>
    <row r="13" spans="2:11" s="1" customFormat="1" ht="63.75" customHeight="1" x14ac:dyDescent="0.25">
      <c r="B13" s="105">
        <v>4</v>
      </c>
      <c r="C13" s="95" t="s">
        <v>9</v>
      </c>
      <c r="D13" s="88" t="s">
        <v>0</v>
      </c>
      <c r="E13" s="88" t="s">
        <v>3</v>
      </c>
      <c r="F13" s="89" t="s">
        <v>18</v>
      </c>
      <c r="G13" s="87" t="s">
        <v>49</v>
      </c>
      <c r="H13" s="86">
        <v>240</v>
      </c>
      <c r="I13" s="97">
        <v>70</v>
      </c>
      <c r="J13" s="102">
        <f t="shared" si="0"/>
        <v>16800</v>
      </c>
    </row>
    <row r="14" spans="2:11" s="1" customFormat="1" ht="63.75" customHeight="1" x14ac:dyDescent="0.25">
      <c r="B14" s="103">
        <v>5</v>
      </c>
      <c r="C14" s="95" t="s">
        <v>114</v>
      </c>
      <c r="D14" s="88" t="s">
        <v>0</v>
      </c>
      <c r="E14" s="88" t="s">
        <v>3</v>
      </c>
      <c r="F14" s="89" t="s">
        <v>115</v>
      </c>
      <c r="G14" s="87" t="s">
        <v>49</v>
      </c>
      <c r="H14" s="86">
        <v>240</v>
      </c>
      <c r="I14" s="97">
        <v>60</v>
      </c>
      <c r="J14" s="102">
        <f t="shared" si="0"/>
        <v>14400</v>
      </c>
    </row>
    <row r="15" spans="2:11" s="1" customFormat="1" ht="70.5" customHeight="1" x14ac:dyDescent="0.25">
      <c r="B15" s="104">
        <v>6</v>
      </c>
      <c r="C15" s="95" t="s">
        <v>35</v>
      </c>
      <c r="D15" s="88" t="s">
        <v>0</v>
      </c>
      <c r="E15" s="88" t="s">
        <v>3</v>
      </c>
      <c r="F15" s="89" t="s">
        <v>36</v>
      </c>
      <c r="G15" s="87" t="s">
        <v>49</v>
      </c>
      <c r="H15" s="86">
        <v>240</v>
      </c>
      <c r="I15" s="97">
        <v>70</v>
      </c>
      <c r="J15" s="102">
        <f t="shared" si="0"/>
        <v>16800</v>
      </c>
    </row>
    <row r="16" spans="2:11" s="1" customFormat="1" ht="66.75" customHeight="1" x14ac:dyDescent="0.25">
      <c r="B16" s="105">
        <v>7</v>
      </c>
      <c r="C16" s="95" t="s">
        <v>40</v>
      </c>
      <c r="D16" s="88" t="s">
        <v>0</v>
      </c>
      <c r="E16" s="88" t="s">
        <v>3</v>
      </c>
      <c r="F16" s="89" t="s">
        <v>39</v>
      </c>
      <c r="G16" s="87" t="s">
        <v>49</v>
      </c>
      <c r="H16" s="88">
        <v>240</v>
      </c>
      <c r="I16" s="97">
        <v>70</v>
      </c>
      <c r="J16" s="102">
        <f t="shared" si="0"/>
        <v>16800</v>
      </c>
    </row>
    <row r="17" spans="2:10" s="1" customFormat="1" ht="53.25" customHeight="1" x14ac:dyDescent="0.25">
      <c r="B17" s="103">
        <v>8</v>
      </c>
      <c r="C17" s="95" t="s">
        <v>44</v>
      </c>
      <c r="D17" s="88" t="s">
        <v>0</v>
      </c>
      <c r="E17" s="88" t="s">
        <v>3</v>
      </c>
      <c r="F17" s="89" t="s">
        <v>43</v>
      </c>
      <c r="G17" s="87" t="s">
        <v>49</v>
      </c>
      <c r="H17" s="88">
        <v>240</v>
      </c>
      <c r="I17" s="97">
        <v>190</v>
      </c>
      <c r="J17" s="102">
        <f t="shared" si="0"/>
        <v>45600</v>
      </c>
    </row>
    <row r="18" spans="2:10" s="1" customFormat="1" ht="72" customHeight="1" x14ac:dyDescent="0.25">
      <c r="B18" s="104">
        <v>9</v>
      </c>
      <c r="C18" s="95" t="s">
        <v>38</v>
      </c>
      <c r="D18" s="88" t="s">
        <v>0</v>
      </c>
      <c r="E18" s="88" t="s">
        <v>3</v>
      </c>
      <c r="F18" s="96" t="s">
        <v>37</v>
      </c>
      <c r="G18" s="87" t="s">
        <v>49</v>
      </c>
      <c r="H18" s="88">
        <v>240</v>
      </c>
      <c r="I18" s="97">
        <v>70</v>
      </c>
      <c r="J18" s="102">
        <f t="shared" si="0"/>
        <v>16800</v>
      </c>
    </row>
    <row r="19" spans="2:10" s="1" customFormat="1" ht="74.25" customHeight="1" x14ac:dyDescent="0.25">
      <c r="B19" s="105">
        <v>10</v>
      </c>
      <c r="C19" s="95" t="s">
        <v>10</v>
      </c>
      <c r="D19" s="88" t="s">
        <v>0</v>
      </c>
      <c r="E19" s="88" t="s">
        <v>3</v>
      </c>
      <c r="F19" s="96" t="s">
        <v>19</v>
      </c>
      <c r="G19" s="87" t="s">
        <v>49</v>
      </c>
      <c r="H19" s="88">
        <v>480</v>
      </c>
      <c r="I19" s="97">
        <v>120</v>
      </c>
      <c r="J19" s="102">
        <f t="shared" si="0"/>
        <v>57600</v>
      </c>
    </row>
    <row r="20" spans="2:10" s="1" customFormat="1" ht="33.75" customHeight="1" x14ac:dyDescent="0.25">
      <c r="B20" s="103">
        <v>11</v>
      </c>
      <c r="C20" s="95" t="s">
        <v>116</v>
      </c>
      <c r="D20" s="88" t="s">
        <v>0</v>
      </c>
      <c r="E20" s="88" t="s">
        <v>3</v>
      </c>
      <c r="F20" s="96" t="s">
        <v>117</v>
      </c>
      <c r="G20" s="87" t="s">
        <v>49</v>
      </c>
      <c r="H20" s="88">
        <v>144</v>
      </c>
      <c r="I20" s="97">
        <v>70</v>
      </c>
      <c r="J20" s="102">
        <f t="shared" si="0"/>
        <v>10080</v>
      </c>
    </row>
    <row r="21" spans="2:10" s="1" customFormat="1" ht="56.25" customHeight="1" x14ac:dyDescent="0.25">
      <c r="B21" s="104">
        <v>12</v>
      </c>
      <c r="C21" s="95" t="s">
        <v>11</v>
      </c>
      <c r="D21" s="88" t="s">
        <v>0</v>
      </c>
      <c r="E21" s="88" t="s">
        <v>3</v>
      </c>
      <c r="F21" s="96" t="s">
        <v>20</v>
      </c>
      <c r="G21" s="87" t="s">
        <v>49</v>
      </c>
      <c r="H21" s="88">
        <v>216</v>
      </c>
      <c r="I21" s="97">
        <v>130</v>
      </c>
      <c r="J21" s="102">
        <f t="shared" si="0"/>
        <v>28080</v>
      </c>
    </row>
    <row r="22" spans="2:10" s="1" customFormat="1" ht="50.25" customHeight="1" x14ac:dyDescent="0.25">
      <c r="B22" s="105">
        <v>13</v>
      </c>
      <c r="C22" s="95" t="s">
        <v>12</v>
      </c>
      <c r="D22" s="88" t="s">
        <v>0</v>
      </c>
      <c r="E22" s="88" t="s">
        <v>2</v>
      </c>
      <c r="F22" s="96" t="s">
        <v>21</v>
      </c>
      <c r="G22" s="87" t="s">
        <v>49</v>
      </c>
      <c r="H22" s="88">
        <v>144</v>
      </c>
      <c r="I22" s="97">
        <v>267.5</v>
      </c>
      <c r="J22" s="102">
        <f t="shared" si="0"/>
        <v>38520</v>
      </c>
    </row>
    <row r="23" spans="2:10" s="1" customFormat="1" ht="33.75" customHeight="1" x14ac:dyDescent="0.25">
      <c r="B23" s="103">
        <v>14</v>
      </c>
      <c r="C23" s="95" t="s">
        <v>126</v>
      </c>
      <c r="D23" s="88" t="s">
        <v>0</v>
      </c>
      <c r="E23" s="88" t="s">
        <v>3</v>
      </c>
      <c r="F23" s="96" t="s">
        <v>22</v>
      </c>
      <c r="G23" s="87" t="s">
        <v>49</v>
      </c>
      <c r="H23" s="88">
        <v>288</v>
      </c>
      <c r="I23" s="97">
        <v>160</v>
      </c>
      <c r="J23" s="102">
        <f t="shared" si="0"/>
        <v>46080</v>
      </c>
    </row>
    <row r="24" spans="2:10" s="1" customFormat="1" ht="33.75" customHeight="1" x14ac:dyDescent="0.25">
      <c r="B24" s="104">
        <v>15</v>
      </c>
      <c r="C24" s="95" t="s">
        <v>7</v>
      </c>
      <c r="D24" s="88" t="s">
        <v>0</v>
      </c>
      <c r="E24" s="88" t="s">
        <v>3</v>
      </c>
      <c r="F24" s="96" t="s">
        <v>23</v>
      </c>
      <c r="G24" s="87" t="s">
        <v>49</v>
      </c>
      <c r="H24" s="88">
        <v>288</v>
      </c>
      <c r="I24" s="97">
        <v>60</v>
      </c>
      <c r="J24" s="102">
        <f t="shared" si="0"/>
        <v>17280</v>
      </c>
    </row>
    <row r="25" spans="2:10" s="1" customFormat="1" ht="33.75" customHeight="1" x14ac:dyDescent="0.25">
      <c r="B25" s="105">
        <v>16</v>
      </c>
      <c r="C25" s="98" t="s">
        <v>42</v>
      </c>
      <c r="D25" s="88" t="s">
        <v>0</v>
      </c>
      <c r="E25" s="88" t="s">
        <v>3</v>
      </c>
      <c r="F25" s="96" t="s">
        <v>41</v>
      </c>
      <c r="G25" s="87" t="s">
        <v>49</v>
      </c>
      <c r="H25" s="88">
        <v>288</v>
      </c>
      <c r="I25" s="97">
        <v>150</v>
      </c>
      <c r="J25" s="102">
        <f t="shared" si="0"/>
        <v>43200</v>
      </c>
    </row>
    <row r="26" spans="2:10" s="1" customFormat="1" ht="33.75" customHeight="1" x14ac:dyDescent="0.25">
      <c r="B26" s="103">
        <v>17</v>
      </c>
      <c r="C26" s="95" t="s">
        <v>34</v>
      </c>
      <c r="D26" s="88" t="s">
        <v>0</v>
      </c>
      <c r="E26" s="88" t="s">
        <v>3</v>
      </c>
      <c r="F26" s="89" t="s">
        <v>33</v>
      </c>
      <c r="G26" s="87" t="s">
        <v>49</v>
      </c>
      <c r="H26" s="88">
        <v>12</v>
      </c>
      <c r="I26" s="97">
        <v>500</v>
      </c>
      <c r="J26" s="102">
        <f t="shared" si="0"/>
        <v>6000</v>
      </c>
    </row>
    <row r="27" spans="2:10" s="1" customFormat="1" ht="33.75" customHeight="1" x14ac:dyDescent="0.25">
      <c r="B27" s="104">
        <v>18</v>
      </c>
      <c r="C27" s="95" t="s">
        <v>46</v>
      </c>
      <c r="D27" s="88" t="s">
        <v>0</v>
      </c>
      <c r="E27" s="88" t="s">
        <v>3</v>
      </c>
      <c r="F27" s="89" t="s">
        <v>45</v>
      </c>
      <c r="G27" s="87" t="s">
        <v>49</v>
      </c>
      <c r="H27" s="88">
        <v>288</v>
      </c>
      <c r="I27" s="97">
        <v>75</v>
      </c>
      <c r="J27" s="102">
        <f t="shared" si="0"/>
        <v>21600</v>
      </c>
    </row>
    <row r="28" spans="2:10" s="1" customFormat="1" ht="60" customHeight="1" x14ac:dyDescent="0.25">
      <c r="B28" s="105">
        <v>19</v>
      </c>
      <c r="C28" s="95" t="s">
        <v>13</v>
      </c>
      <c r="D28" s="88" t="s">
        <v>0</v>
      </c>
      <c r="E28" s="88" t="s">
        <v>3</v>
      </c>
      <c r="F28" s="96" t="s">
        <v>24</v>
      </c>
      <c r="G28" s="87" t="s">
        <v>49</v>
      </c>
      <c r="H28" s="88">
        <v>3</v>
      </c>
      <c r="I28" s="97">
        <v>1800</v>
      </c>
      <c r="J28" s="102">
        <f t="shared" si="0"/>
        <v>5400</v>
      </c>
    </row>
    <row r="29" spans="2:10" s="1" customFormat="1" ht="33.75" customHeight="1" x14ac:dyDescent="0.25">
      <c r="B29" s="103">
        <v>20</v>
      </c>
      <c r="C29" s="95" t="s">
        <v>32</v>
      </c>
      <c r="D29" s="88" t="s">
        <v>0</v>
      </c>
      <c r="E29" s="88" t="s">
        <v>3</v>
      </c>
      <c r="F29" s="96" t="s">
        <v>31</v>
      </c>
      <c r="G29" s="87" t="s">
        <v>49</v>
      </c>
      <c r="H29" s="87">
        <v>216</v>
      </c>
      <c r="I29" s="97">
        <v>120</v>
      </c>
      <c r="J29" s="102">
        <f t="shared" si="0"/>
        <v>25920</v>
      </c>
    </row>
    <row r="30" spans="2:10" s="1" customFormat="1" ht="52.5" customHeight="1" x14ac:dyDescent="0.25">
      <c r="B30" s="104">
        <v>21</v>
      </c>
      <c r="C30" s="95" t="s">
        <v>14</v>
      </c>
      <c r="D30" s="88" t="s">
        <v>0</v>
      </c>
      <c r="E30" s="88" t="s">
        <v>3</v>
      </c>
      <c r="F30" s="96" t="s">
        <v>25</v>
      </c>
      <c r="G30" s="87" t="s">
        <v>49</v>
      </c>
      <c r="H30" s="87">
        <v>288</v>
      </c>
      <c r="I30" s="97">
        <v>280</v>
      </c>
      <c r="J30" s="102">
        <f t="shared" si="0"/>
        <v>80640</v>
      </c>
    </row>
    <row r="31" spans="2:10" s="1" customFormat="1" ht="33.75" customHeight="1" x14ac:dyDescent="0.25">
      <c r="B31" s="105">
        <v>22</v>
      </c>
      <c r="C31" s="95" t="s">
        <v>30</v>
      </c>
      <c r="D31" s="88" t="s">
        <v>0</v>
      </c>
      <c r="E31" s="88" t="s">
        <v>3</v>
      </c>
      <c r="F31" s="96" t="s">
        <v>29</v>
      </c>
      <c r="G31" s="87" t="s">
        <v>49</v>
      </c>
      <c r="H31" s="87">
        <v>72</v>
      </c>
      <c r="I31" s="97">
        <v>200</v>
      </c>
      <c r="J31" s="102">
        <f t="shared" si="0"/>
        <v>14400</v>
      </c>
    </row>
    <row r="32" spans="2:10" s="1" customFormat="1" ht="33.75" customHeight="1" x14ac:dyDescent="0.25">
      <c r="B32" s="103">
        <v>23</v>
      </c>
      <c r="C32" s="95" t="s">
        <v>8</v>
      </c>
      <c r="D32" s="88" t="s">
        <v>0</v>
      </c>
      <c r="E32" s="88" t="s">
        <v>3</v>
      </c>
      <c r="F32" s="96" t="s">
        <v>26</v>
      </c>
      <c r="G32" s="87" t="s">
        <v>49</v>
      </c>
      <c r="H32" s="87">
        <v>60</v>
      </c>
      <c r="I32" s="97">
        <v>180</v>
      </c>
      <c r="J32" s="102">
        <f t="shared" si="0"/>
        <v>10800</v>
      </c>
    </row>
    <row r="33" spans="2:10" s="1" customFormat="1" ht="33.75" customHeight="1" thickBot="1" x14ac:dyDescent="0.3">
      <c r="B33" s="106">
        <v>24</v>
      </c>
      <c r="C33" s="107" t="s">
        <v>28</v>
      </c>
      <c r="D33" s="108" t="s">
        <v>0</v>
      </c>
      <c r="E33" s="108" t="s">
        <v>3</v>
      </c>
      <c r="F33" s="109" t="s">
        <v>27</v>
      </c>
      <c r="G33" s="110" t="s">
        <v>49</v>
      </c>
      <c r="H33" s="110">
        <v>288</v>
      </c>
      <c r="I33" s="111">
        <v>50</v>
      </c>
      <c r="J33" s="112">
        <f t="shared" si="0"/>
        <v>14400</v>
      </c>
    </row>
    <row r="34" spans="2:10" ht="31.5" customHeight="1" thickBot="1" x14ac:dyDescent="0.3">
      <c r="B34" s="114" t="s">
        <v>113</v>
      </c>
      <c r="C34" s="115"/>
      <c r="D34" s="115"/>
      <c r="E34" s="115"/>
      <c r="F34" s="115"/>
      <c r="G34" s="115"/>
      <c r="H34" s="115"/>
      <c r="I34" s="116"/>
      <c r="J34" s="113">
        <f>SUM(J10:J33)</f>
        <v>636300</v>
      </c>
    </row>
    <row r="35" spans="2:10" s="5" customFormat="1" ht="25.5" customHeight="1" thickBot="1" x14ac:dyDescent="0.3">
      <c r="G35" s="6"/>
      <c r="H35" s="6"/>
      <c r="J35" s="4"/>
    </row>
    <row r="36" spans="2:10" s="5" customFormat="1" ht="25.5" customHeight="1" x14ac:dyDescent="0.25">
      <c r="B36" s="9" t="s">
        <v>53</v>
      </c>
      <c r="C36" s="10"/>
      <c r="D36" s="11"/>
      <c r="E36" s="80"/>
      <c r="F36" s="81"/>
      <c r="G36" s="82"/>
      <c r="H36" s="6"/>
      <c r="J36" s="4"/>
    </row>
    <row r="37" spans="2:10" s="5" customFormat="1" ht="25.5" customHeight="1" x14ac:dyDescent="0.25">
      <c r="B37" s="12"/>
      <c r="C37" s="117"/>
      <c r="D37" s="117"/>
      <c r="E37" s="117"/>
      <c r="F37" s="65"/>
      <c r="G37" s="66"/>
      <c r="H37" s="6"/>
      <c r="J37" s="4"/>
    </row>
    <row r="38" spans="2:10" s="5" customFormat="1" ht="25.5" customHeight="1" x14ac:dyDescent="0.25">
      <c r="B38" s="13" t="s">
        <v>54</v>
      </c>
      <c r="C38" s="14"/>
      <c r="D38" s="15"/>
      <c r="E38" s="78"/>
      <c r="F38" s="65"/>
      <c r="G38" s="66"/>
      <c r="H38" s="6"/>
      <c r="J38" s="4"/>
    </row>
    <row r="39" spans="2:10" s="5" customFormat="1" ht="25.5" customHeight="1" x14ac:dyDescent="0.25">
      <c r="B39" s="13"/>
      <c r="C39" s="16"/>
      <c r="D39" s="17"/>
      <c r="E39" s="17"/>
      <c r="F39" s="65"/>
      <c r="G39" s="66"/>
      <c r="H39" s="6"/>
      <c r="J39" s="4"/>
    </row>
    <row r="40" spans="2:10" s="5" customFormat="1" ht="25.5" customHeight="1" x14ac:dyDescent="0.25">
      <c r="B40" s="13" t="s">
        <v>55</v>
      </c>
      <c r="C40" s="14"/>
      <c r="D40" s="15"/>
      <c r="E40" s="78"/>
      <c r="F40" s="65"/>
      <c r="G40" s="66"/>
      <c r="H40" s="6"/>
      <c r="J40" s="4"/>
    </row>
    <row r="41" spans="2:10" s="5" customFormat="1" ht="87.75" customHeight="1" x14ac:dyDescent="0.25">
      <c r="B41" s="18"/>
      <c r="C41" s="118" t="s">
        <v>70</v>
      </c>
      <c r="D41" s="118"/>
      <c r="E41" s="118"/>
      <c r="F41" s="118"/>
      <c r="G41" s="119"/>
      <c r="H41" s="6"/>
      <c r="J41" s="4"/>
    </row>
    <row r="42" spans="2:10" s="5" customFormat="1" ht="25.5" customHeight="1" x14ac:dyDescent="0.25">
      <c r="B42" s="18"/>
      <c r="C42" s="19"/>
      <c r="D42" s="19"/>
      <c r="E42" s="19"/>
      <c r="F42" s="65"/>
      <c r="G42" s="66"/>
      <c r="H42" s="6"/>
      <c r="J42" s="4"/>
    </row>
    <row r="43" spans="2:10" s="5" customFormat="1" ht="25.5" customHeight="1" x14ac:dyDescent="0.25">
      <c r="B43" s="13" t="s">
        <v>56</v>
      </c>
      <c r="C43" s="14"/>
      <c r="D43" s="15"/>
      <c r="E43" s="78"/>
      <c r="F43" s="65"/>
      <c r="G43" s="66"/>
      <c r="H43" s="6"/>
      <c r="J43" s="4"/>
    </row>
    <row r="44" spans="2:10" s="5" customFormat="1" ht="25.5" customHeight="1" x14ac:dyDescent="0.25">
      <c r="B44" s="18"/>
      <c r="C44" s="118" t="s">
        <v>69</v>
      </c>
      <c r="D44" s="118"/>
      <c r="E44" s="118"/>
      <c r="F44" s="65"/>
      <c r="G44" s="66"/>
      <c r="H44" s="6"/>
      <c r="J44" s="4"/>
    </row>
    <row r="45" spans="2:10" s="5" customFormat="1" ht="25.5" customHeight="1" x14ac:dyDescent="0.25">
      <c r="B45" s="13" t="s">
        <v>57</v>
      </c>
      <c r="C45" s="20"/>
      <c r="D45" s="20"/>
      <c r="E45" s="20"/>
      <c r="F45" s="65"/>
      <c r="G45" s="66"/>
      <c r="H45" s="6"/>
      <c r="J45" s="4"/>
    </row>
    <row r="46" spans="2:10" s="5" customFormat="1" ht="25.5" customHeight="1" x14ac:dyDescent="0.25">
      <c r="B46" s="18"/>
      <c r="C46" s="21" t="s">
        <v>58</v>
      </c>
      <c r="D46" s="22"/>
      <c r="E46" s="22"/>
      <c r="F46" s="65"/>
      <c r="G46" s="66"/>
      <c r="H46" s="6"/>
      <c r="J46" s="4"/>
    </row>
    <row r="47" spans="2:10" s="5" customFormat="1" ht="25.5" customHeight="1" x14ac:dyDescent="0.25">
      <c r="B47" s="13" t="s">
        <v>59</v>
      </c>
      <c r="C47" s="14"/>
      <c r="D47" s="15"/>
      <c r="E47" s="78"/>
      <c r="F47" s="65"/>
      <c r="G47" s="66"/>
      <c r="H47" s="6"/>
      <c r="J47" s="4"/>
    </row>
    <row r="48" spans="2:10" s="5" customFormat="1" ht="25.5" customHeight="1" thickBot="1" x14ac:dyDescent="0.3">
      <c r="B48" s="83"/>
      <c r="C48" s="84"/>
      <c r="D48" s="84"/>
      <c r="E48" s="84"/>
      <c r="F48" s="68"/>
      <c r="G48" s="85"/>
      <c r="H48" s="6"/>
      <c r="J48" s="4"/>
    </row>
    <row r="49" spans="2:10" s="5" customFormat="1" ht="25.5" customHeight="1" x14ac:dyDescent="0.25">
      <c r="B49" s="79"/>
      <c r="C49" s="14"/>
      <c r="D49" s="15"/>
      <c r="E49" s="78"/>
      <c r="F49" s="65"/>
      <c r="G49" s="64"/>
      <c r="H49" s="6"/>
      <c r="J49" s="4"/>
    </row>
    <row r="50" spans="2:10" s="5" customFormat="1" ht="25.5" customHeight="1" x14ac:dyDescent="0.25">
      <c r="G50" s="6"/>
      <c r="H50" s="6"/>
      <c r="J50" s="4"/>
    </row>
    <row r="51" spans="2:10" s="5" customFormat="1" ht="25.5" customHeight="1" x14ac:dyDescent="0.25">
      <c r="G51" s="6"/>
      <c r="H51" s="6"/>
      <c r="J51" s="4"/>
    </row>
    <row r="52" spans="2:10" s="5" customFormat="1" ht="25.5" customHeight="1" x14ac:dyDescent="0.25">
      <c r="G52" s="6"/>
      <c r="H52" s="6"/>
      <c r="J52" s="4"/>
    </row>
    <row r="53" spans="2:10" s="5" customFormat="1" ht="25.5" customHeight="1" x14ac:dyDescent="0.25">
      <c r="G53" s="6"/>
      <c r="H53" s="6"/>
      <c r="J53" s="4"/>
    </row>
    <row r="54" spans="2:10" s="5" customFormat="1" x14ac:dyDescent="0.25">
      <c r="H54" s="6"/>
    </row>
    <row r="55" spans="2:10" s="5" customFormat="1" x14ac:dyDescent="0.25">
      <c r="H55" s="6"/>
    </row>
    <row r="56" spans="2:10" s="5" customFormat="1" x14ac:dyDescent="0.25">
      <c r="H56" s="6"/>
    </row>
    <row r="57" spans="2:10" s="5" customFormat="1" x14ac:dyDescent="0.25">
      <c r="H57" s="6"/>
    </row>
  </sheetData>
  <mergeCells count="9">
    <mergeCell ref="B34:I34"/>
    <mergeCell ref="C37:E37"/>
    <mergeCell ref="C44:E44"/>
    <mergeCell ref="C41:G41"/>
    <mergeCell ref="B2:J2"/>
    <mergeCell ref="B7:C7"/>
    <mergeCell ref="D4:J4"/>
    <mergeCell ref="D6:J6"/>
    <mergeCell ref="D7:J7"/>
  </mergeCells>
  <pageMargins left="0.7" right="0.7" top="0.75" bottom="0.7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workbookViewId="0">
      <selection activeCell="G58" sqref="G58"/>
    </sheetView>
  </sheetViews>
  <sheetFormatPr baseColWidth="10" defaultColWidth="9.140625" defaultRowHeight="13.5" x14ac:dyDescent="0.25"/>
  <cols>
    <col min="1" max="1" width="5.5703125" style="25" customWidth="1"/>
    <col min="2" max="2" width="15.140625" style="31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2" style="25" customWidth="1"/>
    <col min="8" max="8" width="9.28515625" style="25" customWidth="1"/>
    <col min="9" max="9" width="15.5703125" style="25" customWidth="1"/>
    <col min="10" max="10" width="14.7109375" style="25" customWidth="1"/>
    <col min="11" max="11" width="15.5703125" style="25" customWidth="1"/>
    <col min="12" max="14" width="5.85546875" style="25" customWidth="1"/>
    <col min="15" max="15" width="12.5703125" style="25" customWidth="1"/>
    <col min="16" max="1024" width="9.140625" style="25"/>
    <col min="1025" max="16384" width="9.140625" style="26"/>
  </cols>
  <sheetData>
    <row r="1" spans="1:11" ht="26.25" customHeight="1" thickBot="1" x14ac:dyDescent="0.3">
      <c r="A1" s="127" t="s">
        <v>71</v>
      </c>
      <c r="B1" s="127"/>
      <c r="C1" s="127"/>
      <c r="D1" s="127"/>
      <c r="E1" s="127"/>
      <c r="F1" s="127"/>
      <c r="G1" s="127"/>
      <c r="H1" s="127"/>
      <c r="I1" s="127"/>
      <c r="J1" s="23" t="s">
        <v>72</v>
      </c>
      <c r="K1" s="24" t="s">
        <v>119</v>
      </c>
    </row>
    <row r="2" spans="1:11" ht="18.75" customHeight="1" thickBot="1" x14ac:dyDescent="0.3">
      <c r="A2" s="27"/>
      <c r="B2" s="28"/>
      <c r="C2" s="27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3">
      <c r="A3" s="128" t="s">
        <v>73</v>
      </c>
      <c r="B3" s="128"/>
      <c r="C3" s="128"/>
      <c r="D3" s="129" t="s">
        <v>120</v>
      </c>
      <c r="E3" s="129"/>
      <c r="F3" s="129"/>
      <c r="G3" s="129"/>
      <c r="H3" s="129"/>
      <c r="I3" s="129"/>
      <c r="J3" s="129"/>
      <c r="K3" s="129"/>
    </row>
    <row r="4" spans="1:11" ht="18.75" customHeight="1" thickBot="1" x14ac:dyDescent="0.3">
      <c r="A4" s="130" t="s">
        <v>74</v>
      </c>
      <c r="B4" s="130"/>
      <c r="C4" s="130"/>
      <c r="D4" s="129" t="s">
        <v>121</v>
      </c>
      <c r="E4" s="129"/>
      <c r="F4" s="129"/>
      <c r="G4" s="129"/>
      <c r="H4" s="129"/>
      <c r="I4" s="129"/>
      <c r="J4" s="129"/>
      <c r="K4" s="129"/>
    </row>
    <row r="5" spans="1:11" ht="18.75" customHeight="1" thickBot="1" x14ac:dyDescent="0.3">
      <c r="A5" s="130" t="s">
        <v>75</v>
      </c>
      <c r="B5" s="130"/>
      <c r="C5" s="130"/>
      <c r="D5" s="129" t="s">
        <v>87</v>
      </c>
      <c r="E5" s="129"/>
      <c r="F5" s="129"/>
      <c r="G5" s="129"/>
      <c r="H5" s="129"/>
      <c r="I5" s="129"/>
      <c r="J5" s="129"/>
      <c r="K5" s="129"/>
    </row>
    <row r="6" spans="1:11" ht="16.5" customHeight="1" thickBot="1" x14ac:dyDescent="0.3">
      <c r="A6" s="128" t="s">
        <v>76</v>
      </c>
      <c r="B6" s="128"/>
      <c r="C6" s="128"/>
      <c r="D6" s="129" t="s">
        <v>88</v>
      </c>
      <c r="E6" s="129"/>
      <c r="F6" s="129"/>
      <c r="G6" s="129"/>
      <c r="H6" s="129"/>
      <c r="I6" s="129"/>
      <c r="J6" s="129"/>
      <c r="K6" s="129"/>
    </row>
    <row r="7" spans="1:11" ht="16.5" customHeight="1" thickBot="1" x14ac:dyDescent="0.3">
      <c r="A7" s="130" t="s">
        <v>77</v>
      </c>
      <c r="B7" s="130"/>
      <c r="C7" s="130"/>
      <c r="D7" s="129" t="str">
        <f>'[1]Necesidades Trimestrales'!C7 &amp; "° Trimestre - Año " &amp; '[1]Necesidades Trimestrales'!C6</f>
        <v>2° Trimestre - Año 2021</v>
      </c>
      <c r="E7" s="129"/>
      <c r="F7" s="129"/>
      <c r="G7" s="129"/>
      <c r="H7" s="129"/>
      <c r="I7" s="129"/>
      <c r="J7" s="129"/>
      <c r="K7" s="129"/>
    </row>
    <row r="8" spans="1:11" ht="16.5" customHeight="1" thickBot="1" x14ac:dyDescent="0.3">
      <c r="A8" s="131" t="s">
        <v>78</v>
      </c>
      <c r="B8" s="131"/>
      <c r="C8" s="131"/>
      <c r="D8" s="132" t="s">
        <v>122</v>
      </c>
      <c r="E8" s="132"/>
      <c r="F8" s="132"/>
      <c r="G8" s="132"/>
      <c r="H8" s="132"/>
      <c r="I8" s="132"/>
      <c r="J8" s="132"/>
      <c r="K8" s="132"/>
    </row>
    <row r="9" spans="1:11" ht="14.25" thickBot="1" x14ac:dyDescent="0.3">
      <c r="A9" s="30"/>
      <c r="C9" s="30"/>
      <c r="D9" s="32"/>
      <c r="E9" s="32"/>
      <c r="F9" s="32"/>
      <c r="G9" s="32"/>
      <c r="H9" s="32"/>
      <c r="I9" s="32"/>
      <c r="J9" s="32"/>
      <c r="K9" s="32"/>
    </row>
    <row r="10" spans="1:11" ht="18.75" customHeight="1" thickBot="1" x14ac:dyDescent="0.3">
      <c r="A10" s="133" t="s">
        <v>79</v>
      </c>
      <c r="B10" s="134" t="s">
        <v>80</v>
      </c>
      <c r="C10" s="134" t="s">
        <v>81</v>
      </c>
      <c r="D10" s="134"/>
      <c r="E10" s="134"/>
      <c r="F10" s="134"/>
      <c r="G10" s="134"/>
      <c r="H10" s="134" t="s">
        <v>82</v>
      </c>
      <c r="I10" s="134" t="s">
        <v>83</v>
      </c>
      <c r="J10" s="134" t="s">
        <v>84</v>
      </c>
      <c r="K10" s="135" t="s">
        <v>85</v>
      </c>
    </row>
    <row r="11" spans="1:11" ht="24" customHeight="1" thickBot="1" x14ac:dyDescent="0.3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5"/>
    </row>
    <row r="12" spans="1:11" ht="29.25" customHeight="1" x14ac:dyDescent="0.25">
      <c r="A12" s="33">
        <f>+'[1]Necesidades Trimestrales'!A10</f>
        <v>1</v>
      </c>
      <c r="B12" s="34" t="str">
        <f>+'NEC NO PERECEDEROS'!C10</f>
        <v>2.1.1-455.4</v>
      </c>
      <c r="C12" s="136" t="str">
        <f>+'NEC NO PERECEDEROS'!F10</f>
        <v>DULCE DE LECHE,CAPACIDAD: 500 GR TIPO:SIN VALOR,ENVASE PLASTICO,PRESENTACION ENVASE PLASTICO X 500 GR</v>
      </c>
      <c r="D12" s="136"/>
      <c r="E12" s="136"/>
      <c r="F12" s="136"/>
      <c r="G12" s="136"/>
      <c r="H12" s="34" t="s">
        <v>86</v>
      </c>
      <c r="I12" s="34" t="str">
        <f>+'NEC NO PERECEDEROS'!G10</f>
        <v>UNIDAD</v>
      </c>
      <c r="J12" s="35">
        <f>+'NEC NO PERECEDEROS'!I10</f>
        <v>900</v>
      </c>
      <c r="K12" s="36">
        <f>+'NEC NO PERECEDEROS'!H10</f>
        <v>9</v>
      </c>
    </row>
    <row r="13" spans="1:11" ht="40.5" customHeight="1" x14ac:dyDescent="0.25">
      <c r="A13" s="33">
        <f>+'[1]Necesidades Trimestrales'!A11</f>
        <v>2</v>
      </c>
      <c r="B13" s="34" t="str">
        <f>+'NEC NO PERECEDEROS'!C11</f>
        <v>2.1.1-481.38</v>
      </c>
      <c r="C13" s="136" t="str">
        <f>+'NEC NO PERECEDEROS'!F11</f>
        <v>AZUCARES; TIPO: "A" COMUN, ESTADO: MOLIDA, PESO: 1 Kg, MATERIAL ENVASE: PLASTICO, CERTIFICADO FORESTAL (GFS): SIN, ELEM. TRANSPORTE: SIN, MATERIAL ELEM. TRANSPORTE: SIN</v>
      </c>
      <c r="D13" s="136"/>
      <c r="E13" s="136"/>
      <c r="F13" s="136"/>
      <c r="G13" s="136"/>
      <c r="H13" s="34" t="s">
        <v>86</v>
      </c>
      <c r="I13" s="34" t="str">
        <f>+'NEC NO PERECEDEROS'!G11</f>
        <v>UNIDAD</v>
      </c>
      <c r="J13" s="35">
        <f>+'NEC NO PERECEDEROS'!I11</f>
        <v>75</v>
      </c>
      <c r="K13" s="36">
        <f>+'NEC NO PERECEDEROS'!H11</f>
        <v>360</v>
      </c>
    </row>
    <row r="14" spans="1:11" ht="37.5" customHeight="1" x14ac:dyDescent="0.25">
      <c r="A14" s="33">
        <f>+'[1]Necesidades Trimestrales'!A12</f>
        <v>3</v>
      </c>
      <c r="B14" s="34" t="str">
        <f>+'NEC NO PERECEDEROS'!C12</f>
        <v>2.1.1-454.25</v>
      </c>
      <c r="C14" s="136" t="str">
        <f>+'NEC NO PERECEDEROS'!F12</f>
        <v>YERBAS; PALO: CON, PESO: 1 Kg, MATERIAL ENVASE : PAPEL, CERTIFICADO FORESTAL (GFS): CON, ELEM. TRANSPORTE: SIN, MATERIAL ELEM. TRANSPORTE: SIN, LIBRE DE GLUTEN: SI</v>
      </c>
      <c r="D14" s="136"/>
      <c r="E14" s="136"/>
      <c r="F14" s="136"/>
      <c r="G14" s="136"/>
      <c r="H14" s="34" t="s">
        <v>86</v>
      </c>
      <c r="I14" s="34" t="str">
        <f>+'NEC NO PERECEDEROS'!G12</f>
        <v>UNIDAD</v>
      </c>
      <c r="J14" s="35">
        <f>+'NEC NO PERECEDEROS'!I12</f>
        <v>450</v>
      </c>
      <c r="K14" s="36">
        <f>+'NEC NO PERECEDEROS'!H12</f>
        <v>120</v>
      </c>
    </row>
    <row r="15" spans="1:11" ht="42.75" customHeight="1" x14ac:dyDescent="0.25">
      <c r="A15" s="33">
        <f>+'[1]Necesidades Trimestrales'!A13</f>
        <v>4</v>
      </c>
      <c r="B15" s="34" t="str">
        <f>+'NEC NO PERECEDEROS'!C13</f>
        <v>2.1.1-482.81</v>
      </c>
      <c r="C15" s="136" t="str">
        <f>+'NEC NO PERECEDEROS'!F13</f>
        <v>HARINAS; TIPO: LEUDANTE, PRESENTACION: ENVASE X 1 Kg, MATERIAL ENVASE: PAPEL, CERTICADO FORESTAL (GFS): SIN, ELEM. TRANSPORTE: SIN, MATERIAL ELEM. TRANSPORTE: SIN, LIBRE DE GLUTEN: NO</v>
      </c>
      <c r="D15" s="136"/>
      <c r="E15" s="136"/>
      <c r="F15" s="136"/>
      <c r="G15" s="136"/>
      <c r="H15" s="34" t="s">
        <v>86</v>
      </c>
      <c r="I15" s="34" t="str">
        <f>+'NEC NO PERECEDEROS'!G13</f>
        <v>UNIDAD</v>
      </c>
      <c r="J15" s="35">
        <f>+'NEC NO PERECEDEROS'!I13</f>
        <v>70</v>
      </c>
      <c r="K15" s="36">
        <f>+'NEC NO PERECEDEROS'!H13</f>
        <v>240</v>
      </c>
    </row>
    <row r="16" spans="1:11" ht="47.25" customHeight="1" x14ac:dyDescent="0.25">
      <c r="A16" s="33">
        <f>+'[1]Necesidades Trimestrales'!A14</f>
        <v>5</v>
      </c>
      <c r="B16" s="34" t="str">
        <f>+'NEC NO PERECEDEROS'!C14</f>
        <v>2.1.1-482.77</v>
      </c>
      <c r="C16" s="136" t="str">
        <f>+'NEC NO PERECEDEROS'!F14</f>
        <v>HARINAS; TIPO: DE TRIGO 0000, PRESENTACION: ENVASE X 1 Kg, MATERIAL ENVASE: PAPEL, CERTICADO FORESTAL (GFS):SIN ,ELEM.TRANSPORTE: SIN, MATERIAL ELEM.TRANSPORTE:SIN,LIBRE DE GLUTEN:NO</v>
      </c>
      <c r="D16" s="136"/>
      <c r="E16" s="136"/>
      <c r="F16" s="136"/>
      <c r="G16" s="136"/>
      <c r="H16" s="34" t="s">
        <v>86</v>
      </c>
      <c r="I16" s="34" t="str">
        <f>+'NEC NO PERECEDEROS'!G14</f>
        <v>UNIDAD</v>
      </c>
      <c r="J16" s="35">
        <f>+'NEC NO PERECEDEROS'!I14</f>
        <v>60</v>
      </c>
      <c r="K16" s="36">
        <f>+'NEC NO PERECEDEROS'!H14</f>
        <v>240</v>
      </c>
    </row>
    <row r="17" spans="1:11" ht="44.25" customHeight="1" x14ac:dyDescent="0.25">
      <c r="A17" s="33">
        <f>+'[1]Necesidades Trimestrales'!A15</f>
        <v>6</v>
      </c>
      <c r="B17" s="34" t="str">
        <f>+'NEC NO PERECEDEROS'!C15</f>
        <v>2.1.1-2868.55</v>
      </c>
      <c r="C17" s="136" t="str">
        <f>+'NEC NO PERECEDEROS'!F15</f>
        <v>FIDEOS SECOS; VARIEDAD: TALLARIN, RELLENO: SIN, PRESENTACION: ENVASE X 500 GR, MATERIAL ENVASE: PLASTICO 1 (PET), ELEM. TRANSPORTE: SIN, MATERIAL ELEM. TRANSPORTE: SIN, CERTIFICADO FORESTAL (GFS): SIN, LIBRE DE GLUTEN: NO</v>
      </c>
      <c r="D17" s="136"/>
      <c r="E17" s="136"/>
      <c r="F17" s="136"/>
      <c r="G17" s="136"/>
      <c r="H17" s="34" t="s">
        <v>86</v>
      </c>
      <c r="I17" s="34" t="str">
        <f>+'NEC NO PERECEDEROS'!G15</f>
        <v>UNIDAD</v>
      </c>
      <c r="J17" s="35">
        <f>+'NEC NO PERECEDEROS'!I15</f>
        <v>70</v>
      </c>
      <c r="K17" s="36">
        <f>+'NEC NO PERECEDEROS'!H15</f>
        <v>240</v>
      </c>
    </row>
    <row r="18" spans="1:11" ht="29.25" customHeight="1" x14ac:dyDescent="0.25">
      <c r="A18" s="33">
        <f>+'[1]Necesidades Trimestrales'!A16</f>
        <v>7</v>
      </c>
      <c r="B18" s="34" t="str">
        <f>+'NEC NO PERECEDEROS'!C16</f>
        <v>2.1.1-2868.71</v>
      </c>
      <c r="C18" s="136" t="str">
        <f>+'NEC NO PERECEDEROS'!F16</f>
        <v>FIDEOS SECOS; VARIEDAD: GUISERO, RELLENO: SIN, PRESENTACION: ENVASE X 500 GR, MATERIAL ENVASE: PLASTICO 1 (PET), ELEM. TRANSPORTE: SIN, MATERIAL ELEM. TRANSPORTE: SIN, CERTIFICADO FORESTAL (GFS): SIN, LIBRE DE GLUTEN: NO</v>
      </c>
      <c r="D18" s="136"/>
      <c r="E18" s="136"/>
      <c r="F18" s="136"/>
      <c r="G18" s="136"/>
      <c r="H18" s="34" t="s">
        <v>86</v>
      </c>
      <c r="I18" s="34" t="str">
        <f>+'NEC NO PERECEDEROS'!G16</f>
        <v>UNIDAD</v>
      </c>
      <c r="J18" s="35">
        <f>+'NEC NO PERECEDEROS'!I16</f>
        <v>70</v>
      </c>
      <c r="K18" s="36">
        <f>+'NEC NO PERECEDEROS'!H16</f>
        <v>240</v>
      </c>
    </row>
    <row r="19" spans="1:11" ht="39.75" customHeight="1" x14ac:dyDescent="0.25">
      <c r="A19" s="33">
        <f>+'[1]Necesidades Trimestrales'!A17</f>
        <v>8</v>
      </c>
      <c r="B19" s="34" t="str">
        <f>+'NEC NO PERECEDEROS'!C17</f>
        <v>2.1.1-2126.14</v>
      </c>
      <c r="C19" s="136" t="str">
        <f>+'NEC NO PERECEDEROS'!F17</f>
        <v>SEMOLAS; TIPO: NATURAL, PRESENTACION: BOLSA, PESO: 1 Kg, MATERIAL ENVASE: PLASTICO 1 (PET), CERTICADO FORESTAL (GFS): SIN, LIBRE DE GLUTEN: NO</v>
      </c>
      <c r="D19" s="136"/>
      <c r="E19" s="136"/>
      <c r="F19" s="136"/>
      <c r="G19" s="136"/>
      <c r="H19" s="34" t="s">
        <v>86</v>
      </c>
      <c r="I19" s="34" t="str">
        <f>+'NEC NO PERECEDEROS'!G17</f>
        <v>UNIDAD</v>
      </c>
      <c r="J19" s="35">
        <f>+'NEC NO PERECEDEROS'!I17</f>
        <v>190</v>
      </c>
      <c r="K19" s="36">
        <f>+'NEC NO PERECEDEROS'!H17</f>
        <v>240</v>
      </c>
    </row>
    <row r="20" spans="1:11" ht="39" customHeight="1" x14ac:dyDescent="0.25">
      <c r="A20" s="33">
        <f>+'[1]Necesidades Trimestrales'!A18</f>
        <v>9</v>
      </c>
      <c r="B20" s="34" t="str">
        <f>+'NEC NO PERECEDEROS'!C18</f>
        <v>2.1.1-2868.54</v>
      </c>
      <c r="C20" s="136" t="str">
        <f>+'NEC NO PERECEDEROS'!F18</f>
        <v>FIDEOS SECOS; VARIEDAD: SOPERO, RELLENO: SIN, PRESENTACION: ENVASE X 500 GR, MATERIAL ENVASE: PLASTICO 1 (PET), ELEM. TRANSPORTE: SIN, MATERIAL ELEM. TRANSPORTE: SIN, CERTIFICADO FORESTAL (GFS): SIN, LIBRE DE GLUTEN: NO</v>
      </c>
      <c r="D20" s="136"/>
      <c r="E20" s="136"/>
      <c r="F20" s="136"/>
      <c r="G20" s="136"/>
      <c r="H20" s="34" t="s">
        <v>86</v>
      </c>
      <c r="I20" s="34" t="str">
        <f>+'NEC NO PERECEDEROS'!G18</f>
        <v>UNIDAD</v>
      </c>
      <c r="J20" s="35">
        <f>+'NEC NO PERECEDEROS'!I18</f>
        <v>70</v>
      </c>
      <c r="K20" s="36">
        <f>+'NEC NO PERECEDEROS'!H18</f>
        <v>240</v>
      </c>
    </row>
    <row r="21" spans="1:11" ht="41.25" customHeight="1" x14ac:dyDescent="0.25">
      <c r="A21" s="33">
        <f>+'[1]Necesidades Trimestrales'!A19</f>
        <v>10</v>
      </c>
      <c r="B21" s="34" t="str">
        <f>+'NEC NO PERECEDEROS'!C19</f>
        <v>2.1.1-435.60</v>
      </c>
      <c r="C21" s="136" t="str">
        <f>+'NEC NO PERECEDEROS'!F19</f>
        <v>ARROZ; TIPO GRANO: LARGO-FINO, TIPO: BLANCO, PROCESO: SIN CASCARA, PRESENTACION: BOLSA X 1 Kg, MATERIAL ENVASE: PLASTICO, CERTIFICADO FORESTAL (GFS): SIN, ELEM. TRANSPORTE: SIN, MATERIAL ELEM. TRANSPORTE: SIN, LIBRE DE GLUTEN: SI</v>
      </c>
      <c r="D21" s="136"/>
      <c r="E21" s="136"/>
      <c r="F21" s="136"/>
      <c r="G21" s="136"/>
      <c r="H21" s="34" t="s">
        <v>86</v>
      </c>
      <c r="I21" s="34" t="str">
        <f>+'NEC NO PERECEDEROS'!G19</f>
        <v>UNIDAD</v>
      </c>
      <c r="J21" s="35">
        <f>+'NEC NO PERECEDEROS'!I19</f>
        <v>120</v>
      </c>
      <c r="K21" s="36">
        <f>+'NEC NO PERECEDEROS'!H19</f>
        <v>480</v>
      </c>
    </row>
    <row r="22" spans="1:11" ht="41.25" customHeight="1" x14ac:dyDescent="0.25">
      <c r="A22" s="33">
        <f>+'[1]Necesidades Trimestrales'!A20</f>
        <v>11</v>
      </c>
      <c r="B22" s="34" t="str">
        <f>+'NEC NO PERECEDEROS'!C20</f>
        <v>2.1.1-510.5</v>
      </c>
      <c r="C22" s="136" t="str">
        <f>+'NEC NO PERECEDEROS'!F20</f>
        <v>GELATINAS; ENVASE: CAJA DE CARTON, SABOR: FRUTILLA, PESO: 30 GR, TIPO: BAJAS CALORIAS</v>
      </c>
      <c r="D22" s="136"/>
      <c r="E22" s="136"/>
      <c r="F22" s="136"/>
      <c r="G22" s="136"/>
      <c r="H22" s="34" t="s">
        <v>86</v>
      </c>
      <c r="I22" s="34" t="str">
        <f>+'NEC NO PERECEDEROS'!G20</f>
        <v>UNIDAD</v>
      </c>
      <c r="J22" s="35">
        <f>+'NEC NO PERECEDEROS'!I20</f>
        <v>70</v>
      </c>
      <c r="K22" s="36">
        <f>+'NEC NO PERECEDEROS'!H20</f>
        <v>144</v>
      </c>
    </row>
    <row r="23" spans="1:11" ht="41.25" customHeight="1" x14ac:dyDescent="0.25">
      <c r="A23" s="33">
        <f>+'[1]Necesidades Trimestrales'!A21</f>
        <v>12</v>
      </c>
      <c r="B23" s="34" t="str">
        <f>+'NEC NO PERECEDEROS'!C21</f>
        <v>2.1.1-708.42</v>
      </c>
      <c r="C23" s="136" t="str">
        <f>+'NEC NO PERECEDEROS'!F21</f>
        <v>CONSERVAS PESCADO Y FRUTOS MAR; TIPO: ATUN, ESTADO: EN ACEITE, PESO: 300 GR, ENVASE: LATA, ELEM. TRANSPORTE: SIN, MATERIAL ELEM. TRANSPORTE: SIN</v>
      </c>
      <c r="D23" s="136"/>
      <c r="E23" s="136"/>
      <c r="F23" s="136"/>
      <c r="G23" s="136"/>
      <c r="H23" s="34" t="s">
        <v>86</v>
      </c>
      <c r="I23" s="34" t="str">
        <f>+'NEC NO PERECEDEROS'!G21</f>
        <v>UNIDAD</v>
      </c>
      <c r="J23" s="35">
        <f>+'NEC NO PERECEDEROS'!I21</f>
        <v>130</v>
      </c>
      <c r="K23" s="36">
        <f>+'NEC NO PERECEDEROS'!H21</f>
        <v>216</v>
      </c>
    </row>
    <row r="24" spans="1:11" ht="41.25" customHeight="1" x14ac:dyDescent="0.25">
      <c r="A24" s="33">
        <f>+'[1]Necesidades Trimestrales'!A22</f>
        <v>13</v>
      </c>
      <c r="B24" s="34" t="str">
        <f>+'NEC NO PERECEDEROS'!C22</f>
        <v>2.1.1-439.68</v>
      </c>
      <c r="C24" s="136" t="str">
        <f>+'NEC NO PERECEDEROS'!F22</f>
        <v>ACEITES COMESTIBLES; TIPO: GIRASOL, PRESENTACION: ENVASE X 1 L, MATERIAL ENVASE: PVC, ELEM. TRANSPORTE: SIN, MATERIAL ELEM. TRANSPORTE : SIN, LIBRE DE GLUTEN: NO</v>
      </c>
      <c r="D24" s="136"/>
      <c r="E24" s="136"/>
      <c r="F24" s="136"/>
      <c r="G24" s="136"/>
      <c r="H24" s="34" t="s">
        <v>86</v>
      </c>
      <c r="I24" s="34" t="str">
        <f>+'NEC NO PERECEDEROS'!G22</f>
        <v>UNIDAD</v>
      </c>
      <c r="J24" s="35">
        <f>+'NEC NO PERECEDEROS'!I22</f>
        <v>267.5</v>
      </c>
      <c r="K24" s="36">
        <f>+'NEC NO PERECEDEROS'!H22</f>
        <v>144</v>
      </c>
    </row>
    <row r="25" spans="1:11" ht="41.25" customHeight="1" x14ac:dyDescent="0.25">
      <c r="A25" s="33">
        <f>+'[1]Necesidades Trimestrales'!A23</f>
        <v>14</v>
      </c>
      <c r="B25" s="34" t="str">
        <f>+'NEC NO PERECEDEROS'!C23</f>
        <v>2.1.1-706.4</v>
      </c>
      <c r="C25" s="136" t="str">
        <f>+'NEC NO PERECEDEROS'!F23</f>
        <v>MATE COCIDO; ENVASE: CAJA CARTON, PESO X SAQ.: 3, PRESENTACION: ENSOBRADO, SAQUITOS P/CAJA: 50</v>
      </c>
      <c r="D25" s="136"/>
      <c r="E25" s="136"/>
      <c r="F25" s="136"/>
      <c r="G25" s="136"/>
      <c r="H25" s="34" t="s">
        <v>86</v>
      </c>
      <c r="I25" s="34" t="str">
        <f>+'NEC NO PERECEDEROS'!G23</f>
        <v>UNIDAD</v>
      </c>
      <c r="J25" s="35">
        <f>+'NEC NO PERECEDEROS'!I23</f>
        <v>160</v>
      </c>
      <c r="K25" s="36">
        <f>+'NEC NO PERECEDEROS'!H23</f>
        <v>288</v>
      </c>
    </row>
    <row r="26" spans="1:11" ht="41.25" customHeight="1" x14ac:dyDescent="0.25">
      <c r="A26" s="33">
        <f>+'[1]Necesidades Trimestrales'!A24</f>
        <v>15</v>
      </c>
      <c r="B26" s="34" t="str">
        <f>+'NEC NO PERECEDEROS'!C24</f>
        <v>2.1.1-6547.17</v>
      </c>
      <c r="C26" s="136" t="str">
        <f>+'NEC NO PERECEDEROS'!F24</f>
        <v>LEGUMBRES; VARIEDAD: ARVEJA, ESTADO: REMOJADO EN CONSERVA, PRESENTACION: LATA, PESO: 350 GR</v>
      </c>
      <c r="D26" s="136"/>
      <c r="E26" s="136"/>
      <c r="F26" s="136"/>
      <c r="G26" s="136"/>
      <c r="H26" s="34" t="s">
        <v>86</v>
      </c>
      <c r="I26" s="34" t="str">
        <f>+'NEC NO PERECEDEROS'!G24</f>
        <v>UNIDAD</v>
      </c>
      <c r="J26" s="35">
        <f>+'NEC NO PERECEDEROS'!I24</f>
        <v>60</v>
      </c>
      <c r="K26" s="36">
        <f>+'NEC NO PERECEDEROS'!H24</f>
        <v>288</v>
      </c>
    </row>
    <row r="27" spans="1:11" ht="41.25" customHeight="1" x14ac:dyDescent="0.25">
      <c r="A27" s="33">
        <f>+'[1]Necesidades Trimestrales'!A25</f>
        <v>16</v>
      </c>
      <c r="B27" s="34" t="str">
        <f>+'NEC NO PERECEDEROS'!C25</f>
        <v>2.1.1-511.5</v>
      </c>
      <c r="C27" s="136" t="str">
        <f>+'NEC NO PERECEDEROS'!F25</f>
        <v>TE; PRESENTACION: EN SAQUITOS ENSOBRADOS, PESO: SIN VALOR, TIPO: SIN VALOR, SAQUITOS 2G P/CAJA: 50</v>
      </c>
      <c r="D27" s="136"/>
      <c r="E27" s="136"/>
      <c r="F27" s="136"/>
      <c r="G27" s="136"/>
      <c r="H27" s="34" t="s">
        <v>86</v>
      </c>
      <c r="I27" s="34" t="str">
        <f>+'NEC NO PERECEDEROS'!G25</f>
        <v>UNIDAD</v>
      </c>
      <c r="J27" s="35">
        <f>+'NEC NO PERECEDEROS'!I25</f>
        <v>150</v>
      </c>
      <c r="K27" s="36">
        <f>+'NEC NO PERECEDEROS'!H25</f>
        <v>288</v>
      </c>
    </row>
    <row r="28" spans="1:11" ht="41.25" customHeight="1" x14ac:dyDescent="0.25">
      <c r="A28" s="33">
        <f>+'[1]Necesidades Trimestrales'!A26</f>
        <v>17</v>
      </c>
      <c r="B28" s="34" t="str">
        <f>+'NEC NO PERECEDEROS'!C26</f>
        <v>2.1.1-2116.13</v>
      </c>
      <c r="C28" s="136" t="str">
        <f>+'NEC NO PERECEDEROS'!F26</f>
        <v>LEVADURAS; TIPO: DE CERVEZA, PRESENTACION: PAQUETE, PESO: 500 GR, LIBRE DE GLUTEN: SI</v>
      </c>
      <c r="D28" s="136"/>
      <c r="E28" s="136"/>
      <c r="F28" s="136"/>
      <c r="G28" s="136"/>
      <c r="H28" s="34" t="s">
        <v>86</v>
      </c>
      <c r="I28" s="34" t="str">
        <f>+'NEC NO PERECEDEROS'!G26</f>
        <v>UNIDAD</v>
      </c>
      <c r="J28" s="35">
        <f>+'NEC NO PERECEDEROS'!I26</f>
        <v>500</v>
      </c>
      <c r="K28" s="36">
        <f>+'NEC NO PERECEDEROS'!H26</f>
        <v>12</v>
      </c>
    </row>
    <row r="29" spans="1:11" ht="41.25" customHeight="1" x14ac:dyDescent="0.25">
      <c r="A29" s="33">
        <f>+'[1]Necesidades Trimestrales'!A27</f>
        <v>18</v>
      </c>
      <c r="B29" s="34" t="str">
        <f>+'NEC NO PERECEDEROS'!C27</f>
        <v>2.1.1-509.14</v>
      </c>
      <c r="C29" s="136" t="str">
        <f>+'NEC NO PERECEDEROS'!F27</f>
        <v>PURE; TIPO: TOMATE PERITA, ENVASE: CAJA DE CARTON, PESO: 520 GR, LIBRE DE GLUTEN: NO</v>
      </c>
      <c r="D29" s="136"/>
      <c r="E29" s="136"/>
      <c r="F29" s="136"/>
      <c r="G29" s="136"/>
      <c r="H29" s="34" t="s">
        <v>86</v>
      </c>
      <c r="I29" s="34" t="str">
        <f>+'NEC NO PERECEDEROS'!G27</f>
        <v>UNIDAD</v>
      </c>
      <c r="J29" s="35">
        <f>+'NEC NO PERECEDEROS'!I27</f>
        <v>75</v>
      </c>
      <c r="K29" s="36">
        <f>+'NEC NO PERECEDEROS'!H27</f>
        <v>288</v>
      </c>
    </row>
    <row r="30" spans="1:11" ht="29.25" customHeight="1" x14ac:dyDescent="0.25">
      <c r="A30" s="33">
        <f>+'[1]Necesidades Trimestrales'!A28</f>
        <v>19</v>
      </c>
      <c r="B30" s="34" t="str">
        <f>+'NEC NO PERECEDEROS'!C28</f>
        <v>2.1.1-2615.15</v>
      </c>
      <c r="C30" s="136" t="str">
        <f>+'NEC NO PERECEDEROS'!F28</f>
        <v>CACAO; TIPO: INSTANTANEO, PRESENTACION: ENVASE X 800 GR, FORMA DE PRESENTACION: POLVO, MATERIAL ENVASE: CARTON, CERTICADO FORESTAL (GFS): CON, LIBRE DE GLUTEN: SI</v>
      </c>
      <c r="D30" s="136"/>
      <c r="E30" s="136"/>
      <c r="F30" s="136"/>
      <c r="G30" s="136"/>
      <c r="H30" s="34" t="s">
        <v>86</v>
      </c>
      <c r="I30" s="34" t="str">
        <f>+'NEC NO PERECEDEROS'!G28</f>
        <v>UNIDAD</v>
      </c>
      <c r="J30" s="35">
        <f>+'NEC NO PERECEDEROS'!I28</f>
        <v>1800</v>
      </c>
      <c r="K30" s="36">
        <f>+'NEC NO PERECEDEROS'!H28</f>
        <v>3</v>
      </c>
    </row>
    <row r="31" spans="1:11" ht="29.25" customHeight="1" x14ac:dyDescent="0.25">
      <c r="A31" s="33">
        <f>+'[1]Necesidades Trimestrales'!A29</f>
        <v>20</v>
      </c>
      <c r="B31" s="34" t="str">
        <f>+'NEC NO PERECEDEROS'!C29</f>
        <v>2.1.1-2616.11</v>
      </c>
      <c r="C31" s="136" t="str">
        <f>+'NEC NO PERECEDEROS'!F29</f>
        <v>MAIZ; TIPO: CHOCLO DESGRANADO, PRESENTACION: ENVASE X 500 GR, FORMA DE PRESENTACION: LATA</v>
      </c>
      <c r="D31" s="136"/>
      <c r="E31" s="136"/>
      <c r="F31" s="136"/>
      <c r="G31" s="136"/>
      <c r="H31" s="34" t="s">
        <v>86</v>
      </c>
      <c r="I31" s="34" t="str">
        <f>+'NEC NO PERECEDEROS'!G29</f>
        <v>UNIDAD</v>
      </c>
      <c r="J31" s="35">
        <f>+'NEC NO PERECEDEROS'!I29</f>
        <v>120</v>
      </c>
      <c r="K31" s="36">
        <f>+'NEC NO PERECEDEROS'!H29</f>
        <v>216</v>
      </c>
    </row>
    <row r="32" spans="1:11" ht="29.25" customHeight="1" x14ac:dyDescent="0.25">
      <c r="A32" s="33">
        <f>+'[1]Necesidades Trimestrales'!A30</f>
        <v>21</v>
      </c>
      <c r="B32" s="34" t="str">
        <f>+'NEC NO PERECEDEROS'!C30</f>
        <v>2.1.1-708.45</v>
      </c>
      <c r="C32" s="136" t="str">
        <f>+'NEC NO PERECEDEROS'!F30</f>
        <v>CONSERVAS PESCADO Y FRUTOS MAR; TIPO: CABALLA, ESTADO: AL NATURAL, PESO: 300 GR, ENVASE: LATA, ELEM. TRANSPORTE: SIN, MATERIAL ELEM. TRANSPORTE: SIN</v>
      </c>
      <c r="D32" s="136"/>
      <c r="E32" s="136"/>
      <c r="F32" s="136"/>
      <c r="G32" s="136"/>
      <c r="H32" s="34" t="s">
        <v>86</v>
      </c>
      <c r="I32" s="34" t="str">
        <f>+'NEC NO PERECEDEROS'!G30</f>
        <v>UNIDAD</v>
      </c>
      <c r="J32" s="35">
        <f>+'NEC NO PERECEDEROS'!I30</f>
        <v>280</v>
      </c>
      <c r="K32" s="36">
        <f>+'NEC NO PERECEDEROS'!H30</f>
        <v>288</v>
      </c>
    </row>
    <row r="33" spans="1:11" ht="29.25" customHeight="1" x14ac:dyDescent="0.25">
      <c r="A33" s="33">
        <f>+'[1]Necesidades Trimestrales'!A31</f>
        <v>22</v>
      </c>
      <c r="B33" s="34" t="str">
        <f>+'NEC NO PERECEDEROS'!C31</f>
        <v>2.1.1-6539.47</v>
      </c>
      <c r="C33" s="136" t="str">
        <f>+'NEC NO PERECEDEROS'!F31</f>
        <v>FRUTAS; VARIEDAD: DURAZNO, ESTADO: CONSERVA, PRESENTACION: ENVASE X 820 GR, PESO: 820 GR</v>
      </c>
      <c r="D33" s="136"/>
      <c r="E33" s="136"/>
      <c r="F33" s="136"/>
      <c r="G33" s="136"/>
      <c r="H33" s="34" t="s">
        <v>86</v>
      </c>
      <c r="I33" s="34" t="str">
        <f>+'NEC NO PERECEDEROS'!G31</f>
        <v>UNIDAD</v>
      </c>
      <c r="J33" s="35">
        <f>+'NEC NO PERECEDEROS'!I31</f>
        <v>200</v>
      </c>
      <c r="K33" s="36">
        <f>+'NEC NO PERECEDEROS'!H31</f>
        <v>72</v>
      </c>
    </row>
    <row r="34" spans="1:11" ht="29.25" customHeight="1" x14ac:dyDescent="0.25">
      <c r="A34" s="33">
        <f>+'[1]Necesidades Trimestrales'!A32</f>
        <v>23</v>
      </c>
      <c r="B34" s="34" t="str">
        <f>+'NEC NO PERECEDEROS'!C32</f>
        <v>2.1.1-5917.8</v>
      </c>
      <c r="C34" s="136" t="str">
        <f>+'NEC NO PERECEDEROS'!F32</f>
        <v>CEREALES; TIPO: TRIGO BURGOL, PRESENTACION: ENVASE X 1 Kg</v>
      </c>
      <c r="D34" s="136"/>
      <c r="E34" s="136"/>
      <c r="F34" s="136"/>
      <c r="G34" s="136"/>
      <c r="H34" s="34" t="s">
        <v>86</v>
      </c>
      <c r="I34" s="34" t="str">
        <f>+'NEC NO PERECEDEROS'!G32</f>
        <v>UNIDAD</v>
      </c>
      <c r="J34" s="35">
        <f>+'NEC NO PERECEDEROS'!I32</f>
        <v>180</v>
      </c>
      <c r="K34" s="36">
        <f>+'NEC NO PERECEDEROS'!H32</f>
        <v>60</v>
      </c>
    </row>
    <row r="35" spans="1:11" ht="44.25" customHeight="1" thickBot="1" x14ac:dyDescent="0.3">
      <c r="A35" s="33">
        <f>+'[1]Necesidades Trimestrales'!A33</f>
        <v>24</v>
      </c>
      <c r="B35" s="34" t="str">
        <f>+'NEC NO PERECEDEROS'!C33</f>
        <v>2.1.1-731.14</v>
      </c>
      <c r="C35" s="136" t="str">
        <f>+'NEC NO PERECEDEROS'!F33</f>
        <v>CONSERVAS DE CARNE; ENVASE: LATA, TIPO: PICADILLO, PESO: 100 GR, VARIEDAD: SIN VALOR</v>
      </c>
      <c r="D35" s="136"/>
      <c r="E35" s="136"/>
      <c r="F35" s="136"/>
      <c r="G35" s="136"/>
      <c r="H35" s="34" t="s">
        <v>86</v>
      </c>
      <c r="I35" s="34" t="str">
        <f>+'NEC NO PERECEDEROS'!G33</f>
        <v>UNIDAD</v>
      </c>
      <c r="J35" s="35">
        <f>+'NEC NO PERECEDEROS'!I33</f>
        <v>50</v>
      </c>
      <c r="K35" s="36">
        <f>+'NEC NO PERECEDEROS'!H33</f>
        <v>288</v>
      </c>
    </row>
    <row r="36" spans="1:11" ht="30.75" customHeight="1" thickBot="1" x14ac:dyDescent="0.3">
      <c r="A36" s="137" t="s">
        <v>118</v>
      </c>
      <c r="B36" s="138"/>
      <c r="C36" s="138"/>
      <c r="D36" s="138"/>
      <c r="E36" s="138"/>
      <c r="F36" s="138"/>
      <c r="G36" s="138"/>
      <c r="H36" s="138"/>
      <c r="I36" s="139"/>
      <c r="J36" s="140">
        <f>SUMPRODUCT(J12:J35,K12:K35)</f>
        <v>636300</v>
      </c>
      <c r="K36" s="140"/>
    </row>
  </sheetData>
  <mergeCells count="46">
    <mergeCell ref="A36:I36"/>
    <mergeCell ref="J36:K36"/>
    <mergeCell ref="C33:G33"/>
    <mergeCell ref="C34:G34"/>
    <mergeCell ref="C35:G35"/>
    <mergeCell ref="C22:G22"/>
    <mergeCell ref="C23:G23"/>
    <mergeCell ref="C30:G30"/>
    <mergeCell ref="C31:G31"/>
    <mergeCell ref="C32:G32"/>
    <mergeCell ref="C24:G24"/>
    <mergeCell ref="C25:G25"/>
    <mergeCell ref="C26:G26"/>
    <mergeCell ref="C27:G27"/>
    <mergeCell ref="C29:G29"/>
    <mergeCell ref="C28:G28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workbookViewId="0">
      <selection activeCell="X13" sqref="X13"/>
    </sheetView>
  </sheetViews>
  <sheetFormatPr baseColWidth="10" defaultColWidth="11" defaultRowHeight="13.5" x14ac:dyDescent="0.25"/>
  <cols>
    <col min="1" max="5" width="4.42578125" style="39" customWidth="1"/>
    <col min="6" max="6" width="5.85546875" style="39" customWidth="1"/>
    <col min="7" max="7" width="4.42578125" style="40" customWidth="1"/>
    <col min="8" max="14" width="4.42578125" style="39" customWidth="1"/>
    <col min="15" max="15" width="14.85546875" style="39" customWidth="1"/>
    <col min="16" max="16" width="18.85546875" style="39" customWidth="1"/>
    <col min="17" max="17" width="18" style="39" customWidth="1"/>
    <col min="18" max="18" width="16.42578125" style="39" customWidth="1"/>
    <col min="19" max="16384" width="11" style="39"/>
  </cols>
  <sheetData>
    <row r="1" spans="1:17" ht="15.75" thickBot="1" x14ac:dyDescent="0.3">
      <c r="A1" s="143" t="s">
        <v>63</v>
      </c>
      <c r="B1" s="144"/>
      <c r="C1" s="144"/>
      <c r="D1" s="145">
        <f>'[1]Necesidades Trimestrales'!C6</f>
        <v>2021</v>
      </c>
      <c r="E1" s="146"/>
      <c r="F1" s="37"/>
      <c r="G1" s="37"/>
      <c r="H1" s="38"/>
      <c r="I1" s="38"/>
      <c r="J1" s="38"/>
      <c r="K1" s="38"/>
      <c r="L1" s="38"/>
      <c r="M1" s="38"/>
      <c r="N1" s="38"/>
      <c r="P1" s="147" t="s">
        <v>89</v>
      </c>
      <c r="Q1" s="148"/>
    </row>
    <row r="2" spans="1:17" ht="14.25" thickBot="1" x14ac:dyDescent="0.3">
      <c r="H2" s="38"/>
      <c r="I2" s="38"/>
      <c r="J2" s="38"/>
      <c r="K2" s="38"/>
      <c r="L2" s="38"/>
      <c r="M2" s="38"/>
      <c r="N2" s="38"/>
      <c r="P2" s="149"/>
      <c r="Q2" s="150"/>
    </row>
    <row r="3" spans="1:17" ht="26.25" customHeight="1" thickBot="1" x14ac:dyDescent="0.3"/>
    <row r="4" spans="1:17" ht="17.25" thickBot="1" x14ac:dyDescent="0.35">
      <c r="A4" s="151" t="s">
        <v>90</v>
      </c>
      <c r="B4" s="152"/>
      <c r="C4" s="152"/>
      <c r="D4" s="152"/>
      <c r="E4" s="152"/>
      <c r="F4" s="153"/>
      <c r="G4" s="154" t="s">
        <v>120</v>
      </c>
      <c r="H4" s="155"/>
      <c r="I4" s="155"/>
      <c r="J4" s="155"/>
      <c r="K4" s="155"/>
      <c r="L4" s="155"/>
      <c r="M4" s="155"/>
      <c r="N4" s="155"/>
      <c r="O4" s="155"/>
      <c r="P4" s="155"/>
      <c r="Q4" s="156"/>
    </row>
    <row r="5" spans="1:17" ht="34.5" customHeight="1" thickBot="1" x14ac:dyDescent="0.35">
      <c r="A5" s="157" t="s">
        <v>74</v>
      </c>
      <c r="B5" s="158"/>
      <c r="C5" s="158"/>
      <c r="D5" s="158"/>
      <c r="E5" s="158"/>
      <c r="F5" s="159"/>
      <c r="G5" s="160" t="s">
        <v>121</v>
      </c>
      <c r="H5" s="161"/>
      <c r="I5" s="161"/>
      <c r="J5" s="161"/>
      <c r="K5" s="161"/>
      <c r="L5" s="161"/>
      <c r="M5" s="161"/>
      <c r="N5" s="161"/>
      <c r="O5" s="161"/>
      <c r="P5" s="161"/>
      <c r="Q5" s="162"/>
    </row>
    <row r="6" spans="1:17" ht="17.25" thickBot="1" x14ac:dyDescent="0.35">
      <c r="A6" s="157" t="s">
        <v>75</v>
      </c>
      <c r="B6" s="158"/>
      <c r="C6" s="158"/>
      <c r="D6" s="158"/>
      <c r="E6" s="158"/>
      <c r="F6" s="159"/>
      <c r="G6" s="154" t="s">
        <v>87</v>
      </c>
      <c r="H6" s="155"/>
      <c r="I6" s="155"/>
      <c r="J6" s="155"/>
      <c r="K6" s="155"/>
      <c r="L6" s="155"/>
      <c r="M6" s="155"/>
      <c r="N6" s="155"/>
      <c r="O6" s="155"/>
      <c r="P6" s="155"/>
      <c r="Q6" s="156"/>
    </row>
    <row r="7" spans="1:17" ht="22.5" customHeight="1" thickBot="1" x14ac:dyDescent="0.35">
      <c r="A7" s="157" t="s">
        <v>76</v>
      </c>
      <c r="B7" s="158"/>
      <c r="C7" s="158"/>
      <c r="D7" s="158"/>
      <c r="E7" s="158"/>
      <c r="F7" s="159"/>
      <c r="G7" s="154" t="s">
        <v>88</v>
      </c>
      <c r="H7" s="155"/>
      <c r="I7" s="155"/>
      <c r="J7" s="155"/>
      <c r="K7" s="155"/>
      <c r="L7" s="155"/>
      <c r="M7" s="155"/>
      <c r="N7" s="155"/>
      <c r="O7" s="155"/>
      <c r="P7" s="155"/>
      <c r="Q7" s="156"/>
    </row>
    <row r="8" spans="1:17" ht="23.25" customHeight="1" thickBot="1" x14ac:dyDescent="0.3">
      <c r="A8" s="163" t="s">
        <v>91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5"/>
    </row>
    <row r="9" spans="1:17" ht="28.5" customHeight="1" x14ac:dyDescent="0.3">
      <c r="A9" s="141" t="s">
        <v>92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41"/>
      <c r="P9" s="41"/>
      <c r="Q9" s="42"/>
    </row>
    <row r="10" spans="1:17" ht="27.75" customHeight="1" x14ac:dyDescent="0.25">
      <c r="A10" s="172" t="s">
        <v>123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4"/>
    </row>
    <row r="11" spans="1:17" ht="27.75" customHeight="1" x14ac:dyDescent="0.25">
      <c r="A11" s="172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4"/>
    </row>
    <row r="12" spans="1:17" ht="21.75" customHeight="1" thickBot="1" x14ac:dyDescent="0.3">
      <c r="A12" s="172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4"/>
    </row>
    <row r="13" spans="1:17" ht="21.75" customHeight="1" thickBot="1" x14ac:dyDescent="0.3">
      <c r="A13" s="182" t="s">
        <v>93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4"/>
    </row>
    <row r="14" spans="1:17" ht="21.75" customHeight="1" thickBot="1" x14ac:dyDescent="0.3">
      <c r="A14" s="187" t="s">
        <v>94</v>
      </c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9"/>
      <c r="O14" s="190" t="s">
        <v>95</v>
      </c>
      <c r="P14" s="191"/>
      <c r="Q14" s="194" t="s">
        <v>96</v>
      </c>
    </row>
    <row r="15" spans="1:17" ht="21.75" customHeight="1" thickBot="1" x14ac:dyDescent="0.3">
      <c r="A15" s="43" t="s">
        <v>97</v>
      </c>
      <c r="B15" s="44" t="s">
        <v>98</v>
      </c>
      <c r="C15" s="44" t="s">
        <v>99</v>
      </c>
      <c r="D15" s="44" t="s">
        <v>100</v>
      </c>
      <c r="E15" s="44" t="s">
        <v>101</v>
      </c>
      <c r="F15" s="44" t="s">
        <v>102</v>
      </c>
      <c r="G15" s="45" t="s">
        <v>103</v>
      </c>
      <c r="H15" s="44" t="s">
        <v>104</v>
      </c>
      <c r="I15" s="44" t="s">
        <v>105</v>
      </c>
      <c r="J15" s="44" t="s">
        <v>106</v>
      </c>
      <c r="K15" s="44" t="s">
        <v>106</v>
      </c>
      <c r="L15" s="44" t="s">
        <v>107</v>
      </c>
      <c r="M15" s="46" t="s">
        <v>108</v>
      </c>
      <c r="N15" s="47" t="s">
        <v>109</v>
      </c>
      <c r="O15" s="192"/>
      <c r="P15" s="193"/>
      <c r="Q15" s="195"/>
    </row>
    <row r="16" spans="1:17" ht="21" customHeight="1" x14ac:dyDescent="0.25">
      <c r="A16" s="48">
        <v>9</v>
      </c>
      <c r="B16" s="49">
        <v>0</v>
      </c>
      <c r="C16" s="49">
        <v>0</v>
      </c>
      <c r="D16" s="49">
        <v>1</v>
      </c>
      <c r="E16" s="49">
        <v>0</v>
      </c>
      <c r="F16" s="49">
        <v>4901</v>
      </c>
      <c r="G16" s="49">
        <v>3</v>
      </c>
      <c r="H16" s="49">
        <v>2</v>
      </c>
      <c r="I16" s="49">
        <v>2</v>
      </c>
      <c r="J16" s="49">
        <v>1</v>
      </c>
      <c r="K16" s="49">
        <v>1</v>
      </c>
      <c r="L16" s="49">
        <v>0</v>
      </c>
      <c r="M16" s="49">
        <v>1</v>
      </c>
      <c r="N16" s="49" t="s">
        <v>110</v>
      </c>
      <c r="O16" s="185" t="s">
        <v>124</v>
      </c>
      <c r="P16" s="186"/>
      <c r="Q16" s="50">
        <v>636300</v>
      </c>
    </row>
    <row r="17" spans="1:18" ht="19.5" customHeight="1" x14ac:dyDescent="0.25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179"/>
      <c r="P17" s="180"/>
      <c r="Q17" s="53"/>
    </row>
    <row r="18" spans="1:18" ht="26.25" customHeight="1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179"/>
      <c r="P18" s="180"/>
      <c r="Q18" s="53"/>
    </row>
    <row r="19" spans="1:18" ht="22.5" customHeight="1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181"/>
      <c r="P19" s="181"/>
      <c r="Q19" s="53"/>
      <c r="R19" s="54"/>
    </row>
    <row r="20" spans="1:18" ht="22.5" customHeight="1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179"/>
      <c r="P20" s="180"/>
      <c r="Q20" s="53"/>
    </row>
    <row r="21" spans="1:18" x14ac:dyDescent="0.25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177"/>
      <c r="P21" s="177"/>
      <c r="Q21" s="53"/>
      <c r="R21" s="54"/>
    </row>
    <row r="22" spans="1:18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177"/>
      <c r="P22" s="177"/>
      <c r="Q22" s="53"/>
    </row>
    <row r="23" spans="1:18" x14ac:dyDescent="0.25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175"/>
      <c r="P23" s="176"/>
      <c r="Q23" s="53"/>
      <c r="R23" s="54"/>
    </row>
    <row r="24" spans="1:18" x14ac:dyDescent="0.25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177"/>
      <c r="P24" s="177"/>
      <c r="Q24" s="53"/>
    </row>
    <row r="25" spans="1:18" ht="14.25" thickBot="1" x14ac:dyDescent="0.3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178"/>
      <c r="P25" s="178"/>
      <c r="Q25" s="57"/>
      <c r="R25" s="54"/>
    </row>
    <row r="26" spans="1:18" ht="38.25" customHeight="1" thickBot="1" x14ac:dyDescent="0.3">
      <c r="A26" s="196" t="str">
        <f>+'Nota de Pedido NO PERECEDEROS'!A36:I36</f>
        <v>COSTO TOTAL ESTIMADO: SEISCIENTOS TREINTA Y SEIS MIL TRESCIENTOS CON 00/100.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8"/>
      <c r="Q26" s="58">
        <f>SUM(Q16:Q25)</f>
        <v>636300</v>
      </c>
      <c r="R26" s="54"/>
    </row>
    <row r="27" spans="1:18" ht="14.25" thickBot="1" x14ac:dyDescent="0.3">
      <c r="A27" s="199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1"/>
    </row>
    <row r="28" spans="1:18" ht="17.25" thickBot="1" x14ac:dyDescent="0.3">
      <c r="A28" s="202" t="s">
        <v>111</v>
      </c>
      <c r="B28" s="203"/>
      <c r="C28" s="203"/>
      <c r="D28" s="203"/>
      <c r="E28" s="203"/>
      <c r="F28" s="204"/>
      <c r="G28" s="205"/>
      <c r="H28" s="206"/>
      <c r="I28" s="206"/>
      <c r="J28" s="206"/>
      <c r="K28" s="206"/>
      <c r="L28" s="206"/>
      <c r="M28" s="206"/>
      <c r="N28" s="206"/>
      <c r="O28" s="206"/>
      <c r="P28" s="206"/>
      <c r="Q28" s="207"/>
    </row>
    <row r="29" spans="1:18" x14ac:dyDescent="0.25">
      <c r="A29" s="166" t="s">
        <v>125</v>
      </c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</row>
    <row r="30" spans="1:18" ht="14.25" thickBot="1" x14ac:dyDescent="0.3">
      <c r="A30" s="169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1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 NO PERECEDEROS</vt:lpstr>
      <vt:lpstr>Nota de Pedido NO PERECEDEROS</vt:lpstr>
      <vt:lpstr>APG NO PERECEDEROS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2021-08-13T14:12:48Z</dcterms:modified>
</cp:coreProperties>
</file>