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sistema genitourinario y hormonas\HSJB\"/>
    </mc:Choice>
  </mc:AlternateContent>
  <xr:revisionPtr revIDLastSave="0" documentId="13_ncr:1_{3574502B-37FA-4648-B3F2-96B4621229F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NotaPedido!$A$1:$K$25</definedName>
  </definedNames>
  <calcPr calcId="181029"/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K17" i="2"/>
  <c r="K18" i="2"/>
  <c r="K19" i="2"/>
  <c r="K20" i="2"/>
  <c r="K21" i="2"/>
  <c r="K22" i="2"/>
  <c r="K23" i="2"/>
  <c r="K24" i="2"/>
  <c r="C16" i="2"/>
  <c r="C17" i="2"/>
  <c r="C18" i="2"/>
  <c r="C19" i="2"/>
  <c r="C20" i="2"/>
  <c r="C21" i="2"/>
  <c r="C22" i="2"/>
  <c r="C23" i="2"/>
  <c r="C24" i="2"/>
  <c r="J18" i="2"/>
  <c r="J19" i="2"/>
  <c r="J20" i="2"/>
  <c r="J21" i="2"/>
  <c r="J22" i="2"/>
  <c r="J23" i="2"/>
  <c r="J24" i="2"/>
  <c r="I17" i="2"/>
  <c r="I18" i="2"/>
  <c r="I19" i="2"/>
  <c r="I20" i="2"/>
  <c r="I21" i="2"/>
  <c r="I22" i="2"/>
  <c r="I23" i="2"/>
  <c r="I24" i="2"/>
  <c r="A26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25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<sst xmlns="http://schemas.openxmlformats.org/spreadsheetml/2006/main" count="145" uniqueCount="109">
  <si>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</si>
  <si>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</si>
  <si>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</si>
  <si>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</si>
  <si>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</si>
  <si>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</si>
  <si>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</si>
  <si>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</si>
  <si>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</si>
  <si>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</si>
  <si>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</si>
  <si>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</si>
  <si>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</si>
  <si>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</si>
  <si>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</si>
  <si>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</si>
  <si>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</si>
  <si>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</si>
  <si>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</si>
  <si>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</si>
  <si>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</si>
  <si>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</si>
  <si>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</si>
  <si>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</si>
  <si>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</si>
  <si>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</si>
  <si>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</si>
  <si>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</si>
  <si>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</si>
  <si>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</si>
  <si>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</si>
  <si>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</si>
  <si>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</si>
  <si>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</si>
  <si>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</si>
  <si>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</si>
  <si>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</si>
  <si>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</si>
  <si>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</si>
  <si>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</si>
  <si>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</si>
  <si>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</si>
  <si>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</si>
  <si>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</si>
  <si>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</si>
  <si>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</si>
  <si>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</si>
  <si>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</si>
  <si>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</si>
  <si>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</si>
  <si>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</si>
  <si>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</si>
  <si>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</si>
  <si>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</si>
  <si>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</si>
  <si>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</si>
  <si>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</si>
  <si>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</si>
  <si>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</si>
  <si>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</si>
  <si>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</si>
  <si>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</si>
  <si>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</si>
  <si>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</si>
  <si>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</si>
  <si>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>2.5.2-1875.74</t>
  </si>
  <si>
    <t>PROD. MEDICO/FARMACEUTICOS/LAB</t>
  </si>
  <si>
    <t>ANTIASMATICO BRONCODILATADOR; TIPO: MONODROGA, DROGA GENERICA: AMINOFILINA 240MGR, FORMA FARMACEUTICA: AMPOLLA, PRESENTACION: ENVASE X 10 ML</t>
  </si>
  <si>
    <t>AMPOLLA</t>
  </si>
  <si>
    <t>2.5.2-1855.83</t>
  </si>
  <si>
    <t>CORTICOESTEROIDES; TIPO: ASOCIACION, DROGA GENERICA: BETAMETASONA ACETATO+FOSFATO, FORMA FARMACEUTICA: AMPOLLA, PRESENTACION: ENVASE X 2 mL</t>
  </si>
  <si>
    <t>2.5.2-2476.50</t>
  </si>
  <si>
    <t>ANTIALERGICOS-ANTIHISTAMINICOS; TIPO: MONODROGA, DROGA GENERICA: BUDESONIDA 1 MG/ML, FORMA FARMACEUTICA: GOTAS, PRESENTACION: ENVASE X 20 mL</t>
  </si>
  <si>
    <t>ENVASE</t>
  </si>
  <si>
    <t>2.5.2-2198.3</t>
  </si>
  <si>
    <t>ANTIDIURETICOS; DROGA GENERICA: DESMOPRESINA, FORMA FARMACEUTICA: AMPOLLA, PRESENTACION: 1 mL, TIPO: MONODROGA</t>
  </si>
  <si>
    <t>2.5.2-2476.44</t>
  </si>
  <si>
    <t>ANTIALERGICOS-ANTIHISTAMINICOS; TIPO: MONODROGA, DROGA GENERICA: DIFENHIDRAMINA, FORMA FARMACEUTICA: AMPOLLA, PRESENTACION: 10 mGr</t>
  </si>
  <si>
    <t>2.5.2-1875.108</t>
  </si>
  <si>
    <t>ANTIASMATICO BRONCODILATADOR; TIPO: MONODROGA, DROGA GENERICA: BROMURO DE IPRATROPIO 20 µGr, FORMA FARMACEUTICA: AEROSOL, PRESENTACION: UNIDAD</t>
  </si>
  <si>
    <t>UNIDAD</t>
  </si>
  <si>
    <t>2.5.2-1875.9</t>
  </si>
  <si>
    <t>ANTIASMATICO BRONCODILATADOR; TIPO: MONODROGA, DROGA GENERICA: BROMURO DE IPRATROPIO, FORMA FARMACEUTICA: SOLUCION, PRESENTACION: 20 mL</t>
  </si>
  <si>
    <t>GOTERO</t>
  </si>
  <si>
    <t>2.5.2-5559.10</t>
  </si>
  <si>
    <t>NORMALIZADORES TIROIDEOS; TIPO: MONODROGA, PRESENTACION: UNIDAD, DROGA GENERICA: LEVOTIROXINA 100 µGr, FORMA FARMACEUTICA: COMPRIMIDO</t>
  </si>
  <si>
    <t>COMPRIMIDO</t>
  </si>
  <si>
    <t>2.5.2-1821.487</t>
  </si>
  <si>
    <t>ANTIBIOTICOS P/PERSONAS; TIPO: MONODROGA, DROGA GENERICA: METRONIDAZOL, FORMA FARMACEUTICA: OVULO, PRESENTACION: UNIDAD</t>
  </si>
  <si>
    <t>2.5.2-1851.29</t>
  </si>
  <si>
    <t>GENITOURINARIO; TIPO: MONODROGA, DROGA GENÉRICA: NISTATINA, FORMA FARMACEÚTICA: COMPRIMIDO VAGINAL, PRESENTACIÓN: 100000 UI</t>
  </si>
  <si>
    <t>2.5.2-1723.122</t>
  </si>
  <si>
    <t>ANTISEPTICOS LOCALES P/PERSONA; TIPO: MONODROGA, DROGA GENERICA: NITROFURAZONA, FORMA FARMACEUTICA: APOSITO, PRESENTACION: ENVASE X 20 UN</t>
  </si>
  <si>
    <t>CAJA</t>
  </si>
  <si>
    <t>2.5.2-1883.189</t>
  </si>
  <si>
    <t>ANESTÉSICOS LOCALES; TIPO: ANALGÉSICO LOCAL Y ANTIBACTERIANO, DROGA GENÉRICA: LIDOCAÍNA + SULFADIAZINA + VITAMINA A, FORMA FARMACEÚTICA: CREMA, PRESENTACIÓN: ENVASE X 100 GR</t>
  </si>
  <si>
    <t>2.5.2-2481.3</t>
  </si>
  <si>
    <t>LAXANTES; TIPO: MONODROGA, DROGA GENERICA: VASELINA, FORMA FARMACEUTICA: SOLIDO, PRESENTACION: 1000 GR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</si>
  <si>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ítem.VENCIMIENTO DE MEDICAMENTOS: UN PLAZO NO MENOR A 24 MESES DE LA FECHA DE RECEPCION.</t>
  </si>
  <si>
    <t xml:space="preserve">PLAZO DE MANTENIMIENTO DE OFERTA: 45 DIAS HABILES </t>
  </si>
  <si>
    <t>PLAZO DE ENTREGA: 20 DIAS CORRIDOS EN EL SERVICIO DE FARMACIA - AVDA. ILLIA Y MARIANO MORENO - DEBIENDO CORRER LOS GASTOS DE FLETES, ACARREO, CARGA, DESCARGA Y SEGURO A CARGO DEL ADJUDICATARIO.</t>
  </si>
  <si>
    <t>20 dias corridos  - Servicio de Farmacia del HISJB - DEBIENDO CORRER LOS GASTOS DE FLETES, ACARREO, CARGA, DESCARGA Y SEGURO A CARGO DEL ADJUDICATARIO.</t>
  </si>
  <si>
    <t>Costo total estimado: ochocientos cuarenta y cuatro mil novecientos sesenta y dos con 00/100.---</t>
  </si>
  <si>
    <t xml:space="preserve">Adquisición de Medicamentos para Sistema Genitourinario y otros </t>
  </si>
  <si>
    <t>TOTAL DE PESOS: OCHOCIENTOS CUARENTA Y CUATRO MIL NOVECIENTOS SESENTA Y DOS CON 00/100.---</t>
  </si>
  <si>
    <t>DOCFI 2022 - 00874678 -CAT-DASIS#HSJB</t>
  </si>
  <si>
    <t>"Autorizo la realización de los  trámites correspondientes, a fin de proveer a  este Organismo los bienes y/o servicios que se detallan en Nota de Pedido N° DOCFI 2022 - 00874678-CAT-DASIS#HSJB,  afectando la erogación resultante a los créditos presupuestarios aprobados a favor de esta Unidad Ejecutora, conforme al siguiente detalle:"</t>
  </si>
  <si>
    <t>REVEER PLAZO DE 24 MESES</t>
  </si>
  <si>
    <t>DIAS CORRDIOS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</si>
</sst>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color rgb="FF000000"/>
      <name val="Arial"/>
      <family val="2"/>
    </font>
    <font>
      <sz val="20"/>
      <name val="Times New Roman"/>
      <family val="1"/>
    </font>
    <font>
      <sz val="8"/>
      <name val="Arial"/>
      <family val="2"/>
    </font>
    <font>
      <b/>
      <sz val="8"/>
      <name val="Arial"/>
      <family val="2"/>
      <charset val="1"/>
    </font>
    <font>
      <sz val="7"/>
      <name val="Arial"/>
      <family val="2"/>
      <charset val="1"/>
    </font>
    <font>
      <b/>
      <u/>
      <sz val="1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1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1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2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5" fillId="5" borderId="0" xfId="0" applyFont="1" applyFill="1"/>
    <xf numFmtId="0" fontId="28" fillId="0" borderId="0" xfId="0" applyFont="1" applyBorder="1" applyAlignment="1">
      <alignment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15" fillId="4" borderId="6" xfId="0" applyFont="1" applyFill="1" applyBorder="1" applyAlignment="1">
      <alignment horizontal="left" wrapText="1"/>
    </xf>
    <xf numFmtId="0" fontId="15" fillId="4" borderId="0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center"/>
    </xf>
    <xf numFmtId="0" fontId="15" fillId="3" borderId="14" xfId="0" applyFont="1" applyFill="1" applyBorder="1" applyAlignment="1">
      <alignment horizontal="center" vertical="center" wrapText="1"/>
    </xf>
    <xf numFmtId="0" fontId="25" fillId="3" borderId="21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 wrapText="1"/>
    </xf>
    <xf numFmtId="0" fontId="15" fillId="6" borderId="48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29" fillId="0" borderId="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6" fillId="0" borderId="32" xfId="0" applyFont="1" applyBorder="1" applyAlignment="1">
      <alignment horizontal="left" vertical="center" wrapText="1"/>
    </xf>
    <xf numFmtId="0" fontId="23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7" fillId="0" borderId="44" xfId="0" applyFont="1" applyBorder="1" applyAlignment="1">
      <alignment horizontal="left" vertical="center" wrapText="1"/>
    </xf>
    <xf numFmtId="0" fontId="0" fillId="0" borderId="22" xfId="0" applyBorder="1"/>
    <xf numFmtId="0" fontId="15" fillId="6" borderId="0" xfId="0" applyFont="1" applyFill="1"/>
    <xf numFmtId="0" fontId="15" fillId="0" borderId="20" xfId="0" applyFont="1" applyFill="1" applyBorder="1" applyAlignment="1">
      <alignment horizontal="center" vertical="center"/>
    </xf>
    <xf numFmtId="0" fontId="15" fillId="0" borderId="48" xfId="0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wrapText="1"/>
    </xf>
    <xf numFmtId="0" fontId="15" fillId="0" borderId="6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20" fillId="0" borderId="14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left" vertical="center" wrapText="1"/>
    </xf>
    <xf numFmtId="3" fontId="14" fillId="0" borderId="14" xfId="0" applyNumberFormat="1" applyFont="1" applyFill="1" applyBorder="1" applyAlignment="1">
      <alignment horizontal="center" vertical="center"/>
    </xf>
    <xf numFmtId="44" fontId="14" fillId="0" borderId="14" xfId="1" applyNumberFormat="1" applyFont="1" applyFill="1" applyBorder="1" applyAlignment="1">
      <alignment horizontal="center" vertical="center"/>
    </xf>
    <xf numFmtId="166" fontId="20" fillId="0" borderId="14" xfId="1" applyNumberFormat="1" applyFont="1" applyFill="1" applyBorder="1" applyAlignment="1" applyProtection="1">
      <alignment horizontal="right" vertical="center" wrapText="1"/>
    </xf>
    <xf numFmtId="0" fontId="0" fillId="0" borderId="14" xfId="0" applyFill="1" applyBorder="1" applyAlignment="1">
      <alignment vertical="center" wrapText="1"/>
    </xf>
    <xf numFmtId="0" fontId="24" fillId="0" borderId="14" xfId="0" applyFont="1" applyFill="1" applyBorder="1" applyAlignment="1">
      <alignment horizontal="left" vertical="center" wrapText="1"/>
    </xf>
    <xf numFmtId="44" fontId="14" fillId="0" borderId="14" xfId="1" applyNumberFormat="1" applyFont="1" applyFill="1" applyBorder="1" applyAlignment="1">
      <alignment horizontal="right" vertical="center"/>
    </xf>
    <xf numFmtId="3" fontId="14" fillId="0" borderId="14" xfId="5" applyNumberFormat="1" applyFont="1" applyFill="1" applyBorder="1" applyAlignment="1">
      <alignment horizontal="center" vertical="center"/>
    </xf>
    <xf numFmtId="3" fontId="14" fillId="0" borderId="14" xfId="1" applyNumberFormat="1" applyFont="1" applyFill="1" applyBorder="1" applyAlignment="1">
      <alignment horizontal="center" vertical="center"/>
    </xf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 3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1"/>
  <sheetViews>
    <sheetView tabSelected="1" topLeftCell="A18" zoomScale="85" zoomScaleNormal="85" workbookViewId="0">
      <selection activeCell="N19" sqref="N19"/>
    </sheetView>
  </sheetViews>
  <sheetFormatPr baseColWidth="10" defaultColWidth="11" defaultRowHeight="12.75" x14ac:dyDescent="0.2"/>
  <cols>
    <col min="1" max="1" width="4.5703125" style="38" customWidth="1"/>
    <col min="2" max="2" width="14" style="38" customWidth="1"/>
    <col min="3" max="3" width="32.42578125" style="38" customWidth="1"/>
    <col min="4" max="4" width="8.42578125" style="38" customWidth="1"/>
    <col min="5" max="5" width="79" style="38" customWidth="1"/>
    <col min="6" max="6" width="11.85546875" style="38" customWidth="1"/>
    <col min="7" max="7" width="12.7109375" style="38" customWidth="1"/>
    <col min="8" max="8" width="13.85546875" style="38" customWidth="1"/>
    <col min="9" max="9" width="18.5703125" style="38" customWidth="1"/>
    <col min="10" max="10" width="11" style="38"/>
    <col min="11" max="11" width="12.42578125" style="38" bestFit="1" customWidth="1"/>
    <col min="12" max="16384" width="11" style="38"/>
  </cols>
  <sheetData>
    <row r="2" spans="1:9" ht="27" x14ac:dyDescent="0.35">
      <c r="B2" s="72" t="s">
        <v>0</v>
      </c>
      <c r="C2" s="72"/>
      <c r="D2" s="72"/>
      <c r="E2" s="72"/>
      <c r="F2" s="72"/>
      <c r="G2" s="72"/>
      <c r="H2" s="72"/>
    </row>
    <row r="4" spans="1:9" ht="18" customHeight="1" x14ac:dyDescent="0.25">
      <c r="A4" s="73" t="s">
        <v>1</v>
      </c>
      <c r="B4" s="73"/>
      <c r="C4" s="74" t="s">
        <v>57</v>
      </c>
      <c r="D4" s="74"/>
      <c r="E4" s="74"/>
      <c r="F4" s="39"/>
      <c r="G4" s="40"/>
      <c r="H4" s="39"/>
    </row>
    <row r="5" spans="1:9" ht="18" customHeight="1" x14ac:dyDescent="0.25">
      <c r="A5" s="73" t="s">
        <v>2</v>
      </c>
      <c r="B5" s="73"/>
      <c r="C5" s="74" t="s">
        <v>58</v>
      </c>
      <c r="D5" s="74"/>
      <c r="E5" s="74"/>
      <c r="F5" s="39"/>
      <c r="G5" s="40"/>
      <c r="H5" s="39"/>
    </row>
    <row r="6" spans="1:9" ht="16.5" customHeight="1" x14ac:dyDescent="0.25">
      <c r="A6" s="73" t="s">
        <v>3</v>
      </c>
      <c r="B6" s="73"/>
      <c r="C6" s="55">
        <v>2022</v>
      </c>
      <c r="D6" s="56"/>
      <c r="E6" s="56"/>
      <c r="F6" s="39"/>
      <c r="G6" s="40"/>
      <c r="H6" s="39"/>
    </row>
    <row r="7" spans="1:9" ht="16.5" customHeight="1" x14ac:dyDescent="0.25">
      <c r="A7" s="73" t="s">
        <v>4</v>
      </c>
      <c r="B7" s="73"/>
      <c r="C7" s="55">
        <v>2</v>
      </c>
      <c r="D7" s="56"/>
      <c r="E7" s="56"/>
      <c r="F7" s="39"/>
      <c r="G7" s="40"/>
      <c r="H7" s="39"/>
    </row>
    <row r="8" spans="1:9" ht="13.5" thickBot="1" x14ac:dyDescent="0.25">
      <c r="B8" s="39"/>
      <c r="C8" s="40"/>
      <c r="D8" s="39"/>
      <c r="E8" s="39"/>
      <c r="F8" s="39"/>
      <c r="G8" s="40"/>
      <c r="H8" s="39"/>
    </row>
    <row r="9" spans="1:9" ht="39" thickBot="1" x14ac:dyDescent="0.25">
      <c r="A9" s="54" t="s">
        <v>5</v>
      </c>
      <c r="B9" s="54" t="s">
        <v>6</v>
      </c>
      <c r="C9" s="54" t="s">
        <v>7</v>
      </c>
      <c r="D9" s="54" t="s">
        <v>8</v>
      </c>
      <c r="E9" s="54" t="s">
        <v>9</v>
      </c>
      <c r="F9" s="54" t="s">
        <v>10</v>
      </c>
      <c r="G9" s="54" t="s">
        <v>11</v>
      </c>
      <c r="H9" s="54" t="s">
        <v>12</v>
      </c>
      <c r="I9" s="54" t="s">
        <v>13</v>
      </c>
    </row>
    <row r="10" spans="1:9" s="70" customFormat="1" ht="31.9" customHeight="1" thickBot="1" x14ac:dyDescent="0.25">
      <c r="A10" s="134">
        <v>1</v>
      </c>
      <c r="B10" s="135" t="s">
        <v>65</v>
      </c>
      <c r="C10" s="136" t="s">
        <v>66</v>
      </c>
      <c r="D10" s="137">
        <v>252</v>
      </c>
      <c r="E10" s="138" t="s">
        <v>67</v>
      </c>
      <c r="F10" s="135" t="s">
        <v>68</v>
      </c>
      <c r="G10" s="139">
        <v>100</v>
      </c>
      <c r="H10" s="140">
        <v>86</v>
      </c>
      <c r="I10" s="141">
        <f t="shared" ref="I10:I22" si="0">G10*H10</f>
        <v>8600</v>
      </c>
    </row>
    <row r="11" spans="1:9" s="70" customFormat="1" ht="31.9" customHeight="1" thickBot="1" x14ac:dyDescent="0.25">
      <c r="A11" s="134">
        <v>2</v>
      </c>
      <c r="B11" s="135" t="s">
        <v>69</v>
      </c>
      <c r="C11" s="142" t="s">
        <v>66</v>
      </c>
      <c r="D11" s="137">
        <v>252</v>
      </c>
      <c r="E11" s="143" t="s">
        <v>70</v>
      </c>
      <c r="F11" s="135" t="s">
        <v>68</v>
      </c>
      <c r="G11" s="139">
        <v>400</v>
      </c>
      <c r="H11" s="140">
        <v>447</v>
      </c>
      <c r="I11" s="141">
        <f t="shared" si="0"/>
        <v>178800</v>
      </c>
    </row>
    <row r="12" spans="1:9" s="70" customFormat="1" ht="31.9" customHeight="1" thickBot="1" x14ac:dyDescent="0.25">
      <c r="A12" s="134">
        <v>3</v>
      </c>
      <c r="B12" s="135" t="s">
        <v>71</v>
      </c>
      <c r="C12" s="142" t="s">
        <v>66</v>
      </c>
      <c r="D12" s="137">
        <v>252</v>
      </c>
      <c r="E12" s="143" t="s">
        <v>72</v>
      </c>
      <c r="F12" s="135" t="s">
        <v>73</v>
      </c>
      <c r="G12" s="139">
        <v>20</v>
      </c>
      <c r="H12" s="140">
        <v>327</v>
      </c>
      <c r="I12" s="141">
        <f t="shared" si="0"/>
        <v>6540</v>
      </c>
    </row>
    <row r="13" spans="1:9" s="70" customFormat="1" ht="31.9" customHeight="1" thickBot="1" x14ac:dyDescent="0.25">
      <c r="A13" s="134">
        <v>4</v>
      </c>
      <c r="B13" s="135" t="s">
        <v>74</v>
      </c>
      <c r="C13" s="142" t="s">
        <v>66</v>
      </c>
      <c r="D13" s="137">
        <v>252</v>
      </c>
      <c r="E13" s="143" t="s">
        <v>75</v>
      </c>
      <c r="F13" s="135" t="s">
        <v>68</v>
      </c>
      <c r="G13" s="139">
        <v>20</v>
      </c>
      <c r="H13" s="140">
        <v>1125.7</v>
      </c>
      <c r="I13" s="141">
        <f t="shared" si="0"/>
        <v>22514</v>
      </c>
    </row>
    <row r="14" spans="1:9" s="70" customFormat="1" ht="31.9" customHeight="1" thickBot="1" x14ac:dyDescent="0.25">
      <c r="A14" s="134">
        <v>5</v>
      </c>
      <c r="B14" s="135" t="s">
        <v>76</v>
      </c>
      <c r="C14" s="142" t="s">
        <v>66</v>
      </c>
      <c r="D14" s="137">
        <v>252</v>
      </c>
      <c r="E14" s="143" t="s">
        <v>77</v>
      </c>
      <c r="F14" s="135" t="s">
        <v>68</v>
      </c>
      <c r="G14" s="139">
        <v>6000</v>
      </c>
      <c r="H14" s="140">
        <v>55</v>
      </c>
      <c r="I14" s="141">
        <f t="shared" si="0"/>
        <v>330000</v>
      </c>
    </row>
    <row r="15" spans="1:9" s="70" customFormat="1" ht="31.9" customHeight="1" thickBot="1" x14ac:dyDescent="0.25">
      <c r="A15" s="134">
        <v>6</v>
      </c>
      <c r="B15" s="135" t="s">
        <v>78</v>
      </c>
      <c r="C15" s="136" t="s">
        <v>66</v>
      </c>
      <c r="D15" s="137">
        <v>252</v>
      </c>
      <c r="E15" s="143" t="s">
        <v>79</v>
      </c>
      <c r="F15" s="135" t="s">
        <v>80</v>
      </c>
      <c r="G15" s="139">
        <v>50</v>
      </c>
      <c r="H15" s="140">
        <v>966</v>
      </c>
      <c r="I15" s="141">
        <f t="shared" si="0"/>
        <v>48300</v>
      </c>
    </row>
    <row r="16" spans="1:9" s="70" customFormat="1" ht="31.9" customHeight="1" thickBot="1" x14ac:dyDescent="0.25">
      <c r="A16" s="134">
        <v>7</v>
      </c>
      <c r="B16" s="135" t="s">
        <v>81</v>
      </c>
      <c r="C16" s="142" t="s">
        <v>66</v>
      </c>
      <c r="D16" s="137">
        <v>252</v>
      </c>
      <c r="E16" s="143" t="s">
        <v>82</v>
      </c>
      <c r="F16" s="135" t="s">
        <v>83</v>
      </c>
      <c r="G16" s="139">
        <v>50</v>
      </c>
      <c r="H16" s="140">
        <v>98</v>
      </c>
      <c r="I16" s="141">
        <f t="shared" si="0"/>
        <v>4900</v>
      </c>
    </row>
    <row r="17" spans="1:9" s="70" customFormat="1" ht="31.9" customHeight="1" thickBot="1" x14ac:dyDescent="0.25">
      <c r="A17" s="134">
        <v>8</v>
      </c>
      <c r="B17" s="135" t="s">
        <v>84</v>
      </c>
      <c r="C17" s="142" t="s">
        <v>66</v>
      </c>
      <c r="D17" s="137">
        <v>252</v>
      </c>
      <c r="E17" s="143" t="s">
        <v>85</v>
      </c>
      <c r="F17" s="135" t="s">
        <v>86</v>
      </c>
      <c r="G17" s="139">
        <v>300</v>
      </c>
      <c r="H17" s="140">
        <v>17.8</v>
      </c>
      <c r="I17" s="141">
        <f t="shared" si="0"/>
        <v>5340</v>
      </c>
    </row>
    <row r="18" spans="1:9" s="70" customFormat="1" ht="31.9" customHeight="1" thickBot="1" x14ac:dyDescent="0.25">
      <c r="A18" s="134">
        <v>9</v>
      </c>
      <c r="B18" s="135" t="s">
        <v>87</v>
      </c>
      <c r="C18" s="142" t="s">
        <v>66</v>
      </c>
      <c r="D18" s="137">
        <v>252</v>
      </c>
      <c r="E18" s="143" t="s">
        <v>88</v>
      </c>
      <c r="F18" s="135" t="s">
        <v>80</v>
      </c>
      <c r="G18" s="139">
        <v>200</v>
      </c>
      <c r="H18" s="144">
        <v>47.24</v>
      </c>
      <c r="I18" s="141">
        <f t="shared" si="0"/>
        <v>9448</v>
      </c>
    </row>
    <row r="19" spans="1:9" s="70" customFormat="1" ht="31.9" customHeight="1" thickBot="1" x14ac:dyDescent="0.25">
      <c r="A19" s="134">
        <v>10</v>
      </c>
      <c r="B19" s="135" t="s">
        <v>89</v>
      </c>
      <c r="C19" s="142" t="s">
        <v>66</v>
      </c>
      <c r="D19" s="137">
        <v>252</v>
      </c>
      <c r="E19" s="143" t="s">
        <v>90</v>
      </c>
      <c r="F19" s="135" t="s">
        <v>86</v>
      </c>
      <c r="G19" s="145">
        <v>200</v>
      </c>
      <c r="H19" s="144">
        <v>22.7</v>
      </c>
      <c r="I19" s="141">
        <f t="shared" si="0"/>
        <v>4540</v>
      </c>
    </row>
    <row r="20" spans="1:9" s="70" customFormat="1" ht="31.9" customHeight="1" thickBot="1" x14ac:dyDescent="0.25">
      <c r="A20" s="134">
        <v>11</v>
      </c>
      <c r="B20" s="135" t="s">
        <v>91</v>
      </c>
      <c r="C20" s="142" t="s">
        <v>66</v>
      </c>
      <c r="D20" s="137">
        <v>252</v>
      </c>
      <c r="E20" s="143" t="s">
        <v>92</v>
      </c>
      <c r="F20" s="135" t="s">
        <v>93</v>
      </c>
      <c r="G20" s="145">
        <v>200</v>
      </c>
      <c r="H20" s="144">
        <v>663</v>
      </c>
      <c r="I20" s="141">
        <f t="shared" si="0"/>
        <v>132600</v>
      </c>
    </row>
    <row r="21" spans="1:9" s="70" customFormat="1" ht="45.75" customHeight="1" thickBot="1" x14ac:dyDescent="0.25">
      <c r="A21" s="134">
        <v>12</v>
      </c>
      <c r="B21" s="135" t="s">
        <v>94</v>
      </c>
      <c r="C21" s="142" t="s">
        <v>66</v>
      </c>
      <c r="D21" s="137">
        <v>252</v>
      </c>
      <c r="E21" s="138" t="s">
        <v>95</v>
      </c>
      <c r="F21" s="135" t="s">
        <v>73</v>
      </c>
      <c r="G21" s="146">
        <v>80</v>
      </c>
      <c r="H21" s="144">
        <v>1120</v>
      </c>
      <c r="I21" s="141">
        <f t="shared" si="0"/>
        <v>89600</v>
      </c>
    </row>
    <row r="22" spans="1:9" s="70" customFormat="1" ht="31.9" customHeight="1" thickBot="1" x14ac:dyDescent="0.25">
      <c r="A22" s="134">
        <v>13</v>
      </c>
      <c r="B22" s="135" t="s">
        <v>96</v>
      </c>
      <c r="C22" s="142" t="s">
        <v>66</v>
      </c>
      <c r="D22" s="137">
        <v>252</v>
      </c>
      <c r="E22" s="143" t="s">
        <v>97</v>
      </c>
      <c r="F22" s="135" t="s">
        <v>80</v>
      </c>
      <c r="G22" s="146">
        <v>3</v>
      </c>
      <c r="H22" s="140">
        <v>1260</v>
      </c>
      <c r="I22" s="141">
        <f t="shared" si="0"/>
        <v>3780</v>
      </c>
    </row>
    <row r="23" spans="1:9" ht="13.5" thickBot="1" x14ac:dyDescent="0.25"/>
    <row r="24" spans="1:9" ht="67.5" customHeight="1" thickBot="1" x14ac:dyDescent="0.25">
      <c r="C24" s="79" t="s">
        <v>98</v>
      </c>
      <c r="D24" s="80"/>
      <c r="E24" s="80"/>
      <c r="F24" s="126" t="s">
        <v>107</v>
      </c>
      <c r="G24" s="126"/>
      <c r="H24" s="126"/>
    </row>
    <row r="25" spans="1:9" ht="27.75" customHeight="1" thickBot="1" x14ac:dyDescent="0.25">
      <c r="C25" s="127" t="s">
        <v>99</v>
      </c>
      <c r="D25" s="128"/>
      <c r="E25" s="129"/>
    </row>
    <row r="26" spans="1:9" ht="36" customHeight="1" thickBot="1" x14ac:dyDescent="0.25">
      <c r="C26" s="81" t="s">
        <v>100</v>
      </c>
      <c r="D26" s="82"/>
      <c r="E26" s="83"/>
      <c r="F26" s="132" t="s">
        <v>108</v>
      </c>
      <c r="G26" s="133"/>
    </row>
    <row r="27" spans="1:9" ht="13.5" thickBot="1" x14ac:dyDescent="0.25"/>
    <row r="28" spans="1:9" x14ac:dyDescent="0.2">
      <c r="B28" s="41" t="s">
        <v>14</v>
      </c>
      <c r="C28" s="42"/>
      <c r="D28" s="42"/>
      <c r="E28" s="43"/>
    </row>
    <row r="29" spans="1:9" ht="5.25" customHeight="1" x14ac:dyDescent="0.2">
      <c r="B29" s="44"/>
      <c r="C29" s="45"/>
      <c r="D29" s="45"/>
      <c r="E29" s="46"/>
    </row>
    <row r="30" spans="1:9" x14ac:dyDescent="0.2">
      <c r="B30" s="47" t="s">
        <v>15</v>
      </c>
      <c r="C30" s="45"/>
      <c r="D30" s="45"/>
      <c r="E30" s="46"/>
    </row>
    <row r="31" spans="1:9" ht="41.25" customHeight="1" x14ac:dyDescent="0.2">
      <c r="B31" s="47"/>
      <c r="C31" s="130"/>
      <c r="D31" s="130"/>
      <c r="E31" s="130"/>
    </row>
    <row r="32" spans="1:9" x14ac:dyDescent="0.2">
      <c r="B32" s="47" t="s">
        <v>16</v>
      </c>
      <c r="C32" s="45"/>
      <c r="D32" s="45"/>
      <c r="E32" s="46"/>
    </row>
    <row r="33" spans="2:5" ht="36.75" customHeight="1" x14ac:dyDescent="0.2">
      <c r="B33" s="48"/>
      <c r="C33" s="76" t="s">
        <v>101</v>
      </c>
      <c r="D33" s="76"/>
      <c r="E33" s="77"/>
    </row>
    <row r="34" spans="2:5" x14ac:dyDescent="0.2">
      <c r="B34" s="48"/>
      <c r="C34" s="78"/>
      <c r="D34" s="78"/>
      <c r="E34" s="78"/>
    </row>
    <row r="35" spans="2:5" x14ac:dyDescent="0.2">
      <c r="B35" s="47" t="s">
        <v>17</v>
      </c>
      <c r="C35" s="45"/>
      <c r="D35" s="45"/>
      <c r="E35" s="46"/>
    </row>
    <row r="36" spans="2:5" ht="26.25" customHeight="1" x14ac:dyDescent="0.2">
      <c r="B36" s="48"/>
      <c r="C36" s="130"/>
      <c r="D36" s="130"/>
      <c r="E36" s="130"/>
    </row>
    <row r="37" spans="2:5" x14ac:dyDescent="0.2">
      <c r="B37" s="47" t="s">
        <v>18</v>
      </c>
      <c r="C37" s="49"/>
      <c r="D37" s="49"/>
      <c r="E37" s="50"/>
    </row>
    <row r="38" spans="2:5" ht="26.25" customHeight="1" x14ac:dyDescent="0.2">
      <c r="B38" s="48"/>
      <c r="C38" s="75" t="s">
        <v>62</v>
      </c>
      <c r="D38" s="75"/>
      <c r="E38" s="75"/>
    </row>
    <row r="39" spans="2:5" x14ac:dyDescent="0.2">
      <c r="B39" s="47" t="s">
        <v>19</v>
      </c>
      <c r="C39" s="45"/>
      <c r="D39" s="45"/>
      <c r="E39" s="46"/>
    </row>
    <row r="40" spans="2:5" ht="23.25" customHeight="1" x14ac:dyDescent="0.2">
      <c r="B40" s="47"/>
      <c r="C40" s="131"/>
      <c r="D40" s="131"/>
      <c r="E40" s="131"/>
    </row>
    <row r="41" spans="2:5" x14ac:dyDescent="0.2">
      <c r="B41" s="51"/>
      <c r="C41" s="52"/>
      <c r="D41" s="52"/>
      <c r="E41" s="53"/>
    </row>
  </sheetData>
  <mergeCells count="17">
    <mergeCell ref="F26:G26"/>
    <mergeCell ref="C36:E36"/>
    <mergeCell ref="C38:E38"/>
    <mergeCell ref="C40:E40"/>
    <mergeCell ref="A6:B6"/>
    <mergeCell ref="A7:B7"/>
    <mergeCell ref="C31:E31"/>
    <mergeCell ref="C33:E33"/>
    <mergeCell ref="C34:E34"/>
    <mergeCell ref="C24:E24"/>
    <mergeCell ref="C25:E25"/>
    <mergeCell ref="C26:E26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5"/>
  <sheetViews>
    <sheetView topLeftCell="A4" zoomScale="70" zoomScaleNormal="70" workbookViewId="0">
      <selection activeCell="M12" sqref="M12:Q2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3.28515625" style="2" customWidth="1"/>
    <col min="10" max="10" width="14.7109375" style="2" customWidth="1"/>
    <col min="11" max="11" width="24.285156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84" t="s">
        <v>20</v>
      </c>
      <c r="B1" s="84"/>
      <c r="C1" s="84"/>
      <c r="D1" s="84"/>
      <c r="E1" s="84"/>
      <c r="F1" s="84"/>
      <c r="G1" s="84"/>
      <c r="H1" s="84"/>
      <c r="I1" s="84"/>
      <c r="J1" s="88" t="s">
        <v>105</v>
      </c>
      <c r="K1" s="89"/>
    </row>
    <row r="2" spans="1:11" ht="18.75" customHeight="1" thickBot="1" x14ac:dyDescent="0.25">
      <c r="A2" s="3"/>
      <c r="B2" s="3"/>
      <c r="C2" s="3"/>
      <c r="D2" s="4"/>
      <c r="E2" s="4"/>
      <c r="F2" s="4"/>
      <c r="G2" s="4"/>
      <c r="H2" s="4"/>
      <c r="I2" s="4"/>
      <c r="J2" s="4"/>
      <c r="K2" s="4"/>
    </row>
    <row r="3" spans="1:11" ht="18.75" customHeight="1" thickBot="1" x14ac:dyDescent="0.25">
      <c r="A3" s="85" t="s">
        <v>53</v>
      </c>
      <c r="B3" s="85"/>
      <c r="C3" s="85"/>
      <c r="D3" s="86" t="str">
        <f>'Necesidades Trimestrales'!C4</f>
        <v>40 - Ministerio de Salud</v>
      </c>
      <c r="E3" s="86"/>
      <c r="F3" s="86"/>
      <c r="G3" s="86"/>
      <c r="H3" s="86"/>
      <c r="I3" s="86"/>
      <c r="J3" s="86"/>
      <c r="K3" s="86"/>
    </row>
    <row r="4" spans="1:11" ht="18.75" customHeight="1" thickBot="1" x14ac:dyDescent="0.25">
      <c r="A4" s="87" t="s">
        <v>54</v>
      </c>
      <c r="B4" s="87"/>
      <c r="C4" s="87"/>
      <c r="D4" s="86" t="str">
        <f>'Necesidades Trimestrales'!C5</f>
        <v>23 - Hospital Interzonal San Juan Bautista</v>
      </c>
      <c r="E4" s="86"/>
      <c r="F4" s="86"/>
      <c r="G4" s="86"/>
      <c r="H4" s="86"/>
      <c r="I4" s="86"/>
      <c r="J4" s="86"/>
      <c r="K4" s="86"/>
    </row>
    <row r="5" spans="1:11" ht="18.75" customHeight="1" thickBot="1" x14ac:dyDescent="0.25">
      <c r="A5" s="87" t="s">
        <v>32</v>
      </c>
      <c r="B5" s="87"/>
      <c r="C5" s="87"/>
      <c r="D5" s="86" t="s">
        <v>59</v>
      </c>
      <c r="E5" s="86"/>
      <c r="F5" s="86"/>
      <c r="G5" s="86"/>
      <c r="H5" s="86"/>
      <c r="I5" s="86"/>
      <c r="J5" s="86"/>
      <c r="K5" s="86"/>
    </row>
    <row r="6" spans="1:11" ht="16.5" customHeight="1" thickBot="1" x14ac:dyDescent="0.25">
      <c r="A6" s="85" t="s">
        <v>55</v>
      </c>
      <c r="B6" s="85"/>
      <c r="C6" s="85"/>
      <c r="D6" s="86" t="s">
        <v>60</v>
      </c>
      <c r="E6" s="86"/>
      <c r="F6" s="86"/>
      <c r="G6" s="86"/>
      <c r="H6" s="86"/>
      <c r="I6" s="86"/>
      <c r="J6" s="86"/>
      <c r="K6" s="86"/>
    </row>
    <row r="7" spans="1:11" ht="16.5" customHeight="1" x14ac:dyDescent="0.2">
      <c r="A7" s="87" t="s">
        <v>21</v>
      </c>
      <c r="B7" s="87"/>
      <c r="C7" s="87"/>
      <c r="D7" s="86" t="str">
        <f>'Necesidades Trimestrales'!C7 &amp; "° Trimestre - Año " &amp; 'Necesidades Trimestrales'!C6</f>
        <v>2° Trimestre - Año 2022</v>
      </c>
      <c r="E7" s="86"/>
      <c r="F7" s="86"/>
      <c r="G7" s="86"/>
      <c r="H7" s="86"/>
      <c r="I7" s="86"/>
      <c r="J7" s="86"/>
      <c r="K7" s="86"/>
    </row>
    <row r="8" spans="1:11" ht="16.5" customHeight="1" x14ac:dyDescent="0.2">
      <c r="A8" s="92" t="s">
        <v>22</v>
      </c>
      <c r="B8" s="92"/>
      <c r="C8" s="92"/>
      <c r="D8" s="93" t="s">
        <v>103</v>
      </c>
      <c r="E8" s="93"/>
      <c r="F8" s="93"/>
      <c r="G8" s="93"/>
      <c r="H8" s="93"/>
      <c r="I8" s="93"/>
      <c r="J8" s="93"/>
      <c r="K8" s="93"/>
    </row>
    <row r="9" spans="1:11" ht="15.75" x14ac:dyDescent="0.2">
      <c r="A9" s="5"/>
      <c r="B9" s="5"/>
      <c r="C9" s="5"/>
      <c r="D9" s="6"/>
      <c r="E9" s="6"/>
      <c r="F9" s="6"/>
      <c r="G9" s="6"/>
      <c r="H9" s="6"/>
      <c r="I9" s="6"/>
      <c r="J9" s="6"/>
      <c r="K9" s="6"/>
    </row>
    <row r="10" spans="1:11" ht="18.75" customHeight="1" x14ac:dyDescent="0.2">
      <c r="A10" s="94" t="s">
        <v>23</v>
      </c>
      <c r="B10" s="95" t="s">
        <v>24</v>
      </c>
      <c r="C10" s="95" t="s">
        <v>25</v>
      </c>
      <c r="D10" s="95"/>
      <c r="E10" s="95"/>
      <c r="F10" s="95"/>
      <c r="G10" s="95"/>
      <c r="H10" s="95" t="s">
        <v>26</v>
      </c>
      <c r="I10" s="95" t="s">
        <v>27</v>
      </c>
      <c r="J10" s="95" t="s">
        <v>28</v>
      </c>
      <c r="K10" s="96" t="s">
        <v>29</v>
      </c>
    </row>
    <row r="11" spans="1:11" ht="24" customHeight="1" thickBot="1" x14ac:dyDescent="0.25">
      <c r="A11" s="94"/>
      <c r="B11" s="95"/>
      <c r="C11" s="95"/>
      <c r="D11" s="95"/>
      <c r="E11" s="95"/>
      <c r="F11" s="95"/>
      <c r="G11" s="95"/>
      <c r="H11" s="95"/>
      <c r="I11" s="95"/>
      <c r="J11" s="95"/>
      <c r="K11" s="96"/>
    </row>
    <row r="12" spans="1:11" ht="32.25" customHeight="1" thickBot="1" x14ac:dyDescent="0.25">
      <c r="A12" s="7">
        <v>1</v>
      </c>
      <c r="B12" s="57" t="str">
        <f>'Necesidades Trimestrales'!B10</f>
        <v>2.5.2-1875.74</v>
      </c>
      <c r="C12" s="97" t="str">
        <f>'Necesidades Trimestrales'!E10</f>
        <v>ANTIASMATICO BRONCODILATADOR; TIPO: MONODROGA, DROGA GENERICA: AMINOFILINA 240MGR, FORMA FARMACEUTICA: AMPOLLA, PRESENTACION: ENVASE X 10 ML</v>
      </c>
      <c r="D12" s="97"/>
      <c r="E12" s="97"/>
      <c r="F12" s="97"/>
      <c r="G12" s="97"/>
      <c r="H12" s="58" t="s">
        <v>56</v>
      </c>
      <c r="I12" s="59" t="str">
        <f>'Necesidades Trimestrales'!F10</f>
        <v>AMPOLLA</v>
      </c>
      <c r="J12" s="60">
        <f>'Necesidades Trimestrales'!H10</f>
        <v>86</v>
      </c>
      <c r="K12" s="61">
        <f>'Necesidades Trimestrales'!G10</f>
        <v>100</v>
      </c>
    </row>
    <row r="13" spans="1:11" ht="34.5" customHeight="1" thickBot="1" x14ac:dyDescent="0.25">
      <c r="A13" s="7">
        <v>2</v>
      </c>
      <c r="B13" s="57" t="str">
        <f>'Necesidades Trimestrales'!B11</f>
        <v>2.5.2-1855.83</v>
      </c>
      <c r="C13" s="97" t="str">
        <f>'Necesidades Trimestrales'!E11</f>
        <v>CORTICOESTEROIDES; TIPO: ASOCIACION, DROGA GENERICA: BETAMETASONA ACETATO+FOSFATO, FORMA FARMACEUTICA: AMPOLLA, PRESENTACION: ENVASE X 2 mL</v>
      </c>
      <c r="D13" s="97"/>
      <c r="E13" s="97"/>
      <c r="F13" s="97"/>
      <c r="G13" s="97"/>
      <c r="H13" s="58" t="s">
        <v>56</v>
      </c>
      <c r="I13" s="59" t="str">
        <f>'Necesidades Trimestrales'!F11</f>
        <v>AMPOLLA</v>
      </c>
      <c r="J13" s="60">
        <f>'Necesidades Trimestrales'!H11</f>
        <v>447</v>
      </c>
      <c r="K13" s="61">
        <f>'Necesidades Trimestrales'!G11</f>
        <v>400</v>
      </c>
    </row>
    <row r="14" spans="1:11" ht="45" customHeight="1" thickBot="1" x14ac:dyDescent="0.25">
      <c r="A14" s="7">
        <v>3</v>
      </c>
      <c r="B14" s="57" t="str">
        <f>'Necesidades Trimestrales'!B12</f>
        <v>2.5.2-2476.50</v>
      </c>
      <c r="C14" s="97" t="str">
        <f>'Necesidades Trimestrales'!E12</f>
        <v>ANTIALERGICOS-ANTIHISTAMINICOS; TIPO: MONODROGA, DROGA GENERICA: BUDESONIDA 1 MG/ML, FORMA FARMACEUTICA: GOTAS, PRESENTACION: ENVASE X 20 mL</v>
      </c>
      <c r="D14" s="97"/>
      <c r="E14" s="97"/>
      <c r="F14" s="97"/>
      <c r="G14" s="97"/>
      <c r="H14" s="58" t="s">
        <v>56</v>
      </c>
      <c r="I14" s="59" t="str">
        <f>'Necesidades Trimestrales'!F12</f>
        <v>ENVASE</v>
      </c>
      <c r="J14" s="60">
        <f>'Necesidades Trimestrales'!H12</f>
        <v>327</v>
      </c>
      <c r="K14" s="61">
        <f>'Necesidades Trimestrales'!G12</f>
        <v>20</v>
      </c>
    </row>
    <row r="15" spans="1:11" ht="33" customHeight="1" thickBot="1" x14ac:dyDescent="0.25">
      <c r="A15" s="7">
        <v>4</v>
      </c>
      <c r="B15" s="57" t="str">
        <f>'Necesidades Trimestrales'!B13</f>
        <v>2.5.2-2198.3</v>
      </c>
      <c r="C15" s="97" t="str">
        <f>'Necesidades Trimestrales'!E13</f>
        <v>ANTIDIURETICOS; DROGA GENERICA: DESMOPRESINA, FORMA FARMACEUTICA: AMPOLLA, PRESENTACION: 1 mL, TIPO: MONODROGA</v>
      </c>
      <c r="D15" s="97"/>
      <c r="E15" s="97"/>
      <c r="F15" s="97"/>
      <c r="G15" s="97"/>
      <c r="H15" s="58" t="s">
        <v>56</v>
      </c>
      <c r="I15" s="59" t="str">
        <f>'Necesidades Trimestrales'!F13</f>
        <v>AMPOLLA</v>
      </c>
      <c r="J15" s="60">
        <f>'Necesidades Trimestrales'!H13</f>
        <v>1125.7</v>
      </c>
      <c r="K15" s="61">
        <f>'Necesidades Trimestrales'!G13</f>
        <v>20</v>
      </c>
    </row>
    <row r="16" spans="1:11" ht="38.25" customHeight="1" thickBot="1" x14ac:dyDescent="0.25">
      <c r="A16" s="7">
        <v>5</v>
      </c>
      <c r="B16" s="57" t="str">
        <f>'Necesidades Trimestrales'!B14</f>
        <v>2.5.2-2476.44</v>
      </c>
      <c r="C16" s="97" t="str">
        <f>'Necesidades Trimestrales'!E14</f>
        <v>ANTIALERGICOS-ANTIHISTAMINICOS; TIPO: MONODROGA, DROGA GENERICA: DIFENHIDRAMINA, FORMA FARMACEUTICA: AMPOLLA, PRESENTACION: 10 mGr</v>
      </c>
      <c r="D16" s="97"/>
      <c r="E16" s="97"/>
      <c r="F16" s="97"/>
      <c r="G16" s="97"/>
      <c r="H16" s="58" t="s">
        <v>56</v>
      </c>
      <c r="I16" s="59" t="str">
        <f>'Necesidades Trimestrales'!F14</f>
        <v>AMPOLLA</v>
      </c>
      <c r="J16" s="60">
        <f>'Necesidades Trimestrales'!H14</f>
        <v>55</v>
      </c>
      <c r="K16" s="61">
        <f>'Necesidades Trimestrales'!G14</f>
        <v>6000</v>
      </c>
    </row>
    <row r="17" spans="1:1024" ht="39.75" customHeight="1" thickBot="1" x14ac:dyDescent="0.25">
      <c r="A17" s="7">
        <v>6</v>
      </c>
      <c r="B17" s="57" t="str">
        <f>'Necesidades Trimestrales'!B15</f>
        <v>2.5.2-1875.108</v>
      </c>
      <c r="C17" s="97" t="str">
        <f>'Necesidades Trimestrales'!E15</f>
        <v>ANTIASMATICO BRONCODILATADOR; TIPO: MONODROGA, DROGA GENERICA: BROMURO DE IPRATROPIO 20 µGr, FORMA FARMACEUTICA: AEROSOL, PRESENTACION: UNIDAD</v>
      </c>
      <c r="D17" s="97"/>
      <c r="E17" s="97"/>
      <c r="F17" s="97"/>
      <c r="G17" s="97"/>
      <c r="H17" s="58" t="s">
        <v>56</v>
      </c>
      <c r="I17" s="59" t="str">
        <f>'Necesidades Trimestrales'!F15</f>
        <v>UNIDAD</v>
      </c>
      <c r="J17" s="60">
        <f>'Necesidades Trimestrales'!H15</f>
        <v>966</v>
      </c>
      <c r="K17" s="61">
        <f>'Necesidades Trimestrales'!G15</f>
        <v>50</v>
      </c>
    </row>
    <row r="18" spans="1:1024" ht="42" customHeight="1" thickBot="1" x14ac:dyDescent="0.25">
      <c r="A18" s="7">
        <v>7</v>
      </c>
      <c r="B18" s="57" t="str">
        <f>'Necesidades Trimestrales'!B16</f>
        <v>2.5.2-1875.9</v>
      </c>
      <c r="C18" s="97" t="str">
        <f>'Necesidades Trimestrales'!E16</f>
        <v>ANTIASMATICO BRONCODILATADOR; TIPO: MONODROGA, DROGA GENERICA: BROMURO DE IPRATROPIO, FORMA FARMACEUTICA: SOLUCION, PRESENTACION: 20 mL</v>
      </c>
      <c r="D18" s="97"/>
      <c r="E18" s="97"/>
      <c r="F18" s="97"/>
      <c r="G18" s="97"/>
      <c r="H18" s="58" t="s">
        <v>56</v>
      </c>
      <c r="I18" s="59" t="str">
        <f>'Necesidades Trimestrales'!F16</f>
        <v>GOTERO</v>
      </c>
      <c r="J18" s="60">
        <f>'Necesidades Trimestrales'!H16</f>
        <v>98</v>
      </c>
      <c r="K18" s="61">
        <f>'Necesidades Trimestrales'!G16</f>
        <v>50</v>
      </c>
      <c r="Q18" s="71"/>
    </row>
    <row r="19" spans="1:1024" ht="33" customHeight="1" thickBot="1" x14ac:dyDescent="0.25">
      <c r="A19" s="7">
        <v>8</v>
      </c>
      <c r="B19" s="57" t="str">
        <f>'Necesidades Trimestrales'!B17</f>
        <v>2.5.2-5559.10</v>
      </c>
      <c r="C19" s="97" t="str">
        <f>'Necesidades Trimestrales'!E17</f>
        <v>NORMALIZADORES TIROIDEOS; TIPO: MONODROGA, PRESENTACION: UNIDAD, DROGA GENERICA: LEVOTIROXINA 100 µGr, FORMA FARMACEUTICA: COMPRIMIDO</v>
      </c>
      <c r="D19" s="97"/>
      <c r="E19" s="97"/>
      <c r="F19" s="97"/>
      <c r="G19" s="97"/>
      <c r="H19" s="58" t="s">
        <v>56</v>
      </c>
      <c r="I19" s="59" t="str">
        <f>'Necesidades Trimestrales'!F17</f>
        <v>COMPRIMIDO</v>
      </c>
      <c r="J19" s="60">
        <f>'Necesidades Trimestrales'!H17</f>
        <v>17.8</v>
      </c>
      <c r="K19" s="61">
        <f>'Necesidades Trimestrales'!G17</f>
        <v>300</v>
      </c>
    </row>
    <row r="20" spans="1:1024" ht="35.25" customHeight="1" thickBot="1" x14ac:dyDescent="0.25">
      <c r="A20" s="7">
        <v>9</v>
      </c>
      <c r="B20" s="57" t="str">
        <f>'Necesidades Trimestrales'!B18</f>
        <v>2.5.2-1821.487</v>
      </c>
      <c r="C20" s="97" t="str">
        <f>'Necesidades Trimestrales'!E18</f>
        <v>ANTIBIOTICOS P/PERSONAS; TIPO: MONODROGA, DROGA GENERICA: METRONIDAZOL, FORMA FARMACEUTICA: OVULO, PRESENTACION: UNIDAD</v>
      </c>
      <c r="D20" s="97"/>
      <c r="E20" s="97"/>
      <c r="F20" s="97"/>
      <c r="G20" s="97"/>
      <c r="H20" s="58" t="s">
        <v>56</v>
      </c>
      <c r="I20" s="59" t="str">
        <f>'Necesidades Trimestrales'!F18</f>
        <v>UNIDAD</v>
      </c>
      <c r="J20" s="60">
        <f>'Necesidades Trimestrales'!H18</f>
        <v>47.24</v>
      </c>
      <c r="K20" s="61">
        <f>'Necesidades Trimestrales'!G18</f>
        <v>200</v>
      </c>
    </row>
    <row r="21" spans="1:1024" ht="39.75" customHeight="1" thickBot="1" x14ac:dyDescent="0.25">
      <c r="A21" s="7">
        <v>10</v>
      </c>
      <c r="B21" s="57" t="str">
        <f>'Necesidades Trimestrales'!B19</f>
        <v>2.5.2-1851.29</v>
      </c>
      <c r="C21" s="97" t="str">
        <f>'Necesidades Trimestrales'!E19</f>
        <v>GENITOURINARIO; TIPO: MONODROGA, DROGA GENÉRICA: NISTATINA, FORMA FARMACEÚTICA: COMPRIMIDO VAGINAL, PRESENTACIÓN: 100000 UI</v>
      </c>
      <c r="D21" s="97"/>
      <c r="E21" s="97"/>
      <c r="F21" s="97"/>
      <c r="G21" s="97"/>
      <c r="H21" s="58" t="s">
        <v>56</v>
      </c>
      <c r="I21" s="59" t="str">
        <f>'Necesidades Trimestrales'!F19</f>
        <v>COMPRIMIDO</v>
      </c>
      <c r="J21" s="60">
        <f>'Necesidades Trimestrales'!H19</f>
        <v>22.7</v>
      </c>
      <c r="K21" s="61">
        <f>'Necesidades Trimestrales'!G19</f>
        <v>200</v>
      </c>
    </row>
    <row r="22" spans="1:1024" ht="32.25" customHeight="1" thickBot="1" x14ac:dyDescent="0.25">
      <c r="A22" s="7">
        <v>11</v>
      </c>
      <c r="B22" s="57" t="str">
        <f>'Necesidades Trimestrales'!B20</f>
        <v>2.5.2-1723.122</v>
      </c>
      <c r="C22" s="97" t="str">
        <f>'Necesidades Trimestrales'!E20</f>
        <v>ANTISEPTICOS LOCALES P/PERSONA; TIPO: MONODROGA, DROGA GENERICA: NITROFURAZONA, FORMA FARMACEUTICA: APOSITO, PRESENTACION: ENVASE X 20 UN</v>
      </c>
      <c r="D22" s="97"/>
      <c r="E22" s="97"/>
      <c r="F22" s="97"/>
      <c r="G22" s="97"/>
      <c r="H22" s="58" t="s">
        <v>56</v>
      </c>
      <c r="I22" s="59" t="str">
        <f>'Necesidades Trimestrales'!F20</f>
        <v>CAJA</v>
      </c>
      <c r="J22" s="60">
        <f>'Necesidades Trimestrales'!H20</f>
        <v>663</v>
      </c>
      <c r="K22" s="61">
        <f>'Necesidades Trimestrales'!G20</f>
        <v>200</v>
      </c>
    </row>
    <row r="23" spans="1:1024" ht="34.5" customHeight="1" thickBot="1" x14ac:dyDescent="0.25">
      <c r="A23" s="7">
        <v>12</v>
      </c>
      <c r="B23" s="57" t="str">
        <f>'Necesidades Trimestrales'!B21</f>
        <v>2.5.2-1883.189</v>
      </c>
      <c r="C23" s="97" t="str">
        <f>'Necesidades Trimestrales'!E21</f>
        <v>ANESTÉSICOS LOCALES; TIPO: ANALGÉSICO LOCAL Y ANTIBACTERIANO, DROGA GENÉRICA: LIDOCAÍNA + SULFADIAZINA + VITAMINA A, FORMA FARMACEÚTICA: CREMA, PRESENTACIÓN: ENVASE X 100 GR</v>
      </c>
      <c r="D23" s="97"/>
      <c r="E23" s="97"/>
      <c r="F23" s="97"/>
      <c r="G23" s="97"/>
      <c r="H23" s="58" t="s">
        <v>56</v>
      </c>
      <c r="I23" s="59" t="str">
        <f>'Necesidades Trimestrales'!F21</f>
        <v>ENVASE</v>
      </c>
      <c r="J23" s="60">
        <f>'Necesidades Trimestrales'!H21</f>
        <v>1120</v>
      </c>
      <c r="K23" s="61">
        <f>'Necesidades Trimestrales'!G21</f>
        <v>80</v>
      </c>
    </row>
    <row r="24" spans="1:1024" ht="39.75" customHeight="1" thickBot="1" x14ac:dyDescent="0.25">
      <c r="A24" s="7">
        <v>13</v>
      </c>
      <c r="B24" s="57" t="str">
        <f>'Necesidades Trimestrales'!B22</f>
        <v>2.5.2-2481.3</v>
      </c>
      <c r="C24" s="97" t="str">
        <f>'Necesidades Trimestrales'!E22</f>
        <v>LAXANTES; TIPO: MONODROGA, DROGA GENERICA: VASELINA, FORMA FARMACEUTICA: SOLIDO, PRESENTACION: 1000 GR</v>
      </c>
      <c r="D24" s="97"/>
      <c r="E24" s="97"/>
      <c r="F24" s="97"/>
      <c r="G24" s="97"/>
      <c r="H24" s="58" t="s">
        <v>56</v>
      </c>
      <c r="I24" s="59" t="str">
        <f>'Necesidades Trimestrales'!F22</f>
        <v>UNIDAD</v>
      </c>
      <c r="J24" s="60">
        <f>'Necesidades Trimestrales'!H22</f>
        <v>1260</v>
      </c>
      <c r="K24" s="61">
        <f>'Necesidades Trimestrales'!G22</f>
        <v>3</v>
      </c>
    </row>
    <row r="25" spans="1:1024" ht="20.25" customHeight="1" thickBot="1" x14ac:dyDescent="0.25">
      <c r="A25" s="90" t="s">
        <v>102</v>
      </c>
      <c r="B25" s="90"/>
      <c r="C25" s="90"/>
      <c r="D25" s="90"/>
      <c r="E25" s="90"/>
      <c r="F25" s="90"/>
      <c r="G25" s="90"/>
      <c r="H25" s="90"/>
      <c r="I25" s="90"/>
      <c r="J25" s="91">
        <f>SUMPRODUCT(J12:J24,K12:K24)</f>
        <v>844962</v>
      </c>
      <c r="K25" s="91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</sheetData>
  <mergeCells count="36">
    <mergeCell ref="C18:G18"/>
    <mergeCell ref="C19:G19"/>
    <mergeCell ref="C20:G20"/>
    <mergeCell ref="C13:G13"/>
    <mergeCell ref="C14:G14"/>
    <mergeCell ref="C15:G15"/>
    <mergeCell ref="C16:G16"/>
    <mergeCell ref="C17:G17"/>
    <mergeCell ref="A25:I25"/>
    <mergeCell ref="J25:K2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1:G21"/>
    <mergeCell ref="C22:G22"/>
    <mergeCell ref="C23:G23"/>
    <mergeCell ref="C24:G24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1:K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16" zoomScale="130" zoomScaleNormal="130" workbookViewId="0">
      <selection activeCell="O17" sqref="O17:P17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98" t="s">
        <v>3</v>
      </c>
      <c r="B1" s="98"/>
      <c r="C1" s="98"/>
      <c r="D1" s="99">
        <f>'Necesidades Trimestrales'!C6</f>
        <v>2022</v>
      </c>
      <c r="E1" s="99"/>
      <c r="F1" s="9"/>
      <c r="G1" s="9"/>
      <c r="H1" s="10"/>
      <c r="I1" s="10"/>
      <c r="J1" s="10"/>
      <c r="K1" s="10"/>
      <c r="L1" s="10"/>
      <c r="M1" s="10"/>
      <c r="N1" s="10"/>
      <c r="P1" s="100" t="s">
        <v>30</v>
      </c>
      <c r="Q1" s="100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00"/>
      <c r="Q2" s="100"/>
    </row>
    <row r="4" spans="1:17" s="11" customFormat="1" ht="18" customHeight="1" thickBot="1" x14ac:dyDescent="0.25">
      <c r="A4" s="101" t="s">
        <v>31</v>
      </c>
      <c r="B4" s="101"/>
      <c r="C4" s="101"/>
      <c r="D4" s="101"/>
      <c r="E4" s="101"/>
      <c r="F4" s="101"/>
      <c r="G4" s="102" t="str">
        <f>NotaPedido!D3</f>
        <v>40 - Ministerio de Salud</v>
      </c>
      <c r="H4" s="102"/>
      <c r="I4" s="102"/>
      <c r="J4" s="102"/>
      <c r="K4" s="102"/>
      <c r="L4" s="102"/>
      <c r="M4" s="102"/>
      <c r="N4" s="102"/>
      <c r="O4" s="102"/>
      <c r="P4" s="102"/>
      <c r="Q4" s="102"/>
    </row>
    <row r="5" spans="1:17" s="11" customFormat="1" ht="18" customHeight="1" thickBot="1" x14ac:dyDescent="0.25">
      <c r="A5" s="103" t="s">
        <v>54</v>
      </c>
      <c r="B5" s="104"/>
      <c r="C5" s="104"/>
      <c r="D5" s="104"/>
      <c r="E5" s="104"/>
      <c r="F5" s="105"/>
      <c r="G5" s="102" t="str">
        <f>NotaPedido!D4</f>
        <v>23 - Hospital Interzonal San Juan Bautista</v>
      </c>
      <c r="H5" s="102"/>
      <c r="I5" s="102"/>
      <c r="J5" s="102"/>
      <c r="K5" s="102"/>
      <c r="L5" s="102"/>
      <c r="M5" s="102"/>
      <c r="N5" s="102"/>
      <c r="O5" s="102"/>
      <c r="P5" s="102"/>
      <c r="Q5" s="102"/>
    </row>
    <row r="6" spans="1:17" s="11" customFormat="1" ht="18" customHeight="1" thickBot="1" x14ac:dyDescent="0.25">
      <c r="A6" s="103" t="s">
        <v>32</v>
      </c>
      <c r="B6" s="104"/>
      <c r="C6" s="104"/>
      <c r="D6" s="104"/>
      <c r="E6" s="104"/>
      <c r="F6" s="105"/>
      <c r="G6" s="102" t="str">
        <f>NotaPedido!D5</f>
        <v>168 - Direccion Asistencial</v>
      </c>
      <c r="H6" s="102"/>
      <c r="I6" s="102"/>
      <c r="J6" s="102"/>
      <c r="K6" s="102"/>
      <c r="L6" s="102"/>
      <c r="M6" s="102"/>
      <c r="N6" s="102"/>
      <c r="O6" s="102"/>
      <c r="P6" s="102"/>
      <c r="Q6" s="102"/>
    </row>
    <row r="7" spans="1:17" s="11" customFormat="1" ht="18" customHeight="1" thickBot="1" x14ac:dyDescent="0.25">
      <c r="A7" s="103" t="s">
        <v>55</v>
      </c>
      <c r="B7" s="104"/>
      <c r="C7" s="104"/>
      <c r="D7" s="104"/>
      <c r="E7" s="104"/>
      <c r="F7" s="105"/>
      <c r="G7" s="102" t="str">
        <f>NotaPedido!D6</f>
        <v>Servicio de Farmacia</v>
      </c>
      <c r="H7" s="102"/>
      <c r="I7" s="102"/>
      <c r="J7" s="102"/>
      <c r="K7" s="102"/>
      <c r="L7" s="102"/>
      <c r="M7" s="102"/>
      <c r="N7" s="102"/>
      <c r="O7" s="102"/>
      <c r="P7" s="102"/>
      <c r="Q7" s="102"/>
    </row>
    <row r="8" spans="1:17" ht="18" customHeight="1" thickBot="1" x14ac:dyDescent="0.25">
      <c r="A8" s="106" t="s">
        <v>33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</row>
    <row r="9" spans="1:17" ht="18" customHeight="1" x14ac:dyDescent="0.2">
      <c r="A9" s="107" t="s">
        <v>34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"/>
      <c r="P9" s="1"/>
      <c r="Q9" s="12"/>
    </row>
    <row r="10" spans="1:17" ht="54.75" customHeight="1" x14ac:dyDescent="0.2">
      <c r="A10" s="108" t="s">
        <v>106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09" t="s">
        <v>35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</row>
    <row r="13" spans="1:17" ht="15.75" customHeight="1" x14ac:dyDescent="0.2">
      <c r="A13" s="110" t="s">
        <v>36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1" t="s">
        <v>37</v>
      </c>
      <c r="P13" s="111"/>
      <c r="Q13" s="112" t="s">
        <v>38</v>
      </c>
    </row>
    <row r="14" spans="1:17" ht="15.75" customHeight="1" x14ac:dyDescent="0.2">
      <c r="A14" s="17" t="s">
        <v>39</v>
      </c>
      <c r="B14" s="18" t="s">
        <v>40</v>
      </c>
      <c r="C14" s="18" t="s">
        <v>41</v>
      </c>
      <c r="D14" s="18" t="s">
        <v>42</v>
      </c>
      <c r="E14" s="18" t="s">
        <v>43</v>
      </c>
      <c r="F14" s="18" t="s">
        <v>44</v>
      </c>
      <c r="G14" s="19" t="s">
        <v>45</v>
      </c>
      <c r="H14" s="18" t="s">
        <v>46</v>
      </c>
      <c r="I14" s="18" t="s">
        <v>47</v>
      </c>
      <c r="J14" s="18" t="s">
        <v>48</v>
      </c>
      <c r="K14" s="18" t="s">
        <v>48</v>
      </c>
      <c r="L14" s="18" t="s">
        <v>49</v>
      </c>
      <c r="M14" s="20" t="s">
        <v>50</v>
      </c>
      <c r="N14" s="21" t="s">
        <v>51</v>
      </c>
      <c r="O14" s="111"/>
      <c r="P14" s="111"/>
      <c r="Q14" s="112"/>
    </row>
    <row r="15" spans="1:17" ht="17.25" customHeight="1" x14ac:dyDescent="0.2">
      <c r="A15" s="64">
        <v>33</v>
      </c>
      <c r="B15" s="65"/>
      <c r="C15" s="65"/>
      <c r="D15" s="65">
        <v>2</v>
      </c>
      <c r="E15" s="65"/>
      <c r="F15" s="65">
        <v>4901</v>
      </c>
      <c r="G15" s="65">
        <v>3</v>
      </c>
      <c r="H15" s="66" t="s">
        <v>63</v>
      </c>
      <c r="I15" s="67">
        <v>2</v>
      </c>
      <c r="J15" s="67">
        <v>5</v>
      </c>
      <c r="K15" s="67">
        <v>2</v>
      </c>
      <c r="L15" s="65"/>
      <c r="M15" s="68">
        <v>1</v>
      </c>
      <c r="N15" s="66" t="s">
        <v>64</v>
      </c>
      <c r="O15" s="113" t="s">
        <v>61</v>
      </c>
      <c r="P15" s="113"/>
      <c r="Q15" s="22">
        <v>844962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62"/>
      <c r="I16" s="24"/>
      <c r="J16" s="24"/>
      <c r="K16" s="24"/>
      <c r="L16" s="24"/>
      <c r="M16" s="25"/>
      <c r="N16" s="63"/>
      <c r="O16" s="114"/>
      <c r="P16" s="114"/>
      <c r="Q16" s="27"/>
    </row>
    <row r="17" spans="1:19" ht="17.25" customHeight="1" x14ac:dyDescent="0.2">
      <c r="A17" s="23"/>
      <c r="B17" s="24"/>
      <c r="C17" s="24"/>
      <c r="D17" s="24"/>
      <c r="E17" s="24"/>
      <c r="F17" s="26"/>
      <c r="G17" s="24"/>
      <c r="H17" s="62"/>
      <c r="I17" s="24"/>
      <c r="J17" s="24"/>
      <c r="K17" s="24"/>
      <c r="L17" s="24"/>
      <c r="M17" s="25"/>
      <c r="N17" s="63"/>
      <c r="O17" s="114"/>
      <c r="P17" s="114"/>
      <c r="Q17" s="27"/>
      <c r="S17" s="69"/>
    </row>
    <row r="18" spans="1:19" ht="17.25" customHeight="1" x14ac:dyDescent="0.2">
      <c r="A18" s="23"/>
      <c r="B18" s="24"/>
      <c r="C18" s="24"/>
      <c r="D18" s="24"/>
      <c r="E18" s="24"/>
      <c r="F18" s="24"/>
      <c r="G18" s="24"/>
      <c r="H18" s="62"/>
      <c r="I18" s="24"/>
      <c r="J18" s="24"/>
      <c r="K18" s="24"/>
      <c r="L18" s="24"/>
      <c r="M18" s="25"/>
      <c r="N18" s="63"/>
      <c r="O18" s="115"/>
      <c r="P18" s="116"/>
      <c r="Q18" s="27"/>
    </row>
    <row r="19" spans="1:19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16"/>
      <c r="P19" s="116"/>
      <c r="Q19" s="27"/>
    </row>
    <row r="20" spans="1:19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16"/>
      <c r="P20" s="116"/>
      <c r="Q20" s="27"/>
    </row>
    <row r="21" spans="1:19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22"/>
      <c r="P21" s="122"/>
      <c r="Q21" s="27"/>
      <c r="R21" s="1"/>
    </row>
    <row r="22" spans="1:19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23"/>
      <c r="P22" s="123"/>
      <c r="Q22" s="36"/>
    </row>
    <row r="23" spans="1:19" ht="20.25" customHeight="1" x14ac:dyDescent="0.2">
      <c r="A23" s="124" t="s">
        <v>104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37">
        <f>SUM(Q15:Q22)</f>
        <v>844962</v>
      </c>
    </row>
    <row r="24" spans="1:19" ht="18" customHeight="1" thickBot="1" x14ac:dyDescent="0.25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</row>
    <row r="25" spans="1:19" ht="17.25" customHeight="1" thickBot="1" x14ac:dyDescent="0.25">
      <c r="A25" s="117" t="s">
        <v>52</v>
      </c>
      <c r="B25" s="118"/>
      <c r="C25" s="118"/>
      <c r="D25" s="118"/>
      <c r="E25" s="118"/>
      <c r="F25" s="119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</row>
    <row r="26" spans="1:19" ht="18" customHeight="1" thickBot="1" x14ac:dyDescent="0.25">
      <c r="A26" s="121" t="str">
        <f>"Para la "&amp; NotaPedido!D8 &amp;" para ser destinados al " &amp; NotaPedido!D6 &amp;"  del HISJB del Ministerio de Salud."</f>
        <v>Para la Adquisición de Medicamentos para Sistema Genitourinario y otros  para ser destinados al Servicio de Farmacia  del HISJB del Ministerio de Salud.</v>
      </c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</row>
    <row r="27" spans="1:19" ht="15" customHeight="1" x14ac:dyDescent="0.2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2022-05-27T14:46:52Z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