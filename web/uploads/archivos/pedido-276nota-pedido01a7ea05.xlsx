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CITACION6\Users\Public\backup_licitacion\PROGRAMACION SEGUNDO TRIMESTRE 2021\FARMACIA\MEDICAMENTOS\TERAPIA ANTIINFECCIOSA SISTEMICA Y OTROS\"/>
    </mc:Choice>
  </mc:AlternateContent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NotaPedido!$A$1:$K$36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31" i="1"/>
  <c r="I11" i="1"/>
  <c r="I10" i="1"/>
  <c r="I30" i="1"/>
  <c r="I24" i="1"/>
  <c r="I23" i="1"/>
  <c r="I13" i="1"/>
  <c r="I14" i="1"/>
  <c r="I28" i="1"/>
  <c r="I29" i="1"/>
  <c r="I26" i="1"/>
  <c r="I25" i="1"/>
  <c r="I32" i="1"/>
  <c r="I33" i="1"/>
  <c r="I20" i="1"/>
  <c r="I19" i="1"/>
  <c r="I27" i="1"/>
  <c r="I22" i="1"/>
  <c r="I21" i="1"/>
  <c r="I18" i="1"/>
  <c r="I17" i="1"/>
  <c r="I16" i="1"/>
  <c r="I15" i="1"/>
  <c r="I12" i="1"/>
  <c r="J36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<sst xmlns="http://schemas.openxmlformats.org/spreadsheetml/2006/main" count="196" uniqueCount="99">
  <si>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</si>
  <si>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</si>
  <si>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</si>
  <si>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</si>
  <si>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</si>
  <si>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</si>
  <si>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</si>
  <si>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</si>
  <si>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</si>
  <si>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</si>
  <si>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</si>
  <si>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</si>
  <si>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</si>
  <si>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</si>
  <si>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</si>
  <si>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</si>
  <si>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</si>
  <si>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</si>
  <si>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</si>
  <si>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</si>
  <si>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</si>
  <si>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</si>
  <si>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</si>
  <si>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</si>
  <si>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</si>
  <si>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</si>
  <si>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</si>
  <si>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</si>
  <si>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</si>
  <si>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</si>
  <si>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</si>
  <si>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</si>
  <si>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</si>
  <si>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</si>
  <si>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</si>
  <si>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</si>
  <si>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</si>
  <si>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</si>
  <si>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</si>
  <si>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</si>
  <si>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</si>
  <si>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</si>
  <si>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</si>
  <si>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</si>
  <si>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</si>
  <si>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</si>
  <si>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</si>
  <si>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</si>
  <si>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</si>
  <si>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</si>
  <si>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</si>
  <si>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</si>
  <si>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</si>
  <si>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</si>
  <si>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</si>
  <si>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</si>
  <si>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</si>
  <si>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</si>
  <si>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</si>
  <si>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</si>
  <si>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</si>
  <si>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</si>
  <si>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</si>
  <si>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</si>
  <si>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</si>
  <si>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</si>
  <si>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 xml:space="preserve">Adquisición de Medicamentos para Terapia Antiinfecciosa/Sueros Inmunes e Inmuglobulinas </t>
  </si>
  <si>
    <t xml:space="preserve">MEDICAMENTOS </t>
  </si>
  <si>
    <t>2.5.2</t>
  </si>
  <si>
    <t>AMPICILINA + SULBACTAM 1,5 MG FCO AMPOLLA</t>
  </si>
  <si>
    <t>UNIDAD</t>
  </si>
  <si>
    <t>CEFALEXINA 500 MG COMPRIMIDOS</t>
  </si>
  <si>
    <t>CEFALOTINA 1 GR. AMP.</t>
  </si>
  <si>
    <t>CEFTAZIDIMA 1G FCO AMPOLLA</t>
  </si>
  <si>
    <t>CEFTRIAXONA 1 GR FCO AMPOLLA *</t>
  </si>
  <si>
    <t>COTRIMOXAZOL(TRIMETOPRINA +SULFAMETOXAZOL)80MG/400MG AMPOLLA</t>
  </si>
  <si>
    <t>COTRIMOXAZOL(TRIMETOPRINA +SULFAMETOXAZOL)COMPRIMIDOS 160MG/800MG</t>
  </si>
  <si>
    <t>MEROPENEM 500MG</t>
  </si>
  <si>
    <t>CLARITROMICINA 500 MG COMPRIMIDO</t>
  </si>
  <si>
    <t>CLINDAMICINA 600 MG AMPOLLA</t>
  </si>
  <si>
    <t>VANCOMICINA 500 MG FCO AMP</t>
  </si>
  <si>
    <t>VANCOMICINA 1000 MG FCO AMP</t>
  </si>
  <si>
    <t>FOSFOMICINA 1GR FRASCO AMPOLLA</t>
  </si>
  <si>
    <t>LINEZOLID SOLUCION 2MG/ML X 300ML</t>
  </si>
  <si>
    <t>PERMETRINA LOCION</t>
  </si>
  <si>
    <t>PERMETRINA EMULSION</t>
  </si>
  <si>
    <t>ANFOTERICINA B VIAL 50 MG</t>
  </si>
  <si>
    <t>ANFOTERICINA B LIPOSOMAL VIAL 50 MG</t>
  </si>
  <si>
    <t>FLUCONAZOL 100 MG COMPRIMIDOS</t>
  </si>
  <si>
    <t>FLUCONAZOL 200 MG SACHET 100 ML</t>
  </si>
  <si>
    <t>RIFAMPICINA 600 MG VIAL</t>
  </si>
  <si>
    <t>ACICLOVIR 400 MG COMPRIMIDO</t>
  </si>
  <si>
    <t>ACICLOVIR 500 MG FCO AMPOLLA</t>
  </si>
  <si>
    <t>TIGECICLINA 50MG FCO AMPOLLA*</t>
  </si>
  <si>
    <t>10 dias - Servicio de Farmacia del HISJB - Avda. Illia y Mariano Moreno</t>
  </si>
  <si>
    <t>Costo total estimado: Nueve Millones cuatrocientos Noventa y Ocho mil quinientos cincuenta y tres con 10/100.------------</t>
  </si>
  <si>
    <t>TOTAL DE PESOS: NUEVE MILLONES CUATROCIENTOS NOVENTA Y OCHO MIL QUINIENTOS CINCUENTA Y TRES CON 10/100.-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</si>
  <si>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MEDICAMENTOS: UN PLAZO NO MENOR A 24 MESES DE LA FECHA DE RECEPCION.</t>
  </si>
  <si>
    <t>021 - 2021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</si>
</sst>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top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  <xf numFmtId="0" fontId="26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9"/>
  <sheetViews>
    <sheetView topLeftCell="A28" zoomScale="85" zoomScaleNormal="85" workbookViewId="0">
      <selection activeCell="H45" sqref="H45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6" t="s">
        <v>0</v>
      </c>
      <c r="C2" s="86"/>
      <c r="D2" s="86"/>
      <c r="E2" s="86"/>
      <c r="F2" s="86"/>
      <c r="G2" s="86"/>
      <c r="H2" s="86"/>
    </row>
    <row r="4" spans="1:9" ht="18" customHeight="1" x14ac:dyDescent="0.25">
      <c r="A4" s="82" t="s">
        <v>1</v>
      </c>
      <c r="B4" s="82"/>
      <c r="C4" s="87" t="s">
        <v>58</v>
      </c>
      <c r="D4" s="87"/>
      <c r="E4" s="87"/>
      <c r="F4" s="40"/>
      <c r="G4" s="41"/>
      <c r="H4" s="40"/>
    </row>
    <row r="5" spans="1:9" ht="18" customHeight="1" x14ac:dyDescent="0.25">
      <c r="A5" s="82" t="s">
        <v>2</v>
      </c>
      <c r="B5" s="82"/>
      <c r="C5" s="87" t="s">
        <v>59</v>
      </c>
      <c r="D5" s="87"/>
      <c r="E5" s="87"/>
      <c r="F5" s="40"/>
      <c r="G5" s="41"/>
      <c r="H5" s="40"/>
    </row>
    <row r="6" spans="1:9" ht="16.5" customHeight="1" x14ac:dyDescent="0.25">
      <c r="A6" s="82" t="s">
        <v>3</v>
      </c>
      <c r="B6" s="82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82" t="s">
        <v>4</v>
      </c>
      <c r="B7" s="82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/>
      <c r="C10" s="57" t="s">
        <v>67</v>
      </c>
      <c r="D10" s="58" t="s">
        <v>68</v>
      </c>
      <c r="E10" s="59" t="s">
        <v>91</v>
      </c>
      <c r="F10" s="60" t="s">
        <v>70</v>
      </c>
      <c r="G10" s="60">
        <v>100</v>
      </c>
      <c r="H10" s="61">
        <v>50</v>
      </c>
      <c r="I10" s="62">
        <f t="shared" ref="I10:I33" si="0">G10*H10</f>
        <v>5000</v>
      </c>
    </row>
    <row r="11" spans="1:9" ht="31.9" customHeight="1" thickBot="1" x14ac:dyDescent="0.25">
      <c r="A11" s="56">
        <v>2</v>
      </c>
      <c r="B11" s="60"/>
      <c r="C11" s="57" t="s">
        <v>67</v>
      </c>
      <c r="D11" s="58" t="s">
        <v>68</v>
      </c>
      <c r="E11" s="59" t="s">
        <v>92</v>
      </c>
      <c r="F11" s="60" t="s">
        <v>70</v>
      </c>
      <c r="G11" s="60">
        <v>150</v>
      </c>
      <c r="H11" s="61">
        <v>403</v>
      </c>
      <c r="I11" s="62">
        <f t="shared" si="0"/>
        <v>60450</v>
      </c>
    </row>
    <row r="12" spans="1:9" ht="31.9" customHeight="1" thickBot="1" x14ac:dyDescent="0.25">
      <c r="A12" s="56">
        <v>3</v>
      </c>
      <c r="B12" s="60"/>
      <c r="C12" s="57" t="s">
        <v>67</v>
      </c>
      <c r="D12" s="58" t="s">
        <v>68</v>
      </c>
      <c r="E12" s="59" t="s">
        <v>69</v>
      </c>
      <c r="F12" s="60" t="s">
        <v>70</v>
      </c>
      <c r="G12" s="60">
        <v>10000</v>
      </c>
      <c r="H12" s="61">
        <v>130</v>
      </c>
      <c r="I12" s="62">
        <f t="shared" si="0"/>
        <v>1300000</v>
      </c>
    </row>
    <row r="13" spans="1:9" ht="31.9" customHeight="1" thickBot="1" x14ac:dyDescent="0.25">
      <c r="A13" s="56">
        <v>4</v>
      </c>
      <c r="B13" s="60"/>
      <c r="C13" s="57" t="s">
        <v>67</v>
      </c>
      <c r="D13" s="58" t="s">
        <v>68</v>
      </c>
      <c r="E13" s="59" t="s">
        <v>87</v>
      </c>
      <c r="F13" s="60" t="s">
        <v>70</v>
      </c>
      <c r="G13" s="60">
        <v>10</v>
      </c>
      <c r="H13" s="61">
        <v>20692</v>
      </c>
      <c r="I13" s="62">
        <f t="shared" si="0"/>
        <v>206920</v>
      </c>
    </row>
    <row r="14" spans="1:9" ht="31.9" customHeight="1" thickBot="1" x14ac:dyDescent="0.25">
      <c r="A14" s="56">
        <v>5</v>
      </c>
      <c r="B14" s="60"/>
      <c r="C14" s="57" t="s">
        <v>67</v>
      </c>
      <c r="D14" s="58" t="s">
        <v>68</v>
      </c>
      <c r="E14" s="59" t="s">
        <v>86</v>
      </c>
      <c r="F14" s="60" t="s">
        <v>70</v>
      </c>
      <c r="G14" s="60">
        <v>20</v>
      </c>
      <c r="H14" s="61">
        <v>3500</v>
      </c>
      <c r="I14" s="62">
        <f t="shared" si="0"/>
        <v>70000</v>
      </c>
    </row>
    <row r="15" spans="1:9" ht="31.9" customHeight="1" thickBot="1" x14ac:dyDescent="0.25">
      <c r="A15" s="56">
        <v>6</v>
      </c>
      <c r="B15" s="60"/>
      <c r="C15" s="57" t="s">
        <v>67</v>
      </c>
      <c r="D15" s="58" t="s">
        <v>68</v>
      </c>
      <c r="E15" s="59" t="s">
        <v>71</v>
      </c>
      <c r="F15" s="60" t="s">
        <v>70</v>
      </c>
      <c r="G15" s="60">
        <v>900</v>
      </c>
      <c r="H15" s="61">
        <v>32.83</v>
      </c>
      <c r="I15" s="62">
        <f t="shared" si="0"/>
        <v>29547</v>
      </c>
    </row>
    <row r="16" spans="1:9" ht="31.9" customHeight="1" thickBot="1" x14ac:dyDescent="0.25">
      <c r="A16" s="56">
        <v>7</v>
      </c>
      <c r="B16" s="60"/>
      <c r="C16" s="57" t="s">
        <v>67</v>
      </c>
      <c r="D16" s="58" t="s">
        <v>68</v>
      </c>
      <c r="E16" s="59" t="s">
        <v>72</v>
      </c>
      <c r="F16" s="60" t="s">
        <v>70</v>
      </c>
      <c r="G16" s="60">
        <v>3600</v>
      </c>
      <c r="H16" s="61">
        <v>1052</v>
      </c>
      <c r="I16" s="62">
        <f t="shared" si="0"/>
        <v>3787200</v>
      </c>
    </row>
    <row r="17" spans="1:9" ht="31.9" customHeight="1" thickBot="1" x14ac:dyDescent="0.25">
      <c r="A17" s="56">
        <v>8</v>
      </c>
      <c r="B17" s="60"/>
      <c r="C17" s="57" t="s">
        <v>67</v>
      </c>
      <c r="D17" s="58" t="s">
        <v>68</v>
      </c>
      <c r="E17" s="59" t="s">
        <v>73</v>
      </c>
      <c r="F17" s="60" t="s">
        <v>70</v>
      </c>
      <c r="G17" s="60">
        <v>2000</v>
      </c>
      <c r="H17" s="61">
        <v>101.6</v>
      </c>
      <c r="I17" s="62">
        <f t="shared" si="0"/>
        <v>203200</v>
      </c>
    </row>
    <row r="18" spans="1:9" ht="31.9" customHeight="1" thickBot="1" x14ac:dyDescent="0.25">
      <c r="A18" s="56">
        <v>9</v>
      </c>
      <c r="B18" s="60"/>
      <c r="C18" s="57" t="s">
        <v>67</v>
      </c>
      <c r="D18" s="58" t="s">
        <v>68</v>
      </c>
      <c r="E18" s="59" t="s">
        <v>74</v>
      </c>
      <c r="F18" s="60" t="s">
        <v>70</v>
      </c>
      <c r="G18" s="60">
        <v>3000</v>
      </c>
      <c r="H18" s="61">
        <v>144</v>
      </c>
      <c r="I18" s="62">
        <f t="shared" si="0"/>
        <v>432000</v>
      </c>
    </row>
    <row r="19" spans="1:9" ht="31.9" customHeight="1" thickBot="1" x14ac:dyDescent="0.25">
      <c r="A19" s="56">
        <v>10</v>
      </c>
      <c r="B19" s="60"/>
      <c r="C19" s="57" t="s">
        <v>67</v>
      </c>
      <c r="D19" s="58" t="s">
        <v>68</v>
      </c>
      <c r="E19" s="59" t="s">
        <v>78</v>
      </c>
      <c r="F19" s="60" t="s">
        <v>70</v>
      </c>
      <c r="G19" s="60">
        <v>1200</v>
      </c>
      <c r="H19" s="61">
        <v>104.5</v>
      </c>
      <c r="I19" s="62">
        <f t="shared" si="0"/>
        <v>125400</v>
      </c>
    </row>
    <row r="20" spans="1:9" ht="31.9" customHeight="1" thickBot="1" x14ac:dyDescent="0.25">
      <c r="A20" s="56">
        <v>11</v>
      </c>
      <c r="B20" s="60"/>
      <c r="C20" s="57" t="s">
        <v>67</v>
      </c>
      <c r="D20" s="58" t="s">
        <v>68</v>
      </c>
      <c r="E20" s="59" t="s">
        <v>79</v>
      </c>
      <c r="F20" s="60" t="s">
        <v>70</v>
      </c>
      <c r="G20" s="60">
        <v>6000</v>
      </c>
      <c r="H20" s="61">
        <v>93.77</v>
      </c>
      <c r="I20" s="62">
        <f t="shared" si="0"/>
        <v>562620</v>
      </c>
    </row>
    <row r="21" spans="1:9" ht="31.9" customHeight="1" thickBot="1" x14ac:dyDescent="0.25">
      <c r="A21" s="56">
        <v>12</v>
      </c>
      <c r="B21" s="60"/>
      <c r="C21" s="57" t="s">
        <v>67</v>
      </c>
      <c r="D21" s="58" t="s">
        <v>68</v>
      </c>
      <c r="E21" s="59" t="s">
        <v>75</v>
      </c>
      <c r="F21" s="60" t="s">
        <v>70</v>
      </c>
      <c r="G21" s="60">
        <v>1200</v>
      </c>
      <c r="H21" s="61">
        <v>228</v>
      </c>
      <c r="I21" s="62">
        <f t="shared" si="0"/>
        <v>273600</v>
      </c>
    </row>
    <row r="22" spans="1:9" ht="31.9" customHeight="1" thickBot="1" x14ac:dyDescent="0.25">
      <c r="A22" s="56">
        <v>13</v>
      </c>
      <c r="B22" s="60"/>
      <c r="C22" s="57" t="s">
        <v>67</v>
      </c>
      <c r="D22" s="58" t="s">
        <v>68</v>
      </c>
      <c r="E22" s="59" t="s">
        <v>76</v>
      </c>
      <c r="F22" s="60" t="s">
        <v>70</v>
      </c>
      <c r="G22" s="60">
        <v>600</v>
      </c>
      <c r="H22" s="61">
        <v>42.25</v>
      </c>
      <c r="I22" s="62">
        <f t="shared" si="0"/>
        <v>25350</v>
      </c>
    </row>
    <row r="23" spans="1:9" ht="31.9" customHeight="1" thickBot="1" x14ac:dyDescent="0.25">
      <c r="A23" s="56">
        <v>14</v>
      </c>
      <c r="B23" s="60"/>
      <c r="C23" s="57" t="s">
        <v>67</v>
      </c>
      <c r="D23" s="58" t="s">
        <v>68</v>
      </c>
      <c r="E23" s="59" t="s">
        <v>88</v>
      </c>
      <c r="F23" s="60" t="s">
        <v>70</v>
      </c>
      <c r="G23" s="60">
        <v>100</v>
      </c>
      <c r="H23" s="61">
        <v>395</v>
      </c>
      <c r="I23" s="62">
        <f t="shared" si="0"/>
        <v>39500</v>
      </c>
    </row>
    <row r="24" spans="1:9" ht="31.9" customHeight="1" thickBot="1" x14ac:dyDescent="0.25">
      <c r="A24" s="56">
        <v>15</v>
      </c>
      <c r="B24" s="60"/>
      <c r="C24" s="57" t="s">
        <v>67</v>
      </c>
      <c r="D24" s="58" t="s">
        <v>68</v>
      </c>
      <c r="E24" s="59" t="s">
        <v>89</v>
      </c>
      <c r="F24" s="60" t="s">
        <v>70</v>
      </c>
      <c r="G24" s="60">
        <v>200</v>
      </c>
      <c r="H24" s="61">
        <v>1275</v>
      </c>
      <c r="I24" s="62">
        <f t="shared" si="0"/>
        <v>255000</v>
      </c>
    </row>
    <row r="25" spans="1:9" ht="31.9" customHeight="1" thickBot="1" x14ac:dyDescent="0.25">
      <c r="A25" s="56">
        <v>16</v>
      </c>
      <c r="B25" s="60"/>
      <c r="C25" s="57" t="s">
        <v>67</v>
      </c>
      <c r="D25" s="58" t="s">
        <v>68</v>
      </c>
      <c r="E25" s="59" t="s">
        <v>82</v>
      </c>
      <c r="F25" s="60" t="s">
        <v>70</v>
      </c>
      <c r="G25" s="60">
        <v>20</v>
      </c>
      <c r="H25" s="61">
        <v>466</v>
      </c>
      <c r="I25" s="62">
        <f t="shared" si="0"/>
        <v>9320</v>
      </c>
    </row>
    <row r="26" spans="1:9" ht="31.9" customHeight="1" thickBot="1" x14ac:dyDescent="0.25">
      <c r="A26" s="56">
        <v>17</v>
      </c>
      <c r="B26" s="60"/>
      <c r="C26" s="57" t="s">
        <v>67</v>
      </c>
      <c r="D26" s="58" t="s">
        <v>68</v>
      </c>
      <c r="E26" s="59" t="s">
        <v>83</v>
      </c>
      <c r="F26" s="60" t="s">
        <v>70</v>
      </c>
      <c r="G26" s="60">
        <v>20</v>
      </c>
      <c r="H26" s="61">
        <v>1600.58</v>
      </c>
      <c r="I26" s="62">
        <f t="shared" si="0"/>
        <v>32011.599999999999</v>
      </c>
    </row>
    <row r="27" spans="1:9" ht="31.9" customHeight="1" thickBot="1" x14ac:dyDescent="0.25">
      <c r="A27" s="56">
        <v>18</v>
      </c>
      <c r="B27" s="60"/>
      <c r="C27" s="57" t="s">
        <v>67</v>
      </c>
      <c r="D27" s="58" t="s">
        <v>68</v>
      </c>
      <c r="E27" s="59" t="s">
        <v>77</v>
      </c>
      <c r="F27" s="60" t="s">
        <v>70</v>
      </c>
      <c r="G27" s="60">
        <v>50</v>
      </c>
      <c r="H27" s="61">
        <v>6573.37</v>
      </c>
      <c r="I27" s="62">
        <f t="shared" si="0"/>
        <v>328668.5</v>
      </c>
    </row>
    <row r="28" spans="1:9" ht="31.9" customHeight="1" thickBot="1" x14ac:dyDescent="0.25">
      <c r="A28" s="56">
        <v>19</v>
      </c>
      <c r="B28" s="60"/>
      <c r="C28" s="57" t="s">
        <v>67</v>
      </c>
      <c r="D28" s="58" t="s">
        <v>68</v>
      </c>
      <c r="E28" s="59" t="s">
        <v>85</v>
      </c>
      <c r="F28" s="60" t="s">
        <v>70</v>
      </c>
      <c r="G28" s="60">
        <v>20</v>
      </c>
      <c r="H28" s="61">
        <v>447</v>
      </c>
      <c r="I28" s="62">
        <f t="shared" si="0"/>
        <v>8940</v>
      </c>
    </row>
    <row r="29" spans="1:9" ht="31.9" customHeight="1" thickBot="1" x14ac:dyDescent="0.25">
      <c r="A29" s="56">
        <v>20</v>
      </c>
      <c r="B29" s="60"/>
      <c r="C29" s="57" t="s">
        <v>67</v>
      </c>
      <c r="D29" s="58" t="s">
        <v>68</v>
      </c>
      <c r="E29" s="59" t="s">
        <v>84</v>
      </c>
      <c r="F29" s="60" t="s">
        <v>70</v>
      </c>
      <c r="G29" s="60">
        <v>20</v>
      </c>
      <c r="H29" s="61">
        <v>470</v>
      </c>
      <c r="I29" s="62">
        <f t="shared" si="0"/>
        <v>9400</v>
      </c>
    </row>
    <row r="30" spans="1:9" ht="31.9" customHeight="1" thickBot="1" x14ac:dyDescent="0.25">
      <c r="A30" s="56">
        <v>21</v>
      </c>
      <c r="B30" s="60"/>
      <c r="C30" s="57" t="s">
        <v>67</v>
      </c>
      <c r="D30" s="58" t="s">
        <v>68</v>
      </c>
      <c r="E30" s="59" t="s">
        <v>90</v>
      </c>
      <c r="F30" s="60" t="s">
        <v>70</v>
      </c>
      <c r="G30" s="60">
        <v>50</v>
      </c>
      <c r="H30" s="61">
        <v>71.900000000000006</v>
      </c>
      <c r="I30" s="62">
        <f t="shared" si="0"/>
        <v>3595.0000000000005</v>
      </c>
    </row>
    <row r="31" spans="1:9" ht="31.9" customHeight="1" thickBot="1" x14ac:dyDescent="0.25">
      <c r="A31" s="56">
        <v>22</v>
      </c>
      <c r="B31" s="60"/>
      <c r="C31" s="57" t="s">
        <v>67</v>
      </c>
      <c r="D31" s="58" t="s">
        <v>68</v>
      </c>
      <c r="E31" s="59" t="s">
        <v>93</v>
      </c>
      <c r="F31" s="60" t="s">
        <v>70</v>
      </c>
      <c r="G31" s="60">
        <v>30</v>
      </c>
      <c r="H31" s="61">
        <v>330.7</v>
      </c>
      <c r="I31" s="62">
        <f t="shared" si="0"/>
        <v>9921</v>
      </c>
    </row>
    <row r="32" spans="1:9" ht="31.9" customHeight="1" thickBot="1" x14ac:dyDescent="0.25">
      <c r="A32" s="56">
        <v>23</v>
      </c>
      <c r="B32" s="60"/>
      <c r="C32" s="57" t="s">
        <v>67</v>
      </c>
      <c r="D32" s="58" t="s">
        <v>68</v>
      </c>
      <c r="E32" s="59" t="s">
        <v>81</v>
      </c>
      <c r="F32" s="60" t="s">
        <v>70</v>
      </c>
      <c r="G32" s="60">
        <v>360</v>
      </c>
      <c r="H32" s="61">
        <v>2149</v>
      </c>
      <c r="I32" s="62">
        <f t="shared" si="0"/>
        <v>773640</v>
      </c>
    </row>
    <row r="33" spans="1:9" ht="31.9" customHeight="1" thickBot="1" x14ac:dyDescent="0.25">
      <c r="A33" s="56">
        <v>24</v>
      </c>
      <c r="B33" s="60"/>
      <c r="C33" s="57" t="s">
        <v>67</v>
      </c>
      <c r="D33" s="58" t="s">
        <v>68</v>
      </c>
      <c r="E33" s="59" t="s">
        <v>80</v>
      </c>
      <c r="F33" s="60" t="s">
        <v>70</v>
      </c>
      <c r="G33" s="60">
        <v>500</v>
      </c>
      <c r="H33" s="61">
        <v>1894.54</v>
      </c>
      <c r="I33" s="62">
        <f t="shared" si="0"/>
        <v>947270</v>
      </c>
    </row>
    <row r="36" spans="1:9" x14ac:dyDescent="0.2">
      <c r="B36" s="42" t="s">
        <v>14</v>
      </c>
      <c r="C36" s="43"/>
      <c r="D36" s="43"/>
      <c r="E36" s="44"/>
    </row>
    <row r="37" spans="1:9" ht="5.25" customHeight="1" x14ac:dyDescent="0.2">
      <c r="B37" s="45"/>
      <c r="C37" s="46"/>
      <c r="D37" s="46"/>
      <c r="E37" s="47"/>
    </row>
    <row r="38" spans="1:9" x14ac:dyDescent="0.2">
      <c r="B38" s="48" t="s">
        <v>15</v>
      </c>
      <c r="C38" s="46"/>
      <c r="D38" s="46"/>
      <c r="E38" s="47"/>
    </row>
    <row r="39" spans="1:9" ht="67.5" customHeight="1" x14ac:dyDescent="0.2">
      <c r="B39" s="48"/>
      <c r="C39" s="83" t="s">
        <v>97</v>
      </c>
      <c r="D39" s="83"/>
      <c r="E39" s="83"/>
    </row>
    <row r="40" spans="1:9" x14ac:dyDescent="0.2">
      <c r="B40" s="48" t="s">
        <v>16</v>
      </c>
      <c r="C40" s="46"/>
      <c r="D40" s="46"/>
      <c r="E40" s="47"/>
    </row>
    <row r="41" spans="1:9" x14ac:dyDescent="0.2">
      <c r="B41" s="49"/>
      <c r="C41" s="84" t="s">
        <v>94</v>
      </c>
      <c r="D41" s="84"/>
      <c r="E41" s="84"/>
    </row>
    <row r="42" spans="1:9" x14ac:dyDescent="0.2">
      <c r="B42" s="49"/>
      <c r="C42" s="85"/>
      <c r="D42" s="85"/>
      <c r="E42" s="85"/>
    </row>
    <row r="43" spans="1:9" x14ac:dyDescent="0.2">
      <c r="B43" s="48" t="s">
        <v>17</v>
      </c>
      <c r="C43" s="46"/>
      <c r="D43" s="46"/>
      <c r="E43" s="47"/>
    </row>
    <row r="44" spans="1:9" ht="26.25" customHeight="1" x14ac:dyDescent="0.2">
      <c r="B44" s="49"/>
      <c r="C44" s="79"/>
      <c r="D44" s="79"/>
      <c r="E44" s="79"/>
    </row>
    <row r="45" spans="1:9" x14ac:dyDescent="0.2">
      <c r="B45" s="48" t="s">
        <v>18</v>
      </c>
      <c r="C45" s="50"/>
      <c r="D45" s="50"/>
      <c r="E45" s="51"/>
    </row>
    <row r="46" spans="1:9" ht="26.25" customHeight="1" x14ac:dyDescent="0.2">
      <c r="B46" s="49"/>
      <c r="C46" s="80" t="s">
        <v>63</v>
      </c>
      <c r="D46" s="80"/>
      <c r="E46" s="80"/>
    </row>
    <row r="47" spans="1:9" x14ac:dyDescent="0.2">
      <c r="B47" s="48" t="s">
        <v>19</v>
      </c>
      <c r="C47" s="46"/>
      <c r="D47" s="46"/>
      <c r="E47" s="47"/>
    </row>
    <row r="48" spans="1:9" ht="23.25" customHeight="1" x14ac:dyDescent="0.2">
      <c r="B48" s="48"/>
      <c r="C48" s="81"/>
      <c r="D48" s="81"/>
      <c r="E48" s="81"/>
    </row>
    <row r="49" spans="2:5" x14ac:dyDescent="0.2">
      <c r="B49" s="52"/>
      <c r="C49" s="53"/>
      <c r="D49" s="53"/>
      <c r="E49" s="54"/>
    </row>
  </sheetData>
  <sortState ref="C10:I33">
    <sortCondition ref="E10:E33"/>
  </sortState>
  <mergeCells count="13">
    <mergeCell ref="B2:H2"/>
    <mergeCell ref="A4:B4"/>
    <mergeCell ref="C4:E4"/>
    <mergeCell ref="A5:B5"/>
    <mergeCell ref="C5:E5"/>
    <mergeCell ref="C44:E44"/>
    <mergeCell ref="C46:E46"/>
    <mergeCell ref="C48:E48"/>
    <mergeCell ref="A6:B6"/>
    <mergeCell ref="A7:B7"/>
    <mergeCell ref="C39:E39"/>
    <mergeCell ref="C41:E41"/>
    <mergeCell ref="C42:E4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6"/>
  <sheetViews>
    <sheetView tabSelected="1" zoomScale="70" zoomScaleNormal="70" workbookViewId="0">
      <selection activeCell="S12" sqref="S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6" t="s">
        <v>20</v>
      </c>
      <c r="B1" s="96"/>
      <c r="C1" s="96"/>
      <c r="D1" s="96"/>
      <c r="E1" s="96"/>
      <c r="F1" s="96"/>
      <c r="G1" s="96"/>
      <c r="H1" s="96"/>
      <c r="I1" s="96"/>
      <c r="J1" s="3" t="s">
        <v>21</v>
      </c>
      <c r="K1" s="65" t="s">
        <v>98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7" t="s">
        <v>54</v>
      </c>
      <c r="B3" s="97"/>
      <c r="C3" s="97"/>
      <c r="D3" s="98" t="str">
        <f>'Necesidades Trimestrales'!C4</f>
        <v>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25">
      <c r="A4" s="99" t="s">
        <v>55</v>
      </c>
      <c r="B4" s="99"/>
      <c r="C4" s="99"/>
      <c r="D4" s="98" t="str">
        <f>'Necesidades Trimestrales'!C5</f>
        <v>23 - Hospital Interzonal San Juan Bautista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25">
      <c r="A5" s="99" t="s">
        <v>33</v>
      </c>
      <c r="B5" s="99"/>
      <c r="C5" s="99"/>
      <c r="D5" s="98" t="s">
        <v>60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25">
      <c r="A6" s="97" t="s">
        <v>56</v>
      </c>
      <c r="B6" s="97"/>
      <c r="C6" s="97"/>
      <c r="D6" s="98" t="s">
        <v>61</v>
      </c>
      <c r="E6" s="98"/>
      <c r="F6" s="98"/>
      <c r="G6" s="98"/>
      <c r="H6" s="98"/>
      <c r="I6" s="98"/>
      <c r="J6" s="98"/>
      <c r="K6" s="98"/>
    </row>
    <row r="7" spans="1:11" ht="16.5" customHeight="1" x14ac:dyDescent="0.2">
      <c r="A7" s="99" t="s">
        <v>22</v>
      </c>
      <c r="B7" s="99"/>
      <c r="C7" s="99"/>
      <c r="D7" s="98" t="str">
        <f>'Necesidades Trimestrales'!C7 &amp; "° Trimestre - Año " &amp; 'Necesidades Trimestrales'!C6</f>
        <v>2° Trimestre - Año 2021</v>
      </c>
      <c r="E7" s="98"/>
      <c r="F7" s="98"/>
      <c r="G7" s="98"/>
      <c r="H7" s="98"/>
      <c r="I7" s="98"/>
      <c r="J7" s="98"/>
      <c r="K7" s="98"/>
    </row>
    <row r="8" spans="1:11" ht="16.5" customHeight="1" x14ac:dyDescent="0.2">
      <c r="A8" s="91" t="s">
        <v>23</v>
      </c>
      <c r="B8" s="91"/>
      <c r="C8" s="91"/>
      <c r="D8" s="92" t="s">
        <v>66</v>
      </c>
      <c r="E8" s="92"/>
      <c r="F8" s="92"/>
      <c r="G8" s="92"/>
      <c r="H8" s="92"/>
      <c r="I8" s="92"/>
      <c r="J8" s="92"/>
      <c r="K8" s="9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3" t="s">
        <v>24</v>
      </c>
      <c r="B10" s="94" t="s">
        <v>25</v>
      </c>
      <c r="C10" s="94" t="s">
        <v>26</v>
      </c>
      <c r="D10" s="94"/>
      <c r="E10" s="94"/>
      <c r="F10" s="94"/>
      <c r="G10" s="94"/>
      <c r="H10" s="94" t="s">
        <v>27</v>
      </c>
      <c r="I10" s="94" t="s">
        <v>28</v>
      </c>
      <c r="J10" s="94" t="s">
        <v>29</v>
      </c>
      <c r="K10" s="95" t="s">
        <v>30</v>
      </c>
    </row>
    <row r="11" spans="1:11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20.25" customHeight="1" thickBot="1" x14ac:dyDescent="0.25">
      <c r="A12" s="8">
        <v>1</v>
      </c>
      <c r="B12" s="66">
        <f>'Necesidades Trimestrales'!B10</f>
        <v>0</v>
      </c>
      <c r="C12" s="88" t="str">
        <f>'Necesidades Trimestrales'!E10</f>
        <v>ACICLOVIR 400 MG COMPRIMIDO</v>
      </c>
      <c r="D12" s="88"/>
      <c r="E12" s="88"/>
      <c r="F12" s="88"/>
      <c r="G12" s="88"/>
      <c r="H12" s="67" t="s">
        <v>57</v>
      </c>
      <c r="I12" s="68" t="str">
        <f>'Necesidades Trimestrales'!F10</f>
        <v>UNIDAD</v>
      </c>
      <c r="J12" s="69">
        <f>'Necesidades Trimestrales'!H10</f>
        <v>50</v>
      </c>
      <c r="K12" s="70">
        <f>'Necesidades Trimestrales'!G10</f>
        <v>100</v>
      </c>
    </row>
    <row r="13" spans="1:11" ht="20.25" customHeight="1" thickBot="1" x14ac:dyDescent="0.25">
      <c r="A13" s="8">
        <v>2</v>
      </c>
      <c r="B13" s="66">
        <f>'Necesidades Trimestrales'!B11</f>
        <v>0</v>
      </c>
      <c r="C13" s="88" t="str">
        <f>'Necesidades Trimestrales'!E11</f>
        <v>ACICLOVIR 500 MG FCO AMPOLLA</v>
      </c>
      <c r="D13" s="88"/>
      <c r="E13" s="88"/>
      <c r="F13" s="88"/>
      <c r="G13" s="88"/>
      <c r="H13" s="67" t="s">
        <v>57</v>
      </c>
      <c r="I13" s="68" t="str">
        <f>'Necesidades Trimestrales'!F11</f>
        <v>UNIDAD</v>
      </c>
      <c r="J13" s="69">
        <f>'Necesidades Trimestrales'!H11</f>
        <v>403</v>
      </c>
      <c r="K13" s="70">
        <f>'Necesidades Trimestrales'!G11</f>
        <v>150</v>
      </c>
    </row>
    <row r="14" spans="1:11" ht="20.25" customHeight="1" thickBot="1" x14ac:dyDescent="0.25">
      <c r="A14" s="8">
        <v>3</v>
      </c>
      <c r="B14" s="66">
        <f>'Necesidades Trimestrales'!B12</f>
        <v>0</v>
      </c>
      <c r="C14" s="88" t="str">
        <f>'Necesidades Trimestrales'!E12</f>
        <v>AMPICILINA + SULBACTAM 1,5 MG FCO AMPOLLA</v>
      </c>
      <c r="D14" s="88"/>
      <c r="E14" s="88"/>
      <c r="F14" s="88"/>
      <c r="G14" s="88"/>
      <c r="H14" s="67" t="s">
        <v>57</v>
      </c>
      <c r="I14" s="68" t="str">
        <f>'Necesidades Trimestrales'!F12</f>
        <v>UNIDAD</v>
      </c>
      <c r="J14" s="69">
        <f>'Necesidades Trimestrales'!H12</f>
        <v>130</v>
      </c>
      <c r="K14" s="70">
        <f>'Necesidades Trimestrales'!G12</f>
        <v>10000</v>
      </c>
    </row>
    <row r="15" spans="1:11" ht="20.25" customHeight="1" thickBot="1" x14ac:dyDescent="0.25">
      <c r="A15" s="8">
        <v>4</v>
      </c>
      <c r="B15" s="66">
        <f>'Necesidades Trimestrales'!B13</f>
        <v>0</v>
      </c>
      <c r="C15" s="88" t="str">
        <f>'Necesidades Trimestrales'!E13</f>
        <v>ANFOTERICINA B LIPOSOMAL VIAL 50 MG</v>
      </c>
      <c r="D15" s="88"/>
      <c r="E15" s="88"/>
      <c r="F15" s="88"/>
      <c r="G15" s="88"/>
      <c r="H15" s="67" t="s">
        <v>57</v>
      </c>
      <c r="I15" s="68" t="str">
        <f>'Necesidades Trimestrales'!F13</f>
        <v>UNIDAD</v>
      </c>
      <c r="J15" s="69">
        <f>'Necesidades Trimestrales'!H13</f>
        <v>20692</v>
      </c>
      <c r="K15" s="70">
        <f>'Necesidades Trimestrales'!G13</f>
        <v>10</v>
      </c>
    </row>
    <row r="16" spans="1:11" ht="20.25" customHeight="1" thickBot="1" x14ac:dyDescent="0.25">
      <c r="A16" s="8">
        <v>5</v>
      </c>
      <c r="B16" s="66">
        <f>'Necesidades Trimestrales'!B14</f>
        <v>0</v>
      </c>
      <c r="C16" s="88" t="str">
        <f>'Necesidades Trimestrales'!E14</f>
        <v>ANFOTERICINA B VIAL 50 MG</v>
      </c>
      <c r="D16" s="88"/>
      <c r="E16" s="88"/>
      <c r="F16" s="88"/>
      <c r="G16" s="88"/>
      <c r="H16" s="67" t="s">
        <v>57</v>
      </c>
      <c r="I16" s="68" t="str">
        <f>'Necesidades Trimestrales'!F14</f>
        <v>UNIDAD</v>
      </c>
      <c r="J16" s="69">
        <f>'Necesidades Trimestrales'!H14</f>
        <v>3500</v>
      </c>
      <c r="K16" s="70">
        <f>'Necesidades Trimestrales'!G14</f>
        <v>20</v>
      </c>
    </row>
    <row r="17" spans="1:11" ht="20.25" customHeight="1" thickBot="1" x14ac:dyDescent="0.25">
      <c r="A17" s="8">
        <v>6</v>
      </c>
      <c r="B17" s="66">
        <f>'Necesidades Trimestrales'!B15</f>
        <v>0</v>
      </c>
      <c r="C17" s="88" t="str">
        <f>'Necesidades Trimestrales'!E15</f>
        <v>CEFALEXINA 500 MG COMPRIMIDOS</v>
      </c>
      <c r="D17" s="88"/>
      <c r="E17" s="88"/>
      <c r="F17" s="88"/>
      <c r="G17" s="88"/>
      <c r="H17" s="67" t="s">
        <v>57</v>
      </c>
      <c r="I17" s="68" t="str">
        <f>'Necesidades Trimestrales'!F15</f>
        <v>UNIDAD</v>
      </c>
      <c r="J17" s="69">
        <f>'Necesidades Trimestrales'!H15</f>
        <v>32.83</v>
      </c>
      <c r="K17" s="70">
        <f>'Necesidades Trimestrales'!G15</f>
        <v>900</v>
      </c>
    </row>
    <row r="18" spans="1:11" ht="20.25" customHeight="1" thickBot="1" x14ac:dyDescent="0.25">
      <c r="A18" s="8">
        <v>7</v>
      </c>
      <c r="B18" s="66">
        <f>'Necesidades Trimestrales'!B16</f>
        <v>0</v>
      </c>
      <c r="C18" s="88" t="str">
        <f>'Necesidades Trimestrales'!E16</f>
        <v>CEFALOTINA 1 GR. AMP.</v>
      </c>
      <c r="D18" s="88"/>
      <c r="E18" s="88"/>
      <c r="F18" s="88"/>
      <c r="G18" s="88"/>
      <c r="H18" s="67" t="s">
        <v>57</v>
      </c>
      <c r="I18" s="68" t="str">
        <f>'Necesidades Trimestrales'!F16</f>
        <v>UNIDAD</v>
      </c>
      <c r="J18" s="69">
        <f>'Necesidades Trimestrales'!H16</f>
        <v>1052</v>
      </c>
      <c r="K18" s="70">
        <f>'Necesidades Trimestrales'!G16</f>
        <v>3600</v>
      </c>
    </row>
    <row r="19" spans="1:11" ht="20.25" customHeight="1" thickBot="1" x14ac:dyDescent="0.25">
      <c r="A19" s="8">
        <v>8</v>
      </c>
      <c r="B19" s="66">
        <f>'Necesidades Trimestrales'!B17</f>
        <v>0</v>
      </c>
      <c r="C19" s="88" t="str">
        <f>'Necesidades Trimestrales'!E17</f>
        <v>CEFTAZIDIMA 1G FCO AMPOLLA</v>
      </c>
      <c r="D19" s="88"/>
      <c r="E19" s="88"/>
      <c r="F19" s="88"/>
      <c r="G19" s="88"/>
      <c r="H19" s="67" t="s">
        <v>57</v>
      </c>
      <c r="I19" s="68" t="str">
        <f>'Necesidades Trimestrales'!F17</f>
        <v>UNIDAD</v>
      </c>
      <c r="J19" s="69">
        <f>'Necesidades Trimestrales'!H17</f>
        <v>101.6</v>
      </c>
      <c r="K19" s="70">
        <f>'Necesidades Trimestrales'!G17</f>
        <v>2000</v>
      </c>
    </row>
    <row r="20" spans="1:11" ht="20.25" customHeight="1" thickBot="1" x14ac:dyDescent="0.25">
      <c r="A20" s="8">
        <v>9</v>
      </c>
      <c r="B20" s="66">
        <f>'Necesidades Trimestrales'!B18</f>
        <v>0</v>
      </c>
      <c r="C20" s="88" t="str">
        <f>'Necesidades Trimestrales'!E18</f>
        <v>CEFTRIAXONA 1 GR FCO AMPOLLA *</v>
      </c>
      <c r="D20" s="88"/>
      <c r="E20" s="88"/>
      <c r="F20" s="88"/>
      <c r="G20" s="88"/>
      <c r="H20" s="67" t="s">
        <v>57</v>
      </c>
      <c r="I20" s="68" t="str">
        <f>'Necesidades Trimestrales'!F18</f>
        <v>UNIDAD</v>
      </c>
      <c r="J20" s="69">
        <f>'Necesidades Trimestrales'!H18</f>
        <v>144</v>
      </c>
      <c r="K20" s="70">
        <f>'Necesidades Trimestrales'!G18</f>
        <v>3000</v>
      </c>
    </row>
    <row r="21" spans="1:11" ht="20.25" customHeight="1" thickBot="1" x14ac:dyDescent="0.25">
      <c r="A21" s="8">
        <v>10</v>
      </c>
      <c r="B21" s="66">
        <f>'Necesidades Trimestrales'!B19</f>
        <v>0</v>
      </c>
      <c r="C21" s="88" t="str">
        <f>'Necesidades Trimestrales'!E19</f>
        <v>CLARITROMICINA 500 MG COMPRIMIDO</v>
      </c>
      <c r="D21" s="88"/>
      <c r="E21" s="88"/>
      <c r="F21" s="88"/>
      <c r="G21" s="88"/>
      <c r="H21" s="67" t="s">
        <v>57</v>
      </c>
      <c r="I21" s="68" t="str">
        <f>'Necesidades Trimestrales'!F19</f>
        <v>UNIDAD</v>
      </c>
      <c r="J21" s="69">
        <f>'Necesidades Trimestrales'!H19</f>
        <v>104.5</v>
      </c>
      <c r="K21" s="70">
        <f>'Necesidades Trimestrales'!G19</f>
        <v>1200</v>
      </c>
    </row>
    <row r="22" spans="1:11" ht="20.25" customHeight="1" thickBot="1" x14ac:dyDescent="0.25">
      <c r="A22" s="8">
        <v>11</v>
      </c>
      <c r="B22" s="66">
        <f>'Necesidades Trimestrales'!B20</f>
        <v>0</v>
      </c>
      <c r="C22" s="88" t="str">
        <f>'Necesidades Trimestrales'!E20</f>
        <v>CLINDAMICINA 600 MG AMPOLLA</v>
      </c>
      <c r="D22" s="88"/>
      <c r="E22" s="88"/>
      <c r="F22" s="88"/>
      <c r="G22" s="88"/>
      <c r="H22" s="67" t="s">
        <v>57</v>
      </c>
      <c r="I22" s="68" t="str">
        <f>'Necesidades Trimestrales'!F20</f>
        <v>UNIDAD</v>
      </c>
      <c r="J22" s="69">
        <f>'Necesidades Trimestrales'!H20</f>
        <v>93.77</v>
      </c>
      <c r="K22" s="70">
        <f>'Necesidades Trimestrales'!G20</f>
        <v>6000</v>
      </c>
    </row>
    <row r="23" spans="1:11" ht="20.25" customHeight="1" thickBot="1" x14ac:dyDescent="0.25">
      <c r="A23" s="8">
        <v>12</v>
      </c>
      <c r="B23" s="66">
        <f>'Necesidades Trimestrales'!B21</f>
        <v>0</v>
      </c>
      <c r="C23" s="88" t="str">
        <f>'Necesidades Trimestrales'!E21</f>
        <v>COTRIMOXAZOL(TRIMETOPRINA +SULFAMETOXAZOL)80MG/400MG AMPOLLA</v>
      </c>
      <c r="D23" s="88"/>
      <c r="E23" s="88"/>
      <c r="F23" s="88"/>
      <c r="G23" s="88"/>
      <c r="H23" s="67" t="s">
        <v>57</v>
      </c>
      <c r="I23" s="68" t="str">
        <f>'Necesidades Trimestrales'!F21</f>
        <v>UNIDAD</v>
      </c>
      <c r="J23" s="69">
        <f>'Necesidades Trimestrales'!H21</f>
        <v>228</v>
      </c>
      <c r="K23" s="70">
        <f>'Necesidades Trimestrales'!G21</f>
        <v>1200</v>
      </c>
    </row>
    <row r="24" spans="1:11" ht="20.25" customHeight="1" thickBot="1" x14ac:dyDescent="0.25">
      <c r="A24" s="8">
        <v>13</v>
      </c>
      <c r="B24" s="66">
        <f>'Necesidades Trimestrales'!B22</f>
        <v>0</v>
      </c>
      <c r="C24" s="88" t="str">
        <f>'Necesidades Trimestrales'!E22</f>
        <v>COTRIMOXAZOL(TRIMETOPRINA +SULFAMETOXAZOL)COMPRIMIDOS 160MG/800MG</v>
      </c>
      <c r="D24" s="88"/>
      <c r="E24" s="88"/>
      <c r="F24" s="88"/>
      <c r="G24" s="88"/>
      <c r="H24" s="67" t="s">
        <v>57</v>
      </c>
      <c r="I24" s="68" t="str">
        <f>'Necesidades Trimestrales'!F22</f>
        <v>UNIDAD</v>
      </c>
      <c r="J24" s="69">
        <f>'Necesidades Trimestrales'!H22</f>
        <v>42.25</v>
      </c>
      <c r="K24" s="70">
        <f>'Necesidades Trimestrales'!G22</f>
        <v>600</v>
      </c>
    </row>
    <row r="25" spans="1:11" ht="20.25" customHeight="1" thickBot="1" x14ac:dyDescent="0.25">
      <c r="A25" s="8">
        <v>14</v>
      </c>
      <c r="B25" s="66">
        <f>'Necesidades Trimestrales'!B23</f>
        <v>0</v>
      </c>
      <c r="C25" s="88" t="str">
        <f>'Necesidades Trimestrales'!E23</f>
        <v>FLUCONAZOL 100 MG COMPRIMIDOS</v>
      </c>
      <c r="D25" s="88"/>
      <c r="E25" s="88"/>
      <c r="F25" s="88"/>
      <c r="G25" s="88"/>
      <c r="H25" s="67" t="s">
        <v>57</v>
      </c>
      <c r="I25" s="68" t="str">
        <f>'Necesidades Trimestrales'!F23</f>
        <v>UNIDAD</v>
      </c>
      <c r="J25" s="69">
        <f>'Necesidades Trimestrales'!H23</f>
        <v>395</v>
      </c>
      <c r="K25" s="70">
        <f>'Necesidades Trimestrales'!G23</f>
        <v>100</v>
      </c>
    </row>
    <row r="26" spans="1:11" ht="20.25" customHeight="1" thickBot="1" x14ac:dyDescent="0.25">
      <c r="A26" s="8">
        <v>15</v>
      </c>
      <c r="B26" s="66">
        <f>'Necesidades Trimestrales'!B24</f>
        <v>0</v>
      </c>
      <c r="C26" s="88" t="str">
        <f>'Necesidades Trimestrales'!E24</f>
        <v>FLUCONAZOL 200 MG SACHET 100 ML</v>
      </c>
      <c r="D26" s="88"/>
      <c r="E26" s="88"/>
      <c r="F26" s="88"/>
      <c r="G26" s="88"/>
      <c r="H26" s="67" t="s">
        <v>57</v>
      </c>
      <c r="I26" s="68" t="str">
        <f>'Necesidades Trimestrales'!F24</f>
        <v>UNIDAD</v>
      </c>
      <c r="J26" s="69">
        <f>'Necesidades Trimestrales'!H24</f>
        <v>1275</v>
      </c>
      <c r="K26" s="70">
        <f>'Necesidades Trimestrales'!G24</f>
        <v>200</v>
      </c>
    </row>
    <row r="27" spans="1:11" ht="20.25" customHeight="1" thickBot="1" x14ac:dyDescent="0.25">
      <c r="A27" s="8">
        <v>16</v>
      </c>
      <c r="B27" s="66">
        <f>'Necesidades Trimestrales'!B25</f>
        <v>0</v>
      </c>
      <c r="C27" s="88" t="str">
        <f>'Necesidades Trimestrales'!E25</f>
        <v>FOSFOMICINA 1GR FRASCO AMPOLLA</v>
      </c>
      <c r="D27" s="88"/>
      <c r="E27" s="88"/>
      <c r="F27" s="88"/>
      <c r="G27" s="88"/>
      <c r="H27" s="67" t="s">
        <v>57</v>
      </c>
      <c r="I27" s="68" t="str">
        <f>'Necesidades Trimestrales'!F25</f>
        <v>UNIDAD</v>
      </c>
      <c r="J27" s="69">
        <f>'Necesidades Trimestrales'!H25</f>
        <v>466</v>
      </c>
      <c r="K27" s="70">
        <f>'Necesidades Trimestrales'!G25</f>
        <v>20</v>
      </c>
    </row>
    <row r="28" spans="1:11" ht="20.25" customHeight="1" thickBot="1" x14ac:dyDescent="0.25">
      <c r="A28" s="8">
        <v>17</v>
      </c>
      <c r="B28" s="66">
        <f>'Necesidades Trimestrales'!B26</f>
        <v>0</v>
      </c>
      <c r="C28" s="88" t="str">
        <f>'Necesidades Trimestrales'!E26</f>
        <v>LINEZOLID SOLUCION 2MG/ML X 300ML</v>
      </c>
      <c r="D28" s="88"/>
      <c r="E28" s="88"/>
      <c r="F28" s="88"/>
      <c r="G28" s="88"/>
      <c r="H28" s="67" t="s">
        <v>57</v>
      </c>
      <c r="I28" s="68" t="str">
        <f>'Necesidades Trimestrales'!F26</f>
        <v>UNIDAD</v>
      </c>
      <c r="J28" s="69">
        <f>'Necesidades Trimestrales'!H26</f>
        <v>1600.58</v>
      </c>
      <c r="K28" s="70">
        <f>'Necesidades Trimestrales'!G26</f>
        <v>20</v>
      </c>
    </row>
    <row r="29" spans="1:11" ht="20.25" customHeight="1" thickBot="1" x14ac:dyDescent="0.25">
      <c r="A29" s="8">
        <v>18</v>
      </c>
      <c r="B29" s="66">
        <f>'Necesidades Trimestrales'!B27</f>
        <v>0</v>
      </c>
      <c r="C29" s="88" t="str">
        <f>'Necesidades Trimestrales'!E27</f>
        <v>MEROPENEM 500MG</v>
      </c>
      <c r="D29" s="88"/>
      <c r="E29" s="88"/>
      <c r="F29" s="88"/>
      <c r="G29" s="88"/>
      <c r="H29" s="67" t="s">
        <v>57</v>
      </c>
      <c r="I29" s="68" t="str">
        <f>'Necesidades Trimestrales'!F27</f>
        <v>UNIDAD</v>
      </c>
      <c r="J29" s="69">
        <f>'Necesidades Trimestrales'!H27</f>
        <v>6573.37</v>
      </c>
      <c r="K29" s="70">
        <f>'Necesidades Trimestrales'!G27</f>
        <v>50</v>
      </c>
    </row>
    <row r="30" spans="1:11" ht="20.25" customHeight="1" thickBot="1" x14ac:dyDescent="0.25">
      <c r="A30" s="8">
        <v>19</v>
      </c>
      <c r="B30" s="66">
        <f>'Necesidades Trimestrales'!B28</f>
        <v>0</v>
      </c>
      <c r="C30" s="88" t="str">
        <f>'Necesidades Trimestrales'!E28</f>
        <v>PERMETRINA EMULSION</v>
      </c>
      <c r="D30" s="88"/>
      <c r="E30" s="88"/>
      <c r="F30" s="88"/>
      <c r="G30" s="88"/>
      <c r="H30" s="67" t="s">
        <v>57</v>
      </c>
      <c r="I30" s="68" t="str">
        <f>'Necesidades Trimestrales'!F28</f>
        <v>UNIDAD</v>
      </c>
      <c r="J30" s="69">
        <f>'Necesidades Trimestrales'!H28</f>
        <v>447</v>
      </c>
      <c r="K30" s="70">
        <f>'Necesidades Trimestrales'!G28</f>
        <v>20</v>
      </c>
    </row>
    <row r="31" spans="1:11" ht="20.25" customHeight="1" thickBot="1" x14ac:dyDescent="0.25">
      <c r="A31" s="8">
        <v>20</v>
      </c>
      <c r="B31" s="66">
        <f>'Necesidades Trimestrales'!B29</f>
        <v>0</v>
      </c>
      <c r="C31" s="88" t="str">
        <f>'Necesidades Trimestrales'!E29</f>
        <v>PERMETRINA LOCION</v>
      </c>
      <c r="D31" s="88"/>
      <c r="E31" s="88"/>
      <c r="F31" s="88"/>
      <c r="G31" s="88"/>
      <c r="H31" s="67" t="s">
        <v>57</v>
      </c>
      <c r="I31" s="68" t="str">
        <f>'Necesidades Trimestrales'!F29</f>
        <v>UNIDAD</v>
      </c>
      <c r="J31" s="69">
        <f>'Necesidades Trimestrales'!H29</f>
        <v>470</v>
      </c>
      <c r="K31" s="70">
        <f>'Necesidades Trimestrales'!G29</f>
        <v>20</v>
      </c>
    </row>
    <row r="32" spans="1:11" ht="20.25" customHeight="1" thickBot="1" x14ac:dyDescent="0.25">
      <c r="A32" s="8">
        <v>21</v>
      </c>
      <c r="B32" s="66">
        <f>'Necesidades Trimestrales'!B30</f>
        <v>0</v>
      </c>
      <c r="C32" s="88" t="str">
        <f>'Necesidades Trimestrales'!E30</f>
        <v>RIFAMPICINA 600 MG VIAL</v>
      </c>
      <c r="D32" s="88"/>
      <c r="E32" s="88"/>
      <c r="F32" s="88"/>
      <c r="G32" s="88"/>
      <c r="H32" s="67" t="s">
        <v>57</v>
      </c>
      <c r="I32" s="68" t="str">
        <f>'Necesidades Trimestrales'!F30</f>
        <v>UNIDAD</v>
      </c>
      <c r="J32" s="69">
        <f>'Necesidades Trimestrales'!H30</f>
        <v>71.900000000000006</v>
      </c>
      <c r="K32" s="70">
        <f>'Necesidades Trimestrales'!G30</f>
        <v>50</v>
      </c>
    </row>
    <row r="33" spans="1:1024" ht="20.25" customHeight="1" thickBot="1" x14ac:dyDescent="0.25">
      <c r="A33" s="8">
        <v>22</v>
      </c>
      <c r="B33" s="66">
        <f>'Necesidades Trimestrales'!B31</f>
        <v>0</v>
      </c>
      <c r="C33" s="88" t="str">
        <f>'Necesidades Trimestrales'!E31</f>
        <v>TIGECICLINA 50MG FCO AMPOLLA*</v>
      </c>
      <c r="D33" s="88"/>
      <c r="E33" s="88"/>
      <c r="F33" s="88"/>
      <c r="G33" s="88"/>
      <c r="H33" s="67" t="s">
        <v>57</v>
      </c>
      <c r="I33" s="68" t="str">
        <f>'Necesidades Trimestrales'!F31</f>
        <v>UNIDAD</v>
      </c>
      <c r="J33" s="69">
        <f>'Necesidades Trimestrales'!H31</f>
        <v>330.7</v>
      </c>
      <c r="K33" s="70">
        <f>'Necesidades Trimestrales'!G31</f>
        <v>30</v>
      </c>
    </row>
    <row r="34" spans="1:1024" ht="20.25" customHeight="1" thickBot="1" x14ac:dyDescent="0.25">
      <c r="A34" s="8">
        <v>23</v>
      </c>
      <c r="B34" s="66">
        <f>'Necesidades Trimestrales'!B32</f>
        <v>0</v>
      </c>
      <c r="C34" s="88" t="str">
        <f>'Necesidades Trimestrales'!E32</f>
        <v>VANCOMICINA 1000 MG FCO AMP</v>
      </c>
      <c r="D34" s="88"/>
      <c r="E34" s="88"/>
      <c r="F34" s="88"/>
      <c r="G34" s="88"/>
      <c r="H34" s="67" t="s">
        <v>57</v>
      </c>
      <c r="I34" s="68" t="str">
        <f>'Necesidades Trimestrales'!F32</f>
        <v>UNIDAD</v>
      </c>
      <c r="J34" s="69">
        <f>'Necesidades Trimestrales'!H32</f>
        <v>2149</v>
      </c>
      <c r="K34" s="70">
        <f>'Necesidades Trimestrales'!G32</f>
        <v>360</v>
      </c>
    </row>
    <row r="35" spans="1:1024" ht="20.25" customHeight="1" thickBot="1" x14ac:dyDescent="0.25">
      <c r="A35" s="8">
        <v>24</v>
      </c>
      <c r="B35" s="66">
        <f>'Necesidades Trimestrales'!B33</f>
        <v>0</v>
      </c>
      <c r="C35" s="88" t="str">
        <f>'Necesidades Trimestrales'!E33</f>
        <v>VANCOMICINA 500 MG FCO AMP</v>
      </c>
      <c r="D35" s="88"/>
      <c r="E35" s="88"/>
      <c r="F35" s="88"/>
      <c r="G35" s="88"/>
      <c r="H35" s="67" t="s">
        <v>57</v>
      </c>
      <c r="I35" s="68" t="str">
        <f>'Necesidades Trimestrales'!F33</f>
        <v>UNIDAD</v>
      </c>
      <c r="J35" s="69">
        <f>'Necesidades Trimestrales'!H33</f>
        <v>1894.54</v>
      </c>
      <c r="K35" s="70">
        <f>'Necesidades Trimestrales'!G33</f>
        <v>500</v>
      </c>
    </row>
    <row r="36" spans="1:1024" ht="20.25" customHeight="1" thickBot="1" x14ac:dyDescent="0.25">
      <c r="A36" s="89" t="s">
        <v>95</v>
      </c>
      <c r="B36" s="89"/>
      <c r="C36" s="89"/>
      <c r="D36" s="89"/>
      <c r="E36" s="89"/>
      <c r="F36" s="89"/>
      <c r="G36" s="89"/>
      <c r="H36" s="89"/>
      <c r="I36" s="89"/>
      <c r="J36" s="90">
        <f>SUMPRODUCT(J12:J35,K12:K35)</f>
        <v>9498553.0999999996</v>
      </c>
      <c r="K36" s="90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</sheetData>
  <mergeCells count="4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6:I36"/>
    <mergeCell ref="J36:K3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13" zoomScale="130" zoomScaleNormal="130" workbookViewId="0">
      <selection activeCell="S25" sqref="S2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4" t="s">
        <v>3</v>
      </c>
      <c r="B1" s="124"/>
      <c r="C1" s="124"/>
      <c r="D1" s="125">
        <f>'Necesidades Trimestrales'!C6</f>
        <v>2021</v>
      </c>
      <c r="E1" s="125"/>
      <c r="F1" s="10"/>
      <c r="G1" s="10"/>
      <c r="H1" s="11"/>
      <c r="I1" s="11"/>
      <c r="J1" s="11"/>
      <c r="K1" s="11"/>
      <c r="L1" s="11"/>
      <c r="M1" s="11"/>
      <c r="N1" s="11"/>
      <c r="P1" s="126" t="s">
        <v>31</v>
      </c>
      <c r="Q1" s="12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6"/>
      <c r="Q2" s="126"/>
    </row>
    <row r="4" spans="1:17" s="12" customFormat="1" ht="18" customHeight="1" thickBot="1" x14ac:dyDescent="0.25">
      <c r="A4" s="127" t="s">
        <v>32</v>
      </c>
      <c r="B4" s="127"/>
      <c r="C4" s="127"/>
      <c r="D4" s="127"/>
      <c r="E4" s="127"/>
      <c r="F4" s="127"/>
      <c r="G4" s="122" t="str">
        <f>NotaPedido!D3</f>
        <v>40 - Ministerio de Salud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12" customFormat="1" ht="18" customHeight="1" thickBot="1" x14ac:dyDescent="0.25">
      <c r="A5" s="119" t="s">
        <v>55</v>
      </c>
      <c r="B5" s="120"/>
      <c r="C5" s="120"/>
      <c r="D5" s="120"/>
      <c r="E5" s="120"/>
      <c r="F5" s="121"/>
      <c r="G5" s="122" t="str">
        <f>NotaPedido!D4</f>
        <v>23 - Hospital Interzonal San Juan Bautista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12" customFormat="1" ht="18" customHeight="1" thickBot="1" x14ac:dyDescent="0.25">
      <c r="A6" s="119" t="s">
        <v>33</v>
      </c>
      <c r="B6" s="120"/>
      <c r="C6" s="120"/>
      <c r="D6" s="120"/>
      <c r="E6" s="120"/>
      <c r="F6" s="121"/>
      <c r="G6" s="122" t="str">
        <f>NotaPedido!D5</f>
        <v>168 - Direccion Asistencial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12" customFormat="1" ht="18" customHeight="1" thickBot="1" x14ac:dyDescent="0.25">
      <c r="A7" s="119" t="s">
        <v>56</v>
      </c>
      <c r="B7" s="120"/>
      <c r="C7" s="120"/>
      <c r="D7" s="120"/>
      <c r="E7" s="120"/>
      <c r="F7" s="121"/>
      <c r="G7" s="122" t="str">
        <f>NotaPedido!D6</f>
        <v>Servicio de Farmacia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23" t="s">
        <v>34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</row>
    <row r="9" spans="1:17" ht="18" customHeight="1" x14ac:dyDescent="0.2">
      <c r="A9" s="113" t="s">
        <v>35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"/>
      <c r="P9" s="1"/>
      <c r="Q9" s="13"/>
    </row>
    <row r="10" spans="1:17" ht="54.75" customHeight="1" x14ac:dyDescent="0.2">
      <c r="A10" s="11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021 - 2021,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5" t="s">
        <v>36</v>
      </c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</row>
    <row r="13" spans="1:17" ht="15.75" customHeight="1" x14ac:dyDescent="0.2">
      <c r="A13" s="116" t="s">
        <v>37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38</v>
      </c>
      <c r="P13" s="117"/>
      <c r="Q13" s="118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7"/>
      <c r="P14" s="117"/>
      <c r="Q14" s="118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64</v>
      </c>
      <c r="I15" s="76">
        <v>2</v>
      </c>
      <c r="J15" s="76">
        <v>5</v>
      </c>
      <c r="K15" s="76">
        <v>2</v>
      </c>
      <c r="L15" s="74"/>
      <c r="M15" s="77">
        <v>1</v>
      </c>
      <c r="N15" s="75" t="s">
        <v>65</v>
      </c>
      <c r="O15" s="110" t="s">
        <v>62</v>
      </c>
      <c r="P15" s="110"/>
      <c r="Q15" s="23">
        <v>9498553.0999999996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1"/>
      <c r="P16" s="111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1"/>
      <c r="P17" s="111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2"/>
      <c r="P18" s="10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5"/>
      <c r="P19" s="105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5"/>
      <c r="P20" s="105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6"/>
      <c r="P21" s="106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7"/>
      <c r="P22" s="107"/>
      <c r="Q22" s="37"/>
    </row>
    <row r="23" spans="1:19" ht="27.75" customHeight="1" x14ac:dyDescent="0.2">
      <c r="A23" s="108" t="s">
        <v>96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38">
        <f>SUM(Q15:Q22)</f>
        <v>9498553.0999999996</v>
      </c>
    </row>
    <row r="24" spans="1:19" ht="18" customHeight="1" thickBot="1" x14ac:dyDescent="0.25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</row>
    <row r="25" spans="1:19" ht="17.25" customHeight="1" thickBot="1" x14ac:dyDescent="0.25">
      <c r="A25" s="100" t="s">
        <v>53</v>
      </c>
      <c r="B25" s="101"/>
      <c r="C25" s="101"/>
      <c r="D25" s="101"/>
      <c r="E25" s="101"/>
      <c r="F25" s="102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</row>
    <row r="26" spans="1:19" ht="18" customHeight="1" thickBot="1" x14ac:dyDescent="0.25">
      <c r="A26" s="104" t="str">
        <f>"Para la "&amp; NotaPedido!D8 &amp;" para ser destinados al " &amp; NotaPedido!D6 &amp;"  del HISJB del Ministerio de Salud."</f>
        <v>Para la Adquisición de Medicamentos para Terapia Antiinfecciosa/Sueros Inmunes e Inmuglobulinas  para ser destinados al Servicio de Farmacia  del HISJB del Ministerio de Salud.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</row>
    <row r="27" spans="1:19" ht="15" customHeight="1" x14ac:dyDescent="0.2">
      <c r="A27" s="104"/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2021-03-23T16:41:33Z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