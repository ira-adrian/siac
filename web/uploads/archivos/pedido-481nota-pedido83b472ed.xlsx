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20" yWindow="-120" windowWidth="21840" windowHeight="13740" tabRatio="876"/>
  </bookViews>
  <sheets>
    <sheet name="SAF 011" sheetId="1" r:id="rId1"/>
    <sheet name="ANEXO" sheetId="16" r:id="rId2"/>
    <sheet name="NP SMPyPS" sheetId="2" r:id="rId3"/>
    <sheet name="APG SMPyPS" sheetId="3" r:id="rId4"/>
    <sheet name="NP DPSAME" sheetId="4" r:id="rId5"/>
    <sheet name="APG DPSAME" sheetId="5" r:id="rId6"/>
    <sheet name="NP DPMIA" sheetId="6" r:id="rId7"/>
    <sheet name="APG DPMIA" sheetId="7" r:id="rId8"/>
    <sheet name="NP SASP" sheetId="8" r:id="rId9"/>
    <sheet name="APG SASP" sheetId="9" r:id="rId10"/>
    <sheet name="NP DPAIPD" sheetId="10" r:id="rId11"/>
    <sheet name="APG DPAIPD" sheetId="11" r:id="rId12"/>
    <sheet name="NP DPAS" sheetId="12" r:id="rId13"/>
    <sheet name="APG DPAS" sheetId="13" r:id="rId14"/>
    <sheet name="NP MS" sheetId="14" r:id="rId15"/>
    <sheet name="APG MS" sheetId="15" r:id="rId16"/>
  </sheets>
  <definedNames>
    <definedName name="_xlnm._FilterDatabase" localSheetId="0" hidden="1">'SAF 011'!$A$9:$BA$22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6" i="12" l="1"/>
  <c r="D4" i="4"/>
  <c r="G5" i="5" s="1"/>
  <c r="D3" i="2"/>
  <c r="I12" i="14"/>
  <c r="J12" i="14"/>
  <c r="C12" i="14"/>
  <c r="B12" i="14"/>
  <c r="K12" i="14"/>
  <c r="A41" i="15"/>
  <c r="G7" i="15"/>
  <c r="G6" i="15"/>
  <c r="J14" i="14"/>
  <c r="Q15" i="15"/>
  <c r="Q38" i="15"/>
  <c r="D4" i="14"/>
  <c r="G5" i="15"/>
  <c r="D3" i="14"/>
  <c r="G4" i="15"/>
  <c r="K12" i="12"/>
  <c r="K13" i="12"/>
  <c r="K14" i="12"/>
  <c r="K15" i="12"/>
  <c r="K16" i="12"/>
  <c r="K17" i="12"/>
  <c r="K18" i="12"/>
  <c r="K12" i="10"/>
  <c r="K12" i="8"/>
  <c r="K12" i="6"/>
  <c r="J12" i="4"/>
  <c r="K12" i="4"/>
  <c r="J14" i="4"/>
  <c r="Q15" i="5" s="1"/>
  <c r="Q38" i="5" s="1"/>
  <c r="A41" i="13"/>
  <c r="G7" i="13"/>
  <c r="G6" i="13"/>
  <c r="J18" i="12"/>
  <c r="I18" i="12"/>
  <c r="C18" i="12"/>
  <c r="B18" i="12"/>
  <c r="J17" i="12"/>
  <c r="I17" i="12"/>
  <c r="C17" i="12"/>
  <c r="B17" i="12"/>
  <c r="J16" i="12"/>
  <c r="I16" i="12"/>
  <c r="B16" i="12"/>
  <c r="J15" i="12"/>
  <c r="I15" i="12"/>
  <c r="C15" i="12"/>
  <c r="B15" i="12"/>
  <c r="J14" i="12"/>
  <c r="I14" i="12"/>
  <c r="C14" i="12"/>
  <c r="B14" i="12"/>
  <c r="J13" i="12"/>
  <c r="I13" i="12"/>
  <c r="C13" i="12"/>
  <c r="B13" i="12"/>
  <c r="J12" i="12"/>
  <c r="I12" i="12"/>
  <c r="C12" i="12"/>
  <c r="B12" i="12"/>
  <c r="D4" i="12"/>
  <c r="G5" i="13"/>
  <c r="D3" i="12"/>
  <c r="G4" i="13"/>
  <c r="A41" i="11"/>
  <c r="G7" i="11"/>
  <c r="G6" i="11"/>
  <c r="J12" i="10"/>
  <c r="I12" i="10"/>
  <c r="C12" i="10"/>
  <c r="B12" i="10"/>
  <c r="D4" i="10"/>
  <c r="G5" i="11"/>
  <c r="D3" i="10"/>
  <c r="G4" i="11"/>
  <c r="A41" i="9"/>
  <c r="G7" i="9"/>
  <c r="G6" i="9"/>
  <c r="J12" i="8"/>
  <c r="I12" i="8"/>
  <c r="C12" i="8"/>
  <c r="B12" i="8"/>
  <c r="D4" i="8"/>
  <c r="G5" i="9"/>
  <c r="D3" i="8"/>
  <c r="G4" i="9"/>
  <c r="A41" i="7"/>
  <c r="G7" i="7"/>
  <c r="G6" i="7"/>
  <c r="J12" i="6"/>
  <c r="I12" i="6"/>
  <c r="C12" i="6"/>
  <c r="B12" i="6"/>
  <c r="D4" i="6"/>
  <c r="G5" i="7"/>
  <c r="D3" i="6"/>
  <c r="G4" i="7"/>
  <c r="A41" i="5"/>
  <c r="G7" i="5"/>
  <c r="G6" i="5"/>
  <c r="I12" i="4"/>
  <c r="C12" i="4"/>
  <c r="B12" i="4"/>
  <c r="D3" i="4"/>
  <c r="G4" i="5"/>
  <c r="A41" i="3"/>
  <c r="K13" i="2"/>
  <c r="J13" i="2"/>
  <c r="I13" i="2"/>
  <c r="C13" i="2"/>
  <c r="B13" i="2"/>
  <c r="K12" i="2"/>
  <c r="J12" i="2"/>
  <c r="I12" i="2"/>
  <c r="C12" i="2"/>
  <c r="B12" i="2"/>
  <c r="G6" i="3"/>
  <c r="G7" i="3"/>
  <c r="J14" i="6"/>
  <c r="Q15" i="7"/>
  <c r="Q38" i="7"/>
  <c r="J20" i="12"/>
  <c r="Q15" i="13"/>
  <c r="Q38" i="13"/>
  <c r="J14" i="10"/>
  <c r="Q15" i="11"/>
  <c r="Q38" i="11"/>
  <c r="J14" i="8"/>
  <c r="Q15" i="9"/>
  <c r="Q38" i="9"/>
  <c r="J15" i="2"/>
  <c r="D4" i="2"/>
  <c r="G5" i="3"/>
  <c r="G4" i="3"/>
  <c r="Q38" i="3"/>
  <c r="AY13" i="1"/>
  <c r="AY15" i="1"/>
  <c r="AY17" i="1"/>
  <c r="AY12" i="1"/>
  <c r="AY18" i="1"/>
  <c r="AY11" i="1"/>
  <c r="AY14" i="1"/>
  <c r="AY20" i="1"/>
  <c r="AY21" i="1"/>
  <c r="AY19" i="1"/>
  <c r="AY10" i="1"/>
  <c r="AY16" i="1"/>
  <c r="AY22" i="1"/>
  <c r="N12" i="1"/>
  <c r="X12" i="1"/>
  <c r="AF12" i="1"/>
  <c r="AH12" i="1"/>
  <c r="AN12" i="1"/>
  <c r="AP12" i="1"/>
  <c r="AR12" i="1"/>
  <c r="AV12" i="1"/>
  <c r="BA12" i="1"/>
  <c r="J16" i="1"/>
  <c r="J10" i="1"/>
  <c r="J22" i="1"/>
  <c r="N16" i="1"/>
  <c r="X16" i="1"/>
  <c r="AF16" i="1"/>
  <c r="AH16" i="1"/>
  <c r="AD18" i="1"/>
  <c r="AB21" i="1"/>
  <c r="AB22" i="1"/>
  <c r="AJ15" i="1"/>
  <c r="AJ22" i="1"/>
  <c r="AV16" i="1"/>
  <c r="AR15" i="1"/>
  <c r="AR17" i="1"/>
  <c r="AR18" i="1"/>
  <c r="AR11" i="1"/>
  <c r="AR14" i="1"/>
  <c r="AR20" i="1"/>
  <c r="AR21" i="1"/>
  <c r="AR19" i="1"/>
  <c r="AR10" i="1"/>
  <c r="AR16" i="1"/>
  <c r="AR13" i="1"/>
  <c r="AR22" i="1"/>
  <c r="AP15" i="1"/>
  <c r="AP17" i="1"/>
  <c r="AP18" i="1"/>
  <c r="AP11" i="1"/>
  <c r="AP14" i="1"/>
  <c r="AP20" i="1"/>
  <c r="AP21" i="1"/>
  <c r="AP19" i="1"/>
  <c r="AP10" i="1"/>
  <c r="AP16" i="1"/>
  <c r="AP13" i="1"/>
  <c r="BA16" i="1"/>
  <c r="AV15" i="1"/>
  <c r="AV17" i="1"/>
  <c r="AV18" i="1"/>
  <c r="AV11" i="1"/>
  <c r="AV14" i="1"/>
  <c r="AV20" i="1"/>
  <c r="AV21" i="1"/>
  <c r="AV19" i="1"/>
  <c r="AV10" i="1"/>
  <c r="AV13" i="1"/>
  <c r="AN15" i="1"/>
  <c r="AN17" i="1"/>
  <c r="AN18" i="1"/>
  <c r="AN11" i="1"/>
  <c r="AN14" i="1"/>
  <c r="AN20" i="1"/>
  <c r="AN21" i="1"/>
  <c r="AN19" i="1"/>
  <c r="AN10" i="1"/>
  <c r="AN16" i="1"/>
  <c r="AN13" i="1"/>
  <c r="AV22" i="1"/>
  <c r="AT20" i="1"/>
  <c r="P20" i="1"/>
  <c r="AD19" i="1"/>
  <c r="AD22" i="1"/>
  <c r="X15" i="1"/>
  <c r="X17" i="1"/>
  <c r="X18" i="1"/>
  <c r="X11" i="1"/>
  <c r="X14" i="1"/>
  <c r="X22" i="1" s="1"/>
  <c r="X20" i="1"/>
  <c r="X21" i="1"/>
  <c r="X19" i="1"/>
  <c r="X10" i="1"/>
  <c r="X13" i="1"/>
  <c r="N13" i="1"/>
  <c r="N15" i="1"/>
  <c r="N17" i="1"/>
  <c r="N18" i="1"/>
  <c r="N11" i="1"/>
  <c r="N14" i="1"/>
  <c r="N20" i="1"/>
  <c r="N21" i="1"/>
  <c r="N19" i="1"/>
  <c r="N10" i="1"/>
  <c r="AH15" i="1"/>
  <c r="AH17" i="1"/>
  <c r="AH18" i="1"/>
  <c r="AH11" i="1"/>
  <c r="AH14" i="1"/>
  <c r="AH20" i="1"/>
  <c r="AH21" i="1"/>
  <c r="AH19" i="1"/>
  <c r="AH10" i="1"/>
  <c r="AH13" i="1"/>
  <c r="V22" i="1"/>
  <c r="BA10" i="1"/>
  <c r="AF10" i="1"/>
  <c r="BA19" i="1"/>
  <c r="AF19" i="1"/>
  <c r="BA21" i="1"/>
  <c r="AF21" i="1"/>
  <c r="BA20" i="1"/>
  <c r="AF20" i="1"/>
  <c r="BA14" i="1"/>
  <c r="AF14" i="1"/>
  <c r="BA11" i="1"/>
  <c r="AF11" i="1"/>
  <c r="BA18" i="1"/>
  <c r="AF18" i="1"/>
  <c r="BA17" i="1"/>
  <c r="AF17" i="1"/>
  <c r="BA15" i="1"/>
  <c r="AF15" i="1"/>
  <c r="BA13" i="1"/>
  <c r="AF13" i="1"/>
  <c r="BA22" i="1"/>
</calcChain>
</file>

<file path=xl/sharedStrings.xml><?xml version="1.0" encoding="utf-8"?>
<sst xmlns="http://schemas.openxmlformats.org/spreadsheetml/2006/main" count="650" uniqueCount="275">
  <si>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</si>
  <si>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</si>
  <si>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</si>
  <si>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</si>
  <si>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</si>
  <si>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</si>
  <si>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</si>
  <si>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</si>
  <si>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</si>
  <si>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</si>
  <si>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</si>
  <si>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</si>
  <si>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</si>
  <si>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</si>
  <si>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</si>
  <si>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</si>
  <si>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</si>
  <si>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</si>
  <si>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</si>
  <si>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</si>
  <si>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</si>
  <si>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</si>
  <si>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</si>
  <si>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</si>
  <si>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</si>
  <si>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</si>
  <si>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</si>
  <si>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</si>
  <si>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</si>
  <si>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</si>
  <si>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</si>
  <si>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</si>
  <si>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</si>
  <si>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</si>
  <si>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</si>
  <si>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</si>
  <si>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</si>
  <si>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</si>
  <si>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</si>
  <si>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</si>
  <si>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</si>
  <si>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</si>
  <si>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</si>
  <si>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</si>
  <si>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</si>
  <si>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</si>
  <si>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</si>
  <si>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</si>
  <si>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 xml:space="preserve">UNIDAD </t>
  </si>
  <si>
    <t>UNIDAD</t>
  </si>
  <si>
    <t>2.4.4-6818.986</t>
  </si>
  <si>
    <t>REPUESTOS</t>
  </si>
  <si>
    <t>2.4.4</t>
  </si>
  <si>
    <t>NEUMATICOS; VEHICULO: AMBULANCIA/FURGON/MINIBUS, CONSTRUCCION: RADIAL, ARMADO: S/CAMARA, MEDIDA: 205/75R16</t>
  </si>
  <si>
    <t>2.4.4-6818.989</t>
  </si>
  <si>
    <t>NEUMATICOS; VEHICULO: CAMIONETA, CONSTRUCCION: RADIAL, ARMADO: S/CAMARA, MEDIDA: 225/70 R17</t>
  </si>
  <si>
    <t>2.4.4-6818.751</t>
  </si>
  <si>
    <t>NEUMATICOS; VEHICULO: CAMIONETA, CONSTRUCCION: RADIAL, ARMADO: S/CAMARA, MEDIDA: 245/65 R17</t>
  </si>
  <si>
    <t>TOTAL RUBRO NEUMATICOS</t>
  </si>
  <si>
    <t>2.4.4-6818.48</t>
  </si>
  <si>
    <t>NEUMATICOS; VEHICULO: CAMIONETA, CONSTRUCCION: RADIAL, MEDIDA: 235/75R15, ARMADO: S/CAMARA</t>
  </si>
  <si>
    <t>2.4.4-6818.530</t>
  </si>
  <si>
    <t>NEUMATICOS; VEHICULO: CAMIONETA, CONSTRUCCION: RADIAL, ARMADO: S/CAMARA, MEDIDA: 245/70R16</t>
  </si>
  <si>
    <t>TOTAL SAME</t>
  </si>
  <si>
    <t>EPIDEMIOLOGIA</t>
  </si>
  <si>
    <t>TOTAL EPIDEMIOLOGIA</t>
  </si>
  <si>
    <t>2.4.4-6818.744</t>
  </si>
  <si>
    <t>NEUMATICOS; VEHICULO: CAMIONETA, CONSTRUCCION: RADIAL, ARMADO: S/CAMARA, MEDIDA: 235/70R16</t>
  </si>
  <si>
    <t>2.4.4-6818.890</t>
  </si>
  <si>
    <t>TERCERO</t>
  </si>
  <si>
    <t>MS</t>
  </si>
  <si>
    <t>TOTAL MS</t>
  </si>
  <si>
    <t>DISCAPACIDAD</t>
  </si>
  <si>
    <t>TOTAL DISCAPACIDAD</t>
  </si>
  <si>
    <t>SUMAR</t>
  </si>
  <si>
    <t>TOTAL SUMAR</t>
  </si>
  <si>
    <t>2.4.4-6818.801</t>
  </si>
  <si>
    <t>NEUMATICOS; VEHICULO: CAMIONETA, CONSTRUCCION: CON CLAVOS, ARMADO: S/CAMARA, MEDIDA: 265/70R16</t>
  </si>
  <si>
    <t>2.4.4-6818.724</t>
  </si>
  <si>
    <t>NEUMATICOS; VEHICULO: CAMIONETA, CONSTRUCCION: CON CLAVOS, ARMADO: S/CAMARA, MEDIDA: 215/75R16</t>
  </si>
  <si>
    <t>NEUMATICOS; VEHICULO: CAMIONETA, CONSTRUCCION: RADIAL, ARMADO: SIN CAMARA, MEDIDA: 265/60R18</t>
  </si>
  <si>
    <t>REG Y CONTROL EN SALUD</t>
  </si>
  <si>
    <t>TOTAL REG Y CONTROL EN SALUD</t>
  </si>
  <si>
    <t>2.4.4-6818.755</t>
  </si>
  <si>
    <t>NEUMATICOS; VEHICULO: CAMIONETA, CONSTRUCCION: RADIAL, ARMADO: S/CAMARA, MEDIDA: 255/70R16</t>
  </si>
  <si>
    <t>2.4.4-6818.980</t>
  </si>
  <si>
    <t>NEUMATICOS; VEHICULO: AMBULANCIA/FURGON/MINIBUS, CONSTRUCCION: RADIAL, ARMADO: S/CAMARA, MEDIDA: 195/70-R15</t>
  </si>
  <si>
    <t>2.4.4-6818.53</t>
  </si>
  <si>
    <t>NEUMATICOS; VEHICULO: CAMIONETA, CONSTRUCCION: RADIAL, ARMADO: S/CAMARA, MEDIDA: 235/75R16</t>
  </si>
  <si>
    <t>UAI</t>
  </si>
  <si>
    <t>TOTAL UAI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</si>
  <si>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</si>
  <si>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</si>
  <si>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</si>
  <si>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</si>
  <si>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</si>
  <si>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</si>
  <si>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</si>
  <si>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</si>
  <si>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</si>
  <si>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</si>
  <si>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</si>
  <si>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</si>
  <si>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</si>
  <si>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</si>
  <si>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</si>
  <si>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</si>
  <si>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</si>
  <si>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</si>
  <si>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</si>
  <si>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</si>
  <si>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</si>
  <si>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</si>
  <si>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</si>
  <si>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</si>
  <si>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</si>
  <si>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</si>
  <si>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</si>
  <si>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</si>
  <si>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</si>
  <si>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</si>
  <si>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</si>
  <si>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</si>
  <si>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</si>
  <si>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</si>
  <si>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</si>
  <si>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</si>
  <si>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</si>
  <si>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</si>
  <si>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744 - SECRETARIA DE MEDICINA PREVENTIVA Y PROMOCION EN SALUD</t>
  </si>
  <si>
    <t>3° TRIMESTRE 2022</t>
  </si>
  <si>
    <t>ADQ. DEL RUBRO CUBIERTAS</t>
  </si>
  <si>
    <t>NO</t>
  </si>
  <si>
    <t>1.1</t>
  </si>
  <si>
    <t>CUBIERTAS Y CAMARAS DE AIRE</t>
  </si>
  <si>
    <t>Costo total estimado: PESOS CUATROCIENTOS DIECISIETE MIL SETECIENTOS CON 00/100.-</t>
  </si>
  <si>
    <t>TOTAL DE PESOS:  CUATROCIENTOS DIECISIETE MIL SETECIENTOS CON 00/100.-</t>
  </si>
  <si>
    <t>748 - DIRECCION PROVINCIAL SISTEMA DE ATENCION MEDICA DE EMERGENCIA</t>
  </si>
  <si>
    <t>162 - DIRECCION PROVINCIAL DE MATERNIDAD, INFANCIA Y ADOLESCENCIA</t>
  </si>
  <si>
    <t>Costo total estimado: PESOS CIENTO SESENTA Y TRES MIL QUINIENTOS VEINTE CON 00/100.-</t>
  </si>
  <si>
    <t>TOTAL DE PESOS: CIENTO SESENTA Y TRES MIL QUINIENTOS VEINTE CON 00/100.-</t>
  </si>
  <si>
    <t>743 - SECRETARIA DE ASISTENCIA EN SALUD PUBLICA</t>
  </si>
  <si>
    <t>Costo total estimado: PESOS DOSCIENTOS TRES MIL OCHOCIENTOS CON 00/100.-</t>
  </si>
  <si>
    <t>TOTAL DE PESOS: DOSCIENTOS TRES MIL OCHOCIENTOS CON 00/100</t>
  </si>
  <si>
    <t>093 - DIRECCION PROVINCIAL DE ASISTENCIA INTEGRAL A PERSONAS CON DISCAPACIDAD</t>
  </si>
  <si>
    <t>Costo total estimado: PESOS CIENTO OCHENTA Y OCHO MIL OCHOCIENTOS CON 00/100.-</t>
  </si>
  <si>
    <t>TOTAL DE PESOS: CIENTO OCHENTA Y OCHO MIL OCHOCIENTOS CON 00/100.-</t>
  </si>
  <si>
    <t>476 - DIRECCION PROVINCIAL DE ASISTENCIA SANITARIA NIVEL I Y II</t>
  </si>
  <si>
    <t>Costo total estimado: PESOS TRES MILLONES OCHOCIENTOS SESENTA Y NUEVE MIL SEISCIENTOS CON 00/100.-</t>
  </si>
  <si>
    <t>TOTAL DE PESOS: TRES MILLONES OCHOCIENTOS SESENTA Y NUEVE MIL SEISCIENTOS CON 00/100.-</t>
  </si>
  <si>
    <t>Costo total estimado: PESOS CIENTO CINCUENTA Y NUEVE MIL NOVECIENTOS NOVENTA Y OCHO CON 00/100.-</t>
  </si>
  <si>
    <t>TOTAL DE PESOS: CIENTO CINCUENTA Y NUEVE MIL NOVECIENTOS NOVENTA Y OCHO CON 00/100.-</t>
  </si>
  <si>
    <t>352 - MINISTERIO DE SALUD</t>
  </si>
  <si>
    <t>Descripción técnica:</t>
  </si>
  <si>
    <t>Plazos de entrega</t>
  </si>
  <si>
    <t>diez (10) dias habiles</t>
  </si>
  <si>
    <t>Lugar de Entrega:</t>
  </si>
  <si>
    <t>SECRETARIA DE AMINISTRACION - CHACABUCO N° 169 - en el horario de 8:00hs a 12:00hs de lunes a viernes</t>
  </si>
  <si>
    <t>Calidad Minima esperada</t>
  </si>
  <si>
    <t>Mantenimiento</t>
  </si>
  <si>
    <t>cuarenta y cinco (45) días</t>
  </si>
  <si>
    <t>Garantia:</t>
  </si>
  <si>
    <t>TOYOTA HYLUX 4x4 CABINA DOBLE SR3.0 TDI. Camioneta.-</t>
  </si>
  <si>
    <t xml:space="preserve">OMA-771 </t>
  </si>
  <si>
    <t>1KDA586508</t>
  </si>
  <si>
    <t>8AJFZZ263F5027841</t>
  </si>
  <si>
    <t xml:space="preserve">OFICIAL </t>
  </si>
  <si>
    <t>Vehiculo</t>
  </si>
  <si>
    <t>Dominio</t>
  </si>
  <si>
    <t>Nº de Motor</t>
  </si>
  <si>
    <t>Nº de Chasis</t>
  </si>
  <si>
    <t>Año</t>
  </si>
  <si>
    <t xml:space="preserve">USO </t>
  </si>
  <si>
    <t>Fiat Ducato Maxi cargo 2,3 JTD Furgon. Ambulancia.-</t>
  </si>
  <si>
    <t>AA-842-EH</t>
  </si>
  <si>
    <t>93W245G84H2160832</t>
  </si>
  <si>
    <t xml:space="preserve">AMBULANCIA </t>
  </si>
  <si>
    <t>Fiat Ducato 2,3. Ambulancia.-</t>
  </si>
  <si>
    <t>NSE-229</t>
  </si>
  <si>
    <t>93W245G74D2109008</t>
  </si>
  <si>
    <t xml:space="preserve">Renault Master DCI120. Ambulancia - </t>
  </si>
  <si>
    <t>GUO-325</t>
  </si>
  <si>
    <t>G9UA7240035511</t>
  </si>
  <si>
    <t>93YADCUE58J896313</t>
  </si>
  <si>
    <t>Fiat Ducato Ambulancia.-</t>
  </si>
  <si>
    <t>AA-842-EM</t>
  </si>
  <si>
    <t>93W245G84H2160779</t>
  </si>
  <si>
    <t>Toyota Hilyx 4x4 C/S DX 2,4 TDI 6 M/T</t>
  </si>
  <si>
    <t>AE-212-GE</t>
  </si>
  <si>
    <t>2GD-G108393</t>
  </si>
  <si>
    <t>8AJFB8CBXK1558448</t>
  </si>
  <si>
    <t>Toyota Hilux 4x4 CS DX 2,4 TDI 6 MT- Ambulancia.-</t>
  </si>
  <si>
    <t>AE-677-LI</t>
  </si>
  <si>
    <t>2GD0883798</t>
  </si>
  <si>
    <t>8AJD3CB4M5542249</t>
  </si>
  <si>
    <t>Fiat Ducato Maxicargo 2,3 JTD.-</t>
  </si>
  <si>
    <t>AA-842-ED</t>
  </si>
  <si>
    <t>93W245G84H2160784</t>
  </si>
  <si>
    <t>Fiat Ducato Maxicargo L2B 2,3 TJ. Ambulancia.-</t>
  </si>
  <si>
    <t>NHW-648</t>
  </si>
  <si>
    <t>93W245G84D2109432</t>
  </si>
  <si>
    <t>AA-842-EE</t>
  </si>
  <si>
    <t>96W245G84H2160826</t>
  </si>
  <si>
    <t>Ford Transit- Ambulancia.-</t>
  </si>
  <si>
    <t>POD-622</t>
  </si>
  <si>
    <t>CY24FTD15384</t>
  </si>
  <si>
    <t>WF0BXKTTGFTD15384</t>
  </si>
  <si>
    <t>Toyota Hilux 4x4- Ambulancia.-</t>
  </si>
  <si>
    <t>AA-793-NH</t>
  </si>
  <si>
    <t>2GD0106226</t>
  </si>
  <si>
    <t>BAJFBBCB1H155</t>
  </si>
  <si>
    <t>AE-414-KY</t>
  </si>
  <si>
    <t>2GD0711512</t>
  </si>
  <si>
    <t>8AJFB8CB2L1560244</t>
  </si>
  <si>
    <t>Peugeot Boxer Premiun 2.2 HDI 435MH 130. Ambulancia.-</t>
  </si>
  <si>
    <t>AE-677-LG</t>
  </si>
  <si>
    <t>10TRJP1702135</t>
  </si>
  <si>
    <t>VF3YDTMFBM271918</t>
  </si>
  <si>
    <t>Renault Master 120 T - Ambulancia.-</t>
  </si>
  <si>
    <t>GUO-326</t>
  </si>
  <si>
    <t>G9UA724C0353</t>
  </si>
  <si>
    <t>93YADCUE58J896346</t>
  </si>
  <si>
    <t>Fiat Ducato maxicargo 2,3 JTD - Ambulancia.-</t>
  </si>
  <si>
    <t>AA-842-EO</t>
  </si>
  <si>
    <t>93W245G84H2160825</t>
  </si>
  <si>
    <t>NHW-646</t>
  </si>
  <si>
    <t>93W245G84D2109591</t>
  </si>
  <si>
    <t>Fiat Ducato Maxi Cargo 2,3 JTD- Ambulancia</t>
  </si>
  <si>
    <t>AA-842-EC</t>
  </si>
  <si>
    <t>93W245G84H2160823</t>
  </si>
  <si>
    <t>DIRECCION PROVINCIAL DE ASISTENCIA SANITARIA Y AREA PROGRAMATICAS</t>
  </si>
  <si>
    <t>Ford Ranger 2,2 TDI DC 4x4 FDI PH3 confort. Camioneta.-</t>
  </si>
  <si>
    <t>AD-644-GA</t>
  </si>
  <si>
    <t>QJ2RKJ140722</t>
  </si>
  <si>
    <t>8AFAR23K0KJ40722</t>
  </si>
  <si>
    <t>M. Benz Sprinter 413D Chasis 4025</t>
  </si>
  <si>
    <t>GUV-912</t>
  </si>
  <si>
    <t>8AC9046638A980886</t>
  </si>
  <si>
    <t>M. Benz Sprinter.-</t>
  </si>
  <si>
    <t>GUV-910</t>
  </si>
  <si>
    <t>8AC9046638A983668</t>
  </si>
  <si>
    <t>SECRETARIA DE MEDICINA PREVENTIVA Y PROMOCION EN SALUD</t>
  </si>
  <si>
    <t>AE-677-LH</t>
  </si>
  <si>
    <t>2GD0880326</t>
  </si>
  <si>
    <t>8AJDB3CB9M5542084</t>
  </si>
  <si>
    <t>DIRECCION PROVINCIAL SISTEMA DE ATENCION MEDICA DE EMERGENCIA</t>
  </si>
  <si>
    <t>Frod Ranger XL 3,0 TDI DC 4x4 Plus L. Camioneta.-</t>
  </si>
  <si>
    <t>JRJ-107</t>
  </si>
  <si>
    <t>L1A008610</t>
  </si>
  <si>
    <t>8AFER13P6BJ398167</t>
  </si>
  <si>
    <t>DIRECCION PROVINCIAL MATERNIDAD, INFANCIA Y ADOLESCENCIA</t>
  </si>
  <si>
    <t>Chevrolet S10 2,8 TED 4X2 LS Pick up . Camioneta.-</t>
  </si>
  <si>
    <t>AC-091-RR</t>
  </si>
  <si>
    <t>HRUF171781023</t>
  </si>
  <si>
    <t>9BG148CK0JC414811</t>
  </si>
  <si>
    <t>SECRETARIA DE ASISTENCIA EN SALUD PUBLICA</t>
  </si>
  <si>
    <t>Chevrolet  S10 2,8 TDI 4x2 D/C DLX EL. Camioneta.-</t>
  </si>
  <si>
    <t>GAJ-557</t>
  </si>
  <si>
    <t>M1T241375</t>
  </si>
  <si>
    <t>9BG138AC06C426943</t>
  </si>
  <si>
    <t>DIRECCION PROVINCIAL ATENCION INTEGRAL A PERSONAS CON DISCAPACIDAD</t>
  </si>
  <si>
    <t>Toyota hylux AK-SW4-4x4 SRX 2,8 TDI. Camioneta.-</t>
  </si>
  <si>
    <t>AD-125-XL</t>
  </si>
  <si>
    <t>1GD-4378200</t>
  </si>
  <si>
    <t>8AJBA3FS8J0250098</t>
  </si>
  <si>
    <t>MINISTERIO DE SALUD</t>
  </si>
  <si>
    <t xml:space="preserve"> Garantía de las Cubiertas: un mínimo de 12 (doce) meses a partir de la entrega de los mismos, estableciendo además un Año de fabricación mínimo del 2021 en adelante..   
</t>
  </si>
  <si>
    <t>Deben ser de primera calidad. Consignar Marca para cada uno de los items.</t>
  </si>
  <si>
    <t xml:space="preserve"> </t>
  </si>
  <si>
    <t>Costo total estimado: PESOS DOSCIENTOS DIEZ MIL  CON 00/100.-</t>
  </si>
  <si>
    <t>TOTAL DE PESOS: DOSCIENTOS DIEZ MIL  CON 00/100.-</t>
  </si>
  <si>
    <t>Toyota A-HIACE L2H2 2.8 TDI 6AT 3A tipo Furgón.-</t>
  </si>
  <si>
    <t xml:space="preserve">AE 916 QA </t>
  </si>
  <si>
    <t>1GD-8736264</t>
  </si>
  <si>
    <t>JTFLAHCP9M6008857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</si>
</sst>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_(\$* #,##0.00_);_(\$* \(#,##0.00\);_(\$* \-??_);_(@_)"/>
    <numFmt numFmtId="170" formatCode="dd\-mm\-yy;@"/>
    <numFmt numFmtId="171" formatCode="[$$-2C0A]\ #,##0.00;[$$-2C0A]&quot; -&quot;#,##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sz val="8"/>
      <name val="Arial"/>
      <family val="2"/>
    </font>
    <font>
      <b/>
      <i/>
      <sz val="8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Times New Roman"/>
      <family val="1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7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0" fillId="0" borderId="0"/>
    <xf numFmtId="168" fontId="8" fillId="0" borderId="0" applyBorder="0" applyProtection="0"/>
    <xf numFmtId="0" fontId="11" fillId="0" borderId="10" applyProtection="0"/>
    <xf numFmtId="0" fontId="12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1" fillId="0" borderId="10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3" fillId="0" borderId="0"/>
    <xf numFmtId="0" fontId="14" fillId="0" borderId="0"/>
    <xf numFmtId="0" fontId="8" fillId="0" borderId="0"/>
    <xf numFmtId="169" fontId="15" fillId="0" borderId="0" applyBorder="0" applyProtection="0"/>
  </cellStyleXfs>
  <cellXfs count="26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/>
    </xf>
    <xf numFmtId="165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2" xfId="2" applyNumberFormat="1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1" fontId="7" fillId="0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165" fontId="7" fillId="0" borderId="2" xfId="0" applyNumberFormat="1" applyFont="1" applyFill="1" applyBorder="1" applyAlignment="1">
      <alignment horizontal="center" vertical="center"/>
    </xf>
    <xf numFmtId="3" fontId="7" fillId="0" borderId="2" xfId="0" applyNumberFormat="1" applyFont="1" applyFill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2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65" fontId="9" fillId="0" borderId="5" xfId="0" applyNumberFormat="1" applyFont="1" applyBorder="1" applyAlignment="1">
      <alignment horizontal="center" vertical="center"/>
    </xf>
    <xf numFmtId="3" fontId="9" fillId="0" borderId="5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left" vertical="center" wrapText="1"/>
    </xf>
    <xf numFmtId="167" fontId="7" fillId="0" borderId="2" xfId="0" applyNumberFormat="1" applyFont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3" fontId="7" fillId="0" borderId="3" xfId="0" applyNumberFormat="1" applyFont="1" applyFill="1" applyBorder="1" applyAlignment="1">
      <alignment horizontal="center" vertical="center"/>
    </xf>
    <xf numFmtId="167" fontId="7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7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7" fillId="2" borderId="3" xfId="2" applyNumberFormat="1" applyFont="1" applyFill="1" applyBorder="1" applyAlignment="1">
      <alignment horizontal="center" vertical="center" wrapText="1"/>
    </xf>
    <xf numFmtId="167" fontId="7" fillId="2" borderId="2" xfId="2" applyNumberFormat="1" applyFont="1" applyFill="1" applyBorder="1" applyAlignment="1">
      <alignment horizontal="center" vertical="center" wrapText="1"/>
    </xf>
    <xf numFmtId="3" fontId="7" fillId="0" borderId="3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 wrapText="1"/>
    </xf>
    <xf numFmtId="0" fontId="7" fillId="0" borderId="3" xfId="0" applyNumberFormat="1" applyFont="1" applyBorder="1" applyAlignment="1">
      <alignment horizontal="center" vertical="center"/>
    </xf>
    <xf numFmtId="0" fontId="9" fillId="0" borderId="5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3" fontId="7" fillId="0" borderId="11" xfId="2" applyNumberFormat="1" applyFont="1" applyBorder="1" applyAlignment="1">
      <alignment horizontal="center" vertical="center" wrapText="1"/>
    </xf>
    <xf numFmtId="0" fontId="7" fillId="0" borderId="2" xfId="0" applyNumberFormat="1" applyFont="1" applyBorder="1" applyAlignment="1">
      <alignment horizontal="center" vertical="center"/>
    </xf>
    <xf numFmtId="3" fontId="7" fillId="0" borderId="9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7" fillId="0" borderId="11" xfId="0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65" fontId="7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9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7" fontId="9" fillId="0" borderId="5" xfId="0" applyNumberFormat="1" applyFont="1" applyBorder="1" applyAlignment="1">
      <alignment horizontal="center" vertical="center"/>
    </xf>
    <xf numFmtId="167" fontId="7" fillId="0" borderId="1" xfId="0" applyNumberFormat="1" applyFont="1" applyFill="1" applyBorder="1" applyAlignment="1">
      <alignment horizontal="center" vertical="center"/>
    </xf>
    <xf numFmtId="0" fontId="9" fillId="0" borderId="7" xfId="0" applyFont="1" applyBorder="1"/>
    <xf numFmtId="0" fontId="9" fillId="0" borderId="0" xfId="0" applyFont="1"/>
    <xf numFmtId="167" fontId="7" fillId="0" borderId="2" xfId="0" applyNumberFormat="1" applyFont="1" applyFill="1" applyBorder="1" applyAlignment="1">
      <alignment horizontal="center" vertical="center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9" fillId="2" borderId="8" xfId="2" applyNumberFormat="1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/>
    </xf>
    <xf numFmtId="167" fontId="9" fillId="0" borderId="5" xfId="0" applyNumberFormat="1" applyFont="1" applyFill="1" applyBorder="1" applyAlignment="1">
      <alignment horizontal="center" vertical="center"/>
    </xf>
    <xf numFmtId="165" fontId="9" fillId="0" borderId="9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16" fillId="0" borderId="0" xfId="0" applyNumberFormat="1" applyFont="1" applyAlignment="1">
      <alignment horizontal="center" vertical="center"/>
    </xf>
    <xf numFmtId="0" fontId="18" fillId="0" borderId="0" xfId="0" applyFont="1"/>
    <xf numFmtId="167" fontId="7" fillId="0" borderId="2" xfId="0" applyNumberFormat="1" applyFont="1" applyFill="1" applyBorder="1" applyAlignment="1">
      <alignment horizontal="right" vertical="center" wrapText="1"/>
    </xf>
    <xf numFmtId="167" fontId="7" fillId="0" borderId="1" xfId="0" applyNumberFormat="1" applyFont="1" applyFill="1" applyBorder="1" applyAlignment="1">
      <alignment horizontal="right" vertical="center" wrapText="1"/>
    </xf>
    <xf numFmtId="167" fontId="7" fillId="0" borderId="3" xfId="0" applyNumberFormat="1" applyFont="1" applyFill="1" applyBorder="1" applyAlignment="1">
      <alignment horizontal="right" vertical="center" wrapText="1"/>
    </xf>
    <xf numFmtId="165" fontId="7" fillId="0" borderId="11" xfId="0" applyNumberFormat="1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25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1" fillId="0" borderId="19" xfId="0" applyFont="1" applyBorder="1" applyAlignment="1">
      <alignment horizontal="left" vertical="center" wrapText="1" indent="1"/>
    </xf>
    <xf numFmtId="0" fontId="24" fillId="0" borderId="2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3" fontId="25" fillId="0" borderId="30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 wrapText="1"/>
    </xf>
    <xf numFmtId="3" fontId="25" fillId="0" borderId="32" xfId="0" applyNumberFormat="1" applyFont="1" applyBorder="1" applyAlignment="1">
      <alignment horizontal="center" vertical="center"/>
    </xf>
    <xf numFmtId="3" fontId="27" fillId="0" borderId="36" xfId="0" applyNumberFormat="1" applyFont="1" applyBorder="1" applyAlignment="1"/>
    <xf numFmtId="170" fontId="0" fillId="0" borderId="36" xfId="0" applyNumberFormat="1" applyBorder="1" applyAlignment="1">
      <alignment horizontal="left"/>
    </xf>
    <xf numFmtId="0" fontId="0" fillId="0" borderId="36" xfId="0" applyBorder="1"/>
    <xf numFmtId="0" fontId="0" fillId="0" borderId="25" xfId="0" applyBorder="1"/>
    <xf numFmtId="0" fontId="0" fillId="0" borderId="0" xfId="0" applyBorder="1"/>
    <xf numFmtId="0" fontId="0" fillId="0" borderId="0" xfId="0" applyBorder="1" applyAlignment="1">
      <alignment horizontal="left"/>
    </xf>
    <xf numFmtId="170" fontId="0" fillId="0" borderId="0" xfId="0" applyNumberFormat="1" applyBorder="1" applyAlignment="1">
      <alignment horizontal="left"/>
    </xf>
    <xf numFmtId="0" fontId="0" fillId="0" borderId="19" xfId="0" applyBorder="1"/>
    <xf numFmtId="0" fontId="0" fillId="0" borderId="17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42" xfId="0" applyBorder="1"/>
    <xf numFmtId="0" fontId="31" fillId="0" borderId="45" xfId="0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/>
    </xf>
    <xf numFmtId="0" fontId="31" fillId="0" borderId="46" xfId="0" applyFont="1" applyBorder="1" applyAlignment="1">
      <alignment horizontal="left" vertical="center"/>
    </xf>
    <xf numFmtId="0" fontId="31" fillId="0" borderId="47" xfId="0" applyFont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171" fontId="0" fillId="0" borderId="52" xfId="33" applyNumberFormat="1" applyFont="1" applyBorder="1" applyAlignment="1" applyProtection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171" fontId="0" fillId="0" borderId="57" xfId="33" applyNumberFormat="1" applyFont="1" applyBorder="1" applyAlignment="1" applyProtection="1">
      <alignment horizontal="center" vertical="center"/>
    </xf>
    <xf numFmtId="0" fontId="29" fillId="0" borderId="53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29" fillId="0" borderId="55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71" fontId="0" fillId="0" borderId="61" xfId="33" applyNumberFormat="1" applyFont="1" applyBorder="1" applyAlignment="1" applyProtection="1">
      <alignment horizontal="center" vertical="center"/>
    </xf>
    <xf numFmtId="171" fontId="31" fillId="0" borderId="63" xfId="0" applyNumberFormat="1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64" xfId="0" applyFont="1" applyBorder="1" applyAlignment="1">
      <alignment vertical="center"/>
    </xf>
    <xf numFmtId="0" fontId="21" fillId="0" borderId="35" xfId="0" applyFont="1" applyBorder="1" applyAlignment="1">
      <alignment vertical="center"/>
    </xf>
    <xf numFmtId="0" fontId="21" fillId="0" borderId="65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2" xfId="0" applyFont="1" applyFill="1" applyBorder="1" applyAlignment="1">
      <alignment horizontal="center" vertical="center"/>
    </xf>
    <xf numFmtId="165" fontId="7" fillId="0" borderId="3" xfId="0" applyNumberFormat="1" applyFont="1" applyFill="1" applyBorder="1" applyAlignment="1">
      <alignment horizontal="center" vertical="center"/>
    </xf>
    <xf numFmtId="167" fontId="7" fillId="0" borderId="1" xfId="2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/>
    </xf>
    <xf numFmtId="0" fontId="7" fillId="0" borderId="7" xfId="0" applyFont="1" applyBorder="1" applyAlignment="1">
      <alignment vertical="center"/>
    </xf>
    <xf numFmtId="167" fontId="20" fillId="0" borderId="15" xfId="0" applyNumberFormat="1" applyFont="1" applyBorder="1" applyAlignment="1">
      <alignment horizontal="right" vertical="center"/>
    </xf>
    <xf numFmtId="167" fontId="20" fillId="0" borderId="0" xfId="0" applyNumberFormat="1" applyFont="1" applyBorder="1" applyAlignment="1">
      <alignment vertical="center"/>
    </xf>
    <xf numFmtId="167" fontId="21" fillId="0" borderId="64" xfId="0" applyNumberFormat="1" applyFont="1" applyBorder="1" applyAlignment="1">
      <alignment vertical="center"/>
    </xf>
    <xf numFmtId="167" fontId="21" fillId="0" borderId="0" xfId="0" applyNumberFormat="1" applyFont="1" applyBorder="1" applyAlignment="1">
      <alignment horizontal="left" vertical="center" wrapText="1" indent="1"/>
    </xf>
    <xf numFmtId="167" fontId="25" fillId="0" borderId="12" xfId="0" applyNumberFormat="1" applyFont="1" applyBorder="1" applyAlignment="1">
      <alignment horizontal="center" vertical="center" wrapText="1"/>
    </xf>
    <xf numFmtId="167" fontId="25" fillId="0" borderId="13" xfId="0" applyNumberFormat="1" applyFont="1" applyBorder="1" applyAlignment="1">
      <alignment horizontal="center" vertical="center" wrapText="1"/>
    </xf>
    <xf numFmtId="167" fontId="0" fillId="0" borderId="0" xfId="0" applyNumberFormat="1"/>
    <xf numFmtId="3" fontId="25" fillId="0" borderId="13" xfId="0" applyNumberFormat="1" applyFont="1" applyBorder="1" applyAlignment="1">
      <alignment horizontal="center" vertical="center"/>
    </xf>
    <xf numFmtId="0" fontId="32" fillId="0" borderId="25" xfId="0" applyFont="1" applyBorder="1" applyAlignment="1">
      <alignment horizontal="center" wrapText="1"/>
    </xf>
    <xf numFmtId="0" fontId="3" fillId="0" borderId="0" xfId="0" applyFont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0" fontId="0" fillId="0" borderId="72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left" vertical="center" wrapText="1"/>
    </xf>
    <xf numFmtId="0" fontId="33" fillId="0" borderId="13" xfId="0" applyFont="1" applyBorder="1" applyAlignment="1">
      <alignment horizontal="left" vertical="center" wrapText="1"/>
    </xf>
    <xf numFmtId="0" fontId="33" fillId="0" borderId="13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3" fillId="0" borderId="13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36" fillId="0" borderId="13" xfId="0" applyFont="1" applyBorder="1" applyAlignment="1">
      <alignment horizontal="center" vertical="center" wrapText="1"/>
    </xf>
    <xf numFmtId="0" fontId="37" fillId="0" borderId="65" xfId="0" applyFont="1" applyBorder="1" applyAlignment="1">
      <alignment vertical="center"/>
    </xf>
    <xf numFmtId="3" fontId="7" fillId="2" borderId="1" xfId="2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38" fillId="0" borderId="13" xfId="0" applyFont="1" applyBorder="1" applyAlignment="1">
      <alignment horizontal="center" vertical="center" wrapText="1"/>
    </xf>
    <xf numFmtId="0" fontId="38" fillId="0" borderId="13" xfId="0" applyFont="1" applyBorder="1" applyAlignment="1">
      <alignment vertical="center" wrapText="1"/>
    </xf>
    <xf numFmtId="0" fontId="3" fillId="0" borderId="0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22" fillId="0" borderId="20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22" fillId="0" borderId="23" xfId="0" applyFont="1" applyBorder="1" applyAlignment="1">
      <alignment horizontal="left" vertical="center"/>
    </xf>
    <xf numFmtId="0" fontId="19" fillId="0" borderId="14" xfId="0" applyFont="1" applyBorder="1" applyAlignment="1">
      <alignment horizontal="center" vertical="center"/>
    </xf>
    <xf numFmtId="166" fontId="22" fillId="0" borderId="68" xfId="0" applyNumberFormat="1" applyFont="1" applyBorder="1" applyAlignment="1">
      <alignment horizontal="center" vertical="center"/>
    </xf>
    <xf numFmtId="166" fontId="22" fillId="0" borderId="69" xfId="0" applyNumberFormat="1" applyFont="1" applyBorder="1" applyAlignment="1">
      <alignment horizontal="center" vertical="center"/>
    </xf>
    <xf numFmtId="0" fontId="26" fillId="0" borderId="33" xfId="0" applyFont="1" applyBorder="1" applyAlignment="1">
      <alignment horizontal="left" vertical="center" wrapText="1" indent="1"/>
    </xf>
    <xf numFmtId="0" fontId="22" fillId="0" borderId="66" xfId="0" applyFont="1" applyBorder="1" applyAlignment="1">
      <alignment horizontal="center" vertical="center" wrapText="1"/>
    </xf>
    <xf numFmtId="0" fontId="22" fillId="0" borderId="67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167" fontId="23" fillId="0" borderId="27" xfId="0" applyNumberFormat="1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/>
    </xf>
    <xf numFmtId="0" fontId="29" fillId="0" borderId="40" xfId="0" applyFont="1" applyBorder="1" applyAlignment="1">
      <alignment horizontal="left"/>
    </xf>
    <xf numFmtId="0" fontId="0" fillId="0" borderId="34" xfId="0" applyFont="1" applyBorder="1" applyAlignment="1">
      <alignment horizontal="center"/>
    </xf>
    <xf numFmtId="3" fontId="27" fillId="0" borderId="35" xfId="0" applyNumberFormat="1" applyFont="1" applyBorder="1" applyAlignment="1">
      <alignment horizontal="center"/>
    </xf>
    <xf numFmtId="0" fontId="28" fillId="0" borderId="16" xfId="0" applyFont="1" applyBorder="1" applyAlignment="1">
      <alignment horizontal="center" vertical="center" wrapText="1"/>
    </xf>
    <xf numFmtId="0" fontId="15" fillId="0" borderId="37" xfId="0" applyFont="1" applyBorder="1"/>
    <xf numFmtId="0" fontId="29" fillId="0" borderId="38" xfId="0" applyFont="1" applyBorder="1" applyAlignment="1">
      <alignment horizontal="left" indent="1"/>
    </xf>
    <xf numFmtId="0" fontId="25" fillId="0" borderId="37" xfId="0" applyFont="1" applyBorder="1" applyAlignment="1">
      <alignment horizontal="left" vertical="center" wrapText="1"/>
    </xf>
    <xf numFmtId="0" fontId="30" fillId="0" borderId="39" xfId="0" applyFont="1" applyBorder="1" applyAlignment="1">
      <alignment horizontal="left"/>
    </xf>
    <xf numFmtId="0" fontId="0" fillId="0" borderId="56" xfId="0" applyFont="1" applyBorder="1" applyAlignment="1">
      <alignment horizontal="center" vertical="center"/>
    </xf>
    <xf numFmtId="49" fontId="29" fillId="0" borderId="41" xfId="0" applyNumberFormat="1" applyFont="1" applyBorder="1" applyAlignment="1">
      <alignment horizontal="justify" vertical="center" wrapText="1"/>
    </xf>
    <xf numFmtId="0" fontId="31" fillId="0" borderId="40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/>
    </xf>
    <xf numFmtId="0" fontId="0" fillId="0" borderId="50" xfId="0" applyFont="1" applyBorder="1" applyAlignment="1">
      <alignment horizontal="left" vertical="center" wrapText="1"/>
    </xf>
    <xf numFmtId="0" fontId="0" fillId="0" borderId="56" xfId="0" applyFont="1" applyBorder="1" applyAlignment="1">
      <alignment horizontal="left" vertical="center"/>
    </xf>
    <xf numFmtId="0" fontId="0" fillId="0" borderId="56" xfId="0" applyBorder="1" applyAlignment="1">
      <alignment horizontal="center"/>
    </xf>
    <xf numFmtId="0" fontId="27" fillId="0" borderId="21" xfId="0" applyFont="1" applyBorder="1" applyAlignment="1">
      <alignment vertical="center" wrapText="1"/>
    </xf>
    <xf numFmtId="0" fontId="29" fillId="0" borderId="44" xfId="0" applyFont="1" applyBorder="1" applyAlignment="1">
      <alignment vertical="center" wrapText="1"/>
    </xf>
    <xf numFmtId="0" fontId="29" fillId="0" borderId="33" xfId="0" applyFont="1" applyBorder="1" applyAlignment="1">
      <alignment horizontal="left" vertical="center" wrapText="1" indent="1"/>
    </xf>
    <xf numFmtId="0" fontId="0" fillId="0" borderId="56" xfId="0" applyBorder="1" applyAlignment="1">
      <alignment horizontal="left" vertical="center"/>
    </xf>
    <xf numFmtId="0" fontId="0" fillId="0" borderId="59" xfId="0" applyBorder="1" applyAlignment="1">
      <alignment horizontal="left" vertical="center"/>
    </xf>
    <xf numFmtId="0" fontId="27" fillId="0" borderId="62" xfId="0" applyFont="1" applyBorder="1" applyAlignment="1">
      <alignment horizontal="left" vertical="center" wrapText="1"/>
    </xf>
    <xf numFmtId="0" fontId="0" fillId="0" borderId="40" xfId="0" applyBorder="1"/>
    <xf numFmtId="0" fontId="23" fillId="0" borderId="23" xfId="0" applyFont="1" applyBorder="1" applyAlignment="1">
      <alignment horizontal="center" vertical="center"/>
    </xf>
    <xf numFmtId="0" fontId="23" fillId="0" borderId="70" xfId="0" applyFont="1" applyBorder="1" applyAlignment="1">
      <alignment horizontal="center" vertical="center" wrapText="1"/>
    </xf>
    <xf numFmtId="167" fontId="23" fillId="0" borderId="70" xfId="0" applyNumberFormat="1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32" fillId="2" borderId="14" xfId="0" applyFont="1" applyFill="1" applyBorder="1" applyAlignment="1">
      <alignment horizontal="center" wrapText="1"/>
    </xf>
    <xf numFmtId="0" fontId="3" fillId="2" borderId="36" xfId="0" applyFont="1" applyFill="1" applyBorder="1" applyAlignment="1">
      <alignment horizontal="left" wrapText="1"/>
    </xf>
    <xf numFmtId="0" fontId="3" fillId="2" borderId="71" xfId="0" applyFont="1" applyFill="1" applyBorder="1" applyAlignment="1">
      <alignment horizontal="left"/>
    </xf>
    <xf numFmtId="0" fontId="32" fillId="2" borderId="2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/>
    </xf>
  </cellXfs>
  <cellStyles count="34">
    <cellStyle name="Encabezado 1" xfId="10"/>
    <cellStyle name="Encabezado 1 2" xfId="15"/>
    <cellStyle name="Millares 2" xfId="20"/>
    <cellStyle name="Millares 2 2" xfId="26"/>
    <cellStyle name="Moneda" xfId="1" builtinId="4"/>
    <cellStyle name="Moneda 2" xfId="3"/>
    <cellStyle name="Moneda 2 2" xfId="16"/>
    <cellStyle name="Moneda 3" xfId="14"/>
    <cellStyle name="Moneda 4" xfId="21"/>
    <cellStyle name="Moneda 5" xfId="9"/>
    <cellStyle name="Moneda_AUTORIZACION Y NOTA DE PEDIDO" xfId="33"/>
    <cellStyle name="Neutral 1" xfId="11"/>
    <cellStyle name="Normal" xfId="0" builtinId="0"/>
    <cellStyle name="Normal 2" xfId="2"/>
    <cellStyle name="Normal 2 2" xfId="5"/>
    <cellStyle name="Normal 2 3" xfId="32"/>
    <cellStyle name="Normal 3" xfId="7"/>
    <cellStyle name="Normal 3 2" xfId="12"/>
    <cellStyle name="Normal 3 2 2" xfId="18"/>
    <cellStyle name="Normal 3 3" xfId="17"/>
    <cellStyle name="Normal 3 4" xfId="22"/>
    <cellStyle name="Normal 3 4 2" xfId="27"/>
    <cellStyle name="Normal 4" xfId="6"/>
    <cellStyle name="Normal 4 2" xfId="19"/>
    <cellStyle name="Normal 4 3" xfId="23"/>
    <cellStyle name="Normal 4 3 2" xfId="28"/>
    <cellStyle name="Normal 5" xfId="4"/>
    <cellStyle name="Normal 5 2" xfId="25"/>
    <cellStyle name="Normal 6" xfId="13"/>
    <cellStyle name="Normal 7" xfId="24"/>
    <cellStyle name="Normal 8" xfId="8"/>
    <cellStyle name="Normal 8 2" xfId="29"/>
    <cellStyle name="Normal 8 3" xfId="30"/>
    <cellStyle name="Normal 8 4" xfId="31"/>
  </cellStyles>
  <dxfs count="20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="" xmlns:a16="http://schemas.microsoft.com/office/drawing/2014/main" id="{00000000-0008-0000-03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="" xmlns:a16="http://schemas.microsoft.com/office/drawing/2014/main" id="{00000000-0008-0000-03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5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5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7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7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="" xmlns:a16="http://schemas.microsoft.com/office/drawing/2014/main" id="{00000000-0008-0000-0F00-000004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="" xmlns:a16="http://schemas.microsoft.com/office/drawing/2014/main" id="{00000000-0008-0000-0F00-000005000000}"/>
            </a:ext>
          </a:extLst>
        </xdr:cNvPr>
        <xdr:cNvSpPr/>
      </xdr:nvSpPr>
      <xdr:spPr>
        <a:xfrm>
          <a:off x="70388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6"/>
  <sheetViews>
    <sheetView tabSelected="1" topLeftCell="A4" zoomScale="90" zoomScaleNormal="90" workbookViewId="0">
      <pane xSplit="19770" topLeftCell="AY1"/>
      <selection activeCell="I25" sqref="I25"/>
      <selection pane="topRight" activeCell="AC1" sqref="AC1:AW1048576"/>
    </sheetView>
  </sheetViews>
  <sheetFormatPr baseColWidth="10" defaultColWidth="10.7109375" defaultRowHeight="15" x14ac:dyDescent="0.25"/>
  <cols>
    <col min="1" max="1" width="5.42578125" style="58" bestFit="1" customWidth="1"/>
    <col min="2" max="2" width="13.85546875" style="58" bestFit="1" customWidth="1"/>
    <col min="3" max="3" width="19.85546875" style="58" bestFit="1" customWidth="1"/>
    <col min="4" max="4" width="5.5703125" style="58" customWidth="1"/>
    <col min="5" max="5" width="89.85546875" style="59" bestFit="1" customWidth="1"/>
    <col min="6" max="6" width="15.5703125" style="58" bestFit="1" customWidth="1"/>
    <col min="7" max="7" width="18.28515625" style="58" customWidth="1"/>
    <col min="8" max="8" width="10.85546875" style="58" customWidth="1"/>
    <col min="9" max="9" width="8" style="58" customWidth="1"/>
    <col min="10" max="10" width="14.5703125" style="93" customWidth="1"/>
    <col min="11" max="11" width="12.42578125" style="58" customWidth="1"/>
    <col min="12" max="12" width="15.85546875" style="58" customWidth="1"/>
    <col min="13" max="13" width="8.28515625" style="58" customWidth="1"/>
    <col min="14" max="14" width="14.140625" style="58" customWidth="1"/>
    <col min="15" max="15" width="5.42578125" style="58" customWidth="1"/>
    <col min="16" max="16" width="12.42578125" style="58" customWidth="1"/>
    <col min="17" max="17" width="14.7109375" style="58" customWidth="1"/>
    <col min="18" max="18" width="14.42578125" style="58" customWidth="1"/>
    <col min="19" max="19" width="12.140625" style="60" customWidth="1"/>
    <col min="20" max="20" width="13.85546875" style="93" customWidth="1"/>
    <col min="21" max="21" width="16.7109375" style="58" customWidth="1"/>
    <col min="22" max="22" width="13.85546875" style="58" customWidth="1"/>
    <col min="23" max="23" width="8" style="58" customWidth="1"/>
    <col min="24" max="24" width="13.85546875" style="93" customWidth="1"/>
    <col min="25" max="25" width="10.140625" style="58" customWidth="1"/>
    <col min="26" max="26" width="13.85546875" style="58" customWidth="1"/>
    <col min="27" max="27" width="14.42578125" style="58" customWidth="1"/>
    <col min="28" max="28" width="14.42578125" style="93" customWidth="1"/>
    <col min="29" max="29" width="6.42578125" style="58" customWidth="1"/>
    <col min="30" max="30" width="15.42578125" style="93" customWidth="1"/>
    <col min="31" max="31" width="10.140625" style="58" customWidth="1"/>
    <col min="32" max="32" width="13.5703125" style="93" customWidth="1"/>
    <col min="33" max="33" width="12.140625" style="58" customWidth="1"/>
    <col min="34" max="34" width="13" style="58" customWidth="1"/>
    <col min="35" max="35" width="10.5703125" style="58" customWidth="1"/>
    <col min="36" max="36" width="14.42578125" style="93" customWidth="1"/>
    <col min="37" max="37" width="7.7109375" style="58" customWidth="1"/>
    <col min="38" max="38" width="14.85546875" style="58" customWidth="1"/>
    <col min="39" max="39" width="6.5703125" style="58" customWidth="1"/>
    <col min="40" max="40" width="14.85546875" style="93" customWidth="1"/>
    <col min="41" max="41" width="14.85546875" style="58" customWidth="1"/>
    <col min="42" max="42" width="13.5703125" style="58" customWidth="1"/>
    <col min="43" max="43" width="13.85546875" style="58" customWidth="1"/>
    <col min="44" max="44" width="14.85546875" style="93" customWidth="1"/>
    <col min="45" max="45" width="15.28515625" style="75" customWidth="1"/>
    <col min="46" max="46" width="12.42578125" style="93" customWidth="1"/>
    <col min="47" max="47" width="7.28515625" style="75" customWidth="1"/>
    <col min="48" max="48" width="24.42578125" style="93" customWidth="1"/>
    <col min="49" max="49" width="13.85546875" style="75" hidden="1" customWidth="1"/>
    <col min="50" max="50" width="13.85546875" style="84" hidden="1" customWidth="1"/>
    <col min="51" max="51" width="11.28515625" style="60" bestFit="1" customWidth="1"/>
    <col min="52" max="52" width="13.85546875" style="93" customWidth="1"/>
    <col min="53" max="53" width="16.28515625" style="61" bestFit="1" customWidth="1"/>
    <col min="54" max="54" width="62" customWidth="1"/>
  </cols>
  <sheetData>
    <row r="1" spans="1:55" x14ac:dyDescent="0.2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9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81"/>
      <c r="AT1" s="9"/>
      <c r="AU1" s="81"/>
      <c r="AV1" s="9"/>
      <c r="AW1" s="81"/>
      <c r="AX1" s="3"/>
      <c r="AY1" s="7"/>
      <c r="AZ1" s="8"/>
      <c r="BA1" s="9"/>
    </row>
    <row r="2" spans="1:55" s="101" customFormat="1" ht="18.75" x14ac:dyDescent="0.25">
      <c r="A2" s="99"/>
      <c r="B2" s="212" t="s">
        <v>0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2"/>
      <c r="O2" s="212"/>
      <c r="P2" s="212"/>
      <c r="Q2" s="212"/>
      <c r="R2" s="212"/>
      <c r="S2" s="212"/>
      <c r="T2" s="212"/>
      <c r="U2" s="212"/>
      <c r="V2" s="212"/>
      <c r="W2" s="212"/>
      <c r="X2" s="212"/>
      <c r="Y2" s="212"/>
      <c r="Z2" s="212"/>
      <c r="AA2" s="212"/>
      <c r="AB2" s="212"/>
      <c r="AC2" s="212"/>
      <c r="AD2" s="212"/>
      <c r="AE2" s="212"/>
      <c r="AF2" s="212"/>
      <c r="AG2" s="212"/>
      <c r="AH2" s="212"/>
      <c r="AI2" s="212"/>
      <c r="AJ2" s="212"/>
      <c r="AK2" s="212"/>
      <c r="AL2" s="212"/>
      <c r="AM2" s="212"/>
      <c r="AN2" s="212"/>
      <c r="AO2" s="212"/>
      <c r="AP2" s="212"/>
      <c r="AQ2" s="212"/>
      <c r="AR2" s="212"/>
      <c r="AS2" s="212"/>
      <c r="AT2" s="212"/>
      <c r="AU2" s="212"/>
      <c r="AV2" s="212"/>
      <c r="AW2" s="212"/>
      <c r="AX2" s="212"/>
      <c r="AY2" s="212"/>
      <c r="AZ2" s="212"/>
      <c r="BA2" s="100"/>
    </row>
    <row r="3" spans="1:55" x14ac:dyDescent="0.2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9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81"/>
      <c r="AT3" s="9"/>
      <c r="AU3" s="81"/>
      <c r="AV3" s="9"/>
      <c r="AW3" s="81"/>
      <c r="AX3" s="3"/>
      <c r="AY3" s="7"/>
      <c r="AZ3" s="8"/>
      <c r="BA3" s="9"/>
    </row>
    <row r="4" spans="1:55" x14ac:dyDescent="0.2">
      <c r="A4" s="211" t="s">
        <v>1</v>
      </c>
      <c r="B4" s="211"/>
      <c r="C4" s="160" t="s">
        <v>2</v>
      </c>
      <c r="D4" s="160"/>
      <c r="E4" s="160"/>
      <c r="F4" s="10"/>
      <c r="G4" s="10"/>
      <c r="H4" s="10"/>
      <c r="I4" s="10"/>
      <c r="J4" s="92"/>
      <c r="K4" s="10"/>
      <c r="L4" s="10"/>
      <c r="M4" s="11"/>
      <c r="N4" s="12"/>
      <c r="O4" s="13"/>
      <c r="P4" s="10"/>
      <c r="Q4" s="11"/>
      <c r="R4" s="10"/>
      <c r="S4" s="13"/>
      <c r="T4" s="92"/>
      <c r="U4" s="11"/>
      <c r="V4" s="10"/>
      <c r="W4" s="13"/>
      <c r="X4" s="92"/>
      <c r="Y4" s="13"/>
      <c r="Z4" s="10"/>
      <c r="AA4" s="13"/>
      <c r="AB4" s="92"/>
      <c r="AC4" s="13"/>
      <c r="AD4" s="92"/>
      <c r="AE4" s="13"/>
      <c r="AF4" s="92"/>
      <c r="AG4" s="13"/>
      <c r="AH4" s="10"/>
      <c r="AI4" s="13"/>
      <c r="AJ4" s="92"/>
      <c r="AK4" s="13"/>
      <c r="AL4" s="10"/>
      <c r="AM4" s="13"/>
      <c r="AN4" s="92"/>
      <c r="AO4" s="13"/>
      <c r="AP4" s="10"/>
      <c r="AQ4" s="13"/>
      <c r="AR4" s="92"/>
      <c r="AS4" s="71"/>
      <c r="AT4" s="92"/>
      <c r="AU4" s="71"/>
      <c r="AV4" s="92"/>
      <c r="AW4" s="71"/>
      <c r="AX4" s="10"/>
      <c r="AY4" s="13"/>
      <c r="AZ4" s="8"/>
      <c r="BA4" s="9"/>
    </row>
    <row r="5" spans="1:55" ht="15" customHeight="1" x14ac:dyDescent="0.25">
      <c r="A5" s="211" t="s">
        <v>3</v>
      </c>
      <c r="B5" s="211"/>
      <c r="C5" s="160" t="s">
        <v>4</v>
      </c>
      <c r="D5" s="160"/>
      <c r="E5" s="160"/>
      <c r="F5" s="10"/>
      <c r="G5" s="10"/>
      <c r="H5" s="10"/>
      <c r="I5" s="10"/>
      <c r="J5" s="92"/>
      <c r="K5" s="10"/>
      <c r="L5" s="10"/>
      <c r="M5" s="11"/>
      <c r="N5" s="12"/>
      <c r="O5" s="13"/>
      <c r="P5" s="10"/>
      <c r="Q5" s="11"/>
      <c r="R5" s="10"/>
      <c r="S5" s="13"/>
      <c r="T5" s="92"/>
      <c r="U5" s="11"/>
      <c r="V5" s="10"/>
      <c r="W5" s="13"/>
      <c r="X5" s="92"/>
      <c r="Y5" s="13"/>
      <c r="Z5" s="10"/>
      <c r="AA5" s="13"/>
      <c r="AB5" s="92"/>
      <c r="AC5" s="13"/>
      <c r="AD5" s="92"/>
      <c r="AE5" s="13"/>
      <c r="AF5" s="92"/>
      <c r="AG5" s="13"/>
      <c r="AH5" s="10"/>
      <c r="AI5" s="13"/>
      <c r="AJ5" s="92"/>
      <c r="AK5" s="13"/>
      <c r="AL5" s="10"/>
      <c r="AM5" s="13"/>
      <c r="AN5" s="92"/>
      <c r="AO5" s="13"/>
      <c r="AP5" s="10"/>
      <c r="AQ5" s="13"/>
      <c r="AR5" s="92"/>
      <c r="AS5" s="71"/>
      <c r="AT5" s="92"/>
      <c r="AU5" s="71"/>
      <c r="AV5" s="92"/>
      <c r="AW5" s="71"/>
      <c r="AX5" s="10"/>
      <c r="AY5" s="13"/>
      <c r="AZ5" s="8"/>
      <c r="BA5" s="9"/>
    </row>
    <row r="6" spans="1:55" x14ac:dyDescent="0.2">
      <c r="A6" s="211" t="s">
        <v>5</v>
      </c>
      <c r="B6" s="211"/>
      <c r="C6" s="161">
        <v>2022</v>
      </c>
      <c r="D6" s="162"/>
      <c r="E6" s="161"/>
      <c r="F6" s="10"/>
      <c r="G6" s="10"/>
      <c r="H6" s="10"/>
      <c r="I6" s="10"/>
      <c r="J6" s="92"/>
      <c r="K6" s="10"/>
      <c r="L6" s="10"/>
      <c r="M6" s="11"/>
      <c r="N6" s="12"/>
      <c r="O6" s="13"/>
      <c r="P6" s="10"/>
      <c r="Q6" s="11"/>
      <c r="R6" s="10"/>
      <c r="S6" s="13"/>
      <c r="T6" s="92"/>
      <c r="U6" s="11"/>
      <c r="V6" s="10"/>
      <c r="W6" s="13"/>
      <c r="X6" s="92"/>
      <c r="Y6" s="13"/>
      <c r="Z6" s="10"/>
      <c r="AA6" s="13"/>
      <c r="AB6" s="92"/>
      <c r="AC6" s="13"/>
      <c r="AD6" s="92"/>
      <c r="AE6" s="13"/>
      <c r="AF6" s="92"/>
      <c r="AG6" s="13"/>
      <c r="AH6" s="10"/>
      <c r="AI6" s="13"/>
      <c r="AJ6" s="92"/>
      <c r="AK6" s="13"/>
      <c r="AL6" s="10"/>
      <c r="AM6" s="13"/>
      <c r="AN6" s="92"/>
      <c r="AO6" s="13"/>
      <c r="AP6" s="10"/>
      <c r="AQ6" s="13"/>
      <c r="AR6" s="92"/>
      <c r="AS6" s="71"/>
      <c r="AT6" s="92"/>
      <c r="AU6" s="71"/>
      <c r="AV6" s="92"/>
      <c r="AW6" s="71"/>
      <c r="AX6" s="10"/>
      <c r="AY6" s="13"/>
      <c r="AZ6" s="8"/>
      <c r="BA6" s="9"/>
    </row>
    <row r="7" spans="1:55" x14ac:dyDescent="0.2">
      <c r="A7" s="211" t="s">
        <v>6</v>
      </c>
      <c r="B7" s="211"/>
      <c r="C7" s="161" t="s">
        <v>69</v>
      </c>
      <c r="D7" s="162"/>
      <c r="E7" s="161"/>
      <c r="F7" s="10"/>
      <c r="G7" s="10"/>
      <c r="H7" s="10"/>
      <c r="I7" s="10"/>
      <c r="J7" s="92"/>
      <c r="K7" s="10"/>
      <c r="L7" s="10"/>
      <c r="M7" s="11"/>
      <c r="N7" s="12"/>
      <c r="O7" s="13"/>
      <c r="P7" s="10"/>
      <c r="Q7" s="11"/>
      <c r="R7" s="10"/>
      <c r="S7" s="13"/>
      <c r="T7" s="92"/>
      <c r="U7" s="11"/>
      <c r="V7" s="10"/>
      <c r="W7" s="13"/>
      <c r="X7" s="92"/>
      <c r="Y7" s="13"/>
      <c r="Z7" s="10"/>
      <c r="AA7" s="13"/>
      <c r="AB7" s="92"/>
      <c r="AC7" s="13"/>
      <c r="AD7" s="92"/>
      <c r="AE7" s="13"/>
      <c r="AF7" s="92"/>
      <c r="AG7" s="13"/>
      <c r="AH7" s="10"/>
      <c r="AI7" s="13"/>
      <c r="AJ7" s="92"/>
      <c r="AK7" s="13"/>
      <c r="AL7" s="10"/>
      <c r="AM7" s="13"/>
      <c r="AN7" s="92"/>
      <c r="AO7" s="13"/>
      <c r="AP7" s="10"/>
      <c r="AQ7" s="13"/>
      <c r="AR7" s="92"/>
      <c r="AS7" s="71"/>
      <c r="AT7" s="92"/>
      <c r="AU7" s="71"/>
      <c r="AV7" s="92"/>
      <c r="AW7" s="71"/>
      <c r="AX7" s="10"/>
      <c r="AY7" s="13"/>
      <c r="AZ7" s="8"/>
      <c r="BA7" s="9"/>
    </row>
    <row r="8" spans="1:55" x14ac:dyDescent="0.2">
      <c r="A8" s="3"/>
      <c r="B8" s="10"/>
      <c r="C8" s="10"/>
      <c r="D8" s="10"/>
      <c r="E8" s="14"/>
      <c r="F8" s="10"/>
      <c r="G8" s="10"/>
      <c r="H8" s="10"/>
      <c r="I8" s="10"/>
      <c r="J8" s="92"/>
      <c r="K8" s="10"/>
      <c r="L8" s="10"/>
      <c r="M8" s="11"/>
      <c r="N8" s="12"/>
      <c r="O8" s="13"/>
      <c r="P8" s="10"/>
      <c r="Q8" s="11"/>
      <c r="R8" s="10"/>
      <c r="S8" s="13"/>
      <c r="T8" s="92"/>
      <c r="U8" s="11"/>
      <c r="V8" s="10"/>
      <c r="W8" s="13"/>
      <c r="X8" s="92"/>
      <c r="Y8" s="13"/>
      <c r="Z8" s="10"/>
      <c r="AA8" s="13"/>
      <c r="AB8" s="92"/>
      <c r="AC8" s="13"/>
      <c r="AD8" s="92"/>
      <c r="AE8" s="13"/>
      <c r="AF8" s="92"/>
      <c r="AG8" s="13"/>
      <c r="AH8" s="10"/>
      <c r="AI8" s="13"/>
      <c r="AJ8" s="92"/>
      <c r="AK8" s="13"/>
      <c r="AL8" s="10"/>
      <c r="AM8" s="13"/>
      <c r="AN8" s="92"/>
      <c r="AO8" s="13"/>
      <c r="AP8" s="10"/>
      <c r="AQ8" s="13"/>
      <c r="AR8" s="92"/>
      <c r="AS8" s="71"/>
      <c r="AT8" s="92"/>
      <c r="AU8" s="71"/>
      <c r="AV8" s="92"/>
      <c r="AW8" s="71"/>
      <c r="AX8" s="10"/>
      <c r="AY8" s="13"/>
      <c r="AZ8" s="8"/>
      <c r="BA8" s="9"/>
    </row>
    <row r="9" spans="1:55" ht="51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82" t="s">
        <v>15</v>
      </c>
      <c r="J9" s="23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1" t="s">
        <v>29</v>
      </c>
      <c r="X9" s="23" t="s">
        <v>63</v>
      </c>
      <c r="Y9" s="20" t="s">
        <v>89</v>
      </c>
      <c r="Z9" s="16" t="s">
        <v>90</v>
      </c>
      <c r="AA9" s="21" t="s">
        <v>30</v>
      </c>
      <c r="AB9" s="23" t="s">
        <v>31</v>
      </c>
      <c r="AC9" s="21" t="s">
        <v>32</v>
      </c>
      <c r="AD9" s="23" t="s">
        <v>33</v>
      </c>
      <c r="AE9" s="20" t="s">
        <v>34</v>
      </c>
      <c r="AF9" s="23" t="s">
        <v>35</v>
      </c>
      <c r="AG9" s="20" t="s">
        <v>36</v>
      </c>
      <c r="AH9" s="16" t="s">
        <v>37</v>
      </c>
      <c r="AI9" s="21" t="s">
        <v>72</v>
      </c>
      <c r="AJ9" s="23" t="s">
        <v>73</v>
      </c>
      <c r="AK9" s="20" t="s">
        <v>81</v>
      </c>
      <c r="AL9" s="16" t="s">
        <v>82</v>
      </c>
      <c r="AM9" s="203" t="s">
        <v>38</v>
      </c>
      <c r="AN9" s="23" t="s">
        <v>39</v>
      </c>
      <c r="AO9" s="203" t="s">
        <v>40</v>
      </c>
      <c r="AP9" s="16" t="s">
        <v>41</v>
      </c>
      <c r="AQ9" s="21" t="s">
        <v>42</v>
      </c>
      <c r="AR9" s="23" t="s">
        <v>43</v>
      </c>
      <c r="AS9" s="79" t="s">
        <v>64</v>
      </c>
      <c r="AT9" s="23" t="s">
        <v>65</v>
      </c>
      <c r="AU9" s="204" t="s">
        <v>70</v>
      </c>
      <c r="AV9" s="23" t="s">
        <v>71</v>
      </c>
      <c r="AW9" s="79" t="s">
        <v>74</v>
      </c>
      <c r="AX9" s="16" t="s">
        <v>75</v>
      </c>
      <c r="AY9" s="20" t="s">
        <v>44</v>
      </c>
      <c r="AZ9" s="22" t="s">
        <v>45</v>
      </c>
      <c r="BA9" s="23" t="s">
        <v>46</v>
      </c>
      <c r="BB9" s="24" t="s">
        <v>47</v>
      </c>
      <c r="BC9" s="63"/>
    </row>
    <row r="10" spans="1:55" s="168" customFormat="1" ht="25.5" x14ac:dyDescent="0.25">
      <c r="A10" s="175">
        <v>1</v>
      </c>
      <c r="B10" s="175" t="s">
        <v>85</v>
      </c>
      <c r="C10" s="25" t="s">
        <v>51</v>
      </c>
      <c r="D10" s="25" t="s">
        <v>52</v>
      </c>
      <c r="E10" s="205" t="s">
        <v>86</v>
      </c>
      <c r="F10" s="25" t="s">
        <v>49</v>
      </c>
      <c r="G10" s="47"/>
      <c r="H10" s="47"/>
      <c r="I10" s="47">
        <v>6</v>
      </c>
      <c r="J10" s="54">
        <f>+I10*AZ10</f>
        <v>228900</v>
      </c>
      <c r="K10" s="47"/>
      <c r="L10" s="27"/>
      <c r="M10" s="26"/>
      <c r="N10" s="68">
        <f t="shared" ref="N10:N21" si="0">+M10*AZ10</f>
        <v>0</v>
      </c>
      <c r="O10" s="28"/>
      <c r="P10" s="47"/>
      <c r="Q10" s="26"/>
      <c r="R10" s="47"/>
      <c r="S10" s="28"/>
      <c r="T10" s="54"/>
      <c r="U10" s="26"/>
      <c r="V10" s="47"/>
      <c r="W10" s="28"/>
      <c r="X10" s="54">
        <f t="shared" ref="X10:X21" si="1">+W10*AZ10</f>
        <v>0</v>
      </c>
      <c r="Y10" s="28"/>
      <c r="Z10" s="47"/>
      <c r="AA10" s="28"/>
      <c r="AB10" s="54"/>
      <c r="AC10" s="28"/>
      <c r="AD10" s="54"/>
      <c r="AE10" s="38"/>
      <c r="AF10" s="54">
        <f t="shared" ref="AF10:AF21" si="2">+AE10*AZ10</f>
        <v>0</v>
      </c>
      <c r="AG10" s="43"/>
      <c r="AH10" s="27">
        <f t="shared" ref="AH10:AH21" si="3">+AG10*AZ10</f>
        <v>0</v>
      </c>
      <c r="AI10" s="28"/>
      <c r="AJ10" s="54"/>
      <c r="AK10" s="28"/>
      <c r="AL10" s="27"/>
      <c r="AM10" s="28"/>
      <c r="AN10" s="54">
        <f t="shared" ref="AN10:AN21" si="4">+AM10*AZ10</f>
        <v>0</v>
      </c>
      <c r="AO10" s="28"/>
      <c r="AP10" s="27">
        <f t="shared" ref="AP10:AP21" si="5">+AO10*AZ10</f>
        <v>0</v>
      </c>
      <c r="AQ10" s="28"/>
      <c r="AR10" s="54">
        <f t="shared" ref="AR10:AR21" si="6">+AQ10*AZ10</f>
        <v>0</v>
      </c>
      <c r="AS10" s="77"/>
      <c r="AT10" s="54"/>
      <c r="AU10" s="77"/>
      <c r="AV10" s="54">
        <f t="shared" ref="AV10:AV21" si="7">+AU10*AZ10</f>
        <v>0</v>
      </c>
      <c r="AW10" s="77"/>
      <c r="AX10" s="27"/>
      <c r="AY10" s="29">
        <f t="shared" ref="AY10:AY21" si="8">+AQ10+AO10+AM10+AK10+AI10+AG10+AE10+AC10+AA10+Y10+W10+U10+S10+Q10+O10+M10+K10+I10+AS10+G10+AU10+AW10</f>
        <v>6</v>
      </c>
      <c r="AZ10" s="102">
        <v>38150</v>
      </c>
      <c r="BA10" s="65">
        <f t="shared" ref="BA10:BA21" si="9">+AY10*AZ10</f>
        <v>228900</v>
      </c>
      <c r="BB10" s="167"/>
    </row>
    <row r="11" spans="1:55" s="168" customFormat="1" ht="25.5" x14ac:dyDescent="0.25">
      <c r="A11" s="34">
        <v>2</v>
      </c>
      <c r="B11" s="34" t="s">
        <v>50</v>
      </c>
      <c r="C11" s="49" t="s">
        <v>51</v>
      </c>
      <c r="D11" s="49" t="s">
        <v>52</v>
      </c>
      <c r="E11" s="206" t="s">
        <v>53</v>
      </c>
      <c r="F11" s="49" t="s">
        <v>49</v>
      </c>
      <c r="G11" s="43"/>
      <c r="H11" s="43"/>
      <c r="I11" s="43"/>
      <c r="J11" s="55"/>
      <c r="K11" s="43"/>
      <c r="L11" s="40"/>
      <c r="M11" s="39"/>
      <c r="N11" s="68">
        <f t="shared" si="0"/>
        <v>0</v>
      </c>
      <c r="O11" s="41"/>
      <c r="P11" s="43"/>
      <c r="Q11" s="39"/>
      <c r="R11" s="43"/>
      <c r="S11" s="41"/>
      <c r="T11" s="55"/>
      <c r="U11" s="39"/>
      <c r="V11" s="43"/>
      <c r="W11" s="41"/>
      <c r="X11" s="54">
        <f t="shared" si="1"/>
        <v>0</v>
      </c>
      <c r="Y11" s="41"/>
      <c r="Z11" s="43"/>
      <c r="AA11" s="41"/>
      <c r="AB11" s="55"/>
      <c r="AC11" s="41"/>
      <c r="AD11" s="55"/>
      <c r="AE11" s="35"/>
      <c r="AF11" s="55">
        <f t="shared" si="2"/>
        <v>0</v>
      </c>
      <c r="AG11" s="43"/>
      <c r="AH11" s="27">
        <f t="shared" si="3"/>
        <v>0</v>
      </c>
      <c r="AI11" s="41"/>
      <c r="AJ11" s="55"/>
      <c r="AK11" s="41"/>
      <c r="AL11" s="27"/>
      <c r="AM11" s="41"/>
      <c r="AN11" s="54">
        <f t="shared" si="4"/>
        <v>0</v>
      </c>
      <c r="AO11" s="41"/>
      <c r="AP11" s="27">
        <f t="shared" si="5"/>
        <v>0</v>
      </c>
      <c r="AQ11" s="41">
        <v>26</v>
      </c>
      <c r="AR11" s="54">
        <f t="shared" si="6"/>
        <v>1201200</v>
      </c>
      <c r="AS11" s="74"/>
      <c r="AT11" s="55"/>
      <c r="AU11" s="74"/>
      <c r="AV11" s="54">
        <f t="shared" si="7"/>
        <v>0</v>
      </c>
      <c r="AW11" s="77"/>
      <c r="AX11" s="27"/>
      <c r="AY11" s="202">
        <f t="shared" si="8"/>
        <v>26</v>
      </c>
      <c r="AZ11" s="103">
        <v>46200</v>
      </c>
      <c r="BA11" s="62">
        <f t="shared" si="9"/>
        <v>1201200</v>
      </c>
      <c r="BB11" s="167"/>
    </row>
    <row r="12" spans="1:55" s="168" customFormat="1" ht="25.5" customHeight="1" x14ac:dyDescent="0.25">
      <c r="A12" s="49">
        <v>3</v>
      </c>
      <c r="B12" s="34" t="s">
        <v>78</v>
      </c>
      <c r="C12" s="49" t="s">
        <v>51</v>
      </c>
      <c r="D12" s="49" t="s">
        <v>52</v>
      </c>
      <c r="E12" s="48" t="s">
        <v>79</v>
      </c>
      <c r="F12" s="49" t="s">
        <v>49</v>
      </c>
      <c r="G12" s="43"/>
      <c r="H12" s="43"/>
      <c r="I12" s="43"/>
      <c r="J12" s="55"/>
      <c r="K12" s="43"/>
      <c r="L12" s="40"/>
      <c r="M12" s="39"/>
      <c r="N12" s="68">
        <f t="shared" si="0"/>
        <v>0</v>
      </c>
      <c r="O12" s="41"/>
      <c r="P12" s="43"/>
      <c r="Q12" s="39"/>
      <c r="R12" s="43"/>
      <c r="S12" s="41"/>
      <c r="T12" s="55"/>
      <c r="U12" s="39"/>
      <c r="V12" s="43"/>
      <c r="W12" s="41"/>
      <c r="X12" s="54">
        <f t="shared" si="1"/>
        <v>0</v>
      </c>
      <c r="Y12" s="41"/>
      <c r="Z12" s="43"/>
      <c r="AA12" s="41"/>
      <c r="AB12" s="55"/>
      <c r="AC12" s="41"/>
      <c r="AD12" s="55"/>
      <c r="AE12" s="35"/>
      <c r="AF12" s="55">
        <f t="shared" si="2"/>
        <v>0</v>
      </c>
      <c r="AG12" s="43"/>
      <c r="AH12" s="27">
        <f t="shared" si="3"/>
        <v>0</v>
      </c>
      <c r="AI12" s="41"/>
      <c r="AJ12" s="55"/>
      <c r="AK12" s="41"/>
      <c r="AL12" s="27"/>
      <c r="AM12" s="41"/>
      <c r="AN12" s="54">
        <f t="shared" si="4"/>
        <v>0</v>
      </c>
      <c r="AO12" s="41"/>
      <c r="AP12" s="27">
        <f t="shared" si="5"/>
        <v>0</v>
      </c>
      <c r="AQ12" s="41">
        <v>16</v>
      </c>
      <c r="AR12" s="54">
        <f t="shared" si="6"/>
        <v>648800</v>
      </c>
      <c r="AS12" s="74"/>
      <c r="AT12" s="55"/>
      <c r="AU12" s="74"/>
      <c r="AV12" s="54">
        <f t="shared" si="7"/>
        <v>0</v>
      </c>
      <c r="AW12" s="77"/>
      <c r="AX12" s="27"/>
      <c r="AY12" s="202">
        <f t="shared" si="8"/>
        <v>16</v>
      </c>
      <c r="AZ12" s="103">
        <v>40550</v>
      </c>
      <c r="BA12" s="62">
        <f t="shared" si="9"/>
        <v>648800</v>
      </c>
      <c r="BB12" s="167"/>
    </row>
    <row r="13" spans="1:55" s="168" customFormat="1" ht="27" customHeight="1" x14ac:dyDescent="0.25">
      <c r="A13" s="49">
        <v>4</v>
      </c>
      <c r="B13" s="49" t="s">
        <v>76</v>
      </c>
      <c r="C13" s="49" t="s">
        <v>51</v>
      </c>
      <c r="D13" s="49" t="s">
        <v>52</v>
      </c>
      <c r="E13" s="48" t="s">
        <v>77</v>
      </c>
      <c r="F13" s="49" t="s">
        <v>49</v>
      </c>
      <c r="G13" s="43"/>
      <c r="H13" s="43"/>
      <c r="I13" s="43"/>
      <c r="J13" s="55"/>
      <c r="K13" s="43"/>
      <c r="L13" s="40"/>
      <c r="M13" s="39"/>
      <c r="N13" s="68">
        <f t="shared" si="0"/>
        <v>0</v>
      </c>
      <c r="O13" s="41"/>
      <c r="P13" s="43"/>
      <c r="Q13" s="39"/>
      <c r="R13" s="43"/>
      <c r="S13" s="41"/>
      <c r="T13" s="55"/>
      <c r="U13" s="39"/>
      <c r="V13" s="43"/>
      <c r="W13" s="41"/>
      <c r="X13" s="54">
        <f t="shared" si="1"/>
        <v>0</v>
      </c>
      <c r="Y13" s="41"/>
      <c r="Z13" s="43"/>
      <c r="AA13" s="41"/>
      <c r="AB13" s="55"/>
      <c r="AC13" s="41"/>
      <c r="AD13" s="55"/>
      <c r="AE13" s="35"/>
      <c r="AF13" s="55">
        <f t="shared" si="2"/>
        <v>0</v>
      </c>
      <c r="AG13" s="43"/>
      <c r="AH13" s="27">
        <f t="shared" si="3"/>
        <v>0</v>
      </c>
      <c r="AI13" s="41"/>
      <c r="AJ13" s="55"/>
      <c r="AK13" s="41"/>
      <c r="AL13" s="27"/>
      <c r="AM13" s="41"/>
      <c r="AN13" s="54">
        <f t="shared" si="4"/>
        <v>0</v>
      </c>
      <c r="AO13" s="41"/>
      <c r="AP13" s="27">
        <f t="shared" si="5"/>
        <v>0</v>
      </c>
      <c r="AQ13" s="41">
        <v>8</v>
      </c>
      <c r="AR13" s="54">
        <f t="shared" si="6"/>
        <v>393600</v>
      </c>
      <c r="AS13" s="74"/>
      <c r="AT13" s="55"/>
      <c r="AU13" s="74"/>
      <c r="AV13" s="54">
        <f t="shared" si="7"/>
        <v>0</v>
      </c>
      <c r="AW13" s="77"/>
      <c r="AX13" s="27"/>
      <c r="AY13" s="202">
        <f t="shared" si="8"/>
        <v>8</v>
      </c>
      <c r="AZ13" s="103">
        <v>49200</v>
      </c>
      <c r="BA13" s="62">
        <f t="shared" si="9"/>
        <v>393600</v>
      </c>
      <c r="BB13" s="167"/>
    </row>
    <row r="14" spans="1:55" s="168" customFormat="1" ht="22.5" customHeight="1" x14ac:dyDescent="0.25">
      <c r="A14" s="49">
        <v>5</v>
      </c>
      <c r="B14" s="34" t="s">
        <v>54</v>
      </c>
      <c r="C14" s="49" t="s">
        <v>51</v>
      </c>
      <c r="D14" s="49" t="s">
        <v>52</v>
      </c>
      <c r="E14" s="48" t="s">
        <v>55</v>
      </c>
      <c r="F14" s="49" t="s">
        <v>49</v>
      </c>
      <c r="G14" s="43"/>
      <c r="H14" s="43"/>
      <c r="I14" s="43"/>
      <c r="J14" s="55"/>
      <c r="K14" s="43"/>
      <c r="L14" s="40"/>
      <c r="M14" s="39"/>
      <c r="N14" s="68">
        <f t="shared" si="0"/>
        <v>0</v>
      </c>
      <c r="O14" s="41"/>
      <c r="P14" s="43"/>
      <c r="Q14" s="39"/>
      <c r="R14" s="43"/>
      <c r="S14" s="41"/>
      <c r="T14" s="55"/>
      <c r="U14" s="39"/>
      <c r="V14" s="43"/>
      <c r="W14" s="41"/>
      <c r="X14" s="54">
        <f t="shared" si="1"/>
        <v>0</v>
      </c>
      <c r="Y14" s="41"/>
      <c r="Z14" s="43"/>
      <c r="AA14" s="41"/>
      <c r="AB14" s="55"/>
      <c r="AC14" s="41"/>
      <c r="AD14" s="55"/>
      <c r="AE14" s="35"/>
      <c r="AF14" s="55">
        <f t="shared" si="2"/>
        <v>0</v>
      </c>
      <c r="AG14" s="43"/>
      <c r="AH14" s="27">
        <f t="shared" si="3"/>
        <v>0</v>
      </c>
      <c r="AI14" s="41"/>
      <c r="AJ14" s="55"/>
      <c r="AK14" s="41"/>
      <c r="AL14" s="27"/>
      <c r="AM14" s="41"/>
      <c r="AN14" s="54">
        <f t="shared" si="4"/>
        <v>0</v>
      </c>
      <c r="AO14" s="41"/>
      <c r="AP14" s="27">
        <f t="shared" si="5"/>
        <v>0</v>
      </c>
      <c r="AQ14" s="41">
        <v>4</v>
      </c>
      <c r="AR14" s="54">
        <f t="shared" si="6"/>
        <v>214400</v>
      </c>
      <c r="AS14" s="74"/>
      <c r="AT14" s="55"/>
      <c r="AU14" s="74"/>
      <c r="AV14" s="54">
        <f t="shared" si="7"/>
        <v>0</v>
      </c>
      <c r="AW14" s="77"/>
      <c r="AX14" s="27"/>
      <c r="AY14" s="202">
        <f t="shared" si="8"/>
        <v>4</v>
      </c>
      <c r="AZ14" s="103">
        <v>53600</v>
      </c>
      <c r="BA14" s="62">
        <f t="shared" si="9"/>
        <v>214400</v>
      </c>
      <c r="BB14" s="167"/>
    </row>
    <row r="15" spans="1:55" s="168" customFormat="1" ht="21" customHeight="1" x14ac:dyDescent="0.25">
      <c r="A15" s="34">
        <v>6</v>
      </c>
      <c r="B15" s="34" t="s">
        <v>66</v>
      </c>
      <c r="C15" s="49" t="s">
        <v>51</v>
      </c>
      <c r="D15" s="49" t="s">
        <v>52</v>
      </c>
      <c r="E15" s="48" t="s">
        <v>67</v>
      </c>
      <c r="F15" s="49" t="s">
        <v>49</v>
      </c>
      <c r="G15" s="43"/>
      <c r="H15" s="43"/>
      <c r="I15" s="43"/>
      <c r="J15" s="55"/>
      <c r="K15" s="43"/>
      <c r="L15" s="40"/>
      <c r="M15" s="39"/>
      <c r="N15" s="68">
        <f t="shared" si="0"/>
        <v>0</v>
      </c>
      <c r="O15" s="41"/>
      <c r="P15" s="43"/>
      <c r="Q15" s="39"/>
      <c r="R15" s="43"/>
      <c r="S15" s="41"/>
      <c r="T15" s="55"/>
      <c r="U15" s="39"/>
      <c r="V15" s="43"/>
      <c r="W15" s="41"/>
      <c r="X15" s="54">
        <f t="shared" si="1"/>
        <v>0</v>
      </c>
      <c r="Y15" s="41"/>
      <c r="Z15" s="43"/>
      <c r="AA15" s="41"/>
      <c r="AB15" s="55"/>
      <c r="AC15" s="41"/>
      <c r="AD15" s="55"/>
      <c r="AE15" s="35"/>
      <c r="AF15" s="55">
        <f t="shared" si="2"/>
        <v>0</v>
      </c>
      <c r="AG15" s="43"/>
      <c r="AH15" s="27">
        <f t="shared" si="3"/>
        <v>0</v>
      </c>
      <c r="AI15" s="41">
        <v>4</v>
      </c>
      <c r="AJ15" s="55">
        <f>+AI15*AZ15</f>
        <v>188800</v>
      </c>
      <c r="AK15" s="41"/>
      <c r="AL15" s="27"/>
      <c r="AM15" s="41"/>
      <c r="AN15" s="54">
        <f t="shared" si="4"/>
        <v>0</v>
      </c>
      <c r="AO15" s="41"/>
      <c r="AP15" s="27">
        <f t="shared" si="5"/>
        <v>0</v>
      </c>
      <c r="AQ15" s="41">
        <v>4</v>
      </c>
      <c r="AR15" s="54">
        <f t="shared" si="6"/>
        <v>188800</v>
      </c>
      <c r="AS15" s="74"/>
      <c r="AT15" s="55"/>
      <c r="AU15" s="74"/>
      <c r="AV15" s="54">
        <f t="shared" si="7"/>
        <v>0</v>
      </c>
      <c r="AW15" s="77"/>
      <c r="AX15" s="27"/>
      <c r="AY15" s="202">
        <f t="shared" si="8"/>
        <v>8</v>
      </c>
      <c r="AZ15" s="103">
        <v>47200</v>
      </c>
      <c r="BA15" s="62">
        <f t="shared" si="9"/>
        <v>377600</v>
      </c>
      <c r="BB15" s="167"/>
    </row>
    <row r="16" spans="1:55" s="168" customFormat="1" ht="22.5" customHeight="1" x14ac:dyDescent="0.2">
      <c r="A16" s="34">
        <v>7</v>
      </c>
      <c r="B16" s="34" t="s">
        <v>87</v>
      </c>
      <c r="C16" s="49" t="s">
        <v>51</v>
      </c>
      <c r="D16" s="49" t="s">
        <v>52</v>
      </c>
      <c r="E16" s="36" t="s">
        <v>88</v>
      </c>
      <c r="F16" s="30" t="s">
        <v>49</v>
      </c>
      <c r="G16" s="34"/>
      <c r="H16" s="34"/>
      <c r="I16" s="34">
        <v>4</v>
      </c>
      <c r="J16" s="55">
        <f>+I16*AZ16</f>
        <v>188800</v>
      </c>
      <c r="K16" s="34"/>
      <c r="L16" s="33"/>
      <c r="M16" s="32"/>
      <c r="N16" s="176">
        <f t="shared" si="0"/>
        <v>0</v>
      </c>
      <c r="O16" s="35"/>
      <c r="P16" s="34"/>
      <c r="Q16" s="32"/>
      <c r="R16" s="34"/>
      <c r="S16" s="35"/>
      <c r="T16" s="88"/>
      <c r="U16" s="32"/>
      <c r="V16" s="34"/>
      <c r="W16" s="35"/>
      <c r="X16" s="91">
        <f t="shared" si="1"/>
        <v>0</v>
      </c>
      <c r="Y16" s="35"/>
      <c r="Z16" s="34"/>
      <c r="AA16" s="35"/>
      <c r="AB16" s="88"/>
      <c r="AC16" s="35"/>
      <c r="AD16" s="88"/>
      <c r="AE16" s="35"/>
      <c r="AF16" s="88">
        <f t="shared" si="2"/>
        <v>0</v>
      </c>
      <c r="AG16" s="34"/>
      <c r="AH16" s="37">
        <f t="shared" si="3"/>
        <v>0</v>
      </c>
      <c r="AI16" s="35"/>
      <c r="AJ16" s="88"/>
      <c r="AK16" s="35"/>
      <c r="AL16" s="37"/>
      <c r="AM16" s="35"/>
      <c r="AN16" s="91">
        <f t="shared" si="4"/>
        <v>0</v>
      </c>
      <c r="AO16" s="35"/>
      <c r="AP16" s="37">
        <f t="shared" si="5"/>
        <v>0</v>
      </c>
      <c r="AQ16" s="35"/>
      <c r="AR16" s="91">
        <f t="shared" si="6"/>
        <v>0</v>
      </c>
      <c r="AS16" s="70"/>
      <c r="AT16" s="88"/>
      <c r="AU16" s="70"/>
      <c r="AV16" s="54">
        <f t="shared" si="7"/>
        <v>0</v>
      </c>
      <c r="AW16" s="77"/>
      <c r="AX16" s="27"/>
      <c r="AY16" s="42">
        <f t="shared" si="8"/>
        <v>4</v>
      </c>
      <c r="AZ16" s="103">
        <v>47200</v>
      </c>
      <c r="BA16" s="177">
        <f t="shared" si="9"/>
        <v>188800</v>
      </c>
      <c r="BB16" s="178"/>
    </row>
    <row r="17" spans="1:54" s="168" customFormat="1" ht="22.5" customHeight="1" x14ac:dyDescent="0.25">
      <c r="A17" s="34">
        <v>8</v>
      </c>
      <c r="B17" s="34" t="s">
        <v>56</v>
      </c>
      <c r="C17" s="49" t="s">
        <v>51</v>
      </c>
      <c r="D17" s="49" t="s">
        <v>52</v>
      </c>
      <c r="E17" s="48" t="s">
        <v>57</v>
      </c>
      <c r="F17" s="49" t="s">
        <v>49</v>
      </c>
      <c r="G17" s="43"/>
      <c r="H17" s="43"/>
      <c r="I17" s="43"/>
      <c r="J17" s="55"/>
      <c r="K17" s="43"/>
      <c r="L17" s="40"/>
      <c r="M17" s="39"/>
      <c r="N17" s="68">
        <f t="shared" si="0"/>
        <v>0</v>
      </c>
      <c r="O17" s="41"/>
      <c r="P17" s="43"/>
      <c r="Q17" s="39"/>
      <c r="R17" s="43"/>
      <c r="S17" s="41"/>
      <c r="T17" s="55"/>
      <c r="U17" s="39"/>
      <c r="V17" s="43"/>
      <c r="W17" s="41"/>
      <c r="X17" s="54">
        <f t="shared" si="1"/>
        <v>0</v>
      </c>
      <c r="Y17" s="41"/>
      <c r="Z17" s="43"/>
      <c r="AA17" s="41"/>
      <c r="AB17" s="55"/>
      <c r="AC17" s="41"/>
      <c r="AD17" s="55"/>
      <c r="AE17" s="35"/>
      <c r="AF17" s="55">
        <f t="shared" si="2"/>
        <v>0</v>
      </c>
      <c r="AG17" s="43"/>
      <c r="AH17" s="27">
        <f t="shared" si="3"/>
        <v>0</v>
      </c>
      <c r="AI17" s="41"/>
      <c r="AJ17" s="55"/>
      <c r="AK17" s="41"/>
      <c r="AL17" s="27"/>
      <c r="AM17" s="41"/>
      <c r="AN17" s="54">
        <f t="shared" si="4"/>
        <v>0</v>
      </c>
      <c r="AO17" s="41"/>
      <c r="AP17" s="27">
        <f t="shared" si="5"/>
        <v>0</v>
      </c>
      <c r="AQ17" s="41">
        <v>20</v>
      </c>
      <c r="AR17" s="54">
        <f t="shared" si="6"/>
        <v>1019000</v>
      </c>
      <c r="AS17" s="74"/>
      <c r="AT17" s="55"/>
      <c r="AU17" s="74"/>
      <c r="AV17" s="54">
        <f t="shared" si="7"/>
        <v>0</v>
      </c>
      <c r="AW17" s="77"/>
      <c r="AX17" s="27"/>
      <c r="AY17" s="202">
        <f t="shared" si="8"/>
        <v>20</v>
      </c>
      <c r="AZ17" s="103">
        <v>50950</v>
      </c>
      <c r="BA17" s="62">
        <f t="shared" si="9"/>
        <v>1019000</v>
      </c>
      <c r="BB17" s="167"/>
    </row>
    <row r="18" spans="1:54" s="168" customFormat="1" ht="22.5" customHeight="1" x14ac:dyDescent="0.25">
      <c r="A18" s="34">
        <v>9</v>
      </c>
      <c r="B18" s="34" t="s">
        <v>61</v>
      </c>
      <c r="C18" s="49" t="s">
        <v>51</v>
      </c>
      <c r="D18" s="49" t="s">
        <v>52</v>
      </c>
      <c r="E18" s="48" t="s">
        <v>62</v>
      </c>
      <c r="F18" s="49" t="s">
        <v>49</v>
      </c>
      <c r="G18" s="43"/>
      <c r="H18" s="43"/>
      <c r="I18" s="43"/>
      <c r="J18" s="55"/>
      <c r="K18" s="43"/>
      <c r="L18" s="40"/>
      <c r="M18" s="39"/>
      <c r="N18" s="68">
        <f t="shared" si="0"/>
        <v>0</v>
      </c>
      <c r="O18" s="41"/>
      <c r="P18" s="43"/>
      <c r="Q18" s="39"/>
      <c r="R18" s="43"/>
      <c r="S18" s="41"/>
      <c r="T18" s="55"/>
      <c r="U18" s="39"/>
      <c r="V18" s="43"/>
      <c r="W18" s="41"/>
      <c r="X18" s="54">
        <f t="shared" si="1"/>
        <v>0</v>
      </c>
      <c r="Y18" s="41"/>
      <c r="Z18" s="43"/>
      <c r="AA18" s="41"/>
      <c r="AB18" s="55"/>
      <c r="AC18" s="41">
        <v>4</v>
      </c>
      <c r="AD18" s="55">
        <f>+AC18*AZ18</f>
        <v>203800</v>
      </c>
      <c r="AE18" s="35"/>
      <c r="AF18" s="55">
        <f t="shared" si="2"/>
        <v>0</v>
      </c>
      <c r="AG18" s="43"/>
      <c r="AH18" s="27">
        <f t="shared" si="3"/>
        <v>0</v>
      </c>
      <c r="AI18" s="41"/>
      <c r="AJ18" s="55"/>
      <c r="AK18" s="41"/>
      <c r="AL18" s="27"/>
      <c r="AM18" s="41"/>
      <c r="AN18" s="54">
        <f t="shared" si="4"/>
        <v>0</v>
      </c>
      <c r="AO18" s="41"/>
      <c r="AP18" s="27">
        <f t="shared" si="5"/>
        <v>0</v>
      </c>
      <c r="AQ18" s="41">
        <v>4</v>
      </c>
      <c r="AR18" s="54">
        <f t="shared" si="6"/>
        <v>203800</v>
      </c>
      <c r="AS18" s="74"/>
      <c r="AT18" s="55"/>
      <c r="AU18" s="74"/>
      <c r="AV18" s="54">
        <f t="shared" si="7"/>
        <v>0</v>
      </c>
      <c r="AW18" s="77"/>
      <c r="AX18" s="27"/>
      <c r="AY18" s="202">
        <f t="shared" si="8"/>
        <v>8</v>
      </c>
      <c r="AZ18" s="103">
        <v>50950</v>
      </c>
      <c r="BA18" s="62">
        <f t="shared" si="9"/>
        <v>407600</v>
      </c>
      <c r="BB18" s="167"/>
    </row>
    <row r="19" spans="1:54" s="168" customFormat="1" ht="22.5" customHeight="1" x14ac:dyDescent="0.25">
      <c r="A19" s="34">
        <v>10</v>
      </c>
      <c r="B19" s="34" t="s">
        <v>83</v>
      </c>
      <c r="C19" s="49" t="s">
        <v>51</v>
      </c>
      <c r="D19" s="49" t="s">
        <v>52</v>
      </c>
      <c r="E19" s="48" t="s">
        <v>84</v>
      </c>
      <c r="F19" s="49" t="s">
        <v>48</v>
      </c>
      <c r="G19" s="43"/>
      <c r="H19" s="43"/>
      <c r="I19" s="43"/>
      <c r="J19" s="55"/>
      <c r="K19" s="43"/>
      <c r="L19" s="40"/>
      <c r="M19" s="39"/>
      <c r="N19" s="68">
        <f t="shared" si="0"/>
        <v>0</v>
      </c>
      <c r="O19" s="41"/>
      <c r="P19" s="43"/>
      <c r="Q19" s="39"/>
      <c r="R19" s="43"/>
      <c r="S19" s="41"/>
      <c r="T19" s="55"/>
      <c r="U19" s="39"/>
      <c r="V19" s="43"/>
      <c r="W19" s="41">
        <v>4</v>
      </c>
      <c r="X19" s="54">
        <f t="shared" si="1"/>
        <v>210000</v>
      </c>
      <c r="Y19" s="41"/>
      <c r="Z19" s="43"/>
      <c r="AA19" s="41"/>
      <c r="AB19" s="55"/>
      <c r="AC19" s="41"/>
      <c r="AD19" s="55">
        <f>+AC19*AZ19</f>
        <v>0</v>
      </c>
      <c r="AE19" s="35"/>
      <c r="AF19" s="55">
        <f t="shared" si="2"/>
        <v>0</v>
      </c>
      <c r="AG19" s="43"/>
      <c r="AH19" s="27">
        <f t="shared" si="3"/>
        <v>0</v>
      </c>
      <c r="AI19" s="41"/>
      <c r="AJ19" s="55"/>
      <c r="AK19" s="41"/>
      <c r="AL19" s="27"/>
      <c r="AM19" s="41"/>
      <c r="AN19" s="54">
        <f t="shared" si="4"/>
        <v>0</v>
      </c>
      <c r="AO19" s="41"/>
      <c r="AP19" s="27">
        <f t="shared" si="5"/>
        <v>0</v>
      </c>
      <c r="AQ19" s="41"/>
      <c r="AR19" s="54">
        <f t="shared" si="6"/>
        <v>0</v>
      </c>
      <c r="AS19" s="74"/>
      <c r="AT19" s="55"/>
      <c r="AU19" s="74"/>
      <c r="AV19" s="54">
        <f t="shared" si="7"/>
        <v>0</v>
      </c>
      <c r="AW19" s="77"/>
      <c r="AX19" s="27"/>
      <c r="AY19" s="42">
        <f t="shared" si="8"/>
        <v>4</v>
      </c>
      <c r="AZ19" s="103">
        <v>52500</v>
      </c>
      <c r="BA19" s="62">
        <f t="shared" si="9"/>
        <v>210000</v>
      </c>
      <c r="BB19" s="167"/>
    </row>
    <row r="20" spans="1:54" s="168" customFormat="1" ht="18.75" customHeight="1" x14ac:dyDescent="0.25">
      <c r="A20" s="31">
        <v>11</v>
      </c>
      <c r="B20" s="31" t="s">
        <v>68</v>
      </c>
      <c r="C20" s="49" t="s">
        <v>51</v>
      </c>
      <c r="D20" s="49" t="s">
        <v>52</v>
      </c>
      <c r="E20" s="51" t="s">
        <v>80</v>
      </c>
      <c r="F20" s="52" t="s">
        <v>48</v>
      </c>
      <c r="G20" s="50"/>
      <c r="H20" s="50"/>
      <c r="I20" s="50"/>
      <c r="J20" s="57"/>
      <c r="K20" s="50"/>
      <c r="L20" s="68"/>
      <c r="M20" s="69"/>
      <c r="N20" s="68">
        <f t="shared" si="0"/>
        <v>0</v>
      </c>
      <c r="O20" s="66"/>
      <c r="P20" s="68">
        <f>+O20*AZ20</f>
        <v>0</v>
      </c>
      <c r="Q20" s="69"/>
      <c r="R20" s="50"/>
      <c r="S20" s="66"/>
      <c r="T20" s="57"/>
      <c r="U20" s="69"/>
      <c r="V20" s="50"/>
      <c r="W20" s="66"/>
      <c r="X20" s="67">
        <f t="shared" si="1"/>
        <v>0</v>
      </c>
      <c r="Y20" s="66"/>
      <c r="Z20" s="50"/>
      <c r="AA20" s="66"/>
      <c r="AB20" s="57"/>
      <c r="AC20" s="66"/>
      <c r="AD20" s="57"/>
      <c r="AE20" s="56"/>
      <c r="AF20" s="57">
        <f t="shared" si="2"/>
        <v>0</v>
      </c>
      <c r="AG20" s="50"/>
      <c r="AH20" s="83">
        <f t="shared" si="3"/>
        <v>0</v>
      </c>
      <c r="AI20" s="66"/>
      <c r="AJ20" s="57"/>
      <c r="AK20" s="66"/>
      <c r="AL20" s="83"/>
      <c r="AM20" s="66"/>
      <c r="AN20" s="54">
        <f t="shared" si="4"/>
        <v>0</v>
      </c>
      <c r="AO20" s="66"/>
      <c r="AP20" s="27">
        <f t="shared" si="5"/>
        <v>0</v>
      </c>
      <c r="AQ20" s="66"/>
      <c r="AR20" s="54">
        <f t="shared" si="6"/>
        <v>0</v>
      </c>
      <c r="AS20" s="72"/>
      <c r="AT20" s="57">
        <f>+AS20*AZ20</f>
        <v>0</v>
      </c>
      <c r="AU20" s="72">
        <v>2</v>
      </c>
      <c r="AV20" s="54">
        <f t="shared" si="7"/>
        <v>159998</v>
      </c>
      <c r="AW20" s="77"/>
      <c r="AX20" s="27"/>
      <c r="AY20" s="42">
        <f t="shared" si="8"/>
        <v>2</v>
      </c>
      <c r="AZ20" s="104">
        <v>79999</v>
      </c>
      <c r="BA20" s="64">
        <f t="shared" si="9"/>
        <v>159998</v>
      </c>
      <c r="BB20" s="167"/>
    </row>
    <row r="21" spans="1:54" s="169" customFormat="1" ht="22.5" customHeight="1" thickBot="1" x14ac:dyDescent="0.3">
      <c r="A21" s="49">
        <v>12</v>
      </c>
      <c r="B21" s="34" t="s">
        <v>59</v>
      </c>
      <c r="C21" s="49" t="s">
        <v>51</v>
      </c>
      <c r="D21" s="49" t="s">
        <v>52</v>
      </c>
      <c r="E21" s="48" t="s">
        <v>60</v>
      </c>
      <c r="F21" s="49" t="s">
        <v>49</v>
      </c>
      <c r="G21" s="43"/>
      <c r="H21" s="43"/>
      <c r="I21" s="43"/>
      <c r="J21" s="57"/>
      <c r="K21" s="43"/>
      <c r="L21" s="40"/>
      <c r="M21" s="39"/>
      <c r="N21" s="40">
        <f t="shared" si="0"/>
        <v>0</v>
      </c>
      <c r="O21" s="41"/>
      <c r="P21" s="43"/>
      <c r="Q21" s="39"/>
      <c r="R21" s="43"/>
      <c r="S21" s="41"/>
      <c r="T21" s="55"/>
      <c r="U21" s="39"/>
      <c r="V21" s="43"/>
      <c r="W21" s="41"/>
      <c r="X21" s="55">
        <f t="shared" si="1"/>
        <v>0</v>
      </c>
      <c r="Y21" s="41"/>
      <c r="Z21" s="43"/>
      <c r="AA21" s="41">
        <v>4</v>
      </c>
      <c r="AB21" s="55">
        <f>+AA21*AZ21</f>
        <v>163520</v>
      </c>
      <c r="AC21" s="41"/>
      <c r="AD21" s="55"/>
      <c r="AE21" s="35"/>
      <c r="AF21" s="55">
        <f t="shared" si="2"/>
        <v>0</v>
      </c>
      <c r="AG21" s="43"/>
      <c r="AH21" s="40">
        <f t="shared" si="3"/>
        <v>0</v>
      </c>
      <c r="AI21" s="41"/>
      <c r="AJ21" s="55"/>
      <c r="AK21" s="41"/>
      <c r="AL21" s="40"/>
      <c r="AM21" s="41"/>
      <c r="AN21" s="54">
        <f t="shared" si="4"/>
        <v>0</v>
      </c>
      <c r="AO21" s="41"/>
      <c r="AP21" s="27">
        <f t="shared" si="5"/>
        <v>0</v>
      </c>
      <c r="AQ21" s="41"/>
      <c r="AR21" s="54">
        <f t="shared" si="6"/>
        <v>0</v>
      </c>
      <c r="AS21" s="74"/>
      <c r="AT21" s="55"/>
      <c r="AU21" s="74"/>
      <c r="AV21" s="54">
        <f t="shared" si="7"/>
        <v>0</v>
      </c>
      <c r="AW21" s="80"/>
      <c r="AX21" s="105"/>
      <c r="AY21" s="76">
        <f t="shared" si="8"/>
        <v>4</v>
      </c>
      <c r="AZ21" s="103">
        <v>40880</v>
      </c>
      <c r="BA21" s="64">
        <f t="shared" si="9"/>
        <v>163520</v>
      </c>
      <c r="BB21" s="179"/>
    </row>
    <row r="22" spans="1:54" s="90" customFormat="1" ht="25.5" customHeight="1" thickBot="1" x14ac:dyDescent="0.25">
      <c r="A22" s="86"/>
      <c r="B22" s="95"/>
      <c r="C22" s="95"/>
      <c r="D22" s="95"/>
      <c r="E22" s="53" t="s">
        <v>58</v>
      </c>
      <c r="F22" s="95"/>
      <c r="G22" s="44"/>
      <c r="H22" s="44"/>
      <c r="I22" s="44"/>
      <c r="J22" s="87">
        <f>SUM(J10:J21)</f>
        <v>417700</v>
      </c>
      <c r="K22" s="44"/>
      <c r="L22" s="44"/>
      <c r="M22" s="44"/>
      <c r="N22" s="44"/>
      <c r="O22" s="44"/>
      <c r="P22" s="44"/>
      <c r="Q22" s="44"/>
      <c r="R22" s="44"/>
      <c r="S22" s="46"/>
      <c r="T22" s="87"/>
      <c r="U22" s="96"/>
      <c r="V22" s="45">
        <f>+U22*AZ22</f>
        <v>0</v>
      </c>
      <c r="W22" s="44"/>
      <c r="X22" s="87">
        <f>SUM(X10:X21)</f>
        <v>210000</v>
      </c>
      <c r="Y22" s="44"/>
      <c r="Z22" s="44"/>
      <c r="AA22" s="44"/>
      <c r="AB22" s="87">
        <f>SUM(AB10:AB21)</f>
        <v>163520</v>
      </c>
      <c r="AC22" s="44"/>
      <c r="AD22" s="87">
        <f>SUM(AD10:AD21)</f>
        <v>203800</v>
      </c>
      <c r="AE22" s="44"/>
      <c r="AF22" s="87"/>
      <c r="AG22" s="44"/>
      <c r="AH22" s="44"/>
      <c r="AI22" s="44"/>
      <c r="AJ22" s="87">
        <f>SUM(AJ10:AJ21)</f>
        <v>188800</v>
      </c>
      <c r="AK22" s="44" t="s">
        <v>268</v>
      </c>
      <c r="AL22" s="44"/>
      <c r="AM22" s="44"/>
      <c r="AN22" s="87"/>
      <c r="AO22" s="44"/>
      <c r="AP22" s="44"/>
      <c r="AQ22" s="44"/>
      <c r="AR22" s="87">
        <f>SUM(AR10:AR21)</f>
        <v>3869600</v>
      </c>
      <c r="AS22" s="73"/>
      <c r="AT22" s="87"/>
      <c r="AU22" s="73"/>
      <c r="AV22" s="87">
        <f>SUM(AV10:AV21)</f>
        <v>159998</v>
      </c>
      <c r="AW22" s="85"/>
      <c r="AX22" s="98"/>
      <c r="AY22" s="78" t="e">
        <f t="shared" ref="AY22" si="10">+AQ22+AO22+AM22+AK22+AI22+AG22+AE22+AC22+AA22+Y22+W22+U22+S22+Q22+O22+M22+K22+I22+AS22+G22+AU22+AW22</f>
        <v>#VALUE!</v>
      </c>
      <c r="AZ22" s="97"/>
      <c r="BA22" s="94">
        <f>+SUM(BA10:BA21)</f>
        <v>5213418</v>
      </c>
      <c r="BB22" s="89"/>
    </row>
    <row r="24" spans="1:54" ht="15.75" thickBot="1" x14ac:dyDescent="0.3"/>
    <row r="25" spans="1:54" ht="44.25" customHeight="1" x14ac:dyDescent="0.25">
      <c r="C25" s="257" t="s">
        <v>153</v>
      </c>
      <c r="D25" s="258" t="s">
        <v>267</v>
      </c>
      <c r="E25" s="259"/>
    </row>
    <row r="26" spans="1:54" x14ac:dyDescent="0.25">
      <c r="C26" s="188"/>
      <c r="D26" s="189"/>
      <c r="E26" s="190"/>
    </row>
    <row r="27" spans="1:54" x14ac:dyDescent="0.25">
      <c r="C27" s="188" t="s">
        <v>154</v>
      </c>
      <c r="D27" s="209" t="s">
        <v>155</v>
      </c>
      <c r="E27" s="210"/>
    </row>
    <row r="28" spans="1:54" x14ac:dyDescent="0.25">
      <c r="C28" s="188"/>
      <c r="D28" s="189"/>
      <c r="E28" s="190"/>
    </row>
    <row r="29" spans="1:54" x14ac:dyDescent="0.25">
      <c r="C29" s="188" t="s">
        <v>156</v>
      </c>
      <c r="D29" s="191" t="s">
        <v>157</v>
      </c>
      <c r="E29" s="190"/>
    </row>
    <row r="30" spans="1:54" x14ac:dyDescent="0.25">
      <c r="C30" s="188"/>
      <c r="D30" s="191"/>
      <c r="E30" s="190"/>
    </row>
    <row r="31" spans="1:54" ht="30" x14ac:dyDescent="0.25">
      <c r="C31" s="188" t="s">
        <v>158</v>
      </c>
      <c r="D31" s="189"/>
      <c r="E31" s="190"/>
    </row>
    <row r="32" spans="1:54" x14ac:dyDescent="0.25">
      <c r="C32" s="188"/>
      <c r="D32" s="189"/>
      <c r="E32" s="190"/>
    </row>
    <row r="33" spans="3:5" x14ac:dyDescent="0.25">
      <c r="C33" s="188" t="s">
        <v>159</v>
      </c>
      <c r="D33" s="191" t="s">
        <v>160</v>
      </c>
      <c r="E33" s="190"/>
    </row>
    <row r="34" spans="3:5" x14ac:dyDescent="0.25">
      <c r="C34" s="188"/>
      <c r="D34" s="191"/>
      <c r="E34" s="190"/>
    </row>
    <row r="35" spans="3:5" ht="42" customHeight="1" x14ac:dyDescent="0.25">
      <c r="C35" s="260" t="s">
        <v>161</v>
      </c>
      <c r="D35" s="261" t="s">
        <v>266</v>
      </c>
      <c r="E35" s="262"/>
    </row>
    <row r="36" spans="3:5" ht="15.75" thickBot="1" x14ac:dyDescent="0.3">
      <c r="C36" s="192"/>
      <c r="D36" s="193"/>
      <c r="E36" s="194"/>
    </row>
  </sheetData>
  <sortState ref="A10:BB21">
    <sortCondition ref="E10"/>
  </sortState>
  <mergeCells count="8">
    <mergeCell ref="D35:E35"/>
    <mergeCell ref="D25:E25"/>
    <mergeCell ref="D27:E27"/>
    <mergeCell ref="A7:B7"/>
    <mergeCell ref="B2:AZ2"/>
    <mergeCell ref="A4:B4"/>
    <mergeCell ref="A5:B5"/>
    <mergeCell ref="A6:B6"/>
  </mergeCells>
  <conditionalFormatting sqref="B1:B9 E1:E9">
    <cfRule type="duplicateValues" dxfId="19" priority="239"/>
  </conditionalFormatting>
  <conditionalFormatting sqref="E1:E9 B1:B9">
    <cfRule type="duplicateValues" dxfId="18" priority="240"/>
  </conditionalFormatting>
  <conditionalFormatting sqref="E22 B22">
    <cfRule type="duplicateValues" dxfId="17" priority="429"/>
  </conditionalFormatting>
  <conditionalFormatting sqref="B22">
    <cfRule type="duplicateValues" dxfId="16" priority="431"/>
  </conditionalFormatting>
  <conditionalFormatting sqref="B22">
    <cfRule type="duplicateValues" dxfId="15" priority="432"/>
  </conditionalFormatting>
  <conditionalFormatting sqref="E22">
    <cfRule type="duplicateValues" dxfId="14" priority="433"/>
  </conditionalFormatting>
  <conditionalFormatting sqref="E22">
    <cfRule type="duplicateValues" dxfId="13" priority="434"/>
    <cfRule type="duplicateValues" dxfId="12" priority="435"/>
  </conditionalFormatting>
  <conditionalFormatting sqref="B1:B9">
    <cfRule type="duplicateValues" dxfId="11" priority="577"/>
  </conditionalFormatting>
  <conditionalFormatting sqref="E1:E9">
    <cfRule type="duplicateValues" dxfId="10" priority="578"/>
  </conditionalFormatting>
  <conditionalFormatting sqref="E1:E9">
    <cfRule type="duplicateValues" dxfId="9" priority="579"/>
    <cfRule type="duplicateValues" dxfId="8" priority="580"/>
  </conditionalFormatting>
  <conditionalFormatting sqref="E10:E21">
    <cfRule type="duplicateValues" dxfId="7" priority="582"/>
  </conditionalFormatting>
  <conditionalFormatting sqref="E10:E21">
    <cfRule type="duplicateValues" dxfId="6" priority="583"/>
    <cfRule type="duplicateValues" dxfId="5" priority="584"/>
  </conditionalFormatting>
  <conditionalFormatting sqref="B10:B21 E10:E21">
    <cfRule type="duplicateValues" dxfId="4" priority="585"/>
  </conditionalFormatting>
  <conditionalFormatting sqref="B10:B21">
    <cfRule type="duplicateValues" dxfId="3" priority="587"/>
  </conditionalFormatting>
  <conditionalFormatting sqref="B10:B21">
    <cfRule type="duplicateValues" dxfId="2" priority="588"/>
  </conditionalFormatting>
  <conditionalFormatting sqref="C25:C35">
    <cfRule type="duplicateValues" dxfId="1" priority="1"/>
  </conditionalFormatting>
  <conditionalFormatting sqref="C25:C35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opLeftCell="A40" workbookViewId="0">
      <selection activeCell="H20" sqref="H20"/>
    </sheetView>
  </sheetViews>
  <sheetFormatPr baseColWidth="10" defaultColWidth="10.7109375" defaultRowHeight="15" x14ac:dyDescent="0.25"/>
  <cols>
    <col min="1" max="1" width="48.7109375" style="199" customWidth="1"/>
    <col min="2" max="6" width="11.42578125" style="199"/>
  </cols>
  <sheetData>
    <row r="1" spans="1:6" ht="32.25" customHeight="1" x14ac:dyDescent="0.2">
      <c r="A1" s="213" t="s">
        <v>230</v>
      </c>
      <c r="B1" s="213"/>
      <c r="C1" s="213"/>
      <c r="D1" s="213"/>
      <c r="E1" s="213"/>
      <c r="F1" s="213"/>
    </row>
    <row r="2" spans="1:6" x14ac:dyDescent="0.25">
      <c r="A2" s="197" t="s">
        <v>167</v>
      </c>
      <c r="B2" s="197" t="s">
        <v>168</v>
      </c>
      <c r="C2" s="197" t="s">
        <v>169</v>
      </c>
      <c r="D2" s="197" t="s">
        <v>170</v>
      </c>
      <c r="E2" s="196" t="s">
        <v>171</v>
      </c>
      <c r="F2" s="197" t="s">
        <v>172</v>
      </c>
    </row>
    <row r="3" spans="1:6" ht="21" x14ac:dyDescent="0.2">
      <c r="A3" s="195" t="s">
        <v>162</v>
      </c>
      <c r="B3" s="196" t="s">
        <v>163</v>
      </c>
      <c r="C3" s="196" t="s">
        <v>164</v>
      </c>
      <c r="D3" s="196" t="s">
        <v>165</v>
      </c>
      <c r="E3" s="196">
        <v>2015</v>
      </c>
      <c r="F3" s="196" t="s">
        <v>166</v>
      </c>
    </row>
    <row r="4" spans="1:6" ht="21" x14ac:dyDescent="0.2">
      <c r="A4" s="195" t="s">
        <v>173</v>
      </c>
      <c r="B4" s="196" t="s">
        <v>174</v>
      </c>
      <c r="C4" s="196">
        <v>7250726</v>
      </c>
      <c r="D4" s="196" t="s">
        <v>175</v>
      </c>
      <c r="E4" s="196">
        <v>2016</v>
      </c>
      <c r="F4" s="196" t="s">
        <v>176</v>
      </c>
    </row>
    <row r="5" spans="1:6" ht="21" x14ac:dyDescent="0.2">
      <c r="A5" s="195" t="s">
        <v>177</v>
      </c>
      <c r="B5" s="196" t="s">
        <v>178</v>
      </c>
      <c r="C5" s="196">
        <v>7166125</v>
      </c>
      <c r="D5" s="196" t="s">
        <v>179</v>
      </c>
      <c r="E5" s="196">
        <v>2014</v>
      </c>
      <c r="F5" s="196" t="s">
        <v>176</v>
      </c>
    </row>
    <row r="6" spans="1:6" ht="21" x14ac:dyDescent="0.2">
      <c r="A6" s="198" t="s">
        <v>180</v>
      </c>
      <c r="B6" s="196" t="s">
        <v>181</v>
      </c>
      <c r="C6" s="196" t="s">
        <v>182</v>
      </c>
      <c r="D6" s="196" t="s">
        <v>183</v>
      </c>
      <c r="E6" s="196">
        <v>2007</v>
      </c>
      <c r="F6" s="196" t="s">
        <v>176</v>
      </c>
    </row>
    <row r="7" spans="1:6" ht="21" x14ac:dyDescent="0.2">
      <c r="A7" s="198" t="s">
        <v>184</v>
      </c>
      <c r="B7" s="196" t="s">
        <v>185</v>
      </c>
      <c r="C7" s="196">
        <v>7250657</v>
      </c>
      <c r="D7" s="198" t="s">
        <v>186</v>
      </c>
      <c r="E7" s="196">
        <v>2016</v>
      </c>
      <c r="F7" s="196" t="s">
        <v>176</v>
      </c>
    </row>
    <row r="8" spans="1:6" ht="21" x14ac:dyDescent="0.2">
      <c r="A8" s="198" t="s">
        <v>187</v>
      </c>
      <c r="B8" s="196" t="s">
        <v>188</v>
      </c>
      <c r="C8" s="196" t="s">
        <v>189</v>
      </c>
      <c r="D8" s="196" t="s">
        <v>190</v>
      </c>
      <c r="E8" s="196">
        <v>2020</v>
      </c>
      <c r="F8" s="196" t="s">
        <v>176</v>
      </c>
    </row>
    <row r="9" spans="1:6" ht="21" x14ac:dyDescent="0.2">
      <c r="A9" s="195" t="s">
        <v>191</v>
      </c>
      <c r="B9" s="196" t="s">
        <v>192</v>
      </c>
      <c r="C9" s="196" t="s">
        <v>193</v>
      </c>
      <c r="D9" s="196" t="s">
        <v>194</v>
      </c>
      <c r="E9" s="196">
        <v>2021</v>
      </c>
      <c r="F9" s="196" t="s">
        <v>176</v>
      </c>
    </row>
    <row r="10" spans="1:6" ht="21" x14ac:dyDescent="0.2">
      <c r="A10" s="198" t="s">
        <v>195</v>
      </c>
      <c r="B10" s="196" t="s">
        <v>196</v>
      </c>
      <c r="C10" s="196">
        <v>7250709</v>
      </c>
      <c r="D10" s="196" t="s">
        <v>197</v>
      </c>
      <c r="E10" s="196">
        <v>2016</v>
      </c>
      <c r="F10" s="196" t="s">
        <v>176</v>
      </c>
    </row>
    <row r="11" spans="1:6" ht="21" x14ac:dyDescent="0.2">
      <c r="A11" s="195" t="s">
        <v>198</v>
      </c>
      <c r="B11" s="196" t="s">
        <v>199</v>
      </c>
      <c r="C11" s="196">
        <v>7167125</v>
      </c>
      <c r="D11" s="196" t="s">
        <v>200</v>
      </c>
      <c r="E11" s="196">
        <v>2014</v>
      </c>
      <c r="F11" s="196" t="s">
        <v>176</v>
      </c>
    </row>
    <row r="12" spans="1:6" ht="21" x14ac:dyDescent="0.2">
      <c r="A12" s="195" t="s">
        <v>198</v>
      </c>
      <c r="B12" s="196" t="s">
        <v>201</v>
      </c>
      <c r="C12" s="196">
        <v>7250752</v>
      </c>
      <c r="D12" s="196" t="s">
        <v>202</v>
      </c>
      <c r="E12" s="196">
        <v>2016</v>
      </c>
      <c r="F12" s="196" t="s">
        <v>176</v>
      </c>
    </row>
    <row r="13" spans="1:6" ht="21" x14ac:dyDescent="0.2">
      <c r="A13" s="195" t="s">
        <v>203</v>
      </c>
      <c r="B13" s="196" t="s">
        <v>204</v>
      </c>
      <c r="C13" s="196" t="s">
        <v>205</v>
      </c>
      <c r="D13" s="196" t="s">
        <v>206</v>
      </c>
      <c r="E13" s="196">
        <v>2016</v>
      </c>
      <c r="F13" s="196" t="s">
        <v>176</v>
      </c>
    </row>
    <row r="14" spans="1:6" ht="21" x14ac:dyDescent="0.2">
      <c r="A14" s="195" t="s">
        <v>191</v>
      </c>
      <c r="B14" s="196" t="s">
        <v>192</v>
      </c>
      <c r="C14" s="196" t="s">
        <v>193</v>
      </c>
      <c r="D14" s="196" t="s">
        <v>194</v>
      </c>
      <c r="E14" s="196">
        <v>2021</v>
      </c>
      <c r="F14" s="196" t="s">
        <v>176</v>
      </c>
    </row>
    <row r="15" spans="1:6" ht="21" x14ac:dyDescent="0.2">
      <c r="A15" s="195" t="s">
        <v>207</v>
      </c>
      <c r="B15" s="196" t="s">
        <v>208</v>
      </c>
      <c r="C15" s="196" t="s">
        <v>209</v>
      </c>
      <c r="D15" s="196" t="s">
        <v>210</v>
      </c>
      <c r="E15" s="196">
        <v>2017</v>
      </c>
      <c r="F15" s="196" t="s">
        <v>176</v>
      </c>
    </row>
    <row r="16" spans="1:6" ht="21" x14ac:dyDescent="0.2">
      <c r="A16" s="195" t="s">
        <v>191</v>
      </c>
      <c r="B16" s="196" t="s">
        <v>211</v>
      </c>
      <c r="C16" s="196" t="s">
        <v>212</v>
      </c>
      <c r="D16" s="196" t="s">
        <v>213</v>
      </c>
      <c r="E16" s="196">
        <v>2020</v>
      </c>
      <c r="F16" s="196" t="s">
        <v>176</v>
      </c>
    </row>
    <row r="17" spans="1:6" ht="21" x14ac:dyDescent="0.2">
      <c r="A17" s="195" t="s">
        <v>214</v>
      </c>
      <c r="B17" s="196" t="s">
        <v>215</v>
      </c>
      <c r="C17" s="196" t="s">
        <v>216</v>
      </c>
      <c r="D17" s="196" t="s">
        <v>217</v>
      </c>
      <c r="E17" s="196">
        <v>2021</v>
      </c>
      <c r="F17" s="196" t="s">
        <v>166</v>
      </c>
    </row>
    <row r="18" spans="1:6" ht="22.5" x14ac:dyDescent="0.25">
      <c r="A18" s="198" t="s">
        <v>218</v>
      </c>
      <c r="B18" s="196" t="s">
        <v>219</v>
      </c>
      <c r="C18" s="196" t="s">
        <v>220</v>
      </c>
      <c r="D18" s="196" t="s">
        <v>221</v>
      </c>
      <c r="E18" s="196">
        <v>2008</v>
      </c>
      <c r="F18" s="196" t="s">
        <v>176</v>
      </c>
    </row>
    <row r="19" spans="1:6" ht="22.5" x14ac:dyDescent="0.25">
      <c r="A19" s="195" t="s">
        <v>271</v>
      </c>
      <c r="B19" s="207" t="s">
        <v>272</v>
      </c>
      <c r="C19" s="208" t="s">
        <v>273</v>
      </c>
      <c r="D19" s="207" t="s">
        <v>274</v>
      </c>
      <c r="E19" s="207">
        <v>2021</v>
      </c>
      <c r="F19" s="207" t="s">
        <v>176</v>
      </c>
    </row>
    <row r="20" spans="1:6" ht="22.5" x14ac:dyDescent="0.25">
      <c r="A20" s="195" t="s">
        <v>222</v>
      </c>
      <c r="B20" s="196" t="s">
        <v>223</v>
      </c>
      <c r="C20" s="196">
        <v>7250753</v>
      </c>
      <c r="D20" s="196" t="s">
        <v>224</v>
      </c>
      <c r="E20" s="196">
        <v>2016</v>
      </c>
      <c r="F20" s="196" t="s">
        <v>176</v>
      </c>
    </row>
    <row r="21" spans="1:6" ht="21" x14ac:dyDescent="0.2">
      <c r="A21" s="195" t="s">
        <v>222</v>
      </c>
      <c r="B21" s="196" t="s">
        <v>225</v>
      </c>
      <c r="C21" s="196">
        <v>7167242</v>
      </c>
      <c r="D21" s="196" t="s">
        <v>226</v>
      </c>
      <c r="E21" s="196">
        <v>2013</v>
      </c>
      <c r="F21" s="196" t="s">
        <v>176</v>
      </c>
    </row>
    <row r="22" spans="1:6" ht="21" x14ac:dyDescent="0.2">
      <c r="A22" s="195" t="s">
        <v>227</v>
      </c>
      <c r="B22" s="196" t="s">
        <v>228</v>
      </c>
      <c r="C22" s="196">
        <v>7250703</v>
      </c>
      <c r="D22" s="196" t="s">
        <v>229</v>
      </c>
      <c r="E22" s="196">
        <v>2016</v>
      </c>
      <c r="F22" s="196" t="s">
        <v>176</v>
      </c>
    </row>
    <row r="23" spans="1:6" ht="38.25" customHeight="1" x14ac:dyDescent="0.2">
      <c r="A23" s="213" t="s">
        <v>241</v>
      </c>
      <c r="B23" s="213"/>
      <c r="C23" s="213"/>
      <c r="D23" s="213"/>
      <c r="E23" s="213"/>
      <c r="F23" s="213"/>
    </row>
    <row r="24" spans="1:6" ht="21" x14ac:dyDescent="0.2">
      <c r="A24" s="195" t="s">
        <v>231</v>
      </c>
      <c r="B24" s="196" t="s">
        <v>232</v>
      </c>
      <c r="C24" s="196" t="s">
        <v>233</v>
      </c>
      <c r="D24" s="196" t="s">
        <v>234</v>
      </c>
      <c r="E24" s="196">
        <v>2019</v>
      </c>
      <c r="F24" s="196" t="s">
        <v>166</v>
      </c>
    </row>
    <row r="25" spans="1:6" ht="21" x14ac:dyDescent="0.2">
      <c r="A25" s="198" t="s">
        <v>235</v>
      </c>
      <c r="B25" s="196" t="s">
        <v>236</v>
      </c>
      <c r="C25" s="196">
        <v>61198170071973</v>
      </c>
      <c r="D25" s="196" t="s">
        <v>237</v>
      </c>
      <c r="E25" s="196">
        <v>2008</v>
      </c>
      <c r="F25" s="196" t="s">
        <v>166</v>
      </c>
    </row>
    <row r="26" spans="1:6" ht="21" x14ac:dyDescent="0.2">
      <c r="A26" s="198" t="s">
        <v>238</v>
      </c>
      <c r="B26" s="196" t="s">
        <v>239</v>
      </c>
      <c r="C26" s="196">
        <v>61198170074409</v>
      </c>
      <c r="D26" s="196" t="s">
        <v>240</v>
      </c>
      <c r="E26" s="196">
        <v>2008</v>
      </c>
      <c r="F26" s="196" t="s">
        <v>166</v>
      </c>
    </row>
    <row r="27" spans="1:6" ht="32.25" customHeight="1" x14ac:dyDescent="0.2">
      <c r="A27" s="213" t="s">
        <v>245</v>
      </c>
      <c r="B27" s="213"/>
      <c r="C27" s="213"/>
      <c r="D27" s="213"/>
      <c r="E27" s="213"/>
      <c r="F27" s="213"/>
    </row>
    <row r="28" spans="1:6" ht="21" x14ac:dyDescent="0.2">
      <c r="A28" s="195" t="s">
        <v>191</v>
      </c>
      <c r="B28" s="196" t="s">
        <v>242</v>
      </c>
      <c r="C28" s="196" t="s">
        <v>243</v>
      </c>
      <c r="D28" s="200" t="s">
        <v>244</v>
      </c>
      <c r="E28" s="196">
        <v>2021</v>
      </c>
      <c r="F28" s="196" t="s">
        <v>176</v>
      </c>
    </row>
    <row r="30" spans="1:6" ht="30.75" customHeight="1" x14ac:dyDescent="0.25">
      <c r="A30" s="213" t="s">
        <v>250</v>
      </c>
      <c r="B30" s="213"/>
      <c r="C30" s="213"/>
      <c r="D30" s="213"/>
      <c r="E30" s="213"/>
      <c r="F30" s="213"/>
    </row>
    <row r="31" spans="1:6" ht="22.5" x14ac:dyDescent="0.25">
      <c r="A31" s="198" t="s">
        <v>246</v>
      </c>
      <c r="B31" s="196" t="s">
        <v>247</v>
      </c>
      <c r="C31" s="196" t="s">
        <v>248</v>
      </c>
      <c r="D31" s="196" t="s">
        <v>249</v>
      </c>
      <c r="E31" s="196">
        <v>2011</v>
      </c>
      <c r="F31" s="196" t="s">
        <v>166</v>
      </c>
    </row>
    <row r="32" spans="1:6" ht="28.5" customHeight="1" x14ac:dyDescent="0.25">
      <c r="A32" s="213" t="s">
        <v>255</v>
      </c>
      <c r="B32" s="213"/>
      <c r="C32" s="213"/>
      <c r="D32" s="213"/>
      <c r="E32" s="213"/>
      <c r="F32" s="213"/>
    </row>
    <row r="33" spans="1:6" ht="22.5" x14ac:dyDescent="0.25">
      <c r="A33" s="198" t="s">
        <v>251</v>
      </c>
      <c r="B33" s="196" t="s">
        <v>252</v>
      </c>
      <c r="C33" s="196" t="s">
        <v>253</v>
      </c>
      <c r="D33" s="196" t="s">
        <v>254</v>
      </c>
      <c r="E33" s="196">
        <v>2017</v>
      </c>
      <c r="F33" s="196" t="s">
        <v>166</v>
      </c>
    </row>
    <row r="34" spans="1:6" ht="30" customHeight="1" x14ac:dyDescent="0.25">
      <c r="A34" s="213" t="s">
        <v>260</v>
      </c>
      <c r="B34" s="213"/>
      <c r="C34" s="213"/>
      <c r="D34" s="213"/>
      <c r="E34" s="213"/>
      <c r="F34" s="213"/>
    </row>
    <row r="35" spans="1:6" ht="22.5" x14ac:dyDescent="0.25">
      <c r="A35" s="195" t="s">
        <v>256</v>
      </c>
      <c r="B35" s="196" t="s">
        <v>257</v>
      </c>
      <c r="C35" s="196" t="s">
        <v>258</v>
      </c>
      <c r="D35" s="196" t="s">
        <v>259</v>
      </c>
      <c r="E35" s="196">
        <v>2007</v>
      </c>
      <c r="F35" s="196" t="s">
        <v>166</v>
      </c>
    </row>
    <row r="36" spans="1:6" ht="22.5" customHeight="1" x14ac:dyDescent="0.25">
      <c r="A36" s="213" t="s">
        <v>265</v>
      </c>
      <c r="B36" s="213"/>
      <c r="C36" s="213"/>
      <c r="D36" s="213"/>
      <c r="E36" s="213"/>
      <c r="F36" s="213"/>
    </row>
    <row r="37" spans="1:6" ht="22.5" x14ac:dyDescent="0.25">
      <c r="A37" s="198" t="s">
        <v>261</v>
      </c>
      <c r="B37" s="196" t="s">
        <v>262</v>
      </c>
      <c r="C37" s="196" t="s">
        <v>263</v>
      </c>
      <c r="D37" s="196" t="s">
        <v>264</v>
      </c>
      <c r="E37" s="196">
        <v>2018</v>
      </c>
      <c r="F37" s="196" t="s">
        <v>166</v>
      </c>
    </row>
  </sheetData>
  <mergeCells count="7">
    <mergeCell ref="A34:F34"/>
    <mergeCell ref="A36:F36"/>
    <mergeCell ref="A1:F1"/>
    <mergeCell ref="A23:F23"/>
    <mergeCell ref="A27:F27"/>
    <mergeCell ref="A30:F30"/>
    <mergeCell ref="A32:F3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13" sqref="K13"/>
    </sheetView>
  </sheetViews>
  <sheetFormatPr baseColWidth="10" defaultColWidth="10.7109375" defaultRowHeight="15" x14ac:dyDescent="0.25"/>
  <cols>
    <col min="1" max="1" width="5.5703125" customWidth="1"/>
    <col min="2" max="2" width="15.140625" style="174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65" customWidth="1"/>
    <col min="8" max="8" width="9.28515625" customWidth="1"/>
    <col min="9" max="9" width="15.5703125" customWidth="1"/>
    <col min="10" max="10" width="14.7109375" style="186" customWidth="1"/>
    <col min="11" max="11" width="15.5703125" customWidth="1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129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129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thickBot="1" x14ac:dyDescent="0.3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</row>
    <row r="12" spans="1:11" ht="47.25" customHeight="1" x14ac:dyDescent="0.2">
      <c r="A12" s="115">
        <v>1</v>
      </c>
      <c r="B12" s="172" t="str">
        <f>'SAF 011'!B10</f>
        <v>2.4.4-6818.980</v>
      </c>
      <c r="C12" s="225" t="str">
        <f>'SAF 011'!E10</f>
        <v>NEUMATICOS; VEHICULO: AMBULANCIA/FURGON/MINIBUS, CONSTRUCCION: RADIAL, ARMADO: S/CAMARA, MEDIDA: 195/70-R15</v>
      </c>
      <c r="D12" s="225"/>
      <c r="E12" s="225"/>
      <c r="F12" s="225"/>
      <c r="G12" s="225"/>
      <c r="H12" s="116" t="s">
        <v>132</v>
      </c>
      <c r="I12" s="117" t="str">
        <f>'SAF 011'!F10</f>
        <v>UNIDAD</v>
      </c>
      <c r="J12" s="184">
        <f>'SAF 011'!AZ10</f>
        <v>38150</v>
      </c>
      <c r="K12" s="118">
        <f>'SAF 011'!I10</f>
        <v>6</v>
      </c>
    </row>
    <row r="13" spans="1:11" ht="43.5" customHeight="1" x14ac:dyDescent="0.2">
      <c r="A13" s="119">
        <v>2</v>
      </c>
      <c r="B13" s="173" t="str">
        <f>'SAF 011'!B16</f>
        <v>2.4.4-6818.53</v>
      </c>
      <c r="C13" s="221" t="str">
        <f>'SAF 011'!E16</f>
        <v>NEUMATICOS; VEHICULO: CAMIONETA, CONSTRUCCION: RADIAL, ARMADO: S/CAMARA, MEDIDA: 235/75R16</v>
      </c>
      <c r="D13" s="222"/>
      <c r="E13" s="222"/>
      <c r="F13" s="222"/>
      <c r="G13" s="223"/>
      <c r="H13" s="120" t="s">
        <v>132</v>
      </c>
      <c r="I13" s="121" t="str">
        <f>'SAF 011'!F16</f>
        <v>UNIDAD</v>
      </c>
      <c r="J13" s="185">
        <f>'SAF 011'!AZ16</f>
        <v>47200</v>
      </c>
      <c r="K13" s="122">
        <f>'SAF 011'!I16</f>
        <v>4</v>
      </c>
    </row>
    <row r="14" spans="1:11" ht="16.5" customHeight="1" x14ac:dyDescent="0.2">
      <c r="A14" s="119"/>
      <c r="B14" s="173"/>
      <c r="C14" s="221"/>
      <c r="D14" s="222"/>
      <c r="E14" s="222"/>
      <c r="F14" s="222"/>
      <c r="G14" s="223"/>
      <c r="H14" s="120"/>
      <c r="I14" s="121"/>
      <c r="J14" s="185"/>
      <c r="K14" s="122"/>
    </row>
    <row r="15" spans="1:11" ht="19.5" thickBot="1" x14ac:dyDescent="0.3">
      <c r="A15" s="220" t="s">
        <v>135</v>
      </c>
      <c r="B15" s="220"/>
      <c r="C15" s="220"/>
      <c r="D15" s="220"/>
      <c r="E15" s="220"/>
      <c r="F15" s="220"/>
      <c r="G15" s="220"/>
      <c r="H15" s="220"/>
      <c r="I15" s="220"/>
      <c r="J15" s="218">
        <f>SUMPRODUCT(J12:J14,K12:K14)</f>
        <v>417700</v>
      </c>
      <c r="K15" s="219"/>
    </row>
  </sheetData>
  <mergeCells count="19">
    <mergeCell ref="J15:K15"/>
    <mergeCell ref="A15:I15"/>
    <mergeCell ref="C13:G13"/>
    <mergeCell ref="C14:G14"/>
    <mergeCell ref="K10:K11"/>
    <mergeCell ref="C12:G12"/>
    <mergeCell ref="I10:I11"/>
    <mergeCell ref="J10:J11"/>
    <mergeCell ref="A10:A11"/>
    <mergeCell ref="B10:B11"/>
    <mergeCell ref="C10:G11"/>
    <mergeCell ref="H10:H11"/>
    <mergeCell ref="A6:C6"/>
    <mergeCell ref="A7:C7"/>
    <mergeCell ref="A8:C8"/>
    <mergeCell ref="A5:C5"/>
    <mergeCell ref="A1:I1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0" workbookViewId="0">
      <selection activeCell="A39" sqref="A39:Q39"/>
    </sheetView>
  </sheetViews>
  <sheetFormatPr baseColWidth="10" defaultColWidth="10.7109375" defaultRowHeight="15" x14ac:dyDescent="0.25"/>
  <cols>
    <col min="1" max="5" width="4.42578125" customWidth="1"/>
    <col min="6" max="6" width="7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SMPyPS'!D3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SMPyPS'!D4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SMPyPS'!D5</f>
        <v>744 - SECRETARIA DE MEDICINA PREVENTIVA Y PROMOCION EN SALUD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SMPyPS'!D6</f>
        <v>744 - SECRETARIA DE MEDICINA PREVENTIVA Y PROMOCION EN SALUD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4</v>
      </c>
      <c r="B15" s="141"/>
      <c r="C15" s="141"/>
      <c r="D15" s="141">
        <v>1</v>
      </c>
      <c r="E15" s="141"/>
      <c r="F15" s="141">
        <v>4901</v>
      </c>
      <c r="G15" s="141">
        <v>1</v>
      </c>
      <c r="H15" s="141">
        <v>3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v>200000</v>
      </c>
    </row>
    <row r="16" spans="1:17" x14ac:dyDescent="0.2">
      <c r="A16" s="144">
        <v>4</v>
      </c>
      <c r="B16" s="145"/>
      <c r="C16" s="145"/>
      <c r="D16" s="145">
        <v>2</v>
      </c>
      <c r="E16" s="145"/>
      <c r="F16" s="145">
        <v>4901</v>
      </c>
      <c r="G16" s="145">
        <v>3</v>
      </c>
      <c r="H16" s="145">
        <v>1</v>
      </c>
      <c r="I16" s="145">
        <v>2</v>
      </c>
      <c r="J16" s="145">
        <v>4</v>
      </c>
      <c r="K16" s="145">
        <v>4</v>
      </c>
      <c r="L16" s="145"/>
      <c r="M16" s="146">
        <v>1</v>
      </c>
      <c r="N16" s="147" t="s">
        <v>133</v>
      </c>
      <c r="O16" s="244" t="s">
        <v>134</v>
      </c>
      <c r="P16" s="244"/>
      <c r="Q16" s="148">
        <v>217700</v>
      </c>
    </row>
    <row r="17" spans="1:17" x14ac:dyDescent="0.2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47"/>
      <c r="O17" s="245"/>
      <c r="P17" s="245"/>
      <c r="Q17" s="148"/>
    </row>
    <row r="18" spans="1:17" x14ac:dyDescent="0.2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47"/>
      <c r="O18" s="237"/>
      <c r="P18" s="237"/>
      <c r="Q18" s="148"/>
    </row>
    <row r="19" spans="1:17" x14ac:dyDescent="0.2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47"/>
      <c r="O19" s="237"/>
      <c r="P19" s="237"/>
      <c r="Q19" s="148"/>
    </row>
    <row r="20" spans="1:17" x14ac:dyDescent="0.2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47"/>
      <c r="O20" s="237"/>
      <c r="P20" s="237"/>
      <c r="Q20" s="148"/>
    </row>
    <row r="21" spans="1:17" x14ac:dyDescent="0.2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47"/>
      <c r="O21" s="237"/>
      <c r="P21" s="237"/>
      <c r="Q21" s="148"/>
    </row>
    <row r="22" spans="1:17" x14ac:dyDescent="0.2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47"/>
      <c r="O22" s="237"/>
      <c r="P22" s="237"/>
      <c r="Q22" s="148"/>
    </row>
    <row r="23" spans="1:17" x14ac:dyDescent="0.2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47"/>
      <c r="O23" s="237"/>
      <c r="P23" s="237"/>
      <c r="Q23" s="148"/>
    </row>
    <row r="24" spans="1:17" x14ac:dyDescent="0.2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47"/>
      <c r="O24" s="237"/>
      <c r="P24" s="237"/>
      <c r="Q24" s="148"/>
    </row>
    <row r="25" spans="1:17" x14ac:dyDescent="0.2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47"/>
      <c r="O25" s="237"/>
      <c r="P25" s="237"/>
      <c r="Q25" s="148"/>
    </row>
    <row r="26" spans="1:17" x14ac:dyDescent="0.2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47"/>
      <c r="O26" s="237"/>
      <c r="P26" s="237"/>
      <c r="Q26" s="148"/>
    </row>
    <row r="27" spans="1:17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47"/>
      <c r="O27" s="237"/>
      <c r="P27" s="237"/>
      <c r="Q27" s="148"/>
    </row>
    <row r="28" spans="1:17" x14ac:dyDescent="0.25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47"/>
      <c r="O28" s="237"/>
      <c r="P28" s="237"/>
      <c r="Q28" s="148"/>
    </row>
    <row r="29" spans="1:17" x14ac:dyDescent="0.25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47"/>
      <c r="O29" s="237"/>
      <c r="P29" s="237"/>
      <c r="Q29" s="148"/>
    </row>
    <row r="30" spans="1:17" x14ac:dyDescent="0.25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47"/>
      <c r="O30" s="237"/>
      <c r="P30" s="237"/>
      <c r="Q30" s="148"/>
    </row>
    <row r="31" spans="1:17" x14ac:dyDescent="0.25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47"/>
      <c r="O31" s="237"/>
      <c r="P31" s="237"/>
      <c r="Q31" s="148"/>
    </row>
    <row r="32" spans="1:17" x14ac:dyDescent="0.25">
      <c r="A32" s="144"/>
      <c r="B32" s="145"/>
      <c r="C32" s="145"/>
      <c r="D32" s="145"/>
      <c r="E32" s="145"/>
      <c r="F32" s="147"/>
      <c r="G32" s="145"/>
      <c r="H32" s="145"/>
      <c r="I32" s="145"/>
      <c r="J32" s="145"/>
      <c r="K32" s="145"/>
      <c r="L32" s="145"/>
      <c r="M32" s="146"/>
      <c r="N32" s="147"/>
      <c r="O32" s="244"/>
      <c r="P32" s="244"/>
      <c r="Q32" s="148"/>
    </row>
    <row r="33" spans="1:17" x14ac:dyDescent="0.2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47"/>
      <c r="O33" s="244"/>
      <c r="P33" s="244"/>
      <c r="Q33" s="148"/>
    </row>
    <row r="34" spans="1:17" x14ac:dyDescent="0.25">
      <c r="A34" s="144"/>
      <c r="B34" s="145"/>
      <c r="C34" s="145"/>
      <c r="D34" s="145"/>
      <c r="E34" s="145"/>
      <c r="F34" s="147"/>
      <c r="G34" s="145"/>
      <c r="H34" s="145"/>
      <c r="I34" s="145"/>
      <c r="J34" s="145"/>
      <c r="K34" s="145"/>
      <c r="L34" s="145"/>
      <c r="M34" s="146"/>
      <c r="N34" s="147"/>
      <c r="O34" s="244"/>
      <c r="P34" s="244"/>
      <c r="Q34" s="148"/>
    </row>
    <row r="35" spans="1:17" x14ac:dyDescent="0.25">
      <c r="A35" s="144"/>
      <c r="B35" s="145"/>
      <c r="C35" s="145"/>
      <c r="D35" s="145"/>
      <c r="E35" s="145"/>
      <c r="F35" s="147"/>
      <c r="G35" s="145"/>
      <c r="H35" s="145"/>
      <c r="I35" s="145"/>
      <c r="J35" s="145"/>
      <c r="K35" s="145"/>
      <c r="L35" s="145"/>
      <c r="M35" s="146"/>
      <c r="N35" s="147"/>
      <c r="O35" s="244"/>
      <c r="P35" s="244"/>
      <c r="Q35" s="148"/>
    </row>
    <row r="36" spans="1:17" x14ac:dyDescent="0.25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32.25" customHeight="1" thickBot="1" x14ac:dyDescent="0.3">
      <c r="A38" s="251" t="s">
        <v>136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417700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SMPyPS'!D8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C12" sqref="C12:G12"/>
    </sheetView>
  </sheetViews>
  <sheetFormatPr baseColWidth="10" defaultColWidth="11.42578125" defaultRowHeight="15" x14ac:dyDescent="0.25"/>
  <cols>
    <col min="1" max="1" width="5.5703125" style="63" customWidth="1"/>
    <col min="2" max="2" width="15.140625" style="174" customWidth="1"/>
    <col min="3" max="3" width="14.140625" style="63" customWidth="1"/>
    <col min="4" max="4" width="26" style="63" customWidth="1"/>
    <col min="5" max="5" width="8" style="63" customWidth="1"/>
    <col min="6" max="6" width="7.85546875" style="63" customWidth="1"/>
    <col min="7" max="7" width="62" style="63" customWidth="1"/>
    <col min="8" max="8" width="9.28515625" style="63" customWidth="1"/>
    <col min="9" max="9" width="15.5703125" style="63" customWidth="1"/>
    <col min="10" max="10" width="14.7109375" style="186" customWidth="1"/>
    <col min="11" max="11" width="15.5703125" style="63" customWidth="1"/>
    <col min="12" max="16384" width="11.42578125" style="63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137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137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thickBot="1" x14ac:dyDescent="0.3">
      <c r="A11" s="253"/>
      <c r="B11" s="254"/>
      <c r="C11" s="254"/>
      <c r="D11" s="254"/>
      <c r="E11" s="254"/>
      <c r="F11" s="254"/>
      <c r="G11" s="254"/>
      <c r="H11" s="254"/>
      <c r="I11" s="254"/>
      <c r="J11" s="255"/>
      <c r="K11" s="256"/>
    </row>
    <row r="12" spans="1:11" ht="31.5" customHeight="1" x14ac:dyDescent="0.25">
      <c r="A12" s="119">
        <v>1</v>
      </c>
      <c r="B12" s="173" t="str">
        <f>'SAF 011'!B19</f>
        <v>2.4.4-6818.755</v>
      </c>
      <c r="C12" s="221" t="str">
        <f>'SAF 011'!E19</f>
        <v>NEUMATICOS; VEHICULO: CAMIONETA, CONSTRUCCION: RADIAL, ARMADO: S/CAMARA, MEDIDA: 255/70R16</v>
      </c>
      <c r="D12" s="222"/>
      <c r="E12" s="222"/>
      <c r="F12" s="222"/>
      <c r="G12" s="223"/>
      <c r="H12" s="120" t="s">
        <v>132</v>
      </c>
      <c r="I12" s="121" t="str">
        <f>'SAF 011'!F19</f>
        <v xml:space="preserve">UNIDAD </v>
      </c>
      <c r="J12" s="185">
        <f>'SAF 011'!AZ19</f>
        <v>52500</v>
      </c>
      <c r="K12" s="122">
        <f>'SAF 011'!W19</f>
        <v>4</v>
      </c>
    </row>
    <row r="13" spans="1:11" ht="15.75" customHeight="1" x14ac:dyDescent="0.2">
      <c r="A13" s="119"/>
      <c r="B13" s="173"/>
      <c r="C13" s="221"/>
      <c r="D13" s="222"/>
      <c r="E13" s="222"/>
      <c r="F13" s="222"/>
      <c r="G13" s="223"/>
      <c r="H13" s="120"/>
      <c r="I13" s="121"/>
      <c r="J13" s="185"/>
      <c r="K13" s="122"/>
    </row>
    <row r="14" spans="1:11" ht="19.5" thickBot="1" x14ac:dyDescent="0.3">
      <c r="A14" s="220" t="s">
        <v>269</v>
      </c>
      <c r="B14" s="220"/>
      <c r="C14" s="220"/>
      <c r="D14" s="220"/>
      <c r="E14" s="220"/>
      <c r="F14" s="220"/>
      <c r="G14" s="220"/>
      <c r="H14" s="220"/>
      <c r="I14" s="220"/>
      <c r="J14" s="218">
        <f>SUMPRODUCT(J12:J13,K12:K13)</f>
        <v>210000</v>
      </c>
      <c r="K14" s="219"/>
    </row>
  </sheetData>
  <mergeCells count="18">
    <mergeCell ref="C13:G13"/>
    <mergeCell ref="A14:I14"/>
    <mergeCell ref="J14:K14"/>
    <mergeCell ref="C12:G12"/>
    <mergeCell ref="J10:J11"/>
    <mergeCell ref="K10:K11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U27" sqref="U27"/>
    </sheetView>
  </sheetViews>
  <sheetFormatPr baseColWidth="10" defaultColWidth="11.42578125" defaultRowHeight="15" x14ac:dyDescent="0.25"/>
  <cols>
    <col min="1" max="5" width="4.42578125" style="63" customWidth="1"/>
    <col min="6" max="6" width="7.28515625" style="63" customWidth="1"/>
    <col min="7" max="14" width="4.42578125" style="63" customWidth="1"/>
    <col min="15" max="16" width="14.85546875" style="63" customWidth="1"/>
    <col min="17" max="17" width="14.7109375" style="63" customWidth="1"/>
    <col min="18" max="16384" width="11.42578125" style="63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DPSAME'!D3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DPSAME'!D4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DPSAME'!D5</f>
        <v>748 - DIRECCION PROVINCIAL SISTEMA DE ATENCION MEDICA DE EMERGENCIA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DPSAME'!D6</f>
        <v>748 - DIRECCION PROVINCIAL SISTEMA DE ATENCION MEDICA DE EMERGENCIA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31</v>
      </c>
      <c r="B15" s="141"/>
      <c r="C15" s="141"/>
      <c r="D15" s="141">
        <v>1</v>
      </c>
      <c r="E15" s="141"/>
      <c r="F15" s="141">
        <v>4901</v>
      </c>
      <c r="G15" s="141">
        <v>3</v>
      </c>
      <c r="H15" s="141">
        <v>1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f>'NP DPSAME'!J14</f>
        <v>210000</v>
      </c>
    </row>
    <row r="16" spans="1:17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59"/>
      <c r="O16" s="244"/>
      <c r="P16" s="244"/>
      <c r="Q16" s="148"/>
    </row>
    <row r="17" spans="1:17" x14ac:dyDescent="0.25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59"/>
      <c r="O17" s="245"/>
      <c r="P17" s="245"/>
      <c r="Q17" s="148"/>
    </row>
    <row r="18" spans="1:17" x14ac:dyDescent="0.25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59"/>
      <c r="O18" s="237"/>
      <c r="P18" s="237"/>
      <c r="Q18" s="148"/>
    </row>
    <row r="19" spans="1:17" x14ac:dyDescent="0.25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59"/>
      <c r="O19" s="237"/>
      <c r="P19" s="237"/>
      <c r="Q19" s="148"/>
    </row>
    <row r="20" spans="1:17" x14ac:dyDescent="0.25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59"/>
      <c r="O20" s="237"/>
      <c r="P20" s="237"/>
      <c r="Q20" s="148"/>
    </row>
    <row r="21" spans="1:17" x14ac:dyDescent="0.25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59"/>
      <c r="O21" s="237"/>
      <c r="P21" s="237"/>
      <c r="Q21" s="148"/>
    </row>
    <row r="22" spans="1:17" x14ac:dyDescent="0.25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59"/>
      <c r="O22" s="237"/>
      <c r="P22" s="237"/>
      <c r="Q22" s="148"/>
    </row>
    <row r="23" spans="1:17" x14ac:dyDescent="0.25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59"/>
      <c r="O23" s="237"/>
      <c r="P23" s="237"/>
      <c r="Q23" s="148"/>
    </row>
    <row r="24" spans="1:17" x14ac:dyDescent="0.25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9"/>
      <c r="O24" s="237"/>
      <c r="P24" s="237"/>
      <c r="Q24" s="148"/>
    </row>
    <row r="25" spans="1:17" x14ac:dyDescent="0.25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9"/>
      <c r="O25" s="237"/>
      <c r="P25" s="237"/>
      <c r="Q25" s="148"/>
    </row>
    <row r="26" spans="1:17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59"/>
      <c r="O26" s="237"/>
      <c r="P26" s="237"/>
      <c r="Q26" s="148"/>
    </row>
    <row r="27" spans="1:17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59"/>
      <c r="O27" s="237"/>
      <c r="P27" s="237"/>
      <c r="Q27" s="148"/>
    </row>
    <row r="28" spans="1:17" x14ac:dyDescent="0.25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59"/>
      <c r="O28" s="237"/>
      <c r="P28" s="237"/>
      <c r="Q28" s="148"/>
    </row>
    <row r="29" spans="1:17" x14ac:dyDescent="0.25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59"/>
      <c r="O29" s="237"/>
      <c r="P29" s="237"/>
      <c r="Q29" s="148"/>
    </row>
    <row r="30" spans="1:17" x14ac:dyDescent="0.25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59"/>
      <c r="O30" s="237"/>
      <c r="P30" s="237"/>
      <c r="Q30" s="148"/>
    </row>
    <row r="31" spans="1:17" x14ac:dyDescent="0.25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59"/>
      <c r="O31" s="237"/>
      <c r="P31" s="237"/>
      <c r="Q31" s="148"/>
    </row>
    <row r="32" spans="1:17" x14ac:dyDescent="0.25">
      <c r="A32" s="144"/>
      <c r="B32" s="145"/>
      <c r="C32" s="145"/>
      <c r="D32" s="145"/>
      <c r="E32" s="145"/>
      <c r="F32" s="159"/>
      <c r="G32" s="145"/>
      <c r="H32" s="145"/>
      <c r="I32" s="145"/>
      <c r="J32" s="145"/>
      <c r="K32" s="145"/>
      <c r="L32" s="145"/>
      <c r="M32" s="146"/>
      <c r="N32" s="159"/>
      <c r="O32" s="244"/>
      <c r="P32" s="244"/>
      <c r="Q32" s="148"/>
    </row>
    <row r="33" spans="1:17" x14ac:dyDescent="0.2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59"/>
      <c r="O33" s="244"/>
      <c r="P33" s="244"/>
      <c r="Q33" s="148"/>
    </row>
    <row r="34" spans="1:17" x14ac:dyDescent="0.25">
      <c r="A34" s="144"/>
      <c r="B34" s="145"/>
      <c r="C34" s="145"/>
      <c r="D34" s="145"/>
      <c r="E34" s="145"/>
      <c r="F34" s="159"/>
      <c r="G34" s="145"/>
      <c r="H34" s="145"/>
      <c r="I34" s="145"/>
      <c r="J34" s="145"/>
      <c r="K34" s="145"/>
      <c r="L34" s="145"/>
      <c r="M34" s="146"/>
      <c r="N34" s="159"/>
      <c r="O34" s="244"/>
      <c r="P34" s="244"/>
      <c r="Q34" s="148"/>
    </row>
    <row r="35" spans="1:17" x14ac:dyDescent="0.25">
      <c r="A35" s="144"/>
      <c r="B35" s="145"/>
      <c r="C35" s="145"/>
      <c r="D35" s="145"/>
      <c r="E35" s="145"/>
      <c r="F35" s="159"/>
      <c r="G35" s="145"/>
      <c r="H35" s="145"/>
      <c r="I35" s="145"/>
      <c r="J35" s="145"/>
      <c r="K35" s="145"/>
      <c r="L35" s="145"/>
      <c r="M35" s="146"/>
      <c r="N35" s="159"/>
      <c r="O35" s="244"/>
      <c r="P35" s="244"/>
      <c r="Q35" s="148"/>
    </row>
    <row r="36" spans="1:17" x14ac:dyDescent="0.25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34.5" customHeight="1" thickBot="1" x14ac:dyDescent="0.3">
      <c r="A38" s="251" t="s">
        <v>270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210000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DPSAME'!D8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opLeftCell="A4" workbookViewId="0">
      <selection activeCell="I22" sqref="I22"/>
    </sheetView>
  </sheetViews>
  <sheetFormatPr baseColWidth="10" defaultColWidth="11.42578125" defaultRowHeight="15" x14ac:dyDescent="0.25"/>
  <cols>
    <col min="1" max="1" width="5.5703125" style="63" customWidth="1"/>
    <col min="2" max="2" width="15.140625" style="174" customWidth="1"/>
    <col min="3" max="3" width="14.140625" style="63" customWidth="1"/>
    <col min="4" max="4" width="26" style="63" customWidth="1"/>
    <col min="5" max="5" width="8" style="63" customWidth="1"/>
    <col min="6" max="6" width="7.85546875" style="63" customWidth="1"/>
    <col min="7" max="7" width="43.5703125" style="63" customWidth="1"/>
    <col min="8" max="8" width="9.28515625" style="63" customWidth="1"/>
    <col min="9" max="9" width="15.5703125" style="63" customWidth="1"/>
    <col min="10" max="10" width="14.7109375" style="186" customWidth="1"/>
    <col min="11" max="11" width="15.5703125" style="63" customWidth="1"/>
    <col min="12" max="16384" width="11.42578125" style="63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138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138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x14ac:dyDescent="0.25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</row>
    <row r="12" spans="1:11" ht="35.25" customHeight="1" x14ac:dyDescent="0.2">
      <c r="A12" s="119">
        <v>1</v>
      </c>
      <c r="B12" s="173" t="str">
        <f>'SAF 011'!B21</f>
        <v>2.4.4-6818.48</v>
      </c>
      <c r="C12" s="221" t="str">
        <f>'SAF 011'!E21</f>
        <v>NEUMATICOS; VEHICULO: CAMIONETA, CONSTRUCCION: RADIAL, MEDIDA: 235/75R15, ARMADO: S/CAMARA</v>
      </c>
      <c r="D12" s="222"/>
      <c r="E12" s="222"/>
      <c r="F12" s="222"/>
      <c r="G12" s="223"/>
      <c r="H12" s="120" t="s">
        <v>132</v>
      </c>
      <c r="I12" s="121" t="str">
        <f>'SAF 011'!F21</f>
        <v>UNIDAD</v>
      </c>
      <c r="J12" s="185">
        <f>'SAF 011'!AZ21</f>
        <v>40880</v>
      </c>
      <c r="K12" s="122">
        <f>'SAF 011'!AA21</f>
        <v>4</v>
      </c>
    </row>
    <row r="13" spans="1:11" ht="15.75" customHeight="1" x14ac:dyDescent="0.2">
      <c r="A13" s="173"/>
      <c r="B13" s="173"/>
      <c r="C13" s="221"/>
      <c r="D13" s="222"/>
      <c r="E13" s="222"/>
      <c r="F13" s="222"/>
      <c r="G13" s="223"/>
      <c r="H13" s="120"/>
      <c r="I13" s="121"/>
      <c r="J13" s="185"/>
      <c r="K13" s="187"/>
    </row>
    <row r="14" spans="1:11" ht="18.75" thickBot="1" x14ac:dyDescent="0.25">
      <c r="A14" s="220" t="s">
        <v>139</v>
      </c>
      <c r="B14" s="220"/>
      <c r="C14" s="220"/>
      <c r="D14" s="220"/>
      <c r="E14" s="220"/>
      <c r="F14" s="220"/>
      <c r="G14" s="220"/>
      <c r="H14" s="220"/>
      <c r="I14" s="220"/>
      <c r="J14" s="218">
        <f>SUMPRODUCT(J12:J12,K12:K12)</f>
        <v>163520</v>
      </c>
      <c r="K14" s="219"/>
    </row>
  </sheetData>
  <mergeCells count="18">
    <mergeCell ref="C12:G12"/>
    <mergeCell ref="A14:I14"/>
    <mergeCell ref="C13:G13"/>
    <mergeCell ref="J14:K14"/>
    <mergeCell ref="J10:J11"/>
    <mergeCell ref="K10:K11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workbookViewId="0">
      <selection activeCell="A41" sqref="A41:Q42"/>
    </sheetView>
  </sheetViews>
  <sheetFormatPr baseColWidth="10" defaultColWidth="11.42578125" defaultRowHeight="15" x14ac:dyDescent="0.25"/>
  <cols>
    <col min="1" max="5" width="4.42578125" style="63" customWidth="1"/>
    <col min="6" max="6" width="7.28515625" style="63" customWidth="1"/>
    <col min="7" max="14" width="4.42578125" style="63" customWidth="1"/>
    <col min="15" max="16" width="14.85546875" style="63" customWidth="1"/>
    <col min="17" max="17" width="14.7109375" style="63" customWidth="1"/>
    <col min="18" max="16384" width="11.42578125" style="63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DPMIA'!D3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DPMIA'!D4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DPMIA'!D5</f>
        <v>162 - DIRECCION PROVINCIAL DE MATERNIDAD, INFANCIA Y ADOLESCENCIA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DPMIA'!D6</f>
        <v>162 - DIRECCION PROVINCIAL DE MATERNIDAD, INFANCIA Y ADOLESCENCIA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20</v>
      </c>
      <c r="B15" s="141"/>
      <c r="C15" s="141"/>
      <c r="D15" s="141">
        <v>1</v>
      </c>
      <c r="E15" s="141"/>
      <c r="F15" s="141">
        <v>4901</v>
      </c>
      <c r="G15" s="141">
        <v>3</v>
      </c>
      <c r="H15" s="141">
        <v>1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f>'NP DPMIA'!J14</f>
        <v>163520</v>
      </c>
    </row>
    <row r="16" spans="1:17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59"/>
      <c r="O16" s="244"/>
      <c r="P16" s="244"/>
      <c r="Q16" s="148"/>
    </row>
    <row r="17" spans="1:17" x14ac:dyDescent="0.25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59"/>
      <c r="O17" s="245"/>
      <c r="P17" s="245"/>
      <c r="Q17" s="148"/>
    </row>
    <row r="18" spans="1:17" x14ac:dyDescent="0.25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59"/>
      <c r="O18" s="237"/>
      <c r="P18" s="237"/>
      <c r="Q18" s="148"/>
    </row>
    <row r="19" spans="1:17" x14ac:dyDescent="0.25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59"/>
      <c r="O19" s="237"/>
      <c r="P19" s="237"/>
      <c r="Q19" s="148"/>
    </row>
    <row r="20" spans="1:17" x14ac:dyDescent="0.25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59"/>
      <c r="O20" s="237"/>
      <c r="P20" s="237"/>
      <c r="Q20" s="148"/>
    </row>
    <row r="21" spans="1:17" x14ac:dyDescent="0.25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59"/>
      <c r="O21" s="237"/>
      <c r="P21" s="237"/>
      <c r="Q21" s="148"/>
    </row>
    <row r="22" spans="1:17" x14ac:dyDescent="0.25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59"/>
      <c r="O22" s="237"/>
      <c r="P22" s="237"/>
      <c r="Q22" s="148"/>
    </row>
    <row r="23" spans="1:17" x14ac:dyDescent="0.25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59"/>
      <c r="O23" s="237"/>
      <c r="P23" s="237"/>
      <c r="Q23" s="148"/>
    </row>
    <row r="24" spans="1:17" x14ac:dyDescent="0.25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9"/>
      <c r="O24" s="237"/>
      <c r="P24" s="237"/>
      <c r="Q24" s="148"/>
    </row>
    <row r="25" spans="1:17" x14ac:dyDescent="0.25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9"/>
      <c r="O25" s="237"/>
      <c r="P25" s="237"/>
      <c r="Q25" s="148"/>
    </row>
    <row r="26" spans="1:17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59"/>
      <c r="O26" s="237"/>
      <c r="P26" s="237"/>
      <c r="Q26" s="148"/>
    </row>
    <row r="27" spans="1:17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59"/>
      <c r="O27" s="237"/>
      <c r="P27" s="237"/>
      <c r="Q27" s="148"/>
    </row>
    <row r="28" spans="1:17" x14ac:dyDescent="0.25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59"/>
      <c r="O28" s="237"/>
      <c r="P28" s="237"/>
      <c r="Q28" s="148"/>
    </row>
    <row r="29" spans="1:17" x14ac:dyDescent="0.25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59"/>
      <c r="O29" s="237"/>
      <c r="P29" s="237"/>
      <c r="Q29" s="148"/>
    </row>
    <row r="30" spans="1:17" x14ac:dyDescent="0.25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59"/>
      <c r="O30" s="237"/>
      <c r="P30" s="237"/>
      <c r="Q30" s="148"/>
    </row>
    <row r="31" spans="1:17" x14ac:dyDescent="0.25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59"/>
      <c r="O31" s="237"/>
      <c r="P31" s="237"/>
      <c r="Q31" s="148"/>
    </row>
    <row r="32" spans="1:17" x14ac:dyDescent="0.25">
      <c r="A32" s="144"/>
      <c r="B32" s="145"/>
      <c r="C32" s="145"/>
      <c r="D32" s="145"/>
      <c r="E32" s="145"/>
      <c r="F32" s="159"/>
      <c r="G32" s="145"/>
      <c r="H32" s="145"/>
      <c r="I32" s="145"/>
      <c r="J32" s="145"/>
      <c r="K32" s="145"/>
      <c r="L32" s="145"/>
      <c r="M32" s="146"/>
      <c r="N32" s="159"/>
      <c r="O32" s="244"/>
      <c r="P32" s="244"/>
      <c r="Q32" s="148"/>
    </row>
    <row r="33" spans="1:17" x14ac:dyDescent="0.2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59"/>
      <c r="O33" s="244"/>
      <c r="P33" s="244"/>
      <c r="Q33" s="148"/>
    </row>
    <row r="34" spans="1:17" x14ac:dyDescent="0.25">
      <c r="A34" s="144"/>
      <c r="B34" s="145"/>
      <c r="C34" s="145"/>
      <c r="D34" s="145"/>
      <c r="E34" s="145"/>
      <c r="F34" s="159"/>
      <c r="G34" s="145"/>
      <c r="H34" s="145"/>
      <c r="I34" s="145"/>
      <c r="J34" s="145"/>
      <c r="K34" s="145"/>
      <c r="L34" s="145"/>
      <c r="M34" s="146"/>
      <c r="N34" s="159"/>
      <c r="O34" s="244"/>
      <c r="P34" s="244"/>
      <c r="Q34" s="148"/>
    </row>
    <row r="35" spans="1:17" x14ac:dyDescent="0.25">
      <c r="A35" s="144"/>
      <c r="B35" s="145"/>
      <c r="C35" s="145"/>
      <c r="D35" s="145"/>
      <c r="E35" s="145"/>
      <c r="F35" s="159"/>
      <c r="G35" s="145"/>
      <c r="H35" s="145"/>
      <c r="I35" s="145"/>
      <c r="J35" s="145"/>
      <c r="K35" s="145"/>
      <c r="L35" s="145"/>
      <c r="M35" s="146"/>
      <c r="N35" s="159"/>
      <c r="O35" s="244"/>
      <c r="P35" s="244"/>
      <c r="Q35" s="148"/>
    </row>
    <row r="36" spans="1:17" x14ac:dyDescent="0.25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15.75" thickBot="1" x14ac:dyDescent="0.3">
      <c r="A38" s="251" t="s">
        <v>140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163520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DPMIA'!D8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I21" sqref="I21"/>
    </sheetView>
  </sheetViews>
  <sheetFormatPr baseColWidth="10" defaultColWidth="11.42578125" defaultRowHeight="15" x14ac:dyDescent="0.25"/>
  <cols>
    <col min="1" max="1" width="5.5703125" style="63" customWidth="1"/>
    <col min="2" max="2" width="15.140625" style="174" customWidth="1"/>
    <col min="3" max="3" width="14.140625" style="63" customWidth="1"/>
    <col min="4" max="4" width="26" style="63" customWidth="1"/>
    <col min="5" max="5" width="8" style="63" customWidth="1"/>
    <col min="6" max="6" width="7.85546875" style="63" customWidth="1"/>
    <col min="7" max="7" width="60.7109375" style="63" customWidth="1"/>
    <col min="8" max="8" width="9.28515625" style="63" customWidth="1"/>
    <col min="9" max="9" width="15.5703125" style="63" customWidth="1"/>
    <col min="10" max="10" width="14.7109375" style="186" customWidth="1"/>
    <col min="11" max="11" width="15.5703125" style="63" customWidth="1"/>
    <col min="12" max="16384" width="11.42578125" style="63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141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141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x14ac:dyDescent="0.25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</row>
    <row r="12" spans="1:11" ht="42.75" customHeight="1" x14ac:dyDescent="0.2">
      <c r="A12" s="119">
        <v>1</v>
      </c>
      <c r="B12" s="173" t="str">
        <f>'SAF 011'!B18</f>
        <v>2.4.4-6818.530</v>
      </c>
      <c r="C12" s="221" t="str">
        <f>'SAF 011'!E18</f>
        <v>NEUMATICOS; VEHICULO: CAMIONETA, CONSTRUCCION: RADIAL, ARMADO: S/CAMARA, MEDIDA: 245/70R16</v>
      </c>
      <c r="D12" s="222"/>
      <c r="E12" s="222"/>
      <c r="F12" s="222"/>
      <c r="G12" s="223"/>
      <c r="H12" s="120" t="s">
        <v>132</v>
      </c>
      <c r="I12" s="121" t="str">
        <f>'SAF 011'!F18</f>
        <v>UNIDAD</v>
      </c>
      <c r="J12" s="185">
        <f>'SAF 011'!AZ18</f>
        <v>50950</v>
      </c>
      <c r="K12" s="122">
        <f>'SAF 011'!AC18</f>
        <v>4</v>
      </c>
    </row>
    <row r="13" spans="1:11" ht="15.75" customHeight="1" x14ac:dyDescent="0.2">
      <c r="A13" s="119"/>
      <c r="B13" s="173"/>
      <c r="C13" s="221"/>
      <c r="D13" s="222"/>
      <c r="E13" s="222"/>
      <c r="F13" s="222"/>
      <c r="G13" s="223"/>
      <c r="H13" s="120"/>
      <c r="I13" s="121"/>
      <c r="J13" s="185"/>
      <c r="K13" s="122"/>
    </row>
    <row r="14" spans="1:11" ht="18.75" thickBot="1" x14ac:dyDescent="0.25">
      <c r="A14" s="220" t="s">
        <v>142</v>
      </c>
      <c r="B14" s="220"/>
      <c r="C14" s="220"/>
      <c r="D14" s="220"/>
      <c r="E14" s="220"/>
      <c r="F14" s="220"/>
      <c r="G14" s="220"/>
      <c r="H14" s="220"/>
      <c r="I14" s="220"/>
      <c r="J14" s="218">
        <f>SUMPRODUCT(J12:J13,K12:K13)</f>
        <v>203800</v>
      </c>
      <c r="K14" s="219"/>
    </row>
  </sheetData>
  <mergeCells count="18">
    <mergeCell ref="C13:G13"/>
    <mergeCell ref="A14:I14"/>
    <mergeCell ref="J14:K14"/>
    <mergeCell ref="C12:G12"/>
    <mergeCell ref="J10:J11"/>
    <mergeCell ref="K10:K11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C7" workbookViewId="0">
      <selection activeCell="H22" sqref="H22"/>
    </sheetView>
  </sheetViews>
  <sheetFormatPr baseColWidth="10" defaultColWidth="11.42578125" defaultRowHeight="15" x14ac:dyDescent="0.25"/>
  <cols>
    <col min="1" max="5" width="4.42578125" style="63" customWidth="1"/>
    <col min="6" max="6" width="7.28515625" style="63" customWidth="1"/>
    <col min="7" max="14" width="4.42578125" style="63" customWidth="1"/>
    <col min="15" max="16" width="14.85546875" style="63" customWidth="1"/>
    <col min="17" max="17" width="14.7109375" style="63" customWidth="1"/>
    <col min="18" max="16384" width="11.42578125" style="63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SASP'!D3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SASP'!D4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SASP'!D5</f>
        <v>743 - SECRETARIA DE ASISTENCIA EN SALUD PUBLICA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SASP'!D6</f>
        <v>743 - SECRETARIA DE ASISTENCIA EN SALUD PUBLICA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3</v>
      </c>
      <c r="B15" s="141"/>
      <c r="C15" s="141"/>
      <c r="D15" s="141">
        <v>1</v>
      </c>
      <c r="E15" s="141"/>
      <c r="F15" s="141">
        <v>4901</v>
      </c>
      <c r="G15" s="141">
        <v>3</v>
      </c>
      <c r="H15" s="141">
        <v>1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f>'NP SASP'!J14</f>
        <v>203800</v>
      </c>
    </row>
    <row r="16" spans="1:17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59"/>
      <c r="O16" s="244"/>
      <c r="P16" s="244"/>
      <c r="Q16" s="148"/>
    </row>
    <row r="17" spans="1:17" x14ac:dyDescent="0.2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59"/>
      <c r="O17" s="245"/>
      <c r="P17" s="245"/>
      <c r="Q17" s="148"/>
    </row>
    <row r="18" spans="1:17" x14ac:dyDescent="0.2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59"/>
      <c r="O18" s="237"/>
      <c r="P18" s="237"/>
      <c r="Q18" s="148"/>
    </row>
    <row r="19" spans="1:17" x14ac:dyDescent="0.2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59"/>
      <c r="O19" s="237"/>
      <c r="P19" s="237"/>
      <c r="Q19" s="148"/>
    </row>
    <row r="20" spans="1:17" x14ac:dyDescent="0.2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59"/>
      <c r="O20" s="237"/>
      <c r="P20" s="237"/>
      <c r="Q20" s="148"/>
    </row>
    <row r="21" spans="1:17" x14ac:dyDescent="0.2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59"/>
      <c r="O21" s="237"/>
      <c r="P21" s="237"/>
      <c r="Q21" s="148"/>
    </row>
    <row r="22" spans="1:17" x14ac:dyDescent="0.2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59"/>
      <c r="O22" s="237"/>
      <c r="P22" s="237"/>
      <c r="Q22" s="148"/>
    </row>
    <row r="23" spans="1:17" x14ac:dyDescent="0.25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59"/>
      <c r="O23" s="237"/>
      <c r="P23" s="237"/>
      <c r="Q23" s="148"/>
    </row>
    <row r="24" spans="1:17" x14ac:dyDescent="0.25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9"/>
      <c r="O24" s="237"/>
      <c r="P24" s="237"/>
      <c r="Q24" s="148"/>
    </row>
    <row r="25" spans="1:17" x14ac:dyDescent="0.25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9"/>
      <c r="O25" s="237"/>
      <c r="P25" s="237"/>
      <c r="Q25" s="148"/>
    </row>
    <row r="26" spans="1:17" x14ac:dyDescent="0.25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59"/>
      <c r="O26" s="237"/>
      <c r="P26" s="237"/>
      <c r="Q26" s="148"/>
    </row>
    <row r="27" spans="1:17" x14ac:dyDescent="0.25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59"/>
      <c r="O27" s="237"/>
      <c r="P27" s="237"/>
      <c r="Q27" s="148"/>
    </row>
    <row r="28" spans="1:17" x14ac:dyDescent="0.25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59"/>
      <c r="O28" s="237"/>
      <c r="P28" s="237"/>
      <c r="Q28" s="148"/>
    </row>
    <row r="29" spans="1:17" x14ac:dyDescent="0.25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59"/>
      <c r="O29" s="237"/>
      <c r="P29" s="237"/>
      <c r="Q29" s="148"/>
    </row>
    <row r="30" spans="1:17" x14ac:dyDescent="0.25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59"/>
      <c r="O30" s="237"/>
      <c r="P30" s="237"/>
      <c r="Q30" s="148"/>
    </row>
    <row r="31" spans="1:17" x14ac:dyDescent="0.25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59"/>
      <c r="O31" s="237"/>
      <c r="P31" s="237"/>
      <c r="Q31" s="148"/>
    </row>
    <row r="32" spans="1:17" x14ac:dyDescent="0.25">
      <c r="A32" s="144"/>
      <c r="B32" s="145"/>
      <c r="C32" s="145"/>
      <c r="D32" s="145"/>
      <c r="E32" s="145"/>
      <c r="F32" s="159"/>
      <c r="G32" s="145"/>
      <c r="H32" s="145"/>
      <c r="I32" s="145"/>
      <c r="J32" s="145"/>
      <c r="K32" s="145"/>
      <c r="L32" s="145"/>
      <c r="M32" s="146"/>
      <c r="N32" s="159"/>
      <c r="O32" s="244"/>
      <c r="P32" s="244"/>
      <c r="Q32" s="148"/>
    </row>
    <row r="33" spans="1:17" x14ac:dyDescent="0.2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59"/>
      <c r="O33" s="244"/>
      <c r="P33" s="244"/>
      <c r="Q33" s="148"/>
    </row>
    <row r="34" spans="1:17" x14ac:dyDescent="0.25">
      <c r="A34" s="144"/>
      <c r="B34" s="145"/>
      <c r="C34" s="145"/>
      <c r="D34" s="145"/>
      <c r="E34" s="145"/>
      <c r="F34" s="159"/>
      <c r="G34" s="145"/>
      <c r="H34" s="145"/>
      <c r="I34" s="145"/>
      <c r="J34" s="145"/>
      <c r="K34" s="145"/>
      <c r="L34" s="145"/>
      <c r="M34" s="146"/>
      <c r="N34" s="159"/>
      <c r="O34" s="244"/>
      <c r="P34" s="244"/>
      <c r="Q34" s="148"/>
    </row>
    <row r="35" spans="1:17" x14ac:dyDescent="0.25">
      <c r="A35" s="144"/>
      <c r="B35" s="145"/>
      <c r="C35" s="145"/>
      <c r="D35" s="145"/>
      <c r="E35" s="145"/>
      <c r="F35" s="159"/>
      <c r="G35" s="145"/>
      <c r="H35" s="145"/>
      <c r="I35" s="145"/>
      <c r="J35" s="145"/>
      <c r="K35" s="145"/>
      <c r="L35" s="145"/>
      <c r="M35" s="146"/>
      <c r="N35" s="159"/>
      <c r="O35" s="244"/>
      <c r="P35" s="244"/>
      <c r="Q35" s="148"/>
    </row>
    <row r="36" spans="1:17" x14ac:dyDescent="0.25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15.75" thickBot="1" x14ac:dyDescent="0.3">
      <c r="A38" s="251" t="s">
        <v>143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203800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SASP'!D8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J14" sqref="J14:K14"/>
    </sheetView>
  </sheetViews>
  <sheetFormatPr baseColWidth="10" defaultColWidth="11.42578125" defaultRowHeight="15" x14ac:dyDescent="0.25"/>
  <cols>
    <col min="1" max="1" width="5.5703125" style="63" customWidth="1"/>
    <col min="2" max="2" width="15.140625" style="174" customWidth="1"/>
    <col min="3" max="3" width="14.140625" style="63" customWidth="1"/>
    <col min="4" max="4" width="26" style="63" customWidth="1"/>
    <col min="5" max="5" width="8" style="63" customWidth="1"/>
    <col min="6" max="6" width="7.85546875" style="63" customWidth="1"/>
    <col min="7" max="7" width="60.7109375" style="63" customWidth="1"/>
    <col min="8" max="8" width="9.28515625" style="63" customWidth="1"/>
    <col min="9" max="9" width="15.5703125" style="63" customWidth="1"/>
    <col min="10" max="10" width="14.7109375" style="186" customWidth="1"/>
    <col min="11" max="11" width="15.5703125" style="63" customWidth="1"/>
    <col min="12" max="16384" width="11.42578125" style="63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144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144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x14ac:dyDescent="0.25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</row>
    <row r="12" spans="1:11" ht="21.75" customHeight="1" x14ac:dyDescent="0.2">
      <c r="A12" s="119">
        <v>1</v>
      </c>
      <c r="B12" s="173" t="str">
        <f>'SAF 011'!B15</f>
        <v>2.4.4-6818.744</v>
      </c>
      <c r="C12" s="221" t="str">
        <f>'SAF 011'!E15</f>
        <v>NEUMATICOS; VEHICULO: CAMIONETA, CONSTRUCCION: RADIAL, ARMADO: S/CAMARA, MEDIDA: 235/70R16</v>
      </c>
      <c r="D12" s="222"/>
      <c r="E12" s="222"/>
      <c r="F12" s="222"/>
      <c r="G12" s="223"/>
      <c r="H12" s="120" t="s">
        <v>132</v>
      </c>
      <c r="I12" s="121" t="str">
        <f>'SAF 011'!F15</f>
        <v>UNIDAD</v>
      </c>
      <c r="J12" s="185">
        <f>'SAF 011'!AZ15</f>
        <v>47200</v>
      </c>
      <c r="K12" s="122">
        <f>'SAF 011'!AI15</f>
        <v>4</v>
      </c>
    </row>
    <row r="13" spans="1:11" ht="15.75" customHeight="1" x14ac:dyDescent="0.2">
      <c r="A13" s="119"/>
      <c r="B13" s="173"/>
      <c r="C13" s="221"/>
      <c r="D13" s="222"/>
      <c r="E13" s="222"/>
      <c r="F13" s="222"/>
      <c r="G13" s="223"/>
      <c r="H13" s="120"/>
      <c r="I13" s="121"/>
      <c r="J13" s="185"/>
      <c r="K13" s="122"/>
    </row>
    <row r="14" spans="1:11" ht="18.75" thickBot="1" x14ac:dyDescent="0.25">
      <c r="A14" s="220" t="s">
        <v>145</v>
      </c>
      <c r="B14" s="220"/>
      <c r="C14" s="220"/>
      <c r="D14" s="220"/>
      <c r="E14" s="220"/>
      <c r="F14" s="220"/>
      <c r="G14" s="220"/>
      <c r="H14" s="220"/>
      <c r="I14" s="220"/>
      <c r="J14" s="218">
        <f>SUMPRODUCT(J12:J13,K12:K13)</f>
        <v>188800</v>
      </c>
      <c r="K14" s="219"/>
    </row>
  </sheetData>
  <mergeCells count="18">
    <mergeCell ref="C13:G13"/>
    <mergeCell ref="A14:I14"/>
    <mergeCell ref="J14:K14"/>
    <mergeCell ref="C12:G12"/>
    <mergeCell ref="J10:J11"/>
    <mergeCell ref="K10:K11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3" workbookViewId="0">
      <selection activeCell="A41" sqref="A41:Q42"/>
    </sheetView>
  </sheetViews>
  <sheetFormatPr baseColWidth="10" defaultColWidth="11.42578125" defaultRowHeight="15" x14ac:dyDescent="0.25"/>
  <cols>
    <col min="1" max="5" width="4.42578125" style="63" customWidth="1"/>
    <col min="6" max="6" width="7.28515625" style="63" customWidth="1"/>
    <col min="7" max="14" width="4.42578125" style="63" customWidth="1"/>
    <col min="15" max="15" width="14.85546875" style="63" customWidth="1"/>
    <col min="16" max="16" width="24" style="63" customWidth="1"/>
    <col min="17" max="17" width="21.28515625" style="63" customWidth="1"/>
    <col min="18" max="16384" width="11.42578125" style="63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DPAIPD'!D3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DPAIPD'!D4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DPAIPD'!D5</f>
        <v>093 - DIRECCION PROVINCIAL DE ASISTENCIA INTEGRAL A PERSONAS CON DISCAPACIDAD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DPAIPD'!D6</f>
        <v>093 - DIRECCION PROVINCIAL DE ASISTENCIA INTEGRAL A PERSONAS CON DISCAPACIDAD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26</v>
      </c>
      <c r="B15" s="141"/>
      <c r="C15" s="141"/>
      <c r="D15" s="141">
        <v>1</v>
      </c>
      <c r="E15" s="141"/>
      <c r="F15" s="141">
        <v>4901</v>
      </c>
      <c r="G15" s="141">
        <v>3</v>
      </c>
      <c r="H15" s="141">
        <v>1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f>'NP DPAIPD'!J14</f>
        <v>188800</v>
      </c>
    </row>
    <row r="16" spans="1:17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59"/>
      <c r="O16" s="244"/>
      <c r="P16" s="244"/>
      <c r="Q16" s="148"/>
    </row>
    <row r="17" spans="1:17" x14ac:dyDescent="0.2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59"/>
      <c r="O17" s="245"/>
      <c r="P17" s="245"/>
      <c r="Q17" s="148"/>
    </row>
    <row r="18" spans="1:17" x14ac:dyDescent="0.2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59"/>
      <c r="O18" s="237"/>
      <c r="P18" s="237"/>
      <c r="Q18" s="148"/>
    </row>
    <row r="19" spans="1:17" x14ac:dyDescent="0.2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59"/>
      <c r="O19" s="237"/>
      <c r="P19" s="237"/>
      <c r="Q19" s="148"/>
    </row>
    <row r="20" spans="1:17" x14ac:dyDescent="0.2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59"/>
      <c r="O20" s="237"/>
      <c r="P20" s="237"/>
      <c r="Q20" s="148"/>
    </row>
    <row r="21" spans="1:17" x14ac:dyDescent="0.2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59"/>
      <c r="O21" s="237"/>
      <c r="P21" s="237"/>
      <c r="Q21" s="148"/>
    </row>
    <row r="22" spans="1:17" x14ac:dyDescent="0.2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59"/>
      <c r="O22" s="237"/>
      <c r="P22" s="237"/>
      <c r="Q22" s="148"/>
    </row>
    <row r="23" spans="1:17" x14ac:dyDescent="0.2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59"/>
      <c r="O23" s="237"/>
      <c r="P23" s="237"/>
      <c r="Q23" s="148"/>
    </row>
    <row r="24" spans="1:17" x14ac:dyDescent="0.2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9"/>
      <c r="O24" s="237"/>
      <c r="P24" s="237"/>
      <c r="Q24" s="148"/>
    </row>
    <row r="25" spans="1:17" x14ac:dyDescent="0.2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9"/>
      <c r="O25" s="237"/>
      <c r="P25" s="237"/>
      <c r="Q25" s="148"/>
    </row>
    <row r="26" spans="1:17" x14ac:dyDescent="0.2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59"/>
      <c r="O26" s="237"/>
      <c r="P26" s="237"/>
      <c r="Q26" s="148"/>
    </row>
    <row r="27" spans="1:17" x14ac:dyDescent="0.2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59"/>
      <c r="O27" s="237"/>
      <c r="P27" s="237"/>
      <c r="Q27" s="148"/>
    </row>
    <row r="28" spans="1:17" x14ac:dyDescent="0.2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59"/>
      <c r="O28" s="237"/>
      <c r="P28" s="237"/>
      <c r="Q28" s="148"/>
    </row>
    <row r="29" spans="1:17" x14ac:dyDescent="0.2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59"/>
      <c r="O29" s="237"/>
      <c r="P29" s="237"/>
      <c r="Q29" s="148"/>
    </row>
    <row r="30" spans="1:17" x14ac:dyDescent="0.2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59"/>
      <c r="O30" s="237"/>
      <c r="P30" s="237"/>
      <c r="Q30" s="148"/>
    </row>
    <row r="31" spans="1:17" x14ac:dyDescent="0.2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59"/>
      <c r="O31" s="237"/>
      <c r="P31" s="237"/>
      <c r="Q31" s="148"/>
    </row>
    <row r="32" spans="1:17" x14ac:dyDescent="0.2">
      <c r="A32" s="144"/>
      <c r="B32" s="145"/>
      <c r="C32" s="145"/>
      <c r="D32" s="145"/>
      <c r="E32" s="145"/>
      <c r="F32" s="159"/>
      <c r="G32" s="145"/>
      <c r="H32" s="145"/>
      <c r="I32" s="145"/>
      <c r="J32" s="145"/>
      <c r="K32" s="145"/>
      <c r="L32" s="145"/>
      <c r="M32" s="146"/>
      <c r="N32" s="159"/>
      <c r="O32" s="244"/>
      <c r="P32" s="244"/>
      <c r="Q32" s="148"/>
    </row>
    <row r="33" spans="1:17" x14ac:dyDescent="0.25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59"/>
      <c r="O33" s="244"/>
      <c r="P33" s="244"/>
      <c r="Q33" s="148"/>
    </row>
    <row r="34" spans="1:17" x14ac:dyDescent="0.25">
      <c r="A34" s="144"/>
      <c r="B34" s="145"/>
      <c r="C34" s="145"/>
      <c r="D34" s="145"/>
      <c r="E34" s="145"/>
      <c r="F34" s="159"/>
      <c r="G34" s="145"/>
      <c r="H34" s="145"/>
      <c r="I34" s="145"/>
      <c r="J34" s="145"/>
      <c r="K34" s="145"/>
      <c r="L34" s="145"/>
      <c r="M34" s="146"/>
      <c r="N34" s="159"/>
      <c r="O34" s="244"/>
      <c r="P34" s="244"/>
      <c r="Q34" s="148"/>
    </row>
    <row r="35" spans="1:17" x14ac:dyDescent="0.25">
      <c r="A35" s="144"/>
      <c r="B35" s="145"/>
      <c r="C35" s="145"/>
      <c r="D35" s="145"/>
      <c r="E35" s="145"/>
      <c r="F35" s="159"/>
      <c r="G35" s="145"/>
      <c r="H35" s="145"/>
      <c r="I35" s="145"/>
      <c r="J35" s="145"/>
      <c r="K35" s="145"/>
      <c r="L35" s="145"/>
      <c r="M35" s="146"/>
      <c r="N35" s="159"/>
      <c r="O35" s="244"/>
      <c r="P35" s="244"/>
      <c r="Q35" s="148"/>
    </row>
    <row r="36" spans="1:17" x14ac:dyDescent="0.25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15.75" thickBot="1" x14ac:dyDescent="0.3">
      <c r="A38" s="251" t="s">
        <v>146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188800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DPAIPD'!D8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selection activeCell="B18" sqref="B18"/>
    </sheetView>
  </sheetViews>
  <sheetFormatPr baseColWidth="10" defaultColWidth="11.42578125" defaultRowHeight="15" x14ac:dyDescent="0.25"/>
  <cols>
    <col min="1" max="1" width="5.5703125" style="63" customWidth="1"/>
    <col min="2" max="2" width="15.140625" style="174" customWidth="1"/>
    <col min="3" max="3" width="14.140625" style="63" customWidth="1"/>
    <col min="4" max="4" width="26" style="63" customWidth="1"/>
    <col min="5" max="5" width="8" style="63" customWidth="1"/>
    <col min="6" max="6" width="7.85546875" style="63" customWidth="1"/>
    <col min="7" max="7" width="64.7109375" style="63" customWidth="1"/>
    <col min="8" max="8" width="9.28515625" style="63" customWidth="1"/>
    <col min="9" max="9" width="15.5703125" style="63" customWidth="1"/>
    <col min="10" max="10" width="14.7109375" style="186" customWidth="1"/>
    <col min="11" max="11" width="15.5703125" style="63" customWidth="1"/>
    <col min="12" max="16384" width="11.42578125" style="63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147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147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x14ac:dyDescent="0.25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</row>
    <row r="12" spans="1:11" ht="30" customHeight="1" x14ac:dyDescent="0.2">
      <c r="A12" s="119">
        <v>1</v>
      </c>
      <c r="B12" s="173" t="str">
        <f>'SAF 011'!B11</f>
        <v>2.4.4-6818.986</v>
      </c>
      <c r="C12" s="221" t="str">
        <f>'SAF 011'!E11</f>
        <v>NEUMATICOS; VEHICULO: AMBULANCIA/FURGON/MINIBUS, CONSTRUCCION: RADIAL, ARMADO: S/CAMARA, MEDIDA: 205/75R16</v>
      </c>
      <c r="D12" s="222"/>
      <c r="E12" s="222"/>
      <c r="F12" s="222"/>
      <c r="G12" s="223"/>
      <c r="H12" s="120" t="s">
        <v>132</v>
      </c>
      <c r="I12" s="121" t="str">
        <f>'SAF 011'!F11</f>
        <v>UNIDAD</v>
      </c>
      <c r="J12" s="185">
        <f>'SAF 011'!AZ11</f>
        <v>46200</v>
      </c>
      <c r="K12" s="122">
        <f>'SAF 011'!AQ11</f>
        <v>26</v>
      </c>
    </row>
    <row r="13" spans="1:11" ht="30" customHeight="1" x14ac:dyDescent="0.2">
      <c r="A13" s="119">
        <v>2</v>
      </c>
      <c r="B13" s="173" t="str">
        <f>'SAF 011'!B12</f>
        <v>2.4.4-6818.724</v>
      </c>
      <c r="C13" s="221" t="str">
        <f>'SAF 011'!E12</f>
        <v>NEUMATICOS; VEHICULO: CAMIONETA, CONSTRUCCION: CON CLAVOS, ARMADO: S/CAMARA, MEDIDA: 215/75R16</v>
      </c>
      <c r="D13" s="222"/>
      <c r="E13" s="222"/>
      <c r="F13" s="222"/>
      <c r="G13" s="223"/>
      <c r="H13" s="120" t="s">
        <v>132</v>
      </c>
      <c r="I13" s="121" t="str">
        <f>'SAF 011'!F12</f>
        <v>UNIDAD</v>
      </c>
      <c r="J13" s="185">
        <f>'SAF 011'!AZ12</f>
        <v>40550</v>
      </c>
      <c r="K13" s="122">
        <f>'SAF 011'!AQ12</f>
        <v>16</v>
      </c>
    </row>
    <row r="14" spans="1:11" ht="30" customHeight="1" x14ac:dyDescent="0.2">
      <c r="A14" s="119">
        <v>3</v>
      </c>
      <c r="B14" s="173" t="str">
        <f>'SAF 011'!B13</f>
        <v>2.4.4-6818.801</v>
      </c>
      <c r="C14" s="221" t="str">
        <f>'SAF 011'!E13</f>
        <v>NEUMATICOS; VEHICULO: CAMIONETA, CONSTRUCCION: CON CLAVOS, ARMADO: S/CAMARA, MEDIDA: 265/70R16</v>
      </c>
      <c r="D14" s="222"/>
      <c r="E14" s="222"/>
      <c r="F14" s="222"/>
      <c r="G14" s="223"/>
      <c r="H14" s="120" t="s">
        <v>132</v>
      </c>
      <c r="I14" s="121" t="str">
        <f>'SAF 011'!F13</f>
        <v>UNIDAD</v>
      </c>
      <c r="J14" s="185">
        <f>'SAF 011'!AZ13</f>
        <v>49200</v>
      </c>
      <c r="K14" s="122">
        <f>'SAF 011'!AQ13</f>
        <v>8</v>
      </c>
    </row>
    <row r="15" spans="1:11" ht="22.5" customHeight="1" x14ac:dyDescent="0.2">
      <c r="A15" s="119">
        <v>4</v>
      </c>
      <c r="B15" s="173" t="str">
        <f>'SAF 011'!B14</f>
        <v>2.4.4-6818.989</v>
      </c>
      <c r="C15" s="221" t="str">
        <f>'SAF 011'!E14</f>
        <v>NEUMATICOS; VEHICULO: CAMIONETA, CONSTRUCCION: RADIAL, ARMADO: S/CAMARA, MEDIDA: 225/70 R17</v>
      </c>
      <c r="D15" s="222"/>
      <c r="E15" s="222"/>
      <c r="F15" s="222"/>
      <c r="G15" s="223"/>
      <c r="H15" s="120" t="s">
        <v>132</v>
      </c>
      <c r="I15" s="121" t="str">
        <f>'SAF 011'!F14</f>
        <v>UNIDAD</v>
      </c>
      <c r="J15" s="185">
        <f>'SAF 011'!AZ14</f>
        <v>53600</v>
      </c>
      <c r="K15" s="122">
        <f>'SAF 011'!AQ14</f>
        <v>4</v>
      </c>
    </row>
    <row r="16" spans="1:11" ht="22.5" customHeight="1" x14ac:dyDescent="0.25">
      <c r="A16" s="119">
        <v>5</v>
      </c>
      <c r="B16" s="173" t="str">
        <f>'SAF 011'!B15</f>
        <v>2.4.4-6818.744</v>
      </c>
      <c r="C16" s="221" t="str">
        <f>'SAF 011'!E15</f>
        <v>NEUMATICOS; VEHICULO: CAMIONETA, CONSTRUCCION: RADIAL, ARMADO: S/CAMARA, MEDIDA: 235/70R16</v>
      </c>
      <c r="D16" s="222"/>
      <c r="E16" s="222"/>
      <c r="F16" s="222"/>
      <c r="G16" s="223"/>
      <c r="H16" s="120" t="s">
        <v>132</v>
      </c>
      <c r="I16" s="121" t="str">
        <f>'SAF 011'!F15</f>
        <v>UNIDAD</v>
      </c>
      <c r="J16" s="185">
        <f>'SAF 011'!AZ15</f>
        <v>47200</v>
      </c>
      <c r="K16" s="122">
        <f>'SAF 011'!AQ15</f>
        <v>4</v>
      </c>
    </row>
    <row r="17" spans="1:11" ht="22.5" customHeight="1" x14ac:dyDescent="0.25">
      <c r="A17" s="119">
        <v>6</v>
      </c>
      <c r="B17" s="173" t="str">
        <f>'SAF 011'!B17</f>
        <v>2.4.4-6818.751</v>
      </c>
      <c r="C17" s="221" t="str">
        <f>'SAF 011'!E17</f>
        <v>NEUMATICOS; VEHICULO: CAMIONETA, CONSTRUCCION: RADIAL, ARMADO: S/CAMARA, MEDIDA: 245/65 R17</v>
      </c>
      <c r="D17" s="222"/>
      <c r="E17" s="222"/>
      <c r="F17" s="222"/>
      <c r="G17" s="223"/>
      <c r="H17" s="120" t="s">
        <v>132</v>
      </c>
      <c r="I17" s="121" t="str">
        <f>'SAF 011'!F17</f>
        <v>UNIDAD</v>
      </c>
      <c r="J17" s="185">
        <f>'SAF 011'!AZ17</f>
        <v>50950</v>
      </c>
      <c r="K17" s="122">
        <f>'SAF 011'!AQ17</f>
        <v>20</v>
      </c>
    </row>
    <row r="18" spans="1:11" ht="22.5" customHeight="1" x14ac:dyDescent="0.25">
      <c r="A18" s="119">
        <v>7</v>
      </c>
      <c r="B18" s="173" t="str">
        <f>'SAF 011'!B18</f>
        <v>2.4.4-6818.530</v>
      </c>
      <c r="C18" s="221" t="str">
        <f>'SAF 011'!E18</f>
        <v>NEUMATICOS; VEHICULO: CAMIONETA, CONSTRUCCION: RADIAL, ARMADO: S/CAMARA, MEDIDA: 245/70R16</v>
      </c>
      <c r="D18" s="222"/>
      <c r="E18" s="222"/>
      <c r="F18" s="222"/>
      <c r="G18" s="223"/>
      <c r="H18" s="120" t="s">
        <v>132</v>
      </c>
      <c r="I18" s="121" t="str">
        <f>'SAF 011'!F18</f>
        <v>UNIDAD</v>
      </c>
      <c r="J18" s="185">
        <f>'SAF 011'!AZ18</f>
        <v>50950</v>
      </c>
      <c r="K18" s="122">
        <f>'SAF 011'!AQ18</f>
        <v>4</v>
      </c>
    </row>
    <row r="19" spans="1:11" ht="15.75" customHeight="1" x14ac:dyDescent="0.25">
      <c r="A19" s="119"/>
      <c r="B19" s="173"/>
      <c r="C19" s="221"/>
      <c r="D19" s="222"/>
      <c r="E19" s="222"/>
      <c r="F19" s="222"/>
      <c r="G19" s="223"/>
      <c r="H19" s="120"/>
      <c r="I19" s="121"/>
      <c r="J19" s="185"/>
      <c r="K19" s="122"/>
    </row>
    <row r="20" spans="1:11" ht="19.5" thickBot="1" x14ac:dyDescent="0.3">
      <c r="A20" s="220" t="s">
        <v>148</v>
      </c>
      <c r="B20" s="220"/>
      <c r="C20" s="220"/>
      <c r="D20" s="220"/>
      <c r="E20" s="220"/>
      <c r="F20" s="220"/>
      <c r="G20" s="220"/>
      <c r="H20" s="220"/>
      <c r="I20" s="220"/>
      <c r="J20" s="218">
        <f>SUMPRODUCT(J12:J19,K12:K19)</f>
        <v>3869600</v>
      </c>
      <c r="K20" s="219"/>
    </row>
  </sheetData>
  <mergeCells count="24">
    <mergeCell ref="C19:G19"/>
    <mergeCell ref="A20:I20"/>
    <mergeCell ref="J20:K20"/>
    <mergeCell ref="C15:G15"/>
    <mergeCell ref="C16:G16"/>
    <mergeCell ref="C17:G17"/>
    <mergeCell ref="C18:G18"/>
    <mergeCell ref="J10:J11"/>
    <mergeCell ref="K10:K11"/>
    <mergeCell ref="C12:G12"/>
    <mergeCell ref="C13:G13"/>
    <mergeCell ref="C14:G14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19" workbookViewId="0">
      <selection activeCell="A41" sqref="A41:Q42"/>
    </sheetView>
  </sheetViews>
  <sheetFormatPr baseColWidth="10" defaultColWidth="11.42578125" defaultRowHeight="15" x14ac:dyDescent="0.25"/>
  <cols>
    <col min="1" max="5" width="4.42578125" style="63" customWidth="1"/>
    <col min="6" max="6" width="7.28515625" style="63" customWidth="1"/>
    <col min="7" max="13" width="4.42578125" style="63" customWidth="1"/>
    <col min="14" max="14" width="4.85546875" style="63" customWidth="1"/>
    <col min="15" max="16" width="14.85546875" style="63" customWidth="1"/>
    <col min="17" max="17" width="14.7109375" style="63" customWidth="1"/>
    <col min="18" max="16384" width="11.42578125" style="63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DPAS'!D3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DPAS'!D4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DPAS'!D5</f>
        <v>476 - DIRECCION PROVINCIAL DE ASISTENCIA SANITARIA NIVEL I Y II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DPAS'!D6</f>
        <v>476 - DIRECCION PROVINCIAL DE ASISTENCIA SANITARIA NIVEL I Y II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21</v>
      </c>
      <c r="B15" s="141"/>
      <c r="C15" s="141"/>
      <c r="D15" s="141">
        <v>1</v>
      </c>
      <c r="E15" s="141"/>
      <c r="F15" s="141">
        <v>4901</v>
      </c>
      <c r="G15" s="141">
        <v>3</v>
      </c>
      <c r="H15" s="141">
        <v>1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f>'NP DPAS'!J20</f>
        <v>3869600</v>
      </c>
    </row>
    <row r="16" spans="1:17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59"/>
      <c r="O16" s="244"/>
      <c r="P16" s="244"/>
      <c r="Q16" s="148"/>
    </row>
    <row r="17" spans="1:17" x14ac:dyDescent="0.2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59"/>
      <c r="O17" s="245"/>
      <c r="P17" s="245"/>
      <c r="Q17" s="148"/>
    </row>
    <row r="18" spans="1:17" x14ac:dyDescent="0.2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59"/>
      <c r="O18" s="237"/>
      <c r="P18" s="237"/>
      <c r="Q18" s="148"/>
    </row>
    <row r="19" spans="1:17" x14ac:dyDescent="0.2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59"/>
      <c r="O19" s="237"/>
      <c r="P19" s="237"/>
      <c r="Q19" s="148"/>
    </row>
    <row r="20" spans="1:17" x14ac:dyDescent="0.2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59"/>
      <c r="O20" s="237"/>
      <c r="P20" s="237"/>
      <c r="Q20" s="148"/>
    </row>
    <row r="21" spans="1:17" x14ac:dyDescent="0.2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59"/>
      <c r="O21" s="237"/>
      <c r="P21" s="237"/>
      <c r="Q21" s="148"/>
    </row>
    <row r="22" spans="1:17" x14ac:dyDescent="0.2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59"/>
      <c r="O22" s="237"/>
      <c r="P22" s="237"/>
      <c r="Q22" s="148"/>
    </row>
    <row r="23" spans="1:17" x14ac:dyDescent="0.2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59"/>
      <c r="O23" s="237"/>
      <c r="P23" s="237"/>
      <c r="Q23" s="148"/>
    </row>
    <row r="24" spans="1:17" x14ac:dyDescent="0.2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9"/>
      <c r="O24" s="237"/>
      <c r="P24" s="237"/>
      <c r="Q24" s="148"/>
    </row>
    <row r="25" spans="1:17" x14ac:dyDescent="0.2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9"/>
      <c r="O25" s="237"/>
      <c r="P25" s="237"/>
      <c r="Q25" s="148"/>
    </row>
    <row r="26" spans="1:17" x14ac:dyDescent="0.2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59"/>
      <c r="O26" s="237"/>
      <c r="P26" s="237"/>
      <c r="Q26" s="148"/>
    </row>
    <row r="27" spans="1:17" x14ac:dyDescent="0.2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59"/>
      <c r="O27" s="237"/>
      <c r="P27" s="237"/>
      <c r="Q27" s="148"/>
    </row>
    <row r="28" spans="1:17" x14ac:dyDescent="0.2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59"/>
      <c r="O28" s="237"/>
      <c r="P28" s="237"/>
      <c r="Q28" s="148"/>
    </row>
    <row r="29" spans="1:17" x14ac:dyDescent="0.2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59"/>
      <c r="O29" s="237"/>
      <c r="P29" s="237"/>
      <c r="Q29" s="148"/>
    </row>
    <row r="30" spans="1:17" x14ac:dyDescent="0.2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59"/>
      <c r="O30" s="237"/>
      <c r="P30" s="237"/>
      <c r="Q30" s="148"/>
    </row>
    <row r="31" spans="1:17" x14ac:dyDescent="0.2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59"/>
      <c r="O31" s="237"/>
      <c r="P31" s="237"/>
      <c r="Q31" s="148"/>
    </row>
    <row r="32" spans="1:17" x14ac:dyDescent="0.2">
      <c r="A32" s="144"/>
      <c r="B32" s="145"/>
      <c r="C32" s="145"/>
      <c r="D32" s="145"/>
      <c r="E32" s="145"/>
      <c r="F32" s="159"/>
      <c r="G32" s="145"/>
      <c r="H32" s="145"/>
      <c r="I32" s="145"/>
      <c r="J32" s="145"/>
      <c r="K32" s="145"/>
      <c r="L32" s="145"/>
      <c r="M32" s="146"/>
      <c r="N32" s="159"/>
      <c r="O32" s="244"/>
      <c r="P32" s="244"/>
      <c r="Q32" s="148"/>
    </row>
    <row r="33" spans="1:17" x14ac:dyDescent="0.2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59"/>
      <c r="O33" s="244"/>
      <c r="P33" s="244"/>
      <c r="Q33" s="148"/>
    </row>
    <row r="34" spans="1:17" x14ac:dyDescent="0.2">
      <c r="A34" s="144"/>
      <c r="B34" s="145"/>
      <c r="C34" s="145"/>
      <c r="D34" s="145"/>
      <c r="E34" s="145"/>
      <c r="F34" s="159"/>
      <c r="G34" s="145"/>
      <c r="H34" s="145"/>
      <c r="I34" s="145"/>
      <c r="J34" s="145"/>
      <c r="K34" s="145"/>
      <c r="L34" s="145"/>
      <c r="M34" s="146"/>
      <c r="N34" s="159"/>
      <c r="O34" s="244"/>
      <c r="P34" s="244"/>
      <c r="Q34" s="148"/>
    </row>
    <row r="35" spans="1:17" x14ac:dyDescent="0.2">
      <c r="A35" s="144"/>
      <c r="B35" s="145"/>
      <c r="C35" s="145"/>
      <c r="D35" s="145"/>
      <c r="E35" s="145"/>
      <c r="F35" s="159"/>
      <c r="G35" s="145"/>
      <c r="H35" s="145"/>
      <c r="I35" s="145"/>
      <c r="J35" s="145"/>
      <c r="K35" s="145"/>
      <c r="L35" s="145"/>
      <c r="M35" s="146"/>
      <c r="N35" s="159"/>
      <c r="O35" s="244"/>
      <c r="P35" s="244"/>
      <c r="Q35" s="148"/>
    </row>
    <row r="36" spans="1:17" x14ac:dyDescent="0.2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25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33" customHeight="1" thickBot="1" x14ac:dyDescent="0.25">
      <c r="A38" s="251" t="s">
        <v>149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3869600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DPAS'!D8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>
      <selection activeCell="L18" sqref="L18"/>
    </sheetView>
  </sheetViews>
  <sheetFormatPr baseColWidth="10" defaultColWidth="11.42578125" defaultRowHeight="15" x14ac:dyDescent="0.25"/>
  <cols>
    <col min="1" max="1" width="5.5703125" style="63" customWidth="1"/>
    <col min="2" max="2" width="15.140625" style="174" customWidth="1"/>
    <col min="3" max="3" width="14.140625" style="63" customWidth="1"/>
    <col min="4" max="4" width="26" style="63" customWidth="1"/>
    <col min="5" max="5" width="8" style="63" customWidth="1"/>
    <col min="6" max="6" width="7.85546875" style="63" customWidth="1"/>
    <col min="7" max="7" width="43.5703125" style="63" customWidth="1"/>
    <col min="8" max="8" width="9.28515625" style="63" customWidth="1"/>
    <col min="9" max="9" width="15.5703125" style="63" customWidth="1"/>
    <col min="10" max="10" width="14.7109375" style="186" customWidth="1"/>
    <col min="11" max="11" width="15.5703125" style="63" customWidth="1"/>
    <col min="12" max="16384" width="11.42578125" style="63"/>
  </cols>
  <sheetData>
    <row r="1" spans="1:11" ht="30.75" thickBot="1" x14ac:dyDescent="0.3">
      <c r="A1" s="217" t="s">
        <v>91</v>
      </c>
      <c r="B1" s="217"/>
      <c r="C1" s="217"/>
      <c r="D1" s="217"/>
      <c r="E1" s="217"/>
      <c r="F1" s="217"/>
      <c r="G1" s="217"/>
      <c r="H1" s="217"/>
      <c r="I1" s="217"/>
      <c r="J1" s="180" t="s">
        <v>92</v>
      </c>
      <c r="K1" s="106"/>
    </row>
    <row r="2" spans="1:11" ht="15.75" thickBot="1" x14ac:dyDescent="0.25">
      <c r="A2" s="107"/>
      <c r="B2" s="170"/>
      <c r="C2" s="108"/>
      <c r="D2" s="109"/>
      <c r="E2" s="109"/>
      <c r="F2" s="109"/>
      <c r="G2" s="109"/>
      <c r="H2" s="109"/>
      <c r="I2" s="109"/>
      <c r="J2" s="181"/>
      <c r="K2" s="110"/>
    </row>
    <row r="3" spans="1:11" ht="16.5" customHeight="1" thickBot="1" x14ac:dyDescent="0.3">
      <c r="A3" s="214" t="s">
        <v>93</v>
      </c>
      <c r="B3" s="214"/>
      <c r="C3" s="214"/>
      <c r="D3" s="163" t="str">
        <f>'SAF 011'!C4</f>
        <v>040 - MINISTERIO DE SALUD</v>
      </c>
      <c r="E3" s="164"/>
      <c r="F3" s="164"/>
      <c r="G3" s="164"/>
      <c r="H3" s="164"/>
      <c r="I3" s="164"/>
      <c r="J3" s="182"/>
      <c r="K3" s="165"/>
    </row>
    <row r="4" spans="1:11" ht="16.5" customHeight="1" thickBot="1" x14ac:dyDescent="0.25">
      <c r="A4" s="215" t="s">
        <v>94</v>
      </c>
      <c r="B4" s="215"/>
      <c r="C4" s="215"/>
      <c r="D4" s="163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82"/>
      <c r="K4" s="165"/>
    </row>
    <row r="5" spans="1:11" ht="16.5" customHeight="1" thickBot="1" x14ac:dyDescent="0.25">
      <c r="A5" s="215" t="s">
        <v>95</v>
      </c>
      <c r="B5" s="215"/>
      <c r="C5" s="215"/>
      <c r="D5" s="163" t="s">
        <v>152</v>
      </c>
      <c r="E5" s="164"/>
      <c r="F5" s="164"/>
      <c r="G5" s="164"/>
      <c r="H5" s="164"/>
      <c r="I5" s="164"/>
      <c r="J5" s="182"/>
      <c r="K5" s="165"/>
    </row>
    <row r="6" spans="1:11" ht="16.5" customHeight="1" thickBot="1" x14ac:dyDescent="0.25">
      <c r="A6" s="214" t="s">
        <v>96</v>
      </c>
      <c r="B6" s="214"/>
      <c r="C6" s="214"/>
      <c r="D6" s="163" t="s">
        <v>152</v>
      </c>
      <c r="E6" s="164"/>
      <c r="F6" s="164"/>
      <c r="G6" s="164"/>
      <c r="H6" s="164"/>
      <c r="I6" s="164"/>
      <c r="J6" s="182"/>
      <c r="K6" s="165"/>
    </row>
    <row r="7" spans="1:11" ht="16.5" thickBot="1" x14ac:dyDescent="0.3">
      <c r="A7" s="215" t="s">
        <v>97</v>
      </c>
      <c r="B7" s="215"/>
      <c r="C7" s="215"/>
      <c r="D7" s="163" t="s">
        <v>130</v>
      </c>
      <c r="E7" s="164"/>
      <c r="F7" s="164"/>
      <c r="G7" s="164"/>
      <c r="H7" s="164"/>
      <c r="I7" s="164"/>
      <c r="J7" s="182"/>
      <c r="K7" s="165"/>
    </row>
    <row r="8" spans="1:11" ht="16.5" customHeight="1" thickBot="1" x14ac:dyDescent="0.25">
      <c r="A8" s="216" t="s">
        <v>98</v>
      </c>
      <c r="B8" s="216"/>
      <c r="C8" s="216"/>
      <c r="D8" s="166" t="s">
        <v>131</v>
      </c>
      <c r="E8" s="164"/>
      <c r="F8" s="164"/>
      <c r="G8" s="164"/>
      <c r="H8" s="164"/>
      <c r="I8" s="164"/>
      <c r="J8" s="182"/>
      <c r="K8" s="165"/>
    </row>
    <row r="9" spans="1:11" ht="15.75" thickBot="1" x14ac:dyDescent="0.25">
      <c r="A9" s="111"/>
      <c r="B9" s="171"/>
      <c r="C9" s="112"/>
      <c r="D9" s="113"/>
      <c r="E9" s="113"/>
      <c r="F9" s="113"/>
      <c r="G9" s="113"/>
      <c r="H9" s="113"/>
      <c r="I9" s="113"/>
      <c r="J9" s="183"/>
      <c r="K9" s="114"/>
    </row>
    <row r="10" spans="1:11" ht="15.75" thickBot="1" x14ac:dyDescent="0.3">
      <c r="A10" s="228" t="s">
        <v>99</v>
      </c>
      <c r="B10" s="226" t="s">
        <v>100</v>
      </c>
      <c r="C10" s="226" t="s">
        <v>101</v>
      </c>
      <c r="D10" s="226"/>
      <c r="E10" s="226"/>
      <c r="F10" s="226"/>
      <c r="G10" s="226"/>
      <c r="H10" s="226" t="s">
        <v>102</v>
      </c>
      <c r="I10" s="226" t="s">
        <v>103</v>
      </c>
      <c r="J10" s="227" t="s">
        <v>104</v>
      </c>
      <c r="K10" s="224" t="s">
        <v>105</v>
      </c>
    </row>
    <row r="11" spans="1:11" ht="23.25" customHeight="1" thickBot="1" x14ac:dyDescent="0.3">
      <c r="A11" s="228"/>
      <c r="B11" s="226"/>
      <c r="C11" s="226"/>
      <c r="D11" s="226"/>
      <c r="E11" s="226"/>
      <c r="F11" s="226"/>
      <c r="G11" s="226"/>
      <c r="H11" s="226"/>
      <c r="I11" s="226"/>
      <c r="J11" s="227"/>
      <c r="K11" s="224"/>
    </row>
    <row r="12" spans="1:11" ht="35.25" customHeight="1" thickBot="1" x14ac:dyDescent="0.25">
      <c r="A12" s="201">
        <v>1</v>
      </c>
      <c r="B12" s="173" t="str">
        <f>'SAF 011'!B20</f>
        <v>2.4.4-6818.890</v>
      </c>
      <c r="C12" s="221" t="str">
        <f>'SAF 011'!E20</f>
        <v>NEUMATICOS; VEHICULO: CAMIONETA, CONSTRUCCION: RADIAL, ARMADO: SIN CAMARA, MEDIDA: 265/60R18</v>
      </c>
      <c r="D12" s="222"/>
      <c r="E12" s="222"/>
      <c r="F12" s="222"/>
      <c r="G12" s="223"/>
      <c r="H12" s="120" t="s">
        <v>132</v>
      </c>
      <c r="I12" s="121" t="str">
        <f>'SAF 011'!F20</f>
        <v xml:space="preserve">UNIDAD </v>
      </c>
      <c r="J12" s="185">
        <f>'SAF 011'!AZ20</f>
        <v>79999</v>
      </c>
      <c r="K12" s="122">
        <f>'SAF 011'!AU20</f>
        <v>2</v>
      </c>
    </row>
    <row r="13" spans="1:11" ht="15.75" customHeight="1" x14ac:dyDescent="0.2">
      <c r="A13" s="173"/>
      <c r="B13" s="173"/>
      <c r="C13" s="221"/>
      <c r="D13" s="222"/>
      <c r="E13" s="222"/>
      <c r="F13" s="222"/>
      <c r="G13" s="223"/>
      <c r="H13" s="120"/>
      <c r="I13" s="121"/>
      <c r="J13" s="185"/>
      <c r="K13" s="187"/>
    </row>
    <row r="14" spans="1:11" ht="39.75" customHeight="1" thickBot="1" x14ac:dyDescent="0.25">
      <c r="A14" s="220" t="s">
        <v>150</v>
      </c>
      <c r="B14" s="220"/>
      <c r="C14" s="220"/>
      <c r="D14" s="220"/>
      <c r="E14" s="220"/>
      <c r="F14" s="220"/>
      <c r="G14" s="220"/>
      <c r="H14" s="220"/>
      <c r="I14" s="220"/>
      <c r="J14" s="218">
        <f>SUMPRODUCT(J12:J12,K12:K12)</f>
        <v>159998</v>
      </c>
      <c r="K14" s="219"/>
    </row>
  </sheetData>
  <mergeCells count="18">
    <mergeCell ref="J10:J11"/>
    <mergeCell ref="K10:K11"/>
    <mergeCell ref="C12:G12"/>
    <mergeCell ref="C13:G13"/>
    <mergeCell ref="A14:I14"/>
    <mergeCell ref="J14:K14"/>
    <mergeCell ref="I10:I11"/>
    <mergeCell ref="A8:C8"/>
    <mergeCell ref="A10:A11"/>
    <mergeCell ref="B10:B11"/>
    <mergeCell ref="C10:G11"/>
    <mergeCell ref="H10:H11"/>
    <mergeCell ref="A7:C7"/>
    <mergeCell ref="A1:I1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"/>
  <sheetViews>
    <sheetView topLeftCell="A22" workbookViewId="0">
      <selection activeCell="A41" sqref="A41:Q42"/>
    </sheetView>
  </sheetViews>
  <sheetFormatPr baseColWidth="10" defaultColWidth="11.42578125" defaultRowHeight="15" x14ac:dyDescent="0.25"/>
  <cols>
    <col min="1" max="5" width="4.42578125" style="63" customWidth="1"/>
    <col min="6" max="6" width="7.28515625" style="63" customWidth="1"/>
    <col min="7" max="14" width="4.42578125" style="63" customWidth="1"/>
    <col min="15" max="16" width="14.85546875" style="63" customWidth="1"/>
    <col min="17" max="17" width="14.7109375" style="63" customWidth="1"/>
    <col min="18" max="16384" width="11.42578125" style="63"/>
  </cols>
  <sheetData>
    <row r="1" spans="1:17" ht="15.75" thickBot="1" x14ac:dyDescent="0.3">
      <c r="A1" s="230" t="s">
        <v>5</v>
      </c>
      <c r="B1" s="230"/>
      <c r="C1" s="230"/>
      <c r="D1" s="231">
        <v>2022</v>
      </c>
      <c r="E1" s="231"/>
      <c r="F1" s="123"/>
      <c r="G1" s="123"/>
      <c r="H1" s="124"/>
      <c r="I1" s="124"/>
      <c r="J1" s="124"/>
      <c r="K1" s="124"/>
      <c r="L1" s="124"/>
      <c r="M1" s="124"/>
      <c r="N1" s="124"/>
      <c r="O1" s="125"/>
      <c r="P1" s="232" t="s">
        <v>106</v>
      </c>
      <c r="Q1" s="232"/>
    </row>
    <row r="2" spans="1:17" ht="15.75" thickBot="1" x14ac:dyDescent="0.3">
      <c r="A2" s="126"/>
      <c r="B2" s="127"/>
      <c r="C2" s="127"/>
      <c r="D2" s="127"/>
      <c r="E2" s="127"/>
      <c r="F2" s="127"/>
      <c r="G2" s="128"/>
      <c r="H2" s="129"/>
      <c r="I2" s="129"/>
      <c r="J2" s="129"/>
      <c r="K2" s="129"/>
      <c r="L2" s="129"/>
      <c r="M2" s="129"/>
      <c r="N2" s="129"/>
      <c r="O2" s="127"/>
      <c r="P2" s="232"/>
      <c r="Q2" s="232"/>
    </row>
    <row r="3" spans="1:17" ht="15.75" thickBot="1" x14ac:dyDescent="0.25">
      <c r="A3" s="126"/>
      <c r="B3" s="127"/>
      <c r="C3" s="127"/>
      <c r="D3" s="127"/>
      <c r="E3" s="127"/>
      <c r="F3" s="127"/>
      <c r="G3" s="128"/>
      <c r="H3" s="127"/>
      <c r="I3" s="127"/>
      <c r="J3" s="127"/>
      <c r="K3" s="127"/>
      <c r="L3" s="127"/>
      <c r="M3" s="127"/>
      <c r="N3" s="127"/>
      <c r="O3" s="127"/>
      <c r="P3" s="127"/>
      <c r="Q3" s="130"/>
    </row>
    <row r="4" spans="1:17" ht="15.75" thickBot="1" x14ac:dyDescent="0.3">
      <c r="A4" s="233" t="s">
        <v>107</v>
      </c>
      <c r="B4" s="233"/>
      <c r="C4" s="233"/>
      <c r="D4" s="233"/>
      <c r="E4" s="233"/>
      <c r="F4" s="233"/>
      <c r="G4" s="234" t="str">
        <f>'NP MS'!D3</f>
        <v>040 - MINISTERIO DE SALUD</v>
      </c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17" ht="15.75" thickBot="1" x14ac:dyDescent="0.25">
      <c r="A5" s="235" t="s">
        <v>94</v>
      </c>
      <c r="B5" s="235"/>
      <c r="C5" s="235"/>
      <c r="D5" s="235"/>
      <c r="E5" s="235"/>
      <c r="F5" s="235"/>
      <c r="G5" s="234" t="str">
        <f>'NP MS'!D4</f>
        <v>011 - DIRECCION PROVINCIAL DE ADMINISTRACION - MINISTERIO DE SALUD</v>
      </c>
      <c r="H5" s="234"/>
      <c r="I5" s="234"/>
      <c r="J5" s="234"/>
      <c r="K5" s="234"/>
      <c r="L5" s="234"/>
      <c r="M5" s="234"/>
      <c r="N5" s="234"/>
      <c r="O5" s="234"/>
      <c r="P5" s="234"/>
      <c r="Q5" s="234"/>
    </row>
    <row r="6" spans="1:17" ht="15.75" thickBot="1" x14ac:dyDescent="0.25">
      <c r="A6" s="235" t="s">
        <v>95</v>
      </c>
      <c r="B6" s="235"/>
      <c r="C6" s="235"/>
      <c r="D6" s="235"/>
      <c r="E6" s="235"/>
      <c r="F6" s="235"/>
      <c r="G6" s="234" t="str">
        <f>'NP MS'!D5</f>
        <v>352 - MINISTERIO DE SALUD</v>
      </c>
      <c r="H6" s="234"/>
      <c r="I6" s="234"/>
      <c r="J6" s="234"/>
      <c r="K6" s="234"/>
      <c r="L6" s="234"/>
      <c r="M6" s="234"/>
      <c r="N6" s="234"/>
      <c r="O6" s="234"/>
      <c r="P6" s="234"/>
      <c r="Q6" s="234"/>
    </row>
    <row r="7" spans="1:17" ht="15.75" thickBot="1" x14ac:dyDescent="0.25">
      <c r="A7" s="235" t="s">
        <v>96</v>
      </c>
      <c r="B7" s="235"/>
      <c r="C7" s="235"/>
      <c r="D7" s="235"/>
      <c r="E7" s="235"/>
      <c r="F7" s="235"/>
      <c r="G7" s="234" t="str">
        <f>'NP MS'!D6</f>
        <v>352 - MINISTERIO DE SALUD</v>
      </c>
      <c r="H7" s="234"/>
      <c r="I7" s="234"/>
      <c r="J7" s="234"/>
      <c r="K7" s="234"/>
      <c r="L7" s="234"/>
      <c r="M7" s="234"/>
      <c r="N7" s="234"/>
      <c r="O7" s="234"/>
      <c r="P7" s="234"/>
      <c r="Q7" s="234"/>
    </row>
    <row r="8" spans="1:17" ht="15.75" thickBot="1" x14ac:dyDescent="0.3">
      <c r="A8" s="236" t="s">
        <v>108</v>
      </c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</row>
    <row r="9" spans="1:17" ht="27.75" customHeight="1" x14ac:dyDescent="0.25">
      <c r="A9" s="229" t="s">
        <v>109</v>
      </c>
      <c r="B9" s="229"/>
      <c r="C9" s="229"/>
      <c r="D9" s="229"/>
      <c r="E9" s="229"/>
      <c r="F9" s="229"/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</row>
    <row r="10" spans="1:17" ht="57" customHeight="1" x14ac:dyDescent="0.25">
      <c r="A10" s="238" t="s">
        <v>128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</row>
    <row r="11" spans="1:17" ht="15.75" thickBot="1" x14ac:dyDescent="0.25">
      <c r="A11" s="131"/>
      <c r="B11" s="132"/>
      <c r="C11" s="132"/>
      <c r="D11" s="132"/>
      <c r="E11" s="132"/>
      <c r="F11" s="132"/>
      <c r="G11" s="133"/>
      <c r="H11" s="132"/>
      <c r="I11" s="132"/>
      <c r="J11" s="132"/>
      <c r="K11" s="132"/>
      <c r="L11" s="132"/>
      <c r="M11" s="132"/>
      <c r="N11" s="132"/>
      <c r="O11" s="132"/>
      <c r="P11" s="132"/>
      <c r="Q11" s="134"/>
    </row>
    <row r="12" spans="1:17" ht="15.75" thickBot="1" x14ac:dyDescent="0.3">
      <c r="A12" s="239" t="s">
        <v>110</v>
      </c>
      <c r="B12" s="239"/>
      <c r="C12" s="239"/>
      <c r="D12" s="239"/>
      <c r="E12" s="239"/>
      <c r="F12" s="239"/>
      <c r="G12" s="239"/>
      <c r="H12" s="239"/>
      <c r="I12" s="239"/>
      <c r="J12" s="239"/>
      <c r="K12" s="239"/>
      <c r="L12" s="239"/>
      <c r="M12" s="239"/>
      <c r="N12" s="239"/>
      <c r="O12" s="239"/>
      <c r="P12" s="239"/>
      <c r="Q12" s="239"/>
    </row>
    <row r="13" spans="1:17" ht="15.75" thickBot="1" x14ac:dyDescent="0.3">
      <c r="A13" s="240" t="s">
        <v>111</v>
      </c>
      <c r="B13" s="240"/>
      <c r="C13" s="240"/>
      <c r="D13" s="240"/>
      <c r="E13" s="240"/>
      <c r="F13" s="240"/>
      <c r="G13" s="240"/>
      <c r="H13" s="240"/>
      <c r="I13" s="240"/>
      <c r="J13" s="240"/>
      <c r="K13" s="240"/>
      <c r="L13" s="240"/>
      <c r="M13" s="240"/>
      <c r="N13" s="240"/>
      <c r="O13" s="241" t="s">
        <v>112</v>
      </c>
      <c r="P13" s="241"/>
      <c r="Q13" s="242" t="s">
        <v>113</v>
      </c>
    </row>
    <row r="14" spans="1:17" ht="15.75" thickBot="1" x14ac:dyDescent="0.3">
      <c r="A14" s="135" t="s">
        <v>114</v>
      </c>
      <c r="B14" s="136" t="s">
        <v>115</v>
      </c>
      <c r="C14" s="136" t="s">
        <v>116</v>
      </c>
      <c r="D14" s="136" t="s">
        <v>117</v>
      </c>
      <c r="E14" s="136" t="s">
        <v>118</v>
      </c>
      <c r="F14" s="136" t="s">
        <v>119</v>
      </c>
      <c r="G14" s="137" t="s">
        <v>120</v>
      </c>
      <c r="H14" s="136" t="s">
        <v>121</v>
      </c>
      <c r="I14" s="136" t="s">
        <v>122</v>
      </c>
      <c r="J14" s="136" t="s">
        <v>123</v>
      </c>
      <c r="K14" s="136" t="s">
        <v>123</v>
      </c>
      <c r="L14" s="136" t="s">
        <v>124</v>
      </c>
      <c r="M14" s="138" t="s">
        <v>125</v>
      </c>
      <c r="N14" s="139" t="s">
        <v>126</v>
      </c>
      <c r="O14" s="241"/>
      <c r="P14" s="241"/>
      <c r="Q14" s="242"/>
    </row>
    <row r="15" spans="1:17" x14ac:dyDescent="0.2">
      <c r="A15" s="140">
        <v>1</v>
      </c>
      <c r="B15" s="141"/>
      <c r="C15" s="141"/>
      <c r="D15" s="141">
        <v>1</v>
      </c>
      <c r="E15" s="141"/>
      <c r="F15" s="141">
        <v>4901</v>
      </c>
      <c r="G15" s="141">
        <v>3</v>
      </c>
      <c r="H15" s="141">
        <v>1</v>
      </c>
      <c r="I15" s="141">
        <v>2</v>
      </c>
      <c r="J15" s="141">
        <v>4</v>
      </c>
      <c r="K15" s="141">
        <v>4</v>
      </c>
      <c r="L15" s="141"/>
      <c r="M15" s="142">
        <v>1</v>
      </c>
      <c r="N15" s="141" t="s">
        <v>133</v>
      </c>
      <c r="O15" s="243" t="s">
        <v>134</v>
      </c>
      <c r="P15" s="243"/>
      <c r="Q15" s="143">
        <f>'NP MS'!J14</f>
        <v>159998</v>
      </c>
    </row>
    <row r="16" spans="1:17" x14ac:dyDescent="0.2">
      <c r="A16" s="144"/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6"/>
      <c r="N16" s="159"/>
      <c r="O16" s="244"/>
      <c r="P16" s="244"/>
      <c r="Q16" s="148"/>
    </row>
    <row r="17" spans="1:17" x14ac:dyDescent="0.2">
      <c r="A17" s="144"/>
      <c r="B17" s="145"/>
      <c r="C17" s="145"/>
      <c r="D17" s="145"/>
      <c r="E17" s="145"/>
      <c r="F17" s="145"/>
      <c r="G17" s="145"/>
      <c r="H17" s="145"/>
      <c r="I17" s="145"/>
      <c r="J17" s="145"/>
      <c r="K17" s="145"/>
      <c r="L17" s="145"/>
      <c r="M17" s="146"/>
      <c r="N17" s="159"/>
      <c r="O17" s="245"/>
      <c r="P17" s="245"/>
      <c r="Q17" s="148"/>
    </row>
    <row r="18" spans="1:17" x14ac:dyDescent="0.2">
      <c r="A18" s="144"/>
      <c r="B18" s="145"/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6"/>
      <c r="N18" s="159"/>
      <c r="O18" s="237"/>
      <c r="P18" s="237"/>
      <c r="Q18" s="148"/>
    </row>
    <row r="19" spans="1:17" x14ac:dyDescent="0.2">
      <c r="A19" s="144"/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6"/>
      <c r="N19" s="159"/>
      <c r="O19" s="237"/>
      <c r="P19" s="237"/>
      <c r="Q19" s="148"/>
    </row>
    <row r="20" spans="1:17" x14ac:dyDescent="0.2">
      <c r="A20" s="144"/>
      <c r="B20" s="145"/>
      <c r="C20" s="145"/>
      <c r="D20" s="145"/>
      <c r="E20" s="145"/>
      <c r="F20" s="145"/>
      <c r="G20" s="145"/>
      <c r="H20" s="145"/>
      <c r="I20" s="145"/>
      <c r="J20" s="145"/>
      <c r="K20" s="145"/>
      <c r="L20" s="145"/>
      <c r="M20" s="146"/>
      <c r="N20" s="159"/>
      <c r="O20" s="237"/>
      <c r="P20" s="237"/>
      <c r="Q20" s="148"/>
    </row>
    <row r="21" spans="1:17" x14ac:dyDescent="0.2">
      <c r="A21" s="144"/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6"/>
      <c r="N21" s="159"/>
      <c r="O21" s="237"/>
      <c r="P21" s="237"/>
      <c r="Q21" s="148"/>
    </row>
    <row r="22" spans="1:17" x14ac:dyDescent="0.2">
      <c r="A22" s="144"/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6"/>
      <c r="N22" s="159"/>
      <c r="O22" s="237"/>
      <c r="P22" s="237"/>
      <c r="Q22" s="148"/>
    </row>
    <row r="23" spans="1:17" x14ac:dyDescent="0.2">
      <c r="A23" s="144"/>
      <c r="B23" s="145"/>
      <c r="C23" s="145"/>
      <c r="D23" s="145"/>
      <c r="E23" s="145"/>
      <c r="F23" s="145"/>
      <c r="G23" s="145"/>
      <c r="H23" s="145"/>
      <c r="I23" s="145"/>
      <c r="J23" s="145"/>
      <c r="K23" s="145"/>
      <c r="L23" s="145"/>
      <c r="M23" s="146"/>
      <c r="N23" s="159"/>
      <c r="O23" s="237"/>
      <c r="P23" s="237"/>
      <c r="Q23" s="148"/>
    </row>
    <row r="24" spans="1:17" x14ac:dyDescent="0.2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9"/>
      <c r="O24" s="237"/>
      <c r="P24" s="237"/>
      <c r="Q24" s="148"/>
    </row>
    <row r="25" spans="1:17" x14ac:dyDescent="0.2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9"/>
      <c r="O25" s="237"/>
      <c r="P25" s="237"/>
      <c r="Q25" s="148"/>
    </row>
    <row r="26" spans="1:17" x14ac:dyDescent="0.2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59"/>
      <c r="O26" s="237"/>
      <c r="P26" s="237"/>
      <c r="Q26" s="148"/>
    </row>
    <row r="27" spans="1:17" x14ac:dyDescent="0.2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59"/>
      <c r="O27" s="237"/>
      <c r="P27" s="237"/>
      <c r="Q27" s="148"/>
    </row>
    <row r="28" spans="1:17" x14ac:dyDescent="0.2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59"/>
      <c r="O28" s="237"/>
      <c r="P28" s="237"/>
      <c r="Q28" s="148"/>
    </row>
    <row r="29" spans="1:17" x14ac:dyDescent="0.2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59"/>
      <c r="O29" s="237"/>
      <c r="P29" s="237"/>
      <c r="Q29" s="148"/>
    </row>
    <row r="30" spans="1:17" x14ac:dyDescent="0.2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59"/>
      <c r="O30" s="237"/>
      <c r="P30" s="237"/>
      <c r="Q30" s="148"/>
    </row>
    <row r="31" spans="1:17" x14ac:dyDescent="0.2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59"/>
      <c r="O31" s="237"/>
      <c r="P31" s="237"/>
      <c r="Q31" s="148"/>
    </row>
    <row r="32" spans="1:17" x14ac:dyDescent="0.2">
      <c r="A32" s="144"/>
      <c r="B32" s="145"/>
      <c r="C32" s="145"/>
      <c r="D32" s="145"/>
      <c r="E32" s="145"/>
      <c r="F32" s="159"/>
      <c r="G32" s="145"/>
      <c r="H32" s="145"/>
      <c r="I32" s="145"/>
      <c r="J32" s="145"/>
      <c r="K32" s="145"/>
      <c r="L32" s="145"/>
      <c r="M32" s="146"/>
      <c r="N32" s="159"/>
      <c r="O32" s="244"/>
      <c r="P32" s="244"/>
      <c r="Q32" s="148"/>
    </row>
    <row r="33" spans="1:17" x14ac:dyDescent="0.2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59"/>
      <c r="O33" s="244"/>
      <c r="P33" s="244"/>
      <c r="Q33" s="148"/>
    </row>
    <row r="34" spans="1:17" x14ac:dyDescent="0.2">
      <c r="A34" s="144"/>
      <c r="B34" s="145"/>
      <c r="C34" s="145"/>
      <c r="D34" s="145"/>
      <c r="E34" s="145"/>
      <c r="F34" s="159"/>
      <c r="G34" s="145"/>
      <c r="H34" s="145"/>
      <c r="I34" s="145"/>
      <c r="J34" s="145"/>
      <c r="K34" s="145"/>
      <c r="L34" s="145"/>
      <c r="M34" s="146"/>
      <c r="N34" s="159"/>
      <c r="O34" s="244"/>
      <c r="P34" s="244"/>
      <c r="Q34" s="148"/>
    </row>
    <row r="35" spans="1:17" x14ac:dyDescent="0.2">
      <c r="A35" s="144"/>
      <c r="B35" s="145"/>
      <c r="C35" s="145"/>
      <c r="D35" s="145"/>
      <c r="E35" s="145"/>
      <c r="F35" s="159"/>
      <c r="G35" s="145"/>
      <c r="H35" s="145"/>
      <c r="I35" s="145"/>
      <c r="J35" s="145"/>
      <c r="K35" s="145"/>
      <c r="L35" s="145"/>
      <c r="M35" s="146"/>
      <c r="N35" s="159"/>
      <c r="O35" s="244"/>
      <c r="P35" s="244"/>
      <c r="Q35" s="148"/>
    </row>
    <row r="36" spans="1:17" x14ac:dyDescent="0.2">
      <c r="A36" s="149"/>
      <c r="B36" s="150"/>
      <c r="C36" s="150"/>
      <c r="D36" s="150"/>
      <c r="E36" s="150"/>
      <c r="F36" s="151"/>
      <c r="G36" s="150"/>
      <c r="H36" s="150"/>
      <c r="I36" s="150"/>
      <c r="J36" s="150"/>
      <c r="K36" s="150"/>
      <c r="L36" s="150"/>
      <c r="M36" s="152"/>
      <c r="N36" s="153"/>
      <c r="O36" s="249"/>
      <c r="P36" s="249"/>
      <c r="Q36" s="148"/>
    </row>
    <row r="37" spans="1:17" ht="15.75" thickBot="1" x14ac:dyDescent="0.25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55"/>
      <c r="O37" s="250"/>
      <c r="P37" s="250"/>
      <c r="Q37" s="157"/>
    </row>
    <row r="38" spans="1:17" ht="29.25" customHeight="1" thickBot="1" x14ac:dyDescent="0.25">
      <c r="A38" s="251" t="s">
        <v>151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58">
        <f>SUM(Q15:Q37)</f>
        <v>159998</v>
      </c>
    </row>
    <row r="39" spans="1:17" ht="15.75" thickBot="1" x14ac:dyDescent="0.25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6" t="s">
        <v>127</v>
      </c>
      <c r="B40" s="246"/>
      <c r="C40" s="246"/>
      <c r="D40" s="246"/>
      <c r="E40" s="246"/>
      <c r="F40" s="246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8" t="str">
        <f>'NP MS'!D8</f>
        <v>ADQ. DEL RUBRO CUBIERTAS</v>
      </c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</row>
    <row r="42" spans="1:17" ht="15.75" thickBot="1" x14ac:dyDescent="0.3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SAF 011</vt:lpstr>
      <vt:lpstr>ANEXO</vt:lpstr>
      <vt:lpstr>NP SMPyPS</vt:lpstr>
      <vt:lpstr>APG SMPyPS</vt:lpstr>
      <vt:lpstr>NP DPSAME</vt:lpstr>
      <vt:lpstr>APG DPSAME</vt:lpstr>
      <vt:lpstr>NP DPMIA</vt:lpstr>
      <vt:lpstr>APG DPMIA</vt:lpstr>
      <vt:lpstr>NP SASP</vt:lpstr>
      <vt:lpstr>APG SASP</vt:lpstr>
      <vt:lpstr>NP DPAIPD</vt:lpstr>
      <vt:lpstr>APG DPAIPD</vt:lpstr>
      <vt:lpstr>NP DPAS</vt:lpstr>
      <vt:lpstr>APG DPAS</vt:lpstr>
      <vt:lpstr>NP MS</vt:lpstr>
      <vt:lpstr>APG MS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2021-11-12T17:27:33Z</dcterms:created>
  <dcterms:modified xsi:type="dcterms:W3CDTF">2022-08-22T14:10:35Z</dcterms:modified>
</cp:coreProperties>
</file>