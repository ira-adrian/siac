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4400" windowHeight="11760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011'!$A$9:$AY$9</definedName>
  </definedNames>
  <calcPr calcId="144525"/>
</workbook>
</file>

<file path=xl/calcChain.xml><?xml version="1.0" encoding="utf-8"?>
<calcChain xmlns="http://schemas.openxmlformats.org/spreadsheetml/2006/main">
  <c r="A41" i="3" l="1"/>
  <c r="Q15" i="3"/>
  <c r="J25" i="2"/>
  <c r="M25" i="2"/>
  <c r="M13" i="2"/>
  <c r="M14" i="2"/>
  <c r="M15" i="2"/>
  <c r="M16" i="2"/>
  <c r="M17" i="2"/>
  <c r="M18" i="2"/>
  <c r="M19" i="2"/>
  <c r="M20" i="2"/>
  <c r="M21" i="2"/>
  <c r="M22" i="2"/>
  <c r="M23" i="2"/>
  <c r="M12" i="2"/>
  <c r="K13" i="2"/>
  <c r="K14" i="2"/>
  <c r="K15" i="2"/>
  <c r="K16" i="2"/>
  <c r="K17" i="2"/>
  <c r="K18" i="2"/>
  <c r="K19" i="2"/>
  <c r="K20" i="2"/>
  <c r="K21" i="2"/>
  <c r="K22" i="2"/>
  <c r="K23" i="2"/>
  <c r="K12" i="2"/>
  <c r="J13" i="2"/>
  <c r="J14" i="2"/>
  <c r="J15" i="2"/>
  <c r="J16" i="2"/>
  <c r="J17" i="2"/>
  <c r="J18" i="2"/>
  <c r="J19" i="2"/>
  <c r="J20" i="2"/>
  <c r="J21" i="2"/>
  <c r="J22" i="2"/>
  <c r="J23" i="2"/>
  <c r="J12" i="2"/>
  <c r="I13" i="2"/>
  <c r="I14" i="2"/>
  <c r="I15" i="2"/>
  <c r="I16" i="2"/>
  <c r="I17" i="2"/>
  <c r="I18" i="2"/>
  <c r="I19" i="2"/>
  <c r="I20" i="2"/>
  <c r="I21" i="2"/>
  <c r="I22" i="2"/>
  <c r="I23" i="2"/>
  <c r="I12" i="2"/>
  <c r="C13" i="2"/>
  <c r="C14" i="2"/>
  <c r="C15" i="2"/>
  <c r="C16" i="2"/>
  <c r="C17" i="2"/>
  <c r="C18" i="2"/>
  <c r="C19" i="2"/>
  <c r="C20" i="2"/>
  <c r="C21" i="2"/>
  <c r="C22" i="2"/>
  <c r="C23" i="2"/>
  <c r="C12" i="2"/>
  <c r="G6" i="3" l="1"/>
  <c r="G7" i="3"/>
  <c r="D4" i="2"/>
  <c r="G5" i="3" s="1"/>
  <c r="D3" i="2"/>
  <c r="G4" i="3" s="1"/>
  <c r="Q38" i="3" l="1"/>
  <c r="AW21" i="1"/>
  <c r="AY21" i="1" s="1"/>
  <c r="T21" i="1"/>
  <c r="AW20" i="1"/>
  <c r="AY20" i="1" s="1"/>
  <c r="T20" i="1"/>
  <c r="AW19" i="1"/>
  <c r="AY19" i="1" s="1"/>
  <c r="T19" i="1"/>
  <c r="AW18" i="1"/>
  <c r="AY18" i="1" s="1"/>
  <c r="T18" i="1"/>
  <c r="AW17" i="1"/>
  <c r="AY17" i="1" s="1"/>
  <c r="T17" i="1"/>
  <c r="AW16" i="1"/>
  <c r="AY16" i="1" s="1"/>
  <c r="T16" i="1"/>
  <c r="AW15" i="1"/>
  <c r="AY15" i="1" s="1"/>
  <c r="T15" i="1"/>
  <c r="AW14" i="1"/>
  <c r="AY14" i="1" s="1"/>
  <c r="T14" i="1"/>
  <c r="AW13" i="1"/>
  <c r="AY13" i="1" s="1"/>
  <c r="T13" i="1"/>
  <c r="AW12" i="1"/>
  <c r="AY12" i="1" s="1"/>
  <c r="T12" i="1"/>
  <c r="AW11" i="1"/>
  <c r="AY11" i="1" s="1"/>
  <c r="T11" i="1"/>
  <c r="AW10" i="1"/>
  <c r="AY10" i="1" s="1"/>
  <c r="T10" i="1"/>
  <c r="AY22" i="1" l="1"/>
</calcChain>
</file>

<file path=xl/sharedStrings.xml><?xml version="1.0" encoding="utf-8"?>
<sst xmlns="http://schemas.openxmlformats.org/spreadsheetml/2006/main" count="170" uniqueCount="132">
  <si>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</si>
  <si>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</si>
  <si>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</si>
  <si>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</si>
  <si>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</si>
  <si>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</si>
  <si>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</si>
  <si>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</si>
  <si>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</si>
  <si>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</si>
  <si>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</si>
  <si>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</si>
  <si>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</si>
  <si>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</si>
  <si>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</si>
  <si>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</si>
  <si>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</si>
  <si>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</si>
  <si>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</si>
  <si>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</si>
  <si>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</si>
  <si>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</si>
  <si>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</si>
  <si>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</si>
  <si>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</si>
  <si>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</si>
  <si>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</si>
  <si>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</si>
  <si>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</si>
  <si>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</si>
  <si>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</si>
  <si>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</si>
  <si>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</si>
  <si>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</si>
  <si>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</si>
  <si>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</si>
  <si>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</si>
  <si>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</si>
  <si>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</si>
  <si>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</si>
  <si>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</si>
  <si>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</si>
  <si>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</si>
  <si>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</si>
  <si>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</si>
  <si>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</si>
  <si>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</si>
  <si>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</si>
  <si>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</si>
  <si>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</si>
  <si>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</si>
  <si>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</si>
  <si>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</si>
  <si>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</si>
  <si>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AREA 1</t>
  </si>
  <si>
    <t>TOTAL AREA 1</t>
  </si>
  <si>
    <t>CANTIDAD TOTAL</t>
  </si>
  <si>
    <t>PRECIO UNITARIO ESTIMADO</t>
  </si>
  <si>
    <t xml:space="preserve">IMPORTE TOTAL ESTIMADO </t>
  </si>
  <si>
    <t>ESPECIFICACION TECNICA</t>
  </si>
  <si>
    <t>UNIDAD</t>
  </si>
  <si>
    <t>CAJA</t>
  </si>
  <si>
    <t>PRODUCTOS MEDICOS/FARMACEUTICOS/LAB.</t>
  </si>
  <si>
    <t>APOSITO ADHESIVO TRANSPARENTE 10 X 12 TIPO TEGADERM</t>
  </si>
  <si>
    <t>APOSITO ADHESIVO TRANSPARENTE 6 X 7 TIPO TEGADERM</t>
  </si>
  <si>
    <t>EQUIPO PARA ADMINISTRACION DE SOLUCIONES MICROGOTERO TIPO V-17 CON ROLLER</t>
  </si>
  <si>
    <t>REGULADOR DE FLUJO MACROGOTERO CON GRADUACION DE 5 A 250 ML/HORA CON PUERTO DE INYECCION EN Y</t>
  </si>
  <si>
    <t>SONDA FOLEY DOBLE VIA DE LATEX RECUBIERTA CON SILICONA Nº 14</t>
  </si>
  <si>
    <t>SONDA FOLEY DOBLE VIA DE LATEX RECUBIERTA CON SILICONA Nº 16</t>
  </si>
  <si>
    <t>SONDA FOLEY DOBLE VIA DE LATEX RECUBIERTA CON SILICONA Nº 18</t>
  </si>
  <si>
    <t>SONDA NASOGASTRICA K 31</t>
  </si>
  <si>
    <t>SONDA NASOGASTRICA K 33</t>
  </si>
  <si>
    <t>SONDA NASOGASTRICA K 35</t>
  </si>
  <si>
    <t>SONDA RECTAL DE PVC  ADULTO N°20</t>
  </si>
  <si>
    <t>SONDA RECTAL DE PVC ADULTO N°26</t>
  </si>
  <si>
    <t>TOTAL RUBRO DESCARTABLE COMUN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</si>
  <si>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</si>
  <si>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</si>
  <si>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</si>
  <si>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</si>
  <si>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</si>
  <si>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</si>
  <si>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</si>
  <si>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</si>
  <si>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</si>
  <si>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</si>
  <si>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</si>
  <si>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</si>
  <si>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</si>
  <si>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</si>
  <si>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</si>
  <si>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</si>
  <si>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</si>
  <si>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</si>
  <si>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</si>
  <si>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</si>
  <si>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</si>
  <si>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</si>
  <si>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</si>
  <si>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</si>
  <si>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</si>
  <si>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</si>
  <si>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</si>
  <si>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</si>
  <si>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</si>
  <si>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</si>
  <si>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</si>
  <si>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</si>
  <si>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</si>
  <si>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</si>
  <si>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</si>
  <si>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</si>
  <si>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</si>
  <si>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</si>
  <si>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</si>
  <si>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</si>
  <si>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</si>
  <si>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</si>
  <si>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</si>
  <si>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</si>
  <si>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</si>
  <si>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DIRECCION PROVINCIAL DE FARMACIA E INSUMOS</t>
  </si>
  <si>
    <t>1° TRIMESTRE 2022</t>
  </si>
  <si>
    <t>1.1</t>
  </si>
  <si>
    <t>ADQUISICION DEL RUBRO DESCARTABLE COMUN</t>
  </si>
  <si>
    <t xml:space="preserve"> 07/2022</t>
  </si>
  <si>
    <t>SI</t>
  </si>
  <si>
    <t>Costo total estimado: CUATROCIENTOS OCHENTA Y CINCO MIL TRESCIENTOS CON 00/100.-</t>
  </si>
  <si>
    <t>Autorizo la realización de los  trámites correspondientes, a fin de proveer a  este Organismo los bienes que se detallan en Nota  de Pedido N° 07/2022 afectando la erogación resultante a los créditos presupuestarios aprobados a favor de esta Unidad Ejecutora, conforme al siguiente detalle:</t>
  </si>
  <si>
    <t>UTILES MENORES MEDICOS, QUIRURGICOS Y DE LABORATORIO</t>
  </si>
  <si>
    <t>TOTAL DE PESOS: CUATROCIENTOS OCHENTA Y CINCO MIL TRESCIENTOS CON 00/100.-</t>
  </si>
  <si>
    <t>veinte (20)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</si>
</sst>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&quot;$&quot;\ #,##0.00"/>
    <numFmt numFmtId="166" formatCode="_-[$$-2C0A]\ * #,##0.00_-;\-[$$-2C0A]\ * #,##0.00_-;_-[$$-2C0A]\ * &quot;-&quot;??_-;_-@_-"/>
    <numFmt numFmtId="167" formatCode="[$$-2C0A]\ #,##0.00"/>
    <numFmt numFmtId="168" formatCode="_ &quot;$&quot;\ * #,##0.00_ ;_ &quot;$&quot;\ * \-#,##0.00_ ;_ &quot;$&quot;\ * &quot;-&quot;??_ ;_ @_ "/>
    <numFmt numFmtId="169" formatCode="dd\-mm\-yy;@"/>
    <numFmt numFmtId="170" formatCode="_(\$* #,##0.00_);_(\$* \(#,##0.00\);_(\$* \-??_);_(@_)"/>
    <numFmt numFmtId="171" formatCode="[$$-2C0A]\ #,##0.00;[$$-2C0A]&quot; -&quot;#,##0.00"/>
    <numFmt numFmtId="172" formatCode="_-* #,##0.00&quot; €&quot;_-;\-* #,##0.00&quot; €&quot;_-;_-* \-??&quot; €&quot;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3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168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70" fontId="20" fillId="0" borderId="0" applyBorder="0" applyProtection="0"/>
    <xf numFmtId="0" fontId="24" fillId="0" borderId="60" applyProtection="0"/>
    <xf numFmtId="0" fontId="24" fillId="0" borderId="6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9" fillId="0" borderId="0" applyBorder="0" applyAlignment="0" applyProtection="0"/>
    <xf numFmtId="172" fontId="9" fillId="0" borderId="0" applyBorder="0" applyProtection="0"/>
    <xf numFmtId="172" fontId="9" fillId="0" borderId="0" applyBorder="0" applyProtection="0"/>
    <xf numFmtId="172" fontId="9" fillId="0" borderId="0" applyBorder="0" applyProtection="0"/>
    <xf numFmtId="0" fontId="25" fillId="4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194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0" fontId="8" fillId="0" borderId="1" xfId="0" applyFont="1" applyBorder="1"/>
    <xf numFmtId="3" fontId="7" fillId="0" borderId="3" xfId="2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8" fillId="0" borderId="0" xfId="0" applyFont="1"/>
    <xf numFmtId="3" fontId="10" fillId="0" borderId="7" xfId="0" applyNumberFormat="1" applyFont="1" applyBorder="1" applyAlignment="1">
      <alignment horizontal="center" vertical="center"/>
    </xf>
    <xf numFmtId="166" fontId="10" fillId="0" borderId="7" xfId="0" applyNumberFormat="1" applyFont="1" applyBorder="1" applyAlignment="1">
      <alignment horizontal="center" vertical="center"/>
    </xf>
    <xf numFmtId="0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0" fontId="8" fillId="0" borderId="3" xfId="0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/>
    </xf>
    <xf numFmtId="166" fontId="8" fillId="0" borderId="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3" fontId="8" fillId="0" borderId="2" xfId="0" applyNumberFormat="1" applyFont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166" fontId="10" fillId="0" borderId="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3" fontId="7" fillId="0" borderId="2" xfId="2" applyNumberFormat="1" applyFont="1" applyBorder="1" applyAlignment="1">
      <alignment horizontal="center" vertical="center" wrapText="1"/>
    </xf>
    <xf numFmtId="3" fontId="10" fillId="0" borderId="7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4" fillId="0" borderId="21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5" xfId="0" applyFont="1" applyBorder="1" applyAlignment="1">
      <alignment horizontal="left" vertical="center" wrapText="1" indent="1"/>
    </xf>
    <xf numFmtId="3" fontId="18" fillId="0" borderId="32" xfId="0" applyNumberFormat="1" applyFont="1" applyBorder="1" applyAlignment="1"/>
    <xf numFmtId="169" fontId="0" fillId="0" borderId="32" xfId="0" applyNumberFormat="1" applyBorder="1" applyAlignment="1">
      <alignment horizontal="left"/>
    </xf>
    <xf numFmtId="0" fontId="0" fillId="0" borderId="32" xfId="0" applyBorder="1"/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8" xfId="0" applyBorder="1"/>
    <xf numFmtId="0" fontId="23" fillId="0" borderId="41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0" borderId="42" xfId="0" applyFont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71" fontId="0" fillId="0" borderId="48" xfId="7" applyNumberFormat="1" applyFont="1" applyBorder="1" applyAlignment="1" applyProtection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171" fontId="0" fillId="0" borderId="53" xfId="7" applyNumberFormat="1" applyFont="1" applyBorder="1" applyAlignment="1" applyProtection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71" fontId="0" fillId="0" borderId="57" xfId="7" applyNumberFormat="1" applyFont="1" applyBorder="1" applyAlignment="1" applyProtection="1">
      <alignment horizontal="center" vertical="center"/>
    </xf>
    <xf numFmtId="171" fontId="23" fillId="0" borderId="59" xfId="0" applyNumberFormat="1" applyFont="1" applyBorder="1" applyAlignment="1">
      <alignment horizontal="center" vertical="center"/>
    </xf>
    <xf numFmtId="0" fontId="26" fillId="0" borderId="10" xfId="5" applyFont="1" applyFill="1" applyBorder="1" applyAlignment="1">
      <alignment horizontal="center" vertical="center" wrapText="1"/>
    </xf>
    <xf numFmtId="0" fontId="26" fillId="0" borderId="21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6" fillId="0" borderId="21" xfId="5" applyFont="1" applyFill="1" applyBorder="1" applyAlignment="1">
      <alignment horizontal="center" wrapText="1"/>
    </xf>
    <xf numFmtId="0" fontId="26" fillId="0" borderId="21" xfId="5" applyFont="1" applyBorder="1" applyAlignment="1">
      <alignment horizontal="center" wrapText="1"/>
    </xf>
    <xf numFmtId="0" fontId="26" fillId="0" borderId="61" xfId="5" applyFont="1" applyBorder="1" applyAlignment="1">
      <alignment horizontal="center" wrapText="1"/>
    </xf>
    <xf numFmtId="0" fontId="0" fillId="0" borderId="15" xfId="0" applyBorder="1" applyAlignment="1">
      <alignment horizontal="left" vertical="center" wrapText="1"/>
    </xf>
    <xf numFmtId="0" fontId="3" fillId="0" borderId="0" xfId="5" applyFont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/>
    <xf numFmtId="0" fontId="28" fillId="0" borderId="25" xfId="0" applyFont="1" applyBorder="1" applyAlignment="1">
      <alignment horizontal="center" vertical="center"/>
    </xf>
    <xf numFmtId="0" fontId="28" fillId="0" borderId="9" xfId="0" applyFont="1" applyBorder="1" applyAlignment="1">
      <alignment horizontal="left" vertical="center"/>
    </xf>
    <xf numFmtId="0" fontId="28" fillId="0" borderId="27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28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 wrapText="1"/>
    </xf>
    <xf numFmtId="3" fontId="28" fillId="0" borderId="26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3" fontId="28" fillId="0" borderId="28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right" vertical="center"/>
    </xf>
    <xf numFmtId="166" fontId="12" fillId="0" borderId="0" xfId="0" applyNumberFormat="1" applyFont="1" applyBorder="1" applyAlignment="1">
      <alignment vertical="center"/>
    </xf>
    <xf numFmtId="166" fontId="13" fillId="0" borderId="0" xfId="0" applyNumberFormat="1" applyFont="1" applyBorder="1" applyAlignment="1">
      <alignment horizontal="left" vertical="center" wrapText="1" indent="1"/>
    </xf>
    <xf numFmtId="166" fontId="28" fillId="0" borderId="9" xfId="0" applyNumberFormat="1" applyFont="1" applyBorder="1" applyAlignment="1">
      <alignment horizontal="center" vertical="center" wrapText="1"/>
    </xf>
    <xf numFmtId="166" fontId="28" fillId="0" borderId="1" xfId="0" applyNumberFormat="1" applyFont="1" applyBorder="1" applyAlignment="1">
      <alignment horizontal="center" vertical="center" wrapText="1"/>
    </xf>
    <xf numFmtId="166" fontId="0" fillId="0" borderId="0" xfId="0" applyNumberFormat="1"/>
    <xf numFmtId="166" fontId="27" fillId="0" borderId="0" xfId="0" applyNumberFormat="1" applyFont="1"/>
    <xf numFmtId="0" fontId="2" fillId="0" borderId="0" xfId="0" applyFont="1"/>
    <xf numFmtId="166" fontId="29" fillId="0" borderId="0" xfId="0" applyNumberFormat="1" applyFont="1"/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32" fillId="0" borderId="0" xfId="0" applyFont="1"/>
    <xf numFmtId="0" fontId="3" fillId="0" borderId="0" xfId="5" applyFont="1" applyFill="1" applyBorder="1" applyAlignment="1">
      <alignment horizontal="left" vertical="center" wrapText="1"/>
    </xf>
    <xf numFmtId="0" fontId="3" fillId="0" borderId="15" xfId="5" applyFont="1" applyFill="1" applyBorder="1" applyAlignment="1">
      <alignment horizontal="left" vertical="center" wrapText="1"/>
    </xf>
    <xf numFmtId="0" fontId="3" fillId="0" borderId="62" xfId="5" applyFont="1" applyBorder="1" applyAlignment="1">
      <alignment horizontal="left" vertical="center" wrapText="1"/>
    </xf>
    <xf numFmtId="0" fontId="3" fillId="0" borderId="64" xfId="5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/>
    </xf>
    <xf numFmtId="0" fontId="3" fillId="0" borderId="32" xfId="5" applyFont="1" applyFill="1" applyBorder="1" applyAlignment="1">
      <alignment horizontal="left" vertical="center" wrapText="1"/>
    </xf>
    <xf numFmtId="0" fontId="3" fillId="0" borderId="63" xfId="5" applyFont="1" applyFill="1" applyBorder="1" applyAlignment="1">
      <alignment horizontal="left" vertical="center" wrapText="1"/>
    </xf>
    <xf numFmtId="0" fontId="17" fillId="0" borderId="29" xfId="0" applyFont="1" applyBorder="1" applyAlignment="1">
      <alignment horizontal="left" vertical="center" wrapText="1" indent="1"/>
    </xf>
    <xf numFmtId="167" fontId="13" fillId="0" borderId="29" xfId="0" applyNumberFormat="1" applyFont="1" applyBorder="1" applyAlignment="1">
      <alignment horizontal="center" vertical="center"/>
    </xf>
    <xf numFmtId="0" fontId="28" fillId="0" borderId="6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center" vertical="center" wrapText="1"/>
    </xf>
    <xf numFmtId="166" fontId="15" fillId="0" borderId="23" xfId="0" applyNumberFormat="1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 indent="1"/>
    </xf>
    <xf numFmtId="0" fontId="14" fillId="0" borderId="18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 wrapText="1" indent="1"/>
    </xf>
    <xf numFmtId="0" fontId="11" fillId="0" borderId="10" xfId="0" applyFont="1" applyBorder="1" applyAlignment="1">
      <alignment horizontal="center" vertical="center"/>
    </xf>
    <xf numFmtId="0" fontId="18" fillId="0" borderId="17" xfId="0" applyFont="1" applyBorder="1" applyAlignment="1">
      <alignment vertical="center" wrapText="1"/>
    </xf>
    <xf numFmtId="0" fontId="21" fillId="0" borderId="40" xfId="0" applyFont="1" applyBorder="1" applyAlignment="1">
      <alignment vertical="center" wrapText="1"/>
    </xf>
    <xf numFmtId="0" fontId="21" fillId="0" borderId="29" xfId="0" applyFont="1" applyBorder="1" applyAlignment="1">
      <alignment horizontal="left" vertical="center" wrapText="1" indent="1"/>
    </xf>
    <xf numFmtId="0" fontId="0" fillId="0" borderId="52" xfId="0" applyFont="1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18" fillId="0" borderId="58" xfId="0" applyFont="1" applyBorder="1" applyAlignment="1">
      <alignment horizontal="left" vertical="center" wrapText="1"/>
    </xf>
    <xf numFmtId="0" fontId="0" fillId="0" borderId="36" xfId="0" applyBorder="1"/>
    <xf numFmtId="0" fontId="0" fillId="0" borderId="52" xfId="0" applyFont="1" applyBorder="1" applyAlignment="1">
      <alignment horizontal="center" vertical="center"/>
    </xf>
    <xf numFmtId="49" fontId="21" fillId="0" borderId="37" xfId="0" applyNumberFormat="1" applyFont="1" applyBorder="1" applyAlignment="1">
      <alignment horizontal="justify" vertical="center" wrapText="1"/>
    </xf>
    <xf numFmtId="0" fontId="23" fillId="0" borderId="36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/>
    </xf>
    <xf numFmtId="0" fontId="0" fillId="0" borderId="46" xfId="0" applyFont="1" applyBorder="1" applyAlignment="1">
      <alignment horizontal="left" vertical="center" wrapText="1"/>
    </xf>
    <xf numFmtId="0" fontId="0" fillId="0" borderId="52" xfId="0" applyBorder="1" applyAlignment="1">
      <alignment horizontal="center"/>
    </xf>
    <xf numFmtId="0" fontId="21" fillId="0" borderId="36" xfId="0" applyFont="1" applyBorder="1" applyAlignment="1">
      <alignment horizontal="left"/>
    </xf>
    <xf numFmtId="0" fontId="0" fillId="0" borderId="30" xfId="0" applyFont="1" applyBorder="1" applyAlignment="1">
      <alignment horizontal="center"/>
    </xf>
    <xf numFmtId="3" fontId="18" fillId="0" borderId="31" xfId="0" applyNumberFormat="1" applyFont="1" applyBorder="1" applyAlignment="1">
      <alignment horizontal="center"/>
    </xf>
    <xf numFmtId="0" fontId="19" fillId="0" borderId="12" xfId="0" applyFont="1" applyBorder="1" applyAlignment="1">
      <alignment horizontal="center" vertical="center" wrapText="1"/>
    </xf>
    <xf numFmtId="0" fontId="20" fillId="0" borderId="33" xfId="0" applyFont="1" applyBorder="1"/>
    <xf numFmtId="0" fontId="21" fillId="0" borderId="34" xfId="0" applyFont="1" applyBorder="1" applyAlignment="1">
      <alignment horizontal="left" indent="1"/>
    </xf>
    <xf numFmtId="0" fontId="16" fillId="0" borderId="33" xfId="0" applyFont="1" applyBorder="1" applyAlignment="1">
      <alignment horizontal="left" vertical="center" wrapText="1"/>
    </xf>
    <xf numFmtId="0" fontId="22" fillId="0" borderId="35" xfId="0" applyFont="1" applyBorder="1" applyAlignment="1">
      <alignment horizontal="left"/>
    </xf>
  </cellXfs>
  <cellStyles count="33">
    <cellStyle name="Encabezado 1" xfId="8"/>
    <cellStyle name="Encabezado 1 2" xfId="9"/>
    <cellStyle name="Millares 2" xfId="10"/>
    <cellStyle name="Millares 2 2" xfId="11"/>
    <cellStyle name="Moneda" xfId="1" builtinId="4"/>
    <cellStyle name="Moneda 2" xfId="3"/>
    <cellStyle name="Moneda 2 2" xfId="12"/>
    <cellStyle name="Moneda 3" xfId="13"/>
    <cellStyle name="Moneda 4" xfId="14"/>
    <cellStyle name="Moneda 5" xfId="15"/>
    <cellStyle name="Moneda_AUTORIZACION Y NOTA DE PEDIDO" xfId="7"/>
    <cellStyle name="Neutral 1" xfId="16"/>
    <cellStyle name="Normal" xfId="0" builtinId="0"/>
    <cellStyle name="Normal 2" xfId="2"/>
    <cellStyle name="Normal 2 2" xfId="5"/>
    <cellStyle name="Normal 3" xfId="17"/>
    <cellStyle name="Normal 3 2" xfId="18"/>
    <cellStyle name="Normal 3 2 2" xfId="19"/>
    <cellStyle name="Normal 3 3" xfId="20"/>
    <cellStyle name="Normal 3 4" xfId="21"/>
    <cellStyle name="Normal 3 4 2" xfId="22"/>
    <cellStyle name="Normal 4" xfId="6"/>
    <cellStyle name="Normal 4 2" xfId="23"/>
    <cellStyle name="Normal 4 3" xfId="24"/>
    <cellStyle name="Normal 4 3 2" xfId="25"/>
    <cellStyle name="Normal 5" xfId="4"/>
    <cellStyle name="Normal 5 2" xfId="26"/>
    <cellStyle name="Normal 6" xfId="27"/>
    <cellStyle name="Normal 7" xfId="28"/>
    <cellStyle name="Normal 8" xfId="29"/>
    <cellStyle name="Normal 8 2" xfId="30"/>
    <cellStyle name="Normal 8 3" xfId="31"/>
    <cellStyle name="Normal 8 4" xfId="32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tabSelected="1" topLeftCell="A16" zoomScaleNormal="100" workbookViewId="0">
      <selection activeCell="D24" sqref="D24:E24"/>
    </sheetView>
  </sheetViews>
  <sheetFormatPr baseColWidth="10" defaultRowHeight="15" x14ac:dyDescent="0.25"/>
  <cols>
    <col min="1" max="1" width="4.85546875" style="61" bestFit="1" customWidth="1"/>
    <col min="2" max="2" width="13" style="61" bestFit="1" customWidth="1"/>
    <col min="3" max="3" width="36.42578125" style="61" bestFit="1" customWidth="1"/>
    <col min="4" max="4" width="7.5703125" style="61" customWidth="1"/>
    <col min="5" max="5" width="75.5703125" style="62" bestFit="1" customWidth="1"/>
    <col min="6" max="6" width="12" style="61" bestFit="1" customWidth="1"/>
    <col min="7" max="7" width="17.140625" style="61" hidden="1" customWidth="1"/>
    <col min="8" max="8" width="10.85546875" style="61" hidden="1" customWidth="1"/>
    <col min="9" max="9" width="8" style="61" hidden="1" customWidth="1"/>
    <col min="10" max="10" width="14.5703125" style="61" hidden="1" customWidth="1"/>
    <col min="11" max="11" width="9.42578125" style="61" hidden="1" customWidth="1"/>
    <col min="12" max="12" width="14" style="61" hidden="1" customWidth="1"/>
    <col min="13" max="13" width="8.28515625" style="61" hidden="1" customWidth="1"/>
    <col min="14" max="14" width="14.140625" style="61" hidden="1" customWidth="1"/>
    <col min="15" max="15" width="4.5703125" style="61" hidden="1" customWidth="1"/>
    <col min="16" max="16" width="12.42578125" style="61" hidden="1" customWidth="1"/>
    <col min="17" max="17" width="14.7109375" style="61" hidden="1" customWidth="1"/>
    <col min="18" max="18" width="13.42578125" style="61" hidden="1" customWidth="1"/>
    <col min="19" max="19" width="10.5703125" style="63" hidden="1" customWidth="1"/>
    <col min="20" max="20" width="13.85546875" style="64" hidden="1" customWidth="1"/>
    <col min="21" max="21" width="14.7109375" style="61" hidden="1" customWidth="1"/>
    <col min="22" max="22" width="12.85546875" style="61" hidden="1" customWidth="1"/>
    <col min="23" max="23" width="6" style="61" hidden="1" customWidth="1"/>
    <col min="24" max="24" width="12.5703125" style="61" hidden="1" customWidth="1"/>
    <col min="25" max="25" width="10.140625" style="61" hidden="1" customWidth="1"/>
    <col min="26" max="26" width="13.5703125" style="61" hidden="1" customWidth="1"/>
    <col min="27" max="28" width="14.42578125" style="61" hidden="1" customWidth="1"/>
    <col min="29" max="29" width="5.7109375" style="61" hidden="1" customWidth="1"/>
    <col min="30" max="30" width="12.28515625" style="61" hidden="1" customWidth="1"/>
    <col min="31" max="31" width="10.140625" style="61" hidden="1" customWidth="1"/>
    <col min="32" max="32" width="13.5703125" style="61" hidden="1" customWidth="1"/>
    <col min="33" max="33" width="12.140625" style="61" hidden="1" customWidth="1"/>
    <col min="34" max="34" width="13" style="61" hidden="1" customWidth="1"/>
    <col min="35" max="36" width="10.5703125" style="61" hidden="1" customWidth="1"/>
    <col min="37" max="37" width="5" style="61" hidden="1" customWidth="1"/>
    <col min="38" max="38" width="11.28515625" style="61" hidden="1" customWidth="1"/>
    <col min="39" max="39" width="6.5703125" style="61" hidden="1" customWidth="1"/>
    <col min="40" max="40" width="13.5703125" style="64" hidden="1" customWidth="1"/>
    <col min="41" max="41" width="14.85546875" style="61" hidden="1" customWidth="1"/>
    <col min="42" max="42" width="13.5703125" style="61" hidden="1" customWidth="1"/>
    <col min="43" max="43" width="13.85546875" style="61" hidden="1" customWidth="1"/>
    <col min="44" max="44" width="12.85546875" style="64" hidden="1" customWidth="1"/>
    <col min="45" max="45" width="15.28515625" style="65" hidden="1" customWidth="1"/>
    <col min="46" max="46" width="15.28515625" style="61" hidden="1" customWidth="1"/>
    <col min="47" max="47" width="7.28515625" style="65" hidden="1" customWidth="1"/>
    <col min="48" max="48" width="13.85546875" style="61" hidden="1" customWidth="1"/>
    <col min="49" max="49" width="10.42578125" style="63" bestFit="1" customWidth="1"/>
    <col min="50" max="50" width="11.42578125" style="64" bestFit="1" customWidth="1"/>
    <col min="51" max="51" width="16.28515625" style="64" bestFit="1" customWidth="1"/>
    <col min="52" max="52" width="23.7109375" hidden="1" customWidth="1"/>
  </cols>
  <sheetData>
    <row r="1" spans="1:52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8"/>
      <c r="U1" s="5"/>
      <c r="V1" s="3"/>
      <c r="W1" s="7"/>
      <c r="X1" s="3"/>
      <c r="Y1" s="7"/>
      <c r="Z1" s="3"/>
      <c r="AA1" s="7"/>
      <c r="AB1" s="3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8"/>
      <c r="AO1" s="7"/>
      <c r="AP1" s="3"/>
      <c r="AQ1" s="7"/>
      <c r="AR1" s="8"/>
      <c r="AS1" s="9"/>
      <c r="AT1" s="3"/>
      <c r="AU1" s="9"/>
      <c r="AV1" s="3"/>
      <c r="AW1" s="7"/>
      <c r="AX1" s="10"/>
      <c r="AY1" s="8"/>
    </row>
    <row r="2" spans="1:52" s="144" customFormat="1" ht="18.75" x14ac:dyDescent="0.3">
      <c r="A2" s="142"/>
      <c r="B2" s="150" t="s">
        <v>0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43"/>
    </row>
    <row r="3" spans="1:52" x14ac:dyDescent="0.25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8"/>
      <c r="U3" s="5"/>
      <c r="V3" s="3"/>
      <c r="W3" s="7"/>
      <c r="X3" s="3"/>
      <c r="Y3" s="7"/>
      <c r="Z3" s="3"/>
      <c r="AA3" s="7"/>
      <c r="AB3" s="3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8"/>
      <c r="AO3" s="7"/>
      <c r="AP3" s="3"/>
      <c r="AQ3" s="7"/>
      <c r="AR3" s="8"/>
      <c r="AS3" s="9"/>
      <c r="AT3" s="3"/>
      <c r="AU3" s="9"/>
      <c r="AV3" s="3"/>
      <c r="AW3" s="7"/>
      <c r="AX3" s="10"/>
      <c r="AY3" s="8"/>
    </row>
    <row r="4" spans="1:52" x14ac:dyDescent="0.25">
      <c r="A4" s="149" t="s">
        <v>1</v>
      </c>
      <c r="B4" s="149"/>
      <c r="C4" s="119" t="s">
        <v>2</v>
      </c>
      <c r="D4" s="119"/>
      <c r="E4" s="119"/>
      <c r="F4" s="11"/>
      <c r="G4" s="11"/>
      <c r="H4" s="11"/>
      <c r="I4" s="11"/>
      <c r="J4" s="11"/>
      <c r="K4" s="11"/>
      <c r="L4" s="11"/>
      <c r="M4" s="12"/>
      <c r="N4" s="13"/>
      <c r="O4" s="14"/>
      <c r="P4" s="11"/>
      <c r="Q4" s="12"/>
      <c r="R4" s="11"/>
      <c r="S4" s="14"/>
      <c r="T4" s="15"/>
      <c r="U4" s="12"/>
      <c r="V4" s="11"/>
      <c r="W4" s="14"/>
      <c r="X4" s="11"/>
      <c r="Y4" s="14"/>
      <c r="Z4" s="11"/>
      <c r="AA4" s="14"/>
      <c r="AB4" s="11"/>
      <c r="AC4" s="14"/>
      <c r="AD4" s="11"/>
      <c r="AE4" s="14"/>
      <c r="AF4" s="11"/>
      <c r="AG4" s="14"/>
      <c r="AH4" s="11"/>
      <c r="AI4" s="14"/>
      <c r="AJ4" s="11"/>
      <c r="AK4" s="14"/>
      <c r="AL4" s="11"/>
      <c r="AM4" s="14"/>
      <c r="AN4" s="15"/>
      <c r="AO4" s="14"/>
      <c r="AP4" s="11"/>
      <c r="AQ4" s="14"/>
      <c r="AR4" s="15"/>
      <c r="AS4" s="16"/>
      <c r="AT4" s="11"/>
      <c r="AU4" s="16"/>
      <c r="AV4" s="11"/>
      <c r="AW4" s="14"/>
      <c r="AX4" s="10"/>
      <c r="AY4" s="8"/>
    </row>
    <row r="5" spans="1:52" ht="15" customHeight="1" x14ac:dyDescent="0.25">
      <c r="A5" s="149" t="s">
        <v>3</v>
      </c>
      <c r="B5" s="149"/>
      <c r="C5" s="119" t="s">
        <v>4</v>
      </c>
      <c r="D5" s="119"/>
      <c r="E5" s="119"/>
      <c r="F5" s="11"/>
      <c r="G5" s="11"/>
      <c r="H5" s="11"/>
      <c r="I5" s="11"/>
      <c r="J5" s="11"/>
      <c r="K5" s="11"/>
      <c r="L5" s="11"/>
      <c r="M5" s="12"/>
      <c r="N5" s="13"/>
      <c r="O5" s="14"/>
      <c r="P5" s="11"/>
      <c r="Q5" s="12"/>
      <c r="R5" s="11"/>
      <c r="S5" s="14"/>
      <c r="T5" s="15"/>
      <c r="U5" s="12"/>
      <c r="V5" s="11"/>
      <c r="W5" s="14"/>
      <c r="X5" s="11"/>
      <c r="Y5" s="14"/>
      <c r="Z5" s="11"/>
      <c r="AA5" s="14"/>
      <c r="AB5" s="11"/>
      <c r="AC5" s="14"/>
      <c r="AD5" s="11"/>
      <c r="AE5" s="14"/>
      <c r="AF5" s="11"/>
      <c r="AG5" s="14"/>
      <c r="AH5" s="11"/>
      <c r="AI5" s="14"/>
      <c r="AJ5" s="11"/>
      <c r="AK5" s="14"/>
      <c r="AL5" s="11"/>
      <c r="AM5" s="14"/>
      <c r="AN5" s="15"/>
      <c r="AO5" s="14"/>
      <c r="AP5" s="11"/>
      <c r="AQ5" s="14"/>
      <c r="AR5" s="15"/>
      <c r="AS5" s="16"/>
      <c r="AT5" s="11"/>
      <c r="AU5" s="16"/>
      <c r="AV5" s="11"/>
      <c r="AW5" s="14"/>
      <c r="AX5" s="10"/>
      <c r="AY5" s="8"/>
    </row>
    <row r="6" spans="1:52" x14ac:dyDescent="0.25">
      <c r="A6" s="149" t="s">
        <v>5</v>
      </c>
      <c r="B6" s="149"/>
      <c r="C6" s="120">
        <v>2022</v>
      </c>
      <c r="D6" s="121"/>
      <c r="E6" s="120"/>
      <c r="F6" s="11"/>
      <c r="G6" s="11"/>
      <c r="H6" s="11"/>
      <c r="I6" s="11"/>
      <c r="J6" s="11"/>
      <c r="K6" s="11"/>
      <c r="L6" s="11"/>
      <c r="M6" s="12"/>
      <c r="N6" s="13"/>
      <c r="O6" s="14"/>
      <c r="P6" s="11"/>
      <c r="Q6" s="12"/>
      <c r="R6" s="11"/>
      <c r="S6" s="14"/>
      <c r="T6" s="15"/>
      <c r="U6" s="12"/>
      <c r="V6" s="11"/>
      <c r="W6" s="14"/>
      <c r="X6" s="11"/>
      <c r="Y6" s="14"/>
      <c r="Z6" s="11"/>
      <c r="AA6" s="14"/>
      <c r="AB6" s="11"/>
      <c r="AC6" s="14"/>
      <c r="AD6" s="11"/>
      <c r="AE6" s="14"/>
      <c r="AF6" s="11"/>
      <c r="AG6" s="14"/>
      <c r="AH6" s="11"/>
      <c r="AI6" s="14"/>
      <c r="AJ6" s="11"/>
      <c r="AK6" s="14"/>
      <c r="AL6" s="11"/>
      <c r="AM6" s="14"/>
      <c r="AN6" s="15"/>
      <c r="AO6" s="14"/>
      <c r="AP6" s="11"/>
      <c r="AQ6" s="14"/>
      <c r="AR6" s="15"/>
      <c r="AS6" s="16"/>
      <c r="AT6" s="11"/>
      <c r="AU6" s="16"/>
      <c r="AV6" s="11"/>
      <c r="AW6" s="14"/>
      <c r="AX6" s="10"/>
      <c r="AY6" s="8"/>
    </row>
    <row r="7" spans="1:52" x14ac:dyDescent="0.25">
      <c r="A7" s="149" t="s">
        <v>6</v>
      </c>
      <c r="B7" s="149"/>
      <c r="C7" s="120" t="s">
        <v>7</v>
      </c>
      <c r="D7" s="121"/>
      <c r="E7" s="120"/>
      <c r="F7" s="11"/>
      <c r="G7" s="11"/>
      <c r="H7" s="11"/>
      <c r="I7" s="11"/>
      <c r="J7" s="11"/>
      <c r="K7" s="11"/>
      <c r="L7" s="11"/>
      <c r="M7" s="12"/>
      <c r="N7" s="13"/>
      <c r="O7" s="14"/>
      <c r="P7" s="11"/>
      <c r="Q7" s="12"/>
      <c r="R7" s="11"/>
      <c r="S7" s="14"/>
      <c r="T7" s="15"/>
      <c r="U7" s="12"/>
      <c r="V7" s="11"/>
      <c r="W7" s="14"/>
      <c r="X7" s="11"/>
      <c r="Y7" s="14"/>
      <c r="Z7" s="11"/>
      <c r="AA7" s="14"/>
      <c r="AB7" s="11"/>
      <c r="AC7" s="14"/>
      <c r="AD7" s="11"/>
      <c r="AE7" s="14"/>
      <c r="AF7" s="11"/>
      <c r="AG7" s="14"/>
      <c r="AH7" s="11"/>
      <c r="AI7" s="14"/>
      <c r="AJ7" s="11"/>
      <c r="AK7" s="14"/>
      <c r="AL7" s="11"/>
      <c r="AM7" s="14"/>
      <c r="AN7" s="15"/>
      <c r="AO7" s="14"/>
      <c r="AP7" s="11"/>
      <c r="AQ7" s="14"/>
      <c r="AR7" s="15"/>
      <c r="AS7" s="16"/>
      <c r="AT7" s="11"/>
      <c r="AU7" s="16"/>
      <c r="AV7" s="11"/>
      <c r="AW7" s="14"/>
      <c r="AX7" s="10"/>
      <c r="AY7" s="8"/>
    </row>
    <row r="8" spans="1:52" x14ac:dyDescent="0.25">
      <c r="A8" s="3"/>
      <c r="B8" s="11"/>
      <c r="C8" s="11"/>
      <c r="D8" s="11"/>
      <c r="E8" s="17"/>
      <c r="F8" s="11"/>
      <c r="G8" s="11"/>
      <c r="H8" s="11"/>
      <c r="I8" s="11"/>
      <c r="J8" s="11"/>
      <c r="K8" s="11"/>
      <c r="L8" s="11"/>
      <c r="M8" s="12"/>
      <c r="N8" s="13"/>
      <c r="O8" s="14"/>
      <c r="P8" s="11"/>
      <c r="Q8" s="12"/>
      <c r="R8" s="11"/>
      <c r="S8" s="14"/>
      <c r="T8" s="15"/>
      <c r="U8" s="12"/>
      <c r="V8" s="11"/>
      <c r="W8" s="14"/>
      <c r="X8" s="11"/>
      <c r="Y8" s="14"/>
      <c r="Z8" s="11"/>
      <c r="AA8" s="14"/>
      <c r="AB8" s="11"/>
      <c r="AC8" s="14"/>
      <c r="AD8" s="11"/>
      <c r="AE8" s="14"/>
      <c r="AF8" s="11"/>
      <c r="AG8" s="14"/>
      <c r="AH8" s="11"/>
      <c r="AI8" s="14"/>
      <c r="AJ8" s="11"/>
      <c r="AK8" s="14"/>
      <c r="AL8" s="11"/>
      <c r="AM8" s="14"/>
      <c r="AN8" s="15"/>
      <c r="AO8" s="14"/>
      <c r="AP8" s="11"/>
      <c r="AQ8" s="14"/>
      <c r="AR8" s="15"/>
      <c r="AS8" s="16"/>
      <c r="AT8" s="11"/>
      <c r="AU8" s="16"/>
      <c r="AV8" s="11"/>
      <c r="AW8" s="14"/>
      <c r="AX8" s="10"/>
      <c r="AY8" s="8"/>
    </row>
    <row r="9" spans="1:52" ht="38.25" x14ac:dyDescent="0.25">
      <c r="A9" s="18" t="s">
        <v>8</v>
      </c>
      <c r="B9" s="18" t="s">
        <v>9</v>
      </c>
      <c r="C9" s="19" t="s">
        <v>10</v>
      </c>
      <c r="D9" s="18" t="s">
        <v>11</v>
      </c>
      <c r="E9" s="20" t="s">
        <v>12</v>
      </c>
      <c r="F9" s="19" t="s">
        <v>13</v>
      </c>
      <c r="G9" s="19" t="s">
        <v>14</v>
      </c>
      <c r="H9" s="19" t="s">
        <v>15</v>
      </c>
      <c r="I9" s="21" t="s">
        <v>16</v>
      </c>
      <c r="J9" s="19" t="s">
        <v>17</v>
      </c>
      <c r="K9" s="19" t="s">
        <v>18</v>
      </c>
      <c r="L9" s="19" t="s">
        <v>19</v>
      </c>
      <c r="M9" s="22" t="s">
        <v>20</v>
      </c>
      <c r="N9" s="23" t="s">
        <v>21</v>
      </c>
      <c r="O9" s="24" t="s">
        <v>22</v>
      </c>
      <c r="P9" s="19" t="s">
        <v>23</v>
      </c>
      <c r="Q9" s="22" t="s">
        <v>24</v>
      </c>
      <c r="R9" s="19" t="s">
        <v>25</v>
      </c>
      <c r="S9" s="24" t="s">
        <v>26</v>
      </c>
      <c r="T9" s="25" t="s">
        <v>27</v>
      </c>
      <c r="U9" s="22" t="s">
        <v>28</v>
      </c>
      <c r="V9" s="19" t="s">
        <v>29</v>
      </c>
      <c r="W9" s="24" t="s">
        <v>30</v>
      </c>
      <c r="X9" s="19" t="s">
        <v>31</v>
      </c>
      <c r="Y9" s="24" t="s">
        <v>32</v>
      </c>
      <c r="Z9" s="19" t="s">
        <v>33</v>
      </c>
      <c r="AA9" s="24" t="s">
        <v>34</v>
      </c>
      <c r="AB9" s="19" t="s">
        <v>35</v>
      </c>
      <c r="AC9" s="26" t="s">
        <v>36</v>
      </c>
      <c r="AD9" s="19" t="s">
        <v>37</v>
      </c>
      <c r="AE9" s="24" t="s">
        <v>38</v>
      </c>
      <c r="AF9" s="19" t="s">
        <v>39</v>
      </c>
      <c r="AG9" s="24" t="s">
        <v>40</v>
      </c>
      <c r="AH9" s="19" t="s">
        <v>41</v>
      </c>
      <c r="AI9" s="24" t="s">
        <v>42</v>
      </c>
      <c r="AJ9" s="19" t="s">
        <v>43</v>
      </c>
      <c r="AK9" s="24" t="s">
        <v>44</v>
      </c>
      <c r="AL9" s="19" t="s">
        <v>45</v>
      </c>
      <c r="AM9" s="26" t="s">
        <v>46</v>
      </c>
      <c r="AN9" s="25" t="s">
        <v>47</v>
      </c>
      <c r="AO9" s="26" t="s">
        <v>48</v>
      </c>
      <c r="AP9" s="19" t="s">
        <v>49</v>
      </c>
      <c r="AQ9" s="24" t="s">
        <v>50</v>
      </c>
      <c r="AR9" s="25" t="s">
        <v>51</v>
      </c>
      <c r="AS9" s="27" t="s">
        <v>52</v>
      </c>
      <c r="AT9" s="19" t="s">
        <v>53</v>
      </c>
      <c r="AU9" s="27" t="s">
        <v>54</v>
      </c>
      <c r="AV9" s="19" t="s">
        <v>55</v>
      </c>
      <c r="AW9" s="24" t="s">
        <v>56</v>
      </c>
      <c r="AX9" s="28" t="s">
        <v>57</v>
      </c>
      <c r="AY9" s="25" t="s">
        <v>58</v>
      </c>
      <c r="AZ9" s="29" t="s">
        <v>59</v>
      </c>
    </row>
    <row r="10" spans="1:52" s="36" customFormat="1" ht="12.75" x14ac:dyDescent="0.2">
      <c r="A10" s="43">
        <v>1</v>
      </c>
      <c r="B10" s="43"/>
      <c r="C10" s="43" t="s">
        <v>62</v>
      </c>
      <c r="D10" s="43">
        <v>295</v>
      </c>
      <c r="E10" s="58" t="s">
        <v>63</v>
      </c>
      <c r="F10" s="43" t="s">
        <v>61</v>
      </c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5">
        <v>1500</v>
      </c>
      <c r="T10" s="44">
        <f>+S10*AX10</f>
        <v>111000</v>
      </c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4"/>
      <c r="AO10" s="43"/>
      <c r="AP10" s="43"/>
      <c r="AQ10" s="43"/>
      <c r="AR10" s="44"/>
      <c r="AS10" s="46"/>
      <c r="AT10" s="43"/>
      <c r="AU10" s="46"/>
      <c r="AV10" s="43"/>
      <c r="AW10" s="33">
        <f t="shared" ref="AW10:AW21" si="0">+AQ10+AO10+AM10+AK10+AI10+AG10+AE10+AC10+AA10+Y10+W10+U10+S10+Q10+O10+M10+K10+I10+AS10+G10+AU10</f>
        <v>1500</v>
      </c>
      <c r="AX10" s="44">
        <v>74</v>
      </c>
      <c r="AY10" s="44">
        <f t="shared" ref="AY10:AY21" si="1">+AW10*AX10</f>
        <v>111000</v>
      </c>
      <c r="AZ10" s="32"/>
    </row>
    <row r="11" spans="1:52" s="36" customFormat="1" ht="12.75" x14ac:dyDescent="0.2">
      <c r="A11" s="30">
        <v>2</v>
      </c>
      <c r="B11" s="30"/>
      <c r="C11" s="30" t="s">
        <v>62</v>
      </c>
      <c r="D11" s="30">
        <v>295</v>
      </c>
      <c r="E11" s="48" t="s">
        <v>64</v>
      </c>
      <c r="F11" s="30" t="s">
        <v>61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49">
        <v>500</v>
      </c>
      <c r="T11" s="44">
        <f t="shared" ref="T11:T21" si="2">+S11*AX11</f>
        <v>18500</v>
      </c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50"/>
      <c r="AO11" s="30"/>
      <c r="AP11" s="30"/>
      <c r="AQ11" s="30"/>
      <c r="AR11" s="50"/>
      <c r="AS11" s="51"/>
      <c r="AT11" s="30"/>
      <c r="AU11" s="51"/>
      <c r="AV11" s="30"/>
      <c r="AW11" s="31">
        <f t="shared" si="0"/>
        <v>500</v>
      </c>
      <c r="AX11" s="50">
        <v>37</v>
      </c>
      <c r="AY11" s="44">
        <f t="shared" si="1"/>
        <v>18500</v>
      </c>
      <c r="AZ11" s="32"/>
    </row>
    <row r="12" spans="1:52" s="36" customFormat="1" ht="12.75" x14ac:dyDescent="0.2">
      <c r="A12" s="30">
        <v>3</v>
      </c>
      <c r="B12" s="30"/>
      <c r="C12" s="30" t="s">
        <v>62</v>
      </c>
      <c r="D12" s="30">
        <v>295</v>
      </c>
      <c r="E12" s="48" t="s">
        <v>65</v>
      </c>
      <c r="F12" s="30" t="s">
        <v>60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49">
        <v>3000</v>
      </c>
      <c r="T12" s="44">
        <f t="shared" si="2"/>
        <v>165000</v>
      </c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50"/>
      <c r="AO12" s="30"/>
      <c r="AP12" s="30"/>
      <c r="AQ12" s="30"/>
      <c r="AR12" s="50"/>
      <c r="AS12" s="51"/>
      <c r="AT12" s="30"/>
      <c r="AU12" s="51"/>
      <c r="AV12" s="30"/>
      <c r="AW12" s="31">
        <f t="shared" si="0"/>
        <v>3000</v>
      </c>
      <c r="AX12" s="50">
        <v>55</v>
      </c>
      <c r="AY12" s="44">
        <f t="shared" si="1"/>
        <v>165000</v>
      </c>
      <c r="AZ12" s="32"/>
    </row>
    <row r="13" spans="1:52" s="36" customFormat="1" ht="25.5" x14ac:dyDescent="0.2">
      <c r="A13" s="43">
        <v>4</v>
      </c>
      <c r="B13" s="30"/>
      <c r="C13" s="30" t="s">
        <v>62</v>
      </c>
      <c r="D13" s="30">
        <v>295</v>
      </c>
      <c r="E13" s="48" t="s">
        <v>66</v>
      </c>
      <c r="F13" s="30" t="s">
        <v>60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49">
        <v>100</v>
      </c>
      <c r="T13" s="44">
        <f t="shared" si="2"/>
        <v>27300</v>
      </c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50"/>
      <c r="AO13" s="30"/>
      <c r="AP13" s="30"/>
      <c r="AQ13" s="30"/>
      <c r="AR13" s="50"/>
      <c r="AS13" s="51"/>
      <c r="AT13" s="30"/>
      <c r="AU13" s="51"/>
      <c r="AV13" s="30"/>
      <c r="AW13" s="31">
        <f t="shared" si="0"/>
        <v>100</v>
      </c>
      <c r="AX13" s="50">
        <v>273</v>
      </c>
      <c r="AY13" s="44">
        <f t="shared" si="1"/>
        <v>27300</v>
      </c>
      <c r="AZ13" s="32"/>
    </row>
    <row r="14" spans="1:52" s="36" customFormat="1" ht="12.75" x14ac:dyDescent="0.2">
      <c r="A14" s="30">
        <v>5</v>
      </c>
      <c r="B14" s="30"/>
      <c r="C14" s="30" t="s">
        <v>62</v>
      </c>
      <c r="D14" s="30">
        <v>295</v>
      </c>
      <c r="E14" s="48" t="s">
        <v>67</v>
      </c>
      <c r="F14" s="30" t="s">
        <v>60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49">
        <v>50</v>
      </c>
      <c r="T14" s="44">
        <f t="shared" si="2"/>
        <v>5500</v>
      </c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50"/>
      <c r="AO14" s="30"/>
      <c r="AP14" s="30"/>
      <c r="AQ14" s="30"/>
      <c r="AR14" s="50"/>
      <c r="AS14" s="51"/>
      <c r="AT14" s="30"/>
      <c r="AU14" s="51"/>
      <c r="AV14" s="30"/>
      <c r="AW14" s="31">
        <f t="shared" si="0"/>
        <v>50</v>
      </c>
      <c r="AX14" s="50">
        <v>110</v>
      </c>
      <c r="AY14" s="44">
        <f t="shared" si="1"/>
        <v>5500</v>
      </c>
      <c r="AZ14" s="32"/>
    </row>
    <row r="15" spans="1:52" s="36" customFormat="1" ht="12.75" x14ac:dyDescent="0.2">
      <c r="A15" s="30">
        <v>6</v>
      </c>
      <c r="B15" s="30"/>
      <c r="C15" s="30" t="s">
        <v>62</v>
      </c>
      <c r="D15" s="30">
        <v>295</v>
      </c>
      <c r="E15" s="48" t="s">
        <v>68</v>
      </c>
      <c r="F15" s="30" t="s">
        <v>60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49">
        <v>200</v>
      </c>
      <c r="T15" s="44">
        <f t="shared" si="2"/>
        <v>22000</v>
      </c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50"/>
      <c r="AO15" s="30"/>
      <c r="AP15" s="30"/>
      <c r="AQ15" s="30"/>
      <c r="AR15" s="50"/>
      <c r="AS15" s="51"/>
      <c r="AT15" s="30"/>
      <c r="AU15" s="51"/>
      <c r="AV15" s="30"/>
      <c r="AW15" s="31">
        <f t="shared" si="0"/>
        <v>200</v>
      </c>
      <c r="AX15" s="50">
        <v>110</v>
      </c>
      <c r="AY15" s="44">
        <f t="shared" si="1"/>
        <v>22000</v>
      </c>
      <c r="AZ15" s="32"/>
    </row>
    <row r="16" spans="1:52" s="36" customFormat="1" ht="12.75" x14ac:dyDescent="0.2">
      <c r="A16" s="43">
        <v>7</v>
      </c>
      <c r="B16" s="30"/>
      <c r="C16" s="30" t="s">
        <v>62</v>
      </c>
      <c r="D16" s="30">
        <v>295</v>
      </c>
      <c r="E16" s="48" t="s">
        <v>69</v>
      </c>
      <c r="F16" s="30" t="s">
        <v>60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49">
        <v>400</v>
      </c>
      <c r="T16" s="44">
        <f t="shared" si="2"/>
        <v>44000</v>
      </c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50"/>
      <c r="AO16" s="30"/>
      <c r="AP16" s="30"/>
      <c r="AQ16" s="30"/>
      <c r="AR16" s="50"/>
      <c r="AS16" s="51"/>
      <c r="AT16" s="30"/>
      <c r="AU16" s="51"/>
      <c r="AV16" s="30"/>
      <c r="AW16" s="31">
        <f t="shared" si="0"/>
        <v>400</v>
      </c>
      <c r="AX16" s="50">
        <v>110</v>
      </c>
      <c r="AY16" s="44">
        <f t="shared" si="1"/>
        <v>44000</v>
      </c>
      <c r="AZ16" s="32"/>
    </row>
    <row r="17" spans="1:52" s="36" customFormat="1" ht="12.75" x14ac:dyDescent="0.2">
      <c r="A17" s="30">
        <v>8</v>
      </c>
      <c r="B17" s="30"/>
      <c r="C17" s="30" t="s">
        <v>62</v>
      </c>
      <c r="D17" s="30">
        <v>295</v>
      </c>
      <c r="E17" s="48" t="s">
        <v>70</v>
      </c>
      <c r="F17" s="30" t="s">
        <v>60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49">
        <v>1000</v>
      </c>
      <c r="T17" s="44">
        <f t="shared" si="2"/>
        <v>35000</v>
      </c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50"/>
      <c r="AO17" s="30"/>
      <c r="AP17" s="30"/>
      <c r="AQ17" s="30"/>
      <c r="AR17" s="50"/>
      <c r="AS17" s="51"/>
      <c r="AT17" s="30"/>
      <c r="AU17" s="51"/>
      <c r="AV17" s="30"/>
      <c r="AW17" s="31">
        <f t="shared" si="0"/>
        <v>1000</v>
      </c>
      <c r="AX17" s="50">
        <v>35</v>
      </c>
      <c r="AY17" s="44">
        <f t="shared" si="1"/>
        <v>35000</v>
      </c>
      <c r="AZ17" s="32"/>
    </row>
    <row r="18" spans="1:52" s="36" customFormat="1" ht="12.75" x14ac:dyDescent="0.2">
      <c r="A18" s="30">
        <v>9</v>
      </c>
      <c r="B18" s="30"/>
      <c r="C18" s="30" t="s">
        <v>62</v>
      </c>
      <c r="D18" s="30">
        <v>295</v>
      </c>
      <c r="E18" s="48" t="s">
        <v>71</v>
      </c>
      <c r="F18" s="30" t="s">
        <v>60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49">
        <v>1000</v>
      </c>
      <c r="T18" s="44">
        <f t="shared" si="2"/>
        <v>35000</v>
      </c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50"/>
      <c r="AO18" s="30"/>
      <c r="AP18" s="30"/>
      <c r="AQ18" s="30"/>
      <c r="AR18" s="50"/>
      <c r="AS18" s="51"/>
      <c r="AT18" s="30"/>
      <c r="AU18" s="51"/>
      <c r="AV18" s="30"/>
      <c r="AW18" s="31">
        <f t="shared" si="0"/>
        <v>1000</v>
      </c>
      <c r="AX18" s="50">
        <v>35</v>
      </c>
      <c r="AY18" s="44">
        <f t="shared" si="1"/>
        <v>35000</v>
      </c>
      <c r="AZ18" s="32"/>
    </row>
    <row r="19" spans="1:52" s="36" customFormat="1" ht="12.75" x14ac:dyDescent="0.2">
      <c r="A19" s="43">
        <v>10</v>
      </c>
      <c r="B19" s="30"/>
      <c r="C19" s="30" t="s">
        <v>62</v>
      </c>
      <c r="D19" s="30">
        <v>295</v>
      </c>
      <c r="E19" s="48" t="s">
        <v>72</v>
      </c>
      <c r="F19" s="30" t="s">
        <v>60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49">
        <v>500</v>
      </c>
      <c r="T19" s="44">
        <f t="shared" si="2"/>
        <v>17500</v>
      </c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50"/>
      <c r="AO19" s="30"/>
      <c r="AP19" s="30"/>
      <c r="AQ19" s="30"/>
      <c r="AR19" s="50"/>
      <c r="AS19" s="51"/>
      <c r="AT19" s="30"/>
      <c r="AU19" s="51"/>
      <c r="AV19" s="30"/>
      <c r="AW19" s="31">
        <f t="shared" si="0"/>
        <v>500</v>
      </c>
      <c r="AX19" s="50">
        <v>35</v>
      </c>
      <c r="AY19" s="44">
        <f t="shared" si="1"/>
        <v>17500</v>
      </c>
      <c r="AZ19" s="32"/>
    </row>
    <row r="20" spans="1:52" s="36" customFormat="1" ht="12.75" x14ac:dyDescent="0.2">
      <c r="A20" s="30">
        <v>11</v>
      </c>
      <c r="B20" s="30"/>
      <c r="C20" s="30" t="s">
        <v>62</v>
      </c>
      <c r="D20" s="30">
        <v>295</v>
      </c>
      <c r="E20" s="48" t="s">
        <v>73</v>
      </c>
      <c r="F20" s="30" t="s">
        <v>60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49">
        <v>50</v>
      </c>
      <c r="T20" s="44">
        <f t="shared" si="2"/>
        <v>2250</v>
      </c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50"/>
      <c r="AO20" s="30"/>
      <c r="AP20" s="30"/>
      <c r="AQ20" s="30"/>
      <c r="AR20" s="50"/>
      <c r="AS20" s="51"/>
      <c r="AT20" s="30"/>
      <c r="AU20" s="51"/>
      <c r="AV20" s="30"/>
      <c r="AW20" s="31">
        <f t="shared" si="0"/>
        <v>50</v>
      </c>
      <c r="AX20" s="50">
        <v>45</v>
      </c>
      <c r="AY20" s="44">
        <f t="shared" si="1"/>
        <v>2250</v>
      </c>
      <c r="AZ20" s="32"/>
    </row>
    <row r="21" spans="1:52" s="36" customFormat="1" ht="13.5" thickBot="1" x14ac:dyDescent="0.25">
      <c r="A21" s="30">
        <v>12</v>
      </c>
      <c r="B21" s="52"/>
      <c r="C21" s="52" t="s">
        <v>62</v>
      </c>
      <c r="D21" s="52">
        <v>295</v>
      </c>
      <c r="E21" s="53" t="s">
        <v>74</v>
      </c>
      <c r="F21" s="52" t="s">
        <v>60</v>
      </c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4">
        <v>50</v>
      </c>
      <c r="T21" s="47">
        <f t="shared" si="2"/>
        <v>2250</v>
      </c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5"/>
      <c r="AO21" s="52"/>
      <c r="AP21" s="52"/>
      <c r="AQ21" s="52"/>
      <c r="AR21" s="55"/>
      <c r="AS21" s="56"/>
      <c r="AT21" s="52"/>
      <c r="AU21" s="56"/>
      <c r="AV21" s="52"/>
      <c r="AW21" s="59">
        <f t="shared" si="0"/>
        <v>50</v>
      </c>
      <c r="AX21" s="55">
        <v>45</v>
      </c>
      <c r="AY21" s="47">
        <f t="shared" si="1"/>
        <v>2250</v>
      </c>
      <c r="AZ21" s="32"/>
    </row>
    <row r="22" spans="1:52" s="42" customFormat="1" ht="13.5" thickBot="1" x14ac:dyDescent="0.25">
      <c r="A22" s="40"/>
      <c r="B22" s="35"/>
      <c r="C22" s="35"/>
      <c r="D22" s="35"/>
      <c r="E22" s="34" t="s">
        <v>75</v>
      </c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7"/>
      <c r="T22" s="38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8"/>
      <c r="AO22" s="35"/>
      <c r="AP22" s="35"/>
      <c r="AQ22" s="35"/>
      <c r="AR22" s="38"/>
      <c r="AS22" s="39"/>
      <c r="AT22" s="35"/>
      <c r="AU22" s="39"/>
      <c r="AV22" s="35"/>
      <c r="AW22" s="60"/>
      <c r="AX22" s="38"/>
      <c r="AY22" s="57">
        <f>SUM(AY10:AY21)</f>
        <v>485300</v>
      </c>
      <c r="AZ22" s="41"/>
    </row>
    <row r="23" spans="1:52" ht="15.75" thickBot="1" x14ac:dyDescent="0.3"/>
    <row r="24" spans="1:52" ht="150.75" customHeight="1" x14ac:dyDescent="0.25">
      <c r="C24" s="111" t="s">
        <v>113</v>
      </c>
      <c r="D24" s="151" t="s">
        <v>114</v>
      </c>
      <c r="E24" s="152"/>
    </row>
    <row r="25" spans="1:52" x14ac:dyDescent="0.25">
      <c r="C25" s="112"/>
      <c r="D25" s="113"/>
      <c r="E25" s="117"/>
    </row>
    <row r="26" spans="1:52" x14ac:dyDescent="0.25">
      <c r="C26" s="114" t="s">
        <v>115</v>
      </c>
      <c r="D26" s="145" t="s">
        <v>131</v>
      </c>
      <c r="E26" s="146"/>
    </row>
    <row r="27" spans="1:52" x14ac:dyDescent="0.25">
      <c r="C27" s="114"/>
      <c r="D27" s="113"/>
      <c r="E27" s="117"/>
    </row>
    <row r="28" spans="1:52" ht="27" customHeight="1" x14ac:dyDescent="0.25">
      <c r="C28" s="114" t="s">
        <v>116</v>
      </c>
      <c r="D28" s="145" t="s">
        <v>117</v>
      </c>
      <c r="E28" s="146"/>
    </row>
    <row r="29" spans="1:52" x14ac:dyDescent="0.25">
      <c r="C29" s="114"/>
      <c r="D29" s="113"/>
      <c r="E29" s="117"/>
    </row>
    <row r="30" spans="1:52" x14ac:dyDescent="0.25">
      <c r="C30" s="115" t="s">
        <v>118</v>
      </c>
      <c r="D30" s="118"/>
      <c r="E30" s="117"/>
    </row>
    <row r="31" spans="1:52" x14ac:dyDescent="0.25">
      <c r="C31" s="115"/>
      <c r="D31" s="118"/>
      <c r="E31" s="117"/>
    </row>
    <row r="32" spans="1:52" ht="15.75" thickBot="1" x14ac:dyDescent="0.3">
      <c r="C32" s="116" t="s">
        <v>119</v>
      </c>
      <c r="D32" s="147" t="s">
        <v>120</v>
      </c>
      <c r="E32" s="148"/>
    </row>
  </sheetData>
  <mergeCells count="9">
    <mergeCell ref="D28:E28"/>
    <mergeCell ref="D32:E32"/>
    <mergeCell ref="A7:B7"/>
    <mergeCell ref="A6:B6"/>
    <mergeCell ref="B2:AX2"/>
    <mergeCell ref="A4:B4"/>
    <mergeCell ref="A5:B5"/>
    <mergeCell ref="D24:E24"/>
    <mergeCell ref="D26:E26"/>
  </mergeCells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26:C32">
    <cfRule type="duplicateValues" dxfId="3" priority="1"/>
  </conditionalFormatting>
  <conditionalFormatting sqref="C26:C32">
    <cfRule type="duplicateValues" dxfId="2" priority="2"/>
  </conditionalFormatting>
  <conditionalFormatting sqref="C26:C32">
    <cfRule type="duplicateValues" dxfId="1" priority="3"/>
  </conditionalFormatting>
  <conditionalFormatting sqref="C26:C32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C30" sqref="C30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28515625" customWidth="1"/>
    <col min="8" max="8" width="9.28515625" customWidth="1"/>
    <col min="9" max="9" width="15.5703125" customWidth="1"/>
    <col min="10" max="10" width="14.7109375" style="138" customWidth="1"/>
    <col min="11" max="11" width="15.5703125" customWidth="1"/>
    <col min="13" max="13" width="13" style="139" bestFit="1" customWidth="1"/>
  </cols>
  <sheetData>
    <row r="1" spans="1:13" ht="30.75" thickBot="1" x14ac:dyDescent="0.3">
      <c r="A1" s="169" t="s">
        <v>76</v>
      </c>
      <c r="B1" s="169"/>
      <c r="C1" s="169"/>
      <c r="D1" s="169"/>
      <c r="E1" s="169"/>
      <c r="F1" s="169"/>
      <c r="G1" s="169"/>
      <c r="H1" s="169"/>
      <c r="I1" s="169"/>
      <c r="J1" s="133" t="s">
        <v>77</v>
      </c>
      <c r="K1" s="66" t="s">
        <v>125</v>
      </c>
    </row>
    <row r="2" spans="1:13" ht="16.5" thickBot="1" x14ac:dyDescent="0.3">
      <c r="A2" s="67"/>
      <c r="B2" s="68"/>
      <c r="C2" s="68"/>
      <c r="D2" s="69"/>
      <c r="E2" s="69"/>
      <c r="F2" s="69"/>
      <c r="G2" s="69"/>
      <c r="H2" s="69"/>
      <c r="I2" s="69"/>
      <c r="J2" s="134"/>
      <c r="K2" s="70"/>
    </row>
    <row r="3" spans="1:13" ht="16.5" thickBot="1" x14ac:dyDescent="0.3">
      <c r="A3" s="164" t="s">
        <v>78</v>
      </c>
      <c r="B3" s="164"/>
      <c r="C3" s="164"/>
      <c r="D3" s="165" t="str">
        <f>'SAF 011'!C4</f>
        <v>040 - MINISTERIO DE SALUD</v>
      </c>
      <c r="E3" s="165"/>
      <c r="F3" s="165"/>
      <c r="G3" s="165"/>
      <c r="H3" s="165"/>
      <c r="I3" s="165"/>
      <c r="J3" s="165"/>
      <c r="K3" s="165"/>
    </row>
    <row r="4" spans="1:13" ht="16.5" thickBot="1" x14ac:dyDescent="0.3">
      <c r="A4" s="166" t="s">
        <v>79</v>
      </c>
      <c r="B4" s="166"/>
      <c r="C4" s="166"/>
      <c r="D4" s="165" t="str">
        <f>'SAF 011'!C5</f>
        <v>011 - DIRECCION PROVINCIAL DE ADMINISTRACION - MINISTERIO DE SALUD</v>
      </c>
      <c r="E4" s="165"/>
      <c r="F4" s="165"/>
      <c r="G4" s="165"/>
      <c r="H4" s="165"/>
      <c r="I4" s="165"/>
      <c r="J4" s="165"/>
      <c r="K4" s="165"/>
    </row>
    <row r="5" spans="1:13" ht="16.5" thickBot="1" x14ac:dyDescent="0.3">
      <c r="A5" s="166" t="s">
        <v>80</v>
      </c>
      <c r="B5" s="166"/>
      <c r="C5" s="166"/>
      <c r="D5" s="165" t="s">
        <v>121</v>
      </c>
      <c r="E5" s="165"/>
      <c r="F5" s="165"/>
      <c r="G5" s="165"/>
      <c r="H5" s="165"/>
      <c r="I5" s="165"/>
      <c r="J5" s="165"/>
      <c r="K5" s="165"/>
    </row>
    <row r="6" spans="1:13" ht="16.5" thickBot="1" x14ac:dyDescent="0.3">
      <c r="A6" s="164" t="s">
        <v>81</v>
      </c>
      <c r="B6" s="164"/>
      <c r="C6" s="164"/>
      <c r="D6" s="165" t="s">
        <v>121</v>
      </c>
      <c r="E6" s="165"/>
      <c r="F6" s="165"/>
      <c r="G6" s="165"/>
      <c r="H6" s="165"/>
      <c r="I6" s="165"/>
      <c r="J6" s="165"/>
      <c r="K6" s="165"/>
    </row>
    <row r="7" spans="1:13" ht="16.5" thickBot="1" x14ac:dyDescent="0.3">
      <c r="A7" s="166" t="s">
        <v>82</v>
      </c>
      <c r="B7" s="166"/>
      <c r="C7" s="166"/>
      <c r="D7" s="165" t="s">
        <v>122</v>
      </c>
      <c r="E7" s="165"/>
      <c r="F7" s="165"/>
      <c r="G7" s="165"/>
      <c r="H7" s="165"/>
      <c r="I7" s="165"/>
      <c r="J7" s="165"/>
      <c r="K7" s="165"/>
    </row>
    <row r="8" spans="1:13" ht="16.5" thickBot="1" x14ac:dyDescent="0.3">
      <c r="A8" s="167" t="s">
        <v>83</v>
      </c>
      <c r="B8" s="167"/>
      <c r="C8" s="167"/>
      <c r="D8" s="168" t="s">
        <v>124</v>
      </c>
      <c r="E8" s="168"/>
      <c r="F8" s="168"/>
      <c r="G8" s="168"/>
      <c r="H8" s="168"/>
      <c r="I8" s="168"/>
      <c r="J8" s="168"/>
      <c r="K8" s="168"/>
    </row>
    <row r="9" spans="1:13" ht="16.5" thickBot="1" x14ac:dyDescent="0.3">
      <c r="A9" s="71"/>
      <c r="B9" s="72"/>
      <c r="C9" s="72"/>
      <c r="D9" s="73"/>
      <c r="E9" s="73"/>
      <c r="F9" s="73"/>
      <c r="G9" s="73"/>
      <c r="H9" s="73"/>
      <c r="I9" s="73"/>
      <c r="J9" s="135"/>
      <c r="K9" s="74"/>
    </row>
    <row r="10" spans="1:13" ht="15.75" thickBot="1" x14ac:dyDescent="0.3">
      <c r="A10" s="163" t="s">
        <v>84</v>
      </c>
      <c r="B10" s="161" t="s">
        <v>85</v>
      </c>
      <c r="C10" s="161" t="s">
        <v>86</v>
      </c>
      <c r="D10" s="161"/>
      <c r="E10" s="161"/>
      <c r="F10" s="161"/>
      <c r="G10" s="161"/>
      <c r="H10" s="161" t="s">
        <v>87</v>
      </c>
      <c r="I10" s="161" t="s">
        <v>88</v>
      </c>
      <c r="J10" s="162" t="s">
        <v>89</v>
      </c>
      <c r="K10" s="159" t="s">
        <v>90</v>
      </c>
    </row>
    <row r="11" spans="1:13" ht="30.75" customHeight="1" thickBot="1" x14ac:dyDescent="0.3">
      <c r="A11" s="163"/>
      <c r="B11" s="161"/>
      <c r="C11" s="161"/>
      <c r="D11" s="161"/>
      <c r="E11" s="161"/>
      <c r="F11" s="161"/>
      <c r="G11" s="161"/>
      <c r="H11" s="161"/>
      <c r="I11" s="161"/>
      <c r="J11" s="162"/>
      <c r="K11" s="159"/>
    </row>
    <row r="12" spans="1:13" s="122" customFormat="1" x14ac:dyDescent="0.25">
      <c r="A12" s="123">
        <v>1</v>
      </c>
      <c r="B12" s="124"/>
      <c r="C12" s="160" t="str">
        <f>'SAF 011'!E10</f>
        <v>APOSITO ADHESIVO TRANSPARENTE 10 X 12 TIPO TEGADERM</v>
      </c>
      <c r="D12" s="160"/>
      <c r="E12" s="160"/>
      <c r="F12" s="160"/>
      <c r="G12" s="160"/>
      <c r="H12" s="127" t="s">
        <v>126</v>
      </c>
      <c r="I12" s="128" t="str">
        <f>'SAF 011'!F10</f>
        <v>CAJA</v>
      </c>
      <c r="J12" s="136">
        <f>'SAF 011'!AX10</f>
        <v>74</v>
      </c>
      <c r="K12" s="129">
        <f>'SAF 011'!S10</f>
        <v>1500</v>
      </c>
      <c r="M12" s="139">
        <f>+J12*K12</f>
        <v>111000</v>
      </c>
    </row>
    <row r="13" spans="1:13" s="122" customFormat="1" ht="16.5" customHeight="1" x14ac:dyDescent="0.25">
      <c r="A13" s="125">
        <v>2</v>
      </c>
      <c r="B13" s="126"/>
      <c r="C13" s="155" t="str">
        <f>'SAF 011'!E11</f>
        <v>APOSITO ADHESIVO TRANSPARENTE 6 X 7 TIPO TEGADERM</v>
      </c>
      <c r="D13" s="156"/>
      <c r="E13" s="156"/>
      <c r="F13" s="156"/>
      <c r="G13" s="157"/>
      <c r="H13" s="130" t="s">
        <v>126</v>
      </c>
      <c r="I13" s="131" t="str">
        <f>'SAF 011'!F11</f>
        <v>CAJA</v>
      </c>
      <c r="J13" s="137">
        <f>'SAF 011'!AX11</f>
        <v>37</v>
      </c>
      <c r="K13" s="132">
        <f>'SAF 011'!S11</f>
        <v>500</v>
      </c>
      <c r="M13" s="139">
        <f t="shared" ref="M13:M23" si="0">+J13*K13</f>
        <v>18500</v>
      </c>
    </row>
    <row r="14" spans="1:13" s="122" customFormat="1" ht="16.5" customHeight="1" x14ac:dyDescent="0.25">
      <c r="A14" s="125">
        <v>3</v>
      </c>
      <c r="B14" s="126"/>
      <c r="C14" s="155" t="str">
        <f>'SAF 011'!E12</f>
        <v>EQUIPO PARA ADMINISTRACION DE SOLUCIONES MICROGOTERO TIPO V-17 CON ROLLER</v>
      </c>
      <c r="D14" s="156"/>
      <c r="E14" s="156"/>
      <c r="F14" s="156"/>
      <c r="G14" s="157"/>
      <c r="H14" s="130" t="s">
        <v>126</v>
      </c>
      <c r="I14" s="131" t="str">
        <f>'SAF 011'!F12</f>
        <v>UNIDAD</v>
      </c>
      <c r="J14" s="137">
        <f>'SAF 011'!AX12</f>
        <v>55</v>
      </c>
      <c r="K14" s="132">
        <f>'SAF 011'!S12</f>
        <v>3000</v>
      </c>
      <c r="M14" s="139">
        <f t="shared" si="0"/>
        <v>165000</v>
      </c>
    </row>
    <row r="15" spans="1:13" s="122" customFormat="1" ht="16.5" customHeight="1" x14ac:dyDescent="0.25">
      <c r="A15" s="125">
        <v>4</v>
      </c>
      <c r="B15" s="126"/>
      <c r="C15" s="155" t="str">
        <f>'SAF 011'!E13</f>
        <v>REGULADOR DE FLUJO MACROGOTERO CON GRADUACION DE 5 A 250 ML/HORA CON PUERTO DE INYECCION EN Y</v>
      </c>
      <c r="D15" s="156"/>
      <c r="E15" s="156"/>
      <c r="F15" s="156"/>
      <c r="G15" s="157"/>
      <c r="H15" s="130" t="s">
        <v>126</v>
      </c>
      <c r="I15" s="131" t="str">
        <f>'SAF 011'!F13</f>
        <v>UNIDAD</v>
      </c>
      <c r="J15" s="137">
        <f>'SAF 011'!AX13</f>
        <v>273</v>
      </c>
      <c r="K15" s="132">
        <f>'SAF 011'!S13</f>
        <v>100</v>
      </c>
      <c r="M15" s="139">
        <f t="shared" si="0"/>
        <v>27300</v>
      </c>
    </row>
    <row r="16" spans="1:13" s="122" customFormat="1" ht="16.5" customHeight="1" x14ac:dyDescent="0.25">
      <c r="A16" s="125">
        <v>5</v>
      </c>
      <c r="B16" s="126"/>
      <c r="C16" s="155" t="str">
        <f>'SAF 011'!E14</f>
        <v>SONDA FOLEY DOBLE VIA DE LATEX RECUBIERTA CON SILICONA Nº 14</v>
      </c>
      <c r="D16" s="156"/>
      <c r="E16" s="156"/>
      <c r="F16" s="156"/>
      <c r="G16" s="157"/>
      <c r="H16" s="130" t="s">
        <v>126</v>
      </c>
      <c r="I16" s="131" t="str">
        <f>'SAF 011'!F14</f>
        <v>UNIDAD</v>
      </c>
      <c r="J16" s="137">
        <f>'SAF 011'!AX14</f>
        <v>110</v>
      </c>
      <c r="K16" s="132">
        <f>'SAF 011'!S14</f>
        <v>50</v>
      </c>
      <c r="M16" s="139">
        <f t="shared" si="0"/>
        <v>5500</v>
      </c>
    </row>
    <row r="17" spans="1:13" s="122" customFormat="1" ht="16.5" customHeight="1" x14ac:dyDescent="0.25">
      <c r="A17" s="125">
        <v>6</v>
      </c>
      <c r="B17" s="126"/>
      <c r="C17" s="155" t="str">
        <f>'SAF 011'!E15</f>
        <v>SONDA FOLEY DOBLE VIA DE LATEX RECUBIERTA CON SILICONA Nº 16</v>
      </c>
      <c r="D17" s="156"/>
      <c r="E17" s="156"/>
      <c r="F17" s="156"/>
      <c r="G17" s="157"/>
      <c r="H17" s="130" t="s">
        <v>126</v>
      </c>
      <c r="I17" s="131" t="str">
        <f>'SAF 011'!F15</f>
        <v>UNIDAD</v>
      </c>
      <c r="J17" s="137">
        <f>'SAF 011'!AX15</f>
        <v>110</v>
      </c>
      <c r="K17" s="132">
        <f>'SAF 011'!S15</f>
        <v>200</v>
      </c>
      <c r="M17" s="139">
        <f t="shared" si="0"/>
        <v>22000</v>
      </c>
    </row>
    <row r="18" spans="1:13" s="122" customFormat="1" ht="16.5" customHeight="1" x14ac:dyDescent="0.25">
      <c r="A18" s="125">
        <v>7</v>
      </c>
      <c r="B18" s="126"/>
      <c r="C18" s="155" t="str">
        <f>'SAF 011'!E16</f>
        <v>SONDA FOLEY DOBLE VIA DE LATEX RECUBIERTA CON SILICONA Nº 18</v>
      </c>
      <c r="D18" s="156"/>
      <c r="E18" s="156"/>
      <c r="F18" s="156"/>
      <c r="G18" s="157"/>
      <c r="H18" s="130" t="s">
        <v>126</v>
      </c>
      <c r="I18" s="131" t="str">
        <f>'SAF 011'!F16</f>
        <v>UNIDAD</v>
      </c>
      <c r="J18" s="137">
        <f>'SAF 011'!AX16</f>
        <v>110</v>
      </c>
      <c r="K18" s="132">
        <f>'SAF 011'!S16</f>
        <v>400</v>
      </c>
      <c r="M18" s="139">
        <f t="shared" si="0"/>
        <v>44000</v>
      </c>
    </row>
    <row r="19" spans="1:13" s="122" customFormat="1" ht="16.5" customHeight="1" x14ac:dyDescent="0.25">
      <c r="A19" s="125">
        <v>8</v>
      </c>
      <c r="B19" s="126"/>
      <c r="C19" s="155" t="str">
        <f>'SAF 011'!E17</f>
        <v>SONDA NASOGASTRICA K 31</v>
      </c>
      <c r="D19" s="156"/>
      <c r="E19" s="156"/>
      <c r="F19" s="156"/>
      <c r="G19" s="157"/>
      <c r="H19" s="130" t="s">
        <v>126</v>
      </c>
      <c r="I19" s="131" t="str">
        <f>'SAF 011'!F17</f>
        <v>UNIDAD</v>
      </c>
      <c r="J19" s="137">
        <f>'SAF 011'!AX17</f>
        <v>35</v>
      </c>
      <c r="K19" s="132">
        <f>'SAF 011'!S17</f>
        <v>1000</v>
      </c>
      <c r="M19" s="139">
        <f t="shared" si="0"/>
        <v>35000</v>
      </c>
    </row>
    <row r="20" spans="1:13" s="122" customFormat="1" ht="16.5" customHeight="1" x14ac:dyDescent="0.25">
      <c r="A20" s="125">
        <v>9</v>
      </c>
      <c r="B20" s="126"/>
      <c r="C20" s="155" t="str">
        <f>'SAF 011'!E18</f>
        <v>SONDA NASOGASTRICA K 33</v>
      </c>
      <c r="D20" s="156"/>
      <c r="E20" s="156"/>
      <c r="F20" s="156"/>
      <c r="G20" s="157"/>
      <c r="H20" s="130" t="s">
        <v>126</v>
      </c>
      <c r="I20" s="131" t="str">
        <f>'SAF 011'!F18</f>
        <v>UNIDAD</v>
      </c>
      <c r="J20" s="137">
        <f>'SAF 011'!AX18</f>
        <v>35</v>
      </c>
      <c r="K20" s="132">
        <f>'SAF 011'!S18</f>
        <v>1000</v>
      </c>
      <c r="M20" s="139">
        <f t="shared" si="0"/>
        <v>35000</v>
      </c>
    </row>
    <row r="21" spans="1:13" s="122" customFormat="1" ht="16.5" customHeight="1" x14ac:dyDescent="0.25">
      <c r="A21" s="125">
        <v>10</v>
      </c>
      <c r="B21" s="126"/>
      <c r="C21" s="155" t="str">
        <f>'SAF 011'!E19</f>
        <v>SONDA NASOGASTRICA K 35</v>
      </c>
      <c r="D21" s="156"/>
      <c r="E21" s="156"/>
      <c r="F21" s="156"/>
      <c r="G21" s="157"/>
      <c r="H21" s="130" t="s">
        <v>126</v>
      </c>
      <c r="I21" s="131" t="str">
        <f>'SAF 011'!F19</f>
        <v>UNIDAD</v>
      </c>
      <c r="J21" s="137">
        <f>'SAF 011'!AX19</f>
        <v>35</v>
      </c>
      <c r="K21" s="132">
        <f>'SAF 011'!S19</f>
        <v>500</v>
      </c>
      <c r="M21" s="139">
        <f t="shared" si="0"/>
        <v>17500</v>
      </c>
    </row>
    <row r="22" spans="1:13" s="122" customFormat="1" ht="16.5" customHeight="1" x14ac:dyDescent="0.25">
      <c r="A22" s="125">
        <v>11</v>
      </c>
      <c r="B22" s="126"/>
      <c r="C22" s="155" t="str">
        <f>'SAF 011'!E20</f>
        <v>SONDA RECTAL DE PVC  ADULTO N°20</v>
      </c>
      <c r="D22" s="156"/>
      <c r="E22" s="156"/>
      <c r="F22" s="156"/>
      <c r="G22" s="157"/>
      <c r="H22" s="130" t="s">
        <v>126</v>
      </c>
      <c r="I22" s="131" t="str">
        <f>'SAF 011'!F20</f>
        <v>UNIDAD</v>
      </c>
      <c r="J22" s="137">
        <f>'SAF 011'!AX20</f>
        <v>45</v>
      </c>
      <c r="K22" s="132">
        <f>'SAF 011'!S20</f>
        <v>50</v>
      </c>
      <c r="M22" s="139">
        <f t="shared" si="0"/>
        <v>2250</v>
      </c>
    </row>
    <row r="23" spans="1:13" s="122" customFormat="1" ht="15.75" customHeight="1" x14ac:dyDescent="0.25">
      <c r="A23" s="125">
        <v>12</v>
      </c>
      <c r="B23" s="126"/>
      <c r="C23" s="155" t="str">
        <f>'SAF 011'!E21</f>
        <v>SONDA RECTAL DE PVC ADULTO N°26</v>
      </c>
      <c r="D23" s="156"/>
      <c r="E23" s="156"/>
      <c r="F23" s="156"/>
      <c r="G23" s="157"/>
      <c r="H23" s="130" t="s">
        <v>126</v>
      </c>
      <c r="I23" s="131" t="str">
        <f>'SAF 011'!F21</f>
        <v>UNIDAD</v>
      </c>
      <c r="J23" s="137">
        <f>'SAF 011'!AX21</f>
        <v>45</v>
      </c>
      <c r="K23" s="132">
        <f>'SAF 011'!S21</f>
        <v>50</v>
      </c>
      <c r="M23" s="139">
        <f t="shared" si="0"/>
        <v>2250</v>
      </c>
    </row>
    <row r="24" spans="1:13" s="122" customFormat="1" x14ac:dyDescent="0.25">
      <c r="A24" s="125"/>
      <c r="B24" s="126"/>
      <c r="C24" s="158"/>
      <c r="D24" s="158"/>
      <c r="E24" s="158"/>
      <c r="F24" s="158"/>
      <c r="G24" s="158"/>
      <c r="H24" s="130"/>
      <c r="I24" s="131"/>
      <c r="J24" s="137"/>
      <c r="K24" s="132"/>
      <c r="M24" s="139"/>
    </row>
    <row r="25" spans="1:13" s="140" customFormat="1" ht="19.5" thickBot="1" x14ac:dyDescent="0.3">
      <c r="A25" s="153" t="s">
        <v>127</v>
      </c>
      <c r="B25" s="153"/>
      <c r="C25" s="153"/>
      <c r="D25" s="153"/>
      <c r="E25" s="153"/>
      <c r="F25" s="153"/>
      <c r="G25" s="153"/>
      <c r="H25" s="153"/>
      <c r="I25" s="153"/>
      <c r="J25" s="154">
        <f>+M25</f>
        <v>485300</v>
      </c>
      <c r="K25" s="154"/>
      <c r="M25" s="141">
        <f>SUM(M12:M24)</f>
        <v>485300</v>
      </c>
    </row>
  </sheetData>
  <mergeCells count="35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A25:I25"/>
    <mergeCell ref="J25:K25"/>
    <mergeCell ref="C17:G17"/>
    <mergeCell ref="C18:G18"/>
    <mergeCell ref="C19:G19"/>
    <mergeCell ref="C20:G20"/>
    <mergeCell ref="C21:G21"/>
    <mergeCell ref="C24:G24"/>
    <mergeCell ref="C22:G22"/>
    <mergeCell ref="C23:G2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0" workbookViewId="0">
      <selection activeCell="A39" sqref="A39:Q39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87" t="s">
        <v>5</v>
      </c>
      <c r="B1" s="187"/>
      <c r="C1" s="187"/>
      <c r="D1" s="188">
        <v>2022</v>
      </c>
      <c r="E1" s="188"/>
      <c r="F1" s="75"/>
      <c r="G1" s="75"/>
      <c r="H1" s="76"/>
      <c r="I1" s="76"/>
      <c r="J1" s="76"/>
      <c r="K1" s="76"/>
      <c r="L1" s="76"/>
      <c r="M1" s="76"/>
      <c r="N1" s="76"/>
      <c r="O1" s="77"/>
      <c r="P1" s="189" t="s">
        <v>91</v>
      </c>
      <c r="Q1" s="189"/>
    </row>
    <row r="2" spans="1:17" ht="15.75" thickBot="1" x14ac:dyDescent="0.3">
      <c r="A2" s="78"/>
      <c r="B2" s="79"/>
      <c r="C2" s="79"/>
      <c r="D2" s="79"/>
      <c r="E2" s="79"/>
      <c r="F2" s="79"/>
      <c r="G2" s="80"/>
      <c r="H2" s="81"/>
      <c r="I2" s="81"/>
      <c r="J2" s="81"/>
      <c r="K2" s="81"/>
      <c r="L2" s="81"/>
      <c r="M2" s="81"/>
      <c r="N2" s="81"/>
      <c r="O2" s="79"/>
      <c r="P2" s="189"/>
      <c r="Q2" s="189"/>
    </row>
    <row r="3" spans="1:17" ht="15.75" thickBot="1" x14ac:dyDescent="0.3">
      <c r="A3" s="78"/>
      <c r="B3" s="79"/>
      <c r="C3" s="79"/>
      <c r="D3" s="79"/>
      <c r="E3" s="79"/>
      <c r="F3" s="79"/>
      <c r="G3" s="80"/>
      <c r="H3" s="79"/>
      <c r="I3" s="79"/>
      <c r="J3" s="79"/>
      <c r="K3" s="79"/>
      <c r="L3" s="79"/>
      <c r="M3" s="79"/>
      <c r="N3" s="79"/>
      <c r="O3" s="79"/>
      <c r="P3" s="79"/>
      <c r="Q3" s="82"/>
    </row>
    <row r="4" spans="1:17" ht="15.75" thickBot="1" x14ac:dyDescent="0.3">
      <c r="A4" s="190" t="s">
        <v>92</v>
      </c>
      <c r="B4" s="190"/>
      <c r="C4" s="190"/>
      <c r="D4" s="190"/>
      <c r="E4" s="190"/>
      <c r="F4" s="190"/>
      <c r="G4" s="191" t="str">
        <f>NP!D3</f>
        <v>040 - MINISTERIO DE SALUD</v>
      </c>
      <c r="H4" s="191"/>
      <c r="I4" s="191"/>
      <c r="J4" s="191"/>
      <c r="K4" s="191"/>
      <c r="L4" s="191"/>
      <c r="M4" s="191"/>
      <c r="N4" s="191"/>
      <c r="O4" s="191"/>
      <c r="P4" s="191"/>
      <c r="Q4" s="191"/>
    </row>
    <row r="5" spans="1:17" ht="15.75" thickBot="1" x14ac:dyDescent="0.3">
      <c r="A5" s="192" t="s">
        <v>79</v>
      </c>
      <c r="B5" s="192"/>
      <c r="C5" s="192"/>
      <c r="D5" s="192"/>
      <c r="E5" s="192"/>
      <c r="F5" s="192"/>
      <c r="G5" s="191" t="str">
        <f>NP!D4</f>
        <v>011 - DIRECCION PROVINCIAL DE ADMINISTRACION - MINISTERIO DE SALUD</v>
      </c>
      <c r="H5" s="191"/>
      <c r="I5" s="191"/>
      <c r="J5" s="191"/>
      <c r="K5" s="191"/>
      <c r="L5" s="191"/>
      <c r="M5" s="191"/>
      <c r="N5" s="191"/>
      <c r="O5" s="191"/>
      <c r="P5" s="191"/>
      <c r="Q5" s="191"/>
    </row>
    <row r="6" spans="1:17" ht="15.75" thickBot="1" x14ac:dyDescent="0.3">
      <c r="A6" s="192" t="s">
        <v>80</v>
      </c>
      <c r="B6" s="192"/>
      <c r="C6" s="192"/>
      <c r="D6" s="192"/>
      <c r="E6" s="192"/>
      <c r="F6" s="192"/>
      <c r="G6" s="191" t="str">
        <f>NP!D5</f>
        <v>DIRECCION PROVINCIAL DE FARMACIA E INSUMOS</v>
      </c>
      <c r="H6" s="191"/>
      <c r="I6" s="191"/>
      <c r="J6" s="191"/>
      <c r="K6" s="191"/>
      <c r="L6" s="191"/>
      <c r="M6" s="191"/>
      <c r="N6" s="191"/>
      <c r="O6" s="191"/>
      <c r="P6" s="191"/>
      <c r="Q6" s="191"/>
    </row>
    <row r="7" spans="1:17" ht="15.75" thickBot="1" x14ac:dyDescent="0.3">
      <c r="A7" s="192" t="s">
        <v>81</v>
      </c>
      <c r="B7" s="192"/>
      <c r="C7" s="192"/>
      <c r="D7" s="192"/>
      <c r="E7" s="192"/>
      <c r="F7" s="192"/>
      <c r="G7" s="191" t="str">
        <f>NP!D6</f>
        <v>DIRECCION PROVINCIAL DE FARMACIA E INSUMOS</v>
      </c>
      <c r="H7" s="191"/>
      <c r="I7" s="191"/>
      <c r="J7" s="191"/>
      <c r="K7" s="191"/>
      <c r="L7" s="191"/>
      <c r="M7" s="191"/>
      <c r="N7" s="191"/>
      <c r="O7" s="191"/>
      <c r="P7" s="191"/>
      <c r="Q7" s="191"/>
    </row>
    <row r="8" spans="1:17" ht="15.75" thickBot="1" x14ac:dyDescent="0.3">
      <c r="A8" s="193" t="s">
        <v>93</v>
      </c>
      <c r="B8" s="193"/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</row>
    <row r="9" spans="1:17" ht="20.25" customHeight="1" x14ac:dyDescent="0.25">
      <c r="A9" s="186" t="s">
        <v>94</v>
      </c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</row>
    <row r="10" spans="1:17" ht="69" customHeight="1" x14ac:dyDescent="0.25">
      <c r="A10" s="179" t="s">
        <v>128</v>
      </c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</row>
    <row r="11" spans="1:17" ht="15.75" thickBot="1" x14ac:dyDescent="0.3">
      <c r="A11" s="83"/>
      <c r="B11" s="84"/>
      <c r="C11" s="84"/>
      <c r="D11" s="84"/>
      <c r="E11" s="84"/>
      <c r="F11" s="84"/>
      <c r="G11" s="85"/>
      <c r="H11" s="84"/>
      <c r="I11" s="84"/>
      <c r="J11" s="84"/>
      <c r="K11" s="84"/>
      <c r="L11" s="84"/>
      <c r="M11" s="84"/>
      <c r="N11" s="84"/>
      <c r="O11" s="84"/>
      <c r="P11" s="84"/>
      <c r="Q11" s="86"/>
    </row>
    <row r="12" spans="1:17" ht="15.75" thickBot="1" x14ac:dyDescent="0.3">
      <c r="A12" s="180" t="s">
        <v>95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</row>
    <row r="13" spans="1:17" ht="15.75" thickBot="1" x14ac:dyDescent="0.3">
      <c r="A13" s="181" t="s">
        <v>96</v>
      </c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2" t="s">
        <v>97</v>
      </c>
      <c r="P13" s="182"/>
      <c r="Q13" s="183" t="s">
        <v>98</v>
      </c>
    </row>
    <row r="14" spans="1:17" ht="15.75" thickBot="1" x14ac:dyDescent="0.3">
      <c r="A14" s="87" t="s">
        <v>99</v>
      </c>
      <c r="B14" s="88" t="s">
        <v>100</v>
      </c>
      <c r="C14" s="88" t="s">
        <v>101</v>
      </c>
      <c r="D14" s="88" t="s">
        <v>102</v>
      </c>
      <c r="E14" s="88" t="s">
        <v>103</v>
      </c>
      <c r="F14" s="88" t="s">
        <v>104</v>
      </c>
      <c r="G14" s="89" t="s">
        <v>105</v>
      </c>
      <c r="H14" s="88" t="s">
        <v>106</v>
      </c>
      <c r="I14" s="88" t="s">
        <v>107</v>
      </c>
      <c r="J14" s="88" t="s">
        <v>108</v>
      </c>
      <c r="K14" s="88" t="s">
        <v>108</v>
      </c>
      <c r="L14" s="88" t="s">
        <v>109</v>
      </c>
      <c r="M14" s="90" t="s">
        <v>110</v>
      </c>
      <c r="N14" s="91" t="s">
        <v>111</v>
      </c>
      <c r="O14" s="182"/>
      <c r="P14" s="182"/>
      <c r="Q14" s="183"/>
    </row>
    <row r="15" spans="1:17" ht="48.75" customHeight="1" x14ac:dyDescent="0.25">
      <c r="A15" s="92">
        <v>30</v>
      </c>
      <c r="B15" s="93"/>
      <c r="C15" s="93"/>
      <c r="D15" s="93">
        <v>1</v>
      </c>
      <c r="E15" s="93"/>
      <c r="F15" s="93">
        <v>4901</v>
      </c>
      <c r="G15" s="93">
        <v>3</v>
      </c>
      <c r="H15" s="93">
        <v>1</v>
      </c>
      <c r="I15" s="93">
        <v>2</v>
      </c>
      <c r="J15" s="93">
        <v>9</v>
      </c>
      <c r="K15" s="93">
        <v>5</v>
      </c>
      <c r="L15" s="93"/>
      <c r="M15" s="94">
        <v>1</v>
      </c>
      <c r="N15" s="93" t="s">
        <v>123</v>
      </c>
      <c r="O15" s="184" t="s">
        <v>129</v>
      </c>
      <c r="P15" s="184"/>
      <c r="Q15" s="95">
        <f>NP!M25</f>
        <v>485300</v>
      </c>
    </row>
    <row r="16" spans="1:17" x14ac:dyDescent="0.25">
      <c r="A16" s="96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8"/>
      <c r="N16" s="99"/>
      <c r="O16" s="173"/>
      <c r="P16" s="173"/>
      <c r="Q16" s="100"/>
    </row>
    <row r="17" spans="1:17" x14ac:dyDescent="0.25">
      <c r="A17" s="96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8"/>
      <c r="N17" s="99"/>
      <c r="O17" s="185"/>
      <c r="P17" s="185"/>
      <c r="Q17" s="100"/>
    </row>
    <row r="18" spans="1:17" x14ac:dyDescent="0.25">
      <c r="A18" s="96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8"/>
      <c r="N18" s="99"/>
      <c r="O18" s="178"/>
      <c r="P18" s="178"/>
      <c r="Q18" s="100"/>
    </row>
    <row r="19" spans="1:17" x14ac:dyDescent="0.25">
      <c r="A19" s="96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8"/>
      <c r="N19" s="99"/>
      <c r="O19" s="178"/>
      <c r="P19" s="178"/>
      <c r="Q19" s="100"/>
    </row>
    <row r="20" spans="1:17" x14ac:dyDescent="0.25">
      <c r="A20" s="96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8"/>
      <c r="N20" s="99"/>
      <c r="O20" s="178"/>
      <c r="P20" s="178"/>
      <c r="Q20" s="100"/>
    </row>
    <row r="21" spans="1:17" x14ac:dyDescent="0.25">
      <c r="A21" s="96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8"/>
      <c r="N21" s="99"/>
      <c r="O21" s="178"/>
      <c r="P21" s="178"/>
      <c r="Q21" s="100"/>
    </row>
    <row r="22" spans="1:17" x14ac:dyDescent="0.25">
      <c r="A22" s="96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8"/>
      <c r="N22" s="99"/>
      <c r="O22" s="178"/>
      <c r="P22" s="178"/>
      <c r="Q22" s="100"/>
    </row>
    <row r="23" spans="1:17" x14ac:dyDescent="0.25">
      <c r="A23" s="96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8"/>
      <c r="N23" s="99"/>
      <c r="O23" s="178"/>
      <c r="P23" s="178"/>
      <c r="Q23" s="100"/>
    </row>
    <row r="24" spans="1:17" x14ac:dyDescent="0.25">
      <c r="A24" s="96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8"/>
      <c r="N24" s="99"/>
      <c r="O24" s="178"/>
      <c r="P24" s="178"/>
      <c r="Q24" s="100"/>
    </row>
    <row r="25" spans="1:17" x14ac:dyDescent="0.25">
      <c r="A25" s="96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8"/>
      <c r="N25" s="99"/>
      <c r="O25" s="178"/>
      <c r="P25" s="178"/>
      <c r="Q25" s="100"/>
    </row>
    <row r="26" spans="1:17" x14ac:dyDescent="0.25">
      <c r="A26" s="96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8"/>
      <c r="N26" s="99"/>
      <c r="O26" s="178"/>
      <c r="P26" s="178"/>
      <c r="Q26" s="100"/>
    </row>
    <row r="27" spans="1:17" x14ac:dyDescent="0.25">
      <c r="A27" s="96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8"/>
      <c r="N27" s="99"/>
      <c r="O27" s="178"/>
      <c r="P27" s="178"/>
      <c r="Q27" s="100"/>
    </row>
    <row r="28" spans="1:17" x14ac:dyDescent="0.25">
      <c r="A28" s="96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8"/>
      <c r="N28" s="99"/>
      <c r="O28" s="178"/>
      <c r="P28" s="178"/>
      <c r="Q28" s="100"/>
    </row>
    <row r="29" spans="1:17" x14ac:dyDescent="0.25">
      <c r="A29" s="96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8"/>
      <c r="N29" s="99"/>
      <c r="O29" s="178"/>
      <c r="P29" s="178"/>
      <c r="Q29" s="100"/>
    </row>
    <row r="30" spans="1:17" x14ac:dyDescent="0.25">
      <c r="A30" s="96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8"/>
      <c r="N30" s="99"/>
      <c r="O30" s="178"/>
      <c r="P30" s="178"/>
      <c r="Q30" s="100"/>
    </row>
    <row r="31" spans="1:17" x14ac:dyDescent="0.25">
      <c r="A31" s="96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8"/>
      <c r="N31" s="99"/>
      <c r="O31" s="178"/>
      <c r="P31" s="178"/>
      <c r="Q31" s="100"/>
    </row>
    <row r="32" spans="1:17" x14ac:dyDescent="0.25">
      <c r="A32" s="96"/>
      <c r="B32" s="97"/>
      <c r="C32" s="97"/>
      <c r="D32" s="97"/>
      <c r="E32" s="97"/>
      <c r="F32" s="99"/>
      <c r="G32" s="97"/>
      <c r="H32" s="97"/>
      <c r="I32" s="97"/>
      <c r="J32" s="97"/>
      <c r="K32" s="97"/>
      <c r="L32" s="97"/>
      <c r="M32" s="98"/>
      <c r="N32" s="99"/>
      <c r="O32" s="173"/>
      <c r="P32" s="173"/>
      <c r="Q32" s="100"/>
    </row>
    <row r="33" spans="1:17" x14ac:dyDescent="0.25">
      <c r="A33" s="96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8"/>
      <c r="N33" s="99"/>
      <c r="O33" s="173"/>
      <c r="P33" s="173"/>
      <c r="Q33" s="100"/>
    </row>
    <row r="34" spans="1:17" x14ac:dyDescent="0.25">
      <c r="A34" s="96"/>
      <c r="B34" s="97"/>
      <c r="C34" s="97"/>
      <c r="D34" s="97"/>
      <c r="E34" s="97"/>
      <c r="F34" s="99"/>
      <c r="G34" s="97"/>
      <c r="H34" s="97"/>
      <c r="I34" s="97"/>
      <c r="J34" s="97"/>
      <c r="K34" s="97"/>
      <c r="L34" s="97"/>
      <c r="M34" s="98"/>
      <c r="N34" s="99"/>
      <c r="O34" s="173"/>
      <c r="P34" s="173"/>
      <c r="Q34" s="100"/>
    </row>
    <row r="35" spans="1:17" x14ac:dyDescent="0.25">
      <c r="A35" s="96"/>
      <c r="B35" s="97"/>
      <c r="C35" s="97"/>
      <c r="D35" s="97"/>
      <c r="E35" s="97"/>
      <c r="F35" s="99"/>
      <c r="G35" s="97"/>
      <c r="H35" s="97"/>
      <c r="I35" s="97"/>
      <c r="J35" s="97"/>
      <c r="K35" s="97"/>
      <c r="L35" s="97"/>
      <c r="M35" s="98"/>
      <c r="N35" s="99"/>
      <c r="O35" s="173"/>
      <c r="P35" s="173"/>
      <c r="Q35" s="100"/>
    </row>
    <row r="36" spans="1:17" x14ac:dyDescent="0.25">
      <c r="A36" s="101"/>
      <c r="B36" s="102"/>
      <c r="C36" s="102"/>
      <c r="D36" s="102"/>
      <c r="E36" s="102"/>
      <c r="F36" s="103"/>
      <c r="G36" s="102"/>
      <c r="H36" s="102"/>
      <c r="I36" s="102"/>
      <c r="J36" s="102"/>
      <c r="K36" s="102"/>
      <c r="L36" s="102"/>
      <c r="M36" s="104"/>
      <c r="N36" s="105"/>
      <c r="O36" s="174"/>
      <c r="P36" s="174"/>
      <c r="Q36" s="100"/>
    </row>
    <row r="37" spans="1:17" ht="15.75" thickBot="1" x14ac:dyDescent="0.3">
      <c r="A37" s="106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8"/>
      <c r="N37" s="107"/>
      <c r="O37" s="175"/>
      <c r="P37" s="175"/>
      <c r="Q37" s="109"/>
    </row>
    <row r="38" spans="1:17" ht="15.75" thickBot="1" x14ac:dyDescent="0.3">
      <c r="A38" s="176" t="s">
        <v>130</v>
      </c>
      <c r="B38" s="176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10">
        <f>SUM(Q15:Q37)</f>
        <v>485300</v>
      </c>
    </row>
    <row r="39" spans="1:17" ht="15.75" thickBot="1" x14ac:dyDescent="0.3">
      <c r="A39" s="177"/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</row>
    <row r="40" spans="1:17" ht="15.75" thickBot="1" x14ac:dyDescent="0.3">
      <c r="A40" s="170" t="s">
        <v>112</v>
      </c>
      <c r="B40" s="170"/>
      <c r="C40" s="170"/>
      <c r="D40" s="170"/>
      <c r="E40" s="170"/>
      <c r="F40" s="170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</row>
    <row r="41" spans="1:17" ht="15.75" thickBot="1" x14ac:dyDescent="0.3">
      <c r="A41" s="172" t="str">
        <f>NP!D8</f>
        <v>ADQUISICION DEL RUBRO DESCARTABLE COMUN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</row>
    <row r="42" spans="1:17" ht="15.75" thickBot="1" x14ac:dyDescent="0.3">
      <c r="A42" s="172"/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2021-12-21T17:55:07Z</dcterms:created>
  <dcterms:modified xsi:type="dcterms:W3CDTF">2022-01-10T16:14:34Z</dcterms:modified>
</cp:coreProperties>
</file>