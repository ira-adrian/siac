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19410" windowHeight="11010" tabRatio="500" activeTab="2"/>
  </bookViews>
  <sheets>
    <sheet name="Necesidades Trimestrales" sheetId="1" r:id="rId1"/>
    <sheet name="NotaPedido" sheetId="2" r:id="rId2"/>
    <sheet name="Autor Gastar" sheetId="3" r:id="rId3"/>
  </sheets>
  <definedNames>
    <definedName name="_xlnm._FilterDatabase" localSheetId="0" hidden="1">'Necesidades Trimestrales'!$A$9:$I$24</definedName>
    <definedName name="_xlnm.Print_Area" localSheetId="2">'Autor Gastar'!$A$1:$Q$27</definedName>
    <definedName name="_xlnm.Print_Area" localSheetId="1">NotaPedido!$A$1:$K$27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5" i="3" l="1"/>
  <c r="K13" i="2" l="1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I18" i="1" l="1"/>
  <c r="I17" i="1"/>
  <c r="I13" i="1"/>
  <c r="B12" i="2" l="1"/>
  <c r="K12" i="2"/>
  <c r="C12" i="2"/>
  <c r="J12" i="2"/>
  <c r="I12" i="2"/>
  <c r="A26" i="3"/>
  <c r="A10" i="3"/>
  <c r="I24" i="1"/>
  <c r="I23" i="1"/>
  <c r="I22" i="1"/>
  <c r="I20" i="1"/>
  <c r="J27" i="2" l="1"/>
  <c r="I10" i="1" l="1"/>
  <c r="I11" i="1"/>
  <c r="I12" i="1"/>
  <c r="I14" i="1"/>
  <c r="I15" i="1"/>
  <c r="I16" i="1"/>
  <c r="I19" i="1"/>
  <c r="I21" i="1"/>
  <c r="G6" i="3" l="1"/>
  <c r="G7" i="3"/>
  <c r="D7" i="2"/>
  <c r="D3" i="2"/>
  <c r="G4" i="3" s="1"/>
  <c r="D4" i="2"/>
  <c r="G5" i="3" s="1"/>
  <c r="D1" i="3" l="1"/>
</calcChain>
</file>

<file path=xl/comments1.xml><?xml version="1.0" encoding="utf-8"?>
<comments xmlns="http://schemas.openxmlformats.org/spreadsheetml/2006/main">
  <authors>
    <author>LICITACION23</author>
  </authors>
  <commentList>
    <comment ref="H18" authorId="0">
      <text>
        <r>
          <rPr>
            <b/>
            <sz val="9"/>
            <color indexed="81"/>
            <rFont val="Tahoma"/>
            <family val="2"/>
          </rPr>
          <t>LICITACION23: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<sst xmlns="http://schemas.openxmlformats.org/spreadsheetml/2006/main" count="156" uniqueCount="99">
  <si>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</si>
  <si>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</si>
  <si>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</si>
  <si>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</si>
  <si>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</si>
  <si>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</si>
  <si>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</si>
  <si>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</si>
  <si>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</si>
  <si>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</si>
  <si>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</si>
  <si>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</si>
  <si>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</si>
  <si>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</si>
  <si>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</si>
  <si>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</si>
  <si>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</si>
  <si>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</si>
  <si>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</si>
  <si>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</si>
  <si>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</si>
  <si>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</si>
  <si>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</si>
  <si>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</si>
  <si>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</si>
  <si>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</si>
  <si>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</si>
  <si>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</si>
  <si>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</si>
  <si>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</si>
  <si>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</si>
  <si>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</si>
  <si>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</si>
  <si>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</si>
  <si>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</si>
  <si>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</si>
  <si>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</si>
  <si>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</si>
  <si>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</si>
  <si>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</si>
  <si>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</si>
  <si>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</si>
  <si>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</si>
  <si>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</si>
  <si>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</si>
  <si>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</si>
  <si>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</si>
  <si>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</si>
  <si>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</si>
  <si>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</si>
  <si>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</si>
  <si>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</si>
  <si>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</si>
  <si>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</si>
  <si>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</si>
  <si>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</si>
  <si>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</si>
  <si>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</si>
  <si>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</si>
  <si>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</si>
  <si>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 xml:space="preserve">45 dias habiles </t>
  </si>
  <si>
    <t>3.1</t>
  </si>
  <si>
    <t>1.1</t>
  </si>
  <si>
    <t>Utiles Menores Med. Quir. y de Lab.</t>
  </si>
  <si>
    <t xml:space="preserve">LAMPARA HALOGENA COBAS C-311 ROCHE </t>
  </si>
  <si>
    <t>CAJA</t>
  </si>
  <si>
    <t>UNIDAD</t>
  </si>
  <si>
    <t>Frascos Hemocultivo BD BACTEC Plus/Aerobic/F culture vials x 30ml por 50</t>
  </si>
  <si>
    <t>Enterotest individual Urea x 24 tubos T/Brizuela</t>
  </si>
  <si>
    <t>Caja</t>
  </si>
  <si>
    <t xml:space="preserve">Servicio de Laboratorio Central </t>
  </si>
  <si>
    <t>2.9.6</t>
  </si>
  <si>
    <t xml:space="preserve">REPUESTOS Y ACCESORIOS </t>
  </si>
  <si>
    <t>017 - 2022</t>
  </si>
  <si>
    <t xml:space="preserve">Adquisición de Insumos y Descartables para Laboratorio </t>
  </si>
  <si>
    <t>2010 ASSAY CUP</t>
  </si>
  <si>
    <t>2010 ASSAY TIP</t>
  </si>
  <si>
    <t>2.9.5</t>
  </si>
  <si>
    <t>CLOT CATCHER P COBAS B221 X 250 UNIDADES</t>
  </si>
  <si>
    <t>CUBETAS DE REACCION P/COAGULOMETRO CUATRON X 500 UNIDADES</t>
  </si>
  <si>
    <t>PAPEL TERMICO P/COBAS U411</t>
  </si>
  <si>
    <t>TUBOS CON CITRATO AL VACIO 3,2% X 2,7 ML, TIPO BD , TAPA CELESTE UND</t>
  </si>
  <si>
    <t xml:space="preserve">TUBOS CON EDTA AL VACIO X 2 MLTIPO BD  TAPA LILA </t>
  </si>
  <si>
    <t>TUBOS CON GEL AL VACIO 3,5 ML, TIPO BD , TAPA AMARILLA UND</t>
  </si>
  <si>
    <t>BOLSA</t>
  </si>
  <si>
    <t>ROLLO</t>
  </si>
  <si>
    <t xml:space="preserve">HISOPOS DE MADERA BOLSA X 100 UNIDADES CADA BOLSA </t>
  </si>
  <si>
    <t xml:space="preserve">Repuestos y Accesorios </t>
  </si>
  <si>
    <t>Presentar copia certificada de Resolución de Habilitación expedida por la Subsecretaria de Asistencia en Salud  Publica o copia certificada de Certificado de Habilitación de Establecimiento y/o copia certificada de Certificado de Transito Interjurisdiccional emitido por A.N.M.A.T, el que correspondiere conforme a la situación de cada establecimiento cotizante (Laboratorio, Droguería, etc.), en caso de corresponder. Indicar Marca y Numero de Certificado de ANMAT por ítem. VENCIMIENTO DE LOS INSUMOS: UN PLAZO NO MENOR A LOS 06 MESES DE LA FECHA DE RECEPCION</t>
  </si>
  <si>
    <t>LUGAR Y PLAZO DE ENTREGA:  Servicio de Laboratorio Central del HISJB - Avda. Illia y Mariano Moreno - Lunes a Viernes de 08:00 a 12:00 horas  - 15 días habiles</t>
  </si>
  <si>
    <t xml:space="preserve">PLAZO DE MANTENIMIENTO: 45 DIAS HABILES </t>
  </si>
  <si>
    <t xml:space="preserve">15 dias habiles - Servicio de Laboratorio Central del HISJB - Lunes a Viernes de 08:00 a 12:00 horas </t>
  </si>
  <si>
    <t>Especificidades Item N° :</t>
  </si>
  <si>
    <t>AMPOULER PARA COBAS B221 - CAJA x 150 UNIDADES</t>
  </si>
  <si>
    <t xml:space="preserve">Ansas de plasticos estériles descartables de 10ul x 12 unidades </t>
  </si>
  <si>
    <t xml:space="preserve">BOLSA </t>
  </si>
  <si>
    <t xml:space="preserve">CONTENEDOR DE RESIDUOS X 2 UNDIDADES P/COBAS B221 WASTE CONTAINER </t>
  </si>
  <si>
    <t>Costo total estimado: DOS MILLONES DOSCIENTOS VEINTINUEVE MIL CUATROCIENTOS SESENTA Y SIETE CON 00/100.-</t>
  </si>
  <si>
    <t>TOTAL DE PESOS: DOS MILLONES DOSCIENTOS VEINTINUEVE MIL CUATROCIENTOS SESENTA Y SIETE CON 00/100.---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</si>
</sst>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 [$$-2C0A]\ * #,##0.00_ ;_ [$$-2C0A]\ * \-#,##0.00_ ;_ [$$-2C0A]\ * &quot;-&quot;??_ ;_ @_ "/>
    <numFmt numFmtId="170" formatCode="_-[$$-2C0A]\ * #,##0.00_-;\-[$$-2C0A]\ * #,##0.00_-;_-[$$-2C0A]\ * &quot;-&quot;??_-;_-@_-"/>
  </numFmts>
  <fonts count="30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Times New Roman"/>
      <family val="1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8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47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1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1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2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27" fillId="4" borderId="14" xfId="0" applyFont="1" applyFill="1" applyBorder="1" applyAlignment="1">
      <alignment horizontal="center" vertical="center" wrapText="1"/>
    </xf>
    <xf numFmtId="166" fontId="14" fillId="4" borderId="14" xfId="1" applyNumberFormat="1" applyFont="1" applyFill="1" applyBorder="1" applyAlignment="1" applyProtection="1">
      <alignment horizontal="center" vertical="center" wrapText="1"/>
    </xf>
    <xf numFmtId="166" fontId="14" fillId="4" borderId="14" xfId="1" applyNumberFormat="1" applyFont="1" applyFill="1" applyBorder="1" applyAlignment="1" applyProtection="1">
      <alignment horizontal="right" vertical="center" wrapText="1"/>
    </xf>
    <xf numFmtId="0" fontId="28" fillId="5" borderId="14" xfId="0" applyFont="1" applyFill="1" applyBorder="1" applyAlignment="1">
      <alignment horizontal="center" vertical="center"/>
    </xf>
    <xf numFmtId="169" fontId="28" fillId="5" borderId="14" xfId="1" applyNumberFormat="1" applyFont="1" applyFill="1" applyBorder="1" applyAlignment="1">
      <alignment horizontal="center" vertical="center"/>
    </xf>
    <xf numFmtId="169" fontId="28" fillId="5" borderId="14" xfId="0" applyNumberFormat="1" applyFont="1" applyFill="1" applyBorder="1" applyAlignment="1">
      <alignment horizontal="center" vertical="center"/>
    </xf>
    <xf numFmtId="0" fontId="20" fillId="5" borderId="14" xfId="0" applyFont="1" applyFill="1" applyBorder="1" applyAlignment="1">
      <alignment horizontal="center" vertical="center"/>
    </xf>
    <xf numFmtId="0" fontId="27" fillId="5" borderId="14" xfId="0" applyFont="1" applyFill="1" applyBorder="1" applyAlignment="1">
      <alignment horizontal="left" vertical="center" wrapText="1"/>
    </xf>
    <xf numFmtId="0" fontId="27" fillId="5" borderId="14" xfId="0" applyFont="1" applyFill="1" applyBorder="1" applyAlignment="1">
      <alignment horizontal="center" vertical="center" wrapText="1"/>
    </xf>
    <xf numFmtId="0" fontId="14" fillId="5" borderId="14" xfId="0" applyFont="1" applyFill="1" applyBorder="1" applyAlignment="1">
      <alignment vertical="center" wrapText="1"/>
    </xf>
    <xf numFmtId="0" fontId="27" fillId="5" borderId="14" xfId="0" applyFont="1" applyFill="1" applyBorder="1" applyAlignment="1">
      <alignment horizontal="center" vertical="center"/>
    </xf>
    <xf numFmtId="0" fontId="14" fillId="5" borderId="14" xfId="0" applyFont="1" applyFill="1" applyBorder="1" applyAlignment="1">
      <alignment horizontal="center" vertical="center"/>
    </xf>
    <xf numFmtId="169" fontId="14" fillId="5" borderId="14" xfId="1" applyNumberFormat="1" applyFont="1" applyFill="1" applyBorder="1" applyAlignment="1">
      <alignment horizontal="center" vertical="center"/>
    </xf>
    <xf numFmtId="0" fontId="28" fillId="5" borderId="14" xfId="0" applyNumberFormat="1" applyFont="1" applyFill="1" applyBorder="1" applyAlignment="1">
      <alignment horizontal="center" vertical="center"/>
    </xf>
    <xf numFmtId="167" fontId="14" fillId="5" borderId="14" xfId="0" applyNumberFormat="1" applyFont="1" applyFill="1" applyBorder="1" applyAlignment="1">
      <alignment horizontal="right" vertical="center"/>
    </xf>
    <xf numFmtId="0" fontId="14" fillId="5" borderId="14" xfId="0" applyFont="1" applyFill="1" applyBorder="1" applyAlignment="1">
      <alignment horizontal="center" vertical="center" wrapText="1"/>
    </xf>
    <xf numFmtId="0" fontId="28" fillId="5" borderId="14" xfId="0" applyFont="1" applyFill="1" applyBorder="1" applyAlignment="1">
      <alignment vertical="center" wrapText="1"/>
    </xf>
    <xf numFmtId="170" fontId="15" fillId="0" borderId="0" xfId="0" applyNumberFormat="1" applyFont="1"/>
    <xf numFmtId="0" fontId="14" fillId="5" borderId="14" xfId="0" applyFont="1" applyFill="1" applyBorder="1" applyAlignment="1">
      <alignment vertical="center"/>
    </xf>
    <xf numFmtId="169" fontId="14" fillId="5" borderId="14" xfId="0" applyNumberFormat="1" applyFont="1" applyFill="1" applyBorder="1" applyAlignment="1">
      <alignment vertical="center"/>
    </xf>
    <xf numFmtId="169" fontId="28" fillId="5" borderId="14" xfId="0" applyNumberFormat="1" applyFont="1" applyFill="1" applyBorder="1" applyAlignment="1">
      <alignment vertical="center"/>
    </xf>
    <xf numFmtId="170" fontId="14" fillId="5" borderId="14" xfId="1" applyNumberFormat="1" applyFont="1" applyFill="1" applyBorder="1" applyAlignment="1">
      <alignment vertical="center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2" fillId="4" borderId="0" xfId="0" applyFont="1" applyFill="1" applyBorder="1" applyAlignment="1">
      <alignment horizontal="left" wrapText="1" indent="1"/>
    </xf>
    <xf numFmtId="0" fontId="15" fillId="3" borderId="6" xfId="0" applyFont="1" applyFill="1" applyBorder="1" applyAlignment="1">
      <alignment horizontal="center" wrapText="1"/>
    </xf>
    <xf numFmtId="0" fontId="15" fillId="3" borderId="6" xfId="0" applyFont="1" applyFill="1" applyBorder="1" applyAlignment="1">
      <alignment horizontal="left" wrapText="1"/>
    </xf>
    <xf numFmtId="0" fontId="15" fillId="3" borderId="6" xfId="0" applyFont="1" applyFill="1" applyBorder="1" applyAlignment="1">
      <alignment horizontal="center"/>
    </xf>
    <xf numFmtId="0" fontId="15" fillId="3" borderId="0" xfId="0" applyFont="1" applyFill="1" applyBorder="1" applyAlignment="1">
      <alignment horizontal="left" vertical="center"/>
    </xf>
    <xf numFmtId="0" fontId="15" fillId="3" borderId="6" xfId="0" applyFont="1" applyFill="1" applyBorder="1" applyAlignment="1">
      <alignment horizontal="left" vertical="center"/>
    </xf>
    <xf numFmtId="0" fontId="15" fillId="4" borderId="6" xfId="0" applyFont="1" applyFill="1" applyBorder="1" applyAlignment="1">
      <alignment horizontal="center"/>
    </xf>
    <xf numFmtId="0" fontId="26" fillId="3" borderId="14" xfId="0" applyFont="1" applyFill="1" applyBorder="1" applyAlignment="1">
      <alignment horizontal="center" vertical="center" wrapText="1"/>
    </xf>
    <xf numFmtId="0" fontId="26" fillId="3" borderId="21" xfId="0" applyFont="1" applyFill="1" applyBorder="1" applyAlignment="1">
      <alignment horizontal="center" vertical="center" wrapText="1"/>
    </xf>
    <xf numFmtId="0" fontId="26" fillId="3" borderId="20" xfId="0" applyFont="1" applyFill="1" applyBorder="1" applyAlignment="1">
      <alignment horizontal="center" vertical="center" wrapText="1"/>
    </xf>
    <xf numFmtId="0" fontId="26" fillId="3" borderId="48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 wrapText="1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11" fillId="0" borderId="11" xfId="0" applyFont="1" applyBorder="1" applyAlignment="1">
      <alignment horizontal="left" indent="1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23" fillId="0" borderId="32" xfId="0" applyFont="1" applyBorder="1" applyAlignment="1">
      <alignment horizontal="left" vertical="center" wrapText="1"/>
    </xf>
    <xf numFmtId="0" fontId="23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0" fillId="0" borderId="38" xfId="0" applyFont="1" applyBorder="1" applyAlignment="1">
      <alignment horizontal="left" vertical="center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29" fillId="0" borderId="44" xfId="0" applyFont="1" applyBorder="1" applyAlignment="1">
      <alignment horizontal="left" vertical="center" wrapText="1"/>
    </xf>
    <xf numFmtId="0" fontId="0" fillId="0" borderId="22" xfId="0" applyBorder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J44"/>
  <sheetViews>
    <sheetView topLeftCell="A26" zoomScale="85" zoomScaleNormal="85" workbookViewId="0">
      <selection activeCell="J17" sqref="J17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0" width="13.85546875" style="39" customWidth="1"/>
    <col min="11" max="16384" width="11" style="39"/>
  </cols>
  <sheetData>
    <row r="2" spans="1:9" ht="27" x14ac:dyDescent="0.35">
      <c r="B2" s="94" t="s">
        <v>0</v>
      </c>
      <c r="C2" s="94"/>
      <c r="D2" s="94"/>
      <c r="E2" s="94"/>
      <c r="F2" s="94"/>
      <c r="G2" s="94"/>
      <c r="H2" s="94"/>
    </row>
    <row r="4" spans="1:9" ht="18" customHeight="1" x14ac:dyDescent="0.25">
      <c r="A4" s="95" t="s">
        <v>1</v>
      </c>
      <c r="B4" s="95"/>
      <c r="C4" s="96" t="s">
        <v>57</v>
      </c>
      <c r="D4" s="96"/>
      <c r="E4" s="96"/>
      <c r="F4" s="40"/>
      <c r="G4" s="41"/>
      <c r="H4" s="40"/>
    </row>
    <row r="5" spans="1:9" ht="18" customHeight="1" x14ac:dyDescent="0.25">
      <c r="A5" s="95" t="s">
        <v>2</v>
      </c>
      <c r="B5" s="95"/>
      <c r="C5" s="96" t="s">
        <v>58</v>
      </c>
      <c r="D5" s="96"/>
      <c r="E5" s="96"/>
      <c r="F5" s="40"/>
      <c r="G5" s="41"/>
      <c r="H5" s="40"/>
    </row>
    <row r="6" spans="1:9" ht="16.5" customHeight="1" x14ac:dyDescent="0.25">
      <c r="A6" s="95" t="s">
        <v>3</v>
      </c>
      <c r="B6" s="95"/>
      <c r="C6" s="56">
        <v>2022</v>
      </c>
      <c r="D6" s="57"/>
      <c r="E6" s="57"/>
      <c r="F6" s="40"/>
      <c r="G6" s="41"/>
      <c r="H6" s="40"/>
    </row>
    <row r="7" spans="1:9" ht="16.5" customHeight="1" x14ac:dyDescent="0.25">
      <c r="A7" s="95" t="s">
        <v>4</v>
      </c>
      <c r="B7" s="95"/>
      <c r="C7" s="56">
        <v>1</v>
      </c>
      <c r="D7" s="57"/>
      <c r="E7" s="57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ht="31.9" customHeight="1" thickBot="1" x14ac:dyDescent="0.25">
      <c r="A10" s="78">
        <v>1</v>
      </c>
      <c r="B10" s="72"/>
      <c r="C10" s="79" t="s">
        <v>63</v>
      </c>
      <c r="D10" s="80" t="s">
        <v>77</v>
      </c>
      <c r="E10" s="88" t="s">
        <v>75</v>
      </c>
      <c r="F10" s="72" t="s">
        <v>69</v>
      </c>
      <c r="G10" s="72">
        <v>5</v>
      </c>
      <c r="H10" s="73">
        <v>33494</v>
      </c>
      <c r="I10" s="74">
        <f t="shared" ref="I10:I24" si="0">G10*H10</f>
        <v>167470</v>
      </c>
    </row>
    <row r="11" spans="1:9" ht="31.9" customHeight="1" thickBot="1" x14ac:dyDescent="0.25">
      <c r="A11" s="78">
        <v>2</v>
      </c>
      <c r="B11" s="72"/>
      <c r="C11" s="79" t="s">
        <v>63</v>
      </c>
      <c r="D11" s="80" t="s">
        <v>77</v>
      </c>
      <c r="E11" s="88" t="s">
        <v>76</v>
      </c>
      <c r="F11" s="72" t="s">
        <v>69</v>
      </c>
      <c r="G11" s="72">
        <v>5</v>
      </c>
      <c r="H11" s="73">
        <v>24885</v>
      </c>
      <c r="I11" s="74">
        <f t="shared" si="0"/>
        <v>124425</v>
      </c>
    </row>
    <row r="12" spans="1:9" ht="31.9" customHeight="1" thickBot="1" x14ac:dyDescent="0.25">
      <c r="A12" s="78">
        <v>3</v>
      </c>
      <c r="B12" s="72"/>
      <c r="C12" s="79" t="s">
        <v>63</v>
      </c>
      <c r="D12" s="80" t="s">
        <v>77</v>
      </c>
      <c r="E12" s="81" t="s">
        <v>93</v>
      </c>
      <c r="F12" s="72" t="s">
        <v>69</v>
      </c>
      <c r="G12" s="72">
        <v>2</v>
      </c>
      <c r="H12" s="73">
        <v>7577</v>
      </c>
      <c r="I12" s="74">
        <f t="shared" si="0"/>
        <v>15154</v>
      </c>
    </row>
    <row r="13" spans="1:9" ht="31.9" customHeight="1" thickBot="1" x14ac:dyDescent="0.25">
      <c r="A13" s="78">
        <v>4</v>
      </c>
      <c r="B13" s="72"/>
      <c r="C13" s="79" t="s">
        <v>63</v>
      </c>
      <c r="D13" s="80" t="s">
        <v>77</v>
      </c>
      <c r="E13" s="90" t="s">
        <v>94</v>
      </c>
      <c r="F13" s="87" t="s">
        <v>95</v>
      </c>
      <c r="G13" s="85">
        <v>200</v>
      </c>
      <c r="H13" s="86">
        <v>29</v>
      </c>
      <c r="I13" s="74">
        <f t="shared" si="0"/>
        <v>5800</v>
      </c>
    </row>
    <row r="14" spans="1:9" ht="31.9" customHeight="1" thickBot="1" x14ac:dyDescent="0.25">
      <c r="A14" s="78">
        <v>5</v>
      </c>
      <c r="B14" s="72"/>
      <c r="C14" s="79" t="s">
        <v>63</v>
      </c>
      <c r="D14" s="80" t="s">
        <v>77</v>
      </c>
      <c r="E14" s="81" t="s">
        <v>78</v>
      </c>
      <c r="F14" s="82" t="s">
        <v>65</v>
      </c>
      <c r="G14" s="75">
        <v>10</v>
      </c>
      <c r="H14" s="76">
        <v>2121</v>
      </c>
      <c r="I14" s="74">
        <f t="shared" si="0"/>
        <v>21210</v>
      </c>
    </row>
    <row r="15" spans="1:9" ht="31.9" customHeight="1" thickBot="1" x14ac:dyDescent="0.25">
      <c r="A15" s="78">
        <v>6</v>
      </c>
      <c r="B15" s="72"/>
      <c r="C15" s="79" t="s">
        <v>63</v>
      </c>
      <c r="D15" s="80" t="s">
        <v>77</v>
      </c>
      <c r="E15" s="88" t="s">
        <v>96</v>
      </c>
      <c r="F15" s="75" t="s">
        <v>65</v>
      </c>
      <c r="G15" s="75">
        <v>2</v>
      </c>
      <c r="H15" s="77">
        <v>8147</v>
      </c>
      <c r="I15" s="74">
        <f t="shared" si="0"/>
        <v>16294</v>
      </c>
    </row>
    <row r="16" spans="1:9" ht="31.9" customHeight="1" thickBot="1" x14ac:dyDescent="0.25">
      <c r="A16" s="78">
        <v>7</v>
      </c>
      <c r="B16" s="72"/>
      <c r="C16" s="79" t="s">
        <v>63</v>
      </c>
      <c r="D16" s="80" t="s">
        <v>77</v>
      </c>
      <c r="E16" s="81" t="s">
        <v>79</v>
      </c>
      <c r="F16" s="82" t="s">
        <v>65</v>
      </c>
      <c r="G16" s="75">
        <v>30</v>
      </c>
      <c r="H16" s="76">
        <v>12110</v>
      </c>
      <c r="I16" s="74">
        <f t="shared" si="0"/>
        <v>363300</v>
      </c>
    </row>
    <row r="17" spans="1:10" ht="31.9" customHeight="1" thickBot="1" x14ac:dyDescent="0.25">
      <c r="A17" s="78">
        <v>8</v>
      </c>
      <c r="B17" s="72"/>
      <c r="C17" s="79" t="s">
        <v>63</v>
      </c>
      <c r="D17" s="80" t="s">
        <v>77</v>
      </c>
      <c r="E17" s="90" t="s">
        <v>68</v>
      </c>
      <c r="F17" s="83" t="s">
        <v>69</v>
      </c>
      <c r="G17" s="85">
        <v>2</v>
      </c>
      <c r="H17" s="86">
        <v>5875</v>
      </c>
      <c r="I17" s="74">
        <f t="shared" si="0"/>
        <v>11750</v>
      </c>
    </row>
    <row r="18" spans="1:10" ht="31.9" customHeight="1" thickBot="1" x14ac:dyDescent="0.25">
      <c r="A18" s="78">
        <v>9</v>
      </c>
      <c r="B18" s="72"/>
      <c r="C18" s="79" t="s">
        <v>63</v>
      </c>
      <c r="D18" s="80" t="s">
        <v>77</v>
      </c>
      <c r="E18" s="90" t="s">
        <v>67</v>
      </c>
      <c r="F18" s="83" t="s">
        <v>69</v>
      </c>
      <c r="G18" s="85">
        <v>14</v>
      </c>
      <c r="H18" s="93">
        <v>64354</v>
      </c>
      <c r="I18" s="74">
        <f t="shared" si="0"/>
        <v>900956</v>
      </c>
      <c r="J18" s="89"/>
    </row>
    <row r="19" spans="1:10" ht="31.9" customHeight="1" thickBot="1" x14ac:dyDescent="0.25">
      <c r="A19" s="78">
        <v>10</v>
      </c>
      <c r="B19" s="72"/>
      <c r="C19" s="79" t="s">
        <v>63</v>
      </c>
      <c r="D19" s="80" t="s">
        <v>77</v>
      </c>
      <c r="E19" s="88" t="s">
        <v>86</v>
      </c>
      <c r="F19" s="83" t="s">
        <v>84</v>
      </c>
      <c r="G19" s="75">
        <v>20</v>
      </c>
      <c r="H19" s="92">
        <v>163</v>
      </c>
      <c r="I19" s="74">
        <f t="shared" si="0"/>
        <v>3260</v>
      </c>
    </row>
    <row r="20" spans="1:10" ht="31.9" customHeight="1" thickBot="1" x14ac:dyDescent="0.25">
      <c r="A20" s="78">
        <v>11</v>
      </c>
      <c r="B20" s="72"/>
      <c r="C20" s="79" t="s">
        <v>72</v>
      </c>
      <c r="D20" s="80" t="s">
        <v>71</v>
      </c>
      <c r="E20" s="81" t="s">
        <v>64</v>
      </c>
      <c r="F20" s="82" t="s">
        <v>66</v>
      </c>
      <c r="G20" s="83">
        <v>4</v>
      </c>
      <c r="H20" s="84">
        <v>78467</v>
      </c>
      <c r="I20" s="74">
        <f t="shared" si="0"/>
        <v>313868</v>
      </c>
    </row>
    <row r="21" spans="1:10" ht="31.9" customHeight="1" thickBot="1" x14ac:dyDescent="0.25">
      <c r="A21" s="78">
        <v>12</v>
      </c>
      <c r="B21" s="72"/>
      <c r="C21" s="79" t="s">
        <v>63</v>
      </c>
      <c r="D21" s="80" t="s">
        <v>77</v>
      </c>
      <c r="E21" s="88" t="s">
        <v>80</v>
      </c>
      <c r="F21" s="83" t="s">
        <v>85</v>
      </c>
      <c r="G21" s="75">
        <v>20</v>
      </c>
      <c r="H21" s="92">
        <v>410</v>
      </c>
      <c r="I21" s="74">
        <f t="shared" si="0"/>
        <v>8200</v>
      </c>
    </row>
    <row r="22" spans="1:10" ht="31.9" customHeight="1" thickBot="1" x14ac:dyDescent="0.25">
      <c r="A22" s="78">
        <v>13</v>
      </c>
      <c r="B22" s="72"/>
      <c r="C22" s="79" t="s">
        <v>63</v>
      </c>
      <c r="D22" s="80" t="s">
        <v>77</v>
      </c>
      <c r="E22" s="88" t="s">
        <v>81</v>
      </c>
      <c r="F22" s="75" t="s">
        <v>66</v>
      </c>
      <c r="G22" s="75">
        <v>2500</v>
      </c>
      <c r="H22" s="91">
        <v>15.28</v>
      </c>
      <c r="I22" s="74">
        <f t="shared" si="0"/>
        <v>38200</v>
      </c>
    </row>
    <row r="23" spans="1:10" ht="31.9" customHeight="1" thickBot="1" x14ac:dyDescent="0.25">
      <c r="A23" s="78">
        <v>14</v>
      </c>
      <c r="B23" s="72"/>
      <c r="C23" s="79" t="s">
        <v>63</v>
      </c>
      <c r="D23" s="80" t="s">
        <v>77</v>
      </c>
      <c r="E23" s="88" t="s">
        <v>82</v>
      </c>
      <c r="F23" s="75" t="s">
        <v>66</v>
      </c>
      <c r="G23" s="75">
        <v>6000</v>
      </c>
      <c r="H23" s="91">
        <v>15.63</v>
      </c>
      <c r="I23" s="74">
        <f t="shared" si="0"/>
        <v>93780</v>
      </c>
    </row>
    <row r="24" spans="1:10" ht="31.9" customHeight="1" thickBot="1" x14ac:dyDescent="0.25">
      <c r="A24" s="78">
        <v>15</v>
      </c>
      <c r="B24" s="72"/>
      <c r="C24" s="79" t="s">
        <v>63</v>
      </c>
      <c r="D24" s="80" t="s">
        <v>77</v>
      </c>
      <c r="E24" s="81" t="s">
        <v>83</v>
      </c>
      <c r="F24" s="75" t="s">
        <v>66</v>
      </c>
      <c r="G24" s="75">
        <v>6000</v>
      </c>
      <c r="H24" s="91">
        <v>24.3</v>
      </c>
      <c r="I24" s="74">
        <f t="shared" si="0"/>
        <v>145800</v>
      </c>
    </row>
    <row r="26" spans="1:10" ht="13.5" thickBot="1" x14ac:dyDescent="0.25"/>
    <row r="27" spans="1:10" ht="78.75" customHeight="1" thickBot="1" x14ac:dyDescent="0.25">
      <c r="C27" s="103" t="s">
        <v>88</v>
      </c>
      <c r="D27" s="104"/>
      <c r="E27" s="104"/>
    </row>
    <row r="28" spans="1:10" ht="42.75" customHeight="1" thickBot="1" x14ac:dyDescent="0.25">
      <c r="C28" s="105" t="s">
        <v>89</v>
      </c>
      <c r="D28" s="106"/>
      <c r="E28" s="104"/>
    </row>
    <row r="29" spans="1:10" ht="49.5" customHeight="1" thickBot="1" x14ac:dyDescent="0.25">
      <c r="C29" s="105" t="s">
        <v>90</v>
      </c>
      <c r="D29" s="106"/>
      <c r="E29" s="104"/>
    </row>
    <row r="30" spans="1:10" ht="13.5" thickBot="1" x14ac:dyDescent="0.25"/>
    <row r="31" spans="1:10" x14ac:dyDescent="0.2">
      <c r="B31" s="42" t="s">
        <v>92</v>
      </c>
      <c r="C31" s="43"/>
      <c r="D31" s="43"/>
      <c r="E31" s="44"/>
    </row>
    <row r="32" spans="1:10" ht="5.25" customHeight="1" x14ac:dyDescent="0.2">
      <c r="B32" s="45"/>
      <c r="C32" s="46"/>
      <c r="D32" s="46"/>
      <c r="E32" s="47"/>
    </row>
    <row r="33" spans="2:5" x14ac:dyDescent="0.2">
      <c r="B33" s="48" t="s">
        <v>14</v>
      </c>
      <c r="C33" s="46"/>
      <c r="D33" s="46"/>
      <c r="E33" s="47"/>
    </row>
    <row r="34" spans="2:5" ht="41.25" customHeight="1" x14ac:dyDescent="0.2">
      <c r="B34" s="48"/>
      <c r="C34" s="97"/>
      <c r="D34" s="97"/>
      <c r="E34" s="97"/>
    </row>
    <row r="35" spans="2:5" x14ac:dyDescent="0.2">
      <c r="B35" s="48" t="s">
        <v>15</v>
      </c>
      <c r="C35" s="46"/>
      <c r="D35" s="46"/>
      <c r="E35" s="47"/>
    </row>
    <row r="36" spans="2:5" ht="21" customHeight="1" x14ac:dyDescent="0.2">
      <c r="B36" s="49"/>
      <c r="C36" s="100" t="s">
        <v>91</v>
      </c>
      <c r="D36" s="100"/>
      <c r="E36" s="101"/>
    </row>
    <row r="37" spans="2:5" x14ac:dyDescent="0.2">
      <c r="B37" s="49"/>
      <c r="C37" s="102"/>
      <c r="D37" s="102"/>
      <c r="E37" s="102"/>
    </row>
    <row r="38" spans="2:5" x14ac:dyDescent="0.2">
      <c r="B38" s="48" t="s">
        <v>16</v>
      </c>
      <c r="C38" s="46"/>
      <c r="D38" s="46"/>
      <c r="E38" s="47"/>
    </row>
    <row r="39" spans="2:5" ht="26.25" customHeight="1" x14ac:dyDescent="0.2">
      <c r="B39" s="49"/>
      <c r="C39" s="97"/>
      <c r="D39" s="97"/>
      <c r="E39" s="97"/>
    </row>
    <row r="40" spans="2:5" x14ac:dyDescent="0.2">
      <c r="B40" s="48" t="s">
        <v>17</v>
      </c>
      <c r="C40" s="50"/>
      <c r="D40" s="50"/>
      <c r="E40" s="51"/>
    </row>
    <row r="41" spans="2:5" ht="26.25" customHeight="1" x14ac:dyDescent="0.2">
      <c r="B41" s="49"/>
      <c r="C41" s="98" t="s">
        <v>60</v>
      </c>
      <c r="D41" s="98"/>
      <c r="E41" s="98"/>
    </row>
    <row r="42" spans="2:5" x14ac:dyDescent="0.2">
      <c r="B42" s="48" t="s">
        <v>18</v>
      </c>
      <c r="C42" s="46"/>
      <c r="D42" s="46"/>
      <c r="E42" s="47"/>
    </row>
    <row r="43" spans="2:5" ht="23.25" customHeight="1" x14ac:dyDescent="0.2">
      <c r="B43" s="48"/>
      <c r="C43" s="99"/>
      <c r="D43" s="99"/>
      <c r="E43" s="99"/>
    </row>
    <row r="44" spans="2:5" x14ac:dyDescent="0.2">
      <c r="B44" s="52"/>
      <c r="C44" s="53"/>
      <c r="D44" s="53"/>
      <c r="E44" s="54"/>
    </row>
  </sheetData>
  <sortState ref="C10:I25">
    <sortCondition ref="E10:E25"/>
  </sortState>
  <mergeCells count="16">
    <mergeCell ref="C39:E39"/>
    <mergeCell ref="C41:E41"/>
    <mergeCell ref="C43:E43"/>
    <mergeCell ref="A6:B6"/>
    <mergeCell ref="A7:B7"/>
    <mergeCell ref="C34:E34"/>
    <mergeCell ref="C36:E36"/>
    <mergeCell ref="C37:E37"/>
    <mergeCell ref="C27:E27"/>
    <mergeCell ref="C28:E28"/>
    <mergeCell ref="C29:E29"/>
    <mergeCell ref="B2:H2"/>
    <mergeCell ref="A4:B4"/>
    <mergeCell ref="C4:E4"/>
    <mergeCell ref="A5:B5"/>
    <mergeCell ref="C5:E5"/>
  </mergeCells>
  <conditionalFormatting sqref="E22:E24">
    <cfRule type="cellIs" dxfId="1" priority="2" operator="equal">
      <formula>"calibra"</formula>
    </cfRule>
  </conditionalFormatting>
  <conditionalFormatting sqref="E22:E24">
    <cfRule type="cellIs" dxfId="0" priority="1" operator="equal">
      <formula>"duplicado"</formula>
    </cfRule>
  </conditionalFormatting>
  <pageMargins left="0.7" right="0.7" top="0.75" bottom="0.75" header="0.51180555555555496" footer="0.51180555555555496"/>
  <pageSetup paperSize="9" firstPageNumber="0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7"/>
  <sheetViews>
    <sheetView topLeftCell="A4" zoomScale="70" zoomScaleNormal="70" workbookViewId="0">
      <selection activeCell="Q16" sqref="Q16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07" t="s">
        <v>19</v>
      </c>
      <c r="B1" s="107"/>
      <c r="C1" s="107"/>
      <c r="D1" s="107"/>
      <c r="E1" s="107"/>
      <c r="F1" s="107"/>
      <c r="G1" s="107"/>
      <c r="H1" s="107"/>
      <c r="I1" s="107"/>
      <c r="J1" s="3" t="s">
        <v>20</v>
      </c>
      <c r="K1" s="58" t="s">
        <v>73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08" t="s">
        <v>53</v>
      </c>
      <c r="B3" s="108"/>
      <c r="C3" s="108"/>
      <c r="D3" s="109" t="str">
        <f>'Necesidades Trimestrales'!C4</f>
        <v>40 - Ministerio de Salud</v>
      </c>
      <c r="E3" s="109"/>
      <c r="F3" s="109"/>
      <c r="G3" s="109"/>
      <c r="H3" s="109"/>
      <c r="I3" s="109"/>
      <c r="J3" s="109"/>
      <c r="K3" s="109"/>
    </row>
    <row r="4" spans="1:11" ht="18.75" customHeight="1" thickBot="1" x14ac:dyDescent="0.25">
      <c r="A4" s="110" t="s">
        <v>54</v>
      </c>
      <c r="B4" s="110"/>
      <c r="C4" s="110"/>
      <c r="D4" s="109" t="str">
        <f>'Necesidades Trimestrales'!C5</f>
        <v>23 - Hospital Interzonal San Juan Bautista</v>
      </c>
      <c r="E4" s="109"/>
      <c r="F4" s="109"/>
      <c r="G4" s="109"/>
      <c r="H4" s="109"/>
      <c r="I4" s="109"/>
      <c r="J4" s="109"/>
      <c r="K4" s="109"/>
    </row>
    <row r="5" spans="1:11" ht="18.75" customHeight="1" thickBot="1" x14ac:dyDescent="0.25">
      <c r="A5" s="110" t="s">
        <v>32</v>
      </c>
      <c r="B5" s="110"/>
      <c r="C5" s="110"/>
      <c r="D5" s="109" t="s">
        <v>59</v>
      </c>
      <c r="E5" s="109"/>
      <c r="F5" s="109"/>
      <c r="G5" s="109"/>
      <c r="H5" s="109"/>
      <c r="I5" s="109"/>
      <c r="J5" s="109"/>
      <c r="K5" s="109"/>
    </row>
    <row r="6" spans="1:11" ht="16.5" customHeight="1" thickBot="1" x14ac:dyDescent="0.25">
      <c r="A6" s="108" t="s">
        <v>55</v>
      </c>
      <c r="B6" s="108"/>
      <c r="C6" s="108"/>
      <c r="D6" s="109" t="s">
        <v>70</v>
      </c>
      <c r="E6" s="109"/>
      <c r="F6" s="109"/>
      <c r="G6" s="109"/>
      <c r="H6" s="109"/>
      <c r="I6" s="109"/>
      <c r="J6" s="109"/>
      <c r="K6" s="109"/>
    </row>
    <row r="7" spans="1:11" ht="16.5" customHeight="1" x14ac:dyDescent="0.2">
      <c r="A7" s="110" t="s">
        <v>21</v>
      </c>
      <c r="B7" s="110"/>
      <c r="C7" s="110"/>
      <c r="D7" s="109" t="str">
        <f>'Necesidades Trimestrales'!C7 &amp; "° Trimestre - Año " &amp; 'Necesidades Trimestrales'!C6</f>
        <v>1° Trimestre - Año 2022</v>
      </c>
      <c r="E7" s="109"/>
      <c r="F7" s="109"/>
      <c r="G7" s="109"/>
      <c r="H7" s="109"/>
      <c r="I7" s="109"/>
      <c r="J7" s="109"/>
      <c r="K7" s="109"/>
    </row>
    <row r="8" spans="1:11" ht="16.5" customHeight="1" x14ac:dyDescent="0.2">
      <c r="A8" s="111" t="s">
        <v>22</v>
      </c>
      <c r="B8" s="111"/>
      <c r="C8" s="111"/>
      <c r="D8" s="112" t="s">
        <v>74</v>
      </c>
      <c r="E8" s="112"/>
      <c r="F8" s="112"/>
      <c r="G8" s="112"/>
      <c r="H8" s="112"/>
      <c r="I8" s="112"/>
      <c r="J8" s="112"/>
      <c r="K8" s="112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13" t="s">
        <v>23</v>
      </c>
      <c r="B10" s="114" t="s">
        <v>24</v>
      </c>
      <c r="C10" s="114" t="s">
        <v>25</v>
      </c>
      <c r="D10" s="114"/>
      <c r="E10" s="114"/>
      <c r="F10" s="114"/>
      <c r="G10" s="114"/>
      <c r="H10" s="114" t="s">
        <v>26</v>
      </c>
      <c r="I10" s="114" t="s">
        <v>27</v>
      </c>
      <c r="J10" s="114" t="s">
        <v>28</v>
      </c>
      <c r="K10" s="115" t="s">
        <v>29</v>
      </c>
    </row>
    <row r="11" spans="1:11" ht="24" customHeight="1" thickBot="1" x14ac:dyDescent="0.25">
      <c r="A11" s="113"/>
      <c r="B11" s="114"/>
      <c r="C11" s="114"/>
      <c r="D11" s="114"/>
      <c r="E11" s="114"/>
      <c r="F11" s="114"/>
      <c r="G11" s="114"/>
      <c r="H11" s="114"/>
      <c r="I11" s="114"/>
      <c r="J11" s="114"/>
      <c r="K11" s="115"/>
    </row>
    <row r="12" spans="1:11" ht="20.25" customHeight="1" thickBot="1" x14ac:dyDescent="0.25">
      <c r="A12" s="8">
        <v>1</v>
      </c>
      <c r="B12" s="59">
        <f>'Necesidades Trimestrales'!B10</f>
        <v>0</v>
      </c>
      <c r="C12" s="118" t="str">
        <f>'Necesidades Trimestrales'!E10</f>
        <v>2010 ASSAY CUP</v>
      </c>
      <c r="D12" s="118"/>
      <c r="E12" s="118"/>
      <c r="F12" s="118"/>
      <c r="G12" s="118"/>
      <c r="H12" s="60" t="s">
        <v>56</v>
      </c>
      <c r="I12" s="61" t="str">
        <f>'Necesidades Trimestrales'!F10</f>
        <v>Caja</v>
      </c>
      <c r="J12" s="62">
        <f>'Necesidades Trimestrales'!H10</f>
        <v>33494</v>
      </c>
      <c r="K12" s="63">
        <f>'Necesidades Trimestrales'!G10</f>
        <v>5</v>
      </c>
    </row>
    <row r="13" spans="1:11" ht="20.25" customHeight="1" thickBot="1" x14ac:dyDescent="0.25">
      <c r="A13" s="8">
        <v>2</v>
      </c>
      <c r="B13" s="59">
        <f>'Necesidades Trimestrales'!B11</f>
        <v>0</v>
      </c>
      <c r="C13" s="118" t="str">
        <f>'Necesidades Trimestrales'!E11</f>
        <v>2010 ASSAY TIP</v>
      </c>
      <c r="D13" s="118"/>
      <c r="E13" s="118"/>
      <c r="F13" s="118"/>
      <c r="G13" s="118"/>
      <c r="H13" s="60" t="s">
        <v>56</v>
      </c>
      <c r="I13" s="61" t="str">
        <f>'Necesidades Trimestrales'!F11</f>
        <v>Caja</v>
      </c>
      <c r="J13" s="62">
        <f>'Necesidades Trimestrales'!H11</f>
        <v>24885</v>
      </c>
      <c r="K13" s="63">
        <f>'Necesidades Trimestrales'!G11</f>
        <v>5</v>
      </c>
    </row>
    <row r="14" spans="1:11" ht="20.25" customHeight="1" thickBot="1" x14ac:dyDescent="0.25">
      <c r="A14" s="8">
        <v>3</v>
      </c>
      <c r="B14" s="59">
        <f>'Necesidades Trimestrales'!B12</f>
        <v>0</v>
      </c>
      <c r="C14" s="118" t="str">
        <f>'Necesidades Trimestrales'!E12</f>
        <v>AMPOULER PARA COBAS B221 - CAJA x 150 UNIDADES</v>
      </c>
      <c r="D14" s="118"/>
      <c r="E14" s="118"/>
      <c r="F14" s="118"/>
      <c r="G14" s="118"/>
      <c r="H14" s="60" t="s">
        <v>56</v>
      </c>
      <c r="I14" s="61" t="str">
        <f>'Necesidades Trimestrales'!F12</f>
        <v>Caja</v>
      </c>
      <c r="J14" s="62">
        <f>'Necesidades Trimestrales'!H12</f>
        <v>7577</v>
      </c>
      <c r="K14" s="63">
        <f>'Necesidades Trimestrales'!G12</f>
        <v>2</v>
      </c>
    </row>
    <row r="15" spans="1:11" ht="20.25" customHeight="1" thickBot="1" x14ac:dyDescent="0.25">
      <c r="A15" s="8">
        <v>4</v>
      </c>
      <c r="B15" s="59">
        <f>'Necesidades Trimestrales'!B13</f>
        <v>0</v>
      </c>
      <c r="C15" s="118" t="str">
        <f>'Necesidades Trimestrales'!E13</f>
        <v xml:space="preserve">Ansas de plasticos estériles descartables de 10ul x 12 unidades </v>
      </c>
      <c r="D15" s="118"/>
      <c r="E15" s="118"/>
      <c r="F15" s="118"/>
      <c r="G15" s="118"/>
      <c r="H15" s="60" t="s">
        <v>56</v>
      </c>
      <c r="I15" s="61" t="str">
        <f>'Necesidades Trimestrales'!F13</f>
        <v xml:space="preserve">BOLSA </v>
      </c>
      <c r="J15" s="62">
        <f>'Necesidades Trimestrales'!H13</f>
        <v>29</v>
      </c>
      <c r="K15" s="63">
        <f>'Necesidades Trimestrales'!G13</f>
        <v>200</v>
      </c>
    </row>
    <row r="16" spans="1:11" ht="20.25" customHeight="1" thickBot="1" x14ac:dyDescent="0.25">
      <c r="A16" s="8">
        <v>5</v>
      </c>
      <c r="B16" s="59">
        <f>'Necesidades Trimestrales'!B14</f>
        <v>0</v>
      </c>
      <c r="C16" s="118" t="str">
        <f>'Necesidades Trimestrales'!E14</f>
        <v>CLOT CATCHER P COBAS B221 X 250 UNIDADES</v>
      </c>
      <c r="D16" s="118"/>
      <c r="E16" s="118"/>
      <c r="F16" s="118"/>
      <c r="G16" s="118"/>
      <c r="H16" s="60" t="s">
        <v>56</v>
      </c>
      <c r="I16" s="61" t="str">
        <f>'Necesidades Trimestrales'!F14</f>
        <v>CAJA</v>
      </c>
      <c r="J16" s="62">
        <f>'Necesidades Trimestrales'!H14</f>
        <v>2121</v>
      </c>
      <c r="K16" s="63">
        <f>'Necesidades Trimestrales'!G14</f>
        <v>10</v>
      </c>
    </row>
    <row r="17" spans="1:1024" ht="20.25" customHeight="1" thickBot="1" x14ac:dyDescent="0.25">
      <c r="A17" s="8">
        <v>6</v>
      </c>
      <c r="B17" s="59">
        <f>'Necesidades Trimestrales'!B15</f>
        <v>0</v>
      </c>
      <c r="C17" s="118" t="str">
        <f>'Necesidades Trimestrales'!E15</f>
        <v xml:space="preserve">CONTENEDOR DE RESIDUOS X 2 UNDIDADES P/COBAS B221 WASTE CONTAINER </v>
      </c>
      <c r="D17" s="118"/>
      <c r="E17" s="118"/>
      <c r="F17" s="118"/>
      <c r="G17" s="118"/>
      <c r="H17" s="60" t="s">
        <v>56</v>
      </c>
      <c r="I17" s="61" t="str">
        <f>'Necesidades Trimestrales'!F15</f>
        <v>CAJA</v>
      </c>
      <c r="J17" s="62">
        <f>'Necesidades Trimestrales'!H15</f>
        <v>8147</v>
      </c>
      <c r="K17" s="63">
        <f>'Necesidades Trimestrales'!G15</f>
        <v>2</v>
      </c>
    </row>
    <row r="18" spans="1:1024" ht="20.25" customHeight="1" thickBot="1" x14ac:dyDescent="0.25">
      <c r="A18" s="8">
        <v>7</v>
      </c>
      <c r="B18" s="59">
        <f>'Necesidades Trimestrales'!B16</f>
        <v>0</v>
      </c>
      <c r="C18" s="118" t="str">
        <f>'Necesidades Trimestrales'!E16</f>
        <v>CUBETAS DE REACCION P/COAGULOMETRO CUATRON X 500 UNIDADES</v>
      </c>
      <c r="D18" s="118"/>
      <c r="E18" s="118"/>
      <c r="F18" s="118"/>
      <c r="G18" s="118"/>
      <c r="H18" s="60" t="s">
        <v>56</v>
      </c>
      <c r="I18" s="61" t="str">
        <f>'Necesidades Trimestrales'!F16</f>
        <v>CAJA</v>
      </c>
      <c r="J18" s="62">
        <f>'Necesidades Trimestrales'!H16</f>
        <v>12110</v>
      </c>
      <c r="K18" s="63">
        <f>'Necesidades Trimestrales'!G16</f>
        <v>30</v>
      </c>
    </row>
    <row r="19" spans="1:1024" ht="20.25" customHeight="1" thickBot="1" x14ac:dyDescent="0.25">
      <c r="A19" s="8">
        <v>8</v>
      </c>
      <c r="B19" s="59">
        <f>'Necesidades Trimestrales'!B17</f>
        <v>0</v>
      </c>
      <c r="C19" s="118" t="str">
        <f>'Necesidades Trimestrales'!E17</f>
        <v>Enterotest individual Urea x 24 tubos T/Brizuela</v>
      </c>
      <c r="D19" s="118"/>
      <c r="E19" s="118"/>
      <c r="F19" s="118"/>
      <c r="G19" s="118"/>
      <c r="H19" s="60" t="s">
        <v>56</v>
      </c>
      <c r="I19" s="61" t="str">
        <f>'Necesidades Trimestrales'!F17</f>
        <v>Caja</v>
      </c>
      <c r="J19" s="62">
        <f>'Necesidades Trimestrales'!H17</f>
        <v>5875</v>
      </c>
      <c r="K19" s="63">
        <f>'Necesidades Trimestrales'!G17</f>
        <v>2</v>
      </c>
    </row>
    <row r="20" spans="1:1024" ht="20.25" customHeight="1" thickBot="1" x14ac:dyDescent="0.25">
      <c r="A20" s="8">
        <v>9</v>
      </c>
      <c r="B20" s="59">
        <f>'Necesidades Trimestrales'!B18</f>
        <v>0</v>
      </c>
      <c r="C20" s="118" t="str">
        <f>'Necesidades Trimestrales'!E18</f>
        <v>Frascos Hemocultivo BD BACTEC Plus/Aerobic/F culture vials x 30ml por 50</v>
      </c>
      <c r="D20" s="118"/>
      <c r="E20" s="118"/>
      <c r="F20" s="118"/>
      <c r="G20" s="118"/>
      <c r="H20" s="60" t="s">
        <v>56</v>
      </c>
      <c r="I20" s="61" t="str">
        <f>'Necesidades Trimestrales'!F18</f>
        <v>Caja</v>
      </c>
      <c r="J20" s="62">
        <f>'Necesidades Trimestrales'!H18</f>
        <v>64354</v>
      </c>
      <c r="K20" s="63">
        <f>'Necesidades Trimestrales'!G18</f>
        <v>14</v>
      </c>
    </row>
    <row r="21" spans="1:1024" ht="20.25" customHeight="1" thickBot="1" x14ac:dyDescent="0.25">
      <c r="A21" s="8">
        <v>10</v>
      </c>
      <c r="B21" s="59">
        <f>'Necesidades Trimestrales'!B19</f>
        <v>0</v>
      </c>
      <c r="C21" s="118" t="str">
        <f>'Necesidades Trimestrales'!E19</f>
        <v xml:space="preserve">HISOPOS DE MADERA BOLSA X 100 UNIDADES CADA BOLSA </v>
      </c>
      <c r="D21" s="118"/>
      <c r="E21" s="118"/>
      <c r="F21" s="118"/>
      <c r="G21" s="118"/>
      <c r="H21" s="60" t="s">
        <v>56</v>
      </c>
      <c r="I21" s="61" t="str">
        <f>'Necesidades Trimestrales'!F19</f>
        <v>BOLSA</v>
      </c>
      <c r="J21" s="62">
        <f>'Necesidades Trimestrales'!H19</f>
        <v>163</v>
      </c>
      <c r="K21" s="63">
        <f>'Necesidades Trimestrales'!G19</f>
        <v>20</v>
      </c>
    </row>
    <row r="22" spans="1:1024" ht="20.25" customHeight="1" thickBot="1" x14ac:dyDescent="0.25">
      <c r="A22" s="8">
        <v>11</v>
      </c>
      <c r="B22" s="59">
        <f>'Necesidades Trimestrales'!B20</f>
        <v>0</v>
      </c>
      <c r="C22" s="118" t="str">
        <f>'Necesidades Trimestrales'!E20</f>
        <v xml:space="preserve">LAMPARA HALOGENA COBAS C-311 ROCHE </v>
      </c>
      <c r="D22" s="118"/>
      <c r="E22" s="118"/>
      <c r="F22" s="118"/>
      <c r="G22" s="118"/>
      <c r="H22" s="60" t="s">
        <v>56</v>
      </c>
      <c r="I22" s="61" t="str">
        <f>'Necesidades Trimestrales'!F20</f>
        <v>UNIDAD</v>
      </c>
      <c r="J22" s="62">
        <f>'Necesidades Trimestrales'!H20</f>
        <v>78467</v>
      </c>
      <c r="K22" s="63">
        <f>'Necesidades Trimestrales'!G20</f>
        <v>4</v>
      </c>
    </row>
    <row r="23" spans="1:1024" ht="20.25" customHeight="1" thickBot="1" x14ac:dyDescent="0.25">
      <c r="A23" s="8">
        <v>12</v>
      </c>
      <c r="B23" s="59">
        <f>'Necesidades Trimestrales'!B21</f>
        <v>0</v>
      </c>
      <c r="C23" s="118" t="str">
        <f>'Necesidades Trimestrales'!E21</f>
        <v>PAPEL TERMICO P/COBAS U411</v>
      </c>
      <c r="D23" s="118"/>
      <c r="E23" s="118"/>
      <c r="F23" s="118"/>
      <c r="G23" s="118"/>
      <c r="H23" s="60" t="s">
        <v>56</v>
      </c>
      <c r="I23" s="61" t="str">
        <f>'Necesidades Trimestrales'!F21</f>
        <v>ROLLO</v>
      </c>
      <c r="J23" s="62">
        <f>'Necesidades Trimestrales'!H21</f>
        <v>410</v>
      </c>
      <c r="K23" s="63">
        <f>'Necesidades Trimestrales'!G21</f>
        <v>20</v>
      </c>
    </row>
    <row r="24" spans="1:1024" ht="20.25" customHeight="1" thickBot="1" x14ac:dyDescent="0.25">
      <c r="A24" s="8">
        <v>13</v>
      </c>
      <c r="B24" s="59">
        <f>'Necesidades Trimestrales'!B22</f>
        <v>0</v>
      </c>
      <c r="C24" s="118" t="str">
        <f>'Necesidades Trimestrales'!E22</f>
        <v>TUBOS CON CITRATO AL VACIO 3,2% X 2,7 ML, TIPO BD , TAPA CELESTE UND</v>
      </c>
      <c r="D24" s="118"/>
      <c r="E24" s="118"/>
      <c r="F24" s="118"/>
      <c r="G24" s="118"/>
      <c r="H24" s="60" t="s">
        <v>56</v>
      </c>
      <c r="I24" s="61" t="str">
        <f>'Necesidades Trimestrales'!F22</f>
        <v>UNIDAD</v>
      </c>
      <c r="J24" s="62">
        <f>'Necesidades Trimestrales'!H22</f>
        <v>15.28</v>
      </c>
      <c r="K24" s="63">
        <f>'Necesidades Trimestrales'!G22</f>
        <v>2500</v>
      </c>
    </row>
    <row r="25" spans="1:1024" ht="20.25" customHeight="1" thickBot="1" x14ac:dyDescent="0.25">
      <c r="A25" s="8">
        <v>14</v>
      </c>
      <c r="B25" s="59">
        <f>'Necesidades Trimestrales'!B23</f>
        <v>0</v>
      </c>
      <c r="C25" s="118" t="str">
        <f>'Necesidades Trimestrales'!E23</f>
        <v xml:space="preserve">TUBOS CON EDTA AL VACIO X 2 MLTIPO BD  TAPA LILA </v>
      </c>
      <c r="D25" s="118"/>
      <c r="E25" s="118"/>
      <c r="F25" s="118"/>
      <c r="G25" s="118"/>
      <c r="H25" s="60" t="s">
        <v>56</v>
      </c>
      <c r="I25" s="61" t="str">
        <f>'Necesidades Trimestrales'!F23</f>
        <v>UNIDAD</v>
      </c>
      <c r="J25" s="62">
        <f>'Necesidades Trimestrales'!H23</f>
        <v>15.63</v>
      </c>
      <c r="K25" s="63">
        <f>'Necesidades Trimestrales'!G23</f>
        <v>6000</v>
      </c>
    </row>
    <row r="26" spans="1:1024" ht="20.25" customHeight="1" thickBot="1" x14ac:dyDescent="0.25">
      <c r="A26" s="8">
        <v>15</v>
      </c>
      <c r="B26" s="59">
        <f>'Necesidades Trimestrales'!B24</f>
        <v>0</v>
      </c>
      <c r="C26" s="118" t="str">
        <f>'Necesidades Trimestrales'!E24</f>
        <v>TUBOS CON GEL AL VACIO 3,5 ML, TIPO BD , TAPA AMARILLA UND</v>
      </c>
      <c r="D26" s="118"/>
      <c r="E26" s="118"/>
      <c r="F26" s="118"/>
      <c r="G26" s="118"/>
      <c r="H26" s="60" t="s">
        <v>56</v>
      </c>
      <c r="I26" s="61" t="str">
        <f>'Necesidades Trimestrales'!F24</f>
        <v>UNIDAD</v>
      </c>
      <c r="J26" s="62">
        <f>'Necesidades Trimestrales'!H24</f>
        <v>24.3</v>
      </c>
      <c r="K26" s="63">
        <f>'Necesidades Trimestrales'!G24</f>
        <v>6000</v>
      </c>
    </row>
    <row r="27" spans="1:1024" ht="30.75" customHeight="1" thickBot="1" x14ac:dyDescent="0.25">
      <c r="A27" s="116" t="s">
        <v>97</v>
      </c>
      <c r="B27" s="116"/>
      <c r="C27" s="116"/>
      <c r="D27" s="116"/>
      <c r="E27" s="116"/>
      <c r="F27" s="116"/>
      <c r="G27" s="116"/>
      <c r="H27" s="116"/>
      <c r="I27" s="116"/>
      <c r="J27" s="117">
        <f>SUMPRODUCT(J12:J26,K12:K26)</f>
        <v>2229467</v>
      </c>
      <c r="K27" s="11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  <c r="UO27"/>
      <c r="UP27"/>
      <c r="UQ27"/>
      <c r="UR27"/>
      <c r="US27"/>
      <c r="UT27"/>
      <c r="UU27"/>
      <c r="UV27"/>
      <c r="UW27"/>
      <c r="UX27"/>
      <c r="UY27"/>
      <c r="UZ27"/>
      <c r="VA27"/>
      <c r="VB27"/>
      <c r="VC27"/>
      <c r="VD27"/>
      <c r="VE27"/>
      <c r="VF27"/>
      <c r="VG27"/>
      <c r="VH27"/>
      <c r="VI27"/>
      <c r="VJ27"/>
      <c r="VK27"/>
      <c r="VL27"/>
      <c r="VM27"/>
      <c r="VN27"/>
      <c r="VO27"/>
      <c r="VP27"/>
      <c r="VQ27"/>
      <c r="VR27"/>
      <c r="VS27"/>
      <c r="VT27"/>
      <c r="VU27"/>
      <c r="VV27"/>
      <c r="VW27"/>
      <c r="VX27"/>
      <c r="VY27"/>
      <c r="VZ27"/>
      <c r="WA27"/>
      <c r="WB27"/>
      <c r="WC27"/>
      <c r="WD27"/>
      <c r="WE27"/>
      <c r="WF27"/>
      <c r="WG27"/>
      <c r="WH27"/>
      <c r="WI27"/>
      <c r="WJ27"/>
      <c r="WK27"/>
      <c r="WL27"/>
      <c r="WM27"/>
      <c r="WN27"/>
      <c r="WO27"/>
      <c r="WP27"/>
      <c r="WQ27"/>
      <c r="WR27"/>
      <c r="WS27"/>
      <c r="WT27"/>
      <c r="WU27"/>
      <c r="WV27"/>
      <c r="WW27"/>
      <c r="WX27"/>
      <c r="WY27"/>
      <c r="WZ27"/>
      <c r="XA27"/>
      <c r="XB27"/>
      <c r="XC27"/>
      <c r="XD27"/>
      <c r="XE27"/>
      <c r="XF27"/>
      <c r="XG27"/>
      <c r="XH27"/>
      <c r="XI27"/>
      <c r="XJ27"/>
      <c r="XK27"/>
      <c r="XL27"/>
      <c r="XM27"/>
      <c r="XN27"/>
      <c r="XO27"/>
      <c r="XP27"/>
      <c r="XQ27"/>
      <c r="XR27"/>
      <c r="XS27"/>
      <c r="XT27"/>
      <c r="XU27"/>
      <c r="XV27"/>
      <c r="XW27"/>
      <c r="XX27"/>
      <c r="XY27"/>
      <c r="XZ27"/>
      <c r="YA27"/>
      <c r="YB27"/>
      <c r="YC27"/>
      <c r="YD27"/>
      <c r="YE27"/>
      <c r="YF27"/>
      <c r="YG27"/>
      <c r="YH27"/>
      <c r="YI27"/>
      <c r="YJ27"/>
      <c r="YK27"/>
      <c r="YL27"/>
      <c r="YM27"/>
      <c r="YN27"/>
      <c r="YO27"/>
      <c r="YP27"/>
      <c r="YQ27"/>
      <c r="YR27"/>
      <c r="YS27"/>
      <c r="YT27"/>
      <c r="YU27"/>
      <c r="YV27"/>
      <c r="YW27"/>
      <c r="YX27"/>
      <c r="YY27"/>
      <c r="YZ27"/>
      <c r="ZA27"/>
      <c r="ZB27"/>
      <c r="ZC27"/>
      <c r="ZD27"/>
      <c r="ZE27"/>
      <c r="ZF27"/>
      <c r="ZG27"/>
      <c r="ZH27"/>
      <c r="ZI27"/>
      <c r="ZJ27"/>
      <c r="ZK27"/>
      <c r="ZL27"/>
      <c r="ZM27"/>
      <c r="ZN27"/>
      <c r="ZO27"/>
      <c r="ZP27"/>
      <c r="ZQ27"/>
      <c r="ZR27"/>
      <c r="ZS27"/>
      <c r="ZT27"/>
      <c r="ZU27"/>
      <c r="ZV27"/>
      <c r="ZW27"/>
      <c r="ZX27"/>
      <c r="ZY27"/>
      <c r="ZZ27"/>
      <c r="AAA27"/>
      <c r="AAB27"/>
      <c r="AAC27"/>
      <c r="AAD27"/>
      <c r="AAE27"/>
      <c r="AAF27"/>
      <c r="AAG27"/>
      <c r="AAH27"/>
      <c r="AAI27"/>
      <c r="AAJ27"/>
      <c r="AAK27"/>
      <c r="AAL27"/>
      <c r="AAM27"/>
      <c r="AAN27"/>
      <c r="AAO27"/>
      <c r="AAP27"/>
      <c r="AAQ27"/>
      <c r="AAR27"/>
      <c r="AAS27"/>
      <c r="AAT27"/>
      <c r="AAU27"/>
      <c r="AAV27"/>
      <c r="AAW27"/>
      <c r="AAX27"/>
      <c r="AAY27"/>
      <c r="AAZ27"/>
      <c r="ABA27"/>
      <c r="ABB27"/>
      <c r="ABC27"/>
      <c r="ABD27"/>
      <c r="ABE27"/>
      <c r="ABF27"/>
      <c r="ABG27"/>
      <c r="ABH27"/>
      <c r="ABI27"/>
      <c r="ABJ27"/>
      <c r="ABK27"/>
      <c r="ABL27"/>
      <c r="ABM27"/>
      <c r="ABN27"/>
      <c r="ABO27"/>
      <c r="ABP27"/>
      <c r="ABQ27"/>
      <c r="ABR27"/>
      <c r="ABS27"/>
      <c r="ABT27"/>
      <c r="ABU27"/>
      <c r="ABV27"/>
      <c r="ABW27"/>
      <c r="ABX27"/>
      <c r="ABY27"/>
      <c r="ABZ27"/>
      <c r="ACA27"/>
      <c r="ACB27"/>
      <c r="ACC27"/>
      <c r="ACD27"/>
      <c r="ACE27"/>
      <c r="ACF27"/>
      <c r="ACG27"/>
      <c r="ACH27"/>
      <c r="ACI27"/>
      <c r="ACJ27"/>
      <c r="ACK27"/>
      <c r="ACL27"/>
      <c r="ACM27"/>
      <c r="ACN27"/>
      <c r="ACO27"/>
      <c r="ACP27"/>
      <c r="ACQ27"/>
      <c r="ACR27"/>
      <c r="ACS27"/>
      <c r="ACT27"/>
      <c r="ACU27"/>
      <c r="ACV27"/>
      <c r="ACW27"/>
      <c r="ACX27"/>
      <c r="ACY27"/>
      <c r="ACZ27"/>
      <c r="ADA27"/>
      <c r="ADB27"/>
      <c r="ADC27"/>
      <c r="ADD27"/>
      <c r="ADE27"/>
      <c r="ADF27"/>
      <c r="ADG27"/>
      <c r="ADH27"/>
      <c r="ADI27"/>
      <c r="ADJ27"/>
      <c r="ADK27"/>
      <c r="ADL27"/>
      <c r="ADM27"/>
      <c r="ADN27"/>
      <c r="ADO27"/>
      <c r="ADP27"/>
      <c r="ADQ27"/>
      <c r="ADR27"/>
      <c r="ADS27"/>
      <c r="ADT27"/>
      <c r="ADU27"/>
      <c r="ADV27"/>
      <c r="ADW27"/>
      <c r="ADX27"/>
      <c r="ADY27"/>
      <c r="ADZ27"/>
      <c r="AEA27"/>
      <c r="AEB27"/>
      <c r="AEC27"/>
      <c r="AED27"/>
      <c r="AEE27"/>
      <c r="AEF27"/>
      <c r="AEG27"/>
      <c r="AEH27"/>
      <c r="AEI27"/>
      <c r="AEJ27"/>
      <c r="AEK27"/>
      <c r="AEL27"/>
      <c r="AEM27"/>
      <c r="AEN27"/>
      <c r="AEO27"/>
      <c r="AEP27"/>
      <c r="AEQ27"/>
      <c r="AER27"/>
      <c r="AES27"/>
      <c r="AET27"/>
      <c r="AEU27"/>
      <c r="AEV27"/>
      <c r="AEW27"/>
      <c r="AEX27"/>
      <c r="AEY27"/>
      <c r="AEZ27"/>
      <c r="AFA27"/>
      <c r="AFB27"/>
      <c r="AFC27"/>
      <c r="AFD27"/>
      <c r="AFE27"/>
      <c r="AFF27"/>
      <c r="AFG27"/>
      <c r="AFH27"/>
      <c r="AFI27"/>
      <c r="AFJ27"/>
      <c r="AFK27"/>
      <c r="AFL27"/>
      <c r="AFM27"/>
      <c r="AFN27"/>
      <c r="AFO27"/>
      <c r="AFP27"/>
      <c r="AFQ27"/>
      <c r="AFR27"/>
      <c r="AFS27"/>
      <c r="AFT27"/>
      <c r="AFU27"/>
      <c r="AFV27"/>
      <c r="AFW27"/>
      <c r="AFX27"/>
      <c r="AFY27"/>
      <c r="AFZ27"/>
      <c r="AGA27"/>
      <c r="AGB27"/>
      <c r="AGC27"/>
      <c r="AGD27"/>
      <c r="AGE27"/>
      <c r="AGF27"/>
      <c r="AGG27"/>
      <c r="AGH27"/>
      <c r="AGI27"/>
      <c r="AGJ27"/>
      <c r="AGK27"/>
      <c r="AGL27"/>
      <c r="AGM27"/>
      <c r="AGN27"/>
      <c r="AGO27"/>
      <c r="AGP27"/>
      <c r="AGQ27"/>
      <c r="AGR27"/>
      <c r="AGS27"/>
      <c r="AGT27"/>
      <c r="AGU27"/>
      <c r="AGV27"/>
      <c r="AGW27"/>
      <c r="AGX27"/>
      <c r="AGY27"/>
      <c r="AGZ27"/>
      <c r="AHA27"/>
      <c r="AHB27"/>
      <c r="AHC27"/>
      <c r="AHD27"/>
      <c r="AHE27"/>
      <c r="AHF27"/>
      <c r="AHG27"/>
      <c r="AHH27"/>
      <c r="AHI27"/>
      <c r="AHJ27"/>
      <c r="AHK27"/>
      <c r="AHL27"/>
      <c r="AHM27"/>
      <c r="AHN27"/>
      <c r="AHO27"/>
      <c r="AHP27"/>
      <c r="AHQ27"/>
      <c r="AHR27"/>
      <c r="AHS27"/>
      <c r="AHT27"/>
      <c r="AHU27"/>
      <c r="AHV27"/>
      <c r="AHW27"/>
      <c r="AHX27"/>
      <c r="AHY27"/>
      <c r="AHZ27"/>
      <c r="AIA27"/>
      <c r="AIB27"/>
      <c r="AIC27"/>
      <c r="AID27"/>
      <c r="AIE27"/>
      <c r="AIF27"/>
      <c r="AIG27"/>
      <c r="AIH27"/>
      <c r="AII27"/>
      <c r="AIJ27"/>
      <c r="AIK27"/>
      <c r="AIL27"/>
      <c r="AIM27"/>
      <c r="AIN27"/>
      <c r="AIO27"/>
      <c r="AIP27"/>
      <c r="AIQ27"/>
      <c r="AIR27"/>
      <c r="AIS27"/>
      <c r="AIT27"/>
      <c r="AIU27"/>
      <c r="AIV27"/>
      <c r="AIW27"/>
      <c r="AIX27"/>
      <c r="AIY27"/>
      <c r="AIZ27"/>
      <c r="AJA27"/>
      <c r="AJB27"/>
      <c r="AJC27"/>
      <c r="AJD27"/>
      <c r="AJE27"/>
      <c r="AJF27"/>
      <c r="AJG27"/>
      <c r="AJH27"/>
      <c r="AJI27"/>
      <c r="AJJ27"/>
      <c r="AJK27"/>
      <c r="AJL27"/>
      <c r="AJM27"/>
      <c r="AJN27"/>
      <c r="AJO27"/>
      <c r="AJP27"/>
      <c r="AJQ27"/>
      <c r="AJR27"/>
      <c r="AJS27"/>
      <c r="AJT27"/>
      <c r="AJU27"/>
      <c r="AJV27"/>
      <c r="AJW27"/>
      <c r="AJX27"/>
      <c r="AJY27"/>
      <c r="AJZ27"/>
      <c r="AKA27"/>
      <c r="AKB27"/>
      <c r="AKC27"/>
      <c r="AKD27"/>
      <c r="AKE27"/>
      <c r="AKF27"/>
      <c r="AKG27"/>
      <c r="AKH27"/>
      <c r="AKI27"/>
      <c r="AKJ27"/>
      <c r="AKK27"/>
      <c r="AKL27"/>
      <c r="AKM27"/>
      <c r="AKN27"/>
      <c r="AKO27"/>
      <c r="AKP27"/>
      <c r="AKQ27"/>
      <c r="AKR27"/>
      <c r="AKS27"/>
      <c r="AKT27"/>
      <c r="AKU27"/>
      <c r="AKV27"/>
      <c r="AKW27"/>
      <c r="AKX27"/>
      <c r="AKY27"/>
      <c r="AKZ27"/>
      <c r="ALA27"/>
      <c r="ALB27"/>
      <c r="ALC27"/>
      <c r="ALD27"/>
      <c r="ALE27"/>
      <c r="ALF27"/>
      <c r="ALG27"/>
      <c r="ALH27"/>
      <c r="ALI27"/>
      <c r="ALJ27"/>
      <c r="ALK27"/>
      <c r="ALL27"/>
      <c r="ALM27"/>
      <c r="ALN27"/>
      <c r="ALO27"/>
      <c r="ALP27"/>
      <c r="ALQ27"/>
      <c r="ALR27"/>
      <c r="ALS27"/>
      <c r="ALT27"/>
      <c r="ALU27"/>
      <c r="ALV27"/>
      <c r="ALW27"/>
      <c r="ALX27"/>
      <c r="ALY27"/>
      <c r="ALZ27"/>
      <c r="AMA27"/>
      <c r="AMB27"/>
      <c r="AMC27"/>
      <c r="AMD27"/>
      <c r="AME27"/>
      <c r="AMF27"/>
      <c r="AMG27"/>
      <c r="AMH27"/>
      <c r="AMI27"/>
      <c r="AMJ27"/>
    </row>
  </sheetData>
  <mergeCells count="37">
    <mergeCell ref="C22:G22"/>
    <mergeCell ref="C23:G23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A27:I27"/>
    <mergeCell ref="J27:K27"/>
    <mergeCell ref="C24:G24"/>
    <mergeCell ref="C25:G25"/>
    <mergeCell ref="C26:G26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topLeftCell="A13" zoomScale="130" zoomScaleNormal="130" workbookViewId="0">
      <selection activeCell="A24" sqref="A24:Q24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19" t="s">
        <v>3</v>
      </c>
      <c r="B1" s="119"/>
      <c r="C1" s="119"/>
      <c r="D1" s="120">
        <f>'Necesidades Trimestrales'!C6</f>
        <v>2022</v>
      </c>
      <c r="E1" s="120"/>
      <c r="F1" s="10"/>
      <c r="G1" s="10"/>
      <c r="H1" s="11"/>
      <c r="I1" s="11"/>
      <c r="J1" s="11"/>
      <c r="K1" s="11"/>
      <c r="L1" s="11"/>
      <c r="M1" s="11"/>
      <c r="N1" s="11"/>
      <c r="P1" s="121" t="s">
        <v>30</v>
      </c>
      <c r="Q1" s="121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21"/>
      <c r="Q2" s="121"/>
    </row>
    <row r="4" spans="1:17" s="12" customFormat="1" ht="18" customHeight="1" thickBot="1" x14ac:dyDescent="0.25">
      <c r="A4" s="122" t="s">
        <v>31</v>
      </c>
      <c r="B4" s="122"/>
      <c r="C4" s="122"/>
      <c r="D4" s="122"/>
      <c r="E4" s="122"/>
      <c r="F4" s="122"/>
      <c r="G4" s="123" t="str">
        <f>NotaPedido!D3</f>
        <v>40 - Ministerio de Salud</v>
      </c>
      <c r="H4" s="123"/>
      <c r="I4" s="123"/>
      <c r="J4" s="123"/>
      <c r="K4" s="123"/>
      <c r="L4" s="123"/>
      <c r="M4" s="123"/>
      <c r="N4" s="123"/>
      <c r="O4" s="123"/>
      <c r="P4" s="123"/>
      <c r="Q4" s="123"/>
    </row>
    <row r="5" spans="1:17" s="12" customFormat="1" ht="18" customHeight="1" thickBot="1" x14ac:dyDescent="0.25">
      <c r="A5" s="124" t="s">
        <v>54</v>
      </c>
      <c r="B5" s="125"/>
      <c r="C5" s="125"/>
      <c r="D5" s="125"/>
      <c r="E5" s="125"/>
      <c r="F5" s="126"/>
      <c r="G5" s="123" t="str">
        <f>NotaPedido!D4</f>
        <v>23 - Hospital Interzonal San Juan Bautista</v>
      </c>
      <c r="H5" s="123"/>
      <c r="I5" s="123"/>
      <c r="J5" s="123"/>
      <c r="K5" s="123"/>
      <c r="L5" s="123"/>
      <c r="M5" s="123"/>
      <c r="N5" s="123"/>
      <c r="O5" s="123"/>
      <c r="P5" s="123"/>
      <c r="Q5" s="123"/>
    </row>
    <row r="6" spans="1:17" s="12" customFormat="1" ht="18" customHeight="1" thickBot="1" x14ac:dyDescent="0.25">
      <c r="A6" s="124" t="s">
        <v>32</v>
      </c>
      <c r="B6" s="125"/>
      <c r="C6" s="125"/>
      <c r="D6" s="125"/>
      <c r="E6" s="125"/>
      <c r="F6" s="126"/>
      <c r="G6" s="123" t="str">
        <f>NotaPedido!D5</f>
        <v>168 - Direccion Asistencial</v>
      </c>
      <c r="H6" s="123"/>
      <c r="I6" s="123"/>
      <c r="J6" s="123"/>
      <c r="K6" s="123"/>
      <c r="L6" s="123"/>
      <c r="M6" s="123"/>
      <c r="N6" s="123"/>
      <c r="O6" s="123"/>
      <c r="P6" s="123"/>
      <c r="Q6" s="123"/>
    </row>
    <row r="7" spans="1:17" s="12" customFormat="1" ht="18" customHeight="1" thickBot="1" x14ac:dyDescent="0.25">
      <c r="A7" s="124" t="s">
        <v>55</v>
      </c>
      <c r="B7" s="125"/>
      <c r="C7" s="125"/>
      <c r="D7" s="125"/>
      <c r="E7" s="125"/>
      <c r="F7" s="126"/>
      <c r="G7" s="123" t="str">
        <f>NotaPedido!D6</f>
        <v xml:space="preserve">Servicio de Laboratorio Central </v>
      </c>
      <c r="H7" s="123"/>
      <c r="I7" s="123"/>
      <c r="J7" s="123"/>
      <c r="K7" s="123"/>
      <c r="L7" s="123"/>
      <c r="M7" s="123"/>
      <c r="N7" s="123"/>
      <c r="O7" s="123"/>
      <c r="P7" s="123"/>
      <c r="Q7" s="123"/>
    </row>
    <row r="8" spans="1:17" ht="18" customHeight="1" thickBot="1" x14ac:dyDescent="0.25">
      <c r="A8" s="127" t="s">
        <v>33</v>
      </c>
      <c r="B8" s="127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</row>
    <row r="9" spans="1:17" ht="18" customHeight="1" x14ac:dyDescent="0.2">
      <c r="A9" s="128" t="s">
        <v>34</v>
      </c>
      <c r="B9" s="128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"/>
      <c r="P9" s="1"/>
      <c r="Q9" s="13"/>
    </row>
    <row r="10" spans="1:17" ht="54.75" customHeight="1" x14ac:dyDescent="0.2">
      <c r="A10" s="129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017 - 2022,  afectando la erogación resultante a los créditos presupuestarios aprobados a favor de esta Unidad Ejecutora, conforme al siguiente detalle:</v>
      </c>
      <c r="B10" s="129"/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30" t="s">
        <v>35</v>
      </c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</row>
    <row r="13" spans="1:17" ht="15.75" customHeight="1" x14ac:dyDescent="0.2">
      <c r="A13" s="131" t="s">
        <v>36</v>
      </c>
      <c r="B13" s="131"/>
      <c r="C13" s="131"/>
      <c r="D13" s="131"/>
      <c r="E13" s="131"/>
      <c r="F13" s="131"/>
      <c r="G13" s="131"/>
      <c r="H13" s="131"/>
      <c r="I13" s="131"/>
      <c r="J13" s="131"/>
      <c r="K13" s="131"/>
      <c r="L13" s="131"/>
      <c r="M13" s="131"/>
      <c r="N13" s="131"/>
      <c r="O13" s="132" t="s">
        <v>37</v>
      </c>
      <c r="P13" s="132"/>
      <c r="Q13" s="133" t="s">
        <v>38</v>
      </c>
    </row>
    <row r="14" spans="1:17" ht="15.75" customHeight="1" x14ac:dyDescent="0.2">
      <c r="A14" s="18" t="s">
        <v>39</v>
      </c>
      <c r="B14" s="19" t="s">
        <v>40</v>
      </c>
      <c r="C14" s="19" t="s">
        <v>41</v>
      </c>
      <c r="D14" s="19" t="s">
        <v>42</v>
      </c>
      <c r="E14" s="19" t="s">
        <v>43</v>
      </c>
      <c r="F14" s="19" t="s">
        <v>44</v>
      </c>
      <c r="G14" s="20" t="s">
        <v>45</v>
      </c>
      <c r="H14" s="19" t="s">
        <v>46</v>
      </c>
      <c r="I14" s="19" t="s">
        <v>47</v>
      </c>
      <c r="J14" s="19" t="s">
        <v>48</v>
      </c>
      <c r="K14" s="19" t="s">
        <v>48</v>
      </c>
      <c r="L14" s="19" t="s">
        <v>49</v>
      </c>
      <c r="M14" s="21" t="s">
        <v>50</v>
      </c>
      <c r="N14" s="22" t="s">
        <v>51</v>
      </c>
      <c r="O14" s="132"/>
      <c r="P14" s="132"/>
      <c r="Q14" s="133"/>
    </row>
    <row r="15" spans="1:17" ht="17.25" customHeight="1" x14ac:dyDescent="0.2">
      <c r="A15" s="66">
        <v>33</v>
      </c>
      <c r="B15" s="67"/>
      <c r="C15" s="67"/>
      <c r="D15" s="67">
        <v>2</v>
      </c>
      <c r="E15" s="67"/>
      <c r="F15" s="67">
        <v>4901</v>
      </c>
      <c r="G15" s="67">
        <v>3</v>
      </c>
      <c r="H15" s="68" t="s">
        <v>61</v>
      </c>
      <c r="I15" s="69">
        <v>2</v>
      </c>
      <c r="J15" s="69">
        <v>9</v>
      </c>
      <c r="K15" s="69">
        <v>5</v>
      </c>
      <c r="L15" s="67"/>
      <c r="M15" s="70">
        <v>1</v>
      </c>
      <c r="N15" s="68" t="s">
        <v>62</v>
      </c>
      <c r="O15" s="134" t="s">
        <v>63</v>
      </c>
      <c r="P15" s="134"/>
      <c r="Q15" s="23">
        <f>2229467-313868</f>
        <v>1915599</v>
      </c>
    </row>
    <row r="16" spans="1:17" ht="17.25" customHeight="1" x14ac:dyDescent="0.2">
      <c r="A16" s="24">
        <v>33</v>
      </c>
      <c r="B16" s="25"/>
      <c r="C16" s="25"/>
      <c r="D16" s="25">
        <v>2</v>
      </c>
      <c r="E16" s="25"/>
      <c r="F16" s="25">
        <v>4901</v>
      </c>
      <c r="G16" s="25">
        <v>3</v>
      </c>
      <c r="H16" s="64" t="s">
        <v>61</v>
      </c>
      <c r="I16" s="25">
        <v>2</v>
      </c>
      <c r="J16" s="25">
        <v>9</v>
      </c>
      <c r="K16" s="25">
        <v>6</v>
      </c>
      <c r="L16" s="25"/>
      <c r="M16" s="26">
        <v>1</v>
      </c>
      <c r="N16" s="65" t="s">
        <v>62</v>
      </c>
      <c r="O16" s="135" t="s">
        <v>87</v>
      </c>
      <c r="P16" s="135"/>
      <c r="Q16" s="28">
        <v>313868</v>
      </c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64"/>
      <c r="I17" s="25"/>
      <c r="J17" s="25"/>
      <c r="K17" s="25"/>
      <c r="L17" s="25"/>
      <c r="M17" s="26"/>
      <c r="N17" s="65"/>
      <c r="O17" s="135"/>
      <c r="P17" s="135"/>
      <c r="Q17" s="28"/>
      <c r="S17" s="71"/>
    </row>
    <row r="18" spans="1:19" ht="17.25" customHeight="1" x14ac:dyDescent="0.2">
      <c r="A18" s="24"/>
      <c r="B18" s="25"/>
      <c r="C18" s="25"/>
      <c r="D18" s="25"/>
      <c r="E18" s="25"/>
      <c r="F18" s="25"/>
      <c r="G18" s="25"/>
      <c r="H18" s="64"/>
      <c r="I18" s="25"/>
      <c r="J18" s="25"/>
      <c r="K18" s="25"/>
      <c r="L18" s="25"/>
      <c r="M18" s="26"/>
      <c r="N18" s="65"/>
      <c r="O18" s="136"/>
      <c r="P18" s="137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37"/>
      <c r="P19" s="137"/>
      <c r="Q19" s="28"/>
    </row>
    <row r="20" spans="1:19" ht="17.25" customHeight="1" x14ac:dyDescent="0.2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37"/>
      <c r="P20" s="137"/>
      <c r="Q20" s="28"/>
    </row>
    <row r="21" spans="1:19" ht="17.25" customHeight="1" x14ac:dyDescent="0.2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43"/>
      <c r="P21" s="143"/>
      <c r="Q21" s="28"/>
      <c r="R21" s="1"/>
    </row>
    <row r="22" spans="1:19" ht="17.25" customHeight="1" x14ac:dyDescent="0.2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44"/>
      <c r="P22" s="144"/>
      <c r="Q22" s="37"/>
    </row>
    <row r="23" spans="1:19" ht="20.25" customHeight="1" x14ac:dyDescent="0.2">
      <c r="A23" s="145" t="s">
        <v>98</v>
      </c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38">
        <v>2229467</v>
      </c>
    </row>
    <row r="24" spans="1:19" ht="18" customHeight="1" thickBot="1" x14ac:dyDescent="0.25">
      <c r="A24" s="146"/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</row>
    <row r="25" spans="1:19" ht="17.25" customHeight="1" thickBot="1" x14ac:dyDescent="0.25">
      <c r="A25" s="138" t="s">
        <v>52</v>
      </c>
      <c r="B25" s="139"/>
      <c r="C25" s="139"/>
      <c r="D25" s="139"/>
      <c r="E25" s="139"/>
      <c r="F25" s="140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</row>
    <row r="26" spans="1:19" ht="18" customHeight="1" thickBot="1" x14ac:dyDescent="0.25">
      <c r="A26" s="142" t="str">
        <f>"Para la "&amp; NotaPedido!D8 &amp;" para ser destinados al " &amp; NotaPedido!D6 &amp;"  del HISJB del Ministerio de Salud."</f>
        <v>Para la Adquisición de Insumos y Descartables para Laboratorio  para ser destinados al Servicio de Laboratorio Central   del HISJB del Ministerio de Salud.</v>
      </c>
      <c r="B26" s="142"/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</row>
    <row r="27" spans="1:19" ht="15" customHeight="1" x14ac:dyDescent="0.2">
      <c r="A27" s="142"/>
      <c r="B27" s="142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2"/>
      <c r="N27" s="142"/>
      <c r="O27" s="142"/>
      <c r="P27" s="142"/>
      <c r="Q27" s="142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LICITACION23</cp:lastModifiedBy>
  <cp:revision>2</cp:revision>
  <cp:lastPrinted>2020-07-17T22:18:48Z</cp:lastPrinted>
  <dcterms:created xsi:type="dcterms:W3CDTF">2020-07-17T23:44:49Z</dcterms:created>
  <dcterms:modified xsi:type="dcterms:W3CDTF">2022-02-08T11:24:47Z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