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BAJO SAF 06\PEDIDO TRIMESTRAL\TINTAS Y TONERS\SEGUNDO PEDIDO\"/>
    </mc:Choice>
  </mc:AlternateContent>
  <bookViews>
    <workbookView xWindow="0" yWindow="0" windowWidth="28800" windowHeight="11805" tabRatio="500"/>
  </bookViews>
  <sheets>
    <sheet name="Necesidades Trimestrales" sheetId="1" r:id="rId1"/>
  </sheets>
  <calcPr calcId="162913"/>
</workbook>
</file>

<file path=xl/calcChain.xml><?xml version="1.0" encoding="utf-8"?>
<calcChain xmlns="http://schemas.openxmlformats.org/spreadsheetml/2006/main">
  <c r="I11" i="1" l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10" i="1"/>
  <c r="I28" i="1" l="1"/>
</calcChain>
</file>

<file path=xl/sharedStrings.xml><?xml version="1.0" encoding="utf-8"?>
<sst xmlns="http://schemas.openxmlformats.org/spreadsheetml/2006/main" count="180" uniqueCount="110">
  <si>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</si>
  <si>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</si>
  <si>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</si>
  <si>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</si>
  <si>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</si>
  <si>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</si>
  <si>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</si>
  <si>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</si>
  <si>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</si>
  <si>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</si>
  <si>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</si>
  <si>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</si>
  <si>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</si>
  <si>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</si>
  <si>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Plazos y lugares de entrega:</t>
  </si>
  <si>
    <t>Calidad Minima esperada:</t>
  </si>
  <si>
    <t>Mantenimiento:</t>
  </si>
  <si>
    <t>UNIDAD</t>
  </si>
  <si>
    <t>06 - Secretaria de Gestion Administrativa del Ministerio de Gobierno, Justicia y Derechos Humanos</t>
  </si>
  <si>
    <t>30 (treinta)  días habiles</t>
  </si>
  <si>
    <t>Forma de Pago:</t>
  </si>
  <si>
    <t>Que cumpla con lo solicitado y condiciones de calidad adjuntas, productos de muy buena calidad.-</t>
  </si>
  <si>
    <t>Especificidades de los Items:</t>
  </si>
  <si>
    <t>2.9.6-1355.1938</t>
  </si>
  <si>
    <t>2.9.6-1355.1940</t>
  </si>
  <si>
    <t>2.9.6-1355.1941</t>
  </si>
  <si>
    <t>2.9.6-401.2228</t>
  </si>
  <si>
    <t>2.9.6-401.1486</t>
  </si>
  <si>
    <t>2.9.6-401.2377</t>
  </si>
  <si>
    <t>2.9.6-401.1563</t>
  </si>
  <si>
    <t>2.9.6-401.1282</t>
  </si>
  <si>
    <t>2.9.6-401.1442</t>
  </si>
  <si>
    <t>2.9.6-1355.1988</t>
  </si>
  <si>
    <t>REPUESTOS</t>
  </si>
  <si>
    <r>
      <rPr>
        <b/>
        <sz val="11"/>
        <color theme="1"/>
        <rFont val="Calibri"/>
        <family val="2"/>
        <scheme val="minor"/>
      </rPr>
      <t>CARTUCHOS DE TINTA;</t>
    </r>
    <r>
      <rPr>
        <sz val="10"/>
        <rFont val="Arial"/>
        <charset val="1"/>
      </rPr>
      <t xml:space="preserve"> CODIGO: T664120, USO: EPSON</t>
    </r>
  </si>
  <si>
    <r>
      <rPr>
        <b/>
        <sz val="11"/>
        <color theme="1"/>
        <rFont val="Calibri"/>
        <family val="2"/>
        <scheme val="minor"/>
      </rPr>
      <t xml:space="preserve">CARTUCHOS DE TINTA; </t>
    </r>
    <r>
      <rPr>
        <sz val="10"/>
        <rFont val="Arial"/>
        <charset val="1"/>
      </rPr>
      <t>CODIGO: T664220, USO: EPSON</t>
    </r>
  </si>
  <si>
    <r>
      <rPr>
        <b/>
        <sz val="11"/>
        <color theme="1"/>
        <rFont val="Calibri"/>
        <family val="2"/>
        <scheme val="minor"/>
      </rPr>
      <t>CARTUCHOS DE TINTA;</t>
    </r>
    <r>
      <rPr>
        <sz val="10"/>
        <rFont val="Arial"/>
        <charset val="1"/>
      </rPr>
      <t xml:space="preserve"> CODIGO: T664320, USO: EPSON</t>
    </r>
  </si>
  <si>
    <r>
      <rPr>
        <b/>
        <sz val="11"/>
        <color theme="1"/>
        <rFont val="Calibri"/>
        <family val="2"/>
        <scheme val="minor"/>
      </rPr>
      <t xml:space="preserve">CARTUCHOS DE TINTA; </t>
    </r>
    <r>
      <rPr>
        <sz val="10"/>
        <rFont val="Arial"/>
        <charset val="1"/>
      </rPr>
      <t>CODIGO: T664420, USO: EPSON</t>
    </r>
  </si>
  <si>
    <r>
      <rPr>
        <b/>
        <sz val="11"/>
        <color theme="1"/>
        <rFont val="Calibri"/>
        <family val="2"/>
        <scheme val="minor"/>
      </rPr>
      <t>CARTUCHOS DE TONER</t>
    </r>
    <r>
      <rPr>
        <sz val="10"/>
        <rFont val="Arial"/>
        <charset val="1"/>
      </rPr>
      <t>; CODIGO: HP 53A, USO: HP</t>
    </r>
  </si>
  <si>
    <r>
      <rPr>
        <b/>
        <sz val="11"/>
        <color theme="1"/>
        <rFont val="Calibri"/>
        <family val="2"/>
        <scheme val="minor"/>
      </rPr>
      <t xml:space="preserve">CARTUCHOS DE TONER; </t>
    </r>
    <r>
      <rPr>
        <sz val="10"/>
        <rFont val="Arial"/>
        <charset val="1"/>
      </rPr>
      <t>CODIGO: CF279A, USO: HEWLETT PACKARD</t>
    </r>
  </si>
  <si>
    <r>
      <rPr>
        <b/>
        <sz val="11"/>
        <color theme="1"/>
        <rFont val="Calibri"/>
        <family val="2"/>
        <scheme val="minor"/>
      </rPr>
      <t>CARTUCHOS DE TONER;</t>
    </r>
    <r>
      <rPr>
        <sz val="10"/>
        <rFont val="Arial"/>
        <charset val="1"/>
      </rPr>
      <t xml:space="preserve"> CODIGO: HP 85A, USO: HP</t>
    </r>
  </si>
  <si>
    <r>
      <rPr>
        <b/>
        <sz val="11"/>
        <color theme="1"/>
        <rFont val="Calibri"/>
        <family val="2"/>
        <scheme val="minor"/>
      </rPr>
      <t>CARTUCHOS DE TONER;</t>
    </r>
    <r>
      <rPr>
        <sz val="10"/>
        <rFont val="Arial"/>
        <charset val="1"/>
      </rPr>
      <t xml:space="preserve"> CODIGO: CE505A, USO: HEWLETT PACKARD</t>
    </r>
  </si>
  <si>
    <r>
      <rPr>
        <b/>
        <sz val="11"/>
        <color theme="1"/>
        <rFont val="Calibri"/>
        <family val="2"/>
        <scheme val="minor"/>
      </rPr>
      <t xml:space="preserve">CARTUCHOS DE TONER; </t>
    </r>
    <r>
      <rPr>
        <sz val="10"/>
        <rFont val="Arial"/>
        <charset val="1"/>
      </rPr>
      <t>CODIGO: 42A, USO: HEWLETT PACKARD</t>
    </r>
  </si>
  <si>
    <r>
      <rPr>
        <b/>
        <sz val="11"/>
        <color theme="1"/>
        <rFont val="Calibri"/>
        <family val="2"/>
        <scheme val="minor"/>
      </rPr>
      <t>CARTUCHOS DE TINTA;</t>
    </r>
    <r>
      <rPr>
        <sz val="10"/>
        <rFont val="Arial"/>
        <charset val="1"/>
      </rPr>
      <t xml:space="preserve"> CODIGO: 664, USO: HEWLET PACKARD</t>
    </r>
  </si>
  <si>
    <r>
      <rPr>
        <b/>
        <sz val="11"/>
        <color theme="1"/>
        <rFont val="Calibri"/>
        <family val="2"/>
        <scheme val="minor"/>
      </rPr>
      <t>CARTUCHOS DE TONER;</t>
    </r>
    <r>
      <rPr>
        <sz val="10"/>
        <rFont val="Arial"/>
        <charset val="1"/>
      </rPr>
      <t xml:space="preserve"> CODIGO: T 1640, USO: TOSHIBA ESTUDIO 166</t>
    </r>
  </si>
  <si>
    <r>
      <rPr>
        <b/>
        <sz val="11"/>
        <color theme="1"/>
        <rFont val="Calibri"/>
        <family val="2"/>
        <scheme val="minor"/>
      </rPr>
      <t xml:space="preserve">CARTUCHOS DE TONER; </t>
    </r>
    <r>
      <rPr>
        <sz val="10"/>
        <rFont val="Arial"/>
        <charset val="1"/>
      </rPr>
      <t>CODIGO: TN 1060, USO: BROTHER</t>
    </r>
  </si>
  <si>
    <r>
      <rPr>
        <b/>
        <sz val="11"/>
        <color theme="1"/>
        <rFont val="Calibri"/>
        <family val="2"/>
        <scheme val="minor"/>
      </rPr>
      <t>CARTUCHOS DE TONER;</t>
    </r>
    <r>
      <rPr>
        <sz val="10"/>
        <rFont val="Arial"/>
        <charset val="1"/>
      </rPr>
      <t xml:space="preserve"> CODIGO: 106R01531, USO: XEROX</t>
    </r>
  </si>
  <si>
    <t>HEWLETT-PACKARD</t>
  </si>
  <si>
    <t>EPSON</t>
  </si>
  <si>
    <t>TOSHIBA</t>
  </si>
  <si>
    <t>BROTHER</t>
  </si>
  <si>
    <t>XEROX</t>
  </si>
  <si>
    <t>IMPRESORA
MARCA</t>
  </si>
  <si>
    <t>IMPRESORA
MODELO</t>
  </si>
  <si>
    <r>
      <rPr>
        <u/>
        <sz val="11"/>
        <rFont val="Calibri"/>
        <family val="2"/>
        <scheme val="minor"/>
      </rPr>
      <t>ÍTEM N° 6:</t>
    </r>
    <r>
      <rPr>
        <sz val="11"/>
        <rFont val="Calibri"/>
        <family val="2"/>
        <scheme val="minor"/>
      </rPr>
      <t xml:space="preserve"> </t>
    </r>
  </si>
  <si>
    <r>
      <rPr>
        <u/>
        <sz val="11"/>
        <rFont val="Calibri"/>
        <family val="2"/>
        <scheme val="minor"/>
      </rPr>
      <t>ÍTEM N° 1:</t>
    </r>
    <r>
      <rPr>
        <sz val="11"/>
        <rFont val="Calibri"/>
        <family val="2"/>
        <scheme val="minor"/>
      </rPr>
      <t xml:space="preserve"> </t>
    </r>
  </si>
  <si>
    <r>
      <rPr>
        <u/>
        <sz val="11"/>
        <rFont val="Calibri"/>
        <family val="2"/>
        <scheme val="minor"/>
      </rPr>
      <t>ÍTEM N° 2:</t>
    </r>
    <r>
      <rPr>
        <sz val="11"/>
        <rFont val="Calibri"/>
        <family val="2"/>
        <scheme val="minor"/>
      </rPr>
      <t xml:space="preserve"> </t>
    </r>
  </si>
  <si>
    <r>
      <rPr>
        <u/>
        <sz val="11"/>
        <rFont val="Calibri"/>
        <family val="2"/>
        <scheme val="minor"/>
      </rPr>
      <t>ÍTEM N° 3:</t>
    </r>
    <r>
      <rPr>
        <sz val="11"/>
        <rFont val="Calibri"/>
        <family val="2"/>
        <scheme val="minor"/>
      </rPr>
      <t xml:space="preserve"> </t>
    </r>
  </si>
  <si>
    <r>
      <rPr>
        <u/>
        <sz val="11"/>
        <rFont val="Calibri"/>
        <family val="2"/>
        <scheme val="minor"/>
      </rPr>
      <t>ÍTEM N° 4:</t>
    </r>
    <r>
      <rPr>
        <sz val="11"/>
        <rFont val="Calibri"/>
        <family val="2"/>
        <scheme val="minor"/>
      </rPr>
      <t xml:space="preserve"> </t>
    </r>
  </si>
  <si>
    <r>
      <rPr>
        <u/>
        <sz val="11"/>
        <rFont val="Calibri"/>
        <family val="2"/>
        <scheme val="minor"/>
      </rPr>
      <t>ÍTEM N° 5:</t>
    </r>
    <r>
      <rPr>
        <sz val="11"/>
        <rFont val="Calibri"/>
        <family val="2"/>
        <scheme val="minor"/>
      </rPr>
      <t xml:space="preserve"> </t>
    </r>
  </si>
  <si>
    <r>
      <rPr>
        <u/>
        <sz val="11"/>
        <rFont val="Calibri"/>
        <family val="2"/>
        <scheme val="minor"/>
      </rPr>
      <t>ÍTEM N° 7:</t>
    </r>
    <r>
      <rPr>
        <sz val="11"/>
        <rFont val="Calibri"/>
        <family val="2"/>
        <scheme val="minor"/>
      </rPr>
      <t xml:space="preserve"> </t>
    </r>
  </si>
  <si>
    <r>
      <rPr>
        <u/>
        <sz val="11"/>
        <rFont val="Calibri"/>
        <family val="2"/>
        <scheme val="minor"/>
      </rPr>
      <t>ÍTEM N° 8:</t>
    </r>
    <r>
      <rPr>
        <sz val="11"/>
        <rFont val="Calibri"/>
        <family val="2"/>
        <scheme val="minor"/>
      </rPr>
      <t xml:space="preserve"> </t>
    </r>
  </si>
  <si>
    <r>
      <rPr>
        <u/>
        <sz val="11"/>
        <rFont val="Calibri"/>
        <family val="2"/>
        <scheme val="minor"/>
      </rPr>
      <t>ÍTEM N° 9:</t>
    </r>
    <r>
      <rPr>
        <sz val="11"/>
        <rFont val="Calibri"/>
        <family val="2"/>
        <scheme val="minor"/>
      </rPr>
      <t xml:space="preserve"> </t>
    </r>
  </si>
  <si>
    <r>
      <rPr>
        <u/>
        <sz val="11"/>
        <rFont val="Calibri"/>
        <family val="2"/>
        <scheme val="minor"/>
      </rPr>
      <t>ÍTEM N° 10:</t>
    </r>
    <r>
      <rPr>
        <sz val="11"/>
        <rFont val="Calibri"/>
        <family val="2"/>
        <scheme val="minor"/>
      </rPr>
      <t xml:space="preserve"> </t>
    </r>
  </si>
  <si>
    <r>
      <rPr>
        <u/>
        <sz val="11"/>
        <rFont val="Calibri"/>
        <family val="2"/>
        <scheme val="minor"/>
      </rPr>
      <t>ÍTEM N° 11:</t>
    </r>
    <r>
      <rPr>
        <sz val="11"/>
        <rFont val="Calibri"/>
        <family val="2"/>
        <scheme val="minor"/>
      </rPr>
      <t xml:space="preserve"> </t>
    </r>
  </si>
  <si>
    <r>
      <rPr>
        <u/>
        <sz val="11"/>
        <rFont val="Calibri"/>
        <family val="2"/>
        <scheme val="minor"/>
      </rPr>
      <t>ÍTEM N° 12:</t>
    </r>
    <r>
      <rPr>
        <sz val="11"/>
        <rFont val="Calibri"/>
        <family val="2"/>
        <scheme val="minor"/>
      </rPr>
      <t xml:space="preserve"> </t>
    </r>
  </si>
  <si>
    <r>
      <rPr>
        <u/>
        <sz val="11"/>
        <rFont val="Calibri"/>
        <family val="2"/>
        <scheme val="minor"/>
      </rPr>
      <t>ÍTEM N° 13:</t>
    </r>
    <r>
      <rPr>
        <sz val="11"/>
        <rFont val="Calibri"/>
        <family val="2"/>
        <scheme val="minor"/>
      </rPr>
      <t xml:space="preserve"> </t>
    </r>
  </si>
  <si>
    <r>
      <rPr>
        <u/>
        <sz val="11"/>
        <rFont val="Calibri"/>
        <family val="2"/>
        <scheme val="minor"/>
      </rPr>
      <t>ÍTEM N° 14:</t>
    </r>
    <r>
      <rPr>
        <sz val="11"/>
        <rFont val="Calibri"/>
        <family val="2"/>
        <scheme val="minor"/>
      </rPr>
      <t xml:space="preserve"> </t>
    </r>
  </si>
  <si>
    <r>
      <rPr>
        <u/>
        <sz val="11"/>
        <rFont val="Calibri"/>
        <family val="2"/>
        <scheme val="minor"/>
      </rPr>
      <t>ÍTEM N° 15:</t>
    </r>
    <r>
      <rPr>
        <sz val="11"/>
        <rFont val="Calibri"/>
        <family val="2"/>
        <scheme val="minor"/>
      </rPr>
      <t xml:space="preserve"> </t>
    </r>
  </si>
  <si>
    <r>
      <rPr>
        <u/>
        <sz val="11"/>
        <rFont val="Calibri"/>
        <family val="2"/>
        <scheme val="minor"/>
      </rPr>
      <t>ÍTEM N° 16:</t>
    </r>
    <r>
      <rPr>
        <sz val="11"/>
        <rFont val="Calibri"/>
        <family val="2"/>
        <scheme val="minor"/>
      </rPr>
      <t xml:space="preserve"> </t>
    </r>
  </si>
  <si>
    <r>
      <rPr>
        <u/>
        <sz val="11"/>
        <rFont val="Calibri"/>
        <family val="2"/>
        <scheme val="minor"/>
      </rPr>
      <t>ÍTEM N° 17:</t>
    </r>
    <r>
      <rPr>
        <sz val="11"/>
        <rFont val="Calibri"/>
        <family val="2"/>
        <scheme val="minor"/>
      </rPr>
      <t xml:space="preserve"> </t>
    </r>
  </si>
  <si>
    <t>Dentro de los 30 días de efectuada la recepcion definitiva de los bienes solicitados.-</t>
  </si>
  <si>
    <r>
      <t xml:space="preserve">a) LUGAR DE ENTREGA:  Dirección Prov. de Gestion Administrativa- sito en Ayacucho N° 502 (Edificio Ex I.P.P.S) 2do Piso - De 08 a 12 horas. 
</t>
    </r>
    <r>
      <rPr>
        <b/>
        <sz val="11"/>
        <rFont val="Calibri"/>
        <family val="2"/>
        <scheme val="minor"/>
      </rPr>
      <t>b)</t>
    </r>
    <r>
      <rPr>
        <sz val="11"/>
        <rFont val="Calibri"/>
        <family val="2"/>
        <scheme val="minor"/>
      </rPr>
      <t xml:space="preserve"> FORMA DE LA ENTREGA: Libre de flete, acarreo y embalaje, como así también, de todo riesgo de pérdida o destrucción total o parcial, por causas ajenas a la Institución. 
</t>
    </r>
    <r>
      <rPr>
        <b/>
        <sz val="11"/>
        <rFont val="Calibri"/>
        <family val="2"/>
        <scheme val="minor"/>
      </rPr>
      <t>c)</t>
    </r>
    <r>
      <rPr>
        <sz val="11"/>
        <rFont val="Calibri"/>
        <family val="2"/>
        <scheme val="minor"/>
      </rPr>
      <t xml:space="preserve">  PLAZO DE ENTREGA: El Oferente deberá establecer plazo de entrega de los elementos cotizados, debiendo ser expresado en días hábiles; que no podrá ser superior a cinco (5) días hábiles, contados a partir de la recepción de la comunicación prevista en el Artículo 80 del Anexo I - Reglamento Parcial N° 2 de la ley 4938.                                                                                                      </t>
    </r>
  </si>
  <si>
    <t>2.9.6-401.2067</t>
  </si>
  <si>
    <r>
      <rPr>
        <b/>
        <sz val="11"/>
        <color theme="1"/>
        <rFont val="Calibri"/>
        <family val="2"/>
        <scheme val="minor"/>
      </rPr>
      <t>CARTUCHOS DE TONER</t>
    </r>
    <r>
      <rPr>
        <sz val="10"/>
        <rFont val="Arial"/>
        <charset val="1"/>
      </rPr>
      <t>; CODIGO: 106R02773, USO: XEROX</t>
    </r>
  </si>
  <si>
    <t>LASER JET P2035N</t>
  </si>
  <si>
    <t>LASER JET P2015D</t>
  </si>
  <si>
    <t>LASER JET PRO M12W</t>
  </si>
  <si>
    <t>LASER JET P1102W</t>
  </si>
  <si>
    <t>LASER JET PRO M102W</t>
  </si>
  <si>
    <t>LASER 107 W</t>
  </si>
  <si>
    <t>LASER JET 4250</t>
  </si>
  <si>
    <t>PHASER 3020</t>
  </si>
  <si>
    <t>DESKJET INK
ADVENTAGE 2675</t>
  </si>
  <si>
    <t>FOTOCOPIADORA
E-STUDIO</t>
  </si>
  <si>
    <t>FOTOCOPIADORA
WORKCENTRE 3550</t>
  </si>
  <si>
    <t>L380</t>
  </si>
  <si>
    <t xml:space="preserve">EPSON </t>
  </si>
  <si>
    <t>TONER ALTERNATIVO NEGRO 05A, PARA IMPRESORA LASER HP LASERJET P2035n.</t>
  </si>
  <si>
    <t>TONER ALTERNATIVO NEGRO 53A, PARA IMPRESORA LASER HP LASERJET P2015d.</t>
  </si>
  <si>
    <t>TONER ALTERNATIVO NEGRO 79A, PARA IMPRESORA LASER HP LASERJET PRO M12W.</t>
  </si>
  <si>
    <t>TONER ALTERNATIVO NEGRO 85A, PARA IMPRESORA LASER HP LASERJET P1102W.</t>
  </si>
  <si>
    <t>TONER ALTERNATIVO NEGRO 17A, PARA IMPRESORA LASER HP LASERJET PRO M102W.</t>
  </si>
  <si>
    <t>TONER ALTERNATIVO NEGRO 105A, PARA IMPRESORA LASER HP LASER 107W.</t>
  </si>
  <si>
    <t>TONER ALTERNATIVO NEGRO 42A, PARA IMPRESORA LASER HP LASERJET 4250</t>
  </si>
  <si>
    <t>TONER ALTERNTIVO NEGRO XR 3020, PARA IMPRESORA LASER XEROX PHASER 3020.</t>
  </si>
  <si>
    <t>TINTA ALTERNATIVA TRICOLOR 664, PARA IMPRESORA INYECCION A TINTA, HP DESKJET INK ADVENTAGE 2675.</t>
  </si>
  <si>
    <t>TINTA ALTERNATIVA NEGRO 664, PARA IMPRESORA INYECCION A TINTA, HP DESKJET INK ADVENTAGE 2675.</t>
  </si>
  <si>
    <t>TONER ALTERNATIVO NEGRO, PARA FOTOCOPIADORA TOSHIBA E STUDIO T-1640.</t>
  </si>
  <si>
    <t>TONER ALTERNATIVO NEGRO TN 1060, PARA IMPRESORA LASER BROTHER 1200.</t>
  </si>
  <si>
    <t>TONER ALTERNATIVO NEGRO X3550, PARA FOTOCOPIADORA XEROX WORKCENTRE 3550.</t>
  </si>
  <si>
    <t>TINTA ORIGINAL NEGRA, PARA IMPRESORA INYECCION A TINTA, EPSON L380, TINTA CONTINUA 70ML.</t>
  </si>
  <si>
    <t>20 -Ministerio de Gobierno, Justicia y Derechos Humanos.</t>
  </si>
  <si>
    <t>3er. TRIMESTRE</t>
  </si>
  <si>
    <t>2.9.2</t>
  </si>
  <si>
    <t>CARTUCHOS DE TONER; CODIGO: CF217A, USO: HP LASERJET MFP</t>
  </si>
  <si>
    <t>2.9.6-401.1289</t>
  </si>
  <si>
    <t>2.9.6-401.2045</t>
  </si>
  <si>
    <t>2.9.6-401.1765</t>
  </si>
  <si>
    <t>2.9.6-1355.1939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</si>
</sst>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-* #,##0.00&quot; €&quot;_-;\-* #,##0.00&quot; €&quot;_-;_-* \-??&quot; €&quot;_-;_-@_-"/>
    <numFmt numFmtId="165" formatCode="_-[$$-2C0A]\ * #,##0.00_-;\-[$$-2C0A]\ * #,##0.00_-;_-[$$-2C0A]\ * &quot;-&quot;??_-;_-@_-"/>
    <numFmt numFmtId="166" formatCode="_ &quot;$&quot;\ * #,##0.00_ ;_ &quot;$&quot;\ * \-#,##0.00_ ;_ &quot;$&quot;\ * &quot;-&quot;??_ ;_ @_ "/>
    <numFmt numFmtId="167" formatCode="_(&quot;$&quot;* #,##0.00_);_(&quot;$&quot;* \(#,##0.00\);_(&quot;$&quot;* &quot;-&quot;??_);_(@_)"/>
  </numFmts>
  <fonts count="25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Calibri"/>
      <family val="2"/>
    </font>
    <font>
      <b/>
      <sz val="12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u/>
      <sz val="11"/>
      <color rgb="FF000000"/>
      <name val="Calibri"/>
      <family val="2"/>
    </font>
    <font>
      <u/>
      <sz val="11"/>
      <name val="Calibri"/>
      <family val="2"/>
      <scheme val="minor"/>
    </font>
    <font>
      <sz val="10"/>
      <color rgb="FFFF0000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name val="Times New Roman"/>
      <family val="1"/>
    </font>
    <font>
      <b/>
      <u/>
      <sz val="11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3" fillId="0" borderId="0" applyBorder="0" applyProtection="0"/>
    <xf numFmtId="0" fontId="1" fillId="0" borderId="1" applyProtection="0"/>
    <xf numFmtId="0" fontId="2" fillId="2" borderId="0" applyBorder="0" applyProtection="0"/>
    <xf numFmtId="0" fontId="3" fillId="0" borderId="0"/>
    <xf numFmtId="167" fontId="3" fillId="0" borderId="0" applyFont="0" applyFill="0" applyBorder="0" applyAlignment="0" applyProtection="0"/>
  </cellStyleXfs>
  <cellXfs count="80">
    <xf numFmtId="0" fontId="0" fillId="0" borderId="0" xfId="0"/>
    <xf numFmtId="0" fontId="4" fillId="0" borderId="0" xfId="0" applyFont="1"/>
    <xf numFmtId="0" fontId="4" fillId="0" borderId="0" xfId="0" applyFont="1" applyFill="1"/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center" wrapText="1"/>
    </xf>
    <xf numFmtId="0" fontId="9" fillId="0" borderId="0" xfId="0" applyFont="1"/>
    <xf numFmtId="0" fontId="6" fillId="0" borderId="14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165" fontId="11" fillId="0" borderId="25" xfId="0" applyNumberFormat="1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3" fillId="0" borderId="0" xfId="0" applyFont="1" applyBorder="1"/>
    <xf numFmtId="0" fontId="13" fillId="0" borderId="6" xfId="0" applyFont="1" applyBorder="1"/>
    <xf numFmtId="0" fontId="13" fillId="0" borderId="5" xfId="0" applyFont="1" applyBorder="1"/>
    <xf numFmtId="0" fontId="0" fillId="0" borderId="19" xfId="0" applyFont="1" applyBorder="1" applyAlignment="1">
      <alignment horizontal="center"/>
    </xf>
    <xf numFmtId="0" fontId="0" fillId="3" borderId="19" xfId="0" applyFont="1" applyFill="1" applyBorder="1" applyAlignment="1">
      <alignment horizontal="center"/>
    </xf>
    <xf numFmtId="0" fontId="19" fillId="0" borderId="19" xfId="0" applyFont="1" applyFill="1" applyBorder="1" applyAlignment="1">
      <alignment horizontal="center" vertical="center" wrapText="1"/>
    </xf>
    <xf numFmtId="0" fontId="19" fillId="3" borderId="19" xfId="0" applyFont="1" applyFill="1" applyBorder="1" applyAlignment="1">
      <alignment horizontal="center" vertical="center" wrapText="1"/>
    </xf>
    <xf numFmtId="166" fontId="0" fillId="0" borderId="19" xfId="1" applyNumberFormat="1" applyFont="1" applyBorder="1" applyAlignment="1">
      <alignment horizontal="center" vertical="center"/>
    </xf>
    <xf numFmtId="166" fontId="0" fillId="3" borderId="19" xfId="1" applyNumberFormat="1" applyFont="1" applyFill="1" applyBorder="1" applyAlignment="1">
      <alignment horizontal="center" vertical="center"/>
    </xf>
    <xf numFmtId="0" fontId="1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/>
    </xf>
    <xf numFmtId="0" fontId="4" fillId="3" borderId="0" xfId="0" applyFont="1" applyFill="1"/>
    <xf numFmtId="0" fontId="22" fillId="0" borderId="19" xfId="0" applyFont="1" applyFill="1" applyBorder="1" applyAlignment="1">
      <alignment horizontal="center" vertical="center" wrapText="1"/>
    </xf>
    <xf numFmtId="166" fontId="0" fillId="0" borderId="19" xfId="1" applyNumberFormat="1" applyFont="1" applyFill="1" applyBorder="1" applyAlignment="1">
      <alignment horizontal="center" vertical="center"/>
    </xf>
    <xf numFmtId="0" fontId="23" fillId="0" borderId="19" xfId="0" applyFont="1" applyBorder="1" applyAlignment="1">
      <alignment horizontal="center" vertical="center" wrapText="1"/>
    </xf>
    <xf numFmtId="0" fontId="24" fillId="0" borderId="19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/>
    </xf>
    <xf numFmtId="0" fontId="24" fillId="0" borderId="19" xfId="0" applyFont="1" applyBorder="1" applyAlignment="1">
      <alignment horizontal="center" vertical="center" wrapText="1"/>
    </xf>
    <xf numFmtId="0" fontId="24" fillId="3" borderId="19" xfId="0" applyFont="1" applyFill="1" applyBorder="1" applyAlignment="1">
      <alignment horizontal="center" vertical="center" wrapText="1"/>
    </xf>
    <xf numFmtId="0" fontId="23" fillId="0" borderId="19" xfId="0" applyFont="1" applyFill="1" applyBorder="1" applyAlignment="1">
      <alignment horizontal="center" vertical="center" wrapText="1"/>
    </xf>
    <xf numFmtId="0" fontId="24" fillId="0" borderId="19" xfId="0" applyFont="1" applyFill="1" applyBorder="1" applyAlignment="1">
      <alignment horizontal="center" vertical="center" wrapText="1"/>
    </xf>
    <xf numFmtId="0" fontId="19" fillId="0" borderId="19" xfId="0" applyFont="1" applyBorder="1" applyAlignment="1">
      <alignment horizontal="center" wrapText="1"/>
    </xf>
    <xf numFmtId="0" fontId="13" fillId="0" borderId="7" xfId="0" applyFont="1" applyBorder="1" applyAlignment="1">
      <alignment horizontal="center"/>
    </xf>
    <xf numFmtId="0" fontId="13" fillId="0" borderId="8" xfId="0" applyFont="1" applyBorder="1"/>
    <xf numFmtId="165" fontId="4" fillId="3" borderId="0" xfId="0" applyNumberFormat="1" applyFont="1" applyFill="1"/>
    <xf numFmtId="0" fontId="3" fillId="0" borderId="19" xfId="0" applyFont="1" applyBorder="1" applyAlignment="1">
      <alignment horizontal="center"/>
    </xf>
    <xf numFmtId="0" fontId="3" fillId="0" borderId="19" xfId="0" applyFont="1" applyBorder="1"/>
    <xf numFmtId="0" fontId="3" fillId="3" borderId="19" xfId="0" applyFont="1" applyFill="1" applyBorder="1"/>
    <xf numFmtId="0" fontId="3" fillId="3" borderId="19" xfId="0" applyFont="1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14" fillId="0" borderId="2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14" fillId="0" borderId="4" xfId="0" applyFont="1" applyBorder="1" applyAlignment="1">
      <alignment horizontal="left"/>
    </xf>
    <xf numFmtId="0" fontId="13" fillId="0" borderId="0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8" xfId="0" applyFont="1" applyBorder="1" applyAlignment="1">
      <alignment horizontal="left"/>
    </xf>
    <xf numFmtId="0" fontId="13" fillId="0" borderId="9" xfId="0" applyFont="1" applyBorder="1" applyAlignment="1">
      <alignment horizontal="left"/>
    </xf>
    <xf numFmtId="0" fontId="13" fillId="0" borderId="0" xfId="0" applyFont="1" applyFill="1" applyBorder="1" applyAlignment="1">
      <alignment horizontal="left" vertical="center" wrapText="1"/>
    </xf>
    <xf numFmtId="0" fontId="13" fillId="0" borderId="6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5" fillId="0" borderId="11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13" fillId="0" borderId="7" xfId="0" applyFont="1" applyBorder="1" applyAlignment="1">
      <alignment horizontal="left"/>
    </xf>
    <xf numFmtId="0" fontId="21" fillId="0" borderId="8" xfId="0" applyFont="1" applyBorder="1" applyAlignment="1">
      <alignment horizontal="left"/>
    </xf>
    <xf numFmtId="0" fontId="21" fillId="0" borderId="9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4" fillId="0" borderId="0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13" fillId="0" borderId="5" xfId="0" applyFont="1" applyFill="1" applyBorder="1" applyAlignment="1">
      <alignment horizontal="left" vertical="center" wrapText="1"/>
    </xf>
    <xf numFmtId="0" fontId="15" fillId="0" borderId="16" xfId="0" applyFont="1" applyBorder="1" applyAlignment="1">
      <alignment horizontal="left" vertical="center" wrapText="1"/>
    </xf>
    <xf numFmtId="0" fontId="15" fillId="0" borderId="27" xfId="0" applyFont="1" applyBorder="1" applyAlignment="1">
      <alignment horizontal="left" vertical="center" wrapText="1"/>
    </xf>
    <xf numFmtId="0" fontId="15" fillId="0" borderId="17" xfId="0" applyFont="1" applyBorder="1" applyAlignment="1">
      <alignment horizontal="left" vertical="center" wrapText="1"/>
    </xf>
    <xf numFmtId="0" fontId="15" fillId="0" borderId="23" xfId="0" applyFont="1" applyBorder="1" applyAlignment="1">
      <alignment horizontal="left" vertical="center" wrapText="1"/>
    </xf>
    <xf numFmtId="0" fontId="15" fillId="0" borderId="18" xfId="0" applyFont="1" applyBorder="1" applyAlignment="1">
      <alignment horizontal="left" vertical="center" wrapText="1"/>
    </xf>
    <xf numFmtId="0" fontId="15" fillId="0" borderId="24" xfId="0" applyFont="1" applyBorder="1" applyAlignment="1">
      <alignment horizontal="left" vertical="center" wrapText="1"/>
    </xf>
    <xf numFmtId="0" fontId="17" fillId="3" borderId="0" xfId="0" applyFont="1" applyFill="1" applyBorder="1" applyAlignment="1">
      <alignment horizontal="left" vertical="center" wrapText="1"/>
    </xf>
    <xf numFmtId="0" fontId="7" fillId="0" borderId="11" xfId="0" applyFont="1" applyFill="1" applyBorder="1" applyAlignment="1">
      <alignment horizontal="left" vertical="center"/>
    </xf>
    <xf numFmtId="0" fontId="7" fillId="0" borderId="20" xfId="0" applyFont="1" applyFill="1" applyBorder="1" applyAlignment="1">
      <alignment horizontal="left" vertical="center"/>
    </xf>
    <xf numFmtId="0" fontId="7" fillId="0" borderId="12" xfId="0" applyFont="1" applyFill="1" applyBorder="1" applyAlignment="1">
      <alignment horizontal="left" vertical="center"/>
    </xf>
  </cellXfs>
  <cellStyles count="6">
    <cellStyle name="Encabezado 1" xfId="2"/>
    <cellStyle name="Moneda" xfId="1" builtinId="4"/>
    <cellStyle name="Moneda 2" xfId="5"/>
    <cellStyle name="Neutral 1" xfId="3"/>
    <cellStyle name="Normal" xfId="0" builtinId="0"/>
    <cellStyle name="Normal 3" xfId="4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8"/>
  <sheetViews>
    <sheetView tabSelected="1" topLeftCell="A10" workbookViewId="0">
      <selection activeCell="H49" sqref="H49"/>
    </sheetView>
  </sheetViews>
  <sheetFormatPr baseColWidth="10" defaultColWidth="11" defaultRowHeight="12.75" x14ac:dyDescent="0.2"/>
  <cols>
    <col min="1" max="1" width="4.5703125" style="1" customWidth="1"/>
    <col min="2" max="2" width="14" style="1" customWidth="1"/>
    <col min="3" max="3" width="14.7109375" style="1" customWidth="1"/>
    <col min="4" max="4" width="8.42578125" style="1" customWidth="1"/>
    <col min="5" max="5" width="69" style="1" customWidth="1"/>
    <col min="6" max="6" width="11.85546875" style="1" customWidth="1"/>
    <col min="7" max="7" width="9.140625" style="1" bestFit="1" customWidth="1"/>
    <col min="8" max="8" width="13.85546875" style="1" customWidth="1"/>
    <col min="9" max="9" width="14.5703125" style="1" customWidth="1"/>
    <col min="10" max="10" width="15.42578125" style="1" customWidth="1"/>
    <col min="11" max="11" width="14.85546875" style="1" customWidth="1"/>
    <col min="12" max="13" width="11" style="1"/>
    <col min="14" max="14" width="15.7109375" style="1" customWidth="1"/>
    <col min="15" max="16384" width="11" style="1"/>
  </cols>
  <sheetData>
    <row r="1" spans="1:14" ht="13.5" thickBot="1" x14ac:dyDescent="0.25"/>
    <row r="2" spans="1:14" ht="24" customHeight="1" thickBot="1" x14ac:dyDescent="0.4">
      <c r="A2" s="59" t="s">
        <v>0</v>
      </c>
      <c r="B2" s="60"/>
      <c r="C2" s="60"/>
      <c r="D2" s="60"/>
      <c r="E2" s="60"/>
      <c r="F2" s="60"/>
      <c r="G2" s="60"/>
      <c r="H2" s="60"/>
      <c r="I2" s="60"/>
      <c r="J2" s="60"/>
      <c r="K2" s="61"/>
    </row>
    <row r="3" spans="1:14" ht="13.5" thickBot="1" x14ac:dyDescent="0.25"/>
    <row r="4" spans="1:14" ht="18" customHeight="1" thickBot="1" x14ac:dyDescent="0.25">
      <c r="A4" s="70" t="s">
        <v>1</v>
      </c>
      <c r="B4" s="71"/>
      <c r="C4" s="77" t="s">
        <v>102</v>
      </c>
      <c r="D4" s="78"/>
      <c r="E4" s="78"/>
      <c r="F4" s="78"/>
      <c r="G4" s="78"/>
      <c r="H4" s="78"/>
      <c r="I4" s="78"/>
      <c r="J4" s="78"/>
      <c r="K4" s="79"/>
    </row>
    <row r="5" spans="1:14" ht="18" customHeight="1" thickBot="1" x14ac:dyDescent="0.25">
      <c r="A5" s="72" t="s">
        <v>2</v>
      </c>
      <c r="B5" s="73"/>
      <c r="C5" s="77" t="s">
        <v>18</v>
      </c>
      <c r="D5" s="78"/>
      <c r="E5" s="78"/>
      <c r="F5" s="78"/>
      <c r="G5" s="78"/>
      <c r="H5" s="78"/>
      <c r="I5" s="78"/>
      <c r="J5" s="78"/>
      <c r="K5" s="79"/>
    </row>
    <row r="6" spans="1:14" ht="16.5" customHeight="1" thickBot="1" x14ac:dyDescent="0.25">
      <c r="A6" s="72" t="s">
        <v>3</v>
      </c>
      <c r="B6" s="73"/>
      <c r="C6" s="77">
        <v>2022</v>
      </c>
      <c r="D6" s="78"/>
      <c r="E6" s="78"/>
      <c r="F6" s="78"/>
      <c r="G6" s="78"/>
      <c r="H6" s="78"/>
      <c r="I6" s="78"/>
      <c r="J6" s="78"/>
      <c r="K6" s="79"/>
    </row>
    <row r="7" spans="1:14" ht="16.5" customHeight="1" thickBot="1" x14ac:dyDescent="0.25">
      <c r="A7" s="74" t="s">
        <v>4</v>
      </c>
      <c r="B7" s="75"/>
      <c r="C7" s="77" t="s">
        <v>103</v>
      </c>
      <c r="D7" s="78"/>
      <c r="E7" s="78"/>
      <c r="F7" s="78"/>
      <c r="G7" s="78"/>
      <c r="H7" s="78"/>
      <c r="I7" s="78"/>
      <c r="J7" s="78"/>
      <c r="K7" s="79"/>
    </row>
    <row r="8" spans="1:14" ht="13.5" thickBot="1" x14ac:dyDescent="0.25">
      <c r="A8" s="5"/>
      <c r="B8" s="3"/>
      <c r="C8" s="4"/>
      <c r="D8" s="3"/>
      <c r="E8" s="3"/>
      <c r="F8" s="3"/>
      <c r="G8" s="4"/>
      <c r="H8" s="3"/>
      <c r="I8" s="5"/>
    </row>
    <row r="9" spans="1:14" ht="39" thickBot="1" x14ac:dyDescent="0.25">
      <c r="A9" s="9" t="s">
        <v>5</v>
      </c>
      <c r="B9" s="8" t="s">
        <v>6</v>
      </c>
      <c r="C9" s="6" t="s">
        <v>7</v>
      </c>
      <c r="D9" s="12" t="s">
        <v>8</v>
      </c>
      <c r="E9" s="9" t="s">
        <v>9</v>
      </c>
      <c r="F9" s="14" t="s">
        <v>10</v>
      </c>
      <c r="G9" s="15" t="s">
        <v>11</v>
      </c>
      <c r="H9" s="7" t="s">
        <v>12</v>
      </c>
      <c r="I9" s="25" t="s">
        <v>13</v>
      </c>
      <c r="J9" s="27" t="s">
        <v>52</v>
      </c>
      <c r="K9" s="26" t="s">
        <v>53</v>
      </c>
    </row>
    <row r="10" spans="1:14" ht="24.95" customHeight="1" x14ac:dyDescent="0.25">
      <c r="A10" s="10">
        <v>1</v>
      </c>
      <c r="B10" s="43" t="s">
        <v>30</v>
      </c>
      <c r="C10" s="19" t="s">
        <v>33</v>
      </c>
      <c r="D10" s="19" t="s">
        <v>104</v>
      </c>
      <c r="E10" s="44" t="s">
        <v>41</v>
      </c>
      <c r="F10" s="21" t="s">
        <v>17</v>
      </c>
      <c r="G10" s="30">
        <v>70</v>
      </c>
      <c r="H10" s="23">
        <v>3000</v>
      </c>
      <c r="I10" s="13">
        <f>G10*H10</f>
        <v>210000</v>
      </c>
      <c r="J10" s="32" t="s">
        <v>47</v>
      </c>
      <c r="K10" s="33" t="s">
        <v>75</v>
      </c>
      <c r="N10" s="47"/>
    </row>
    <row r="11" spans="1:14" ht="24.95" customHeight="1" x14ac:dyDescent="0.25">
      <c r="A11" s="11">
        <v>2</v>
      </c>
      <c r="B11" s="43" t="s">
        <v>27</v>
      </c>
      <c r="C11" s="19" t="s">
        <v>33</v>
      </c>
      <c r="D11" s="19" t="s">
        <v>104</v>
      </c>
      <c r="E11" s="45" t="s">
        <v>38</v>
      </c>
      <c r="F11" s="21" t="s">
        <v>17</v>
      </c>
      <c r="G11" s="30">
        <v>30</v>
      </c>
      <c r="H11" s="23">
        <v>3500</v>
      </c>
      <c r="I11" s="13">
        <f t="shared" ref="I11:I26" si="0">G11*H11</f>
        <v>105000</v>
      </c>
      <c r="J11" s="32" t="s">
        <v>47</v>
      </c>
      <c r="K11" s="34" t="s">
        <v>76</v>
      </c>
      <c r="N11" s="47"/>
    </row>
    <row r="12" spans="1:14" ht="24.95" customHeight="1" x14ac:dyDescent="0.25">
      <c r="A12" s="11">
        <v>3</v>
      </c>
      <c r="B12" s="43" t="s">
        <v>28</v>
      </c>
      <c r="C12" s="19" t="s">
        <v>33</v>
      </c>
      <c r="D12" s="19" t="s">
        <v>104</v>
      </c>
      <c r="E12" s="44" t="s">
        <v>39</v>
      </c>
      <c r="F12" s="21" t="s">
        <v>17</v>
      </c>
      <c r="G12" s="30">
        <v>70</v>
      </c>
      <c r="H12" s="23">
        <v>2500</v>
      </c>
      <c r="I12" s="13">
        <f t="shared" si="0"/>
        <v>175000</v>
      </c>
      <c r="J12" s="32" t="s">
        <v>47</v>
      </c>
      <c r="K12" s="35" t="s">
        <v>77</v>
      </c>
      <c r="N12" s="47"/>
    </row>
    <row r="13" spans="1:14" ht="24.95" customHeight="1" x14ac:dyDescent="0.25">
      <c r="A13" s="10">
        <v>4</v>
      </c>
      <c r="B13" s="43" t="s">
        <v>29</v>
      </c>
      <c r="C13" s="19" t="s">
        <v>33</v>
      </c>
      <c r="D13" s="19" t="s">
        <v>104</v>
      </c>
      <c r="E13" s="44" t="s">
        <v>40</v>
      </c>
      <c r="F13" s="21" t="s">
        <v>17</v>
      </c>
      <c r="G13" s="30">
        <v>40</v>
      </c>
      <c r="H13" s="23">
        <v>3000</v>
      </c>
      <c r="I13" s="13">
        <f t="shared" si="0"/>
        <v>120000</v>
      </c>
      <c r="J13" s="32" t="s">
        <v>47</v>
      </c>
      <c r="K13" s="35" t="s">
        <v>78</v>
      </c>
      <c r="N13" s="47"/>
    </row>
    <row r="14" spans="1:14" ht="24.95" customHeight="1" x14ac:dyDescent="0.2">
      <c r="A14" s="11">
        <v>5</v>
      </c>
      <c r="B14" s="43" t="s">
        <v>26</v>
      </c>
      <c r="C14" s="19" t="s">
        <v>33</v>
      </c>
      <c r="D14" s="19" t="s">
        <v>104</v>
      </c>
      <c r="E14" s="44" t="s">
        <v>105</v>
      </c>
      <c r="F14" s="21" t="s">
        <v>17</v>
      </c>
      <c r="G14" s="30">
        <v>15</v>
      </c>
      <c r="H14" s="23">
        <v>2500</v>
      </c>
      <c r="I14" s="13">
        <f t="shared" si="0"/>
        <v>37500</v>
      </c>
      <c r="J14" s="32" t="s">
        <v>47</v>
      </c>
      <c r="K14" s="35" t="s">
        <v>79</v>
      </c>
      <c r="N14" s="47"/>
    </row>
    <row r="15" spans="1:14" ht="24.95" customHeight="1" x14ac:dyDescent="0.25">
      <c r="A15" s="11">
        <v>6</v>
      </c>
      <c r="B15" s="43" t="s">
        <v>30</v>
      </c>
      <c r="C15" s="19" t="s">
        <v>33</v>
      </c>
      <c r="D15" s="19" t="s">
        <v>104</v>
      </c>
      <c r="E15" s="44" t="s">
        <v>41</v>
      </c>
      <c r="F15" s="21" t="s">
        <v>17</v>
      </c>
      <c r="G15" s="30">
        <v>25</v>
      </c>
      <c r="H15" s="23">
        <v>3500</v>
      </c>
      <c r="I15" s="13">
        <f t="shared" si="0"/>
        <v>87500</v>
      </c>
      <c r="J15" s="32" t="s">
        <v>47</v>
      </c>
      <c r="K15" s="35" t="s">
        <v>80</v>
      </c>
      <c r="N15" s="47"/>
    </row>
    <row r="16" spans="1:14" ht="24.95" customHeight="1" x14ac:dyDescent="0.25">
      <c r="A16" s="10">
        <v>7</v>
      </c>
      <c r="B16" s="43" t="s">
        <v>31</v>
      </c>
      <c r="C16" s="19" t="s">
        <v>33</v>
      </c>
      <c r="D16" s="19" t="s">
        <v>104</v>
      </c>
      <c r="E16" s="44" t="s">
        <v>42</v>
      </c>
      <c r="F16" s="21" t="s">
        <v>17</v>
      </c>
      <c r="G16" s="30">
        <v>10</v>
      </c>
      <c r="H16" s="23">
        <v>10000</v>
      </c>
      <c r="I16" s="13">
        <f t="shared" si="0"/>
        <v>100000</v>
      </c>
      <c r="J16" s="32" t="s">
        <v>47</v>
      </c>
      <c r="K16" s="36" t="s">
        <v>81</v>
      </c>
      <c r="N16" s="47"/>
    </row>
    <row r="17" spans="1:14" ht="24.95" customHeight="1" x14ac:dyDescent="0.25">
      <c r="A17" s="11">
        <v>8</v>
      </c>
      <c r="B17" s="43" t="s">
        <v>73</v>
      </c>
      <c r="C17" s="19" t="s">
        <v>33</v>
      </c>
      <c r="D17" s="19" t="s">
        <v>104</v>
      </c>
      <c r="E17" s="44" t="s">
        <v>74</v>
      </c>
      <c r="F17" s="21" t="s">
        <v>17</v>
      </c>
      <c r="G17" s="30">
        <v>47</v>
      </c>
      <c r="H17" s="31">
        <v>4000</v>
      </c>
      <c r="I17" s="13">
        <f t="shared" si="0"/>
        <v>188000</v>
      </c>
      <c r="J17" s="37" t="s">
        <v>51</v>
      </c>
      <c r="K17" s="38" t="s">
        <v>82</v>
      </c>
      <c r="N17" s="47"/>
    </row>
    <row r="18" spans="1:14" s="29" customFormat="1" ht="24.95" customHeight="1" x14ac:dyDescent="0.25">
      <c r="A18" s="11">
        <v>9</v>
      </c>
      <c r="B18" s="43" t="s">
        <v>32</v>
      </c>
      <c r="C18" s="19" t="s">
        <v>33</v>
      </c>
      <c r="D18" s="19" t="s">
        <v>104</v>
      </c>
      <c r="E18" s="44" t="s">
        <v>43</v>
      </c>
      <c r="F18" s="21" t="s">
        <v>17</v>
      </c>
      <c r="G18" s="30">
        <v>8</v>
      </c>
      <c r="H18" s="23">
        <v>5000</v>
      </c>
      <c r="I18" s="13">
        <f t="shared" si="0"/>
        <v>40000</v>
      </c>
      <c r="J18" s="32" t="s">
        <v>47</v>
      </c>
      <c r="K18" s="36" t="s">
        <v>83</v>
      </c>
      <c r="N18" s="47"/>
    </row>
    <row r="19" spans="1:14" ht="24.95" customHeight="1" x14ac:dyDescent="0.25">
      <c r="A19" s="10">
        <v>10</v>
      </c>
      <c r="B19" s="43" t="s">
        <v>32</v>
      </c>
      <c r="C19" s="19" t="s">
        <v>33</v>
      </c>
      <c r="D19" s="19" t="s">
        <v>104</v>
      </c>
      <c r="E19" s="45" t="s">
        <v>43</v>
      </c>
      <c r="F19" s="21" t="s">
        <v>17</v>
      </c>
      <c r="G19" s="30">
        <v>12</v>
      </c>
      <c r="H19" s="23">
        <v>5000</v>
      </c>
      <c r="I19" s="13">
        <f t="shared" si="0"/>
        <v>60000</v>
      </c>
      <c r="J19" s="32" t="s">
        <v>47</v>
      </c>
      <c r="K19" s="36" t="s">
        <v>83</v>
      </c>
      <c r="N19" s="47"/>
    </row>
    <row r="20" spans="1:14" s="29" customFormat="1" ht="24.95" customHeight="1" x14ac:dyDescent="0.25">
      <c r="A20" s="11">
        <v>11</v>
      </c>
      <c r="B20" s="43" t="s">
        <v>106</v>
      </c>
      <c r="C20" s="19" t="s">
        <v>33</v>
      </c>
      <c r="D20" s="19" t="s">
        <v>104</v>
      </c>
      <c r="E20" s="44" t="s">
        <v>44</v>
      </c>
      <c r="F20" s="21" t="s">
        <v>17</v>
      </c>
      <c r="G20" s="30">
        <v>3</v>
      </c>
      <c r="H20" s="24">
        <v>6000</v>
      </c>
      <c r="I20" s="13">
        <f t="shared" si="0"/>
        <v>18000</v>
      </c>
      <c r="J20" s="32" t="s">
        <v>49</v>
      </c>
      <c r="K20" s="22" t="s">
        <v>84</v>
      </c>
      <c r="N20" s="47"/>
    </row>
    <row r="21" spans="1:14" s="29" customFormat="1" ht="24.95" customHeight="1" x14ac:dyDescent="0.25">
      <c r="A21" s="11">
        <v>12</v>
      </c>
      <c r="B21" s="43" t="s">
        <v>107</v>
      </c>
      <c r="C21" s="19" t="s">
        <v>33</v>
      </c>
      <c r="D21" s="19" t="s">
        <v>104</v>
      </c>
      <c r="E21" s="44" t="s">
        <v>45</v>
      </c>
      <c r="F21" s="21" t="s">
        <v>17</v>
      </c>
      <c r="G21" s="30">
        <v>10</v>
      </c>
      <c r="H21" s="23">
        <v>2000</v>
      </c>
      <c r="I21" s="13">
        <f t="shared" si="0"/>
        <v>20000</v>
      </c>
      <c r="J21" s="32" t="s">
        <v>50</v>
      </c>
      <c r="K21" s="35">
        <v>1200</v>
      </c>
      <c r="N21" s="47"/>
    </row>
    <row r="22" spans="1:14" s="29" customFormat="1" ht="24.95" customHeight="1" x14ac:dyDescent="0.25">
      <c r="A22" s="10">
        <v>13</v>
      </c>
      <c r="B22" s="43" t="s">
        <v>108</v>
      </c>
      <c r="C22" s="19" t="s">
        <v>33</v>
      </c>
      <c r="D22" s="19" t="s">
        <v>104</v>
      </c>
      <c r="E22" s="45" t="s">
        <v>46</v>
      </c>
      <c r="F22" s="21" t="s">
        <v>17</v>
      </c>
      <c r="G22" s="30">
        <v>5</v>
      </c>
      <c r="H22" s="23">
        <v>8000</v>
      </c>
      <c r="I22" s="13">
        <f t="shared" si="0"/>
        <v>40000</v>
      </c>
      <c r="J22" s="32" t="s">
        <v>51</v>
      </c>
      <c r="K22" s="39" t="s">
        <v>85</v>
      </c>
      <c r="N22" s="47"/>
    </row>
    <row r="23" spans="1:14" s="29" customFormat="1" ht="24.95" customHeight="1" x14ac:dyDescent="0.25">
      <c r="A23" s="11">
        <v>14</v>
      </c>
      <c r="B23" s="43" t="s">
        <v>23</v>
      </c>
      <c r="C23" s="19" t="s">
        <v>33</v>
      </c>
      <c r="D23" s="19" t="s">
        <v>104</v>
      </c>
      <c r="E23" s="44" t="s">
        <v>34</v>
      </c>
      <c r="F23" s="21" t="s">
        <v>17</v>
      </c>
      <c r="G23" s="30">
        <v>1</v>
      </c>
      <c r="H23" s="23">
        <v>3000</v>
      </c>
      <c r="I23" s="13">
        <f t="shared" si="0"/>
        <v>3000</v>
      </c>
      <c r="J23" s="34" t="s">
        <v>48</v>
      </c>
      <c r="K23" s="33" t="s">
        <v>86</v>
      </c>
      <c r="N23" s="47"/>
    </row>
    <row r="24" spans="1:14" ht="27" customHeight="1" x14ac:dyDescent="0.25">
      <c r="A24" s="11">
        <v>15</v>
      </c>
      <c r="B24" s="43" t="s">
        <v>109</v>
      </c>
      <c r="C24" s="19" t="s">
        <v>33</v>
      </c>
      <c r="D24" s="19" t="s">
        <v>104</v>
      </c>
      <c r="E24" s="44" t="s">
        <v>35</v>
      </c>
      <c r="F24" s="21" t="s">
        <v>17</v>
      </c>
      <c r="G24" s="30">
        <v>1</v>
      </c>
      <c r="H24" s="23">
        <v>3000</v>
      </c>
      <c r="I24" s="13">
        <f t="shared" si="0"/>
        <v>3000</v>
      </c>
      <c r="J24" s="32" t="s">
        <v>87</v>
      </c>
      <c r="K24" s="33" t="s">
        <v>86</v>
      </c>
      <c r="N24" s="47"/>
    </row>
    <row r="25" spans="1:14" ht="33.75" customHeight="1" x14ac:dyDescent="0.25">
      <c r="A25" s="10">
        <v>16</v>
      </c>
      <c r="B25" s="46" t="s">
        <v>24</v>
      </c>
      <c r="C25" s="20" t="s">
        <v>33</v>
      </c>
      <c r="D25" s="19" t="s">
        <v>104</v>
      </c>
      <c r="E25" s="44" t="s">
        <v>36</v>
      </c>
      <c r="F25" s="21" t="s">
        <v>17</v>
      </c>
      <c r="G25" s="30">
        <v>1</v>
      </c>
      <c r="H25" s="23">
        <v>3000</v>
      </c>
      <c r="I25" s="13">
        <f t="shared" si="0"/>
        <v>3000</v>
      </c>
      <c r="J25" s="32" t="s">
        <v>87</v>
      </c>
      <c r="K25" s="33" t="s">
        <v>86</v>
      </c>
      <c r="N25" s="48"/>
    </row>
    <row r="26" spans="1:14" ht="24.95" customHeight="1" x14ac:dyDescent="0.25">
      <c r="A26" s="11">
        <v>17</v>
      </c>
      <c r="B26" s="43" t="s">
        <v>25</v>
      </c>
      <c r="C26" s="19" t="s">
        <v>33</v>
      </c>
      <c r="D26" s="19" t="s">
        <v>104</v>
      </c>
      <c r="E26" s="44" t="s">
        <v>37</v>
      </c>
      <c r="F26" s="21" t="s">
        <v>17</v>
      </c>
      <c r="G26" s="30">
        <v>1</v>
      </c>
      <c r="H26" s="23">
        <v>3000</v>
      </c>
      <c r="I26" s="13">
        <f t="shared" si="0"/>
        <v>3000</v>
      </c>
      <c r="J26" s="32" t="s">
        <v>87</v>
      </c>
      <c r="K26" s="33" t="s">
        <v>86</v>
      </c>
      <c r="N26" s="47"/>
    </row>
    <row r="28" spans="1:14" ht="13.5" thickBot="1" x14ac:dyDescent="0.25">
      <c r="I28" s="42">
        <f>SUM(I10:I27)</f>
        <v>1213000</v>
      </c>
    </row>
    <row r="29" spans="1:14" ht="15" x14ac:dyDescent="0.25">
      <c r="B29" s="49" t="s">
        <v>22</v>
      </c>
      <c r="C29" s="50"/>
      <c r="D29" s="50"/>
      <c r="E29" s="50"/>
      <c r="F29" s="51"/>
      <c r="G29" s="29"/>
    </row>
    <row r="30" spans="1:14" ht="15" x14ac:dyDescent="0.25">
      <c r="B30" s="28" t="s">
        <v>55</v>
      </c>
      <c r="C30" s="52" t="s">
        <v>88</v>
      </c>
      <c r="D30" s="52"/>
      <c r="E30" s="52"/>
      <c r="F30" s="53"/>
    </row>
    <row r="31" spans="1:14" ht="15" customHeight="1" x14ac:dyDescent="0.25">
      <c r="B31" s="28" t="s">
        <v>56</v>
      </c>
      <c r="C31" s="56" t="s">
        <v>89</v>
      </c>
      <c r="D31" s="56"/>
      <c r="E31" s="56"/>
      <c r="F31" s="57"/>
    </row>
    <row r="32" spans="1:14" ht="15" customHeight="1" x14ac:dyDescent="0.25">
      <c r="B32" s="28" t="s">
        <v>57</v>
      </c>
      <c r="C32" s="56" t="s">
        <v>90</v>
      </c>
      <c r="D32" s="56"/>
      <c r="E32" s="56"/>
      <c r="F32" s="57"/>
    </row>
    <row r="33" spans="2:16" ht="15" customHeight="1" x14ac:dyDescent="0.25">
      <c r="B33" s="28" t="s">
        <v>58</v>
      </c>
      <c r="C33" s="56" t="s">
        <v>91</v>
      </c>
      <c r="D33" s="56"/>
      <c r="E33" s="56"/>
      <c r="F33" s="57"/>
      <c r="N33" s="58"/>
      <c r="O33" s="58"/>
      <c r="P33" s="58"/>
    </row>
    <row r="34" spans="2:16" ht="15" customHeight="1" x14ac:dyDescent="0.25">
      <c r="B34" s="28" t="s">
        <v>59</v>
      </c>
      <c r="C34" s="56" t="s">
        <v>92</v>
      </c>
      <c r="D34" s="56"/>
      <c r="E34" s="56"/>
      <c r="F34" s="57"/>
      <c r="N34" s="58"/>
      <c r="O34" s="58"/>
      <c r="P34" s="58"/>
    </row>
    <row r="35" spans="2:16" ht="15" customHeight="1" x14ac:dyDescent="0.25">
      <c r="B35" s="28" t="s">
        <v>54</v>
      </c>
      <c r="C35" s="56" t="s">
        <v>93</v>
      </c>
      <c r="D35" s="56"/>
      <c r="E35" s="56"/>
      <c r="F35" s="57"/>
      <c r="N35" s="58"/>
      <c r="O35" s="58"/>
      <c r="P35" s="58"/>
    </row>
    <row r="36" spans="2:16" ht="15" customHeight="1" x14ac:dyDescent="0.25">
      <c r="B36" s="28" t="s">
        <v>60</v>
      </c>
      <c r="C36" s="56" t="s">
        <v>94</v>
      </c>
      <c r="D36" s="56"/>
      <c r="E36" s="56"/>
      <c r="F36" s="57"/>
      <c r="N36" s="58"/>
      <c r="O36" s="58"/>
      <c r="P36" s="58"/>
    </row>
    <row r="37" spans="2:16" ht="15" customHeight="1" x14ac:dyDescent="0.25">
      <c r="B37" s="28" t="s">
        <v>61</v>
      </c>
      <c r="C37" s="56" t="s">
        <v>95</v>
      </c>
      <c r="D37" s="56"/>
      <c r="E37" s="56"/>
      <c r="F37" s="57"/>
      <c r="N37" s="58"/>
      <c r="O37" s="58"/>
      <c r="P37" s="58"/>
    </row>
    <row r="38" spans="2:16" ht="15" customHeight="1" x14ac:dyDescent="0.25">
      <c r="B38" s="28" t="s">
        <v>62</v>
      </c>
      <c r="C38" s="56" t="s">
        <v>96</v>
      </c>
      <c r="D38" s="56"/>
      <c r="E38" s="56"/>
      <c r="F38" s="57"/>
      <c r="N38" s="58"/>
      <c r="O38" s="58"/>
      <c r="P38" s="58"/>
    </row>
    <row r="39" spans="2:16" ht="15" customHeight="1" x14ac:dyDescent="0.25">
      <c r="B39" s="28" t="s">
        <v>63</v>
      </c>
      <c r="C39" s="56" t="s">
        <v>97</v>
      </c>
      <c r="D39" s="56"/>
      <c r="E39" s="56"/>
      <c r="F39" s="57"/>
      <c r="N39" s="58"/>
      <c r="O39" s="58"/>
      <c r="P39" s="58"/>
    </row>
    <row r="40" spans="2:16" ht="15" customHeight="1" x14ac:dyDescent="0.25">
      <c r="B40" s="28" t="s">
        <v>64</v>
      </c>
      <c r="C40" s="56" t="s">
        <v>98</v>
      </c>
      <c r="D40" s="56"/>
      <c r="E40" s="56"/>
      <c r="F40" s="57"/>
      <c r="N40" s="58"/>
      <c r="O40" s="58"/>
      <c r="P40" s="58"/>
    </row>
    <row r="41" spans="2:16" ht="15" customHeight="1" x14ac:dyDescent="0.25">
      <c r="B41" s="28" t="s">
        <v>65</v>
      </c>
      <c r="C41" s="56" t="s">
        <v>99</v>
      </c>
      <c r="D41" s="56"/>
      <c r="E41" s="56"/>
      <c r="F41" s="57"/>
      <c r="N41" s="58"/>
      <c r="O41" s="58"/>
      <c r="P41" s="58"/>
    </row>
    <row r="42" spans="2:16" ht="15" customHeight="1" x14ac:dyDescent="0.25">
      <c r="B42" s="28" t="s">
        <v>66</v>
      </c>
      <c r="C42" s="56" t="s">
        <v>100</v>
      </c>
      <c r="D42" s="56"/>
      <c r="E42" s="56"/>
      <c r="F42" s="57"/>
      <c r="N42" s="58"/>
      <c r="O42" s="58"/>
      <c r="P42" s="58"/>
    </row>
    <row r="43" spans="2:16" ht="15" customHeight="1" x14ac:dyDescent="0.25">
      <c r="B43" s="28" t="s">
        <v>67</v>
      </c>
      <c r="C43" s="56" t="s">
        <v>101</v>
      </c>
      <c r="D43" s="56"/>
      <c r="E43" s="56"/>
      <c r="F43" s="57"/>
      <c r="N43" s="58"/>
      <c r="O43" s="58"/>
      <c r="P43" s="58"/>
    </row>
    <row r="44" spans="2:16" ht="15.75" customHeight="1" x14ac:dyDescent="0.25">
      <c r="B44" s="28" t="s">
        <v>68</v>
      </c>
      <c r="C44" s="56" t="s">
        <v>101</v>
      </c>
      <c r="D44" s="56"/>
      <c r="E44" s="56"/>
      <c r="F44" s="57"/>
      <c r="N44" s="58"/>
      <c r="O44" s="58"/>
      <c r="P44" s="58"/>
    </row>
    <row r="45" spans="2:16" ht="15.75" customHeight="1" x14ac:dyDescent="0.25">
      <c r="B45" s="28" t="s">
        <v>69</v>
      </c>
      <c r="C45" s="56" t="s">
        <v>101</v>
      </c>
      <c r="D45" s="56"/>
      <c r="E45" s="56"/>
      <c r="F45" s="57"/>
      <c r="N45" s="58"/>
      <c r="O45" s="58"/>
      <c r="P45" s="58"/>
    </row>
    <row r="46" spans="2:16" ht="15" customHeight="1" x14ac:dyDescent="0.25">
      <c r="B46" s="28" t="s">
        <v>70</v>
      </c>
      <c r="C46" s="56" t="s">
        <v>101</v>
      </c>
      <c r="D46" s="56"/>
      <c r="E46" s="56"/>
      <c r="F46" s="57"/>
      <c r="N46" s="58"/>
      <c r="O46" s="58"/>
      <c r="P46" s="58"/>
    </row>
    <row r="47" spans="2:16" ht="15" customHeight="1" thickBot="1" x14ac:dyDescent="0.3">
      <c r="B47" s="40"/>
      <c r="C47" s="41"/>
      <c r="D47" s="41"/>
      <c r="E47" s="54"/>
      <c r="F47" s="55"/>
    </row>
    <row r="48" spans="2:16" ht="12" customHeight="1" x14ac:dyDescent="0.25">
      <c r="B48" s="18"/>
      <c r="C48" s="16"/>
      <c r="D48" s="16"/>
      <c r="E48" s="17"/>
    </row>
    <row r="49" spans="2:9" ht="15" x14ac:dyDescent="0.25">
      <c r="B49" s="65" t="s">
        <v>14</v>
      </c>
      <c r="C49" s="66"/>
      <c r="D49" s="66"/>
      <c r="E49" s="67"/>
    </row>
    <row r="50" spans="2:9" ht="128.25" customHeight="1" x14ac:dyDescent="0.2">
      <c r="B50" s="69" t="s">
        <v>72</v>
      </c>
      <c r="C50" s="56"/>
      <c r="D50" s="56"/>
      <c r="E50" s="57"/>
    </row>
    <row r="51" spans="2:9" ht="16.5" hidden="1" customHeight="1" x14ac:dyDescent="0.2">
      <c r="B51" s="69"/>
      <c r="C51" s="56"/>
      <c r="D51" s="56"/>
      <c r="E51" s="57"/>
    </row>
    <row r="52" spans="2:9" ht="15" x14ac:dyDescent="0.25">
      <c r="B52" s="65" t="s">
        <v>15</v>
      </c>
      <c r="C52" s="66"/>
      <c r="D52" s="66"/>
      <c r="E52" s="67"/>
    </row>
    <row r="53" spans="2:9" ht="15" x14ac:dyDescent="0.25">
      <c r="B53" s="68" t="s">
        <v>21</v>
      </c>
      <c r="C53" s="52"/>
      <c r="D53" s="52"/>
      <c r="E53" s="53"/>
    </row>
    <row r="54" spans="2:9" ht="15" x14ac:dyDescent="0.25">
      <c r="B54" s="65" t="s">
        <v>16</v>
      </c>
      <c r="C54" s="66"/>
      <c r="D54" s="66"/>
      <c r="E54" s="67"/>
    </row>
    <row r="55" spans="2:9" ht="15" x14ac:dyDescent="0.25">
      <c r="B55" s="68" t="s">
        <v>19</v>
      </c>
      <c r="C55" s="52"/>
      <c r="D55" s="52"/>
      <c r="E55" s="53"/>
    </row>
    <row r="56" spans="2:9" ht="31.5" customHeight="1" x14ac:dyDescent="0.25">
      <c r="B56" s="65" t="s">
        <v>20</v>
      </c>
      <c r="C56" s="66"/>
      <c r="D56" s="66"/>
      <c r="E56" s="67"/>
      <c r="F56" s="76"/>
      <c r="G56" s="76"/>
      <c r="H56" s="76"/>
      <c r="I56" s="76"/>
    </row>
    <row r="57" spans="2:9" ht="15.75" thickBot="1" x14ac:dyDescent="0.3">
      <c r="B57" s="62" t="s">
        <v>71</v>
      </c>
      <c r="C57" s="63"/>
      <c r="D57" s="63"/>
      <c r="E57" s="64"/>
      <c r="F57" s="76"/>
      <c r="G57" s="76"/>
      <c r="H57" s="76"/>
      <c r="I57" s="76"/>
    </row>
    <row r="58" spans="2:9" x14ac:dyDescent="0.2">
      <c r="C58" s="2"/>
      <c r="D58" s="2"/>
      <c r="E58" s="2"/>
    </row>
  </sheetData>
  <mergeCells count="51">
    <mergeCell ref="F56:I57"/>
    <mergeCell ref="C33:F33"/>
    <mergeCell ref="C32:F32"/>
    <mergeCell ref="C31:F31"/>
    <mergeCell ref="C4:K4"/>
    <mergeCell ref="C5:K5"/>
    <mergeCell ref="C6:K6"/>
    <mergeCell ref="C7:K7"/>
    <mergeCell ref="B57:E57"/>
    <mergeCell ref="B49:E49"/>
    <mergeCell ref="B52:E52"/>
    <mergeCell ref="B54:E54"/>
    <mergeCell ref="B56:E56"/>
    <mergeCell ref="B53:E53"/>
    <mergeCell ref="B50:E51"/>
    <mergeCell ref="B55:E55"/>
    <mergeCell ref="N43:P43"/>
    <mergeCell ref="N44:P44"/>
    <mergeCell ref="N45:P45"/>
    <mergeCell ref="N46:P46"/>
    <mergeCell ref="A2:K2"/>
    <mergeCell ref="A4:B4"/>
    <mergeCell ref="A5:B5"/>
    <mergeCell ref="A6:B6"/>
    <mergeCell ref="A7:B7"/>
    <mergeCell ref="C36:F36"/>
    <mergeCell ref="C35:F35"/>
    <mergeCell ref="C34:F34"/>
    <mergeCell ref="N38:P38"/>
    <mergeCell ref="N39:P39"/>
    <mergeCell ref="N40:P40"/>
    <mergeCell ref="N41:P41"/>
    <mergeCell ref="N42:P42"/>
    <mergeCell ref="N33:P33"/>
    <mergeCell ref="N34:P34"/>
    <mergeCell ref="N35:P35"/>
    <mergeCell ref="N36:P36"/>
    <mergeCell ref="N37:P37"/>
    <mergeCell ref="B29:F29"/>
    <mergeCell ref="C30:F30"/>
    <mergeCell ref="E47:F47"/>
    <mergeCell ref="C46:F46"/>
    <mergeCell ref="C45:F45"/>
    <mergeCell ref="C44:F44"/>
    <mergeCell ref="C43:F43"/>
    <mergeCell ref="C42:F42"/>
    <mergeCell ref="C41:F41"/>
    <mergeCell ref="C40:F40"/>
    <mergeCell ref="C39:F39"/>
    <mergeCell ref="C38:F38"/>
    <mergeCell ref="C37:F37"/>
  </mergeCells>
  <pageMargins left="0.70866141732283472" right="0.70866141732283472" top="0.74803149606299213" bottom="0.74803149606299213" header="0.51181102362204722" footer="0.51181102362204722"/>
  <pageSetup paperSize="9" scale="70" firstPageNumber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</dc:creator>
  <dc:description/>
  <cp:lastModifiedBy>Usuario</cp:lastModifiedBy>
  <cp:revision>2</cp:revision>
  <cp:lastPrinted>2022-05-03T15:22:07Z</cp:lastPrinted>
  <dcterms:created xsi:type="dcterms:W3CDTF">2020-07-17T23:44:49Z</dcterms:created>
  <dcterms:modified xsi:type="dcterms:W3CDTF">2022-09-15T15:55:59Z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