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LVINA\AGOSTO 2021\"/>
    </mc:Choice>
  </mc:AlternateContent>
  <xr:revisionPtr revIDLastSave="0" documentId="8_{1D732E37-FA0D-41D7-A055-6A947891F5A8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Necesidades Trimestrales" sheetId="1" r:id="rId1"/>
    <sheet name=" NotaPedido" sheetId="2" r:id="rId2"/>
    <sheet name="Autor Gastar" sheetId="3" r:id="rId3"/>
  </sheets>
  <externalReferences>
    <externalReference r:id="rId4"/>
  </externalReferences>
  <definedNames>
    <definedName name="_xlnm.Print_Area" localSheetId="1">' NotaPedido'!$A$1:$K$17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I10" i="1" l="1"/>
  <c r="I15" i="3" l="1"/>
  <c r="Q23" i="3" l="1"/>
  <c r="D7" i="2" l="1"/>
  <c r="D3" i="2"/>
  <c r="G4" i="3" s="1"/>
  <c r="D4" i="2"/>
  <c r="G5" i="3" s="1"/>
  <c r="A10" i="3" l="1"/>
  <c r="D1" i="3"/>
  <c r="K12" i="2"/>
  <c r="J12" i="2"/>
  <c r="J15" i="2" s="1"/>
  <c r="I12" i="2"/>
  <c r="C12" i="2"/>
  <c r="B12" i="2"/>
</calcChain>
</file>

<file path=xl/sharedStrings.xml><?xml version="1.0" encoding="utf-8"?>
<sst xmlns="http://schemas.openxmlformats.org/spreadsheetml/2006/main" count="85" uniqueCount="79">
  <si>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</si>
  <si>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</si>
  <si>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</si>
  <si>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</si>
  <si>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</si>
  <si>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</si>
  <si>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</si>
  <si>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</si>
  <si>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</si>
  <si>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</si>
  <si>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</si>
  <si>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</si>
  <si>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</si>
  <si>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</si>
  <si>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</si>
  <si>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</si>
  <si>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</si>
  <si>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</si>
  <si>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</si>
  <si>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</si>
  <si>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</si>
  <si>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</si>
  <si>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</si>
  <si>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</si>
  <si>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</si>
  <si>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</si>
  <si>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</si>
  <si>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</si>
  <si>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</si>
  <si>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</si>
  <si>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</si>
  <si>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</si>
  <si>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</si>
  <si>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</si>
  <si>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</si>
  <si>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</si>
  <si>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</si>
  <si>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</si>
  <si>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</si>
  <si>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</si>
  <si>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</si>
  <si>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</si>
  <si>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</si>
  <si>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</si>
  <si>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</si>
  <si>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</si>
  <si>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</si>
  <si>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</si>
  <si>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</si>
  <si>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</si>
  <si>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</si>
  <si>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</si>
  <si>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</si>
  <si>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</si>
  <si>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</si>
  <si>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</si>
  <si>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</si>
  <si>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</si>
  <si>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</si>
  <si>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Alimentos para Personas</t>
  </si>
  <si>
    <t>25- Direccion Provincial de Gestion Administracion y RRHH</t>
  </si>
  <si>
    <t>S/E</t>
  </si>
  <si>
    <t>MEDIA</t>
  </si>
  <si>
    <t>45- Ministerio de Desarrollo Social y Deporte.-</t>
  </si>
  <si>
    <t>2.1.1</t>
  </si>
  <si>
    <t>NO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</si>
  <si>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</si>
  <si>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2.1.1-705.93</t>
  </si>
  <si>
    <t xml:space="preserve">05 CINCO DIAS </t>
  </si>
  <si>
    <t>DEPOSITO MINISTERIO DE DESARROLLO SOCIAL Y DEPORTE AREA EL PANTANILLO SAN FERNANDO DEL VALLE DE CATAMARCA</t>
  </si>
  <si>
    <t>60DIAS</t>
  </si>
  <si>
    <t>Direccion Provincial de Accion Social Directa</t>
  </si>
  <si>
    <t>Programa Vivir Mejor PRO.VI.ME.</t>
  </si>
  <si>
    <t>PRO.VI.ME. Programa Vivir Mejor</t>
  </si>
  <si>
    <t>Adquisición de Leche En Polvo  que seran destinadas a personas de escasos recursos, en el armado de modulos alimentarios, en el Marco del Programa Vivir Mejor</t>
  </si>
  <si>
    <r>
      <t xml:space="preserve">Costo total estimado:  </t>
    </r>
    <r>
      <rPr>
        <b/>
        <sz val="10"/>
        <rFont val="Times New Roman"/>
        <family val="1"/>
      </rPr>
      <t>TREINTA Y SEIS MILLONES CINCUENTA MIL CON 00/100.-</t>
    </r>
  </si>
  <si>
    <t>TOTAL DE PESOS: TREINTA Y SEIS MILLONES CINCUENTA MIL CON 00/100.-</t>
  </si>
  <si>
    <t>Adquisición de Leche en Polvo,  que seran destinadas a personas de escasos recursos, en el armado de modulos alimentarios, en el Marco del Programa Vivir Mejor</t>
  </si>
  <si>
    <t>305/20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</si>
</sst>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5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6" xfId="0" applyFont="1" applyBorder="1" applyAlignment="1">
      <alignment horizontal="right"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25" xfId="0" applyFont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6" xfId="0" applyBorder="1"/>
    <xf numFmtId="0" fontId="0" fillId="0" borderId="32" xfId="0" applyBorder="1"/>
    <xf numFmtId="0" fontId="0" fillId="0" borderId="18" xfId="0" applyBorder="1"/>
    <xf numFmtId="0" fontId="0" fillId="0" borderId="18" xfId="0" applyBorder="1" applyAlignment="1">
      <alignment horizontal="left"/>
    </xf>
    <xf numFmtId="0" fontId="0" fillId="0" borderId="33" xfId="0" applyBorder="1"/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6" xfId="0" applyFont="1" applyBorder="1" applyAlignment="1">
      <alignment horizontal="left" vertical="center"/>
    </xf>
    <xf numFmtId="0" fontId="14" fillId="0" borderId="37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166" fontId="0" fillId="0" borderId="42" xfId="3" applyNumberFormat="1" applyFont="1" applyBorder="1" applyAlignment="1" applyProtection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6" fontId="0" fillId="0" borderId="46" xfId="3" applyNumberFormat="1" applyFont="1" applyBorder="1" applyAlignment="1" applyProtection="1">
      <alignment horizontal="center" vertical="center"/>
    </xf>
    <xf numFmtId="166" fontId="14" fillId="0" borderId="47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2" fillId="3" borderId="2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3" fillId="0" borderId="8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11" xfId="0" applyFont="1" applyBorder="1"/>
    <xf numFmtId="0" fontId="16" fillId="0" borderId="0" xfId="0" applyFont="1" applyBorder="1"/>
    <xf numFmtId="0" fontId="16" fillId="0" borderId="12" xfId="0" applyFont="1" applyBorder="1"/>
    <xf numFmtId="0" fontId="23" fillId="0" borderId="11" xfId="0" applyFont="1" applyBorder="1" applyAlignment="1">
      <alignment horizontal="left" indent="3"/>
    </xf>
    <xf numFmtId="0" fontId="16" fillId="0" borderId="11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16" fillId="0" borderId="13" xfId="0" applyFont="1" applyBorder="1" applyAlignment="1">
      <alignment horizontal="left" indent="3"/>
    </xf>
    <xf numFmtId="0" fontId="16" fillId="0" borderId="14" xfId="0" applyFont="1" applyBorder="1"/>
    <xf numFmtId="0" fontId="16" fillId="0" borderId="15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4" fillId="4" borderId="25" xfId="0" applyFont="1" applyFill="1" applyBorder="1" applyAlignment="1">
      <alignment horizontal="left" vertical="center"/>
    </xf>
    <xf numFmtId="0" fontId="4" fillId="4" borderId="25" xfId="0" applyFont="1" applyFill="1" applyBorder="1" applyAlignment="1">
      <alignment horizontal="center" vertical="center" wrapText="1"/>
    </xf>
    <xf numFmtId="166" fontId="4" fillId="4" borderId="25" xfId="1" applyNumberFormat="1" applyFont="1" applyFill="1" applyBorder="1" applyAlignment="1" applyProtection="1">
      <alignment horizontal="right" vertical="center" wrapText="1"/>
    </xf>
    <xf numFmtId="3" fontId="4" fillId="4" borderId="25" xfId="0" applyNumberFormat="1" applyFont="1" applyFill="1" applyBorder="1" applyAlignment="1">
      <alignment horizontal="center" vertical="center"/>
    </xf>
    <xf numFmtId="0" fontId="0" fillId="0" borderId="4" xfId="0" applyBorder="1"/>
    <xf numFmtId="0" fontId="20" fillId="0" borderId="20" xfId="0" applyFont="1" applyBorder="1" applyAlignment="1">
      <alignment horizontal="center" vertical="center" wrapText="1"/>
    </xf>
    <xf numFmtId="0" fontId="20" fillId="0" borderId="56" xfId="0" applyFont="1" applyBorder="1" applyAlignment="1">
      <alignment horizontal="center" vertical="center" wrapText="1"/>
    </xf>
    <xf numFmtId="0" fontId="20" fillId="0" borderId="57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0" fontId="0" fillId="0" borderId="7" xfId="0" applyBorder="1"/>
    <xf numFmtId="0" fontId="22" fillId="3" borderId="59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wrapText="1"/>
    </xf>
    <xf numFmtId="0" fontId="19" fillId="4" borderId="7" xfId="0" applyFont="1" applyFill="1" applyBorder="1" applyAlignment="1">
      <alignment horizontal="center" wrapText="1"/>
    </xf>
    <xf numFmtId="166" fontId="21" fillId="3" borderId="59" xfId="1" applyNumberFormat="1" applyFont="1" applyFill="1" applyBorder="1" applyAlignment="1" applyProtection="1">
      <alignment horizontal="right" vertical="center" wrapText="1"/>
    </xf>
    <xf numFmtId="166" fontId="21" fillId="3" borderId="4" xfId="1" applyNumberFormat="1" applyFont="1" applyFill="1" applyBorder="1" applyAlignment="1" applyProtection="1">
      <alignment horizontal="right" vertical="center" wrapText="1"/>
    </xf>
    <xf numFmtId="166" fontId="21" fillId="3" borderId="60" xfId="1" applyNumberFormat="1" applyFont="1" applyFill="1" applyBorder="1" applyAlignment="1" applyProtection="1">
      <alignment horizontal="right" vertical="center" wrapText="1"/>
    </xf>
    <xf numFmtId="166" fontId="21" fillId="3" borderId="5" xfId="1" applyNumberFormat="1" applyFont="1" applyFill="1" applyBorder="1" applyAlignment="1" applyProtection="1">
      <alignment horizontal="right" vertical="center" wrapText="1"/>
    </xf>
    <xf numFmtId="166" fontId="0" fillId="0" borderId="61" xfId="3" applyNumberFormat="1" applyFont="1" applyBorder="1" applyAlignment="1" applyProtection="1">
      <alignment horizontal="center" vertical="center"/>
    </xf>
    <xf numFmtId="0" fontId="0" fillId="3" borderId="62" xfId="0" applyFont="1" applyFill="1" applyBorder="1" applyAlignment="1">
      <alignment horizontal="center" vertical="center"/>
    </xf>
    <xf numFmtId="0" fontId="0" fillId="3" borderId="63" xfId="0" applyFont="1" applyFill="1" applyBorder="1" applyAlignment="1">
      <alignment horizontal="center" vertical="center"/>
    </xf>
    <xf numFmtId="0" fontId="0" fillId="3" borderId="64" xfId="0" applyFont="1" applyFill="1" applyBorder="1" applyAlignment="1">
      <alignment horizontal="center" vertical="center"/>
    </xf>
    <xf numFmtId="166" fontId="0" fillId="0" borderId="65" xfId="3" applyNumberFormat="1" applyFont="1" applyBorder="1" applyAlignment="1" applyProtection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0" fillId="0" borderId="52" xfId="0" applyFill="1" applyBorder="1"/>
    <xf numFmtId="0" fontId="20" fillId="0" borderId="27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0" fillId="0" borderId="51" xfId="0" applyBorder="1"/>
    <xf numFmtId="0" fontId="4" fillId="3" borderId="67" xfId="0" applyFont="1" applyFill="1" applyBorder="1" applyAlignment="1">
      <alignment horizontal="center" vertical="center"/>
    </xf>
    <xf numFmtId="0" fontId="4" fillId="4" borderId="67" xfId="0" applyFont="1" applyFill="1" applyBorder="1" applyAlignment="1">
      <alignment horizontal="center" vertical="center" wrapText="1"/>
    </xf>
    <xf numFmtId="0" fontId="26" fillId="0" borderId="52" xfId="0" applyFont="1" applyFill="1" applyBorder="1"/>
    <xf numFmtId="0" fontId="26" fillId="0" borderId="53" xfId="0" applyFont="1" applyBorder="1"/>
    <xf numFmtId="0" fontId="26" fillId="0" borderId="4" xfId="0" applyFont="1" applyBorder="1"/>
    <xf numFmtId="0" fontId="19" fillId="0" borderId="5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0" fillId="0" borderId="0" xfId="0"/>
    <xf numFmtId="166" fontId="16" fillId="0" borderId="0" xfId="0" applyNumberFormat="1" applyFont="1"/>
    <xf numFmtId="166" fontId="21" fillId="3" borderId="68" xfId="1" applyNumberFormat="1" applyFont="1" applyFill="1" applyBorder="1" applyAlignment="1" applyProtection="1">
      <alignment horizontal="right" vertical="center" wrapText="1"/>
    </xf>
    <xf numFmtId="166" fontId="21" fillId="3" borderId="7" xfId="1" applyNumberFormat="1" applyFont="1" applyFill="1" applyBorder="1" applyAlignment="1" applyProtection="1">
      <alignment horizontal="right" vertical="center" wrapText="1"/>
    </xf>
    <xf numFmtId="0" fontId="0" fillId="0" borderId="69" xfId="0" applyBorder="1"/>
    <xf numFmtId="0" fontId="19" fillId="0" borderId="70" xfId="0" applyFont="1" applyBorder="1" applyAlignment="1">
      <alignment horizontal="center" vertical="center" wrapText="1"/>
    </xf>
    <xf numFmtId="0" fontId="26" fillId="0" borderId="52" xfId="0" applyFont="1" applyBorder="1"/>
    <xf numFmtId="0" fontId="19" fillId="0" borderId="52" xfId="0" applyFont="1" applyBorder="1" applyAlignment="1">
      <alignment horizontal="center" vertical="center" wrapText="1"/>
    </xf>
    <xf numFmtId="0" fontId="0" fillId="4" borderId="63" xfId="0" applyFont="1" applyFill="1" applyBorder="1" applyAlignment="1">
      <alignment horizontal="center" vertical="center"/>
    </xf>
    <xf numFmtId="0" fontId="26" fillId="0" borderId="0" xfId="0" applyFont="1" applyFill="1" applyBorder="1"/>
    <xf numFmtId="0" fontId="26" fillId="0" borderId="0" xfId="0" applyFont="1" applyBorder="1"/>
    <xf numFmtId="0" fontId="26" fillId="0" borderId="71" xfId="0" applyFont="1" applyBorder="1"/>
    <xf numFmtId="0" fontId="26" fillId="0" borderId="7" xfId="0" applyFont="1" applyBorder="1"/>
    <xf numFmtId="0" fontId="22" fillId="4" borderId="7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wrapText="1"/>
    </xf>
    <xf numFmtId="0" fontId="16" fillId="3" borderId="12" xfId="0" applyFont="1" applyFill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3" borderId="0" xfId="0" applyFont="1" applyFill="1" applyBorder="1" applyAlignment="1">
      <alignment horizontal="left" wrapText="1" indent="1"/>
    </xf>
    <xf numFmtId="0" fontId="6" fillId="0" borderId="20" xfId="0" applyFont="1" applyBorder="1" applyAlignment="1">
      <alignment horizontal="left" vertical="center" wrapText="1" indent="1"/>
    </xf>
    <xf numFmtId="167" fontId="25" fillId="0" borderId="20" xfId="0" applyNumberFormat="1" applyFont="1" applyBorder="1" applyAlignment="1">
      <alignment horizontal="center" vertical="center"/>
    </xf>
    <xf numFmtId="0" fontId="4" fillId="4" borderId="25" xfId="0" applyFont="1" applyFill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/>
    </xf>
    <xf numFmtId="0" fontId="6" fillId="3" borderId="23" xfId="0" applyFont="1" applyFill="1" applyBorder="1" applyAlignment="1">
      <alignment horizontal="left" vertical="center" wrapText="1" indent="1"/>
    </xf>
    <xf numFmtId="0" fontId="8" fillId="0" borderId="2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9" xfId="0" applyFont="1" applyBorder="1" applyAlignment="1">
      <alignment horizontal="left" vertical="center" wrapText="1"/>
    </xf>
    <xf numFmtId="0" fontId="6" fillId="4" borderId="20" xfId="0" applyFont="1" applyFill="1" applyBorder="1" applyAlignment="1">
      <alignment horizontal="left" vertical="center" wrapText="1" indent="1"/>
    </xf>
    <xf numFmtId="0" fontId="7" fillId="0" borderId="21" xfId="0" applyFont="1" applyBorder="1" applyAlignment="1">
      <alignment horizontal="left" vertical="center" wrapText="1"/>
    </xf>
    <xf numFmtId="0" fontId="10" fillId="0" borderId="27" xfId="0" applyFont="1" applyBorder="1" applyAlignment="1">
      <alignment vertical="center" wrapText="1"/>
    </xf>
    <xf numFmtId="0" fontId="10" fillId="0" borderId="48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2" fillId="0" borderId="34" xfId="0" applyFont="1" applyBorder="1" applyAlignment="1">
      <alignment vertical="center" wrapText="1"/>
    </xf>
    <xf numFmtId="0" fontId="12" fillId="3" borderId="47" xfId="0" applyFont="1" applyFill="1" applyBorder="1" applyAlignment="1">
      <alignment horizontal="left" vertical="center" wrapText="1" indent="1"/>
    </xf>
    <xf numFmtId="0" fontId="0" fillId="0" borderId="41" xfId="0" applyFont="1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28" fillId="0" borderId="47" xfId="0" applyFont="1" applyBorder="1" applyAlignment="1">
      <alignment horizontal="left" vertical="center" wrapText="1"/>
    </xf>
    <xf numFmtId="0" fontId="10" fillId="0" borderId="47" xfId="0" applyFont="1" applyBorder="1" applyAlignment="1">
      <alignment horizontal="left" vertical="center" wrapText="1"/>
    </xf>
    <xf numFmtId="0" fontId="0" fillId="0" borderId="29" xfId="0" applyBorder="1"/>
    <xf numFmtId="0" fontId="26" fillId="0" borderId="63" xfId="0" applyFont="1" applyBorder="1" applyAlignment="1">
      <alignment horizontal="left" vertical="center" wrapText="1"/>
    </xf>
    <xf numFmtId="0" fontId="0" fillId="0" borderId="63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/>
    </xf>
    <xf numFmtId="0" fontId="12" fillId="0" borderId="30" xfId="0" applyFont="1" applyBorder="1"/>
    <xf numFmtId="0" fontId="12" fillId="0" borderId="31" xfId="0" applyFont="1" applyBorder="1" applyAlignment="1">
      <alignment horizontal="left" vertical="center" wrapText="1" indent="1"/>
    </xf>
    <xf numFmtId="0" fontId="14" fillId="0" borderId="29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 wrapText="1"/>
    </xf>
    <xf numFmtId="0" fontId="14" fillId="0" borderId="34" xfId="0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 wrapText="1"/>
    </xf>
    <xf numFmtId="0" fontId="4" fillId="0" borderId="49" xfId="0" applyFont="1" applyBorder="1" applyAlignment="1">
      <alignment horizontal="left" vertical="center" wrapText="1"/>
    </xf>
    <xf numFmtId="0" fontId="4" fillId="0" borderId="50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indent="1"/>
    </xf>
    <xf numFmtId="0" fontId="13" fillId="0" borderId="17" xfId="0" applyFont="1" applyBorder="1" applyAlignment="1">
      <alignment horizontal="left"/>
    </xf>
    <xf numFmtId="0" fontId="0" fillId="0" borderId="27" xfId="0" applyFont="1" applyBorder="1" applyAlignment="1">
      <alignment horizontal="center"/>
    </xf>
    <xf numFmtId="3" fontId="10" fillId="0" borderId="28" xfId="0" applyNumberFormat="1" applyFont="1" applyBorder="1" applyAlignment="1">
      <alignment horizontal="center"/>
    </xf>
    <xf numFmtId="0" fontId="11" fillId="0" borderId="17" xfId="0" applyFont="1" applyBorder="1" applyAlignment="1">
      <alignment horizontal="center" vertical="center" wrapText="1"/>
    </xf>
    <xf numFmtId="0" fontId="2" fillId="0" borderId="17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ILVIN~1\AppData\Local\Temp\COMBUSTIBLE\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1"/>
  <sheetViews>
    <sheetView topLeftCell="C1" zoomScaleNormal="100" workbookViewId="0">
      <selection activeCell="H11" sqref="H11"/>
    </sheetView>
  </sheetViews>
  <sheetFormatPr baseColWidth="10" defaultColWidth="11" defaultRowHeight="12.75" x14ac:dyDescent="0.2"/>
  <cols>
    <col min="1" max="1" width="4.5703125" style="41" customWidth="1"/>
    <col min="2" max="2" width="21.7109375" style="41" customWidth="1"/>
    <col min="3" max="3" width="32.42578125" style="41" customWidth="1"/>
    <col min="4" max="4" width="8.42578125" style="41" customWidth="1"/>
    <col min="5" max="5" width="174.5703125" style="41" customWidth="1"/>
    <col min="6" max="6" width="10.5703125" style="41" bestFit="1" customWidth="1"/>
    <col min="7" max="8" width="10.42578125" style="41" bestFit="1" customWidth="1"/>
    <col min="9" max="9" width="15.7109375" style="41" bestFit="1" customWidth="1"/>
    <col min="10" max="16384" width="11" style="41"/>
  </cols>
  <sheetData>
    <row r="2" spans="1:10" ht="27" x14ac:dyDescent="0.35">
      <c r="B2" s="115" t="s">
        <v>0</v>
      </c>
      <c r="C2" s="115"/>
      <c r="D2" s="115"/>
      <c r="E2" s="115"/>
      <c r="F2" s="115"/>
      <c r="G2" s="115"/>
      <c r="H2" s="115"/>
    </row>
    <row r="4" spans="1:10" ht="18" customHeight="1" x14ac:dyDescent="0.25">
      <c r="A4" s="114" t="s">
        <v>1</v>
      </c>
      <c r="B4" s="114"/>
      <c r="C4" s="116" t="s">
        <v>63</v>
      </c>
      <c r="D4" s="116"/>
      <c r="E4" s="116"/>
      <c r="F4" s="42"/>
      <c r="G4" s="43"/>
      <c r="H4" s="42"/>
    </row>
    <row r="5" spans="1:10" ht="18" customHeight="1" x14ac:dyDescent="0.25">
      <c r="A5" s="114" t="s">
        <v>2</v>
      </c>
      <c r="B5" s="114"/>
      <c r="C5" s="116" t="s">
        <v>60</v>
      </c>
      <c r="D5" s="116"/>
      <c r="E5" s="116"/>
      <c r="F5" s="42"/>
      <c r="G5" s="43"/>
      <c r="H5" s="42"/>
    </row>
    <row r="6" spans="1:10" ht="16.5" customHeight="1" x14ac:dyDescent="0.25">
      <c r="A6" s="114" t="s">
        <v>3</v>
      </c>
      <c r="B6" s="114"/>
      <c r="C6" s="60">
        <v>2020</v>
      </c>
      <c r="D6" s="61"/>
      <c r="E6" s="61"/>
      <c r="F6" s="42"/>
      <c r="G6" s="43"/>
      <c r="H6" s="42"/>
    </row>
    <row r="7" spans="1:10" ht="16.5" customHeight="1" x14ac:dyDescent="0.25">
      <c r="A7" s="114" t="s">
        <v>4</v>
      </c>
      <c r="B7" s="114"/>
      <c r="C7" s="60">
        <v>4</v>
      </c>
      <c r="D7" s="61"/>
      <c r="E7" s="61"/>
      <c r="F7" s="42"/>
      <c r="G7" s="43"/>
      <c r="H7" s="42"/>
    </row>
    <row r="8" spans="1:10" ht="13.5" thickBot="1" x14ac:dyDescent="0.25">
      <c r="B8" s="42"/>
      <c r="C8" s="43"/>
      <c r="D8" s="42"/>
      <c r="E8" s="42"/>
      <c r="F8" s="42"/>
      <c r="G8" s="43"/>
      <c r="H8" s="42"/>
    </row>
    <row r="9" spans="1:10" ht="39" thickBot="1" x14ac:dyDescent="0.25">
      <c r="A9" s="87" t="s">
        <v>5</v>
      </c>
      <c r="B9" s="67" t="s">
        <v>6</v>
      </c>
      <c r="C9" s="67" t="s">
        <v>7</v>
      </c>
      <c r="D9" s="88" t="s">
        <v>8</v>
      </c>
      <c r="E9" s="67" t="s">
        <v>9</v>
      </c>
      <c r="F9" s="68" t="s">
        <v>10</v>
      </c>
      <c r="G9" s="69" t="s">
        <v>11</v>
      </c>
      <c r="H9" s="69" t="s">
        <v>12</v>
      </c>
      <c r="I9" s="70" t="s">
        <v>13</v>
      </c>
    </row>
    <row r="10" spans="1:10" x14ac:dyDescent="0.2">
      <c r="A10" s="85">
        <v>1</v>
      </c>
      <c r="B10" s="92" t="s">
        <v>67</v>
      </c>
      <c r="C10" s="86" t="s">
        <v>58</v>
      </c>
      <c r="D10" s="95" t="s">
        <v>64</v>
      </c>
      <c r="E10" s="107" t="s">
        <v>66</v>
      </c>
      <c r="F10" s="72" t="s">
        <v>14</v>
      </c>
      <c r="G10" s="44">
        <v>100000</v>
      </c>
      <c r="H10" s="76">
        <v>360.5</v>
      </c>
      <c r="I10" s="78">
        <f>+H10*G10</f>
        <v>36050000</v>
      </c>
    </row>
    <row r="11" spans="1:10" x14ac:dyDescent="0.2">
      <c r="A11" s="45"/>
      <c r="B11" s="1"/>
      <c r="C11" s="102"/>
      <c r="D11" s="103"/>
      <c r="E11" s="89"/>
      <c r="F11" s="73"/>
      <c r="G11" s="74"/>
      <c r="H11" s="77"/>
      <c r="I11" s="79"/>
    </row>
    <row r="12" spans="1:10" x14ac:dyDescent="0.2">
      <c r="A12" s="45"/>
      <c r="B12" s="66"/>
      <c r="C12" s="66"/>
      <c r="D12" s="96"/>
      <c r="E12" s="66"/>
      <c r="F12" s="73"/>
      <c r="G12" s="74"/>
      <c r="H12" s="77"/>
      <c r="I12" s="79"/>
    </row>
    <row r="13" spans="1:10" x14ac:dyDescent="0.2">
      <c r="A13" s="45"/>
      <c r="B13" s="104"/>
      <c r="C13" s="1"/>
      <c r="D13" s="105"/>
      <c r="E13" s="108"/>
      <c r="F13" s="73"/>
      <c r="G13" s="74"/>
      <c r="H13" s="77"/>
      <c r="I13" s="79"/>
    </row>
    <row r="14" spans="1:10" x14ac:dyDescent="0.2">
      <c r="A14" s="45"/>
      <c r="B14" s="93"/>
      <c r="C14" s="66"/>
      <c r="D14" s="95"/>
      <c r="E14" s="94"/>
      <c r="F14" s="73"/>
      <c r="G14" s="74"/>
      <c r="H14" s="77"/>
      <c r="I14" s="79"/>
    </row>
    <row r="15" spans="1:10" ht="13.5" thickBot="1" x14ac:dyDescent="0.25">
      <c r="A15" s="46"/>
      <c r="B15" s="109"/>
      <c r="C15" s="71"/>
      <c r="D15" s="97"/>
      <c r="E15" s="110"/>
      <c r="F15" s="111"/>
      <c r="G15" s="75"/>
      <c r="H15" s="101"/>
      <c r="I15" s="100"/>
    </row>
    <row r="16" spans="1:10" x14ac:dyDescent="0.2">
      <c r="I16" s="99"/>
      <c r="J16" s="99"/>
    </row>
    <row r="18" spans="2:5" x14ac:dyDescent="0.2">
      <c r="B18" s="47" t="s">
        <v>15</v>
      </c>
      <c r="C18" s="48"/>
      <c r="D18" s="48"/>
      <c r="E18" s="49"/>
    </row>
    <row r="19" spans="2:5" ht="5.25" customHeight="1" x14ac:dyDescent="0.2">
      <c r="B19" s="50"/>
      <c r="C19" s="51"/>
      <c r="D19" s="51"/>
      <c r="E19" s="52"/>
    </row>
    <row r="20" spans="2:5" x14ac:dyDescent="0.2">
      <c r="B20" s="53" t="s">
        <v>16</v>
      </c>
      <c r="C20" s="51"/>
      <c r="D20" s="51"/>
      <c r="E20" s="52"/>
    </row>
    <row r="21" spans="2:5" ht="41.25" customHeight="1" x14ac:dyDescent="0.2">
      <c r="B21" s="53"/>
      <c r="C21" s="112"/>
      <c r="D21" s="112"/>
      <c r="E21" s="112"/>
    </row>
    <row r="22" spans="2:5" x14ac:dyDescent="0.2">
      <c r="B22" s="53" t="s">
        <v>17</v>
      </c>
      <c r="C22" s="51"/>
      <c r="D22" s="51"/>
      <c r="E22" s="52"/>
    </row>
    <row r="23" spans="2:5" x14ac:dyDescent="0.2">
      <c r="B23" s="54"/>
      <c r="C23" s="113" t="s">
        <v>68</v>
      </c>
      <c r="D23" s="113"/>
      <c r="E23" s="113"/>
    </row>
    <row r="24" spans="2:5" x14ac:dyDescent="0.2">
      <c r="B24" s="54"/>
      <c r="C24" s="113" t="s">
        <v>69</v>
      </c>
      <c r="D24" s="113"/>
      <c r="E24" s="113"/>
    </row>
    <row r="25" spans="2:5" x14ac:dyDescent="0.2">
      <c r="B25" s="53" t="s">
        <v>18</v>
      </c>
      <c r="C25" s="51"/>
      <c r="D25" s="51"/>
      <c r="E25" s="52"/>
    </row>
    <row r="26" spans="2:5" ht="26.25" customHeight="1" x14ac:dyDescent="0.2">
      <c r="B26" s="54"/>
      <c r="C26" s="112" t="s">
        <v>62</v>
      </c>
      <c r="D26" s="112"/>
      <c r="E26" s="112"/>
    </row>
    <row r="27" spans="2:5" x14ac:dyDescent="0.2">
      <c r="B27" s="53" t="s">
        <v>19</v>
      </c>
      <c r="C27" s="55"/>
      <c r="D27" s="55"/>
      <c r="E27" s="56"/>
    </row>
    <row r="28" spans="2:5" ht="26.25" customHeight="1" x14ac:dyDescent="0.2">
      <c r="B28" s="54"/>
      <c r="C28" s="112" t="s">
        <v>70</v>
      </c>
      <c r="D28" s="112"/>
      <c r="E28" s="112"/>
    </row>
    <row r="29" spans="2:5" x14ac:dyDescent="0.2">
      <c r="B29" s="53" t="s">
        <v>20</v>
      </c>
      <c r="C29" s="51"/>
      <c r="D29" s="51"/>
      <c r="E29" s="52"/>
    </row>
    <row r="30" spans="2:5" ht="23.25" customHeight="1" x14ac:dyDescent="0.2">
      <c r="B30" s="53"/>
      <c r="C30" s="113" t="s">
        <v>61</v>
      </c>
      <c r="D30" s="113"/>
      <c r="E30" s="113"/>
    </row>
    <row r="31" spans="2:5" x14ac:dyDescent="0.2">
      <c r="B31" s="57"/>
      <c r="C31" s="58"/>
      <c r="D31" s="58"/>
      <c r="E31" s="59"/>
    </row>
  </sheetData>
  <mergeCells count="13">
    <mergeCell ref="B2:H2"/>
    <mergeCell ref="A4:B4"/>
    <mergeCell ref="C4:E4"/>
    <mergeCell ref="A5:B5"/>
    <mergeCell ref="C5:E5"/>
    <mergeCell ref="C26:E26"/>
    <mergeCell ref="C28:E28"/>
    <mergeCell ref="C30:E30"/>
    <mergeCell ref="A6:B6"/>
    <mergeCell ref="A7:B7"/>
    <mergeCell ref="C21:E21"/>
    <mergeCell ref="C23:E23"/>
    <mergeCell ref="C24:E24"/>
  </mergeCells>
  <pageMargins left="0" right="0" top="0.74803149606299213" bottom="0" header="0.51181102362204722" footer="0.51181102362204722"/>
  <pageSetup paperSize="5" scale="60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5"/>
  <sheetViews>
    <sheetView zoomScale="110" zoomScaleNormal="110" workbookViewId="0">
      <selection activeCell="K2" sqref="K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125" t="s">
        <v>21</v>
      </c>
      <c r="B1" s="125"/>
      <c r="C1" s="125"/>
      <c r="D1" s="125"/>
      <c r="E1" s="125"/>
      <c r="F1" s="125"/>
      <c r="G1" s="125"/>
      <c r="H1" s="125"/>
      <c r="I1" s="125"/>
      <c r="J1" s="3" t="s">
        <v>22</v>
      </c>
      <c r="K1" s="4" t="s">
        <v>78</v>
      </c>
    </row>
    <row r="2" spans="1:1024" ht="18.75" customHeight="1" thickBot="1" x14ac:dyDescent="0.25">
      <c r="A2" s="5"/>
      <c r="B2" s="5"/>
      <c r="C2" s="5"/>
      <c r="D2" s="6"/>
      <c r="E2" s="6"/>
      <c r="F2" s="6"/>
      <c r="G2" s="6"/>
      <c r="H2" s="6"/>
      <c r="I2" s="6"/>
      <c r="J2" s="6"/>
      <c r="K2" s="6"/>
    </row>
    <row r="3" spans="1:1024" ht="18.75" customHeight="1" thickBot="1" x14ac:dyDescent="0.25">
      <c r="A3" s="126" t="s">
        <v>55</v>
      </c>
      <c r="B3" s="126"/>
      <c r="C3" s="126"/>
      <c r="D3" s="127" t="str">
        <f>'Necesidades Trimestrales'!C4</f>
        <v>45- Ministerio de Desarrollo Social y Deporte.-</v>
      </c>
      <c r="E3" s="127"/>
      <c r="F3" s="127"/>
      <c r="G3" s="127"/>
      <c r="H3" s="127"/>
      <c r="I3" s="127"/>
      <c r="J3" s="127"/>
      <c r="K3" s="127"/>
    </row>
    <row r="4" spans="1:1024" ht="18.75" customHeight="1" thickBot="1" x14ac:dyDescent="0.25">
      <c r="A4" s="128" t="s">
        <v>56</v>
      </c>
      <c r="B4" s="128"/>
      <c r="C4" s="128"/>
      <c r="D4" s="127" t="str">
        <f>'Necesidades Trimestrales'!C5</f>
        <v>25- Direccion Provincial de Gestion Administracion y RRHH</v>
      </c>
      <c r="E4" s="127"/>
      <c r="F4" s="127"/>
      <c r="G4" s="127"/>
      <c r="H4" s="127"/>
      <c r="I4" s="127"/>
      <c r="J4" s="127"/>
      <c r="K4" s="127"/>
    </row>
    <row r="5" spans="1:1024" ht="18.75" customHeight="1" thickBot="1" x14ac:dyDescent="0.25">
      <c r="A5" s="128" t="s">
        <v>34</v>
      </c>
      <c r="B5" s="128"/>
      <c r="C5" s="128"/>
      <c r="D5" s="127" t="s">
        <v>71</v>
      </c>
      <c r="E5" s="127"/>
      <c r="F5" s="127"/>
      <c r="G5" s="127"/>
      <c r="H5" s="127"/>
      <c r="I5" s="127"/>
      <c r="J5" s="127"/>
      <c r="K5" s="127"/>
    </row>
    <row r="6" spans="1:1024" ht="16.5" customHeight="1" thickBot="1" x14ac:dyDescent="0.25">
      <c r="A6" s="126" t="s">
        <v>57</v>
      </c>
      <c r="B6" s="126"/>
      <c r="C6" s="126"/>
      <c r="D6" s="127" t="s">
        <v>72</v>
      </c>
      <c r="E6" s="127"/>
      <c r="F6" s="127"/>
      <c r="G6" s="127"/>
      <c r="H6" s="127"/>
      <c r="I6" s="127"/>
      <c r="J6" s="127"/>
      <c r="K6" s="127"/>
    </row>
    <row r="7" spans="1:1024" ht="16.5" customHeight="1" x14ac:dyDescent="0.2">
      <c r="A7" s="128" t="s">
        <v>23</v>
      </c>
      <c r="B7" s="128"/>
      <c r="C7" s="128"/>
      <c r="D7" s="127" t="str">
        <f>'Necesidades Trimestrales'!C7 &amp; "° Trimestre - Año " &amp; 'Necesidades Trimestrales'!C6</f>
        <v>4° Trimestre - Año 2020</v>
      </c>
      <c r="E7" s="127"/>
      <c r="F7" s="127"/>
      <c r="G7" s="127"/>
      <c r="H7" s="127"/>
      <c r="I7" s="127"/>
      <c r="J7" s="127"/>
      <c r="K7" s="127"/>
    </row>
    <row r="8" spans="1:1024" ht="40.5" customHeight="1" x14ac:dyDescent="0.2">
      <c r="A8" s="120" t="s">
        <v>24</v>
      </c>
      <c r="B8" s="120"/>
      <c r="C8" s="120"/>
      <c r="D8" s="121" t="s">
        <v>74</v>
      </c>
      <c r="E8" s="121"/>
      <c r="F8" s="121"/>
      <c r="G8" s="121"/>
      <c r="H8" s="121"/>
      <c r="I8" s="121"/>
      <c r="J8" s="121"/>
      <c r="K8" s="121"/>
    </row>
    <row r="9" spans="1:1024" ht="15.75" x14ac:dyDescent="0.2">
      <c r="A9" s="7"/>
      <c r="B9" s="7"/>
      <c r="C9" s="7"/>
      <c r="D9" s="8"/>
      <c r="E9" s="8"/>
      <c r="F9" s="8"/>
      <c r="G9" s="8"/>
      <c r="H9" s="8"/>
      <c r="I9" s="8"/>
      <c r="J9" s="8"/>
      <c r="K9" s="8"/>
    </row>
    <row r="10" spans="1:1024" ht="18.75" customHeight="1" x14ac:dyDescent="0.2">
      <c r="A10" s="122" t="s">
        <v>25</v>
      </c>
      <c r="B10" s="123" t="s">
        <v>26</v>
      </c>
      <c r="C10" s="123" t="s">
        <v>27</v>
      </c>
      <c r="D10" s="123"/>
      <c r="E10" s="123"/>
      <c r="F10" s="123"/>
      <c r="G10" s="123"/>
      <c r="H10" s="123" t="s">
        <v>28</v>
      </c>
      <c r="I10" s="123" t="s">
        <v>29</v>
      </c>
      <c r="J10" s="123" t="s">
        <v>30</v>
      </c>
      <c r="K10" s="124" t="s">
        <v>31</v>
      </c>
    </row>
    <row r="11" spans="1:1024" ht="24" customHeight="1" x14ac:dyDescent="0.2">
      <c r="A11" s="122"/>
      <c r="B11" s="123"/>
      <c r="C11" s="123"/>
      <c r="D11" s="123"/>
      <c r="E11" s="123"/>
      <c r="F11" s="123"/>
      <c r="G11" s="123"/>
      <c r="H11" s="123"/>
      <c r="I11" s="123"/>
      <c r="J11" s="123"/>
      <c r="K11" s="124"/>
    </row>
    <row r="12" spans="1:1024" ht="42" customHeight="1" thickBot="1" x14ac:dyDescent="0.25">
      <c r="A12" s="9">
        <v>1</v>
      </c>
      <c r="B12" s="62" t="str">
        <f>'Necesidades Trimestrales'!B10</f>
        <v>2.1.1-705.93</v>
      </c>
      <c r="C12" s="119" t="str">
        <f>'Necesidades Trimestrales'!E10</f>
        <v>LECHE; ESTADO: POLVO, TIPO: ENTERA, PROCESO: PASTEURIZADA, AGREGADO: VITAMINAS A Y D, PRESENTACION: ENVASE X 800 GR, MATERIAL ENVASE: CARTON, ELEM. TRANSPORTE: SIN, MATERIAL ELEM. TRANSPORTE: SIN, CERTIFICADO FORESTAL (GFS): SIN, LIBRE DE GLUTEN: SI</v>
      </c>
      <c r="D12" s="119"/>
      <c r="E12" s="119"/>
      <c r="F12" s="119"/>
      <c r="G12" s="119"/>
      <c r="H12" s="10" t="s">
        <v>65</v>
      </c>
      <c r="I12" s="63" t="str">
        <f>'Necesidades Trimestrales'!F10</f>
        <v>UNIDAD</v>
      </c>
      <c r="J12" s="64">
        <f>'Necesidades Trimestrales'!H10</f>
        <v>360.5</v>
      </c>
      <c r="K12" s="65">
        <f>'Necesidades Trimestrales'!G10</f>
        <v>100000</v>
      </c>
    </row>
    <row r="13" spans="1:1024" ht="41.25" customHeight="1" thickBot="1" x14ac:dyDescent="0.25">
      <c r="A13" s="11"/>
      <c r="B13" s="62"/>
      <c r="C13" s="119"/>
      <c r="D13" s="119"/>
      <c r="E13" s="119"/>
      <c r="F13" s="119"/>
      <c r="G13" s="119"/>
      <c r="H13" s="10"/>
      <c r="I13" s="63"/>
      <c r="J13" s="64"/>
      <c r="K13" s="65"/>
    </row>
    <row r="14" spans="1:1024" s="98" customFormat="1" ht="30.75" customHeight="1" thickBot="1" x14ac:dyDescent="0.25">
      <c r="A14" s="11"/>
      <c r="B14" s="62"/>
      <c r="C14" s="119"/>
      <c r="D14" s="119"/>
      <c r="E14" s="119"/>
      <c r="F14" s="119"/>
      <c r="G14" s="119"/>
      <c r="H14" s="90"/>
      <c r="I14" s="91"/>
      <c r="J14" s="64"/>
      <c r="K14" s="65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  <c r="LK14" s="2"/>
      <c r="LL14" s="2"/>
      <c r="LM14" s="2"/>
      <c r="LN14" s="2"/>
      <c r="LO14" s="2"/>
      <c r="LP14" s="2"/>
      <c r="LQ14" s="2"/>
      <c r="LR14" s="2"/>
      <c r="LS14" s="2"/>
      <c r="LT14" s="2"/>
      <c r="LU14" s="2"/>
      <c r="LV14" s="2"/>
      <c r="LW14" s="2"/>
      <c r="LX14" s="2"/>
      <c r="LY14" s="2"/>
      <c r="LZ14" s="2"/>
      <c r="MA14" s="2"/>
      <c r="MB14" s="2"/>
      <c r="MC14" s="2"/>
      <c r="MD14" s="2"/>
      <c r="ME14" s="2"/>
      <c r="MF14" s="2"/>
      <c r="MG14" s="2"/>
      <c r="MH14" s="2"/>
      <c r="MI14" s="2"/>
      <c r="MJ14" s="2"/>
      <c r="MK14" s="2"/>
      <c r="ML14" s="2"/>
      <c r="MM14" s="2"/>
      <c r="MN14" s="2"/>
      <c r="MO14" s="2"/>
      <c r="MP14" s="2"/>
      <c r="MQ14" s="2"/>
      <c r="MR14" s="2"/>
      <c r="MS14" s="2"/>
      <c r="MT14" s="2"/>
      <c r="MU14" s="2"/>
      <c r="MV14" s="2"/>
      <c r="MW14" s="2"/>
      <c r="MX14" s="2"/>
      <c r="MY14" s="2"/>
      <c r="MZ14" s="2"/>
      <c r="NA14" s="2"/>
      <c r="NB14" s="2"/>
      <c r="NC14" s="2"/>
      <c r="ND14" s="2"/>
      <c r="NE14" s="2"/>
      <c r="NF14" s="2"/>
      <c r="NG14" s="2"/>
      <c r="NH14" s="2"/>
      <c r="NI14" s="2"/>
      <c r="NJ14" s="2"/>
      <c r="NK14" s="2"/>
      <c r="NL14" s="2"/>
      <c r="NM14" s="2"/>
      <c r="NN14" s="2"/>
      <c r="NO14" s="2"/>
      <c r="NP14" s="2"/>
      <c r="NQ14" s="2"/>
      <c r="NR14" s="2"/>
      <c r="NS14" s="2"/>
      <c r="NT14" s="2"/>
      <c r="NU14" s="2"/>
      <c r="NV14" s="2"/>
      <c r="NW14" s="2"/>
      <c r="NX14" s="2"/>
      <c r="NY14" s="2"/>
      <c r="NZ14" s="2"/>
      <c r="OA14" s="2"/>
      <c r="OB14" s="2"/>
      <c r="OC14" s="2"/>
      <c r="OD14" s="2"/>
      <c r="OE14" s="2"/>
      <c r="OF14" s="2"/>
      <c r="OG14" s="2"/>
      <c r="OH14" s="2"/>
      <c r="OI14" s="2"/>
      <c r="OJ14" s="2"/>
      <c r="OK14" s="2"/>
      <c r="OL14" s="2"/>
      <c r="OM14" s="2"/>
      <c r="ON14" s="2"/>
      <c r="OO14" s="2"/>
      <c r="OP14" s="2"/>
      <c r="OQ14" s="2"/>
      <c r="OR14" s="2"/>
      <c r="OS14" s="2"/>
      <c r="OT14" s="2"/>
      <c r="OU14" s="2"/>
      <c r="OV14" s="2"/>
      <c r="OW14" s="2"/>
      <c r="OX14" s="2"/>
      <c r="OY14" s="2"/>
      <c r="OZ14" s="2"/>
      <c r="PA14" s="2"/>
      <c r="PB14" s="2"/>
      <c r="PC14" s="2"/>
      <c r="PD14" s="2"/>
      <c r="PE14" s="2"/>
      <c r="PF14" s="2"/>
      <c r="PG14" s="2"/>
      <c r="PH14" s="2"/>
      <c r="PI14" s="2"/>
      <c r="PJ14" s="2"/>
      <c r="PK14" s="2"/>
      <c r="PL14" s="2"/>
      <c r="PM14" s="2"/>
      <c r="PN14" s="2"/>
      <c r="PO14" s="2"/>
      <c r="PP14" s="2"/>
      <c r="PQ14" s="2"/>
      <c r="PR14" s="2"/>
      <c r="PS14" s="2"/>
      <c r="PT14" s="2"/>
      <c r="PU14" s="2"/>
      <c r="PV14" s="2"/>
      <c r="PW14" s="2"/>
      <c r="PX14" s="2"/>
      <c r="PY14" s="2"/>
      <c r="PZ14" s="2"/>
      <c r="QA14" s="2"/>
      <c r="QB14" s="2"/>
      <c r="QC14" s="2"/>
      <c r="QD14" s="2"/>
      <c r="QE14" s="2"/>
      <c r="QF14" s="2"/>
      <c r="QG14" s="2"/>
      <c r="QH14" s="2"/>
      <c r="QI14" s="2"/>
      <c r="QJ14" s="2"/>
      <c r="QK14" s="2"/>
      <c r="QL14" s="2"/>
      <c r="QM14" s="2"/>
      <c r="QN14" s="2"/>
      <c r="QO14" s="2"/>
      <c r="QP14" s="2"/>
      <c r="QQ14" s="2"/>
      <c r="QR14" s="2"/>
      <c r="QS14" s="2"/>
      <c r="QT14" s="2"/>
      <c r="QU14" s="2"/>
      <c r="QV14" s="2"/>
      <c r="QW14" s="2"/>
      <c r="QX14" s="2"/>
      <c r="QY14" s="2"/>
      <c r="QZ14" s="2"/>
      <c r="RA14" s="2"/>
      <c r="RB14" s="2"/>
      <c r="RC14" s="2"/>
      <c r="RD14" s="2"/>
      <c r="RE14" s="2"/>
      <c r="RF14" s="2"/>
      <c r="RG14" s="2"/>
      <c r="RH14" s="2"/>
      <c r="RI14" s="2"/>
      <c r="RJ14" s="2"/>
      <c r="RK14" s="2"/>
      <c r="RL14" s="2"/>
      <c r="RM14" s="2"/>
      <c r="RN14" s="2"/>
      <c r="RO14" s="2"/>
      <c r="RP14" s="2"/>
      <c r="RQ14" s="2"/>
      <c r="RR14" s="2"/>
      <c r="RS14" s="2"/>
      <c r="RT14" s="2"/>
      <c r="RU14" s="2"/>
      <c r="RV14" s="2"/>
      <c r="RW14" s="2"/>
      <c r="RX14" s="2"/>
      <c r="RY14" s="2"/>
      <c r="RZ14" s="2"/>
      <c r="SA14" s="2"/>
      <c r="SB14" s="2"/>
      <c r="SC14" s="2"/>
      <c r="SD14" s="2"/>
      <c r="SE14" s="2"/>
      <c r="SF14" s="2"/>
      <c r="SG14" s="2"/>
      <c r="SH14" s="2"/>
      <c r="SI14" s="2"/>
      <c r="SJ14" s="2"/>
      <c r="SK14" s="2"/>
      <c r="SL14" s="2"/>
      <c r="SM14" s="2"/>
      <c r="SN14" s="2"/>
      <c r="SO14" s="2"/>
      <c r="SP14" s="2"/>
      <c r="SQ14" s="2"/>
      <c r="SR14" s="2"/>
      <c r="SS14" s="2"/>
      <c r="ST14" s="2"/>
      <c r="SU14" s="2"/>
      <c r="SV14" s="2"/>
      <c r="SW14" s="2"/>
      <c r="SX14" s="2"/>
      <c r="SY14" s="2"/>
      <c r="SZ14" s="2"/>
      <c r="TA14" s="2"/>
      <c r="TB14" s="2"/>
      <c r="TC14" s="2"/>
      <c r="TD14" s="2"/>
      <c r="TE14" s="2"/>
      <c r="TF14" s="2"/>
      <c r="TG14" s="2"/>
      <c r="TH14" s="2"/>
      <c r="TI14" s="2"/>
      <c r="TJ14" s="2"/>
      <c r="TK14" s="2"/>
      <c r="TL14" s="2"/>
      <c r="TM14" s="2"/>
      <c r="TN14" s="2"/>
      <c r="TO14" s="2"/>
      <c r="TP14" s="2"/>
      <c r="TQ14" s="2"/>
      <c r="TR14" s="2"/>
      <c r="TS14" s="2"/>
      <c r="TT14" s="2"/>
      <c r="TU14" s="2"/>
      <c r="TV14" s="2"/>
      <c r="TW14" s="2"/>
      <c r="TX14" s="2"/>
      <c r="TY14" s="2"/>
      <c r="TZ14" s="2"/>
      <c r="UA14" s="2"/>
      <c r="UB14" s="2"/>
      <c r="UC14" s="2"/>
      <c r="UD14" s="2"/>
      <c r="UE14" s="2"/>
      <c r="UF14" s="2"/>
      <c r="UG14" s="2"/>
      <c r="UH14" s="2"/>
      <c r="UI14" s="2"/>
      <c r="UJ14" s="2"/>
      <c r="UK14" s="2"/>
      <c r="UL14" s="2"/>
      <c r="UM14" s="2"/>
      <c r="UN14" s="2"/>
      <c r="UO14" s="2"/>
      <c r="UP14" s="2"/>
      <c r="UQ14" s="2"/>
      <c r="UR14" s="2"/>
      <c r="US14" s="2"/>
      <c r="UT14" s="2"/>
      <c r="UU14" s="2"/>
      <c r="UV14" s="2"/>
      <c r="UW14" s="2"/>
      <c r="UX14" s="2"/>
      <c r="UY14" s="2"/>
      <c r="UZ14" s="2"/>
      <c r="VA14" s="2"/>
      <c r="VB14" s="2"/>
      <c r="VC14" s="2"/>
      <c r="VD14" s="2"/>
      <c r="VE14" s="2"/>
      <c r="VF14" s="2"/>
      <c r="VG14" s="2"/>
      <c r="VH14" s="2"/>
      <c r="VI14" s="2"/>
      <c r="VJ14" s="2"/>
      <c r="VK14" s="2"/>
      <c r="VL14" s="2"/>
      <c r="VM14" s="2"/>
      <c r="VN14" s="2"/>
      <c r="VO14" s="2"/>
      <c r="VP14" s="2"/>
      <c r="VQ14" s="2"/>
      <c r="VR14" s="2"/>
      <c r="VS14" s="2"/>
      <c r="VT14" s="2"/>
      <c r="VU14" s="2"/>
      <c r="VV14" s="2"/>
      <c r="VW14" s="2"/>
      <c r="VX14" s="2"/>
      <c r="VY14" s="2"/>
      <c r="VZ14" s="2"/>
      <c r="WA14" s="2"/>
      <c r="WB14" s="2"/>
      <c r="WC14" s="2"/>
      <c r="WD14" s="2"/>
      <c r="WE14" s="2"/>
      <c r="WF14" s="2"/>
      <c r="WG14" s="2"/>
      <c r="WH14" s="2"/>
      <c r="WI14" s="2"/>
      <c r="WJ14" s="2"/>
      <c r="WK14" s="2"/>
      <c r="WL14" s="2"/>
      <c r="WM14" s="2"/>
      <c r="WN14" s="2"/>
      <c r="WO14" s="2"/>
      <c r="WP14" s="2"/>
      <c r="WQ14" s="2"/>
      <c r="WR14" s="2"/>
      <c r="WS14" s="2"/>
      <c r="WT14" s="2"/>
      <c r="WU14" s="2"/>
      <c r="WV14" s="2"/>
      <c r="WW14" s="2"/>
      <c r="WX14" s="2"/>
      <c r="WY14" s="2"/>
      <c r="WZ14" s="2"/>
      <c r="XA14" s="2"/>
      <c r="XB14" s="2"/>
      <c r="XC14" s="2"/>
      <c r="XD14" s="2"/>
      <c r="XE14" s="2"/>
      <c r="XF14" s="2"/>
      <c r="XG14" s="2"/>
      <c r="XH14" s="2"/>
      <c r="XI14" s="2"/>
      <c r="XJ14" s="2"/>
      <c r="XK14" s="2"/>
      <c r="XL14" s="2"/>
      <c r="XM14" s="2"/>
      <c r="XN14" s="2"/>
      <c r="XO14" s="2"/>
      <c r="XP14" s="2"/>
      <c r="XQ14" s="2"/>
      <c r="XR14" s="2"/>
      <c r="XS14" s="2"/>
      <c r="XT14" s="2"/>
      <c r="XU14" s="2"/>
      <c r="XV14" s="2"/>
      <c r="XW14" s="2"/>
      <c r="XX14" s="2"/>
      <c r="XY14" s="2"/>
      <c r="XZ14" s="2"/>
      <c r="YA14" s="2"/>
      <c r="YB14" s="2"/>
      <c r="YC14" s="2"/>
      <c r="YD14" s="2"/>
      <c r="YE14" s="2"/>
      <c r="YF14" s="2"/>
      <c r="YG14" s="2"/>
      <c r="YH14" s="2"/>
      <c r="YI14" s="2"/>
      <c r="YJ14" s="2"/>
      <c r="YK14" s="2"/>
      <c r="YL14" s="2"/>
      <c r="YM14" s="2"/>
      <c r="YN14" s="2"/>
      <c r="YO14" s="2"/>
      <c r="YP14" s="2"/>
      <c r="YQ14" s="2"/>
      <c r="YR14" s="2"/>
      <c r="YS14" s="2"/>
      <c r="YT14" s="2"/>
      <c r="YU14" s="2"/>
      <c r="YV14" s="2"/>
      <c r="YW14" s="2"/>
      <c r="YX14" s="2"/>
      <c r="YY14" s="2"/>
      <c r="YZ14" s="2"/>
      <c r="ZA14" s="2"/>
      <c r="ZB14" s="2"/>
      <c r="ZC14" s="2"/>
      <c r="ZD14" s="2"/>
      <c r="ZE14" s="2"/>
      <c r="ZF14" s="2"/>
      <c r="ZG14" s="2"/>
      <c r="ZH14" s="2"/>
      <c r="ZI14" s="2"/>
      <c r="ZJ14" s="2"/>
      <c r="ZK14" s="2"/>
      <c r="ZL14" s="2"/>
      <c r="ZM14" s="2"/>
      <c r="ZN14" s="2"/>
      <c r="ZO14" s="2"/>
      <c r="ZP14" s="2"/>
      <c r="ZQ14" s="2"/>
      <c r="ZR14" s="2"/>
      <c r="ZS14" s="2"/>
      <c r="ZT14" s="2"/>
      <c r="ZU14" s="2"/>
      <c r="ZV14" s="2"/>
      <c r="ZW14" s="2"/>
      <c r="ZX14" s="2"/>
      <c r="ZY14" s="2"/>
      <c r="ZZ14" s="2"/>
      <c r="AAA14" s="2"/>
      <c r="AAB14" s="2"/>
      <c r="AAC14" s="2"/>
      <c r="AAD14" s="2"/>
      <c r="AAE14" s="2"/>
      <c r="AAF14" s="2"/>
      <c r="AAG14" s="2"/>
      <c r="AAH14" s="2"/>
      <c r="AAI14" s="2"/>
      <c r="AAJ14" s="2"/>
      <c r="AAK14" s="2"/>
      <c r="AAL14" s="2"/>
      <c r="AAM14" s="2"/>
      <c r="AAN14" s="2"/>
      <c r="AAO14" s="2"/>
      <c r="AAP14" s="2"/>
      <c r="AAQ14" s="2"/>
      <c r="AAR14" s="2"/>
      <c r="AAS14" s="2"/>
      <c r="AAT14" s="2"/>
      <c r="AAU14" s="2"/>
      <c r="AAV14" s="2"/>
      <c r="AAW14" s="2"/>
      <c r="AAX14" s="2"/>
      <c r="AAY14" s="2"/>
      <c r="AAZ14" s="2"/>
      <c r="ABA14" s="2"/>
      <c r="ABB14" s="2"/>
      <c r="ABC14" s="2"/>
      <c r="ABD14" s="2"/>
      <c r="ABE14" s="2"/>
      <c r="ABF14" s="2"/>
      <c r="ABG14" s="2"/>
      <c r="ABH14" s="2"/>
      <c r="ABI14" s="2"/>
      <c r="ABJ14" s="2"/>
      <c r="ABK14" s="2"/>
      <c r="ABL14" s="2"/>
      <c r="ABM14" s="2"/>
      <c r="ABN14" s="2"/>
      <c r="ABO14" s="2"/>
      <c r="ABP14" s="2"/>
      <c r="ABQ14" s="2"/>
      <c r="ABR14" s="2"/>
      <c r="ABS14" s="2"/>
      <c r="ABT14" s="2"/>
      <c r="ABU14" s="2"/>
      <c r="ABV14" s="2"/>
      <c r="ABW14" s="2"/>
      <c r="ABX14" s="2"/>
      <c r="ABY14" s="2"/>
      <c r="ABZ14" s="2"/>
      <c r="ACA14" s="2"/>
      <c r="ACB14" s="2"/>
      <c r="ACC14" s="2"/>
      <c r="ACD14" s="2"/>
      <c r="ACE14" s="2"/>
      <c r="ACF14" s="2"/>
      <c r="ACG14" s="2"/>
      <c r="ACH14" s="2"/>
      <c r="ACI14" s="2"/>
      <c r="ACJ14" s="2"/>
      <c r="ACK14" s="2"/>
      <c r="ACL14" s="2"/>
      <c r="ACM14" s="2"/>
      <c r="ACN14" s="2"/>
      <c r="ACO14" s="2"/>
      <c r="ACP14" s="2"/>
      <c r="ACQ14" s="2"/>
      <c r="ACR14" s="2"/>
      <c r="ACS14" s="2"/>
      <c r="ACT14" s="2"/>
      <c r="ACU14" s="2"/>
      <c r="ACV14" s="2"/>
      <c r="ACW14" s="2"/>
      <c r="ACX14" s="2"/>
      <c r="ACY14" s="2"/>
      <c r="ACZ14" s="2"/>
      <c r="ADA14" s="2"/>
      <c r="ADB14" s="2"/>
      <c r="ADC14" s="2"/>
      <c r="ADD14" s="2"/>
      <c r="ADE14" s="2"/>
      <c r="ADF14" s="2"/>
      <c r="ADG14" s="2"/>
      <c r="ADH14" s="2"/>
      <c r="ADI14" s="2"/>
      <c r="ADJ14" s="2"/>
      <c r="ADK14" s="2"/>
      <c r="ADL14" s="2"/>
      <c r="ADM14" s="2"/>
      <c r="ADN14" s="2"/>
      <c r="ADO14" s="2"/>
      <c r="ADP14" s="2"/>
      <c r="ADQ14" s="2"/>
      <c r="ADR14" s="2"/>
      <c r="ADS14" s="2"/>
      <c r="ADT14" s="2"/>
      <c r="ADU14" s="2"/>
      <c r="ADV14" s="2"/>
      <c r="ADW14" s="2"/>
      <c r="ADX14" s="2"/>
      <c r="ADY14" s="2"/>
      <c r="ADZ14" s="2"/>
      <c r="AEA14" s="2"/>
      <c r="AEB14" s="2"/>
      <c r="AEC14" s="2"/>
      <c r="AED14" s="2"/>
      <c r="AEE14" s="2"/>
      <c r="AEF14" s="2"/>
      <c r="AEG14" s="2"/>
      <c r="AEH14" s="2"/>
      <c r="AEI14" s="2"/>
      <c r="AEJ14" s="2"/>
      <c r="AEK14" s="2"/>
      <c r="AEL14" s="2"/>
      <c r="AEM14" s="2"/>
      <c r="AEN14" s="2"/>
      <c r="AEO14" s="2"/>
      <c r="AEP14" s="2"/>
      <c r="AEQ14" s="2"/>
      <c r="AER14" s="2"/>
      <c r="AES14" s="2"/>
      <c r="AET14" s="2"/>
      <c r="AEU14" s="2"/>
      <c r="AEV14" s="2"/>
      <c r="AEW14" s="2"/>
      <c r="AEX14" s="2"/>
      <c r="AEY14" s="2"/>
      <c r="AEZ14" s="2"/>
      <c r="AFA14" s="2"/>
      <c r="AFB14" s="2"/>
      <c r="AFC14" s="2"/>
      <c r="AFD14" s="2"/>
      <c r="AFE14" s="2"/>
      <c r="AFF14" s="2"/>
      <c r="AFG14" s="2"/>
      <c r="AFH14" s="2"/>
      <c r="AFI14" s="2"/>
      <c r="AFJ14" s="2"/>
      <c r="AFK14" s="2"/>
      <c r="AFL14" s="2"/>
      <c r="AFM14" s="2"/>
      <c r="AFN14" s="2"/>
      <c r="AFO14" s="2"/>
      <c r="AFP14" s="2"/>
      <c r="AFQ14" s="2"/>
      <c r="AFR14" s="2"/>
      <c r="AFS14" s="2"/>
      <c r="AFT14" s="2"/>
      <c r="AFU14" s="2"/>
      <c r="AFV14" s="2"/>
      <c r="AFW14" s="2"/>
      <c r="AFX14" s="2"/>
      <c r="AFY14" s="2"/>
      <c r="AFZ14" s="2"/>
      <c r="AGA14" s="2"/>
      <c r="AGB14" s="2"/>
      <c r="AGC14" s="2"/>
      <c r="AGD14" s="2"/>
      <c r="AGE14" s="2"/>
      <c r="AGF14" s="2"/>
      <c r="AGG14" s="2"/>
      <c r="AGH14" s="2"/>
      <c r="AGI14" s="2"/>
      <c r="AGJ14" s="2"/>
      <c r="AGK14" s="2"/>
      <c r="AGL14" s="2"/>
      <c r="AGM14" s="2"/>
      <c r="AGN14" s="2"/>
      <c r="AGO14" s="2"/>
      <c r="AGP14" s="2"/>
      <c r="AGQ14" s="2"/>
      <c r="AGR14" s="2"/>
      <c r="AGS14" s="2"/>
      <c r="AGT14" s="2"/>
      <c r="AGU14" s="2"/>
      <c r="AGV14" s="2"/>
      <c r="AGW14" s="2"/>
      <c r="AGX14" s="2"/>
      <c r="AGY14" s="2"/>
      <c r="AGZ14" s="2"/>
      <c r="AHA14" s="2"/>
      <c r="AHB14" s="2"/>
      <c r="AHC14" s="2"/>
      <c r="AHD14" s="2"/>
      <c r="AHE14" s="2"/>
      <c r="AHF14" s="2"/>
      <c r="AHG14" s="2"/>
      <c r="AHH14" s="2"/>
      <c r="AHI14" s="2"/>
      <c r="AHJ14" s="2"/>
      <c r="AHK14" s="2"/>
      <c r="AHL14" s="2"/>
      <c r="AHM14" s="2"/>
      <c r="AHN14" s="2"/>
      <c r="AHO14" s="2"/>
      <c r="AHP14" s="2"/>
      <c r="AHQ14" s="2"/>
      <c r="AHR14" s="2"/>
      <c r="AHS14" s="2"/>
      <c r="AHT14" s="2"/>
      <c r="AHU14" s="2"/>
      <c r="AHV14" s="2"/>
      <c r="AHW14" s="2"/>
      <c r="AHX14" s="2"/>
      <c r="AHY14" s="2"/>
      <c r="AHZ14" s="2"/>
      <c r="AIA14" s="2"/>
      <c r="AIB14" s="2"/>
      <c r="AIC14" s="2"/>
      <c r="AID14" s="2"/>
      <c r="AIE14" s="2"/>
      <c r="AIF14" s="2"/>
      <c r="AIG14" s="2"/>
      <c r="AIH14" s="2"/>
      <c r="AII14" s="2"/>
      <c r="AIJ14" s="2"/>
      <c r="AIK14" s="2"/>
      <c r="AIL14" s="2"/>
      <c r="AIM14" s="2"/>
      <c r="AIN14" s="2"/>
      <c r="AIO14" s="2"/>
      <c r="AIP14" s="2"/>
      <c r="AIQ14" s="2"/>
      <c r="AIR14" s="2"/>
      <c r="AIS14" s="2"/>
      <c r="AIT14" s="2"/>
      <c r="AIU14" s="2"/>
      <c r="AIV14" s="2"/>
      <c r="AIW14" s="2"/>
      <c r="AIX14" s="2"/>
      <c r="AIY14" s="2"/>
      <c r="AIZ14" s="2"/>
      <c r="AJA14" s="2"/>
      <c r="AJB14" s="2"/>
      <c r="AJC14" s="2"/>
      <c r="AJD14" s="2"/>
      <c r="AJE14" s="2"/>
      <c r="AJF14" s="2"/>
      <c r="AJG14" s="2"/>
      <c r="AJH14" s="2"/>
      <c r="AJI14" s="2"/>
      <c r="AJJ14" s="2"/>
      <c r="AJK14" s="2"/>
      <c r="AJL14" s="2"/>
      <c r="AJM14" s="2"/>
      <c r="AJN14" s="2"/>
      <c r="AJO14" s="2"/>
      <c r="AJP14" s="2"/>
      <c r="AJQ14" s="2"/>
      <c r="AJR14" s="2"/>
      <c r="AJS14" s="2"/>
      <c r="AJT14" s="2"/>
      <c r="AJU14" s="2"/>
      <c r="AJV14" s="2"/>
      <c r="AJW14" s="2"/>
      <c r="AJX14" s="2"/>
      <c r="AJY14" s="2"/>
      <c r="AJZ14" s="2"/>
      <c r="AKA14" s="2"/>
      <c r="AKB14" s="2"/>
      <c r="AKC14" s="2"/>
      <c r="AKD14" s="2"/>
      <c r="AKE14" s="2"/>
      <c r="AKF14" s="2"/>
      <c r="AKG14" s="2"/>
      <c r="AKH14" s="2"/>
      <c r="AKI14" s="2"/>
      <c r="AKJ14" s="2"/>
      <c r="AKK14" s="2"/>
      <c r="AKL14" s="2"/>
      <c r="AKM14" s="2"/>
      <c r="AKN14" s="2"/>
      <c r="AKO14" s="2"/>
      <c r="AKP14" s="2"/>
      <c r="AKQ14" s="2"/>
      <c r="AKR14" s="2"/>
      <c r="AKS14" s="2"/>
      <c r="AKT14" s="2"/>
      <c r="AKU14" s="2"/>
      <c r="AKV14" s="2"/>
      <c r="AKW14" s="2"/>
      <c r="AKX14" s="2"/>
      <c r="AKY14" s="2"/>
      <c r="AKZ14" s="2"/>
      <c r="ALA14" s="2"/>
      <c r="ALB14" s="2"/>
      <c r="ALC14" s="2"/>
      <c r="ALD14" s="2"/>
      <c r="ALE14" s="2"/>
      <c r="ALF14" s="2"/>
      <c r="ALG14" s="2"/>
      <c r="ALH14" s="2"/>
      <c r="ALI14" s="2"/>
      <c r="ALJ14" s="2"/>
      <c r="ALK14" s="2"/>
      <c r="ALL14" s="2"/>
      <c r="ALM14" s="2"/>
      <c r="ALN14" s="2"/>
      <c r="ALO14" s="2"/>
      <c r="ALP14" s="2"/>
      <c r="ALQ14" s="2"/>
      <c r="ALR14" s="2"/>
      <c r="ALS14" s="2"/>
      <c r="ALT14" s="2"/>
      <c r="ALU14" s="2"/>
      <c r="ALV14" s="2"/>
      <c r="ALW14" s="2"/>
      <c r="ALX14" s="2"/>
      <c r="ALY14" s="2"/>
      <c r="ALZ14" s="2"/>
      <c r="AMA14" s="2"/>
      <c r="AMB14" s="2"/>
      <c r="AMC14" s="2"/>
      <c r="AMD14" s="2"/>
      <c r="AME14" s="2"/>
      <c r="AMF14" s="2"/>
      <c r="AMG14" s="2"/>
      <c r="AMH14" s="2"/>
      <c r="AMI14" s="2"/>
      <c r="AMJ14" s="2"/>
    </row>
    <row r="15" spans="1:1024" ht="26.25" customHeight="1" thickBot="1" x14ac:dyDescent="0.25">
      <c r="A15" s="117" t="s">
        <v>75</v>
      </c>
      <c r="B15" s="117"/>
      <c r="C15" s="117"/>
      <c r="D15" s="117"/>
      <c r="E15" s="117"/>
      <c r="F15" s="117"/>
      <c r="G15" s="117"/>
      <c r="H15" s="117"/>
      <c r="I15" s="117"/>
      <c r="J15" s="118">
        <f>+J12*K12</f>
        <v>36050000</v>
      </c>
      <c r="K15" s="118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5:I15"/>
    <mergeCell ref="J15:K15"/>
    <mergeCell ref="C12:G12"/>
    <mergeCell ref="C13:G13"/>
    <mergeCell ref="C14:G14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85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abSelected="1" zoomScale="130" zoomScaleNormal="130" workbookViewId="0">
      <selection sqref="A1:C1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12" customWidth="1"/>
    <col min="8" max="11" width="4.42578125" customWidth="1"/>
    <col min="12" max="12" width="5.42578125" customWidth="1"/>
    <col min="13" max="14" width="4.42578125" customWidth="1"/>
    <col min="15" max="16" width="14.85546875" customWidth="1"/>
    <col min="17" max="17" width="15.28515625" bestFit="1" customWidth="1"/>
  </cols>
  <sheetData>
    <row r="1" spans="1:17" ht="15.75" customHeight="1" x14ac:dyDescent="0.25">
      <c r="A1" s="154" t="s">
        <v>3</v>
      </c>
      <c r="B1" s="154"/>
      <c r="C1" s="154"/>
      <c r="D1" s="155">
        <f>'Necesidades Trimestrales'!C6</f>
        <v>2020</v>
      </c>
      <c r="E1" s="155"/>
      <c r="F1" s="13"/>
      <c r="G1" s="13"/>
      <c r="H1" s="14"/>
      <c r="I1" s="14"/>
      <c r="J1" s="14"/>
      <c r="K1" s="14"/>
      <c r="L1" s="14"/>
      <c r="M1" s="14"/>
      <c r="N1" s="14"/>
      <c r="P1" s="156" t="s">
        <v>32</v>
      </c>
      <c r="Q1" s="156"/>
    </row>
    <row r="2" spans="1:17" ht="15.75" customHeight="1" x14ac:dyDescent="0.2">
      <c r="H2" s="14"/>
      <c r="I2" s="14"/>
      <c r="J2" s="14"/>
      <c r="K2" s="14"/>
      <c r="L2" s="14"/>
      <c r="M2" s="14"/>
      <c r="N2" s="14"/>
      <c r="P2" s="156"/>
      <c r="Q2" s="156"/>
    </row>
    <row r="4" spans="1:17" s="15" customFormat="1" ht="18" customHeight="1" thickBot="1" x14ac:dyDescent="0.25">
      <c r="A4" s="157" t="s">
        <v>33</v>
      </c>
      <c r="B4" s="157"/>
      <c r="C4" s="157"/>
      <c r="D4" s="157"/>
      <c r="E4" s="157"/>
      <c r="F4" s="157"/>
      <c r="G4" s="152" t="str">
        <f>' NotaPedido'!D3</f>
        <v>45- Ministerio de Desarrollo Social y Deporte.-</v>
      </c>
      <c r="H4" s="152"/>
      <c r="I4" s="152"/>
      <c r="J4" s="152"/>
      <c r="K4" s="152"/>
      <c r="L4" s="152"/>
      <c r="M4" s="152"/>
      <c r="N4" s="152"/>
      <c r="O4" s="152"/>
      <c r="P4" s="152"/>
      <c r="Q4" s="152"/>
    </row>
    <row r="5" spans="1:17" s="15" customFormat="1" ht="18" customHeight="1" thickBot="1" x14ac:dyDescent="0.25">
      <c r="A5" s="149" t="s">
        <v>56</v>
      </c>
      <c r="B5" s="150"/>
      <c r="C5" s="150"/>
      <c r="D5" s="150"/>
      <c r="E5" s="150"/>
      <c r="F5" s="151"/>
      <c r="G5" s="152" t="str">
        <f>' NotaPedido'!D4</f>
        <v>25- Direccion Provincial de Gestion Administracion y RRHH</v>
      </c>
      <c r="H5" s="152"/>
      <c r="I5" s="152"/>
      <c r="J5" s="152"/>
      <c r="K5" s="152"/>
      <c r="L5" s="152"/>
      <c r="M5" s="152"/>
      <c r="N5" s="152"/>
      <c r="O5" s="152"/>
      <c r="P5" s="152"/>
      <c r="Q5" s="152"/>
    </row>
    <row r="6" spans="1:17" s="15" customFormat="1" ht="18" customHeight="1" thickBot="1" x14ac:dyDescent="0.25">
      <c r="A6" s="149" t="s">
        <v>34</v>
      </c>
      <c r="B6" s="150"/>
      <c r="C6" s="150"/>
      <c r="D6" s="150"/>
      <c r="E6" s="150"/>
      <c r="F6" s="151"/>
      <c r="G6" s="152" t="s">
        <v>71</v>
      </c>
      <c r="H6" s="152"/>
      <c r="I6" s="152"/>
      <c r="J6" s="152"/>
      <c r="K6" s="152"/>
      <c r="L6" s="152"/>
      <c r="M6" s="152"/>
      <c r="N6" s="152"/>
      <c r="O6" s="152"/>
      <c r="P6" s="152"/>
      <c r="Q6" s="152"/>
    </row>
    <row r="7" spans="1:17" s="15" customFormat="1" ht="18" customHeight="1" thickBot="1" x14ac:dyDescent="0.25">
      <c r="A7" s="149" t="s">
        <v>57</v>
      </c>
      <c r="B7" s="150"/>
      <c r="C7" s="150"/>
      <c r="D7" s="150"/>
      <c r="E7" s="150"/>
      <c r="F7" s="151"/>
      <c r="G7" s="152" t="s">
        <v>73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</row>
    <row r="8" spans="1:17" ht="18" customHeight="1" thickBot="1" x14ac:dyDescent="0.25">
      <c r="A8" s="153" t="s">
        <v>35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</row>
    <row r="9" spans="1:17" ht="18" customHeight="1" x14ac:dyDescent="0.2">
      <c r="A9" s="143" t="s">
        <v>36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"/>
      <c r="P9" s="1"/>
      <c r="Q9" s="16"/>
    </row>
    <row r="10" spans="1:17" ht="54.75" customHeight="1" x14ac:dyDescent="0.2">
      <c r="A10" s="14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305/20,  afectando la erogación resultante a los créditos presupuestarios aprobados a favor de esta Unidad Ejecutora, conforme al siguiente detalle:</v>
      </c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</row>
    <row r="11" spans="1:17" ht="9" customHeight="1" x14ac:dyDescent="0.2">
      <c r="A11" s="17"/>
      <c r="B11" s="18"/>
      <c r="C11" s="18"/>
      <c r="D11" s="18"/>
      <c r="E11" s="18"/>
      <c r="F11" s="18"/>
      <c r="G11" s="19"/>
      <c r="H11" s="18"/>
      <c r="I11" s="18"/>
      <c r="J11" s="18"/>
      <c r="K11" s="18"/>
      <c r="L11" s="18"/>
      <c r="M11" s="18"/>
      <c r="N11" s="18"/>
      <c r="O11" s="18"/>
      <c r="P11" s="18"/>
      <c r="Q11" s="20"/>
    </row>
    <row r="12" spans="1:17" ht="15.75" customHeight="1" x14ac:dyDescent="0.2">
      <c r="A12" s="145" t="s">
        <v>37</v>
      </c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</row>
    <row r="13" spans="1:17" ht="15.75" customHeight="1" x14ac:dyDescent="0.2">
      <c r="A13" s="146" t="s">
        <v>38</v>
      </c>
      <c r="B13" s="146"/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7" t="s">
        <v>39</v>
      </c>
      <c r="P13" s="147"/>
      <c r="Q13" s="148" t="s">
        <v>40</v>
      </c>
    </row>
    <row r="14" spans="1:17" ht="15.75" customHeight="1" x14ac:dyDescent="0.2">
      <c r="A14" s="21" t="s">
        <v>41</v>
      </c>
      <c r="B14" s="22" t="s">
        <v>42</v>
      </c>
      <c r="C14" s="22" t="s">
        <v>43</v>
      </c>
      <c r="D14" s="22" t="s">
        <v>44</v>
      </c>
      <c r="E14" s="22" t="s">
        <v>45</v>
      </c>
      <c r="F14" s="22" t="s">
        <v>46</v>
      </c>
      <c r="G14" s="23" t="s">
        <v>47</v>
      </c>
      <c r="H14" s="22" t="s">
        <v>48</v>
      </c>
      <c r="I14" s="22" t="s">
        <v>49</v>
      </c>
      <c r="J14" s="22" t="s">
        <v>50</v>
      </c>
      <c r="K14" s="22" t="s">
        <v>50</v>
      </c>
      <c r="L14" s="22" t="s">
        <v>51</v>
      </c>
      <c r="M14" s="24" t="s">
        <v>52</v>
      </c>
      <c r="N14" s="25" t="s">
        <v>53</v>
      </c>
      <c r="O14" s="147"/>
      <c r="P14" s="147"/>
      <c r="Q14" s="148"/>
    </row>
    <row r="15" spans="1:17" ht="17.25" customHeight="1" x14ac:dyDescent="0.2">
      <c r="A15" s="81">
        <v>16</v>
      </c>
      <c r="B15" s="82"/>
      <c r="C15" s="82"/>
      <c r="D15" s="82">
        <v>2</v>
      </c>
      <c r="E15" s="82"/>
      <c r="F15" s="82">
        <v>4901</v>
      </c>
      <c r="G15" s="82">
        <v>1</v>
      </c>
      <c r="H15" s="82">
        <v>4</v>
      </c>
      <c r="I15" s="106" t="str">
        <f>LEFT('[1]Necesidades Trimestrales'!D10,1)</f>
        <v>2</v>
      </c>
      <c r="J15" s="106">
        <v>1</v>
      </c>
      <c r="K15" s="106">
        <v>1</v>
      </c>
      <c r="L15" s="82"/>
      <c r="M15" s="83">
        <v>1</v>
      </c>
      <c r="N15" s="82">
        <v>1.1000000000000001</v>
      </c>
      <c r="O15" s="140" t="s">
        <v>59</v>
      </c>
      <c r="P15" s="141"/>
      <c r="Q15" s="84">
        <v>36050000</v>
      </c>
    </row>
    <row r="16" spans="1:17" ht="17.25" customHeight="1" x14ac:dyDescent="0.2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7"/>
      <c r="O16" s="142"/>
      <c r="P16" s="142"/>
      <c r="Q16" s="80"/>
    </row>
    <row r="17" spans="1:18" ht="17.25" customHeight="1" x14ac:dyDescent="0.2">
      <c r="A17" s="26"/>
      <c r="B17" s="27"/>
      <c r="C17" s="27"/>
      <c r="D17" s="27"/>
      <c r="E17" s="27"/>
      <c r="F17" s="29"/>
      <c r="G17" s="27"/>
      <c r="H17" s="27"/>
      <c r="I17" s="27"/>
      <c r="J17" s="27"/>
      <c r="K17" s="27"/>
      <c r="L17" s="27"/>
      <c r="M17" s="28"/>
      <c r="N17" s="29"/>
      <c r="O17" s="134"/>
      <c r="P17" s="134"/>
      <c r="Q17" s="30"/>
    </row>
    <row r="18" spans="1:18" ht="17.25" customHeight="1" x14ac:dyDescent="0.2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9"/>
      <c r="O18" s="134"/>
      <c r="P18" s="134"/>
      <c r="Q18" s="30"/>
    </row>
    <row r="19" spans="1:18" ht="17.25" customHeight="1" x14ac:dyDescent="0.2">
      <c r="A19" s="26"/>
      <c r="B19" s="27"/>
      <c r="C19" s="27"/>
      <c r="D19" s="27"/>
      <c r="E19" s="27"/>
      <c r="F19" s="29"/>
      <c r="G19" s="27"/>
      <c r="H19" s="27"/>
      <c r="I19" s="27"/>
      <c r="J19" s="27"/>
      <c r="K19" s="27"/>
      <c r="L19" s="27"/>
      <c r="M19" s="28"/>
      <c r="N19" s="29"/>
      <c r="O19" s="134"/>
      <c r="P19" s="134"/>
      <c r="Q19" s="30"/>
    </row>
    <row r="20" spans="1:18" ht="17.25" customHeight="1" x14ac:dyDescent="0.2">
      <c r="A20" s="26"/>
      <c r="B20" s="27"/>
      <c r="C20" s="27"/>
      <c r="D20" s="27"/>
      <c r="E20" s="27"/>
      <c r="F20" s="29"/>
      <c r="G20" s="27"/>
      <c r="H20" s="27"/>
      <c r="I20" s="27"/>
      <c r="J20" s="27"/>
      <c r="K20" s="27"/>
      <c r="L20" s="27"/>
      <c r="M20" s="28"/>
      <c r="N20" s="29"/>
      <c r="O20" s="134"/>
      <c r="P20" s="134"/>
      <c r="Q20" s="30"/>
    </row>
    <row r="21" spans="1:18" ht="17.25" customHeight="1" x14ac:dyDescent="0.2">
      <c r="A21" s="31"/>
      <c r="B21" s="32"/>
      <c r="C21" s="32"/>
      <c r="D21" s="32"/>
      <c r="E21" s="32"/>
      <c r="F21" s="33"/>
      <c r="G21" s="32"/>
      <c r="H21" s="32"/>
      <c r="I21" s="32"/>
      <c r="J21" s="32"/>
      <c r="K21" s="32"/>
      <c r="L21" s="32"/>
      <c r="M21" s="34"/>
      <c r="N21" s="35"/>
      <c r="O21" s="135"/>
      <c r="P21" s="135"/>
      <c r="Q21" s="30"/>
      <c r="R21" s="1"/>
    </row>
    <row r="22" spans="1:18" ht="17.25" customHeight="1" x14ac:dyDescent="0.2">
      <c r="A22" s="36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8"/>
      <c r="N22" s="37"/>
      <c r="O22" s="136"/>
      <c r="P22" s="136"/>
      <c r="Q22" s="39"/>
    </row>
    <row r="23" spans="1:18" ht="32.25" customHeight="1" x14ac:dyDescent="0.2">
      <c r="A23" s="137" t="s">
        <v>76</v>
      </c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40">
        <f>SUM(Q15:Q22)</f>
        <v>36050000</v>
      </c>
    </row>
    <row r="24" spans="1:18" ht="18" customHeight="1" thickBot="1" x14ac:dyDescent="0.25">
      <c r="A24" s="139"/>
      <c r="B24" s="139"/>
      <c r="C24" s="139"/>
      <c r="D24" s="139"/>
      <c r="E24" s="139"/>
      <c r="F24" s="139"/>
      <c r="G24" s="139"/>
      <c r="H24" s="139"/>
      <c r="I24" s="139"/>
      <c r="J24" s="139"/>
      <c r="K24" s="139"/>
      <c r="L24" s="139"/>
      <c r="M24" s="139"/>
      <c r="N24" s="139"/>
      <c r="O24" s="139"/>
      <c r="P24" s="139"/>
      <c r="Q24" s="139"/>
    </row>
    <row r="25" spans="1:18" ht="17.25" customHeight="1" thickBot="1" x14ac:dyDescent="0.25">
      <c r="A25" s="129" t="s">
        <v>54</v>
      </c>
      <c r="B25" s="130"/>
      <c r="C25" s="130"/>
      <c r="D25" s="130"/>
      <c r="E25" s="130"/>
      <c r="F25" s="131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</row>
    <row r="26" spans="1:18" ht="18" customHeight="1" thickBot="1" x14ac:dyDescent="0.25">
      <c r="A26" s="133" t="s">
        <v>77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</row>
    <row r="27" spans="1:18" ht="15" customHeight="1" x14ac:dyDescent="0.2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SILVINA ATENCIO</cp:lastModifiedBy>
  <cp:revision>2</cp:revision>
  <cp:lastPrinted>2020-08-11T14:41:53Z</cp:lastPrinted>
  <dcterms:created xsi:type="dcterms:W3CDTF">2020-07-17T23:44:49Z</dcterms:created>
  <dcterms:modified xsi:type="dcterms:W3CDTF">2021-08-17T16:30:57Z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