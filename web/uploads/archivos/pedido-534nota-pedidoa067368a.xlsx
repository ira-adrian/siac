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defaultThemeVersion="124226"/>
  <mc:AlternateContent xmlns:mc="http://schemas.openxmlformats.org/markup-compatibility/2006">
    <mc:Choice Requires="x15">
      <x15ac:absPath xmlns:x15ac="http://schemas.microsoft.com/office/spreadsheetml/2010/11/ac" url="C:\Users\ELIAS QUINTAR\Downloads\"/>
    </mc:Choice>
  </mc:AlternateContent>
  <xr:revisionPtr revIDLastSave="0" documentId="8_{40B7B7CC-6855-4A25-9778-A877C371DA0D}"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1" r:id="rId1"/>
  </sheets>
  <definedNames>
    <definedName name="_xlnm.Print_Area" localSheetId="0">'Necesidades Trimestrales'!$A$2:$M$110</definedName>
  </definedNames>
  <calcPr calcId="181029"/>
</workbook>
</file>

<file path=xl/calcChain.xml><?xml version="1.0" encoding="utf-8"?>
<calcChain xmlns="http://schemas.openxmlformats.org/spreadsheetml/2006/main">
  <c r="I18" i="1" l="1"/>
  <c r="I17" i="1"/>
  <c r="I16" i="1"/>
  <c r="I11" i="1" l="1"/>
  <c r="I12" i="1"/>
  <c r="I13" i="1"/>
  <c r="I14" i="1"/>
  <c r="I15" i="1"/>
  <c r="D15" i="1"/>
  <c r="D11" i="1"/>
  <c r="D12" i="1"/>
  <c r="D13" i="1"/>
  <c r="D14" i="1"/>
  <c r="I10" i="1" l="1"/>
  <c r="I19" i="1" s="1"/>
  <c r="D10" i="1"/>
</calcChain>
</file>

<file path=xl/sharedStrings.xml><?xml version="1.0" encoding="utf-8"?>
<sst xmlns="http://schemas.openxmlformats.org/spreadsheetml/2006/main" count="140" uniqueCount="55">
  <si>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</si>
  <si>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</si>
  <si>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</si>
  <si>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</si>
  <si>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</si>
  <si>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</si>
  <si>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</si>
  <si>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</si>
  <si>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</si>
  <si>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</si>
  <si>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</si>
  <si>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</si>
  <si>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</si>
  <si>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</si>
  <si>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Descripción técnica</t>
  </si>
  <si>
    <t>Plazos y lugares de entrega</t>
  </si>
  <si>
    <t>Calidad Minima esperada</t>
  </si>
  <si>
    <t>Mantenimiento</t>
  </si>
  <si>
    <t>Garantia</t>
  </si>
  <si>
    <t>65- Ministerio de Agua, Energía y Medio Ambiente</t>
  </si>
  <si>
    <t>31-Ministerio de Agua, Energía y Medio Ambiente</t>
  </si>
  <si>
    <t>2.5.1-9004.1212</t>
  </si>
  <si>
    <t>SALES; COMPUESTO QUIMICO: HIPOCLORITO DE SODIO, ESTADO: LIQUIDO, CALIDAD: COMERCIAL, CONCENTRACION/PUREZA: 100 GR/L DE CLORO ACTIVO (DENOMINADO AL 10%), PRESENTACION: A GRANEL</t>
  </si>
  <si>
    <t>QUIMICOS</t>
  </si>
  <si>
    <r>
      <t>Se estima un plazo de entrega según necesidad de utilización de acuerdo al siguiente detalle: seis (6) entregas en cada una de las ubicaciónes geograficas, donde la primera entrega deberá efectuarse dentro de los cinco (5) dias habiles de suscripto el contrato y,  segunda, tercera, cuarta, quinta y sexta entrega se estima solicitar provisión dentro de los 30, 60, 90, 120 y 150 días respectivamente contados a partir de la suscripcion del contrato.</t>
    </r>
    <r>
      <rPr>
        <b/>
        <u/>
        <sz val="10"/>
        <rFont val="Times New Roman"/>
        <family val="1"/>
      </rPr>
      <t xml:space="preserve"> Detalle Estimado de Cantidades y Lugar de Entrega:</t>
    </r>
    <r>
      <rPr>
        <sz val="10"/>
        <rFont val="Times New Roman"/>
        <family val="1"/>
      </rPr>
      <t xml:space="preserve"> Plantas Potabilizadoras de cada una de las siguientes Localidades : 1000 Litros en Planta Potabilizadora Fiambalá- Departamento Tinogasta; 7000 litros en Planta Potabilizadora del Departamento Tinogasta; 12000 litros en Planta Potabilizadora del Departamento Belen y 5000 litros en Planta Potabilizadora Localidad de  Londres- Departamento Belen- Total: 25000 litros por entrega. En Planta Potabilizadora del Departamento Andalgalá se estiman cuatro (4) entregas de 25000 litros  cada una, donde la primera entrega se deberá efectuar a los cinco (5) dias hábiles de suscripto el contrato, y la segunda, tercera y cuarta entrega se estima solicitar provisión dentro de los 30, 90 y 120 dias respectivamente contados a partir de la suscripcion del contrato.  VER CUADRO ANEXO CANTIDAD Y  LUGARES DE ENTREGA</t>
    </r>
  </si>
  <si>
    <t>Especificidades Item N° 1:</t>
  </si>
  <si>
    <t>Especificidades Item N° 2:</t>
  </si>
  <si>
    <t>Especificidades Item N° 3:</t>
  </si>
  <si>
    <t xml:space="preserve">Especificidades Item N° 4: </t>
  </si>
  <si>
    <t>Especificidades Item N° 5:</t>
  </si>
  <si>
    <t>Especificidades Item N° 6:</t>
  </si>
  <si>
    <t>2.5.1-9041.38</t>
  </si>
  <si>
    <t>POLIMEROS; COMPUESTO QUIMICO: POLICLORURO DE ALUMINIO AL 18 %, ESTADO: LIQUIDO, PRESENTACION: A GRANEL</t>
  </si>
  <si>
    <t>2.5.1</t>
  </si>
  <si>
    <t>Según ANEXO II de especificaciones técnicas</t>
  </si>
  <si>
    <t>Especificidades Item N° 7:</t>
  </si>
  <si>
    <t>Especificidades Item N° 8:</t>
  </si>
  <si>
    <t>Especificidades Item N° 9:</t>
  </si>
  <si>
    <t>HIPOCLORITO DE SODIO AL 10% DE CLORO ACTIVO-Solución de Hipoclorito de Sodio con un contenido de 100 gramos de cloro activo por litro de solución, comercialmente denominado al 10% según normas ISO 9001 (Gestión y Gerenciamiento de sistemas de Calidad), ISO 14001 (Sistema de Gestión Ambiental) e OHSAS 18001 (Gestión de Salud Ocupacional,
Seguridad y Medio Ambiente) del producto. El producto solicitado deberá estar en estar en estado líquido. UNIDAD DE MEDIDA: LITRO- SE ADJUNTA ANEXO II DE ESPECIFICACIONES TÉCNICAS</t>
  </si>
  <si>
    <t>El producto solicitado deberá estar en estado líquido. Al momento de su evaluación de calidad, si el resultado de la concentración de cloro Activo fuere menor a 90 gr/lts., el proveedor deberá compensar en volumen de Hipoclorito de Sodio del faltante de acuerdo a los cálculos que efectuare el laboratorio y en un término de 15 días corridos. Los elementos como frascos-rotulos y lacre de sello serán responsabilidad del proveedor al momento de cada entrega</t>
  </si>
  <si>
    <t>LITROS</t>
  </si>
  <si>
    <t>El producto solicitado deberá estar en estado líquido. Si el resultado del muestreo no es satisfactorio al solicitado, el proveedor deberá compensar en volumen del faltante de acuerdo a los cálculos que efectuare el laboratorio y en un término de 15 días corridos.. Los elementos como frascos-rotulos y lacre de sello serán responsabilidad del proveedor al momento de cada entrega.</t>
  </si>
  <si>
    <t>TOTAL: PESOS CUARENTA Y DOS MILLONES TRESCIENTOS CINCUENTA Y CINCO MIL  CON 00/100</t>
  </si>
  <si>
    <r>
      <t>Se estima un plazo de entrega según necesidad de utilización de acuerdo al siguiente detalle:  seis (6) entregas parciales de 25000 litros cada una en un plazo de 160 días corridos, la primera entrega deberá efectuarse dentro de los cinco (5) dias hábiles contados a partir del perfecionamiento del contrato y las restantes cinco entregas se estima solicitar provisión dentro de los 30, 60, 90, 120 y 160 días corridos contados a partir del mencionado acto.</t>
    </r>
    <r>
      <rPr>
        <b/>
        <u/>
        <sz val="10"/>
        <rFont val="Times New Roman"/>
        <family val="1"/>
      </rPr>
      <t xml:space="preserve"> Lugar y plazo de entrega por solicitud de provisión:</t>
    </r>
    <r>
      <rPr>
        <sz val="10"/>
        <rFont val="Times New Roman"/>
        <family val="1"/>
      </rPr>
      <t xml:space="preserve"> dentro de los cinco (5) días hábiles en Deposito de Agua y Saneamiento sito en Av. Venezuela S/Nº predio CAPE. San F. del V. de Catamarca. SEGUN ANEXO I: CANTIDADES Y  DISTRIBUCIÓN GEOGRÁFICA DE ENTREGAS</t>
    </r>
  </si>
  <si>
    <r>
      <t xml:space="preserve">Se estima un plazo de entrega según necesidad de utilización de acuerdo al siguiente detalle: seis (6) entregas de 7000 litros cada una, donde la primera entrega deberá efectuarse dentro de los cinco (5) dias habiles de suscripto el contrato y,  segunda, tercera, cuarta, quinta y sexta entrega se estima solicitar provisión dentro de los 30, 60, 90, 120 y 160 días respectivamente contados a partir de la suscripcion del contrato.  </t>
    </r>
    <r>
      <rPr>
        <b/>
        <u/>
        <sz val="10"/>
        <rFont val="Times New Roman"/>
        <family val="1"/>
      </rPr>
      <t xml:space="preserve">Lugar y plazo de entrega por cada solicitud de provisión: </t>
    </r>
    <r>
      <rPr>
        <sz val="10"/>
        <rFont val="Times New Roman"/>
        <family val="1"/>
      </rPr>
      <t>dentro de los cinco (5) días hábiles en  Planta Potabilizadora del la Ciudad de Tinogasta- Departamento Tinogasta- SEGUN ANEXO I: CANTIDADES Y  DISTRIBUCIÓN GEOGRÁFICA DE ENTREGAS</t>
    </r>
  </si>
  <si>
    <r>
      <t xml:space="preserve">Se estima un plazo de entrega según necesidad de utilización de acuerdo al siguiente detalle: seis (6) entregas de 4000 litros cada una, donde la primera entrega deberá efectuarse dentro de los cinco (5) dias habiles de suscripto el contrato y,  segunda, tercera, cuarta, quinta y sexta entrega se estima solicitar provisión dentro de los 30, 60, 90, 120 y 160 días respectivamente contados a partir de la suscripcion del contrato. </t>
    </r>
    <r>
      <rPr>
        <b/>
        <u/>
        <sz val="10"/>
        <rFont val="Times New Roman"/>
        <family val="1"/>
      </rPr>
      <t>Lugar y plazo de entrega por cada solicitud de provisión:</t>
    </r>
    <r>
      <rPr>
        <sz val="10"/>
        <rFont val="Times New Roman"/>
        <family val="1"/>
      </rPr>
      <t xml:space="preserve"> dentro de los cinco (5) días hábiles en  Planta Potabilizadora Localidad de  Londres- Departamento Belen- SEGUN ANEXO I: CANTIDADES Y  DISTRIBUCIÓN GEOGRÁFICA DE ENTREGAS</t>
    </r>
  </si>
  <si>
    <r>
      <t>Se estima un plazo de entrega según necesidad de utilización de acuerdo al siguiente detalle: seis (6) entregas de 7000 litros cada una, donde la primera entrega deberá efectuarse dentro de los cinco (5) dias habiles de suscripto el contrato y,  segunda, tercera, cuarta, quinta y sexta entrega se estima solicitar provisión dentro de los 30, 60, 90, 120 y 160 días respectivamente contados a partir de la suscripcion del contrato.</t>
    </r>
    <r>
      <rPr>
        <b/>
        <u/>
        <sz val="10"/>
        <rFont val="Times New Roman"/>
        <family val="1"/>
      </rPr>
      <t xml:space="preserve">  Lugar y plazo de entrega por cada solicitud de provisión: </t>
    </r>
    <r>
      <rPr>
        <sz val="10"/>
        <rFont val="Times New Roman"/>
        <family val="1"/>
      </rPr>
      <t>dentro de los cinco (5) días hábiles en   Planta Potabilizadora de la Ciudad de Belén- Departamento Belén- SEGUN ANEXO I: CANTIDADES Y  DISTRIBUCIÓN GEOGRÁFICA DE ENTREGAS</t>
    </r>
  </si>
  <si>
    <r>
      <t xml:space="preserve">Según la necesidad de utilización se estiman cinco (5) entregas de 6000 litros cada una, donde la primera entrega deberá efectuarse dentro de los treinta (30) días hábiles de suscripto el contrato, y la segunda, tercera, cuarta y quinta entrega se estima solicitar provisión dentro de los 60, 90, 120 y 160 dias respectivamente contados a partir de la suscripcion del contrato. </t>
    </r>
    <r>
      <rPr>
        <b/>
        <u/>
        <sz val="10"/>
        <rFont val="Times New Roman"/>
        <family val="1"/>
      </rPr>
      <t xml:space="preserve"> Lugar y plazo de entrega por cada solicitud de provisión: </t>
    </r>
    <r>
      <rPr>
        <sz val="10"/>
        <rFont val="Times New Roman"/>
        <family val="1"/>
      </rPr>
      <t>dentro de los cinco (5) días hábiles en</t>
    </r>
    <r>
      <rPr>
        <b/>
        <u/>
        <sz val="10"/>
        <rFont val="Times New Roman"/>
        <family val="1"/>
      </rPr>
      <t xml:space="preserve"> </t>
    </r>
    <r>
      <rPr>
        <sz val="10"/>
        <rFont val="Times New Roman"/>
        <family val="1"/>
      </rPr>
      <t>Planta Potabilizadora de la Ciudad de Tinogasta- Departamento Tinogasta- SEGUN ANEXO I: CANTIDADES Y  DISTRIBUCIÓN GEOGRÁFICA DE ENTREGAS</t>
    </r>
  </si>
  <si>
    <r>
      <t>Según la necesidad de utilización Se estiman cinco (5) entregas de 2000 litros cada una, donde la primera entrega deberá efectuarse a los treinta (30) días hábiles de suscripto el contrato, y la segunda, tercera, cuarta y quinta entrega se estima solicitar provisión dentro de los 60, 90, 120 y 160 dias respectivamente contados a partir de la suscripcion del contrato .</t>
    </r>
    <r>
      <rPr>
        <b/>
        <u/>
        <sz val="10"/>
        <rFont val="Times New Roman"/>
        <family val="1"/>
      </rPr>
      <t xml:space="preserve">  Lugar y plazo de entrega por cada solicitud de provisión: </t>
    </r>
    <r>
      <rPr>
        <sz val="10"/>
        <rFont val="Times New Roman"/>
        <family val="1"/>
      </rPr>
      <t>dentro de los cinco (5) días hábiles en Planta Potabilizadora Localidad de  Londres- Departamento Belen- SEGUN ANEXO I: CANTIDADES Y  DISTRIBUCIÓN GEOGRÁFICA DE ENTREGAS</t>
    </r>
  </si>
  <si>
    <r>
      <t xml:space="preserve">Según la necesidad de utilización Se estiman cinco (5) entregas de 6000 litros cada una, donde la primera entrega deberá efectuarse a los treinta (30) días hábiles de suscripto el contrato, y la segunda, tercera, cuarta y quinta entrega se estima solicitar provisión dentro de los 60, 90, 120 y 160 dias respectivamente contados a partir de la suscripcion del contrato. </t>
    </r>
    <r>
      <rPr>
        <b/>
        <u/>
        <sz val="10"/>
        <rFont val="Times New Roman"/>
        <family val="1"/>
      </rPr>
      <t xml:space="preserve"> Lugar y plazo de entrega por cada solicitud de provisión: </t>
    </r>
    <r>
      <rPr>
        <sz val="10"/>
        <rFont val="Times New Roman"/>
        <family val="1"/>
      </rPr>
      <t>dentro de los cinco (5) días hábiles en  Planta Potabilizadora de la Ciudad de Belén- Departamento Belén- SEGUN ANEXO I: CANTIDADES Y  DISTRIBUCIÓN GEOGRÁFICA DE ENTREGAS</t>
    </r>
  </si>
  <si>
    <r>
      <t xml:space="preserve">Según la necesidad de utilización se estiman cinco (5) entregas de 6000 litros cada una, donde la primera entrega deberá efectuarse a los treinta (30) días hábiles de suscripto el contrato, y la segunda, tercera, cuarta y quinta entrega se estima solicitar provisión dentro de los 60, 90, 120 y 160 dias respectivamente contados a partir de la suscripcion del contrato </t>
    </r>
    <r>
      <rPr>
        <b/>
        <u/>
        <sz val="10"/>
        <rFont val="Times New Roman"/>
        <family val="1"/>
      </rPr>
      <t xml:space="preserve"> Lugar y plazo de entrega por cada solicitud de provisión: </t>
    </r>
    <r>
      <rPr>
        <sz val="10"/>
        <rFont val="Times New Roman"/>
        <family val="1"/>
      </rPr>
      <t>dentro de los cinco (5) días hábiles en Planta Potabilizadora de la Aguada - Departamento Andalgala.- SEGUN ANEXO I: CANTIDADES Y  DISTRIBUCIÓN GEOGRÁFICA DE ENTREGAS</t>
    </r>
  </si>
  <si>
    <r>
      <t xml:space="preserve">Policloruro De Aluminio al 18 % (Pac 18)- Óxido de Aluminio: 17 +/- 1% peso
ESTADO FÍSICO: Líquido
FAMILIA QUÍMICA: Sal inorgánica apariencia y color: Color ámbar claro – oscuro. OLOR: Ligeramente ácido pH: Ácido, desde 0 hasta 4 unidades de pH Solubilidad en agua: Completa Solubilidad en otros: Insoluble en solventes orgánicos comunes. Punto de ebullición: 110 – 120 °C. Punto de fusión y congelación: - 20 °C aproximadamente. Peso específico: 1.1 – 1.4 (a 20 °C). </t>
    </r>
    <r>
      <rPr>
        <b/>
        <sz val="10"/>
        <rFont val="Times New Roman"/>
        <family val="1"/>
      </rPr>
      <t>UNIDAD DE MEDIDA: LITRO- SE ADJUNTA ANEXO II DE ESPECIFICACIONES TÉCNICAS</t>
    </r>
  </si>
  <si>
    <r>
      <t>Policloruro De Aluminio al 18 % (Pac 18)- Óxido de Aluminio: 17 +/- 1% peso
ESTADO FÍSICO: Líquido
FAMILIA QUÍMICA: Sal inorgánica apariencia y color: Color ámbar claro – oscuro. OLOR: Ligeramente ácido pH: Ácido, desde 0 hasta 4 unidades de pH Solubilidad en agua: Completa Solubilidad en otros: Insoluble en solventes orgánicos comunes. Punto de ebullición: 110 – 120 °C. Punto de fusión y congelación: - 20 °C aproximadamente. Peso específico: 1.1 – 1.4 (a 20 °C).</t>
    </r>
    <r>
      <rPr>
        <b/>
        <sz val="10"/>
        <rFont val="Times New Roman"/>
        <family val="1"/>
      </rPr>
      <t>UNIDAD DE MEDIDA: LITRO- SE ADJUNTA ANEXO II DE ESPECIFICACIONES TÉCNICAS</t>
    </r>
  </si>
  <si>
    <r>
      <t>Policloruro De Aluminio al 18 % (Pac 18)- Óxido de Aluminio: 17 +/- 1% peso
ESTADO FÍSICO: Líquido
FAMILIA QUÍMICA: Sal inorgánica apariencia y color: Color ámbar claro – oscuro. OLOR: Ligeramente ácido pH: Ácido, desde 0 hasta 4 unidades de pH Solubilidad en agua: Completa Solubilidad en otros: Insoluble en solventes orgánicos comunes. Punto de ebullición: 110 – 120 °C. Punto de fusión y congelación: - 20 °C aproximadamente. Peso específico: 1.1 – 1.4 (a 20 °C).</t>
    </r>
    <r>
      <rPr>
        <b/>
        <sz val="10"/>
        <rFont val="Times New Roman"/>
        <family val="1"/>
      </rPr>
      <t xml:space="preserve"> UNIDAD DE MEDIDA: LITRO- SE ADJUNTA ANEXO II DE ESPECIFICACIONES TÉCNICAS</t>
    </r>
  </si>
  <si>
    <r>
      <t xml:space="preserve">Se estima un plazo de entrega según necesidad de utilización de acuerdo al siguiente detalle: seis (6) entregas de 7000 litros cada una, donde la primera entrega deberá efectuarse dentro de los cinco (5) dias habiles de suscripto el contrato y,  segunda, tercera, cuarta, quinta y sexta entrega se estima solicitar provisión dentro de los 30, 60, 90, 120 y 160 días respectivamente contados a partir de la suscripcion del contrato. </t>
    </r>
    <r>
      <rPr>
        <b/>
        <u/>
        <sz val="10"/>
        <rFont val="Times New Roman"/>
        <family val="1"/>
      </rPr>
      <t xml:space="preserve"> Lugar y plazo de entrega por cada solicitud de provisión: </t>
    </r>
    <r>
      <rPr>
        <sz val="10"/>
        <rFont val="Times New Roman"/>
        <family val="1"/>
      </rPr>
      <t>dentro de los cinco (5) días hábiles en</t>
    </r>
    <r>
      <rPr>
        <b/>
        <u/>
        <sz val="10"/>
        <rFont val="Times New Roman"/>
        <family val="1"/>
      </rPr>
      <t xml:space="preserve"> </t>
    </r>
    <r>
      <rPr>
        <sz val="10"/>
        <rFont val="Times New Roman"/>
        <family val="1"/>
      </rPr>
      <t xml:space="preserve"> Planta Potabilizadora de la Aguada - Departamento Andalgala.- SEGÚN ANEXO I: CANTIDADES Y  DISTRIBUCIÓN GEOGRÁFICA DE ENTREGAS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</si>
</sst>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quot; €&quot;_-;\-* #,##0.00&quot; €&quot;_-;_-* \-??&quot; €&quot;_-;_-@_-"/>
    <numFmt numFmtId="165" formatCode="[$$-2C0A]\ #,##0.00;[$$-2C0A]&quot; -&quot;#,##0.00"/>
    <numFmt numFmtId="166" formatCode="[$$-2C0A]\ #,##0.00"/>
  </numFmts>
  <fonts count="10"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sz val="10"/>
      <color rgb="FF000000"/>
      <name val="Times New Roman"/>
      <family val="1"/>
    </font>
    <font>
      <b/>
      <sz val="10"/>
      <color rgb="FF000000"/>
      <name val="Times New Roman"/>
      <family val="1"/>
    </font>
    <font>
      <u/>
      <sz val="10"/>
      <name val="Times New Roman"/>
      <family val="1"/>
    </font>
    <font>
      <b/>
      <u/>
      <sz val="10"/>
      <name val="Times New Roman"/>
      <family val="1"/>
    </font>
    <font>
      <b/>
      <sz val="10"/>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24">
    <border>
      <left/>
      <right/>
      <top/>
      <bottom/>
      <diagonal/>
    </border>
    <border>
      <left/>
      <right/>
      <top/>
      <bottom style="thick">
        <color rgb="FF33CCCC"/>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s>
  <cellStyleXfs count="4">
    <xf numFmtId="0" fontId="0" fillId="0" borderId="0"/>
    <xf numFmtId="164" fontId="3" fillId="0" borderId="0" applyBorder="0" applyProtection="0"/>
    <xf numFmtId="0" fontId="1" fillId="0" borderId="1" applyProtection="0"/>
    <xf numFmtId="0" fontId="2" fillId="2" borderId="0" applyBorder="0" applyProtection="0"/>
  </cellStyleXfs>
  <cellXfs count="64">
    <xf numFmtId="0" fontId="0" fillId="0" borderId="0" xfId="0"/>
    <xf numFmtId="0" fontId="4" fillId="0" borderId="0" xfId="0" applyFont="1"/>
    <xf numFmtId="0" fontId="4" fillId="0" borderId="0" xfId="0" applyFont="1" applyAlignment="1">
      <alignment vertical="top"/>
    </xf>
    <xf numFmtId="0" fontId="4" fillId="4" borderId="0" xfId="0" applyFont="1" applyFill="1"/>
    <xf numFmtId="0" fontId="5" fillId="4" borderId="0" xfId="0" applyFont="1" applyFill="1" applyAlignment="1">
      <alignment horizontal="left" wrapText="1"/>
    </xf>
    <xf numFmtId="0" fontId="5" fillId="4" borderId="0" xfId="0" applyFont="1" applyFill="1" applyAlignment="1">
      <alignment horizontal="center" wrapText="1"/>
    </xf>
    <xf numFmtId="0" fontId="6" fillId="4" borderId="0" xfId="0" applyFont="1" applyFill="1" applyAlignment="1">
      <alignment horizontal="left" wrapText="1"/>
    </xf>
    <xf numFmtId="0" fontId="6" fillId="4" borderId="16" xfId="0" applyFont="1" applyFill="1" applyBorder="1" applyAlignment="1">
      <alignment horizontal="center" vertical="center" wrapText="1"/>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5" fillId="4" borderId="3" xfId="0" applyFont="1" applyFill="1" applyBorder="1" applyAlignment="1">
      <alignment horizontal="center" wrapText="1"/>
    </xf>
    <xf numFmtId="0" fontId="4" fillId="4" borderId="8" xfId="0" applyFont="1" applyFill="1" applyBorder="1"/>
    <xf numFmtId="0" fontId="4" fillId="4" borderId="0" xfId="0" applyFont="1" applyFill="1" applyBorder="1"/>
    <xf numFmtId="0" fontId="4" fillId="4" borderId="9" xfId="0" applyFont="1" applyFill="1" applyBorder="1"/>
    <xf numFmtId="0" fontId="7" fillId="4" borderId="8" xfId="0" applyFont="1" applyFill="1" applyBorder="1" applyAlignment="1">
      <alignment horizontal="left" indent="3"/>
    </xf>
    <xf numFmtId="0" fontId="4" fillId="4" borderId="8" xfId="0" applyFont="1" applyFill="1" applyBorder="1" applyAlignment="1">
      <alignment horizontal="left" indent="3"/>
    </xf>
    <xf numFmtId="0" fontId="4" fillId="4" borderId="0" xfId="0" applyFont="1" applyFill="1" applyBorder="1" applyAlignment="1">
      <alignment horizontal="center" wrapText="1"/>
    </xf>
    <xf numFmtId="0" fontId="4" fillId="4" borderId="9" xfId="0" applyFont="1" applyFill="1" applyBorder="1" applyAlignment="1">
      <alignment horizontal="center" wrapText="1"/>
    </xf>
    <xf numFmtId="0" fontId="4" fillId="4" borderId="10" xfId="0" applyFont="1" applyFill="1" applyBorder="1" applyAlignment="1">
      <alignment horizontal="left" indent="3"/>
    </xf>
    <xf numFmtId="0" fontId="4" fillId="4" borderId="11" xfId="0" applyFont="1" applyFill="1" applyBorder="1"/>
    <xf numFmtId="0" fontId="4" fillId="4" borderId="12" xfId="0" applyFont="1" applyFill="1" applyBorder="1"/>
    <xf numFmtId="0" fontId="4" fillId="4" borderId="14" xfId="0" applyFont="1" applyFill="1" applyBorder="1" applyAlignment="1">
      <alignment vertical="top" wrapText="1"/>
    </xf>
    <xf numFmtId="0" fontId="4" fillId="4" borderId="0" xfId="0" applyFont="1" applyFill="1" applyAlignment="1">
      <alignment vertical="top" wrapText="1"/>
    </xf>
    <xf numFmtId="0" fontId="6" fillId="3" borderId="0" xfId="0" applyFont="1" applyFill="1" applyAlignment="1">
      <alignment horizontal="left" wrapText="1" indent="1"/>
    </xf>
    <xf numFmtId="0" fontId="4" fillId="4" borderId="13" xfId="0" applyFont="1" applyFill="1" applyBorder="1" applyAlignment="1">
      <alignment horizontal="center" vertical="top"/>
    </xf>
    <xf numFmtId="0" fontId="5" fillId="3" borderId="14" xfId="0" applyFont="1" applyFill="1" applyBorder="1" applyAlignment="1">
      <alignment horizontal="center" vertical="top" wrapText="1"/>
    </xf>
    <xf numFmtId="0" fontId="5" fillId="4" borderId="14" xfId="0" applyFont="1" applyFill="1" applyBorder="1" applyAlignment="1">
      <alignment horizontal="center" vertical="top" wrapText="1"/>
    </xf>
    <xf numFmtId="165" fontId="4" fillId="3" borderId="14" xfId="1" applyNumberFormat="1" applyFont="1" applyFill="1" applyBorder="1" applyAlignment="1" applyProtection="1">
      <alignment horizontal="right" vertical="top" wrapText="1"/>
    </xf>
    <xf numFmtId="165" fontId="4" fillId="3" borderId="15" xfId="1" applyNumberFormat="1" applyFont="1" applyFill="1" applyBorder="1" applyAlignment="1" applyProtection="1">
      <alignment horizontal="right" vertical="top" wrapText="1"/>
    </xf>
    <xf numFmtId="0" fontId="4" fillId="4" borderId="2" xfId="0" applyFont="1" applyFill="1" applyBorder="1" applyAlignment="1">
      <alignment horizontal="center" vertical="center"/>
    </xf>
    <xf numFmtId="0" fontId="5" fillId="4" borderId="3" xfId="0" applyFont="1" applyFill="1" applyBorder="1" applyAlignment="1">
      <alignment horizontal="center" vertical="center" wrapText="1"/>
    </xf>
    <xf numFmtId="0" fontId="5" fillId="4" borderId="3" xfId="0" applyFont="1" applyFill="1" applyBorder="1" applyAlignment="1">
      <alignment horizontal="left" vertical="center" wrapText="1"/>
    </xf>
    <xf numFmtId="165" fontId="6" fillId="4" borderId="4" xfId="0" applyNumberFormat="1" applyFont="1" applyFill="1" applyBorder="1" applyAlignment="1">
      <alignment horizontal="right" wrapText="1"/>
    </xf>
    <xf numFmtId="0" fontId="4" fillId="4" borderId="9" xfId="0" applyFont="1" applyFill="1" applyBorder="1" applyAlignment="1">
      <alignment horizontal="left"/>
    </xf>
    <xf numFmtId="0" fontId="4" fillId="3" borderId="0" xfId="0" applyFont="1" applyFill="1" applyBorder="1" applyAlignment="1">
      <alignment vertical="top" wrapText="1"/>
    </xf>
    <xf numFmtId="0" fontId="4" fillId="3" borderId="9" xfId="0" applyFont="1" applyFill="1" applyBorder="1" applyAlignment="1">
      <alignment vertical="top" wrapText="1"/>
    </xf>
    <xf numFmtId="0" fontId="4" fillId="4" borderId="8" xfId="0" applyFont="1" applyFill="1" applyBorder="1" applyAlignment="1"/>
    <xf numFmtId="0" fontId="4" fillId="4" borderId="19" xfId="0" applyFont="1" applyFill="1" applyBorder="1" applyAlignment="1">
      <alignment horizontal="center" vertical="center"/>
    </xf>
    <xf numFmtId="0" fontId="5" fillId="4" borderId="20" xfId="0" applyFont="1" applyFill="1" applyBorder="1" applyAlignment="1">
      <alignment horizontal="center" vertical="center" wrapText="1"/>
    </xf>
    <xf numFmtId="0" fontId="5" fillId="4" borderId="20" xfId="0" applyFont="1" applyFill="1" applyBorder="1" applyAlignment="1">
      <alignment horizontal="left" vertical="center" wrapText="1"/>
    </xf>
    <xf numFmtId="0" fontId="5" fillId="4" borderId="20" xfId="0" applyFont="1" applyFill="1" applyBorder="1" applyAlignment="1">
      <alignment horizontal="center" wrapText="1"/>
    </xf>
    <xf numFmtId="166" fontId="4" fillId="0" borderId="0" xfId="0" applyNumberFormat="1" applyFont="1" applyAlignment="1">
      <alignment vertical="top"/>
    </xf>
    <xf numFmtId="166" fontId="4" fillId="0" borderId="0" xfId="0" applyNumberFormat="1" applyFont="1"/>
    <xf numFmtId="0" fontId="4" fillId="3" borderId="0" xfId="0" applyFont="1" applyFill="1" applyBorder="1" applyAlignment="1">
      <alignment horizontal="left" vertical="top" wrapText="1"/>
    </xf>
    <xf numFmtId="0" fontId="4" fillId="3" borderId="9" xfId="0" applyFont="1" applyFill="1" applyBorder="1" applyAlignment="1">
      <alignment horizontal="left" vertical="top" wrapText="1"/>
    </xf>
    <xf numFmtId="0" fontId="4" fillId="3" borderId="9" xfId="0" applyFont="1" applyFill="1" applyBorder="1" applyAlignment="1">
      <alignment horizontal="center" wrapText="1"/>
    </xf>
    <xf numFmtId="0" fontId="4" fillId="3" borderId="9" xfId="0" applyFont="1" applyFill="1" applyBorder="1" applyAlignment="1">
      <alignment horizontal="center"/>
    </xf>
    <xf numFmtId="0" fontId="7" fillId="4" borderId="5" xfId="0" applyFont="1" applyFill="1" applyBorder="1" applyAlignment="1">
      <alignment horizontal="left" vertical="top" wrapText="1"/>
    </xf>
    <xf numFmtId="0" fontId="7" fillId="4" borderId="6" xfId="0" applyFont="1" applyFill="1" applyBorder="1" applyAlignment="1">
      <alignment horizontal="left" vertical="top" wrapText="1"/>
    </xf>
    <xf numFmtId="0" fontId="7" fillId="4" borderId="7" xfId="0" applyFont="1" applyFill="1" applyBorder="1" applyAlignment="1">
      <alignment horizontal="left" vertical="top" wrapText="1"/>
    </xf>
    <xf numFmtId="0" fontId="4" fillId="4" borderId="0" xfId="0" applyFont="1" applyFill="1" applyBorder="1" applyAlignment="1">
      <alignment horizontal="left" vertical="top" wrapText="1"/>
    </xf>
    <xf numFmtId="0" fontId="4" fillId="4" borderId="9" xfId="0" applyFont="1" applyFill="1" applyBorder="1" applyAlignment="1">
      <alignment horizontal="left" vertical="top" wrapText="1"/>
    </xf>
    <xf numFmtId="0" fontId="6" fillId="4" borderId="0" xfId="0" applyFont="1" applyFill="1" applyBorder="1" applyAlignment="1">
      <alignment horizontal="left" vertical="center" wrapText="1"/>
    </xf>
    <xf numFmtId="0" fontId="4" fillId="3" borderId="0" xfId="0" applyFont="1" applyFill="1" applyBorder="1" applyAlignment="1">
      <alignment horizontal="justify" vertical="top" wrapText="1"/>
    </xf>
    <xf numFmtId="0" fontId="4" fillId="3" borderId="0" xfId="0" applyFont="1" applyFill="1" applyBorder="1" applyAlignment="1">
      <alignment horizontal="justify" vertical="top"/>
    </xf>
    <xf numFmtId="0" fontId="4" fillId="3" borderId="9" xfId="0" applyFont="1" applyFill="1" applyBorder="1" applyAlignment="1">
      <alignment horizontal="justify" vertical="top"/>
    </xf>
    <xf numFmtId="0" fontId="4" fillId="4" borderId="22" xfId="0" applyFont="1" applyFill="1" applyBorder="1" applyAlignment="1">
      <alignment horizontal="center" vertical="center"/>
    </xf>
    <xf numFmtId="0" fontId="4" fillId="4" borderId="23" xfId="0" applyFont="1" applyFill="1" applyBorder="1" applyAlignment="1">
      <alignment horizontal="center" vertical="center"/>
    </xf>
    <xf numFmtId="0" fontId="4" fillId="4" borderId="21" xfId="0" applyFont="1" applyFill="1" applyBorder="1" applyAlignment="1">
      <alignment horizontal="center" vertical="center"/>
    </xf>
    <xf numFmtId="0" fontId="9" fillId="4" borderId="0" xfId="0" applyFont="1" applyFill="1" applyBorder="1" applyAlignment="1">
      <alignment horizontal="center"/>
    </xf>
    <xf numFmtId="0" fontId="6" fillId="3" borderId="0" xfId="0" applyFont="1" applyFill="1" applyBorder="1" applyAlignment="1">
      <alignment horizontal="left" wrapText="1" indent="1"/>
    </xf>
    <xf numFmtId="0" fontId="7" fillId="4" borderId="5" xfId="0" applyFont="1" applyFill="1" applyBorder="1" applyAlignment="1">
      <alignment horizontal="left" wrapText="1"/>
    </xf>
    <xf numFmtId="0" fontId="7" fillId="4" borderId="6" xfId="0" applyFont="1" applyFill="1" applyBorder="1" applyAlignment="1">
      <alignment horizontal="left" wrapText="1"/>
    </xf>
    <xf numFmtId="0" fontId="7" fillId="4" borderId="7" xfId="0" applyFont="1" applyFill="1" applyBorder="1" applyAlignment="1">
      <alignment horizontal="left" wrapText="1"/>
    </xf>
  </cellXfs>
  <cellStyles count="4">
    <cellStyle name="Encabezado 1" xfId="2" xr:uid="{00000000-0005-0000-0000-000000000000}"/>
    <cellStyle name="Moneda" xfId="1" builtinId="4"/>
    <cellStyle name="Neutral 1" xfId="3" xr:uid="{00000000-0005-0000-0000-000002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9"/>
  <sheetViews>
    <sheetView tabSelected="1" topLeftCell="A11" zoomScaleNormal="100" workbookViewId="0">
      <selection activeCell="C90" sqref="C90:E90"/>
    </sheetView>
  </sheetViews>
  <sheetFormatPr baseColWidth="10" defaultColWidth="11" defaultRowHeight="12.75" x14ac:dyDescent="0.2"/>
  <cols>
    <col min="1" max="1" width="4.5703125" style="1" customWidth="1"/>
    <col min="2" max="2" width="16.5703125" style="1" customWidth="1"/>
    <col min="3" max="3" width="14.85546875" style="1" customWidth="1"/>
    <col min="4" max="4" width="5.7109375" style="1" customWidth="1"/>
    <col min="5" max="5" width="79" style="1" customWidth="1"/>
    <col min="6" max="6" width="12.7109375" style="1" customWidth="1"/>
    <col min="7" max="7" width="10.42578125" style="1" customWidth="1"/>
    <col min="8" max="8" width="11.140625" style="1" customWidth="1"/>
    <col min="9" max="9" width="19.140625" style="1" customWidth="1"/>
    <col min="10" max="10" width="11" style="1"/>
    <col min="11" max="11" width="6.5703125" style="1" customWidth="1"/>
    <col min="12" max="12" width="16.85546875" style="1" customWidth="1"/>
    <col min="13" max="16384" width="11" style="1"/>
  </cols>
  <sheetData>
    <row r="1" spans="1:12" x14ac:dyDescent="0.2">
      <c r="A1" s="3"/>
      <c r="B1" s="3"/>
      <c r="C1" s="3"/>
      <c r="D1" s="3"/>
      <c r="E1" s="3"/>
      <c r="F1" s="3"/>
      <c r="G1" s="3"/>
      <c r="H1" s="3"/>
      <c r="I1" s="3"/>
    </row>
    <row r="2" spans="1:12" x14ac:dyDescent="0.2">
      <c r="A2" s="3"/>
      <c r="B2" s="59" t="s">
        <v>0</v>
      </c>
      <c r="C2" s="59"/>
      <c r="D2" s="59"/>
      <c r="E2" s="59"/>
      <c r="F2" s="59"/>
      <c r="G2" s="59"/>
      <c r="H2" s="59"/>
      <c r="I2" s="3"/>
    </row>
    <row r="3" spans="1:12" x14ac:dyDescent="0.2">
      <c r="A3" s="3"/>
      <c r="B3" s="3"/>
      <c r="C3" s="3"/>
      <c r="D3" s="3"/>
      <c r="E3" s="3"/>
      <c r="F3" s="3"/>
      <c r="G3" s="3"/>
      <c r="H3" s="3"/>
      <c r="I3" s="3"/>
    </row>
    <row r="4" spans="1:12" ht="18" customHeight="1" x14ac:dyDescent="0.2">
      <c r="A4" s="52" t="s">
        <v>1</v>
      </c>
      <c r="B4" s="52"/>
      <c r="C4" s="60" t="s">
        <v>19</v>
      </c>
      <c r="D4" s="60"/>
      <c r="E4" s="60"/>
      <c r="F4" s="4"/>
      <c r="G4" s="5"/>
      <c r="H4" s="4"/>
      <c r="I4" s="3"/>
    </row>
    <row r="5" spans="1:12" ht="18" customHeight="1" x14ac:dyDescent="0.2">
      <c r="A5" s="52" t="s">
        <v>2</v>
      </c>
      <c r="B5" s="52"/>
      <c r="C5" s="60" t="s">
        <v>20</v>
      </c>
      <c r="D5" s="60"/>
      <c r="E5" s="60"/>
      <c r="F5" s="4"/>
      <c r="G5" s="5"/>
      <c r="H5" s="4"/>
      <c r="I5" s="3"/>
    </row>
    <row r="6" spans="1:12" ht="16.5" customHeight="1" x14ac:dyDescent="0.2">
      <c r="A6" s="52" t="s">
        <v>3</v>
      </c>
      <c r="B6" s="52"/>
      <c r="C6" s="23">
        <v>2021</v>
      </c>
      <c r="D6" s="6"/>
      <c r="E6" s="6"/>
      <c r="F6" s="4"/>
      <c r="G6" s="5"/>
      <c r="H6" s="4"/>
      <c r="I6" s="3"/>
    </row>
    <row r="7" spans="1:12" ht="16.5" customHeight="1" x14ac:dyDescent="0.2">
      <c r="A7" s="52" t="s">
        <v>4</v>
      </c>
      <c r="B7" s="52"/>
      <c r="C7" s="23">
        <v>3</v>
      </c>
      <c r="D7" s="6"/>
      <c r="E7" s="6"/>
      <c r="F7" s="4"/>
      <c r="G7" s="5"/>
      <c r="H7" s="4"/>
      <c r="I7" s="3"/>
    </row>
    <row r="8" spans="1:12" ht="13.5" thickBot="1" x14ac:dyDescent="0.25">
      <c r="A8" s="3"/>
      <c r="B8" s="4"/>
      <c r="C8" s="5"/>
      <c r="D8" s="4"/>
      <c r="E8" s="4"/>
      <c r="F8" s="4"/>
      <c r="G8" s="5"/>
      <c r="H8" s="4"/>
      <c r="I8" s="3"/>
    </row>
    <row r="9" spans="1:12" ht="42.75" customHeight="1" thickBot="1" x14ac:dyDescent="0.25">
      <c r="A9" s="7" t="s">
        <v>5</v>
      </c>
      <c r="B9" s="8" t="s">
        <v>6</v>
      </c>
      <c r="C9" s="8" t="s">
        <v>7</v>
      </c>
      <c r="D9" s="8" t="s">
        <v>8</v>
      </c>
      <c r="E9" s="8" t="s">
        <v>9</v>
      </c>
      <c r="F9" s="8" t="s">
        <v>10</v>
      </c>
      <c r="G9" s="8" t="s">
        <v>11</v>
      </c>
      <c r="H9" s="8" t="s">
        <v>12</v>
      </c>
      <c r="I9" s="9" t="s">
        <v>13</v>
      </c>
    </row>
    <row r="10" spans="1:12" s="2" customFormat="1" ht="37.5" customHeight="1" x14ac:dyDescent="0.2">
      <c r="A10" s="24">
        <v>1</v>
      </c>
      <c r="B10" s="25" t="s">
        <v>21</v>
      </c>
      <c r="C10" s="21" t="s">
        <v>23</v>
      </c>
      <c r="D10" s="26" t="str">
        <f>LEFT(B10,5)</f>
        <v>2.5.1</v>
      </c>
      <c r="E10" s="22" t="s">
        <v>22</v>
      </c>
      <c r="F10" s="25" t="s">
        <v>40</v>
      </c>
      <c r="G10" s="25">
        <v>150000</v>
      </c>
      <c r="H10" s="27">
        <v>75.25</v>
      </c>
      <c r="I10" s="28">
        <f>H10*G10</f>
        <v>11287500</v>
      </c>
      <c r="L10" s="41"/>
    </row>
    <row r="11" spans="1:12" ht="38.25" x14ac:dyDescent="0.2">
      <c r="A11" s="29">
        <v>2</v>
      </c>
      <c r="B11" s="30" t="s">
        <v>21</v>
      </c>
      <c r="C11" s="21" t="s">
        <v>23</v>
      </c>
      <c r="D11" s="26" t="str">
        <f t="shared" ref="D11:D15" si="0">LEFT(B11,5)</f>
        <v>2.5.1</v>
      </c>
      <c r="E11" s="31" t="s">
        <v>22</v>
      </c>
      <c r="F11" s="25" t="s">
        <v>40</v>
      </c>
      <c r="G11" s="10">
        <v>42000</v>
      </c>
      <c r="H11" s="27">
        <v>84.25</v>
      </c>
      <c r="I11" s="28">
        <f t="shared" ref="I11:I18" si="1">H11*G11</f>
        <v>3538500</v>
      </c>
      <c r="J11" s="2"/>
      <c r="K11" s="2"/>
      <c r="L11" s="41"/>
    </row>
    <row r="12" spans="1:12" ht="38.25" x14ac:dyDescent="0.2">
      <c r="A12" s="24">
        <v>3</v>
      </c>
      <c r="B12" s="30" t="s">
        <v>21</v>
      </c>
      <c r="C12" s="21" t="s">
        <v>23</v>
      </c>
      <c r="D12" s="26" t="str">
        <f t="shared" si="0"/>
        <v>2.5.1</v>
      </c>
      <c r="E12" s="31" t="s">
        <v>22</v>
      </c>
      <c r="F12" s="25" t="s">
        <v>40</v>
      </c>
      <c r="G12" s="10">
        <v>24000</v>
      </c>
      <c r="H12" s="27">
        <v>84.25</v>
      </c>
      <c r="I12" s="28">
        <f t="shared" si="1"/>
        <v>2022000</v>
      </c>
      <c r="J12" s="2"/>
      <c r="K12" s="2"/>
      <c r="L12" s="41"/>
    </row>
    <row r="13" spans="1:12" ht="38.25" x14ac:dyDescent="0.2">
      <c r="A13" s="29">
        <v>4</v>
      </c>
      <c r="B13" s="30" t="s">
        <v>21</v>
      </c>
      <c r="C13" s="21" t="s">
        <v>23</v>
      </c>
      <c r="D13" s="26" t="str">
        <f t="shared" si="0"/>
        <v>2.5.1</v>
      </c>
      <c r="E13" s="31" t="s">
        <v>22</v>
      </c>
      <c r="F13" s="25" t="s">
        <v>40</v>
      </c>
      <c r="G13" s="10">
        <v>42000</v>
      </c>
      <c r="H13" s="27">
        <v>84.25</v>
      </c>
      <c r="I13" s="28">
        <f t="shared" si="1"/>
        <v>3538500</v>
      </c>
      <c r="J13" s="2"/>
      <c r="K13" s="2"/>
      <c r="L13" s="41"/>
    </row>
    <row r="14" spans="1:12" ht="46.5" customHeight="1" x14ac:dyDescent="0.2">
      <c r="A14" s="24">
        <v>5</v>
      </c>
      <c r="B14" s="30" t="s">
        <v>21</v>
      </c>
      <c r="C14" s="21" t="s">
        <v>23</v>
      </c>
      <c r="D14" s="26" t="str">
        <f t="shared" si="0"/>
        <v>2.5.1</v>
      </c>
      <c r="E14" s="31" t="s">
        <v>22</v>
      </c>
      <c r="F14" s="25" t="s">
        <v>40</v>
      </c>
      <c r="G14" s="10">
        <v>42000</v>
      </c>
      <c r="H14" s="27">
        <v>84.25</v>
      </c>
      <c r="I14" s="28">
        <f t="shared" si="1"/>
        <v>3538500</v>
      </c>
      <c r="J14" s="2"/>
      <c r="K14" s="2"/>
      <c r="L14" s="41"/>
    </row>
    <row r="15" spans="1:12" ht="43.5" customHeight="1" x14ac:dyDescent="0.2">
      <c r="A15" s="29">
        <v>6</v>
      </c>
      <c r="B15" s="30" t="s">
        <v>31</v>
      </c>
      <c r="C15" s="21" t="s">
        <v>23</v>
      </c>
      <c r="D15" s="26" t="str">
        <f t="shared" si="0"/>
        <v>2.5.1</v>
      </c>
      <c r="E15" s="31" t="s">
        <v>32</v>
      </c>
      <c r="F15" s="25" t="s">
        <v>40</v>
      </c>
      <c r="G15" s="10">
        <v>30000</v>
      </c>
      <c r="H15" s="27">
        <v>184.3</v>
      </c>
      <c r="I15" s="28">
        <f t="shared" si="1"/>
        <v>5529000</v>
      </c>
      <c r="L15" s="41"/>
    </row>
    <row r="16" spans="1:12" ht="43.5" customHeight="1" x14ac:dyDescent="0.2">
      <c r="A16" s="37">
        <v>7</v>
      </c>
      <c r="B16" s="30" t="s">
        <v>31</v>
      </c>
      <c r="C16" s="21" t="s">
        <v>23</v>
      </c>
      <c r="D16" s="26" t="s">
        <v>33</v>
      </c>
      <c r="E16" s="39" t="s">
        <v>32</v>
      </c>
      <c r="F16" s="25" t="s">
        <v>40</v>
      </c>
      <c r="G16" s="40">
        <v>10000</v>
      </c>
      <c r="H16" s="27">
        <v>184.3</v>
      </c>
      <c r="I16" s="28">
        <f t="shared" si="1"/>
        <v>1843000</v>
      </c>
      <c r="L16" s="41"/>
    </row>
    <row r="17" spans="1:12" ht="43.5" customHeight="1" x14ac:dyDescent="0.2">
      <c r="A17" s="37">
        <v>8</v>
      </c>
      <c r="B17" s="30" t="s">
        <v>31</v>
      </c>
      <c r="C17" s="21" t="s">
        <v>23</v>
      </c>
      <c r="D17" s="26" t="s">
        <v>33</v>
      </c>
      <c r="E17" s="39" t="s">
        <v>32</v>
      </c>
      <c r="F17" s="25" t="s">
        <v>40</v>
      </c>
      <c r="G17" s="40">
        <v>30000</v>
      </c>
      <c r="H17" s="27">
        <v>184.3</v>
      </c>
      <c r="I17" s="28">
        <f t="shared" si="1"/>
        <v>5529000</v>
      </c>
      <c r="L17" s="41"/>
    </row>
    <row r="18" spans="1:12" ht="43.5" customHeight="1" x14ac:dyDescent="0.2">
      <c r="A18" s="37">
        <v>9</v>
      </c>
      <c r="B18" s="38" t="s">
        <v>31</v>
      </c>
      <c r="C18" s="21" t="s">
        <v>23</v>
      </c>
      <c r="D18" s="26" t="s">
        <v>33</v>
      </c>
      <c r="E18" s="39" t="s">
        <v>32</v>
      </c>
      <c r="F18" s="25" t="s">
        <v>40</v>
      </c>
      <c r="G18" s="40">
        <v>30000</v>
      </c>
      <c r="H18" s="27">
        <v>184.3</v>
      </c>
      <c r="I18" s="28">
        <f t="shared" si="1"/>
        <v>5529000</v>
      </c>
      <c r="L18" s="41"/>
    </row>
    <row r="19" spans="1:12" ht="23.25" customHeight="1" thickBot="1" x14ac:dyDescent="0.25">
      <c r="A19" s="56" t="s">
        <v>42</v>
      </c>
      <c r="B19" s="57"/>
      <c r="C19" s="57"/>
      <c r="D19" s="57"/>
      <c r="E19" s="57"/>
      <c r="F19" s="57"/>
      <c r="G19" s="57"/>
      <c r="H19" s="58"/>
      <c r="I19" s="32">
        <f>SUM(I10:I18)</f>
        <v>42355000</v>
      </c>
      <c r="L19" s="42"/>
    </row>
    <row r="20" spans="1:12" x14ac:dyDescent="0.2">
      <c r="A20" s="3"/>
      <c r="B20" s="3"/>
      <c r="C20" s="3"/>
      <c r="D20" s="3"/>
      <c r="E20" s="3"/>
      <c r="F20" s="3"/>
      <c r="G20" s="3"/>
      <c r="H20" s="3"/>
      <c r="I20" s="3"/>
    </row>
    <row r="21" spans="1:12" ht="13.5" thickBot="1" x14ac:dyDescent="0.25">
      <c r="A21" s="3"/>
      <c r="B21" s="3"/>
      <c r="C21" s="3"/>
      <c r="D21" s="3"/>
      <c r="E21" s="3"/>
      <c r="F21" s="3"/>
      <c r="G21" s="3"/>
      <c r="H21" s="3"/>
      <c r="I21" s="3"/>
    </row>
    <row r="22" spans="1:12" ht="21" customHeight="1" x14ac:dyDescent="0.2">
      <c r="A22" s="3"/>
      <c r="B22" s="47" t="s">
        <v>25</v>
      </c>
      <c r="C22" s="48"/>
      <c r="D22" s="48"/>
      <c r="E22" s="49"/>
      <c r="F22" s="3"/>
      <c r="G22" s="3"/>
      <c r="H22" s="3"/>
      <c r="I22" s="3"/>
    </row>
    <row r="23" spans="1:12" ht="5.25" customHeight="1" x14ac:dyDescent="0.2">
      <c r="A23" s="3"/>
      <c r="B23" s="11"/>
      <c r="C23" s="12"/>
      <c r="D23" s="12"/>
      <c r="E23" s="33"/>
      <c r="F23" s="3"/>
      <c r="G23" s="3"/>
      <c r="H23" s="3"/>
      <c r="I23" s="3"/>
    </row>
    <row r="24" spans="1:12" x14ac:dyDescent="0.2">
      <c r="A24" s="3"/>
      <c r="B24" s="14" t="s">
        <v>14</v>
      </c>
      <c r="C24" s="12"/>
      <c r="D24" s="12"/>
      <c r="E24" s="13"/>
      <c r="F24" s="3"/>
      <c r="G24" s="3"/>
      <c r="H24" s="3"/>
      <c r="I24" s="3"/>
    </row>
    <row r="25" spans="1:12" ht="68.25" customHeight="1" x14ac:dyDescent="0.2">
      <c r="A25" s="3"/>
      <c r="B25" s="14"/>
      <c r="C25" s="43" t="s">
        <v>38</v>
      </c>
      <c r="D25" s="43"/>
      <c r="E25" s="44"/>
      <c r="F25" s="3"/>
      <c r="G25" s="3"/>
      <c r="H25" s="3"/>
      <c r="I25" s="3"/>
    </row>
    <row r="26" spans="1:12" x14ac:dyDescent="0.2">
      <c r="A26" s="3"/>
      <c r="B26" s="14" t="s">
        <v>15</v>
      </c>
      <c r="C26" s="12"/>
      <c r="D26" s="12"/>
      <c r="E26" s="13"/>
      <c r="F26" s="3"/>
      <c r="G26" s="3"/>
      <c r="H26" s="3"/>
      <c r="I26" s="3"/>
    </row>
    <row r="27" spans="1:12" ht="84.75" customHeight="1" x14ac:dyDescent="0.2">
      <c r="A27" s="3"/>
      <c r="B27" s="15"/>
      <c r="C27" s="53" t="s">
        <v>43</v>
      </c>
      <c r="D27" s="54"/>
      <c r="E27" s="55"/>
      <c r="F27" s="3"/>
      <c r="G27" s="3"/>
      <c r="H27" s="3"/>
      <c r="I27" s="3"/>
    </row>
    <row r="28" spans="1:12" x14ac:dyDescent="0.2">
      <c r="A28" s="3"/>
      <c r="B28" s="14" t="s">
        <v>16</v>
      </c>
      <c r="C28" s="12"/>
      <c r="D28" s="12"/>
      <c r="E28" s="13"/>
      <c r="F28" s="3"/>
      <c r="G28" s="3"/>
      <c r="H28" s="3"/>
      <c r="I28" s="3"/>
    </row>
    <row r="29" spans="1:12" ht="60" customHeight="1" x14ac:dyDescent="0.2">
      <c r="A29" s="3"/>
      <c r="B29" s="15"/>
      <c r="C29" s="43" t="s">
        <v>39</v>
      </c>
      <c r="D29" s="43"/>
      <c r="E29" s="44"/>
      <c r="F29" s="3"/>
      <c r="G29" s="3"/>
      <c r="H29" s="3"/>
      <c r="I29" s="3"/>
    </row>
    <row r="30" spans="1:12" x14ac:dyDescent="0.2">
      <c r="A30" s="3"/>
      <c r="B30" s="14" t="s">
        <v>17</v>
      </c>
      <c r="C30" s="16"/>
      <c r="D30" s="16"/>
      <c r="E30" s="17"/>
      <c r="F30" s="3"/>
      <c r="G30" s="3"/>
      <c r="H30" s="3"/>
      <c r="I30" s="3"/>
    </row>
    <row r="31" spans="1:12" ht="12" customHeight="1" x14ac:dyDescent="0.2">
      <c r="A31" s="3"/>
      <c r="B31" s="15"/>
      <c r="C31" s="45"/>
      <c r="D31" s="45"/>
      <c r="E31" s="45"/>
      <c r="F31" s="3"/>
      <c r="G31" s="3"/>
      <c r="H31" s="3"/>
      <c r="I31" s="3"/>
    </row>
    <row r="32" spans="1:12" ht="16.5" customHeight="1" x14ac:dyDescent="0.2">
      <c r="A32" s="3"/>
      <c r="B32" s="14" t="s">
        <v>18</v>
      </c>
      <c r="C32" s="12"/>
      <c r="D32" s="12"/>
      <c r="E32" s="13"/>
      <c r="F32" s="3"/>
      <c r="G32" s="3"/>
      <c r="H32" s="3"/>
      <c r="I32" s="3"/>
    </row>
    <row r="33" spans="1:9" ht="14.25" customHeight="1" x14ac:dyDescent="0.2">
      <c r="A33" s="3"/>
      <c r="B33" s="14"/>
      <c r="C33" s="46"/>
      <c r="D33" s="46"/>
      <c r="E33" s="46"/>
      <c r="F33" s="3"/>
      <c r="G33" s="3"/>
      <c r="H33" s="3"/>
      <c r="I33" s="3"/>
    </row>
    <row r="34" spans="1:9" ht="13.5" thickBot="1" x14ac:dyDescent="0.25">
      <c r="A34" s="3"/>
      <c r="B34" s="18"/>
      <c r="C34" s="19"/>
      <c r="D34" s="19"/>
      <c r="E34" s="20"/>
      <c r="F34" s="3"/>
      <c r="G34" s="3"/>
      <c r="H34" s="3"/>
      <c r="I34" s="3"/>
    </row>
    <row r="35" spans="1:9" ht="13.5" thickBot="1" x14ac:dyDescent="0.25">
      <c r="A35" s="3"/>
      <c r="B35" s="3"/>
      <c r="C35" s="3"/>
      <c r="D35" s="3"/>
      <c r="E35" s="3"/>
      <c r="F35" s="3"/>
      <c r="G35" s="3"/>
      <c r="H35" s="3"/>
      <c r="I35" s="3"/>
    </row>
    <row r="36" spans="1:9" ht="19.5" customHeight="1" x14ac:dyDescent="0.2">
      <c r="A36" s="3"/>
      <c r="B36" s="47" t="s">
        <v>26</v>
      </c>
      <c r="C36" s="48"/>
      <c r="D36" s="48"/>
      <c r="E36" s="49"/>
      <c r="F36" s="3"/>
      <c r="G36" s="3"/>
      <c r="H36" s="3"/>
      <c r="I36" s="3"/>
    </row>
    <row r="37" spans="1:9" ht="2.25" customHeight="1" x14ac:dyDescent="0.2">
      <c r="A37" s="3"/>
      <c r="B37" s="11"/>
      <c r="C37" s="12"/>
      <c r="D37" s="12"/>
      <c r="E37" s="13"/>
      <c r="F37" s="3"/>
      <c r="G37" s="3"/>
      <c r="H37" s="3"/>
      <c r="I37" s="3"/>
    </row>
    <row r="38" spans="1:9" x14ac:dyDescent="0.2">
      <c r="A38" s="3"/>
      <c r="B38" s="14" t="s">
        <v>14</v>
      </c>
      <c r="C38" s="12"/>
      <c r="D38" s="12"/>
      <c r="E38" s="13"/>
      <c r="F38" s="3"/>
      <c r="G38" s="3"/>
      <c r="H38" s="3"/>
      <c r="I38" s="3"/>
    </row>
    <row r="39" spans="1:9" ht="76.5" customHeight="1" x14ac:dyDescent="0.2">
      <c r="A39" s="3"/>
      <c r="B39" s="14"/>
      <c r="C39" s="43" t="s">
        <v>38</v>
      </c>
      <c r="D39" s="43"/>
      <c r="E39" s="44"/>
      <c r="F39" s="3"/>
      <c r="G39" s="3"/>
      <c r="H39" s="3"/>
      <c r="I39" s="3"/>
    </row>
    <row r="40" spans="1:9" x14ac:dyDescent="0.2">
      <c r="A40" s="3"/>
      <c r="B40" s="14" t="s">
        <v>15</v>
      </c>
      <c r="C40" s="12"/>
      <c r="D40" s="12"/>
      <c r="E40" s="13"/>
      <c r="F40" s="3"/>
      <c r="G40" s="3"/>
      <c r="H40" s="3"/>
      <c r="I40" s="3"/>
    </row>
    <row r="41" spans="1:9" ht="87" customHeight="1" x14ac:dyDescent="0.2">
      <c r="A41" s="3"/>
      <c r="B41" s="15"/>
      <c r="C41" s="43" t="s">
        <v>44</v>
      </c>
      <c r="D41" s="43"/>
      <c r="E41" s="44"/>
      <c r="F41" s="3"/>
      <c r="G41" s="3"/>
      <c r="H41" s="3"/>
      <c r="I41" s="3"/>
    </row>
    <row r="42" spans="1:9" x14ac:dyDescent="0.2">
      <c r="A42" s="3"/>
      <c r="B42" s="14" t="s">
        <v>16</v>
      </c>
      <c r="C42" s="12"/>
      <c r="D42" s="12"/>
      <c r="E42" s="13"/>
      <c r="F42" s="3"/>
      <c r="G42" s="3"/>
      <c r="H42" s="3"/>
      <c r="I42" s="3"/>
    </row>
    <row r="43" spans="1:9" ht="61.5" customHeight="1" x14ac:dyDescent="0.2">
      <c r="A43" s="3"/>
      <c r="B43" s="15"/>
      <c r="C43" s="43" t="s">
        <v>39</v>
      </c>
      <c r="D43" s="43"/>
      <c r="E43" s="44"/>
      <c r="F43" s="3"/>
      <c r="G43" s="3"/>
      <c r="H43" s="3"/>
      <c r="I43" s="3"/>
    </row>
    <row r="44" spans="1:9" x14ac:dyDescent="0.2">
      <c r="A44" s="3"/>
      <c r="B44" s="14" t="s">
        <v>17</v>
      </c>
      <c r="C44" s="16"/>
      <c r="D44" s="16"/>
      <c r="E44" s="17"/>
      <c r="F44" s="3"/>
      <c r="G44" s="3"/>
      <c r="H44" s="3"/>
      <c r="I44" s="3"/>
    </row>
    <row r="45" spans="1:9" x14ac:dyDescent="0.2">
      <c r="A45" s="3"/>
      <c r="B45" s="15"/>
      <c r="C45" s="45"/>
      <c r="D45" s="45"/>
      <c r="E45" s="45"/>
      <c r="F45" s="3"/>
      <c r="G45" s="3"/>
      <c r="H45" s="3"/>
      <c r="I45" s="3"/>
    </row>
    <row r="46" spans="1:9" x14ac:dyDescent="0.2">
      <c r="A46" s="3"/>
      <c r="B46" s="14" t="s">
        <v>18</v>
      </c>
      <c r="C46" s="12"/>
      <c r="D46" s="12"/>
      <c r="E46" s="13"/>
      <c r="F46" s="3"/>
      <c r="G46" s="3"/>
      <c r="H46" s="3"/>
      <c r="I46" s="3"/>
    </row>
    <row r="47" spans="1:9" x14ac:dyDescent="0.2">
      <c r="A47" s="3"/>
      <c r="B47" s="14"/>
      <c r="C47" s="46"/>
      <c r="D47" s="46"/>
      <c r="E47" s="46"/>
      <c r="F47" s="3"/>
      <c r="G47" s="3"/>
      <c r="H47" s="3"/>
      <c r="I47" s="3"/>
    </row>
    <row r="48" spans="1:9" ht="13.5" thickBot="1" x14ac:dyDescent="0.25">
      <c r="A48" s="3"/>
      <c r="B48" s="18"/>
      <c r="C48" s="19"/>
      <c r="D48" s="19"/>
      <c r="E48" s="20"/>
      <c r="F48" s="3"/>
      <c r="G48" s="3"/>
      <c r="H48" s="3"/>
      <c r="I48" s="3"/>
    </row>
    <row r="49" spans="1:9" ht="13.5" thickBot="1" x14ac:dyDescent="0.25">
      <c r="A49" s="3"/>
      <c r="B49" s="3"/>
      <c r="C49" s="3"/>
      <c r="D49" s="3"/>
      <c r="E49" s="3"/>
      <c r="F49" s="3"/>
      <c r="G49" s="3"/>
      <c r="H49" s="3"/>
      <c r="I49" s="3"/>
    </row>
    <row r="50" spans="1:9" ht="18.75" customHeight="1" x14ac:dyDescent="0.2">
      <c r="A50" s="3"/>
      <c r="B50" s="47" t="s">
        <v>27</v>
      </c>
      <c r="C50" s="48"/>
      <c r="D50" s="48"/>
      <c r="E50" s="49"/>
      <c r="F50" s="3"/>
      <c r="G50" s="3"/>
      <c r="H50" s="3"/>
      <c r="I50" s="3"/>
    </row>
    <row r="51" spans="1:9" ht="62.25" customHeight="1" x14ac:dyDescent="0.2">
      <c r="A51" s="3"/>
      <c r="B51" s="11"/>
      <c r="C51" s="50" t="s">
        <v>38</v>
      </c>
      <c r="D51" s="50"/>
      <c r="E51" s="51"/>
      <c r="F51" s="3"/>
      <c r="G51" s="3"/>
      <c r="H51" s="3"/>
      <c r="I51" s="3"/>
    </row>
    <row r="52" spans="1:9" x14ac:dyDescent="0.2">
      <c r="A52" s="3"/>
      <c r="B52" s="14" t="s">
        <v>14</v>
      </c>
      <c r="C52" s="12"/>
      <c r="D52" s="12"/>
      <c r="E52" s="13"/>
      <c r="F52" s="3"/>
      <c r="G52" s="3"/>
      <c r="H52" s="3"/>
      <c r="I52" s="3"/>
    </row>
    <row r="53" spans="1:9" ht="20.25" customHeight="1" x14ac:dyDescent="0.2">
      <c r="A53" s="3"/>
      <c r="B53" s="14"/>
      <c r="C53" s="43" t="s">
        <v>34</v>
      </c>
      <c r="D53" s="43"/>
      <c r="E53" s="44"/>
      <c r="F53" s="3"/>
      <c r="G53" s="3"/>
      <c r="H53" s="3"/>
      <c r="I53" s="3"/>
    </row>
    <row r="54" spans="1:9" x14ac:dyDescent="0.2">
      <c r="A54" s="3"/>
      <c r="B54" s="14" t="s">
        <v>15</v>
      </c>
      <c r="C54" s="12"/>
      <c r="D54" s="12"/>
      <c r="E54" s="13"/>
      <c r="F54" s="3"/>
      <c r="G54" s="3"/>
      <c r="H54" s="3"/>
      <c r="I54" s="3"/>
    </row>
    <row r="55" spans="1:9" ht="3" customHeight="1" x14ac:dyDescent="0.2">
      <c r="A55" s="3"/>
      <c r="B55" s="15"/>
      <c r="C55" s="43" t="s">
        <v>24</v>
      </c>
      <c r="D55" s="43"/>
      <c r="E55" s="44"/>
      <c r="F55" s="3"/>
      <c r="G55" s="3"/>
      <c r="H55" s="3"/>
      <c r="I55" s="3"/>
    </row>
    <row r="56" spans="1:9" ht="87" customHeight="1" x14ac:dyDescent="0.2">
      <c r="A56" s="3"/>
      <c r="B56" s="14"/>
      <c r="C56" s="50" t="s">
        <v>45</v>
      </c>
      <c r="D56" s="50"/>
      <c r="E56" s="51"/>
      <c r="F56" s="3"/>
      <c r="G56" s="3"/>
      <c r="H56" s="3"/>
      <c r="I56" s="3"/>
    </row>
    <row r="57" spans="1:9" ht="19.5" customHeight="1" x14ac:dyDescent="0.2">
      <c r="A57" s="3"/>
      <c r="B57" s="36" t="s">
        <v>16</v>
      </c>
      <c r="C57" s="34"/>
      <c r="D57" s="34"/>
      <c r="E57" s="35"/>
      <c r="F57" s="3"/>
      <c r="G57" s="3"/>
      <c r="H57" s="3"/>
      <c r="I57" s="3"/>
    </row>
    <row r="58" spans="1:9" ht="61.5" customHeight="1" x14ac:dyDescent="0.2">
      <c r="A58" s="3"/>
      <c r="B58" s="36"/>
      <c r="C58" s="43" t="s">
        <v>39</v>
      </c>
      <c r="D58" s="43"/>
      <c r="E58" s="44"/>
      <c r="F58" s="3"/>
      <c r="G58" s="3"/>
      <c r="H58" s="3"/>
      <c r="I58" s="3"/>
    </row>
    <row r="59" spans="1:9" ht="18.75" customHeight="1" x14ac:dyDescent="0.2">
      <c r="A59" s="3"/>
      <c r="B59" s="14" t="s">
        <v>17</v>
      </c>
      <c r="C59" s="16"/>
      <c r="D59" s="16"/>
      <c r="E59" s="17"/>
      <c r="F59" s="3"/>
      <c r="G59" s="3"/>
      <c r="H59" s="3"/>
      <c r="I59" s="3"/>
    </row>
    <row r="60" spans="1:9" x14ac:dyDescent="0.2">
      <c r="A60" s="3"/>
      <c r="B60" s="15"/>
      <c r="C60" s="45"/>
      <c r="D60" s="45"/>
      <c r="E60" s="45"/>
      <c r="F60" s="3"/>
      <c r="G60" s="3"/>
      <c r="H60" s="3"/>
      <c r="I60" s="3"/>
    </row>
    <row r="61" spans="1:9" ht="14.25" customHeight="1" x14ac:dyDescent="0.2">
      <c r="A61" s="3"/>
      <c r="B61" s="14" t="s">
        <v>18</v>
      </c>
      <c r="C61" s="12"/>
      <c r="D61" s="12"/>
      <c r="E61" s="13"/>
      <c r="F61" s="3"/>
      <c r="G61" s="3"/>
      <c r="H61" s="3"/>
      <c r="I61" s="3"/>
    </row>
    <row r="62" spans="1:9" x14ac:dyDescent="0.2">
      <c r="A62" s="3"/>
      <c r="B62" s="14"/>
      <c r="C62" s="46"/>
      <c r="D62" s="46"/>
      <c r="E62" s="46"/>
      <c r="F62" s="3"/>
      <c r="G62" s="3"/>
      <c r="H62" s="3"/>
      <c r="I62" s="3"/>
    </row>
    <row r="63" spans="1:9" ht="9.75" customHeight="1" thickBot="1" x14ac:dyDescent="0.25">
      <c r="A63" s="3"/>
      <c r="B63" s="18"/>
      <c r="C63" s="19"/>
      <c r="D63" s="19"/>
      <c r="E63" s="20"/>
      <c r="F63" s="3"/>
      <c r="G63" s="3"/>
      <c r="H63" s="3"/>
      <c r="I63" s="3"/>
    </row>
    <row r="64" spans="1:9" ht="13.5" thickBot="1" x14ac:dyDescent="0.25">
      <c r="A64" s="3"/>
      <c r="B64" s="18"/>
      <c r="C64" s="19"/>
      <c r="D64" s="19"/>
      <c r="E64" s="20"/>
      <c r="F64" s="3"/>
      <c r="G64" s="3"/>
      <c r="H64" s="3"/>
      <c r="I64" s="3"/>
    </row>
    <row r="65" spans="1:9" ht="13.5" thickBot="1" x14ac:dyDescent="0.25">
      <c r="A65" s="3"/>
      <c r="B65" s="3"/>
      <c r="C65" s="3"/>
      <c r="D65" s="3"/>
      <c r="E65" s="3"/>
      <c r="F65" s="3"/>
      <c r="G65" s="3"/>
      <c r="H65" s="3"/>
      <c r="I65" s="3"/>
    </row>
    <row r="66" spans="1:9" x14ac:dyDescent="0.2">
      <c r="A66" s="3"/>
      <c r="B66" s="61" t="s">
        <v>28</v>
      </c>
      <c r="C66" s="62"/>
      <c r="D66" s="62"/>
      <c r="E66" s="63"/>
      <c r="F66" s="3"/>
      <c r="G66" s="3"/>
      <c r="H66" s="3"/>
      <c r="I66" s="3"/>
    </row>
    <row r="67" spans="1:9" ht="76.5" customHeight="1" x14ac:dyDescent="0.2">
      <c r="A67" s="3"/>
      <c r="B67" s="11"/>
      <c r="C67" s="50" t="s">
        <v>38</v>
      </c>
      <c r="D67" s="50"/>
      <c r="E67" s="51"/>
      <c r="F67" s="3"/>
      <c r="G67" s="3"/>
      <c r="H67" s="3"/>
      <c r="I67" s="3"/>
    </row>
    <row r="68" spans="1:9" x14ac:dyDescent="0.2">
      <c r="A68" s="3"/>
      <c r="B68" s="14" t="s">
        <v>14</v>
      </c>
      <c r="C68" s="12"/>
      <c r="D68" s="12"/>
      <c r="E68" s="13"/>
      <c r="F68" s="3"/>
      <c r="G68" s="3"/>
      <c r="H68" s="3"/>
      <c r="I68" s="3"/>
    </row>
    <row r="69" spans="1:9" x14ac:dyDescent="0.2">
      <c r="A69" s="3"/>
      <c r="B69" s="14"/>
      <c r="C69" s="43" t="s">
        <v>34</v>
      </c>
      <c r="D69" s="43"/>
      <c r="E69" s="44"/>
      <c r="F69" s="3"/>
      <c r="G69" s="3"/>
      <c r="H69" s="3"/>
      <c r="I69" s="3"/>
    </row>
    <row r="70" spans="1:9" x14ac:dyDescent="0.2">
      <c r="A70" s="3"/>
      <c r="B70" s="14" t="s">
        <v>15</v>
      </c>
      <c r="C70" s="12"/>
      <c r="D70" s="12"/>
      <c r="E70" s="13"/>
      <c r="F70" s="3"/>
      <c r="G70" s="3"/>
      <c r="H70" s="3"/>
      <c r="I70" s="3"/>
    </row>
    <row r="71" spans="1:9" ht="84" customHeight="1" x14ac:dyDescent="0.2">
      <c r="A71" s="3"/>
      <c r="B71" s="15"/>
      <c r="C71" s="43" t="s">
        <v>46</v>
      </c>
      <c r="D71" s="43"/>
      <c r="E71" s="44"/>
      <c r="F71" s="3"/>
      <c r="G71" s="3"/>
      <c r="H71" s="3"/>
      <c r="I71" s="3"/>
    </row>
    <row r="72" spans="1:9" x14ac:dyDescent="0.2">
      <c r="A72" s="3"/>
      <c r="B72" s="14" t="s">
        <v>16</v>
      </c>
      <c r="C72" s="12"/>
      <c r="D72" s="12"/>
      <c r="E72" s="13"/>
      <c r="F72" s="3"/>
      <c r="G72" s="3"/>
      <c r="H72" s="3"/>
      <c r="I72" s="3"/>
    </row>
    <row r="73" spans="1:9" ht="57" customHeight="1" x14ac:dyDescent="0.2">
      <c r="A73" s="3"/>
      <c r="B73" s="15"/>
      <c r="C73" s="43" t="s">
        <v>39</v>
      </c>
      <c r="D73" s="43"/>
      <c r="E73" s="44"/>
      <c r="F73" s="3"/>
      <c r="G73" s="3"/>
      <c r="H73" s="3"/>
      <c r="I73" s="3"/>
    </row>
    <row r="74" spans="1:9" x14ac:dyDescent="0.2">
      <c r="A74" s="3"/>
      <c r="B74" s="14" t="s">
        <v>17</v>
      </c>
      <c r="C74" s="16"/>
      <c r="D74" s="16"/>
      <c r="E74" s="17"/>
      <c r="F74" s="3"/>
      <c r="G74" s="3"/>
      <c r="H74" s="3"/>
      <c r="I74" s="3"/>
    </row>
    <row r="75" spans="1:9" x14ac:dyDescent="0.2">
      <c r="A75" s="3"/>
      <c r="B75" s="15"/>
      <c r="C75" s="45"/>
      <c r="D75" s="45"/>
      <c r="E75" s="45"/>
      <c r="F75" s="3"/>
      <c r="G75" s="3"/>
      <c r="H75" s="3"/>
      <c r="I75" s="3"/>
    </row>
    <row r="76" spans="1:9" x14ac:dyDescent="0.2">
      <c r="A76" s="3"/>
      <c r="B76" s="14" t="s">
        <v>18</v>
      </c>
      <c r="C76" s="12"/>
      <c r="D76" s="12"/>
      <c r="E76" s="13"/>
      <c r="F76" s="3"/>
      <c r="G76" s="3"/>
      <c r="H76" s="3"/>
      <c r="I76" s="3"/>
    </row>
    <row r="77" spans="1:9" x14ac:dyDescent="0.2">
      <c r="A77" s="3"/>
      <c r="B77" s="14"/>
      <c r="C77" s="46"/>
      <c r="D77" s="46"/>
      <c r="E77" s="46"/>
      <c r="F77" s="3"/>
      <c r="G77" s="3"/>
      <c r="H77" s="3"/>
      <c r="I77" s="3"/>
    </row>
    <row r="78" spans="1:9" ht="13.5" thickBot="1" x14ac:dyDescent="0.25">
      <c r="A78" s="3"/>
      <c r="B78" s="18"/>
      <c r="C78" s="19"/>
      <c r="D78" s="19"/>
      <c r="E78" s="20"/>
      <c r="F78" s="3"/>
      <c r="G78" s="3"/>
      <c r="H78" s="3"/>
      <c r="I78" s="3"/>
    </row>
    <row r="79" spans="1:9" x14ac:dyDescent="0.2">
      <c r="A79" s="3"/>
      <c r="B79" s="3"/>
      <c r="C79" s="3"/>
      <c r="D79" s="3"/>
      <c r="E79" s="3"/>
      <c r="F79" s="3"/>
      <c r="G79" s="3"/>
      <c r="H79" s="3"/>
      <c r="I79" s="3"/>
    </row>
    <row r="80" spans="1:9" ht="13.5" thickBot="1" x14ac:dyDescent="0.25">
      <c r="A80" s="3"/>
      <c r="B80" s="3"/>
      <c r="C80" s="3"/>
      <c r="D80" s="3"/>
      <c r="E80" s="3"/>
      <c r="F80" s="3"/>
      <c r="G80" s="3"/>
      <c r="H80" s="3"/>
      <c r="I80" s="3"/>
    </row>
    <row r="81" spans="1:9" x14ac:dyDescent="0.2">
      <c r="A81" s="3"/>
      <c r="B81" s="47" t="s">
        <v>29</v>
      </c>
      <c r="C81" s="48"/>
      <c r="D81" s="48"/>
      <c r="E81" s="49"/>
      <c r="F81" s="3"/>
      <c r="G81" s="3"/>
      <c r="H81" s="3"/>
      <c r="I81" s="3"/>
    </row>
    <row r="82" spans="1:9" x14ac:dyDescent="0.2">
      <c r="A82" s="3"/>
      <c r="B82" s="11"/>
      <c r="C82" s="12"/>
      <c r="D82" s="12"/>
      <c r="E82" s="13"/>
      <c r="F82" s="3"/>
      <c r="G82" s="3"/>
      <c r="H82" s="3"/>
      <c r="I82" s="3"/>
    </row>
    <row r="83" spans="1:9" x14ac:dyDescent="0.2">
      <c r="B83" s="14" t="s">
        <v>14</v>
      </c>
      <c r="C83" s="12"/>
      <c r="D83" s="12"/>
      <c r="E83" s="13"/>
    </row>
    <row r="84" spans="1:9" ht="63" customHeight="1" x14ac:dyDescent="0.2">
      <c r="B84" s="14"/>
      <c r="C84" s="43" t="s">
        <v>38</v>
      </c>
      <c r="D84" s="43"/>
      <c r="E84" s="44"/>
    </row>
    <row r="85" spans="1:9" x14ac:dyDescent="0.2">
      <c r="B85" s="14" t="s">
        <v>15</v>
      </c>
      <c r="C85" s="12"/>
      <c r="D85" s="12"/>
      <c r="E85" s="13"/>
    </row>
    <row r="86" spans="1:9" ht="80.25" customHeight="1" x14ac:dyDescent="0.2">
      <c r="B86" s="15"/>
      <c r="C86" s="43" t="s">
        <v>54</v>
      </c>
      <c r="D86" s="43"/>
      <c r="E86" s="44"/>
    </row>
    <row r="87" spans="1:9" x14ac:dyDescent="0.2">
      <c r="B87" s="14" t="s">
        <v>16</v>
      </c>
      <c r="C87" s="12"/>
      <c r="D87" s="12"/>
      <c r="E87" s="13"/>
    </row>
    <row r="88" spans="1:9" ht="56.25" customHeight="1" x14ac:dyDescent="0.2">
      <c r="B88" s="15"/>
      <c r="C88" s="43" t="s">
        <v>39</v>
      </c>
      <c r="D88" s="43"/>
      <c r="E88" s="44"/>
    </row>
    <row r="89" spans="1:9" x14ac:dyDescent="0.2">
      <c r="B89" s="14" t="s">
        <v>17</v>
      </c>
      <c r="C89" s="16"/>
      <c r="D89" s="16"/>
      <c r="E89" s="17"/>
    </row>
    <row r="90" spans="1:9" x14ac:dyDescent="0.2">
      <c r="B90" s="15"/>
      <c r="C90" s="45"/>
      <c r="D90" s="45"/>
      <c r="E90" s="45"/>
    </row>
    <row r="91" spans="1:9" x14ac:dyDescent="0.2">
      <c r="B91" s="14" t="s">
        <v>18</v>
      </c>
      <c r="C91" s="12"/>
      <c r="D91" s="12"/>
      <c r="E91" s="13"/>
    </row>
    <row r="92" spans="1:9" x14ac:dyDescent="0.2">
      <c r="B92" s="14"/>
      <c r="C92" s="46"/>
      <c r="D92" s="46"/>
      <c r="E92" s="46"/>
    </row>
    <row r="93" spans="1:9" ht="13.5" thickBot="1" x14ac:dyDescent="0.25">
      <c r="B93" s="18"/>
      <c r="C93" s="19"/>
      <c r="D93" s="19"/>
      <c r="E93" s="20"/>
    </row>
    <row r="94" spans="1:9" ht="13.5" thickBot="1" x14ac:dyDescent="0.25"/>
    <row r="95" spans="1:9" x14ac:dyDescent="0.2">
      <c r="B95" s="47" t="s">
        <v>30</v>
      </c>
      <c r="C95" s="48"/>
      <c r="D95" s="48"/>
      <c r="E95" s="49"/>
    </row>
    <row r="96" spans="1:9" x14ac:dyDescent="0.2">
      <c r="B96" s="11"/>
      <c r="C96" s="12"/>
      <c r="D96" s="12"/>
      <c r="E96" s="13"/>
    </row>
    <row r="97" spans="2:5" x14ac:dyDescent="0.2">
      <c r="B97" s="14" t="s">
        <v>14</v>
      </c>
      <c r="C97" s="12"/>
      <c r="D97" s="12"/>
      <c r="E97" s="13"/>
    </row>
    <row r="98" spans="2:5" ht="82.5" customHeight="1" x14ac:dyDescent="0.2">
      <c r="B98" s="14"/>
      <c r="C98" s="43" t="s">
        <v>51</v>
      </c>
      <c r="D98" s="43"/>
      <c r="E98" s="44"/>
    </row>
    <row r="99" spans="2:5" x14ac:dyDescent="0.2">
      <c r="B99" s="14" t="s">
        <v>15</v>
      </c>
      <c r="C99" s="12"/>
      <c r="D99" s="12"/>
      <c r="E99" s="13"/>
    </row>
    <row r="100" spans="2:5" ht="75.75" customHeight="1" x14ac:dyDescent="0.2">
      <c r="B100" s="15"/>
      <c r="C100" s="43" t="s">
        <v>47</v>
      </c>
      <c r="D100" s="43"/>
      <c r="E100" s="44"/>
    </row>
    <row r="101" spans="2:5" x14ac:dyDescent="0.2">
      <c r="B101" s="14" t="s">
        <v>16</v>
      </c>
      <c r="C101" s="12"/>
      <c r="D101" s="12"/>
      <c r="E101" s="13"/>
    </row>
    <row r="102" spans="2:5" ht="41.25" customHeight="1" x14ac:dyDescent="0.2">
      <c r="B102" s="15"/>
      <c r="C102" s="43" t="s">
        <v>41</v>
      </c>
      <c r="D102" s="43"/>
      <c r="E102" s="44"/>
    </row>
    <row r="103" spans="2:5" x14ac:dyDescent="0.2">
      <c r="B103" s="14" t="s">
        <v>17</v>
      </c>
      <c r="C103" s="16"/>
      <c r="D103" s="16"/>
      <c r="E103" s="17"/>
    </row>
    <row r="104" spans="2:5" x14ac:dyDescent="0.2">
      <c r="B104" s="15"/>
      <c r="C104" s="45"/>
      <c r="D104" s="45"/>
      <c r="E104" s="45"/>
    </row>
    <row r="105" spans="2:5" x14ac:dyDescent="0.2">
      <c r="B105" s="14" t="s">
        <v>18</v>
      </c>
      <c r="C105" s="12"/>
      <c r="D105" s="12"/>
      <c r="E105" s="13"/>
    </row>
    <row r="106" spans="2:5" x14ac:dyDescent="0.2">
      <c r="B106" s="14"/>
      <c r="C106" s="46"/>
      <c r="D106" s="46"/>
      <c r="E106" s="46"/>
    </row>
    <row r="107" spans="2:5" ht="13.5" thickBot="1" x14ac:dyDescent="0.25">
      <c r="B107" s="18"/>
      <c r="C107" s="19"/>
      <c r="D107" s="19"/>
      <c r="E107" s="20"/>
    </row>
    <row r="108" spans="2:5" ht="13.5" thickBot="1" x14ac:dyDescent="0.25"/>
    <row r="109" spans="2:5" x14ac:dyDescent="0.2">
      <c r="B109" s="47" t="s">
        <v>35</v>
      </c>
      <c r="C109" s="48"/>
      <c r="D109" s="48"/>
      <c r="E109" s="49"/>
    </row>
    <row r="110" spans="2:5" x14ac:dyDescent="0.2">
      <c r="B110" s="11"/>
      <c r="C110" s="12"/>
      <c r="D110" s="12"/>
      <c r="E110" s="13"/>
    </row>
    <row r="111" spans="2:5" x14ac:dyDescent="0.2">
      <c r="B111" s="14" t="s">
        <v>14</v>
      </c>
      <c r="C111" s="12"/>
      <c r="D111" s="12"/>
      <c r="E111" s="13"/>
    </row>
    <row r="112" spans="2:5" ht="84" customHeight="1" x14ac:dyDescent="0.2">
      <c r="B112" s="14"/>
      <c r="C112" s="43" t="s">
        <v>52</v>
      </c>
      <c r="D112" s="43"/>
      <c r="E112" s="44"/>
    </row>
    <row r="113" spans="2:5" x14ac:dyDescent="0.2">
      <c r="B113" s="14" t="s">
        <v>15</v>
      </c>
      <c r="C113" s="12"/>
      <c r="D113" s="12"/>
      <c r="E113" s="13"/>
    </row>
    <row r="114" spans="2:5" ht="87.75" customHeight="1" x14ac:dyDescent="0.2">
      <c r="B114" s="15"/>
      <c r="C114" s="43" t="s">
        <v>48</v>
      </c>
      <c r="D114" s="43"/>
      <c r="E114" s="44"/>
    </row>
    <row r="115" spans="2:5" x14ac:dyDescent="0.2">
      <c r="B115" s="14" t="s">
        <v>16</v>
      </c>
      <c r="C115" s="12"/>
      <c r="D115" s="12"/>
      <c r="E115" s="13"/>
    </row>
    <row r="116" spans="2:5" ht="47.25" customHeight="1" x14ac:dyDescent="0.2">
      <c r="B116" s="15"/>
      <c r="C116" s="43" t="s">
        <v>41</v>
      </c>
      <c r="D116" s="43"/>
      <c r="E116" s="44"/>
    </row>
    <row r="117" spans="2:5" x14ac:dyDescent="0.2">
      <c r="B117" s="14" t="s">
        <v>17</v>
      </c>
      <c r="C117" s="16"/>
      <c r="D117" s="16"/>
      <c r="E117" s="17"/>
    </row>
    <row r="118" spans="2:5" x14ac:dyDescent="0.2">
      <c r="B118" s="15"/>
      <c r="C118" s="45"/>
      <c r="D118" s="45"/>
      <c r="E118" s="45"/>
    </row>
    <row r="119" spans="2:5" x14ac:dyDescent="0.2">
      <c r="B119" s="14" t="s">
        <v>18</v>
      </c>
      <c r="C119" s="12"/>
      <c r="D119" s="12"/>
      <c r="E119" s="13"/>
    </row>
    <row r="120" spans="2:5" x14ac:dyDescent="0.2">
      <c r="B120" s="14"/>
      <c r="C120" s="46"/>
      <c r="D120" s="46"/>
      <c r="E120" s="46"/>
    </row>
    <row r="121" spans="2:5" ht="13.5" thickBot="1" x14ac:dyDescent="0.25">
      <c r="B121" s="18"/>
      <c r="C121" s="19"/>
      <c r="D121" s="19"/>
      <c r="E121" s="20"/>
    </row>
    <row r="122" spans="2:5" ht="13.5" thickBot="1" x14ac:dyDescent="0.25"/>
    <row r="123" spans="2:5" x14ac:dyDescent="0.2">
      <c r="B123" s="47" t="s">
        <v>36</v>
      </c>
      <c r="C123" s="48"/>
      <c r="D123" s="48"/>
      <c r="E123" s="49"/>
    </row>
    <row r="124" spans="2:5" x14ac:dyDescent="0.2">
      <c r="B124" s="11"/>
      <c r="C124" s="12"/>
      <c r="D124" s="12"/>
      <c r="E124" s="13"/>
    </row>
    <row r="125" spans="2:5" x14ac:dyDescent="0.2">
      <c r="B125" s="14" t="s">
        <v>14</v>
      </c>
      <c r="C125" s="12"/>
      <c r="D125" s="12"/>
      <c r="E125" s="13"/>
    </row>
    <row r="126" spans="2:5" ht="87" customHeight="1" x14ac:dyDescent="0.2">
      <c r="B126" s="14"/>
      <c r="C126" s="43" t="s">
        <v>51</v>
      </c>
      <c r="D126" s="43"/>
      <c r="E126" s="44"/>
    </row>
    <row r="127" spans="2:5" x14ac:dyDescent="0.2">
      <c r="B127" s="14" t="s">
        <v>15</v>
      </c>
      <c r="C127" s="12"/>
      <c r="D127" s="12"/>
      <c r="E127" s="13"/>
    </row>
    <row r="128" spans="2:5" ht="80.25" customHeight="1" x14ac:dyDescent="0.2">
      <c r="B128" s="15"/>
      <c r="C128" s="43" t="s">
        <v>49</v>
      </c>
      <c r="D128" s="43"/>
      <c r="E128" s="44"/>
    </row>
    <row r="129" spans="2:5" x14ac:dyDescent="0.2">
      <c r="B129" s="14" t="s">
        <v>16</v>
      </c>
      <c r="C129" s="12"/>
      <c r="D129" s="12"/>
      <c r="E129" s="13"/>
    </row>
    <row r="130" spans="2:5" ht="43.5" customHeight="1" x14ac:dyDescent="0.2">
      <c r="B130" s="15"/>
      <c r="C130" s="43" t="s">
        <v>41</v>
      </c>
      <c r="D130" s="43"/>
      <c r="E130" s="44"/>
    </row>
    <row r="131" spans="2:5" x14ac:dyDescent="0.2">
      <c r="B131" s="14" t="s">
        <v>17</v>
      </c>
      <c r="C131" s="16"/>
      <c r="D131" s="16"/>
      <c r="E131" s="17"/>
    </row>
    <row r="132" spans="2:5" x14ac:dyDescent="0.2">
      <c r="B132" s="15"/>
      <c r="C132" s="45"/>
      <c r="D132" s="45"/>
      <c r="E132" s="45"/>
    </row>
    <row r="133" spans="2:5" x14ac:dyDescent="0.2">
      <c r="B133" s="14" t="s">
        <v>18</v>
      </c>
      <c r="C133" s="12"/>
      <c r="D133" s="12"/>
      <c r="E133" s="13"/>
    </row>
    <row r="134" spans="2:5" x14ac:dyDescent="0.2">
      <c r="B134" s="14"/>
      <c r="C134" s="46"/>
      <c r="D134" s="46"/>
      <c r="E134" s="46"/>
    </row>
    <row r="135" spans="2:5" ht="13.5" thickBot="1" x14ac:dyDescent="0.25">
      <c r="B135" s="18"/>
      <c r="C135" s="19"/>
      <c r="D135" s="19"/>
      <c r="E135" s="20"/>
    </row>
    <row r="136" spans="2:5" ht="13.5" thickBot="1" x14ac:dyDescent="0.25"/>
    <row r="137" spans="2:5" x14ac:dyDescent="0.2">
      <c r="B137" s="47" t="s">
        <v>37</v>
      </c>
      <c r="C137" s="48"/>
      <c r="D137" s="48"/>
      <c r="E137" s="49"/>
    </row>
    <row r="138" spans="2:5" x14ac:dyDescent="0.2">
      <c r="B138" s="11"/>
      <c r="C138" s="12"/>
      <c r="D138" s="12"/>
      <c r="E138" s="13"/>
    </row>
    <row r="139" spans="2:5" x14ac:dyDescent="0.2">
      <c r="B139" s="14" t="s">
        <v>14</v>
      </c>
      <c r="C139" s="12"/>
      <c r="D139" s="12"/>
      <c r="E139" s="13"/>
    </row>
    <row r="140" spans="2:5" ht="90" customHeight="1" x14ac:dyDescent="0.2">
      <c r="B140" s="14"/>
      <c r="C140" s="43" t="s">
        <v>53</v>
      </c>
      <c r="D140" s="43"/>
      <c r="E140" s="44"/>
    </row>
    <row r="141" spans="2:5" x14ac:dyDescent="0.2">
      <c r="B141" s="14" t="s">
        <v>15</v>
      </c>
      <c r="C141" s="12"/>
      <c r="D141" s="12"/>
      <c r="E141" s="13"/>
    </row>
    <row r="142" spans="2:5" ht="84.75" customHeight="1" x14ac:dyDescent="0.2">
      <c r="B142" s="15"/>
      <c r="C142" s="43" t="s">
        <v>50</v>
      </c>
      <c r="D142" s="43"/>
      <c r="E142" s="44"/>
    </row>
    <row r="143" spans="2:5" x14ac:dyDescent="0.2">
      <c r="B143" s="14" t="s">
        <v>16</v>
      </c>
      <c r="C143" s="12"/>
      <c r="D143" s="12"/>
      <c r="E143" s="13"/>
    </row>
    <row r="144" spans="2:5" ht="45.75" customHeight="1" x14ac:dyDescent="0.2">
      <c r="B144" s="15"/>
      <c r="C144" s="43" t="s">
        <v>41</v>
      </c>
      <c r="D144" s="43"/>
      <c r="E144" s="44"/>
    </row>
    <row r="145" spans="2:5" x14ac:dyDescent="0.2">
      <c r="B145" s="14" t="s">
        <v>17</v>
      </c>
      <c r="C145" s="16"/>
      <c r="D145" s="16"/>
      <c r="E145" s="17"/>
    </row>
    <row r="146" spans="2:5" x14ac:dyDescent="0.2">
      <c r="B146" s="15"/>
      <c r="C146" s="45"/>
      <c r="D146" s="45"/>
      <c r="E146" s="45"/>
    </row>
    <row r="147" spans="2:5" x14ac:dyDescent="0.2">
      <c r="B147" s="14" t="s">
        <v>18</v>
      </c>
      <c r="C147" s="12"/>
      <c r="D147" s="12"/>
      <c r="E147" s="13"/>
    </row>
    <row r="148" spans="2:5" x14ac:dyDescent="0.2">
      <c r="B148" s="14"/>
      <c r="C148" s="46"/>
      <c r="D148" s="46"/>
      <c r="E148" s="46"/>
    </row>
    <row r="149" spans="2:5" ht="13.5" thickBot="1" x14ac:dyDescent="0.25">
      <c r="B149" s="18"/>
      <c r="C149" s="19"/>
      <c r="D149" s="19"/>
      <c r="E149" s="20"/>
    </row>
  </sheetData>
  <mergeCells count="65">
    <mergeCell ref="C67:E67"/>
    <mergeCell ref="C62:E62"/>
    <mergeCell ref="C43:E43"/>
    <mergeCell ref="C45:E45"/>
    <mergeCell ref="C47:E47"/>
    <mergeCell ref="C56:E56"/>
    <mergeCell ref="C60:E60"/>
    <mergeCell ref="C58:E58"/>
    <mergeCell ref="B66:E66"/>
    <mergeCell ref="B2:H2"/>
    <mergeCell ref="A4:B4"/>
    <mergeCell ref="C4:E4"/>
    <mergeCell ref="A5:B5"/>
    <mergeCell ref="C5:E5"/>
    <mergeCell ref="A6:B6"/>
    <mergeCell ref="A7:B7"/>
    <mergeCell ref="C25:E25"/>
    <mergeCell ref="C27:E27"/>
    <mergeCell ref="B22:E22"/>
    <mergeCell ref="A19:H19"/>
    <mergeCell ref="C29:E29"/>
    <mergeCell ref="C31:E31"/>
    <mergeCell ref="B50:E50"/>
    <mergeCell ref="C53:E53"/>
    <mergeCell ref="C55:E55"/>
    <mergeCell ref="C33:E33"/>
    <mergeCell ref="C39:E39"/>
    <mergeCell ref="C41:E41"/>
    <mergeCell ref="B36:E36"/>
    <mergeCell ref="C51:E51"/>
    <mergeCell ref="C69:E69"/>
    <mergeCell ref="C71:E71"/>
    <mergeCell ref="C73:E73"/>
    <mergeCell ref="C75:E75"/>
    <mergeCell ref="C77:E77"/>
    <mergeCell ref="B81:E81"/>
    <mergeCell ref="C84:E84"/>
    <mergeCell ref="C86:E86"/>
    <mergeCell ref="C88:E88"/>
    <mergeCell ref="C102:E102"/>
    <mergeCell ref="C104:E104"/>
    <mergeCell ref="C106:E106"/>
    <mergeCell ref="C90:E90"/>
    <mergeCell ref="C92:E92"/>
    <mergeCell ref="B95:E95"/>
    <mergeCell ref="C98:E98"/>
    <mergeCell ref="C100:E100"/>
    <mergeCell ref="B109:E109"/>
    <mergeCell ref="C112:E112"/>
    <mergeCell ref="C114:E114"/>
    <mergeCell ref="C116:E116"/>
    <mergeCell ref="C118:E118"/>
    <mergeCell ref="C120:E120"/>
    <mergeCell ref="B123:E123"/>
    <mergeCell ref="C126:E126"/>
    <mergeCell ref="C128:E128"/>
    <mergeCell ref="C130:E130"/>
    <mergeCell ref="C144:E144"/>
    <mergeCell ref="C146:E146"/>
    <mergeCell ref="C148:E148"/>
    <mergeCell ref="C132:E132"/>
    <mergeCell ref="C134:E134"/>
    <mergeCell ref="B137:E137"/>
    <mergeCell ref="C140:E140"/>
    <mergeCell ref="C142:E142"/>
  </mergeCells>
  <pageMargins left="0.7" right="0.7" top="0.75" bottom="0.75" header="0.51180555555555496" footer="0.51180555555555496"/>
  <pageSetup paperSize="9" firstPageNumber="0"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Necesidades Trimestrales</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ELIAS QUINTAR</cp:lastModifiedBy>
  <cp:revision>2</cp:revision>
  <cp:lastPrinted>2020-07-17T22:18:48Z</cp:lastPrinted>
  <dcterms:created xsi:type="dcterms:W3CDTF">2020-07-17T23:44:49Z</dcterms:created>
  <dcterms:modified xsi:type="dcterms:W3CDTF">2021-09-01T12:43:26Z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