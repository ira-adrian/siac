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DESARROLLO SOCIAL\frazadas\final\"/>
    </mc:Choice>
  </mc:AlternateContent>
  <xr:revisionPtr revIDLastSave="0" documentId="8_{FE150219-6F7A-4770-A34B-B0DCEB7AD5B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Gastar'!$A$1:$Q$24</definedName>
    <definedName name="_xlnm.Print_Area" localSheetId="0">'Necesidades Trimestrales'!$A$1:$I$11</definedName>
  </definedNames>
  <calcPr calcId="181029"/>
</workbook>
</file>

<file path=xl/calcChain.xml><?xml version="1.0" encoding="utf-8"?>
<calcChain xmlns="http://schemas.openxmlformats.org/spreadsheetml/2006/main">
  <c r="J12" i="2" l="1"/>
  <c r="C12" i="2"/>
  <c r="B12" i="2"/>
  <c r="I10" i="1"/>
  <c r="K12" i="2" l="1"/>
  <c r="J13" i="2" s="1"/>
  <c r="Q20" i="3" l="1"/>
  <c r="D7" i="2" l="1"/>
  <c r="D3" i="2"/>
  <c r="G4" i="3" s="1"/>
  <c r="D4" i="2"/>
  <c r="G5" i="3" s="1"/>
  <c r="A10" i="3" l="1"/>
  <c r="D1" i="3"/>
</calcChain>
</file>

<file path=xl/sharedStrings.xml><?xml version="1.0" encoding="utf-8"?>
<sst xmlns="http://schemas.openxmlformats.org/spreadsheetml/2006/main" count="88" uniqueCount="82">
  <si>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</si>
  <si>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</si>
  <si>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</si>
  <si>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</si>
  <si>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</si>
  <si>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</si>
  <si>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</si>
  <si>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</si>
  <si>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</si>
  <si>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</si>
  <si>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</si>
  <si>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</si>
  <si>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</si>
  <si>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</si>
  <si>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</si>
  <si>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</si>
  <si>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</si>
  <si>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</si>
  <si>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</si>
  <si>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</si>
  <si>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</si>
  <si>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</si>
  <si>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</si>
  <si>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</si>
  <si>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</si>
  <si>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</si>
  <si>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</si>
  <si>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</si>
  <si>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</si>
  <si>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</si>
  <si>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</si>
  <si>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</si>
  <si>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</si>
  <si>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</si>
  <si>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</si>
  <si>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</si>
  <si>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</si>
  <si>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</si>
  <si>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</si>
  <si>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</si>
  <si>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</si>
  <si>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</si>
  <si>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</si>
  <si>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</si>
  <si>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</si>
  <si>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</si>
  <si>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</si>
  <si>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</si>
  <si>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</si>
  <si>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</si>
  <si>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</si>
  <si>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</si>
  <si>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</si>
  <si>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</si>
  <si>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</si>
  <si>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</si>
  <si>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25- Direccion Provincial de Gestion Administrativa y RRHH</t>
  </si>
  <si>
    <t>Plazo de Mantinimiento 90 dias</t>
  </si>
  <si>
    <t>Alta</t>
  </si>
  <si>
    <t>S/E</t>
  </si>
  <si>
    <t>UNIDADES</t>
  </si>
  <si>
    <t xml:space="preserve">UNIDADES </t>
  </si>
  <si>
    <t>INDUMENT TEXTIL Y CONFECCIONES</t>
  </si>
  <si>
    <t>2.2.3</t>
  </si>
  <si>
    <t>02- Programa Vivir Mejor- PRO.VI.ME</t>
  </si>
  <si>
    <t>16- Direccion Provincial de Accion Social Directa-</t>
  </si>
  <si>
    <t>1.1</t>
  </si>
  <si>
    <t>Confecciones Textiles</t>
  </si>
  <si>
    <t>16- Direccion Provincial de Accion Social Directa</t>
  </si>
  <si>
    <t>45- Ministerio de Desarrollo Social</t>
  </si>
  <si>
    <r>
      <rPr>
        <u/>
        <sz val="12"/>
        <rFont val="Times New Roman"/>
        <family val="1"/>
      </rPr>
      <t>Lugar y Forma de Entrega</t>
    </r>
    <r>
      <rPr>
        <sz val="12"/>
        <rFont val="Times New Roman"/>
        <family val="1"/>
      </rPr>
      <t>: Se Entregara en el Area Industrial El Pantanillo Deposito perteneciente al Ministerio de Desarrollo Social - San Fernando del Valle de Catamarca (CP 4700) , corriendo los gastos de flete, acarreo, carga, descarga y seguros por cuenta del adjudicatario.-</t>
    </r>
  </si>
  <si>
    <t>Descripción técnica:</t>
  </si>
  <si>
    <t>FRAZADAS; MOTIVO: LISA, HILADO: POLIESTER, TAMAÑO: 1 PLAZA, MATERIAL: POLIESTER</t>
  </si>
  <si>
    <t>2.2.3-920.9</t>
  </si>
  <si>
    <t>SI</t>
  </si>
  <si>
    <t>Costo total estimado: DIEZ MILLONES CON 00/100.-</t>
  </si>
  <si>
    <t>TOTAL DE PESOS: DIEZ MILLONES CON 00/100.-</t>
  </si>
  <si>
    <t>207/2022</t>
  </si>
  <si>
    <r>
      <rPr>
        <u/>
        <sz val="12"/>
        <rFont val="Times New Roman"/>
        <family val="1"/>
      </rPr>
      <t>Plazo de Entrega</t>
    </r>
    <r>
      <rPr>
        <sz val="12"/>
        <rFont val="Times New Roman"/>
        <family val="1"/>
      </rPr>
      <t>: Dentro de los 10(Diez) dias habiles de Notificada la Orden de Compra</t>
    </r>
  </si>
  <si>
    <t>FRAZADA POLAR DE 1 (UNA) PLAZA, DE TEJIDO ANTIPILLING , SEMI-GRUESO Y DE FACIL LAVADO - MEDIDAS: LARGO 2M, ANCHO 1,4 M; SE ACEPTAN LIMITES DE TOLERANCIAS +/- 10% A LAS MEDIDAS - COLOR GRIS</t>
  </si>
  <si>
    <t>Adquisición de Frazadas para Asistir a Personas de Escasos Recursos</t>
  </si>
  <si>
    <t>Adquisición de Frazadas  para Asistir a Personas de Escasos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</si>
</sst>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8"/>
      <name val="Arial"/>
      <charset val="1"/>
    </font>
    <font>
      <sz val="12"/>
      <name val="Times New Roman"/>
      <family val="1"/>
    </font>
    <font>
      <sz val="12"/>
      <color rgb="FF000000"/>
      <name val="Times New Roman"/>
      <family val="1"/>
    </font>
    <font>
      <u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thin">
        <color indexed="64"/>
      </left>
      <right style="thin">
        <color rgb="FF3D3D3D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/>
      <top style="thin">
        <color indexed="64"/>
      </top>
      <bottom style="thin">
        <color indexed="64"/>
      </bottom>
      <diagonal/>
    </border>
    <border>
      <left style="thin">
        <color rgb="FF3D3D3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6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7" xfId="0" applyBorder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left" vertical="center"/>
    </xf>
    <xf numFmtId="0" fontId="14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6" fillId="0" borderId="0" xfId="0" applyFont="1"/>
    <xf numFmtId="0" fontId="5" fillId="0" borderId="10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19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/>
    </xf>
    <xf numFmtId="0" fontId="4" fillId="0" borderId="19" xfId="0" applyFont="1" applyFill="1" applyBorder="1" applyAlignment="1">
      <alignment horizontal="center" vertical="center" wrapText="1"/>
    </xf>
    <xf numFmtId="166" fontId="4" fillId="0" borderId="19" xfId="1" applyNumberFormat="1" applyFont="1" applyFill="1" applyBorder="1" applyAlignment="1" applyProtection="1">
      <alignment horizontal="right" vertical="center" wrapText="1"/>
    </xf>
    <xf numFmtId="3" fontId="4" fillId="0" borderId="19" xfId="0" applyNumberFormat="1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166" fontId="0" fillId="0" borderId="36" xfId="3" applyNumberFormat="1" applyFont="1" applyFill="1" applyBorder="1" applyAlignment="1" applyProtection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12" fillId="0" borderId="35" xfId="0" applyFont="1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166" fontId="0" fillId="0" borderId="40" xfId="3" applyNumberFormat="1" applyFont="1" applyFill="1" applyBorder="1" applyAlignment="1" applyProtection="1">
      <alignment horizontal="center" vertical="center"/>
    </xf>
    <xf numFmtId="166" fontId="14" fillId="0" borderId="41" xfId="0" applyNumberFormat="1" applyFont="1" applyFill="1" applyBorder="1" applyAlignment="1">
      <alignment horizontal="center" vertical="center"/>
    </xf>
    <xf numFmtId="0" fontId="16" fillId="0" borderId="0" xfId="0" applyFont="1" applyFill="1"/>
    <xf numFmtId="0" fontId="18" fillId="0" borderId="0" xfId="0" applyFont="1" applyFill="1" applyAlignment="1">
      <alignment horizontal="left" wrapText="1" indent="1"/>
    </xf>
    <xf numFmtId="0" fontId="21" fillId="0" borderId="0" xfId="0" applyFont="1" applyFill="1"/>
    <xf numFmtId="0" fontId="21" fillId="0" borderId="0" xfId="0" applyFont="1"/>
    <xf numFmtId="0" fontId="22" fillId="0" borderId="0" xfId="0" applyFont="1" applyFill="1" applyAlignment="1">
      <alignment horizontal="left" wrapText="1"/>
    </xf>
    <xf numFmtId="0" fontId="22" fillId="0" borderId="0" xfId="0" applyFont="1" applyFill="1" applyAlignment="1">
      <alignment horizontal="center" wrapText="1"/>
    </xf>
    <xf numFmtId="0" fontId="18" fillId="0" borderId="0" xfId="0" applyFont="1" applyFill="1" applyAlignment="1">
      <alignment horizontal="left" wrapText="1"/>
    </xf>
    <xf numFmtId="0" fontId="18" fillId="0" borderId="21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166" fontId="21" fillId="0" borderId="0" xfId="0" applyNumberFormat="1" applyFont="1"/>
    <xf numFmtId="0" fontId="23" fillId="0" borderId="2" xfId="0" applyFont="1" applyFill="1" applyBorder="1"/>
    <xf numFmtId="0" fontId="21" fillId="0" borderId="3" xfId="0" applyFont="1" applyFill="1" applyBorder="1"/>
    <xf numFmtId="0" fontId="21" fillId="0" borderId="4" xfId="0" applyFont="1" applyFill="1" applyBorder="1"/>
    <xf numFmtId="0" fontId="21" fillId="0" borderId="5" xfId="0" applyFont="1" applyFill="1" applyBorder="1"/>
    <xf numFmtId="0" fontId="21" fillId="0" borderId="0" xfId="0" applyFont="1" applyFill="1" applyBorder="1"/>
    <xf numFmtId="0" fontId="21" fillId="0" borderId="6" xfId="0" applyFont="1" applyFill="1" applyBorder="1"/>
    <xf numFmtId="0" fontId="23" fillId="0" borderId="5" xfId="0" applyFont="1" applyFill="1" applyBorder="1" applyAlignment="1">
      <alignment horizontal="left" indent="3"/>
    </xf>
    <xf numFmtId="0" fontId="21" fillId="0" borderId="5" xfId="0" applyFont="1" applyFill="1" applyBorder="1" applyAlignment="1">
      <alignment horizontal="left" indent="3"/>
    </xf>
    <xf numFmtId="0" fontId="21" fillId="0" borderId="0" xfId="0" applyFont="1" applyFill="1" applyBorder="1" applyAlignment="1">
      <alignment horizontal="left"/>
    </xf>
    <xf numFmtId="0" fontId="21" fillId="0" borderId="6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center" wrapText="1"/>
    </xf>
    <xf numFmtId="0" fontId="21" fillId="0" borderId="6" xfId="0" applyFont="1" applyFill="1" applyBorder="1" applyAlignment="1">
      <alignment horizontal="center" wrapText="1"/>
    </xf>
    <xf numFmtId="0" fontId="21" fillId="0" borderId="7" xfId="0" applyFont="1" applyFill="1" applyBorder="1" applyAlignment="1">
      <alignment horizontal="left" indent="3"/>
    </xf>
    <xf numFmtId="0" fontId="21" fillId="0" borderId="8" xfId="0" applyFont="1" applyFill="1" applyBorder="1"/>
    <xf numFmtId="0" fontId="21" fillId="0" borderId="9" xfId="0" applyFont="1" applyFill="1" applyBorder="1"/>
    <xf numFmtId="0" fontId="24" fillId="0" borderId="0" xfId="0" applyFont="1"/>
    <xf numFmtId="166" fontId="0" fillId="0" borderId="45" xfId="3" applyNumberFormat="1" applyFont="1" applyFill="1" applyBorder="1" applyAlignment="1" applyProtection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0" fontId="0" fillId="0" borderId="47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166" fontId="0" fillId="0" borderId="49" xfId="3" applyNumberFormat="1" applyFont="1" applyFill="1" applyBorder="1" applyAlignment="1" applyProtection="1">
      <alignment horizontal="center" vertical="center"/>
    </xf>
    <xf numFmtId="0" fontId="21" fillId="0" borderId="50" xfId="0" applyFont="1" applyFill="1" applyBorder="1" applyAlignment="1">
      <alignment horizontal="center" vertical="center"/>
    </xf>
    <xf numFmtId="0" fontId="21" fillId="0" borderId="50" xfId="0" applyFont="1" applyFill="1" applyBorder="1"/>
    <xf numFmtId="0" fontId="21" fillId="0" borderId="50" xfId="0" applyFont="1" applyFill="1" applyBorder="1" applyAlignment="1">
      <alignment horizontal="center"/>
    </xf>
    <xf numFmtId="0" fontId="22" fillId="0" borderId="50" xfId="0" applyFont="1" applyFill="1" applyBorder="1" applyAlignment="1">
      <alignment horizontal="center" vertical="center" wrapText="1"/>
    </xf>
    <xf numFmtId="0" fontId="22" fillId="0" borderId="50" xfId="0" applyFont="1" applyFill="1" applyBorder="1" applyAlignment="1">
      <alignment horizontal="center" wrapText="1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0" fontId="18" fillId="0" borderId="51" xfId="0" applyFont="1" applyFill="1" applyBorder="1" applyAlignment="1">
      <alignment horizontal="center" vertical="center" wrapText="1"/>
    </xf>
    <xf numFmtId="0" fontId="18" fillId="0" borderId="52" xfId="0" applyFont="1" applyFill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wrapText="1" indent="1"/>
    </xf>
    <xf numFmtId="0" fontId="21" fillId="0" borderId="6" xfId="0" applyFont="1" applyFill="1" applyBorder="1" applyAlignment="1">
      <alignment horizontal="center" wrapText="1"/>
    </xf>
    <xf numFmtId="0" fontId="21" fillId="0" borderId="6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left"/>
    </xf>
    <xf numFmtId="0" fontId="21" fillId="0" borderId="6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 vertical="center" wrapText="1"/>
    </xf>
    <xf numFmtId="0" fontId="21" fillId="0" borderId="6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167" fontId="19" fillId="0" borderId="14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left" vertical="center" wrapText="1"/>
    </xf>
    <xf numFmtId="0" fontId="7" fillId="0" borderId="16" xfId="0" applyFont="1" applyFill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 wrapText="1" indent="1"/>
    </xf>
    <xf numFmtId="0" fontId="8" fillId="0" borderId="1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17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horizontal="left" vertical="center" wrapText="1" indent="1"/>
    </xf>
    <xf numFmtId="0" fontId="0" fillId="0" borderId="35" xfId="0" applyFont="1" applyFill="1" applyBorder="1" applyAlignment="1">
      <alignment horizontal="left" vertical="center"/>
    </xf>
    <xf numFmtId="0" fontId="0" fillId="0" borderId="35" xfId="0" applyFill="1" applyBorder="1" applyAlignment="1">
      <alignment horizontal="left" vertical="center"/>
    </xf>
    <xf numFmtId="0" fontId="0" fillId="0" borderId="38" xfId="0" applyFill="1" applyBorder="1" applyAlignment="1">
      <alignment horizontal="left" vertical="center"/>
    </xf>
    <xf numFmtId="0" fontId="10" fillId="0" borderId="41" xfId="0" applyFont="1" applyFill="1" applyBorder="1" applyAlignment="1">
      <alignment horizontal="left" vertical="center" wrapText="1"/>
    </xf>
    <xf numFmtId="0" fontId="0" fillId="0" borderId="23" xfId="0" applyFill="1" applyBorder="1"/>
    <xf numFmtId="0" fontId="0" fillId="0" borderId="47" xfId="0" applyFont="1" applyFill="1" applyBorder="1" applyAlignment="1">
      <alignment horizontal="left" vertical="center"/>
    </xf>
    <xf numFmtId="0" fontId="0" fillId="0" borderId="33" xfId="0" applyFont="1" applyFill="1" applyBorder="1" applyAlignment="1">
      <alignment horizontal="left" vertical="center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indent="1"/>
    </xf>
    <xf numFmtId="0" fontId="13" fillId="0" borderId="11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9"/>
  <sheetViews>
    <sheetView tabSelected="1" zoomScaleNormal="100" workbookViewId="0">
      <selection activeCell="I20" sqref="I20"/>
    </sheetView>
  </sheetViews>
  <sheetFormatPr baseColWidth="10" defaultRowHeight="12.75" x14ac:dyDescent="0.2"/>
  <cols>
    <col min="1" max="1" width="4.5703125" style="17" customWidth="1"/>
    <col min="2" max="2" width="25.7109375" style="17" customWidth="1"/>
    <col min="3" max="3" width="43.140625" style="17" customWidth="1"/>
    <col min="4" max="4" width="12.28515625" style="17" bestFit="1" customWidth="1"/>
    <col min="5" max="5" width="123.5703125" style="17" customWidth="1"/>
    <col min="6" max="6" width="15.7109375" style="17" customWidth="1"/>
    <col min="7" max="8" width="13.7109375" style="17" customWidth="1"/>
    <col min="9" max="9" width="15.85546875" style="17" bestFit="1" customWidth="1"/>
    <col min="10" max="16384" width="11.42578125" style="17"/>
  </cols>
  <sheetData>
    <row r="2" spans="1:9" ht="27" x14ac:dyDescent="0.35">
      <c r="A2" s="45"/>
      <c r="B2" s="88" t="s">
        <v>0</v>
      </c>
      <c r="C2" s="88"/>
      <c r="D2" s="88"/>
      <c r="E2" s="88"/>
      <c r="F2" s="88"/>
      <c r="G2" s="88"/>
      <c r="H2" s="88"/>
    </row>
    <row r="3" spans="1:9" ht="15.75" x14ac:dyDescent="0.25">
      <c r="A3" s="47"/>
      <c r="B3" s="47"/>
      <c r="C3" s="47"/>
      <c r="D3" s="47"/>
      <c r="E3" s="47"/>
      <c r="F3" s="47"/>
      <c r="G3" s="47"/>
      <c r="H3" s="47"/>
      <c r="I3" s="48"/>
    </row>
    <row r="4" spans="1:9" ht="18" customHeight="1" x14ac:dyDescent="0.25">
      <c r="A4" s="87" t="s">
        <v>1</v>
      </c>
      <c r="B4" s="87"/>
      <c r="C4" s="89" t="s">
        <v>69</v>
      </c>
      <c r="D4" s="89"/>
      <c r="E4" s="89"/>
      <c r="F4" s="49"/>
      <c r="G4" s="50"/>
      <c r="H4" s="49"/>
      <c r="I4" s="48"/>
    </row>
    <row r="5" spans="1:9" ht="18" customHeight="1" x14ac:dyDescent="0.25">
      <c r="A5" s="87" t="s">
        <v>2</v>
      </c>
      <c r="B5" s="87"/>
      <c r="C5" s="89" t="s">
        <v>56</v>
      </c>
      <c r="D5" s="89"/>
      <c r="E5" s="89"/>
      <c r="F5" s="49"/>
      <c r="G5" s="50"/>
      <c r="H5" s="49"/>
      <c r="I5" s="48"/>
    </row>
    <row r="6" spans="1:9" ht="16.5" customHeight="1" x14ac:dyDescent="0.25">
      <c r="A6" s="87" t="s">
        <v>3</v>
      </c>
      <c r="B6" s="87"/>
      <c r="C6" s="46">
        <v>2022</v>
      </c>
      <c r="D6" s="51"/>
      <c r="E6" s="51"/>
      <c r="F6" s="49"/>
      <c r="G6" s="50"/>
      <c r="H6" s="49"/>
      <c r="I6" s="48"/>
    </row>
    <row r="7" spans="1:9" ht="16.5" customHeight="1" x14ac:dyDescent="0.25">
      <c r="A7" s="87" t="s">
        <v>4</v>
      </c>
      <c r="B7" s="87"/>
      <c r="C7" s="46">
        <v>2</v>
      </c>
      <c r="D7" s="51"/>
      <c r="E7" s="51"/>
      <c r="F7" s="49"/>
      <c r="G7" s="50"/>
      <c r="H7" s="49"/>
      <c r="I7" s="48"/>
    </row>
    <row r="8" spans="1:9" ht="16.5" thickBot="1" x14ac:dyDescent="0.3">
      <c r="A8" s="47"/>
      <c r="B8" s="49"/>
      <c r="C8" s="50"/>
      <c r="D8" s="49"/>
      <c r="E8" s="49"/>
      <c r="F8" s="49"/>
      <c r="G8" s="50"/>
      <c r="H8" s="49"/>
      <c r="I8" s="48"/>
    </row>
    <row r="9" spans="1:9" ht="48" thickBot="1" x14ac:dyDescent="0.25">
      <c r="A9" s="52" t="s">
        <v>5</v>
      </c>
      <c r="B9" s="53" t="s">
        <v>6</v>
      </c>
      <c r="C9" s="53" t="s">
        <v>7</v>
      </c>
      <c r="D9" s="53" t="s">
        <v>8</v>
      </c>
      <c r="E9" s="53" t="s">
        <v>9</v>
      </c>
      <c r="F9" s="82" t="s">
        <v>10</v>
      </c>
      <c r="G9" s="83" t="s">
        <v>11</v>
      </c>
      <c r="H9" s="83" t="s">
        <v>12</v>
      </c>
      <c r="I9" s="84" t="s">
        <v>13</v>
      </c>
    </row>
    <row r="10" spans="1:9" ht="15.75" x14ac:dyDescent="0.25">
      <c r="A10" s="76">
        <v>1</v>
      </c>
      <c r="B10" s="77" t="s">
        <v>73</v>
      </c>
      <c r="C10" s="77" t="s">
        <v>62</v>
      </c>
      <c r="D10" s="78" t="s">
        <v>63</v>
      </c>
      <c r="E10" s="77" t="s">
        <v>72</v>
      </c>
      <c r="F10" s="79" t="s">
        <v>60</v>
      </c>
      <c r="G10" s="80">
        <v>5000</v>
      </c>
      <c r="H10" s="81">
        <v>2000</v>
      </c>
      <c r="I10" s="81">
        <f>G10*H10</f>
        <v>10000000</v>
      </c>
    </row>
    <row r="11" spans="1:9" ht="15.75" x14ac:dyDescent="0.25">
      <c r="A11" s="47"/>
      <c r="B11" s="47"/>
      <c r="C11" s="47"/>
      <c r="D11" s="47"/>
      <c r="E11" s="47"/>
      <c r="F11" s="47"/>
      <c r="G11" s="47"/>
      <c r="H11" s="47"/>
      <c r="I11" s="54"/>
    </row>
    <row r="12" spans="1:9" ht="15.75" x14ac:dyDescent="0.25">
      <c r="A12" s="47"/>
      <c r="B12" s="47"/>
      <c r="C12" s="70"/>
      <c r="D12" s="47"/>
      <c r="E12" s="47"/>
      <c r="F12" s="47"/>
      <c r="G12" s="47"/>
      <c r="H12" s="47"/>
      <c r="I12" s="48"/>
    </row>
    <row r="13" spans="1:9" ht="16.5" thickBot="1" x14ac:dyDescent="0.3">
      <c r="A13" s="47"/>
      <c r="B13" s="47"/>
      <c r="C13" s="47"/>
      <c r="D13" s="47"/>
      <c r="E13" s="47"/>
      <c r="F13" s="47"/>
      <c r="G13" s="47"/>
      <c r="H13" s="47"/>
      <c r="I13" s="48"/>
    </row>
    <row r="14" spans="1:9" ht="15.75" x14ac:dyDescent="0.25">
      <c r="A14" s="47"/>
      <c r="B14" s="55" t="s">
        <v>14</v>
      </c>
      <c r="C14" s="56"/>
      <c r="D14" s="56"/>
      <c r="E14" s="57"/>
      <c r="F14" s="47"/>
      <c r="G14" s="47"/>
      <c r="H14" s="47"/>
      <c r="I14" s="48"/>
    </row>
    <row r="15" spans="1:9" ht="15.75" x14ac:dyDescent="0.25">
      <c r="A15" s="47"/>
      <c r="B15" s="58"/>
      <c r="C15" s="59"/>
      <c r="D15" s="59"/>
      <c r="E15" s="60"/>
      <c r="F15" s="47"/>
      <c r="G15" s="47"/>
      <c r="H15" s="47"/>
      <c r="I15" s="48"/>
    </row>
    <row r="16" spans="1:9" ht="62.25" customHeight="1" x14ac:dyDescent="0.25">
      <c r="A16" s="47"/>
      <c r="B16" s="61" t="s">
        <v>71</v>
      </c>
      <c r="C16" s="85" t="s">
        <v>79</v>
      </c>
      <c r="D16" s="85"/>
      <c r="E16" s="86"/>
      <c r="F16" s="47"/>
      <c r="G16" s="47"/>
      <c r="H16" s="47"/>
      <c r="I16" s="48"/>
    </row>
    <row r="17" spans="1:9" ht="15.75" x14ac:dyDescent="0.25">
      <c r="A17" s="47"/>
      <c r="B17" s="61"/>
      <c r="C17" s="90"/>
      <c r="D17" s="90"/>
      <c r="E17" s="90"/>
      <c r="F17" s="47"/>
      <c r="G17" s="47"/>
      <c r="H17" s="47"/>
      <c r="I17" s="48"/>
    </row>
    <row r="18" spans="1:9" ht="15.75" x14ac:dyDescent="0.25">
      <c r="A18" s="47"/>
      <c r="B18" s="61" t="s">
        <v>15</v>
      </c>
      <c r="C18" s="59"/>
      <c r="D18" s="59"/>
      <c r="E18" s="60"/>
      <c r="F18" s="47"/>
      <c r="G18" s="47"/>
      <c r="H18" s="47"/>
      <c r="I18" s="48"/>
    </row>
    <row r="19" spans="1:9" ht="15.75" x14ac:dyDescent="0.25">
      <c r="A19" s="47"/>
      <c r="B19" s="62"/>
      <c r="C19" s="92" t="s">
        <v>78</v>
      </c>
      <c r="D19" s="92"/>
      <c r="E19" s="93"/>
      <c r="F19" s="47"/>
      <c r="G19" s="47"/>
      <c r="H19" s="47"/>
      <c r="I19" s="48"/>
    </row>
    <row r="20" spans="1:9" ht="40.5" customHeight="1" x14ac:dyDescent="0.25">
      <c r="A20" s="47"/>
      <c r="B20" s="62"/>
      <c r="C20" s="94" t="s">
        <v>70</v>
      </c>
      <c r="D20" s="94"/>
      <c r="E20" s="95"/>
      <c r="F20" s="47"/>
      <c r="G20" s="47"/>
      <c r="H20" s="47"/>
      <c r="I20" s="48"/>
    </row>
    <row r="21" spans="1:9" ht="15.75" x14ac:dyDescent="0.25">
      <c r="A21" s="47"/>
      <c r="B21" s="62"/>
      <c r="C21" s="63"/>
      <c r="D21" s="63"/>
      <c r="E21" s="64"/>
      <c r="F21" s="47"/>
      <c r="G21" s="47"/>
      <c r="H21" s="47"/>
      <c r="I21" s="48"/>
    </row>
    <row r="22" spans="1:9" ht="15.75" x14ac:dyDescent="0.25">
      <c r="A22" s="47"/>
      <c r="B22" s="61" t="s">
        <v>16</v>
      </c>
      <c r="C22" s="59"/>
      <c r="D22" s="59"/>
      <c r="E22" s="60"/>
      <c r="F22" s="47"/>
      <c r="G22" s="47"/>
      <c r="H22" s="47"/>
      <c r="I22" s="48"/>
    </row>
    <row r="23" spans="1:9" ht="15.75" x14ac:dyDescent="0.25">
      <c r="A23" s="47"/>
      <c r="B23" s="62"/>
      <c r="C23" s="90" t="s">
        <v>58</v>
      </c>
      <c r="D23" s="90"/>
      <c r="E23" s="90"/>
      <c r="F23" s="47"/>
      <c r="G23" s="47"/>
      <c r="H23" s="47"/>
      <c r="I23" s="48"/>
    </row>
    <row r="24" spans="1:9" ht="15.75" x14ac:dyDescent="0.25">
      <c r="A24" s="47"/>
      <c r="B24" s="61" t="s">
        <v>17</v>
      </c>
      <c r="C24" s="65"/>
      <c r="D24" s="65"/>
      <c r="E24" s="66"/>
      <c r="F24" s="47"/>
      <c r="G24" s="47"/>
      <c r="H24" s="47"/>
      <c r="I24" s="48"/>
    </row>
    <row r="25" spans="1:9" ht="15.75" x14ac:dyDescent="0.25">
      <c r="A25" s="47"/>
      <c r="B25" s="62"/>
      <c r="C25" s="90" t="s">
        <v>57</v>
      </c>
      <c r="D25" s="90"/>
      <c r="E25" s="90"/>
      <c r="F25" s="47"/>
      <c r="G25" s="47"/>
      <c r="H25" s="47"/>
      <c r="I25" s="48"/>
    </row>
    <row r="26" spans="1:9" ht="15.75" x14ac:dyDescent="0.25">
      <c r="A26" s="47"/>
      <c r="B26" s="61" t="s">
        <v>18</v>
      </c>
      <c r="C26" s="59"/>
      <c r="D26" s="59"/>
      <c r="E26" s="60"/>
      <c r="F26" s="47"/>
      <c r="G26" s="47"/>
      <c r="H26" s="47"/>
      <c r="I26" s="48"/>
    </row>
    <row r="27" spans="1:9" ht="15.75" x14ac:dyDescent="0.25">
      <c r="A27" s="47"/>
      <c r="B27" s="61"/>
      <c r="C27" s="91" t="s">
        <v>59</v>
      </c>
      <c r="D27" s="91"/>
      <c r="E27" s="91"/>
      <c r="F27" s="47"/>
      <c r="G27" s="47"/>
      <c r="H27" s="47"/>
      <c r="I27" s="48"/>
    </row>
    <row r="28" spans="1:9" ht="21.75" customHeight="1" thickBot="1" x14ac:dyDescent="0.3">
      <c r="A28" s="47"/>
      <c r="B28" s="67"/>
      <c r="C28" s="68"/>
      <c r="D28" s="68"/>
      <c r="E28" s="69"/>
      <c r="F28" s="47"/>
      <c r="G28" s="47"/>
      <c r="H28" s="47"/>
      <c r="I28" s="48"/>
    </row>
    <row r="29" spans="1:9" ht="15.75" x14ac:dyDescent="0.25">
      <c r="A29" s="47"/>
      <c r="B29" s="47"/>
      <c r="C29" s="47"/>
      <c r="D29" s="47"/>
      <c r="E29" s="47"/>
      <c r="F29" s="47"/>
      <c r="G29" s="47"/>
      <c r="H29" s="47"/>
      <c r="I29" s="48"/>
    </row>
    <row r="30" spans="1:9" ht="15.75" x14ac:dyDescent="0.25">
      <c r="A30" s="47"/>
      <c r="B30" s="47"/>
      <c r="C30" s="47"/>
      <c r="D30" s="47"/>
      <c r="E30" s="47"/>
      <c r="F30" s="47"/>
      <c r="G30" s="47"/>
      <c r="H30" s="47"/>
      <c r="I30" s="48"/>
    </row>
    <row r="31" spans="1:9" ht="15.75" x14ac:dyDescent="0.25">
      <c r="A31" s="47"/>
      <c r="B31" s="47"/>
      <c r="C31" s="47"/>
      <c r="D31" s="47"/>
      <c r="E31" s="47"/>
      <c r="F31" s="47"/>
      <c r="G31" s="47"/>
      <c r="H31" s="47"/>
      <c r="I31" s="48"/>
    </row>
    <row r="32" spans="1:9" ht="15.75" x14ac:dyDescent="0.25">
      <c r="A32" s="47"/>
      <c r="B32" s="47"/>
      <c r="C32" s="47"/>
      <c r="D32" s="47"/>
      <c r="E32" s="47"/>
      <c r="F32" s="47"/>
      <c r="G32" s="47"/>
      <c r="H32" s="47"/>
      <c r="I32" s="48"/>
    </row>
    <row r="33" spans="1:8" x14ac:dyDescent="0.2">
      <c r="A33" s="45"/>
      <c r="B33" s="45"/>
      <c r="C33" s="45"/>
      <c r="D33" s="45"/>
      <c r="E33" s="45"/>
      <c r="F33" s="45"/>
      <c r="G33" s="45"/>
      <c r="H33" s="45"/>
    </row>
    <row r="34" spans="1:8" x14ac:dyDescent="0.2">
      <c r="A34" s="45"/>
      <c r="B34" s="45"/>
      <c r="C34" s="45"/>
      <c r="D34" s="45"/>
      <c r="E34" s="45"/>
      <c r="F34" s="45"/>
      <c r="G34" s="45"/>
      <c r="H34" s="45"/>
    </row>
    <row r="35" spans="1:8" x14ac:dyDescent="0.2">
      <c r="A35" s="45"/>
      <c r="B35" s="45"/>
      <c r="C35" s="45"/>
      <c r="D35" s="45"/>
      <c r="E35" s="45"/>
      <c r="F35" s="45"/>
      <c r="G35" s="45"/>
      <c r="H35" s="45"/>
    </row>
    <row r="36" spans="1:8" x14ac:dyDescent="0.2">
      <c r="A36" s="45"/>
      <c r="B36" s="45"/>
      <c r="C36" s="45"/>
      <c r="D36" s="45"/>
      <c r="E36" s="45"/>
      <c r="F36" s="45"/>
      <c r="G36" s="45"/>
      <c r="H36" s="45"/>
    </row>
    <row r="37" spans="1:8" x14ac:dyDescent="0.2">
      <c r="A37" s="45"/>
      <c r="B37" s="45"/>
      <c r="C37" s="45"/>
      <c r="D37" s="45"/>
      <c r="E37" s="45"/>
      <c r="F37" s="45"/>
      <c r="G37" s="45"/>
      <c r="H37" s="45"/>
    </row>
    <row r="38" spans="1:8" x14ac:dyDescent="0.2">
      <c r="A38" s="45"/>
      <c r="B38" s="45"/>
      <c r="C38" s="45"/>
      <c r="D38" s="45"/>
      <c r="E38" s="45"/>
      <c r="F38" s="45"/>
      <c r="G38" s="45"/>
      <c r="H38" s="45"/>
    </row>
    <row r="39" spans="1:8" x14ac:dyDescent="0.2">
      <c r="A39" s="45"/>
      <c r="B39" s="45"/>
      <c r="C39" s="45"/>
      <c r="D39" s="45"/>
      <c r="E39" s="45"/>
      <c r="F39" s="45"/>
      <c r="G39" s="45"/>
      <c r="H39" s="45"/>
    </row>
    <row r="40" spans="1:8" x14ac:dyDescent="0.2">
      <c r="A40" s="45"/>
      <c r="B40" s="45"/>
      <c r="C40" s="45"/>
      <c r="D40" s="45"/>
      <c r="E40" s="45"/>
      <c r="F40" s="45"/>
      <c r="G40" s="45"/>
      <c r="H40" s="45"/>
    </row>
    <row r="41" spans="1:8" x14ac:dyDescent="0.2">
      <c r="A41" s="45"/>
      <c r="B41" s="45"/>
      <c r="C41" s="45"/>
      <c r="D41" s="45"/>
      <c r="E41" s="45"/>
      <c r="F41" s="45"/>
      <c r="G41" s="45"/>
      <c r="H41" s="45"/>
    </row>
    <row r="42" spans="1:8" x14ac:dyDescent="0.2">
      <c r="A42" s="45"/>
      <c r="B42" s="45"/>
      <c r="C42" s="45"/>
      <c r="D42" s="45"/>
      <c r="E42" s="45"/>
      <c r="F42" s="45"/>
      <c r="G42" s="45"/>
      <c r="H42" s="45"/>
    </row>
    <row r="43" spans="1:8" x14ac:dyDescent="0.2">
      <c r="A43" s="45"/>
      <c r="B43" s="45"/>
      <c r="C43" s="45"/>
      <c r="D43" s="45"/>
      <c r="E43" s="45"/>
      <c r="F43" s="45"/>
      <c r="G43" s="45"/>
      <c r="H43" s="45"/>
    </row>
    <row r="44" spans="1:8" x14ac:dyDescent="0.2">
      <c r="A44" s="45"/>
      <c r="B44" s="45"/>
      <c r="C44" s="45"/>
      <c r="D44" s="45"/>
      <c r="E44" s="45"/>
      <c r="F44" s="45"/>
      <c r="G44" s="45"/>
      <c r="H44" s="45"/>
    </row>
    <row r="45" spans="1:8" x14ac:dyDescent="0.2">
      <c r="A45" s="45"/>
      <c r="B45" s="45"/>
      <c r="C45" s="45"/>
      <c r="D45" s="45"/>
      <c r="E45" s="45"/>
      <c r="F45" s="45"/>
      <c r="G45" s="45"/>
      <c r="H45" s="45"/>
    </row>
    <row r="46" spans="1:8" x14ac:dyDescent="0.2">
      <c r="A46" s="45"/>
      <c r="B46" s="45"/>
      <c r="C46" s="45"/>
      <c r="D46" s="45"/>
      <c r="E46" s="45"/>
      <c r="F46" s="45"/>
      <c r="G46" s="45"/>
      <c r="H46" s="45"/>
    </row>
    <row r="47" spans="1:8" x14ac:dyDescent="0.2">
      <c r="A47" s="45"/>
      <c r="B47" s="45"/>
      <c r="C47" s="45"/>
      <c r="D47" s="45"/>
      <c r="E47" s="45"/>
      <c r="F47" s="45"/>
      <c r="G47" s="45"/>
      <c r="H47" s="45"/>
    </row>
    <row r="48" spans="1:8" x14ac:dyDescent="0.2">
      <c r="A48" s="45"/>
      <c r="B48" s="45"/>
      <c r="C48" s="45"/>
      <c r="D48" s="45"/>
      <c r="E48" s="45"/>
      <c r="F48" s="45"/>
      <c r="G48" s="45"/>
      <c r="H48" s="45"/>
    </row>
    <row r="49" spans="1:8" x14ac:dyDescent="0.2">
      <c r="A49" s="45"/>
      <c r="B49" s="45"/>
      <c r="C49" s="45"/>
      <c r="D49" s="45"/>
      <c r="E49" s="45"/>
      <c r="F49" s="45"/>
      <c r="G49" s="45"/>
      <c r="H49" s="45"/>
    </row>
    <row r="50" spans="1:8" x14ac:dyDescent="0.2">
      <c r="A50" s="45"/>
      <c r="B50" s="45"/>
      <c r="C50" s="45"/>
      <c r="D50" s="45"/>
      <c r="E50" s="45"/>
      <c r="F50" s="45"/>
      <c r="G50" s="45"/>
      <c r="H50" s="45"/>
    </row>
    <row r="51" spans="1:8" x14ac:dyDescent="0.2">
      <c r="A51" s="45"/>
      <c r="B51" s="45"/>
      <c r="C51" s="45"/>
      <c r="D51" s="45"/>
      <c r="E51" s="45"/>
      <c r="F51" s="45"/>
      <c r="G51" s="45"/>
      <c r="H51" s="45"/>
    </row>
    <row r="52" spans="1:8" x14ac:dyDescent="0.2">
      <c r="A52" s="45"/>
      <c r="B52" s="45"/>
      <c r="C52" s="45"/>
      <c r="D52" s="45"/>
      <c r="E52" s="45"/>
      <c r="F52" s="45"/>
      <c r="G52" s="45"/>
      <c r="H52" s="45"/>
    </row>
    <row r="53" spans="1:8" x14ac:dyDescent="0.2">
      <c r="A53" s="45"/>
      <c r="B53" s="45"/>
      <c r="C53" s="45"/>
      <c r="D53" s="45"/>
      <c r="E53" s="45"/>
      <c r="F53" s="45"/>
      <c r="G53" s="45"/>
      <c r="H53" s="45"/>
    </row>
    <row r="54" spans="1:8" x14ac:dyDescent="0.2">
      <c r="A54" s="45"/>
      <c r="B54" s="45"/>
      <c r="C54" s="45"/>
      <c r="D54" s="45"/>
      <c r="E54" s="45"/>
      <c r="F54" s="45"/>
      <c r="G54" s="45"/>
      <c r="H54" s="45"/>
    </row>
    <row r="55" spans="1:8" x14ac:dyDescent="0.2">
      <c r="A55" s="45"/>
      <c r="B55" s="45"/>
      <c r="C55" s="45"/>
      <c r="D55" s="45"/>
      <c r="E55" s="45"/>
      <c r="F55" s="45"/>
      <c r="G55" s="45"/>
      <c r="H55" s="45"/>
    </row>
    <row r="56" spans="1:8" x14ac:dyDescent="0.2">
      <c r="A56" s="45"/>
      <c r="B56" s="45"/>
      <c r="C56" s="45"/>
      <c r="D56" s="45"/>
      <c r="E56" s="45"/>
      <c r="F56" s="45"/>
      <c r="G56" s="45"/>
      <c r="H56" s="45"/>
    </row>
    <row r="57" spans="1:8" x14ac:dyDescent="0.2">
      <c r="A57" s="45"/>
      <c r="B57" s="45"/>
      <c r="C57" s="45"/>
      <c r="D57" s="45"/>
      <c r="E57" s="45"/>
      <c r="F57" s="45"/>
      <c r="G57" s="45"/>
      <c r="H57" s="45"/>
    </row>
    <row r="58" spans="1:8" x14ac:dyDescent="0.2">
      <c r="A58" s="45"/>
      <c r="B58" s="45"/>
      <c r="C58" s="45"/>
      <c r="D58" s="45"/>
      <c r="E58" s="45"/>
      <c r="F58" s="45"/>
      <c r="G58" s="45"/>
      <c r="H58" s="45"/>
    </row>
    <row r="59" spans="1:8" x14ac:dyDescent="0.2">
      <c r="A59" s="45"/>
      <c r="B59" s="45"/>
      <c r="C59" s="45"/>
      <c r="D59" s="45"/>
      <c r="E59" s="45"/>
      <c r="F59" s="45"/>
      <c r="G59" s="45"/>
      <c r="H59" s="45"/>
    </row>
    <row r="60" spans="1:8" x14ac:dyDescent="0.2">
      <c r="A60" s="45"/>
      <c r="B60" s="45"/>
      <c r="C60" s="45"/>
      <c r="D60" s="45"/>
      <c r="E60" s="45"/>
      <c r="F60" s="45"/>
      <c r="G60" s="45"/>
      <c r="H60" s="45"/>
    </row>
    <row r="61" spans="1:8" x14ac:dyDescent="0.2">
      <c r="A61" s="45"/>
      <c r="B61" s="45"/>
      <c r="C61" s="45"/>
      <c r="D61" s="45"/>
      <c r="E61" s="45"/>
      <c r="F61" s="45"/>
      <c r="G61" s="45"/>
      <c r="H61" s="45"/>
    </row>
    <row r="62" spans="1:8" x14ac:dyDescent="0.2">
      <c r="A62" s="45"/>
      <c r="B62" s="45"/>
      <c r="C62" s="45"/>
      <c r="D62" s="45"/>
      <c r="E62" s="45"/>
      <c r="F62" s="45"/>
      <c r="G62" s="45"/>
      <c r="H62" s="45"/>
    </row>
    <row r="63" spans="1:8" x14ac:dyDescent="0.2">
      <c r="A63" s="45"/>
      <c r="B63" s="45"/>
      <c r="C63" s="45"/>
      <c r="D63" s="45"/>
      <c r="E63" s="45"/>
      <c r="F63" s="45"/>
      <c r="G63" s="45"/>
      <c r="H63" s="45"/>
    </row>
    <row r="64" spans="1:8" x14ac:dyDescent="0.2">
      <c r="A64" s="45"/>
      <c r="B64" s="45"/>
      <c r="C64" s="45"/>
      <c r="D64" s="45"/>
      <c r="E64" s="45"/>
      <c r="F64" s="45"/>
      <c r="G64" s="45"/>
      <c r="H64" s="45"/>
    </row>
    <row r="65" spans="1:8" x14ac:dyDescent="0.2">
      <c r="A65" s="45"/>
      <c r="B65" s="45"/>
      <c r="C65" s="45"/>
      <c r="D65" s="45"/>
      <c r="E65" s="45"/>
      <c r="F65" s="45"/>
      <c r="G65" s="45"/>
      <c r="H65" s="45"/>
    </row>
    <row r="66" spans="1:8" x14ac:dyDescent="0.2">
      <c r="A66" s="45"/>
      <c r="B66" s="45"/>
      <c r="C66" s="45"/>
      <c r="D66" s="45"/>
      <c r="E66" s="45"/>
      <c r="F66" s="45"/>
      <c r="G66" s="45"/>
      <c r="H66" s="45"/>
    </row>
    <row r="67" spans="1:8" x14ac:dyDescent="0.2">
      <c r="A67" s="45"/>
      <c r="B67" s="45"/>
      <c r="C67" s="45"/>
      <c r="D67" s="45"/>
      <c r="E67" s="45"/>
      <c r="F67" s="45"/>
      <c r="G67" s="45"/>
      <c r="H67" s="45"/>
    </row>
    <row r="68" spans="1:8" x14ac:dyDescent="0.2">
      <c r="A68" s="45"/>
      <c r="B68" s="45"/>
      <c r="C68" s="45"/>
      <c r="D68" s="45"/>
      <c r="E68" s="45"/>
      <c r="F68" s="45"/>
      <c r="G68" s="45"/>
      <c r="H68" s="45"/>
    </row>
    <row r="69" spans="1:8" x14ac:dyDescent="0.2">
      <c r="A69" s="45"/>
      <c r="B69" s="45"/>
      <c r="C69" s="45"/>
      <c r="D69" s="45"/>
      <c r="E69" s="45"/>
      <c r="F69" s="45"/>
      <c r="G69" s="45"/>
      <c r="H69" s="45"/>
    </row>
  </sheetData>
  <mergeCells count="14">
    <mergeCell ref="C25:E25"/>
    <mergeCell ref="C27:E27"/>
    <mergeCell ref="C17:E17"/>
    <mergeCell ref="C19:E19"/>
    <mergeCell ref="C20:E20"/>
    <mergeCell ref="C23:E23"/>
    <mergeCell ref="C16:E16"/>
    <mergeCell ref="A6:B6"/>
    <mergeCell ref="A7:B7"/>
    <mergeCell ref="B2:H2"/>
    <mergeCell ref="A4:B4"/>
    <mergeCell ref="C4:E4"/>
    <mergeCell ref="A5:B5"/>
    <mergeCell ref="C5:E5"/>
  </mergeCells>
  <phoneticPr fontId="20" type="noConversion"/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3"/>
  <sheetViews>
    <sheetView topLeftCell="A4" zoomScale="110" zoomScaleNormal="110" workbookViewId="0">
      <selection activeCell="D8" sqref="D8:K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4" t="s">
        <v>19</v>
      </c>
      <c r="B1" s="104"/>
      <c r="C1" s="104"/>
      <c r="D1" s="104"/>
      <c r="E1" s="104"/>
      <c r="F1" s="104"/>
      <c r="G1" s="104"/>
      <c r="H1" s="104"/>
      <c r="I1" s="104"/>
      <c r="J1" s="18" t="s">
        <v>20</v>
      </c>
      <c r="K1" s="19" t="s">
        <v>77</v>
      </c>
    </row>
    <row r="2" spans="1:11" ht="18.75" customHeight="1" thickBot="1" x14ac:dyDescent="0.25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</row>
    <row r="3" spans="1:11" ht="18.75" customHeight="1" thickBot="1" x14ac:dyDescent="0.25">
      <c r="A3" s="105" t="s">
        <v>53</v>
      </c>
      <c r="B3" s="105"/>
      <c r="C3" s="105"/>
      <c r="D3" s="96" t="str">
        <f>'Necesidades Trimestrales'!C4</f>
        <v>45- Ministerio de Desarrollo Social</v>
      </c>
      <c r="E3" s="96"/>
      <c r="F3" s="96"/>
      <c r="G3" s="96"/>
      <c r="H3" s="96"/>
      <c r="I3" s="96"/>
      <c r="J3" s="96"/>
      <c r="K3" s="96"/>
    </row>
    <row r="4" spans="1:11" ht="18.75" customHeight="1" thickBot="1" x14ac:dyDescent="0.25">
      <c r="A4" s="106" t="s">
        <v>54</v>
      </c>
      <c r="B4" s="106"/>
      <c r="C4" s="106"/>
      <c r="D4" s="96" t="str">
        <f>'Necesidades Trimestrales'!C5</f>
        <v>25- Direccion Provincial de Gestion Administrativa y RRHH</v>
      </c>
      <c r="E4" s="96"/>
      <c r="F4" s="96"/>
      <c r="G4" s="96"/>
      <c r="H4" s="96"/>
      <c r="I4" s="96"/>
      <c r="J4" s="96"/>
      <c r="K4" s="96"/>
    </row>
    <row r="5" spans="1:11" ht="18.75" customHeight="1" thickBot="1" x14ac:dyDescent="0.25">
      <c r="A5" s="106" t="s">
        <v>32</v>
      </c>
      <c r="B5" s="106"/>
      <c r="C5" s="106"/>
      <c r="D5" s="96" t="s">
        <v>65</v>
      </c>
      <c r="E5" s="96"/>
      <c r="F5" s="96"/>
      <c r="G5" s="96"/>
      <c r="H5" s="96"/>
      <c r="I5" s="96"/>
      <c r="J5" s="96"/>
      <c r="K5" s="96"/>
    </row>
    <row r="6" spans="1:11" ht="16.5" customHeight="1" thickBot="1" x14ac:dyDescent="0.25">
      <c r="A6" s="105" t="s">
        <v>55</v>
      </c>
      <c r="B6" s="105"/>
      <c r="C6" s="105"/>
      <c r="D6" s="96" t="s">
        <v>64</v>
      </c>
      <c r="E6" s="96"/>
      <c r="F6" s="96"/>
      <c r="G6" s="96"/>
      <c r="H6" s="96"/>
      <c r="I6" s="96"/>
      <c r="J6" s="96"/>
      <c r="K6" s="96"/>
    </row>
    <row r="7" spans="1:11" ht="16.5" customHeight="1" x14ac:dyDescent="0.2">
      <c r="A7" s="106" t="s">
        <v>21</v>
      </c>
      <c r="B7" s="106"/>
      <c r="C7" s="106"/>
      <c r="D7" s="96" t="str">
        <f>'Necesidades Trimestrales'!C7 &amp; "° Trimestre - Año " &amp; 'Necesidades Trimestrales'!C6</f>
        <v>2° Trimestre - Año 2022</v>
      </c>
      <c r="E7" s="96"/>
      <c r="F7" s="96"/>
      <c r="G7" s="96"/>
      <c r="H7" s="96"/>
      <c r="I7" s="96"/>
      <c r="J7" s="96"/>
      <c r="K7" s="96"/>
    </row>
    <row r="8" spans="1:11" ht="15.75" x14ac:dyDescent="0.2">
      <c r="A8" s="99" t="s">
        <v>22</v>
      </c>
      <c r="B8" s="99"/>
      <c r="C8" s="99"/>
      <c r="D8" s="100" t="s">
        <v>80</v>
      </c>
      <c r="E8" s="100"/>
      <c r="F8" s="100"/>
      <c r="G8" s="100"/>
      <c r="H8" s="100"/>
      <c r="I8" s="100"/>
      <c r="J8" s="100"/>
      <c r="K8" s="100"/>
    </row>
    <row r="9" spans="1:11" ht="15.75" x14ac:dyDescent="0.2">
      <c r="A9" s="22"/>
      <c r="B9" s="22"/>
      <c r="C9" s="22"/>
      <c r="D9" s="23"/>
      <c r="E9" s="23"/>
      <c r="F9" s="23"/>
      <c r="G9" s="23"/>
      <c r="H9" s="23"/>
      <c r="I9" s="23"/>
      <c r="J9" s="23"/>
      <c r="K9" s="23"/>
    </row>
    <row r="10" spans="1:11" ht="18.75" customHeight="1" x14ac:dyDescent="0.2">
      <c r="A10" s="101" t="s">
        <v>23</v>
      </c>
      <c r="B10" s="102" t="s">
        <v>24</v>
      </c>
      <c r="C10" s="102" t="s">
        <v>25</v>
      </c>
      <c r="D10" s="102"/>
      <c r="E10" s="102"/>
      <c r="F10" s="102"/>
      <c r="G10" s="102"/>
      <c r="H10" s="102" t="s">
        <v>26</v>
      </c>
      <c r="I10" s="102" t="s">
        <v>27</v>
      </c>
      <c r="J10" s="102" t="s">
        <v>28</v>
      </c>
      <c r="K10" s="103" t="s">
        <v>29</v>
      </c>
    </row>
    <row r="11" spans="1:11" ht="24" customHeight="1" thickBot="1" x14ac:dyDescent="0.25">
      <c r="A11" s="101"/>
      <c r="B11" s="102"/>
      <c r="C11" s="102"/>
      <c r="D11" s="102"/>
      <c r="E11" s="102"/>
      <c r="F11" s="102"/>
      <c r="G11" s="102"/>
      <c r="H11" s="102"/>
      <c r="I11" s="102"/>
      <c r="J11" s="102"/>
      <c r="K11" s="103"/>
    </row>
    <row r="12" spans="1:11" ht="30" customHeight="1" thickBot="1" x14ac:dyDescent="0.25">
      <c r="A12" s="29">
        <v>1</v>
      </c>
      <c r="B12" s="25" t="str">
        <f>'Necesidades Trimestrales'!B10</f>
        <v>2.2.3-920.9</v>
      </c>
      <c r="C12" s="98" t="str">
        <f>'Necesidades Trimestrales'!E10</f>
        <v>FRAZADAS; MOTIVO: LISA, HILADO: POLIESTER, TAMAÑO: 1 PLAZA, MATERIAL: POLIESTER</v>
      </c>
      <c r="D12" s="98"/>
      <c r="E12" s="98"/>
      <c r="F12" s="98"/>
      <c r="G12" s="98"/>
      <c r="H12" s="24" t="s">
        <v>74</v>
      </c>
      <c r="I12" s="26" t="s">
        <v>61</v>
      </c>
      <c r="J12" s="27">
        <f>'Necesidades Trimestrales'!H10</f>
        <v>2000</v>
      </c>
      <c r="K12" s="28">
        <f>'Necesidades Trimestrales'!G10</f>
        <v>5000</v>
      </c>
    </row>
    <row r="13" spans="1:11" ht="26.25" customHeight="1" thickBot="1" x14ac:dyDescent="0.25">
      <c r="A13" s="96" t="s">
        <v>75</v>
      </c>
      <c r="B13" s="96"/>
      <c r="C13" s="96"/>
      <c r="D13" s="96"/>
      <c r="E13" s="96"/>
      <c r="F13" s="96"/>
      <c r="G13" s="96"/>
      <c r="H13" s="96"/>
      <c r="I13" s="96"/>
      <c r="J13" s="97">
        <f>+J12*K12</f>
        <v>10000000</v>
      </c>
      <c r="K13" s="97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4"/>
  <sheetViews>
    <sheetView topLeftCell="A20" zoomScale="130" zoomScaleNormal="130" workbookViewId="0">
      <selection activeCell="A23" sqref="A23:Q24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4.28515625" bestFit="1" customWidth="1"/>
  </cols>
  <sheetData>
    <row r="1" spans="1:17" ht="15.75" customHeight="1" x14ac:dyDescent="0.25">
      <c r="A1" s="130" t="s">
        <v>3</v>
      </c>
      <c r="B1" s="130"/>
      <c r="C1" s="130"/>
      <c r="D1" s="131">
        <f>'Necesidades Trimestrales'!C6</f>
        <v>2022</v>
      </c>
      <c r="E1" s="131"/>
      <c r="F1" s="4"/>
      <c r="G1" s="4"/>
      <c r="H1" s="5"/>
      <c r="I1" s="5"/>
      <c r="J1" s="5"/>
      <c r="K1" s="5"/>
      <c r="L1" s="5"/>
      <c r="M1" s="5"/>
      <c r="N1" s="5"/>
      <c r="P1" s="132" t="s">
        <v>30</v>
      </c>
      <c r="Q1" s="132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32"/>
      <c r="Q2" s="132"/>
    </row>
    <row r="4" spans="1:17" s="6" customFormat="1" ht="18" customHeight="1" thickBot="1" x14ac:dyDescent="0.25">
      <c r="A4" s="133" t="s">
        <v>31</v>
      </c>
      <c r="B4" s="133"/>
      <c r="C4" s="133"/>
      <c r="D4" s="133"/>
      <c r="E4" s="133"/>
      <c r="F4" s="133"/>
      <c r="G4" s="128" t="str">
        <f>' NotaPedido'!D3</f>
        <v>45- Ministerio de Desarrollo Social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6" customFormat="1" ht="18" customHeight="1" thickBot="1" x14ac:dyDescent="0.25">
      <c r="A5" s="125" t="s">
        <v>54</v>
      </c>
      <c r="B5" s="126"/>
      <c r="C5" s="126"/>
      <c r="D5" s="126"/>
      <c r="E5" s="126"/>
      <c r="F5" s="127"/>
      <c r="G5" s="128" t="str">
        <f>' NotaPedido'!D4</f>
        <v>25- Direccion Provincial de Gestion Administrativa y RRHH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6" customFormat="1" ht="18" customHeight="1" thickBot="1" x14ac:dyDescent="0.25">
      <c r="A6" s="125" t="s">
        <v>32</v>
      </c>
      <c r="B6" s="126"/>
      <c r="C6" s="126"/>
      <c r="D6" s="126"/>
      <c r="E6" s="126"/>
      <c r="F6" s="127"/>
      <c r="G6" s="128" t="s">
        <v>68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6" customFormat="1" ht="18" customHeight="1" thickBot="1" x14ac:dyDescent="0.25">
      <c r="A7" s="125" t="s">
        <v>55</v>
      </c>
      <c r="B7" s="126"/>
      <c r="C7" s="126"/>
      <c r="D7" s="126"/>
      <c r="E7" s="126"/>
      <c r="F7" s="127"/>
      <c r="G7" s="128" t="s">
        <v>64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29" t="s">
        <v>33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19" t="s">
        <v>34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7"/>
    </row>
    <row r="10" spans="1:17" ht="54.75" customHeight="1" x14ac:dyDescent="0.2">
      <c r="A10" s="120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207/2022,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21" t="s">
        <v>35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">
      <c r="A13" s="122" t="s">
        <v>36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37</v>
      </c>
      <c r="P13" s="123"/>
      <c r="Q13" s="124" t="s">
        <v>38</v>
      </c>
    </row>
    <row r="14" spans="1:17" ht="15.75" customHeight="1" x14ac:dyDescent="0.2">
      <c r="A14" s="12" t="s">
        <v>39</v>
      </c>
      <c r="B14" s="13" t="s">
        <v>40</v>
      </c>
      <c r="C14" s="13" t="s">
        <v>41</v>
      </c>
      <c r="D14" s="13" t="s">
        <v>42</v>
      </c>
      <c r="E14" s="13" t="s">
        <v>43</v>
      </c>
      <c r="F14" s="13" t="s">
        <v>44</v>
      </c>
      <c r="G14" s="14" t="s">
        <v>45</v>
      </c>
      <c r="H14" s="13" t="s">
        <v>46</v>
      </c>
      <c r="I14" s="13" t="s">
        <v>47</v>
      </c>
      <c r="J14" s="13" t="s">
        <v>48</v>
      </c>
      <c r="K14" s="13" t="s">
        <v>48</v>
      </c>
      <c r="L14" s="13" t="s">
        <v>49</v>
      </c>
      <c r="M14" s="15" t="s">
        <v>50</v>
      </c>
      <c r="N14" s="16" t="s">
        <v>51</v>
      </c>
      <c r="O14" s="123"/>
      <c r="P14" s="123"/>
      <c r="Q14" s="124"/>
    </row>
    <row r="15" spans="1:17" ht="17.25" customHeight="1" x14ac:dyDescent="0.2">
      <c r="A15" s="72">
        <v>16</v>
      </c>
      <c r="B15" s="73"/>
      <c r="C15" s="73"/>
      <c r="D15" s="73">
        <v>2</v>
      </c>
      <c r="E15" s="73"/>
      <c r="F15" s="73">
        <v>4901</v>
      </c>
      <c r="G15" s="73">
        <v>3</v>
      </c>
      <c r="H15" s="73">
        <v>2</v>
      </c>
      <c r="I15" s="73">
        <v>2</v>
      </c>
      <c r="J15" s="73">
        <v>2</v>
      </c>
      <c r="K15" s="73">
        <v>3</v>
      </c>
      <c r="L15" s="73"/>
      <c r="M15" s="74">
        <v>1</v>
      </c>
      <c r="N15" s="73" t="s">
        <v>66</v>
      </c>
      <c r="O15" s="117" t="s">
        <v>67</v>
      </c>
      <c r="P15" s="117"/>
      <c r="Q15" s="75">
        <v>10000000</v>
      </c>
    </row>
    <row r="16" spans="1:17" ht="17.25" customHeight="1" x14ac:dyDescent="0.2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2"/>
      <c r="N16" s="31"/>
      <c r="O16" s="118"/>
      <c r="P16" s="118"/>
      <c r="Q16" s="71"/>
    </row>
    <row r="17" spans="1:18" ht="17.25" customHeight="1" x14ac:dyDescent="0.2">
      <c r="A17" s="30"/>
      <c r="B17" s="31"/>
      <c r="C17" s="31"/>
      <c r="D17" s="31"/>
      <c r="E17" s="31"/>
      <c r="F17" s="34"/>
      <c r="G17" s="31"/>
      <c r="H17" s="31"/>
      <c r="I17" s="31"/>
      <c r="J17" s="31"/>
      <c r="K17" s="31"/>
      <c r="L17" s="31"/>
      <c r="M17" s="32"/>
      <c r="N17" s="34"/>
      <c r="O17" s="112"/>
      <c r="P17" s="112"/>
      <c r="Q17" s="33"/>
    </row>
    <row r="18" spans="1:18" ht="17.25" customHeight="1" x14ac:dyDescent="0.2">
      <c r="A18" s="35"/>
      <c r="B18" s="36"/>
      <c r="C18" s="36"/>
      <c r="D18" s="36"/>
      <c r="E18" s="36"/>
      <c r="F18" s="37"/>
      <c r="G18" s="36"/>
      <c r="H18" s="36"/>
      <c r="I18" s="36"/>
      <c r="J18" s="36"/>
      <c r="K18" s="36"/>
      <c r="L18" s="36"/>
      <c r="M18" s="38"/>
      <c r="N18" s="39"/>
      <c r="O18" s="113"/>
      <c r="P18" s="113"/>
      <c r="Q18" s="33"/>
      <c r="R18" s="1"/>
    </row>
    <row r="19" spans="1:18" ht="17.25" customHeight="1" x14ac:dyDescent="0.2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41"/>
      <c r="O19" s="114"/>
      <c r="P19" s="114"/>
      <c r="Q19" s="43"/>
    </row>
    <row r="20" spans="1:18" ht="28.5" customHeight="1" x14ac:dyDescent="0.2">
      <c r="A20" s="115" t="s">
        <v>76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44">
        <f>SUM(Q15:Q19)</f>
        <v>10000000</v>
      </c>
    </row>
    <row r="21" spans="1:18" ht="18" customHeight="1" thickBot="1" x14ac:dyDescent="0.25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</row>
    <row r="22" spans="1:18" ht="17.25" customHeight="1" thickBot="1" x14ac:dyDescent="0.25">
      <c r="A22" s="107" t="s">
        <v>52</v>
      </c>
      <c r="B22" s="108"/>
      <c r="C22" s="108"/>
      <c r="D22" s="108"/>
      <c r="E22" s="108"/>
      <c r="F22" s="109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</row>
    <row r="23" spans="1:18" ht="18" customHeight="1" thickBot="1" x14ac:dyDescent="0.25">
      <c r="A23" s="111" t="s">
        <v>81</v>
      </c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</row>
    <row r="24" spans="1:18" x14ac:dyDescent="0.2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7:P17"/>
    <mergeCell ref="O18:P18"/>
    <mergeCell ref="O19:P19"/>
    <mergeCell ref="A20:P20"/>
    <mergeCell ref="A21:Q21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2020-09-17T13:31:35Z</cp:lastPrinted>
  <dcterms:created xsi:type="dcterms:W3CDTF">2020-07-17T23:44:49Z</dcterms:created>
  <dcterms:modified xsi:type="dcterms:W3CDTF">2022-04-22T15:52:05Z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