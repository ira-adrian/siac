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DESCARTABLES\DESCARTABLES COMUNES\"/>
    </mc:Choice>
  </mc:AlternateContent>
  <xr:revisionPtr revIDLastSave="0" documentId="13_ncr:1_{8F795C3F-7570-410E-9482-CAB0D279CD61}" xr6:coauthVersionLast="46" xr6:coauthVersionMax="46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NP FCIA" sheetId="2" r:id="rId2"/>
    <sheet name="APG FCIA" sheetId="3" r:id="rId3"/>
    <sheet name="NP SAME" sheetId="4" r:id="rId4"/>
    <sheet name="APG SAME" sheetId="5" r:id="rId5"/>
    <sheet name="NP DPMIA" sheetId="6" r:id="rId6"/>
    <sheet name="APG DPMIA" sheetId="7" r:id="rId7"/>
  </sheets>
  <definedNames>
    <definedName name="_xlnm._FilterDatabase" localSheetId="0" hidden="1">'Necesidades Trimestrales'!$A$9:$Q$36</definedName>
    <definedName name="_xlnm.Print_Area" localSheetId="6">'APG DPMIA'!$A$1:$Q$27</definedName>
    <definedName name="_xlnm.Print_Area" localSheetId="2">'APG FCIA'!$A$1:$Q$27</definedName>
    <definedName name="_xlnm.Print_Area" localSheetId="4">'APG SAME'!$A$1:$Q$27</definedName>
    <definedName name="_xlnm.Print_Area" localSheetId="0">'Necesidades Trimestrales'!$E$9:$E$36</definedName>
    <definedName name="_xlnm.Print_Area" localSheetId="5">'NP DPMIA'!$A$1:$K$14</definedName>
    <definedName name="_xlnm.Print_Area" localSheetId="1">'NP FCIA'!$A$1:$K$31</definedName>
    <definedName name="_xlnm.Print_Area" localSheetId="3">'NP SAME'!$A$1:$K$22</definedName>
  </definedNames>
  <calcPr calcId="181029"/>
</workbook>
</file>

<file path=xl/calcChain.xml><?xml version="1.0" encoding="utf-8"?>
<calcChain xmlns="http://schemas.openxmlformats.org/spreadsheetml/2006/main">
  <c r="K13" i="6" l="1"/>
  <c r="J13" i="6"/>
  <c r="J12" i="6"/>
  <c r="I13" i="6"/>
  <c r="I12" i="6"/>
  <c r="C13" i="6"/>
  <c r="C12" i="6"/>
  <c r="B13" i="6"/>
  <c r="B12" i="6"/>
  <c r="K12" i="6"/>
  <c r="A26" i="7"/>
  <c r="A10" i="7"/>
  <c r="G7" i="7"/>
  <c r="G6" i="7"/>
  <c r="D1" i="7"/>
  <c r="D4" i="6"/>
  <c r="G5" i="7" s="1"/>
  <c r="D3" i="6"/>
  <c r="G4" i="7" s="1"/>
  <c r="A26" i="5"/>
  <c r="A26" i="3"/>
  <c r="K12" i="4"/>
  <c r="K13" i="4"/>
  <c r="K14" i="4"/>
  <c r="K15" i="4"/>
  <c r="K16" i="4"/>
  <c r="K17" i="4"/>
  <c r="K18" i="4"/>
  <c r="K19" i="4"/>
  <c r="K20" i="4"/>
  <c r="K21" i="4"/>
  <c r="A10" i="5"/>
  <c r="G7" i="5"/>
  <c r="G6" i="5"/>
  <c r="D1" i="5"/>
  <c r="J21" i="4"/>
  <c r="I21" i="4"/>
  <c r="C21" i="4"/>
  <c r="B21" i="4"/>
  <c r="J20" i="4"/>
  <c r="I20" i="4"/>
  <c r="C20" i="4"/>
  <c r="B20" i="4"/>
  <c r="J19" i="4"/>
  <c r="I19" i="4"/>
  <c r="C19" i="4"/>
  <c r="B19" i="4"/>
  <c r="J18" i="4"/>
  <c r="I18" i="4"/>
  <c r="C18" i="4"/>
  <c r="B18" i="4"/>
  <c r="J17" i="4"/>
  <c r="I17" i="4"/>
  <c r="C17" i="4"/>
  <c r="B17" i="4"/>
  <c r="J16" i="4"/>
  <c r="I16" i="4"/>
  <c r="C16" i="4"/>
  <c r="B16" i="4"/>
  <c r="J15" i="4"/>
  <c r="I15" i="4"/>
  <c r="C15" i="4"/>
  <c r="B15" i="4"/>
  <c r="J14" i="4"/>
  <c r="I14" i="4"/>
  <c r="C14" i="4"/>
  <c r="B14" i="4"/>
  <c r="J13" i="4"/>
  <c r="I13" i="4"/>
  <c r="C13" i="4"/>
  <c r="B13" i="4"/>
  <c r="J12" i="4"/>
  <c r="I12" i="4"/>
  <c r="C12" i="4"/>
  <c r="B12" i="4"/>
  <c r="D4" i="4"/>
  <c r="G5" i="5" s="1"/>
  <c r="D3" i="4"/>
  <c r="G4" i="5" s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J14" i="6" l="1"/>
  <c r="Q15" i="7" s="1"/>
  <c r="Q23" i="7" s="1"/>
  <c r="J22" i="4"/>
  <c r="Q15" i="5" s="1"/>
  <c r="Q23" i="5" s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L36" i="1" l="1"/>
  <c r="L35" i="1"/>
  <c r="L37" i="1" s="1"/>
  <c r="J10" i="1" l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7" i="1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10" i="1"/>
  <c r="H37" i="1" l="1"/>
  <c r="O35" i="1" l="1"/>
  <c r="O34" i="1" l="1"/>
  <c r="J12" i="2" l="1"/>
  <c r="I12" i="2"/>
  <c r="C12" i="2"/>
  <c r="B12" i="2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6" i="1"/>
  <c r="O37" i="1" l="1"/>
  <c r="J31" i="2"/>
  <c r="Q15" i="3" s="1"/>
  <c r="Q23" i="3" s="1"/>
  <c r="A10" i="3" l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<sst xmlns="http://schemas.openxmlformats.org/spreadsheetml/2006/main" count="330" uniqueCount="148">
  <si>
    <t>Pedido de Necesidades Trimestrales</t>
  </si>
  <si>
    <t>JURISDICCION:</t>
  </si>
  <si>
    <t xml:space="preserve">SAF N°: </t>
  </si>
  <si>
    <t>EJERCICIO:</t>
  </si>
  <si>
    <t>TRIMESTRE:</t>
  </si>
  <si>
    <t>ID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</si>
  <si>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</si>
  <si>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</si>
  <si>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</si>
  <si>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</si>
  <si>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</si>
  <si>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</si>
  <si>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</si>
  <si>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</si>
  <si>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</si>
  <si>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</si>
  <si>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</si>
  <si>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</si>
  <si>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</si>
  <si>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</si>
  <si>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</si>
  <si>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</si>
  <si>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</si>
  <si>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</si>
  <si>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</si>
  <si>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</si>
  <si>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</si>
  <si>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</si>
  <si>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</si>
  <si>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</si>
  <si>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</si>
  <si>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</si>
  <si>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</si>
  <si>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</si>
  <si>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</si>
  <si>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</si>
  <si>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</si>
  <si>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</si>
  <si>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</si>
  <si>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</si>
  <si>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</si>
  <si>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</si>
  <si>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</si>
  <si>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</si>
  <si>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</si>
  <si>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</si>
  <si>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</si>
  <si>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</si>
  <si>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</si>
  <si>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</si>
  <si>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</si>
  <si>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NO</t>
  </si>
  <si>
    <r>
      <t>Mantenimiento</t>
    </r>
    <r>
      <rPr>
        <sz val="10"/>
        <rFont val="Times New Roman"/>
        <family val="1"/>
      </rPr>
      <t xml:space="preserve">: 45 dias habiles </t>
    </r>
  </si>
  <si>
    <t>xxx/2022</t>
  </si>
  <si>
    <t>Semestral</t>
  </si>
  <si>
    <t>UNIDAD</t>
  </si>
  <si>
    <t>Adquisición de DESCARTABLE COMUN</t>
  </si>
  <si>
    <t>CODIGO ITEM COMPRAR</t>
  </si>
  <si>
    <t>PROD. MEDICO/FARMACEUTICOS/LAB</t>
  </si>
  <si>
    <t>2.9.5-427.31</t>
  </si>
  <si>
    <t>APOSITOS; TIPO: P/SUJECION DE CATETER, TAMAÑO: 10 X 12 Cm</t>
  </si>
  <si>
    <t>2.9.5-427.84</t>
  </si>
  <si>
    <t>APOSITOS; TIPO: P/SUJECION DE CATETER, TAMAÑO: 6 X 7 Cm</t>
  </si>
  <si>
    <t>CATETERES/SONDAS; NUMERO: K-30, TIPO: ASP. MUCUS Y ADMINISTRAC. OXIG</t>
  </si>
  <si>
    <t>2.9.5-2161.216</t>
  </si>
  <si>
    <t>CATETERES/SONDAS; NUMERO: K-31, TIPO: ASP. MUCUS Y ADMINISTRAC. OXIG</t>
  </si>
  <si>
    <t>2.9.5-2161.217</t>
  </si>
  <si>
    <t>CATETERES/SONDAS; NUMERO: K-33, TIPO: NASOGASTRICA</t>
  </si>
  <si>
    <t>2.9.5-2161.188</t>
  </si>
  <si>
    <t>CATETERES/SONDAS; NUMERO: K-9, TIPO: NASOGASTRICA</t>
  </si>
  <si>
    <t>2.9.5-2161.179</t>
  </si>
  <si>
    <t>CATETERES/SONDAS; NUMERO: 20, TIPO: RECTAL</t>
  </si>
  <si>
    <t>2.9.5-2161.176</t>
  </si>
  <si>
    <t>CATETERES/SONDAS; NUMERO: 26, TIPO: RECTAL</t>
  </si>
  <si>
    <t>2.9.5-2161.228</t>
  </si>
  <si>
    <t>2.9.5-2505.6</t>
  </si>
  <si>
    <t>BOLSAS COLECTORAS; TIPO: DE ORINA C/DESAGOTE, USO: ADULTO, CAPACIDAD: 2000 mL</t>
  </si>
  <si>
    <t>2.9.5-2205.13</t>
  </si>
  <si>
    <t>CATETERES/SONDAS; NUMERO: 18, TIPO: FOLEY DOBLE VIA</t>
  </si>
  <si>
    <t>2.9.5-2161.222</t>
  </si>
  <si>
    <t>CATETERES/SONDAS; NUMERO: 16, TIPO: FOLEY DOBLE VIA</t>
  </si>
  <si>
    <t>2.9.5-2161.221</t>
  </si>
  <si>
    <t>CATETERES/SONDAS; NUMERO: 14, TIPO: FOLEY DOBLE VIA</t>
  </si>
  <si>
    <t>2.9.5-2161.224</t>
  </si>
  <si>
    <t>2.9.5-2161.2</t>
  </si>
  <si>
    <t>CATETERES/SONDAS; NUMERO: 16, TIPO: INTRAVENOSO</t>
  </si>
  <si>
    <t>2.9.5-2161.1</t>
  </si>
  <si>
    <t>2.9.5-2161.7</t>
  </si>
  <si>
    <t>2.9.5-2161.4</t>
  </si>
  <si>
    <t>2.9.5-2161.10</t>
  </si>
  <si>
    <t>CONECTORES P/MEDICINA; USO: SIST. INYECCION INTERMITENTE, CONECTOR: ESTANDAR</t>
  </si>
  <si>
    <t>2.9.5-2226.33</t>
  </si>
  <si>
    <t>CATÉTER INTRAVENOSO Nº 14; TIPO: INTRAVENOSO/CANALIZACIÓN</t>
  </si>
  <si>
    <t>CATÉTER INTRAVENOSO Nº 18; TIPO: INTRAVENOSO/CANALIZACIÓN</t>
  </si>
  <si>
    <t>CATÉTER INTRAVENOSO Nº 20; TIPO: INTRAVENOSO/CANALIZACIÓN</t>
  </si>
  <si>
    <t>2.9.5-2161.557</t>
  </si>
  <si>
    <t>CATÉTER INTRAVENOSO Nº 22; TIPO: INTRAVENOSO/CANALIZACIÓN</t>
  </si>
  <si>
    <t>CATÉTER INTRAVENOSO Nº 24; TIPO: INTRAVENOSO/CANALIZACIÓN</t>
  </si>
  <si>
    <t>GUÍA DE SUERO; USO: ADMINISTRACIÓN DE SOLUCIONES, MODELO CON BURETRA VOLUMÉTRICA; TIPO: MACROGOTERO</t>
  </si>
  <si>
    <t>2.9.5-2204.58</t>
  </si>
  <si>
    <t>GUÍAS DE SUERO; USO: ADMINISTRACIÓN DE SOLUCIONES; AGUJA: SIN; MODELO: V14, TIPO: MACROGOTERO CON ROLLER LUER SLIP</t>
  </si>
  <si>
    <t>2.9.5-2204.42</t>
  </si>
  <si>
    <t>2.9.5-2204.43</t>
  </si>
  <si>
    <t>PROLONGADORES P/GUÍA SUERO; USO: ADMINISTRACIÓN DE SOLUCIONES; MODELO: C/LLAVE DE 3 VÍAS ESTERIL 360° LUERLOCK C/PROLONGADOR DE 15CM</t>
  </si>
  <si>
    <t>PROLONGADORES P/GUÍA SUERO; USO: ADMINISTRACIÓN DE SOLUCIONES; MODELO: C/LLAVE DE 3 VÍAS ESTERIL 360° LUERLOCK C/PROLONGADOR DE 30CM</t>
  </si>
  <si>
    <t>2.9.5-2205.33</t>
  </si>
  <si>
    <t>GUÍAS DE SUERO; USO: ADMINISTRACIÓN DE SOLUCIONES; AGUJA: SIN; MODELO: V17, TIPO: MICROGOTERO CON ROLLER LUER SLIP</t>
  </si>
  <si>
    <t>SI</t>
  </si>
  <si>
    <t>Útiles Menores Médico, Quirúrgico y de Laboratorio</t>
  </si>
  <si>
    <t>2.9.5-2161.187</t>
  </si>
  <si>
    <t>CATETERES/SONDAS; NUMERO: K-35, TIPO: NASOGASTRICA PARA PREMATUROS</t>
  </si>
  <si>
    <t>2.9.5-5816.6</t>
  </si>
  <si>
    <t>ASPIRADORES MEDICOS; TIPO: MANUAL, CAPACIDAD: 60 CM3, USO: ENDOUTERINO</t>
  </si>
  <si>
    <t>2.9.5-6752.8</t>
  </si>
  <si>
    <t>PRESERVATIVOS; TIPO: LATEX Y GEL LUBRICANTE, PRESENTACION: KIT, MEDIDA: 160 X 52 X 0,04 A 0,08 mm</t>
  </si>
  <si>
    <t>CAJA</t>
  </si>
  <si>
    <t>D.P.FARMACIA</t>
  </si>
  <si>
    <t>TOTAL FCIA</t>
  </si>
  <si>
    <t>D.P.M.I.A.</t>
  </si>
  <si>
    <t>TOTAL DPMIA</t>
  </si>
  <si>
    <t>SAME</t>
  </si>
  <si>
    <t>TOTAL SAME</t>
  </si>
  <si>
    <t>040 - MINISTERIO DE SALUD</t>
  </si>
  <si>
    <t>011 - DIRECCION PROVINCIAL DE ADMINISTRACION - MS</t>
  </si>
  <si>
    <t>RUBRO DESCARTABLE COMUN</t>
  </si>
  <si>
    <t>469 - DIRECCION PROVINCIAL DE FARMACIA E INSUMOS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</si>
  <si>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</si>
  <si>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</si>
  <si>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</si>
  <si>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</si>
  <si>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</si>
  <si>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</si>
  <si>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</si>
  <si>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</si>
  <si>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r>
      <t xml:space="preserve">Especificidades Ítem 19 de la Nota de Pedido de la D.P.Farmacia: </t>
    </r>
    <r>
      <rPr>
        <b/>
        <u/>
        <sz val="10"/>
        <rFont val="Times New Roman"/>
        <family val="1"/>
      </rPr>
      <t>CON ROSCA LUER LOCK</t>
    </r>
  </si>
  <si>
    <t>Costo total estimado: PESOS CUATRO MILLONES CUATROCIENTOS MIL OCHOCIENTOS con 00/100.</t>
  </si>
  <si>
    <t>TOTAL DE PESOS: CUATRO MILLONES CUATROCIENTOS MIL OCHOCIENTOS con 00/100.</t>
  </si>
  <si>
    <t>748 - DIRECCION PROVINCIAL SISTEMA DE ATENCION MEDICA DE EMERGENCIA</t>
  </si>
  <si>
    <t>Costo total estimado: PESOS SETENTA Y CINCO MIL QUINIENTOS con 00/100.</t>
  </si>
  <si>
    <t>TOTAL DE PESOS: SETENTA Y CINCO MIL QUINIENTOS con 00/100.</t>
  </si>
  <si>
    <t>162 - DIRECCION PROVINCIAL DE MATERNIDAD, INFANCIA Y ADOLESCENCIA</t>
  </si>
  <si>
    <t>Costo total estimado: PESOS UN MILLON CUATROCIENTOS SETENTA Y SIETE MIL DOSCIENTOS SETENTA Y CINCO con 00/100.</t>
  </si>
  <si>
    <t>TOTAL DE PESOS: UN MILLON CUATROCIENTOS SETENTA Y SIETE MIL DOSCIENTOS SETENTA Y CINCO con 00/100.</t>
  </si>
  <si>
    <t>Especificidades Ítem 1 de la Nota de Pedido de la D.P.M.I.A: PRESERVATIVO CON GEL LUBRICANTE CAJA X 144 UNIDADES</t>
  </si>
  <si>
    <t>Especificidades Ítem 2 de la Nota de Pedido de la D.P.M.I.A:  AMEU CON KIT DE CANULAS DE 4 A 12 MM</t>
  </si>
  <si>
    <t>ITEMS 6 (250 UNID), 7 (250 UNID), 8 (150 UNID), 11 (250 UNID), 13, 18 al 22 - DIR. PROV. SAME - CASEROS N° 864 - en el horario de 8:00hs a 12:00hs de lunes a viernes. DEBIENDO CORRER LOS GASTOS DE FLETES, ACARREO, CARGA, DESCARGA Y SEGURO A CARGO DEL ADJUDICATARIO.</t>
  </si>
  <si>
    <t>ITEMS 26 y 27 - DIR. PROV. MATERNIDAD, INFANCIA Y ADOLESCENCIA - CHACABUCO N° 169 - en el horario de 8:00hs a 12:00hs de lunes a viernes. DEBIENDO CORRER LOS GASTOS DE FLETES, ACARREO, CARGA, DESCARGA Y SEGURO A CARGO DEL ADJUDICATARIO.</t>
  </si>
  <si>
    <t>ITEMS 1 al 5, 6 (15.000 UNID), 7 (6.000 UNID), 8 (3.000 UNID), 9, 10, 11 (15.000 UNID), 12, 14 al 17, 23 al 25 - DIR. PROV. DE FARMACIA E INSUMOS - CHACABUCO N° 169 - en el horario de 8:00hs a 12:00hs de lunes a viernes. DEBIENDO CORRER LOS GASTOS DE FLETES, ACARREO, CARGA, DESCARGA Y SEGURO A CARGO DEL ADJUDICATARIO.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</si>
</sst>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-[$$-2C0A]\ * #,##0.00_-;\-[$$-2C0A]\ * #,##0.00_-;_-[$$-2C0A]\ * &quot;-&quot;??_-;_-@_-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sz val="10"/>
      <color rgb="FF000000"/>
      <name val="Arial"/>
      <family val="2"/>
    </font>
    <font>
      <b/>
      <u/>
      <sz val="10"/>
      <name val="Times New Roman"/>
      <family val="1"/>
    </font>
    <font>
      <b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6" fontId="1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14" fillId="0" borderId="0"/>
    <xf numFmtId="0" fontId="14" fillId="0" borderId="0"/>
    <xf numFmtId="0" fontId="14" fillId="0" borderId="0"/>
    <xf numFmtId="0" fontId="25" fillId="0" borderId="0"/>
  </cellStyleXfs>
  <cellXfs count="20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2" fillId="0" borderId="0" xfId="0" applyFont="1"/>
    <xf numFmtId="0" fontId="0" fillId="0" borderId="23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4" xfId="0" applyBorder="1"/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7" xfId="0" applyFont="1" applyBorder="1" applyAlignment="1">
      <alignment horizontal="left" vertical="center"/>
    </xf>
    <xf numFmtId="0" fontId="13" fillId="0" borderId="28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7" fontId="0" fillId="0" borderId="37" xfId="3" applyNumberFormat="1" applyFont="1" applyBorder="1" applyAlignment="1" applyProtection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7" fontId="0" fillId="0" borderId="41" xfId="3" applyNumberFormat="1" applyFont="1" applyBorder="1" applyAlignment="1" applyProtection="1">
      <alignment horizontal="center" vertical="center"/>
    </xf>
    <xf numFmtId="0" fontId="15" fillId="0" borderId="0" xfId="0" applyFont="1" applyFill="1"/>
    <xf numFmtId="164" fontId="15" fillId="0" borderId="0" xfId="0" applyNumberFormat="1" applyFont="1" applyFill="1"/>
    <xf numFmtId="0" fontId="18" fillId="0" borderId="0" xfId="0" applyFont="1" applyFill="1" applyAlignment="1">
      <alignment horizontal="left" wrapText="1"/>
    </xf>
    <xf numFmtId="0" fontId="18" fillId="0" borderId="0" xfId="0" applyFont="1" applyFill="1" applyAlignment="1">
      <alignment horizontal="center" wrapText="1"/>
    </xf>
    <xf numFmtId="0" fontId="21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22" fillId="0" borderId="14" xfId="0" applyFont="1" applyFill="1" applyBorder="1" applyAlignment="1">
      <alignment horizontal="center" vertical="center" wrapText="1"/>
    </xf>
    <xf numFmtId="164" fontId="22" fillId="0" borderId="14" xfId="0" applyNumberFormat="1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center" vertical="center" wrapText="1"/>
    </xf>
    <xf numFmtId="3" fontId="14" fillId="0" borderId="14" xfId="0" applyNumberFormat="1" applyFont="1" applyFill="1" applyBorder="1" applyAlignment="1">
      <alignment horizontal="center" vertical="center"/>
    </xf>
    <xf numFmtId="44" fontId="14" fillId="0" borderId="14" xfId="1" applyNumberFormat="1" applyFont="1" applyFill="1" applyBorder="1" applyAlignment="1">
      <alignment horizontal="center" vertical="center"/>
    </xf>
    <xf numFmtId="164" fontId="14" fillId="0" borderId="14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Fill="1" applyAlignment="1">
      <alignment vertical="center"/>
    </xf>
    <xf numFmtId="0" fontId="14" fillId="0" borderId="14" xfId="0" applyFont="1" applyFill="1" applyBorder="1" applyAlignment="1">
      <alignment horizontal="left" vertical="center"/>
    </xf>
    <xf numFmtId="0" fontId="14" fillId="0" borderId="14" xfId="0" applyFont="1" applyFill="1" applyBorder="1" applyAlignment="1">
      <alignment horizontal="left" vertical="center" wrapText="1"/>
    </xf>
    <xf numFmtId="0" fontId="14" fillId="0" borderId="14" xfId="0" applyFont="1" applyFill="1" applyBorder="1" applyAlignment="1">
      <alignment wrapText="1"/>
    </xf>
    <xf numFmtId="0" fontId="20" fillId="0" borderId="2" xfId="0" applyFont="1" applyFill="1" applyBorder="1" applyAlignment="1"/>
    <xf numFmtId="0" fontId="15" fillId="0" borderId="3" xfId="0" applyFont="1" applyFill="1" applyBorder="1" applyAlignment="1"/>
    <xf numFmtId="0" fontId="15" fillId="0" borderId="3" xfId="0" applyFont="1" applyFill="1" applyBorder="1"/>
    <xf numFmtId="0" fontId="15" fillId="0" borderId="4" xfId="0" applyFont="1" applyFill="1" applyBorder="1"/>
    <xf numFmtId="0" fontId="20" fillId="0" borderId="7" xfId="0" applyFont="1" applyFill="1" applyBorder="1" applyAlignment="1"/>
    <xf numFmtId="0" fontId="15" fillId="0" borderId="8" xfId="0" applyFont="1" applyFill="1" applyBorder="1"/>
    <xf numFmtId="0" fontId="15" fillId="0" borderId="9" xfId="0" applyFont="1" applyFill="1" applyBorder="1"/>
    <xf numFmtId="0" fontId="6" fillId="0" borderId="1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/>
    <xf numFmtId="0" fontId="5" fillId="0" borderId="12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1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center" vertical="center" wrapText="1"/>
    </xf>
    <xf numFmtId="3" fontId="4" fillId="0" borderId="14" xfId="0" applyNumberFormat="1" applyFont="1" applyFill="1" applyBorder="1" applyAlignment="1">
      <alignment horizontal="center" vertical="center"/>
    </xf>
    <xf numFmtId="0" fontId="14" fillId="0" borderId="47" xfId="0" applyFont="1" applyFill="1" applyBorder="1" applyAlignment="1">
      <alignment horizontal="center" vertical="center"/>
    </xf>
    <xf numFmtId="0" fontId="0" fillId="0" borderId="47" xfId="0" applyFill="1" applyBorder="1" applyAlignment="1">
      <alignment horizontal="left" vertical="center"/>
    </xf>
    <xf numFmtId="0" fontId="0" fillId="0" borderId="47" xfId="0" applyFill="1" applyBorder="1" applyAlignment="1">
      <alignment horizontal="left" vertical="center" wrapText="1"/>
    </xf>
    <xf numFmtId="0" fontId="23" fillId="0" borderId="47" xfId="0" applyFont="1" applyFill="1" applyBorder="1" applyAlignment="1">
      <alignment horizontal="center" vertical="center" wrapText="1"/>
    </xf>
    <xf numFmtId="0" fontId="14" fillId="0" borderId="47" xfId="0" applyFont="1" applyFill="1" applyBorder="1" applyAlignment="1">
      <alignment horizontal="left" vertical="center"/>
    </xf>
    <xf numFmtId="3" fontId="14" fillId="0" borderId="47" xfId="0" applyNumberFormat="1" applyFont="1" applyFill="1" applyBorder="1" applyAlignment="1">
      <alignment horizontal="center" vertical="center"/>
    </xf>
    <xf numFmtId="164" fontId="14" fillId="0" borderId="47" xfId="1" applyNumberFormat="1" applyFont="1" applyFill="1" applyBorder="1" applyAlignment="1" applyProtection="1">
      <alignment horizontal="center" vertical="center" wrapText="1"/>
    </xf>
    <xf numFmtId="0" fontId="27" fillId="0" borderId="48" xfId="0" applyFont="1" applyFill="1" applyBorder="1" applyAlignment="1">
      <alignment vertical="center"/>
    </xf>
    <xf numFmtId="164" fontId="27" fillId="0" borderId="4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170" fontId="15" fillId="0" borderId="0" xfId="0" applyNumberFormat="1" applyFont="1" applyFill="1"/>
    <xf numFmtId="170" fontId="18" fillId="0" borderId="0" xfId="0" applyNumberFormat="1" applyFont="1" applyFill="1" applyAlignment="1">
      <alignment horizontal="left" wrapText="1"/>
    </xf>
    <xf numFmtId="170" fontId="22" fillId="0" borderId="14" xfId="0" applyNumberFormat="1" applyFont="1" applyFill="1" applyBorder="1" applyAlignment="1">
      <alignment horizontal="center" vertical="center" wrapText="1"/>
    </xf>
    <xf numFmtId="170" fontId="14" fillId="0" borderId="14" xfId="0" applyNumberFormat="1" applyFont="1" applyFill="1" applyBorder="1" applyAlignment="1">
      <alignment horizontal="center" vertical="center"/>
    </xf>
    <xf numFmtId="170" fontId="14" fillId="0" borderId="47" xfId="0" applyNumberFormat="1" applyFont="1" applyFill="1" applyBorder="1" applyAlignment="1">
      <alignment horizontal="center" vertical="center"/>
    </xf>
    <xf numFmtId="170" fontId="27" fillId="0" borderId="48" xfId="0" applyNumberFormat="1" applyFont="1" applyFill="1" applyBorder="1" applyAlignment="1">
      <alignment vertical="center"/>
    </xf>
    <xf numFmtId="3" fontId="15" fillId="0" borderId="0" xfId="0" applyNumberFormat="1" applyFont="1" applyFill="1"/>
    <xf numFmtId="3" fontId="18" fillId="0" borderId="0" xfId="0" applyNumberFormat="1" applyFont="1" applyFill="1" applyAlignment="1">
      <alignment horizontal="left" wrapText="1"/>
    </xf>
    <xf numFmtId="3" fontId="22" fillId="0" borderId="14" xfId="0" applyNumberFormat="1" applyFont="1" applyFill="1" applyBorder="1" applyAlignment="1">
      <alignment horizontal="center" vertical="center" wrapText="1"/>
    </xf>
    <xf numFmtId="3" fontId="27" fillId="0" borderId="48" xfId="0" applyNumberFormat="1" applyFont="1" applyFill="1" applyBorder="1" applyAlignment="1">
      <alignment vertical="center"/>
    </xf>
    <xf numFmtId="170" fontId="5" fillId="0" borderId="10" xfId="0" applyNumberFormat="1" applyFont="1" applyFill="1" applyBorder="1" applyAlignment="1">
      <alignment horizontal="right" vertical="center"/>
    </xf>
    <xf numFmtId="170" fontId="5" fillId="0" borderId="0" xfId="0" applyNumberFormat="1" applyFont="1" applyFill="1" applyBorder="1" applyAlignment="1">
      <alignment vertical="center"/>
    </xf>
    <xf numFmtId="170" fontId="6" fillId="0" borderId="0" xfId="0" applyNumberFormat="1" applyFont="1" applyFill="1" applyBorder="1" applyAlignment="1">
      <alignment horizontal="left" vertical="center" wrapText="1" indent="1"/>
    </xf>
    <xf numFmtId="170" fontId="4" fillId="0" borderId="14" xfId="1" applyNumberFormat="1" applyFont="1" applyFill="1" applyBorder="1" applyAlignment="1" applyProtection="1">
      <alignment horizontal="right" vertical="center" wrapText="1"/>
    </xf>
    <xf numFmtId="170" fontId="2" fillId="0" borderId="0" xfId="0" applyNumberFormat="1" applyFont="1" applyFill="1" applyBorder="1" applyAlignment="1">
      <alignment vertical="center"/>
    </xf>
    <xf numFmtId="0" fontId="24" fillId="0" borderId="2" xfId="7" applyFont="1" applyFill="1" applyBorder="1" applyAlignment="1">
      <alignment horizontal="center" vertical="center" wrapText="1"/>
    </xf>
    <xf numFmtId="0" fontId="24" fillId="0" borderId="5" xfId="7" applyFont="1" applyFill="1" applyBorder="1" applyAlignment="1">
      <alignment horizontal="center" vertical="center" wrapText="1"/>
    </xf>
    <xf numFmtId="0" fontId="15" fillId="0" borderId="0" xfId="7" applyFont="1" applyFill="1" applyBorder="1" applyAlignment="1">
      <alignment horizontal="left" vertical="center" wrapText="1"/>
    </xf>
    <xf numFmtId="0" fontId="15" fillId="0" borderId="0" xfId="7" applyFont="1" applyFill="1" applyBorder="1" applyAlignment="1">
      <alignment horizontal="center" vertical="center"/>
    </xf>
    <xf numFmtId="0" fontId="15" fillId="0" borderId="0" xfId="7" applyFont="1" applyFill="1" applyBorder="1" applyAlignment="1">
      <alignment vertical="center"/>
    </xf>
    <xf numFmtId="0" fontId="24" fillId="0" borderId="5" xfId="7" applyFont="1" applyBorder="1" applyAlignment="1">
      <alignment horizontal="center" vertical="center" wrapText="1"/>
    </xf>
    <xf numFmtId="0" fontId="15" fillId="0" borderId="0" xfId="7" applyFont="1" applyBorder="1" applyAlignment="1">
      <alignment horizontal="center" vertical="center"/>
    </xf>
    <xf numFmtId="0" fontId="15" fillId="0" borderId="0" xfId="0" applyFont="1" applyFill="1" applyBorder="1"/>
    <xf numFmtId="0" fontId="15" fillId="0" borderId="6" xfId="0" applyFont="1" applyFill="1" applyBorder="1"/>
    <xf numFmtId="0" fontId="15" fillId="0" borderId="7" xfId="0" applyFont="1" applyFill="1" applyBorder="1"/>
    <xf numFmtId="0" fontId="2" fillId="0" borderId="0" xfId="0" applyFont="1" applyFill="1"/>
    <xf numFmtId="0" fontId="0" fillId="0" borderId="0" xfId="0" applyFill="1" applyBorder="1"/>
    <xf numFmtId="0" fontId="0" fillId="0" borderId="10" xfId="0" applyFill="1" applyBorder="1"/>
    <xf numFmtId="0" fontId="0" fillId="0" borderId="23" xfId="0" applyFill="1" applyBorder="1"/>
    <xf numFmtId="0" fontId="0" fillId="0" borderId="12" xfId="0" applyFill="1" applyBorder="1"/>
    <xf numFmtId="0" fontId="0" fillId="0" borderId="12" xfId="0" applyFill="1" applyBorder="1" applyAlignment="1">
      <alignment horizontal="left"/>
    </xf>
    <xf numFmtId="0" fontId="0" fillId="0" borderId="24" xfId="0" applyFill="1" applyBorder="1"/>
    <xf numFmtId="0" fontId="13" fillId="0" borderId="26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167" fontId="0" fillId="0" borderId="32" xfId="3" applyNumberFormat="1" applyFont="1" applyFill="1" applyBorder="1" applyAlignment="1" applyProtection="1">
      <alignment horizontal="center" vertical="center"/>
    </xf>
    <xf numFmtId="167" fontId="13" fillId="0" borderId="42" xfId="0" applyNumberFormat="1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167" fontId="0" fillId="0" borderId="37" xfId="3" applyNumberFormat="1" applyFont="1" applyFill="1" applyBorder="1" applyAlignment="1" applyProtection="1">
      <alignment horizontal="center" vertical="center"/>
    </xf>
    <xf numFmtId="0" fontId="11" fillId="0" borderId="33" xfId="0" applyFont="1" applyFill="1" applyBorder="1" applyAlignment="1">
      <alignment horizontal="center" vertical="center"/>
    </xf>
    <xf numFmtId="0" fontId="11" fillId="0" borderId="34" xfId="0" applyFont="1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11" fillId="0" borderId="35" xfId="0" applyFont="1" applyFill="1" applyBorder="1" applyAlignment="1">
      <alignment horizontal="center" vertical="center"/>
    </xf>
    <xf numFmtId="0" fontId="11" fillId="0" borderId="36" xfId="0" applyFont="1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167" fontId="0" fillId="0" borderId="41" xfId="3" applyNumberFormat="1" applyFont="1" applyFill="1" applyBorder="1" applyAlignment="1" applyProtection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4" fillId="0" borderId="5" xfId="7" applyFont="1" applyFill="1" applyBorder="1" applyAlignment="1">
      <alignment horizontal="center" vertical="center" wrapText="1"/>
    </xf>
    <xf numFmtId="0" fontId="15" fillId="0" borderId="3" xfId="7" applyFont="1" applyFill="1" applyBorder="1" applyAlignment="1">
      <alignment horizontal="left" vertical="center" wrapText="1"/>
    </xf>
    <xf numFmtId="0" fontId="15" fillId="0" borderId="4" xfId="7" applyFont="1" applyFill="1" applyBorder="1" applyAlignment="1">
      <alignment horizontal="left" vertical="center" wrapText="1"/>
    </xf>
    <xf numFmtId="0" fontId="15" fillId="0" borderId="0" xfId="7" applyFont="1" applyFill="1" applyBorder="1" applyAlignment="1">
      <alignment horizontal="left" vertical="center" wrapText="1"/>
    </xf>
    <xf numFmtId="0" fontId="15" fillId="0" borderId="6" xfId="7" applyFont="1" applyFill="1" applyBorder="1" applyAlignment="1">
      <alignment horizontal="left" vertical="center" wrapText="1"/>
    </xf>
    <xf numFmtId="0" fontId="15" fillId="0" borderId="0" xfId="7" applyFont="1" applyFill="1" applyBorder="1" applyAlignment="1">
      <alignment horizontal="left" vertical="center"/>
    </xf>
    <xf numFmtId="0" fontId="15" fillId="0" borderId="6" xfId="7" applyFont="1" applyFill="1" applyBorder="1" applyAlignment="1">
      <alignment horizontal="left" vertical="center"/>
    </xf>
    <xf numFmtId="0" fontId="15" fillId="0" borderId="0" xfId="7" applyFont="1" applyBorder="1" applyAlignment="1">
      <alignment horizontal="left" vertical="center"/>
    </xf>
    <xf numFmtId="0" fontId="15" fillId="0" borderId="6" xfId="7" applyFont="1" applyBorder="1" applyAlignment="1">
      <alignment horizontal="left" vertical="center"/>
    </xf>
    <xf numFmtId="0" fontId="27" fillId="0" borderId="18" xfId="0" applyFont="1" applyFill="1" applyBorder="1" applyAlignment="1">
      <alignment horizontal="center" vertical="center"/>
    </xf>
    <xf numFmtId="0" fontId="27" fillId="0" borderId="50" xfId="0" applyFont="1" applyFill="1" applyBorder="1" applyAlignment="1">
      <alignment horizontal="center" vertical="center"/>
    </xf>
    <xf numFmtId="0" fontId="27" fillId="0" borderId="5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wrapText="1" inden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 indent="1"/>
    </xf>
    <xf numFmtId="0" fontId="7" fillId="0" borderId="15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6" fillId="0" borderId="43" xfId="0" applyFont="1" applyFill="1" applyBorder="1" applyAlignment="1">
      <alignment horizontal="left" vertical="center" wrapText="1"/>
    </xf>
    <xf numFmtId="0" fontId="6" fillId="0" borderId="50" xfId="0" applyFont="1" applyFill="1" applyBorder="1" applyAlignment="1">
      <alignment horizontal="left" vertical="center" wrapText="1"/>
    </xf>
    <xf numFmtId="0" fontId="6" fillId="0" borderId="19" xfId="0" applyFont="1" applyFill="1" applyBorder="1" applyAlignment="1">
      <alignment horizontal="left" vertical="center" wrapText="1"/>
    </xf>
    <xf numFmtId="0" fontId="8" fillId="0" borderId="14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170" fontId="8" fillId="0" borderId="14" xfId="0" applyNumberFormat="1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left" vertical="center"/>
    </xf>
    <xf numFmtId="168" fontId="7" fillId="0" borderId="18" xfId="0" applyNumberFormat="1" applyFont="1" applyFill="1" applyBorder="1" applyAlignment="1">
      <alignment horizontal="center" vertical="center"/>
    </xf>
    <xf numFmtId="168" fontId="7" fillId="0" borderId="19" xfId="0" applyNumberFormat="1" applyFont="1" applyFill="1" applyBorder="1" applyAlignment="1">
      <alignment horizontal="center" vertical="center"/>
    </xf>
    <xf numFmtId="0" fontId="0" fillId="0" borderId="18" xfId="0" applyFont="1" applyBorder="1" applyAlignment="1">
      <alignment horizontal="center"/>
    </xf>
    <xf numFmtId="3" fontId="9" fillId="0" borderId="19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Fill="1" applyBorder="1" applyAlignment="1">
      <alignment horizontal="left" vertical="center" wrapText="1"/>
    </xf>
    <xf numFmtId="0" fontId="4" fillId="0" borderId="44" xfId="0" applyFont="1" applyFill="1" applyBorder="1" applyAlignment="1">
      <alignment horizontal="left" vertical="center" wrapText="1"/>
    </xf>
    <xf numFmtId="0" fontId="4" fillId="0" borderId="45" xfId="0" applyFont="1" applyFill="1" applyBorder="1" applyAlignment="1">
      <alignment horizontal="left" vertical="center" wrapText="1"/>
    </xf>
    <xf numFmtId="0" fontId="11" fillId="0" borderId="11" xfId="0" applyFont="1" applyFill="1" applyBorder="1" applyAlignment="1">
      <alignment horizontal="left" indent="1"/>
    </xf>
    <xf numFmtId="0" fontId="12" fillId="0" borderId="11" xfId="0" applyFont="1" applyFill="1" applyBorder="1" applyAlignment="1">
      <alignment horizontal="left"/>
    </xf>
    <xf numFmtId="0" fontId="11" fillId="0" borderId="21" xfId="0" applyFont="1" applyFill="1" applyBorder="1"/>
    <xf numFmtId="0" fontId="11" fillId="0" borderId="22" xfId="0" applyFont="1" applyFill="1" applyBorder="1" applyAlignment="1">
      <alignment horizontal="left" vertical="center" wrapText="1" indent="1"/>
    </xf>
    <xf numFmtId="0" fontId="13" fillId="0" borderId="20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0" fillId="0" borderId="36" xfId="0" applyFont="1" applyBorder="1" applyAlignment="1">
      <alignment horizontal="left" vertical="center"/>
    </xf>
    <xf numFmtId="0" fontId="9" fillId="0" borderId="18" xfId="0" applyFont="1" applyFill="1" applyBorder="1" applyAlignment="1">
      <alignment vertical="center" wrapText="1"/>
    </xf>
    <xf numFmtId="0" fontId="9" fillId="0" borderId="43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9" fillId="0" borderId="42" xfId="0" applyFont="1" applyFill="1" applyBorder="1" applyAlignment="1">
      <alignment horizontal="left" vertical="center" wrapText="1"/>
    </xf>
    <xf numFmtId="0" fontId="0" fillId="0" borderId="20" xfId="0" applyFill="1" applyBorder="1"/>
    <xf numFmtId="0" fontId="0" fillId="0" borderId="36" xfId="0" applyFont="1" applyFill="1" applyBorder="1" applyAlignment="1">
      <alignment horizontal="left" vertical="center"/>
    </xf>
    <xf numFmtId="0" fontId="0" fillId="0" borderId="36" xfId="0" applyFill="1" applyBorder="1" applyAlignment="1">
      <alignment horizontal="left" vertical="center"/>
    </xf>
    <xf numFmtId="0" fontId="0" fillId="0" borderId="39" xfId="0" applyFill="1" applyBorder="1" applyAlignment="1">
      <alignment horizontal="left" vertical="center"/>
    </xf>
    <xf numFmtId="0" fontId="13" fillId="0" borderId="2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/>
    </xf>
  </cellXfs>
  <cellStyles count="9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6" xr:uid="{00000000-0005-0000-0000-000007000000}"/>
    <cellStyle name="Normal 3" xfId="8" xr:uid="{00000000-0005-0000-0000-000008000000}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59"/>
  <sheetViews>
    <sheetView tabSelected="1" zoomScale="70" zoomScaleNormal="70" workbookViewId="0">
      <selection activeCell="O43" sqref="O43"/>
    </sheetView>
  </sheetViews>
  <sheetFormatPr baseColWidth="10" defaultColWidth="11" defaultRowHeight="12.75" x14ac:dyDescent="0.2"/>
  <cols>
    <col min="1" max="1" width="6.5703125" style="29" customWidth="1"/>
    <col min="2" max="2" width="21.140625" style="29" customWidth="1"/>
    <col min="3" max="3" width="35.7109375" style="29" customWidth="1"/>
    <col min="4" max="4" width="8.7109375" style="29" customWidth="1"/>
    <col min="5" max="5" width="93.42578125" style="29" customWidth="1"/>
    <col min="6" max="6" width="11" style="29"/>
    <col min="7" max="7" width="11" style="82" hidden="1" customWidth="1"/>
    <col min="8" max="8" width="15.28515625" style="76" hidden="1" customWidth="1"/>
    <col min="9" max="9" width="12.5703125" style="82" hidden="1" customWidth="1"/>
    <col min="10" max="10" width="12.5703125" style="76" hidden="1" customWidth="1"/>
    <col min="11" max="11" width="11" style="82" hidden="1" customWidth="1"/>
    <col min="12" max="12" width="13.5703125" style="76" hidden="1" customWidth="1"/>
    <col min="13" max="13" width="13.42578125" style="29" customWidth="1"/>
    <col min="14" max="14" width="15.7109375" style="29" customWidth="1"/>
    <col min="15" max="15" width="18.5703125" style="30" customWidth="1"/>
    <col min="16" max="16" width="31.42578125" style="29" customWidth="1"/>
    <col min="17" max="17" width="20.28515625" style="29" customWidth="1"/>
    <col min="18" max="16384" width="11" style="29"/>
  </cols>
  <sheetData>
    <row r="2" spans="1:17" ht="27" x14ac:dyDescent="0.35">
      <c r="A2" s="29">
        <v>2022</v>
      </c>
      <c r="B2" s="148" t="s">
        <v>0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</row>
    <row r="3" spans="1:17" ht="12" customHeight="1" x14ac:dyDescent="0.2"/>
    <row r="4" spans="1:17" ht="18" customHeight="1" x14ac:dyDescent="0.25">
      <c r="A4" s="149" t="s">
        <v>1</v>
      </c>
      <c r="B4" s="149"/>
      <c r="C4" s="150" t="s">
        <v>122</v>
      </c>
      <c r="D4" s="150"/>
      <c r="E4" s="150"/>
      <c r="F4" s="31"/>
      <c r="G4" s="83"/>
      <c r="H4" s="77"/>
      <c r="I4" s="83"/>
      <c r="J4" s="77"/>
      <c r="K4" s="83"/>
      <c r="L4" s="77"/>
      <c r="M4" s="32"/>
      <c r="N4" s="31"/>
    </row>
    <row r="5" spans="1:17" ht="18" customHeight="1" x14ac:dyDescent="0.25">
      <c r="A5" s="149" t="s">
        <v>2</v>
      </c>
      <c r="B5" s="149"/>
      <c r="C5" s="150" t="s">
        <v>123</v>
      </c>
      <c r="D5" s="150"/>
      <c r="E5" s="150"/>
      <c r="F5" s="31"/>
      <c r="G5" s="83"/>
      <c r="H5" s="77"/>
      <c r="I5" s="83"/>
      <c r="J5" s="77"/>
      <c r="K5" s="83"/>
      <c r="L5" s="77"/>
      <c r="M5" s="32"/>
      <c r="N5" s="31"/>
    </row>
    <row r="6" spans="1:17" ht="16.5" customHeight="1" x14ac:dyDescent="0.25">
      <c r="A6" s="149" t="s">
        <v>3</v>
      </c>
      <c r="B6" s="149"/>
      <c r="C6" s="33">
        <v>2022</v>
      </c>
      <c r="D6" s="34"/>
      <c r="E6" s="34"/>
      <c r="F6" s="31"/>
      <c r="G6" s="83"/>
      <c r="H6" s="77"/>
      <c r="I6" s="83"/>
      <c r="J6" s="77"/>
      <c r="K6" s="83"/>
      <c r="L6" s="77"/>
      <c r="M6" s="32"/>
      <c r="N6" s="31"/>
    </row>
    <row r="7" spans="1:17" ht="16.5" customHeight="1" x14ac:dyDescent="0.25">
      <c r="A7" s="149" t="s">
        <v>4</v>
      </c>
      <c r="B7" s="149"/>
      <c r="C7" s="33">
        <v>3</v>
      </c>
      <c r="D7" s="34"/>
      <c r="E7" s="34"/>
      <c r="F7" s="31"/>
      <c r="G7" s="83"/>
      <c r="H7" s="77"/>
      <c r="I7" s="83"/>
      <c r="J7" s="77"/>
      <c r="K7" s="83"/>
      <c r="L7" s="77"/>
      <c r="M7" s="32"/>
      <c r="N7" s="31"/>
    </row>
    <row r="8" spans="1:17" ht="13.5" thickBot="1" x14ac:dyDescent="0.25">
      <c r="B8" s="31"/>
      <c r="C8" s="32"/>
      <c r="D8" s="31"/>
      <c r="E8" s="31"/>
      <c r="F8" s="31"/>
      <c r="G8" s="83"/>
      <c r="H8" s="77"/>
      <c r="I8" s="83"/>
      <c r="J8" s="77"/>
      <c r="K8" s="83"/>
      <c r="L8" s="77"/>
      <c r="M8" s="32"/>
      <c r="N8" s="31"/>
    </row>
    <row r="9" spans="1:17" ht="39" thickBot="1" x14ac:dyDescent="0.25">
      <c r="A9" s="35" t="s">
        <v>5</v>
      </c>
      <c r="B9" s="35" t="s">
        <v>57</v>
      </c>
      <c r="C9" s="35" t="s">
        <v>6</v>
      </c>
      <c r="D9" s="35" t="s">
        <v>7</v>
      </c>
      <c r="E9" s="35" t="s">
        <v>8</v>
      </c>
      <c r="F9" s="35" t="s">
        <v>9</v>
      </c>
      <c r="G9" s="84" t="s">
        <v>116</v>
      </c>
      <c r="H9" s="78" t="s">
        <v>117</v>
      </c>
      <c r="I9" s="84" t="s">
        <v>120</v>
      </c>
      <c r="J9" s="78" t="s">
        <v>121</v>
      </c>
      <c r="K9" s="84" t="s">
        <v>118</v>
      </c>
      <c r="L9" s="78" t="s">
        <v>119</v>
      </c>
      <c r="M9" s="35" t="s">
        <v>10</v>
      </c>
      <c r="N9" s="35" t="s">
        <v>11</v>
      </c>
      <c r="O9" s="36" t="s">
        <v>12</v>
      </c>
    </row>
    <row r="10" spans="1:17" ht="24.95" customHeight="1" thickBot="1" x14ac:dyDescent="0.25">
      <c r="A10" s="37">
        <v>1</v>
      </c>
      <c r="B10" s="38" t="s">
        <v>59</v>
      </c>
      <c r="C10" s="39" t="s">
        <v>58</v>
      </c>
      <c r="D10" s="40">
        <v>295</v>
      </c>
      <c r="E10" s="38" t="s">
        <v>60</v>
      </c>
      <c r="F10" s="37" t="s">
        <v>55</v>
      </c>
      <c r="G10" s="41">
        <v>1000</v>
      </c>
      <c r="H10" s="79">
        <f>+G10*N10</f>
        <v>67000</v>
      </c>
      <c r="I10" s="41"/>
      <c r="J10" s="79">
        <f t="shared" ref="J10:J35" si="0">+I10*N10</f>
        <v>0</v>
      </c>
      <c r="K10" s="41"/>
      <c r="L10" s="79"/>
      <c r="M10" s="41">
        <f t="shared" ref="M10:M36" si="1">+G10+I10+K10</f>
        <v>1000</v>
      </c>
      <c r="N10" s="42">
        <v>67</v>
      </c>
      <c r="O10" s="43">
        <f t="shared" ref="O10:O36" si="2">+M10*N10</f>
        <v>67000</v>
      </c>
    </row>
    <row r="11" spans="1:17" ht="24.95" customHeight="1" thickBot="1" x14ac:dyDescent="0.25">
      <c r="A11" s="37">
        <v>2</v>
      </c>
      <c r="B11" s="38" t="s">
        <v>61</v>
      </c>
      <c r="C11" s="39" t="s">
        <v>58</v>
      </c>
      <c r="D11" s="40">
        <v>295</v>
      </c>
      <c r="E11" s="38" t="s">
        <v>62</v>
      </c>
      <c r="F11" s="37" t="s">
        <v>55</v>
      </c>
      <c r="G11" s="41">
        <v>2000</v>
      </c>
      <c r="H11" s="79">
        <f t="shared" ref="H11:H35" si="3">+G11*N11</f>
        <v>75000</v>
      </c>
      <c r="I11" s="41"/>
      <c r="J11" s="79">
        <f t="shared" si="0"/>
        <v>0</v>
      </c>
      <c r="K11" s="41"/>
      <c r="L11" s="79"/>
      <c r="M11" s="41">
        <f t="shared" si="1"/>
        <v>2000</v>
      </c>
      <c r="N11" s="42">
        <v>37.5</v>
      </c>
      <c r="O11" s="43">
        <f t="shared" si="2"/>
        <v>75000</v>
      </c>
    </row>
    <row r="12" spans="1:17" ht="24.95" customHeight="1" thickBot="1" x14ac:dyDescent="0.25">
      <c r="A12" s="37">
        <v>3</v>
      </c>
      <c r="B12" s="38" t="s">
        <v>75</v>
      </c>
      <c r="C12" s="39" t="s">
        <v>58</v>
      </c>
      <c r="D12" s="40">
        <v>295</v>
      </c>
      <c r="E12" s="38" t="s">
        <v>76</v>
      </c>
      <c r="F12" s="37" t="s">
        <v>55</v>
      </c>
      <c r="G12" s="41">
        <v>300</v>
      </c>
      <c r="H12" s="79">
        <f t="shared" si="3"/>
        <v>16500</v>
      </c>
      <c r="I12" s="41"/>
      <c r="J12" s="79">
        <f t="shared" si="0"/>
        <v>0</v>
      </c>
      <c r="K12" s="41"/>
      <c r="L12" s="79"/>
      <c r="M12" s="41">
        <f t="shared" si="1"/>
        <v>300</v>
      </c>
      <c r="N12" s="42">
        <v>55</v>
      </c>
      <c r="O12" s="43">
        <f t="shared" si="2"/>
        <v>16500</v>
      </c>
    </row>
    <row r="13" spans="1:17" ht="24.95" customHeight="1" thickBot="1" x14ac:dyDescent="0.25">
      <c r="A13" s="37">
        <v>4</v>
      </c>
      <c r="B13" s="38" t="s">
        <v>87</v>
      </c>
      <c r="C13" s="39" t="s">
        <v>58</v>
      </c>
      <c r="D13" s="40">
        <v>295</v>
      </c>
      <c r="E13" s="38" t="s">
        <v>92</v>
      </c>
      <c r="F13" s="37" t="s">
        <v>55</v>
      </c>
      <c r="G13" s="41">
        <v>1000</v>
      </c>
      <c r="H13" s="79">
        <f t="shared" si="3"/>
        <v>45000</v>
      </c>
      <c r="I13" s="41"/>
      <c r="J13" s="79">
        <f t="shared" si="0"/>
        <v>0</v>
      </c>
      <c r="K13" s="41"/>
      <c r="L13" s="79"/>
      <c r="M13" s="41">
        <f t="shared" si="1"/>
        <v>1000</v>
      </c>
      <c r="N13" s="42">
        <v>45</v>
      </c>
      <c r="O13" s="43">
        <f t="shared" si="2"/>
        <v>45000</v>
      </c>
      <c r="P13" s="44"/>
      <c r="Q13" s="44"/>
    </row>
    <row r="14" spans="1:17" ht="24.95" customHeight="1" thickBot="1" x14ac:dyDescent="0.25">
      <c r="A14" s="37">
        <v>5</v>
      </c>
      <c r="B14" s="38" t="s">
        <v>86</v>
      </c>
      <c r="C14" s="39" t="s">
        <v>58</v>
      </c>
      <c r="D14" s="40">
        <v>295</v>
      </c>
      <c r="E14" s="38" t="s">
        <v>85</v>
      </c>
      <c r="F14" s="37" t="s">
        <v>55</v>
      </c>
      <c r="G14" s="41">
        <v>1000</v>
      </c>
      <c r="H14" s="79">
        <f t="shared" si="3"/>
        <v>45000</v>
      </c>
      <c r="I14" s="41"/>
      <c r="J14" s="79">
        <f t="shared" si="0"/>
        <v>0</v>
      </c>
      <c r="K14" s="41"/>
      <c r="L14" s="79"/>
      <c r="M14" s="41">
        <f t="shared" si="1"/>
        <v>1000</v>
      </c>
      <c r="N14" s="42">
        <v>45</v>
      </c>
      <c r="O14" s="43">
        <f t="shared" si="2"/>
        <v>45000</v>
      </c>
      <c r="P14" s="44"/>
      <c r="Q14" s="44"/>
    </row>
    <row r="15" spans="1:17" ht="24.95" customHeight="1" thickBot="1" x14ac:dyDescent="0.25">
      <c r="A15" s="37">
        <v>6</v>
      </c>
      <c r="B15" s="38" t="s">
        <v>84</v>
      </c>
      <c r="C15" s="39" t="s">
        <v>58</v>
      </c>
      <c r="D15" s="40">
        <v>295</v>
      </c>
      <c r="E15" s="38" t="s">
        <v>93</v>
      </c>
      <c r="F15" s="37" t="s">
        <v>55</v>
      </c>
      <c r="G15" s="41">
        <v>15000</v>
      </c>
      <c r="H15" s="79">
        <f t="shared" si="3"/>
        <v>1275000</v>
      </c>
      <c r="I15" s="41">
        <v>250</v>
      </c>
      <c r="J15" s="79">
        <f t="shared" si="0"/>
        <v>21250</v>
      </c>
      <c r="K15" s="41"/>
      <c r="L15" s="79"/>
      <c r="M15" s="41">
        <f t="shared" si="1"/>
        <v>15250</v>
      </c>
      <c r="N15" s="42">
        <v>85</v>
      </c>
      <c r="O15" s="43">
        <f t="shared" si="2"/>
        <v>1296250</v>
      </c>
      <c r="P15" s="44"/>
      <c r="Q15" s="44"/>
    </row>
    <row r="16" spans="1:17" ht="33" customHeight="1" thickBot="1" x14ac:dyDescent="0.25">
      <c r="A16" s="37">
        <v>7</v>
      </c>
      <c r="B16" s="38" t="s">
        <v>95</v>
      </c>
      <c r="C16" s="39" t="s">
        <v>58</v>
      </c>
      <c r="D16" s="40">
        <v>295</v>
      </c>
      <c r="E16" s="38" t="s">
        <v>94</v>
      </c>
      <c r="F16" s="37" t="s">
        <v>55</v>
      </c>
      <c r="G16" s="41">
        <v>6000</v>
      </c>
      <c r="H16" s="79">
        <f t="shared" si="3"/>
        <v>510000</v>
      </c>
      <c r="I16" s="41">
        <v>250</v>
      </c>
      <c r="J16" s="79">
        <f t="shared" si="0"/>
        <v>21250</v>
      </c>
      <c r="K16" s="41"/>
      <c r="L16" s="79"/>
      <c r="M16" s="41">
        <f t="shared" si="1"/>
        <v>6250</v>
      </c>
      <c r="N16" s="42">
        <v>85</v>
      </c>
      <c r="O16" s="43">
        <f t="shared" si="2"/>
        <v>531250</v>
      </c>
      <c r="P16" s="151"/>
      <c r="Q16" s="152"/>
    </row>
    <row r="17" spans="1:17" ht="24.95" customHeight="1" thickBot="1" x14ac:dyDescent="0.25">
      <c r="A17" s="37">
        <v>8</v>
      </c>
      <c r="B17" s="38" t="s">
        <v>88</v>
      </c>
      <c r="C17" s="39" t="s">
        <v>58</v>
      </c>
      <c r="D17" s="40">
        <v>295</v>
      </c>
      <c r="E17" s="38" t="s">
        <v>96</v>
      </c>
      <c r="F17" s="37" t="s">
        <v>55</v>
      </c>
      <c r="G17" s="41">
        <v>3000</v>
      </c>
      <c r="H17" s="79">
        <f t="shared" si="3"/>
        <v>255000</v>
      </c>
      <c r="I17" s="41">
        <v>150</v>
      </c>
      <c r="J17" s="79">
        <f t="shared" si="0"/>
        <v>12750</v>
      </c>
      <c r="K17" s="41"/>
      <c r="L17" s="79"/>
      <c r="M17" s="41">
        <f t="shared" si="1"/>
        <v>3150</v>
      </c>
      <c r="N17" s="42">
        <v>85</v>
      </c>
      <c r="O17" s="43">
        <f t="shared" si="2"/>
        <v>267750</v>
      </c>
      <c r="P17" s="44"/>
      <c r="Q17" s="44"/>
    </row>
    <row r="18" spans="1:17" ht="24.95" customHeight="1" thickBot="1" x14ac:dyDescent="0.25">
      <c r="A18" s="37">
        <v>9</v>
      </c>
      <c r="B18" s="38" t="s">
        <v>89</v>
      </c>
      <c r="C18" s="39" t="s">
        <v>58</v>
      </c>
      <c r="D18" s="40">
        <v>295</v>
      </c>
      <c r="E18" s="38" t="s">
        <v>97</v>
      </c>
      <c r="F18" s="37" t="s">
        <v>55</v>
      </c>
      <c r="G18" s="41">
        <v>3000</v>
      </c>
      <c r="H18" s="79">
        <f t="shared" si="3"/>
        <v>255000</v>
      </c>
      <c r="I18" s="41"/>
      <c r="J18" s="79">
        <f t="shared" si="0"/>
        <v>0</v>
      </c>
      <c r="K18" s="41"/>
      <c r="L18" s="79"/>
      <c r="M18" s="41">
        <f t="shared" si="1"/>
        <v>3000</v>
      </c>
      <c r="N18" s="42">
        <v>85</v>
      </c>
      <c r="O18" s="43">
        <f t="shared" si="2"/>
        <v>255000</v>
      </c>
      <c r="P18" s="44"/>
      <c r="Q18" s="44"/>
    </row>
    <row r="19" spans="1:17" ht="39" customHeight="1" thickBot="1" x14ac:dyDescent="0.25">
      <c r="A19" s="37">
        <v>10</v>
      </c>
      <c r="B19" s="46" t="s">
        <v>99</v>
      </c>
      <c r="C19" s="39" t="s">
        <v>58</v>
      </c>
      <c r="D19" s="40">
        <v>295</v>
      </c>
      <c r="E19" s="46" t="s">
        <v>98</v>
      </c>
      <c r="F19" s="37" t="s">
        <v>55</v>
      </c>
      <c r="G19" s="41">
        <v>500</v>
      </c>
      <c r="H19" s="79">
        <f t="shared" si="3"/>
        <v>610000</v>
      </c>
      <c r="I19" s="41"/>
      <c r="J19" s="79">
        <f t="shared" si="0"/>
        <v>0</v>
      </c>
      <c r="K19" s="41"/>
      <c r="L19" s="79"/>
      <c r="M19" s="41">
        <f t="shared" si="1"/>
        <v>500</v>
      </c>
      <c r="N19" s="42">
        <v>1220</v>
      </c>
      <c r="O19" s="43">
        <f t="shared" si="2"/>
        <v>610000</v>
      </c>
    </row>
    <row r="20" spans="1:17" ht="34.5" customHeight="1" thickBot="1" x14ac:dyDescent="0.25">
      <c r="A20" s="37">
        <v>11</v>
      </c>
      <c r="B20" s="38" t="s">
        <v>101</v>
      </c>
      <c r="C20" s="39" t="s">
        <v>58</v>
      </c>
      <c r="D20" s="40">
        <v>295</v>
      </c>
      <c r="E20" s="46" t="s">
        <v>100</v>
      </c>
      <c r="F20" s="37" t="s">
        <v>55</v>
      </c>
      <c r="G20" s="41">
        <v>15000</v>
      </c>
      <c r="H20" s="79">
        <f t="shared" si="3"/>
        <v>675000</v>
      </c>
      <c r="I20" s="41">
        <v>250</v>
      </c>
      <c r="J20" s="79">
        <f t="shared" si="0"/>
        <v>11250</v>
      </c>
      <c r="K20" s="41"/>
      <c r="L20" s="79"/>
      <c r="M20" s="41">
        <f t="shared" si="1"/>
        <v>15250</v>
      </c>
      <c r="N20" s="42">
        <v>45</v>
      </c>
      <c r="O20" s="43">
        <f t="shared" si="2"/>
        <v>686250</v>
      </c>
      <c r="P20" s="155"/>
      <c r="Q20" s="156"/>
    </row>
    <row r="21" spans="1:17" ht="36.75" customHeight="1" thickBot="1" x14ac:dyDescent="0.25">
      <c r="A21" s="37">
        <v>12</v>
      </c>
      <c r="B21" s="45" t="s">
        <v>102</v>
      </c>
      <c r="C21" s="39" t="s">
        <v>58</v>
      </c>
      <c r="D21" s="40">
        <v>295</v>
      </c>
      <c r="E21" s="46" t="s">
        <v>106</v>
      </c>
      <c r="F21" s="37" t="s">
        <v>55</v>
      </c>
      <c r="G21" s="41">
        <v>10000</v>
      </c>
      <c r="H21" s="79">
        <f t="shared" si="3"/>
        <v>470000</v>
      </c>
      <c r="I21" s="41"/>
      <c r="J21" s="79">
        <f t="shared" si="0"/>
        <v>0</v>
      </c>
      <c r="K21" s="41"/>
      <c r="L21" s="79"/>
      <c r="M21" s="41">
        <f t="shared" si="1"/>
        <v>10000</v>
      </c>
      <c r="N21" s="42">
        <v>47</v>
      </c>
      <c r="O21" s="43">
        <f t="shared" si="2"/>
        <v>470000</v>
      </c>
      <c r="P21" s="157"/>
      <c r="Q21" s="156"/>
    </row>
    <row r="22" spans="1:17" ht="31.5" customHeight="1" thickBot="1" x14ac:dyDescent="0.25">
      <c r="A22" s="37">
        <v>13</v>
      </c>
      <c r="B22" s="38" t="s">
        <v>77</v>
      </c>
      <c r="C22" s="39" t="s">
        <v>58</v>
      </c>
      <c r="D22" s="40">
        <v>295</v>
      </c>
      <c r="E22" s="46" t="s">
        <v>103</v>
      </c>
      <c r="F22" s="37" t="s">
        <v>55</v>
      </c>
      <c r="G22" s="41"/>
      <c r="H22" s="79">
        <f t="shared" si="3"/>
        <v>0</v>
      </c>
      <c r="I22" s="41">
        <v>50</v>
      </c>
      <c r="J22" s="79">
        <f t="shared" si="0"/>
        <v>2750</v>
      </c>
      <c r="K22" s="41"/>
      <c r="L22" s="79"/>
      <c r="M22" s="41">
        <f t="shared" si="1"/>
        <v>50</v>
      </c>
      <c r="N22" s="42">
        <v>55</v>
      </c>
      <c r="O22" s="43">
        <f t="shared" si="2"/>
        <v>2750</v>
      </c>
      <c r="P22" s="44"/>
    </row>
    <row r="23" spans="1:17" ht="30.75" customHeight="1" thickBot="1" x14ac:dyDescent="0.25">
      <c r="A23" s="37">
        <v>14</v>
      </c>
      <c r="B23" s="38" t="s">
        <v>105</v>
      </c>
      <c r="C23" s="39" t="s">
        <v>58</v>
      </c>
      <c r="D23" s="40">
        <v>295</v>
      </c>
      <c r="E23" s="46" t="s">
        <v>104</v>
      </c>
      <c r="F23" s="37" t="s">
        <v>55</v>
      </c>
      <c r="G23" s="41">
        <v>200</v>
      </c>
      <c r="H23" s="79">
        <f t="shared" si="3"/>
        <v>12000</v>
      </c>
      <c r="I23" s="41"/>
      <c r="J23" s="79">
        <f t="shared" si="0"/>
        <v>0</v>
      </c>
      <c r="K23" s="41"/>
      <c r="L23" s="79"/>
      <c r="M23" s="41">
        <f t="shared" si="1"/>
        <v>200</v>
      </c>
      <c r="N23" s="42">
        <v>60</v>
      </c>
      <c r="O23" s="43">
        <f t="shared" si="2"/>
        <v>12000</v>
      </c>
      <c r="P23" s="44"/>
    </row>
    <row r="24" spans="1:17" ht="24.95" customHeight="1" thickBot="1" x14ac:dyDescent="0.25">
      <c r="A24" s="37">
        <v>15</v>
      </c>
      <c r="B24" s="38" t="s">
        <v>83</v>
      </c>
      <c r="C24" s="39" t="s">
        <v>58</v>
      </c>
      <c r="D24" s="40">
        <v>295</v>
      </c>
      <c r="E24" s="38" t="s">
        <v>82</v>
      </c>
      <c r="F24" s="37" t="s">
        <v>55</v>
      </c>
      <c r="G24" s="41">
        <v>100</v>
      </c>
      <c r="H24" s="79">
        <f t="shared" si="3"/>
        <v>9800</v>
      </c>
      <c r="I24" s="41"/>
      <c r="J24" s="79">
        <f t="shared" si="0"/>
        <v>0</v>
      </c>
      <c r="K24" s="41"/>
      <c r="L24" s="79"/>
      <c r="M24" s="41">
        <f t="shared" si="1"/>
        <v>100</v>
      </c>
      <c r="N24" s="42">
        <v>98</v>
      </c>
      <c r="O24" s="43">
        <f t="shared" si="2"/>
        <v>9800</v>
      </c>
    </row>
    <row r="25" spans="1:17" ht="24.95" customHeight="1" thickBot="1" x14ac:dyDescent="0.25">
      <c r="A25" s="37">
        <v>16</v>
      </c>
      <c r="B25" s="38" t="s">
        <v>81</v>
      </c>
      <c r="C25" s="39" t="s">
        <v>58</v>
      </c>
      <c r="D25" s="40">
        <v>295</v>
      </c>
      <c r="E25" s="38" t="s">
        <v>80</v>
      </c>
      <c r="F25" s="37" t="s">
        <v>55</v>
      </c>
      <c r="G25" s="41">
        <v>300</v>
      </c>
      <c r="H25" s="79">
        <f t="shared" si="3"/>
        <v>29400</v>
      </c>
      <c r="I25" s="41"/>
      <c r="J25" s="79">
        <f t="shared" si="0"/>
        <v>0</v>
      </c>
      <c r="K25" s="41"/>
      <c r="L25" s="79"/>
      <c r="M25" s="41">
        <f t="shared" si="1"/>
        <v>300</v>
      </c>
      <c r="N25" s="42">
        <v>98</v>
      </c>
      <c r="O25" s="43">
        <f t="shared" si="2"/>
        <v>29400</v>
      </c>
    </row>
    <row r="26" spans="1:17" ht="24.95" customHeight="1" thickBot="1" x14ac:dyDescent="0.25">
      <c r="A26" s="37">
        <v>17</v>
      </c>
      <c r="B26" s="38" t="s">
        <v>79</v>
      </c>
      <c r="C26" s="39" t="s">
        <v>58</v>
      </c>
      <c r="D26" s="40">
        <v>295</v>
      </c>
      <c r="E26" s="38" t="s">
        <v>78</v>
      </c>
      <c r="F26" s="37" t="s">
        <v>55</v>
      </c>
      <c r="G26" s="41">
        <v>200</v>
      </c>
      <c r="H26" s="79">
        <f t="shared" si="3"/>
        <v>19600</v>
      </c>
      <c r="I26" s="41"/>
      <c r="J26" s="79">
        <f t="shared" si="0"/>
        <v>0</v>
      </c>
      <c r="K26" s="41"/>
      <c r="L26" s="79"/>
      <c r="M26" s="41">
        <f t="shared" si="1"/>
        <v>200</v>
      </c>
      <c r="N26" s="42">
        <v>98</v>
      </c>
      <c r="O26" s="43">
        <f t="shared" si="2"/>
        <v>19600</v>
      </c>
    </row>
    <row r="27" spans="1:17" ht="24.95" customHeight="1" thickBot="1" x14ac:dyDescent="0.25">
      <c r="A27" s="37">
        <v>18</v>
      </c>
      <c r="B27" s="38" t="s">
        <v>64</v>
      </c>
      <c r="C27" s="39" t="s">
        <v>58</v>
      </c>
      <c r="D27" s="40">
        <v>295</v>
      </c>
      <c r="E27" s="38" t="s">
        <v>63</v>
      </c>
      <c r="F27" s="37" t="s">
        <v>55</v>
      </c>
      <c r="G27" s="41"/>
      <c r="H27" s="79">
        <f t="shared" si="3"/>
        <v>0</v>
      </c>
      <c r="I27" s="41">
        <v>25</v>
      </c>
      <c r="J27" s="79">
        <f t="shared" si="0"/>
        <v>1200</v>
      </c>
      <c r="K27" s="41"/>
      <c r="L27" s="79"/>
      <c r="M27" s="41">
        <f t="shared" si="1"/>
        <v>25</v>
      </c>
      <c r="N27" s="42">
        <v>48</v>
      </c>
      <c r="O27" s="43">
        <f t="shared" si="2"/>
        <v>1200</v>
      </c>
    </row>
    <row r="28" spans="1:17" ht="24.95" customHeight="1" thickBot="1" x14ac:dyDescent="0.25">
      <c r="A28" s="37">
        <v>19</v>
      </c>
      <c r="B28" s="38" t="s">
        <v>66</v>
      </c>
      <c r="C28" s="39" t="s">
        <v>58</v>
      </c>
      <c r="D28" s="40">
        <v>295</v>
      </c>
      <c r="E28" s="38" t="s">
        <v>65</v>
      </c>
      <c r="F28" s="37" t="s">
        <v>55</v>
      </c>
      <c r="G28" s="41"/>
      <c r="H28" s="79">
        <f t="shared" si="3"/>
        <v>0</v>
      </c>
      <c r="I28" s="41">
        <v>25</v>
      </c>
      <c r="J28" s="79">
        <f t="shared" si="0"/>
        <v>1200</v>
      </c>
      <c r="K28" s="41"/>
      <c r="L28" s="79"/>
      <c r="M28" s="41">
        <f t="shared" si="1"/>
        <v>25</v>
      </c>
      <c r="N28" s="42">
        <v>48</v>
      </c>
      <c r="O28" s="43">
        <f t="shared" si="2"/>
        <v>1200</v>
      </c>
    </row>
    <row r="29" spans="1:17" ht="24.95" customHeight="1" thickBot="1" x14ac:dyDescent="0.25">
      <c r="A29" s="37">
        <v>20</v>
      </c>
      <c r="B29" s="38" t="s">
        <v>68</v>
      </c>
      <c r="C29" s="39" t="s">
        <v>58</v>
      </c>
      <c r="D29" s="40">
        <v>295</v>
      </c>
      <c r="E29" s="38" t="s">
        <v>67</v>
      </c>
      <c r="F29" s="37" t="s">
        <v>55</v>
      </c>
      <c r="G29" s="41"/>
      <c r="H29" s="79">
        <f t="shared" si="3"/>
        <v>0</v>
      </c>
      <c r="I29" s="41">
        <v>25</v>
      </c>
      <c r="J29" s="79">
        <f t="shared" si="0"/>
        <v>1200</v>
      </c>
      <c r="K29" s="41"/>
      <c r="L29" s="79"/>
      <c r="M29" s="41">
        <f t="shared" si="1"/>
        <v>25</v>
      </c>
      <c r="N29" s="42">
        <v>48</v>
      </c>
      <c r="O29" s="43">
        <f t="shared" si="2"/>
        <v>1200</v>
      </c>
    </row>
    <row r="30" spans="1:17" ht="24.95" customHeight="1" thickBot="1" x14ac:dyDescent="0.25">
      <c r="A30" s="37">
        <v>21</v>
      </c>
      <c r="B30" s="38" t="s">
        <v>109</v>
      </c>
      <c r="C30" s="39" t="s">
        <v>58</v>
      </c>
      <c r="D30" s="40">
        <v>295</v>
      </c>
      <c r="E30" s="38" t="s">
        <v>110</v>
      </c>
      <c r="F30" s="37" t="s">
        <v>55</v>
      </c>
      <c r="G30" s="41"/>
      <c r="H30" s="79">
        <f t="shared" si="3"/>
        <v>0</v>
      </c>
      <c r="I30" s="41">
        <v>25</v>
      </c>
      <c r="J30" s="79">
        <f t="shared" si="0"/>
        <v>1200</v>
      </c>
      <c r="K30" s="41"/>
      <c r="L30" s="79"/>
      <c r="M30" s="41">
        <f t="shared" si="1"/>
        <v>25</v>
      </c>
      <c r="N30" s="42">
        <v>48</v>
      </c>
      <c r="O30" s="43">
        <f t="shared" si="2"/>
        <v>1200</v>
      </c>
    </row>
    <row r="31" spans="1:17" ht="24.95" customHeight="1" thickBot="1" x14ac:dyDescent="0.25">
      <c r="A31" s="37">
        <v>22</v>
      </c>
      <c r="B31" s="38" t="s">
        <v>70</v>
      </c>
      <c r="C31" s="39" t="s">
        <v>58</v>
      </c>
      <c r="D31" s="40">
        <v>295</v>
      </c>
      <c r="E31" s="38" t="s">
        <v>69</v>
      </c>
      <c r="F31" s="37" t="s">
        <v>55</v>
      </c>
      <c r="G31" s="41"/>
      <c r="H31" s="79">
        <f t="shared" si="3"/>
        <v>0</v>
      </c>
      <c r="I31" s="41">
        <v>25</v>
      </c>
      <c r="J31" s="79">
        <f t="shared" si="0"/>
        <v>1450</v>
      </c>
      <c r="K31" s="41"/>
      <c r="L31" s="79"/>
      <c r="M31" s="41">
        <f t="shared" si="1"/>
        <v>25</v>
      </c>
      <c r="N31" s="42">
        <v>58</v>
      </c>
      <c r="O31" s="43">
        <f t="shared" si="2"/>
        <v>1450</v>
      </c>
    </row>
    <row r="32" spans="1:17" ht="24.95" customHeight="1" thickBot="1" x14ac:dyDescent="0.25">
      <c r="A32" s="37">
        <v>23</v>
      </c>
      <c r="B32" s="38" t="s">
        <v>72</v>
      </c>
      <c r="C32" s="39" t="s">
        <v>58</v>
      </c>
      <c r="D32" s="40">
        <v>295</v>
      </c>
      <c r="E32" s="38" t="s">
        <v>71</v>
      </c>
      <c r="F32" s="37" t="s">
        <v>55</v>
      </c>
      <c r="G32" s="41">
        <v>50</v>
      </c>
      <c r="H32" s="79">
        <f t="shared" si="3"/>
        <v>4750</v>
      </c>
      <c r="I32" s="41"/>
      <c r="J32" s="79">
        <f t="shared" si="0"/>
        <v>0</v>
      </c>
      <c r="K32" s="41"/>
      <c r="L32" s="79"/>
      <c r="M32" s="41">
        <f t="shared" si="1"/>
        <v>50</v>
      </c>
      <c r="N32" s="42">
        <v>95</v>
      </c>
      <c r="O32" s="43">
        <f t="shared" si="2"/>
        <v>4750</v>
      </c>
    </row>
    <row r="33" spans="1:17" ht="24.95" customHeight="1" thickBot="1" x14ac:dyDescent="0.25">
      <c r="A33" s="37">
        <v>24</v>
      </c>
      <c r="B33" s="38" t="s">
        <v>74</v>
      </c>
      <c r="C33" s="39" t="s">
        <v>58</v>
      </c>
      <c r="D33" s="40">
        <v>295</v>
      </c>
      <c r="E33" s="38" t="s">
        <v>73</v>
      </c>
      <c r="F33" s="37" t="s">
        <v>55</v>
      </c>
      <c r="G33" s="41">
        <v>50</v>
      </c>
      <c r="H33" s="79">
        <f t="shared" si="3"/>
        <v>4750</v>
      </c>
      <c r="I33" s="41"/>
      <c r="J33" s="79">
        <f t="shared" si="0"/>
        <v>0</v>
      </c>
      <c r="K33" s="41"/>
      <c r="L33" s="79"/>
      <c r="M33" s="41">
        <f t="shared" si="1"/>
        <v>50</v>
      </c>
      <c r="N33" s="42">
        <v>95</v>
      </c>
      <c r="O33" s="43">
        <f t="shared" si="2"/>
        <v>4750</v>
      </c>
    </row>
    <row r="34" spans="1:17" ht="24.95" customHeight="1" thickBot="1" x14ac:dyDescent="0.25">
      <c r="A34" s="37">
        <v>25</v>
      </c>
      <c r="B34" s="38" t="s">
        <v>91</v>
      </c>
      <c r="C34" s="39" t="s">
        <v>58</v>
      </c>
      <c r="D34" s="40">
        <v>295</v>
      </c>
      <c r="E34" s="38" t="s">
        <v>90</v>
      </c>
      <c r="F34" s="37" t="s">
        <v>55</v>
      </c>
      <c r="G34" s="41">
        <v>1000</v>
      </c>
      <c r="H34" s="79">
        <f t="shared" si="3"/>
        <v>22000</v>
      </c>
      <c r="I34" s="41"/>
      <c r="J34" s="79">
        <f t="shared" si="0"/>
        <v>0</v>
      </c>
      <c r="K34" s="41"/>
      <c r="L34" s="79"/>
      <c r="M34" s="41">
        <f t="shared" si="1"/>
        <v>1000</v>
      </c>
      <c r="N34" s="42">
        <v>22</v>
      </c>
      <c r="O34" s="43">
        <f t="shared" ref="O34:O35" si="4">+M34*N34</f>
        <v>22000</v>
      </c>
    </row>
    <row r="35" spans="1:17" ht="29.25" customHeight="1" thickBot="1" x14ac:dyDescent="0.25">
      <c r="A35" s="37">
        <v>26</v>
      </c>
      <c r="B35" s="45" t="s">
        <v>111</v>
      </c>
      <c r="C35" s="39" t="s">
        <v>58</v>
      </c>
      <c r="D35" s="40">
        <v>295</v>
      </c>
      <c r="E35" s="47" t="s">
        <v>114</v>
      </c>
      <c r="F35" s="37" t="s">
        <v>115</v>
      </c>
      <c r="G35" s="41"/>
      <c r="H35" s="79">
        <f t="shared" si="3"/>
        <v>0</v>
      </c>
      <c r="I35" s="41"/>
      <c r="J35" s="79">
        <f t="shared" si="0"/>
        <v>0</v>
      </c>
      <c r="K35" s="41">
        <v>150</v>
      </c>
      <c r="L35" s="79">
        <f>+K35*N35</f>
        <v>517275</v>
      </c>
      <c r="M35" s="41">
        <f t="shared" si="1"/>
        <v>150</v>
      </c>
      <c r="N35" s="42">
        <v>3448.5</v>
      </c>
      <c r="O35" s="43">
        <f t="shared" si="4"/>
        <v>517275</v>
      </c>
    </row>
    <row r="36" spans="1:17" ht="24.95" customHeight="1" thickBot="1" x14ac:dyDescent="0.25">
      <c r="A36" s="37">
        <v>27</v>
      </c>
      <c r="B36" s="67" t="s">
        <v>113</v>
      </c>
      <c r="C36" s="68" t="s">
        <v>58</v>
      </c>
      <c r="D36" s="69">
        <v>295</v>
      </c>
      <c r="E36" s="70" t="s">
        <v>112</v>
      </c>
      <c r="F36" s="66" t="s">
        <v>55</v>
      </c>
      <c r="G36" s="71"/>
      <c r="H36" s="80"/>
      <c r="I36" s="71"/>
      <c r="J36" s="80"/>
      <c r="K36" s="71">
        <v>30</v>
      </c>
      <c r="L36" s="80">
        <f>+K36*N36</f>
        <v>960000</v>
      </c>
      <c r="M36" s="41">
        <f t="shared" si="1"/>
        <v>30</v>
      </c>
      <c r="N36" s="72">
        <v>32000</v>
      </c>
      <c r="O36" s="72">
        <f t="shared" si="2"/>
        <v>960000</v>
      </c>
      <c r="P36" s="153"/>
      <c r="Q36" s="154"/>
    </row>
    <row r="37" spans="1:17" s="75" customFormat="1" ht="30" customHeight="1" thickBot="1" x14ac:dyDescent="0.25">
      <c r="A37" s="145" t="s">
        <v>124</v>
      </c>
      <c r="B37" s="146"/>
      <c r="C37" s="146"/>
      <c r="D37" s="146"/>
      <c r="E37" s="146"/>
      <c r="F37" s="147"/>
      <c r="G37" s="85"/>
      <c r="H37" s="81">
        <f>SUM(H10:H36)</f>
        <v>4400800</v>
      </c>
      <c r="I37" s="85"/>
      <c r="J37" s="81">
        <f>SUM(J10:J36)</f>
        <v>75500</v>
      </c>
      <c r="K37" s="85"/>
      <c r="L37" s="81">
        <f>SUM(L10:L36)</f>
        <v>1477275</v>
      </c>
      <c r="M37" s="73"/>
      <c r="N37" s="73"/>
      <c r="O37" s="74">
        <f>SUM(O10:O36)</f>
        <v>5953575</v>
      </c>
    </row>
    <row r="38" spans="1:17" ht="13.5" thickBot="1" x14ac:dyDescent="0.25"/>
    <row r="39" spans="1:17" ht="112.5" customHeight="1" x14ac:dyDescent="0.2">
      <c r="B39" s="91" t="s">
        <v>126</v>
      </c>
      <c r="C39" s="137" t="s">
        <v>127</v>
      </c>
      <c r="D39" s="137"/>
      <c r="E39" s="138"/>
    </row>
    <row r="40" spans="1:17" ht="15" x14ac:dyDescent="0.2">
      <c r="B40" s="92"/>
      <c r="C40" s="93"/>
      <c r="D40" s="98"/>
      <c r="E40" s="99"/>
    </row>
    <row r="41" spans="1:17" ht="15" x14ac:dyDescent="0.2">
      <c r="B41" s="92" t="s">
        <v>128</v>
      </c>
      <c r="C41" s="141" t="s">
        <v>129</v>
      </c>
      <c r="D41" s="141"/>
      <c r="E41" s="142"/>
    </row>
    <row r="42" spans="1:17" ht="15" x14ac:dyDescent="0.2">
      <c r="B42" s="92"/>
      <c r="C42" s="94"/>
      <c r="D42" s="98"/>
      <c r="E42" s="99"/>
    </row>
    <row r="43" spans="1:17" ht="45" customHeight="1" x14ac:dyDescent="0.2">
      <c r="B43" s="136" t="s">
        <v>130</v>
      </c>
      <c r="C43" s="139" t="s">
        <v>147</v>
      </c>
      <c r="D43" s="139"/>
      <c r="E43" s="140"/>
    </row>
    <row r="44" spans="1:17" ht="31.5" customHeight="1" x14ac:dyDescent="0.2">
      <c r="B44" s="136"/>
      <c r="C44" s="139" t="s">
        <v>145</v>
      </c>
      <c r="D44" s="139"/>
      <c r="E44" s="140"/>
    </row>
    <row r="45" spans="1:17" ht="31.5" customHeight="1" x14ac:dyDescent="0.2">
      <c r="B45" s="136"/>
      <c r="C45" s="139" t="s">
        <v>146</v>
      </c>
      <c r="D45" s="139"/>
      <c r="E45" s="140"/>
    </row>
    <row r="46" spans="1:17" ht="15" x14ac:dyDescent="0.2">
      <c r="B46" s="92"/>
      <c r="C46" s="95"/>
      <c r="D46" s="98"/>
      <c r="E46" s="99"/>
    </row>
    <row r="47" spans="1:17" ht="30" x14ac:dyDescent="0.2">
      <c r="B47" s="96" t="s">
        <v>131</v>
      </c>
      <c r="C47" s="97"/>
      <c r="D47" s="98"/>
      <c r="E47" s="99"/>
    </row>
    <row r="48" spans="1:17" ht="15" x14ac:dyDescent="0.2">
      <c r="B48" s="96"/>
      <c r="C48" s="97"/>
      <c r="D48" s="98"/>
      <c r="E48" s="99"/>
    </row>
    <row r="49" spans="2:5" ht="15" x14ac:dyDescent="0.2">
      <c r="B49" s="96" t="s">
        <v>132</v>
      </c>
      <c r="C49" s="143" t="s">
        <v>133</v>
      </c>
      <c r="D49" s="143"/>
      <c r="E49" s="144"/>
    </row>
    <row r="50" spans="2:5" ht="13.5" thickBot="1" x14ac:dyDescent="0.25">
      <c r="B50" s="100"/>
      <c r="C50" s="53"/>
      <c r="D50" s="53"/>
      <c r="E50" s="54"/>
    </row>
    <row r="51" spans="2:5" ht="13.5" thickBot="1" x14ac:dyDescent="0.25"/>
    <row r="52" spans="2:5" x14ac:dyDescent="0.2">
      <c r="B52" s="48" t="s">
        <v>134</v>
      </c>
      <c r="C52" s="49"/>
      <c r="D52" s="50"/>
      <c r="E52" s="51"/>
    </row>
    <row r="53" spans="2:5" ht="13.5" thickBot="1" x14ac:dyDescent="0.25">
      <c r="B53" s="52" t="s">
        <v>52</v>
      </c>
      <c r="C53" s="53"/>
      <c r="D53" s="53"/>
      <c r="E53" s="54"/>
    </row>
    <row r="54" spans="2:5" ht="13.5" thickBot="1" x14ac:dyDescent="0.25"/>
    <row r="55" spans="2:5" x14ac:dyDescent="0.2">
      <c r="B55" s="48" t="s">
        <v>143</v>
      </c>
      <c r="C55" s="49"/>
      <c r="D55" s="50"/>
      <c r="E55" s="51"/>
    </row>
    <row r="56" spans="2:5" ht="13.5" thickBot="1" x14ac:dyDescent="0.25">
      <c r="B56" s="52"/>
      <c r="C56" s="53"/>
      <c r="D56" s="53"/>
      <c r="E56" s="54"/>
    </row>
    <row r="57" spans="2:5" ht="13.5" thickBot="1" x14ac:dyDescent="0.25"/>
    <row r="58" spans="2:5" x14ac:dyDescent="0.2">
      <c r="B58" s="48" t="s">
        <v>144</v>
      </c>
      <c r="C58" s="49"/>
      <c r="D58" s="50"/>
      <c r="E58" s="51"/>
    </row>
    <row r="59" spans="2:5" ht="13.5" thickBot="1" x14ac:dyDescent="0.25">
      <c r="B59" s="52"/>
      <c r="C59" s="53"/>
      <c r="D59" s="53"/>
      <c r="E59" s="54"/>
    </row>
  </sheetData>
  <mergeCells count="18">
    <mergeCell ref="P16:Q16"/>
    <mergeCell ref="P36:Q36"/>
    <mergeCell ref="P20:Q21"/>
    <mergeCell ref="A6:B6"/>
    <mergeCell ref="A7:B7"/>
    <mergeCell ref="A37:F37"/>
    <mergeCell ref="B2:N2"/>
    <mergeCell ref="A4:B4"/>
    <mergeCell ref="C4:E4"/>
    <mergeCell ref="A5:B5"/>
    <mergeCell ref="C5:E5"/>
    <mergeCell ref="B43:B45"/>
    <mergeCell ref="C39:E39"/>
    <mergeCell ref="C43:E43"/>
    <mergeCell ref="C41:E41"/>
    <mergeCell ref="C49:E49"/>
    <mergeCell ref="C44:E44"/>
    <mergeCell ref="C45:E45"/>
  </mergeCells>
  <conditionalFormatting sqref="B41:B43 B46:B49">
    <cfRule type="duplicateValues" dxfId="3" priority="1"/>
  </conditionalFormatting>
  <conditionalFormatting sqref="B41:B43 B46:B49">
    <cfRule type="duplicateValues" dxfId="2" priority="2"/>
  </conditionalFormatting>
  <conditionalFormatting sqref="B41:B43 B46:B49">
    <cfRule type="duplicateValues" dxfId="1" priority="3"/>
  </conditionalFormatting>
  <conditionalFormatting sqref="B41:B43 B46:B49">
    <cfRule type="duplicateValues" dxfId="0" priority="4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1"/>
  <sheetViews>
    <sheetView topLeftCell="A10" zoomScale="70" zoomScaleNormal="70" workbookViewId="0">
      <selection activeCell="D8" sqref="D8:K8"/>
    </sheetView>
  </sheetViews>
  <sheetFormatPr baseColWidth="10" defaultColWidth="9.140625" defaultRowHeight="12.75" x14ac:dyDescent="0.2"/>
  <cols>
    <col min="1" max="1" width="5.5703125" style="56" customWidth="1"/>
    <col min="2" max="2" width="15.140625" style="56" customWidth="1"/>
    <col min="3" max="3" width="14.140625" style="56" customWidth="1"/>
    <col min="4" max="4" width="26" style="56" customWidth="1"/>
    <col min="5" max="5" width="8" style="56" customWidth="1"/>
    <col min="6" max="6" width="7.85546875" style="56" customWidth="1"/>
    <col min="7" max="7" width="48.5703125" style="56" customWidth="1"/>
    <col min="8" max="8" width="9.28515625" style="56" customWidth="1"/>
    <col min="9" max="9" width="15.5703125" style="56" customWidth="1"/>
    <col min="10" max="10" width="14.7109375" style="90" customWidth="1"/>
    <col min="11" max="11" width="15.5703125" style="56" customWidth="1"/>
    <col min="12" max="14" width="5.85546875" style="56" customWidth="1"/>
    <col min="15" max="15" width="12.5703125" style="56" customWidth="1"/>
    <col min="16" max="1024" width="9.140625" style="56"/>
    <col min="1025" max="16384" width="9.140625" style="57"/>
  </cols>
  <sheetData>
    <row r="1" spans="1:11" ht="18" customHeight="1" x14ac:dyDescent="0.2">
      <c r="A1" s="158" t="s">
        <v>13</v>
      </c>
      <c r="B1" s="158"/>
      <c r="C1" s="158"/>
      <c r="D1" s="158"/>
      <c r="E1" s="158"/>
      <c r="F1" s="158"/>
      <c r="G1" s="158"/>
      <c r="H1" s="158"/>
      <c r="I1" s="158"/>
      <c r="J1" s="86" t="s">
        <v>14</v>
      </c>
      <c r="K1" s="55" t="s">
        <v>53</v>
      </c>
    </row>
    <row r="2" spans="1:11" ht="18.75" customHeight="1" thickBot="1" x14ac:dyDescent="0.25">
      <c r="A2" s="58"/>
      <c r="B2" s="58"/>
      <c r="C2" s="58"/>
      <c r="D2" s="59"/>
      <c r="E2" s="59"/>
      <c r="F2" s="59"/>
      <c r="G2" s="59"/>
      <c r="H2" s="59"/>
      <c r="I2" s="59"/>
      <c r="J2" s="87"/>
      <c r="K2" s="59"/>
    </row>
    <row r="3" spans="1:11" ht="18.75" customHeight="1" thickBot="1" x14ac:dyDescent="0.25">
      <c r="A3" s="159" t="s">
        <v>47</v>
      </c>
      <c r="B3" s="159"/>
      <c r="C3" s="159"/>
      <c r="D3" s="160" t="str">
        <f>'Necesidades Trimestrales'!C4</f>
        <v>040 - MINISTERIO DE SALUD</v>
      </c>
      <c r="E3" s="160"/>
      <c r="F3" s="160"/>
      <c r="G3" s="160"/>
      <c r="H3" s="160"/>
      <c r="I3" s="160"/>
      <c r="J3" s="160"/>
      <c r="K3" s="160"/>
    </row>
    <row r="4" spans="1:11" ht="18.75" customHeight="1" thickBot="1" x14ac:dyDescent="0.25">
      <c r="A4" s="161" t="s">
        <v>48</v>
      </c>
      <c r="B4" s="161"/>
      <c r="C4" s="161"/>
      <c r="D4" s="160" t="str">
        <f>'Necesidades Trimestrales'!C5</f>
        <v>011 - DIRECCION PROVINCIAL DE ADMINISTRACION - MS</v>
      </c>
      <c r="E4" s="160"/>
      <c r="F4" s="160"/>
      <c r="G4" s="160"/>
      <c r="H4" s="160"/>
      <c r="I4" s="160"/>
      <c r="J4" s="160"/>
      <c r="K4" s="160"/>
    </row>
    <row r="5" spans="1:11" ht="18.75" customHeight="1" thickBot="1" x14ac:dyDescent="0.25">
      <c r="A5" s="161" t="s">
        <v>26</v>
      </c>
      <c r="B5" s="161"/>
      <c r="C5" s="161"/>
      <c r="D5" s="160" t="s">
        <v>125</v>
      </c>
      <c r="E5" s="160"/>
      <c r="F5" s="160"/>
      <c r="G5" s="160"/>
      <c r="H5" s="160"/>
      <c r="I5" s="160"/>
      <c r="J5" s="160"/>
      <c r="K5" s="160"/>
    </row>
    <row r="6" spans="1:11" ht="16.5" customHeight="1" thickBot="1" x14ac:dyDescent="0.25">
      <c r="A6" s="159" t="s">
        <v>49</v>
      </c>
      <c r="B6" s="159"/>
      <c r="C6" s="159"/>
      <c r="D6" s="160" t="s">
        <v>125</v>
      </c>
      <c r="E6" s="160"/>
      <c r="F6" s="160"/>
      <c r="G6" s="160"/>
      <c r="H6" s="160"/>
      <c r="I6" s="160"/>
      <c r="J6" s="160"/>
      <c r="K6" s="160"/>
    </row>
    <row r="7" spans="1:11" ht="16.5" customHeight="1" thickBot="1" x14ac:dyDescent="0.25">
      <c r="A7" s="161" t="s">
        <v>15</v>
      </c>
      <c r="B7" s="161"/>
      <c r="C7" s="161"/>
      <c r="D7" s="160" t="s">
        <v>54</v>
      </c>
      <c r="E7" s="160"/>
      <c r="F7" s="160"/>
      <c r="G7" s="160"/>
      <c r="H7" s="160"/>
      <c r="I7" s="160"/>
      <c r="J7" s="160"/>
      <c r="K7" s="160"/>
    </row>
    <row r="8" spans="1:11" ht="16.5" customHeight="1" thickBot="1" x14ac:dyDescent="0.25">
      <c r="A8" s="169" t="s">
        <v>16</v>
      </c>
      <c r="B8" s="169"/>
      <c r="C8" s="169"/>
      <c r="D8" s="163" t="s">
        <v>56</v>
      </c>
      <c r="E8" s="164"/>
      <c r="F8" s="164"/>
      <c r="G8" s="164"/>
      <c r="H8" s="164"/>
      <c r="I8" s="164"/>
      <c r="J8" s="164"/>
      <c r="K8" s="165"/>
    </row>
    <row r="9" spans="1:11" ht="16.5" thickBot="1" x14ac:dyDescent="0.25">
      <c r="A9" s="60"/>
      <c r="B9" s="60"/>
      <c r="C9" s="60"/>
      <c r="D9" s="61"/>
      <c r="E9" s="61"/>
      <c r="F9" s="61"/>
      <c r="G9" s="61"/>
      <c r="H9" s="61"/>
      <c r="I9" s="61"/>
      <c r="J9" s="88"/>
      <c r="K9" s="61"/>
    </row>
    <row r="10" spans="1:11" ht="18.75" customHeight="1" thickBot="1" x14ac:dyDescent="0.25">
      <c r="A10" s="166" t="s">
        <v>17</v>
      </c>
      <c r="B10" s="167" t="s">
        <v>18</v>
      </c>
      <c r="C10" s="167" t="s">
        <v>19</v>
      </c>
      <c r="D10" s="167"/>
      <c r="E10" s="167"/>
      <c r="F10" s="167"/>
      <c r="G10" s="167"/>
      <c r="H10" s="167" t="s">
        <v>20</v>
      </c>
      <c r="I10" s="167" t="s">
        <v>21</v>
      </c>
      <c r="J10" s="168" t="s">
        <v>22</v>
      </c>
      <c r="K10" s="167" t="s">
        <v>23</v>
      </c>
    </row>
    <row r="11" spans="1:11" ht="24" customHeight="1" thickBot="1" x14ac:dyDescent="0.25">
      <c r="A11" s="166"/>
      <c r="B11" s="167"/>
      <c r="C11" s="167"/>
      <c r="D11" s="167"/>
      <c r="E11" s="167"/>
      <c r="F11" s="167"/>
      <c r="G11" s="167"/>
      <c r="H11" s="167"/>
      <c r="I11" s="167"/>
      <c r="J11" s="168"/>
      <c r="K11" s="167"/>
    </row>
    <row r="12" spans="1:11" ht="33.75" customHeight="1" thickBot="1" x14ac:dyDescent="0.25">
      <c r="A12" s="62">
        <v>1</v>
      </c>
      <c r="B12" s="63" t="str">
        <f>+'Necesidades Trimestrales'!B10</f>
        <v>2.9.5-427.31</v>
      </c>
      <c r="C12" s="162" t="str">
        <f>+'Necesidades Trimestrales'!E10</f>
        <v>APOSITOS; TIPO: P/SUJECION DE CATETER, TAMAÑO: 10 X 12 Cm</v>
      </c>
      <c r="D12" s="162"/>
      <c r="E12" s="162"/>
      <c r="F12" s="162"/>
      <c r="G12" s="162"/>
      <c r="H12" s="62" t="s">
        <v>51</v>
      </c>
      <c r="I12" s="64" t="str">
        <f>+'Necesidades Trimestrales'!F10</f>
        <v>UNIDAD</v>
      </c>
      <c r="J12" s="89">
        <f>+'Necesidades Trimestrales'!N10</f>
        <v>67</v>
      </c>
      <c r="K12" s="65">
        <f>'Necesidades Trimestrales'!G10</f>
        <v>1000</v>
      </c>
    </row>
    <row r="13" spans="1:11" ht="33.75" customHeight="1" thickBot="1" x14ac:dyDescent="0.25">
      <c r="A13" s="62">
        <v>2</v>
      </c>
      <c r="B13" s="63" t="str">
        <f>+'Necesidades Trimestrales'!B11</f>
        <v>2.9.5-427.84</v>
      </c>
      <c r="C13" s="162" t="str">
        <f>+'Necesidades Trimestrales'!E11</f>
        <v>APOSITOS; TIPO: P/SUJECION DE CATETER, TAMAÑO: 6 X 7 Cm</v>
      </c>
      <c r="D13" s="162"/>
      <c r="E13" s="162"/>
      <c r="F13" s="162"/>
      <c r="G13" s="162"/>
      <c r="H13" s="62" t="s">
        <v>51</v>
      </c>
      <c r="I13" s="64" t="str">
        <f>+'Necesidades Trimestrales'!F11</f>
        <v>UNIDAD</v>
      </c>
      <c r="J13" s="89">
        <f>+'Necesidades Trimestrales'!N11</f>
        <v>37.5</v>
      </c>
      <c r="K13" s="65">
        <f>'Necesidades Trimestrales'!G11</f>
        <v>2000</v>
      </c>
    </row>
    <row r="14" spans="1:11" ht="33.75" customHeight="1" thickBot="1" x14ac:dyDescent="0.25">
      <c r="A14" s="62">
        <v>3</v>
      </c>
      <c r="B14" s="63" t="str">
        <f>+'Necesidades Trimestrales'!B12</f>
        <v>2.9.5-2505.6</v>
      </c>
      <c r="C14" s="162" t="str">
        <f>+'Necesidades Trimestrales'!E12</f>
        <v>BOLSAS COLECTORAS; TIPO: DE ORINA C/DESAGOTE, USO: ADULTO, CAPACIDAD: 2000 mL</v>
      </c>
      <c r="D14" s="162"/>
      <c r="E14" s="162"/>
      <c r="F14" s="162"/>
      <c r="G14" s="162"/>
      <c r="H14" s="62" t="s">
        <v>51</v>
      </c>
      <c r="I14" s="64" t="str">
        <f>+'Necesidades Trimestrales'!F12</f>
        <v>UNIDAD</v>
      </c>
      <c r="J14" s="89">
        <f>+'Necesidades Trimestrales'!N12</f>
        <v>55</v>
      </c>
      <c r="K14" s="65">
        <f>'Necesidades Trimestrales'!G12</f>
        <v>300</v>
      </c>
    </row>
    <row r="15" spans="1:11" ht="33.75" customHeight="1" thickBot="1" x14ac:dyDescent="0.25">
      <c r="A15" s="62">
        <v>4</v>
      </c>
      <c r="B15" s="63" t="str">
        <f>+'Necesidades Trimestrales'!B13</f>
        <v>2.9.5-2161.7</v>
      </c>
      <c r="C15" s="162" t="str">
        <f>+'Necesidades Trimestrales'!E13</f>
        <v>CATÉTER INTRAVENOSO Nº 14; TIPO: INTRAVENOSO/CANALIZACIÓN</v>
      </c>
      <c r="D15" s="162"/>
      <c r="E15" s="162"/>
      <c r="F15" s="162"/>
      <c r="G15" s="162"/>
      <c r="H15" s="62" t="s">
        <v>51</v>
      </c>
      <c r="I15" s="64" t="str">
        <f>+'Necesidades Trimestrales'!F13</f>
        <v>UNIDAD</v>
      </c>
      <c r="J15" s="89">
        <f>+'Necesidades Trimestrales'!N13</f>
        <v>45</v>
      </c>
      <c r="K15" s="65">
        <f>'Necesidades Trimestrales'!G13</f>
        <v>1000</v>
      </c>
    </row>
    <row r="16" spans="1:11" ht="33.75" customHeight="1" thickBot="1" x14ac:dyDescent="0.25">
      <c r="A16" s="62">
        <v>5</v>
      </c>
      <c r="B16" s="63" t="str">
        <f>+'Necesidades Trimestrales'!B14</f>
        <v>2.9.5-2161.1</v>
      </c>
      <c r="C16" s="162" t="str">
        <f>+'Necesidades Trimestrales'!E14</f>
        <v>CATETERES/SONDAS; NUMERO: 16, TIPO: INTRAVENOSO</v>
      </c>
      <c r="D16" s="162"/>
      <c r="E16" s="162"/>
      <c r="F16" s="162"/>
      <c r="G16" s="162"/>
      <c r="H16" s="62" t="s">
        <v>51</v>
      </c>
      <c r="I16" s="64" t="str">
        <f>+'Necesidades Trimestrales'!F14</f>
        <v>UNIDAD</v>
      </c>
      <c r="J16" s="89">
        <f>+'Necesidades Trimestrales'!N14</f>
        <v>45</v>
      </c>
      <c r="K16" s="65">
        <f>'Necesidades Trimestrales'!G14</f>
        <v>1000</v>
      </c>
    </row>
    <row r="17" spans="1:11" ht="33.75" customHeight="1" thickBot="1" x14ac:dyDescent="0.25">
      <c r="A17" s="62">
        <v>6</v>
      </c>
      <c r="B17" s="63" t="str">
        <f>+'Necesidades Trimestrales'!B15</f>
        <v>2.9.5-2161.2</v>
      </c>
      <c r="C17" s="162" t="str">
        <f>+'Necesidades Trimestrales'!E15</f>
        <v>CATÉTER INTRAVENOSO Nº 18; TIPO: INTRAVENOSO/CANALIZACIÓN</v>
      </c>
      <c r="D17" s="162"/>
      <c r="E17" s="162"/>
      <c r="F17" s="162"/>
      <c r="G17" s="162"/>
      <c r="H17" s="62" t="s">
        <v>51</v>
      </c>
      <c r="I17" s="64" t="str">
        <f>+'Necesidades Trimestrales'!F15</f>
        <v>UNIDAD</v>
      </c>
      <c r="J17" s="89">
        <f>+'Necesidades Trimestrales'!N15</f>
        <v>85</v>
      </c>
      <c r="K17" s="65">
        <f>'Necesidades Trimestrales'!G15</f>
        <v>15000</v>
      </c>
    </row>
    <row r="18" spans="1:11" ht="33.75" customHeight="1" thickBot="1" x14ac:dyDescent="0.25">
      <c r="A18" s="62">
        <v>7</v>
      </c>
      <c r="B18" s="63" t="str">
        <f>+'Necesidades Trimestrales'!B16</f>
        <v>2.9.5-2161.557</v>
      </c>
      <c r="C18" s="162" t="str">
        <f>+'Necesidades Trimestrales'!E16</f>
        <v>CATÉTER INTRAVENOSO Nº 20; TIPO: INTRAVENOSO/CANALIZACIÓN</v>
      </c>
      <c r="D18" s="162"/>
      <c r="E18" s="162"/>
      <c r="F18" s="162"/>
      <c r="G18" s="162"/>
      <c r="H18" s="62" t="s">
        <v>51</v>
      </c>
      <c r="I18" s="64" t="str">
        <f>+'Necesidades Trimestrales'!F16</f>
        <v>UNIDAD</v>
      </c>
      <c r="J18" s="89">
        <f>+'Necesidades Trimestrales'!N16</f>
        <v>85</v>
      </c>
      <c r="K18" s="65">
        <f>'Necesidades Trimestrales'!G16</f>
        <v>6000</v>
      </c>
    </row>
    <row r="19" spans="1:11" ht="33.75" customHeight="1" thickBot="1" x14ac:dyDescent="0.25">
      <c r="A19" s="62">
        <v>8</v>
      </c>
      <c r="B19" s="63" t="str">
        <f>+'Necesidades Trimestrales'!B17</f>
        <v>2.9.5-2161.4</v>
      </c>
      <c r="C19" s="162" t="str">
        <f>+'Necesidades Trimestrales'!E17</f>
        <v>CATÉTER INTRAVENOSO Nº 22; TIPO: INTRAVENOSO/CANALIZACIÓN</v>
      </c>
      <c r="D19" s="162"/>
      <c r="E19" s="162"/>
      <c r="F19" s="162"/>
      <c r="G19" s="162"/>
      <c r="H19" s="62" t="s">
        <v>51</v>
      </c>
      <c r="I19" s="64" t="str">
        <f>+'Necesidades Trimestrales'!F17</f>
        <v>UNIDAD</v>
      </c>
      <c r="J19" s="89">
        <f>+'Necesidades Trimestrales'!N17</f>
        <v>85</v>
      </c>
      <c r="K19" s="65">
        <f>'Necesidades Trimestrales'!G17</f>
        <v>3000</v>
      </c>
    </row>
    <row r="20" spans="1:11" ht="33.75" customHeight="1" thickBot="1" x14ac:dyDescent="0.25">
      <c r="A20" s="62">
        <v>9</v>
      </c>
      <c r="B20" s="63" t="str">
        <f>+'Necesidades Trimestrales'!B18</f>
        <v>2.9.5-2161.10</v>
      </c>
      <c r="C20" s="162" t="str">
        <f>+'Necesidades Trimestrales'!E18</f>
        <v>CATÉTER INTRAVENOSO Nº 24; TIPO: INTRAVENOSO/CANALIZACIÓN</v>
      </c>
      <c r="D20" s="162"/>
      <c r="E20" s="162"/>
      <c r="F20" s="162"/>
      <c r="G20" s="162"/>
      <c r="H20" s="62" t="s">
        <v>51</v>
      </c>
      <c r="I20" s="64" t="str">
        <f>+'Necesidades Trimestrales'!F18</f>
        <v>UNIDAD</v>
      </c>
      <c r="J20" s="89">
        <f>+'Necesidades Trimestrales'!N18</f>
        <v>85</v>
      </c>
      <c r="K20" s="65">
        <f>'Necesidades Trimestrales'!G18</f>
        <v>3000</v>
      </c>
    </row>
    <row r="21" spans="1:11" ht="33.75" customHeight="1" thickBot="1" x14ac:dyDescent="0.25">
      <c r="A21" s="62">
        <v>10</v>
      </c>
      <c r="B21" s="63" t="str">
        <f>+'Necesidades Trimestrales'!B19</f>
        <v>2.9.5-2204.58</v>
      </c>
      <c r="C21" s="162" t="str">
        <f>+'Necesidades Trimestrales'!E19</f>
        <v>GUÍA DE SUERO; USO: ADMINISTRACIÓN DE SOLUCIONES, MODELO CON BURETRA VOLUMÉTRICA; TIPO: MACROGOTERO</v>
      </c>
      <c r="D21" s="162"/>
      <c r="E21" s="162"/>
      <c r="F21" s="162"/>
      <c r="G21" s="162"/>
      <c r="H21" s="62" t="s">
        <v>51</v>
      </c>
      <c r="I21" s="64" t="str">
        <f>+'Necesidades Trimestrales'!F19</f>
        <v>UNIDAD</v>
      </c>
      <c r="J21" s="89">
        <f>+'Necesidades Trimestrales'!N19</f>
        <v>1220</v>
      </c>
      <c r="K21" s="65">
        <f>'Necesidades Trimestrales'!G19</f>
        <v>500</v>
      </c>
    </row>
    <row r="22" spans="1:11" ht="33.75" customHeight="1" thickBot="1" x14ac:dyDescent="0.25">
      <c r="A22" s="62">
        <v>11</v>
      </c>
      <c r="B22" s="63" t="str">
        <f>+'Necesidades Trimestrales'!B20</f>
        <v>2.9.5-2204.42</v>
      </c>
      <c r="C22" s="162" t="str">
        <f>+'Necesidades Trimestrales'!E20</f>
        <v>GUÍAS DE SUERO; USO: ADMINISTRACIÓN DE SOLUCIONES; AGUJA: SIN; MODELO: V14, TIPO: MACROGOTERO CON ROLLER LUER SLIP</v>
      </c>
      <c r="D22" s="162"/>
      <c r="E22" s="162"/>
      <c r="F22" s="162"/>
      <c r="G22" s="162"/>
      <c r="H22" s="62" t="s">
        <v>51</v>
      </c>
      <c r="I22" s="64" t="str">
        <f>+'Necesidades Trimestrales'!F20</f>
        <v>UNIDAD</v>
      </c>
      <c r="J22" s="89">
        <f>+'Necesidades Trimestrales'!N20</f>
        <v>45</v>
      </c>
      <c r="K22" s="65">
        <f>'Necesidades Trimestrales'!G20</f>
        <v>15000</v>
      </c>
    </row>
    <row r="23" spans="1:11" ht="33.75" customHeight="1" thickBot="1" x14ac:dyDescent="0.25">
      <c r="A23" s="62">
        <v>12</v>
      </c>
      <c r="B23" s="63" t="str">
        <f>+'Necesidades Trimestrales'!B21</f>
        <v>2.9.5-2204.43</v>
      </c>
      <c r="C23" s="162" t="str">
        <f>+'Necesidades Trimestrales'!E21</f>
        <v>GUÍAS DE SUERO; USO: ADMINISTRACIÓN DE SOLUCIONES; AGUJA: SIN; MODELO: V17, TIPO: MICROGOTERO CON ROLLER LUER SLIP</v>
      </c>
      <c r="D23" s="162"/>
      <c r="E23" s="162"/>
      <c r="F23" s="162"/>
      <c r="G23" s="162"/>
      <c r="H23" s="62" t="s">
        <v>51</v>
      </c>
      <c r="I23" s="64" t="str">
        <f>+'Necesidades Trimestrales'!F21</f>
        <v>UNIDAD</v>
      </c>
      <c r="J23" s="89">
        <f>+'Necesidades Trimestrales'!N21</f>
        <v>47</v>
      </c>
      <c r="K23" s="65">
        <f>'Necesidades Trimestrales'!G21</f>
        <v>10000</v>
      </c>
    </row>
    <row r="24" spans="1:11" ht="33.75" customHeight="1" thickBot="1" x14ac:dyDescent="0.25">
      <c r="A24" s="62">
        <v>13</v>
      </c>
      <c r="B24" s="63" t="str">
        <f>+'Necesidades Trimestrales'!B23</f>
        <v>2.9.5-2205.33</v>
      </c>
      <c r="C24" s="162" t="str">
        <f>+'Necesidades Trimestrales'!E23</f>
        <v>PROLONGADORES P/GUÍA SUERO; USO: ADMINISTRACIÓN DE SOLUCIONES; MODELO: C/LLAVE DE 3 VÍAS ESTERIL 360° LUERLOCK C/PROLONGADOR DE 30CM</v>
      </c>
      <c r="D24" s="162"/>
      <c r="E24" s="162"/>
      <c r="F24" s="162"/>
      <c r="G24" s="162"/>
      <c r="H24" s="62" t="s">
        <v>51</v>
      </c>
      <c r="I24" s="64" t="str">
        <f>+'Necesidades Trimestrales'!F23</f>
        <v>UNIDAD</v>
      </c>
      <c r="J24" s="89">
        <f>+'Necesidades Trimestrales'!N23</f>
        <v>60</v>
      </c>
      <c r="K24" s="65">
        <f>'Necesidades Trimestrales'!G23</f>
        <v>200</v>
      </c>
    </row>
    <row r="25" spans="1:11" ht="33.75" customHeight="1" thickBot="1" x14ac:dyDescent="0.25">
      <c r="A25" s="62">
        <v>14</v>
      </c>
      <c r="B25" s="63" t="str">
        <f>+'Necesidades Trimestrales'!B24</f>
        <v>2.9.5-2161.224</v>
      </c>
      <c r="C25" s="162" t="str">
        <f>+'Necesidades Trimestrales'!E24</f>
        <v>CATETERES/SONDAS; NUMERO: 14, TIPO: FOLEY DOBLE VIA</v>
      </c>
      <c r="D25" s="162"/>
      <c r="E25" s="162"/>
      <c r="F25" s="162"/>
      <c r="G25" s="162"/>
      <c r="H25" s="62" t="s">
        <v>51</v>
      </c>
      <c r="I25" s="64" t="str">
        <f>+'Necesidades Trimestrales'!F24</f>
        <v>UNIDAD</v>
      </c>
      <c r="J25" s="89">
        <f>+'Necesidades Trimestrales'!N24</f>
        <v>98</v>
      </c>
      <c r="K25" s="65">
        <f>'Necesidades Trimestrales'!G24</f>
        <v>100</v>
      </c>
    </row>
    <row r="26" spans="1:11" ht="33.75" customHeight="1" thickBot="1" x14ac:dyDescent="0.25">
      <c r="A26" s="62">
        <v>15</v>
      </c>
      <c r="B26" s="63" t="str">
        <f>+'Necesidades Trimestrales'!B25</f>
        <v>2.9.5-2161.221</v>
      </c>
      <c r="C26" s="162" t="str">
        <f>+'Necesidades Trimestrales'!E25</f>
        <v>CATETERES/SONDAS; NUMERO: 16, TIPO: FOLEY DOBLE VIA</v>
      </c>
      <c r="D26" s="162"/>
      <c r="E26" s="162"/>
      <c r="F26" s="162"/>
      <c r="G26" s="162"/>
      <c r="H26" s="62" t="s">
        <v>51</v>
      </c>
      <c r="I26" s="64" t="str">
        <f>+'Necesidades Trimestrales'!F25</f>
        <v>UNIDAD</v>
      </c>
      <c r="J26" s="89">
        <f>+'Necesidades Trimestrales'!N25</f>
        <v>98</v>
      </c>
      <c r="K26" s="65">
        <f>'Necesidades Trimestrales'!G25</f>
        <v>300</v>
      </c>
    </row>
    <row r="27" spans="1:11" ht="33.75" customHeight="1" thickBot="1" x14ac:dyDescent="0.25">
      <c r="A27" s="62">
        <v>16</v>
      </c>
      <c r="B27" s="63" t="str">
        <f>+'Necesidades Trimestrales'!B26</f>
        <v>2.9.5-2161.222</v>
      </c>
      <c r="C27" s="162" t="str">
        <f>+'Necesidades Trimestrales'!E26</f>
        <v>CATETERES/SONDAS; NUMERO: 18, TIPO: FOLEY DOBLE VIA</v>
      </c>
      <c r="D27" s="162"/>
      <c r="E27" s="162"/>
      <c r="F27" s="162"/>
      <c r="G27" s="162"/>
      <c r="H27" s="62" t="s">
        <v>51</v>
      </c>
      <c r="I27" s="64" t="str">
        <f>+'Necesidades Trimestrales'!F26</f>
        <v>UNIDAD</v>
      </c>
      <c r="J27" s="89">
        <f>+'Necesidades Trimestrales'!N26</f>
        <v>98</v>
      </c>
      <c r="K27" s="65">
        <f>'Necesidades Trimestrales'!G26</f>
        <v>200</v>
      </c>
    </row>
    <row r="28" spans="1:11" ht="33.75" customHeight="1" thickBot="1" x14ac:dyDescent="0.25">
      <c r="A28" s="62">
        <v>17</v>
      </c>
      <c r="B28" s="63" t="str">
        <f>+'Necesidades Trimestrales'!B32</f>
        <v>2.9.5-2161.176</v>
      </c>
      <c r="C28" s="162" t="str">
        <f>+'Necesidades Trimestrales'!E32</f>
        <v>CATETERES/SONDAS; NUMERO: 20, TIPO: RECTAL</v>
      </c>
      <c r="D28" s="162"/>
      <c r="E28" s="162"/>
      <c r="F28" s="162"/>
      <c r="G28" s="162"/>
      <c r="H28" s="62" t="s">
        <v>51</v>
      </c>
      <c r="I28" s="64" t="str">
        <f>+'Necesidades Trimestrales'!F32</f>
        <v>UNIDAD</v>
      </c>
      <c r="J28" s="89">
        <f>+'Necesidades Trimestrales'!N32</f>
        <v>95</v>
      </c>
      <c r="K28" s="65">
        <f>'Necesidades Trimestrales'!G32</f>
        <v>50</v>
      </c>
    </row>
    <row r="29" spans="1:11" ht="33.75" customHeight="1" thickBot="1" x14ac:dyDescent="0.25">
      <c r="A29" s="62">
        <v>18</v>
      </c>
      <c r="B29" s="63" t="str">
        <f>+'Necesidades Trimestrales'!B33</f>
        <v>2.9.5-2161.228</v>
      </c>
      <c r="C29" s="162" t="str">
        <f>+'Necesidades Trimestrales'!E33</f>
        <v>CATETERES/SONDAS; NUMERO: 26, TIPO: RECTAL</v>
      </c>
      <c r="D29" s="162"/>
      <c r="E29" s="162"/>
      <c r="F29" s="162"/>
      <c r="G29" s="162"/>
      <c r="H29" s="62" t="s">
        <v>51</v>
      </c>
      <c r="I29" s="64" t="str">
        <f>+'Necesidades Trimestrales'!F33</f>
        <v>UNIDAD</v>
      </c>
      <c r="J29" s="89">
        <f>+'Necesidades Trimestrales'!N33</f>
        <v>95</v>
      </c>
      <c r="K29" s="65">
        <f>'Necesidades Trimestrales'!G33</f>
        <v>50</v>
      </c>
    </row>
    <row r="30" spans="1:11" ht="33.75" customHeight="1" thickBot="1" x14ac:dyDescent="0.25">
      <c r="A30" s="62">
        <v>19</v>
      </c>
      <c r="B30" s="63" t="str">
        <f>+'Necesidades Trimestrales'!B34</f>
        <v>2.9.5-2226.33</v>
      </c>
      <c r="C30" s="162" t="str">
        <f>+'Necesidades Trimestrales'!E34</f>
        <v>CONECTORES P/MEDICINA; USO: SIST. INYECCION INTERMITENTE, CONECTOR: ESTANDAR</v>
      </c>
      <c r="D30" s="162"/>
      <c r="E30" s="162"/>
      <c r="F30" s="162"/>
      <c r="G30" s="162"/>
      <c r="H30" s="62" t="s">
        <v>107</v>
      </c>
      <c r="I30" s="64" t="str">
        <f>+'Necesidades Trimestrales'!F34</f>
        <v>UNIDAD</v>
      </c>
      <c r="J30" s="89">
        <f>+'Necesidades Trimestrales'!N34</f>
        <v>22</v>
      </c>
      <c r="K30" s="65">
        <f>'Necesidades Trimestrales'!G34</f>
        <v>1000</v>
      </c>
    </row>
    <row r="31" spans="1:11" ht="16.5" thickBot="1" x14ac:dyDescent="0.25">
      <c r="A31" s="160" t="s">
        <v>135</v>
      </c>
      <c r="B31" s="160"/>
      <c r="C31" s="160"/>
      <c r="D31" s="160"/>
      <c r="E31" s="160"/>
      <c r="F31" s="160"/>
      <c r="G31" s="160"/>
      <c r="H31" s="160"/>
      <c r="I31" s="160"/>
      <c r="J31" s="170">
        <f>SUMPRODUCT(J12:J30,K12:K30)</f>
        <v>4400800</v>
      </c>
      <c r="K31" s="171"/>
    </row>
  </sheetData>
  <mergeCells count="41">
    <mergeCell ref="C12:G12"/>
    <mergeCell ref="C13:G13"/>
    <mergeCell ref="C14:G14"/>
    <mergeCell ref="C15:G15"/>
    <mergeCell ref="C20:G20"/>
    <mergeCell ref="C16:G16"/>
    <mergeCell ref="C17:G17"/>
    <mergeCell ref="C18:G18"/>
    <mergeCell ref="C19:G19"/>
    <mergeCell ref="C30:G30"/>
    <mergeCell ref="A31:I31"/>
    <mergeCell ref="J31:K31"/>
    <mergeCell ref="C28:G28"/>
    <mergeCell ref="C29:G29"/>
    <mergeCell ref="C26:G26"/>
    <mergeCell ref="C27:G27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21:G21"/>
    <mergeCell ref="C22:G22"/>
    <mergeCell ref="C23:G23"/>
    <mergeCell ref="C24:G24"/>
    <mergeCell ref="C25:G2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0" zoomScale="80" zoomScaleNormal="80" workbookViewId="0">
      <selection activeCell="O22" sqref="O22:P22"/>
    </sheetView>
  </sheetViews>
  <sheetFormatPr baseColWidth="10" defaultColWidth="11" defaultRowHeight="12.75" x14ac:dyDescent="0.2"/>
  <cols>
    <col min="1" max="5" width="4.42578125" customWidth="1"/>
    <col min="6" max="6" width="5.8554687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72" t="s">
        <v>3</v>
      </c>
      <c r="B1" s="172"/>
      <c r="C1" s="172"/>
      <c r="D1" s="173">
        <f>'Necesidades Trimestrales'!C6</f>
        <v>2022</v>
      </c>
      <c r="E1" s="173"/>
      <c r="F1" s="3"/>
      <c r="G1" s="3"/>
      <c r="H1" s="4"/>
      <c r="I1" s="4"/>
      <c r="J1" s="4"/>
      <c r="K1" s="4"/>
      <c r="L1" s="4"/>
      <c r="M1" s="4"/>
      <c r="N1" s="4"/>
      <c r="P1" s="174" t="s">
        <v>24</v>
      </c>
      <c r="Q1" s="174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74"/>
      <c r="Q2" s="174"/>
    </row>
    <row r="4" spans="1:17" s="5" customFormat="1" ht="18" customHeight="1" thickBot="1" x14ac:dyDescent="0.25">
      <c r="A4" s="175" t="s">
        <v>25</v>
      </c>
      <c r="B4" s="175"/>
      <c r="C4" s="175"/>
      <c r="D4" s="175"/>
      <c r="E4" s="175"/>
      <c r="F4" s="175"/>
      <c r="G4" s="176" t="str">
        <f>'NP FCIA'!D3</f>
        <v>040 - MINISTERIO DE SALUD</v>
      </c>
      <c r="H4" s="176"/>
      <c r="I4" s="176"/>
      <c r="J4" s="176"/>
      <c r="K4" s="176"/>
      <c r="L4" s="176"/>
      <c r="M4" s="176"/>
      <c r="N4" s="176"/>
      <c r="O4" s="176"/>
      <c r="P4" s="176"/>
      <c r="Q4" s="176"/>
    </row>
    <row r="5" spans="1:17" s="101" customFormat="1" ht="18" customHeight="1" thickBot="1" x14ac:dyDescent="0.25">
      <c r="A5" s="177" t="s">
        <v>48</v>
      </c>
      <c r="B5" s="178"/>
      <c r="C5" s="178"/>
      <c r="D5" s="178"/>
      <c r="E5" s="178"/>
      <c r="F5" s="179"/>
      <c r="G5" s="180" t="str">
        <f>'NP FCIA'!D4</f>
        <v>011 - DIRECCION PROVINCIAL DE ADMINISTRACION - MS</v>
      </c>
      <c r="H5" s="180"/>
      <c r="I5" s="180"/>
      <c r="J5" s="180"/>
      <c r="K5" s="180"/>
      <c r="L5" s="180"/>
      <c r="M5" s="180"/>
      <c r="N5" s="180"/>
      <c r="O5" s="180"/>
      <c r="P5" s="180"/>
      <c r="Q5" s="180"/>
    </row>
    <row r="6" spans="1:17" s="101" customFormat="1" ht="18" customHeight="1" thickBot="1" x14ac:dyDescent="0.25">
      <c r="A6" s="177" t="s">
        <v>26</v>
      </c>
      <c r="B6" s="178"/>
      <c r="C6" s="178"/>
      <c r="D6" s="178"/>
      <c r="E6" s="178"/>
      <c r="F6" s="179"/>
      <c r="G6" s="180" t="str">
        <f>'NP FCIA'!D5</f>
        <v>469 - DIRECCION PROVINCIAL DE FARMACIA E INSUMOS</v>
      </c>
      <c r="H6" s="180"/>
      <c r="I6" s="180"/>
      <c r="J6" s="180"/>
      <c r="K6" s="180"/>
      <c r="L6" s="180"/>
      <c r="M6" s="180"/>
      <c r="N6" s="180"/>
      <c r="O6" s="180"/>
      <c r="P6" s="180"/>
      <c r="Q6" s="180"/>
    </row>
    <row r="7" spans="1:17" s="101" customFormat="1" ht="18" customHeight="1" thickBot="1" x14ac:dyDescent="0.25">
      <c r="A7" s="177" t="s">
        <v>49</v>
      </c>
      <c r="B7" s="178"/>
      <c r="C7" s="178"/>
      <c r="D7" s="178"/>
      <c r="E7" s="178"/>
      <c r="F7" s="179"/>
      <c r="G7" s="180" t="str">
        <f>'NP FCIA'!D6</f>
        <v>469 - DIRECCION PROVINCIAL DE FARMACIA E INSUMOS</v>
      </c>
      <c r="H7" s="180"/>
      <c r="I7" s="180"/>
      <c r="J7" s="180"/>
      <c r="K7" s="180"/>
      <c r="L7" s="180"/>
      <c r="M7" s="180"/>
      <c r="N7" s="180"/>
      <c r="O7" s="180"/>
      <c r="P7" s="180"/>
      <c r="Q7" s="180"/>
    </row>
    <row r="8" spans="1:17" s="57" customFormat="1" ht="18" customHeight="1" thickBot="1" x14ac:dyDescent="0.25">
      <c r="A8" s="181" t="s">
        <v>27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</row>
    <row r="9" spans="1:17" s="57" customFormat="1" ht="18" customHeight="1" x14ac:dyDescent="0.2">
      <c r="A9" s="182" t="s">
        <v>28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02"/>
      <c r="P9" s="102"/>
      <c r="Q9" s="103"/>
    </row>
    <row r="10" spans="1:17" s="57" customFormat="1" ht="54.75" customHeight="1" x14ac:dyDescent="0.2">
      <c r="A10" s="183" t="str">
        <f>"Autorizo la realización de los  trámites correspondientes, a fin de proveer a  este Organismo los bienes y/o servicios que se detallan en Nota  de Pedido N° " &amp; 'NP FCIA'!K1&amp;",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</row>
    <row r="11" spans="1:17" s="57" customFormat="1" ht="9" customHeight="1" x14ac:dyDescent="0.2">
      <c r="A11" s="104"/>
      <c r="B11" s="105"/>
      <c r="C11" s="105"/>
      <c r="D11" s="105"/>
      <c r="E11" s="105"/>
      <c r="F11" s="105"/>
      <c r="G11" s="106"/>
      <c r="H11" s="105"/>
      <c r="I11" s="105"/>
      <c r="J11" s="105"/>
      <c r="K11" s="105"/>
      <c r="L11" s="105"/>
      <c r="M11" s="105"/>
      <c r="N11" s="105"/>
      <c r="O11" s="105"/>
      <c r="P11" s="105"/>
      <c r="Q11" s="107"/>
    </row>
    <row r="12" spans="1:17" s="57" customFormat="1" ht="15.75" customHeight="1" x14ac:dyDescent="0.2">
      <c r="A12" s="184" t="s">
        <v>29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</row>
    <row r="13" spans="1:17" s="57" customFormat="1" ht="15.75" customHeight="1" x14ac:dyDescent="0.2">
      <c r="A13" s="185" t="s">
        <v>30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6" t="s">
        <v>31</v>
      </c>
      <c r="P13" s="186"/>
      <c r="Q13" s="187" t="s">
        <v>32</v>
      </c>
    </row>
    <row r="14" spans="1:17" s="57" customFormat="1" ht="15.75" customHeight="1" thickBot="1" x14ac:dyDescent="0.25">
      <c r="A14" s="108" t="s">
        <v>33</v>
      </c>
      <c r="B14" s="109" t="s">
        <v>34</v>
      </c>
      <c r="C14" s="109" t="s">
        <v>35</v>
      </c>
      <c r="D14" s="109" t="s">
        <v>36</v>
      </c>
      <c r="E14" s="109" t="s">
        <v>37</v>
      </c>
      <c r="F14" s="109" t="s">
        <v>38</v>
      </c>
      <c r="G14" s="110" t="s">
        <v>39</v>
      </c>
      <c r="H14" s="109" t="s">
        <v>40</v>
      </c>
      <c r="I14" s="109" t="s">
        <v>41</v>
      </c>
      <c r="J14" s="109" t="s">
        <v>42</v>
      </c>
      <c r="K14" s="109" t="s">
        <v>42</v>
      </c>
      <c r="L14" s="109" t="s">
        <v>43</v>
      </c>
      <c r="M14" s="111" t="s">
        <v>44</v>
      </c>
      <c r="N14" s="112" t="s">
        <v>45</v>
      </c>
      <c r="O14" s="186"/>
      <c r="P14" s="186"/>
      <c r="Q14" s="187"/>
    </row>
    <row r="15" spans="1:17" s="57" customFormat="1" ht="30" customHeight="1" x14ac:dyDescent="0.2">
      <c r="A15" s="113">
        <v>30</v>
      </c>
      <c r="B15" s="114"/>
      <c r="C15" s="114"/>
      <c r="D15" s="114">
        <v>1</v>
      </c>
      <c r="E15" s="114"/>
      <c r="F15" s="114">
        <v>4901</v>
      </c>
      <c r="G15" s="114">
        <v>3</v>
      </c>
      <c r="H15" s="114">
        <v>1</v>
      </c>
      <c r="I15" s="114">
        <v>2</v>
      </c>
      <c r="J15" s="114">
        <v>9</v>
      </c>
      <c r="K15" s="114">
        <v>5</v>
      </c>
      <c r="L15" s="114"/>
      <c r="M15" s="115">
        <v>1</v>
      </c>
      <c r="N15" s="116" t="s">
        <v>50</v>
      </c>
      <c r="O15" s="188" t="s">
        <v>108</v>
      </c>
      <c r="P15" s="189"/>
      <c r="Q15" s="117">
        <f>'NP FCIA'!J31</f>
        <v>4400800</v>
      </c>
    </row>
    <row r="16" spans="1:17" ht="17.25" customHeight="1" x14ac:dyDescent="0.2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7"/>
      <c r="N16" s="18"/>
      <c r="O16" s="190"/>
      <c r="P16" s="190"/>
      <c r="Q16" s="19"/>
    </row>
    <row r="17" spans="1:18" ht="17.25" customHeight="1" x14ac:dyDescent="0.2">
      <c r="A17" s="15"/>
      <c r="B17" s="16"/>
      <c r="C17" s="16"/>
      <c r="D17" s="16"/>
      <c r="E17" s="16"/>
      <c r="F17" s="18"/>
      <c r="G17" s="16"/>
      <c r="H17" s="16"/>
      <c r="I17" s="16"/>
      <c r="J17" s="16"/>
      <c r="K17" s="16"/>
      <c r="L17" s="16"/>
      <c r="M17" s="17"/>
      <c r="N17" s="18"/>
      <c r="O17" s="190"/>
      <c r="P17" s="190"/>
      <c r="Q17" s="19"/>
    </row>
    <row r="18" spans="1:18" ht="17.25" customHeight="1" x14ac:dyDescent="0.2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7"/>
      <c r="N18" s="18"/>
      <c r="O18" s="190"/>
      <c r="P18" s="190"/>
      <c r="Q18" s="19"/>
    </row>
    <row r="19" spans="1:18" ht="17.25" customHeight="1" x14ac:dyDescent="0.2">
      <c r="A19" s="15"/>
      <c r="B19" s="16"/>
      <c r="C19" s="16"/>
      <c r="D19" s="16"/>
      <c r="E19" s="16"/>
      <c r="F19" s="18"/>
      <c r="G19" s="16"/>
      <c r="H19" s="16"/>
      <c r="I19" s="16"/>
      <c r="J19" s="16"/>
      <c r="K19" s="16"/>
      <c r="L19" s="16"/>
      <c r="M19" s="17"/>
      <c r="N19" s="18"/>
      <c r="O19" s="190"/>
      <c r="P19" s="190"/>
      <c r="Q19" s="19"/>
    </row>
    <row r="20" spans="1:18" ht="17.25" customHeight="1" x14ac:dyDescent="0.2">
      <c r="A20" s="15"/>
      <c r="B20" s="16"/>
      <c r="C20" s="16"/>
      <c r="D20" s="16"/>
      <c r="E20" s="16"/>
      <c r="F20" s="18"/>
      <c r="G20" s="16"/>
      <c r="H20" s="16"/>
      <c r="I20" s="16"/>
      <c r="J20" s="16"/>
      <c r="K20" s="16"/>
      <c r="L20" s="16"/>
      <c r="M20" s="17"/>
      <c r="N20" s="18"/>
      <c r="O20" s="190"/>
      <c r="P20" s="190"/>
      <c r="Q20" s="19"/>
    </row>
    <row r="21" spans="1:18" ht="17.25" customHeight="1" x14ac:dyDescent="0.2">
      <c r="A21" s="20"/>
      <c r="B21" s="21"/>
      <c r="C21" s="21"/>
      <c r="D21" s="21"/>
      <c r="E21" s="21"/>
      <c r="F21" s="22"/>
      <c r="G21" s="21"/>
      <c r="H21" s="21"/>
      <c r="I21" s="21"/>
      <c r="J21" s="21"/>
      <c r="K21" s="21"/>
      <c r="L21" s="21"/>
      <c r="M21" s="23"/>
      <c r="N21" s="24"/>
      <c r="O21" s="196"/>
      <c r="P21" s="196"/>
      <c r="Q21" s="19"/>
      <c r="R21" s="1"/>
    </row>
    <row r="22" spans="1:18" ht="17.25" customHeight="1" x14ac:dyDescent="0.2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7"/>
      <c r="N22" s="26"/>
      <c r="O22" s="197"/>
      <c r="P22" s="197"/>
      <c r="Q22" s="28"/>
    </row>
    <row r="23" spans="1:18" s="57" customFormat="1" ht="29.25" customHeight="1" x14ac:dyDescent="0.2">
      <c r="A23" s="198" t="s">
        <v>136</v>
      </c>
      <c r="B23" s="198"/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18">
        <f>SUM(Q15:Q22)</f>
        <v>4400800</v>
      </c>
    </row>
    <row r="24" spans="1:18" s="57" customFormat="1" ht="18" customHeight="1" thickBot="1" x14ac:dyDescent="0.25">
      <c r="A24" s="199"/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</row>
    <row r="25" spans="1:18" s="57" customFormat="1" ht="17.25" customHeight="1" thickBot="1" x14ac:dyDescent="0.25">
      <c r="A25" s="191" t="s">
        <v>46</v>
      </c>
      <c r="B25" s="192"/>
      <c r="C25" s="192"/>
      <c r="D25" s="192"/>
      <c r="E25" s="192"/>
      <c r="F25" s="193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</row>
    <row r="26" spans="1:18" s="57" customFormat="1" ht="18" customHeight="1" thickBot="1" x14ac:dyDescent="0.25">
      <c r="A26" s="195" t="str">
        <f>'NP FCIA'!D8</f>
        <v>Adquisición de DESCARTABLE COMUN</v>
      </c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</row>
    <row r="27" spans="1:18" s="57" customFormat="1" ht="15" customHeight="1" x14ac:dyDescent="0.2">
      <c r="A27" s="195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22"/>
  <sheetViews>
    <sheetView topLeftCell="A11" zoomScale="80" zoomScaleNormal="80" workbookViewId="0">
      <selection activeCell="P20" sqref="P20"/>
    </sheetView>
  </sheetViews>
  <sheetFormatPr baseColWidth="10" defaultColWidth="9.140625" defaultRowHeight="12.75" x14ac:dyDescent="0.2"/>
  <cols>
    <col min="1" max="1" width="5.5703125" style="56" customWidth="1"/>
    <col min="2" max="2" width="15.140625" style="56" customWidth="1"/>
    <col min="3" max="3" width="14.140625" style="56" customWidth="1"/>
    <col min="4" max="4" width="26" style="56" customWidth="1"/>
    <col min="5" max="5" width="8" style="56" customWidth="1"/>
    <col min="6" max="6" width="7.85546875" style="56" customWidth="1"/>
    <col min="7" max="7" width="48.5703125" style="56" customWidth="1"/>
    <col min="8" max="8" width="9.28515625" style="56" customWidth="1"/>
    <col min="9" max="9" width="15.5703125" style="56" customWidth="1"/>
    <col min="10" max="10" width="14.7109375" style="90" customWidth="1"/>
    <col min="11" max="11" width="15.5703125" style="56" customWidth="1"/>
    <col min="12" max="14" width="5.85546875" style="56" customWidth="1"/>
    <col min="15" max="15" width="12.5703125" style="56" customWidth="1"/>
    <col min="16" max="1024" width="9.140625" style="56"/>
    <col min="1025" max="16384" width="9.140625" style="57"/>
  </cols>
  <sheetData>
    <row r="1" spans="1:11" ht="18" customHeight="1" thickBot="1" x14ac:dyDescent="0.25">
      <c r="A1" s="158" t="s">
        <v>13</v>
      </c>
      <c r="B1" s="158"/>
      <c r="C1" s="158"/>
      <c r="D1" s="158"/>
      <c r="E1" s="158"/>
      <c r="F1" s="158"/>
      <c r="G1" s="158"/>
      <c r="H1" s="158"/>
      <c r="I1" s="158"/>
      <c r="J1" s="86" t="s">
        <v>14</v>
      </c>
      <c r="K1" s="55" t="s">
        <v>53</v>
      </c>
    </row>
    <row r="2" spans="1:11" ht="18.75" customHeight="1" thickBot="1" x14ac:dyDescent="0.25">
      <c r="A2" s="58"/>
      <c r="B2" s="58"/>
      <c r="C2" s="58"/>
      <c r="D2" s="59"/>
      <c r="E2" s="59"/>
      <c r="F2" s="59"/>
      <c r="G2" s="59"/>
      <c r="H2" s="59"/>
      <c r="I2" s="59"/>
      <c r="J2" s="87"/>
      <c r="K2" s="59"/>
    </row>
    <row r="3" spans="1:11" ht="18.75" customHeight="1" thickBot="1" x14ac:dyDescent="0.25">
      <c r="A3" s="159" t="s">
        <v>47</v>
      </c>
      <c r="B3" s="159"/>
      <c r="C3" s="159"/>
      <c r="D3" s="160" t="str">
        <f>'Necesidades Trimestrales'!C4</f>
        <v>040 - MINISTERIO DE SALUD</v>
      </c>
      <c r="E3" s="160"/>
      <c r="F3" s="160"/>
      <c r="G3" s="160"/>
      <c r="H3" s="160"/>
      <c r="I3" s="160"/>
      <c r="J3" s="160"/>
      <c r="K3" s="160"/>
    </row>
    <row r="4" spans="1:11" ht="18.75" customHeight="1" thickBot="1" x14ac:dyDescent="0.25">
      <c r="A4" s="161" t="s">
        <v>48</v>
      </c>
      <c r="B4" s="161"/>
      <c r="C4" s="161"/>
      <c r="D4" s="160" t="str">
        <f>'Necesidades Trimestrales'!C5</f>
        <v>011 - DIRECCION PROVINCIAL DE ADMINISTRACION - MS</v>
      </c>
      <c r="E4" s="160"/>
      <c r="F4" s="160"/>
      <c r="G4" s="160"/>
      <c r="H4" s="160"/>
      <c r="I4" s="160"/>
      <c r="J4" s="160"/>
      <c r="K4" s="160"/>
    </row>
    <row r="5" spans="1:11" ht="18.75" customHeight="1" thickBot="1" x14ac:dyDescent="0.25">
      <c r="A5" s="161" t="s">
        <v>26</v>
      </c>
      <c r="B5" s="161"/>
      <c r="C5" s="161"/>
      <c r="D5" s="160" t="s">
        <v>137</v>
      </c>
      <c r="E5" s="160"/>
      <c r="F5" s="160"/>
      <c r="G5" s="160"/>
      <c r="H5" s="160"/>
      <c r="I5" s="160"/>
      <c r="J5" s="160"/>
      <c r="K5" s="160"/>
    </row>
    <row r="6" spans="1:11" ht="16.5" customHeight="1" thickBot="1" x14ac:dyDescent="0.25">
      <c r="A6" s="159" t="s">
        <v>49</v>
      </c>
      <c r="B6" s="159"/>
      <c r="C6" s="159"/>
      <c r="D6" s="160" t="s">
        <v>137</v>
      </c>
      <c r="E6" s="160"/>
      <c r="F6" s="160"/>
      <c r="G6" s="160"/>
      <c r="H6" s="160"/>
      <c r="I6" s="160"/>
      <c r="J6" s="160"/>
      <c r="K6" s="160"/>
    </row>
    <row r="7" spans="1:11" ht="16.5" customHeight="1" thickBot="1" x14ac:dyDescent="0.25">
      <c r="A7" s="161" t="s">
        <v>15</v>
      </c>
      <c r="B7" s="161"/>
      <c r="C7" s="161"/>
      <c r="D7" s="160" t="s">
        <v>54</v>
      </c>
      <c r="E7" s="160"/>
      <c r="F7" s="160"/>
      <c r="G7" s="160"/>
      <c r="H7" s="160"/>
      <c r="I7" s="160"/>
      <c r="J7" s="160"/>
      <c r="K7" s="160"/>
    </row>
    <row r="8" spans="1:11" ht="16.5" customHeight="1" thickBot="1" x14ac:dyDescent="0.25">
      <c r="A8" s="169" t="s">
        <v>16</v>
      </c>
      <c r="B8" s="169"/>
      <c r="C8" s="169"/>
      <c r="D8" s="163" t="s">
        <v>56</v>
      </c>
      <c r="E8" s="164"/>
      <c r="F8" s="164"/>
      <c r="G8" s="164"/>
      <c r="H8" s="164"/>
      <c r="I8" s="164"/>
      <c r="J8" s="164"/>
      <c r="K8" s="165"/>
    </row>
    <row r="9" spans="1:11" ht="16.5" thickBot="1" x14ac:dyDescent="0.25">
      <c r="A9" s="60"/>
      <c r="B9" s="60"/>
      <c r="C9" s="60"/>
      <c r="D9" s="61"/>
      <c r="E9" s="61"/>
      <c r="F9" s="61"/>
      <c r="G9" s="61"/>
      <c r="H9" s="61"/>
      <c r="I9" s="61"/>
      <c r="J9" s="88"/>
      <c r="K9" s="61"/>
    </row>
    <row r="10" spans="1:11" ht="18.75" customHeight="1" thickBot="1" x14ac:dyDescent="0.25">
      <c r="A10" s="166" t="s">
        <v>17</v>
      </c>
      <c r="B10" s="167" t="s">
        <v>18</v>
      </c>
      <c r="C10" s="167" t="s">
        <v>19</v>
      </c>
      <c r="D10" s="167"/>
      <c r="E10" s="167"/>
      <c r="F10" s="167"/>
      <c r="G10" s="167"/>
      <c r="H10" s="167" t="s">
        <v>20</v>
      </c>
      <c r="I10" s="167" t="s">
        <v>21</v>
      </c>
      <c r="J10" s="168" t="s">
        <v>22</v>
      </c>
      <c r="K10" s="167" t="s">
        <v>23</v>
      </c>
    </row>
    <row r="11" spans="1:11" ht="24" customHeight="1" thickBot="1" x14ac:dyDescent="0.25">
      <c r="A11" s="166"/>
      <c r="B11" s="167"/>
      <c r="C11" s="167"/>
      <c r="D11" s="167"/>
      <c r="E11" s="167"/>
      <c r="F11" s="167"/>
      <c r="G11" s="167"/>
      <c r="H11" s="167"/>
      <c r="I11" s="167"/>
      <c r="J11" s="168"/>
      <c r="K11" s="167"/>
    </row>
    <row r="12" spans="1:11" ht="33.75" customHeight="1" thickBot="1" x14ac:dyDescent="0.25">
      <c r="A12" s="62">
        <v>1</v>
      </c>
      <c r="B12" s="63" t="str">
        <f>+'Necesidades Trimestrales'!B15</f>
        <v>2.9.5-2161.2</v>
      </c>
      <c r="C12" s="162" t="str">
        <f>+'Necesidades Trimestrales'!E15</f>
        <v>CATÉTER INTRAVENOSO Nº 18; TIPO: INTRAVENOSO/CANALIZACIÓN</v>
      </c>
      <c r="D12" s="162"/>
      <c r="E12" s="162"/>
      <c r="F12" s="162"/>
      <c r="G12" s="162"/>
      <c r="H12" s="62" t="s">
        <v>51</v>
      </c>
      <c r="I12" s="64" t="str">
        <f>+'Necesidades Trimestrales'!F15</f>
        <v>UNIDAD</v>
      </c>
      <c r="J12" s="89">
        <f>+'Necesidades Trimestrales'!N15</f>
        <v>85</v>
      </c>
      <c r="K12" s="65">
        <f>'Necesidades Trimestrales'!I15</f>
        <v>250</v>
      </c>
    </row>
    <row r="13" spans="1:11" ht="33.75" customHeight="1" thickBot="1" x14ac:dyDescent="0.25">
      <c r="A13" s="62">
        <v>2</v>
      </c>
      <c r="B13" s="63" t="str">
        <f>+'Necesidades Trimestrales'!B16</f>
        <v>2.9.5-2161.557</v>
      </c>
      <c r="C13" s="162" t="str">
        <f>+'Necesidades Trimestrales'!E16</f>
        <v>CATÉTER INTRAVENOSO Nº 20; TIPO: INTRAVENOSO/CANALIZACIÓN</v>
      </c>
      <c r="D13" s="162"/>
      <c r="E13" s="162"/>
      <c r="F13" s="162"/>
      <c r="G13" s="162"/>
      <c r="H13" s="62" t="s">
        <v>51</v>
      </c>
      <c r="I13" s="64" t="str">
        <f>+'Necesidades Trimestrales'!F16</f>
        <v>UNIDAD</v>
      </c>
      <c r="J13" s="89">
        <f>+'Necesidades Trimestrales'!N16</f>
        <v>85</v>
      </c>
      <c r="K13" s="65">
        <f>'Necesidades Trimestrales'!I16</f>
        <v>250</v>
      </c>
    </row>
    <row r="14" spans="1:11" ht="33.75" customHeight="1" thickBot="1" x14ac:dyDescent="0.25">
      <c r="A14" s="62">
        <v>3</v>
      </c>
      <c r="B14" s="63" t="str">
        <f>+'Necesidades Trimestrales'!B17</f>
        <v>2.9.5-2161.4</v>
      </c>
      <c r="C14" s="162" t="str">
        <f>+'Necesidades Trimestrales'!E17</f>
        <v>CATÉTER INTRAVENOSO Nº 22; TIPO: INTRAVENOSO/CANALIZACIÓN</v>
      </c>
      <c r="D14" s="162"/>
      <c r="E14" s="162"/>
      <c r="F14" s="162"/>
      <c r="G14" s="162"/>
      <c r="H14" s="62" t="s">
        <v>51</v>
      </c>
      <c r="I14" s="64" t="str">
        <f>+'Necesidades Trimestrales'!F17</f>
        <v>UNIDAD</v>
      </c>
      <c r="J14" s="89">
        <f>+'Necesidades Trimestrales'!N17</f>
        <v>85</v>
      </c>
      <c r="K14" s="65">
        <f>'Necesidades Trimestrales'!I17</f>
        <v>150</v>
      </c>
    </row>
    <row r="15" spans="1:11" ht="33.75" customHeight="1" thickBot="1" x14ac:dyDescent="0.25">
      <c r="A15" s="62">
        <v>4</v>
      </c>
      <c r="B15" s="63" t="str">
        <f>+'Necesidades Trimestrales'!B20</f>
        <v>2.9.5-2204.42</v>
      </c>
      <c r="C15" s="162" t="str">
        <f>+'Necesidades Trimestrales'!E20</f>
        <v>GUÍAS DE SUERO; USO: ADMINISTRACIÓN DE SOLUCIONES; AGUJA: SIN; MODELO: V14, TIPO: MACROGOTERO CON ROLLER LUER SLIP</v>
      </c>
      <c r="D15" s="162"/>
      <c r="E15" s="162"/>
      <c r="F15" s="162"/>
      <c r="G15" s="162"/>
      <c r="H15" s="62" t="s">
        <v>51</v>
      </c>
      <c r="I15" s="64" t="str">
        <f>+'Necesidades Trimestrales'!F20</f>
        <v>UNIDAD</v>
      </c>
      <c r="J15" s="89">
        <f>+'Necesidades Trimestrales'!N20</f>
        <v>45</v>
      </c>
      <c r="K15" s="65">
        <f>'Necesidades Trimestrales'!I20</f>
        <v>250</v>
      </c>
    </row>
    <row r="16" spans="1:11" ht="33.75" customHeight="1" thickBot="1" x14ac:dyDescent="0.25">
      <c r="A16" s="62">
        <v>5</v>
      </c>
      <c r="B16" s="63" t="str">
        <f>+'Necesidades Trimestrales'!B22</f>
        <v>2.9.5-2205.13</v>
      </c>
      <c r="C16" s="162" t="str">
        <f>+'Necesidades Trimestrales'!E22</f>
        <v>PROLONGADORES P/GUÍA SUERO; USO: ADMINISTRACIÓN DE SOLUCIONES; MODELO: C/LLAVE DE 3 VÍAS ESTERIL 360° LUERLOCK C/PROLONGADOR DE 15CM</v>
      </c>
      <c r="D16" s="162"/>
      <c r="E16" s="162"/>
      <c r="F16" s="162"/>
      <c r="G16" s="162"/>
      <c r="H16" s="62" t="s">
        <v>51</v>
      </c>
      <c r="I16" s="64" t="str">
        <f>+'Necesidades Trimestrales'!F22</f>
        <v>UNIDAD</v>
      </c>
      <c r="J16" s="89">
        <f>+'Necesidades Trimestrales'!N22</f>
        <v>55</v>
      </c>
      <c r="K16" s="65">
        <f>'Necesidades Trimestrales'!I22</f>
        <v>50</v>
      </c>
    </row>
    <row r="17" spans="1:11" ht="33.75" customHeight="1" thickBot="1" x14ac:dyDescent="0.25">
      <c r="A17" s="62">
        <v>6</v>
      </c>
      <c r="B17" s="63" t="str">
        <f>+'Necesidades Trimestrales'!B27</f>
        <v>2.9.5-2161.216</v>
      </c>
      <c r="C17" s="162" t="str">
        <f>+'Necesidades Trimestrales'!E27</f>
        <v>CATETERES/SONDAS; NUMERO: K-30, TIPO: ASP. MUCUS Y ADMINISTRAC. OXIG</v>
      </c>
      <c r="D17" s="162"/>
      <c r="E17" s="162"/>
      <c r="F17" s="162"/>
      <c r="G17" s="162"/>
      <c r="H17" s="62" t="s">
        <v>51</v>
      </c>
      <c r="I17" s="64" t="str">
        <f>+'Necesidades Trimestrales'!F27</f>
        <v>UNIDAD</v>
      </c>
      <c r="J17" s="89">
        <f>+'Necesidades Trimestrales'!N27</f>
        <v>48</v>
      </c>
      <c r="K17" s="65">
        <f>'Necesidades Trimestrales'!I27</f>
        <v>25</v>
      </c>
    </row>
    <row r="18" spans="1:11" ht="33.75" customHeight="1" thickBot="1" x14ac:dyDescent="0.25">
      <c r="A18" s="62">
        <v>7</v>
      </c>
      <c r="B18" s="63" t="str">
        <f>+'Necesidades Trimestrales'!B28</f>
        <v>2.9.5-2161.217</v>
      </c>
      <c r="C18" s="162" t="str">
        <f>+'Necesidades Trimestrales'!E28</f>
        <v>CATETERES/SONDAS; NUMERO: K-31, TIPO: ASP. MUCUS Y ADMINISTRAC. OXIG</v>
      </c>
      <c r="D18" s="162"/>
      <c r="E18" s="162"/>
      <c r="F18" s="162"/>
      <c r="G18" s="162"/>
      <c r="H18" s="62" t="s">
        <v>51</v>
      </c>
      <c r="I18" s="64" t="str">
        <f>+'Necesidades Trimestrales'!F28</f>
        <v>UNIDAD</v>
      </c>
      <c r="J18" s="89">
        <f>+'Necesidades Trimestrales'!N28</f>
        <v>48</v>
      </c>
      <c r="K18" s="65">
        <f>'Necesidades Trimestrales'!I28</f>
        <v>25</v>
      </c>
    </row>
    <row r="19" spans="1:11" ht="33.75" customHeight="1" thickBot="1" x14ac:dyDescent="0.25">
      <c r="A19" s="62">
        <v>8</v>
      </c>
      <c r="B19" s="63" t="str">
        <f>+'Necesidades Trimestrales'!B29</f>
        <v>2.9.5-2161.188</v>
      </c>
      <c r="C19" s="162" t="str">
        <f>+'Necesidades Trimestrales'!E29</f>
        <v>CATETERES/SONDAS; NUMERO: K-33, TIPO: NASOGASTRICA</v>
      </c>
      <c r="D19" s="162"/>
      <c r="E19" s="162"/>
      <c r="F19" s="162"/>
      <c r="G19" s="162"/>
      <c r="H19" s="62" t="s">
        <v>51</v>
      </c>
      <c r="I19" s="64" t="str">
        <f>+'Necesidades Trimestrales'!F29</f>
        <v>UNIDAD</v>
      </c>
      <c r="J19" s="89">
        <f>+'Necesidades Trimestrales'!N29</f>
        <v>48</v>
      </c>
      <c r="K19" s="65">
        <f>'Necesidades Trimestrales'!I29</f>
        <v>25</v>
      </c>
    </row>
    <row r="20" spans="1:11" ht="33.75" customHeight="1" thickBot="1" x14ac:dyDescent="0.25">
      <c r="A20" s="62">
        <v>9</v>
      </c>
      <c r="B20" s="63" t="str">
        <f>+'Necesidades Trimestrales'!B30</f>
        <v>2.9.5-2161.187</v>
      </c>
      <c r="C20" s="162" t="str">
        <f>+'Necesidades Trimestrales'!E30</f>
        <v>CATETERES/SONDAS; NUMERO: K-35, TIPO: NASOGASTRICA PARA PREMATUROS</v>
      </c>
      <c r="D20" s="162"/>
      <c r="E20" s="162"/>
      <c r="F20" s="162"/>
      <c r="G20" s="162"/>
      <c r="H20" s="62" t="s">
        <v>51</v>
      </c>
      <c r="I20" s="64" t="str">
        <f>+'Necesidades Trimestrales'!F30</f>
        <v>UNIDAD</v>
      </c>
      <c r="J20" s="89">
        <f>+'Necesidades Trimestrales'!N30</f>
        <v>48</v>
      </c>
      <c r="K20" s="65">
        <f>'Necesidades Trimestrales'!I30</f>
        <v>25</v>
      </c>
    </row>
    <row r="21" spans="1:11" ht="33.75" customHeight="1" thickBot="1" x14ac:dyDescent="0.25">
      <c r="A21" s="62">
        <v>10</v>
      </c>
      <c r="B21" s="63" t="str">
        <f>+'Necesidades Trimestrales'!B31</f>
        <v>2.9.5-2161.179</v>
      </c>
      <c r="C21" s="162" t="str">
        <f>+'Necesidades Trimestrales'!E31</f>
        <v>CATETERES/SONDAS; NUMERO: K-9, TIPO: NASOGASTRICA</v>
      </c>
      <c r="D21" s="162"/>
      <c r="E21" s="162"/>
      <c r="F21" s="162"/>
      <c r="G21" s="162"/>
      <c r="H21" s="62" t="s">
        <v>51</v>
      </c>
      <c r="I21" s="64" t="str">
        <f>+'Necesidades Trimestrales'!F31</f>
        <v>UNIDAD</v>
      </c>
      <c r="J21" s="89">
        <f>+'Necesidades Trimestrales'!N31</f>
        <v>58</v>
      </c>
      <c r="K21" s="65">
        <f>'Necesidades Trimestrales'!I31</f>
        <v>25</v>
      </c>
    </row>
    <row r="22" spans="1:11" ht="16.5" thickBot="1" x14ac:dyDescent="0.25">
      <c r="A22" s="160" t="s">
        <v>138</v>
      </c>
      <c r="B22" s="160"/>
      <c r="C22" s="160"/>
      <c r="D22" s="160"/>
      <c r="E22" s="160"/>
      <c r="F22" s="160"/>
      <c r="G22" s="160"/>
      <c r="H22" s="160"/>
      <c r="I22" s="160"/>
      <c r="J22" s="170">
        <f>SUMPRODUCT(J12:J21,K12:K21)</f>
        <v>75500</v>
      </c>
      <c r="K22" s="171"/>
    </row>
  </sheetData>
  <mergeCells count="32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A10:A11"/>
    <mergeCell ref="B10:B11"/>
    <mergeCell ref="C10:G11"/>
    <mergeCell ref="H10:H11"/>
    <mergeCell ref="I10:I11"/>
    <mergeCell ref="J10:J11"/>
    <mergeCell ref="C16:G16"/>
    <mergeCell ref="C12:G12"/>
    <mergeCell ref="C13:G13"/>
    <mergeCell ref="C14:G14"/>
    <mergeCell ref="C15:G15"/>
    <mergeCell ref="A22:I22"/>
    <mergeCell ref="J22:K22"/>
    <mergeCell ref="C17:G17"/>
    <mergeCell ref="C18:G18"/>
    <mergeCell ref="C19:G19"/>
    <mergeCell ref="C20:G20"/>
    <mergeCell ref="C21:G2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5" zoomScale="70" zoomScaleNormal="70" workbookViewId="0">
      <selection activeCell="H16" sqref="H1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5" width="14.85546875" customWidth="1"/>
    <col min="16" max="16" width="22.42578125" customWidth="1"/>
    <col min="17" max="17" width="14.7109375" customWidth="1"/>
  </cols>
  <sheetData>
    <row r="1" spans="1:17" ht="15.75" customHeight="1" thickBot="1" x14ac:dyDescent="0.3">
      <c r="A1" s="172" t="s">
        <v>3</v>
      </c>
      <c r="B1" s="172"/>
      <c r="C1" s="172"/>
      <c r="D1" s="173">
        <f>'Necesidades Trimestrales'!C6</f>
        <v>2022</v>
      </c>
      <c r="E1" s="173"/>
      <c r="F1" s="3"/>
      <c r="G1" s="3"/>
      <c r="H1" s="4"/>
      <c r="I1" s="4"/>
      <c r="J1" s="4"/>
      <c r="K1" s="4"/>
      <c r="L1" s="4"/>
      <c r="M1" s="4"/>
      <c r="N1" s="4"/>
      <c r="P1" s="174" t="s">
        <v>24</v>
      </c>
      <c r="Q1" s="174"/>
    </row>
    <row r="2" spans="1:17" ht="15.75" customHeight="1" thickBot="1" x14ac:dyDescent="0.25">
      <c r="H2" s="4"/>
      <c r="I2" s="4"/>
      <c r="J2" s="4"/>
      <c r="K2" s="4"/>
      <c r="L2" s="4"/>
      <c r="M2" s="4"/>
      <c r="N2" s="4"/>
      <c r="P2" s="174"/>
      <c r="Q2" s="174"/>
    </row>
    <row r="4" spans="1:17" s="5" customFormat="1" ht="18" customHeight="1" thickBot="1" x14ac:dyDescent="0.25">
      <c r="A4" s="175" t="s">
        <v>25</v>
      </c>
      <c r="B4" s="175"/>
      <c r="C4" s="175"/>
      <c r="D4" s="175"/>
      <c r="E4" s="175"/>
      <c r="F4" s="175"/>
      <c r="G4" s="176" t="str">
        <f>'NP SAME'!D3</f>
        <v>040 - MINISTERIO DE SALUD</v>
      </c>
      <c r="H4" s="176"/>
      <c r="I4" s="176"/>
      <c r="J4" s="176"/>
      <c r="K4" s="176"/>
      <c r="L4" s="176"/>
      <c r="M4" s="176"/>
      <c r="N4" s="176"/>
      <c r="O4" s="176"/>
      <c r="P4" s="176"/>
      <c r="Q4" s="176"/>
    </row>
    <row r="5" spans="1:17" s="101" customFormat="1" ht="18" customHeight="1" thickBot="1" x14ac:dyDescent="0.25">
      <c r="A5" s="177" t="s">
        <v>48</v>
      </c>
      <c r="B5" s="178"/>
      <c r="C5" s="178"/>
      <c r="D5" s="178"/>
      <c r="E5" s="178"/>
      <c r="F5" s="179"/>
      <c r="G5" s="180" t="str">
        <f>'NP SAME'!D4</f>
        <v>011 - DIRECCION PROVINCIAL DE ADMINISTRACION - MS</v>
      </c>
      <c r="H5" s="180"/>
      <c r="I5" s="180"/>
      <c r="J5" s="180"/>
      <c r="K5" s="180"/>
      <c r="L5" s="180"/>
      <c r="M5" s="180"/>
      <c r="N5" s="180"/>
      <c r="O5" s="180"/>
      <c r="P5" s="180"/>
      <c r="Q5" s="180"/>
    </row>
    <row r="6" spans="1:17" s="101" customFormat="1" ht="18" customHeight="1" thickBot="1" x14ac:dyDescent="0.25">
      <c r="A6" s="177" t="s">
        <v>26</v>
      </c>
      <c r="B6" s="178"/>
      <c r="C6" s="178"/>
      <c r="D6" s="178"/>
      <c r="E6" s="178"/>
      <c r="F6" s="179"/>
      <c r="G6" s="180" t="str">
        <f>'NP SAME'!D5</f>
        <v>748 - DIRECCION PROVINCIAL SISTEMA DE ATENCION MEDICA DE EMERGENCIA</v>
      </c>
      <c r="H6" s="180"/>
      <c r="I6" s="180"/>
      <c r="J6" s="180"/>
      <c r="K6" s="180"/>
      <c r="L6" s="180"/>
      <c r="M6" s="180"/>
      <c r="N6" s="180"/>
      <c r="O6" s="180"/>
      <c r="P6" s="180"/>
      <c r="Q6" s="180"/>
    </row>
    <row r="7" spans="1:17" s="101" customFormat="1" ht="18" customHeight="1" thickBot="1" x14ac:dyDescent="0.25">
      <c r="A7" s="177" t="s">
        <v>49</v>
      </c>
      <c r="B7" s="178"/>
      <c r="C7" s="178"/>
      <c r="D7" s="178"/>
      <c r="E7" s="178"/>
      <c r="F7" s="179"/>
      <c r="G7" s="180" t="str">
        <f>'NP SAME'!D6</f>
        <v>748 - DIRECCION PROVINCIAL SISTEMA DE ATENCION MEDICA DE EMERGENCIA</v>
      </c>
      <c r="H7" s="180"/>
      <c r="I7" s="180"/>
      <c r="J7" s="180"/>
      <c r="K7" s="180"/>
      <c r="L7" s="180"/>
      <c r="M7" s="180"/>
      <c r="N7" s="180"/>
      <c r="O7" s="180"/>
      <c r="P7" s="180"/>
      <c r="Q7" s="180"/>
    </row>
    <row r="8" spans="1:17" s="57" customFormat="1" ht="18" customHeight="1" thickBot="1" x14ac:dyDescent="0.25">
      <c r="A8" s="181" t="s">
        <v>27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</row>
    <row r="9" spans="1:17" s="57" customFormat="1" ht="18" customHeight="1" x14ac:dyDescent="0.2">
      <c r="A9" s="182" t="s">
        <v>28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02"/>
      <c r="P9" s="102"/>
      <c r="Q9" s="103"/>
    </row>
    <row r="10" spans="1:17" s="57" customFormat="1" ht="54.75" customHeight="1" x14ac:dyDescent="0.2">
      <c r="A10" s="183" t="str">
        <f>"Autorizo la realización de los  trámites correspondientes, a fin de proveer a  este Organismo los bienes y/o servicios que se detallan en Nota  de Pedido N° " &amp; 'NP SAME'!K1&amp;",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</row>
    <row r="11" spans="1:17" ht="9" customHeight="1" thickBot="1" x14ac:dyDescent="0.25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thickBot="1" x14ac:dyDescent="0.25">
      <c r="A12" s="203" t="s">
        <v>29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</row>
    <row r="13" spans="1:17" ht="15.75" customHeight="1" thickBot="1" x14ac:dyDescent="0.25">
      <c r="A13" s="204" t="s">
        <v>30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5" t="s">
        <v>31</v>
      </c>
      <c r="P13" s="205"/>
      <c r="Q13" s="206" t="s">
        <v>32</v>
      </c>
    </row>
    <row r="14" spans="1:17" ht="15.75" customHeight="1" thickBot="1" x14ac:dyDescent="0.25">
      <c r="A14" s="10" t="s">
        <v>33</v>
      </c>
      <c r="B14" s="11" t="s">
        <v>34</v>
      </c>
      <c r="C14" s="11" t="s">
        <v>35</v>
      </c>
      <c r="D14" s="11" t="s">
        <v>36</v>
      </c>
      <c r="E14" s="11" t="s">
        <v>37</v>
      </c>
      <c r="F14" s="11" t="s">
        <v>38</v>
      </c>
      <c r="G14" s="12" t="s">
        <v>39</v>
      </c>
      <c r="H14" s="11" t="s">
        <v>40</v>
      </c>
      <c r="I14" s="11" t="s">
        <v>41</v>
      </c>
      <c r="J14" s="11" t="s">
        <v>42</v>
      </c>
      <c r="K14" s="11" t="s">
        <v>42</v>
      </c>
      <c r="L14" s="11" t="s">
        <v>43</v>
      </c>
      <c r="M14" s="13" t="s">
        <v>44</v>
      </c>
      <c r="N14" s="14" t="s">
        <v>45</v>
      </c>
      <c r="O14" s="205"/>
      <c r="P14" s="205"/>
      <c r="Q14" s="206"/>
    </row>
    <row r="15" spans="1:17" s="57" customFormat="1" ht="30" customHeight="1" x14ac:dyDescent="0.2">
      <c r="A15" s="113">
        <v>31</v>
      </c>
      <c r="B15" s="114"/>
      <c r="C15" s="114"/>
      <c r="D15" s="114">
        <v>1</v>
      </c>
      <c r="E15" s="114"/>
      <c r="F15" s="114">
        <v>4901</v>
      </c>
      <c r="G15" s="114">
        <v>3</v>
      </c>
      <c r="H15" s="114">
        <v>1</v>
      </c>
      <c r="I15" s="114">
        <v>2</v>
      </c>
      <c r="J15" s="114">
        <v>9</v>
      </c>
      <c r="K15" s="114">
        <v>5</v>
      </c>
      <c r="L15" s="114"/>
      <c r="M15" s="115">
        <v>1</v>
      </c>
      <c r="N15" s="116" t="s">
        <v>50</v>
      </c>
      <c r="O15" s="188" t="s">
        <v>108</v>
      </c>
      <c r="P15" s="189"/>
      <c r="Q15" s="117">
        <f>'NP SAME'!J22</f>
        <v>75500</v>
      </c>
    </row>
    <row r="16" spans="1:17" s="57" customFormat="1" ht="17.25" customHeight="1" x14ac:dyDescent="0.2">
      <c r="A16" s="119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1"/>
      <c r="N16" s="122"/>
      <c r="O16" s="200"/>
      <c r="P16" s="200"/>
      <c r="Q16" s="123"/>
    </row>
    <row r="17" spans="1:18" s="57" customFormat="1" ht="17.25" customHeight="1" x14ac:dyDescent="0.2">
      <c r="A17" s="119"/>
      <c r="B17" s="120"/>
      <c r="C17" s="120"/>
      <c r="D17" s="120"/>
      <c r="E17" s="120"/>
      <c r="F17" s="122"/>
      <c r="G17" s="120"/>
      <c r="H17" s="120"/>
      <c r="I17" s="120"/>
      <c r="J17" s="120"/>
      <c r="K17" s="120"/>
      <c r="L17" s="120"/>
      <c r="M17" s="121"/>
      <c r="N17" s="122"/>
      <c r="O17" s="200"/>
      <c r="P17" s="200"/>
      <c r="Q17" s="123"/>
    </row>
    <row r="18" spans="1:18" s="57" customFormat="1" ht="17.25" customHeight="1" x14ac:dyDescent="0.2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1"/>
      <c r="N18" s="122"/>
      <c r="O18" s="200"/>
      <c r="P18" s="200"/>
      <c r="Q18" s="123"/>
    </row>
    <row r="19" spans="1:18" s="57" customFormat="1" ht="17.25" customHeight="1" x14ac:dyDescent="0.2">
      <c r="A19" s="119"/>
      <c r="B19" s="120"/>
      <c r="C19" s="120"/>
      <c r="D19" s="120"/>
      <c r="E19" s="120"/>
      <c r="F19" s="122"/>
      <c r="G19" s="120"/>
      <c r="H19" s="120"/>
      <c r="I19" s="120"/>
      <c r="J19" s="120"/>
      <c r="K19" s="120"/>
      <c r="L19" s="120"/>
      <c r="M19" s="121"/>
      <c r="N19" s="122"/>
      <c r="O19" s="200"/>
      <c r="P19" s="200"/>
      <c r="Q19" s="123"/>
    </row>
    <row r="20" spans="1:18" s="57" customFormat="1" ht="17.25" customHeight="1" x14ac:dyDescent="0.2">
      <c r="A20" s="119"/>
      <c r="B20" s="120"/>
      <c r="C20" s="120"/>
      <c r="D20" s="120"/>
      <c r="E20" s="120"/>
      <c r="F20" s="122"/>
      <c r="G20" s="120"/>
      <c r="H20" s="120"/>
      <c r="I20" s="120"/>
      <c r="J20" s="120"/>
      <c r="K20" s="120"/>
      <c r="L20" s="120"/>
      <c r="M20" s="121"/>
      <c r="N20" s="122"/>
      <c r="O20" s="200"/>
      <c r="P20" s="200"/>
      <c r="Q20" s="123"/>
    </row>
    <row r="21" spans="1:18" s="57" customFormat="1" ht="17.25" customHeight="1" x14ac:dyDescent="0.2">
      <c r="A21" s="124"/>
      <c r="B21" s="125"/>
      <c r="C21" s="125"/>
      <c r="D21" s="125"/>
      <c r="E21" s="125"/>
      <c r="F21" s="126"/>
      <c r="G21" s="125"/>
      <c r="H21" s="125"/>
      <c r="I21" s="125"/>
      <c r="J21" s="125"/>
      <c r="K21" s="125"/>
      <c r="L21" s="125"/>
      <c r="M21" s="127"/>
      <c r="N21" s="128"/>
      <c r="O21" s="201"/>
      <c r="P21" s="201"/>
      <c r="Q21" s="123"/>
      <c r="R21" s="102"/>
    </row>
    <row r="22" spans="1:18" s="57" customFormat="1" ht="17.25" customHeight="1" thickBot="1" x14ac:dyDescent="0.25">
      <c r="A22" s="129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1"/>
      <c r="N22" s="130"/>
      <c r="O22" s="202"/>
      <c r="P22" s="202"/>
      <c r="Q22" s="132"/>
    </row>
    <row r="23" spans="1:18" s="57" customFormat="1" ht="29.25" customHeight="1" thickBot="1" x14ac:dyDescent="0.25">
      <c r="A23" s="198" t="s">
        <v>139</v>
      </c>
      <c r="B23" s="198"/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18">
        <f>SUM(Q15:Q22)</f>
        <v>75500</v>
      </c>
    </row>
    <row r="24" spans="1:18" s="57" customFormat="1" ht="18" customHeight="1" thickBot="1" x14ac:dyDescent="0.25">
      <c r="A24" s="199"/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</row>
    <row r="25" spans="1:18" s="57" customFormat="1" ht="17.25" customHeight="1" thickBot="1" x14ac:dyDescent="0.25">
      <c r="A25" s="191" t="s">
        <v>46</v>
      </c>
      <c r="B25" s="192"/>
      <c r="C25" s="192"/>
      <c r="D25" s="192"/>
      <c r="E25" s="192"/>
      <c r="F25" s="193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</row>
    <row r="26" spans="1:18" s="57" customFormat="1" ht="18" customHeight="1" thickBot="1" x14ac:dyDescent="0.25">
      <c r="A26" s="195" t="str">
        <f>'NP SAME'!D8</f>
        <v>Adquisición de DESCARTABLE COMUN</v>
      </c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</row>
    <row r="27" spans="1:18" s="57" customFormat="1" ht="15" customHeight="1" thickBot="1" x14ac:dyDescent="0.25">
      <c r="A27" s="195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4"/>
  <sheetViews>
    <sheetView zoomScale="70" zoomScaleNormal="70" workbookViewId="0">
      <selection activeCell="A15" sqref="A15"/>
    </sheetView>
  </sheetViews>
  <sheetFormatPr baseColWidth="10" defaultColWidth="9.140625" defaultRowHeight="12.75" x14ac:dyDescent="0.2"/>
  <cols>
    <col min="1" max="1" width="5.5703125" style="56" customWidth="1"/>
    <col min="2" max="2" width="15.140625" style="135" customWidth="1"/>
    <col min="3" max="3" width="14.140625" style="56" customWidth="1"/>
    <col min="4" max="4" width="26" style="56" customWidth="1"/>
    <col min="5" max="5" width="8" style="56" customWidth="1"/>
    <col min="6" max="6" width="7.85546875" style="56" customWidth="1"/>
    <col min="7" max="7" width="48.5703125" style="56" customWidth="1"/>
    <col min="8" max="8" width="9.28515625" style="56" customWidth="1"/>
    <col min="9" max="9" width="15.5703125" style="56" customWidth="1"/>
    <col min="10" max="10" width="14.7109375" style="90" customWidth="1"/>
    <col min="11" max="11" width="15.5703125" style="56" customWidth="1"/>
    <col min="12" max="14" width="5.85546875" style="56" customWidth="1"/>
    <col min="15" max="15" width="12.5703125" style="56" customWidth="1"/>
    <col min="16" max="1024" width="9.140625" style="56"/>
    <col min="1025" max="16384" width="9.140625" style="57"/>
  </cols>
  <sheetData>
    <row r="1" spans="1:11" ht="18" customHeight="1" thickBot="1" x14ac:dyDescent="0.25">
      <c r="A1" s="158" t="s">
        <v>13</v>
      </c>
      <c r="B1" s="158"/>
      <c r="C1" s="158"/>
      <c r="D1" s="158"/>
      <c r="E1" s="158"/>
      <c r="F1" s="158"/>
      <c r="G1" s="158"/>
      <c r="H1" s="158"/>
      <c r="I1" s="158"/>
      <c r="J1" s="86" t="s">
        <v>14</v>
      </c>
      <c r="K1" s="55" t="s">
        <v>53</v>
      </c>
    </row>
    <row r="2" spans="1:11" ht="18.75" customHeight="1" thickBot="1" x14ac:dyDescent="0.25">
      <c r="A2" s="58"/>
      <c r="B2" s="133"/>
      <c r="C2" s="58"/>
      <c r="D2" s="59"/>
      <c r="E2" s="59"/>
      <c r="F2" s="59"/>
      <c r="G2" s="59"/>
      <c r="H2" s="59"/>
      <c r="I2" s="59"/>
      <c r="J2" s="87"/>
      <c r="K2" s="59"/>
    </row>
    <row r="3" spans="1:11" ht="18.75" customHeight="1" thickBot="1" x14ac:dyDescent="0.25">
      <c r="A3" s="159" t="s">
        <v>47</v>
      </c>
      <c r="B3" s="159"/>
      <c r="C3" s="159"/>
      <c r="D3" s="160" t="str">
        <f>'Necesidades Trimestrales'!C4</f>
        <v>040 - MINISTERIO DE SALUD</v>
      </c>
      <c r="E3" s="160"/>
      <c r="F3" s="160"/>
      <c r="G3" s="160"/>
      <c r="H3" s="160"/>
      <c r="I3" s="160"/>
      <c r="J3" s="160"/>
      <c r="K3" s="160"/>
    </row>
    <row r="4" spans="1:11" ht="18.75" customHeight="1" thickBot="1" x14ac:dyDescent="0.25">
      <c r="A4" s="161" t="s">
        <v>48</v>
      </c>
      <c r="B4" s="161"/>
      <c r="C4" s="161"/>
      <c r="D4" s="160" t="str">
        <f>'Necesidades Trimestrales'!C5</f>
        <v>011 - DIRECCION PROVINCIAL DE ADMINISTRACION - MS</v>
      </c>
      <c r="E4" s="160"/>
      <c r="F4" s="160"/>
      <c r="G4" s="160"/>
      <c r="H4" s="160"/>
      <c r="I4" s="160"/>
      <c r="J4" s="160"/>
      <c r="K4" s="160"/>
    </row>
    <row r="5" spans="1:11" ht="18.75" customHeight="1" thickBot="1" x14ac:dyDescent="0.25">
      <c r="A5" s="161" t="s">
        <v>26</v>
      </c>
      <c r="B5" s="161"/>
      <c r="C5" s="161"/>
      <c r="D5" s="160" t="s">
        <v>140</v>
      </c>
      <c r="E5" s="160"/>
      <c r="F5" s="160"/>
      <c r="G5" s="160"/>
      <c r="H5" s="160"/>
      <c r="I5" s="160"/>
      <c r="J5" s="160"/>
      <c r="K5" s="160"/>
    </row>
    <row r="6" spans="1:11" ht="16.5" customHeight="1" thickBot="1" x14ac:dyDescent="0.25">
      <c r="A6" s="159" t="s">
        <v>49</v>
      </c>
      <c r="B6" s="159"/>
      <c r="C6" s="159"/>
      <c r="D6" s="160" t="s">
        <v>140</v>
      </c>
      <c r="E6" s="160"/>
      <c r="F6" s="160"/>
      <c r="G6" s="160"/>
      <c r="H6" s="160"/>
      <c r="I6" s="160"/>
      <c r="J6" s="160"/>
      <c r="K6" s="160"/>
    </row>
    <row r="7" spans="1:11" ht="16.5" customHeight="1" thickBot="1" x14ac:dyDescent="0.25">
      <c r="A7" s="161" t="s">
        <v>15</v>
      </c>
      <c r="B7" s="161"/>
      <c r="C7" s="161"/>
      <c r="D7" s="160" t="s">
        <v>54</v>
      </c>
      <c r="E7" s="160"/>
      <c r="F7" s="160"/>
      <c r="G7" s="160"/>
      <c r="H7" s="160"/>
      <c r="I7" s="160"/>
      <c r="J7" s="160"/>
      <c r="K7" s="160"/>
    </row>
    <row r="8" spans="1:11" ht="16.5" customHeight="1" thickBot="1" x14ac:dyDescent="0.25">
      <c r="A8" s="169" t="s">
        <v>16</v>
      </c>
      <c r="B8" s="169"/>
      <c r="C8" s="169"/>
      <c r="D8" s="163" t="s">
        <v>56</v>
      </c>
      <c r="E8" s="164"/>
      <c r="F8" s="164"/>
      <c r="G8" s="164"/>
      <c r="H8" s="164"/>
      <c r="I8" s="164"/>
      <c r="J8" s="164"/>
      <c r="K8" s="165"/>
    </row>
    <row r="9" spans="1:11" ht="16.5" thickBot="1" x14ac:dyDescent="0.25">
      <c r="A9" s="60"/>
      <c r="B9" s="134"/>
      <c r="C9" s="60"/>
      <c r="D9" s="61"/>
      <c r="E9" s="61"/>
      <c r="F9" s="61"/>
      <c r="G9" s="61"/>
      <c r="H9" s="61"/>
      <c r="I9" s="61"/>
      <c r="J9" s="88"/>
      <c r="K9" s="61"/>
    </row>
    <row r="10" spans="1:11" ht="18.75" customHeight="1" thickBot="1" x14ac:dyDescent="0.25">
      <c r="A10" s="166" t="s">
        <v>17</v>
      </c>
      <c r="B10" s="167" t="s">
        <v>18</v>
      </c>
      <c r="C10" s="167" t="s">
        <v>19</v>
      </c>
      <c r="D10" s="167"/>
      <c r="E10" s="167"/>
      <c r="F10" s="167"/>
      <c r="G10" s="167"/>
      <c r="H10" s="167" t="s">
        <v>20</v>
      </c>
      <c r="I10" s="167" t="s">
        <v>21</v>
      </c>
      <c r="J10" s="168" t="s">
        <v>22</v>
      </c>
      <c r="K10" s="167" t="s">
        <v>23</v>
      </c>
    </row>
    <row r="11" spans="1:11" ht="24" customHeight="1" thickBot="1" x14ac:dyDescent="0.25">
      <c r="A11" s="166"/>
      <c r="B11" s="167"/>
      <c r="C11" s="167"/>
      <c r="D11" s="167"/>
      <c r="E11" s="167"/>
      <c r="F11" s="167"/>
      <c r="G11" s="167"/>
      <c r="H11" s="167"/>
      <c r="I11" s="167"/>
      <c r="J11" s="168"/>
      <c r="K11" s="167"/>
    </row>
    <row r="12" spans="1:11" ht="33.75" customHeight="1" thickBot="1" x14ac:dyDescent="0.25">
      <c r="A12" s="62">
        <v>1</v>
      </c>
      <c r="B12" s="62" t="str">
        <f>'Necesidades Trimestrales'!B35</f>
        <v>2.9.5-5816.6</v>
      </c>
      <c r="C12" s="162" t="str">
        <f>+'Necesidades Trimestrales'!E35</f>
        <v>PRESERVATIVOS; TIPO: LATEX Y GEL LUBRICANTE, PRESENTACION: KIT, MEDIDA: 160 X 52 X 0,04 A 0,08 mm</v>
      </c>
      <c r="D12" s="162"/>
      <c r="E12" s="162"/>
      <c r="F12" s="162"/>
      <c r="G12" s="162"/>
      <c r="H12" s="62" t="s">
        <v>107</v>
      </c>
      <c r="I12" s="64" t="str">
        <f>+'Necesidades Trimestrales'!F35</f>
        <v>CAJA</v>
      </c>
      <c r="J12" s="89">
        <f>+'Necesidades Trimestrales'!N35</f>
        <v>3448.5</v>
      </c>
      <c r="K12" s="65">
        <f>'Necesidades Trimestrales'!K35</f>
        <v>150</v>
      </c>
    </row>
    <row r="13" spans="1:11" ht="33.75" customHeight="1" thickBot="1" x14ac:dyDescent="0.25">
      <c r="A13" s="62">
        <v>2</v>
      </c>
      <c r="B13" s="62" t="str">
        <f>'Necesidades Trimestrales'!B36</f>
        <v>2.9.5-6752.8</v>
      </c>
      <c r="C13" s="162" t="str">
        <f>+'Necesidades Trimestrales'!E36</f>
        <v>ASPIRADORES MEDICOS; TIPO: MANUAL, CAPACIDAD: 60 CM3, USO: ENDOUTERINO</v>
      </c>
      <c r="D13" s="162"/>
      <c r="E13" s="162"/>
      <c r="F13" s="162"/>
      <c r="G13" s="162"/>
      <c r="H13" s="62" t="s">
        <v>107</v>
      </c>
      <c r="I13" s="64" t="str">
        <f>+'Necesidades Trimestrales'!F36</f>
        <v>UNIDAD</v>
      </c>
      <c r="J13" s="89">
        <f>+'Necesidades Trimestrales'!N36</f>
        <v>32000</v>
      </c>
      <c r="K13" s="65">
        <f>'Necesidades Trimestrales'!K36</f>
        <v>30</v>
      </c>
    </row>
    <row r="14" spans="1:11" ht="29.25" customHeight="1" thickBot="1" x14ac:dyDescent="0.25">
      <c r="A14" s="160" t="s">
        <v>141</v>
      </c>
      <c r="B14" s="160"/>
      <c r="C14" s="160"/>
      <c r="D14" s="160"/>
      <c r="E14" s="160"/>
      <c r="F14" s="160"/>
      <c r="G14" s="160"/>
      <c r="H14" s="160"/>
      <c r="I14" s="160"/>
      <c r="J14" s="170">
        <f>SUMPRODUCT(J12:J13,K12:K13)</f>
        <v>1477275</v>
      </c>
      <c r="K14" s="171"/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J14:K14"/>
    <mergeCell ref="A14:I14"/>
    <mergeCell ref="K10:K11"/>
    <mergeCell ref="C12:G12"/>
    <mergeCell ref="C13:G13"/>
    <mergeCell ref="A10:A11"/>
    <mergeCell ref="B10:B11"/>
    <mergeCell ref="C10:G11"/>
    <mergeCell ref="H10:H11"/>
    <mergeCell ref="I10:I11"/>
    <mergeCell ref="J10:J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topLeftCell="B7" zoomScale="90" zoomScaleNormal="90" workbookViewId="0">
      <selection activeCell="V15" sqref="V15:V17"/>
    </sheetView>
  </sheetViews>
  <sheetFormatPr baseColWidth="10" defaultColWidth="11" defaultRowHeight="12.75" x14ac:dyDescent="0.2"/>
  <cols>
    <col min="1" max="5" width="4.42578125" customWidth="1"/>
    <col min="6" max="6" width="6" customWidth="1"/>
    <col min="7" max="7" width="5.5703125" style="2" customWidth="1"/>
    <col min="8" max="14" width="4.42578125" customWidth="1"/>
    <col min="15" max="15" width="14.85546875" customWidth="1"/>
    <col min="16" max="16" width="17.42578125" customWidth="1"/>
    <col min="17" max="17" width="14.7109375" customWidth="1"/>
  </cols>
  <sheetData>
    <row r="1" spans="1:17" ht="15.75" customHeight="1" thickBot="1" x14ac:dyDescent="0.3">
      <c r="A1" s="172" t="s">
        <v>3</v>
      </c>
      <c r="B1" s="172"/>
      <c r="C1" s="172"/>
      <c r="D1" s="173">
        <f>'Necesidades Trimestrales'!C6</f>
        <v>2022</v>
      </c>
      <c r="E1" s="173"/>
      <c r="F1" s="3"/>
      <c r="G1" s="3"/>
      <c r="H1" s="4"/>
      <c r="I1" s="4"/>
      <c r="J1" s="4"/>
      <c r="K1" s="4"/>
      <c r="L1" s="4"/>
      <c r="M1" s="4"/>
      <c r="N1" s="4"/>
      <c r="P1" s="174" t="s">
        <v>24</v>
      </c>
      <c r="Q1" s="174"/>
    </row>
    <row r="2" spans="1:17" ht="15.75" customHeight="1" thickBot="1" x14ac:dyDescent="0.25">
      <c r="H2" s="4"/>
      <c r="I2" s="4"/>
      <c r="J2" s="4"/>
      <c r="K2" s="4"/>
      <c r="L2" s="4"/>
      <c r="M2" s="4"/>
      <c r="N2" s="4"/>
      <c r="P2" s="174"/>
      <c r="Q2" s="174"/>
    </row>
    <row r="4" spans="1:17" s="5" customFormat="1" ht="18" customHeight="1" thickBot="1" x14ac:dyDescent="0.25">
      <c r="A4" s="175" t="s">
        <v>25</v>
      </c>
      <c r="B4" s="175"/>
      <c r="C4" s="175"/>
      <c r="D4" s="175"/>
      <c r="E4" s="175"/>
      <c r="F4" s="175"/>
      <c r="G4" s="176" t="str">
        <f>'NP DPMIA'!D3</f>
        <v>040 - MINISTERIO DE SALUD</v>
      </c>
      <c r="H4" s="176"/>
      <c r="I4" s="176"/>
      <c r="J4" s="176"/>
      <c r="K4" s="176"/>
      <c r="L4" s="176"/>
      <c r="M4" s="176"/>
      <c r="N4" s="176"/>
      <c r="O4" s="176"/>
      <c r="P4" s="176"/>
      <c r="Q4" s="176"/>
    </row>
    <row r="5" spans="1:17" s="101" customFormat="1" ht="18" customHeight="1" thickBot="1" x14ac:dyDescent="0.25">
      <c r="A5" s="177" t="s">
        <v>48</v>
      </c>
      <c r="B5" s="178"/>
      <c r="C5" s="178"/>
      <c r="D5" s="178"/>
      <c r="E5" s="178"/>
      <c r="F5" s="179"/>
      <c r="G5" s="180" t="str">
        <f>'NP DPMIA'!D4</f>
        <v>011 - DIRECCION PROVINCIAL DE ADMINISTRACION - MS</v>
      </c>
      <c r="H5" s="180"/>
      <c r="I5" s="180"/>
      <c r="J5" s="180"/>
      <c r="K5" s="180"/>
      <c r="L5" s="180"/>
      <c r="M5" s="180"/>
      <c r="N5" s="180"/>
      <c r="O5" s="180"/>
      <c r="P5" s="180"/>
      <c r="Q5" s="180"/>
    </row>
    <row r="6" spans="1:17" s="101" customFormat="1" ht="18" customHeight="1" thickBot="1" x14ac:dyDescent="0.25">
      <c r="A6" s="177" t="s">
        <v>26</v>
      </c>
      <c r="B6" s="178"/>
      <c r="C6" s="178"/>
      <c r="D6" s="178"/>
      <c r="E6" s="178"/>
      <c r="F6" s="179"/>
      <c r="G6" s="180" t="str">
        <f>'NP DPMIA'!D5</f>
        <v>162 - DIRECCION PROVINCIAL DE MATERNIDAD, INFANCIA Y ADOLESCENCIA</v>
      </c>
      <c r="H6" s="180"/>
      <c r="I6" s="180"/>
      <c r="J6" s="180"/>
      <c r="K6" s="180"/>
      <c r="L6" s="180"/>
      <c r="M6" s="180"/>
      <c r="N6" s="180"/>
      <c r="O6" s="180"/>
      <c r="P6" s="180"/>
      <c r="Q6" s="180"/>
    </row>
    <row r="7" spans="1:17" s="101" customFormat="1" ht="18" customHeight="1" thickBot="1" x14ac:dyDescent="0.25">
      <c r="A7" s="177" t="s">
        <v>49</v>
      </c>
      <c r="B7" s="178"/>
      <c r="C7" s="178"/>
      <c r="D7" s="178"/>
      <c r="E7" s="178"/>
      <c r="F7" s="179"/>
      <c r="G7" s="180" t="str">
        <f>'NP DPMIA'!D6</f>
        <v>162 - DIRECCION PROVINCIAL DE MATERNIDAD, INFANCIA Y ADOLESCENCIA</v>
      </c>
      <c r="H7" s="180"/>
      <c r="I7" s="180"/>
      <c r="J7" s="180"/>
      <c r="K7" s="180"/>
      <c r="L7" s="180"/>
      <c r="M7" s="180"/>
      <c r="N7" s="180"/>
      <c r="O7" s="180"/>
      <c r="P7" s="180"/>
      <c r="Q7" s="180"/>
    </row>
    <row r="8" spans="1:17" s="57" customFormat="1" ht="18" customHeight="1" thickBot="1" x14ac:dyDescent="0.25">
      <c r="A8" s="181" t="s">
        <v>27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</row>
    <row r="9" spans="1:17" s="57" customFormat="1" ht="18" customHeight="1" x14ac:dyDescent="0.2">
      <c r="A9" s="182" t="s">
        <v>28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02"/>
      <c r="P9" s="102"/>
      <c r="Q9" s="103"/>
    </row>
    <row r="10" spans="1:17" s="57" customFormat="1" ht="54.75" customHeight="1" x14ac:dyDescent="0.2">
      <c r="A10" s="183" t="str">
        <f>"Autorizo la realización de los  trámites correspondientes, a fin de proveer a  este Organismo los bienes y/o servicios que se detallan en Nota  de Pedido N° " &amp; 'NP DPMIA'!K1&amp;",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</row>
    <row r="11" spans="1:17" ht="9" customHeight="1" thickBot="1" x14ac:dyDescent="0.25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thickBot="1" x14ac:dyDescent="0.25">
      <c r="A12" s="203" t="s">
        <v>29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</row>
    <row r="13" spans="1:17" ht="15.75" customHeight="1" thickBot="1" x14ac:dyDescent="0.25">
      <c r="A13" s="204" t="s">
        <v>30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5" t="s">
        <v>31</v>
      </c>
      <c r="P13" s="205"/>
      <c r="Q13" s="206" t="s">
        <v>32</v>
      </c>
    </row>
    <row r="14" spans="1:17" ht="15.75" customHeight="1" thickBot="1" x14ac:dyDescent="0.25">
      <c r="A14" s="10" t="s">
        <v>33</v>
      </c>
      <c r="B14" s="11" t="s">
        <v>34</v>
      </c>
      <c r="C14" s="11" t="s">
        <v>35</v>
      </c>
      <c r="D14" s="11" t="s">
        <v>36</v>
      </c>
      <c r="E14" s="11" t="s">
        <v>37</v>
      </c>
      <c r="F14" s="11" t="s">
        <v>38</v>
      </c>
      <c r="G14" s="12" t="s">
        <v>39</v>
      </c>
      <c r="H14" s="11" t="s">
        <v>40</v>
      </c>
      <c r="I14" s="11" t="s">
        <v>41</v>
      </c>
      <c r="J14" s="11" t="s">
        <v>42</v>
      </c>
      <c r="K14" s="11" t="s">
        <v>42</v>
      </c>
      <c r="L14" s="11" t="s">
        <v>43</v>
      </c>
      <c r="M14" s="13" t="s">
        <v>44</v>
      </c>
      <c r="N14" s="14" t="s">
        <v>45</v>
      </c>
      <c r="O14" s="205"/>
      <c r="P14" s="205"/>
      <c r="Q14" s="206"/>
    </row>
    <row r="15" spans="1:17" s="57" customFormat="1" ht="30" customHeight="1" x14ac:dyDescent="0.2">
      <c r="A15" s="113">
        <v>20</v>
      </c>
      <c r="B15" s="114"/>
      <c r="C15" s="114"/>
      <c r="D15" s="114">
        <v>1</v>
      </c>
      <c r="E15" s="114"/>
      <c r="F15" s="114">
        <v>4901</v>
      </c>
      <c r="G15" s="114">
        <v>3</v>
      </c>
      <c r="H15" s="114">
        <v>1</v>
      </c>
      <c r="I15" s="114">
        <v>2</v>
      </c>
      <c r="J15" s="114">
        <v>9</v>
      </c>
      <c r="K15" s="114">
        <v>5</v>
      </c>
      <c r="L15" s="114"/>
      <c r="M15" s="115">
        <v>1</v>
      </c>
      <c r="N15" s="116" t="s">
        <v>50</v>
      </c>
      <c r="O15" s="188" t="s">
        <v>108</v>
      </c>
      <c r="P15" s="189"/>
      <c r="Q15" s="117">
        <f>'NP DPMIA'!J14</f>
        <v>1477275</v>
      </c>
    </row>
    <row r="16" spans="1:17" s="57" customFormat="1" ht="17.25" customHeight="1" x14ac:dyDescent="0.2">
      <c r="A16" s="119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1"/>
      <c r="N16" s="122"/>
      <c r="O16" s="200"/>
      <c r="P16" s="200"/>
      <c r="Q16" s="123"/>
    </row>
    <row r="17" spans="1:18" s="57" customFormat="1" ht="17.25" customHeight="1" x14ac:dyDescent="0.2">
      <c r="A17" s="119"/>
      <c r="B17" s="120"/>
      <c r="C17" s="120"/>
      <c r="D17" s="120"/>
      <c r="E17" s="120"/>
      <c r="F17" s="122"/>
      <c r="G17" s="120"/>
      <c r="H17" s="120"/>
      <c r="I17" s="120"/>
      <c r="J17" s="120"/>
      <c r="K17" s="120"/>
      <c r="L17" s="120"/>
      <c r="M17" s="121"/>
      <c r="N17" s="122"/>
      <c r="O17" s="200"/>
      <c r="P17" s="200"/>
      <c r="Q17" s="123"/>
    </row>
    <row r="18" spans="1:18" s="57" customFormat="1" ht="17.25" customHeight="1" x14ac:dyDescent="0.2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1"/>
      <c r="N18" s="122"/>
      <c r="O18" s="200"/>
      <c r="P18" s="200"/>
      <c r="Q18" s="123"/>
    </row>
    <row r="19" spans="1:18" s="57" customFormat="1" ht="17.25" customHeight="1" x14ac:dyDescent="0.2">
      <c r="A19" s="119"/>
      <c r="B19" s="120"/>
      <c r="C19" s="120"/>
      <c r="D19" s="120"/>
      <c r="E19" s="120"/>
      <c r="F19" s="122"/>
      <c r="G19" s="120"/>
      <c r="H19" s="120"/>
      <c r="I19" s="120"/>
      <c r="J19" s="120"/>
      <c r="K19" s="120"/>
      <c r="L19" s="120"/>
      <c r="M19" s="121"/>
      <c r="N19" s="122"/>
      <c r="O19" s="200"/>
      <c r="P19" s="200"/>
      <c r="Q19" s="123"/>
    </row>
    <row r="20" spans="1:18" s="57" customFormat="1" ht="17.25" customHeight="1" x14ac:dyDescent="0.2">
      <c r="A20" s="119"/>
      <c r="B20" s="120"/>
      <c r="C20" s="120"/>
      <c r="D20" s="120"/>
      <c r="E20" s="120"/>
      <c r="F20" s="122"/>
      <c r="G20" s="120"/>
      <c r="H20" s="120"/>
      <c r="I20" s="120"/>
      <c r="J20" s="120"/>
      <c r="K20" s="120"/>
      <c r="L20" s="120"/>
      <c r="M20" s="121"/>
      <c r="N20" s="122"/>
      <c r="O20" s="200"/>
      <c r="P20" s="200"/>
      <c r="Q20" s="123"/>
    </row>
    <row r="21" spans="1:18" s="57" customFormat="1" ht="17.25" customHeight="1" x14ac:dyDescent="0.2">
      <c r="A21" s="124"/>
      <c r="B21" s="125"/>
      <c r="C21" s="125"/>
      <c r="D21" s="125"/>
      <c r="E21" s="125"/>
      <c r="F21" s="126"/>
      <c r="G21" s="125"/>
      <c r="H21" s="125"/>
      <c r="I21" s="125"/>
      <c r="J21" s="125"/>
      <c r="K21" s="125"/>
      <c r="L21" s="125"/>
      <c r="M21" s="127"/>
      <c r="N21" s="128"/>
      <c r="O21" s="201"/>
      <c r="P21" s="201"/>
      <c r="Q21" s="123"/>
      <c r="R21" s="102"/>
    </row>
    <row r="22" spans="1:18" s="57" customFormat="1" ht="17.25" customHeight="1" thickBot="1" x14ac:dyDescent="0.25">
      <c r="A22" s="129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1"/>
      <c r="N22" s="130"/>
      <c r="O22" s="202"/>
      <c r="P22" s="202"/>
      <c r="Q22" s="132"/>
    </row>
    <row r="23" spans="1:18" s="57" customFormat="1" ht="29.25" customHeight="1" thickBot="1" x14ac:dyDescent="0.25">
      <c r="A23" s="198" t="s">
        <v>142</v>
      </c>
      <c r="B23" s="198"/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18">
        <f>SUM(Q15:Q22)</f>
        <v>1477275</v>
      </c>
    </row>
    <row r="24" spans="1:18" s="57" customFormat="1" ht="18" customHeight="1" thickBot="1" x14ac:dyDescent="0.25">
      <c r="A24" s="199"/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</row>
    <row r="25" spans="1:18" s="57" customFormat="1" ht="17.25" customHeight="1" thickBot="1" x14ac:dyDescent="0.25">
      <c r="A25" s="191" t="s">
        <v>46</v>
      </c>
      <c r="B25" s="192"/>
      <c r="C25" s="192"/>
      <c r="D25" s="192"/>
      <c r="E25" s="192"/>
      <c r="F25" s="193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</row>
    <row r="26" spans="1:18" s="57" customFormat="1" ht="18" customHeight="1" thickBot="1" x14ac:dyDescent="0.25">
      <c r="A26" s="195" t="str">
        <f>'NP DPMIA'!D8</f>
        <v>Adquisición de DESCARTABLE COMUN</v>
      </c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</row>
    <row r="27" spans="1:18" s="57" customFormat="1" ht="15" customHeight="1" thickBot="1" x14ac:dyDescent="0.25">
      <c r="A27" s="195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Necesidades Trimestrales</vt:lpstr>
      <vt:lpstr>NP FCIA</vt:lpstr>
      <vt:lpstr>APG FCIA</vt:lpstr>
      <vt:lpstr>NP SAME</vt:lpstr>
      <vt:lpstr>APG SAME</vt:lpstr>
      <vt:lpstr>NP DPMIA</vt:lpstr>
      <vt:lpstr>APG DPMIA</vt:lpstr>
      <vt:lpstr>'APG DPMIA'!Área_de_impresión</vt:lpstr>
      <vt:lpstr>'APG FCIA'!Área_de_impresión</vt:lpstr>
      <vt:lpstr>'APG SAME'!Área_de_impresión</vt:lpstr>
      <vt:lpstr>'Necesidades Trimestrales'!Área_de_impresión</vt:lpstr>
      <vt:lpstr>'NP DPMIA'!Área_de_impresión</vt:lpstr>
      <vt:lpstr>'NP FCIA'!Área_de_impresión</vt:lpstr>
      <vt:lpstr>'NP SAME'!Área_de_impresión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VIRGINIA GRIMA</cp:lastModifiedBy>
  <cp:revision>2</cp:revision>
  <cp:lastPrinted>2020-07-23T13:47:13Z</cp:lastPrinted>
  <dcterms:created xsi:type="dcterms:W3CDTF">2020-07-17T23:44:49Z</dcterms:created>
  <dcterms:modified xsi:type="dcterms:W3CDTF">2022-08-11T11:48:23Z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