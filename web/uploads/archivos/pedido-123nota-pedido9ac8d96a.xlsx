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8_{E46EFC9F-FD87-404C-A8DC-D2342D3B38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" i="1" l="1"/>
  <c r="I39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40" i="1" l="1"/>
</calcChain>
</file>

<file path=xl/sharedStrings.xml><?xml version="1.0" encoding="utf-8"?>
<sst xmlns="http://schemas.openxmlformats.org/spreadsheetml/2006/main" count="194" uniqueCount="108">
  <si>
    <t>Pedido de Necesidades Trimestrales</t>
  </si>
  <si>
    <t>JURISDICCION:</t>
  </si>
  <si>
    <t>90 - Ministerio de Seguridad</t>
  </si>
  <si>
    <t xml:space="preserve">SAF N°: </t>
  </si>
  <si>
    <t>7 - Direccion Provincial de Administracion de la Policia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</si>
  <si>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</si>
  <si>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</si>
  <si>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</si>
  <si>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</si>
  <si>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</si>
  <si>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</si>
  <si>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</si>
  <si>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</si>
  <si>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</si>
  <si>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</si>
  <si>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</si>
  <si>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2.9.2-317.5</t>
  </si>
  <si>
    <t>LIBRERIA,PAP. Y UTILES OFICINA</t>
  </si>
  <si>
    <t>2.9.2</t>
  </si>
  <si>
    <t>BOLIGRAFOS; TRAZO 1,0mm</t>
  </si>
  <si>
    <t>UNIDAD</t>
  </si>
  <si>
    <t>2.9.2-262.5</t>
  </si>
  <si>
    <t>ADHESIVOS P/PAPEL; TIPO: COLA VINILICA, PRESENTACION: 500 GR</t>
  </si>
  <si>
    <t>2.9.2-1153.130</t>
  </si>
  <si>
    <t>CINTAS ADHESIVAS; TIPO: EMBALAR, ANCHO: 48 mm, LARGO: 100 M, MATERIAL: POLIPROPILENO, ACCESORIO: SIN</t>
  </si>
  <si>
    <t>2.9.2-852.5</t>
  </si>
  <si>
    <t>BROCHES DORADOS; N° PATAS: 2, N°: 10, PRESENTACION: CAJA X 100 UNIDADES, CANTIDAD PATAS: 2, NUMERO: 10</t>
  </si>
  <si>
    <t>2.9.2-852.7</t>
  </si>
  <si>
    <t>BROCHES DORADOS; N° PATAS: 2, N°: 14, PRESENTACION: CAJA X 100 UNIDADES, CANTIDAD PATAS: 2, NUMERO: 14</t>
  </si>
  <si>
    <t>2.9.2-261.14</t>
  </si>
  <si>
    <t>ABROCHADORAS DE PAPEL; TIPO: PINZA, P/BROCHES: 10/50, MATERIAL: METALICA, MEDIDA: 10/50</t>
  </si>
  <si>
    <t>2.9.2-848.20</t>
  </si>
  <si>
    <t>LAPIZ; TIPO: 2HB, COLOR: NEGRO</t>
  </si>
  <si>
    <t>2.9.2-674.9</t>
  </si>
  <si>
    <t>REGLAS GRADUADAS; TIPO: PLANA, MATERIAL: PLASTICO, LONG.DE CUERPO: 30 Cm</t>
  </si>
  <si>
    <t>2.9.2-1616.118</t>
  </si>
  <si>
    <t>MARCADORES; TIPO: INDELEBLE, TRAZO: FINO, PUNTA: REDONDA, COLOR: NEGRO, RECARGABLE: NO</t>
  </si>
  <si>
    <t>2.9.2-1616.174</t>
  </si>
  <si>
    <t>MARCADORES; TIPO: P/METALES, TRAZO: MEDIO, PUNTA: REDONDA, RECARGABLE: NO</t>
  </si>
  <si>
    <t>2.9.2-1354.15</t>
  </si>
  <si>
    <t>RESALTADORES; PUNTA: 3 PLANA mm, ACCESORIO: SIN, COLOR: VERDE, TIPO PUNTA: 3 PLANA mm</t>
  </si>
  <si>
    <t>2.9.2-323.3</t>
  </si>
  <si>
    <t>CORRECTORES DE ESCRITURA; ENVASE: LAPIZ (PUNTA METAL), PRESENTACION: LAPIZ (PUNTA METAL) X 10 mL, CAPACIDAD: 10 mL</t>
  </si>
  <si>
    <t>2.9.2-261.6</t>
  </si>
  <si>
    <t>ABROCHADORAS DE PAPEL; MATERIAL: METALICA, TIPO: DE ESCRITORIO, MEDIDA: 21/6, P/BROCHES: 21/6</t>
  </si>
  <si>
    <t>2.9.2-850.13</t>
  </si>
  <si>
    <t>CAJAS DE ARCHIVO; DIMENSION: 26 X 36 X 12 (+ - 5%), COLOR: AZUL, MATERIAL: PLASTICO CORRUGADO</t>
  </si>
  <si>
    <t>2.9.2-1358.354</t>
  </si>
  <si>
    <t xml:space="preserve">CARPETAS; MATERIAL PLASTICO - TAMAÑO OFICIO. </t>
  </si>
  <si>
    <t>2.9.2-1100.17</t>
  </si>
  <si>
    <t>ALFILERES; MATERIAL: ACERO 1010, NUMERO: SIN VALOR, ESPESOR: .75 mm, LARGO: 28 mm, PRESENTACION: CAJA X 50 GR</t>
  </si>
  <si>
    <t>2.9.2-1450.4</t>
  </si>
  <si>
    <t>TINTAS P/SELLOS; TIPO DE SELLO: DE GOMA, COLOR: NEGRO, PRESENTACION: ENVASE X 50 CM3, ENVASE: 50 CM3</t>
  </si>
  <si>
    <t>2.9.2-291.19</t>
  </si>
  <si>
    <t>ALMOHADILLAS P/SELLOS; MEDIDA: 8 X 15 Cm, MATERIAL: METAL</t>
  </si>
  <si>
    <t>2.9.2-5254.1</t>
  </si>
  <si>
    <t>PORTA PLANILLA; MATERIAL: ACRILICO, TAMAÑO: OFICIO, PRESENTACION: POR UNIDAD</t>
  </si>
  <si>
    <t>2.9.2-661.47</t>
  </si>
  <si>
    <t>GOMAS DE BORRAR; USO: LAPIZ Y TINTA, DIMENSION: 1 X 5 Cm, MATERIAL: CAUCHO, PRESENTACION: ENVASE X 40 UN</t>
  </si>
  <si>
    <t>2.3.1-6590.552</t>
  </si>
  <si>
    <t>2.3.1</t>
  </si>
  <si>
    <t>SOBRES DE PAPEL; TIPO: MADERA, TAMAÑO: OFICIO, GRAMAJE: 80 GR/M2, PRESENTACION: ENVASE X 100 UN, CERTIFICADO FORESTAL (GFS): CON, PORC. FIBRAS RECICLADAS: 0 %, CERT. FIBRA ALTERNATIVA (FCA): CON</t>
  </si>
  <si>
    <t>2.3.1-6590.551</t>
  </si>
  <si>
    <t>SOBRES DE PAPEL; TIPO: MADERA, TAMAÑO: A4, GRAMAJE: 80 GR/M2, PRESENTACION: ENVASE X 100 UN, CERTIFICADO FORESTAL (GFS): CON, PORC. FIBRAS RECICLADAS: 0 %, CERT. FIBRA ALTERNATIVA (FCA): CON</t>
  </si>
  <si>
    <t>2.3.1-6587.159</t>
  </si>
  <si>
    <t>2.3.4</t>
  </si>
  <si>
    <t>PAPELES ENCUADERNADOS; CANT. DE HOJAS: 200, TAMAÑO: OFICIO, TIPO: LIBRO DE ACTAS, CERTIFICADO FORESTAL (GFS): SIN, PORC. FIBRAS RECICLADAS: 0 %, CERT. FIBRA ALTERNATIVA (FCA): SIN</t>
  </si>
  <si>
    <t>2.3.1-6587.371</t>
  </si>
  <si>
    <t>2.34</t>
  </si>
  <si>
    <t>PAPELES ENCUADERNADOS; CANT. DE HOJAS: SEGÚN PLIEGO, TAMAÑO: SEGÚN PLIEGO, TIPO: LIBRO DE RECIBOS, CERTIFICADO FORES TAL (GFS): SIN, PORC. FIBRAS RECICLADAS: 0 %</t>
  </si>
  <si>
    <t>2.3.2-1571.15</t>
  </si>
  <si>
    <t>PAPELES P/FOTOCOPIADORA; FOTOCOPIADORA: SIN VALOR, ANCHO: 21,6 CM, LARGO: 35,6 CM, TIPO DE PAPEL: OFICIO, GRAMAJE: 80 GR., PRESENTACION: ENVASE X 500 UN, CERTIFICADO FORESTAL (GFS): SIN</t>
  </si>
  <si>
    <t xml:space="preserve">	2.3.2-1571.14</t>
  </si>
  <si>
    <t>PAPELES P/FOTOCOPIADORA; FOTOCOPIADORA: CLC, ANCHO: 21 CM, LARGO: 29,7 CM, TIPO DE PAPEL: A4, GRAMAJE: 80 GR., PRESENTACION: ENVASE X 500 UN, CERTIFICADO FORESTAL (GFS): SIN</t>
  </si>
  <si>
    <t>2.3.2-1571.20</t>
  </si>
  <si>
    <t>PAPELES P/FOTOCOPIADORA; ANCHO: 297 mm, LARGO: 420 mm, TIPO DE PAPEL: A3, PRESENTACION: ENVASE X 500 UN, CERTIFICADO FORESTAL (GFS): SIN</t>
  </si>
  <si>
    <t>2.9.2-851.23</t>
  </si>
  <si>
    <t>2.2.1</t>
  </si>
  <si>
    <t>HILOS P/EMPAQUETAR; TIPO: POLIPROPILENO, LONGITUD OVILLO: 100 M, PESO: 1 Kg, RENDIMIENTO: SIN VALOR, LONGITUD: 100 M</t>
  </si>
  <si>
    <t>2.9.2-758.8</t>
  </si>
  <si>
    <t>TIJERAS P/CORTAR PAPELES; CUCHILLA: PUNTIAGUDAS, MATERIAL: ACERO BRUÑIDO, MANGO: PLASTICO, LONG.DE CUERPO: 17 Cm</t>
  </si>
  <si>
    <t>2.9.2-698.8</t>
  </si>
  <si>
    <t>ALMOHADILLAS MOJADEDOS; FORMA: REDONDA, MEDIDA: D.9 Cm, MATERIAL TAPA: SIN VALOR</t>
  </si>
  <si>
    <t>2.9.2-274.3</t>
  </si>
  <si>
    <t>BIBLIORATOS; ANCHO 80mm - ANILLO 2 Y PALANCA - TAMAÑO OFICIO - MATERIAL CARTON</t>
  </si>
  <si>
    <t>Especificidades:</t>
  </si>
  <si>
    <t>Descripción técnica Item 1:</t>
  </si>
  <si>
    <t xml:space="preserve">BOLIGRAFO PUNTA MEDIANA, TRASO GRUESO (1MM), COLORES  AZUL </t>
  </si>
  <si>
    <t>Descripción técnica Item 3:</t>
  </si>
  <si>
    <t>COLOR TRANSPARENTE</t>
  </si>
  <si>
    <t>Descripción técnica Item 10:</t>
  </si>
  <si>
    <t>COLOR NEGRO</t>
  </si>
  <si>
    <t>Descripción técnica Item 15</t>
  </si>
  <si>
    <t>CARPETAS; COLOR: AZUL, TIPO: TAPA TRANSPARENTE, PRESENTACION: UNIDAD, SUJECION: BROCHE TIPO NEPACO, MATERIAL: PVC, TAMAÑO: OFICIO</t>
  </si>
  <si>
    <t>Descripción técnica Item 19</t>
  </si>
  <si>
    <t>TABLA PORTA BLOCK TAMAÑO OFICIO, CON CLIP SUJETADOR  METALICO</t>
  </si>
  <si>
    <t>Descripción técnica Item 24</t>
  </si>
  <si>
    <t>PAPELES ENCUADERNADOS; CANT. DE HOJAS: 100, TAMAÑO: 15 x22, TIPO: LIBRO DE RECIBOS, CERTIFICADO FORES TAL (GFS): SIN, PORC. FIBRAS RECICLADAS: 0 %</t>
  </si>
  <si>
    <t>Descripción técnica Item 27</t>
  </si>
  <si>
    <t>GRAMAJE: 80 GR</t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</si>
  <si>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</si>
  <si>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</si>
  <si>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Calidad Minima esperada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</si>
  <si>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</si>
  <si>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Mantenimiento</t>
  </si>
  <si>
    <t xml:space="preserve">30 (treinta)  días </t>
  </si>
  <si>
    <t>Garantia</t>
  </si>
  <si>
    <t>6 Meses.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</si>
</sst>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 &quot;$&quot;\ * #,##0.00_ ;_ &quot;$&quot;\ * \-#,##0.00_ ;_ &quot;$&quot;\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sz val="11"/>
      <color rgb="FF333333"/>
      <name val="Arial"/>
      <family val="2"/>
    </font>
    <font>
      <sz val="10"/>
      <color rgb="FF333333"/>
      <name val="Century Gothic"/>
      <family val="2"/>
    </font>
    <font>
      <sz val="10"/>
      <color theme="1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2" fillId="2" borderId="0" xfId="0" applyFont="1" applyFill="1" applyBorder="1"/>
    <xf numFmtId="0" fontId="5" fillId="2" borderId="0" xfId="0" applyFont="1" applyFill="1" applyBorder="1" applyAlignment="1">
      <alignment horizontal="left" wrapText="1"/>
    </xf>
    <xf numFmtId="0" fontId="5" fillId="2" borderId="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5" fontId="0" fillId="0" borderId="0" xfId="0" applyNumberFormat="1"/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justify" vertical="center" wrapText="1"/>
    </xf>
    <xf numFmtId="0" fontId="6" fillId="0" borderId="7" xfId="0" applyFont="1" applyBorder="1" applyAlignment="1">
      <alignment wrapText="1"/>
    </xf>
    <xf numFmtId="49" fontId="5" fillId="2" borderId="7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vertical="center" wrapText="1"/>
    </xf>
    <xf numFmtId="1" fontId="5" fillId="2" borderId="7" xfId="0" applyNumberFormat="1" applyFont="1" applyFill="1" applyBorder="1" applyAlignment="1">
      <alignment horizontal="center" vertical="center" wrapText="1"/>
    </xf>
    <xf numFmtId="166" fontId="5" fillId="2" borderId="7" xfId="1" applyNumberFormat="1" applyFont="1" applyFill="1" applyBorder="1" applyAlignment="1">
      <alignment horizontal="center" vertical="center"/>
    </xf>
    <xf numFmtId="166" fontId="5" fillId="2" borderId="8" xfId="1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wrapText="1"/>
    </xf>
    <xf numFmtId="0" fontId="5" fillId="2" borderId="9" xfId="0" applyFont="1" applyFill="1" applyBorder="1" applyAlignment="1">
      <alignment horizontal="justify" vertical="center" wrapText="1"/>
    </xf>
    <xf numFmtId="0" fontId="6" fillId="0" borderId="9" xfId="0" applyFont="1" applyBorder="1" applyAlignment="1">
      <alignment wrapText="1"/>
    </xf>
    <xf numFmtId="49" fontId="5" fillId="2" borderId="9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wrapText="1"/>
    </xf>
    <xf numFmtId="1" fontId="5" fillId="2" borderId="9" xfId="0" applyNumberFormat="1" applyFont="1" applyFill="1" applyBorder="1" applyAlignment="1">
      <alignment horizontal="center" vertical="center" wrapText="1"/>
    </xf>
    <xf numFmtId="166" fontId="5" fillId="2" borderId="9" xfId="1" applyNumberFormat="1" applyFont="1" applyFill="1" applyBorder="1" applyAlignment="1">
      <alignment horizontal="center" vertical="center"/>
    </xf>
    <xf numFmtId="166" fontId="5" fillId="2" borderId="10" xfId="1" applyNumberFormat="1" applyFont="1" applyFill="1" applyBorder="1" applyAlignment="1">
      <alignment horizontal="center" vertical="center"/>
    </xf>
    <xf numFmtId="166" fontId="4" fillId="2" borderId="11" xfId="0" applyNumberFormat="1" applyFont="1" applyFill="1" applyBorder="1" applyAlignment="1">
      <alignment vertical="center" wrapText="1"/>
    </xf>
    <xf numFmtId="0" fontId="2" fillId="2" borderId="0" xfId="0" applyFont="1" applyFill="1" applyBorder="1" applyAlignment="1"/>
    <xf numFmtId="0" fontId="9" fillId="2" borderId="1" xfId="0" applyFont="1" applyFill="1" applyBorder="1" applyAlignment="1"/>
    <xf numFmtId="0" fontId="2" fillId="2" borderId="12" xfId="0" applyFont="1" applyFill="1" applyBorder="1"/>
    <xf numFmtId="0" fontId="2" fillId="2" borderId="5" xfId="0" applyFont="1" applyFill="1" applyBorder="1"/>
    <xf numFmtId="0" fontId="2" fillId="2" borderId="13" xfId="0" applyFont="1" applyFill="1" applyBorder="1" applyAlignment="1"/>
    <xf numFmtId="0" fontId="2" fillId="2" borderId="14" xfId="0" applyFont="1" applyFill="1" applyBorder="1"/>
    <xf numFmtId="0" fontId="9" fillId="2" borderId="13" xfId="0" applyFont="1" applyFill="1" applyBorder="1" applyAlignment="1"/>
    <xf numFmtId="0" fontId="9" fillId="2" borderId="0" xfId="0" applyFont="1" applyFill="1" applyBorder="1" applyAlignment="1"/>
    <xf numFmtId="0" fontId="2" fillId="2" borderId="0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left" indent="3"/>
    </xf>
    <xf numFmtId="0" fontId="10" fillId="2" borderId="13" xfId="0" applyFont="1" applyFill="1" applyBorder="1" applyAlignment="1"/>
    <xf numFmtId="0" fontId="9" fillId="2" borderId="15" xfId="0" applyFont="1" applyFill="1" applyBorder="1" applyAlignment="1">
      <alignment horizontal="left" indent="3"/>
    </xf>
    <xf numFmtId="0" fontId="0" fillId="3" borderId="0" xfId="0" applyFill="1"/>
    <xf numFmtId="0" fontId="5" fillId="2" borderId="7" xfId="0" applyFont="1" applyFill="1" applyBorder="1" applyAlignment="1">
      <alignment horizontal="left" vertical="center" wrapText="1"/>
    </xf>
    <xf numFmtId="1" fontId="2" fillId="2" borderId="7" xfId="0" applyNumberFormat="1" applyFont="1" applyFill="1" applyBorder="1" applyAlignment="1">
      <alignment horizontal="center" vertical="center"/>
    </xf>
    <xf numFmtId="166" fontId="2" fillId="2" borderId="7" xfId="0" applyNumberFormat="1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vertical="center" wrapText="1"/>
    </xf>
    <xf numFmtId="0" fontId="5" fillId="2" borderId="7" xfId="0" applyFont="1" applyFill="1" applyBorder="1" applyAlignment="1">
      <alignment horizontal="left" vertical="center"/>
    </xf>
    <xf numFmtId="49" fontId="5" fillId="2" borderId="7" xfId="0" applyNumberFormat="1" applyFont="1" applyFill="1" applyBorder="1" applyAlignment="1">
      <alignment vertical="center"/>
    </xf>
    <xf numFmtId="49" fontId="5" fillId="2" borderId="7" xfId="0" applyNumberFormat="1" applyFont="1" applyFill="1" applyBorder="1" applyAlignment="1">
      <alignment horizontal="left" vertical="center"/>
    </xf>
    <xf numFmtId="49" fontId="5" fillId="3" borderId="7" xfId="0" applyNumberFormat="1" applyFont="1" applyFill="1" applyBorder="1" applyAlignment="1">
      <alignment horizontal="left" vertical="center"/>
    </xf>
    <xf numFmtId="0" fontId="6" fillId="3" borderId="7" xfId="0" applyFont="1" applyFill="1" applyBorder="1" applyAlignment="1">
      <alignment wrapText="1"/>
    </xf>
    <xf numFmtId="49" fontId="5" fillId="3" borderId="7" xfId="0" applyNumberFormat="1" applyFont="1" applyFill="1" applyBorder="1" applyAlignment="1">
      <alignment horizontal="center" vertical="center"/>
    </xf>
    <xf numFmtId="49" fontId="5" fillId="3" borderId="7" xfId="0" applyNumberFormat="1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justify" vertical="center" wrapText="1"/>
    </xf>
    <xf numFmtId="1" fontId="2" fillId="3" borderId="7" xfId="0" applyNumberFormat="1" applyFont="1" applyFill="1" applyBorder="1" applyAlignment="1">
      <alignment horizontal="center" vertical="center"/>
    </xf>
    <xf numFmtId="166" fontId="2" fillId="3" borderId="7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vertical="center" wrapText="1"/>
    </xf>
    <xf numFmtId="166" fontId="2" fillId="2" borderId="7" xfId="0" applyNumberFormat="1" applyFont="1" applyFill="1" applyBorder="1" applyAlignment="1">
      <alignment vertical="center"/>
    </xf>
    <xf numFmtId="0" fontId="5" fillId="2" borderId="7" xfId="0" applyFont="1" applyFill="1" applyBorder="1" applyAlignment="1">
      <alignment horizontal="justify" vertical="center"/>
    </xf>
    <xf numFmtId="0" fontId="5" fillId="0" borderId="7" xfId="0" applyFont="1" applyFill="1" applyBorder="1" applyAlignment="1">
      <alignment horizontal="justify" vertical="center"/>
    </xf>
    <xf numFmtId="0" fontId="8" fillId="0" borderId="7" xfId="0" applyFont="1" applyBorder="1" applyAlignment="1">
      <alignment horizontal="left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left" vertical="center" wrapText="1"/>
    </xf>
    <xf numFmtId="0" fontId="6" fillId="0" borderId="19" xfId="0" applyFont="1" applyBorder="1" applyAlignment="1">
      <alignment wrapText="1"/>
    </xf>
    <xf numFmtId="49" fontId="5" fillId="2" borderId="19" xfId="0" applyNumberFormat="1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vertical="center"/>
    </xf>
    <xf numFmtId="0" fontId="5" fillId="2" borderId="19" xfId="0" applyFont="1" applyFill="1" applyBorder="1" applyAlignment="1">
      <alignment horizontal="justify" vertical="center" wrapText="1"/>
    </xf>
    <xf numFmtId="1" fontId="2" fillId="2" borderId="19" xfId="0" applyNumberFormat="1" applyFont="1" applyFill="1" applyBorder="1" applyAlignment="1">
      <alignment horizontal="center" vertical="center"/>
    </xf>
    <xf numFmtId="166" fontId="2" fillId="2" borderId="19" xfId="0" applyNumberFormat="1" applyFont="1" applyFill="1" applyBorder="1" applyAlignment="1">
      <alignment horizontal="center" vertical="center"/>
    </xf>
    <xf numFmtId="166" fontId="5" fillId="2" borderId="20" xfId="1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66" fontId="5" fillId="3" borderId="8" xfId="1" applyNumberFormat="1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wrapText="1" indent="1"/>
    </xf>
    <xf numFmtId="0" fontId="2" fillId="2" borderId="0" xfId="0" applyFont="1" applyFill="1" applyBorder="1" applyAlignment="1">
      <alignment horizontal="left" wrapText="1"/>
    </xf>
    <xf numFmtId="0" fontId="2" fillId="2" borderId="14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wrapText="1"/>
    </xf>
    <xf numFmtId="0" fontId="2" fillId="2" borderId="14" xfId="0" applyFont="1" applyFill="1" applyBorder="1" applyAlignment="1">
      <alignment wrapText="1"/>
    </xf>
    <xf numFmtId="0" fontId="3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wrapText="1" indent="1"/>
    </xf>
    <xf numFmtId="0" fontId="5" fillId="2" borderId="0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wrapText="1"/>
    </xf>
    <xf numFmtId="0" fontId="2" fillId="2" borderId="14" xfId="0" applyFont="1" applyFill="1" applyBorder="1" applyAlignment="1">
      <alignment horizontal="left" wrapText="1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"/>
  <sheetViews>
    <sheetView tabSelected="1" topLeftCell="A40" workbookViewId="0">
      <selection activeCell="B50" sqref="B50:C50"/>
    </sheetView>
  </sheetViews>
  <sheetFormatPr baseColWidth="10" defaultColWidth="11.42578125" defaultRowHeight="15" x14ac:dyDescent="0.25"/>
  <cols>
    <col min="1" max="1" width="4.7109375" customWidth="1"/>
    <col min="2" max="2" width="17.5703125" customWidth="1"/>
    <col min="3" max="3" width="20" customWidth="1"/>
    <col min="4" max="4" width="7.85546875" customWidth="1"/>
    <col min="5" max="5" width="66.5703125" customWidth="1"/>
    <col min="8" max="8" width="11.85546875" bestFit="1" customWidth="1"/>
    <col min="9" max="9" width="15.5703125" customWidth="1"/>
    <col min="13" max="13" width="15" customWidth="1"/>
  </cols>
  <sheetData>
    <row r="1" spans="1:9" x14ac:dyDescent="0.25">
      <c r="A1" s="1"/>
      <c r="B1" s="87" t="s">
        <v>0</v>
      </c>
      <c r="C1" s="87"/>
      <c r="D1" s="87"/>
      <c r="E1" s="87"/>
      <c r="F1" s="87"/>
      <c r="G1" s="87"/>
      <c r="H1" s="87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88" t="s">
        <v>1</v>
      </c>
      <c r="B3" s="88"/>
      <c r="C3" s="89" t="s">
        <v>2</v>
      </c>
      <c r="D3" s="89"/>
      <c r="E3" s="89"/>
      <c r="F3" s="2"/>
      <c r="G3" s="3"/>
      <c r="H3" s="2"/>
      <c r="I3" s="1"/>
    </row>
    <row r="4" spans="1:9" x14ac:dyDescent="0.25">
      <c r="A4" s="88" t="s">
        <v>3</v>
      </c>
      <c r="B4" s="88"/>
      <c r="C4" s="89" t="s">
        <v>4</v>
      </c>
      <c r="D4" s="89"/>
      <c r="E4" s="89"/>
      <c r="F4" s="2"/>
      <c r="G4" s="3"/>
      <c r="H4" s="2"/>
      <c r="I4" s="1"/>
    </row>
    <row r="5" spans="1:9" x14ac:dyDescent="0.25">
      <c r="A5" s="88" t="s">
        <v>5</v>
      </c>
      <c r="B5" s="88"/>
      <c r="C5" s="82">
        <v>2022</v>
      </c>
      <c r="D5" s="4"/>
      <c r="E5" s="4"/>
      <c r="F5" s="2"/>
      <c r="G5" s="3"/>
      <c r="H5" s="2"/>
      <c r="I5" s="1"/>
    </row>
    <row r="6" spans="1:9" x14ac:dyDescent="0.25">
      <c r="A6" s="88" t="s">
        <v>6</v>
      </c>
      <c r="B6" s="88"/>
      <c r="C6" s="82">
        <v>1</v>
      </c>
      <c r="D6" s="4"/>
      <c r="E6" s="4"/>
      <c r="F6" s="2"/>
      <c r="G6" s="3"/>
      <c r="H6" s="2"/>
      <c r="I6" s="1"/>
    </row>
    <row r="7" spans="1:9" ht="15.75" thickBot="1" x14ac:dyDescent="0.3">
      <c r="A7" s="1"/>
      <c r="B7" s="2"/>
      <c r="C7" s="3"/>
      <c r="D7" s="2"/>
      <c r="E7" s="2"/>
      <c r="F7" s="2"/>
      <c r="G7" s="3"/>
      <c r="H7" s="2"/>
      <c r="I7" s="1"/>
    </row>
    <row r="8" spans="1:9" ht="38.25" x14ac:dyDescent="0.25">
      <c r="A8" s="5" t="s">
        <v>7</v>
      </c>
      <c r="B8" s="6" t="s">
        <v>8</v>
      </c>
      <c r="C8" s="7" t="s">
        <v>9</v>
      </c>
      <c r="D8" s="8" t="s">
        <v>10</v>
      </c>
      <c r="E8" s="9" t="s">
        <v>11</v>
      </c>
      <c r="F8" s="7" t="s">
        <v>12</v>
      </c>
      <c r="G8" s="8" t="s">
        <v>13</v>
      </c>
      <c r="H8" s="9" t="s">
        <v>14</v>
      </c>
      <c r="I8" s="10" t="s">
        <v>15</v>
      </c>
    </row>
    <row r="9" spans="1:9" ht="29.25" x14ac:dyDescent="0.25">
      <c r="A9" s="69">
        <v>1</v>
      </c>
      <c r="B9" s="70" t="s">
        <v>16</v>
      </c>
      <c r="C9" s="71" t="s">
        <v>17</v>
      </c>
      <c r="D9" s="72" t="s">
        <v>18</v>
      </c>
      <c r="E9" s="73" t="s">
        <v>19</v>
      </c>
      <c r="F9" s="74" t="s">
        <v>20</v>
      </c>
      <c r="G9" s="75">
        <v>5000</v>
      </c>
      <c r="H9" s="76">
        <v>60</v>
      </c>
      <c r="I9" s="77">
        <f>G9*H9</f>
        <v>300000</v>
      </c>
    </row>
    <row r="10" spans="1:9" ht="29.25" x14ac:dyDescent="0.25">
      <c r="A10" s="12">
        <v>2</v>
      </c>
      <c r="B10" s="47" t="s">
        <v>21</v>
      </c>
      <c r="C10" s="14" t="s">
        <v>17</v>
      </c>
      <c r="D10" s="15" t="s">
        <v>18</v>
      </c>
      <c r="E10" s="50" t="s">
        <v>22</v>
      </c>
      <c r="F10" s="13" t="s">
        <v>20</v>
      </c>
      <c r="G10" s="48">
        <v>1000</v>
      </c>
      <c r="H10" s="49">
        <v>480</v>
      </c>
      <c r="I10" s="19">
        <f t="shared" ref="I10:I32" si="0">G10*H10</f>
        <v>480000</v>
      </c>
    </row>
    <row r="11" spans="1:9" ht="29.25" x14ac:dyDescent="0.25">
      <c r="A11" s="12">
        <v>3</v>
      </c>
      <c r="B11" s="51" t="s">
        <v>23</v>
      </c>
      <c r="C11" s="14" t="s">
        <v>17</v>
      </c>
      <c r="D11" s="15" t="s">
        <v>18</v>
      </c>
      <c r="E11" s="50" t="s">
        <v>24</v>
      </c>
      <c r="F11" s="13" t="s">
        <v>20</v>
      </c>
      <c r="G11" s="48">
        <v>1000</v>
      </c>
      <c r="H11" s="49">
        <v>115.11</v>
      </c>
      <c r="I11" s="19">
        <f t="shared" si="0"/>
        <v>115110</v>
      </c>
    </row>
    <row r="12" spans="1:9" ht="29.25" x14ac:dyDescent="0.25">
      <c r="A12" s="12">
        <v>4</v>
      </c>
      <c r="B12" s="47" t="s">
        <v>25</v>
      </c>
      <c r="C12" s="14" t="s">
        <v>17</v>
      </c>
      <c r="D12" s="15" t="s">
        <v>18</v>
      </c>
      <c r="E12" s="50" t="s">
        <v>26</v>
      </c>
      <c r="F12" s="13" t="s">
        <v>20</v>
      </c>
      <c r="G12" s="48">
        <v>400</v>
      </c>
      <c r="H12" s="49">
        <v>601</v>
      </c>
      <c r="I12" s="19">
        <f t="shared" si="0"/>
        <v>240400</v>
      </c>
    </row>
    <row r="13" spans="1:9" ht="29.25" x14ac:dyDescent="0.25">
      <c r="A13" s="12">
        <v>5</v>
      </c>
      <c r="B13" s="47" t="s">
        <v>27</v>
      </c>
      <c r="C13" s="14" t="s">
        <v>17</v>
      </c>
      <c r="D13" s="15" t="s">
        <v>18</v>
      </c>
      <c r="E13" s="50" t="s">
        <v>28</v>
      </c>
      <c r="F13" s="13" t="s">
        <v>20</v>
      </c>
      <c r="G13" s="48">
        <v>400</v>
      </c>
      <c r="H13" s="49">
        <v>638</v>
      </c>
      <c r="I13" s="19">
        <f t="shared" si="0"/>
        <v>255200</v>
      </c>
    </row>
    <row r="14" spans="1:9" ht="29.25" x14ac:dyDescent="0.25">
      <c r="A14" s="12">
        <v>6</v>
      </c>
      <c r="B14" s="47" t="s">
        <v>29</v>
      </c>
      <c r="C14" s="14" t="s">
        <v>17</v>
      </c>
      <c r="D14" s="15" t="s">
        <v>18</v>
      </c>
      <c r="E14" s="50" t="s">
        <v>30</v>
      </c>
      <c r="F14" s="13" t="s">
        <v>20</v>
      </c>
      <c r="G14" s="48">
        <v>200</v>
      </c>
      <c r="H14" s="49">
        <v>1890</v>
      </c>
      <c r="I14" s="19">
        <f t="shared" si="0"/>
        <v>378000</v>
      </c>
    </row>
    <row r="15" spans="1:9" ht="29.25" x14ac:dyDescent="0.25">
      <c r="A15" s="12">
        <v>7</v>
      </c>
      <c r="B15" s="47" t="s">
        <v>31</v>
      </c>
      <c r="C15" s="14" t="s">
        <v>17</v>
      </c>
      <c r="D15" s="15" t="s">
        <v>18</v>
      </c>
      <c r="E15" s="52" t="s">
        <v>32</v>
      </c>
      <c r="F15" s="13" t="s">
        <v>20</v>
      </c>
      <c r="G15" s="48">
        <v>5000</v>
      </c>
      <c r="H15" s="49">
        <v>34.159999999999997</v>
      </c>
      <c r="I15" s="19">
        <f t="shared" si="0"/>
        <v>170799.99999999997</v>
      </c>
    </row>
    <row r="16" spans="1:9" ht="29.25" x14ac:dyDescent="0.25">
      <c r="A16" s="12">
        <v>8</v>
      </c>
      <c r="B16" s="53" t="s">
        <v>33</v>
      </c>
      <c r="C16" s="14" t="s">
        <v>17</v>
      </c>
      <c r="D16" s="15" t="s">
        <v>18</v>
      </c>
      <c r="E16" s="50" t="s">
        <v>34</v>
      </c>
      <c r="F16" s="13" t="s">
        <v>20</v>
      </c>
      <c r="G16" s="48">
        <v>2000</v>
      </c>
      <c r="H16" s="49">
        <v>65</v>
      </c>
      <c r="I16" s="19">
        <f t="shared" si="0"/>
        <v>130000</v>
      </c>
    </row>
    <row r="17" spans="1:9" ht="29.25" x14ac:dyDescent="0.25">
      <c r="A17" s="12">
        <v>9</v>
      </c>
      <c r="B17" s="47" t="s">
        <v>35</v>
      </c>
      <c r="C17" s="14" t="s">
        <v>17</v>
      </c>
      <c r="D17" s="15" t="s">
        <v>18</v>
      </c>
      <c r="E17" s="50" t="s">
        <v>36</v>
      </c>
      <c r="F17" s="13" t="s">
        <v>20</v>
      </c>
      <c r="G17" s="48">
        <v>1500</v>
      </c>
      <c r="H17" s="49">
        <v>62.5</v>
      </c>
      <c r="I17" s="19">
        <f t="shared" si="0"/>
        <v>93750</v>
      </c>
    </row>
    <row r="18" spans="1:9" ht="29.25" x14ac:dyDescent="0.25">
      <c r="A18" s="12">
        <v>10</v>
      </c>
      <c r="B18" s="47" t="s">
        <v>37</v>
      </c>
      <c r="C18" s="14" t="s">
        <v>17</v>
      </c>
      <c r="D18" s="15" t="s">
        <v>18</v>
      </c>
      <c r="E18" s="50" t="s">
        <v>38</v>
      </c>
      <c r="F18" s="13" t="s">
        <v>20</v>
      </c>
      <c r="G18" s="48">
        <v>1500</v>
      </c>
      <c r="H18" s="49">
        <v>144.52000000000001</v>
      </c>
      <c r="I18" s="19">
        <f t="shared" si="0"/>
        <v>216780.00000000003</v>
      </c>
    </row>
    <row r="19" spans="1:9" ht="29.25" x14ac:dyDescent="0.25">
      <c r="A19" s="12">
        <v>11</v>
      </c>
      <c r="B19" s="53" t="s">
        <v>39</v>
      </c>
      <c r="C19" s="14" t="s">
        <v>17</v>
      </c>
      <c r="D19" s="15" t="s">
        <v>18</v>
      </c>
      <c r="E19" s="50" t="s">
        <v>40</v>
      </c>
      <c r="F19" s="13" t="s">
        <v>20</v>
      </c>
      <c r="G19" s="48">
        <v>2500</v>
      </c>
      <c r="H19" s="49">
        <v>82.2</v>
      </c>
      <c r="I19" s="19">
        <f t="shared" si="0"/>
        <v>205500</v>
      </c>
    </row>
    <row r="20" spans="1:9" ht="29.25" x14ac:dyDescent="0.25">
      <c r="A20" s="12">
        <v>12</v>
      </c>
      <c r="B20" s="47" t="s">
        <v>41</v>
      </c>
      <c r="C20" s="14" t="s">
        <v>17</v>
      </c>
      <c r="D20" s="15" t="s">
        <v>18</v>
      </c>
      <c r="E20" s="50" t="s">
        <v>42</v>
      </c>
      <c r="F20" s="13" t="s">
        <v>20</v>
      </c>
      <c r="G20" s="48">
        <v>3000</v>
      </c>
      <c r="H20" s="49">
        <v>58.1</v>
      </c>
      <c r="I20" s="19">
        <f t="shared" si="0"/>
        <v>174300</v>
      </c>
    </row>
    <row r="21" spans="1:9" ht="29.25" x14ac:dyDescent="0.25">
      <c r="A21" s="12">
        <v>13</v>
      </c>
      <c r="B21" s="47" t="s">
        <v>43</v>
      </c>
      <c r="C21" s="14" t="s">
        <v>17</v>
      </c>
      <c r="D21" s="15" t="s">
        <v>18</v>
      </c>
      <c r="E21" s="50" t="s">
        <v>44</v>
      </c>
      <c r="F21" s="13" t="s">
        <v>20</v>
      </c>
      <c r="G21" s="48">
        <v>200</v>
      </c>
      <c r="H21" s="49">
        <v>1999.99</v>
      </c>
      <c r="I21" s="19">
        <f t="shared" si="0"/>
        <v>399998</v>
      </c>
    </row>
    <row r="22" spans="1:9" s="46" customFormat="1" ht="29.25" x14ac:dyDescent="0.25">
      <c r="A22" s="78">
        <v>14</v>
      </c>
      <c r="B22" s="54" t="s">
        <v>45</v>
      </c>
      <c r="C22" s="55" t="s">
        <v>17</v>
      </c>
      <c r="D22" s="56" t="s">
        <v>18</v>
      </c>
      <c r="E22" s="57" t="s">
        <v>46</v>
      </c>
      <c r="F22" s="58" t="s">
        <v>20</v>
      </c>
      <c r="G22" s="59">
        <v>500</v>
      </c>
      <c r="H22" s="60">
        <v>220.36</v>
      </c>
      <c r="I22" s="79">
        <f t="shared" si="0"/>
        <v>110180</v>
      </c>
    </row>
    <row r="23" spans="1:9" ht="29.25" x14ac:dyDescent="0.25">
      <c r="A23" s="12">
        <v>15</v>
      </c>
      <c r="B23" s="53" t="s">
        <v>47</v>
      </c>
      <c r="C23" s="14" t="s">
        <v>17</v>
      </c>
      <c r="D23" s="15" t="s">
        <v>18</v>
      </c>
      <c r="E23" s="61" t="s">
        <v>48</v>
      </c>
      <c r="F23" s="13" t="s">
        <v>20</v>
      </c>
      <c r="G23" s="48">
        <v>500</v>
      </c>
      <c r="H23" s="49">
        <v>55.83</v>
      </c>
      <c r="I23" s="19">
        <f t="shared" si="0"/>
        <v>27915</v>
      </c>
    </row>
    <row r="24" spans="1:9" ht="29.25" x14ac:dyDescent="0.25">
      <c r="A24" s="12">
        <v>16</v>
      </c>
      <c r="B24" s="53" t="s">
        <v>49</v>
      </c>
      <c r="C24" s="14" t="s">
        <v>17</v>
      </c>
      <c r="D24" s="15" t="s">
        <v>18</v>
      </c>
      <c r="E24" s="61" t="s">
        <v>50</v>
      </c>
      <c r="F24" s="13" t="s">
        <v>20</v>
      </c>
      <c r="G24" s="48">
        <v>300</v>
      </c>
      <c r="H24" s="49">
        <v>422</v>
      </c>
      <c r="I24" s="19">
        <f t="shared" si="0"/>
        <v>126600</v>
      </c>
    </row>
    <row r="25" spans="1:9" ht="29.25" x14ac:dyDescent="0.25">
      <c r="A25" s="12">
        <v>17</v>
      </c>
      <c r="B25" s="53" t="s">
        <v>51</v>
      </c>
      <c r="C25" s="14" t="s">
        <v>17</v>
      </c>
      <c r="D25" s="15" t="s">
        <v>18</v>
      </c>
      <c r="E25" s="61" t="s">
        <v>52</v>
      </c>
      <c r="F25" s="13" t="s">
        <v>20</v>
      </c>
      <c r="G25" s="48">
        <v>1500</v>
      </c>
      <c r="H25" s="49">
        <v>340.35</v>
      </c>
      <c r="I25" s="19">
        <f t="shared" si="0"/>
        <v>510525.00000000006</v>
      </c>
    </row>
    <row r="26" spans="1:9" ht="29.25" x14ac:dyDescent="0.25">
      <c r="A26" s="12">
        <v>18</v>
      </c>
      <c r="B26" s="53" t="s">
        <v>53</v>
      </c>
      <c r="C26" s="14" t="s">
        <v>17</v>
      </c>
      <c r="D26" s="15" t="s">
        <v>18</v>
      </c>
      <c r="E26" s="61" t="s">
        <v>54</v>
      </c>
      <c r="F26" s="13" t="s">
        <v>20</v>
      </c>
      <c r="G26" s="48">
        <v>1500</v>
      </c>
      <c r="H26" s="49">
        <v>269</v>
      </c>
      <c r="I26" s="19">
        <f t="shared" si="0"/>
        <v>403500</v>
      </c>
    </row>
    <row r="27" spans="1:9" ht="29.25" x14ac:dyDescent="0.25">
      <c r="A27" s="12">
        <v>19</v>
      </c>
      <c r="B27" s="62" t="s">
        <v>55</v>
      </c>
      <c r="C27" s="14" t="s">
        <v>17</v>
      </c>
      <c r="D27" s="63" t="s">
        <v>18</v>
      </c>
      <c r="E27" s="64" t="s">
        <v>56</v>
      </c>
      <c r="F27" s="13" t="s">
        <v>20</v>
      </c>
      <c r="G27" s="48">
        <v>8000</v>
      </c>
      <c r="H27" s="49">
        <v>419</v>
      </c>
      <c r="I27" s="19">
        <f t="shared" si="0"/>
        <v>3352000</v>
      </c>
    </row>
    <row r="28" spans="1:9" ht="29.25" x14ac:dyDescent="0.25">
      <c r="A28" s="12">
        <v>20</v>
      </c>
      <c r="B28" s="53" t="s">
        <v>57</v>
      </c>
      <c r="C28" s="14" t="s">
        <v>17</v>
      </c>
      <c r="D28" s="63" t="s">
        <v>18</v>
      </c>
      <c r="E28" s="50" t="s">
        <v>58</v>
      </c>
      <c r="F28" s="13" t="s">
        <v>20</v>
      </c>
      <c r="G28" s="48">
        <v>1500</v>
      </c>
      <c r="H28" s="49">
        <v>1007</v>
      </c>
      <c r="I28" s="19">
        <f t="shared" si="0"/>
        <v>1510500</v>
      </c>
    </row>
    <row r="29" spans="1:9" ht="54" x14ac:dyDescent="0.25">
      <c r="A29" s="12">
        <v>21</v>
      </c>
      <c r="B29" s="13" t="s">
        <v>59</v>
      </c>
      <c r="C29" s="14" t="s">
        <v>17</v>
      </c>
      <c r="D29" s="15" t="s">
        <v>60</v>
      </c>
      <c r="E29" s="50" t="s">
        <v>61</v>
      </c>
      <c r="F29" s="13" t="s">
        <v>20</v>
      </c>
      <c r="G29" s="48">
        <v>600</v>
      </c>
      <c r="H29" s="65">
        <v>1938</v>
      </c>
      <c r="I29" s="19">
        <f t="shared" si="0"/>
        <v>1162800</v>
      </c>
    </row>
    <row r="30" spans="1:9" ht="40.5" x14ac:dyDescent="0.25">
      <c r="A30" s="12">
        <v>22</v>
      </c>
      <c r="B30" s="13" t="s">
        <v>62</v>
      </c>
      <c r="C30" s="14" t="s">
        <v>17</v>
      </c>
      <c r="D30" s="15" t="s">
        <v>60</v>
      </c>
      <c r="E30" s="50" t="s">
        <v>63</v>
      </c>
      <c r="F30" s="13" t="s">
        <v>20</v>
      </c>
      <c r="G30" s="48">
        <v>600</v>
      </c>
      <c r="H30" s="65">
        <v>694</v>
      </c>
      <c r="I30" s="19">
        <f t="shared" si="0"/>
        <v>416400</v>
      </c>
    </row>
    <row r="31" spans="1:9" ht="40.5" x14ac:dyDescent="0.25">
      <c r="A31" s="12">
        <v>23</v>
      </c>
      <c r="B31" s="66" t="s">
        <v>64</v>
      </c>
      <c r="C31" s="14" t="s">
        <v>17</v>
      </c>
      <c r="D31" s="63" t="s">
        <v>65</v>
      </c>
      <c r="E31" s="50" t="s">
        <v>66</v>
      </c>
      <c r="F31" s="13" t="s">
        <v>20</v>
      </c>
      <c r="G31" s="48">
        <v>2500</v>
      </c>
      <c r="H31" s="65">
        <v>653</v>
      </c>
      <c r="I31" s="19">
        <f t="shared" si="0"/>
        <v>1632500</v>
      </c>
    </row>
    <row r="32" spans="1:9" ht="40.5" x14ac:dyDescent="0.25">
      <c r="A32" s="12">
        <v>24</v>
      </c>
      <c r="B32" s="67" t="s">
        <v>67</v>
      </c>
      <c r="C32" s="14" t="s">
        <v>17</v>
      </c>
      <c r="D32" s="63" t="s">
        <v>68</v>
      </c>
      <c r="E32" s="50" t="s">
        <v>69</v>
      </c>
      <c r="F32" s="13" t="s">
        <v>20</v>
      </c>
      <c r="G32" s="48">
        <v>2500</v>
      </c>
      <c r="H32" s="65">
        <v>518.29999999999995</v>
      </c>
      <c r="I32" s="19">
        <f t="shared" si="0"/>
        <v>1295750</v>
      </c>
    </row>
    <row r="33" spans="1:13" ht="55.5" customHeight="1" x14ac:dyDescent="0.25">
      <c r="A33" s="12">
        <v>25</v>
      </c>
      <c r="B33" s="66" t="s">
        <v>70</v>
      </c>
      <c r="C33" s="14" t="s">
        <v>17</v>
      </c>
      <c r="D33" s="15" t="s">
        <v>60</v>
      </c>
      <c r="E33" s="16" t="s">
        <v>71</v>
      </c>
      <c r="F33" s="13" t="s">
        <v>20</v>
      </c>
      <c r="G33" s="17">
        <v>1000</v>
      </c>
      <c r="H33" s="18">
        <v>1042.69</v>
      </c>
      <c r="I33" s="19">
        <f>G33*H33</f>
        <v>1042690</v>
      </c>
      <c r="M33" s="11"/>
    </row>
    <row r="34" spans="1:13" ht="54" customHeight="1" x14ac:dyDescent="0.25">
      <c r="A34" s="12">
        <v>26</v>
      </c>
      <c r="B34" s="13" t="s">
        <v>72</v>
      </c>
      <c r="C34" s="14" t="s">
        <v>17</v>
      </c>
      <c r="D34" s="15" t="s">
        <v>60</v>
      </c>
      <c r="E34" s="16" t="s">
        <v>73</v>
      </c>
      <c r="F34" s="13" t="s">
        <v>20</v>
      </c>
      <c r="G34" s="17">
        <v>1000</v>
      </c>
      <c r="H34" s="18">
        <v>847.05</v>
      </c>
      <c r="I34" s="19">
        <f t="shared" ref="I34:I39" si="1">G34*H34</f>
        <v>847050</v>
      </c>
      <c r="M34" s="11"/>
    </row>
    <row r="35" spans="1:13" ht="43.5" customHeight="1" x14ac:dyDescent="0.25">
      <c r="A35" s="12">
        <v>27</v>
      </c>
      <c r="B35" s="13" t="s">
        <v>74</v>
      </c>
      <c r="C35" s="14" t="s">
        <v>17</v>
      </c>
      <c r="D35" s="15" t="s">
        <v>60</v>
      </c>
      <c r="E35" s="20" t="s">
        <v>75</v>
      </c>
      <c r="F35" s="13" t="s">
        <v>20</v>
      </c>
      <c r="G35" s="17">
        <v>200</v>
      </c>
      <c r="H35" s="18">
        <v>1694.12</v>
      </c>
      <c r="I35" s="19">
        <f t="shared" si="1"/>
        <v>338824</v>
      </c>
    </row>
    <row r="36" spans="1:13" ht="33.950000000000003" customHeight="1" x14ac:dyDescent="0.25">
      <c r="A36" s="12">
        <v>28</v>
      </c>
      <c r="B36" s="13" t="s">
        <v>76</v>
      </c>
      <c r="C36" s="14" t="s">
        <v>17</v>
      </c>
      <c r="D36" s="15" t="s">
        <v>77</v>
      </c>
      <c r="E36" s="20" t="s">
        <v>78</v>
      </c>
      <c r="F36" s="13" t="s">
        <v>20</v>
      </c>
      <c r="G36" s="17">
        <v>200</v>
      </c>
      <c r="H36" s="18">
        <v>690</v>
      </c>
      <c r="I36" s="19">
        <f t="shared" si="1"/>
        <v>138000</v>
      </c>
    </row>
    <row r="37" spans="1:13" ht="33.950000000000003" customHeight="1" x14ac:dyDescent="0.25">
      <c r="A37" s="12">
        <v>29</v>
      </c>
      <c r="B37" s="68" t="s">
        <v>79</v>
      </c>
      <c r="C37" s="14" t="s">
        <v>17</v>
      </c>
      <c r="D37" s="15" t="s">
        <v>18</v>
      </c>
      <c r="E37" s="81" t="s">
        <v>80</v>
      </c>
      <c r="F37" s="13" t="s">
        <v>20</v>
      </c>
      <c r="G37" s="17">
        <v>400</v>
      </c>
      <c r="H37" s="18">
        <v>322.02</v>
      </c>
      <c r="I37" s="19">
        <f t="shared" si="1"/>
        <v>128808</v>
      </c>
    </row>
    <row r="38" spans="1:13" ht="33.950000000000003" customHeight="1" x14ac:dyDescent="0.25">
      <c r="A38" s="12">
        <v>30</v>
      </c>
      <c r="B38" s="13" t="s">
        <v>81</v>
      </c>
      <c r="C38" s="14" t="s">
        <v>17</v>
      </c>
      <c r="D38" s="15" t="s">
        <v>18</v>
      </c>
      <c r="E38" s="20" t="s">
        <v>82</v>
      </c>
      <c r="F38" s="13" t="s">
        <v>20</v>
      </c>
      <c r="G38" s="17">
        <v>300</v>
      </c>
      <c r="H38" s="18">
        <v>152.63999999999999</v>
      </c>
      <c r="I38" s="19">
        <f t="shared" ref="I38" si="2">G38*H38</f>
        <v>45791.999999999993</v>
      </c>
    </row>
    <row r="39" spans="1:13" ht="33.950000000000003" customHeight="1" x14ac:dyDescent="0.25">
      <c r="A39" s="80">
        <v>31</v>
      </c>
      <c r="B39" s="21" t="s">
        <v>83</v>
      </c>
      <c r="C39" s="22" t="s">
        <v>17</v>
      </c>
      <c r="D39" s="23" t="s">
        <v>18</v>
      </c>
      <c r="E39" s="24" t="s">
        <v>84</v>
      </c>
      <c r="F39" s="21" t="s">
        <v>20</v>
      </c>
      <c r="G39" s="25">
        <v>1500</v>
      </c>
      <c r="H39" s="26">
        <v>317</v>
      </c>
      <c r="I39" s="27">
        <f t="shared" si="1"/>
        <v>475500</v>
      </c>
    </row>
    <row r="40" spans="1:13" x14ac:dyDescent="0.25">
      <c r="A40" s="90"/>
      <c r="B40" s="90"/>
      <c r="C40" s="90"/>
      <c r="D40" s="90"/>
      <c r="E40" s="90"/>
      <c r="F40" s="90"/>
      <c r="G40" s="90"/>
      <c r="H40" s="90"/>
      <c r="I40" s="28">
        <f>SUM(I9:I39)</f>
        <v>16725172</v>
      </c>
    </row>
    <row r="41" spans="1:13" ht="15.75" thickBot="1" x14ac:dyDescent="0.3">
      <c r="A41" s="1"/>
      <c r="B41" s="29"/>
      <c r="C41" s="1"/>
      <c r="D41" s="1"/>
      <c r="E41" s="1"/>
      <c r="F41" s="1"/>
      <c r="G41" s="1"/>
      <c r="H41" s="1"/>
      <c r="I41" s="1"/>
    </row>
    <row r="42" spans="1:13" x14ac:dyDescent="0.25">
      <c r="A42" s="1"/>
      <c r="B42" s="30" t="s">
        <v>85</v>
      </c>
      <c r="C42" s="31"/>
      <c r="D42" s="31"/>
      <c r="E42" s="32"/>
      <c r="F42" s="1"/>
      <c r="G42" s="1"/>
      <c r="H42" s="1"/>
      <c r="I42" s="1"/>
    </row>
    <row r="43" spans="1:13" x14ac:dyDescent="0.25">
      <c r="A43" s="1"/>
      <c r="B43" s="33"/>
      <c r="C43" s="1"/>
      <c r="D43" s="1"/>
      <c r="E43" s="34"/>
      <c r="F43" s="1"/>
      <c r="G43" s="1"/>
      <c r="H43" s="1"/>
      <c r="I43" s="1"/>
    </row>
    <row r="44" spans="1:13" x14ac:dyDescent="0.25">
      <c r="A44" s="1"/>
      <c r="B44" s="91" t="s">
        <v>86</v>
      </c>
      <c r="C44" s="92"/>
      <c r="D44" s="1"/>
      <c r="E44" s="34"/>
      <c r="F44" s="1"/>
      <c r="G44" s="1"/>
      <c r="H44" s="1"/>
      <c r="I44" s="1"/>
    </row>
    <row r="45" spans="1:13" ht="28.5" customHeight="1" x14ac:dyDescent="0.25">
      <c r="A45" s="1"/>
      <c r="B45" s="35"/>
      <c r="C45" s="93" t="s">
        <v>87</v>
      </c>
      <c r="D45" s="93"/>
      <c r="E45" s="94"/>
      <c r="F45" s="1"/>
      <c r="G45" s="1"/>
      <c r="H45" s="1"/>
      <c r="I45" s="1"/>
    </row>
    <row r="46" spans="1:13" ht="28.5" customHeight="1" x14ac:dyDescent="0.25">
      <c r="A46" s="1"/>
      <c r="B46" s="91" t="s">
        <v>88</v>
      </c>
      <c r="C46" s="92"/>
      <c r="D46" s="1"/>
      <c r="E46" s="34"/>
      <c r="F46" s="1"/>
      <c r="G46" s="1"/>
      <c r="H46" s="1"/>
      <c r="I46" s="1"/>
    </row>
    <row r="47" spans="1:13" ht="28.5" customHeight="1" x14ac:dyDescent="0.25">
      <c r="A47" s="1"/>
      <c r="B47" s="35"/>
      <c r="C47" s="93" t="s">
        <v>89</v>
      </c>
      <c r="D47" s="93"/>
      <c r="E47" s="94"/>
      <c r="F47" s="1"/>
      <c r="G47" s="1"/>
      <c r="H47" s="1"/>
      <c r="I47" s="1"/>
    </row>
    <row r="48" spans="1:13" ht="28.5" customHeight="1" x14ac:dyDescent="0.25">
      <c r="A48" s="1"/>
      <c r="B48" s="91" t="s">
        <v>90</v>
      </c>
      <c r="C48" s="92"/>
      <c r="D48" s="1"/>
      <c r="E48" s="34"/>
      <c r="F48" s="1"/>
      <c r="G48" s="1"/>
      <c r="H48" s="1"/>
      <c r="I48" s="1"/>
    </row>
    <row r="49" spans="1:9" ht="28.5" customHeight="1" x14ac:dyDescent="0.25">
      <c r="A49" s="1"/>
      <c r="B49" s="35"/>
      <c r="C49" s="93" t="s">
        <v>91</v>
      </c>
      <c r="D49" s="93"/>
      <c r="E49" s="94"/>
      <c r="F49" s="1"/>
      <c r="G49" s="1"/>
      <c r="H49" s="1"/>
      <c r="I49" s="1"/>
    </row>
    <row r="50" spans="1:9" ht="28.5" customHeight="1" x14ac:dyDescent="0.25">
      <c r="A50" s="1"/>
      <c r="B50" s="91" t="s">
        <v>92</v>
      </c>
      <c r="C50" s="92"/>
      <c r="D50" s="1"/>
      <c r="E50" s="34"/>
      <c r="F50" s="1"/>
      <c r="G50" s="1"/>
      <c r="H50" s="1"/>
      <c r="I50" s="1"/>
    </row>
    <row r="51" spans="1:9" ht="28.5" customHeight="1" x14ac:dyDescent="0.25">
      <c r="A51" s="1"/>
      <c r="B51" s="35"/>
      <c r="C51" s="85" t="s">
        <v>93</v>
      </c>
      <c r="D51" s="85"/>
      <c r="E51" s="86"/>
      <c r="F51" s="1"/>
      <c r="G51" s="1"/>
      <c r="H51" s="1"/>
      <c r="I51" s="1"/>
    </row>
    <row r="52" spans="1:9" x14ac:dyDescent="0.25">
      <c r="A52" s="1"/>
      <c r="B52" s="33"/>
      <c r="C52" s="1"/>
      <c r="D52" s="1"/>
      <c r="E52" s="34"/>
      <c r="F52" s="1"/>
      <c r="G52" s="1"/>
      <c r="H52" s="1"/>
      <c r="I52" s="1"/>
    </row>
    <row r="53" spans="1:9" x14ac:dyDescent="0.25">
      <c r="A53" s="1"/>
      <c r="B53" s="91" t="s">
        <v>94</v>
      </c>
      <c r="C53" s="92"/>
      <c r="D53" s="1"/>
      <c r="E53" s="34"/>
      <c r="F53" s="1"/>
      <c r="G53" s="1"/>
      <c r="H53" s="1"/>
      <c r="I53" s="1"/>
    </row>
    <row r="54" spans="1:9" x14ac:dyDescent="0.25">
      <c r="A54" s="1"/>
      <c r="B54" s="35"/>
      <c r="C54" s="95" t="s">
        <v>95</v>
      </c>
      <c r="D54" s="95"/>
      <c r="E54" s="96"/>
      <c r="F54" s="1"/>
      <c r="G54" s="1"/>
      <c r="H54" s="1"/>
      <c r="I54" s="1"/>
    </row>
    <row r="55" spans="1:9" x14ac:dyDescent="0.25">
      <c r="A55" s="1"/>
      <c r="B55" s="33"/>
      <c r="C55" s="1"/>
      <c r="D55" s="1"/>
      <c r="E55" s="34"/>
      <c r="F55" s="1"/>
      <c r="G55" s="1"/>
      <c r="H55" s="1"/>
      <c r="I55" s="1"/>
    </row>
    <row r="56" spans="1:9" x14ac:dyDescent="0.25">
      <c r="A56" s="1"/>
      <c r="B56" s="91" t="s">
        <v>96</v>
      </c>
      <c r="C56" s="92"/>
      <c r="D56" s="36"/>
      <c r="E56" s="34"/>
      <c r="F56" s="1"/>
      <c r="G56" s="1"/>
      <c r="H56" s="1"/>
      <c r="I56" s="1"/>
    </row>
    <row r="57" spans="1:9" x14ac:dyDescent="0.25">
      <c r="A57" s="1"/>
      <c r="B57" s="33"/>
      <c r="C57" s="95" t="s">
        <v>97</v>
      </c>
      <c r="D57" s="95"/>
      <c r="E57" s="96"/>
      <c r="F57" s="1"/>
      <c r="G57" s="1"/>
      <c r="H57" s="1"/>
      <c r="I57" s="1"/>
    </row>
    <row r="58" spans="1:9" x14ac:dyDescent="0.25">
      <c r="A58" s="1"/>
      <c r="B58" s="33"/>
      <c r="C58" s="1"/>
      <c r="D58" s="1"/>
      <c r="E58" s="34"/>
      <c r="F58" s="1"/>
      <c r="G58" s="1"/>
      <c r="H58" s="1"/>
      <c r="I58" s="1"/>
    </row>
    <row r="59" spans="1:9" x14ac:dyDescent="0.25">
      <c r="A59" s="1"/>
      <c r="B59" s="91" t="s">
        <v>98</v>
      </c>
      <c r="C59" s="92"/>
      <c r="D59" s="36"/>
      <c r="E59" s="34"/>
      <c r="F59" s="1"/>
      <c r="G59" s="1"/>
      <c r="H59" s="1"/>
      <c r="I59" s="1"/>
    </row>
    <row r="60" spans="1:9" ht="16.5" customHeight="1" x14ac:dyDescent="0.25">
      <c r="A60" s="1"/>
      <c r="B60" s="33"/>
      <c r="C60" s="95" t="s">
        <v>99</v>
      </c>
      <c r="D60" s="95"/>
      <c r="E60" s="96"/>
      <c r="F60" s="1"/>
      <c r="G60" s="1"/>
      <c r="H60" s="1"/>
      <c r="I60" s="1"/>
    </row>
    <row r="61" spans="1:9" x14ac:dyDescent="0.25">
      <c r="A61" s="1"/>
      <c r="B61" s="33"/>
      <c r="C61" s="83"/>
      <c r="D61" s="83"/>
      <c r="E61" s="84"/>
      <c r="F61" s="1"/>
      <c r="G61" s="1"/>
      <c r="H61" s="1"/>
      <c r="I61" s="1"/>
    </row>
    <row r="62" spans="1:9" x14ac:dyDescent="0.25">
      <c r="A62" s="37"/>
      <c r="B62" s="38" t="s">
        <v>100</v>
      </c>
      <c r="C62" s="37"/>
      <c r="D62" s="1"/>
      <c r="E62" s="39"/>
      <c r="F62" s="1"/>
      <c r="G62" s="1"/>
      <c r="H62" s="1"/>
      <c r="I62" s="1"/>
    </row>
    <row r="63" spans="1:9" ht="113.25" customHeight="1" x14ac:dyDescent="0.25">
      <c r="A63" s="37"/>
      <c r="B63" s="40"/>
      <c r="C63" s="93" t="s">
        <v>101</v>
      </c>
      <c r="D63" s="93"/>
      <c r="E63" s="94"/>
      <c r="F63" s="1"/>
      <c r="G63" s="1"/>
      <c r="H63" s="1"/>
      <c r="I63" s="1"/>
    </row>
    <row r="64" spans="1:9" x14ac:dyDescent="0.25">
      <c r="A64" s="37"/>
      <c r="B64" s="40"/>
      <c r="C64" s="99"/>
      <c r="D64" s="99"/>
      <c r="E64" s="100"/>
      <c r="F64" s="1"/>
      <c r="G64" s="1"/>
      <c r="H64" s="1"/>
      <c r="I64" s="1"/>
    </row>
    <row r="65" spans="1:9" x14ac:dyDescent="0.25">
      <c r="A65" s="37"/>
      <c r="B65" s="38" t="s">
        <v>102</v>
      </c>
      <c r="C65" s="37"/>
      <c r="D65" s="1"/>
      <c r="E65" s="39"/>
      <c r="F65" s="1"/>
      <c r="G65" s="1"/>
      <c r="H65" s="1"/>
      <c r="I65" s="1"/>
    </row>
    <row r="66" spans="1:9" x14ac:dyDescent="0.25">
      <c r="A66" s="37"/>
      <c r="B66" s="40"/>
      <c r="C66" s="93" t="s">
        <v>103</v>
      </c>
      <c r="D66" s="93"/>
      <c r="E66" s="94"/>
      <c r="F66" s="1"/>
      <c r="G66" s="1"/>
      <c r="H66" s="1"/>
      <c r="I66" s="1"/>
    </row>
    <row r="67" spans="1:9" x14ac:dyDescent="0.25">
      <c r="A67" s="1"/>
      <c r="B67" s="38" t="s">
        <v>104</v>
      </c>
      <c r="C67" s="41"/>
      <c r="D67" s="41"/>
      <c r="E67" s="42"/>
      <c r="F67" s="1"/>
      <c r="G67" s="1"/>
      <c r="H67" s="1"/>
      <c r="I67" s="1"/>
    </row>
    <row r="68" spans="1:9" x14ac:dyDescent="0.25">
      <c r="A68" s="1"/>
      <c r="B68" s="43"/>
      <c r="C68" s="95" t="s">
        <v>105</v>
      </c>
      <c r="D68" s="95"/>
      <c r="E68" s="96"/>
      <c r="F68" s="1"/>
      <c r="G68" s="1"/>
      <c r="H68" s="1"/>
      <c r="I68" s="1"/>
    </row>
    <row r="69" spans="1:9" x14ac:dyDescent="0.25">
      <c r="A69" s="1"/>
      <c r="B69" s="44" t="s">
        <v>106</v>
      </c>
      <c r="C69" s="1" t="s">
        <v>107</v>
      </c>
      <c r="D69" s="1"/>
      <c r="E69" s="34"/>
      <c r="F69" s="1"/>
      <c r="G69" s="1"/>
      <c r="H69" s="1"/>
      <c r="I69" s="1"/>
    </row>
    <row r="70" spans="1:9" ht="15.75" thickBot="1" x14ac:dyDescent="0.3">
      <c r="A70" s="1"/>
      <c r="B70" s="45"/>
      <c r="C70" s="97"/>
      <c r="D70" s="97"/>
      <c r="E70" s="98"/>
      <c r="F70" s="1"/>
      <c r="G70" s="1"/>
      <c r="H70" s="1"/>
      <c r="I70" s="1"/>
    </row>
  </sheetData>
  <mergeCells count="27">
    <mergeCell ref="C66:E66"/>
    <mergeCell ref="C68:E68"/>
    <mergeCell ref="C70:E70"/>
    <mergeCell ref="B53:C53"/>
    <mergeCell ref="C54:E54"/>
    <mergeCell ref="B56:C56"/>
    <mergeCell ref="C57:E57"/>
    <mergeCell ref="C63:E63"/>
    <mergeCell ref="C64:E64"/>
    <mergeCell ref="B59:C59"/>
    <mergeCell ref="C60:E60"/>
    <mergeCell ref="C51:E51"/>
    <mergeCell ref="B1:H1"/>
    <mergeCell ref="A3:B3"/>
    <mergeCell ref="C3:E3"/>
    <mergeCell ref="A4:B4"/>
    <mergeCell ref="C4:E4"/>
    <mergeCell ref="A5:B5"/>
    <mergeCell ref="A6:B6"/>
    <mergeCell ref="A40:H40"/>
    <mergeCell ref="B44:C44"/>
    <mergeCell ref="C45:E45"/>
    <mergeCell ref="B50:C50"/>
    <mergeCell ref="B46:C46"/>
    <mergeCell ref="C47:E47"/>
    <mergeCell ref="B48:C48"/>
    <mergeCell ref="C49:E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2022-02-23T12:34:16Z</dcterms:modified>
  <cp:category/>
  <cp:contentStatus/>
</cp:coreProperties>
</file>