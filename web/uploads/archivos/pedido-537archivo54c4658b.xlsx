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TRIMESTRALES\4° trimestre 2022\TERAPIA DERMATOLOGICA\"/>
    </mc:Choice>
  </mc:AlternateContent>
  <xr:revisionPtr revIDLastSave="0" documentId="13_ncr:1_{2688347F-988A-49E4-9509-F3FE64C40772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1" hidden="1">' NotaPedido'!$A$10:$AMK$46</definedName>
    <definedName name="_xlnm._FilterDatabase" localSheetId="0" hidden="1">'Necesidades Trimestrales'!$A$9:$I$43</definedName>
    <definedName name="_xlnm.Print_Area" localSheetId="1">' NotaPedido'!$A$1:$L$46</definedName>
    <definedName name="_xlnm.Print_Area" localSheetId="2">'Autor Gastar'!$A$1:$Q$27</definedName>
    <definedName name="_xlnm.Print_Area" localSheetId="0">'Necesidades Trimestrales'!#REF!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8" i="2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9" i="2"/>
  <c r="A40" i="2"/>
  <c r="A41" i="2"/>
  <c r="A42" i="2"/>
  <c r="A43" i="2"/>
  <c r="A44" i="2"/>
  <c r="A45" i="2"/>
  <c r="A12" i="2"/>
  <c r="A26" i="3"/>
  <c r="I11" i="1" l="1"/>
  <c r="J46" i="2" l="1"/>
  <c r="Q15" i="3" s="1"/>
  <c r="I10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Q23" i="3" l="1"/>
  <c r="A10" i="3" l="1"/>
  <c r="G6" i="3" l="1"/>
  <c r="G7" i="3"/>
  <c r="C3" i="2"/>
  <c r="G4" i="3" s="1"/>
  <c r="C4" i="2"/>
  <c r="G5" i="3" s="1"/>
  <c r="D1" i="3" l="1"/>
</calcChain>
</file>

<file path=xl/sharedStrings.xml><?xml version="1.0" encoding="utf-8"?>
<sst xmlns="http://schemas.openxmlformats.org/spreadsheetml/2006/main" count="255" uniqueCount="149">
  <si>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</si>
  <si>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</si>
  <si>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</si>
  <si>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</si>
  <si>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</si>
  <si>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</si>
  <si>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</si>
  <si>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</si>
  <si>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</si>
  <si>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</si>
  <si>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</si>
  <si>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</si>
  <si>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</si>
  <si>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</si>
  <si>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</si>
  <si>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</si>
  <si>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</si>
  <si>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</si>
  <si>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</si>
  <si>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</si>
  <si>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</si>
  <si>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</si>
  <si>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</si>
  <si>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</si>
  <si>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</si>
  <si>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</si>
  <si>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</si>
  <si>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</si>
  <si>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</si>
  <si>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</si>
  <si>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</si>
  <si>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</si>
  <si>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</si>
  <si>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</si>
  <si>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</si>
  <si>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</si>
  <si>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</si>
  <si>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</si>
  <si>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</si>
  <si>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</si>
  <si>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</si>
  <si>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</si>
  <si>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</si>
  <si>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</si>
  <si>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</si>
  <si>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</si>
  <si>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</si>
  <si>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</si>
  <si>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</si>
  <si>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</si>
  <si>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</si>
  <si>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</si>
  <si>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r>
      <t>Mantenimiento</t>
    </r>
    <r>
      <rPr>
        <sz val="10"/>
        <rFont val="Times New Roman"/>
        <family val="1"/>
      </rPr>
      <t xml:space="preserve">: 45 dias habiles 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</si>
  <si>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</t>
    </r>
  </si>
  <si>
    <t>xxx/2022</t>
  </si>
  <si>
    <t>Cuatrimestral</t>
  </si>
  <si>
    <t>COMPRIMIDO</t>
  </si>
  <si>
    <t>FRASCO</t>
  </si>
  <si>
    <t>AMPOLLA</t>
  </si>
  <si>
    <t>UNIDAD</t>
  </si>
  <si>
    <t>GOTERO</t>
  </si>
  <si>
    <t>CAJA</t>
  </si>
  <si>
    <t>CAPSULA</t>
  </si>
  <si>
    <t>Adquisición de TERAPIA DERMATOLOGICA/SISTEMA GENITOURINARIO Y HORMONAS SEXUALES /HORMONAS SISTEMICAS /CORTICOIDES SISTEMICOS/RESPIRATORIO/ANTIHISTAMINICOS</t>
  </si>
  <si>
    <t>2.5.2-5661.11</t>
  </si>
  <si>
    <t>2.5.2-1855.23</t>
  </si>
  <si>
    <t>2.5.2-1855.83</t>
  </si>
  <si>
    <t>2.5.2-1902.14</t>
  </si>
  <si>
    <t>2.5.2-1895.61</t>
  </si>
  <si>
    <t>2.5.2-1855.7</t>
  </si>
  <si>
    <t>2.5.2-2476.36</t>
  </si>
  <si>
    <t>2.5.2-2476.44</t>
  </si>
  <si>
    <t>2.5.2-1853.4</t>
  </si>
  <si>
    <t>2.5.2-1855.47</t>
  </si>
  <si>
    <t>2.5.2-1855.77</t>
  </si>
  <si>
    <t>2.5.2-1875.9</t>
  </si>
  <si>
    <t>2.5.2-1902.10</t>
  </si>
  <si>
    <t>2.5.2-5559.10</t>
  </si>
  <si>
    <t>2.5.2-2476.12</t>
  </si>
  <si>
    <t>2.5.2-2200.4</t>
  </si>
  <si>
    <t>2.5.2-2200.19</t>
  </si>
  <si>
    <t>2.5.2-1855.105</t>
  </si>
  <si>
    <t>2.5.2-2200.24</t>
  </si>
  <si>
    <t>2.5.2-1821.487</t>
  </si>
  <si>
    <t>2.5.2-1853.2</t>
  </si>
  <si>
    <t>2.5.2-1875.11</t>
  </si>
  <si>
    <t>REGULADORES HORMONALES; TIPO: MONODROGA, DROGA GENERICA: ATOSIBAN, FORMA FARMACEUTICA: AMPOLLA, PRESENTACION: ENVASE X 0,9 mL</t>
  </si>
  <si>
    <t>CORTICOESTEROIDES; TIPO: MONODROGA, DROGA GENERICA: BETAMETASONA, FORMA FARMACEUTICA: CREMA, PRESENTACION: 15 GR</t>
  </si>
  <si>
    <t>CORTICOESTEROIDES; TIPO: ASOCIACION, DROGA GENERICA: BETAMETASONA ACETATO+FOSFATO, FORMA FARMACEUTICA: AMPOLLA, PRESENTACION: ENVASE X 2 mL</t>
  </si>
  <si>
    <t>CORTICOESTEROIDES; TIPO: MONODROGA, DROGA GENERICA: DEXAMETASONA, FORMA FARMACEUTICA: AMPOLLA, PRESENTACION: 8 mGr</t>
  </si>
  <si>
    <t>ANTIALERGICOS-ANTIHISTAMINICOS; TIPO: MONODROGA, DROGA GENERICA: DIFENHIDRAMINA, FORMA FARMACEUTICA: COMPRIMIDO, PRESENTACION: 50 mGr</t>
  </si>
  <si>
    <t>ANTIALERGICOS-ANTIHISTAMINICOS; TIPO: MONODROGA, DROGA GENERICA: DIFENHIDRAMINA, FORMA FARMACEUTICA: AMPOLLA, PRESENTACION: 10 mGr</t>
  </si>
  <si>
    <t>OCITOCICOS; TIPO: MONODROGA, DROGA GENERICA: ERGONOVINA, PRESENTACION: 0.2 mGr, FORMA FARMACEUTICA: AMPOLLAS</t>
  </si>
  <si>
    <t>CORTICOESTEROIDES; TIPO: MONODROGA, DROGA GENERICA: HIDROCORTISONA, FORMA FARMACEUTICA: AMPOLLA/FRASCO, PRESENTACION: 100 mGr</t>
  </si>
  <si>
    <t>CORTICOESTEROIDES; TIPO: MONODROGA, DROGA GENERICA: HIDROCORTISONA, FORMA FARMACEUTICA: FRASCO AMPOLLA, PRESENTACION: ENVASE X 500 mGr</t>
  </si>
  <si>
    <t>ANTIASMATICO BRONCODILATADOR; TIPO: MONODROGA, DROGA GENERICA: BROMURO DE IPRATROPIO, FORMA FARMACEUTICA: SOLUCION, PRESENTACION: 20 mL</t>
  </si>
  <si>
    <t>DROGAS UTERINAS; TIPO: MONODROGA, DROGA GENERICA: ISOXUPRINA 10 mGr, FORMA FARMACEUTICA: AMPOLLA, PRESENTACION: UNIDAD</t>
  </si>
  <si>
    <t>NORMALIZADORES TIROIDEOS; TIPO: MONODROGA, PRESENTACION: UNIDAD, DROGA GENERICA: LEVOTIROXINA 100 µGr, FORMA FARMACEUTICA: COMPRIMIDO</t>
  </si>
  <si>
    <t>ANTIALERGICOS-ANTIHISTAMINICOS; TIPO: MONODROGA, DROGA GENERICA: LORATADINA, FORMA FARMACEUTICA: COMPRIMIDO, PRESENTACION: 10 mGr</t>
  </si>
  <si>
    <t>CORTICOIDES; DROGA GENERICA: MEPREDNISONA, FORMA FARMACEUTICA: COMPRIMIDO, PRESENTACION: 4 mGr, TIPO: MONODROGA</t>
  </si>
  <si>
    <t>CORTICOIDES; DROGA GENERICA: METILPREDNISOLONA, FORMA FARMACEUTICA: FRASCO AMPOLLA, PRESENTACION: 500, TIPO: MONODROGA</t>
  </si>
  <si>
    <t>CORTICOESTEROIDES; TIPO: MONODROGA, DROGA GENERICA: MEPREDNISONA 8 mGr, FORMA FARMACEUTICA: COMPRIMIDO, PRESENTACION: UNIDAD</t>
  </si>
  <si>
    <t>ANTIBIOTICOS P/PERSONAS; TIPO: MONODROGA, DROGA GENERICA: METRONIDAZOL, FORMA FARMACEUTICA: OVULO, PRESENTACION: UNIDAD</t>
  </si>
  <si>
    <t>OCITOCICOS; TIPO: MONODROGA, DROGA GENERICA: OXITOCINA SINTÉTICA, PRESENTACION: 10 UI, FORMA FARMACEUTICA: AMPOLLA</t>
  </si>
  <si>
    <t>ANTIASMATICO BRONCODILATADOR; TIPO: MONODROGA, PRESENTACION: 20 mL, FORMA FARMACEUTICA: GOTAS, DROGA GENERICA: SALBUTAMOL</t>
  </si>
  <si>
    <t>PROD. MEDICO/FARMACEUTICOS/LAB</t>
  </si>
  <si>
    <t>HORMONAS MEDICINALES; TIPO: MONODROGA, DROGA GENERICA: CITRATO DE CLOMIFENO 50 mGr, FORMA FARMACEUTICA: COMPRIMIDO, PRESENTACION: UNIDAD, USO: SEXUAL</t>
  </si>
  <si>
    <t>CORTICOIDES; DROGA GENERICA: MEPREDNISONA, FORMA FARMACEUTICA: COMPRIMIDO, PRESENTACION: 40 mGr, TIPO: MONODROGA</t>
  </si>
  <si>
    <t>APOSITOS; TIPO: HIDROCOLOIDE, TAMAÑO: 10 X 10 Cm</t>
  </si>
  <si>
    <t>2.9.5-427.39</t>
  </si>
  <si>
    <t>2.5.2-9500.2</t>
  </si>
  <si>
    <t>ANTIASMATICO BRONCODILATADOR; TIPO: MONODROGA, DROGA GENERICA: SURFACTANTE PULMONAR BOVI 30MG, FORMA FARMACEUTICA: AMPOLLA, PRESENTACION: ENVASE X 4 mL</t>
  </si>
  <si>
    <t>2.5.2-1875.68</t>
  </si>
  <si>
    <t>2.5.2-1875.55</t>
  </si>
  <si>
    <t>ANTIASMATICO BRONCODILATADOR; TIPO: MONODROGA, DROGA GENERICA: SALBUTAMOL, FORMA FARMACEUTICA: AEROSOL, PRESENTACION: 250 DOSIS</t>
  </si>
  <si>
    <t>ANTIASMATICO BRONCODILATADOR; TIPO: MONODROGA, DROGA GENERICA: N-ACETIL CISTEINA 600 MGR, FORMA FARMACEUTICA: TABLETA EFERVESCENTE, PRESENTACION: UNIDAD</t>
  </si>
  <si>
    <t>2.5.2-1875.133</t>
  </si>
  <si>
    <t>APOSITOS; TIPO: HIDROCOLOIDE, TAMAÑO: 15 X 17,5 Cm</t>
  </si>
  <si>
    <t>2.9.5-427.33</t>
  </si>
  <si>
    <t>ANTIASMATICO BRONCODILATADOR; TIPO: MONODROGA, DROGA GENERICA: BUDESONIDE 200 µGR, FORMA FARMACEUTICA: AEROSOL, PRESENTACION: 100 DOSIS</t>
  </si>
  <si>
    <t>2.5.2-1875.134</t>
  </si>
  <si>
    <t>HORMONAS MEDICINALES; TIPO: MONODROGA, DROGA GENERICA: CABERGOLINA, FORMA FARMACEUTICA: COMPRIMIDO, PRESENTACION: 0,5 mGr, USO: SEXUAL</t>
  </si>
  <si>
    <t>2.5.2-1895.19</t>
  </si>
  <si>
    <t>DROGAS UTERINAS; TIPO: MONODROGA, DROGA GENERICA: CARBETOCIN 100 MCG, FORMA FARMACEUTICA: AMPOLLA, PRESENTACION: UNIDAD</t>
  </si>
  <si>
    <t>GENITOURINARIO; TIPO: MONODROGA, DROGA GENÉRICA: NISTATINA, FORMA FARMACEÚTICA: COMPRIMIDO VAGINAL, PRESENTACIÓN: 100000 UI</t>
  </si>
  <si>
    <t>2.5.2-1851.29</t>
  </si>
  <si>
    <t>HORMONAS MEDICINALES; TIPO: MONODROGA, DROGA GENÉRICA: PROGESTERONA MICRONIZADA 200 MG, FORMA FARMACEÚTICA: CÁPSULAS, USO: SEXUAL</t>
  </si>
  <si>
    <t>2.5.2-1895.88</t>
  </si>
  <si>
    <t>ANESTÉSICOS LOCALES; TIPO: ANALGÉSICO LOCAL Y ANTIBACTERIANO, DROGA GENÉRICA: LIDOCAÍNA + SULFADIAZINA + VITAMINA A, FORMA FARMACEÚTICA: CREMA, PRESENTACIÓN: ENVASE X 100 GR</t>
  </si>
  <si>
    <t>2.5.2-1883.189</t>
  </si>
  <si>
    <t>INDUCTOR DEL PARTO; TIPO: MONODROGA, DROGA GENÉRICA: MISOPROSTOL 200 MGR, FORMA FARMACEÚTICA: COMPRIMIDO VAGINAL, PRESENTACION: UNIDAD</t>
  </si>
  <si>
    <t>SI</t>
  </si>
  <si>
    <t>Calidad Minima esperada:</t>
  </si>
  <si>
    <t>DESCRIPCION</t>
  </si>
  <si>
    <t>2.5.2-2198.8</t>
  </si>
  <si>
    <t>ANTIDIURETICOS; DROGA GENERICA: VASOPRESINA ACUOSA, FORMA FARMACEUTICA: AMPOLLA, PRESENTACION: 1 mL, TIPO: MONODROGA</t>
  </si>
  <si>
    <t>Productos Farmacéuticos y Medicinales</t>
  </si>
  <si>
    <t xml:space="preserve"> 28-Maternidad Provincial 25 de Mayo</t>
  </si>
  <si>
    <t>Ítem 2: VASOPRESINA 20UI AMPOLLA CAJA X 5 UNIDADES TIPO NOVOPRESSINA - V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</si>
  <si>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10 DIAS HABILES</t>
    </r>
  </si>
  <si>
    <r>
      <rPr>
        <u/>
        <sz val="10"/>
        <rFont val="Times New Roman"/>
        <family val="1"/>
      </rPr>
      <t>Lugar de Entrega:  SERVICIO DE FARMACIA</t>
    </r>
    <r>
      <rPr>
        <sz val="10"/>
        <rFont val="Times New Roman"/>
        <family val="1"/>
      </rPr>
      <t xml:space="preserve"> DE 08:00 A 12:00HS HERNAN DE PEDRAZA N° 1650, DEBIENDO CORRER LOS GASTOS DE FLETES, ACARREO, CARGA, DESCARGA Y SEGURO A CARGO DEL ADJUDICATARIO.</t>
    </r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</si>
  <si>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 xml:space="preserve"> SERVICIO DE FARMACIA DE 08:00 A 12:00HS HERNAN DE PEDRAZA N° 1650,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</si>
  <si>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30 DIAS HABILES</t>
    </r>
  </si>
  <si>
    <t>169-Direccion Asistencial</t>
  </si>
  <si>
    <t>Servicio de Farmacia</t>
  </si>
  <si>
    <t>Ítem31: Con AEROCAMARA</t>
  </si>
  <si>
    <t>ITEMS 1 AL 34</t>
  </si>
  <si>
    <t>Costo total estimado: CUATRO MILLONES QUINIENTOS NOVENTA Y SEIS MIL QUINIENTOS NOVENTA Y UNO CON 00/100.</t>
  </si>
  <si>
    <t>TOTAL DE PESOS: CUATRO MILLONES QUINIENTOS NOVENTA Y SEIS MIL QUINIENTOS NOVENTA Y UNO CON 00/100.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</si>
</sst>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36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Times New Roman"/>
      <family val="1"/>
    </font>
    <font>
      <u/>
      <sz val="11"/>
      <name val="Times New Roman"/>
      <family val="1"/>
    </font>
    <font>
      <sz val="10"/>
      <color theme="1"/>
      <name val="Arial"/>
      <family val="2"/>
    </font>
    <font>
      <b/>
      <u/>
      <sz val="10"/>
      <name val="Times New Roman"/>
      <family val="1"/>
      <charset val="1"/>
    </font>
    <font>
      <b/>
      <sz val="10"/>
      <name val="Times New Roman"/>
      <family val="1"/>
      <charset val="1"/>
    </font>
    <font>
      <sz val="8"/>
      <name val="Arial"/>
      <family val="2"/>
      <charset val="1"/>
    </font>
    <font>
      <sz val="8"/>
      <name val="Arial"/>
      <family val="2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auto="1"/>
      </bottom>
      <diagonal/>
    </border>
    <border>
      <left/>
      <right style="medium">
        <color auto="1"/>
      </right>
      <top style="medium">
        <color rgb="FF3D3D3D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166" fontId="17" fillId="0" borderId="0" applyBorder="0" applyProtection="0"/>
    <xf numFmtId="0" fontId="4" fillId="0" borderId="1" applyProtection="0"/>
    <xf numFmtId="165" fontId="5" fillId="0" borderId="0" applyBorder="0" applyProtection="0"/>
    <xf numFmtId="0" fontId="6" fillId="2" borderId="0" applyBorder="0" applyProtection="0"/>
    <xf numFmtId="0" fontId="17" fillId="0" borderId="0"/>
    <xf numFmtId="0" fontId="17" fillId="0" borderId="0"/>
    <xf numFmtId="0" fontId="17" fillId="0" borderId="0"/>
    <xf numFmtId="0" fontId="3" fillId="0" borderId="0"/>
    <xf numFmtId="0" fontId="17" fillId="0" borderId="0"/>
    <xf numFmtId="43" fontId="3" fillId="0" borderId="0" applyFont="0" applyFill="0" applyBorder="0" applyAlignment="0" applyProtection="0"/>
    <xf numFmtId="0" fontId="17" fillId="0" borderId="0"/>
    <xf numFmtId="0" fontId="2" fillId="0" borderId="0"/>
    <xf numFmtId="0" fontId="1" fillId="0" borderId="0"/>
  </cellStyleXfs>
  <cellXfs count="175">
    <xf numFmtId="0" fontId="0" fillId="0" borderId="0" xfId="0"/>
    <xf numFmtId="0" fontId="0" fillId="0" borderId="0" xfId="0" applyAlignment="1">
      <alignment horizontal="left"/>
    </xf>
    <xf numFmtId="3" fontId="12" fillId="0" borderId="0" xfId="0" applyNumberFormat="1" applyFont="1"/>
    <xf numFmtId="169" fontId="0" fillId="0" borderId="0" xfId="0" applyNumberFormat="1" applyAlignment="1">
      <alignment horizontal="left"/>
    </xf>
    <xf numFmtId="0" fontId="5" fillId="0" borderId="0" xfId="0" applyFont="1"/>
    <xf numFmtId="0" fontId="0" fillId="0" borderId="21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2" xfId="0" applyBorder="1"/>
    <xf numFmtId="0" fontId="16" fillId="0" borderId="24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5" xfId="0" applyFont="1" applyBorder="1" applyAlignment="1">
      <alignment horizontal="left" vertical="center"/>
    </xf>
    <xf numFmtId="0" fontId="16" fillId="0" borderId="26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167" fontId="0" fillId="0" borderId="30" xfId="3" applyNumberFormat="1" applyFont="1" applyBorder="1" applyAlignment="1" applyProtection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7" fontId="0" fillId="0" borderId="35" xfId="3" applyNumberFormat="1" applyFont="1" applyBorder="1" applyAlignment="1" applyProtection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7" fontId="0" fillId="0" borderId="39" xfId="3" applyNumberFormat="1" applyFont="1" applyBorder="1" applyAlignment="1" applyProtection="1">
      <alignment horizontal="center" vertical="center"/>
    </xf>
    <xf numFmtId="0" fontId="8" fillId="3" borderId="10" xfId="0" applyFont="1" applyFill="1" applyBorder="1" applyAlignment="1">
      <alignment horizontal="right" vertical="center"/>
    </xf>
    <xf numFmtId="0" fontId="5" fillId="3" borderId="0" xfId="0" applyFont="1" applyFill="1" applyAlignment="1">
      <alignment vertical="center"/>
    </xf>
    <xf numFmtId="0" fontId="0" fillId="3" borderId="0" xfId="0" applyFill="1"/>
    <xf numFmtId="0" fontId="8" fillId="3" borderId="12" xfId="0" applyFont="1" applyFill="1" applyBorder="1" applyAlignment="1">
      <alignment vertical="center"/>
    </xf>
    <xf numFmtId="0" fontId="8" fillId="3" borderId="0" xfId="0" applyFont="1" applyFill="1" applyAlignment="1">
      <alignment vertical="center"/>
    </xf>
    <xf numFmtId="0" fontId="10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left" vertical="center" wrapText="1" indent="1"/>
    </xf>
    <xf numFmtId="0" fontId="25" fillId="4" borderId="0" xfId="0" applyFont="1" applyFill="1" applyAlignment="1">
      <alignment horizontal="left" wrapText="1" indent="1"/>
    </xf>
    <xf numFmtId="0" fontId="22" fillId="3" borderId="0" xfId="0" applyFont="1" applyFill="1" applyAlignment="1">
      <alignment horizontal="left" wrapText="1"/>
    </xf>
    <xf numFmtId="0" fontId="0" fillId="4" borderId="28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17" fillId="4" borderId="28" xfId="0" applyFont="1" applyFill="1" applyBorder="1" applyAlignment="1">
      <alignment horizontal="center" vertical="center"/>
    </xf>
    <xf numFmtId="0" fontId="18" fillId="3" borderId="0" xfId="0" applyFont="1" applyFill="1"/>
    <xf numFmtId="0" fontId="21" fillId="3" borderId="0" xfId="0" applyFont="1" applyFill="1" applyAlignment="1">
      <alignment horizontal="left" wrapText="1"/>
    </xf>
    <xf numFmtId="0" fontId="21" fillId="3" borderId="0" xfId="0" applyFont="1" applyFill="1" applyAlignment="1">
      <alignment horizontal="center" wrapText="1"/>
    </xf>
    <xf numFmtId="0" fontId="18" fillId="3" borderId="3" xfId="0" applyFont="1" applyFill="1" applyBorder="1"/>
    <xf numFmtId="0" fontId="18" fillId="3" borderId="0" xfId="0" applyFont="1" applyFill="1" applyAlignment="1">
      <alignment horizontal="center" vertical="center"/>
    </xf>
    <xf numFmtId="170" fontId="23" fillId="3" borderId="0" xfId="0" applyNumberFormat="1" applyFont="1" applyFill="1"/>
    <xf numFmtId="0" fontId="24" fillId="3" borderId="7" xfId="0" applyFont="1" applyFill="1" applyBorder="1"/>
    <xf numFmtId="164" fontId="18" fillId="3" borderId="0" xfId="0" applyNumberFormat="1" applyFont="1" applyFill="1"/>
    <xf numFmtId="0" fontId="18" fillId="3" borderId="0" xfId="0" applyFont="1" applyFill="1" applyAlignment="1">
      <alignment horizontal="center" wrapText="1"/>
    </xf>
    <xf numFmtId="0" fontId="18" fillId="3" borderId="8" xfId="0" applyFont="1" applyFill="1" applyBorder="1"/>
    <xf numFmtId="0" fontId="18" fillId="3" borderId="9" xfId="0" applyFont="1" applyFill="1" applyBorder="1"/>
    <xf numFmtId="0" fontId="18" fillId="3" borderId="2" xfId="0" applyFont="1" applyFill="1" applyBorder="1"/>
    <xf numFmtId="0" fontId="31" fillId="3" borderId="0" xfId="0" applyFont="1" applyFill="1" applyAlignment="1">
      <alignment vertical="center"/>
    </xf>
    <xf numFmtId="0" fontId="32" fillId="3" borderId="0" xfId="0" applyFont="1" applyFill="1" applyAlignment="1">
      <alignment horizontal="left" vertical="center" wrapText="1" indent="1"/>
    </xf>
    <xf numFmtId="0" fontId="26" fillId="3" borderId="14" xfId="0" applyFont="1" applyFill="1" applyBorder="1" applyAlignment="1">
      <alignment horizontal="center" vertical="center" wrapText="1"/>
    </xf>
    <xf numFmtId="164" fontId="26" fillId="3" borderId="14" xfId="0" applyNumberFormat="1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 wrapText="1"/>
    </xf>
    <xf numFmtId="0" fontId="27" fillId="3" borderId="14" xfId="0" applyFont="1" applyFill="1" applyBorder="1" applyAlignment="1">
      <alignment horizontal="left" vertical="center" wrapText="1"/>
    </xf>
    <xf numFmtId="3" fontId="17" fillId="3" borderId="14" xfId="0" applyNumberFormat="1" applyFont="1" applyFill="1" applyBorder="1" applyAlignment="1">
      <alignment horizontal="center" vertical="center"/>
    </xf>
    <xf numFmtId="44" fontId="30" fillId="3" borderId="14" xfId="8" applyNumberFormat="1" applyFont="1" applyFill="1" applyBorder="1" applyAlignment="1">
      <alignment horizontal="left" vertical="center"/>
    </xf>
    <xf numFmtId="0" fontId="17" fillId="0" borderId="14" xfId="0" applyFont="1" applyBorder="1" applyAlignment="1">
      <alignment horizontal="center" vertical="center"/>
    </xf>
    <xf numFmtId="44" fontId="17" fillId="3" borderId="14" xfId="1" applyNumberFormat="1" applyFill="1" applyBorder="1" applyAlignment="1">
      <alignment horizontal="center" vertical="center"/>
    </xf>
    <xf numFmtId="44" fontId="17" fillId="3" borderId="14" xfId="1" applyNumberFormat="1" applyFill="1" applyBorder="1" applyAlignment="1">
      <alignment horizontal="right" vertical="center"/>
    </xf>
    <xf numFmtId="0" fontId="18" fillId="3" borderId="0" xfId="0" applyFont="1" applyFill="1" applyAlignment="1">
      <alignment vertical="center"/>
    </xf>
    <xf numFmtId="0" fontId="18" fillId="3" borderId="0" xfId="0" applyFont="1" applyFill="1" applyAlignment="1">
      <alignment horizontal="left" vertical="center"/>
    </xf>
    <xf numFmtId="0" fontId="27" fillId="0" borderId="14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left" vertical="center" wrapText="1"/>
    </xf>
    <xf numFmtId="44" fontId="30" fillId="0" borderId="14" xfId="8" applyNumberFormat="1" applyFont="1" applyBorder="1" applyAlignment="1">
      <alignment horizontal="left" vertical="center"/>
    </xf>
    <xf numFmtId="0" fontId="0" fillId="0" borderId="14" xfId="0" applyBorder="1" applyAlignment="1">
      <alignment vertical="center" wrapText="1"/>
    </xf>
    <xf numFmtId="0" fontId="17" fillId="0" borderId="14" xfId="0" applyFont="1" applyBorder="1" applyAlignment="1">
      <alignment vertical="center" wrapText="1"/>
    </xf>
    <xf numFmtId="0" fontId="18" fillId="0" borderId="0" xfId="0" applyFont="1" applyAlignment="1">
      <alignment horizontal="left" vertical="center"/>
    </xf>
    <xf numFmtId="0" fontId="17" fillId="0" borderId="14" xfId="0" applyFont="1" applyBorder="1" applyAlignment="1">
      <alignment horizontal="left" vertical="center" wrapText="1"/>
    </xf>
    <xf numFmtId="0" fontId="18" fillId="0" borderId="0" xfId="0" applyFont="1"/>
    <xf numFmtId="0" fontId="22" fillId="3" borderId="0" xfId="0" applyFont="1" applyFill="1" applyAlignment="1">
      <alignment horizontal="left" vertical="center" wrapText="1"/>
    </xf>
    <xf numFmtId="0" fontId="21" fillId="3" borderId="0" xfId="0" applyFont="1" applyFill="1" applyAlignment="1">
      <alignment horizontal="left" vertical="center" wrapText="1"/>
    </xf>
    <xf numFmtId="0" fontId="18" fillId="3" borderId="3" xfId="0" applyFont="1" applyFill="1" applyBorder="1" applyAlignment="1">
      <alignment horizontal="left" vertical="center"/>
    </xf>
    <xf numFmtId="0" fontId="18" fillId="3" borderId="0" xfId="0" applyFont="1" applyFill="1" applyAlignment="1">
      <alignment horizontal="left" vertical="center" wrapText="1"/>
    </xf>
    <xf numFmtId="0" fontId="18" fillId="3" borderId="8" xfId="0" applyFont="1" applyFill="1" applyBorder="1" applyAlignment="1">
      <alignment horizontal="left" vertical="center"/>
    </xf>
    <xf numFmtId="0" fontId="17" fillId="0" borderId="14" xfId="0" applyFont="1" applyBorder="1" applyAlignment="1">
      <alignment horizontal="left" vertical="center"/>
    </xf>
    <xf numFmtId="0" fontId="18" fillId="3" borderId="5" xfId="0" applyFont="1" applyFill="1" applyBorder="1"/>
    <xf numFmtId="0" fontId="18" fillId="3" borderId="0" xfId="0" applyFont="1" applyFill="1" applyAlignment="1">
      <alignment horizontal="center"/>
    </xf>
    <xf numFmtId="0" fontId="5" fillId="0" borderId="0" xfId="0" applyFont="1" applyAlignment="1">
      <alignment vertical="center"/>
    </xf>
    <xf numFmtId="168" fontId="10" fillId="0" borderId="0" xfId="0" applyNumberFormat="1" applyFont="1" applyAlignment="1">
      <alignment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0" fillId="3" borderId="14" xfId="0" applyFill="1" applyBorder="1" applyAlignment="1">
      <alignment vertical="center" wrapText="1"/>
    </xf>
    <xf numFmtId="0" fontId="17" fillId="3" borderId="14" xfId="0" applyFont="1" applyFill="1" applyBorder="1" applyAlignment="1">
      <alignment horizontal="left" vertical="center" wrapText="1"/>
    </xf>
    <xf numFmtId="0" fontId="35" fillId="3" borderId="5" xfId="0" applyFont="1" applyFill="1" applyBorder="1"/>
    <xf numFmtId="0" fontId="35" fillId="3" borderId="0" xfId="0" applyFont="1" applyFill="1"/>
    <xf numFmtId="0" fontId="35" fillId="3" borderId="0" xfId="0" applyFont="1" applyFill="1" applyAlignment="1">
      <alignment horizontal="left" vertical="center"/>
    </xf>
    <xf numFmtId="0" fontId="9" fillId="3" borderId="11" xfId="0" applyFont="1" applyFill="1" applyBorder="1" applyAlignment="1">
      <alignment horizontal="center" vertical="center"/>
    </xf>
    <xf numFmtId="0" fontId="0" fillId="3" borderId="10" xfId="0" applyFill="1" applyBorder="1"/>
    <xf numFmtId="0" fontId="0" fillId="4" borderId="27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167" fontId="16" fillId="3" borderId="40" xfId="0" applyNumberFormat="1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2" fillId="3" borderId="14" xfId="12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 wrapText="1"/>
    </xf>
    <xf numFmtId="167" fontId="7" fillId="3" borderId="14" xfId="1" applyNumberFormat="1" applyFont="1" applyFill="1" applyBorder="1" applyAlignment="1" applyProtection="1">
      <alignment horizontal="right" vertical="center" wrapText="1"/>
    </xf>
    <xf numFmtId="4" fontId="7" fillId="3" borderId="14" xfId="1" applyNumberFormat="1" applyFont="1" applyFill="1" applyBorder="1" applyAlignment="1" applyProtection="1">
      <alignment horizontal="right" vertical="center" wrapText="1"/>
    </xf>
    <xf numFmtId="0" fontId="35" fillId="3" borderId="3" xfId="0" applyFont="1" applyFill="1" applyBorder="1"/>
    <xf numFmtId="0" fontId="17" fillId="3" borderId="48" xfId="0" applyFont="1" applyFill="1" applyBorder="1" applyAlignment="1">
      <alignment horizontal="center" vertical="center"/>
    </xf>
    <xf numFmtId="0" fontId="17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3" fontId="17" fillId="3" borderId="48" xfId="0" applyNumberFormat="1" applyFont="1" applyFill="1" applyBorder="1" applyAlignment="1">
      <alignment horizontal="center" vertical="center"/>
    </xf>
    <xf numFmtId="44" fontId="17" fillId="3" borderId="48" xfId="1" applyNumberFormat="1" applyFill="1" applyBorder="1" applyAlignment="1">
      <alignment horizontal="right" vertical="center"/>
    </xf>
    <xf numFmtId="44" fontId="30" fillId="0" borderId="48" xfId="8" applyNumberFormat="1" applyFont="1" applyBorder="1" applyAlignment="1">
      <alignment horizontal="left" vertical="center"/>
    </xf>
    <xf numFmtId="0" fontId="0" fillId="0" borderId="48" xfId="0" applyBorder="1" applyAlignment="1">
      <alignment vertical="center" wrapText="1"/>
    </xf>
    <xf numFmtId="0" fontId="17" fillId="0" borderId="48" xfId="0" applyFont="1" applyBorder="1" applyAlignment="1">
      <alignment horizontal="left" vertical="center" wrapText="1"/>
    </xf>
    <xf numFmtId="0" fontId="17" fillId="3" borderId="49" xfId="0" applyFont="1" applyFill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0" fontId="17" fillId="0" borderId="49" xfId="0" applyFont="1" applyBorder="1" applyAlignment="1">
      <alignment vertical="center" wrapText="1"/>
    </xf>
    <xf numFmtId="0" fontId="27" fillId="0" borderId="49" xfId="0" applyFont="1" applyBorder="1" applyAlignment="1">
      <alignment horizontal="center" vertical="center" wrapText="1"/>
    </xf>
    <xf numFmtId="0" fontId="27" fillId="0" borderId="49" xfId="0" applyFont="1" applyBorder="1" applyAlignment="1">
      <alignment horizontal="left" vertical="center" wrapText="1"/>
    </xf>
    <xf numFmtId="3" fontId="17" fillId="3" borderId="49" xfId="0" applyNumberFormat="1" applyFont="1" applyFill="1" applyBorder="1" applyAlignment="1">
      <alignment horizontal="center" vertical="center"/>
    </xf>
    <xf numFmtId="44" fontId="17" fillId="3" borderId="49" xfId="1" applyNumberFormat="1" applyFill="1" applyBorder="1" applyAlignment="1">
      <alignment horizontal="right" vertical="center"/>
    </xf>
    <xf numFmtId="44" fontId="30" fillId="0" borderId="49" xfId="8" applyNumberFormat="1" applyFont="1" applyBorder="1" applyAlignment="1">
      <alignment horizontal="left" vertical="center"/>
    </xf>
    <xf numFmtId="0" fontId="18" fillId="3" borderId="5" xfId="6" applyFont="1" applyFill="1" applyBorder="1" applyAlignment="1">
      <alignment horizontal="left" vertical="center" wrapText="1"/>
    </xf>
    <xf numFmtId="0" fontId="18" fillId="3" borderId="0" xfId="6" applyFont="1" applyFill="1" applyAlignment="1">
      <alignment horizontal="left" vertical="center" wrapText="1"/>
    </xf>
    <xf numFmtId="0" fontId="18" fillId="3" borderId="6" xfId="6" applyFont="1" applyFill="1" applyBorder="1" applyAlignment="1">
      <alignment horizontal="left" vertical="center" wrapText="1"/>
    </xf>
    <xf numFmtId="0" fontId="18" fillId="3" borderId="5" xfId="6" applyFont="1" applyFill="1" applyBorder="1" applyAlignment="1">
      <alignment horizontal="left" wrapText="1"/>
    </xf>
    <xf numFmtId="0" fontId="18" fillId="3" borderId="0" xfId="6" applyFont="1" applyFill="1" applyAlignment="1">
      <alignment horizontal="left" wrapText="1"/>
    </xf>
    <xf numFmtId="0" fontId="29" fillId="0" borderId="5" xfId="7" applyFont="1" applyBorder="1" applyAlignment="1">
      <alignment horizontal="left" vertical="center" wrapText="1"/>
    </xf>
    <xf numFmtId="0" fontId="28" fillId="0" borderId="0" xfId="7" applyFont="1" applyAlignment="1">
      <alignment horizontal="left" vertical="center" wrapText="1"/>
    </xf>
    <xf numFmtId="0" fontId="19" fillId="3" borderId="0" xfId="0" applyFont="1" applyFill="1" applyAlignment="1">
      <alignment horizontal="center"/>
    </xf>
    <xf numFmtId="0" fontId="20" fillId="3" borderId="0" xfId="0" applyFont="1" applyFill="1" applyAlignment="1">
      <alignment horizontal="left" vertical="center" wrapText="1"/>
    </xf>
    <xf numFmtId="0" fontId="25" fillId="4" borderId="0" xfId="0" applyFont="1" applyFill="1" applyAlignment="1">
      <alignment horizontal="left" wrapText="1" indent="1"/>
    </xf>
    <xf numFmtId="0" fontId="7" fillId="3" borderId="14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3" fillId="0" borderId="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168" fontId="10" fillId="0" borderId="14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left" vertical="center" wrapText="1"/>
    </xf>
    <xf numFmtId="0" fontId="8" fillId="3" borderId="0" xfId="0" applyFont="1" applyFill="1" applyAlignment="1">
      <alignment horizontal="center" vertical="center"/>
    </xf>
    <xf numFmtId="0" fontId="10" fillId="3" borderId="13" xfId="0" applyFont="1" applyFill="1" applyBorder="1" applyAlignment="1">
      <alignment horizontal="left" vertical="center" wrapText="1"/>
    </xf>
    <xf numFmtId="0" fontId="10" fillId="3" borderId="45" xfId="0" applyFont="1" applyFill="1" applyBorder="1" applyAlignment="1">
      <alignment horizontal="left" vertical="center" wrapText="1"/>
    </xf>
    <xf numFmtId="0" fontId="9" fillId="3" borderId="14" xfId="0" applyFont="1" applyFill="1" applyBorder="1" applyAlignment="1">
      <alignment horizontal="left" vertical="center" wrapText="1" indent="1"/>
    </xf>
    <xf numFmtId="0" fontId="11" fillId="3" borderId="14" xfId="0" applyFont="1" applyFill="1" applyBorder="1" applyAlignment="1">
      <alignment horizontal="center" vertical="center" wrapText="1"/>
    </xf>
    <xf numFmtId="0" fontId="10" fillId="3" borderId="46" xfId="0" applyFont="1" applyFill="1" applyBorder="1" applyAlignment="1">
      <alignment horizontal="left" vertical="center" wrapText="1"/>
    </xf>
    <xf numFmtId="0" fontId="10" fillId="3" borderId="47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/>
    </xf>
    <xf numFmtId="0" fontId="10" fillId="3" borderId="44" xfId="0" applyFont="1" applyFill="1" applyBorder="1" applyAlignment="1">
      <alignment horizontal="left" vertical="center"/>
    </xf>
    <xf numFmtId="0" fontId="9" fillId="4" borderId="15" xfId="0" applyFont="1" applyFill="1" applyBorder="1" applyAlignment="1">
      <alignment vertical="center" wrapText="1"/>
    </xf>
    <xf numFmtId="0" fontId="11" fillId="3" borderId="14" xfId="0" applyFont="1" applyFill="1" applyBorder="1" applyAlignment="1">
      <alignment horizontal="center" vertical="center"/>
    </xf>
    <xf numFmtId="0" fontId="12" fillId="0" borderId="16" xfId="0" applyFont="1" applyBorder="1" applyAlignment="1">
      <alignment vertical="center" wrapText="1"/>
    </xf>
    <xf numFmtId="0" fontId="12" fillId="0" borderId="41" xfId="0" applyFont="1" applyBorder="1" applyAlignment="1">
      <alignment vertical="center" wrapText="1"/>
    </xf>
    <xf numFmtId="0" fontId="12" fillId="0" borderId="15" xfId="0" applyFont="1" applyBorder="1" applyAlignment="1">
      <alignment vertical="center" wrapText="1"/>
    </xf>
    <xf numFmtId="0" fontId="14" fillId="0" borderId="23" xfId="0" applyFont="1" applyBorder="1" applyAlignment="1">
      <alignment vertical="center" wrapText="1"/>
    </xf>
    <xf numFmtId="0" fontId="14" fillId="4" borderId="40" xfId="0" applyFont="1" applyFill="1" applyBorder="1" applyAlignment="1">
      <alignment horizontal="left" vertical="center" wrapText="1" indent="1"/>
    </xf>
    <xf numFmtId="0" fontId="0" fillId="0" borderId="34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12" fillId="3" borderId="40" xfId="0" applyFont="1" applyFill="1" applyBorder="1" applyAlignment="1">
      <alignment horizontal="left" vertical="center" wrapText="1"/>
    </xf>
    <xf numFmtId="0" fontId="0" fillId="3" borderId="18" xfId="0" applyFill="1" applyBorder="1"/>
    <xf numFmtId="0" fontId="34" fillId="0" borderId="28" xfId="0" applyFont="1" applyBorder="1" applyAlignment="1">
      <alignment horizontal="left" vertical="center"/>
    </xf>
    <xf numFmtId="0" fontId="14" fillId="3" borderId="19" xfId="0" applyFont="1" applyFill="1" applyBorder="1"/>
    <xf numFmtId="0" fontId="14" fillId="3" borderId="20" xfId="0" applyFont="1" applyFill="1" applyBorder="1" applyAlignment="1">
      <alignment horizontal="left" vertical="center" wrapText="1" indent="1"/>
    </xf>
    <xf numFmtId="0" fontId="16" fillId="0" borderId="1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/>
    </xf>
    <xf numFmtId="0" fontId="7" fillId="3" borderId="13" xfId="0" applyFont="1" applyFill="1" applyBorder="1" applyAlignment="1">
      <alignment horizontal="left" vertical="center" wrapText="1"/>
    </xf>
    <xf numFmtId="0" fontId="7" fillId="3" borderId="42" xfId="0" applyFont="1" applyFill="1" applyBorder="1" applyAlignment="1">
      <alignment horizontal="left" vertical="center" wrapText="1"/>
    </xf>
    <xf numFmtId="0" fontId="7" fillId="3" borderId="43" xfId="0" applyFont="1" applyFill="1" applyBorder="1" applyAlignment="1">
      <alignment horizontal="left" vertical="center" wrapText="1"/>
    </xf>
    <xf numFmtId="0" fontId="14" fillId="3" borderId="11" xfId="0" applyFont="1" applyFill="1" applyBorder="1" applyAlignment="1">
      <alignment horizontal="left" indent="1"/>
    </xf>
    <xf numFmtId="0" fontId="15" fillId="0" borderId="11" xfId="0" applyFont="1" applyBorder="1" applyAlignment="1">
      <alignment horizontal="left"/>
    </xf>
    <xf numFmtId="0" fontId="0" fillId="0" borderId="16" xfId="0" applyBorder="1" applyAlignment="1">
      <alignment horizontal="center"/>
    </xf>
    <xf numFmtId="3" fontId="12" fillId="0" borderId="17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 vertical="center" wrapText="1"/>
    </xf>
    <xf numFmtId="0" fontId="5" fillId="3" borderId="11" xfId="0" applyFont="1" applyFill="1" applyBorder="1"/>
  </cellXfs>
  <cellStyles count="14">
    <cellStyle name="Encabezado 1" xfId="2" xr:uid="{00000000-0005-0000-0000-000000000000}"/>
    <cellStyle name="Millares 2" xfId="10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" xfId="5" xr:uid="{00000000-0005-0000-0000-000006000000}"/>
    <cellStyle name="Normal 2 2" xfId="7" xr:uid="{00000000-0005-0000-0000-000007000000}"/>
    <cellStyle name="Normal 2 3" xfId="6" xr:uid="{00000000-0005-0000-0000-000008000000}"/>
    <cellStyle name="Normal 3" xfId="11" xr:uid="{00000000-0005-0000-0000-000009000000}"/>
    <cellStyle name="Normal 4" xfId="9" xr:uid="{00000000-0005-0000-0000-00000A000000}"/>
    <cellStyle name="Normal 5" xfId="8" xr:uid="{00000000-0005-0000-0000-00000B000000}"/>
    <cellStyle name="Normal 6" xfId="12" xr:uid="{00000000-0005-0000-0000-00000C000000}"/>
    <cellStyle name="Normal 7" xfId="13" xr:uid="{00000000-0005-0000-0000-00000D000000}"/>
  </cellStyles>
  <dxfs count="6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79"/>
  <sheetViews>
    <sheetView topLeftCell="A39" zoomScale="87" zoomScaleNormal="87" workbookViewId="0">
      <selection activeCell="I10" sqref="I10:I43"/>
    </sheetView>
  </sheetViews>
  <sheetFormatPr baseColWidth="10" defaultColWidth="11" defaultRowHeight="12.75" x14ac:dyDescent="0.2"/>
  <cols>
    <col min="1" max="1" width="4.5703125" style="40" customWidth="1"/>
    <col min="2" max="2" width="14" style="40" customWidth="1"/>
    <col min="3" max="3" width="35.85546875" style="40" bestFit="1" customWidth="1"/>
    <col min="4" max="4" width="8.42578125" style="40" customWidth="1"/>
    <col min="5" max="5" width="70" style="65" customWidth="1"/>
    <col min="6" max="6" width="15.28515625" style="40" customWidth="1"/>
    <col min="7" max="7" width="15" style="40" bestFit="1" customWidth="1"/>
    <col min="8" max="8" width="14.42578125" style="40" bestFit="1" customWidth="1"/>
    <col min="9" max="9" width="17" style="40" customWidth="1"/>
    <col min="10" max="10" width="12" style="47" customWidth="1"/>
    <col min="11" max="11" width="100.7109375" style="65" bestFit="1" customWidth="1"/>
    <col min="12" max="16384" width="11" style="40"/>
  </cols>
  <sheetData>
    <row r="2" spans="1:11" ht="27" x14ac:dyDescent="0.35">
      <c r="B2" s="129" t="s">
        <v>0</v>
      </c>
      <c r="C2" s="129"/>
      <c r="D2" s="129"/>
      <c r="E2" s="129"/>
      <c r="F2" s="129"/>
      <c r="G2" s="129"/>
      <c r="H2" s="129"/>
      <c r="I2" s="129"/>
    </row>
    <row r="4" spans="1:11" ht="15.75" x14ac:dyDescent="0.25">
      <c r="A4" s="130" t="s">
        <v>1</v>
      </c>
      <c r="B4" s="130"/>
      <c r="C4" s="131" t="s">
        <v>49</v>
      </c>
      <c r="D4" s="131"/>
      <c r="E4" s="131"/>
      <c r="F4" s="131"/>
      <c r="G4" s="41"/>
      <c r="H4" s="42"/>
      <c r="I4" s="41"/>
    </row>
    <row r="5" spans="1:11" ht="15.75" x14ac:dyDescent="0.25">
      <c r="A5" s="130" t="s">
        <v>2</v>
      </c>
      <c r="B5" s="130"/>
      <c r="C5" s="131" t="s">
        <v>137</v>
      </c>
      <c r="D5" s="131"/>
      <c r="E5" s="131"/>
      <c r="F5" s="131"/>
      <c r="G5" s="41"/>
      <c r="H5" s="42"/>
      <c r="I5" s="41"/>
    </row>
    <row r="6" spans="1:11" ht="15.75" x14ac:dyDescent="0.25">
      <c r="A6" s="130" t="s">
        <v>3</v>
      </c>
      <c r="B6" s="130"/>
      <c r="C6" s="35">
        <v>2022</v>
      </c>
      <c r="D6" s="36"/>
      <c r="E6" s="74"/>
      <c r="F6" s="36"/>
      <c r="G6" s="41"/>
      <c r="H6" s="42"/>
      <c r="I6" s="41"/>
    </row>
    <row r="7" spans="1:11" ht="15.75" x14ac:dyDescent="0.25">
      <c r="A7" s="130" t="s">
        <v>4</v>
      </c>
      <c r="B7" s="130"/>
      <c r="C7" s="35">
        <v>4</v>
      </c>
      <c r="D7" s="36"/>
      <c r="E7" s="74"/>
      <c r="F7" s="36"/>
      <c r="G7" s="41"/>
      <c r="H7" s="42"/>
      <c r="I7" s="41"/>
    </row>
    <row r="8" spans="1:11" ht="13.5" thickBot="1" x14ac:dyDescent="0.25">
      <c r="B8" s="41"/>
      <c r="C8" s="42"/>
      <c r="D8" s="41"/>
      <c r="E8" s="75"/>
      <c r="F8" s="41"/>
      <c r="G8" s="41"/>
      <c r="H8" s="42"/>
      <c r="I8" s="41"/>
    </row>
    <row r="9" spans="1:11" s="81" customFormat="1" ht="39" thickBot="1" x14ac:dyDescent="0.25">
      <c r="A9" s="54" t="s">
        <v>5</v>
      </c>
      <c r="B9" s="54" t="s">
        <v>6</v>
      </c>
      <c r="C9" s="54" t="s">
        <v>7</v>
      </c>
      <c r="D9" s="54" t="s">
        <v>8</v>
      </c>
      <c r="E9" s="54" t="s">
        <v>133</v>
      </c>
      <c r="F9" s="54" t="s">
        <v>9</v>
      </c>
      <c r="G9" s="54" t="s">
        <v>10</v>
      </c>
      <c r="H9" s="54" t="s">
        <v>11</v>
      </c>
      <c r="I9" s="55" t="s">
        <v>12</v>
      </c>
      <c r="J9" s="44"/>
    </row>
    <row r="10" spans="1:11" ht="45.75" customHeight="1" thickBot="1" x14ac:dyDescent="0.25">
      <c r="A10" s="56">
        <v>1</v>
      </c>
      <c r="B10" s="61" t="s">
        <v>116</v>
      </c>
      <c r="C10" s="69" t="s">
        <v>105</v>
      </c>
      <c r="D10" s="66">
        <v>252</v>
      </c>
      <c r="E10" s="72" t="s">
        <v>115</v>
      </c>
      <c r="F10" s="56" t="s">
        <v>59</v>
      </c>
      <c r="G10" s="59">
        <v>90</v>
      </c>
      <c r="H10" s="62">
        <v>35.24</v>
      </c>
      <c r="I10" s="60">
        <f t="shared" ref="I10:I21" si="0">+G10*H10</f>
        <v>3171.6000000000004</v>
      </c>
      <c r="J10" s="40"/>
      <c r="K10" s="40"/>
    </row>
    <row r="11" spans="1:11" ht="45.75" customHeight="1" thickBot="1" x14ac:dyDescent="0.25">
      <c r="A11" s="56">
        <v>2</v>
      </c>
      <c r="B11" s="56" t="s">
        <v>134</v>
      </c>
      <c r="C11" s="86" t="s">
        <v>105</v>
      </c>
      <c r="D11" s="57">
        <v>252</v>
      </c>
      <c r="E11" s="87" t="s">
        <v>135</v>
      </c>
      <c r="F11" s="56" t="s">
        <v>61</v>
      </c>
      <c r="G11" s="59">
        <v>20</v>
      </c>
      <c r="H11" s="62">
        <v>775</v>
      </c>
      <c r="I11" s="60">
        <f t="shared" si="0"/>
        <v>15500</v>
      </c>
      <c r="J11" s="40"/>
      <c r="K11" s="40"/>
    </row>
    <row r="12" spans="1:11" ht="45.75" customHeight="1" thickBot="1" x14ac:dyDescent="0.25">
      <c r="A12" s="56">
        <v>3</v>
      </c>
      <c r="B12" s="61" t="s">
        <v>118</v>
      </c>
      <c r="C12" s="69" t="s">
        <v>105</v>
      </c>
      <c r="D12" s="66">
        <v>252</v>
      </c>
      <c r="E12" s="79" t="s">
        <v>117</v>
      </c>
      <c r="F12" s="56" t="s">
        <v>59</v>
      </c>
      <c r="G12" s="59">
        <v>20</v>
      </c>
      <c r="H12" s="62">
        <v>1120</v>
      </c>
      <c r="I12" s="60">
        <f t="shared" si="0"/>
        <v>22400</v>
      </c>
      <c r="J12" s="40"/>
      <c r="K12" s="40"/>
    </row>
    <row r="13" spans="1:11" ht="45.75" customHeight="1" thickBot="1" x14ac:dyDescent="0.25">
      <c r="A13" s="56">
        <v>4</v>
      </c>
      <c r="B13" s="61" t="s">
        <v>109</v>
      </c>
      <c r="C13" s="69" t="s">
        <v>105</v>
      </c>
      <c r="D13" s="66">
        <v>252</v>
      </c>
      <c r="E13" s="67" t="s">
        <v>108</v>
      </c>
      <c r="F13" s="56" t="s">
        <v>59</v>
      </c>
      <c r="G13" s="59">
        <v>20</v>
      </c>
      <c r="H13" s="62">
        <v>580</v>
      </c>
      <c r="I13" s="60">
        <f t="shared" si="0"/>
        <v>11600</v>
      </c>
      <c r="J13" s="40"/>
      <c r="K13" s="40"/>
    </row>
    <row r="14" spans="1:11" ht="45.75" customHeight="1" thickBot="1" x14ac:dyDescent="0.25">
      <c r="A14" s="56">
        <v>5</v>
      </c>
      <c r="B14" s="56" t="s">
        <v>64</v>
      </c>
      <c r="C14" s="69" t="s">
        <v>105</v>
      </c>
      <c r="D14" s="57">
        <v>252</v>
      </c>
      <c r="E14" s="58" t="s">
        <v>86</v>
      </c>
      <c r="F14" s="56" t="s">
        <v>57</v>
      </c>
      <c r="G14" s="59">
        <v>90</v>
      </c>
      <c r="H14" s="62">
        <v>18320</v>
      </c>
      <c r="I14" s="60">
        <f t="shared" si="0"/>
        <v>1648800</v>
      </c>
      <c r="J14" s="40"/>
      <c r="K14" s="40"/>
    </row>
    <row r="15" spans="1:11" ht="45.75" customHeight="1" thickBot="1" x14ac:dyDescent="0.25">
      <c r="A15" s="56">
        <v>6</v>
      </c>
      <c r="B15" s="56" t="s">
        <v>65</v>
      </c>
      <c r="C15" s="69" t="s">
        <v>105</v>
      </c>
      <c r="D15" s="57">
        <v>252</v>
      </c>
      <c r="E15" s="58" t="s">
        <v>87</v>
      </c>
      <c r="F15" s="56" t="s">
        <v>59</v>
      </c>
      <c r="G15" s="59">
        <v>30</v>
      </c>
      <c r="H15" s="62">
        <v>280</v>
      </c>
      <c r="I15" s="60">
        <f t="shared" si="0"/>
        <v>8400</v>
      </c>
      <c r="J15" s="40"/>
      <c r="K15" s="40"/>
    </row>
    <row r="16" spans="1:11" ht="45.75" customHeight="1" thickBot="1" x14ac:dyDescent="0.25">
      <c r="A16" s="56">
        <v>7</v>
      </c>
      <c r="B16" s="56" t="s">
        <v>66</v>
      </c>
      <c r="C16" s="69" t="s">
        <v>105</v>
      </c>
      <c r="D16" s="57">
        <v>252</v>
      </c>
      <c r="E16" s="58" t="s">
        <v>88</v>
      </c>
      <c r="F16" s="56" t="s">
        <v>58</v>
      </c>
      <c r="G16" s="59">
        <v>600</v>
      </c>
      <c r="H16" s="62">
        <v>295</v>
      </c>
      <c r="I16" s="60">
        <f t="shared" si="0"/>
        <v>177000</v>
      </c>
      <c r="J16" s="40"/>
      <c r="K16" s="40"/>
    </row>
    <row r="17" spans="1:11" ht="45.75" customHeight="1" thickBot="1" x14ac:dyDescent="0.25">
      <c r="A17" s="56">
        <v>8</v>
      </c>
      <c r="B17" s="61" t="s">
        <v>120</v>
      </c>
      <c r="C17" s="69" t="s">
        <v>105</v>
      </c>
      <c r="D17" s="66">
        <v>252</v>
      </c>
      <c r="E17" s="72" t="s">
        <v>119</v>
      </c>
      <c r="F17" s="61" t="s">
        <v>59</v>
      </c>
      <c r="G17" s="59">
        <v>50</v>
      </c>
      <c r="H17" s="62">
        <v>750</v>
      </c>
      <c r="I17" s="68">
        <f t="shared" si="0"/>
        <v>37500</v>
      </c>
      <c r="J17" s="40"/>
      <c r="K17" s="40"/>
    </row>
    <row r="18" spans="1:11" ht="45.75" customHeight="1" thickBot="1" x14ac:dyDescent="0.25">
      <c r="A18" s="56">
        <v>9</v>
      </c>
      <c r="B18" s="61" t="s">
        <v>122</v>
      </c>
      <c r="C18" s="69" t="s">
        <v>105</v>
      </c>
      <c r="D18" s="66">
        <v>252</v>
      </c>
      <c r="E18" s="72" t="s">
        <v>121</v>
      </c>
      <c r="F18" s="61" t="s">
        <v>56</v>
      </c>
      <c r="G18" s="59">
        <v>48</v>
      </c>
      <c r="H18" s="62">
        <v>306.75</v>
      </c>
      <c r="I18" s="68">
        <f t="shared" si="0"/>
        <v>14724</v>
      </c>
      <c r="J18" s="40"/>
      <c r="K18" s="40"/>
    </row>
    <row r="19" spans="1:11" ht="45.75" customHeight="1" thickBot="1" x14ac:dyDescent="0.25">
      <c r="A19" s="56">
        <v>10</v>
      </c>
      <c r="B19" s="61" t="s">
        <v>67</v>
      </c>
      <c r="C19" s="70" t="s">
        <v>105</v>
      </c>
      <c r="D19" s="66">
        <v>252</v>
      </c>
      <c r="E19" s="72" t="s">
        <v>123</v>
      </c>
      <c r="F19" s="61" t="s">
        <v>58</v>
      </c>
      <c r="G19" s="59">
        <v>40</v>
      </c>
      <c r="H19" s="62">
        <v>1200</v>
      </c>
      <c r="I19" s="68">
        <f t="shared" si="0"/>
        <v>48000</v>
      </c>
      <c r="J19" s="71"/>
      <c r="K19" s="40"/>
    </row>
    <row r="20" spans="1:11" ht="45.75" customHeight="1" thickBot="1" x14ac:dyDescent="0.25">
      <c r="A20" s="56">
        <v>11</v>
      </c>
      <c r="B20" s="56" t="s">
        <v>68</v>
      </c>
      <c r="C20" s="69" t="s">
        <v>105</v>
      </c>
      <c r="D20" s="57">
        <v>252</v>
      </c>
      <c r="E20" s="58" t="s">
        <v>106</v>
      </c>
      <c r="F20" s="56" t="s">
        <v>56</v>
      </c>
      <c r="G20" s="59">
        <v>60</v>
      </c>
      <c r="H20" s="62">
        <v>149.35</v>
      </c>
      <c r="I20" s="60">
        <f t="shared" si="0"/>
        <v>8961</v>
      </c>
      <c r="J20" s="40"/>
      <c r="K20" s="40"/>
    </row>
    <row r="21" spans="1:11" ht="45.75" customHeight="1" thickBot="1" x14ac:dyDescent="0.25">
      <c r="A21" s="56">
        <v>12</v>
      </c>
      <c r="B21" s="56" t="s">
        <v>69</v>
      </c>
      <c r="C21" s="69" t="s">
        <v>105</v>
      </c>
      <c r="D21" s="57">
        <v>252</v>
      </c>
      <c r="E21" s="58" t="s">
        <v>89</v>
      </c>
      <c r="F21" s="56" t="s">
        <v>58</v>
      </c>
      <c r="G21" s="59">
        <v>3200</v>
      </c>
      <c r="H21" s="62">
        <v>45</v>
      </c>
      <c r="I21" s="60">
        <f t="shared" si="0"/>
        <v>144000</v>
      </c>
      <c r="J21" s="40"/>
      <c r="K21" s="40"/>
    </row>
    <row r="22" spans="1:11" ht="45.75" customHeight="1" thickBot="1" x14ac:dyDescent="0.25">
      <c r="A22" s="56">
        <v>13</v>
      </c>
      <c r="B22" s="56" t="s">
        <v>70</v>
      </c>
      <c r="C22" s="69" t="s">
        <v>105</v>
      </c>
      <c r="D22" s="57">
        <v>252</v>
      </c>
      <c r="E22" s="58" t="s">
        <v>90</v>
      </c>
      <c r="F22" s="56" t="s">
        <v>56</v>
      </c>
      <c r="G22" s="59">
        <v>50</v>
      </c>
      <c r="H22" s="62">
        <v>4.6500000000000004</v>
      </c>
      <c r="I22" s="60">
        <f t="shared" ref="I22:I43" si="1">+G22*H22</f>
        <v>232.50000000000003</v>
      </c>
      <c r="J22" s="40"/>
      <c r="K22" s="40"/>
    </row>
    <row r="23" spans="1:11" ht="45.75" customHeight="1" thickBot="1" x14ac:dyDescent="0.25">
      <c r="A23" s="56">
        <v>14</v>
      </c>
      <c r="B23" s="56" t="s">
        <v>71</v>
      </c>
      <c r="C23" s="69" t="s">
        <v>105</v>
      </c>
      <c r="D23" s="57">
        <v>252</v>
      </c>
      <c r="E23" s="58" t="s">
        <v>91</v>
      </c>
      <c r="F23" s="56" t="s">
        <v>58</v>
      </c>
      <c r="G23" s="59">
        <v>500</v>
      </c>
      <c r="H23" s="62">
        <v>55</v>
      </c>
      <c r="I23" s="60">
        <f t="shared" si="1"/>
        <v>27500</v>
      </c>
      <c r="J23" s="40"/>
      <c r="K23" s="40"/>
    </row>
    <row r="24" spans="1:11" ht="45.75" customHeight="1" thickBot="1" x14ac:dyDescent="0.25">
      <c r="A24" s="56">
        <v>15</v>
      </c>
      <c r="B24" s="56" t="s">
        <v>72</v>
      </c>
      <c r="C24" s="69" t="s">
        <v>105</v>
      </c>
      <c r="D24" s="57">
        <v>252</v>
      </c>
      <c r="E24" s="58" t="s">
        <v>92</v>
      </c>
      <c r="F24" s="56" t="s">
        <v>58</v>
      </c>
      <c r="G24" s="59">
        <v>400</v>
      </c>
      <c r="H24" s="62">
        <v>41</v>
      </c>
      <c r="I24" s="60">
        <f t="shared" si="1"/>
        <v>16400</v>
      </c>
      <c r="J24" s="40"/>
      <c r="K24" s="40"/>
    </row>
    <row r="25" spans="1:11" ht="45.75" customHeight="1" thickBot="1" x14ac:dyDescent="0.25">
      <c r="A25" s="56">
        <v>16</v>
      </c>
      <c r="B25" s="56" t="s">
        <v>73</v>
      </c>
      <c r="C25" s="69" t="s">
        <v>105</v>
      </c>
      <c r="D25" s="57">
        <v>252</v>
      </c>
      <c r="E25" s="58" t="s">
        <v>93</v>
      </c>
      <c r="F25" s="56" t="s">
        <v>58</v>
      </c>
      <c r="G25" s="59">
        <v>400</v>
      </c>
      <c r="H25" s="62">
        <v>120</v>
      </c>
      <c r="I25" s="60">
        <f t="shared" si="1"/>
        <v>48000</v>
      </c>
      <c r="J25" s="40"/>
      <c r="K25" s="40"/>
    </row>
    <row r="26" spans="1:11" ht="45.75" customHeight="1" thickBot="1" x14ac:dyDescent="0.25">
      <c r="A26" s="56">
        <v>17</v>
      </c>
      <c r="B26" s="56" t="s">
        <v>74</v>
      </c>
      <c r="C26" s="69" t="s">
        <v>105</v>
      </c>
      <c r="D26" s="57">
        <v>252</v>
      </c>
      <c r="E26" s="58" t="s">
        <v>94</v>
      </c>
      <c r="F26" s="56" t="s">
        <v>58</v>
      </c>
      <c r="G26" s="59">
        <v>200</v>
      </c>
      <c r="H26" s="62">
        <v>222</v>
      </c>
      <c r="I26" s="60">
        <f t="shared" si="1"/>
        <v>44400</v>
      </c>
      <c r="J26" s="40"/>
      <c r="K26" s="40"/>
    </row>
    <row r="27" spans="1:11" ht="45.75" customHeight="1" thickBot="1" x14ac:dyDescent="0.25">
      <c r="A27" s="56">
        <v>18</v>
      </c>
      <c r="B27" s="56" t="s">
        <v>75</v>
      </c>
      <c r="C27" s="69" t="s">
        <v>105</v>
      </c>
      <c r="D27" s="57">
        <v>252</v>
      </c>
      <c r="E27" s="58" t="s">
        <v>95</v>
      </c>
      <c r="F27" s="56" t="s">
        <v>60</v>
      </c>
      <c r="G27" s="59">
        <v>30</v>
      </c>
      <c r="H27" s="62">
        <v>98</v>
      </c>
      <c r="I27" s="60">
        <f t="shared" si="1"/>
        <v>2940</v>
      </c>
      <c r="J27" s="40"/>
      <c r="K27" s="40"/>
    </row>
    <row r="28" spans="1:11" ht="45.75" customHeight="1" thickBot="1" x14ac:dyDescent="0.25">
      <c r="A28" s="56">
        <v>19</v>
      </c>
      <c r="B28" s="56" t="s">
        <v>76</v>
      </c>
      <c r="C28" s="69" t="s">
        <v>105</v>
      </c>
      <c r="D28" s="57">
        <v>252</v>
      </c>
      <c r="E28" s="58" t="s">
        <v>96</v>
      </c>
      <c r="F28" s="56" t="s">
        <v>58</v>
      </c>
      <c r="G28" s="59">
        <v>900</v>
      </c>
      <c r="H28" s="62">
        <v>45</v>
      </c>
      <c r="I28" s="60">
        <f t="shared" si="1"/>
        <v>40500</v>
      </c>
      <c r="J28" s="65"/>
      <c r="K28" s="40"/>
    </row>
    <row r="29" spans="1:11" ht="45.75" customHeight="1" thickBot="1" x14ac:dyDescent="0.25">
      <c r="A29" s="56">
        <v>20</v>
      </c>
      <c r="B29" s="56" t="s">
        <v>77</v>
      </c>
      <c r="C29" s="69" t="s">
        <v>105</v>
      </c>
      <c r="D29" s="57">
        <v>252</v>
      </c>
      <c r="E29" s="58" t="s">
        <v>97</v>
      </c>
      <c r="F29" s="56" t="s">
        <v>56</v>
      </c>
      <c r="G29" s="59">
        <v>50</v>
      </c>
      <c r="H29" s="62">
        <v>18.3</v>
      </c>
      <c r="I29" s="60">
        <f t="shared" si="1"/>
        <v>915</v>
      </c>
      <c r="J29" s="40"/>
      <c r="K29" s="40"/>
    </row>
    <row r="30" spans="1:11" ht="45.75" customHeight="1" thickBot="1" x14ac:dyDescent="0.25">
      <c r="A30" s="56">
        <v>21</v>
      </c>
      <c r="B30" s="56" t="s">
        <v>78</v>
      </c>
      <c r="C30" s="69" t="s">
        <v>105</v>
      </c>
      <c r="D30" s="57">
        <v>252</v>
      </c>
      <c r="E30" s="58" t="s">
        <v>98</v>
      </c>
      <c r="F30" s="56" t="s">
        <v>56</v>
      </c>
      <c r="G30" s="59">
        <v>30</v>
      </c>
      <c r="H30" s="62">
        <v>3.44</v>
      </c>
      <c r="I30" s="60">
        <f t="shared" si="1"/>
        <v>103.2</v>
      </c>
      <c r="J30" s="40"/>
      <c r="K30" s="40"/>
    </row>
    <row r="31" spans="1:11" ht="45.75" customHeight="1" thickBot="1" x14ac:dyDescent="0.25">
      <c r="A31" s="56">
        <v>22</v>
      </c>
      <c r="B31" s="56" t="s">
        <v>79</v>
      </c>
      <c r="C31" s="69" t="s">
        <v>105</v>
      </c>
      <c r="D31" s="57">
        <v>252</v>
      </c>
      <c r="E31" s="58" t="s">
        <v>99</v>
      </c>
      <c r="F31" s="56" t="s">
        <v>56</v>
      </c>
      <c r="G31" s="59">
        <v>30</v>
      </c>
      <c r="H31" s="62">
        <v>9.8000000000000007</v>
      </c>
      <c r="I31" s="60">
        <f t="shared" si="1"/>
        <v>294</v>
      </c>
      <c r="J31" s="40"/>
      <c r="K31" s="40"/>
    </row>
    <row r="32" spans="1:11" ht="45.75" customHeight="1" thickBot="1" x14ac:dyDescent="0.25">
      <c r="A32" s="56">
        <v>23</v>
      </c>
      <c r="B32" s="56" t="s">
        <v>82</v>
      </c>
      <c r="C32" s="69" t="s">
        <v>105</v>
      </c>
      <c r="D32" s="57">
        <v>252</v>
      </c>
      <c r="E32" s="58" t="s">
        <v>100</v>
      </c>
      <c r="F32" s="56" t="s">
        <v>58</v>
      </c>
      <c r="G32" s="59">
        <v>30</v>
      </c>
      <c r="H32" s="63">
        <v>689</v>
      </c>
      <c r="I32" s="60">
        <f t="shared" si="1"/>
        <v>20670</v>
      </c>
      <c r="J32" s="40"/>
      <c r="K32" s="40"/>
    </row>
    <row r="33" spans="1:11" ht="45.75" customHeight="1" thickBot="1" x14ac:dyDescent="0.25">
      <c r="A33" s="56">
        <v>24</v>
      </c>
      <c r="B33" s="56" t="s">
        <v>80</v>
      </c>
      <c r="C33" s="69" t="s">
        <v>105</v>
      </c>
      <c r="D33" s="57">
        <v>252</v>
      </c>
      <c r="E33" s="58" t="s">
        <v>107</v>
      </c>
      <c r="F33" s="56" t="s">
        <v>56</v>
      </c>
      <c r="G33" s="59">
        <v>30</v>
      </c>
      <c r="H33" s="63">
        <v>55</v>
      </c>
      <c r="I33" s="60">
        <f t="shared" si="1"/>
        <v>1650</v>
      </c>
      <c r="J33" s="40"/>
      <c r="K33" s="40"/>
    </row>
    <row r="34" spans="1:11" ht="45.75" customHeight="1" thickBot="1" x14ac:dyDescent="0.25">
      <c r="A34" s="56">
        <v>25</v>
      </c>
      <c r="B34" s="56" t="s">
        <v>81</v>
      </c>
      <c r="C34" s="69" t="s">
        <v>105</v>
      </c>
      <c r="D34" s="57">
        <v>252</v>
      </c>
      <c r="E34" s="58" t="s">
        <v>101</v>
      </c>
      <c r="F34" s="56" t="s">
        <v>56</v>
      </c>
      <c r="G34" s="59">
        <v>30</v>
      </c>
      <c r="H34" s="63">
        <v>17.350000000000001</v>
      </c>
      <c r="I34" s="60">
        <f t="shared" si="1"/>
        <v>520.5</v>
      </c>
      <c r="J34" s="40"/>
      <c r="K34" s="40"/>
    </row>
    <row r="35" spans="1:11" ht="45.75" customHeight="1" thickBot="1" x14ac:dyDescent="0.25">
      <c r="A35" s="56">
        <v>26</v>
      </c>
      <c r="B35" s="56" t="s">
        <v>83</v>
      </c>
      <c r="C35" s="69" t="s">
        <v>105</v>
      </c>
      <c r="D35" s="57">
        <v>252</v>
      </c>
      <c r="E35" s="58" t="s">
        <v>102</v>
      </c>
      <c r="F35" s="56" t="s">
        <v>59</v>
      </c>
      <c r="G35" s="59">
        <v>80</v>
      </c>
      <c r="H35" s="63">
        <v>47.24</v>
      </c>
      <c r="I35" s="60">
        <f t="shared" si="1"/>
        <v>3779.2000000000003</v>
      </c>
      <c r="J35" s="40"/>
      <c r="K35" s="40"/>
    </row>
    <row r="36" spans="1:11" ht="45.75" customHeight="1" thickBot="1" x14ac:dyDescent="0.25">
      <c r="A36" s="56">
        <v>27</v>
      </c>
      <c r="B36" s="61" t="s">
        <v>110</v>
      </c>
      <c r="C36" s="70" t="s">
        <v>105</v>
      </c>
      <c r="D36" s="66">
        <v>252</v>
      </c>
      <c r="E36" s="72" t="s">
        <v>130</v>
      </c>
      <c r="F36" s="61" t="s">
        <v>56</v>
      </c>
      <c r="G36" s="59">
        <v>2000</v>
      </c>
      <c r="H36" s="62">
        <v>520</v>
      </c>
      <c r="I36" s="68">
        <f t="shared" si="1"/>
        <v>1040000</v>
      </c>
      <c r="J36" s="71"/>
      <c r="K36" s="40"/>
    </row>
    <row r="37" spans="1:11" ht="45.75" customHeight="1" thickBot="1" x14ac:dyDescent="0.25">
      <c r="A37" s="56">
        <v>28</v>
      </c>
      <c r="B37" s="61" t="s">
        <v>125</v>
      </c>
      <c r="C37" s="69" t="s">
        <v>105</v>
      </c>
      <c r="D37" s="66">
        <v>252</v>
      </c>
      <c r="E37" s="67" t="s">
        <v>124</v>
      </c>
      <c r="F37" s="61" t="s">
        <v>56</v>
      </c>
      <c r="G37" s="59">
        <v>80</v>
      </c>
      <c r="H37" s="63">
        <v>33.5</v>
      </c>
      <c r="I37" s="68">
        <f t="shared" si="1"/>
        <v>2680</v>
      </c>
      <c r="J37" s="73"/>
      <c r="K37" s="40"/>
    </row>
    <row r="38" spans="1:11" ht="45.75" customHeight="1" thickBot="1" x14ac:dyDescent="0.25">
      <c r="A38" s="56">
        <v>29</v>
      </c>
      <c r="B38" s="56" t="s">
        <v>84</v>
      </c>
      <c r="C38" s="69" t="s">
        <v>105</v>
      </c>
      <c r="D38" s="57">
        <v>252</v>
      </c>
      <c r="E38" s="58" t="s">
        <v>103</v>
      </c>
      <c r="F38" s="56" t="s">
        <v>58</v>
      </c>
      <c r="G38" s="59">
        <v>4000</v>
      </c>
      <c r="H38" s="63">
        <v>36</v>
      </c>
      <c r="I38" s="60">
        <f t="shared" si="1"/>
        <v>144000</v>
      </c>
      <c r="J38" s="40"/>
      <c r="K38" s="40"/>
    </row>
    <row r="39" spans="1:11" ht="45.75" customHeight="1" thickBot="1" x14ac:dyDescent="0.25">
      <c r="A39" s="56">
        <v>30</v>
      </c>
      <c r="B39" s="61" t="s">
        <v>127</v>
      </c>
      <c r="C39" s="69" t="s">
        <v>105</v>
      </c>
      <c r="D39" s="66">
        <v>252</v>
      </c>
      <c r="E39" s="72" t="s">
        <v>126</v>
      </c>
      <c r="F39" s="61" t="s">
        <v>62</v>
      </c>
      <c r="G39" s="59">
        <v>100</v>
      </c>
      <c r="H39" s="63">
        <v>330</v>
      </c>
      <c r="I39" s="68">
        <f t="shared" si="1"/>
        <v>33000</v>
      </c>
      <c r="J39" s="40"/>
      <c r="K39" s="40"/>
    </row>
    <row r="40" spans="1:11" ht="45.75" customHeight="1" thickBot="1" x14ac:dyDescent="0.25">
      <c r="A40" s="56">
        <v>31</v>
      </c>
      <c r="B40" s="61" t="s">
        <v>113</v>
      </c>
      <c r="C40" s="70" t="s">
        <v>105</v>
      </c>
      <c r="D40" s="66">
        <v>252</v>
      </c>
      <c r="E40" s="67" t="s">
        <v>114</v>
      </c>
      <c r="F40" s="61" t="s">
        <v>59</v>
      </c>
      <c r="G40" s="59">
        <v>250</v>
      </c>
      <c r="H40" s="63">
        <v>1580</v>
      </c>
      <c r="I40" s="68">
        <f t="shared" si="1"/>
        <v>395000</v>
      </c>
      <c r="J40" s="71"/>
      <c r="K40" s="64"/>
    </row>
    <row r="41" spans="1:11" ht="45.75" customHeight="1" thickBot="1" x14ac:dyDescent="0.25">
      <c r="A41" s="56">
        <v>32</v>
      </c>
      <c r="B41" s="56" t="s">
        <v>85</v>
      </c>
      <c r="C41" s="69" t="s">
        <v>105</v>
      </c>
      <c r="D41" s="57">
        <v>252</v>
      </c>
      <c r="E41" s="58" t="s">
        <v>104</v>
      </c>
      <c r="F41" s="56" t="s">
        <v>60</v>
      </c>
      <c r="G41" s="59">
        <v>50</v>
      </c>
      <c r="H41" s="63">
        <v>95</v>
      </c>
      <c r="I41" s="60">
        <f t="shared" si="1"/>
        <v>4750</v>
      </c>
      <c r="J41" s="40"/>
      <c r="K41" s="40"/>
    </row>
    <row r="42" spans="1:11" ht="45.75" customHeight="1" x14ac:dyDescent="0.2">
      <c r="A42" s="106">
        <v>33</v>
      </c>
      <c r="B42" s="107" t="s">
        <v>129</v>
      </c>
      <c r="C42" s="112" t="s">
        <v>105</v>
      </c>
      <c r="D42" s="108">
        <v>252</v>
      </c>
      <c r="E42" s="113" t="s">
        <v>128</v>
      </c>
      <c r="F42" s="107" t="s">
        <v>59</v>
      </c>
      <c r="G42" s="109">
        <v>10</v>
      </c>
      <c r="H42" s="110">
        <v>1120</v>
      </c>
      <c r="I42" s="111">
        <f t="shared" si="1"/>
        <v>11200</v>
      </c>
      <c r="J42" s="40"/>
      <c r="K42" s="40"/>
    </row>
    <row r="43" spans="1:11" ht="45.75" customHeight="1" x14ac:dyDescent="0.2">
      <c r="A43" s="114">
        <v>34</v>
      </c>
      <c r="B43" s="115" t="s">
        <v>112</v>
      </c>
      <c r="C43" s="116" t="s">
        <v>105</v>
      </c>
      <c r="D43" s="117">
        <v>252</v>
      </c>
      <c r="E43" s="118" t="s">
        <v>111</v>
      </c>
      <c r="F43" s="115" t="s">
        <v>58</v>
      </c>
      <c r="G43" s="119">
        <v>60</v>
      </c>
      <c r="H43" s="120">
        <v>10300</v>
      </c>
      <c r="I43" s="121">
        <f t="shared" si="1"/>
        <v>618000</v>
      </c>
      <c r="J43" s="71"/>
      <c r="K43" s="40"/>
    </row>
    <row r="45" spans="1:11" ht="13.5" thickBot="1" x14ac:dyDescent="0.25"/>
    <row r="46" spans="1:11" x14ac:dyDescent="0.2">
      <c r="A46" s="51" t="s">
        <v>53</v>
      </c>
      <c r="B46" s="105"/>
      <c r="C46" s="105" t="s">
        <v>146</v>
      </c>
      <c r="D46" s="76"/>
      <c r="E46" s="43"/>
      <c r="F46" s="84"/>
    </row>
    <row r="47" spans="1:11" x14ac:dyDescent="0.2">
      <c r="A47" s="80"/>
      <c r="D47" s="65"/>
      <c r="E47" s="40"/>
      <c r="F47" s="85"/>
    </row>
    <row r="48" spans="1:11" x14ac:dyDescent="0.2">
      <c r="A48" s="88"/>
      <c r="B48" s="89"/>
      <c r="C48" s="89"/>
      <c r="D48" s="90"/>
      <c r="E48" s="40"/>
      <c r="F48" s="85"/>
    </row>
    <row r="49" spans="1:9" x14ac:dyDescent="0.2">
      <c r="A49" s="80"/>
      <c r="D49" s="65"/>
      <c r="E49" s="40"/>
      <c r="F49" s="85"/>
    </row>
    <row r="50" spans="1:9" x14ac:dyDescent="0.2">
      <c r="A50" s="122" t="s">
        <v>140</v>
      </c>
      <c r="B50" s="123"/>
      <c r="C50" s="123"/>
      <c r="D50" s="123"/>
      <c r="E50" s="123"/>
      <c r="F50" s="124"/>
    </row>
    <row r="51" spans="1:9" x14ac:dyDescent="0.2">
      <c r="A51" s="125" t="s">
        <v>139</v>
      </c>
      <c r="B51" s="126"/>
      <c r="C51" s="126"/>
      <c r="D51" s="126"/>
      <c r="E51" s="126"/>
      <c r="F51" s="85"/>
    </row>
    <row r="52" spans="1:9" ht="15" x14ac:dyDescent="0.2">
      <c r="A52" s="127" t="s">
        <v>132</v>
      </c>
      <c r="B52" s="128"/>
      <c r="C52" s="48"/>
      <c r="D52" s="77"/>
      <c r="E52" s="48"/>
      <c r="F52" s="85"/>
    </row>
    <row r="53" spans="1:9" ht="13.5" thickBot="1" x14ac:dyDescent="0.25">
      <c r="A53" s="46" t="s">
        <v>52</v>
      </c>
      <c r="B53" s="49"/>
      <c r="C53" s="49"/>
      <c r="D53" s="78"/>
      <c r="E53" s="49"/>
      <c r="F53" s="50"/>
    </row>
    <row r="59" spans="1:9" ht="13.5" thickBot="1" x14ac:dyDescent="0.25"/>
    <row r="60" spans="1:9" x14ac:dyDescent="0.2">
      <c r="B60" s="51" t="s">
        <v>53</v>
      </c>
      <c r="C60" s="43"/>
      <c r="D60" s="43"/>
      <c r="E60" s="76"/>
      <c r="F60" s="43"/>
      <c r="G60" s="84"/>
      <c r="H60" s="44"/>
      <c r="I60" s="45"/>
    </row>
    <row r="61" spans="1:9" x14ac:dyDescent="0.2">
      <c r="B61" s="80"/>
      <c r="G61" s="85"/>
      <c r="H61" s="44"/>
      <c r="I61" s="45"/>
    </row>
    <row r="62" spans="1:9" x14ac:dyDescent="0.2">
      <c r="B62" s="88" t="s">
        <v>138</v>
      </c>
      <c r="C62" s="89"/>
      <c r="D62" s="89"/>
      <c r="E62" s="90"/>
      <c r="G62" s="85"/>
      <c r="H62" s="44"/>
      <c r="I62" s="45"/>
    </row>
    <row r="63" spans="1:9" x14ac:dyDescent="0.2">
      <c r="B63" s="80"/>
      <c r="G63" s="85"/>
      <c r="H63" s="44"/>
      <c r="I63" s="45"/>
    </row>
    <row r="64" spans="1:9" x14ac:dyDescent="0.2">
      <c r="B64" s="122" t="s">
        <v>140</v>
      </c>
      <c r="C64" s="123"/>
      <c r="D64" s="123"/>
      <c r="E64" s="123"/>
      <c r="F64" s="123"/>
      <c r="G64" s="124"/>
      <c r="H64" s="44"/>
      <c r="I64" s="45"/>
    </row>
    <row r="65" spans="2:9" x14ac:dyDescent="0.2">
      <c r="B65" s="125" t="s">
        <v>139</v>
      </c>
      <c r="C65" s="126"/>
      <c r="D65" s="126"/>
      <c r="E65" s="126"/>
      <c r="F65" s="126"/>
      <c r="G65" s="85"/>
      <c r="H65" s="44"/>
      <c r="I65" s="45"/>
    </row>
    <row r="66" spans="2:9" ht="15" x14ac:dyDescent="0.2">
      <c r="B66" s="127" t="s">
        <v>132</v>
      </c>
      <c r="C66" s="128"/>
      <c r="D66" s="48"/>
      <c r="E66" s="77"/>
      <c r="F66" s="48"/>
      <c r="G66" s="85"/>
      <c r="H66" s="44"/>
      <c r="I66" s="45"/>
    </row>
    <row r="67" spans="2:9" ht="13.5" thickBot="1" x14ac:dyDescent="0.25">
      <c r="B67" s="46" t="s">
        <v>52</v>
      </c>
      <c r="C67" s="49"/>
      <c r="D67" s="49"/>
      <c r="E67" s="78"/>
      <c r="F67" s="49"/>
      <c r="G67" s="50"/>
    </row>
    <row r="71" spans="2:9" ht="13.5" thickBot="1" x14ac:dyDescent="0.25"/>
    <row r="72" spans="2:9" x14ac:dyDescent="0.2">
      <c r="B72" s="51" t="s">
        <v>53</v>
      </c>
      <c r="C72" s="43"/>
      <c r="D72" s="43"/>
      <c r="E72" s="76"/>
      <c r="F72" s="43"/>
      <c r="G72" s="84"/>
    </row>
    <row r="73" spans="2:9" x14ac:dyDescent="0.2">
      <c r="B73" s="80"/>
      <c r="G73" s="85"/>
    </row>
    <row r="74" spans="2:9" x14ac:dyDescent="0.2">
      <c r="B74" s="88" t="s">
        <v>145</v>
      </c>
      <c r="C74" s="89"/>
      <c r="G74" s="85"/>
    </row>
    <row r="75" spans="2:9" x14ac:dyDescent="0.2">
      <c r="B75" s="80"/>
      <c r="G75" s="85"/>
    </row>
    <row r="76" spans="2:9" x14ac:dyDescent="0.2">
      <c r="B76" s="122" t="s">
        <v>141</v>
      </c>
      <c r="C76" s="123"/>
      <c r="D76" s="123"/>
      <c r="E76" s="123"/>
      <c r="F76" s="123"/>
      <c r="G76" s="124"/>
    </row>
    <row r="77" spans="2:9" x14ac:dyDescent="0.2">
      <c r="B77" s="125" t="s">
        <v>142</v>
      </c>
      <c r="C77" s="126"/>
      <c r="D77" s="126"/>
      <c r="E77" s="126"/>
      <c r="F77" s="126"/>
      <c r="G77" s="85"/>
    </row>
    <row r="78" spans="2:9" ht="15" x14ac:dyDescent="0.2">
      <c r="B78" s="127" t="s">
        <v>132</v>
      </c>
      <c r="C78" s="128"/>
      <c r="D78" s="48"/>
      <c r="E78" s="77"/>
      <c r="F78" s="48"/>
      <c r="G78" s="85"/>
    </row>
    <row r="79" spans="2:9" ht="13.5" thickBot="1" x14ac:dyDescent="0.25">
      <c r="B79" s="46" t="s">
        <v>52</v>
      </c>
      <c r="C79" s="49"/>
      <c r="D79" s="49"/>
      <c r="E79" s="78"/>
      <c r="F79" s="49"/>
      <c r="G79" s="50"/>
    </row>
  </sheetData>
  <mergeCells count="16">
    <mergeCell ref="A50:F50"/>
    <mergeCell ref="A51:E51"/>
    <mergeCell ref="A52:B52"/>
    <mergeCell ref="A6:B6"/>
    <mergeCell ref="A7:B7"/>
    <mergeCell ref="B2:I2"/>
    <mergeCell ref="A4:B4"/>
    <mergeCell ref="C4:F4"/>
    <mergeCell ref="A5:B5"/>
    <mergeCell ref="C5:F5"/>
    <mergeCell ref="B76:G76"/>
    <mergeCell ref="B77:F77"/>
    <mergeCell ref="B78:C78"/>
    <mergeCell ref="B66:C66"/>
    <mergeCell ref="B64:G64"/>
    <mergeCell ref="B65:F65"/>
  </mergeCells>
  <conditionalFormatting sqref="B66">
    <cfRule type="duplicateValues" dxfId="5" priority="15"/>
  </conditionalFormatting>
  <conditionalFormatting sqref="B66">
    <cfRule type="duplicateValues" dxfId="4" priority="16"/>
  </conditionalFormatting>
  <conditionalFormatting sqref="B78">
    <cfRule type="duplicateValues" dxfId="3" priority="3"/>
  </conditionalFormatting>
  <conditionalFormatting sqref="B78">
    <cfRule type="duplicateValues" dxfId="2" priority="4"/>
  </conditionalFormatting>
  <conditionalFormatting sqref="A52">
    <cfRule type="duplicateValues" dxfId="1" priority="1"/>
  </conditionalFormatting>
  <conditionalFormatting sqref="A52">
    <cfRule type="duplicateValues" dxfId="0" priority="2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46"/>
  <sheetViews>
    <sheetView tabSelected="1" topLeftCell="A4" zoomScale="84" zoomScaleNormal="84" workbookViewId="0">
      <selection activeCell="N9" sqref="L9:N9"/>
    </sheetView>
  </sheetViews>
  <sheetFormatPr baseColWidth="10" defaultColWidth="9.140625" defaultRowHeight="12.75" x14ac:dyDescent="0.2"/>
  <cols>
    <col min="1" max="1" width="5.5703125" style="29" customWidth="1"/>
    <col min="2" max="2" width="16.5703125" style="29" bestFit="1" customWidth="1"/>
    <col min="3" max="3" width="14.140625" style="29" customWidth="1"/>
    <col min="4" max="4" width="26" style="29" customWidth="1"/>
    <col min="5" max="5" width="8" style="29" customWidth="1"/>
    <col min="6" max="6" width="7.85546875" style="29" customWidth="1"/>
    <col min="7" max="7" width="55" style="29" customWidth="1"/>
    <col min="8" max="8" width="13.42578125" style="29" customWidth="1"/>
    <col min="9" max="9" width="16" style="29" customWidth="1"/>
    <col min="10" max="10" width="15.5703125" style="29" customWidth="1"/>
    <col min="11" max="11" width="14" style="29" customWidth="1"/>
    <col min="12" max="12" width="15.5703125" style="29" customWidth="1"/>
    <col min="13" max="13" width="5.85546875" style="29" customWidth="1"/>
    <col min="14" max="14" width="9.42578125" style="29" customWidth="1"/>
    <col min="15" max="15" width="5.85546875" style="29" customWidth="1"/>
    <col min="16" max="16" width="12.5703125" style="29" customWidth="1"/>
    <col min="17" max="1025" width="9.140625" style="29"/>
    <col min="1026" max="16384" width="9.140625" style="30"/>
  </cols>
  <sheetData>
    <row r="1" spans="1:13 1025:1025" ht="16.5" thickBot="1" x14ac:dyDescent="0.25">
      <c r="A1" s="139" t="s">
        <v>13</v>
      </c>
      <c r="B1" s="139"/>
      <c r="C1" s="139"/>
      <c r="D1" s="139"/>
      <c r="E1" s="139"/>
      <c r="F1" s="139"/>
      <c r="G1" s="139"/>
      <c r="H1" s="139"/>
      <c r="I1" s="139"/>
      <c r="J1" s="28" t="s">
        <v>14</v>
      </c>
      <c r="K1" s="91" t="s">
        <v>54</v>
      </c>
      <c r="AMK1" s="30"/>
    </row>
    <row r="2" spans="1:13 1025:1025" ht="16.5" thickBot="1" x14ac:dyDescent="0.25">
      <c r="A2" s="31"/>
      <c r="B2" s="31"/>
      <c r="C2" s="31"/>
      <c r="D2" s="32"/>
      <c r="E2" s="32"/>
      <c r="F2" s="32"/>
      <c r="G2" s="32"/>
      <c r="H2" s="52"/>
      <c r="I2" s="32"/>
      <c r="J2" s="32"/>
      <c r="K2" s="32"/>
      <c r="L2" s="32"/>
    </row>
    <row r="3" spans="1:13 1025:1025" ht="16.5" customHeight="1" thickBot="1" x14ac:dyDescent="0.25">
      <c r="A3" s="140" t="s">
        <v>46</v>
      </c>
      <c r="B3" s="141"/>
      <c r="C3" s="142" t="str">
        <f>'Necesidades Trimestrales'!C4</f>
        <v>040 - Ministerio de Salud</v>
      </c>
      <c r="D3" s="142"/>
      <c r="E3" s="142"/>
      <c r="F3" s="142"/>
      <c r="G3" s="142"/>
      <c r="H3" s="142"/>
      <c r="I3" s="142"/>
      <c r="J3" s="142"/>
      <c r="K3" s="142"/>
      <c r="AMK3" s="30"/>
    </row>
    <row r="4" spans="1:13 1025:1025" ht="16.5" thickBot="1" x14ac:dyDescent="0.25">
      <c r="A4" s="140" t="s">
        <v>47</v>
      </c>
      <c r="B4" s="141"/>
      <c r="C4" s="142" t="str">
        <f>'Necesidades Trimestrales'!C5</f>
        <v xml:space="preserve"> 28-Maternidad Provincial 25 de Mayo</v>
      </c>
      <c r="D4" s="142"/>
      <c r="E4" s="142"/>
      <c r="F4" s="142"/>
      <c r="G4" s="142"/>
      <c r="H4" s="142"/>
      <c r="I4" s="142"/>
      <c r="J4" s="142"/>
      <c r="K4" s="142"/>
      <c r="AMK4" s="30"/>
    </row>
    <row r="5" spans="1:13 1025:1025" ht="16.5" customHeight="1" thickBot="1" x14ac:dyDescent="0.25">
      <c r="A5" s="140" t="s">
        <v>25</v>
      </c>
      <c r="B5" s="141"/>
      <c r="C5" s="142" t="s">
        <v>143</v>
      </c>
      <c r="D5" s="142"/>
      <c r="E5" s="142"/>
      <c r="F5" s="142"/>
      <c r="G5" s="142"/>
      <c r="H5" s="142"/>
      <c r="I5" s="142"/>
      <c r="J5" s="142"/>
      <c r="K5" s="142"/>
      <c r="AMK5" s="30"/>
    </row>
    <row r="6" spans="1:13 1025:1025" ht="16.5" customHeight="1" thickBot="1" x14ac:dyDescent="0.25">
      <c r="A6" s="140" t="s">
        <v>48</v>
      </c>
      <c r="B6" s="141"/>
      <c r="C6" s="142" t="s">
        <v>144</v>
      </c>
      <c r="D6" s="142"/>
      <c r="E6" s="142"/>
      <c r="F6" s="142"/>
      <c r="G6" s="142"/>
      <c r="H6" s="142"/>
      <c r="I6" s="142"/>
      <c r="J6" s="142"/>
      <c r="K6" s="142"/>
      <c r="AMK6" s="30"/>
    </row>
    <row r="7" spans="1:13 1025:1025" ht="16.5" customHeight="1" thickBot="1" x14ac:dyDescent="0.25">
      <c r="A7" s="144" t="s">
        <v>15</v>
      </c>
      <c r="B7" s="145"/>
      <c r="C7" s="142" t="s">
        <v>55</v>
      </c>
      <c r="D7" s="142"/>
      <c r="E7" s="142"/>
      <c r="F7" s="142"/>
      <c r="G7" s="142"/>
      <c r="H7" s="142"/>
      <c r="I7" s="142"/>
      <c r="J7" s="142"/>
      <c r="K7" s="142"/>
      <c r="AMK7" s="30"/>
    </row>
    <row r="8" spans="1:13 1025:1025" ht="41.25" customHeight="1" thickBot="1" x14ac:dyDescent="0.25">
      <c r="A8" s="146" t="s">
        <v>16</v>
      </c>
      <c r="B8" s="147"/>
      <c r="C8" s="148" t="s">
        <v>63</v>
      </c>
      <c r="D8" s="148"/>
      <c r="E8" s="148"/>
      <c r="F8" s="148"/>
      <c r="G8" s="148"/>
      <c r="H8" s="148"/>
      <c r="I8" s="148"/>
      <c r="J8" s="148"/>
      <c r="K8" s="148"/>
      <c r="AMK8" s="30"/>
    </row>
    <row r="9" spans="1:13 1025:1025" ht="16.5" thickBot="1" x14ac:dyDescent="0.25">
      <c r="A9" s="33"/>
      <c r="B9" s="33"/>
      <c r="C9" s="33"/>
      <c r="D9" s="34"/>
      <c r="E9" s="34"/>
      <c r="F9" s="34"/>
      <c r="G9" s="34"/>
      <c r="H9" s="53"/>
      <c r="I9" s="34"/>
      <c r="J9" s="34"/>
      <c r="K9" s="34"/>
      <c r="L9" s="34"/>
    </row>
    <row r="10" spans="1:13 1025:1025" ht="13.5" thickBot="1" x14ac:dyDescent="0.25">
      <c r="A10" s="149" t="s">
        <v>17</v>
      </c>
      <c r="B10" s="149" t="s">
        <v>6</v>
      </c>
      <c r="C10" s="143" t="s">
        <v>18</v>
      </c>
      <c r="D10" s="143"/>
      <c r="E10" s="143"/>
      <c r="F10" s="143"/>
      <c r="G10" s="143"/>
      <c r="H10" s="143" t="s">
        <v>19</v>
      </c>
      <c r="I10" s="143" t="s">
        <v>20</v>
      </c>
      <c r="J10" s="143" t="s">
        <v>21</v>
      </c>
      <c r="K10" s="143" t="s">
        <v>22</v>
      </c>
      <c r="AMK10" s="30"/>
    </row>
    <row r="11" spans="1:13 1025:1025" ht="35.25" customHeight="1" thickBot="1" x14ac:dyDescent="0.25">
      <c r="A11" s="149"/>
      <c r="B11" s="149"/>
      <c r="C11" s="143"/>
      <c r="D11" s="143"/>
      <c r="E11" s="143"/>
      <c r="F11" s="143"/>
      <c r="G11" s="143"/>
      <c r="H11" s="143"/>
      <c r="I11" s="143"/>
      <c r="J11" s="143"/>
      <c r="K11" s="143"/>
      <c r="AMK11" s="30"/>
    </row>
    <row r="12" spans="1:13 1025:1025" ht="46.5" customHeight="1" thickBot="1" x14ac:dyDescent="0.25">
      <c r="A12" s="100">
        <f>+'Necesidades Trimestrales'!A10</f>
        <v>1</v>
      </c>
      <c r="B12" s="101" t="str">
        <f>+'Necesidades Trimestrales'!B10</f>
        <v>2.5.2-1875.133</v>
      </c>
      <c r="C12" s="132" t="str">
        <f>+'Necesidades Trimestrales'!E10</f>
        <v>ANTIASMATICO BRONCODILATADOR; TIPO: MONODROGA, DROGA GENERICA: N-ACETIL CISTEINA 600 MGR, FORMA FARMACEUTICA: TABLETA EFERVESCENTE, PRESENTACION: UNIDAD</v>
      </c>
      <c r="D12" s="132"/>
      <c r="E12" s="132"/>
      <c r="F12" s="132"/>
      <c r="G12" s="132"/>
      <c r="H12" s="100" t="s">
        <v>51</v>
      </c>
      <c r="I12" s="102" t="str">
        <f>+'Necesidades Trimestrales'!F10</f>
        <v>UNIDAD</v>
      </c>
      <c r="J12" s="103">
        <f>+'Necesidades Trimestrales'!H10</f>
        <v>35.24</v>
      </c>
      <c r="K12" s="104">
        <f>+'Necesidades Trimestrales'!G10</f>
        <v>90</v>
      </c>
      <c r="L12" s="133"/>
      <c r="M12" s="134"/>
      <c r="AMK12" s="30"/>
    </row>
    <row r="13" spans="1:13 1025:1025" ht="46.5" customHeight="1" thickBot="1" x14ac:dyDescent="0.25">
      <c r="A13" s="100">
        <f>+'Necesidades Trimestrales'!A11</f>
        <v>2</v>
      </c>
      <c r="B13" s="101" t="str">
        <f>+'Necesidades Trimestrales'!B11</f>
        <v>2.5.2-2198.8</v>
      </c>
      <c r="C13" s="132" t="str">
        <f>+'Necesidades Trimestrales'!E11</f>
        <v>ANTIDIURETICOS; DROGA GENERICA: VASOPRESINA ACUOSA, FORMA FARMACEUTICA: AMPOLLA, PRESENTACION: 1 mL, TIPO: MONODROGA</v>
      </c>
      <c r="D13" s="132"/>
      <c r="E13" s="132"/>
      <c r="F13" s="132"/>
      <c r="G13" s="132"/>
      <c r="H13" s="100" t="s">
        <v>131</v>
      </c>
      <c r="I13" s="102" t="str">
        <f>+'Necesidades Trimestrales'!F11</f>
        <v>CAJA</v>
      </c>
      <c r="J13" s="103">
        <f>+'Necesidades Trimestrales'!H11</f>
        <v>775</v>
      </c>
      <c r="K13" s="104">
        <f>+'Necesidades Trimestrales'!G11</f>
        <v>20</v>
      </c>
      <c r="L13" s="82"/>
      <c r="M13" s="82"/>
      <c r="AMK13" s="30"/>
    </row>
    <row r="14" spans="1:13 1025:1025" ht="46.5" customHeight="1" thickBot="1" x14ac:dyDescent="0.25">
      <c r="A14" s="100">
        <f>+'Necesidades Trimestrales'!A12</f>
        <v>3</v>
      </c>
      <c r="B14" s="101" t="str">
        <f>+'Necesidades Trimestrales'!B12</f>
        <v>2.9.5-427.33</v>
      </c>
      <c r="C14" s="132" t="str">
        <f>+'Necesidades Trimestrales'!E12</f>
        <v>APOSITOS; TIPO: HIDROCOLOIDE, TAMAÑO: 15 X 17,5 Cm</v>
      </c>
      <c r="D14" s="132"/>
      <c r="E14" s="132"/>
      <c r="F14" s="132"/>
      <c r="G14" s="132"/>
      <c r="H14" s="100" t="s">
        <v>51</v>
      </c>
      <c r="I14" s="102" t="str">
        <f>+'Necesidades Trimestrales'!F12</f>
        <v>UNIDAD</v>
      </c>
      <c r="J14" s="103">
        <f>+'Necesidades Trimestrales'!H12</f>
        <v>1120</v>
      </c>
      <c r="K14" s="104">
        <f>+'Necesidades Trimestrales'!G12</f>
        <v>20</v>
      </c>
      <c r="L14" s="82"/>
      <c r="M14" s="82"/>
      <c r="AMK14" s="30"/>
    </row>
    <row r="15" spans="1:13 1025:1025" ht="46.5" customHeight="1" thickBot="1" x14ac:dyDescent="0.25">
      <c r="A15" s="100">
        <f>+'Necesidades Trimestrales'!A13</f>
        <v>4</v>
      </c>
      <c r="B15" s="101" t="str">
        <f>+'Necesidades Trimestrales'!B13</f>
        <v>2.9.5-427.39</v>
      </c>
      <c r="C15" s="132" t="str">
        <f>+'Necesidades Trimestrales'!E13</f>
        <v>APOSITOS; TIPO: HIDROCOLOIDE, TAMAÑO: 10 X 10 Cm</v>
      </c>
      <c r="D15" s="132"/>
      <c r="E15" s="132"/>
      <c r="F15" s="132"/>
      <c r="G15" s="132"/>
      <c r="H15" s="100" t="s">
        <v>51</v>
      </c>
      <c r="I15" s="102" t="str">
        <f>+'Necesidades Trimestrales'!F13</f>
        <v>UNIDAD</v>
      </c>
      <c r="J15" s="103">
        <f>+'Necesidades Trimestrales'!H13</f>
        <v>580</v>
      </c>
      <c r="K15" s="104">
        <f>+'Necesidades Trimestrales'!G13</f>
        <v>20</v>
      </c>
      <c r="L15" s="82"/>
      <c r="M15" s="82"/>
      <c r="AMK15" s="30"/>
    </row>
    <row r="16" spans="1:13 1025:1025" ht="46.5" customHeight="1" thickBot="1" x14ac:dyDescent="0.25">
      <c r="A16" s="100">
        <f>+'Necesidades Trimestrales'!A14</f>
        <v>5</v>
      </c>
      <c r="B16" s="101" t="str">
        <f>+'Necesidades Trimestrales'!B14</f>
        <v>2.5.2-5661.11</v>
      </c>
      <c r="C16" s="132" t="str">
        <f>+'Necesidades Trimestrales'!E14</f>
        <v>REGULADORES HORMONALES; TIPO: MONODROGA, DROGA GENERICA: ATOSIBAN, FORMA FARMACEUTICA: AMPOLLA, PRESENTACION: ENVASE X 0,9 mL</v>
      </c>
      <c r="D16" s="132"/>
      <c r="E16" s="132"/>
      <c r="F16" s="132"/>
      <c r="G16" s="132"/>
      <c r="H16" s="100" t="s">
        <v>51</v>
      </c>
      <c r="I16" s="102" t="str">
        <f>+'Necesidades Trimestrales'!F14</f>
        <v>FRASCO</v>
      </c>
      <c r="J16" s="103">
        <f>+'Necesidades Trimestrales'!H14</f>
        <v>18320</v>
      </c>
      <c r="K16" s="104">
        <f>+'Necesidades Trimestrales'!G14</f>
        <v>90</v>
      </c>
      <c r="L16" s="135"/>
      <c r="M16" s="136"/>
      <c r="AMK16" s="30"/>
    </row>
    <row r="17" spans="1:13 1025:1025" ht="46.5" customHeight="1" thickBot="1" x14ac:dyDescent="0.25">
      <c r="A17" s="100">
        <f>+'Necesidades Trimestrales'!A15</f>
        <v>6</v>
      </c>
      <c r="B17" s="101" t="str">
        <f>+'Necesidades Trimestrales'!B15</f>
        <v>2.5.2-1855.23</v>
      </c>
      <c r="C17" s="132" t="str">
        <f>+'Necesidades Trimestrales'!E15</f>
        <v>CORTICOESTEROIDES; TIPO: MONODROGA, DROGA GENERICA: BETAMETASONA, FORMA FARMACEUTICA: CREMA, PRESENTACION: 15 GR</v>
      </c>
      <c r="D17" s="132"/>
      <c r="E17" s="132"/>
      <c r="F17" s="132"/>
      <c r="G17" s="132"/>
      <c r="H17" s="100" t="s">
        <v>51</v>
      </c>
      <c r="I17" s="102" t="str">
        <f>+'Necesidades Trimestrales'!F15</f>
        <v>UNIDAD</v>
      </c>
      <c r="J17" s="103">
        <f>+'Necesidades Trimestrales'!H15</f>
        <v>280</v>
      </c>
      <c r="K17" s="104">
        <f>+'Necesidades Trimestrales'!G15</f>
        <v>30</v>
      </c>
      <c r="L17" s="82"/>
      <c r="M17" s="82"/>
      <c r="AMK17" s="30"/>
    </row>
    <row r="18" spans="1:13 1025:1025" ht="46.5" customHeight="1" thickBot="1" x14ac:dyDescent="0.25">
      <c r="A18" s="100">
        <f>+'Necesidades Trimestrales'!A16</f>
        <v>7</v>
      </c>
      <c r="B18" s="101" t="str">
        <f>+'Necesidades Trimestrales'!B16</f>
        <v>2.5.2-1855.83</v>
      </c>
      <c r="C18" s="132" t="str">
        <f>+'Necesidades Trimestrales'!E16</f>
        <v>CORTICOESTEROIDES; TIPO: ASOCIACION, DROGA GENERICA: BETAMETASONA ACETATO+FOSFATO, FORMA FARMACEUTICA: AMPOLLA, PRESENTACION: ENVASE X 2 mL</v>
      </c>
      <c r="D18" s="132"/>
      <c r="E18" s="132"/>
      <c r="F18" s="132"/>
      <c r="G18" s="132"/>
      <c r="H18" s="100" t="s">
        <v>51</v>
      </c>
      <c r="I18" s="102" t="str">
        <f>+'Necesidades Trimestrales'!F16</f>
        <v>AMPOLLA</v>
      </c>
      <c r="J18" s="103">
        <f>+'Necesidades Trimestrales'!H16</f>
        <v>295</v>
      </c>
      <c r="K18" s="104">
        <f>+'Necesidades Trimestrales'!G16</f>
        <v>600</v>
      </c>
      <c r="L18" s="82"/>
      <c r="M18" s="82"/>
      <c r="AMK18" s="30"/>
    </row>
    <row r="19" spans="1:13 1025:1025" ht="46.5" customHeight="1" thickBot="1" x14ac:dyDescent="0.25">
      <c r="A19" s="100">
        <f>+'Necesidades Trimestrales'!A17</f>
        <v>8</v>
      </c>
      <c r="B19" s="101" t="str">
        <f>+'Necesidades Trimestrales'!B17</f>
        <v>2.5.2-1875.134</v>
      </c>
      <c r="C19" s="132" t="str">
        <f>+'Necesidades Trimestrales'!E17</f>
        <v>ANTIASMATICO BRONCODILATADOR; TIPO: MONODROGA, DROGA GENERICA: BUDESONIDE 200 µGR, FORMA FARMACEUTICA: AEROSOL, PRESENTACION: 100 DOSIS</v>
      </c>
      <c r="D19" s="132"/>
      <c r="E19" s="132"/>
      <c r="F19" s="132"/>
      <c r="G19" s="132"/>
      <c r="H19" s="100" t="s">
        <v>51</v>
      </c>
      <c r="I19" s="102" t="str">
        <f>+'Necesidades Trimestrales'!F17</f>
        <v>UNIDAD</v>
      </c>
      <c r="J19" s="103">
        <f>+'Necesidades Trimestrales'!H17</f>
        <v>750</v>
      </c>
      <c r="K19" s="104">
        <f>+'Necesidades Trimestrales'!G17</f>
        <v>50</v>
      </c>
      <c r="L19" s="82"/>
      <c r="M19" s="82"/>
      <c r="AMK19" s="30"/>
    </row>
    <row r="20" spans="1:13 1025:1025" ht="46.5" customHeight="1" thickBot="1" x14ac:dyDescent="0.25">
      <c r="A20" s="100">
        <f>+'Necesidades Trimestrales'!A18</f>
        <v>9</v>
      </c>
      <c r="B20" s="101" t="str">
        <f>+'Necesidades Trimestrales'!B18</f>
        <v>2.5.2-1895.19</v>
      </c>
      <c r="C20" s="132" t="str">
        <f>+'Necesidades Trimestrales'!E18</f>
        <v>HORMONAS MEDICINALES; TIPO: MONODROGA, DROGA GENERICA: CABERGOLINA, FORMA FARMACEUTICA: COMPRIMIDO, PRESENTACION: 0,5 mGr, USO: SEXUAL</v>
      </c>
      <c r="D20" s="132"/>
      <c r="E20" s="132"/>
      <c r="F20" s="132"/>
      <c r="G20" s="132"/>
      <c r="H20" s="100" t="s">
        <v>51</v>
      </c>
      <c r="I20" s="102" t="str">
        <f>+'Necesidades Trimestrales'!F18</f>
        <v>COMPRIMIDO</v>
      </c>
      <c r="J20" s="103">
        <f>+'Necesidades Trimestrales'!H18</f>
        <v>306.75</v>
      </c>
      <c r="K20" s="104">
        <f>+'Necesidades Trimestrales'!G18</f>
        <v>48</v>
      </c>
      <c r="L20" s="82"/>
      <c r="M20" s="82"/>
      <c r="AMK20" s="30"/>
    </row>
    <row r="21" spans="1:13 1025:1025" ht="46.5" customHeight="1" thickBot="1" x14ac:dyDescent="0.25">
      <c r="A21" s="100">
        <f>+'Necesidades Trimestrales'!A19</f>
        <v>10</v>
      </c>
      <c r="B21" s="101" t="str">
        <f>+'Necesidades Trimestrales'!B19</f>
        <v>2.5.2-1902.14</v>
      </c>
      <c r="C21" s="132" t="str">
        <f>+'Necesidades Trimestrales'!E19</f>
        <v>DROGAS UTERINAS; TIPO: MONODROGA, DROGA GENERICA: CARBETOCIN 100 MCG, FORMA FARMACEUTICA: AMPOLLA, PRESENTACION: UNIDAD</v>
      </c>
      <c r="D21" s="132"/>
      <c r="E21" s="132"/>
      <c r="F21" s="132"/>
      <c r="G21" s="132"/>
      <c r="H21" s="100" t="s">
        <v>51</v>
      </c>
      <c r="I21" s="102" t="str">
        <f>+'Necesidades Trimestrales'!F19</f>
        <v>AMPOLLA</v>
      </c>
      <c r="J21" s="103">
        <f>+'Necesidades Trimestrales'!H19</f>
        <v>1200</v>
      </c>
      <c r="K21" s="104">
        <f>+'Necesidades Trimestrales'!G19</f>
        <v>40</v>
      </c>
      <c r="L21" s="82"/>
      <c r="M21" s="82"/>
      <c r="AMK21" s="30"/>
    </row>
    <row r="22" spans="1:13 1025:1025" ht="46.5" customHeight="1" thickBot="1" x14ac:dyDescent="0.25">
      <c r="A22" s="100">
        <f>+'Necesidades Trimestrales'!A20</f>
        <v>11</v>
      </c>
      <c r="B22" s="101" t="str">
        <f>+'Necesidades Trimestrales'!B20</f>
        <v>2.5.2-1895.61</v>
      </c>
      <c r="C22" s="132" t="str">
        <f>+'Necesidades Trimestrales'!E20</f>
        <v>HORMONAS MEDICINALES; TIPO: MONODROGA, DROGA GENERICA: CITRATO DE CLOMIFENO 50 mGr, FORMA FARMACEUTICA: COMPRIMIDO, PRESENTACION: UNIDAD, USO: SEXUAL</v>
      </c>
      <c r="D22" s="132"/>
      <c r="E22" s="132"/>
      <c r="F22" s="132"/>
      <c r="G22" s="132"/>
      <c r="H22" s="100" t="s">
        <v>51</v>
      </c>
      <c r="I22" s="102" t="str">
        <f>+'Necesidades Trimestrales'!F20</f>
        <v>COMPRIMIDO</v>
      </c>
      <c r="J22" s="103">
        <f>+'Necesidades Trimestrales'!H20</f>
        <v>149.35</v>
      </c>
      <c r="K22" s="104">
        <f>+'Necesidades Trimestrales'!G20</f>
        <v>60</v>
      </c>
      <c r="L22" s="82"/>
      <c r="M22" s="82"/>
      <c r="AMK22" s="30"/>
    </row>
    <row r="23" spans="1:13 1025:1025" ht="46.5" customHeight="1" thickBot="1" x14ac:dyDescent="0.25">
      <c r="A23" s="100">
        <f>+'Necesidades Trimestrales'!A21</f>
        <v>12</v>
      </c>
      <c r="B23" s="101" t="str">
        <f>+'Necesidades Trimestrales'!B21</f>
        <v>2.5.2-1855.7</v>
      </c>
      <c r="C23" s="132" t="str">
        <f>+'Necesidades Trimestrales'!E21</f>
        <v>CORTICOESTEROIDES; TIPO: MONODROGA, DROGA GENERICA: DEXAMETASONA, FORMA FARMACEUTICA: AMPOLLA, PRESENTACION: 8 mGr</v>
      </c>
      <c r="D23" s="132"/>
      <c r="E23" s="132"/>
      <c r="F23" s="132"/>
      <c r="G23" s="132"/>
      <c r="H23" s="100" t="s">
        <v>51</v>
      </c>
      <c r="I23" s="102" t="str">
        <f>+'Necesidades Trimestrales'!F21</f>
        <v>AMPOLLA</v>
      </c>
      <c r="J23" s="103">
        <f>+'Necesidades Trimestrales'!H21</f>
        <v>45</v>
      </c>
      <c r="K23" s="104">
        <f>+'Necesidades Trimestrales'!G21</f>
        <v>3200</v>
      </c>
      <c r="L23" s="82"/>
      <c r="M23" s="82"/>
      <c r="AMK23" s="30"/>
    </row>
    <row r="24" spans="1:13 1025:1025" ht="46.5" customHeight="1" thickBot="1" x14ac:dyDescent="0.25">
      <c r="A24" s="100">
        <f>+'Necesidades Trimestrales'!A22</f>
        <v>13</v>
      </c>
      <c r="B24" s="101" t="str">
        <f>+'Necesidades Trimestrales'!B22</f>
        <v>2.5.2-2476.36</v>
      </c>
      <c r="C24" s="132" t="str">
        <f>+'Necesidades Trimestrales'!E22</f>
        <v>ANTIALERGICOS-ANTIHISTAMINICOS; TIPO: MONODROGA, DROGA GENERICA: DIFENHIDRAMINA, FORMA FARMACEUTICA: COMPRIMIDO, PRESENTACION: 50 mGr</v>
      </c>
      <c r="D24" s="132"/>
      <c r="E24" s="132"/>
      <c r="F24" s="132"/>
      <c r="G24" s="132"/>
      <c r="H24" s="100" t="s">
        <v>51</v>
      </c>
      <c r="I24" s="102" t="str">
        <f>+'Necesidades Trimestrales'!F22</f>
        <v>COMPRIMIDO</v>
      </c>
      <c r="J24" s="103">
        <f>+'Necesidades Trimestrales'!H22</f>
        <v>4.6500000000000004</v>
      </c>
      <c r="K24" s="104">
        <f>+'Necesidades Trimestrales'!G22</f>
        <v>50</v>
      </c>
      <c r="L24" s="82"/>
      <c r="M24" s="82"/>
      <c r="AMK24" s="30"/>
    </row>
    <row r="25" spans="1:13 1025:1025" ht="46.5" customHeight="1" thickBot="1" x14ac:dyDescent="0.25">
      <c r="A25" s="100">
        <f>+'Necesidades Trimestrales'!A23</f>
        <v>14</v>
      </c>
      <c r="B25" s="101" t="str">
        <f>+'Necesidades Trimestrales'!B23</f>
        <v>2.5.2-2476.44</v>
      </c>
      <c r="C25" s="132" t="str">
        <f>+'Necesidades Trimestrales'!E23</f>
        <v>ANTIALERGICOS-ANTIHISTAMINICOS; TIPO: MONODROGA, DROGA GENERICA: DIFENHIDRAMINA, FORMA FARMACEUTICA: AMPOLLA, PRESENTACION: 10 mGr</v>
      </c>
      <c r="D25" s="132"/>
      <c r="E25" s="132"/>
      <c r="F25" s="132"/>
      <c r="G25" s="132"/>
      <c r="H25" s="100" t="s">
        <v>51</v>
      </c>
      <c r="I25" s="102" t="str">
        <f>+'Necesidades Trimestrales'!F23</f>
        <v>AMPOLLA</v>
      </c>
      <c r="J25" s="103">
        <f>+'Necesidades Trimestrales'!H23</f>
        <v>55</v>
      </c>
      <c r="K25" s="104">
        <f>+'Necesidades Trimestrales'!G23</f>
        <v>500</v>
      </c>
      <c r="L25" s="82"/>
      <c r="M25" s="82"/>
      <c r="AMK25" s="30"/>
    </row>
    <row r="26" spans="1:13 1025:1025" ht="46.5" customHeight="1" thickBot="1" x14ac:dyDescent="0.25">
      <c r="A26" s="100">
        <f>+'Necesidades Trimestrales'!A24</f>
        <v>15</v>
      </c>
      <c r="B26" s="101" t="str">
        <f>+'Necesidades Trimestrales'!B24</f>
        <v>2.5.2-1853.4</v>
      </c>
      <c r="C26" s="132" t="str">
        <f>+'Necesidades Trimestrales'!E24</f>
        <v>OCITOCICOS; TIPO: MONODROGA, DROGA GENERICA: ERGONOVINA, PRESENTACION: 0.2 mGr, FORMA FARMACEUTICA: AMPOLLAS</v>
      </c>
      <c r="D26" s="132"/>
      <c r="E26" s="132"/>
      <c r="F26" s="132"/>
      <c r="G26" s="132"/>
      <c r="H26" s="100" t="s">
        <v>51</v>
      </c>
      <c r="I26" s="102" t="str">
        <f>+'Necesidades Trimestrales'!F24</f>
        <v>AMPOLLA</v>
      </c>
      <c r="J26" s="103">
        <f>+'Necesidades Trimestrales'!H24</f>
        <v>41</v>
      </c>
      <c r="K26" s="104">
        <f>+'Necesidades Trimestrales'!G24</f>
        <v>400</v>
      </c>
      <c r="L26" s="82"/>
      <c r="M26" s="82"/>
      <c r="AMK26" s="30"/>
    </row>
    <row r="27" spans="1:13 1025:1025" ht="46.5" customHeight="1" thickBot="1" x14ac:dyDescent="0.25">
      <c r="A27" s="100">
        <f>+'Necesidades Trimestrales'!A25</f>
        <v>16</v>
      </c>
      <c r="B27" s="101" t="str">
        <f>+'Necesidades Trimestrales'!B25</f>
        <v>2.5.2-1855.47</v>
      </c>
      <c r="C27" s="132" t="str">
        <f>+'Necesidades Trimestrales'!E25</f>
        <v>CORTICOESTEROIDES; TIPO: MONODROGA, DROGA GENERICA: HIDROCORTISONA, FORMA FARMACEUTICA: AMPOLLA/FRASCO, PRESENTACION: 100 mGr</v>
      </c>
      <c r="D27" s="132"/>
      <c r="E27" s="132"/>
      <c r="F27" s="132"/>
      <c r="G27" s="132"/>
      <c r="H27" s="100" t="s">
        <v>51</v>
      </c>
      <c r="I27" s="102" t="str">
        <f>+'Necesidades Trimestrales'!F25</f>
        <v>AMPOLLA</v>
      </c>
      <c r="J27" s="103">
        <f>+'Necesidades Trimestrales'!H25</f>
        <v>120</v>
      </c>
      <c r="K27" s="104">
        <f>+'Necesidades Trimestrales'!G25</f>
        <v>400</v>
      </c>
      <c r="L27" s="82"/>
      <c r="M27" s="82"/>
      <c r="AMK27" s="30"/>
    </row>
    <row r="28" spans="1:13 1025:1025" ht="46.5" customHeight="1" thickBot="1" x14ac:dyDescent="0.25">
      <c r="A28" s="100">
        <f>+'Necesidades Trimestrales'!A26</f>
        <v>17</v>
      </c>
      <c r="B28" s="101" t="str">
        <f>+'Necesidades Trimestrales'!B26</f>
        <v>2.5.2-1855.77</v>
      </c>
      <c r="C28" s="132" t="str">
        <f>+'Necesidades Trimestrales'!E26</f>
        <v>CORTICOESTEROIDES; TIPO: MONODROGA, DROGA GENERICA: HIDROCORTISONA, FORMA FARMACEUTICA: FRASCO AMPOLLA, PRESENTACION: ENVASE X 500 mGr</v>
      </c>
      <c r="D28" s="132"/>
      <c r="E28" s="132"/>
      <c r="F28" s="132"/>
      <c r="G28" s="132"/>
      <c r="H28" s="100" t="s">
        <v>51</v>
      </c>
      <c r="I28" s="102" t="str">
        <f>+'Necesidades Trimestrales'!F26</f>
        <v>AMPOLLA</v>
      </c>
      <c r="J28" s="103">
        <f>+'Necesidades Trimestrales'!H26</f>
        <v>222</v>
      </c>
      <c r="K28" s="104">
        <f>+'Necesidades Trimestrales'!G26</f>
        <v>200</v>
      </c>
      <c r="L28" s="82"/>
      <c r="M28" s="82"/>
      <c r="AMK28" s="30"/>
    </row>
    <row r="29" spans="1:13 1025:1025" ht="46.5" customHeight="1" thickBot="1" x14ac:dyDescent="0.25">
      <c r="A29" s="100">
        <f>+'Necesidades Trimestrales'!A27</f>
        <v>18</v>
      </c>
      <c r="B29" s="101" t="str">
        <f>+'Necesidades Trimestrales'!B27</f>
        <v>2.5.2-1875.9</v>
      </c>
      <c r="C29" s="132" t="str">
        <f>+'Necesidades Trimestrales'!E27</f>
        <v>ANTIASMATICO BRONCODILATADOR; TIPO: MONODROGA, DROGA GENERICA: BROMURO DE IPRATROPIO, FORMA FARMACEUTICA: SOLUCION, PRESENTACION: 20 mL</v>
      </c>
      <c r="D29" s="132"/>
      <c r="E29" s="132"/>
      <c r="F29" s="132"/>
      <c r="G29" s="132"/>
      <c r="H29" s="100" t="s">
        <v>51</v>
      </c>
      <c r="I29" s="102" t="str">
        <f>+'Necesidades Trimestrales'!F27</f>
        <v>GOTERO</v>
      </c>
      <c r="J29" s="103">
        <f>+'Necesidades Trimestrales'!H27</f>
        <v>98</v>
      </c>
      <c r="K29" s="104">
        <f>+'Necesidades Trimestrales'!G27</f>
        <v>30</v>
      </c>
      <c r="L29" s="82"/>
      <c r="M29" s="82"/>
      <c r="AMK29" s="30"/>
    </row>
    <row r="30" spans="1:13 1025:1025" ht="46.5" customHeight="1" thickBot="1" x14ac:dyDescent="0.25">
      <c r="A30" s="100">
        <f>+'Necesidades Trimestrales'!A28</f>
        <v>19</v>
      </c>
      <c r="B30" s="101" t="str">
        <f>+'Necesidades Trimestrales'!B28</f>
        <v>2.5.2-1902.10</v>
      </c>
      <c r="C30" s="132" t="str">
        <f>+'Necesidades Trimestrales'!E28</f>
        <v>DROGAS UTERINAS; TIPO: MONODROGA, DROGA GENERICA: ISOXUPRINA 10 mGr, FORMA FARMACEUTICA: AMPOLLA, PRESENTACION: UNIDAD</v>
      </c>
      <c r="D30" s="132"/>
      <c r="E30" s="132"/>
      <c r="F30" s="132"/>
      <c r="G30" s="132"/>
      <c r="H30" s="100" t="s">
        <v>51</v>
      </c>
      <c r="I30" s="102" t="str">
        <f>+'Necesidades Trimestrales'!F28</f>
        <v>AMPOLLA</v>
      </c>
      <c r="J30" s="103">
        <f>+'Necesidades Trimestrales'!H28</f>
        <v>45</v>
      </c>
      <c r="K30" s="104">
        <f>+'Necesidades Trimestrales'!G28</f>
        <v>900</v>
      </c>
      <c r="L30" s="82"/>
      <c r="M30" s="82"/>
      <c r="AMK30" s="30"/>
    </row>
    <row r="31" spans="1:13 1025:1025" ht="46.5" customHeight="1" thickBot="1" x14ac:dyDescent="0.25">
      <c r="A31" s="100">
        <f>+'Necesidades Trimestrales'!A29</f>
        <v>20</v>
      </c>
      <c r="B31" s="101" t="str">
        <f>+'Necesidades Trimestrales'!B29</f>
        <v>2.5.2-5559.10</v>
      </c>
      <c r="C31" s="132" t="str">
        <f>+'Necesidades Trimestrales'!E29</f>
        <v>NORMALIZADORES TIROIDEOS; TIPO: MONODROGA, PRESENTACION: UNIDAD, DROGA GENERICA: LEVOTIROXINA 100 µGr, FORMA FARMACEUTICA: COMPRIMIDO</v>
      </c>
      <c r="D31" s="132"/>
      <c r="E31" s="132"/>
      <c r="F31" s="132"/>
      <c r="G31" s="132"/>
      <c r="H31" s="100" t="s">
        <v>51</v>
      </c>
      <c r="I31" s="102" t="str">
        <f>+'Necesidades Trimestrales'!F29</f>
        <v>COMPRIMIDO</v>
      </c>
      <c r="J31" s="103">
        <f>+'Necesidades Trimestrales'!H29</f>
        <v>18.3</v>
      </c>
      <c r="K31" s="104">
        <f>+'Necesidades Trimestrales'!G29</f>
        <v>50</v>
      </c>
      <c r="L31" s="82"/>
      <c r="M31" s="82"/>
      <c r="AMK31" s="30"/>
    </row>
    <row r="32" spans="1:13 1025:1025" ht="46.5" customHeight="1" thickBot="1" x14ac:dyDescent="0.25">
      <c r="A32" s="100">
        <f>+'Necesidades Trimestrales'!A30</f>
        <v>21</v>
      </c>
      <c r="B32" s="101" t="str">
        <f>+'Necesidades Trimestrales'!B30</f>
        <v>2.5.2-2476.12</v>
      </c>
      <c r="C32" s="132" t="str">
        <f>+'Necesidades Trimestrales'!E30</f>
        <v>ANTIALERGICOS-ANTIHISTAMINICOS; TIPO: MONODROGA, DROGA GENERICA: LORATADINA, FORMA FARMACEUTICA: COMPRIMIDO, PRESENTACION: 10 mGr</v>
      </c>
      <c r="D32" s="132"/>
      <c r="E32" s="132"/>
      <c r="F32" s="132"/>
      <c r="G32" s="132"/>
      <c r="H32" s="100" t="s">
        <v>51</v>
      </c>
      <c r="I32" s="102" t="str">
        <f>+'Necesidades Trimestrales'!F30</f>
        <v>COMPRIMIDO</v>
      </c>
      <c r="J32" s="103">
        <f>+'Necesidades Trimestrales'!H30</f>
        <v>3.44</v>
      </c>
      <c r="K32" s="104">
        <f>+'Necesidades Trimestrales'!G30</f>
        <v>30</v>
      </c>
      <c r="L32" s="133"/>
      <c r="M32" s="134"/>
      <c r="AMK32" s="30"/>
    </row>
    <row r="33" spans="1:13 1025:1025" ht="46.5" customHeight="1" thickBot="1" x14ac:dyDescent="0.25">
      <c r="A33" s="100">
        <f>+'Necesidades Trimestrales'!A31</f>
        <v>22</v>
      </c>
      <c r="B33" s="101" t="str">
        <f>+'Necesidades Trimestrales'!B31</f>
        <v>2.5.2-2200.4</v>
      </c>
      <c r="C33" s="132" t="str">
        <f>+'Necesidades Trimestrales'!E31</f>
        <v>CORTICOIDES; DROGA GENERICA: MEPREDNISONA, FORMA FARMACEUTICA: COMPRIMIDO, PRESENTACION: 4 mGr, TIPO: MONODROGA</v>
      </c>
      <c r="D33" s="132"/>
      <c r="E33" s="132"/>
      <c r="F33" s="132"/>
      <c r="G33" s="132"/>
      <c r="H33" s="100" t="s">
        <v>51</v>
      </c>
      <c r="I33" s="102" t="str">
        <f>+'Necesidades Trimestrales'!F31</f>
        <v>COMPRIMIDO</v>
      </c>
      <c r="J33" s="103">
        <f>+'Necesidades Trimestrales'!H31</f>
        <v>9.8000000000000007</v>
      </c>
      <c r="K33" s="104">
        <f>+'Necesidades Trimestrales'!G31</f>
        <v>30</v>
      </c>
      <c r="L33" s="82"/>
      <c r="M33" s="82"/>
      <c r="AMK33" s="30"/>
    </row>
    <row r="34" spans="1:13 1025:1025" ht="46.5" customHeight="1" thickBot="1" x14ac:dyDescent="0.25">
      <c r="A34" s="100">
        <f>+'Necesidades Trimestrales'!A32</f>
        <v>23</v>
      </c>
      <c r="B34" s="101" t="str">
        <f>+'Necesidades Trimestrales'!B32</f>
        <v>2.5.2-2200.24</v>
      </c>
      <c r="C34" s="132" t="str">
        <f>+'Necesidades Trimestrales'!E32</f>
        <v>CORTICOIDES; DROGA GENERICA: METILPREDNISOLONA, FORMA FARMACEUTICA: FRASCO AMPOLLA, PRESENTACION: 500, TIPO: MONODROGA</v>
      </c>
      <c r="D34" s="132"/>
      <c r="E34" s="132"/>
      <c r="F34" s="132"/>
      <c r="G34" s="132"/>
      <c r="H34" s="100" t="s">
        <v>51</v>
      </c>
      <c r="I34" s="102" t="str">
        <f>+'Necesidades Trimestrales'!F32</f>
        <v>AMPOLLA</v>
      </c>
      <c r="J34" s="103">
        <f>+'Necesidades Trimestrales'!H32</f>
        <v>689</v>
      </c>
      <c r="K34" s="104">
        <f>+'Necesidades Trimestrales'!G32</f>
        <v>30</v>
      </c>
      <c r="L34" s="82"/>
      <c r="M34" s="82"/>
      <c r="AMK34" s="30"/>
    </row>
    <row r="35" spans="1:13 1025:1025" ht="46.5" customHeight="1" thickBot="1" x14ac:dyDescent="0.25">
      <c r="A35" s="100">
        <f>+'Necesidades Trimestrales'!A33</f>
        <v>24</v>
      </c>
      <c r="B35" s="101" t="str">
        <f>+'Necesidades Trimestrales'!B33</f>
        <v>2.5.2-2200.19</v>
      </c>
      <c r="C35" s="132" t="str">
        <f>+'Necesidades Trimestrales'!E33</f>
        <v>CORTICOIDES; DROGA GENERICA: MEPREDNISONA, FORMA FARMACEUTICA: COMPRIMIDO, PRESENTACION: 40 mGr, TIPO: MONODROGA</v>
      </c>
      <c r="D35" s="132"/>
      <c r="E35" s="132"/>
      <c r="F35" s="132"/>
      <c r="G35" s="132"/>
      <c r="H35" s="100" t="s">
        <v>51</v>
      </c>
      <c r="I35" s="102" t="str">
        <f>+'Necesidades Trimestrales'!F33</f>
        <v>COMPRIMIDO</v>
      </c>
      <c r="J35" s="103">
        <f>+'Necesidades Trimestrales'!H33</f>
        <v>55</v>
      </c>
      <c r="K35" s="104">
        <f>+'Necesidades Trimestrales'!G33</f>
        <v>30</v>
      </c>
      <c r="L35" s="82"/>
      <c r="M35" s="82"/>
      <c r="AMK35" s="30"/>
    </row>
    <row r="36" spans="1:13 1025:1025" ht="46.5" customHeight="1" thickBot="1" x14ac:dyDescent="0.25">
      <c r="A36" s="100">
        <f>+'Necesidades Trimestrales'!A34</f>
        <v>25</v>
      </c>
      <c r="B36" s="101" t="str">
        <f>+'Necesidades Trimestrales'!B34</f>
        <v>2.5.2-1855.105</v>
      </c>
      <c r="C36" s="132" t="str">
        <f>+'Necesidades Trimestrales'!E34</f>
        <v>CORTICOESTEROIDES; TIPO: MONODROGA, DROGA GENERICA: MEPREDNISONA 8 mGr, FORMA FARMACEUTICA: COMPRIMIDO, PRESENTACION: UNIDAD</v>
      </c>
      <c r="D36" s="132"/>
      <c r="E36" s="132"/>
      <c r="F36" s="132"/>
      <c r="G36" s="132"/>
      <c r="H36" s="100" t="s">
        <v>51</v>
      </c>
      <c r="I36" s="102" t="str">
        <f>+'Necesidades Trimestrales'!F34</f>
        <v>COMPRIMIDO</v>
      </c>
      <c r="J36" s="103">
        <f>+'Necesidades Trimestrales'!H34</f>
        <v>17.350000000000001</v>
      </c>
      <c r="K36" s="104">
        <f>+'Necesidades Trimestrales'!G34</f>
        <v>30</v>
      </c>
      <c r="L36" s="82"/>
      <c r="M36" s="82"/>
      <c r="AMK36" s="30"/>
    </row>
    <row r="37" spans="1:13 1025:1025" ht="46.5" customHeight="1" thickBot="1" x14ac:dyDescent="0.25">
      <c r="A37" s="100">
        <f>+'Necesidades Trimestrales'!A35</f>
        <v>26</v>
      </c>
      <c r="B37" s="101" t="str">
        <f>+'Necesidades Trimestrales'!B35</f>
        <v>2.5.2-1821.487</v>
      </c>
      <c r="C37" s="132" t="str">
        <f>+'Necesidades Trimestrales'!E35</f>
        <v>ANTIBIOTICOS P/PERSONAS; TIPO: MONODROGA, DROGA GENERICA: METRONIDAZOL, FORMA FARMACEUTICA: OVULO, PRESENTACION: UNIDAD</v>
      </c>
      <c r="D37" s="132"/>
      <c r="E37" s="132"/>
      <c r="F37" s="132"/>
      <c r="G37" s="132"/>
      <c r="H37" s="100" t="s">
        <v>51</v>
      </c>
      <c r="I37" s="102" t="str">
        <f>+'Necesidades Trimestrales'!F35</f>
        <v>UNIDAD</v>
      </c>
      <c r="J37" s="103">
        <f>+'Necesidades Trimestrales'!H35</f>
        <v>47.24</v>
      </c>
      <c r="K37" s="104">
        <f>+'Necesidades Trimestrales'!G35</f>
        <v>80</v>
      </c>
      <c r="L37" s="82"/>
      <c r="M37" s="82"/>
      <c r="AMK37" s="30"/>
    </row>
    <row r="38" spans="1:13 1025:1025" ht="46.5" customHeight="1" thickBot="1" x14ac:dyDescent="0.25">
      <c r="A38" s="100">
        <f>+'Necesidades Trimestrales'!A36</f>
        <v>27</v>
      </c>
      <c r="B38" s="101" t="str">
        <f>+'Necesidades Trimestrales'!B36</f>
        <v>2.5.2-9500.2</v>
      </c>
      <c r="C38" s="132" t="str">
        <f>+'Necesidades Trimestrales'!E36</f>
        <v>INDUCTOR DEL PARTO; TIPO: MONODROGA, DROGA GENÉRICA: MISOPROSTOL 200 MGR, FORMA FARMACEÚTICA: COMPRIMIDO VAGINAL, PRESENTACION: UNIDAD</v>
      </c>
      <c r="D38" s="132"/>
      <c r="E38" s="132"/>
      <c r="F38" s="132"/>
      <c r="G38" s="132"/>
      <c r="H38" s="100" t="s">
        <v>51</v>
      </c>
      <c r="I38" s="102" t="str">
        <f>+'Necesidades Trimestrales'!F36</f>
        <v>COMPRIMIDO</v>
      </c>
      <c r="J38" s="103">
        <f>+'Necesidades Trimestrales'!H36</f>
        <v>520</v>
      </c>
      <c r="K38" s="104">
        <f>+'Necesidades Trimestrales'!G36</f>
        <v>2000</v>
      </c>
      <c r="L38" s="82"/>
      <c r="M38" s="82"/>
      <c r="AMK38" s="30"/>
    </row>
    <row r="39" spans="1:13 1025:1025" ht="46.5" customHeight="1" thickBot="1" x14ac:dyDescent="0.25">
      <c r="A39" s="100">
        <f>+'Necesidades Trimestrales'!A37</f>
        <v>28</v>
      </c>
      <c r="B39" s="101" t="str">
        <f>+'Necesidades Trimestrales'!B37</f>
        <v>2.5.2-1851.29</v>
      </c>
      <c r="C39" s="132" t="str">
        <f>+'Necesidades Trimestrales'!E37</f>
        <v>GENITOURINARIO; TIPO: MONODROGA, DROGA GENÉRICA: NISTATINA, FORMA FARMACEÚTICA: COMPRIMIDO VAGINAL, PRESENTACIÓN: 100000 UI</v>
      </c>
      <c r="D39" s="132"/>
      <c r="E39" s="132"/>
      <c r="F39" s="132"/>
      <c r="G39" s="132"/>
      <c r="H39" s="100" t="s">
        <v>51</v>
      </c>
      <c r="I39" s="102" t="str">
        <f>+'Necesidades Trimestrales'!F37</f>
        <v>COMPRIMIDO</v>
      </c>
      <c r="J39" s="103">
        <f>+'Necesidades Trimestrales'!H37</f>
        <v>33.5</v>
      </c>
      <c r="K39" s="104">
        <f>+'Necesidades Trimestrales'!G37</f>
        <v>80</v>
      </c>
      <c r="L39" s="82"/>
      <c r="M39" s="82"/>
      <c r="AMK39" s="30"/>
    </row>
    <row r="40" spans="1:13 1025:1025" ht="46.5" customHeight="1" thickBot="1" x14ac:dyDescent="0.25">
      <c r="A40" s="100">
        <f>+'Necesidades Trimestrales'!A38</f>
        <v>29</v>
      </c>
      <c r="B40" s="101" t="str">
        <f>+'Necesidades Trimestrales'!B38</f>
        <v>2.5.2-1853.2</v>
      </c>
      <c r="C40" s="132" t="str">
        <f>+'Necesidades Trimestrales'!E38</f>
        <v>OCITOCICOS; TIPO: MONODROGA, DROGA GENERICA: OXITOCINA SINTÉTICA, PRESENTACION: 10 UI, FORMA FARMACEUTICA: AMPOLLA</v>
      </c>
      <c r="D40" s="132"/>
      <c r="E40" s="132"/>
      <c r="F40" s="132"/>
      <c r="G40" s="132"/>
      <c r="H40" s="100" t="s">
        <v>51</v>
      </c>
      <c r="I40" s="102" t="str">
        <f>+'Necesidades Trimestrales'!F38</f>
        <v>AMPOLLA</v>
      </c>
      <c r="J40" s="103">
        <f>+'Necesidades Trimestrales'!H38</f>
        <v>36</v>
      </c>
      <c r="K40" s="104">
        <f>+'Necesidades Trimestrales'!G38</f>
        <v>4000</v>
      </c>
      <c r="L40" s="82"/>
      <c r="M40" s="82"/>
      <c r="AMK40" s="30"/>
    </row>
    <row r="41" spans="1:13 1025:1025" ht="46.5" customHeight="1" thickBot="1" x14ac:dyDescent="0.25">
      <c r="A41" s="100">
        <f>+'Necesidades Trimestrales'!A39</f>
        <v>30</v>
      </c>
      <c r="B41" s="101" t="str">
        <f>+'Necesidades Trimestrales'!B39</f>
        <v>2.5.2-1895.88</v>
      </c>
      <c r="C41" s="132" t="str">
        <f>+'Necesidades Trimestrales'!E39</f>
        <v>HORMONAS MEDICINALES; TIPO: MONODROGA, DROGA GENÉRICA: PROGESTERONA MICRONIZADA 200 MG, FORMA FARMACEÚTICA: CÁPSULAS, USO: SEXUAL</v>
      </c>
      <c r="D41" s="132"/>
      <c r="E41" s="132"/>
      <c r="F41" s="132"/>
      <c r="G41" s="132"/>
      <c r="H41" s="100" t="s">
        <v>51</v>
      </c>
      <c r="I41" s="102" t="str">
        <f>+'Necesidades Trimestrales'!F39</f>
        <v>CAPSULA</v>
      </c>
      <c r="J41" s="103">
        <f>+'Necesidades Trimestrales'!H39</f>
        <v>330</v>
      </c>
      <c r="K41" s="104">
        <f>+'Necesidades Trimestrales'!G39</f>
        <v>100</v>
      </c>
      <c r="L41" s="82"/>
      <c r="M41" s="82"/>
      <c r="AMK41" s="30"/>
    </row>
    <row r="42" spans="1:13 1025:1025" ht="46.5" customHeight="1" thickBot="1" x14ac:dyDescent="0.25">
      <c r="A42" s="100">
        <f>+'Necesidades Trimestrales'!A40</f>
        <v>31</v>
      </c>
      <c r="B42" s="101" t="str">
        <f>+'Necesidades Trimestrales'!B40</f>
        <v>2.5.2-1875.55</v>
      </c>
      <c r="C42" s="132" t="str">
        <f>+'Necesidades Trimestrales'!E40</f>
        <v>ANTIASMATICO BRONCODILATADOR; TIPO: MONODROGA, DROGA GENERICA: SALBUTAMOL, FORMA FARMACEUTICA: AEROSOL, PRESENTACION: 250 DOSIS</v>
      </c>
      <c r="D42" s="132"/>
      <c r="E42" s="132"/>
      <c r="F42" s="132"/>
      <c r="G42" s="132"/>
      <c r="H42" s="100" t="s">
        <v>131</v>
      </c>
      <c r="I42" s="102" t="str">
        <f>+'Necesidades Trimestrales'!F40</f>
        <v>UNIDAD</v>
      </c>
      <c r="J42" s="103">
        <f>+'Necesidades Trimestrales'!H40</f>
        <v>1580</v>
      </c>
      <c r="K42" s="104">
        <f>+'Necesidades Trimestrales'!G40</f>
        <v>250</v>
      </c>
      <c r="L42" s="82"/>
      <c r="M42" s="82"/>
      <c r="AMK42" s="30"/>
    </row>
    <row r="43" spans="1:13 1025:1025" ht="46.5" customHeight="1" thickBot="1" x14ac:dyDescent="0.25">
      <c r="A43" s="100">
        <f>+'Necesidades Trimestrales'!A41</f>
        <v>32</v>
      </c>
      <c r="B43" s="101" t="str">
        <f>+'Necesidades Trimestrales'!B41</f>
        <v>2.5.2-1875.11</v>
      </c>
      <c r="C43" s="132" t="str">
        <f>+'Necesidades Trimestrales'!E41</f>
        <v>ANTIASMATICO BRONCODILATADOR; TIPO: MONODROGA, PRESENTACION: 20 mL, FORMA FARMACEUTICA: GOTAS, DROGA GENERICA: SALBUTAMOL</v>
      </c>
      <c r="D43" s="132"/>
      <c r="E43" s="132"/>
      <c r="F43" s="132"/>
      <c r="G43" s="132"/>
      <c r="H43" s="100" t="s">
        <v>51</v>
      </c>
      <c r="I43" s="102" t="str">
        <f>+'Necesidades Trimestrales'!F41</f>
        <v>GOTERO</v>
      </c>
      <c r="J43" s="103">
        <f>+'Necesidades Trimestrales'!H41</f>
        <v>95</v>
      </c>
      <c r="K43" s="104">
        <f>+'Necesidades Trimestrales'!G41</f>
        <v>50</v>
      </c>
      <c r="L43" s="82"/>
      <c r="M43" s="82"/>
      <c r="AMK43" s="30"/>
    </row>
    <row r="44" spans="1:13 1025:1025" ht="33" customHeight="1" thickBot="1" x14ac:dyDescent="0.25">
      <c r="A44" s="100">
        <f>+'Necesidades Trimestrales'!A42</f>
        <v>33</v>
      </c>
      <c r="B44" s="101" t="str">
        <f>+'Necesidades Trimestrales'!B42</f>
        <v>2.5.2-1883.189</v>
      </c>
      <c r="C44" s="132" t="str">
        <f>+'Necesidades Trimestrales'!E42</f>
        <v>ANESTÉSICOS LOCALES; TIPO: ANALGÉSICO LOCAL Y ANTIBACTERIANO, DROGA GENÉRICA: LIDOCAÍNA + SULFADIAZINA + VITAMINA A, FORMA FARMACEÚTICA: CREMA, PRESENTACIÓN: ENVASE X 100 GR</v>
      </c>
      <c r="D44" s="132"/>
      <c r="E44" s="132"/>
      <c r="F44" s="132"/>
      <c r="G44" s="132"/>
      <c r="H44" s="100" t="s">
        <v>51</v>
      </c>
      <c r="I44" s="102" t="str">
        <f>+'Necesidades Trimestrales'!F42</f>
        <v>UNIDAD</v>
      </c>
      <c r="J44" s="103">
        <f>+'Necesidades Trimestrales'!H42</f>
        <v>1120</v>
      </c>
      <c r="K44" s="104">
        <f>+'Necesidades Trimestrales'!G42</f>
        <v>10</v>
      </c>
      <c r="L44" s="82"/>
      <c r="M44" s="82"/>
      <c r="AMK44" s="30"/>
    </row>
    <row r="45" spans="1:13 1025:1025" ht="46.5" customHeight="1" thickBot="1" x14ac:dyDescent="0.25">
      <c r="A45" s="100">
        <f>+'Necesidades Trimestrales'!A43</f>
        <v>34</v>
      </c>
      <c r="B45" s="101" t="str">
        <f>+'Necesidades Trimestrales'!B43</f>
        <v>2.5.2-1875.68</v>
      </c>
      <c r="C45" s="132" t="str">
        <f>+'Necesidades Trimestrales'!E43</f>
        <v>ANTIASMATICO BRONCODILATADOR; TIPO: MONODROGA, DROGA GENERICA: SURFACTANTE PULMONAR BOVI 30MG, FORMA FARMACEUTICA: AMPOLLA, PRESENTACION: ENVASE X 4 mL</v>
      </c>
      <c r="D45" s="132"/>
      <c r="E45" s="132"/>
      <c r="F45" s="132"/>
      <c r="G45" s="132"/>
      <c r="H45" s="100" t="s">
        <v>51</v>
      </c>
      <c r="I45" s="102" t="str">
        <f>+'Necesidades Trimestrales'!F43</f>
        <v>AMPOLLA</v>
      </c>
      <c r="J45" s="103">
        <f>+'Necesidades Trimestrales'!H43</f>
        <v>10300</v>
      </c>
      <c r="K45" s="104">
        <f>+'Necesidades Trimestrales'!G43</f>
        <v>60</v>
      </c>
      <c r="L45" s="82"/>
      <c r="M45" s="82"/>
      <c r="AMK45" s="30"/>
    </row>
    <row r="46" spans="1:13 1025:1025" ht="16.5" thickBot="1" x14ac:dyDescent="0.25">
      <c r="A46" s="138" t="s">
        <v>147</v>
      </c>
      <c r="B46" s="138"/>
      <c r="C46" s="138"/>
      <c r="D46" s="138"/>
      <c r="E46" s="138"/>
      <c r="F46" s="138"/>
      <c r="G46" s="138"/>
      <c r="H46" s="138"/>
      <c r="I46" s="138"/>
      <c r="J46" s="137">
        <f>SUMPRODUCT(J12:J45,K12:K45)</f>
        <v>4596591</v>
      </c>
      <c r="K46" s="137"/>
      <c r="L46" s="83"/>
      <c r="M46" s="82"/>
    </row>
  </sheetData>
  <mergeCells count="59">
    <mergeCell ref="C33:G33"/>
    <mergeCell ref="C34:G34"/>
    <mergeCell ref="C21:G21"/>
    <mergeCell ref="H10:H11"/>
    <mergeCell ref="I10:I11"/>
    <mergeCell ref="C12:G12"/>
    <mergeCell ref="C23:G23"/>
    <mergeCell ref="C24:G24"/>
    <mergeCell ref="C13:G13"/>
    <mergeCell ref="C14:G14"/>
    <mergeCell ref="C15:G15"/>
    <mergeCell ref="C16:G16"/>
    <mergeCell ref="C17:G17"/>
    <mergeCell ref="C18:G18"/>
    <mergeCell ref="C19:G19"/>
    <mergeCell ref="C20:G20"/>
    <mergeCell ref="J10:J11"/>
    <mergeCell ref="K10:K11"/>
    <mergeCell ref="A7:B7"/>
    <mergeCell ref="A8:B8"/>
    <mergeCell ref="C7:K7"/>
    <mergeCell ref="C8:K8"/>
    <mergeCell ref="A10:A11"/>
    <mergeCell ref="B10:B11"/>
    <mergeCell ref="C10:G11"/>
    <mergeCell ref="A1:I1"/>
    <mergeCell ref="A3:B3"/>
    <mergeCell ref="A4:B4"/>
    <mergeCell ref="A5:B5"/>
    <mergeCell ref="A6:B6"/>
    <mergeCell ref="C6:K6"/>
    <mergeCell ref="C3:K3"/>
    <mergeCell ref="C4:K4"/>
    <mergeCell ref="C5:K5"/>
    <mergeCell ref="L12:M12"/>
    <mergeCell ref="L16:M16"/>
    <mergeCell ref="L32:M32"/>
    <mergeCell ref="C22:G22"/>
    <mergeCell ref="J46:K46"/>
    <mergeCell ref="A46:I46"/>
    <mergeCell ref="C25:G25"/>
    <mergeCell ref="C35:G35"/>
    <mergeCell ref="C36:G36"/>
    <mergeCell ref="C26:G26"/>
    <mergeCell ref="C27:G27"/>
    <mergeCell ref="C28:G28"/>
    <mergeCell ref="C29:G29"/>
    <mergeCell ref="C30:G30"/>
    <mergeCell ref="C31:G31"/>
    <mergeCell ref="C32:G32"/>
    <mergeCell ref="C42:G42"/>
    <mergeCell ref="C43:G43"/>
    <mergeCell ref="C44:G44"/>
    <mergeCell ref="C45:G45"/>
    <mergeCell ref="C37:G37"/>
    <mergeCell ref="C38:G38"/>
    <mergeCell ref="C39:G39"/>
    <mergeCell ref="C40:G40"/>
    <mergeCell ref="C41:G4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7"/>
  <sheetViews>
    <sheetView topLeftCell="A16" zoomScale="130" zoomScaleNormal="130" workbookViewId="0">
      <selection activeCell="A26" sqref="A26:Q27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71" t="s">
        <v>3</v>
      </c>
      <c r="B1" s="171"/>
      <c r="C1" s="171"/>
      <c r="D1" s="172">
        <f>'Necesidades Trimestrales'!C6</f>
        <v>2022</v>
      </c>
      <c r="E1" s="172"/>
      <c r="F1" s="2"/>
      <c r="G1" s="2"/>
      <c r="H1" s="3"/>
      <c r="I1" s="3"/>
      <c r="J1" s="3"/>
      <c r="K1" s="3"/>
      <c r="L1" s="3"/>
      <c r="M1" s="3"/>
      <c r="N1" s="3"/>
      <c r="P1" s="173" t="s">
        <v>23</v>
      </c>
      <c r="Q1" s="173"/>
    </row>
    <row r="2" spans="1:17" ht="15.75" customHeight="1" x14ac:dyDescent="0.2">
      <c r="H2" s="3"/>
      <c r="I2" s="3"/>
      <c r="J2" s="3"/>
      <c r="K2" s="3"/>
      <c r="L2" s="3"/>
      <c r="M2" s="3"/>
      <c r="N2" s="3"/>
      <c r="P2" s="173"/>
      <c r="Q2" s="173"/>
    </row>
    <row r="4" spans="1:17" s="4" customFormat="1" ht="18" customHeight="1" thickBot="1" x14ac:dyDescent="0.25">
      <c r="A4" s="174" t="s">
        <v>24</v>
      </c>
      <c r="B4" s="174"/>
      <c r="C4" s="174"/>
      <c r="D4" s="174"/>
      <c r="E4" s="174"/>
      <c r="F4" s="174"/>
      <c r="G4" s="169" t="str">
        <f>' NotaPedido'!C3</f>
        <v>040 - Ministerio de Salud</v>
      </c>
      <c r="H4" s="169"/>
      <c r="I4" s="169"/>
      <c r="J4" s="169"/>
      <c r="K4" s="169"/>
      <c r="L4" s="169"/>
      <c r="M4" s="169"/>
      <c r="N4" s="169"/>
      <c r="O4" s="169"/>
      <c r="P4" s="169"/>
      <c r="Q4" s="169"/>
    </row>
    <row r="5" spans="1:17" s="4" customFormat="1" ht="18" customHeight="1" thickBot="1" x14ac:dyDescent="0.25">
      <c r="A5" s="166" t="s">
        <v>47</v>
      </c>
      <c r="B5" s="167"/>
      <c r="C5" s="167"/>
      <c r="D5" s="167"/>
      <c r="E5" s="167"/>
      <c r="F5" s="168"/>
      <c r="G5" s="169" t="str">
        <f>' NotaPedido'!C4</f>
        <v xml:space="preserve"> 28-Maternidad Provincial 25 de Mayo</v>
      </c>
      <c r="H5" s="169"/>
      <c r="I5" s="169"/>
      <c r="J5" s="169"/>
      <c r="K5" s="169"/>
      <c r="L5" s="169"/>
      <c r="M5" s="169"/>
      <c r="N5" s="169"/>
      <c r="O5" s="169"/>
      <c r="P5" s="169"/>
      <c r="Q5" s="169"/>
    </row>
    <row r="6" spans="1:17" s="4" customFormat="1" ht="18" customHeight="1" thickBot="1" x14ac:dyDescent="0.25">
      <c r="A6" s="166" t="s">
        <v>25</v>
      </c>
      <c r="B6" s="167"/>
      <c r="C6" s="167"/>
      <c r="D6" s="167"/>
      <c r="E6" s="167"/>
      <c r="F6" s="168"/>
      <c r="G6" s="169" t="str">
        <f>' NotaPedido'!C5</f>
        <v>169-Direccion Asistencial</v>
      </c>
      <c r="H6" s="169"/>
      <c r="I6" s="169"/>
      <c r="J6" s="169"/>
      <c r="K6" s="169"/>
      <c r="L6" s="169"/>
      <c r="M6" s="169"/>
      <c r="N6" s="169"/>
      <c r="O6" s="169"/>
      <c r="P6" s="169"/>
      <c r="Q6" s="169"/>
    </row>
    <row r="7" spans="1:17" s="4" customFormat="1" ht="18" customHeight="1" thickBot="1" x14ac:dyDescent="0.25">
      <c r="A7" s="166" t="s">
        <v>48</v>
      </c>
      <c r="B7" s="167"/>
      <c r="C7" s="167"/>
      <c r="D7" s="167"/>
      <c r="E7" s="167"/>
      <c r="F7" s="168"/>
      <c r="G7" s="169" t="str">
        <f>' NotaPedido'!C6</f>
        <v>Servicio de Farmacia</v>
      </c>
      <c r="H7" s="169"/>
      <c r="I7" s="169"/>
      <c r="J7" s="169"/>
      <c r="K7" s="169"/>
      <c r="L7" s="169"/>
      <c r="M7" s="169"/>
      <c r="N7" s="169"/>
      <c r="O7" s="169"/>
      <c r="P7" s="169"/>
      <c r="Q7" s="169"/>
    </row>
    <row r="8" spans="1:17" ht="18" customHeight="1" thickBot="1" x14ac:dyDescent="0.25">
      <c r="A8" s="170" t="s">
        <v>26</v>
      </c>
      <c r="B8" s="17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</row>
    <row r="9" spans="1:17" ht="18" customHeight="1" x14ac:dyDescent="0.2">
      <c r="A9" s="160" t="s">
        <v>27</v>
      </c>
      <c r="B9" s="160"/>
      <c r="C9" s="160"/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30"/>
      <c r="P9" s="30"/>
      <c r="Q9" s="92"/>
    </row>
    <row r="10" spans="1:17" ht="54.75" customHeight="1" x14ac:dyDescent="0.2">
      <c r="A10" s="161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161"/>
      <c r="C10" s="161"/>
      <c r="D10" s="161"/>
      <c r="E10" s="161"/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61"/>
      <c r="Q10" s="161"/>
    </row>
    <row r="11" spans="1:17" ht="9" customHeight="1" x14ac:dyDescent="0.2">
      <c r="A11" s="5"/>
      <c r="B11" s="6"/>
      <c r="C11" s="6"/>
      <c r="D11" s="6"/>
      <c r="E11" s="6"/>
      <c r="F11" s="6"/>
      <c r="G11" s="7"/>
      <c r="H11" s="6"/>
      <c r="I11" s="6"/>
      <c r="J11" s="6"/>
      <c r="K11" s="6"/>
      <c r="L11" s="6"/>
      <c r="M11" s="6"/>
      <c r="N11" s="6"/>
      <c r="O11" s="6"/>
      <c r="P11" s="6"/>
      <c r="Q11" s="8"/>
    </row>
    <row r="12" spans="1:17" ht="15.75" customHeight="1" x14ac:dyDescent="0.2">
      <c r="A12" s="162" t="s">
        <v>28</v>
      </c>
      <c r="B12" s="162"/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  <c r="O12" s="162"/>
      <c r="P12" s="162"/>
      <c r="Q12" s="162"/>
    </row>
    <row r="13" spans="1:17" ht="15.75" customHeight="1" x14ac:dyDescent="0.2">
      <c r="A13" s="163" t="s">
        <v>29</v>
      </c>
      <c r="B13" s="163"/>
      <c r="C13" s="163"/>
      <c r="D13" s="163"/>
      <c r="E13" s="163"/>
      <c r="F13" s="163"/>
      <c r="G13" s="163"/>
      <c r="H13" s="163"/>
      <c r="I13" s="163"/>
      <c r="J13" s="163"/>
      <c r="K13" s="163"/>
      <c r="L13" s="163"/>
      <c r="M13" s="163"/>
      <c r="N13" s="163"/>
      <c r="O13" s="164" t="s">
        <v>30</v>
      </c>
      <c r="P13" s="164"/>
      <c r="Q13" s="165" t="s">
        <v>31</v>
      </c>
    </row>
    <row r="14" spans="1:17" ht="15.75" customHeight="1" x14ac:dyDescent="0.2">
      <c r="A14" s="9" t="s">
        <v>32</v>
      </c>
      <c r="B14" s="10" t="s">
        <v>33</v>
      </c>
      <c r="C14" s="10" t="s">
        <v>34</v>
      </c>
      <c r="D14" s="10" t="s">
        <v>35</v>
      </c>
      <c r="E14" s="10" t="s">
        <v>36</v>
      </c>
      <c r="F14" s="10" t="s">
        <v>37</v>
      </c>
      <c r="G14" s="11" t="s">
        <v>38</v>
      </c>
      <c r="H14" s="10" t="s">
        <v>39</v>
      </c>
      <c r="I14" s="10" t="s">
        <v>40</v>
      </c>
      <c r="J14" s="10" t="s">
        <v>41</v>
      </c>
      <c r="K14" s="10" t="s">
        <v>41</v>
      </c>
      <c r="L14" s="10" t="s">
        <v>42</v>
      </c>
      <c r="M14" s="12" t="s">
        <v>43</v>
      </c>
      <c r="N14" s="13" t="s">
        <v>44</v>
      </c>
      <c r="O14" s="164"/>
      <c r="P14" s="164"/>
      <c r="Q14" s="165"/>
    </row>
    <row r="15" spans="1:17" ht="17.25" customHeight="1" x14ac:dyDescent="0.2">
      <c r="A15" s="93">
        <v>42</v>
      </c>
      <c r="B15" s="37"/>
      <c r="C15" s="37"/>
      <c r="D15" s="37">
        <v>2</v>
      </c>
      <c r="E15" s="37"/>
      <c r="F15" s="37">
        <v>4901</v>
      </c>
      <c r="G15" s="37">
        <v>3</v>
      </c>
      <c r="H15" s="37">
        <v>310</v>
      </c>
      <c r="I15" s="94">
        <v>2</v>
      </c>
      <c r="J15" s="94">
        <v>5</v>
      </c>
      <c r="K15" s="94">
        <v>2</v>
      </c>
      <c r="L15" s="37"/>
      <c r="M15" s="38">
        <v>1</v>
      </c>
      <c r="N15" s="39" t="s">
        <v>50</v>
      </c>
      <c r="O15" s="159" t="s">
        <v>136</v>
      </c>
      <c r="P15" s="159"/>
      <c r="Q15" s="14">
        <f>+' NotaPedido'!J46</f>
        <v>4596591</v>
      </c>
    </row>
    <row r="16" spans="1:17" ht="17.25" customHeight="1" x14ac:dyDescent="0.2">
      <c r="A16" s="95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7"/>
      <c r="N16" s="98"/>
      <c r="O16" s="155"/>
      <c r="P16" s="155"/>
      <c r="Q16" s="19"/>
    </row>
    <row r="17" spans="1:21" ht="17.25" customHeight="1" x14ac:dyDescent="0.2">
      <c r="A17" s="15"/>
      <c r="B17" s="16"/>
      <c r="C17" s="16"/>
      <c r="D17" s="16"/>
      <c r="E17" s="16"/>
      <c r="F17" s="18"/>
      <c r="G17" s="16"/>
      <c r="H17" s="16"/>
      <c r="I17" s="16"/>
      <c r="J17" s="16"/>
      <c r="K17" s="16"/>
      <c r="L17" s="16"/>
      <c r="M17" s="17"/>
      <c r="N17" s="18"/>
      <c r="O17" s="155"/>
      <c r="P17" s="155"/>
      <c r="Q17" s="19"/>
    </row>
    <row r="18" spans="1:21" ht="17.25" customHeight="1" x14ac:dyDescent="0.2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7"/>
      <c r="N18" s="18"/>
      <c r="O18" s="155"/>
      <c r="P18" s="155"/>
      <c r="Q18" s="19"/>
    </row>
    <row r="19" spans="1:21" ht="17.25" customHeight="1" x14ac:dyDescent="0.2">
      <c r="A19" s="15"/>
      <c r="B19" s="16"/>
      <c r="C19" s="16"/>
      <c r="D19" s="16"/>
      <c r="E19" s="16"/>
      <c r="F19" s="18"/>
      <c r="G19" s="16"/>
      <c r="H19" s="16"/>
      <c r="I19" s="16"/>
      <c r="J19" s="16"/>
      <c r="K19" s="16"/>
      <c r="L19" s="16"/>
      <c r="M19" s="17"/>
      <c r="N19" s="18"/>
      <c r="O19" s="155"/>
      <c r="P19" s="155"/>
      <c r="Q19" s="19"/>
    </row>
    <row r="20" spans="1:21" ht="17.25" customHeight="1" x14ac:dyDescent="0.2">
      <c r="A20" s="15"/>
      <c r="B20" s="16"/>
      <c r="C20" s="16"/>
      <c r="D20" s="16"/>
      <c r="E20" s="16"/>
      <c r="F20" s="18"/>
      <c r="G20" s="16"/>
      <c r="H20" s="16"/>
      <c r="I20" s="16"/>
      <c r="J20" s="16"/>
      <c r="K20" s="16"/>
      <c r="L20" s="16"/>
      <c r="M20" s="17"/>
      <c r="N20" s="18"/>
      <c r="O20" s="155"/>
      <c r="P20" s="155"/>
      <c r="Q20" s="19"/>
    </row>
    <row r="21" spans="1:21" ht="17.25" customHeight="1" x14ac:dyDescent="0.2">
      <c r="A21" s="20"/>
      <c r="B21" s="21"/>
      <c r="C21" s="21"/>
      <c r="D21" s="21"/>
      <c r="E21" s="21"/>
      <c r="F21" s="18"/>
      <c r="G21" s="21"/>
      <c r="H21" s="21"/>
      <c r="I21" s="21"/>
      <c r="J21" s="21"/>
      <c r="K21" s="21"/>
      <c r="L21" s="21"/>
      <c r="M21" s="22"/>
      <c r="N21" s="23"/>
      <c r="O21" s="155"/>
      <c r="P21" s="155"/>
      <c r="Q21" s="19"/>
    </row>
    <row r="22" spans="1:21" ht="17.25" customHeight="1" x14ac:dyDescent="0.2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6"/>
      <c r="N22" s="25"/>
      <c r="O22" s="156"/>
      <c r="P22" s="156"/>
      <c r="Q22" s="27"/>
    </row>
    <row r="23" spans="1:21" ht="29.25" customHeight="1" x14ac:dyDescent="0.2">
      <c r="A23" s="157" t="s">
        <v>148</v>
      </c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99">
        <f>SUM(Q15:Q22)</f>
        <v>4596591</v>
      </c>
      <c r="U23" s="30"/>
    </row>
    <row r="24" spans="1:21" ht="18" customHeight="1" thickBot="1" x14ac:dyDescent="0.25">
      <c r="A24" s="158"/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</row>
    <row r="25" spans="1:21" ht="17.25" customHeight="1" thickBot="1" x14ac:dyDescent="0.25">
      <c r="A25" s="150" t="s">
        <v>45</v>
      </c>
      <c r="B25" s="151"/>
      <c r="C25" s="151"/>
      <c r="D25" s="151"/>
      <c r="E25" s="151"/>
      <c r="F25" s="152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</row>
    <row r="26" spans="1:21" ht="18" customHeight="1" thickBot="1" x14ac:dyDescent="0.25">
      <c r="A26" s="154" t="str">
        <f>' NotaPedido'!$C$8</f>
        <v>Adquisición de TERAPIA DERMATOLOGICA/SISTEMA GENITOURINARIO Y HORMONAS SEXUALES /HORMONAS SISTEMICAS /CORTICOIDES SISTEMICOS/RESPIRATORIO/ANTIHISTAMINICOS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</row>
    <row r="27" spans="1:21" ht="15" customHeight="1" x14ac:dyDescent="0.2">
      <c r="A27" s="154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2022-10-26T12:48:35Z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