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heckCompatibility="1" defaultThemeVersion="124226"/>
  <bookViews>
    <workbookView xWindow="-15" yWindow="6390" windowWidth="28830" windowHeight="6435" tabRatio="500"/>
  </bookViews>
  <sheets>
    <sheet name="Necesidades Trimestrales " sheetId="4" r:id="rId1"/>
    <sheet name=" NotaPedido" sheetId="2" r:id="rId2"/>
    <sheet name="Autor Gastar" sheetId="3" r:id="rId3"/>
  </sheets>
  <definedNames>
    <definedName name="_xlnm._FilterDatabase" localSheetId="0" hidden="1">'Necesidades Trimestrales '!$A$9:$Q$43</definedName>
    <definedName name="_xlnm.Print_Area" localSheetId="1">' NotaPedido'!$A$1:$K$46</definedName>
    <definedName name="_xlnm.Print_Area" localSheetId="2">'Autor Gastar'!$A$1:$Q$27</definedName>
    <definedName name="_xlnm.Print_Area" localSheetId="0">'Necesidades Trimestrales '!#REF!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1" i="4" l="1"/>
  <c r="O11" i="4" s="1"/>
  <c r="Q11" i="4" s="1"/>
  <c r="N12" i="4"/>
  <c r="O12" i="4" s="1"/>
  <c r="Q12" i="4" s="1"/>
  <c r="N13" i="4"/>
  <c r="O13" i="4" s="1"/>
  <c r="Q13" i="4" s="1"/>
  <c r="N14" i="4"/>
  <c r="O14" i="4" s="1"/>
  <c r="Q14" i="4" s="1"/>
  <c r="N15" i="4"/>
  <c r="O15" i="4" s="1"/>
  <c r="Q15" i="4" s="1"/>
  <c r="N16" i="4"/>
  <c r="O16" i="4" s="1"/>
  <c r="Q16" i="4" s="1"/>
  <c r="N17" i="4"/>
  <c r="O17" i="4" s="1"/>
  <c r="Q17" i="4" s="1"/>
  <c r="N18" i="4"/>
  <c r="O18" i="4" s="1"/>
  <c r="Q18" i="4" s="1"/>
  <c r="N19" i="4"/>
  <c r="O19" i="4" s="1"/>
  <c r="Q19" i="4" s="1"/>
  <c r="N20" i="4"/>
  <c r="O20" i="4" s="1"/>
  <c r="Q20" i="4" s="1"/>
  <c r="N21" i="4"/>
  <c r="O21" i="4" s="1"/>
  <c r="Q21" i="4" s="1"/>
  <c r="N22" i="4"/>
  <c r="O22" i="4" s="1"/>
  <c r="Q22" i="4" s="1"/>
  <c r="N23" i="4"/>
  <c r="O23" i="4" s="1"/>
  <c r="Q23" i="4" s="1"/>
  <c r="N24" i="4"/>
  <c r="O24" i="4" s="1"/>
  <c r="Q24" i="4" s="1"/>
  <c r="N25" i="4"/>
  <c r="O25" i="4" s="1"/>
  <c r="Q25" i="4" s="1"/>
  <c r="N26" i="4"/>
  <c r="O26" i="4" s="1"/>
  <c r="Q26" i="4" s="1"/>
  <c r="N27" i="4"/>
  <c r="O27" i="4" s="1"/>
  <c r="Q27" i="4" s="1"/>
  <c r="N28" i="4"/>
  <c r="O28" i="4" s="1"/>
  <c r="Q28" i="4" s="1"/>
  <c r="N29" i="4"/>
  <c r="O29" i="4" s="1"/>
  <c r="Q29" i="4" s="1"/>
  <c r="N30" i="4"/>
  <c r="O30" i="4" s="1"/>
  <c r="Q30" i="4" s="1"/>
  <c r="N31" i="4"/>
  <c r="O31" i="4" s="1"/>
  <c r="Q31" i="4" s="1"/>
  <c r="N32" i="4"/>
  <c r="O32" i="4" s="1"/>
  <c r="Q32" i="4" s="1"/>
  <c r="N33" i="4"/>
  <c r="O33" i="4" s="1"/>
  <c r="Q33" i="4" s="1"/>
  <c r="N34" i="4"/>
  <c r="O34" i="4" s="1"/>
  <c r="Q34" i="4" s="1"/>
  <c r="N35" i="4"/>
  <c r="O35" i="4" s="1"/>
  <c r="Q35" i="4" s="1"/>
  <c r="N36" i="4"/>
  <c r="O36" i="4" s="1"/>
  <c r="Q36" i="4" s="1"/>
  <c r="N37" i="4"/>
  <c r="O37" i="4" s="1"/>
  <c r="Q37" i="4" s="1"/>
  <c r="N38" i="4"/>
  <c r="O38" i="4" s="1"/>
  <c r="Q38" i="4" s="1"/>
  <c r="N39" i="4"/>
  <c r="O39" i="4" s="1"/>
  <c r="Q39" i="4" s="1"/>
  <c r="N40" i="4"/>
  <c r="O40" i="4" s="1"/>
  <c r="Q40" i="4" s="1"/>
  <c r="N41" i="4"/>
  <c r="O41" i="4" s="1"/>
  <c r="Q41" i="4" s="1"/>
  <c r="N42" i="4"/>
  <c r="O42" i="4" s="1"/>
  <c r="Q42" i="4" s="1"/>
  <c r="N43" i="4"/>
  <c r="O43" i="4" s="1"/>
  <c r="Q43" i="4" s="1"/>
  <c r="N10" i="4"/>
  <c r="O10" i="4" s="1"/>
  <c r="Q10" i="4" s="1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10" i="4"/>
  <c r="J44" i="4" l="1"/>
  <c r="Q44" i="4"/>
  <c r="H44" i="4"/>
  <c r="L44" i="4"/>
  <c r="N44" i="4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G4" i="3"/>
  <c r="D4" i="2"/>
  <c r="D3" i="2"/>
  <c r="K12" i="2"/>
  <c r="J12" i="2"/>
  <c r="I12" i="2"/>
  <c r="C12" i="2"/>
  <c r="B12" i="2"/>
  <c r="J46" i="2" l="1"/>
  <c r="Q23" i="3" l="1"/>
  <c r="A10" i="3" l="1"/>
  <c r="G6" i="3" l="1"/>
  <c r="G7" i="3"/>
  <c r="G5" i="3"/>
</calcChain>
</file>

<file path=xl/sharedStrings.xml><?xml version="1.0" encoding="utf-8"?>
<sst xmlns="http://schemas.openxmlformats.org/spreadsheetml/2006/main" count="284" uniqueCount="161">
  <si>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</si>
  <si>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</si>
  <si>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</si>
  <si>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</si>
  <si>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</si>
  <si>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</si>
  <si>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</si>
  <si>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</si>
  <si>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</si>
  <si>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</si>
  <si>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</si>
  <si>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</si>
  <si>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</si>
  <si>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</si>
  <si>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</si>
  <si>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</si>
  <si>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</si>
  <si>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</si>
  <si>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</si>
  <si>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</si>
  <si>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</si>
  <si>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</si>
  <si>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</si>
  <si>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</si>
  <si>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</si>
  <si>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</si>
  <si>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</si>
  <si>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</si>
  <si>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</si>
  <si>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</si>
  <si>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</si>
  <si>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</si>
  <si>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</si>
  <si>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</si>
  <si>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</si>
  <si>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</si>
  <si>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</si>
  <si>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</si>
  <si>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</si>
  <si>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</si>
  <si>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</si>
  <si>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</si>
  <si>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</si>
  <si>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</si>
  <si>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</si>
  <si>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</si>
  <si>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</si>
  <si>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</si>
  <si>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</si>
  <si>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</si>
  <si>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</si>
  <si>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</si>
  <si>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</si>
  <si>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</si>
  <si>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…........................... DE XX:00 AXX:00HS.,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</si>
  <si>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XXXX</t>
    </r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</si>
  <si>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</si>
  <si>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t>XXXX</t>
  </si>
  <si>
    <t>Costo total estimado: xxxxxxxxxxxxxxxxxxxx con 00/100.</t>
  </si>
  <si>
    <t>TOTAL DE PESOS: xxxxxxxxxxxxxxx con 00/100.</t>
  </si>
  <si>
    <t>Para la adquisición de .... … destinados al servico de …... del Hospital …...............</t>
  </si>
  <si>
    <t>UNIDAD</t>
  </si>
  <si>
    <t>AMPOLLA</t>
  </si>
  <si>
    <t>FRASCO</t>
  </si>
  <si>
    <t>Semestral</t>
  </si>
  <si>
    <t>xxx/2022</t>
  </si>
  <si>
    <t xml:space="preserve">Adquisición de SANGRE Y ORGANOS HEMATOPOYETICOS/SISTEMA CARDIOVASCULAR </t>
  </si>
  <si>
    <t>PROD. MEDICO/FARMACEUTICOS/LAB</t>
  </si>
  <si>
    <t>Productos Farmacéuticos y Medicinales</t>
  </si>
  <si>
    <t>SOLUCIONES P/MEDICINA; TIPO: AGUA P/IRRIGACION QUIRURGICA, PRESENTACION: SACHET X 2000 mL</t>
  </si>
  <si>
    <t>SOLUCIONES P/MEDICINA; TIPO: AGUA DESTILADA, PRESENTACION: AMPOLLA DE 10 ML</t>
  </si>
  <si>
    <t>SOLUCIONES P/MEDICINA; TIPO: AGUA DESTILADA, PRESENTACION: ENVASE X 500 mL</t>
  </si>
  <si>
    <t>EXPANSORES PLASMATICOS; PRINCIPIO ACTIVO: ALBUMINA HUMANA, CONCENTRACION: 20 %, PRESENTACION: 50ML</t>
  </si>
  <si>
    <t>RECONSTITUYENTE GENERAL; DROGA GENERICA: ALIMENTO ENTERAL PARA SONDA FORTIFICADO CON FIBRAS, FORMA FARMACEUTICA: ENVASE, PRESENTACION: 1 L, TIPO: ASOCIACION</t>
  </si>
  <si>
    <t>RECONSTITUYENTE GENERAL; DROGA GENERICA: ALIMENTO ENTERAL PARA SONDA BAJO INDICE GLUCEMICO, FORMA FARMACEUTICA: ENVASE, PRESENTACION: 1 L, TIPO: ASOCIACION</t>
  </si>
  <si>
    <t>RECONSTITUYENTE GENERAL; TIPO: ASOCIACION, DROGA GENERICA: ALIMENTO ENTERAL PARA SONDA BAJO INDICE GLUCEMICO, FORMA FARMACEUTICA: SOLUCION, PRESENTACION: ENVASE X 500 CM3</t>
  </si>
  <si>
    <t>SUPLEMENTOS DIETARIOS; TIPO: ASOCIACION, DROGA GENERICA: S. PARENTERAL ADULTO 1501-2000 ML, PRESENTACION: UNIDAD</t>
  </si>
  <si>
    <t>SUPLEMENTOS DIETARIOS; TIPO: ASOCIACION, DROGA GENERICA: S. PARENTERAL NEONATAL 0-500 ML, PRESENTACION: UNIDAD, ACCESORIO: CON FILTRO</t>
  </si>
  <si>
    <t>SOLUCIONES P/MEDICINA; TIPO: AMINOACIDOS 10%, PRESENTACION: ENVASE X 500 ML</t>
  </si>
  <si>
    <t>SOLUCIONES P/MEDICINA; TIPO: BICARBONATO 1 MOLAR, PRESENTACION: SACHET DE 100 mL</t>
  </si>
  <si>
    <t>SOLUCIONES P/MEDICINA; TIPO: CLORURO DE POTASIO 15 MEQ, PRESENTACION: AMPOLLA DE 5 mL</t>
  </si>
  <si>
    <t>SOLUCIONES P/MEDICINA; PRESENTACION: AMPOLLA X 20 ML, TIPO: CLORURO DE SODIO MOLAR AL 20 %</t>
  </si>
  <si>
    <t>SOLUCIONES P/MEDICINA; TIPO: CLORURO DE POTASIO MOLAR, PRESENTACION: ENVASE X 100 mL</t>
  </si>
  <si>
    <t>NORMALIZADORES DE CALCEMIA; TIPO: MONODROGA, DROGA GENERICA: GLUCONATO DE CALCIO 10 %, FORMA FARMACEUTICA: AMPOLLA, PRESENTACION: ENVASE X 10 mL</t>
  </si>
  <si>
    <t>SOLUCIONES P/MEDICINA; TIPO: HEMODIALISIS ACIDA A, PRESENTACION: ENVASE X 10 L</t>
  </si>
  <si>
    <t>SOLUCIONES P/MEDICINA; TIPO: HEMODIALISIS BASICO B, PRESENTACION: ENVASE X 10 L</t>
  </si>
  <si>
    <t>SOLUCIONES P/MEDICINA; TIPO: DEXTROSA AL 50 %, PRESENTACION: ENVASE X 500 mL</t>
  </si>
  <si>
    <t>SOLUCIONES P/MEDICINA; TIPO: DEXTROSA AL 10 %, PRESENTACION: ENVASE X 250 mL</t>
  </si>
  <si>
    <t>SOLUCIONES P/MEDICINA; PRESENTACION: SACHET X 500 mL, TIPO: DEXTROSA AL 10 %</t>
  </si>
  <si>
    <t>SOLUCIONES P/MEDICINA; TIPO: DEXTROSA AL 25 %, PRESENTACION: ENVASE X 500 mL</t>
  </si>
  <si>
    <t>SOLUCIONES P/MEDICINA; TIPO: DEXTROSA AL 5%, PRESENTACION: ENVASE X 500 mL</t>
  </si>
  <si>
    <t>SOLUCIONES P/MEDICINA; TIPO: DEXTROSA AL 5%, PRESENTACION: ENVASE X 100 mL</t>
  </si>
  <si>
    <t>SOLUCIONES P/MEDICINA; TIPO: FISIOLOGICA CLORURO DE SODIO, PRESENTACION: 500 CM3</t>
  </si>
  <si>
    <t>SOLUCIONES P/MEDICINA; TIPO: FISIOLOGICA, PRESENTACION: ENVASE X 100 mL</t>
  </si>
  <si>
    <t>SOLUCIONES P/MEDICINA; TIPO: FISIOLOGICA, PRESENTACION: ENVASE X 10 mL</t>
  </si>
  <si>
    <t>SOLUCIONES P/MEDICINA; TIPO: GLUCOSADA HIPERTONICA AL 25%, PRESENTACION: ENVASE X 10 mL</t>
  </si>
  <si>
    <t>SOLUCIONES P/MEDICINA; TIPO: MANITOL AL 15%, PRESENTACION: ENVASE X 500 mL</t>
  </si>
  <si>
    <t>SOLUCIONES P/MEDICINA; TIPO: DIALISIS PERITONEAL DEXTROSA AL 1,5 %, PRESENTACION: ENVASE X 2 L</t>
  </si>
  <si>
    <t>SOLUCIONES P/MEDICINA; TIPO: DIALISIS PERITONEAL DEXTROSA AL 2,5 %, PRESENTACION: ENVASE X 2 L</t>
  </si>
  <si>
    <t>SOLUCIONES P/MEDICINA; TIPO: RINGER LACTATO, PRESENTACION: ENVASE X 500 mL</t>
  </si>
  <si>
    <t>SOLUCIONES P/MEDICINA; TIPO: SULFATO DE MAGNESIO AL 25%, PRESENTACION: ENVASE X 5 mL</t>
  </si>
  <si>
    <t>HIPERTENSORES; TIPO: MONODROGA, DROGA GENERICA: ZINC SULFATO, FORMA FARMACEUTICA: AMPOLLAS, PRESENTACION: 5 mL</t>
  </si>
  <si>
    <t>SUPLEMENTOS DIETARIOS; TIPO: MONODROGA, DROGA GENERICA: TRIGLICER CADENA MEDIA, PRESENTACION: ENVASE X 500 CM3</t>
  </si>
  <si>
    <t>2.5.2-1726.10</t>
  </si>
  <si>
    <t>2.5.2-1726.520</t>
  </si>
  <si>
    <t>2.5.2-1726.186</t>
  </si>
  <si>
    <t>2.5.2-2183.7</t>
  </si>
  <si>
    <t>2.5.2-1903.103</t>
  </si>
  <si>
    <t>2.5.2-1903.104</t>
  </si>
  <si>
    <t>2.5.2-1903.105</t>
  </si>
  <si>
    <t>2.1.1-4227.56</t>
  </si>
  <si>
    <t>2.1.1-4227.19</t>
  </si>
  <si>
    <t>2.5.2-1726.191</t>
  </si>
  <si>
    <t>2.5.2-1726.9</t>
  </si>
  <si>
    <t>2.5.2-1726.305</t>
  </si>
  <si>
    <t>2.5.2-1726.519</t>
  </si>
  <si>
    <t>2.5.2-1726.382</t>
  </si>
  <si>
    <t>2.5.2-2689.7</t>
  </si>
  <si>
    <t>2.5.2-1726.460</t>
  </si>
  <si>
    <t>2.5.2-1726.449</t>
  </si>
  <si>
    <t>2.5.2-1726.378</t>
  </si>
  <si>
    <t>2.5.2-1726.464</t>
  </si>
  <si>
    <t>2.5.2-1726.14</t>
  </si>
  <si>
    <t>2.5.2-1726.377</t>
  </si>
  <si>
    <t>2.5.2-1726.24</t>
  </si>
  <si>
    <t>2.5.2-1726.376</t>
  </si>
  <si>
    <t>2.5.2-1726.17</t>
  </si>
  <si>
    <t>2.5.2-1726.369</t>
  </si>
  <si>
    <t>2.5.2-1726.419</t>
  </si>
  <si>
    <t>2.5.2-1726.393</t>
  </si>
  <si>
    <t>2.5.2-1726.381</t>
  </si>
  <si>
    <t>2.5.2-1726.521</t>
  </si>
  <si>
    <t>2.5.2-1726.522</t>
  </si>
  <si>
    <t>2.5.2-1726.182</t>
  </si>
  <si>
    <t>2.5.2-1726.371</t>
  </si>
  <si>
    <t>2.5.2-1836.10</t>
  </si>
  <si>
    <t>2.1.1-4227.55</t>
  </si>
  <si>
    <t>SACHET</t>
  </si>
  <si>
    <t xml:space="preserve">UNIDAD </t>
  </si>
  <si>
    <t xml:space="preserve">UNIDAD  </t>
  </si>
  <si>
    <t>BIDON</t>
  </si>
  <si>
    <t>BOTELLA</t>
  </si>
  <si>
    <t>CONSULTAR STOCK FCIA CENTRAL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</si>
  <si>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:ITEMS 18,19,20,21,22,23,24 Y 25 DEBERAN CUMPLIR CON LA DISPOSICION ANMAT 11857/2017  SOLUCIONES PARENTERALES DE GRAN VOLUMEN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</si>
  <si>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:ITEMS 5 TIPO JEVITY NUTRICION ENTERAL , LIBRE DE GLUTEN SIN LACTOSA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</si>
  <si>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::ITEMS 6 TIPO GLUCERNA X 1 LITRO 1,0KCAL/ML LIBRE DE GLUTEN , SIN LACTOSA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</si>
  <si>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7 TIPO DIBEN X 500 ML LIBRE DE GLUTEN 1,05 KCAL/ ML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</si>
  <si>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10 TIPO TRAXAMIN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</si>
  <si>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8 EMULSION CON AMINOACIDOS , GLUCOSA ,LIPIDOS Y SALES TIPO SMOFKABIVEN CENTRAL X 1970 ML DE 2200 KCAL</t>
    </r>
  </si>
  <si>
    <t>COMODATO HOSPITAL DE NINOS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</si>
  <si>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29 Y 30  TIPO BAXTER</t>
    </r>
  </si>
  <si>
    <t>DPFeI</t>
  </si>
  <si>
    <t>Total DPFeI</t>
  </si>
  <si>
    <t>DPBD</t>
  </si>
  <si>
    <t>Total DPBS</t>
  </si>
  <si>
    <t>DPSAME</t>
  </si>
  <si>
    <t>Total DPSAME</t>
  </si>
  <si>
    <t>DPMIA</t>
  </si>
  <si>
    <t>Total DPMIA</t>
  </si>
  <si>
    <t>CANTIDAD TOTAL</t>
  </si>
  <si>
    <t>011 - Direccion Provincial de Administracion -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</si>
</sst>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  <numFmt numFmtId="171" formatCode="_-&quot;$&quot;\ * #,##0.00_-;\-&quot;$&quot;\ * #,##0.00_-;_-&quot;$&quot;\ * &quot;-&quot;??_-;_-@"/>
    <numFmt numFmtId="172" formatCode="_-[$$-2C0A]\ * #,##0.00_-;\-[$$-2C0A]\ * #,##0.00_-;_-[$$-2C0A]\ * &quot;-&quot;??_-;_-@_-"/>
  </numFmts>
  <fonts count="3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sz val="8"/>
      <name val="Arial"/>
      <family val="2"/>
    </font>
    <font>
      <sz val="11"/>
      <color rgb="FF424242"/>
      <name val="Calibri"/>
      <family val="2"/>
    </font>
    <font>
      <sz val="11"/>
      <name val="Calibri"/>
      <family val="2"/>
    </font>
    <font>
      <b/>
      <sz val="10"/>
      <name val="Arial"/>
      <family val="2"/>
    </font>
    <font>
      <b/>
      <sz val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166" fontId="15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5" fillId="0" borderId="0"/>
    <xf numFmtId="0" fontId="15" fillId="0" borderId="0"/>
    <xf numFmtId="0" fontId="15" fillId="0" borderId="0"/>
    <xf numFmtId="0" fontId="1" fillId="0" borderId="0"/>
  </cellStyleXfs>
  <cellXfs count="211">
    <xf numFmtId="0" fontId="0" fillId="0" borderId="0" xfId="0"/>
    <xf numFmtId="0" fontId="0" fillId="0" borderId="0" xfId="0" applyAlignment="1">
      <alignment horizontal="left"/>
    </xf>
    <xf numFmtId="3" fontId="10" fillId="0" borderId="0" xfId="0" applyNumberFormat="1" applyFont="1"/>
    <xf numFmtId="169" fontId="0" fillId="0" borderId="0" xfId="0" applyNumberFormat="1" applyAlignment="1">
      <alignment horizontal="left"/>
    </xf>
    <xf numFmtId="0" fontId="3" fillId="0" borderId="0" xfId="0" applyFont="1"/>
    <xf numFmtId="0" fontId="0" fillId="0" borderId="10" xfId="0" applyBorder="1"/>
    <xf numFmtId="0" fontId="0" fillId="0" borderId="23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4" xfId="0" applyBorder="1"/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/>
    </xf>
    <xf numFmtId="0" fontId="14" fillId="0" borderId="28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67" fontId="0" fillId="0" borderId="32" xfId="3" applyNumberFormat="1" applyFont="1" applyBorder="1" applyAlignment="1" applyProtection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7" fontId="0" fillId="0" borderId="41" xfId="3" applyNumberFormat="1" applyFont="1" applyBorder="1" applyAlignment="1" applyProtection="1">
      <alignment horizontal="center" vertical="center"/>
    </xf>
    <xf numFmtId="0" fontId="6" fillId="3" borderId="10" xfId="0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0" fillId="3" borderId="0" xfId="0" applyFill="1"/>
    <xf numFmtId="0" fontId="6" fillId="3" borderId="12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wrapText="1" indent="1"/>
    </xf>
    <xf numFmtId="0" fontId="0" fillId="4" borderId="30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167" fontId="14" fillId="5" borderId="42" xfId="0" applyNumberFormat="1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16" fillId="3" borderId="0" xfId="5" applyFont="1" applyFill="1"/>
    <xf numFmtId="164" fontId="16" fillId="3" borderId="0" xfId="5" applyNumberFormat="1" applyFont="1" applyFill="1"/>
    <xf numFmtId="0" fontId="19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center" wrapText="1"/>
    </xf>
    <xf numFmtId="0" fontId="23" fillId="4" borderId="0" xfId="5" applyFont="1" applyFill="1" applyAlignment="1">
      <alignment horizontal="left" wrapText="1" indent="1"/>
    </xf>
    <xf numFmtId="0" fontId="20" fillId="3" borderId="0" xfId="5" applyFont="1" applyFill="1" applyAlignment="1">
      <alignment horizontal="left" wrapText="1"/>
    </xf>
    <xf numFmtId="0" fontId="23" fillId="6" borderId="0" xfId="5" applyFont="1" applyFill="1" applyAlignment="1">
      <alignment horizontal="left" wrapText="1" indent="1"/>
    </xf>
    <xf numFmtId="0" fontId="15" fillId="3" borderId="46" xfId="5" applyFill="1" applyBorder="1" applyAlignment="1">
      <alignment horizontal="center" vertical="center"/>
    </xf>
    <xf numFmtId="3" fontId="15" fillId="0" borderId="46" xfId="5" applyNumberFormat="1" applyBorder="1" applyAlignment="1">
      <alignment horizontal="center" vertical="center"/>
    </xf>
    <xf numFmtId="164" fontId="15" fillId="4" borderId="46" xfId="1" applyNumberFormat="1" applyFill="1" applyBorder="1" applyAlignment="1" applyProtection="1">
      <alignment horizontal="right" vertical="center" wrapText="1"/>
    </xf>
    <xf numFmtId="0" fontId="16" fillId="3" borderId="3" xfId="5" applyFont="1" applyFill="1" applyBorder="1"/>
    <xf numFmtId="0" fontId="16" fillId="3" borderId="4" xfId="5" applyFont="1" applyFill="1" applyBorder="1"/>
    <xf numFmtId="0" fontId="16" fillId="3" borderId="0" xfId="5" applyFont="1" applyFill="1" applyAlignment="1">
      <alignment horizontal="center" vertical="center"/>
    </xf>
    <xf numFmtId="170" fontId="21" fillId="3" borderId="0" xfId="5" applyNumberFormat="1" applyFont="1" applyFill="1"/>
    <xf numFmtId="170" fontId="21" fillId="3" borderId="0" xfId="5" applyNumberFormat="1" applyFont="1" applyFill="1" applyAlignment="1">
      <alignment horizontal="center" vertical="center"/>
    </xf>
    <xf numFmtId="0" fontId="16" fillId="3" borderId="6" xfId="5" applyFont="1" applyFill="1" applyBorder="1" applyAlignment="1">
      <alignment horizontal="center" wrapText="1"/>
    </xf>
    <xf numFmtId="0" fontId="16" fillId="3" borderId="8" xfId="5" applyFont="1" applyFill="1" applyBorder="1"/>
    <xf numFmtId="0" fontId="16" fillId="3" borderId="9" xfId="5" applyFont="1" applyFill="1" applyBorder="1"/>
    <xf numFmtId="0" fontId="16" fillId="3" borderId="0" xfId="5" applyFont="1" applyFill="1" applyAlignment="1">
      <alignment vertical="center"/>
    </xf>
    <xf numFmtId="0" fontId="15" fillId="3" borderId="46" xfId="5" applyFill="1" applyBorder="1" applyAlignment="1">
      <alignment horizontal="left" vertical="center"/>
    </xf>
    <xf numFmtId="0" fontId="16" fillId="3" borderId="6" xfId="6" applyFont="1" applyFill="1" applyBorder="1" applyAlignment="1">
      <alignment horizontal="left" wrapText="1"/>
    </xf>
    <xf numFmtId="0" fontId="24" fillId="3" borderId="46" xfId="5" applyFont="1" applyFill="1" applyBorder="1" applyAlignment="1">
      <alignment horizontal="center" vertical="center" wrapText="1"/>
    </xf>
    <xf numFmtId="164" fontId="24" fillId="3" borderId="46" xfId="5" applyNumberFormat="1" applyFont="1" applyFill="1" applyBorder="1" applyAlignment="1">
      <alignment horizontal="center" vertical="center" wrapText="1"/>
    </xf>
    <xf numFmtId="0" fontId="16" fillId="3" borderId="0" xfId="6" applyFont="1" applyFill="1" applyAlignment="1">
      <alignment horizontal="left" wrapText="1"/>
    </xf>
    <xf numFmtId="0" fontId="16" fillId="3" borderId="0" xfId="5" applyFont="1" applyFill="1" applyAlignment="1">
      <alignment horizontal="center" wrapText="1"/>
    </xf>
    <xf numFmtId="0" fontId="19" fillId="3" borderId="0" xfId="5" applyFont="1" applyFill="1" applyAlignment="1">
      <alignment horizontal="left" vertical="center" wrapText="1"/>
    </xf>
    <xf numFmtId="0" fontId="16" fillId="3" borderId="5" xfId="6" applyFont="1" applyFill="1" applyBorder="1" applyAlignment="1">
      <alignment horizontal="left" vertical="center" wrapText="1"/>
    </xf>
    <xf numFmtId="0" fontId="16" fillId="3" borderId="0" xfId="5" applyFont="1" applyFill="1" applyAlignment="1">
      <alignment horizontal="left" vertical="center"/>
    </xf>
    <xf numFmtId="0" fontId="16" fillId="3" borderId="2" xfId="5" applyFont="1" applyFill="1" applyBorder="1" applyAlignment="1">
      <alignment horizontal="left" vertical="center"/>
    </xf>
    <xf numFmtId="0" fontId="25" fillId="0" borderId="5" xfId="7" applyFont="1" applyBorder="1" applyAlignment="1">
      <alignment horizontal="left" vertical="center" wrapText="1"/>
    </xf>
    <xf numFmtId="0" fontId="22" fillId="3" borderId="7" xfId="5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167" fontId="5" fillId="3" borderId="14" xfId="1" applyNumberFormat="1" applyFont="1" applyFill="1" applyBorder="1" applyAlignment="1" applyProtection="1">
      <alignment horizontal="right" vertical="center" wrapText="1"/>
    </xf>
    <xf numFmtId="3" fontId="5" fillId="3" borderId="14" xfId="0" applyNumberFormat="1" applyFont="1" applyFill="1" applyBorder="1" applyAlignment="1">
      <alignment horizontal="center" vertical="center"/>
    </xf>
    <xf numFmtId="0" fontId="15" fillId="5" borderId="46" xfId="5" applyFill="1" applyBorder="1" applyAlignment="1">
      <alignment horizontal="center" vertical="center"/>
    </xf>
    <xf numFmtId="0" fontId="15" fillId="5" borderId="46" xfId="5" applyFill="1" applyBorder="1" applyAlignment="1">
      <alignment horizontal="left" vertical="center"/>
    </xf>
    <xf numFmtId="3" fontId="15" fillId="5" borderId="46" xfId="5" applyNumberFormat="1" applyFill="1" applyBorder="1" applyAlignment="1">
      <alignment horizontal="center" vertical="center"/>
    </xf>
    <xf numFmtId="164" fontId="15" fillId="6" borderId="46" xfId="1" applyNumberFormat="1" applyFill="1" applyBorder="1" applyAlignment="1" applyProtection="1">
      <alignment horizontal="right" vertical="center" wrapText="1"/>
    </xf>
    <xf numFmtId="0" fontId="16" fillId="3" borderId="0" xfId="6" applyFont="1" applyFill="1" applyAlignment="1">
      <alignment horizontal="left" wrapText="1"/>
    </xf>
    <xf numFmtId="0" fontId="16" fillId="3" borderId="6" xfId="6" applyFont="1" applyFill="1" applyBorder="1" applyAlignment="1">
      <alignment horizontal="left" wrapText="1"/>
    </xf>
    <xf numFmtId="0" fontId="0" fillId="0" borderId="48" xfId="0" applyFont="1" applyBorder="1" applyAlignment="1">
      <alignment horizontal="left" vertical="center" wrapText="1"/>
    </xf>
    <xf numFmtId="0" fontId="0" fillId="0" borderId="48" xfId="0" applyFont="1" applyBorder="1" applyAlignment="1">
      <alignment horizontal="left" vertical="center"/>
    </xf>
    <xf numFmtId="0" fontId="0" fillId="3" borderId="48" xfId="0" applyFont="1" applyFill="1" applyBorder="1" applyAlignment="1">
      <alignment horizontal="left" vertical="center" wrapText="1"/>
    </xf>
    <xf numFmtId="0" fontId="0" fillId="3" borderId="0" xfId="0" applyFont="1" applyFill="1" applyAlignment="1">
      <alignment horizontal="left" vertical="center" wrapText="1"/>
    </xf>
    <xf numFmtId="0" fontId="0" fillId="0" borderId="48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50" xfId="0" applyFont="1" applyBorder="1" applyAlignment="1">
      <alignment horizontal="left" vertical="center"/>
    </xf>
    <xf numFmtId="0" fontId="0" fillId="5" borderId="48" xfId="0" applyFont="1" applyFill="1" applyBorder="1" applyAlignment="1">
      <alignment horizontal="left" vertical="center" wrapText="1"/>
    </xf>
    <xf numFmtId="0" fontId="0" fillId="7" borderId="48" xfId="0" applyFont="1" applyFill="1" applyBorder="1" applyAlignment="1">
      <alignment horizontal="left" vertical="center"/>
    </xf>
    <xf numFmtId="0" fontId="0" fillId="0" borderId="49" xfId="0" applyFont="1" applyBorder="1" applyAlignment="1">
      <alignment horizontal="left" vertical="center" wrapText="1"/>
    </xf>
    <xf numFmtId="0" fontId="0" fillId="0" borderId="51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/>
    </xf>
    <xf numFmtId="0" fontId="29" fillId="5" borderId="52" xfId="0" applyFont="1" applyFill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5" borderId="46" xfId="0" applyFill="1" applyBorder="1" applyAlignment="1">
      <alignment horizontal="center" vertical="center" wrapText="1"/>
    </xf>
    <xf numFmtId="0" fontId="15" fillId="3" borderId="53" xfId="5" applyFill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15" fillId="3" borderId="53" xfId="5" applyFill="1" applyBorder="1" applyAlignment="1">
      <alignment horizontal="left" vertical="center"/>
    </xf>
    <xf numFmtId="0" fontId="0" fillId="0" borderId="53" xfId="0" applyBorder="1" applyAlignment="1">
      <alignment horizontal="center" vertical="center" wrapText="1"/>
    </xf>
    <xf numFmtId="3" fontId="15" fillId="0" borderId="53" xfId="5" applyNumberForma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 wrapText="1"/>
    </xf>
    <xf numFmtId="0" fontId="16" fillId="5" borderId="0" xfId="5" applyFont="1" applyFill="1" applyAlignment="1">
      <alignment vertical="center"/>
    </xf>
    <xf numFmtId="0" fontId="0" fillId="3" borderId="52" xfId="0" applyFont="1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 wrapText="1"/>
    </xf>
    <xf numFmtId="0" fontId="0" fillId="3" borderId="48" xfId="0" applyFont="1" applyFill="1" applyBorder="1" applyAlignment="1">
      <alignment horizontal="left" vertical="center"/>
    </xf>
    <xf numFmtId="3" fontId="15" fillId="3" borderId="46" xfId="5" applyNumberFormat="1" applyFill="1" applyBorder="1" applyAlignment="1">
      <alignment horizontal="center" vertical="center"/>
    </xf>
    <xf numFmtId="0" fontId="15" fillId="0" borderId="46" xfId="0" applyFont="1" applyBorder="1" applyAlignment="1">
      <alignment horizontal="left" vertical="center" wrapText="1"/>
    </xf>
    <xf numFmtId="0" fontId="0" fillId="3" borderId="52" xfId="0" applyFont="1" applyFill="1" applyBorder="1" applyAlignment="1">
      <alignment horizontal="center" vertical="center"/>
    </xf>
    <xf numFmtId="0" fontId="16" fillId="3" borderId="0" xfId="6" applyFont="1" applyFill="1" applyAlignment="1">
      <alignment horizontal="left" wrapText="1"/>
    </xf>
    <xf numFmtId="0" fontId="16" fillId="3" borderId="6" xfId="6" applyFont="1" applyFill="1" applyBorder="1" applyAlignment="1">
      <alignment horizontal="left" wrapText="1"/>
    </xf>
    <xf numFmtId="0" fontId="25" fillId="3" borderId="5" xfId="7" applyFont="1" applyFill="1" applyBorder="1" applyAlignment="1">
      <alignment horizontal="left" vertical="center" wrapText="1"/>
    </xf>
    <xf numFmtId="0" fontId="28" fillId="3" borderId="52" xfId="0" applyFont="1" applyFill="1" applyBorder="1" applyAlignment="1">
      <alignment horizontal="center" vertical="center"/>
    </xf>
    <xf numFmtId="0" fontId="18" fillId="3" borderId="0" xfId="5" applyFont="1" applyFill="1" applyAlignment="1">
      <alignment horizontal="left" vertical="center" wrapText="1"/>
    </xf>
    <xf numFmtId="0" fontId="16" fillId="3" borderId="5" xfId="6" applyFont="1" applyFill="1" applyBorder="1" applyAlignment="1">
      <alignment horizontal="left" wrapText="1"/>
    </xf>
    <xf numFmtId="0" fontId="16" fillId="3" borderId="0" xfId="6" applyFont="1" applyFill="1" applyAlignment="1">
      <alignment horizontal="left" wrapText="1"/>
    </xf>
    <xf numFmtId="0" fontId="16" fillId="3" borderId="6" xfId="6" applyFont="1" applyFill="1" applyBorder="1" applyAlignment="1">
      <alignment horizontal="left" wrapText="1"/>
    </xf>
    <xf numFmtId="0" fontId="16" fillId="5" borderId="47" xfId="5" applyFont="1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16" fillId="3" borderId="0" xfId="5" applyFont="1" applyFill="1" applyAlignment="1">
      <alignment horizontal="center" vertical="center" wrapText="1"/>
    </xf>
    <xf numFmtId="0" fontId="16" fillId="3" borderId="47" xfId="5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7" xfId="0" applyFill="1" applyBorder="1" applyAlignment="1">
      <alignment horizontal="center" vertical="center" wrapText="1"/>
    </xf>
    <xf numFmtId="0" fontId="17" fillId="3" borderId="0" xfId="5" applyFont="1" applyFill="1" applyAlignment="1">
      <alignment horizontal="center"/>
    </xf>
    <xf numFmtId="0" fontId="23" fillId="4" borderId="0" xfId="5" applyFont="1" applyFill="1" applyAlignment="1">
      <alignment horizontal="left" wrapText="1" indent="1"/>
    </xf>
    <xf numFmtId="0" fontId="18" fillId="5" borderId="0" xfId="5" applyFont="1" applyFill="1" applyAlignment="1">
      <alignment horizontal="left" vertical="center" wrapText="1"/>
    </xf>
    <xf numFmtId="0" fontId="23" fillId="6" borderId="0" xfId="5" applyFont="1" applyFill="1" applyAlignment="1">
      <alignment horizontal="left" wrapText="1" indent="1"/>
    </xf>
    <xf numFmtId="0" fontId="6" fillId="3" borderId="0" xfId="0" applyFont="1" applyFill="1" applyAlignment="1">
      <alignment horizontal="center" vertical="center"/>
    </xf>
    <xf numFmtId="0" fontId="8" fillId="5" borderId="13" xfId="0" applyFont="1" applyFill="1" applyBorder="1" applyAlignment="1">
      <alignment horizontal="left" vertical="center" wrapText="1"/>
    </xf>
    <xf numFmtId="0" fontId="7" fillId="5" borderId="14" xfId="0" applyFont="1" applyFill="1" applyBorder="1" applyAlignment="1">
      <alignment horizontal="left" vertical="center" wrapText="1" indent="1"/>
    </xf>
    <xf numFmtId="0" fontId="8" fillId="5" borderId="15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 wrapText="1" indent="1"/>
    </xf>
    <xf numFmtId="168" fontId="8" fillId="3" borderId="14" xfId="0" applyNumberFormat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left" vertical="center" wrapText="1"/>
    </xf>
    <xf numFmtId="0" fontId="8" fillId="5" borderId="16" xfId="0" applyFont="1" applyFill="1" applyBorder="1" applyAlignment="1">
      <alignment horizontal="left" vertical="center"/>
    </xf>
    <xf numFmtId="0" fontId="7" fillId="6" borderId="17" xfId="0" applyFont="1" applyFill="1" applyBorder="1" applyAlignment="1">
      <alignment horizontal="left" vertical="center" wrapText="1" indent="1"/>
    </xf>
    <xf numFmtId="0" fontId="9" fillId="3" borderId="14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3" fontId="10" fillId="0" borderId="19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12" fillId="0" borderId="11" xfId="0" applyFont="1" applyBorder="1" applyAlignment="1">
      <alignment horizontal="left" indent="1"/>
    </xf>
    <xf numFmtId="0" fontId="5" fillId="5" borderId="13" xfId="0" applyFont="1" applyFill="1" applyBorder="1" applyAlignment="1">
      <alignment horizontal="left" vertical="center" wrapText="1"/>
    </xf>
    <xf numFmtId="0" fontId="5" fillId="5" borderId="44" xfId="0" applyFont="1" applyFill="1" applyBorder="1" applyAlignment="1">
      <alignment horizontal="left" vertical="center" wrapText="1"/>
    </xf>
    <xf numFmtId="0" fontId="5" fillId="5" borderId="45" xfId="0" applyFont="1" applyFill="1" applyBorder="1" applyAlignment="1">
      <alignment horizontal="left" vertical="center" wrapText="1"/>
    </xf>
    <xf numFmtId="0" fontId="12" fillId="5" borderId="11" xfId="0" applyFont="1" applyFill="1" applyBorder="1" applyAlignment="1">
      <alignment horizontal="left" indent="1"/>
    </xf>
    <xf numFmtId="0" fontId="13" fillId="0" borderId="11" xfId="0" applyFont="1" applyBorder="1" applyAlignment="1">
      <alignment horizontal="left"/>
    </xf>
    <xf numFmtId="0" fontId="12" fillId="0" borderId="21" xfId="0" applyFont="1" applyBorder="1"/>
    <xf numFmtId="0" fontId="12" fillId="5" borderId="22" xfId="0" applyFont="1" applyFill="1" applyBorder="1" applyAlignment="1">
      <alignment horizontal="left" vertical="center" wrapText="1" indent="1"/>
    </xf>
    <xf numFmtId="0" fontId="14" fillId="0" borderId="2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27" fillId="0" borderId="30" xfId="0" applyFont="1" applyBorder="1" applyAlignment="1">
      <alignment horizontal="left" vertical="center" wrapText="1"/>
    </xf>
    <xf numFmtId="0" fontId="0" fillId="0" borderId="36" xfId="0" applyBorder="1" applyAlignment="1">
      <alignment horizontal="left" vertical="center"/>
    </xf>
    <xf numFmtId="0" fontId="10" fillId="0" borderId="18" xfId="0" applyFont="1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6" borderId="42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10" fillId="5" borderId="42" xfId="0" applyFont="1" applyFill="1" applyBorder="1" applyAlignment="1">
      <alignment horizontal="left" vertical="center" wrapText="1"/>
    </xf>
    <xf numFmtId="0" fontId="0" fillId="0" borderId="20" xfId="0" applyBorder="1"/>
    <xf numFmtId="0" fontId="0" fillId="0" borderId="55" xfId="0" applyFont="1" applyFill="1" applyBorder="1" applyAlignment="1">
      <alignment horizontal="center" vertical="center" wrapText="1"/>
    </xf>
    <xf numFmtId="0" fontId="29" fillId="5" borderId="55" xfId="0" applyFont="1" applyFill="1" applyBorder="1" applyAlignment="1">
      <alignment horizontal="center" vertical="center" wrapText="1"/>
    </xf>
    <xf numFmtId="0" fontId="0" fillId="0" borderId="55" xfId="0" applyFont="1" applyFill="1" applyBorder="1" applyAlignment="1">
      <alignment horizontal="center" vertical="center"/>
    </xf>
    <xf numFmtId="0" fontId="0" fillId="3" borderId="55" xfId="0" applyFont="1" applyFill="1" applyBorder="1" applyAlignment="1">
      <alignment horizontal="center" vertical="center" wrapText="1"/>
    </xf>
    <xf numFmtId="0" fontId="0" fillId="5" borderId="55" xfId="0" applyFont="1" applyFill="1" applyBorder="1" applyAlignment="1">
      <alignment horizontal="center" vertical="center" wrapText="1"/>
    </xf>
    <xf numFmtId="0" fontId="0" fillId="3" borderId="55" xfId="0" applyFont="1" applyFill="1" applyBorder="1" applyAlignment="1">
      <alignment horizontal="center" vertical="center"/>
    </xf>
    <xf numFmtId="0" fontId="0" fillId="0" borderId="56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1" fontId="0" fillId="3" borderId="48" xfId="0" applyNumberFormat="1" applyFont="1" applyFill="1" applyBorder="1" applyAlignment="1">
      <alignment horizontal="center" vertical="center"/>
    </xf>
    <xf numFmtId="171" fontId="0" fillId="5" borderId="48" xfId="0" applyNumberFormat="1" applyFont="1" applyFill="1" applyBorder="1" applyAlignment="1">
      <alignment horizontal="center" vertical="center"/>
    </xf>
    <xf numFmtId="171" fontId="0" fillId="8" borderId="48" xfId="0" applyNumberFormat="1" applyFont="1" applyFill="1" applyBorder="1" applyAlignment="1">
      <alignment horizontal="center" vertical="center"/>
    </xf>
    <xf numFmtId="171" fontId="0" fillId="9" borderId="48" xfId="0" applyNumberFormat="1" applyFont="1" applyFill="1" applyBorder="1" applyAlignment="1">
      <alignment horizontal="center" vertical="center"/>
    </xf>
    <xf numFmtId="171" fontId="0" fillId="8" borderId="49" xfId="0" applyNumberFormat="1" applyFont="1" applyFill="1" applyBorder="1" applyAlignment="1">
      <alignment horizontal="center" vertical="center"/>
    </xf>
    <xf numFmtId="171" fontId="0" fillId="3" borderId="58" xfId="0" applyNumberFormat="1" applyFont="1" applyFill="1" applyBorder="1" applyAlignment="1">
      <alignment horizontal="center" vertical="center"/>
    </xf>
    <xf numFmtId="0" fontId="29" fillId="5" borderId="46" xfId="0" applyFont="1" applyFill="1" applyBorder="1" applyAlignment="1">
      <alignment horizontal="center" vertical="center" wrapText="1"/>
    </xf>
    <xf numFmtId="0" fontId="0" fillId="0" borderId="46" xfId="0" applyFont="1" applyFill="1" applyBorder="1" applyAlignment="1">
      <alignment horizontal="center" vertical="center"/>
    </xf>
    <xf numFmtId="0" fontId="0" fillId="3" borderId="46" xfId="0" applyFont="1" applyFill="1" applyBorder="1" applyAlignment="1">
      <alignment horizontal="center" vertical="center" wrapText="1"/>
    </xf>
    <xf numFmtId="0" fontId="0" fillId="5" borderId="46" xfId="0" applyFont="1" applyFill="1" applyBorder="1" applyAlignment="1">
      <alignment horizontal="center" vertical="center" wrapText="1"/>
    </xf>
    <xf numFmtId="0" fontId="0" fillId="3" borderId="46" xfId="0" applyFont="1" applyFill="1" applyBorder="1" applyAlignment="1">
      <alignment horizontal="center" vertical="center"/>
    </xf>
    <xf numFmtId="172" fontId="16" fillId="3" borderId="0" xfId="5" applyNumberFormat="1" applyFont="1" applyFill="1"/>
    <xf numFmtId="172" fontId="19" fillId="3" borderId="0" xfId="5" applyNumberFormat="1" applyFont="1" applyFill="1" applyAlignment="1">
      <alignment horizontal="center" wrapText="1"/>
    </xf>
    <xf numFmtId="172" fontId="24" fillId="3" borderId="46" xfId="5" applyNumberFormat="1" applyFont="1" applyFill="1" applyBorder="1" applyAlignment="1">
      <alignment horizontal="center" vertical="center" wrapText="1"/>
    </xf>
    <xf numFmtId="172" fontId="15" fillId="0" borderId="46" xfId="5" applyNumberFormat="1" applyBorder="1" applyAlignment="1">
      <alignment horizontal="center" vertical="center"/>
    </xf>
    <xf numFmtId="172" fontId="15" fillId="5" borderId="46" xfId="5" applyNumberFormat="1" applyFill="1" applyBorder="1" applyAlignment="1">
      <alignment horizontal="center" vertical="center"/>
    </xf>
    <xf numFmtId="172" fontId="16" fillId="3" borderId="0" xfId="5" applyNumberFormat="1" applyFont="1" applyFill="1" applyAlignment="1">
      <alignment horizontal="center" vertical="center"/>
    </xf>
    <xf numFmtId="172" fontId="21" fillId="3" borderId="0" xfId="5" applyNumberFormat="1" applyFont="1" applyFill="1" applyAlignment="1">
      <alignment horizontal="center" vertical="center"/>
    </xf>
    <xf numFmtId="172" fontId="15" fillId="3" borderId="0" xfId="1" applyNumberFormat="1" applyFill="1"/>
    <xf numFmtId="172" fontId="15" fillId="3" borderId="46" xfId="1" applyNumberFormat="1" applyFill="1" applyBorder="1" applyAlignment="1">
      <alignment vertical="center"/>
    </xf>
    <xf numFmtId="0" fontId="0" fillId="5" borderId="0" xfId="0" applyFont="1" applyFill="1" applyAlignment="1">
      <alignment horizontal="left" vertical="center" wrapText="1"/>
    </xf>
    <xf numFmtId="172" fontId="15" fillId="5" borderId="46" xfId="1" applyNumberFormat="1" applyFill="1" applyBorder="1" applyAlignment="1">
      <alignment vertical="center"/>
    </xf>
    <xf numFmtId="172" fontId="30" fillId="3" borderId="46" xfId="1" applyNumberFormat="1" applyFont="1" applyFill="1" applyBorder="1" applyAlignment="1">
      <alignment vertical="center"/>
    </xf>
    <xf numFmtId="164" fontId="31" fillId="3" borderId="46" xfId="5" applyNumberFormat="1" applyFont="1" applyFill="1" applyBorder="1" applyAlignment="1">
      <alignment vertical="center"/>
    </xf>
    <xf numFmtId="0" fontId="16" fillId="3" borderId="0" xfId="6" applyFont="1" applyFill="1" applyBorder="1" applyAlignment="1">
      <alignment horizontal="left" wrapText="1"/>
    </xf>
    <xf numFmtId="0" fontId="31" fillId="3" borderId="46" xfId="5" applyFont="1" applyFill="1" applyBorder="1" applyAlignment="1">
      <alignment vertical="center"/>
    </xf>
    <xf numFmtId="0" fontId="31" fillId="3" borderId="46" xfId="5" applyFont="1" applyFill="1" applyBorder="1" applyAlignment="1">
      <alignment horizontal="left" vertical="center"/>
    </xf>
    <xf numFmtId="0" fontId="31" fillId="3" borderId="0" xfId="5" applyFont="1" applyFill="1" applyAlignment="1">
      <alignment vertical="center"/>
    </xf>
  </cellXfs>
  <cellStyles count="9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  <cellStyle name="Normal 2 2" xfId="7"/>
    <cellStyle name="Normal 2 3" xfId="6"/>
    <cellStyle name="Normal 3" xfId="8"/>
  </cellStyles>
  <dxfs count="2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01"/>
  <sheetViews>
    <sheetView tabSelected="1" topLeftCell="A29" zoomScaleNormal="100" workbookViewId="0">
      <selection activeCell="A41" sqref="A41"/>
    </sheetView>
  </sheetViews>
  <sheetFormatPr baseColWidth="10" defaultColWidth="11" defaultRowHeight="12.75" x14ac:dyDescent="0.2"/>
  <cols>
    <col min="1" max="1" width="4.5703125" style="44" customWidth="1"/>
    <col min="2" max="2" width="14" style="71" customWidth="1"/>
    <col min="3" max="3" width="37.42578125" style="44" customWidth="1"/>
    <col min="4" max="4" width="8.5703125" style="44" customWidth="1"/>
    <col min="5" max="5" width="85.5703125" style="44" customWidth="1"/>
    <col min="6" max="7" width="14.7109375" style="44" customWidth="1"/>
    <col min="8" max="8" width="15.42578125" style="201" bestFit="1" customWidth="1"/>
    <col min="9" max="9" width="10.42578125" style="44" bestFit="1" customWidth="1"/>
    <col min="10" max="10" width="11.85546875" style="194" bestFit="1" customWidth="1"/>
    <col min="11" max="11" width="10.42578125" style="44" customWidth="1"/>
    <col min="12" max="12" width="13.42578125" style="194" bestFit="1" customWidth="1"/>
    <col min="13" max="13" width="10.42578125" style="44" customWidth="1"/>
    <col min="14" max="14" width="11.85546875" style="194" bestFit="1" customWidth="1"/>
    <col min="15" max="15" width="10.42578125" style="44" customWidth="1"/>
    <col min="16" max="16" width="15.7109375" style="44" customWidth="1"/>
    <col min="17" max="17" width="18.42578125" style="45" customWidth="1"/>
    <col min="18" max="16384" width="11" style="44"/>
  </cols>
  <sheetData>
    <row r="2" spans="1:20" ht="27" x14ac:dyDescent="0.35">
      <c r="B2" s="133" t="s">
        <v>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</row>
    <row r="3" spans="1:20" ht="12" customHeight="1" x14ac:dyDescent="0.2"/>
    <row r="4" spans="1:20" ht="18" customHeight="1" x14ac:dyDescent="0.25">
      <c r="A4" s="123" t="s">
        <v>1</v>
      </c>
      <c r="B4" s="123"/>
      <c r="C4" s="134" t="s">
        <v>50</v>
      </c>
      <c r="D4" s="134"/>
      <c r="E4" s="134"/>
      <c r="F4" s="46"/>
      <c r="G4" s="46"/>
      <c r="I4" s="47"/>
      <c r="J4" s="195"/>
      <c r="K4" s="47"/>
      <c r="L4" s="195"/>
      <c r="M4" s="47"/>
      <c r="N4" s="195"/>
      <c r="O4" s="47"/>
      <c r="P4" s="46"/>
    </row>
    <row r="5" spans="1:20" ht="18" customHeight="1" x14ac:dyDescent="0.25">
      <c r="A5" s="135" t="s">
        <v>2</v>
      </c>
      <c r="B5" s="135"/>
      <c r="C5" s="136" t="s">
        <v>160</v>
      </c>
      <c r="D5" s="136"/>
      <c r="E5" s="136"/>
      <c r="F5" s="46"/>
      <c r="G5" s="46"/>
      <c r="I5" s="47"/>
      <c r="J5" s="195"/>
      <c r="K5" s="47"/>
      <c r="L5" s="195"/>
      <c r="M5" s="47"/>
      <c r="N5" s="195"/>
      <c r="O5" s="47"/>
      <c r="P5" s="46"/>
    </row>
    <row r="6" spans="1:20" ht="16.5" customHeight="1" x14ac:dyDescent="0.25">
      <c r="A6" s="123" t="s">
        <v>3</v>
      </c>
      <c r="B6" s="123"/>
      <c r="C6" s="48">
        <v>2023</v>
      </c>
      <c r="D6" s="49"/>
      <c r="E6" s="49"/>
      <c r="F6" s="46"/>
      <c r="G6" s="46"/>
      <c r="I6" s="47"/>
      <c r="J6" s="195"/>
      <c r="K6" s="47"/>
      <c r="L6" s="195"/>
      <c r="M6" s="47"/>
      <c r="N6" s="195"/>
      <c r="O6" s="47"/>
      <c r="P6" s="46"/>
    </row>
    <row r="7" spans="1:20" ht="16.5" customHeight="1" x14ac:dyDescent="0.25">
      <c r="A7" s="135" t="s">
        <v>4</v>
      </c>
      <c r="B7" s="135"/>
      <c r="C7" s="50">
        <v>1</v>
      </c>
      <c r="D7" s="49"/>
      <c r="E7" s="49"/>
      <c r="F7" s="46"/>
      <c r="G7" s="46"/>
      <c r="I7" s="47"/>
      <c r="J7" s="195"/>
      <c r="K7" s="47"/>
      <c r="L7" s="195"/>
      <c r="M7" s="47"/>
      <c r="N7" s="195"/>
      <c r="O7" s="47"/>
      <c r="P7" s="46"/>
    </row>
    <row r="8" spans="1:20" x14ac:dyDescent="0.2">
      <c r="B8" s="69"/>
      <c r="C8" s="47"/>
      <c r="D8" s="46"/>
      <c r="E8" s="46"/>
      <c r="F8" s="46"/>
      <c r="G8" s="46"/>
      <c r="I8" s="47"/>
      <c r="J8" s="195"/>
      <c r="K8" s="47"/>
      <c r="L8" s="195"/>
      <c r="M8" s="47"/>
      <c r="N8" s="195"/>
      <c r="O8" s="47"/>
      <c r="P8" s="46"/>
    </row>
    <row r="9" spans="1:20" s="56" customFormat="1" ht="38.25" x14ac:dyDescent="0.2">
      <c r="A9" s="65" t="s">
        <v>5</v>
      </c>
      <c r="B9" s="65" t="s">
        <v>6</v>
      </c>
      <c r="C9" s="65" t="s">
        <v>7</v>
      </c>
      <c r="D9" s="65" t="s">
        <v>8</v>
      </c>
      <c r="E9" s="65" t="s">
        <v>9</v>
      </c>
      <c r="F9" s="65" t="s">
        <v>10</v>
      </c>
      <c r="G9" s="65" t="s">
        <v>151</v>
      </c>
      <c r="H9" s="205" t="s">
        <v>152</v>
      </c>
      <c r="I9" s="65" t="s">
        <v>153</v>
      </c>
      <c r="J9" s="196" t="s">
        <v>154</v>
      </c>
      <c r="K9" s="65" t="s">
        <v>155</v>
      </c>
      <c r="L9" s="196" t="s">
        <v>156</v>
      </c>
      <c r="M9" s="65" t="s">
        <v>157</v>
      </c>
      <c r="N9" s="196" t="s">
        <v>158</v>
      </c>
      <c r="O9" s="65" t="s">
        <v>159</v>
      </c>
      <c r="P9" s="65" t="s">
        <v>11</v>
      </c>
      <c r="Q9" s="66" t="s">
        <v>12</v>
      </c>
    </row>
    <row r="10" spans="1:20" s="62" customFormat="1" ht="42.75" customHeight="1" x14ac:dyDescent="0.2">
      <c r="A10" s="51">
        <v>1</v>
      </c>
      <c r="B10" s="97" t="s">
        <v>103</v>
      </c>
      <c r="C10" s="63" t="s">
        <v>67</v>
      </c>
      <c r="D10" s="103">
        <v>252</v>
      </c>
      <c r="E10" s="87" t="s">
        <v>69</v>
      </c>
      <c r="F10" s="175" t="s">
        <v>137</v>
      </c>
      <c r="G10" s="111">
        <v>0</v>
      </c>
      <c r="H10" s="202">
        <f>+G10*P10</f>
        <v>0</v>
      </c>
      <c r="I10" s="52"/>
      <c r="J10" s="197">
        <f>+I10*P10</f>
        <v>0</v>
      </c>
      <c r="K10" s="52"/>
      <c r="L10" s="197">
        <f>+K10*P10</f>
        <v>0</v>
      </c>
      <c r="M10" s="52"/>
      <c r="N10" s="197">
        <f>+M10*P10</f>
        <v>0</v>
      </c>
      <c r="O10" s="52">
        <f>+N10+K10+I10+G10</f>
        <v>0</v>
      </c>
      <c r="P10" s="183">
        <v>560</v>
      </c>
      <c r="Q10" s="53">
        <f>+O10*P10</f>
        <v>0</v>
      </c>
    </row>
    <row r="11" spans="1:20" s="62" customFormat="1" ht="27.75" customHeight="1" x14ac:dyDescent="0.2">
      <c r="A11" s="51">
        <v>2</v>
      </c>
      <c r="B11" s="98" t="s">
        <v>104</v>
      </c>
      <c r="C11" s="63" t="s">
        <v>67</v>
      </c>
      <c r="D11" s="103">
        <v>252</v>
      </c>
      <c r="E11" s="87" t="s">
        <v>70</v>
      </c>
      <c r="F11" s="175" t="s">
        <v>62</v>
      </c>
      <c r="G11" s="111">
        <v>25000</v>
      </c>
      <c r="H11" s="202">
        <f t="shared" ref="H11:H43" si="0">+G11*P11</f>
        <v>1125000</v>
      </c>
      <c r="I11" s="52"/>
      <c r="J11" s="197">
        <f t="shared" ref="J11:J43" si="1">+I11*P11</f>
        <v>0</v>
      </c>
      <c r="K11" s="52"/>
      <c r="L11" s="197">
        <f t="shared" ref="L11:L43" si="2">+K11*P11</f>
        <v>0</v>
      </c>
      <c r="M11" s="52"/>
      <c r="N11" s="197">
        <f t="shared" ref="N11:N43" si="3">+M11*P11</f>
        <v>0</v>
      </c>
      <c r="O11" s="52">
        <f t="shared" ref="O11:O43" si="4">+N11+K11+I11+G11</f>
        <v>25000</v>
      </c>
      <c r="P11" s="183">
        <v>45</v>
      </c>
      <c r="Q11" s="53">
        <f t="shared" ref="Q11:Q43" si="5">+O11*P11</f>
        <v>1125000</v>
      </c>
    </row>
    <row r="12" spans="1:20" s="62" customFormat="1" ht="36" customHeight="1" x14ac:dyDescent="0.2">
      <c r="A12" s="51">
        <v>3</v>
      </c>
      <c r="B12" s="99" t="s">
        <v>105</v>
      </c>
      <c r="C12" s="63" t="s">
        <v>67</v>
      </c>
      <c r="D12" s="103">
        <v>252</v>
      </c>
      <c r="E12" s="88" t="s">
        <v>71</v>
      </c>
      <c r="F12" s="175" t="s">
        <v>137</v>
      </c>
      <c r="G12" s="111">
        <v>500</v>
      </c>
      <c r="H12" s="202">
        <f t="shared" si="0"/>
        <v>106000</v>
      </c>
      <c r="I12" s="52"/>
      <c r="J12" s="197">
        <f t="shared" si="1"/>
        <v>0</v>
      </c>
      <c r="K12" s="52"/>
      <c r="L12" s="197">
        <f t="shared" si="2"/>
        <v>0</v>
      </c>
      <c r="M12" s="52"/>
      <c r="N12" s="197">
        <f t="shared" si="3"/>
        <v>0</v>
      </c>
      <c r="O12" s="52">
        <f t="shared" si="4"/>
        <v>500</v>
      </c>
      <c r="P12" s="183">
        <v>212</v>
      </c>
      <c r="Q12" s="53">
        <f t="shared" si="5"/>
        <v>106000</v>
      </c>
    </row>
    <row r="13" spans="1:20" s="62" customFormat="1" ht="31.5" customHeight="1" x14ac:dyDescent="0.2">
      <c r="A13" s="81">
        <v>4</v>
      </c>
      <c r="B13" s="100" t="s">
        <v>106</v>
      </c>
      <c r="C13" s="82" t="s">
        <v>67</v>
      </c>
      <c r="D13" s="104">
        <v>252</v>
      </c>
      <c r="E13" s="203" t="s">
        <v>72</v>
      </c>
      <c r="F13" s="176" t="s">
        <v>137</v>
      </c>
      <c r="G13" s="189">
        <v>0</v>
      </c>
      <c r="H13" s="204">
        <f t="shared" si="0"/>
        <v>0</v>
      </c>
      <c r="I13" s="83"/>
      <c r="J13" s="198">
        <f t="shared" si="1"/>
        <v>0</v>
      </c>
      <c r="K13" s="83"/>
      <c r="L13" s="198">
        <f t="shared" si="2"/>
        <v>0</v>
      </c>
      <c r="M13" s="83"/>
      <c r="N13" s="198">
        <f t="shared" si="3"/>
        <v>0</v>
      </c>
      <c r="O13" s="83">
        <f t="shared" si="4"/>
        <v>0</v>
      </c>
      <c r="P13" s="184">
        <v>3600</v>
      </c>
      <c r="Q13" s="84">
        <f t="shared" si="5"/>
        <v>0</v>
      </c>
      <c r="R13" s="127" t="s">
        <v>142</v>
      </c>
      <c r="S13" s="128"/>
      <c r="T13" s="128"/>
    </row>
    <row r="14" spans="1:20" s="62" customFormat="1" ht="47.25" customHeight="1" x14ac:dyDescent="0.2">
      <c r="A14" s="51">
        <v>5</v>
      </c>
      <c r="B14" s="98" t="s">
        <v>107</v>
      </c>
      <c r="C14" s="63" t="s">
        <v>67</v>
      </c>
      <c r="D14" s="103">
        <v>252</v>
      </c>
      <c r="E14" s="89" t="s">
        <v>73</v>
      </c>
      <c r="F14" s="175" t="s">
        <v>61</v>
      </c>
      <c r="G14" s="111">
        <v>30</v>
      </c>
      <c r="H14" s="202">
        <f t="shared" si="0"/>
        <v>84000</v>
      </c>
      <c r="I14" s="52"/>
      <c r="J14" s="197">
        <f t="shared" si="1"/>
        <v>0</v>
      </c>
      <c r="K14" s="52"/>
      <c r="L14" s="197">
        <f t="shared" si="2"/>
        <v>0</v>
      </c>
      <c r="M14" s="52"/>
      <c r="N14" s="197">
        <f t="shared" si="3"/>
        <v>0</v>
      </c>
      <c r="O14" s="52">
        <f t="shared" si="4"/>
        <v>30</v>
      </c>
      <c r="P14" s="183">
        <v>2800</v>
      </c>
      <c r="Q14" s="53">
        <f t="shared" si="5"/>
        <v>84000</v>
      </c>
      <c r="R14" s="129"/>
      <c r="S14" s="129"/>
    </row>
    <row r="15" spans="1:20" s="62" customFormat="1" ht="51" customHeight="1" x14ac:dyDescent="0.2">
      <c r="A15" s="51">
        <v>6</v>
      </c>
      <c r="B15" s="98" t="s">
        <v>108</v>
      </c>
      <c r="C15" s="63" t="s">
        <v>67</v>
      </c>
      <c r="D15" s="103">
        <v>252</v>
      </c>
      <c r="E15" s="89" t="s">
        <v>74</v>
      </c>
      <c r="F15" s="175" t="s">
        <v>138</v>
      </c>
      <c r="G15" s="111">
        <v>50</v>
      </c>
      <c r="H15" s="202">
        <f t="shared" si="0"/>
        <v>160000</v>
      </c>
      <c r="I15" s="52"/>
      <c r="J15" s="197">
        <f t="shared" si="1"/>
        <v>0</v>
      </c>
      <c r="K15" s="52"/>
      <c r="L15" s="197">
        <f t="shared" si="2"/>
        <v>0</v>
      </c>
      <c r="M15" s="52"/>
      <c r="N15" s="197">
        <f t="shared" si="3"/>
        <v>0</v>
      </c>
      <c r="O15" s="52">
        <f t="shared" si="4"/>
        <v>50</v>
      </c>
      <c r="P15" s="183">
        <v>3200</v>
      </c>
      <c r="Q15" s="53">
        <f t="shared" si="5"/>
        <v>160000</v>
      </c>
    </row>
    <row r="16" spans="1:20" s="62" customFormat="1" ht="39.75" customHeight="1" x14ac:dyDescent="0.2">
      <c r="A16" s="51">
        <v>7</v>
      </c>
      <c r="B16" s="98" t="s">
        <v>109</v>
      </c>
      <c r="C16" s="63" t="s">
        <v>67</v>
      </c>
      <c r="D16" s="103">
        <v>252</v>
      </c>
      <c r="E16" s="90" t="s">
        <v>75</v>
      </c>
      <c r="F16" s="175" t="s">
        <v>139</v>
      </c>
      <c r="G16" s="111">
        <v>50</v>
      </c>
      <c r="H16" s="202">
        <f t="shared" si="0"/>
        <v>47000</v>
      </c>
      <c r="I16" s="52"/>
      <c r="J16" s="197">
        <f t="shared" si="1"/>
        <v>0</v>
      </c>
      <c r="K16" s="52"/>
      <c r="L16" s="197">
        <f t="shared" si="2"/>
        <v>0</v>
      </c>
      <c r="M16" s="52"/>
      <c r="N16" s="197">
        <f t="shared" si="3"/>
        <v>0</v>
      </c>
      <c r="O16" s="52">
        <f t="shared" si="4"/>
        <v>50</v>
      </c>
      <c r="P16" s="183">
        <v>940</v>
      </c>
      <c r="Q16" s="53">
        <f t="shared" si="5"/>
        <v>47000</v>
      </c>
    </row>
    <row r="17" spans="1:17" s="62" customFormat="1" ht="43.5" customHeight="1" x14ac:dyDescent="0.2">
      <c r="A17" s="51">
        <v>8</v>
      </c>
      <c r="B17" s="101" t="s">
        <v>110</v>
      </c>
      <c r="C17" s="63" t="s">
        <v>67</v>
      </c>
      <c r="D17" s="103">
        <v>252</v>
      </c>
      <c r="E17" s="91" t="s">
        <v>76</v>
      </c>
      <c r="F17" s="175" t="s">
        <v>139</v>
      </c>
      <c r="G17" s="111">
        <v>0</v>
      </c>
      <c r="H17" s="202">
        <f t="shared" si="0"/>
        <v>0</v>
      </c>
      <c r="I17" s="52"/>
      <c r="J17" s="197">
        <f t="shared" si="1"/>
        <v>0</v>
      </c>
      <c r="K17" s="52"/>
      <c r="L17" s="197">
        <f t="shared" si="2"/>
        <v>0</v>
      </c>
      <c r="M17" s="52"/>
      <c r="N17" s="197">
        <f t="shared" si="3"/>
        <v>0</v>
      </c>
      <c r="O17" s="52">
        <f t="shared" si="4"/>
        <v>0</v>
      </c>
      <c r="P17" s="183">
        <v>14800</v>
      </c>
      <c r="Q17" s="53">
        <f t="shared" si="5"/>
        <v>0</v>
      </c>
    </row>
    <row r="18" spans="1:17" s="62" customFormat="1" ht="51" customHeight="1" x14ac:dyDescent="0.2">
      <c r="A18" s="51">
        <v>9</v>
      </c>
      <c r="B18" s="101" t="s">
        <v>111</v>
      </c>
      <c r="C18" s="63" t="s">
        <v>67</v>
      </c>
      <c r="D18" s="103">
        <v>252</v>
      </c>
      <c r="E18" s="92" t="s">
        <v>77</v>
      </c>
      <c r="F18" s="177" t="s">
        <v>61</v>
      </c>
      <c r="G18" s="190">
        <v>0</v>
      </c>
      <c r="H18" s="202">
        <f t="shared" si="0"/>
        <v>0</v>
      </c>
      <c r="I18" s="52"/>
      <c r="J18" s="197">
        <f t="shared" si="1"/>
        <v>0</v>
      </c>
      <c r="K18" s="52"/>
      <c r="L18" s="197">
        <f t="shared" si="2"/>
        <v>0</v>
      </c>
      <c r="M18" s="52"/>
      <c r="N18" s="197">
        <f t="shared" si="3"/>
        <v>0</v>
      </c>
      <c r="O18" s="52">
        <f t="shared" si="4"/>
        <v>0</v>
      </c>
      <c r="P18" s="185">
        <v>9800</v>
      </c>
      <c r="Q18" s="53">
        <f t="shared" si="5"/>
        <v>0</v>
      </c>
    </row>
    <row r="19" spans="1:17" s="62" customFormat="1" ht="36" customHeight="1" x14ac:dyDescent="0.2">
      <c r="A19" s="51">
        <v>10</v>
      </c>
      <c r="B19" s="113" t="s">
        <v>112</v>
      </c>
      <c r="C19" s="63" t="s">
        <v>67</v>
      </c>
      <c r="D19" s="114">
        <v>252</v>
      </c>
      <c r="E19" s="115" t="s">
        <v>78</v>
      </c>
      <c r="F19" s="178" t="s">
        <v>63</v>
      </c>
      <c r="G19" s="191">
        <v>0</v>
      </c>
      <c r="H19" s="202">
        <f t="shared" si="0"/>
        <v>0</v>
      </c>
      <c r="I19" s="116"/>
      <c r="J19" s="197">
        <f t="shared" si="1"/>
        <v>0</v>
      </c>
      <c r="K19" s="116"/>
      <c r="L19" s="197">
        <f t="shared" si="2"/>
        <v>0</v>
      </c>
      <c r="M19" s="116"/>
      <c r="N19" s="197">
        <f t="shared" si="3"/>
        <v>0</v>
      </c>
      <c r="O19" s="52">
        <f t="shared" si="4"/>
        <v>0</v>
      </c>
      <c r="P19" s="183">
        <v>8840</v>
      </c>
      <c r="Q19" s="53">
        <f t="shared" si="5"/>
        <v>0</v>
      </c>
    </row>
    <row r="20" spans="1:17" s="62" customFormat="1" ht="36" customHeight="1" x14ac:dyDescent="0.2">
      <c r="A20" s="51">
        <v>11</v>
      </c>
      <c r="B20" s="101" t="s">
        <v>113</v>
      </c>
      <c r="C20" s="63" t="s">
        <v>67</v>
      </c>
      <c r="D20" s="103">
        <v>252</v>
      </c>
      <c r="E20" s="87" t="s">
        <v>79</v>
      </c>
      <c r="F20" s="175" t="s">
        <v>137</v>
      </c>
      <c r="G20" s="111">
        <v>400</v>
      </c>
      <c r="H20" s="202">
        <f t="shared" si="0"/>
        <v>155200</v>
      </c>
      <c r="I20" s="52"/>
      <c r="J20" s="197">
        <f t="shared" si="1"/>
        <v>0</v>
      </c>
      <c r="K20" s="52"/>
      <c r="L20" s="197">
        <f t="shared" si="2"/>
        <v>0</v>
      </c>
      <c r="M20" s="52"/>
      <c r="N20" s="197">
        <f t="shared" si="3"/>
        <v>0</v>
      </c>
      <c r="O20" s="52">
        <f t="shared" si="4"/>
        <v>400</v>
      </c>
      <c r="P20" s="183">
        <v>388</v>
      </c>
      <c r="Q20" s="53">
        <f t="shared" si="5"/>
        <v>155200</v>
      </c>
    </row>
    <row r="21" spans="1:17" s="62" customFormat="1" ht="34.5" customHeight="1" x14ac:dyDescent="0.2">
      <c r="A21" s="51">
        <v>12</v>
      </c>
      <c r="B21" s="101" t="s">
        <v>114</v>
      </c>
      <c r="C21" s="63" t="s">
        <v>67</v>
      </c>
      <c r="D21" s="103">
        <v>252</v>
      </c>
      <c r="E21" s="87" t="s">
        <v>80</v>
      </c>
      <c r="F21" s="175" t="s">
        <v>62</v>
      </c>
      <c r="G21" s="111">
        <v>3000</v>
      </c>
      <c r="H21" s="202">
        <f t="shared" si="0"/>
        <v>135000</v>
      </c>
      <c r="I21" s="52"/>
      <c r="J21" s="197">
        <f t="shared" si="1"/>
        <v>0</v>
      </c>
      <c r="K21" s="52"/>
      <c r="L21" s="197">
        <f t="shared" si="2"/>
        <v>0</v>
      </c>
      <c r="M21" s="52"/>
      <c r="N21" s="197">
        <f t="shared" si="3"/>
        <v>0</v>
      </c>
      <c r="O21" s="52">
        <f t="shared" si="4"/>
        <v>3000</v>
      </c>
      <c r="P21" s="185">
        <v>45</v>
      </c>
      <c r="Q21" s="53">
        <f t="shared" si="5"/>
        <v>135000</v>
      </c>
    </row>
    <row r="22" spans="1:17" s="62" customFormat="1" ht="30.75" customHeight="1" x14ac:dyDescent="0.2">
      <c r="A22" s="51">
        <v>13</v>
      </c>
      <c r="B22" s="98" t="s">
        <v>115</v>
      </c>
      <c r="C22" s="63" t="s">
        <v>67</v>
      </c>
      <c r="D22" s="103">
        <v>252</v>
      </c>
      <c r="E22" s="87" t="s">
        <v>81</v>
      </c>
      <c r="F22" s="175" t="s">
        <v>62</v>
      </c>
      <c r="G22" s="111">
        <v>3000</v>
      </c>
      <c r="H22" s="202">
        <f t="shared" si="0"/>
        <v>233400</v>
      </c>
      <c r="I22" s="52"/>
      <c r="J22" s="197">
        <f t="shared" si="1"/>
        <v>0</v>
      </c>
      <c r="K22" s="52"/>
      <c r="L22" s="197">
        <f t="shared" si="2"/>
        <v>0</v>
      </c>
      <c r="M22" s="52"/>
      <c r="N22" s="197">
        <f t="shared" si="3"/>
        <v>0</v>
      </c>
      <c r="O22" s="52">
        <f t="shared" si="4"/>
        <v>3000</v>
      </c>
      <c r="P22" s="185">
        <v>77.8</v>
      </c>
      <c r="Q22" s="53">
        <f t="shared" si="5"/>
        <v>233400</v>
      </c>
    </row>
    <row r="23" spans="1:17" s="62" customFormat="1" ht="39" customHeight="1" x14ac:dyDescent="0.2">
      <c r="A23" s="51">
        <v>14</v>
      </c>
      <c r="B23" s="101" t="s">
        <v>116</v>
      </c>
      <c r="C23" s="63" t="s">
        <v>67</v>
      </c>
      <c r="D23" s="103">
        <v>252</v>
      </c>
      <c r="E23" s="87" t="s">
        <v>82</v>
      </c>
      <c r="F23" s="175" t="s">
        <v>137</v>
      </c>
      <c r="G23" s="111">
        <v>0</v>
      </c>
      <c r="H23" s="202">
        <f t="shared" si="0"/>
        <v>0</v>
      </c>
      <c r="I23" s="52"/>
      <c r="J23" s="197">
        <f t="shared" si="1"/>
        <v>0</v>
      </c>
      <c r="K23" s="52"/>
      <c r="L23" s="197">
        <f t="shared" si="2"/>
        <v>0</v>
      </c>
      <c r="M23" s="52"/>
      <c r="N23" s="197">
        <f t="shared" si="3"/>
        <v>0</v>
      </c>
      <c r="O23" s="52">
        <f t="shared" si="4"/>
        <v>0</v>
      </c>
      <c r="P23" s="185">
        <v>320</v>
      </c>
      <c r="Q23" s="53">
        <f t="shared" si="5"/>
        <v>0</v>
      </c>
    </row>
    <row r="24" spans="1:17" s="62" customFormat="1" ht="45" customHeight="1" x14ac:dyDescent="0.2">
      <c r="A24" s="51">
        <v>15</v>
      </c>
      <c r="B24" s="101" t="s">
        <v>117</v>
      </c>
      <c r="C24" s="63" t="s">
        <v>67</v>
      </c>
      <c r="D24" s="103">
        <v>252</v>
      </c>
      <c r="E24" s="87" t="s">
        <v>83</v>
      </c>
      <c r="F24" s="175" t="s">
        <v>62</v>
      </c>
      <c r="G24" s="111">
        <v>1500</v>
      </c>
      <c r="H24" s="202">
        <f t="shared" si="0"/>
        <v>132750</v>
      </c>
      <c r="I24" s="52"/>
      <c r="J24" s="197">
        <f t="shared" si="1"/>
        <v>0</v>
      </c>
      <c r="K24" s="52"/>
      <c r="L24" s="197">
        <f t="shared" si="2"/>
        <v>0</v>
      </c>
      <c r="M24" s="52"/>
      <c r="N24" s="197">
        <f t="shared" si="3"/>
        <v>0</v>
      </c>
      <c r="O24" s="52">
        <f t="shared" si="4"/>
        <v>1500</v>
      </c>
      <c r="P24" s="183">
        <v>88.5</v>
      </c>
      <c r="Q24" s="53">
        <f t="shared" si="5"/>
        <v>132750</v>
      </c>
    </row>
    <row r="25" spans="1:17" s="62" customFormat="1" ht="45" customHeight="1" x14ac:dyDescent="0.2">
      <c r="A25" s="51">
        <v>16</v>
      </c>
      <c r="B25" s="118" t="s">
        <v>118</v>
      </c>
      <c r="C25" s="63" t="s">
        <v>67</v>
      </c>
      <c r="D25" s="114">
        <v>252</v>
      </c>
      <c r="E25" s="89" t="s">
        <v>84</v>
      </c>
      <c r="F25" s="178" t="s">
        <v>140</v>
      </c>
      <c r="G25" s="191">
        <v>0</v>
      </c>
      <c r="H25" s="202">
        <f t="shared" si="0"/>
        <v>0</v>
      </c>
      <c r="I25" s="116"/>
      <c r="J25" s="197">
        <f t="shared" si="1"/>
        <v>0</v>
      </c>
      <c r="K25" s="116"/>
      <c r="L25" s="197">
        <f t="shared" si="2"/>
        <v>0</v>
      </c>
      <c r="M25" s="116"/>
      <c r="N25" s="197">
        <f t="shared" si="3"/>
        <v>0</v>
      </c>
      <c r="O25" s="52">
        <f t="shared" si="4"/>
        <v>0</v>
      </c>
      <c r="P25" s="183">
        <v>2000</v>
      </c>
      <c r="Q25" s="53">
        <f t="shared" si="5"/>
        <v>0</v>
      </c>
    </row>
    <row r="26" spans="1:17" s="62" customFormat="1" ht="33" customHeight="1" x14ac:dyDescent="0.2">
      <c r="A26" s="51">
        <v>17</v>
      </c>
      <c r="B26" s="118" t="s">
        <v>119</v>
      </c>
      <c r="C26" s="63" t="s">
        <v>67</v>
      </c>
      <c r="D26" s="114">
        <v>252</v>
      </c>
      <c r="E26" s="115" t="s">
        <v>85</v>
      </c>
      <c r="F26" s="178" t="s">
        <v>140</v>
      </c>
      <c r="G26" s="191">
        <v>0</v>
      </c>
      <c r="H26" s="202">
        <f t="shared" si="0"/>
        <v>0</v>
      </c>
      <c r="I26" s="116"/>
      <c r="J26" s="197">
        <f t="shared" si="1"/>
        <v>0</v>
      </c>
      <c r="K26" s="116"/>
      <c r="L26" s="197">
        <f t="shared" si="2"/>
        <v>0</v>
      </c>
      <c r="M26" s="116"/>
      <c r="N26" s="197">
        <f t="shared" si="3"/>
        <v>0</v>
      </c>
      <c r="O26" s="52">
        <f t="shared" si="4"/>
        <v>0</v>
      </c>
      <c r="P26" s="183">
        <v>1900</v>
      </c>
      <c r="Q26" s="53">
        <f t="shared" si="5"/>
        <v>0</v>
      </c>
    </row>
    <row r="27" spans="1:17" s="62" customFormat="1" ht="40.5" customHeight="1" x14ac:dyDescent="0.2">
      <c r="A27" s="51">
        <v>18</v>
      </c>
      <c r="B27" s="101" t="s">
        <v>120</v>
      </c>
      <c r="C27" s="63" t="s">
        <v>67</v>
      </c>
      <c r="D27" s="103">
        <v>252</v>
      </c>
      <c r="E27" s="88" t="s">
        <v>86</v>
      </c>
      <c r="F27" s="175" t="s">
        <v>137</v>
      </c>
      <c r="G27" s="111">
        <v>0</v>
      </c>
      <c r="H27" s="202">
        <f t="shared" si="0"/>
        <v>0</v>
      </c>
      <c r="I27" s="52"/>
      <c r="J27" s="197">
        <f t="shared" si="1"/>
        <v>0</v>
      </c>
      <c r="K27" s="52"/>
      <c r="L27" s="197">
        <f t="shared" si="2"/>
        <v>0</v>
      </c>
      <c r="M27" s="52"/>
      <c r="N27" s="197">
        <f t="shared" si="3"/>
        <v>0</v>
      </c>
      <c r="O27" s="52">
        <f t="shared" si="4"/>
        <v>0</v>
      </c>
      <c r="P27" s="183">
        <v>303</v>
      </c>
      <c r="Q27" s="53">
        <f t="shared" si="5"/>
        <v>0</v>
      </c>
    </row>
    <row r="28" spans="1:17" s="62" customFormat="1" ht="33" customHeight="1" x14ac:dyDescent="0.2">
      <c r="A28" s="51">
        <v>19</v>
      </c>
      <c r="B28" s="101" t="s">
        <v>121</v>
      </c>
      <c r="C28" s="63" t="s">
        <v>67</v>
      </c>
      <c r="D28" s="103">
        <v>252</v>
      </c>
      <c r="E28" s="87" t="s">
        <v>87</v>
      </c>
      <c r="F28" s="175" t="s">
        <v>137</v>
      </c>
      <c r="G28" s="111">
        <v>1000</v>
      </c>
      <c r="H28" s="202">
        <f t="shared" si="0"/>
        <v>145000</v>
      </c>
      <c r="I28" s="52"/>
      <c r="J28" s="197">
        <f t="shared" si="1"/>
        <v>0</v>
      </c>
      <c r="K28" s="52"/>
      <c r="L28" s="197">
        <f t="shared" si="2"/>
        <v>0</v>
      </c>
      <c r="M28" s="52"/>
      <c r="N28" s="197">
        <f t="shared" si="3"/>
        <v>0</v>
      </c>
      <c r="O28" s="52">
        <f t="shared" si="4"/>
        <v>1000</v>
      </c>
      <c r="P28" s="183">
        <v>145</v>
      </c>
      <c r="Q28" s="53">
        <f t="shared" si="5"/>
        <v>145000</v>
      </c>
    </row>
    <row r="29" spans="1:17" s="62" customFormat="1" ht="36.75" customHeight="1" x14ac:dyDescent="0.2">
      <c r="A29" s="51">
        <v>20</v>
      </c>
      <c r="B29" s="101" t="s">
        <v>122</v>
      </c>
      <c r="C29" s="63" t="s">
        <v>67</v>
      </c>
      <c r="D29" s="103">
        <v>252</v>
      </c>
      <c r="E29" s="87" t="s">
        <v>88</v>
      </c>
      <c r="F29" s="175" t="s">
        <v>137</v>
      </c>
      <c r="G29" s="111">
        <v>500</v>
      </c>
      <c r="H29" s="202">
        <f t="shared" si="0"/>
        <v>82115</v>
      </c>
      <c r="I29" s="52"/>
      <c r="J29" s="197">
        <f t="shared" si="1"/>
        <v>0</v>
      </c>
      <c r="K29" s="52"/>
      <c r="L29" s="197">
        <f t="shared" si="2"/>
        <v>0</v>
      </c>
      <c r="M29" s="52"/>
      <c r="N29" s="197">
        <f t="shared" si="3"/>
        <v>0</v>
      </c>
      <c r="O29" s="52">
        <f t="shared" si="4"/>
        <v>500</v>
      </c>
      <c r="P29" s="183">
        <v>164.23</v>
      </c>
      <c r="Q29" s="53">
        <f t="shared" si="5"/>
        <v>82115</v>
      </c>
    </row>
    <row r="30" spans="1:17" s="62" customFormat="1" ht="30.75" customHeight="1" x14ac:dyDescent="0.2">
      <c r="A30" s="51">
        <v>21</v>
      </c>
      <c r="B30" s="101" t="s">
        <v>123</v>
      </c>
      <c r="C30" s="63" t="s">
        <v>67</v>
      </c>
      <c r="D30" s="103">
        <v>252</v>
      </c>
      <c r="E30" s="88" t="s">
        <v>89</v>
      </c>
      <c r="F30" s="175" t="s">
        <v>137</v>
      </c>
      <c r="G30" s="111">
        <v>0</v>
      </c>
      <c r="H30" s="202">
        <f t="shared" si="0"/>
        <v>0</v>
      </c>
      <c r="I30" s="52"/>
      <c r="J30" s="197">
        <f t="shared" si="1"/>
        <v>0</v>
      </c>
      <c r="K30" s="52"/>
      <c r="L30" s="197">
        <f t="shared" si="2"/>
        <v>0</v>
      </c>
      <c r="M30" s="52"/>
      <c r="N30" s="197">
        <f t="shared" si="3"/>
        <v>0</v>
      </c>
      <c r="O30" s="52">
        <f t="shared" si="4"/>
        <v>0</v>
      </c>
      <c r="P30" s="185">
        <v>275</v>
      </c>
      <c r="Q30" s="53">
        <f t="shared" si="5"/>
        <v>0</v>
      </c>
    </row>
    <row r="31" spans="1:17" s="62" customFormat="1" ht="34.5" customHeight="1" x14ac:dyDescent="0.2">
      <c r="A31" s="51">
        <v>22</v>
      </c>
      <c r="B31" s="101" t="s">
        <v>124</v>
      </c>
      <c r="C31" s="63" t="s">
        <v>67</v>
      </c>
      <c r="D31" s="103">
        <v>252</v>
      </c>
      <c r="E31" s="87" t="s">
        <v>90</v>
      </c>
      <c r="F31" s="175" t="s">
        <v>137</v>
      </c>
      <c r="G31" s="111">
        <v>25000</v>
      </c>
      <c r="H31" s="202">
        <f t="shared" si="0"/>
        <v>5709250</v>
      </c>
      <c r="I31" s="52"/>
      <c r="J31" s="197">
        <f t="shared" si="1"/>
        <v>0</v>
      </c>
      <c r="K31" s="52">
        <v>1000</v>
      </c>
      <c r="L31" s="197">
        <f t="shared" si="2"/>
        <v>228370</v>
      </c>
      <c r="M31" s="52"/>
      <c r="N31" s="197">
        <f t="shared" si="3"/>
        <v>0</v>
      </c>
      <c r="O31" s="52">
        <f t="shared" si="4"/>
        <v>26000</v>
      </c>
      <c r="P31" s="183">
        <v>228.37</v>
      </c>
      <c r="Q31" s="53">
        <f t="shared" si="5"/>
        <v>5937620</v>
      </c>
    </row>
    <row r="32" spans="1:17" s="62" customFormat="1" ht="33" customHeight="1" x14ac:dyDescent="0.2">
      <c r="A32" s="51">
        <v>23</v>
      </c>
      <c r="B32" s="101" t="s">
        <v>125</v>
      </c>
      <c r="C32" s="63" t="s">
        <v>67</v>
      </c>
      <c r="D32" s="103">
        <v>252</v>
      </c>
      <c r="E32" s="96" t="s">
        <v>91</v>
      </c>
      <c r="F32" s="175" t="s">
        <v>137</v>
      </c>
      <c r="G32" s="111">
        <v>2000</v>
      </c>
      <c r="H32" s="202">
        <f t="shared" si="0"/>
        <v>374400</v>
      </c>
      <c r="I32" s="52"/>
      <c r="J32" s="197">
        <f t="shared" si="1"/>
        <v>0</v>
      </c>
      <c r="K32" s="52"/>
      <c r="L32" s="197">
        <f t="shared" si="2"/>
        <v>0</v>
      </c>
      <c r="M32" s="52"/>
      <c r="N32" s="197">
        <f t="shared" si="3"/>
        <v>0</v>
      </c>
      <c r="O32" s="52">
        <f t="shared" si="4"/>
        <v>2000</v>
      </c>
      <c r="P32" s="183">
        <v>187.2</v>
      </c>
      <c r="Q32" s="53">
        <f t="shared" si="5"/>
        <v>374400</v>
      </c>
    </row>
    <row r="33" spans="1:20" s="62" customFormat="1" ht="37.5" customHeight="1" x14ac:dyDescent="0.2">
      <c r="A33" s="51">
        <v>24</v>
      </c>
      <c r="B33" s="102" t="s">
        <v>126</v>
      </c>
      <c r="C33" s="63" t="s">
        <v>67</v>
      </c>
      <c r="D33" s="103">
        <v>252</v>
      </c>
      <c r="E33" s="91" t="s">
        <v>92</v>
      </c>
      <c r="F33" s="175" t="s">
        <v>137</v>
      </c>
      <c r="G33" s="111">
        <v>60000</v>
      </c>
      <c r="H33" s="202">
        <f t="shared" si="0"/>
        <v>11910000</v>
      </c>
      <c r="I33" s="52">
        <v>100</v>
      </c>
      <c r="J33" s="197">
        <f t="shared" si="1"/>
        <v>19850</v>
      </c>
      <c r="K33" s="52">
        <v>3000</v>
      </c>
      <c r="L33" s="197">
        <f t="shared" si="2"/>
        <v>595500</v>
      </c>
      <c r="M33" s="52"/>
      <c r="N33" s="197">
        <f t="shared" si="3"/>
        <v>0</v>
      </c>
      <c r="O33" s="52">
        <f t="shared" si="4"/>
        <v>63100</v>
      </c>
      <c r="P33" s="183">
        <v>198.5</v>
      </c>
      <c r="Q33" s="53">
        <f t="shared" si="5"/>
        <v>12525350</v>
      </c>
    </row>
    <row r="34" spans="1:20" s="62" customFormat="1" ht="32.25" customHeight="1" x14ac:dyDescent="0.2">
      <c r="A34" s="51">
        <v>25</v>
      </c>
      <c r="B34" s="101" t="s">
        <v>127</v>
      </c>
      <c r="C34" s="63" t="s">
        <v>67</v>
      </c>
      <c r="D34" s="103">
        <v>252</v>
      </c>
      <c r="E34" s="93" t="s">
        <v>93</v>
      </c>
      <c r="F34" s="175" t="s">
        <v>137</v>
      </c>
      <c r="G34" s="111">
        <v>5000</v>
      </c>
      <c r="H34" s="202">
        <f t="shared" si="0"/>
        <v>930000</v>
      </c>
      <c r="I34" s="52"/>
      <c r="J34" s="197">
        <f t="shared" si="1"/>
        <v>0</v>
      </c>
      <c r="K34" s="52"/>
      <c r="L34" s="197">
        <f t="shared" si="2"/>
        <v>0</v>
      </c>
      <c r="M34" s="52"/>
      <c r="N34" s="197">
        <f t="shared" si="3"/>
        <v>0</v>
      </c>
      <c r="O34" s="52">
        <f t="shared" si="4"/>
        <v>5000</v>
      </c>
      <c r="P34" s="183">
        <v>186</v>
      </c>
      <c r="Q34" s="53">
        <f t="shared" si="5"/>
        <v>930000</v>
      </c>
    </row>
    <row r="35" spans="1:20" s="62" customFormat="1" ht="44.25" customHeight="1" x14ac:dyDescent="0.2">
      <c r="A35" s="51">
        <v>26</v>
      </c>
      <c r="B35" s="101" t="s">
        <v>128</v>
      </c>
      <c r="C35" s="63" t="s">
        <v>67</v>
      </c>
      <c r="D35" s="103">
        <v>252</v>
      </c>
      <c r="E35" s="88" t="s">
        <v>94</v>
      </c>
      <c r="F35" s="175" t="s">
        <v>62</v>
      </c>
      <c r="G35" s="111">
        <v>0</v>
      </c>
      <c r="H35" s="202">
        <f t="shared" si="0"/>
        <v>0</v>
      </c>
      <c r="I35" s="52"/>
      <c r="J35" s="197">
        <f t="shared" si="1"/>
        <v>0</v>
      </c>
      <c r="K35" s="52"/>
      <c r="L35" s="197">
        <f t="shared" si="2"/>
        <v>0</v>
      </c>
      <c r="M35" s="52"/>
      <c r="N35" s="197">
        <f t="shared" si="3"/>
        <v>0</v>
      </c>
      <c r="O35" s="52">
        <f t="shared" si="4"/>
        <v>0</v>
      </c>
      <c r="P35" s="185">
        <v>46</v>
      </c>
      <c r="Q35" s="53">
        <f t="shared" si="5"/>
        <v>0</v>
      </c>
      <c r="R35" s="56"/>
    </row>
    <row r="36" spans="1:20" s="62" customFormat="1" ht="36" customHeight="1" x14ac:dyDescent="0.2">
      <c r="A36" s="81">
        <v>27</v>
      </c>
      <c r="B36" s="100" t="s">
        <v>129</v>
      </c>
      <c r="C36" s="82" t="s">
        <v>67</v>
      </c>
      <c r="D36" s="104">
        <v>252</v>
      </c>
      <c r="E36" s="94" t="s">
        <v>95</v>
      </c>
      <c r="F36" s="179" t="s">
        <v>62</v>
      </c>
      <c r="G36" s="192">
        <v>4000</v>
      </c>
      <c r="H36" s="204">
        <f t="shared" si="0"/>
        <v>281000</v>
      </c>
      <c r="I36" s="83"/>
      <c r="J36" s="198">
        <f t="shared" si="1"/>
        <v>0</v>
      </c>
      <c r="K36" s="83"/>
      <c r="L36" s="198">
        <f t="shared" si="2"/>
        <v>0</v>
      </c>
      <c r="M36" s="83"/>
      <c r="N36" s="198">
        <f t="shared" si="3"/>
        <v>0</v>
      </c>
      <c r="O36" s="83">
        <f t="shared" si="4"/>
        <v>4000</v>
      </c>
      <c r="P36" s="186">
        <v>70.25</v>
      </c>
      <c r="Q36" s="84">
        <f t="shared" si="5"/>
        <v>281000</v>
      </c>
      <c r="R36" s="112" t="s">
        <v>142</v>
      </c>
      <c r="S36" s="112"/>
      <c r="T36" s="112"/>
    </row>
    <row r="37" spans="1:20" s="62" customFormat="1" ht="33.75" customHeight="1" x14ac:dyDescent="0.2">
      <c r="A37" s="51">
        <v>28</v>
      </c>
      <c r="B37" s="101" t="s">
        <v>130</v>
      </c>
      <c r="C37" s="63" t="s">
        <v>67</v>
      </c>
      <c r="D37" s="103">
        <v>252</v>
      </c>
      <c r="E37" s="95" t="s">
        <v>96</v>
      </c>
      <c r="F37" s="175" t="s">
        <v>137</v>
      </c>
      <c r="G37" s="111">
        <v>500</v>
      </c>
      <c r="H37" s="202">
        <f t="shared" si="0"/>
        <v>258500</v>
      </c>
      <c r="I37" s="52"/>
      <c r="J37" s="197">
        <f t="shared" si="1"/>
        <v>0</v>
      </c>
      <c r="K37" s="52"/>
      <c r="L37" s="197">
        <f t="shared" si="2"/>
        <v>0</v>
      </c>
      <c r="M37" s="52"/>
      <c r="N37" s="197">
        <f t="shared" si="3"/>
        <v>0</v>
      </c>
      <c r="O37" s="52">
        <f t="shared" si="4"/>
        <v>500</v>
      </c>
      <c r="P37" s="183">
        <v>517</v>
      </c>
      <c r="Q37" s="53">
        <f t="shared" si="5"/>
        <v>258500</v>
      </c>
    </row>
    <row r="38" spans="1:20" s="62" customFormat="1" ht="46.5" customHeight="1" x14ac:dyDescent="0.2">
      <c r="A38" s="51">
        <v>29</v>
      </c>
      <c r="B38" s="122" t="s">
        <v>131</v>
      </c>
      <c r="C38" s="63" t="s">
        <v>67</v>
      </c>
      <c r="D38" s="114">
        <v>252</v>
      </c>
      <c r="E38" s="89" t="s">
        <v>97</v>
      </c>
      <c r="F38" s="180" t="s">
        <v>61</v>
      </c>
      <c r="G38" s="193">
        <v>0</v>
      </c>
      <c r="H38" s="202">
        <f t="shared" si="0"/>
        <v>0</v>
      </c>
      <c r="I38" s="116"/>
      <c r="J38" s="197">
        <f t="shared" si="1"/>
        <v>0</v>
      </c>
      <c r="K38" s="116"/>
      <c r="L38" s="197">
        <f t="shared" si="2"/>
        <v>0</v>
      </c>
      <c r="M38" s="116"/>
      <c r="N38" s="197">
        <f t="shared" si="3"/>
        <v>0</v>
      </c>
      <c r="O38" s="52">
        <f t="shared" si="4"/>
        <v>0</v>
      </c>
      <c r="P38" s="183">
        <v>2900</v>
      </c>
      <c r="Q38" s="53">
        <f t="shared" si="5"/>
        <v>0</v>
      </c>
      <c r="R38" s="130" t="s">
        <v>149</v>
      </c>
      <c r="S38" s="131"/>
      <c r="T38" s="131"/>
    </row>
    <row r="39" spans="1:20" s="62" customFormat="1" ht="39.75" customHeight="1" x14ac:dyDescent="0.2">
      <c r="A39" s="51">
        <v>30</v>
      </c>
      <c r="B39" s="122" t="s">
        <v>132</v>
      </c>
      <c r="C39" s="63" t="s">
        <v>67</v>
      </c>
      <c r="D39" s="114">
        <v>252</v>
      </c>
      <c r="E39" s="89" t="s">
        <v>98</v>
      </c>
      <c r="F39" s="180" t="s">
        <v>61</v>
      </c>
      <c r="G39" s="193">
        <v>0</v>
      </c>
      <c r="H39" s="202">
        <f t="shared" si="0"/>
        <v>0</v>
      </c>
      <c r="I39" s="116"/>
      <c r="J39" s="197">
        <f t="shared" si="1"/>
        <v>0</v>
      </c>
      <c r="K39" s="116"/>
      <c r="L39" s="197">
        <f t="shared" si="2"/>
        <v>0</v>
      </c>
      <c r="M39" s="116"/>
      <c r="N39" s="197">
        <f t="shared" si="3"/>
        <v>0</v>
      </c>
      <c r="O39" s="52">
        <f t="shared" si="4"/>
        <v>0</v>
      </c>
      <c r="P39" s="183">
        <v>2900</v>
      </c>
      <c r="Q39" s="53">
        <f t="shared" si="5"/>
        <v>0</v>
      </c>
      <c r="R39" s="132"/>
      <c r="S39" s="131"/>
      <c r="T39" s="131"/>
    </row>
    <row r="40" spans="1:20" s="62" customFormat="1" ht="40.5" customHeight="1" x14ac:dyDescent="0.2">
      <c r="A40" s="51">
        <v>31</v>
      </c>
      <c r="B40" s="101" t="s">
        <v>133</v>
      </c>
      <c r="C40" s="63" t="s">
        <v>67</v>
      </c>
      <c r="D40" s="103">
        <v>252</v>
      </c>
      <c r="E40" s="88" t="s">
        <v>99</v>
      </c>
      <c r="F40" s="177" t="s">
        <v>137</v>
      </c>
      <c r="G40" s="190">
        <v>5000</v>
      </c>
      <c r="H40" s="202">
        <f t="shared" si="0"/>
        <v>1376000</v>
      </c>
      <c r="I40" s="52"/>
      <c r="J40" s="197">
        <f t="shared" si="1"/>
        <v>0</v>
      </c>
      <c r="K40" s="52">
        <v>300</v>
      </c>
      <c r="L40" s="197">
        <f t="shared" si="2"/>
        <v>82560</v>
      </c>
      <c r="M40" s="52"/>
      <c r="N40" s="197">
        <f t="shared" si="3"/>
        <v>0</v>
      </c>
      <c r="O40" s="52">
        <f t="shared" si="4"/>
        <v>5300</v>
      </c>
      <c r="P40" s="183">
        <v>275.2</v>
      </c>
      <c r="Q40" s="53">
        <f t="shared" si="5"/>
        <v>1458560</v>
      </c>
    </row>
    <row r="41" spans="1:20" s="62" customFormat="1" ht="34.5" customHeight="1" x14ac:dyDescent="0.2">
      <c r="A41" s="51">
        <v>32</v>
      </c>
      <c r="B41" s="99" t="s">
        <v>134</v>
      </c>
      <c r="C41" s="63" t="s">
        <v>67</v>
      </c>
      <c r="D41" s="103">
        <v>252</v>
      </c>
      <c r="E41" s="87" t="s">
        <v>100</v>
      </c>
      <c r="F41" s="175" t="s">
        <v>62</v>
      </c>
      <c r="G41" s="111">
        <v>1000</v>
      </c>
      <c r="H41" s="202">
        <f t="shared" si="0"/>
        <v>42500</v>
      </c>
      <c r="I41" s="52"/>
      <c r="J41" s="197">
        <f t="shared" si="1"/>
        <v>0</v>
      </c>
      <c r="K41" s="52"/>
      <c r="L41" s="197">
        <f t="shared" si="2"/>
        <v>0</v>
      </c>
      <c r="M41" s="52">
        <v>2000</v>
      </c>
      <c r="N41" s="197">
        <f t="shared" si="3"/>
        <v>85000</v>
      </c>
      <c r="O41" s="52">
        <f t="shared" si="4"/>
        <v>86000</v>
      </c>
      <c r="P41" s="185">
        <v>42.5</v>
      </c>
      <c r="Q41" s="53">
        <f t="shared" si="5"/>
        <v>3655000</v>
      </c>
    </row>
    <row r="42" spans="1:20" s="62" customFormat="1" ht="35.25" customHeight="1" x14ac:dyDescent="0.2">
      <c r="A42" s="105">
        <v>33</v>
      </c>
      <c r="B42" s="106" t="s">
        <v>135</v>
      </c>
      <c r="C42" s="107" t="s">
        <v>67</v>
      </c>
      <c r="D42" s="108">
        <v>252</v>
      </c>
      <c r="E42" s="96" t="s">
        <v>101</v>
      </c>
      <c r="F42" s="181" t="s">
        <v>62</v>
      </c>
      <c r="G42" s="111">
        <v>0</v>
      </c>
      <c r="H42" s="202">
        <f t="shared" si="0"/>
        <v>0</v>
      </c>
      <c r="I42" s="52"/>
      <c r="J42" s="197">
        <f t="shared" si="1"/>
        <v>0</v>
      </c>
      <c r="K42" s="109"/>
      <c r="L42" s="197">
        <f t="shared" si="2"/>
        <v>0</v>
      </c>
      <c r="M42" s="52"/>
      <c r="N42" s="197">
        <f t="shared" si="3"/>
        <v>0</v>
      </c>
      <c r="O42" s="52">
        <f t="shared" si="4"/>
        <v>0</v>
      </c>
      <c r="P42" s="187">
        <v>3500</v>
      </c>
      <c r="Q42" s="53">
        <f t="shared" si="5"/>
        <v>0</v>
      </c>
    </row>
    <row r="43" spans="1:20" s="62" customFormat="1" ht="37.5" customHeight="1" x14ac:dyDescent="0.2">
      <c r="A43" s="51">
        <v>34</v>
      </c>
      <c r="B43" s="110" t="s">
        <v>136</v>
      </c>
      <c r="C43" s="63" t="s">
        <v>67</v>
      </c>
      <c r="D43" s="103">
        <v>252</v>
      </c>
      <c r="E43" s="117" t="s">
        <v>102</v>
      </c>
      <c r="F43" s="182" t="s">
        <v>141</v>
      </c>
      <c r="G43" s="111">
        <v>0</v>
      </c>
      <c r="H43" s="202">
        <f t="shared" si="0"/>
        <v>0</v>
      </c>
      <c r="I43" s="52"/>
      <c r="J43" s="197">
        <f t="shared" si="1"/>
        <v>0</v>
      </c>
      <c r="K43" s="52"/>
      <c r="L43" s="197">
        <f t="shared" si="2"/>
        <v>0</v>
      </c>
      <c r="M43" s="52"/>
      <c r="N43" s="197">
        <f t="shared" si="3"/>
        <v>0</v>
      </c>
      <c r="O43" s="52">
        <f t="shared" si="4"/>
        <v>0</v>
      </c>
      <c r="P43" s="188">
        <v>12110</v>
      </c>
      <c r="Q43" s="53">
        <f t="shared" si="5"/>
        <v>0</v>
      </c>
    </row>
    <row r="44" spans="1:20" s="210" customFormat="1" ht="24.75" customHeight="1" x14ac:dyDescent="0.2">
      <c r="A44" s="208"/>
      <c r="B44" s="209"/>
      <c r="C44" s="208"/>
      <c r="D44" s="208"/>
      <c r="E44" s="208"/>
      <c r="F44" s="208"/>
      <c r="G44" s="208"/>
      <c r="H44" s="205">
        <f>SUM(H10:H43)</f>
        <v>23287115</v>
      </c>
      <c r="I44" s="205"/>
      <c r="J44" s="205">
        <f t="shared" ref="J44:N44" si="6">SUM(J10:J43)</f>
        <v>19850</v>
      </c>
      <c r="K44" s="205"/>
      <c r="L44" s="205">
        <f t="shared" si="6"/>
        <v>906430</v>
      </c>
      <c r="M44" s="205"/>
      <c r="N44" s="205">
        <f t="shared" si="6"/>
        <v>85000</v>
      </c>
      <c r="O44" s="208"/>
      <c r="P44" s="208"/>
      <c r="Q44" s="206">
        <f>SUM(Q10:Q43)</f>
        <v>27825895</v>
      </c>
    </row>
    <row r="45" spans="1:20" ht="13.5" thickBot="1" x14ac:dyDescent="0.25"/>
    <row r="46" spans="1:20" ht="21.75" customHeight="1" x14ac:dyDescent="0.2">
      <c r="B46" s="72" t="s">
        <v>143</v>
      </c>
      <c r="C46" s="54"/>
      <c r="D46" s="54"/>
      <c r="E46" s="55"/>
      <c r="F46" s="56"/>
      <c r="G46" s="56"/>
      <c r="I46" s="56"/>
      <c r="J46" s="199"/>
      <c r="K46" s="56"/>
      <c r="L46" s="199"/>
      <c r="M46" s="56"/>
      <c r="N46" s="199"/>
      <c r="O46" s="56"/>
      <c r="P46" s="57"/>
    </row>
    <row r="47" spans="1:20" ht="11.25" customHeight="1" x14ac:dyDescent="0.2">
      <c r="B47" s="124" t="s">
        <v>54</v>
      </c>
      <c r="C47" s="207"/>
      <c r="D47" s="207"/>
      <c r="E47" s="126"/>
      <c r="F47" s="56"/>
      <c r="G47" s="56"/>
      <c r="I47" s="58"/>
      <c r="J47" s="200"/>
      <c r="K47" s="58"/>
      <c r="L47" s="200"/>
      <c r="M47" s="58"/>
      <c r="N47" s="200"/>
      <c r="O47" s="58"/>
      <c r="P47" s="57"/>
    </row>
    <row r="48" spans="1:20" ht="23.25" customHeight="1" x14ac:dyDescent="0.2">
      <c r="B48" s="124"/>
      <c r="C48" s="207"/>
      <c r="D48" s="207"/>
      <c r="E48" s="126"/>
      <c r="F48" s="56"/>
      <c r="G48" s="56"/>
      <c r="I48" s="56"/>
      <c r="J48" s="199"/>
      <c r="K48" s="56"/>
      <c r="L48" s="199"/>
      <c r="M48" s="56"/>
      <c r="N48" s="199"/>
      <c r="O48" s="56"/>
      <c r="P48" s="57"/>
    </row>
    <row r="49" spans="2:16" ht="24" customHeight="1" x14ac:dyDescent="0.2">
      <c r="B49" s="124" t="s">
        <v>55</v>
      </c>
      <c r="C49" s="207"/>
      <c r="D49" s="207"/>
      <c r="E49" s="126"/>
      <c r="F49" s="56"/>
      <c r="G49" s="56"/>
      <c r="I49" s="56"/>
      <c r="J49" s="199"/>
      <c r="K49" s="56"/>
      <c r="L49" s="199"/>
      <c r="M49" s="56"/>
      <c r="N49" s="199"/>
      <c r="O49" s="56"/>
      <c r="P49" s="57"/>
    </row>
    <row r="50" spans="2:16" ht="15" customHeight="1" x14ac:dyDescent="0.2">
      <c r="B50" s="70"/>
      <c r="C50" s="67"/>
      <c r="D50" s="67"/>
      <c r="E50" s="64"/>
      <c r="F50" s="56"/>
      <c r="G50" s="56"/>
      <c r="I50" s="56"/>
      <c r="J50" s="199"/>
      <c r="K50" s="56"/>
      <c r="L50" s="199"/>
      <c r="M50" s="56"/>
      <c r="N50" s="199"/>
      <c r="O50" s="56"/>
      <c r="P50" s="57"/>
    </row>
    <row r="51" spans="2:16" ht="29.25" customHeight="1" x14ac:dyDescent="0.2">
      <c r="B51" s="73" t="s">
        <v>56</v>
      </c>
      <c r="C51" s="68"/>
      <c r="D51" s="68"/>
      <c r="E51" s="59"/>
      <c r="F51" s="56"/>
      <c r="G51" s="56"/>
      <c r="I51" s="56"/>
      <c r="J51" s="199"/>
      <c r="K51" s="56"/>
      <c r="L51" s="199"/>
      <c r="M51" s="56"/>
      <c r="N51" s="199"/>
      <c r="O51" s="56"/>
      <c r="P51" s="57"/>
    </row>
    <row r="52" spans="2:16" ht="30" customHeight="1" thickBot="1" x14ac:dyDescent="0.25">
      <c r="B52" s="74" t="s">
        <v>53</v>
      </c>
      <c r="C52" s="60"/>
      <c r="D52" s="60"/>
      <c r="E52" s="61"/>
    </row>
    <row r="54" spans="2:16" ht="13.5" thickBot="1" x14ac:dyDescent="0.25"/>
    <row r="55" spans="2:16" ht="18.75" customHeight="1" x14ac:dyDescent="0.2">
      <c r="B55" s="72" t="s">
        <v>144</v>
      </c>
      <c r="C55" s="54"/>
      <c r="D55" s="54"/>
      <c r="E55" s="55"/>
    </row>
    <row r="56" spans="2:16" ht="21" customHeight="1" x14ac:dyDescent="0.2">
      <c r="B56" s="124" t="s">
        <v>54</v>
      </c>
      <c r="C56" s="207"/>
      <c r="D56" s="207"/>
      <c r="E56" s="126"/>
    </row>
    <row r="57" spans="2:16" x14ac:dyDescent="0.2">
      <c r="B57" s="124"/>
      <c r="C57" s="207"/>
      <c r="D57" s="207"/>
      <c r="E57" s="126"/>
    </row>
    <row r="58" spans="2:16" ht="12.75" customHeight="1" x14ac:dyDescent="0.2">
      <c r="B58" s="124" t="s">
        <v>55</v>
      </c>
      <c r="C58" s="207"/>
      <c r="D58" s="207"/>
      <c r="E58" s="126"/>
    </row>
    <row r="59" spans="2:16" x14ac:dyDescent="0.2">
      <c r="B59" s="70"/>
      <c r="C59" s="67"/>
      <c r="D59" s="67"/>
      <c r="E59" s="64"/>
    </row>
    <row r="60" spans="2:16" ht="45" x14ac:dyDescent="0.2">
      <c r="B60" s="73" t="s">
        <v>56</v>
      </c>
      <c r="C60" s="68"/>
      <c r="D60" s="68"/>
      <c r="E60" s="59"/>
    </row>
    <row r="61" spans="2:16" ht="13.5" thickBot="1" x14ac:dyDescent="0.25">
      <c r="B61" s="74" t="s">
        <v>53</v>
      </c>
      <c r="C61" s="60"/>
      <c r="D61" s="60"/>
      <c r="E61" s="61"/>
    </row>
    <row r="62" spans="2:16" ht="13.5" thickBot="1" x14ac:dyDescent="0.25"/>
    <row r="63" spans="2:16" x14ac:dyDescent="0.2">
      <c r="B63" s="72" t="s">
        <v>145</v>
      </c>
      <c r="C63" s="54"/>
      <c r="D63" s="54"/>
      <c r="E63" s="55"/>
    </row>
    <row r="64" spans="2:16" ht="12.75" customHeight="1" x14ac:dyDescent="0.2">
      <c r="B64" s="124" t="s">
        <v>54</v>
      </c>
      <c r="C64" s="207"/>
      <c r="D64" s="207"/>
      <c r="E64" s="126"/>
    </row>
    <row r="65" spans="2:5" x14ac:dyDescent="0.2">
      <c r="B65" s="124"/>
      <c r="C65" s="207"/>
      <c r="D65" s="207"/>
      <c r="E65" s="126"/>
    </row>
    <row r="66" spans="2:5" ht="12.75" customHeight="1" x14ac:dyDescent="0.2">
      <c r="B66" s="124" t="s">
        <v>55</v>
      </c>
      <c r="C66" s="207"/>
      <c r="D66" s="207"/>
      <c r="E66" s="126"/>
    </row>
    <row r="67" spans="2:5" x14ac:dyDescent="0.2">
      <c r="B67" s="70"/>
      <c r="C67" s="67"/>
      <c r="D67" s="67"/>
      <c r="E67" s="64"/>
    </row>
    <row r="68" spans="2:5" ht="45" x14ac:dyDescent="0.2">
      <c r="B68" s="73" t="s">
        <v>56</v>
      </c>
      <c r="C68" s="68"/>
      <c r="D68" s="68"/>
      <c r="E68" s="59"/>
    </row>
    <row r="69" spans="2:5" ht="13.5" thickBot="1" x14ac:dyDescent="0.25">
      <c r="B69" s="74" t="s">
        <v>53</v>
      </c>
      <c r="C69" s="60"/>
      <c r="D69" s="60"/>
      <c r="E69" s="61"/>
    </row>
    <row r="70" spans="2:5" ht="13.5" thickBot="1" x14ac:dyDescent="0.25"/>
    <row r="71" spans="2:5" ht="16.5" customHeight="1" x14ac:dyDescent="0.2">
      <c r="B71" s="72" t="s">
        <v>146</v>
      </c>
      <c r="C71" s="54"/>
      <c r="D71" s="54"/>
      <c r="E71" s="55"/>
    </row>
    <row r="72" spans="2:5" ht="12.75" customHeight="1" x14ac:dyDescent="0.2">
      <c r="B72" s="124" t="s">
        <v>54</v>
      </c>
      <c r="C72" s="207"/>
      <c r="D72" s="207"/>
      <c r="E72" s="126"/>
    </row>
    <row r="73" spans="2:5" x14ac:dyDescent="0.2">
      <c r="B73" s="124"/>
      <c r="C73" s="207"/>
      <c r="D73" s="207"/>
      <c r="E73" s="126"/>
    </row>
    <row r="74" spans="2:5" ht="12.75" customHeight="1" x14ac:dyDescent="0.2">
      <c r="B74" s="124" t="s">
        <v>55</v>
      </c>
      <c r="C74" s="207"/>
      <c r="D74" s="207"/>
      <c r="E74" s="126"/>
    </row>
    <row r="75" spans="2:5" x14ac:dyDescent="0.2">
      <c r="B75" s="70"/>
      <c r="C75" s="67"/>
      <c r="D75" s="67"/>
      <c r="E75" s="64"/>
    </row>
    <row r="76" spans="2:5" ht="45" x14ac:dyDescent="0.2">
      <c r="B76" s="73" t="s">
        <v>56</v>
      </c>
      <c r="C76" s="68"/>
      <c r="D76" s="68"/>
      <c r="E76" s="59"/>
    </row>
    <row r="77" spans="2:5" ht="13.5" thickBot="1" x14ac:dyDescent="0.25">
      <c r="B77" s="74" t="s">
        <v>53</v>
      </c>
      <c r="C77" s="60"/>
      <c r="D77" s="60"/>
      <c r="E77" s="61"/>
    </row>
    <row r="78" spans="2:5" ht="13.5" thickBot="1" x14ac:dyDescent="0.25"/>
    <row r="79" spans="2:5" x14ac:dyDescent="0.2">
      <c r="B79" s="72" t="s">
        <v>148</v>
      </c>
      <c r="C79" s="54"/>
      <c r="D79" s="54"/>
      <c r="E79" s="55"/>
    </row>
    <row r="80" spans="2:5" ht="12.75" customHeight="1" x14ac:dyDescent="0.2">
      <c r="B80" s="124" t="s">
        <v>54</v>
      </c>
      <c r="C80" s="207"/>
      <c r="D80" s="207"/>
      <c r="E80" s="126"/>
    </row>
    <row r="81" spans="2:5" x14ac:dyDescent="0.2">
      <c r="B81" s="124"/>
      <c r="C81" s="207"/>
      <c r="D81" s="207"/>
      <c r="E81" s="126"/>
    </row>
    <row r="82" spans="2:5" ht="12.75" customHeight="1" x14ac:dyDescent="0.2">
      <c r="B82" s="124" t="s">
        <v>55</v>
      </c>
      <c r="C82" s="207"/>
      <c r="D82" s="207"/>
      <c r="E82" s="126"/>
    </row>
    <row r="83" spans="2:5" x14ac:dyDescent="0.2">
      <c r="B83" s="70"/>
      <c r="C83" s="85"/>
      <c r="D83" s="85"/>
      <c r="E83" s="86"/>
    </row>
    <row r="84" spans="2:5" ht="45" x14ac:dyDescent="0.2">
      <c r="B84" s="73" t="s">
        <v>56</v>
      </c>
      <c r="C84" s="68"/>
      <c r="D84" s="68"/>
      <c r="E84" s="59"/>
    </row>
    <row r="85" spans="2:5" ht="13.5" thickBot="1" x14ac:dyDescent="0.25">
      <c r="B85" s="74" t="s">
        <v>53</v>
      </c>
      <c r="C85" s="60"/>
      <c r="D85" s="60"/>
      <c r="E85" s="61"/>
    </row>
    <row r="86" spans="2:5" ht="13.5" thickBot="1" x14ac:dyDescent="0.25"/>
    <row r="87" spans="2:5" x14ac:dyDescent="0.2">
      <c r="B87" s="72" t="s">
        <v>147</v>
      </c>
      <c r="C87" s="54"/>
      <c r="D87" s="54"/>
      <c r="E87" s="55"/>
    </row>
    <row r="88" spans="2:5" ht="12.75" customHeight="1" x14ac:dyDescent="0.2">
      <c r="B88" s="124" t="s">
        <v>54</v>
      </c>
      <c r="C88" s="207"/>
      <c r="D88" s="207"/>
      <c r="E88" s="126"/>
    </row>
    <row r="89" spans="2:5" x14ac:dyDescent="0.2">
      <c r="B89" s="124"/>
      <c r="C89" s="207"/>
      <c r="D89" s="207"/>
      <c r="E89" s="126"/>
    </row>
    <row r="90" spans="2:5" ht="12.75" customHeight="1" x14ac:dyDescent="0.2">
      <c r="B90" s="124" t="s">
        <v>55</v>
      </c>
      <c r="C90" s="207"/>
      <c r="D90" s="207"/>
      <c r="E90" s="126"/>
    </row>
    <row r="91" spans="2:5" x14ac:dyDescent="0.2">
      <c r="B91" s="70"/>
      <c r="C91" s="119"/>
      <c r="D91" s="119"/>
      <c r="E91" s="120"/>
    </row>
    <row r="92" spans="2:5" ht="45" x14ac:dyDescent="0.2">
      <c r="B92" s="121" t="s">
        <v>56</v>
      </c>
      <c r="C92" s="68"/>
      <c r="D92" s="68"/>
      <c r="E92" s="59"/>
    </row>
    <row r="93" spans="2:5" ht="13.5" thickBot="1" x14ac:dyDescent="0.25">
      <c r="B93" s="74" t="s">
        <v>53</v>
      </c>
      <c r="C93" s="60"/>
      <c r="D93" s="60"/>
      <c r="E93" s="61"/>
    </row>
    <row r="94" spans="2:5" ht="13.5" thickBot="1" x14ac:dyDescent="0.25"/>
    <row r="95" spans="2:5" x14ac:dyDescent="0.2">
      <c r="B95" s="72" t="s">
        <v>150</v>
      </c>
      <c r="C95" s="54"/>
      <c r="D95" s="54"/>
      <c r="E95" s="55"/>
    </row>
    <row r="96" spans="2:5" x14ac:dyDescent="0.2">
      <c r="B96" s="124" t="s">
        <v>54</v>
      </c>
      <c r="C96" s="125"/>
      <c r="D96" s="125"/>
      <c r="E96" s="126"/>
    </row>
    <row r="97" spans="2:5" x14ac:dyDescent="0.2">
      <c r="B97" s="124"/>
      <c r="C97" s="125"/>
      <c r="D97" s="125"/>
      <c r="E97" s="126"/>
    </row>
    <row r="98" spans="2:5" x14ac:dyDescent="0.2">
      <c r="B98" s="124" t="s">
        <v>55</v>
      </c>
      <c r="C98" s="125"/>
      <c r="D98" s="125"/>
      <c r="E98" s="126"/>
    </row>
    <row r="99" spans="2:5" x14ac:dyDescent="0.2">
      <c r="B99" s="70"/>
      <c r="C99" s="119"/>
      <c r="D99" s="119"/>
      <c r="E99" s="120"/>
    </row>
    <row r="100" spans="2:5" ht="45" x14ac:dyDescent="0.2">
      <c r="B100" s="121" t="s">
        <v>56</v>
      </c>
      <c r="C100" s="68"/>
      <c r="D100" s="68"/>
      <c r="E100" s="59"/>
    </row>
    <row r="101" spans="2:5" ht="13.5" thickBot="1" x14ac:dyDescent="0.25">
      <c r="B101" s="74" t="s">
        <v>53</v>
      </c>
      <c r="C101" s="60"/>
      <c r="D101" s="60"/>
      <c r="E101" s="61"/>
    </row>
  </sheetData>
  <autoFilter ref="A9:Q43"/>
  <mergeCells count="24">
    <mergeCell ref="B96:E97"/>
    <mergeCell ref="B98:E98"/>
    <mergeCell ref="A7:B7"/>
    <mergeCell ref="B47:E48"/>
    <mergeCell ref="B49:E49"/>
    <mergeCell ref="B90:E90"/>
    <mergeCell ref="B88:E89"/>
    <mergeCell ref="B82:E82"/>
    <mergeCell ref="B80:E81"/>
    <mergeCell ref="B74:E74"/>
    <mergeCell ref="B72:E73"/>
    <mergeCell ref="B66:E66"/>
    <mergeCell ref="B64:E65"/>
    <mergeCell ref="B58:E58"/>
    <mergeCell ref="B56:E57"/>
    <mergeCell ref="B2:P2"/>
    <mergeCell ref="A4:B4"/>
    <mergeCell ref="C4:E4"/>
    <mergeCell ref="A5:B5"/>
    <mergeCell ref="C5:E5"/>
    <mergeCell ref="A6:B6"/>
    <mergeCell ref="R13:T13"/>
    <mergeCell ref="R14:S14"/>
    <mergeCell ref="R38:T39"/>
  </mergeCells>
  <conditionalFormatting sqref="B51">
    <cfRule type="duplicateValues" dxfId="27" priority="25"/>
  </conditionalFormatting>
  <conditionalFormatting sqref="B51">
    <cfRule type="duplicateValues" dxfId="26" priority="26"/>
  </conditionalFormatting>
  <conditionalFormatting sqref="B51">
    <cfRule type="duplicateValues" dxfId="25" priority="27"/>
  </conditionalFormatting>
  <conditionalFormatting sqref="B51">
    <cfRule type="duplicateValues" dxfId="24" priority="28"/>
  </conditionalFormatting>
  <conditionalFormatting sqref="B60">
    <cfRule type="duplicateValues" dxfId="23" priority="21"/>
  </conditionalFormatting>
  <conditionalFormatting sqref="B60">
    <cfRule type="duplicateValues" dxfId="22" priority="22"/>
  </conditionalFormatting>
  <conditionalFormatting sqref="B60">
    <cfRule type="duplicateValues" dxfId="21" priority="23"/>
  </conditionalFormatting>
  <conditionalFormatting sqref="B60">
    <cfRule type="duplicateValues" dxfId="20" priority="24"/>
  </conditionalFormatting>
  <conditionalFormatting sqref="B68">
    <cfRule type="duplicateValues" dxfId="19" priority="17"/>
  </conditionalFormatting>
  <conditionalFormatting sqref="B68">
    <cfRule type="duplicateValues" dxfId="18" priority="18"/>
  </conditionalFormatting>
  <conditionalFormatting sqref="B68">
    <cfRule type="duplicateValues" dxfId="17" priority="19"/>
  </conditionalFormatting>
  <conditionalFormatting sqref="B68">
    <cfRule type="duplicateValues" dxfId="16" priority="20"/>
  </conditionalFormatting>
  <conditionalFormatting sqref="B76">
    <cfRule type="duplicateValues" dxfId="15" priority="13"/>
  </conditionalFormatting>
  <conditionalFormatting sqref="B76">
    <cfRule type="duplicateValues" dxfId="14" priority="14"/>
  </conditionalFormatting>
  <conditionalFormatting sqref="B76">
    <cfRule type="duplicateValues" dxfId="13" priority="15"/>
  </conditionalFormatting>
  <conditionalFormatting sqref="B76">
    <cfRule type="duplicateValues" dxfId="12" priority="16"/>
  </conditionalFormatting>
  <conditionalFormatting sqref="B84">
    <cfRule type="duplicateValues" dxfId="11" priority="9"/>
  </conditionalFormatting>
  <conditionalFormatting sqref="B84">
    <cfRule type="duplicateValues" dxfId="10" priority="10"/>
  </conditionalFormatting>
  <conditionalFormatting sqref="B84">
    <cfRule type="duplicateValues" dxfId="9" priority="11"/>
  </conditionalFormatting>
  <conditionalFormatting sqref="B84">
    <cfRule type="duplicateValues" dxfId="8" priority="12"/>
  </conditionalFormatting>
  <conditionalFormatting sqref="B92">
    <cfRule type="duplicateValues" dxfId="7" priority="5"/>
  </conditionalFormatting>
  <conditionalFormatting sqref="B92">
    <cfRule type="duplicateValues" dxfId="6" priority="6"/>
  </conditionalFormatting>
  <conditionalFormatting sqref="B92">
    <cfRule type="duplicateValues" dxfId="5" priority="7"/>
  </conditionalFormatting>
  <conditionalFormatting sqref="B92">
    <cfRule type="duplicateValues" dxfId="4" priority="8"/>
  </conditionalFormatting>
  <conditionalFormatting sqref="B100">
    <cfRule type="duplicateValues" dxfId="3" priority="1"/>
  </conditionalFormatting>
  <conditionalFormatting sqref="B100">
    <cfRule type="duplicateValues" dxfId="2" priority="2"/>
  </conditionalFormatting>
  <conditionalFormatting sqref="B100">
    <cfRule type="duplicateValues" dxfId="1" priority="3"/>
  </conditionalFormatting>
  <conditionalFormatting sqref="B100">
    <cfRule type="duplicateValues" dxfId="0" priority="4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6"/>
  <sheetViews>
    <sheetView zoomScale="90" zoomScaleNormal="90" workbookViewId="0">
      <selection activeCell="L49" sqref="L49"/>
    </sheetView>
  </sheetViews>
  <sheetFormatPr baseColWidth="10" defaultColWidth="9.140625" defaultRowHeight="12.75" x14ac:dyDescent="0.2"/>
  <cols>
    <col min="1" max="1" width="5.5703125" style="30" customWidth="1"/>
    <col min="2" max="2" width="15.140625" style="30" customWidth="1"/>
    <col min="3" max="3" width="14.140625" style="30" customWidth="1"/>
    <col min="4" max="4" width="26" style="30" customWidth="1"/>
    <col min="5" max="5" width="8" style="30" customWidth="1"/>
    <col min="6" max="6" width="7.85546875" style="30" customWidth="1"/>
    <col min="7" max="7" width="48.5703125" style="30" customWidth="1"/>
    <col min="8" max="8" width="9.28515625" style="30" customWidth="1"/>
    <col min="9" max="9" width="15.5703125" style="30" customWidth="1"/>
    <col min="10" max="10" width="14.7109375" style="30" customWidth="1"/>
    <col min="11" max="11" width="15.5703125" style="30" customWidth="1"/>
    <col min="12" max="14" width="5.85546875" style="30" customWidth="1"/>
    <col min="15" max="15" width="12.5703125" style="30" customWidth="1"/>
    <col min="16" max="1024" width="9.140625" style="30"/>
    <col min="1025" max="16384" width="9.140625" style="31"/>
  </cols>
  <sheetData>
    <row r="1" spans="1:11" ht="16.5" thickBot="1" x14ac:dyDescent="0.25">
      <c r="A1" s="137" t="s">
        <v>13</v>
      </c>
      <c r="B1" s="137"/>
      <c r="C1" s="137"/>
      <c r="D1" s="137"/>
      <c r="E1" s="137"/>
      <c r="F1" s="137"/>
      <c r="G1" s="137"/>
      <c r="H1" s="137"/>
      <c r="I1" s="137"/>
      <c r="J1" s="29" t="s">
        <v>14</v>
      </c>
      <c r="K1" s="39" t="s">
        <v>65</v>
      </c>
    </row>
    <row r="2" spans="1:11" ht="16.5" thickBot="1" x14ac:dyDescent="0.25">
      <c r="A2" s="32"/>
      <c r="B2" s="32"/>
      <c r="C2" s="32"/>
      <c r="D2" s="33"/>
      <c r="E2" s="33"/>
      <c r="F2" s="33"/>
      <c r="G2" s="33"/>
      <c r="H2" s="33"/>
      <c r="I2" s="33"/>
      <c r="J2" s="33"/>
      <c r="K2" s="33"/>
    </row>
    <row r="3" spans="1:11" ht="16.5" thickBot="1" x14ac:dyDescent="0.25">
      <c r="A3" s="141" t="s">
        <v>47</v>
      </c>
      <c r="B3" s="141"/>
      <c r="C3" s="141"/>
      <c r="D3" s="142" t="str">
        <f>+'Necesidades Trimestrales '!C4</f>
        <v>040 - Ministerio de Salud</v>
      </c>
      <c r="E3" s="142"/>
      <c r="F3" s="142"/>
      <c r="G3" s="142"/>
      <c r="H3" s="142"/>
      <c r="I3" s="142"/>
      <c r="J3" s="142"/>
      <c r="K3" s="142"/>
    </row>
    <row r="4" spans="1:11" ht="16.5" thickBot="1" x14ac:dyDescent="0.25">
      <c r="A4" s="140" t="s">
        <v>48</v>
      </c>
      <c r="B4" s="140"/>
      <c r="C4" s="140"/>
      <c r="D4" s="139" t="str">
        <f>+'Necesidades Trimestrales '!C5</f>
        <v>011 - Direccion Provincial de Administracion - MS</v>
      </c>
      <c r="E4" s="139"/>
      <c r="F4" s="139"/>
      <c r="G4" s="139"/>
      <c r="H4" s="139"/>
      <c r="I4" s="139"/>
      <c r="J4" s="139"/>
      <c r="K4" s="139"/>
    </row>
    <row r="5" spans="1:11" ht="16.5" thickBot="1" x14ac:dyDescent="0.25">
      <c r="A5" s="140" t="s">
        <v>26</v>
      </c>
      <c r="B5" s="140"/>
      <c r="C5" s="140"/>
      <c r="D5" s="139" t="s">
        <v>57</v>
      </c>
      <c r="E5" s="139"/>
      <c r="F5" s="139"/>
      <c r="G5" s="139"/>
      <c r="H5" s="139"/>
      <c r="I5" s="139"/>
      <c r="J5" s="139"/>
      <c r="K5" s="139"/>
    </row>
    <row r="6" spans="1:11" ht="16.5" thickBot="1" x14ac:dyDescent="0.25">
      <c r="A6" s="138" t="s">
        <v>49</v>
      </c>
      <c r="B6" s="138"/>
      <c r="C6" s="138"/>
      <c r="D6" s="139" t="s">
        <v>57</v>
      </c>
      <c r="E6" s="139"/>
      <c r="F6" s="139"/>
      <c r="G6" s="139"/>
      <c r="H6" s="139"/>
      <c r="I6" s="139"/>
      <c r="J6" s="139"/>
      <c r="K6" s="139"/>
    </row>
    <row r="7" spans="1:11" ht="16.5" thickBot="1" x14ac:dyDescent="0.25">
      <c r="A7" s="140" t="s">
        <v>15</v>
      </c>
      <c r="B7" s="140"/>
      <c r="C7" s="140"/>
      <c r="D7" s="139" t="s">
        <v>64</v>
      </c>
      <c r="E7" s="139"/>
      <c r="F7" s="139"/>
      <c r="G7" s="139"/>
      <c r="H7" s="139"/>
      <c r="I7" s="139"/>
      <c r="J7" s="139"/>
      <c r="K7" s="139"/>
    </row>
    <row r="8" spans="1:11" ht="16.5" thickBot="1" x14ac:dyDescent="0.25">
      <c r="A8" s="145" t="s">
        <v>16</v>
      </c>
      <c r="B8" s="145"/>
      <c r="C8" s="145"/>
      <c r="D8" s="146" t="s">
        <v>66</v>
      </c>
      <c r="E8" s="146"/>
      <c r="F8" s="146"/>
      <c r="G8" s="146"/>
      <c r="H8" s="146"/>
      <c r="I8" s="146"/>
      <c r="J8" s="146"/>
      <c r="K8" s="146"/>
    </row>
    <row r="9" spans="1:11" ht="16.5" thickBot="1" x14ac:dyDescent="0.25">
      <c r="A9" s="34"/>
      <c r="B9" s="34"/>
      <c r="C9" s="34"/>
      <c r="D9" s="35"/>
      <c r="E9" s="35"/>
      <c r="F9" s="35"/>
      <c r="G9" s="35"/>
      <c r="H9" s="35"/>
      <c r="I9" s="35"/>
      <c r="J9" s="35"/>
      <c r="K9" s="35"/>
    </row>
    <row r="10" spans="1:11" ht="33.75" customHeight="1" thickBot="1" x14ac:dyDescent="0.25">
      <c r="A10" s="147" t="s">
        <v>17</v>
      </c>
      <c r="B10" s="148" t="s">
        <v>18</v>
      </c>
      <c r="C10" s="148" t="s">
        <v>19</v>
      </c>
      <c r="D10" s="148"/>
      <c r="E10" s="148"/>
      <c r="F10" s="148"/>
      <c r="G10" s="148"/>
      <c r="H10" s="148" t="s">
        <v>20</v>
      </c>
      <c r="I10" s="148" t="s">
        <v>21</v>
      </c>
      <c r="J10" s="148" t="s">
        <v>22</v>
      </c>
      <c r="K10" s="148" t="s">
        <v>23</v>
      </c>
    </row>
    <row r="11" spans="1:11" ht="33.75" customHeight="1" thickBot="1" x14ac:dyDescent="0.25">
      <c r="A11" s="147"/>
      <c r="B11" s="148"/>
      <c r="C11" s="148"/>
      <c r="D11" s="148"/>
      <c r="E11" s="148"/>
      <c r="F11" s="148"/>
      <c r="G11" s="148"/>
      <c r="H11" s="148"/>
      <c r="I11" s="148"/>
      <c r="J11" s="148"/>
      <c r="K11" s="148"/>
    </row>
    <row r="12" spans="1:11" ht="41.25" customHeight="1" thickBot="1" x14ac:dyDescent="0.25">
      <c r="A12" s="75">
        <v>1</v>
      </c>
      <c r="B12" s="76" t="str">
        <f>+'Necesidades Trimestrales '!B10</f>
        <v>2.5.2-1726.10</v>
      </c>
      <c r="C12" s="144" t="str">
        <f>+'Necesidades Trimestrales '!E10</f>
        <v>SOLUCIONES P/MEDICINA; TIPO: AGUA P/IRRIGACION QUIRURGICA, PRESENTACION: SACHET X 2000 mL</v>
      </c>
      <c r="D12" s="144"/>
      <c r="E12" s="144"/>
      <c r="F12" s="144"/>
      <c r="G12" s="144"/>
      <c r="H12" s="77" t="s">
        <v>52</v>
      </c>
      <c r="I12" s="78" t="str">
        <f>+'Necesidades Trimestrales '!F10</f>
        <v>SACHET</v>
      </c>
      <c r="J12" s="79">
        <f>+'Necesidades Trimestrales '!P10</f>
        <v>560</v>
      </c>
      <c r="K12" s="80">
        <f>+'Necesidades Trimestrales '!I10</f>
        <v>0</v>
      </c>
    </row>
    <row r="13" spans="1:11" ht="41.25" customHeight="1" thickBot="1" x14ac:dyDescent="0.25">
      <c r="A13" s="75">
        <v>2</v>
      </c>
      <c r="B13" s="76" t="str">
        <f>+'Necesidades Trimestrales '!B11</f>
        <v>2.5.2-1726.520</v>
      </c>
      <c r="C13" s="144" t="str">
        <f>+'Necesidades Trimestrales '!E11</f>
        <v>SOLUCIONES P/MEDICINA; TIPO: AGUA DESTILADA, PRESENTACION: AMPOLLA DE 10 ML</v>
      </c>
      <c r="D13" s="144"/>
      <c r="E13" s="144"/>
      <c r="F13" s="144"/>
      <c r="G13" s="144"/>
      <c r="H13" s="77" t="s">
        <v>52</v>
      </c>
      <c r="I13" s="78" t="str">
        <f>+'Necesidades Trimestrales '!F11</f>
        <v>AMPOLLA</v>
      </c>
      <c r="J13" s="79">
        <f>+'Necesidades Trimestrales '!P11</f>
        <v>45</v>
      </c>
      <c r="K13" s="80">
        <f>+'Necesidades Trimestrales '!I11</f>
        <v>0</v>
      </c>
    </row>
    <row r="14" spans="1:11" ht="41.25" customHeight="1" thickBot="1" x14ac:dyDescent="0.25">
      <c r="A14" s="75">
        <v>3</v>
      </c>
      <c r="B14" s="76" t="str">
        <f>+'Necesidades Trimestrales '!B12</f>
        <v>2.5.2-1726.186</v>
      </c>
      <c r="C14" s="144" t="str">
        <f>+'Necesidades Trimestrales '!E12</f>
        <v>SOLUCIONES P/MEDICINA; TIPO: AGUA DESTILADA, PRESENTACION: ENVASE X 500 mL</v>
      </c>
      <c r="D14" s="144"/>
      <c r="E14" s="144"/>
      <c r="F14" s="144"/>
      <c r="G14" s="144"/>
      <c r="H14" s="77" t="s">
        <v>52</v>
      </c>
      <c r="I14" s="78" t="str">
        <f>+'Necesidades Trimestrales '!F12</f>
        <v>SACHET</v>
      </c>
      <c r="J14" s="79">
        <f>+'Necesidades Trimestrales '!P12</f>
        <v>212</v>
      </c>
      <c r="K14" s="80">
        <f>+'Necesidades Trimestrales '!I12</f>
        <v>0</v>
      </c>
    </row>
    <row r="15" spans="1:11" ht="41.25" customHeight="1" thickBot="1" x14ac:dyDescent="0.25">
      <c r="A15" s="75">
        <v>4</v>
      </c>
      <c r="B15" s="76" t="str">
        <f>+'Necesidades Trimestrales '!B13</f>
        <v>2.5.2-2183.7</v>
      </c>
      <c r="C15" s="144" t="str">
        <f>+'Necesidades Trimestrales '!E13</f>
        <v>EXPANSORES PLASMATICOS; PRINCIPIO ACTIVO: ALBUMINA HUMANA, CONCENTRACION: 20 %, PRESENTACION: 50ML</v>
      </c>
      <c r="D15" s="144"/>
      <c r="E15" s="144"/>
      <c r="F15" s="144"/>
      <c r="G15" s="144"/>
      <c r="H15" s="77" t="s">
        <v>52</v>
      </c>
      <c r="I15" s="78" t="str">
        <f>+'Necesidades Trimestrales '!F13</f>
        <v>SACHET</v>
      </c>
      <c r="J15" s="79">
        <f>+'Necesidades Trimestrales '!P13</f>
        <v>3600</v>
      </c>
      <c r="K15" s="80">
        <f>+'Necesidades Trimestrales '!I13</f>
        <v>0</v>
      </c>
    </row>
    <row r="16" spans="1:11" ht="41.25" customHeight="1" thickBot="1" x14ac:dyDescent="0.25">
      <c r="A16" s="75">
        <v>5</v>
      </c>
      <c r="B16" s="76" t="str">
        <f>+'Necesidades Trimestrales '!B14</f>
        <v>2.5.2-1903.103</v>
      </c>
      <c r="C16" s="144" t="str">
        <f>+'Necesidades Trimestrales '!E14</f>
        <v>RECONSTITUYENTE GENERAL; DROGA GENERICA: ALIMENTO ENTERAL PARA SONDA FORTIFICADO CON FIBRAS, FORMA FARMACEUTICA: ENVASE, PRESENTACION: 1 L, TIPO: ASOCIACION</v>
      </c>
      <c r="D16" s="144"/>
      <c r="E16" s="144"/>
      <c r="F16" s="144"/>
      <c r="G16" s="144"/>
      <c r="H16" s="77" t="s">
        <v>52</v>
      </c>
      <c r="I16" s="78" t="str">
        <f>+'Necesidades Trimestrales '!F14</f>
        <v>UNIDAD</v>
      </c>
      <c r="J16" s="79">
        <f>+'Necesidades Trimestrales '!P14</f>
        <v>2800</v>
      </c>
      <c r="K16" s="80">
        <f>+'Necesidades Trimestrales '!I14</f>
        <v>0</v>
      </c>
    </row>
    <row r="17" spans="1:11" ht="41.25" customHeight="1" thickBot="1" x14ac:dyDescent="0.25">
      <c r="A17" s="75">
        <v>6</v>
      </c>
      <c r="B17" s="76" t="str">
        <f>+'Necesidades Trimestrales '!B15</f>
        <v>2.5.2-1903.104</v>
      </c>
      <c r="C17" s="144" t="str">
        <f>+'Necesidades Trimestrales '!E15</f>
        <v>RECONSTITUYENTE GENERAL; DROGA GENERICA: ALIMENTO ENTERAL PARA SONDA BAJO INDICE GLUCEMICO, FORMA FARMACEUTICA: ENVASE, PRESENTACION: 1 L, TIPO: ASOCIACION</v>
      </c>
      <c r="D17" s="144"/>
      <c r="E17" s="144"/>
      <c r="F17" s="144"/>
      <c r="G17" s="144"/>
      <c r="H17" s="77" t="s">
        <v>52</v>
      </c>
      <c r="I17" s="78" t="str">
        <f>+'Necesidades Trimestrales '!F15</f>
        <v xml:space="preserve">UNIDAD </v>
      </c>
      <c r="J17" s="79">
        <f>+'Necesidades Trimestrales '!P15</f>
        <v>3200</v>
      </c>
      <c r="K17" s="80">
        <f>+'Necesidades Trimestrales '!I15</f>
        <v>0</v>
      </c>
    </row>
    <row r="18" spans="1:11" ht="41.25" customHeight="1" thickBot="1" x14ac:dyDescent="0.25">
      <c r="A18" s="75">
        <v>7</v>
      </c>
      <c r="B18" s="76" t="str">
        <f>+'Necesidades Trimestrales '!B16</f>
        <v>2.5.2-1903.105</v>
      </c>
      <c r="C18" s="144" t="str">
        <f>+'Necesidades Trimestrales '!E16</f>
        <v>RECONSTITUYENTE GENERAL; TIPO: ASOCIACION, DROGA GENERICA: ALIMENTO ENTERAL PARA SONDA BAJO INDICE GLUCEMICO, FORMA FARMACEUTICA: SOLUCION, PRESENTACION: ENVASE X 500 CM3</v>
      </c>
      <c r="D18" s="144"/>
      <c r="E18" s="144"/>
      <c r="F18" s="144"/>
      <c r="G18" s="144"/>
      <c r="H18" s="77" t="s">
        <v>52</v>
      </c>
      <c r="I18" s="78" t="str">
        <f>+'Necesidades Trimestrales '!F16</f>
        <v xml:space="preserve">UNIDAD  </v>
      </c>
      <c r="J18" s="79">
        <f>+'Necesidades Trimestrales '!P16</f>
        <v>940</v>
      </c>
      <c r="K18" s="80">
        <f>+'Necesidades Trimestrales '!I16</f>
        <v>0</v>
      </c>
    </row>
    <row r="19" spans="1:11" ht="41.25" customHeight="1" thickBot="1" x14ac:dyDescent="0.25">
      <c r="A19" s="75">
        <v>8</v>
      </c>
      <c r="B19" s="76" t="str">
        <f>+'Necesidades Trimestrales '!B17</f>
        <v>2.1.1-4227.56</v>
      </c>
      <c r="C19" s="144" t="str">
        <f>+'Necesidades Trimestrales '!E17</f>
        <v>SUPLEMENTOS DIETARIOS; TIPO: ASOCIACION, DROGA GENERICA: S. PARENTERAL ADULTO 1501-2000 ML, PRESENTACION: UNIDAD</v>
      </c>
      <c r="D19" s="144"/>
      <c r="E19" s="144"/>
      <c r="F19" s="144"/>
      <c r="G19" s="144"/>
      <c r="H19" s="77" t="s">
        <v>52</v>
      </c>
      <c r="I19" s="78" t="str">
        <f>+'Necesidades Trimestrales '!F17</f>
        <v xml:space="preserve">UNIDAD  </v>
      </c>
      <c r="J19" s="79">
        <f>+'Necesidades Trimestrales '!P17</f>
        <v>14800</v>
      </c>
      <c r="K19" s="80">
        <f>+'Necesidades Trimestrales '!I17</f>
        <v>0</v>
      </c>
    </row>
    <row r="20" spans="1:11" ht="41.25" customHeight="1" thickBot="1" x14ac:dyDescent="0.25">
      <c r="A20" s="75">
        <v>9</v>
      </c>
      <c r="B20" s="76" t="str">
        <f>+'Necesidades Trimestrales '!B18</f>
        <v>2.1.1-4227.19</v>
      </c>
      <c r="C20" s="144" t="str">
        <f>+'Necesidades Trimestrales '!E18</f>
        <v>SUPLEMENTOS DIETARIOS; TIPO: ASOCIACION, DROGA GENERICA: S. PARENTERAL NEONATAL 0-500 ML, PRESENTACION: UNIDAD, ACCESORIO: CON FILTRO</v>
      </c>
      <c r="D20" s="144"/>
      <c r="E20" s="144"/>
      <c r="F20" s="144"/>
      <c r="G20" s="144"/>
      <c r="H20" s="77" t="s">
        <v>52</v>
      </c>
      <c r="I20" s="78" t="str">
        <f>+'Necesidades Trimestrales '!F18</f>
        <v>UNIDAD</v>
      </c>
      <c r="J20" s="79">
        <f>+'Necesidades Trimestrales '!P18</f>
        <v>9800</v>
      </c>
      <c r="K20" s="80">
        <f>+'Necesidades Trimestrales '!I18</f>
        <v>0</v>
      </c>
    </row>
    <row r="21" spans="1:11" ht="41.25" customHeight="1" thickBot="1" x14ac:dyDescent="0.25">
      <c r="A21" s="75">
        <v>10</v>
      </c>
      <c r="B21" s="76" t="str">
        <f>+'Necesidades Trimestrales '!B19</f>
        <v>2.5.2-1726.191</v>
      </c>
      <c r="C21" s="144" t="str">
        <f>+'Necesidades Trimestrales '!E19</f>
        <v>SOLUCIONES P/MEDICINA; TIPO: AMINOACIDOS 10%, PRESENTACION: ENVASE X 500 ML</v>
      </c>
      <c r="D21" s="144"/>
      <c r="E21" s="144"/>
      <c r="F21" s="144"/>
      <c r="G21" s="144"/>
      <c r="H21" s="77" t="s">
        <v>52</v>
      </c>
      <c r="I21" s="78" t="str">
        <f>+'Necesidades Trimestrales '!F19</f>
        <v>FRASCO</v>
      </c>
      <c r="J21" s="79">
        <f>+'Necesidades Trimestrales '!P19</f>
        <v>8840</v>
      </c>
      <c r="K21" s="80">
        <f>+'Necesidades Trimestrales '!I19</f>
        <v>0</v>
      </c>
    </row>
    <row r="22" spans="1:11" ht="41.25" customHeight="1" thickBot="1" x14ac:dyDescent="0.25">
      <c r="A22" s="75">
        <v>11</v>
      </c>
      <c r="B22" s="76" t="str">
        <f>+'Necesidades Trimestrales '!B20</f>
        <v>2.5.2-1726.9</v>
      </c>
      <c r="C22" s="144" t="str">
        <f>+'Necesidades Trimestrales '!E20</f>
        <v>SOLUCIONES P/MEDICINA; TIPO: BICARBONATO 1 MOLAR, PRESENTACION: SACHET DE 100 mL</v>
      </c>
      <c r="D22" s="144"/>
      <c r="E22" s="144"/>
      <c r="F22" s="144"/>
      <c r="G22" s="144"/>
      <c r="H22" s="77" t="s">
        <v>52</v>
      </c>
      <c r="I22" s="78" t="str">
        <f>+'Necesidades Trimestrales '!F20</f>
        <v>SACHET</v>
      </c>
      <c r="J22" s="79">
        <f>+'Necesidades Trimestrales '!P20</f>
        <v>388</v>
      </c>
      <c r="K22" s="80">
        <f>+'Necesidades Trimestrales '!I20</f>
        <v>0</v>
      </c>
    </row>
    <row r="23" spans="1:11" ht="41.25" customHeight="1" thickBot="1" x14ac:dyDescent="0.25">
      <c r="A23" s="75">
        <v>12</v>
      </c>
      <c r="B23" s="76" t="str">
        <f>+'Necesidades Trimestrales '!B21</f>
        <v>2.5.2-1726.305</v>
      </c>
      <c r="C23" s="144" t="str">
        <f>+'Necesidades Trimestrales '!E21</f>
        <v>SOLUCIONES P/MEDICINA; TIPO: CLORURO DE POTASIO 15 MEQ, PRESENTACION: AMPOLLA DE 5 mL</v>
      </c>
      <c r="D23" s="144"/>
      <c r="E23" s="144"/>
      <c r="F23" s="144"/>
      <c r="G23" s="144"/>
      <c r="H23" s="77" t="s">
        <v>52</v>
      </c>
      <c r="I23" s="78" t="str">
        <f>+'Necesidades Trimestrales '!F21</f>
        <v>AMPOLLA</v>
      </c>
      <c r="J23" s="79">
        <f>+'Necesidades Trimestrales '!P21</f>
        <v>45</v>
      </c>
      <c r="K23" s="80">
        <f>+'Necesidades Trimestrales '!I21</f>
        <v>0</v>
      </c>
    </row>
    <row r="24" spans="1:11" ht="41.25" customHeight="1" thickBot="1" x14ac:dyDescent="0.25">
      <c r="A24" s="75">
        <v>13</v>
      </c>
      <c r="B24" s="76" t="str">
        <f>+'Necesidades Trimestrales '!B22</f>
        <v>2.5.2-1726.519</v>
      </c>
      <c r="C24" s="144" t="str">
        <f>+'Necesidades Trimestrales '!E22</f>
        <v>SOLUCIONES P/MEDICINA; PRESENTACION: AMPOLLA X 20 ML, TIPO: CLORURO DE SODIO MOLAR AL 20 %</v>
      </c>
      <c r="D24" s="144"/>
      <c r="E24" s="144"/>
      <c r="F24" s="144"/>
      <c r="G24" s="144"/>
      <c r="H24" s="77" t="s">
        <v>52</v>
      </c>
      <c r="I24" s="78" t="str">
        <f>+'Necesidades Trimestrales '!F22</f>
        <v>AMPOLLA</v>
      </c>
      <c r="J24" s="79">
        <f>+'Necesidades Trimestrales '!P22</f>
        <v>77.8</v>
      </c>
      <c r="K24" s="80">
        <f>+'Necesidades Trimestrales '!I22</f>
        <v>0</v>
      </c>
    </row>
    <row r="25" spans="1:11" ht="41.25" customHeight="1" thickBot="1" x14ac:dyDescent="0.25">
      <c r="A25" s="75">
        <v>14</v>
      </c>
      <c r="B25" s="76" t="str">
        <f>+'Necesidades Trimestrales '!B23</f>
        <v>2.5.2-1726.382</v>
      </c>
      <c r="C25" s="144" t="str">
        <f>+'Necesidades Trimestrales '!E23</f>
        <v>SOLUCIONES P/MEDICINA; TIPO: CLORURO DE POTASIO MOLAR, PRESENTACION: ENVASE X 100 mL</v>
      </c>
      <c r="D25" s="144"/>
      <c r="E25" s="144"/>
      <c r="F25" s="144"/>
      <c r="G25" s="144"/>
      <c r="H25" s="77" t="s">
        <v>52</v>
      </c>
      <c r="I25" s="78" t="str">
        <f>+'Necesidades Trimestrales '!F23</f>
        <v>SACHET</v>
      </c>
      <c r="J25" s="79">
        <f>+'Necesidades Trimestrales '!P23</f>
        <v>320</v>
      </c>
      <c r="K25" s="80">
        <f>+'Necesidades Trimestrales '!I23</f>
        <v>0</v>
      </c>
    </row>
    <row r="26" spans="1:11" ht="41.25" customHeight="1" thickBot="1" x14ac:dyDescent="0.25">
      <c r="A26" s="75">
        <v>15</v>
      </c>
      <c r="B26" s="76" t="str">
        <f>+'Necesidades Trimestrales '!B24</f>
        <v>2.5.2-2689.7</v>
      </c>
      <c r="C26" s="144" t="str">
        <f>+'Necesidades Trimestrales '!E24</f>
        <v>NORMALIZADORES DE CALCEMIA; TIPO: MONODROGA, DROGA GENERICA: GLUCONATO DE CALCIO 10 %, FORMA FARMACEUTICA: AMPOLLA, PRESENTACION: ENVASE X 10 mL</v>
      </c>
      <c r="D26" s="144"/>
      <c r="E26" s="144"/>
      <c r="F26" s="144"/>
      <c r="G26" s="144"/>
      <c r="H26" s="77" t="s">
        <v>52</v>
      </c>
      <c r="I26" s="78" t="str">
        <f>+'Necesidades Trimestrales '!F24</f>
        <v>AMPOLLA</v>
      </c>
      <c r="J26" s="79">
        <f>+'Necesidades Trimestrales '!P24</f>
        <v>88.5</v>
      </c>
      <c r="K26" s="80">
        <f>+'Necesidades Trimestrales '!I24</f>
        <v>0</v>
      </c>
    </row>
    <row r="27" spans="1:11" ht="41.25" customHeight="1" thickBot="1" x14ac:dyDescent="0.25">
      <c r="A27" s="75">
        <v>16</v>
      </c>
      <c r="B27" s="76" t="str">
        <f>+'Necesidades Trimestrales '!B25</f>
        <v>2.5.2-1726.460</v>
      </c>
      <c r="C27" s="144" t="str">
        <f>+'Necesidades Trimestrales '!E25</f>
        <v>SOLUCIONES P/MEDICINA; TIPO: HEMODIALISIS ACIDA A, PRESENTACION: ENVASE X 10 L</v>
      </c>
      <c r="D27" s="144"/>
      <c r="E27" s="144"/>
      <c r="F27" s="144"/>
      <c r="G27" s="144"/>
      <c r="H27" s="77" t="s">
        <v>52</v>
      </c>
      <c r="I27" s="78" t="str">
        <f>+'Necesidades Trimestrales '!F25</f>
        <v>BIDON</v>
      </c>
      <c r="J27" s="79">
        <f>+'Necesidades Trimestrales '!P25</f>
        <v>2000</v>
      </c>
      <c r="K27" s="80">
        <f>+'Necesidades Trimestrales '!I25</f>
        <v>0</v>
      </c>
    </row>
    <row r="28" spans="1:11" ht="41.25" customHeight="1" thickBot="1" x14ac:dyDescent="0.25">
      <c r="A28" s="75">
        <v>17</v>
      </c>
      <c r="B28" s="76" t="str">
        <f>+'Necesidades Trimestrales '!B26</f>
        <v>2.5.2-1726.449</v>
      </c>
      <c r="C28" s="144" t="str">
        <f>+'Necesidades Trimestrales '!E26</f>
        <v>SOLUCIONES P/MEDICINA; TIPO: HEMODIALISIS BASICO B, PRESENTACION: ENVASE X 10 L</v>
      </c>
      <c r="D28" s="144"/>
      <c r="E28" s="144"/>
      <c r="F28" s="144"/>
      <c r="G28" s="144"/>
      <c r="H28" s="77" t="s">
        <v>52</v>
      </c>
      <c r="I28" s="78" t="str">
        <f>+'Necesidades Trimestrales '!F26</f>
        <v>BIDON</v>
      </c>
      <c r="J28" s="79">
        <f>+'Necesidades Trimestrales '!P26</f>
        <v>1900</v>
      </c>
      <c r="K28" s="80">
        <f>+'Necesidades Trimestrales '!I26</f>
        <v>0</v>
      </c>
    </row>
    <row r="29" spans="1:11" ht="41.25" customHeight="1" thickBot="1" x14ac:dyDescent="0.25">
      <c r="A29" s="75">
        <v>18</v>
      </c>
      <c r="B29" s="76" t="str">
        <f>+'Necesidades Trimestrales '!B27</f>
        <v>2.5.2-1726.378</v>
      </c>
      <c r="C29" s="144" t="str">
        <f>+'Necesidades Trimestrales '!E27</f>
        <v>SOLUCIONES P/MEDICINA; TIPO: DEXTROSA AL 50 %, PRESENTACION: ENVASE X 500 mL</v>
      </c>
      <c r="D29" s="144"/>
      <c r="E29" s="144"/>
      <c r="F29" s="144"/>
      <c r="G29" s="144"/>
      <c r="H29" s="77" t="s">
        <v>52</v>
      </c>
      <c r="I29" s="78" t="str">
        <f>+'Necesidades Trimestrales '!F27</f>
        <v>SACHET</v>
      </c>
      <c r="J29" s="79">
        <f>+'Necesidades Trimestrales '!P27</f>
        <v>303</v>
      </c>
      <c r="K29" s="80">
        <f>+'Necesidades Trimestrales '!I27</f>
        <v>0</v>
      </c>
    </row>
    <row r="30" spans="1:11" ht="41.25" customHeight="1" thickBot="1" x14ac:dyDescent="0.25">
      <c r="A30" s="75">
        <v>19</v>
      </c>
      <c r="B30" s="76" t="str">
        <f>+'Necesidades Trimestrales '!B28</f>
        <v>2.5.2-1726.464</v>
      </c>
      <c r="C30" s="144" t="str">
        <f>+'Necesidades Trimestrales '!E28</f>
        <v>SOLUCIONES P/MEDICINA; TIPO: DEXTROSA AL 10 %, PRESENTACION: ENVASE X 250 mL</v>
      </c>
      <c r="D30" s="144"/>
      <c r="E30" s="144"/>
      <c r="F30" s="144"/>
      <c r="G30" s="144"/>
      <c r="H30" s="77" t="s">
        <v>52</v>
      </c>
      <c r="I30" s="78" t="str">
        <f>+'Necesidades Trimestrales '!F28</f>
        <v>SACHET</v>
      </c>
      <c r="J30" s="79">
        <f>+'Necesidades Trimestrales '!P28</f>
        <v>145</v>
      </c>
      <c r="K30" s="80">
        <f>+'Necesidades Trimestrales '!I28</f>
        <v>0</v>
      </c>
    </row>
    <row r="31" spans="1:11" ht="41.25" customHeight="1" thickBot="1" x14ac:dyDescent="0.25">
      <c r="A31" s="75">
        <v>20</v>
      </c>
      <c r="B31" s="76" t="str">
        <f>+'Necesidades Trimestrales '!B29</f>
        <v>2.5.2-1726.14</v>
      </c>
      <c r="C31" s="144" t="str">
        <f>+'Necesidades Trimestrales '!E29</f>
        <v>SOLUCIONES P/MEDICINA; PRESENTACION: SACHET X 500 mL, TIPO: DEXTROSA AL 10 %</v>
      </c>
      <c r="D31" s="144"/>
      <c r="E31" s="144"/>
      <c r="F31" s="144"/>
      <c r="G31" s="144"/>
      <c r="H31" s="77" t="s">
        <v>52</v>
      </c>
      <c r="I31" s="78" t="str">
        <f>+'Necesidades Trimestrales '!F29</f>
        <v>SACHET</v>
      </c>
      <c r="J31" s="79">
        <f>+'Necesidades Trimestrales '!P29</f>
        <v>164.23</v>
      </c>
      <c r="K31" s="80">
        <f>+'Necesidades Trimestrales '!I29</f>
        <v>0</v>
      </c>
    </row>
    <row r="32" spans="1:11" ht="41.25" customHeight="1" thickBot="1" x14ac:dyDescent="0.25">
      <c r="A32" s="75">
        <v>21</v>
      </c>
      <c r="B32" s="76" t="str">
        <f>+'Necesidades Trimestrales '!B30</f>
        <v>2.5.2-1726.377</v>
      </c>
      <c r="C32" s="144" t="str">
        <f>+'Necesidades Trimestrales '!E30</f>
        <v>SOLUCIONES P/MEDICINA; TIPO: DEXTROSA AL 25 %, PRESENTACION: ENVASE X 500 mL</v>
      </c>
      <c r="D32" s="144"/>
      <c r="E32" s="144"/>
      <c r="F32" s="144"/>
      <c r="G32" s="144"/>
      <c r="H32" s="77" t="s">
        <v>52</v>
      </c>
      <c r="I32" s="78" t="str">
        <f>+'Necesidades Trimestrales '!F30</f>
        <v>SACHET</v>
      </c>
      <c r="J32" s="79">
        <f>+'Necesidades Trimestrales '!P30</f>
        <v>275</v>
      </c>
      <c r="K32" s="80">
        <f>+'Necesidades Trimestrales '!I30</f>
        <v>0</v>
      </c>
    </row>
    <row r="33" spans="1:11" ht="41.25" customHeight="1" thickBot="1" x14ac:dyDescent="0.25">
      <c r="A33" s="75">
        <v>22</v>
      </c>
      <c r="B33" s="76" t="str">
        <f>+'Necesidades Trimestrales '!B31</f>
        <v>2.5.2-1726.24</v>
      </c>
      <c r="C33" s="144" t="str">
        <f>+'Necesidades Trimestrales '!E31</f>
        <v>SOLUCIONES P/MEDICINA; TIPO: DEXTROSA AL 5%, PRESENTACION: ENVASE X 500 mL</v>
      </c>
      <c r="D33" s="144"/>
      <c r="E33" s="144"/>
      <c r="F33" s="144"/>
      <c r="G33" s="144"/>
      <c r="H33" s="77" t="s">
        <v>52</v>
      </c>
      <c r="I33" s="78" t="str">
        <f>+'Necesidades Trimestrales '!F31</f>
        <v>SACHET</v>
      </c>
      <c r="J33" s="79">
        <f>+'Necesidades Trimestrales '!P31</f>
        <v>228.37</v>
      </c>
      <c r="K33" s="80">
        <f>+'Necesidades Trimestrales '!I31</f>
        <v>0</v>
      </c>
    </row>
    <row r="34" spans="1:11" ht="41.25" customHeight="1" thickBot="1" x14ac:dyDescent="0.25">
      <c r="A34" s="75">
        <v>23</v>
      </c>
      <c r="B34" s="76" t="str">
        <f>+'Necesidades Trimestrales '!B32</f>
        <v>2.5.2-1726.376</v>
      </c>
      <c r="C34" s="144" t="str">
        <f>+'Necesidades Trimestrales '!E32</f>
        <v>SOLUCIONES P/MEDICINA; TIPO: DEXTROSA AL 5%, PRESENTACION: ENVASE X 100 mL</v>
      </c>
      <c r="D34" s="144"/>
      <c r="E34" s="144"/>
      <c r="F34" s="144"/>
      <c r="G34" s="144"/>
      <c r="H34" s="77" t="s">
        <v>52</v>
      </c>
      <c r="I34" s="78" t="str">
        <f>+'Necesidades Trimestrales '!F32</f>
        <v>SACHET</v>
      </c>
      <c r="J34" s="79">
        <f>+'Necesidades Trimestrales '!P32</f>
        <v>187.2</v>
      </c>
      <c r="K34" s="80">
        <f>+'Necesidades Trimestrales '!I32</f>
        <v>0</v>
      </c>
    </row>
    <row r="35" spans="1:11" ht="41.25" customHeight="1" thickBot="1" x14ac:dyDescent="0.25">
      <c r="A35" s="75">
        <v>24</v>
      </c>
      <c r="B35" s="76" t="str">
        <f>+'Necesidades Trimestrales '!B33</f>
        <v>2.5.2-1726.17</v>
      </c>
      <c r="C35" s="144" t="str">
        <f>+'Necesidades Trimestrales '!E33</f>
        <v>SOLUCIONES P/MEDICINA; TIPO: FISIOLOGICA CLORURO DE SODIO, PRESENTACION: 500 CM3</v>
      </c>
      <c r="D35" s="144"/>
      <c r="E35" s="144"/>
      <c r="F35" s="144"/>
      <c r="G35" s="144"/>
      <c r="H35" s="77" t="s">
        <v>52</v>
      </c>
      <c r="I35" s="78" t="str">
        <f>+'Necesidades Trimestrales '!F33</f>
        <v>SACHET</v>
      </c>
      <c r="J35" s="79">
        <f>+'Necesidades Trimestrales '!P33</f>
        <v>198.5</v>
      </c>
      <c r="K35" s="80">
        <f>+'Necesidades Trimestrales '!I33</f>
        <v>100</v>
      </c>
    </row>
    <row r="36" spans="1:11" ht="41.25" customHeight="1" thickBot="1" x14ac:dyDescent="0.25">
      <c r="A36" s="75">
        <v>25</v>
      </c>
      <c r="B36" s="76" t="str">
        <f>+'Necesidades Trimestrales '!B34</f>
        <v>2.5.2-1726.369</v>
      </c>
      <c r="C36" s="144" t="str">
        <f>+'Necesidades Trimestrales '!E34</f>
        <v>SOLUCIONES P/MEDICINA; TIPO: FISIOLOGICA, PRESENTACION: ENVASE X 100 mL</v>
      </c>
      <c r="D36" s="144"/>
      <c r="E36" s="144"/>
      <c r="F36" s="144"/>
      <c r="G36" s="144"/>
      <c r="H36" s="77" t="s">
        <v>52</v>
      </c>
      <c r="I36" s="78" t="str">
        <f>+'Necesidades Trimestrales '!F34</f>
        <v>SACHET</v>
      </c>
      <c r="J36" s="79">
        <f>+'Necesidades Trimestrales '!P34</f>
        <v>186</v>
      </c>
      <c r="K36" s="80">
        <f>+'Necesidades Trimestrales '!I34</f>
        <v>0</v>
      </c>
    </row>
    <row r="37" spans="1:11" ht="41.25" customHeight="1" thickBot="1" x14ac:dyDescent="0.25">
      <c r="A37" s="75">
        <v>26</v>
      </c>
      <c r="B37" s="76" t="str">
        <f>+'Necesidades Trimestrales '!B35</f>
        <v>2.5.2-1726.419</v>
      </c>
      <c r="C37" s="144" t="str">
        <f>+'Necesidades Trimestrales '!E35</f>
        <v>SOLUCIONES P/MEDICINA; TIPO: FISIOLOGICA, PRESENTACION: ENVASE X 10 mL</v>
      </c>
      <c r="D37" s="144"/>
      <c r="E37" s="144"/>
      <c r="F37" s="144"/>
      <c r="G37" s="144"/>
      <c r="H37" s="77" t="s">
        <v>52</v>
      </c>
      <c r="I37" s="78" t="str">
        <f>+'Necesidades Trimestrales '!F35</f>
        <v>AMPOLLA</v>
      </c>
      <c r="J37" s="79">
        <f>+'Necesidades Trimestrales '!P35</f>
        <v>46</v>
      </c>
      <c r="K37" s="80">
        <f>+'Necesidades Trimestrales '!I35</f>
        <v>0</v>
      </c>
    </row>
    <row r="38" spans="1:11" ht="41.25" customHeight="1" thickBot="1" x14ac:dyDescent="0.25">
      <c r="A38" s="75">
        <v>27</v>
      </c>
      <c r="B38" s="76" t="str">
        <f>+'Necesidades Trimestrales '!B36</f>
        <v>2.5.2-1726.393</v>
      </c>
      <c r="C38" s="144" t="str">
        <f>+'Necesidades Trimestrales '!E36</f>
        <v>SOLUCIONES P/MEDICINA; TIPO: GLUCOSADA HIPERTONICA AL 25%, PRESENTACION: ENVASE X 10 mL</v>
      </c>
      <c r="D38" s="144"/>
      <c r="E38" s="144"/>
      <c r="F38" s="144"/>
      <c r="G38" s="144"/>
      <c r="H38" s="77" t="s">
        <v>52</v>
      </c>
      <c r="I38" s="78" t="str">
        <f>+'Necesidades Trimestrales '!F36</f>
        <v>AMPOLLA</v>
      </c>
      <c r="J38" s="79">
        <f>+'Necesidades Trimestrales '!P36</f>
        <v>70.25</v>
      </c>
      <c r="K38" s="80">
        <f>+'Necesidades Trimestrales '!I36</f>
        <v>0</v>
      </c>
    </row>
    <row r="39" spans="1:11" ht="41.25" customHeight="1" thickBot="1" x14ac:dyDescent="0.25">
      <c r="A39" s="75">
        <v>28</v>
      </c>
      <c r="B39" s="76" t="str">
        <f>+'Necesidades Trimestrales '!B37</f>
        <v>2.5.2-1726.381</v>
      </c>
      <c r="C39" s="144" t="str">
        <f>+'Necesidades Trimestrales '!E37</f>
        <v>SOLUCIONES P/MEDICINA; TIPO: MANITOL AL 15%, PRESENTACION: ENVASE X 500 mL</v>
      </c>
      <c r="D39" s="144"/>
      <c r="E39" s="144"/>
      <c r="F39" s="144"/>
      <c r="G39" s="144"/>
      <c r="H39" s="77" t="s">
        <v>52</v>
      </c>
      <c r="I39" s="78" t="str">
        <f>+'Necesidades Trimestrales '!F37</f>
        <v>SACHET</v>
      </c>
      <c r="J39" s="79">
        <f>+'Necesidades Trimestrales '!P37</f>
        <v>517</v>
      </c>
      <c r="K39" s="80">
        <f>+'Necesidades Trimestrales '!I37</f>
        <v>0</v>
      </c>
    </row>
    <row r="40" spans="1:11" ht="41.25" customHeight="1" thickBot="1" x14ac:dyDescent="0.25">
      <c r="A40" s="75">
        <v>29</v>
      </c>
      <c r="B40" s="76" t="str">
        <f>+'Necesidades Trimestrales '!B38</f>
        <v>2.5.2-1726.521</v>
      </c>
      <c r="C40" s="144" t="str">
        <f>+'Necesidades Trimestrales '!E38</f>
        <v>SOLUCIONES P/MEDICINA; TIPO: DIALISIS PERITONEAL DEXTROSA AL 1,5 %, PRESENTACION: ENVASE X 2 L</v>
      </c>
      <c r="D40" s="144"/>
      <c r="E40" s="144"/>
      <c r="F40" s="144"/>
      <c r="G40" s="144"/>
      <c r="H40" s="77" t="s">
        <v>52</v>
      </c>
      <c r="I40" s="78" t="str">
        <f>+'Necesidades Trimestrales '!F38</f>
        <v>UNIDAD</v>
      </c>
      <c r="J40" s="79">
        <f>+'Necesidades Trimestrales '!P38</f>
        <v>2900</v>
      </c>
      <c r="K40" s="80">
        <f>+'Necesidades Trimestrales '!I38</f>
        <v>0</v>
      </c>
    </row>
    <row r="41" spans="1:11" ht="41.25" customHeight="1" thickBot="1" x14ac:dyDescent="0.25">
      <c r="A41" s="75">
        <v>30</v>
      </c>
      <c r="B41" s="76" t="str">
        <f>+'Necesidades Trimestrales '!B39</f>
        <v>2.5.2-1726.522</v>
      </c>
      <c r="C41" s="144" t="str">
        <f>+'Necesidades Trimestrales '!E39</f>
        <v>SOLUCIONES P/MEDICINA; TIPO: DIALISIS PERITONEAL DEXTROSA AL 2,5 %, PRESENTACION: ENVASE X 2 L</v>
      </c>
      <c r="D41" s="144"/>
      <c r="E41" s="144"/>
      <c r="F41" s="144"/>
      <c r="G41" s="144"/>
      <c r="H41" s="77" t="s">
        <v>52</v>
      </c>
      <c r="I41" s="78" t="str">
        <f>+'Necesidades Trimestrales '!F39</f>
        <v>UNIDAD</v>
      </c>
      <c r="J41" s="79">
        <f>+'Necesidades Trimestrales '!P39</f>
        <v>2900</v>
      </c>
      <c r="K41" s="80">
        <f>+'Necesidades Trimestrales '!I39</f>
        <v>0</v>
      </c>
    </row>
    <row r="42" spans="1:11" ht="41.25" customHeight="1" thickBot="1" x14ac:dyDescent="0.25">
      <c r="A42" s="75">
        <v>31</v>
      </c>
      <c r="B42" s="76" t="str">
        <f>+'Necesidades Trimestrales '!B40</f>
        <v>2.5.2-1726.182</v>
      </c>
      <c r="C42" s="144" t="str">
        <f>+'Necesidades Trimestrales '!E40</f>
        <v>SOLUCIONES P/MEDICINA; TIPO: RINGER LACTATO, PRESENTACION: ENVASE X 500 mL</v>
      </c>
      <c r="D42" s="144"/>
      <c r="E42" s="144"/>
      <c r="F42" s="144"/>
      <c r="G42" s="144"/>
      <c r="H42" s="77" t="s">
        <v>52</v>
      </c>
      <c r="I42" s="78" t="str">
        <f>+'Necesidades Trimestrales '!F40</f>
        <v>SACHET</v>
      </c>
      <c r="J42" s="79">
        <f>+'Necesidades Trimestrales '!P40</f>
        <v>275.2</v>
      </c>
      <c r="K42" s="80">
        <f>+'Necesidades Trimestrales '!I40</f>
        <v>0</v>
      </c>
    </row>
    <row r="43" spans="1:11" ht="41.25" customHeight="1" thickBot="1" x14ac:dyDescent="0.25">
      <c r="A43" s="75">
        <v>32</v>
      </c>
      <c r="B43" s="76" t="str">
        <f>+'Necesidades Trimestrales '!B41</f>
        <v>2.5.2-1726.371</v>
      </c>
      <c r="C43" s="144" t="str">
        <f>+'Necesidades Trimestrales '!E41</f>
        <v>SOLUCIONES P/MEDICINA; TIPO: SULFATO DE MAGNESIO AL 25%, PRESENTACION: ENVASE X 5 mL</v>
      </c>
      <c r="D43" s="144"/>
      <c r="E43" s="144"/>
      <c r="F43" s="144"/>
      <c r="G43" s="144"/>
      <c r="H43" s="77" t="s">
        <v>52</v>
      </c>
      <c r="I43" s="78" t="str">
        <f>+'Necesidades Trimestrales '!F41</f>
        <v>AMPOLLA</v>
      </c>
      <c r="J43" s="79">
        <f>+'Necesidades Trimestrales '!P41</f>
        <v>42.5</v>
      </c>
      <c r="K43" s="80">
        <f>+'Necesidades Trimestrales '!I41</f>
        <v>0</v>
      </c>
    </row>
    <row r="44" spans="1:11" ht="41.25" customHeight="1" thickBot="1" x14ac:dyDescent="0.25">
      <c r="A44" s="75">
        <v>33</v>
      </c>
      <c r="B44" s="76" t="str">
        <f>+'Necesidades Trimestrales '!B42</f>
        <v>2.5.2-1836.10</v>
      </c>
      <c r="C44" s="144" t="str">
        <f>+'Necesidades Trimestrales '!E42</f>
        <v>HIPERTENSORES; TIPO: MONODROGA, DROGA GENERICA: ZINC SULFATO, FORMA FARMACEUTICA: AMPOLLAS, PRESENTACION: 5 mL</v>
      </c>
      <c r="D44" s="144"/>
      <c r="E44" s="144"/>
      <c r="F44" s="144"/>
      <c r="G44" s="144"/>
      <c r="H44" s="77" t="s">
        <v>52</v>
      </c>
      <c r="I44" s="78" t="str">
        <f>+'Necesidades Trimestrales '!F42</f>
        <v>AMPOLLA</v>
      </c>
      <c r="J44" s="79">
        <f>+'Necesidades Trimestrales '!P42</f>
        <v>3500</v>
      </c>
      <c r="K44" s="80">
        <f>+'Necesidades Trimestrales '!I42</f>
        <v>0</v>
      </c>
    </row>
    <row r="45" spans="1:11" ht="41.25" customHeight="1" thickBot="1" x14ac:dyDescent="0.25">
      <c r="A45" s="75">
        <v>34</v>
      </c>
      <c r="B45" s="76" t="str">
        <f>+'Necesidades Trimestrales '!B43</f>
        <v>2.1.1-4227.55</v>
      </c>
      <c r="C45" s="144" t="str">
        <f>+'Necesidades Trimestrales '!E43</f>
        <v>SUPLEMENTOS DIETARIOS; TIPO: MONODROGA, DROGA GENERICA: TRIGLICER CADENA MEDIA, PRESENTACION: ENVASE X 500 CM3</v>
      </c>
      <c r="D45" s="144"/>
      <c r="E45" s="144"/>
      <c r="F45" s="144"/>
      <c r="G45" s="144"/>
      <c r="H45" s="77" t="s">
        <v>52</v>
      </c>
      <c r="I45" s="78" t="str">
        <f>+'Necesidades Trimestrales '!F43</f>
        <v>BOTELLA</v>
      </c>
      <c r="J45" s="79">
        <f>+'Necesidades Trimestrales '!P43</f>
        <v>12110</v>
      </c>
      <c r="K45" s="80">
        <f>+'Necesidades Trimestrales '!I43</f>
        <v>0</v>
      </c>
    </row>
    <row r="46" spans="1:11" ht="16.5" thickBot="1" x14ac:dyDescent="0.25">
      <c r="A46" s="142" t="s">
        <v>58</v>
      </c>
      <c r="B46" s="142"/>
      <c r="C46" s="142"/>
      <c r="D46" s="142"/>
      <c r="E46" s="142"/>
      <c r="F46" s="142"/>
      <c r="G46" s="142"/>
      <c r="H46" s="142"/>
      <c r="I46" s="142"/>
      <c r="J46" s="143">
        <f>SUMPRODUCT(J12:J45,K12:K45)</f>
        <v>19850</v>
      </c>
      <c r="K46" s="143"/>
    </row>
  </sheetData>
  <mergeCells count="56">
    <mergeCell ref="C41:G41"/>
    <mergeCell ref="C42:G42"/>
    <mergeCell ref="C43:G43"/>
    <mergeCell ref="C44:G44"/>
    <mergeCell ref="C45:G45"/>
    <mergeCell ref="C36:G36"/>
    <mergeCell ref="C37:G37"/>
    <mergeCell ref="C38:G38"/>
    <mergeCell ref="C39:G39"/>
    <mergeCell ref="C40:G40"/>
    <mergeCell ref="C31:G31"/>
    <mergeCell ref="C32:G32"/>
    <mergeCell ref="C33:G33"/>
    <mergeCell ref="C34:G34"/>
    <mergeCell ref="C35:G35"/>
    <mergeCell ref="C26:G26"/>
    <mergeCell ref="C27:G27"/>
    <mergeCell ref="C28:G28"/>
    <mergeCell ref="C29:G29"/>
    <mergeCell ref="C30:G30"/>
    <mergeCell ref="C19:G19"/>
    <mergeCell ref="C20:G20"/>
    <mergeCell ref="C21:G21"/>
    <mergeCell ref="C22:G22"/>
    <mergeCell ref="C13:G13"/>
    <mergeCell ref="C14:G14"/>
    <mergeCell ref="C15:G15"/>
    <mergeCell ref="C16:G16"/>
    <mergeCell ref="C17:G17"/>
    <mergeCell ref="A46:I46"/>
    <mergeCell ref="J46:K46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3:G23"/>
    <mergeCell ref="C24:G24"/>
    <mergeCell ref="C25:G25"/>
    <mergeCell ref="C18:G1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130" zoomScaleNormal="130" workbookViewId="0">
      <selection activeCell="O18" sqref="O18:P18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9" t="s">
        <v>3</v>
      </c>
      <c r="B1" s="149"/>
      <c r="C1" s="149"/>
      <c r="D1" s="150">
        <v>2022</v>
      </c>
      <c r="E1" s="150"/>
      <c r="F1" s="2"/>
      <c r="G1" s="2"/>
      <c r="H1" s="3"/>
      <c r="I1" s="3"/>
      <c r="J1" s="3"/>
      <c r="K1" s="3"/>
      <c r="L1" s="3"/>
      <c r="M1" s="3"/>
      <c r="N1" s="3"/>
      <c r="P1" s="151" t="s">
        <v>24</v>
      </c>
      <c r="Q1" s="151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51"/>
      <c r="Q2" s="151"/>
    </row>
    <row r="4" spans="1:17" s="4" customFormat="1" ht="18" customHeight="1" thickBot="1" x14ac:dyDescent="0.25">
      <c r="A4" s="152" t="s">
        <v>25</v>
      </c>
      <c r="B4" s="152"/>
      <c r="C4" s="152"/>
      <c r="D4" s="152"/>
      <c r="E4" s="152"/>
      <c r="F4" s="152"/>
      <c r="G4" s="153" t="str">
        <f>+'Necesidades Trimestrales '!C4</f>
        <v>040 - Ministerio de Salud</v>
      </c>
      <c r="H4" s="153"/>
      <c r="I4" s="153"/>
      <c r="J4" s="153"/>
      <c r="K4" s="153"/>
      <c r="L4" s="153"/>
      <c r="M4" s="153"/>
      <c r="N4" s="153"/>
      <c r="O4" s="153"/>
      <c r="P4" s="153"/>
      <c r="Q4" s="153"/>
    </row>
    <row r="5" spans="1:17" s="4" customFormat="1" ht="18" customHeight="1" thickBot="1" x14ac:dyDescent="0.25">
      <c r="A5" s="154" t="s">
        <v>48</v>
      </c>
      <c r="B5" s="155"/>
      <c r="C5" s="155"/>
      <c r="D5" s="155"/>
      <c r="E5" s="155"/>
      <c r="F5" s="156"/>
      <c r="G5" s="157" t="str">
        <f>' NotaPedido'!D4</f>
        <v>011 - Direccion Provincial de Administracion - MS</v>
      </c>
      <c r="H5" s="157"/>
      <c r="I5" s="157"/>
      <c r="J5" s="157"/>
      <c r="K5" s="157"/>
      <c r="L5" s="157"/>
      <c r="M5" s="157"/>
      <c r="N5" s="157"/>
      <c r="O5" s="157"/>
      <c r="P5" s="157"/>
      <c r="Q5" s="157"/>
    </row>
    <row r="6" spans="1:17" s="4" customFormat="1" ht="18" customHeight="1" thickBot="1" x14ac:dyDescent="0.25">
      <c r="A6" s="154" t="s">
        <v>26</v>
      </c>
      <c r="B6" s="155"/>
      <c r="C6" s="155"/>
      <c r="D6" s="155"/>
      <c r="E6" s="155"/>
      <c r="F6" s="156"/>
      <c r="G6" s="157" t="str">
        <f>' NotaPedido'!D5</f>
        <v>XXXX</v>
      </c>
      <c r="H6" s="157"/>
      <c r="I6" s="157"/>
      <c r="J6" s="157"/>
      <c r="K6" s="157"/>
      <c r="L6" s="157"/>
      <c r="M6" s="157"/>
      <c r="N6" s="157"/>
      <c r="O6" s="157"/>
      <c r="P6" s="157"/>
      <c r="Q6" s="157"/>
    </row>
    <row r="7" spans="1:17" s="4" customFormat="1" ht="18" customHeight="1" thickBot="1" x14ac:dyDescent="0.25">
      <c r="A7" s="154" t="s">
        <v>49</v>
      </c>
      <c r="B7" s="155"/>
      <c r="C7" s="155"/>
      <c r="D7" s="155"/>
      <c r="E7" s="155"/>
      <c r="F7" s="156"/>
      <c r="G7" s="157" t="str">
        <f>' NotaPedido'!D6</f>
        <v>XXXX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</row>
    <row r="8" spans="1:17" ht="18" customHeight="1" thickBot="1" x14ac:dyDescent="0.25">
      <c r="A8" s="158" t="s">
        <v>27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</row>
    <row r="9" spans="1:17" ht="18" customHeight="1" x14ac:dyDescent="0.2">
      <c r="A9" s="159" t="s">
        <v>28</v>
      </c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Q9" s="5"/>
    </row>
    <row r="10" spans="1:17" ht="54.75" customHeight="1" x14ac:dyDescent="0.2">
      <c r="A10" s="16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</row>
    <row r="11" spans="1:17" ht="9" customHeight="1" x14ac:dyDescent="0.2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61" t="s">
        <v>29</v>
      </c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</row>
    <row r="13" spans="1:17" ht="15.75" customHeight="1" x14ac:dyDescent="0.2">
      <c r="A13" s="162" t="s">
        <v>30</v>
      </c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3" t="s">
        <v>31</v>
      </c>
      <c r="P13" s="163"/>
      <c r="Q13" s="164" t="s">
        <v>32</v>
      </c>
    </row>
    <row r="14" spans="1:17" ht="15.75" customHeight="1" x14ac:dyDescent="0.2">
      <c r="A14" s="10" t="s">
        <v>33</v>
      </c>
      <c r="B14" s="11" t="s">
        <v>34</v>
      </c>
      <c r="C14" s="11" t="s">
        <v>35</v>
      </c>
      <c r="D14" s="11" t="s">
        <v>36</v>
      </c>
      <c r="E14" s="11" t="s">
        <v>37</v>
      </c>
      <c r="F14" s="11" t="s">
        <v>38</v>
      </c>
      <c r="G14" s="12" t="s">
        <v>39</v>
      </c>
      <c r="H14" s="11" t="s">
        <v>40</v>
      </c>
      <c r="I14" s="11" t="s">
        <v>41</v>
      </c>
      <c r="J14" s="11" t="s">
        <v>42</v>
      </c>
      <c r="K14" s="11" t="s">
        <v>42</v>
      </c>
      <c r="L14" s="11" t="s">
        <v>43</v>
      </c>
      <c r="M14" s="13" t="s">
        <v>44</v>
      </c>
      <c r="N14" s="14" t="s">
        <v>45</v>
      </c>
      <c r="O14" s="163"/>
      <c r="P14" s="163"/>
      <c r="Q14" s="164"/>
    </row>
    <row r="15" spans="1:17" ht="17.25" customHeight="1" x14ac:dyDescent="0.2">
      <c r="A15" s="42"/>
      <c r="B15" s="36"/>
      <c r="C15" s="36"/>
      <c r="D15" s="43"/>
      <c r="E15" s="36"/>
      <c r="F15" s="36">
        <v>4901</v>
      </c>
      <c r="G15" s="36">
        <v>3</v>
      </c>
      <c r="H15" s="36">
        <v>310</v>
      </c>
      <c r="I15" s="41">
        <v>2</v>
      </c>
      <c r="J15" s="41">
        <v>5</v>
      </c>
      <c r="K15" s="41">
        <v>2</v>
      </c>
      <c r="L15" s="36"/>
      <c r="M15" s="37">
        <v>1</v>
      </c>
      <c r="N15" s="38" t="s">
        <v>51</v>
      </c>
      <c r="O15" s="165" t="s">
        <v>68</v>
      </c>
      <c r="P15" s="165"/>
      <c r="Q15" s="15"/>
    </row>
    <row r="16" spans="1:17" ht="17.25" customHeight="1" x14ac:dyDescent="0.2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N16" s="19"/>
      <c r="O16" s="166"/>
      <c r="P16" s="166"/>
      <c r="Q16" s="20"/>
    </row>
    <row r="17" spans="1:17" ht="17.25" customHeight="1" x14ac:dyDescent="0.2">
      <c r="A17" s="16"/>
      <c r="B17" s="17"/>
      <c r="C17" s="17"/>
      <c r="D17" s="17"/>
      <c r="E17" s="17"/>
      <c r="F17" s="19"/>
      <c r="G17" s="17"/>
      <c r="H17" s="17"/>
      <c r="I17" s="17"/>
      <c r="J17" s="17"/>
      <c r="K17" s="17"/>
      <c r="L17" s="17"/>
      <c r="M17" s="18"/>
      <c r="N17" s="19"/>
      <c r="O17" s="166"/>
      <c r="P17" s="166"/>
      <c r="Q17" s="20"/>
    </row>
    <row r="18" spans="1:17" ht="17.25" customHeight="1" x14ac:dyDescent="0.2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9"/>
      <c r="O18" s="166"/>
      <c r="P18" s="166"/>
      <c r="Q18" s="20"/>
    </row>
    <row r="19" spans="1:17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66"/>
      <c r="P19" s="166"/>
      <c r="Q19" s="20"/>
    </row>
    <row r="20" spans="1:17" ht="17.25" customHeight="1" x14ac:dyDescent="0.2">
      <c r="A20" s="16"/>
      <c r="B20" s="17"/>
      <c r="C20" s="17"/>
      <c r="D20" s="17"/>
      <c r="E20" s="17"/>
      <c r="F20" s="19"/>
      <c r="G20" s="17"/>
      <c r="H20" s="17"/>
      <c r="I20" s="17"/>
      <c r="J20" s="17"/>
      <c r="K20" s="17"/>
      <c r="L20" s="17"/>
      <c r="M20" s="18"/>
      <c r="N20" s="19"/>
      <c r="O20" s="166"/>
      <c r="P20" s="166"/>
      <c r="Q20" s="20"/>
    </row>
    <row r="21" spans="1:17" ht="17.25" customHeight="1" x14ac:dyDescent="0.2">
      <c r="A21" s="21"/>
      <c r="B21" s="22"/>
      <c r="C21" s="22"/>
      <c r="D21" s="22"/>
      <c r="E21" s="22"/>
      <c r="F21" s="19"/>
      <c r="G21" s="22"/>
      <c r="H21" s="22"/>
      <c r="I21" s="22"/>
      <c r="J21" s="22"/>
      <c r="K21" s="22"/>
      <c r="L21" s="22"/>
      <c r="M21" s="23"/>
      <c r="N21" s="24"/>
      <c r="O21" s="166"/>
      <c r="P21" s="166"/>
      <c r="Q21" s="20"/>
    </row>
    <row r="22" spans="1:17" ht="17.25" customHeight="1" x14ac:dyDescent="0.2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7"/>
      <c r="N22" s="26"/>
      <c r="O22" s="172"/>
      <c r="P22" s="172"/>
      <c r="Q22" s="28"/>
    </row>
    <row r="23" spans="1:17" ht="29.25" customHeight="1" x14ac:dyDescent="0.2">
      <c r="A23" s="173" t="s">
        <v>59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40">
        <f>SUM(Q15:Q22)</f>
        <v>0</v>
      </c>
    </row>
    <row r="24" spans="1:17" ht="18" customHeight="1" thickBot="1" x14ac:dyDescent="0.25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1:17" ht="17.25" customHeight="1" thickBot="1" x14ac:dyDescent="0.25">
      <c r="A25" s="167" t="s">
        <v>46</v>
      </c>
      <c r="B25" s="168"/>
      <c r="C25" s="168"/>
      <c r="D25" s="168"/>
      <c r="E25" s="168"/>
      <c r="F25" s="169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</row>
    <row r="26" spans="1:17" ht="18" customHeight="1" thickBot="1" x14ac:dyDescent="0.25">
      <c r="A26" s="171" t="s">
        <v>60</v>
      </c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</row>
    <row r="27" spans="1:17" ht="15" customHeight="1" x14ac:dyDescent="0.2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2022-12-05T20:16:32Z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