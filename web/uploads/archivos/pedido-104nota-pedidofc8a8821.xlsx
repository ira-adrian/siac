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05459-CAT-DPPR#MHP\"/>
    </mc:Choice>
  </mc:AlternateContent>
  <xr:revisionPtr revIDLastSave="0" documentId="8_{FD381ADB-9BD7-4E06-A2A6-58EFE9E4F94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28" i="1" l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H29" i="1" s="1"/>
  <c r="I11" i="1"/>
  <c r="I10" i="1"/>
</calcChain>
</file>

<file path=xl/sharedStrings.xml><?xml version="1.0" encoding="utf-8"?>
<sst xmlns="http://schemas.openxmlformats.org/spreadsheetml/2006/main" count="123" uniqueCount="71">
  <si>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</si>
  <si>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</si>
  <si>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</si>
  <si>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</si>
  <si>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</si>
  <si>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</si>
  <si>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</si>
  <si>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</si>
  <si>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</si>
  <si>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</si>
  <si>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</si>
  <si>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</si>
  <si>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</si>
  <si>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</si>
  <si>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</si>
  <si>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</si>
  <si>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2.2.2-1629.6</t>
  </si>
  <si>
    <t>INDUMENT TEXTIL Y CONFECCIONES</t>
  </si>
  <si>
    <t>2.2.2</t>
  </si>
  <si>
    <t>GUANTES; PROTECCION: SIN VALOR, MATERIAL: CUERO VAQUETA, TIPO: 5 DEDOS, INTERIOR: SIN VALOR, LARGO: HASTA MUÑECA 12, CIERRE: SIN, MATERIAL INTERNO: SIN VALOR</t>
  </si>
  <si>
    <t>PAR</t>
  </si>
  <si>
    <t>2.2.2-1629.3</t>
  </si>
  <si>
    <t>GUANTES; PROTECCION: SIN VALOR, MATERIAL: CUERO DESCARNE, TIPO: 5 DEDOS, INTERIOR: SIN VALOR, CIERRE: SIN, LARGO: HASTA MUÑECA 12, MATERIAL INTERNO: SIN VALOR</t>
  </si>
  <si>
    <t>2.2.2-1629.12</t>
  </si>
  <si>
    <t>GUANTES; PROTECCION: SIN VALOR, MATERIAL: ALGODON Y GOMA, LARGO: HASTA MUÑECA, CIERRE: CON, TIPO: 5 DEDOS, INTERIOR: ALGODON, MATERIAL INTERNO: ALGODON</t>
  </si>
  <si>
    <t>2.2.2-1629.8</t>
  </si>
  <si>
    <t>GUANTES; MATERIAL: GOMA, TIPO: 5 DEDOS DIELECTRICO, INTERIOR: SIN VALOR, CIERRE: SIN, LARGO: HASTA MUÑECA 12, PROTECCION: 15000 V, MATERIAL INTERNO: SIN VALOR</t>
  </si>
  <si>
    <t>2.2.2-386.28</t>
  </si>
  <si>
    <t>CAPAS; COSTURAS: SOLDADAS Y COSIDAS, LARGO: CASACA, MODELO: ABROCHAR, MATERIAL: PVC, CRITERIO SOCIAL: SIN</t>
  </si>
  <si>
    <t>UNIDAD</t>
  </si>
  <si>
    <t>2.2.2-1629.4</t>
  </si>
  <si>
    <t>GUANTES; PROTECCION: SIN VALOR, MATERIAL: GOMA, TIPO: 5 DEDOS, INTERIOR: SIN VALOR, LARGO: TOTAL DEL BRAZO 40, CIERRE: SIN, MATERIAL INTERNO: SIN VALOR</t>
  </si>
  <si>
    <t>2.2.2-829.226</t>
  </si>
  <si>
    <t>MAMELUCOS; CIERRE: FRONTAL, BOLSILLO: SIN, TELA: TYVEK, CRITERIO DE SEGURIDAD: ASTM F1608</t>
  </si>
  <si>
    <t>2.2.2-829.227</t>
  </si>
  <si>
    <t>MAMELUCOS; CIERRE: DOBLE C/SOLAPA DE SEGURIDAD, BOLSILLO: SIN, TELA: TYCHEM, CRITERIO DE SEGURIDAD: SELLO DE SEGURIDAD</t>
  </si>
  <si>
    <t>2.2.2-1721.2</t>
  </si>
  <si>
    <t>DELANTALES; MATERIAL: CUERO DESCARNE, TAMAÑO: LARGO, TIPO: P/SOLDAR, PROTECCION: SIN VALOR</t>
  </si>
  <si>
    <t>2.2.2-2036.1</t>
  </si>
  <si>
    <t>CHALECOS FLUORESCENTES; MATERIAL: TELA DE PVC, BANDA REFLECTIVA: CON, SUJECION: CON CINTAS, COLOR: NARANJA</t>
  </si>
  <si>
    <t>2.2.2-388.13</t>
  </si>
  <si>
    <t>CASCOS DE SEGURIDAD; COLOR: AMARILLO, MATERIAL: DE POLIPROPILENO, S/NORMA: IRAM 3620, CLASE: B</t>
  </si>
  <si>
    <t>2.2.2-7905.3</t>
  </si>
  <si>
    <t>MASCARAS DE PROTECCION; MATERIAL: ACRILICO, TIPO: P/QUIMICOS</t>
  </si>
  <si>
    <t>2.2.2-7905.19</t>
  </si>
  <si>
    <t>MASCARAS DE PROTECCION; MATERIAL: NAILON POLIAMIDA, TIPO: P/SOLDAR, CRITERIO DE SEGURIDAD: SELLO DE SEGURIDAD</t>
  </si>
  <si>
    <t>2.2.2-1629.41</t>
  </si>
  <si>
    <t>INDUMENTARIA TEXTIL Y CONFECCIONES</t>
  </si>
  <si>
    <t>GUANTES; PROTECCION: RECUBIERTA DE GOMA, MATERIAL: ALGODON Y POLYESTER, TIPO: 5 DEDOS, INTERIOR: ALGODON Y POLIESTER, LARGO: PUÑO CORTO, CIERRE: ELASTICO CON MALLA, MATERIAL INTERNO: ALGODON Y POLIESTER</t>
  </si>
  <si>
    <t>2.2.2-6738.186</t>
  </si>
  <si>
    <t>PANTALONES; TIPO: CARGO, TELA: GRAFA, SEXO: MASCULINO, CRITERIO SOCIAL: SIN, CRITERIO DE SEGURIDAD: SELLO DE SEGURIDAD</t>
  </si>
  <si>
    <t>2.2.2-6731.27</t>
  </si>
  <si>
    <t>CAMISAS; TIPO: DE TRABAJO, TELA: GRAFA, MANGA: LARGA, COSTURA: REFORZADA, BOLSILLO: 2</t>
  </si>
  <si>
    <t>2.2.2-6728.26</t>
  </si>
  <si>
    <t>CALZADO DE SEGURIDAD; TIPO: BOTIN, SUELA: POLIURETANO, PUNTERA: ACERO, MATERIAL: CUERO FLOR</t>
  </si>
  <si>
    <t>2.2.2-6734.114</t>
  </si>
  <si>
    <t>CAMPERAS; CIERRE: CON, CAPUCHA: CON, TIPO: ABRIGO, MATERIAL: TRICAPA IMPERMEABLE, CRITERIO SOCIAL: SIN</t>
  </si>
  <si>
    <t>2.2.3-1307.53</t>
  </si>
  <si>
    <t>MOCHILAS; MATERIAL: NYLON, CAPACIDAD: MEDIANA, USO: P/TRANSPORTE EQ. Y ACC FOTOG.</t>
  </si>
  <si>
    <t>Costo total estimado</t>
  </si>
  <si>
    <t>PESOS DIECINUEVE MILLONES CUATROCIENTOS SESENTA Y OCHO MIL CUARENTA Y NUEVE CON 50/100</t>
  </si>
  <si>
    <t/>
  </si>
  <si>
    <t>Especificidades Item N° 1 AL 19</t>
  </si>
  <si>
    <t>Descripción técnica</t>
  </si>
  <si>
    <r>
      <rPr>
        <b/>
        <u/>
        <sz val="10"/>
        <rFont val="Times New Roman"/>
        <family val="1"/>
      </rPr>
      <t xml:space="preserve">CANTIDADES POR TALLE Y ESPECIFICACIONES TÉCNICAS: </t>
    </r>
    <r>
      <rPr>
        <sz val="10"/>
        <rFont val="Times New Roman"/>
        <family val="1"/>
      </rPr>
      <t>SEGÚN ANEXO DE ESPECIFICACIONES TÉCNICAS Y TALLES-  SE REQUIERE  MUESTRA PARA TODOS LOS LOS ÍTEMS</t>
    </r>
  </si>
  <si>
    <t>Plazos y lugares de entrega</t>
  </si>
  <si>
    <r>
      <t xml:space="preserve">Dirección de Recursos Humanos y Control de Gestión del Ministerio de Agua, Energía y Medio Ambiente- Av. República Venezuela S/N°- Pabellón N° 2- CAPE- </t>
    </r>
    <r>
      <rPr>
        <b/>
        <u/>
        <sz val="10"/>
        <color rgb="FFFF0000"/>
        <rFont val="Times New Roman"/>
        <family val="1"/>
      </rPr>
      <t xml:space="preserve">Plazo de Entrega: </t>
    </r>
    <r>
      <rPr>
        <sz val="10"/>
        <color rgb="FFFF0000"/>
        <rFont val="Times New Roman"/>
        <family val="1"/>
      </rPr>
      <t xml:space="preserve"> Treinta (30) días hábiles</t>
    </r>
  </si>
  <si>
    <t>Calidad Minima esperada</t>
  </si>
  <si>
    <t>Primera calidad: SE REQUIERE MUESTRA</t>
  </si>
  <si>
    <t>Mantenimiento</t>
  </si>
  <si>
    <t>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</si>
</sst>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7" x14ac:knownFonts="1"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u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3">
    <xf numFmtId="0" fontId="0" fillId="0" borderId="0"/>
    <xf numFmtId="0" fontId="15" fillId="0" borderId="15" applyProtection="0"/>
    <xf numFmtId="0" fontId="16" fillId="6" borderId="0" applyBorder="0" applyProtection="0"/>
  </cellStyleXfs>
  <cellXfs count="45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164" fontId="8" fillId="0" borderId="3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9" fillId="4" borderId="4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4" borderId="5" xfId="0" applyFont="1" applyFill="1" applyBorder="1" applyAlignment="1">
      <alignment vertical="top" wrapText="1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" fillId="0" borderId="10" xfId="0" applyFont="1" applyBorder="1"/>
    <xf numFmtId="0" fontId="1" fillId="0" borderId="0" xfId="0" applyFont="1" applyBorder="1"/>
    <xf numFmtId="0" fontId="1" fillId="0" borderId="11" xfId="0" applyFont="1" applyBorder="1"/>
    <xf numFmtId="0" fontId="12" fillId="0" borderId="10" xfId="0" applyFont="1" applyBorder="1" applyAlignment="1">
      <alignment horizontal="left" indent="3"/>
    </xf>
    <xf numFmtId="0" fontId="1" fillId="0" borderId="10" xfId="0" applyFont="1" applyBorder="1" applyAlignment="1">
      <alignment horizontal="left" indent="3"/>
    </xf>
    <xf numFmtId="0" fontId="1" fillId="0" borderId="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left" indent="3"/>
    </xf>
    <xf numFmtId="0" fontId="1" fillId="0" borderId="13" xfId="0" applyFont="1" applyBorder="1"/>
    <xf numFmtId="0" fontId="1" fillId="0" borderId="14" xfId="0" applyFont="1" applyBorder="1"/>
    <xf numFmtId="0" fontId="1" fillId="5" borderId="11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top"/>
    </xf>
    <xf numFmtId="0" fontId="10" fillId="4" borderId="6" xfId="0" applyFont="1" applyFill="1" applyBorder="1" applyAlignment="1">
      <alignment horizontal="left" vertical="top"/>
    </xf>
    <xf numFmtId="164" fontId="9" fillId="4" borderId="4" xfId="0" applyNumberFormat="1" applyFont="1" applyFill="1" applyBorder="1" applyAlignment="1">
      <alignment horizontal="center" vertical="top"/>
    </xf>
    <xf numFmtId="164" fontId="9" fillId="4" borderId="6" xfId="0" applyNumberFormat="1" applyFont="1" applyFill="1" applyBorder="1" applyAlignment="1">
      <alignment horizontal="center" vertical="top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" fillId="5" borderId="0" xfId="0" applyFont="1" applyFill="1" applyBorder="1" applyAlignment="1">
      <alignment horizontal="left" vertical="top" wrapText="1"/>
    </xf>
    <xf numFmtId="0" fontId="1" fillId="5" borderId="11" xfId="0" applyFont="1" applyFill="1" applyBorder="1" applyAlignment="1">
      <alignment horizontal="left" vertical="top" wrapText="1"/>
    </xf>
    <xf numFmtId="0" fontId="13" fillId="5" borderId="0" xfId="0" applyFont="1" applyFill="1" applyBorder="1" applyAlignment="1">
      <alignment horizontal="left" vertical="top" wrapText="1"/>
    </xf>
    <xf numFmtId="0" fontId="13" fillId="5" borderId="11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left" wrapText="1" indent="1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4"/>
  <sheetViews>
    <sheetView tabSelected="1" topLeftCell="A13" zoomScaleNormal="100" workbookViewId="0">
      <selection activeCell="B14" sqref="B14"/>
    </sheetView>
  </sheetViews>
  <sheetFormatPr baseColWidth="10" defaultColWidth="11" defaultRowHeight="12.75" x14ac:dyDescent="0.2"/>
  <cols>
    <col min="1" max="1" width="4.5703125" style="1" customWidth="1"/>
    <col min="2" max="2" width="16.7109375" style="1" customWidth="1"/>
    <col min="3" max="3" width="21.5703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43" t="s">
        <v>0</v>
      </c>
      <c r="C2" s="43"/>
      <c r="D2" s="43"/>
      <c r="E2" s="43"/>
      <c r="F2" s="43"/>
      <c r="G2" s="43"/>
      <c r="H2" s="43"/>
    </row>
    <row r="4" spans="1:9" s="4" customFormat="1" ht="18" customHeight="1" x14ac:dyDescent="0.25">
      <c r="A4" s="31" t="s">
        <v>1</v>
      </c>
      <c r="B4" s="31"/>
      <c r="C4" s="44" t="s">
        <v>2</v>
      </c>
      <c r="D4" s="44"/>
      <c r="E4" s="44"/>
      <c r="F4" s="2"/>
      <c r="G4" s="3"/>
      <c r="H4" s="2"/>
    </row>
    <row r="5" spans="1:9" s="4" customFormat="1" ht="18" customHeight="1" x14ac:dyDescent="0.25">
      <c r="A5" s="31" t="s">
        <v>3</v>
      </c>
      <c r="B5" s="31"/>
      <c r="C5" s="44" t="s">
        <v>4</v>
      </c>
      <c r="D5" s="44"/>
      <c r="E5" s="44"/>
      <c r="F5" s="2"/>
      <c r="G5" s="3"/>
      <c r="H5" s="2"/>
    </row>
    <row r="6" spans="1:9" s="4" customFormat="1" ht="16.5" customHeight="1" x14ac:dyDescent="0.25">
      <c r="A6" s="31" t="s">
        <v>5</v>
      </c>
      <c r="B6" s="31"/>
      <c r="C6" s="5">
        <v>2021</v>
      </c>
      <c r="D6" s="6"/>
      <c r="E6" s="6"/>
      <c r="F6" s="2"/>
      <c r="G6" s="3"/>
      <c r="H6" s="2"/>
    </row>
    <row r="7" spans="1:9" s="4" customFormat="1" ht="16.5" customHeight="1" x14ac:dyDescent="0.25">
      <c r="A7" s="31" t="s">
        <v>6</v>
      </c>
      <c r="B7" s="31"/>
      <c r="C7" s="5">
        <v>2</v>
      </c>
      <c r="D7" s="6"/>
      <c r="E7" s="6"/>
      <c r="F7" s="2"/>
      <c r="G7" s="3"/>
      <c r="H7" s="2"/>
    </row>
    <row r="8" spans="1:9" ht="13.5" thickBot="1" x14ac:dyDescent="0.25">
      <c r="B8" s="7"/>
      <c r="C8" s="8"/>
      <c r="D8" s="7"/>
      <c r="E8" s="7"/>
      <c r="F8" s="7"/>
      <c r="G8" s="8"/>
      <c r="H8" s="7"/>
    </row>
    <row r="9" spans="1:9" ht="39" thickTop="1" x14ac:dyDescent="0.2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</row>
    <row r="10" spans="1:9" s="13" customFormat="1" ht="27.75" customHeight="1" x14ac:dyDescent="0.2">
      <c r="A10" s="10">
        <v>1</v>
      </c>
      <c r="B10" s="11" t="s">
        <v>16</v>
      </c>
      <c r="C10" s="11" t="s">
        <v>17</v>
      </c>
      <c r="D10" s="11" t="s">
        <v>18</v>
      </c>
      <c r="E10" s="11" t="s">
        <v>19</v>
      </c>
      <c r="F10" s="11" t="s">
        <v>20</v>
      </c>
      <c r="G10" s="11">
        <v>1300</v>
      </c>
      <c r="H10" s="12">
        <v>381.8</v>
      </c>
      <c r="I10" s="12">
        <f>H10*G10</f>
        <v>496340</v>
      </c>
    </row>
    <row r="11" spans="1:9" s="13" customFormat="1" ht="28.5" customHeight="1" x14ac:dyDescent="0.2">
      <c r="A11" s="10">
        <v>2</v>
      </c>
      <c r="B11" s="11" t="s">
        <v>21</v>
      </c>
      <c r="C11" s="11" t="s">
        <v>17</v>
      </c>
      <c r="D11" s="11" t="s">
        <v>18</v>
      </c>
      <c r="E11" s="11" t="s">
        <v>22</v>
      </c>
      <c r="F11" s="11" t="s">
        <v>20</v>
      </c>
      <c r="G11" s="11">
        <v>500</v>
      </c>
      <c r="H11" s="12">
        <v>685.39</v>
      </c>
      <c r="I11" s="12">
        <f t="shared" ref="I11:I28" si="0">H11*G11</f>
        <v>342695</v>
      </c>
    </row>
    <row r="12" spans="1:9" s="13" customFormat="1" ht="30.75" customHeight="1" x14ac:dyDescent="0.2">
      <c r="A12" s="10">
        <v>3</v>
      </c>
      <c r="B12" s="11" t="s">
        <v>23</v>
      </c>
      <c r="C12" s="11" t="s">
        <v>17</v>
      </c>
      <c r="D12" s="11" t="s">
        <v>18</v>
      </c>
      <c r="E12" s="11" t="s">
        <v>24</v>
      </c>
      <c r="F12" s="11" t="s">
        <v>20</v>
      </c>
      <c r="G12" s="11">
        <v>1800</v>
      </c>
      <c r="H12" s="12">
        <v>88.6</v>
      </c>
      <c r="I12" s="12">
        <f t="shared" si="0"/>
        <v>159480</v>
      </c>
    </row>
    <row r="13" spans="1:9" s="13" customFormat="1" ht="32.25" customHeight="1" x14ac:dyDescent="0.2">
      <c r="A13" s="10">
        <v>4</v>
      </c>
      <c r="B13" s="11" t="s">
        <v>25</v>
      </c>
      <c r="C13" s="11" t="s">
        <v>17</v>
      </c>
      <c r="D13" s="11" t="s">
        <v>18</v>
      </c>
      <c r="E13" s="11" t="s">
        <v>26</v>
      </c>
      <c r="F13" s="11" t="s">
        <v>20</v>
      </c>
      <c r="G13" s="11">
        <v>35</v>
      </c>
      <c r="H13" s="12">
        <v>3000</v>
      </c>
      <c r="I13" s="12">
        <f t="shared" si="0"/>
        <v>105000</v>
      </c>
    </row>
    <row r="14" spans="1:9" s="13" customFormat="1" ht="28.5" customHeight="1" x14ac:dyDescent="0.2">
      <c r="A14" s="10">
        <v>5</v>
      </c>
      <c r="B14" s="11" t="s">
        <v>27</v>
      </c>
      <c r="C14" s="11" t="s">
        <v>17</v>
      </c>
      <c r="D14" s="11" t="s">
        <v>18</v>
      </c>
      <c r="E14" s="11" t="s">
        <v>28</v>
      </c>
      <c r="F14" s="11" t="s">
        <v>29</v>
      </c>
      <c r="G14" s="11">
        <v>1200</v>
      </c>
      <c r="H14" s="12">
        <v>1431.12</v>
      </c>
      <c r="I14" s="12">
        <f t="shared" si="0"/>
        <v>1717343.9999999998</v>
      </c>
    </row>
    <row r="15" spans="1:9" s="13" customFormat="1" ht="33" customHeight="1" x14ac:dyDescent="0.2">
      <c r="A15" s="10">
        <v>6</v>
      </c>
      <c r="B15" s="11" t="s">
        <v>30</v>
      </c>
      <c r="C15" s="11" t="s">
        <v>17</v>
      </c>
      <c r="D15" s="11" t="s">
        <v>18</v>
      </c>
      <c r="E15" s="11" t="s">
        <v>31</v>
      </c>
      <c r="F15" s="11" t="s">
        <v>20</v>
      </c>
      <c r="G15" s="11">
        <v>80</v>
      </c>
      <c r="H15" s="12">
        <v>400</v>
      </c>
      <c r="I15" s="12">
        <f t="shared" si="0"/>
        <v>32000</v>
      </c>
    </row>
    <row r="16" spans="1:9" s="13" customFormat="1" ht="28.5" customHeight="1" x14ac:dyDescent="0.2">
      <c r="A16" s="10">
        <v>7</v>
      </c>
      <c r="B16" s="11" t="s">
        <v>32</v>
      </c>
      <c r="C16" s="11" t="s">
        <v>17</v>
      </c>
      <c r="D16" s="11" t="s">
        <v>18</v>
      </c>
      <c r="E16" s="11" t="s">
        <v>33</v>
      </c>
      <c r="F16" s="11" t="s">
        <v>29</v>
      </c>
      <c r="G16" s="11">
        <v>300</v>
      </c>
      <c r="H16" s="12">
        <v>2300</v>
      </c>
      <c r="I16" s="12">
        <f t="shared" si="0"/>
        <v>690000</v>
      </c>
    </row>
    <row r="17" spans="1:9" s="13" customFormat="1" ht="31.5" customHeight="1" x14ac:dyDescent="0.2">
      <c r="A17" s="10">
        <v>8</v>
      </c>
      <c r="B17" s="11" t="s">
        <v>34</v>
      </c>
      <c r="C17" s="11" t="s">
        <v>17</v>
      </c>
      <c r="D17" s="11" t="s">
        <v>18</v>
      </c>
      <c r="E17" s="11" t="s">
        <v>35</v>
      </c>
      <c r="F17" s="11" t="s">
        <v>29</v>
      </c>
      <c r="G17" s="11">
        <v>300</v>
      </c>
      <c r="H17" s="12">
        <v>2500</v>
      </c>
      <c r="I17" s="12">
        <f t="shared" si="0"/>
        <v>750000</v>
      </c>
    </row>
    <row r="18" spans="1:9" s="13" customFormat="1" ht="28.5" customHeight="1" x14ac:dyDescent="0.2">
      <c r="A18" s="10">
        <v>9</v>
      </c>
      <c r="B18" s="11" t="s">
        <v>36</v>
      </c>
      <c r="C18" s="11" t="s">
        <v>17</v>
      </c>
      <c r="D18" s="11" t="s">
        <v>18</v>
      </c>
      <c r="E18" s="11" t="s">
        <v>37</v>
      </c>
      <c r="F18" s="11" t="s">
        <v>29</v>
      </c>
      <c r="G18" s="11">
        <v>50</v>
      </c>
      <c r="H18" s="12">
        <v>2421.92</v>
      </c>
      <c r="I18" s="12">
        <f t="shared" si="0"/>
        <v>121096</v>
      </c>
    </row>
    <row r="19" spans="1:9" s="13" customFormat="1" ht="28.5" customHeight="1" x14ac:dyDescent="0.2">
      <c r="A19" s="10">
        <v>10</v>
      </c>
      <c r="B19" s="11" t="s">
        <v>38</v>
      </c>
      <c r="C19" s="11" t="s">
        <v>17</v>
      </c>
      <c r="D19" s="11" t="s">
        <v>18</v>
      </c>
      <c r="E19" s="11" t="s">
        <v>39</v>
      </c>
      <c r="F19" s="11" t="s">
        <v>29</v>
      </c>
      <c r="G19" s="11">
        <v>800</v>
      </c>
      <c r="H19" s="12">
        <v>653.21</v>
      </c>
      <c r="I19" s="12">
        <f t="shared" si="0"/>
        <v>522568</v>
      </c>
    </row>
    <row r="20" spans="1:9" s="13" customFormat="1" ht="28.5" customHeight="1" x14ac:dyDescent="0.2">
      <c r="A20" s="10">
        <v>11</v>
      </c>
      <c r="B20" s="11" t="s">
        <v>40</v>
      </c>
      <c r="C20" s="11" t="s">
        <v>17</v>
      </c>
      <c r="D20" s="11" t="s">
        <v>18</v>
      </c>
      <c r="E20" s="11" t="s">
        <v>41</v>
      </c>
      <c r="F20" s="11" t="s">
        <v>29</v>
      </c>
      <c r="G20" s="11">
        <v>1800</v>
      </c>
      <c r="H20" s="12">
        <v>500</v>
      </c>
      <c r="I20" s="12">
        <f t="shared" si="0"/>
        <v>900000</v>
      </c>
    </row>
    <row r="21" spans="1:9" s="13" customFormat="1" ht="21.75" customHeight="1" x14ac:dyDescent="0.2">
      <c r="A21" s="10">
        <v>12</v>
      </c>
      <c r="B21" s="11" t="s">
        <v>42</v>
      </c>
      <c r="C21" s="11" t="s">
        <v>17</v>
      </c>
      <c r="D21" s="11" t="s">
        <v>18</v>
      </c>
      <c r="E21" s="11" t="s">
        <v>43</v>
      </c>
      <c r="F21" s="11" t="s">
        <v>29</v>
      </c>
      <c r="G21" s="11">
        <v>200</v>
      </c>
      <c r="H21" s="12">
        <v>1899</v>
      </c>
      <c r="I21" s="12">
        <f t="shared" si="0"/>
        <v>379800</v>
      </c>
    </row>
    <row r="22" spans="1:9" s="13" customFormat="1" ht="28.5" customHeight="1" x14ac:dyDescent="0.2">
      <c r="A22" s="10">
        <v>13</v>
      </c>
      <c r="B22" s="11" t="s">
        <v>44</v>
      </c>
      <c r="C22" s="11" t="s">
        <v>17</v>
      </c>
      <c r="D22" s="11" t="s">
        <v>18</v>
      </c>
      <c r="E22" s="11" t="s">
        <v>45</v>
      </c>
      <c r="F22" s="11" t="s">
        <v>29</v>
      </c>
      <c r="G22" s="11">
        <v>200</v>
      </c>
      <c r="H22" s="12">
        <v>5095</v>
      </c>
      <c r="I22" s="12">
        <f t="shared" si="0"/>
        <v>1019000</v>
      </c>
    </row>
    <row r="23" spans="1:9" s="13" customFormat="1" ht="40.5" customHeight="1" x14ac:dyDescent="0.2">
      <c r="A23" s="10">
        <v>14</v>
      </c>
      <c r="B23" s="11" t="s">
        <v>46</v>
      </c>
      <c r="C23" s="11" t="s">
        <v>47</v>
      </c>
      <c r="D23" s="11" t="s">
        <v>18</v>
      </c>
      <c r="E23" s="11" t="s">
        <v>48</v>
      </c>
      <c r="F23" s="11" t="s">
        <v>20</v>
      </c>
      <c r="G23" s="11">
        <v>150</v>
      </c>
      <c r="H23" s="12">
        <v>1087</v>
      </c>
      <c r="I23" s="12">
        <f t="shared" si="0"/>
        <v>163050</v>
      </c>
    </row>
    <row r="24" spans="1:9" s="13" customFormat="1" ht="29.25" customHeight="1" x14ac:dyDescent="0.2">
      <c r="A24" s="10">
        <v>15</v>
      </c>
      <c r="B24" s="11" t="s">
        <v>49</v>
      </c>
      <c r="C24" s="11" t="s">
        <v>17</v>
      </c>
      <c r="D24" s="11" t="s">
        <v>18</v>
      </c>
      <c r="E24" s="11" t="s">
        <v>50</v>
      </c>
      <c r="F24" s="11" t="s">
        <v>29</v>
      </c>
      <c r="G24" s="11">
        <v>1950</v>
      </c>
      <c r="H24" s="12">
        <v>1143.8499999999999</v>
      </c>
      <c r="I24" s="12">
        <f t="shared" si="0"/>
        <v>2230507.5</v>
      </c>
    </row>
    <row r="25" spans="1:9" s="13" customFormat="1" ht="28.5" customHeight="1" x14ac:dyDescent="0.2">
      <c r="A25" s="10">
        <v>16</v>
      </c>
      <c r="B25" s="11" t="s">
        <v>51</v>
      </c>
      <c r="C25" s="11" t="s">
        <v>17</v>
      </c>
      <c r="D25" s="11" t="s">
        <v>18</v>
      </c>
      <c r="E25" s="11" t="s">
        <v>52</v>
      </c>
      <c r="F25" s="11" t="s">
        <v>29</v>
      </c>
      <c r="G25" s="11">
        <v>1950</v>
      </c>
      <c r="H25" s="12">
        <v>1567.48</v>
      </c>
      <c r="I25" s="12">
        <f t="shared" si="0"/>
        <v>3056586</v>
      </c>
    </row>
    <row r="26" spans="1:9" s="13" customFormat="1" ht="28.5" customHeight="1" x14ac:dyDescent="0.2">
      <c r="A26" s="10">
        <v>17</v>
      </c>
      <c r="B26" s="11" t="s">
        <v>53</v>
      </c>
      <c r="C26" s="11" t="s">
        <v>17</v>
      </c>
      <c r="D26" s="11" t="s">
        <v>18</v>
      </c>
      <c r="E26" s="11" t="s">
        <v>54</v>
      </c>
      <c r="F26" s="11" t="s">
        <v>20</v>
      </c>
      <c r="G26" s="11">
        <v>1910</v>
      </c>
      <c r="H26" s="12">
        <v>3472.5</v>
      </c>
      <c r="I26" s="12">
        <f t="shared" si="0"/>
        <v>6632475</v>
      </c>
    </row>
    <row r="27" spans="1:9" s="13" customFormat="1" ht="28.5" customHeight="1" x14ac:dyDescent="0.2">
      <c r="A27" s="10">
        <v>18</v>
      </c>
      <c r="B27" s="11" t="s">
        <v>55</v>
      </c>
      <c r="C27" s="11" t="s">
        <v>17</v>
      </c>
      <c r="D27" s="11" t="s">
        <v>18</v>
      </c>
      <c r="E27" s="11" t="s">
        <v>56</v>
      </c>
      <c r="F27" s="11" t="s">
        <v>29</v>
      </c>
      <c r="G27" s="11">
        <v>12</v>
      </c>
      <c r="H27" s="12">
        <v>8900</v>
      </c>
      <c r="I27" s="12">
        <f t="shared" si="0"/>
        <v>106800</v>
      </c>
    </row>
    <row r="28" spans="1:9" s="13" customFormat="1" ht="28.5" customHeight="1" x14ac:dyDescent="0.2">
      <c r="A28" s="10">
        <v>19</v>
      </c>
      <c r="B28" s="11" t="s">
        <v>57</v>
      </c>
      <c r="C28" s="11" t="s">
        <v>17</v>
      </c>
      <c r="D28" s="11" t="s">
        <v>18</v>
      </c>
      <c r="E28" s="11" t="s">
        <v>58</v>
      </c>
      <c r="F28" s="11" t="s">
        <v>29</v>
      </c>
      <c r="G28" s="11">
        <v>1</v>
      </c>
      <c r="H28" s="12">
        <v>43308</v>
      </c>
      <c r="I28" s="12">
        <f t="shared" si="0"/>
        <v>43308</v>
      </c>
    </row>
    <row r="29" spans="1:9" s="17" customFormat="1" ht="25.5" customHeight="1" x14ac:dyDescent="0.2">
      <c r="A29" s="14" t="s">
        <v>59</v>
      </c>
      <c r="B29" s="15"/>
      <c r="C29" s="16"/>
      <c r="D29" s="32" t="s">
        <v>60</v>
      </c>
      <c r="E29" s="32"/>
      <c r="F29" s="32"/>
      <c r="G29" s="33"/>
      <c r="H29" s="34">
        <f>SUM(I10:I28)</f>
        <v>19468049.5</v>
      </c>
      <c r="I29" s="35"/>
    </row>
    <row r="30" spans="1:9" ht="13.5" thickBot="1" x14ac:dyDescent="0.25">
      <c r="E30" s="18" t="s">
        <v>61</v>
      </c>
    </row>
    <row r="31" spans="1:9" ht="33.75" customHeight="1" x14ac:dyDescent="0.2">
      <c r="B31" s="36" t="s">
        <v>62</v>
      </c>
      <c r="C31" s="37"/>
      <c r="D31" s="37"/>
      <c r="E31" s="38"/>
    </row>
    <row r="32" spans="1:9" ht="5.25" customHeight="1" x14ac:dyDescent="0.2">
      <c r="B32" s="19"/>
      <c r="C32" s="20"/>
      <c r="D32" s="20"/>
      <c r="E32" s="21"/>
    </row>
    <row r="33" spans="2:5" x14ac:dyDescent="0.2">
      <c r="B33" s="22" t="s">
        <v>63</v>
      </c>
      <c r="C33" s="20"/>
      <c r="D33" s="20"/>
      <c r="E33" s="21"/>
    </row>
    <row r="34" spans="2:5" ht="29.25" customHeight="1" x14ac:dyDescent="0.2">
      <c r="B34" s="22"/>
      <c r="C34" s="39" t="s">
        <v>64</v>
      </c>
      <c r="D34" s="39"/>
      <c r="E34" s="40"/>
    </row>
    <row r="35" spans="2:5" x14ac:dyDescent="0.2">
      <c r="B35" s="22" t="s">
        <v>65</v>
      </c>
      <c r="C35" s="20"/>
      <c r="D35" s="20"/>
      <c r="E35" s="21"/>
    </row>
    <row r="36" spans="2:5" ht="34.5" customHeight="1" x14ac:dyDescent="0.2">
      <c r="B36" s="23"/>
      <c r="C36" s="41" t="s">
        <v>66</v>
      </c>
      <c r="D36" s="41"/>
      <c r="E36" s="42"/>
    </row>
    <row r="37" spans="2:5" x14ac:dyDescent="0.2">
      <c r="B37" s="23"/>
      <c r="C37" s="29"/>
      <c r="D37" s="29"/>
      <c r="E37" s="29"/>
    </row>
    <row r="38" spans="2:5" x14ac:dyDescent="0.2">
      <c r="B38" s="22" t="s">
        <v>67</v>
      </c>
      <c r="C38" s="20"/>
      <c r="D38" s="20"/>
      <c r="E38" s="21"/>
    </row>
    <row r="39" spans="2:5" ht="26.25" customHeight="1" x14ac:dyDescent="0.2">
      <c r="B39" s="23"/>
      <c r="C39" s="30" t="s">
        <v>68</v>
      </c>
      <c r="D39" s="30"/>
      <c r="E39" s="30"/>
    </row>
    <row r="40" spans="2:5" x14ac:dyDescent="0.2">
      <c r="B40" s="22" t="s">
        <v>69</v>
      </c>
      <c r="C40" s="24"/>
      <c r="D40" s="24"/>
      <c r="E40" s="25"/>
    </row>
    <row r="41" spans="2:5" ht="26.25" customHeight="1" x14ac:dyDescent="0.2">
      <c r="B41" s="23"/>
      <c r="C41" s="30"/>
      <c r="D41" s="30"/>
      <c r="E41" s="30"/>
    </row>
    <row r="42" spans="2:5" x14ac:dyDescent="0.2">
      <c r="B42" s="22" t="s">
        <v>70</v>
      </c>
      <c r="C42" s="20"/>
      <c r="D42" s="20"/>
      <c r="E42" s="21"/>
    </row>
    <row r="43" spans="2:5" ht="23.25" customHeight="1" x14ac:dyDescent="0.2">
      <c r="B43" s="22"/>
      <c r="C43" s="29"/>
      <c r="D43" s="29"/>
      <c r="E43" s="29"/>
    </row>
    <row r="44" spans="2:5" ht="13.5" thickBot="1" x14ac:dyDescent="0.25">
      <c r="B44" s="26"/>
      <c r="C44" s="27"/>
      <c r="D44" s="27"/>
      <c r="E44" s="28"/>
    </row>
  </sheetData>
  <mergeCells count="16">
    <mergeCell ref="H29:I29"/>
    <mergeCell ref="B31:E31"/>
    <mergeCell ref="C34:E34"/>
    <mergeCell ref="C36:E36"/>
    <mergeCell ref="B2:H2"/>
    <mergeCell ref="A4:B4"/>
    <mergeCell ref="C4:E4"/>
    <mergeCell ref="A5:B5"/>
    <mergeCell ref="C5:E5"/>
    <mergeCell ref="A6:B6"/>
    <mergeCell ref="C37:E37"/>
    <mergeCell ref="C39:E39"/>
    <mergeCell ref="C41:E41"/>
    <mergeCell ref="C43:E43"/>
    <mergeCell ref="A7:B7"/>
    <mergeCell ref="D29:G29"/>
  </mergeCells>
  <pageMargins left="0.7" right="0.7" top="0.75" bottom="0.75" header="0.51180555555555496" footer="0.51180555555555496"/>
  <pageSetup paperSize="9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2021-05-07T17:22:15Z</dcterms:created>
  <dcterms:modified xsi:type="dcterms:W3CDTF">2021-08-11T14:18:14Z</dcterms:modified>
</cp:coreProperties>
</file>