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436505-CAT-DPPR#MHP\"/>
    </mc:Choice>
  </mc:AlternateContent>
  <xr:revisionPtr revIDLastSave="0" documentId="8_{70B89368-5638-490C-B679-1CCD018F8A77}"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NotaPedido'!$A$1:$K$13</definedName>
    <definedName name="_xlnm.Print_Area" localSheetId="2">'Autor Gastar'!$A$1:$Q$30</definedName>
    <definedName name="_xlnm.Print_Area" localSheetId="0">'Necesidades Trimestrales'!$A$1:$I$61</definedName>
  </definedNames>
  <calcPr calcId="181029"/>
</workbook>
</file>

<file path=xl/calcChain.xml><?xml version="1.0" encoding="utf-8"?>
<calcChain xmlns="http://schemas.openxmlformats.org/spreadsheetml/2006/main">
  <c r="J13" i="2" l="1"/>
  <c r="Q23" i="3" l="1"/>
  <c r="I10" i="1" l="1"/>
  <c r="I11" i="1" l="1"/>
  <c r="D10" i="1"/>
  <c r="G4" i="3" l="1"/>
  <c r="G6" i="3" l="1"/>
  <c r="G7" i="3"/>
  <c r="G5" i="3"/>
  <c r="A10" i="3" l="1"/>
  <c r="D1" i="3"/>
</calcChain>
</file>

<file path=xl/sharedStrings.xml><?xml version="1.0" encoding="utf-8"?>
<sst xmlns="http://schemas.openxmlformats.org/spreadsheetml/2006/main" count="87" uniqueCount="76">
  <si>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</si>
  <si>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</si>
  <si>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</si>
  <si>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</si>
  <si>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</si>
  <si>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</si>
  <si>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</si>
  <si>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</si>
  <si>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</si>
  <si>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</si>
  <si>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</si>
  <si>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</si>
  <si>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</si>
  <si>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</si>
  <si>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</si>
  <si>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</si>
  <si>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</si>
  <si>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</si>
  <si>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</si>
  <si>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</si>
  <si>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</si>
  <si>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</si>
  <si>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</si>
  <si>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</si>
  <si>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</si>
  <si>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</si>
  <si>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</si>
  <si>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</si>
  <si>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</si>
  <si>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</si>
  <si>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</si>
  <si>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</si>
  <si>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</si>
  <si>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</si>
  <si>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</si>
  <si>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</si>
  <si>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</si>
  <si>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</si>
  <si>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</si>
  <si>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</si>
  <si>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</si>
  <si>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</si>
  <si>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</si>
  <si>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</si>
  <si>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</si>
  <si>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</si>
  <si>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</si>
  <si>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</si>
  <si>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</si>
  <si>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</si>
  <si>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</si>
  <si>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</si>
  <si>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</si>
  <si>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</si>
  <si>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</si>
  <si>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</si>
  <si>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</si>
  <si>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</si>
  <si>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Equipo de Computación</t>
  </si>
  <si>
    <t>INFORMATICA</t>
  </si>
  <si>
    <t>Garantía del fabricante minima de un (1) año.</t>
  </si>
  <si>
    <t>70 - MINISTERIO DE CIENCIA E INNOVACION TECNOLOGICA</t>
  </si>
  <si>
    <t>20 - MINISTERIO DE CIENCIA E INNOVACION TECNOLOGICA</t>
  </si>
  <si>
    <t>1.1</t>
  </si>
  <si>
    <r>
      <t xml:space="preserve">Mantenimiento:  </t>
    </r>
    <r>
      <rPr>
        <sz val="10"/>
        <rFont val="Times New Roman"/>
        <family val="1"/>
      </rPr>
      <t>Treinta Días Hábiles.-</t>
    </r>
  </si>
  <si>
    <t>COMPUTADORAS; TIPO: NOTEBOOK, CODIGO ETAP: PC-007, VERSION ETAP: 23.0</t>
  </si>
  <si>
    <t>4.3.6-6160.222</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</si>
  <si>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Republica de Venezuela S/N° - CAPE- Pabellón N° 26 San Fernando del Valle de Catamarca.  Se presentará Remito que deberá cumplimentar lo dispuesto por la R.G. AFIP  1415/03, sin excepción.</t>
  </si>
  <si>
    <t>Costo total estimado:  PESOS UN MILLON SETECIENTOS MIL CON 00/100.-</t>
  </si>
  <si>
    <t>PESOS:  PESOS UN MILLON SETECIENTOS MIL CON 00/100.-</t>
  </si>
  <si>
    <t>SECRETARIA DE CIENCIA</t>
  </si>
  <si>
    <t>2º TRIMESTRE</t>
  </si>
  <si>
    <t>DIRECCION PROVINCIAL DE GESTION ADMINISTRATIVA Y RECURSOS HUMANOS</t>
  </si>
  <si>
    <t xml:space="preserve">ADQUISICIÓN DE  EQUIPOS DE INFORMATICOS DESTINADOS AL CENTRO DEL CONOCIMIENTO DE  LA SECRETARIA DE CIENCIA DEPENDIENTE DEL MINISTERIO DE CIENCIA E INNOVACIÓN TECNOLÓGICA.- </t>
  </si>
  <si>
    <t>016/2021</t>
  </si>
  <si>
    <t xml:space="preserve">NOTEBOOK - alto rendimiento – Pantalla HD 14” Resolución 1366px x 768px mínimo.  Procesador Tipo  Intel Core i5-8265U 4.2 GHz. Memoria del Sistema 8 GB. DDR4 SDRAM. Conectividad Lector de Tarjeta 4 en 1. HDMI. USB 4 (2X 3.29), (2X3.2 Type C). DISCO RIGIDO 256 GB SSD mínimo. Sistema Operativo WINDOWS 10 Pro. Batería de 65 Wh mínimo. Wifi.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</si>
</sst>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charset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6">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29">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9" fillId="0" borderId="20" xfId="0" applyFont="1" applyBorder="1" applyAlignment="1">
      <alignment horizontal="left" vertical="center"/>
    </xf>
    <xf numFmtId="3" fontId="4" fillId="0" borderId="20"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166" fontId="0" fillId="0" borderId="35" xfId="3" applyNumberFormat="1" applyFont="1" applyBorder="1" applyAlignment="1" applyProtection="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166" fontId="14" fillId="0" borderId="45"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166" fontId="4" fillId="3" borderId="19" xfId="1" applyNumberFormat="1" applyFont="1" applyFill="1" applyBorder="1" applyAlignment="1" applyProtection="1">
      <alignment horizontal="right" vertical="center" wrapText="1"/>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52" xfId="0" applyFont="1" applyBorder="1" applyAlignment="1">
      <alignment horizontal="center" vertical="center"/>
    </xf>
    <xf numFmtId="0" fontId="22" fillId="4" borderId="53" xfId="0" applyFont="1" applyFill="1" applyBorder="1" applyAlignment="1">
      <alignment horizontal="center" vertical="center" wrapText="1"/>
    </xf>
    <xf numFmtId="0" fontId="22" fillId="0" borderId="53" xfId="0" applyFont="1" applyBorder="1" applyAlignment="1">
      <alignment horizontal="left" vertical="center" wrapText="1"/>
    </xf>
    <xf numFmtId="0" fontId="22" fillId="0" borderId="53" xfId="0" applyFont="1" applyBorder="1" applyAlignment="1">
      <alignment horizontal="center" vertical="center" wrapText="1"/>
    </xf>
    <xf numFmtId="166" fontId="21" fillId="4" borderId="53" xfId="1" applyNumberFormat="1" applyFont="1" applyFill="1" applyBorder="1" applyAlignment="1" applyProtection="1">
      <alignment horizontal="right" vertical="center" wrapText="1"/>
    </xf>
    <xf numFmtId="166" fontId="21" fillId="4" borderId="55" xfId="1" applyNumberFormat="1" applyFont="1" applyFill="1" applyBorder="1" applyAlignment="1" applyProtection="1">
      <alignment horizontal="right" vertical="center" wrapText="1"/>
    </xf>
    <xf numFmtId="0" fontId="20" fillId="0" borderId="54" xfId="0" applyFont="1" applyBorder="1" applyAlignment="1">
      <alignment horizontal="center" vertical="center" wrapText="1"/>
    </xf>
    <xf numFmtId="166" fontId="16" fillId="0" borderId="0" xfId="0" applyNumberFormat="1" applyFont="1"/>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16" fillId="4" borderId="0" xfId="0" applyFont="1" applyFill="1" applyBorder="1" applyAlignment="1">
      <alignment horizontal="left"/>
    </xf>
    <xf numFmtId="0" fontId="16" fillId="4" borderId="6" xfId="0" applyFont="1" applyFill="1" applyBorder="1" applyAlignment="1">
      <alignment horizontal="left"/>
    </xf>
    <xf numFmtId="0" fontId="21" fillId="4" borderId="0"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8"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 fillId="4" borderId="45" xfId="0" applyFont="1" applyFill="1" applyBorder="1" applyAlignment="1">
      <alignment horizontal="left" vertical="center" wrapText="1" indent="1"/>
    </xf>
    <xf numFmtId="0" fontId="0" fillId="0" borderId="39" xfId="0" applyFont="1" applyBorder="1" applyAlignment="1">
      <alignment horizontal="left" vertical="center"/>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3" xfId="0" applyBorder="1"/>
    <xf numFmtId="0" fontId="15" fillId="0" borderId="33" xfId="0" applyFont="1" applyBorder="1" applyAlignment="1">
      <alignment horizontal="left" vertical="center" wrapText="1"/>
    </xf>
    <xf numFmtId="0" fontId="0" fillId="0" borderId="33" xfId="0" applyFont="1" applyBorder="1" applyAlignment="1">
      <alignment horizontal="left" vertical="center" wrapText="1"/>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4" fillId="0" borderId="13"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25" fillId="0" borderId="11" xfId="0" applyFont="1" applyBorder="1" applyAlignment="1">
      <alignment horizontal="left" inden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85"/>
  <sheetViews>
    <sheetView tabSelected="1" topLeftCell="B1" zoomScale="130" zoomScaleNormal="130" workbookViewId="0">
      <selection activeCell="C15" sqref="C15:E15"/>
    </sheetView>
  </sheetViews>
  <sheetFormatPr baseColWidth="10" defaultColWidth="11" defaultRowHeight="12.75" x14ac:dyDescent="0.2"/>
  <cols>
    <col min="1" max="1" width="4.5703125" style="42" customWidth="1"/>
    <col min="2" max="2" width="12.5703125" style="42" customWidth="1"/>
    <col min="3" max="3" width="19.7109375" style="42" customWidth="1"/>
    <col min="4" max="4" width="7.140625" style="42" customWidth="1"/>
    <col min="5" max="5" width="59.42578125" style="42" customWidth="1"/>
    <col min="6" max="6" width="11" style="42"/>
    <col min="7" max="7" width="10.85546875" style="42" customWidth="1"/>
    <col min="8" max="8" width="11.85546875" style="42" customWidth="1"/>
    <col min="9" max="9" width="13.42578125" style="42" customWidth="1"/>
    <col min="10" max="16384" width="11" style="42"/>
  </cols>
  <sheetData>
    <row r="2" spans="1:9" ht="27" x14ac:dyDescent="0.35">
      <c r="B2" s="85" t="s">
        <v>0</v>
      </c>
      <c r="C2" s="85"/>
      <c r="D2" s="85"/>
      <c r="E2" s="85"/>
      <c r="F2" s="85"/>
      <c r="G2" s="85"/>
      <c r="H2" s="85"/>
    </row>
    <row r="3" spans="1:9" ht="8.25" customHeight="1" x14ac:dyDescent="0.2"/>
    <row r="4" spans="1:9" ht="27.75" customHeight="1" x14ac:dyDescent="0.25">
      <c r="A4" s="84" t="s">
        <v>1</v>
      </c>
      <c r="B4" s="84"/>
      <c r="C4" s="86" t="s">
        <v>61</v>
      </c>
      <c r="D4" s="86"/>
      <c r="E4" s="86"/>
      <c r="F4" s="43"/>
      <c r="G4" s="44"/>
      <c r="H4" s="43"/>
    </row>
    <row r="5" spans="1:9" ht="18" customHeight="1" x14ac:dyDescent="0.25">
      <c r="A5" s="84" t="s">
        <v>2</v>
      </c>
      <c r="B5" s="84"/>
      <c r="C5" s="86" t="s">
        <v>62</v>
      </c>
      <c r="D5" s="86"/>
      <c r="E5" s="86"/>
      <c r="F5" s="43"/>
      <c r="G5" s="44"/>
      <c r="H5" s="43"/>
    </row>
    <row r="6" spans="1:9" ht="16.5" customHeight="1" x14ac:dyDescent="0.25">
      <c r="A6" s="84" t="s">
        <v>3</v>
      </c>
      <c r="B6" s="84"/>
      <c r="C6" s="66">
        <v>2021</v>
      </c>
      <c r="D6" s="67"/>
      <c r="E6" s="67"/>
      <c r="F6" s="43"/>
      <c r="G6" s="44"/>
      <c r="H6" s="43"/>
    </row>
    <row r="7" spans="1:9" ht="16.5" customHeight="1" x14ac:dyDescent="0.25">
      <c r="A7" s="84" t="s">
        <v>4</v>
      </c>
      <c r="B7" s="84"/>
      <c r="C7" s="66">
        <v>2</v>
      </c>
      <c r="D7" s="67"/>
      <c r="E7" s="67"/>
      <c r="F7" s="43"/>
      <c r="G7" s="44"/>
      <c r="H7" s="43"/>
    </row>
    <row r="8" spans="1:9" x14ac:dyDescent="0.2">
      <c r="B8" s="43"/>
      <c r="C8" s="44"/>
      <c r="D8" s="43"/>
      <c r="E8" s="43"/>
      <c r="F8" s="43"/>
      <c r="G8" s="44"/>
      <c r="H8" s="43"/>
    </row>
    <row r="9" spans="1:9" ht="39" thickTop="1" x14ac:dyDescent="0.2">
      <c r="A9" s="74" t="s">
        <v>5</v>
      </c>
      <c r="B9" s="74" t="s">
        <v>6</v>
      </c>
      <c r="C9" s="74" t="s">
        <v>7</v>
      </c>
      <c r="D9" s="74" t="s">
        <v>8</v>
      </c>
      <c r="E9" s="74" t="s">
        <v>9</v>
      </c>
      <c r="F9" s="74" t="s">
        <v>10</v>
      </c>
      <c r="G9" s="74" t="s">
        <v>11</v>
      </c>
      <c r="H9" s="74" t="s">
        <v>12</v>
      </c>
      <c r="I9" s="74" t="s">
        <v>13</v>
      </c>
    </row>
    <row r="10" spans="1:9" ht="51" customHeight="1" x14ac:dyDescent="0.2">
      <c r="A10" s="68">
        <v>1</v>
      </c>
      <c r="B10" s="69" t="s">
        <v>66</v>
      </c>
      <c r="C10" s="70" t="s">
        <v>59</v>
      </c>
      <c r="D10" s="71" t="str">
        <f t="shared" ref="D10" si="0">LEFT(B10,5)</f>
        <v>4.3.6</v>
      </c>
      <c r="E10" s="70" t="s">
        <v>65</v>
      </c>
      <c r="F10" s="69" t="s">
        <v>14</v>
      </c>
      <c r="G10" s="69">
        <v>10</v>
      </c>
      <c r="H10" s="72">
        <v>170000</v>
      </c>
      <c r="I10" s="73">
        <f t="shared" ref="I10" si="1">G10*H10</f>
        <v>1700000</v>
      </c>
    </row>
    <row r="11" spans="1:9" ht="13.5" thickBot="1" x14ac:dyDescent="0.25">
      <c r="I11" s="75">
        <f>SUM(I10:I10)</f>
        <v>1700000</v>
      </c>
    </row>
    <row r="12" spans="1:9" x14ac:dyDescent="0.2">
      <c r="B12" s="45" t="s">
        <v>15</v>
      </c>
      <c r="C12" s="46"/>
      <c r="D12" s="46"/>
      <c r="E12" s="47"/>
    </row>
    <row r="13" spans="1:9" ht="7.5" customHeight="1" x14ac:dyDescent="0.2">
      <c r="B13" s="48"/>
      <c r="C13" s="49"/>
      <c r="D13" s="49"/>
      <c r="E13" s="50"/>
    </row>
    <row r="14" spans="1:9" x14ac:dyDescent="0.2">
      <c r="B14" s="51" t="s">
        <v>16</v>
      </c>
      <c r="C14" s="49"/>
      <c r="D14" s="49"/>
      <c r="E14" s="50"/>
    </row>
    <row r="15" spans="1:9" ht="80.25" customHeight="1" x14ac:dyDescent="0.2">
      <c r="B15" s="51"/>
      <c r="C15" s="80" t="s">
        <v>75</v>
      </c>
      <c r="D15" s="80"/>
      <c r="E15" s="81"/>
    </row>
    <row r="16" spans="1:9" x14ac:dyDescent="0.2">
      <c r="B16" s="51" t="s">
        <v>17</v>
      </c>
      <c r="C16" s="49"/>
      <c r="D16" s="49"/>
      <c r="E16" s="50"/>
    </row>
    <row r="17" spans="2:5" x14ac:dyDescent="0.2">
      <c r="B17" s="52"/>
      <c r="C17" s="82" t="s">
        <v>67</v>
      </c>
      <c r="D17" s="82"/>
      <c r="E17" s="83"/>
    </row>
    <row r="18" spans="2:5" ht="59.25" customHeight="1" x14ac:dyDescent="0.2">
      <c r="B18" s="52"/>
      <c r="C18" s="82"/>
      <c r="D18" s="82"/>
      <c r="E18" s="83"/>
    </row>
    <row r="19" spans="2:5" x14ac:dyDescent="0.2">
      <c r="B19" s="51" t="s">
        <v>18</v>
      </c>
      <c r="C19" s="49"/>
      <c r="D19" s="49"/>
      <c r="E19" s="50"/>
    </row>
    <row r="20" spans="2:5" ht="6" customHeight="1" x14ac:dyDescent="0.2">
      <c r="B20" s="52"/>
      <c r="C20" s="76"/>
      <c r="D20" s="76"/>
      <c r="E20" s="77"/>
    </row>
    <row r="21" spans="2:5" x14ac:dyDescent="0.2">
      <c r="B21" s="51" t="s">
        <v>64</v>
      </c>
      <c r="C21" s="53"/>
      <c r="D21" s="53"/>
      <c r="E21" s="54"/>
    </row>
    <row r="22" spans="2:5" ht="7.5" customHeight="1" x14ac:dyDescent="0.2">
      <c r="B22" s="52"/>
      <c r="C22" s="76"/>
      <c r="D22" s="76"/>
      <c r="E22" s="77"/>
    </row>
    <row r="23" spans="2:5" x14ac:dyDescent="0.2">
      <c r="B23" s="51" t="s">
        <v>19</v>
      </c>
      <c r="C23" s="49"/>
      <c r="D23" s="49"/>
      <c r="E23" s="50"/>
    </row>
    <row r="24" spans="2:5" ht="15" customHeight="1" x14ac:dyDescent="0.2">
      <c r="B24" s="51"/>
      <c r="C24" s="76" t="s">
        <v>60</v>
      </c>
      <c r="D24" s="78"/>
      <c r="E24" s="79"/>
    </row>
    <row r="25" spans="2:5" ht="13.5" thickBot="1" x14ac:dyDescent="0.25">
      <c r="B25" s="55"/>
      <c r="C25" s="56"/>
      <c r="D25" s="56"/>
      <c r="E25" s="57"/>
    </row>
    <row r="28" spans="2:5" ht="6.75" customHeight="1" x14ac:dyDescent="0.2"/>
    <row r="30" spans="2:5" ht="68.25" customHeight="1" x14ac:dyDescent="0.2"/>
    <row r="32" spans="2:5" ht="24" customHeight="1" x14ac:dyDescent="0.2"/>
    <row r="33" ht="47.25" customHeight="1" x14ac:dyDescent="0.2"/>
    <row r="35" ht="4.5" customHeight="1" x14ac:dyDescent="0.2"/>
    <row r="37" ht="7.5" customHeight="1" x14ac:dyDescent="0.2"/>
    <row r="39" ht="12.75" customHeight="1" x14ac:dyDescent="0.2"/>
    <row r="40" ht="2.25" customHeight="1" x14ac:dyDescent="0.2"/>
    <row r="43" ht="20.25" customHeight="1" x14ac:dyDescent="0.2"/>
    <row r="46" ht="3.75" customHeight="1" x14ac:dyDescent="0.2"/>
    <row r="48" ht="137.25" customHeight="1" x14ac:dyDescent="0.2"/>
    <row r="50" ht="12.75" customHeight="1" x14ac:dyDescent="0.2"/>
    <row r="51" ht="52.5" customHeight="1" x14ac:dyDescent="0.2"/>
    <row r="52" ht="12.75" customHeight="1" x14ac:dyDescent="0.2"/>
    <row r="57" ht="12.75" customHeight="1" x14ac:dyDescent="0.2"/>
    <row r="59" ht="4.5" customHeight="1" x14ac:dyDescent="0.2"/>
    <row r="60" ht="7.5" customHeight="1" x14ac:dyDescent="0.2"/>
    <row r="61" ht="12.75" customHeight="1" x14ac:dyDescent="0.2"/>
    <row r="63" ht="3.75" customHeight="1" x14ac:dyDescent="0.2"/>
    <row r="65" ht="83.25" customHeight="1" x14ac:dyDescent="0.2"/>
    <row r="68" ht="52.5" customHeight="1" x14ac:dyDescent="0.2"/>
    <row r="76" ht="4.5" customHeight="1" x14ac:dyDescent="0.2"/>
    <row r="80" ht="3.75" customHeight="1" x14ac:dyDescent="0.2"/>
    <row r="82" ht="83.25" customHeight="1" x14ac:dyDescent="0.2"/>
    <row r="85" ht="52.5" customHeight="1" x14ac:dyDescent="0.2"/>
  </sheetData>
  <mergeCells count="12">
    <mergeCell ref="A6:B6"/>
    <mergeCell ref="A7:B7"/>
    <mergeCell ref="B2:H2"/>
    <mergeCell ref="A4:B4"/>
    <mergeCell ref="C4:E4"/>
    <mergeCell ref="A5:B5"/>
    <mergeCell ref="C5:E5"/>
    <mergeCell ref="C20:E20"/>
    <mergeCell ref="C22:E22"/>
    <mergeCell ref="C24:E24"/>
    <mergeCell ref="C15:E15"/>
    <mergeCell ref="C17:E18"/>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3"/>
  <sheetViews>
    <sheetView topLeftCell="A4" zoomScale="110" zoomScaleNormal="110" workbookViewId="0">
      <selection activeCell="D6" sqref="D6:K6"/>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7" t="s">
        <v>20</v>
      </c>
      <c r="B1" s="97"/>
      <c r="C1" s="97"/>
      <c r="D1" s="97"/>
      <c r="E1" s="97"/>
      <c r="F1" s="97"/>
      <c r="G1" s="97"/>
      <c r="H1" s="97"/>
      <c r="I1" s="97"/>
      <c r="J1" s="3" t="s">
        <v>21</v>
      </c>
      <c r="K1" s="58" t="s">
        <v>74</v>
      </c>
    </row>
    <row r="2" spans="1:11" ht="18.75" customHeight="1" thickBot="1" x14ac:dyDescent="0.25">
      <c r="A2" s="4"/>
      <c r="B2" s="4"/>
      <c r="C2" s="4"/>
      <c r="D2" s="5"/>
      <c r="E2" s="5"/>
      <c r="F2" s="5"/>
      <c r="G2" s="5"/>
      <c r="H2" s="5"/>
      <c r="I2" s="5"/>
      <c r="J2" s="5"/>
      <c r="K2" s="5"/>
    </row>
    <row r="3" spans="1:11" ht="18.75" customHeight="1" thickBot="1" x14ac:dyDescent="0.25">
      <c r="A3" s="98" t="s">
        <v>55</v>
      </c>
      <c r="B3" s="98"/>
      <c r="C3" s="98"/>
      <c r="D3" s="99" t="s">
        <v>61</v>
      </c>
      <c r="E3" s="99"/>
      <c r="F3" s="99"/>
      <c r="G3" s="99"/>
      <c r="H3" s="99"/>
      <c r="I3" s="99"/>
      <c r="J3" s="99"/>
      <c r="K3" s="99"/>
    </row>
    <row r="4" spans="1:11" ht="18.75" customHeight="1" thickBot="1" x14ac:dyDescent="0.25">
      <c r="A4" s="100" t="s">
        <v>56</v>
      </c>
      <c r="B4" s="100"/>
      <c r="C4" s="100"/>
      <c r="D4" s="99" t="s">
        <v>62</v>
      </c>
      <c r="E4" s="99"/>
      <c r="F4" s="99"/>
      <c r="G4" s="99"/>
      <c r="H4" s="99"/>
      <c r="I4" s="99"/>
      <c r="J4" s="99"/>
      <c r="K4" s="99"/>
    </row>
    <row r="5" spans="1:11" ht="18.75" customHeight="1" thickBot="1" x14ac:dyDescent="0.25">
      <c r="A5" s="100" t="s">
        <v>34</v>
      </c>
      <c r="B5" s="100"/>
      <c r="C5" s="100"/>
      <c r="D5" s="99" t="s">
        <v>70</v>
      </c>
      <c r="E5" s="99"/>
      <c r="F5" s="99"/>
      <c r="G5" s="99"/>
      <c r="H5" s="99"/>
      <c r="I5" s="99"/>
      <c r="J5" s="99"/>
      <c r="K5" s="99"/>
    </row>
    <row r="6" spans="1:11" ht="16.5" customHeight="1" thickBot="1" x14ac:dyDescent="0.25">
      <c r="A6" s="98" t="s">
        <v>57</v>
      </c>
      <c r="B6" s="98"/>
      <c r="C6" s="98"/>
      <c r="D6" s="99" t="s">
        <v>72</v>
      </c>
      <c r="E6" s="99"/>
      <c r="F6" s="99"/>
      <c r="G6" s="99"/>
      <c r="H6" s="99"/>
      <c r="I6" s="99"/>
      <c r="J6" s="99"/>
      <c r="K6" s="99"/>
    </row>
    <row r="7" spans="1:11" ht="16.5" customHeight="1" x14ac:dyDescent="0.2">
      <c r="A7" s="100" t="s">
        <v>22</v>
      </c>
      <c r="B7" s="100"/>
      <c r="C7" s="100"/>
      <c r="D7" s="99" t="s">
        <v>71</v>
      </c>
      <c r="E7" s="99"/>
      <c r="F7" s="99"/>
      <c r="G7" s="99"/>
      <c r="H7" s="99"/>
      <c r="I7" s="99"/>
      <c r="J7" s="99"/>
      <c r="K7" s="99"/>
    </row>
    <row r="8" spans="1:11" ht="40.5" customHeight="1" x14ac:dyDescent="0.2">
      <c r="A8" s="92" t="s">
        <v>23</v>
      </c>
      <c r="B8" s="92"/>
      <c r="C8" s="92"/>
      <c r="D8" s="93" t="s">
        <v>73</v>
      </c>
      <c r="E8" s="93"/>
      <c r="F8" s="93"/>
      <c r="G8" s="93"/>
      <c r="H8" s="93"/>
      <c r="I8" s="93"/>
      <c r="J8" s="93"/>
      <c r="K8" s="93"/>
    </row>
    <row r="9" spans="1:11" ht="15.75" x14ac:dyDescent="0.2">
      <c r="A9" s="6"/>
      <c r="B9" s="6"/>
      <c r="C9" s="6"/>
      <c r="D9" s="7"/>
      <c r="E9" s="7"/>
      <c r="F9" s="7"/>
      <c r="G9" s="7"/>
      <c r="H9" s="7"/>
      <c r="I9" s="7"/>
      <c r="J9" s="7"/>
      <c r="K9" s="7"/>
    </row>
    <row r="10" spans="1:11" ht="18.75" customHeight="1" x14ac:dyDescent="0.2">
      <c r="A10" s="94" t="s">
        <v>24</v>
      </c>
      <c r="B10" s="95" t="s">
        <v>25</v>
      </c>
      <c r="C10" s="95" t="s">
        <v>26</v>
      </c>
      <c r="D10" s="95"/>
      <c r="E10" s="95"/>
      <c r="F10" s="95"/>
      <c r="G10" s="95"/>
      <c r="H10" s="95" t="s">
        <v>27</v>
      </c>
      <c r="I10" s="95" t="s">
        <v>28</v>
      </c>
      <c r="J10" s="95" t="s">
        <v>29</v>
      </c>
      <c r="K10" s="96" t="s">
        <v>30</v>
      </c>
    </row>
    <row r="11" spans="1:11" ht="24" customHeight="1" thickBot="1" x14ac:dyDescent="0.25">
      <c r="A11" s="94"/>
      <c r="B11" s="95"/>
      <c r="C11" s="95"/>
      <c r="D11" s="95"/>
      <c r="E11" s="95"/>
      <c r="F11" s="95"/>
      <c r="G11" s="95"/>
      <c r="H11" s="95"/>
      <c r="I11" s="95"/>
      <c r="J11" s="95"/>
      <c r="K11" s="96"/>
    </row>
    <row r="12" spans="1:11" ht="49.5" customHeight="1" thickBot="1" x14ac:dyDescent="0.25">
      <c r="A12" s="8">
        <v>1</v>
      </c>
      <c r="B12" s="9" t="s">
        <v>66</v>
      </c>
      <c r="C12" s="89" t="s">
        <v>65</v>
      </c>
      <c r="D12" s="90"/>
      <c r="E12" s="90"/>
      <c r="F12" s="90"/>
      <c r="G12" s="91"/>
      <c r="H12" s="59" t="s">
        <v>31</v>
      </c>
      <c r="I12" s="60" t="s">
        <v>14</v>
      </c>
      <c r="J12" s="61">
        <v>170000</v>
      </c>
      <c r="K12" s="10">
        <v>10</v>
      </c>
    </row>
    <row r="13" spans="1:11" ht="31.5" customHeight="1" thickBot="1" x14ac:dyDescent="0.25">
      <c r="A13" s="87" t="s">
        <v>68</v>
      </c>
      <c r="B13" s="87"/>
      <c r="C13" s="87"/>
      <c r="D13" s="87"/>
      <c r="E13" s="87"/>
      <c r="F13" s="87"/>
      <c r="G13" s="87"/>
      <c r="H13" s="87"/>
      <c r="I13" s="87"/>
      <c r="J13" s="88">
        <f>SUMPRODUCT(J12:J12,K12:K12)</f>
        <v>1700000</v>
      </c>
      <c r="K13" s="88"/>
    </row>
  </sheetData>
  <mergeCells count="23">
    <mergeCell ref="A1:I1"/>
    <mergeCell ref="A6:C6"/>
    <mergeCell ref="D6:K6"/>
    <mergeCell ref="A7:C7"/>
    <mergeCell ref="D7:K7"/>
    <mergeCell ref="A3:C3"/>
    <mergeCell ref="D3:K3"/>
    <mergeCell ref="A4:C4"/>
    <mergeCell ref="D4:K4"/>
    <mergeCell ref="A5:C5"/>
    <mergeCell ref="D5:K5"/>
    <mergeCell ref="A13:I13"/>
    <mergeCell ref="J13:K13"/>
    <mergeCell ref="C12:G12"/>
    <mergeCell ref="A8:C8"/>
    <mergeCell ref="D8:K8"/>
    <mergeCell ref="A10:A11"/>
    <mergeCell ref="B10:B11"/>
    <mergeCell ref="C10:G11"/>
    <mergeCell ref="H10:H11"/>
    <mergeCell ref="I10:I11"/>
    <mergeCell ref="J10:J11"/>
    <mergeCell ref="K10:K11"/>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zoomScale="130" zoomScaleNormal="130" workbookViewId="0">
      <selection activeCell="G15" sqref="G15"/>
    </sheetView>
  </sheetViews>
  <sheetFormatPr baseColWidth="10" defaultColWidth="11" defaultRowHeight="12.75" x14ac:dyDescent="0.2"/>
  <cols>
    <col min="1" max="4" width="4.42578125" customWidth="1"/>
    <col min="5" max="5" width="4.140625" customWidth="1"/>
    <col min="6" max="6" width="5.42578125" customWidth="1"/>
    <col min="7" max="7" width="4.42578125" style="11" customWidth="1"/>
    <col min="8" max="14" width="4.42578125" customWidth="1"/>
    <col min="15" max="15" width="14.85546875" customWidth="1"/>
    <col min="16" max="16" width="14" customWidth="1"/>
    <col min="17" max="17" width="14.7109375" customWidth="1"/>
  </cols>
  <sheetData>
    <row r="1" spans="1:17" ht="15.75" customHeight="1" x14ac:dyDescent="0.25">
      <c r="A1" s="125" t="s">
        <v>3</v>
      </c>
      <c r="B1" s="125"/>
      <c r="C1" s="125"/>
      <c r="D1" s="126">
        <f>'Necesidades Trimestrales'!C6</f>
        <v>2021</v>
      </c>
      <c r="E1" s="126"/>
      <c r="F1" s="12"/>
      <c r="G1" s="12"/>
      <c r="H1" s="13"/>
      <c r="I1" s="13"/>
      <c r="J1" s="13"/>
      <c r="K1" s="13"/>
      <c r="L1" s="13"/>
      <c r="M1" s="13"/>
      <c r="N1" s="13"/>
      <c r="P1" s="127" t="s">
        <v>32</v>
      </c>
      <c r="Q1" s="127"/>
    </row>
    <row r="2" spans="1:17" ht="15.75" customHeight="1" x14ac:dyDescent="0.2">
      <c r="H2" s="13"/>
      <c r="I2" s="13"/>
      <c r="J2" s="13"/>
      <c r="K2" s="13"/>
      <c r="L2" s="13"/>
      <c r="M2" s="13"/>
      <c r="N2" s="13"/>
      <c r="P2" s="127"/>
      <c r="Q2" s="127"/>
    </row>
    <row r="4" spans="1:17" s="14" customFormat="1" ht="18" customHeight="1" thickBot="1" x14ac:dyDescent="0.25">
      <c r="A4" s="128" t="s">
        <v>33</v>
      </c>
      <c r="B4" s="128"/>
      <c r="C4" s="128"/>
      <c r="D4" s="128"/>
      <c r="E4" s="128"/>
      <c r="F4" s="128"/>
      <c r="G4" s="122" t="str">
        <f>' NotaPedido'!D3</f>
        <v>70 - MINISTERIO DE CIENCIA E INNOVACION TECNOLOGICA</v>
      </c>
      <c r="H4" s="122"/>
      <c r="I4" s="122"/>
      <c r="J4" s="122"/>
      <c r="K4" s="122"/>
      <c r="L4" s="122"/>
      <c r="M4" s="122"/>
      <c r="N4" s="122"/>
      <c r="O4" s="122"/>
      <c r="P4" s="122"/>
      <c r="Q4" s="122"/>
    </row>
    <row r="5" spans="1:17" s="14" customFormat="1" ht="18" customHeight="1" thickBot="1" x14ac:dyDescent="0.25">
      <c r="A5" s="119" t="s">
        <v>56</v>
      </c>
      <c r="B5" s="120"/>
      <c r="C5" s="120"/>
      <c r="D5" s="120"/>
      <c r="E5" s="120"/>
      <c r="F5" s="121"/>
      <c r="G5" s="122" t="str">
        <f>' NotaPedido'!D4</f>
        <v>20 - MINISTERIO DE CIENCIA E INNOVACION TECNOLOGICA</v>
      </c>
      <c r="H5" s="122"/>
      <c r="I5" s="122"/>
      <c r="J5" s="122"/>
      <c r="K5" s="122"/>
      <c r="L5" s="122"/>
      <c r="M5" s="122"/>
      <c r="N5" s="122"/>
      <c r="O5" s="122"/>
      <c r="P5" s="122"/>
      <c r="Q5" s="122"/>
    </row>
    <row r="6" spans="1:17" s="14" customFormat="1" ht="18" customHeight="1" thickBot="1" x14ac:dyDescent="0.25">
      <c r="A6" s="119" t="s">
        <v>34</v>
      </c>
      <c r="B6" s="120"/>
      <c r="C6" s="120"/>
      <c r="D6" s="120"/>
      <c r="E6" s="120"/>
      <c r="F6" s="121"/>
      <c r="G6" s="122" t="str">
        <f>' NotaPedido'!D5</f>
        <v>SECRETARIA DE CIENCIA</v>
      </c>
      <c r="H6" s="122"/>
      <c r="I6" s="122"/>
      <c r="J6" s="122"/>
      <c r="K6" s="122"/>
      <c r="L6" s="122"/>
      <c r="M6" s="122"/>
      <c r="N6" s="122"/>
      <c r="O6" s="122"/>
      <c r="P6" s="122"/>
      <c r="Q6" s="122"/>
    </row>
    <row r="7" spans="1:17" s="14" customFormat="1" ht="18" customHeight="1" thickBot="1" x14ac:dyDescent="0.25">
      <c r="A7" s="119" t="s">
        <v>57</v>
      </c>
      <c r="B7" s="120"/>
      <c r="C7" s="120"/>
      <c r="D7" s="120"/>
      <c r="E7" s="120"/>
      <c r="F7" s="121"/>
      <c r="G7" s="124" t="str">
        <f>' NotaPedido'!D6</f>
        <v>DIRECCION PROVINCIAL DE GESTION ADMINISTRATIVA Y RECURSOS HUMANOS</v>
      </c>
      <c r="H7" s="124"/>
      <c r="I7" s="124"/>
      <c r="J7" s="124"/>
      <c r="K7" s="124"/>
      <c r="L7" s="124"/>
      <c r="M7" s="124"/>
      <c r="N7" s="124"/>
      <c r="O7" s="124"/>
      <c r="P7" s="124"/>
      <c r="Q7" s="124"/>
    </row>
    <row r="8" spans="1:17" ht="18" customHeight="1" thickBot="1" x14ac:dyDescent="0.25">
      <c r="A8" s="123" t="s">
        <v>35</v>
      </c>
      <c r="B8" s="123"/>
      <c r="C8" s="123"/>
      <c r="D8" s="123"/>
      <c r="E8" s="123"/>
      <c r="F8" s="123"/>
      <c r="G8" s="123"/>
      <c r="H8" s="123"/>
      <c r="I8" s="123"/>
      <c r="J8" s="123"/>
      <c r="K8" s="123"/>
      <c r="L8" s="123"/>
      <c r="M8" s="123"/>
      <c r="N8" s="123"/>
      <c r="O8" s="123"/>
      <c r="P8" s="123"/>
      <c r="Q8" s="123"/>
    </row>
    <row r="9" spans="1:17" ht="18" customHeight="1" x14ac:dyDescent="0.2">
      <c r="A9" s="113" t="s">
        <v>36</v>
      </c>
      <c r="B9" s="113"/>
      <c r="C9" s="113"/>
      <c r="D9" s="113"/>
      <c r="E9" s="113"/>
      <c r="F9" s="113"/>
      <c r="G9" s="113"/>
      <c r="H9" s="113"/>
      <c r="I9" s="113"/>
      <c r="J9" s="113"/>
      <c r="K9" s="113"/>
      <c r="L9" s="113"/>
      <c r="M9" s="113"/>
      <c r="N9" s="113"/>
      <c r="O9" s="1"/>
      <c r="P9" s="1"/>
      <c r="Q9" s="15"/>
    </row>
    <row r="10" spans="1:17" ht="54.75" customHeight="1" x14ac:dyDescent="0.2">
      <c r="A10" s="114"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016/2021,  afectando la erogación resultante a los créditos presupuestarios aprobados a favor de esta Unidad Ejecutora, conforme al siguiente detalle:</v>
      </c>
      <c r="B10" s="114"/>
      <c r="C10" s="114"/>
      <c r="D10" s="114"/>
      <c r="E10" s="114"/>
      <c r="F10" s="114"/>
      <c r="G10" s="114"/>
      <c r="H10" s="114"/>
      <c r="I10" s="114"/>
      <c r="J10" s="114"/>
      <c r="K10" s="114"/>
      <c r="L10" s="114"/>
      <c r="M10" s="114"/>
      <c r="N10" s="114"/>
      <c r="O10" s="114"/>
      <c r="P10" s="114"/>
      <c r="Q10" s="114"/>
    </row>
    <row r="11" spans="1:17" ht="9" customHeight="1" x14ac:dyDescent="0.2">
      <c r="A11" s="16"/>
      <c r="B11" s="17"/>
      <c r="C11" s="17"/>
      <c r="D11" s="17"/>
      <c r="E11" s="17"/>
      <c r="F11" s="17"/>
      <c r="G11" s="18"/>
      <c r="H11" s="17"/>
      <c r="I11" s="17"/>
      <c r="J11" s="17"/>
      <c r="K11" s="17"/>
      <c r="L11" s="17"/>
      <c r="M11" s="17"/>
      <c r="N11" s="17"/>
      <c r="O11" s="17"/>
      <c r="P11" s="17"/>
      <c r="Q11" s="19"/>
    </row>
    <row r="12" spans="1:17" ht="15.75" customHeight="1" x14ac:dyDescent="0.2">
      <c r="A12" s="115" t="s">
        <v>37</v>
      </c>
      <c r="B12" s="115"/>
      <c r="C12" s="115"/>
      <c r="D12" s="115"/>
      <c r="E12" s="115"/>
      <c r="F12" s="115"/>
      <c r="G12" s="115"/>
      <c r="H12" s="115"/>
      <c r="I12" s="115"/>
      <c r="J12" s="115"/>
      <c r="K12" s="115"/>
      <c r="L12" s="115"/>
      <c r="M12" s="115"/>
      <c r="N12" s="115"/>
      <c r="O12" s="115"/>
      <c r="P12" s="115"/>
      <c r="Q12" s="115"/>
    </row>
    <row r="13" spans="1:17" ht="15.75" customHeight="1" x14ac:dyDescent="0.2">
      <c r="A13" s="116" t="s">
        <v>38</v>
      </c>
      <c r="B13" s="116"/>
      <c r="C13" s="116"/>
      <c r="D13" s="116"/>
      <c r="E13" s="116"/>
      <c r="F13" s="116"/>
      <c r="G13" s="116"/>
      <c r="H13" s="116"/>
      <c r="I13" s="116"/>
      <c r="J13" s="116"/>
      <c r="K13" s="116"/>
      <c r="L13" s="116"/>
      <c r="M13" s="116"/>
      <c r="N13" s="116"/>
      <c r="O13" s="117" t="s">
        <v>39</v>
      </c>
      <c r="P13" s="117"/>
      <c r="Q13" s="118" t="s">
        <v>40</v>
      </c>
    </row>
    <row r="14" spans="1:17" ht="15.75" customHeight="1" x14ac:dyDescent="0.2">
      <c r="A14" s="20" t="s">
        <v>41</v>
      </c>
      <c r="B14" s="21" t="s">
        <v>42</v>
      </c>
      <c r="C14" s="21" t="s">
        <v>43</v>
      </c>
      <c r="D14" s="21" t="s">
        <v>44</v>
      </c>
      <c r="E14" s="21" t="s">
        <v>45</v>
      </c>
      <c r="F14" s="21" t="s">
        <v>46</v>
      </c>
      <c r="G14" s="22" t="s">
        <v>47</v>
      </c>
      <c r="H14" s="21" t="s">
        <v>48</v>
      </c>
      <c r="I14" s="21" t="s">
        <v>49</v>
      </c>
      <c r="J14" s="21" t="s">
        <v>50</v>
      </c>
      <c r="K14" s="21" t="s">
        <v>50</v>
      </c>
      <c r="L14" s="21" t="s">
        <v>51</v>
      </c>
      <c r="M14" s="23" t="s">
        <v>52</v>
      </c>
      <c r="N14" s="24" t="s">
        <v>53</v>
      </c>
      <c r="O14" s="117"/>
      <c r="P14" s="117"/>
      <c r="Q14" s="118"/>
    </row>
    <row r="15" spans="1:17" ht="22.5" customHeight="1" x14ac:dyDescent="0.2">
      <c r="A15" s="62">
        <v>2</v>
      </c>
      <c r="B15" s="63">
        <v>0</v>
      </c>
      <c r="C15" s="63">
        <v>0</v>
      </c>
      <c r="D15" s="63">
        <v>1</v>
      </c>
      <c r="E15" s="63">
        <v>0</v>
      </c>
      <c r="F15" s="63">
        <v>4901</v>
      </c>
      <c r="G15" s="63">
        <v>3</v>
      </c>
      <c r="H15" s="63">
        <v>5</v>
      </c>
      <c r="I15" s="25">
        <v>4</v>
      </c>
      <c r="J15" s="25">
        <v>3</v>
      </c>
      <c r="K15" s="25">
        <v>6</v>
      </c>
      <c r="L15" s="63">
        <v>0</v>
      </c>
      <c r="M15" s="64">
        <v>1</v>
      </c>
      <c r="N15" s="63" t="s">
        <v>63</v>
      </c>
      <c r="O15" s="111" t="s">
        <v>58</v>
      </c>
      <c r="P15" s="112"/>
      <c r="Q15" s="26">
        <v>1700000</v>
      </c>
    </row>
    <row r="16" spans="1:17" ht="17.25" customHeight="1" x14ac:dyDescent="0.2">
      <c r="A16" s="27"/>
      <c r="B16" s="28"/>
      <c r="C16" s="28"/>
      <c r="D16" s="28"/>
      <c r="E16" s="28"/>
      <c r="F16" s="28"/>
      <c r="G16" s="28"/>
      <c r="H16" s="28"/>
      <c r="I16" s="28"/>
      <c r="J16" s="28"/>
      <c r="K16" s="28"/>
      <c r="L16" s="28"/>
      <c r="M16" s="29"/>
      <c r="N16" s="30"/>
      <c r="O16" s="106"/>
      <c r="P16" s="106"/>
      <c r="Q16" s="31"/>
    </row>
    <row r="17" spans="1:18" ht="17.25" customHeight="1" x14ac:dyDescent="0.2">
      <c r="A17" s="27"/>
      <c r="B17" s="28"/>
      <c r="C17" s="28"/>
      <c r="D17" s="28"/>
      <c r="E17" s="28"/>
      <c r="F17" s="30"/>
      <c r="G17" s="28"/>
      <c r="H17" s="28"/>
      <c r="I17" s="28"/>
      <c r="J17" s="28"/>
      <c r="K17" s="28"/>
      <c r="L17" s="28"/>
      <c r="M17" s="29"/>
      <c r="N17" s="30"/>
      <c r="O17" s="106"/>
      <c r="P17" s="106"/>
      <c r="Q17" s="31"/>
    </row>
    <row r="18" spans="1:18" ht="17.25" customHeight="1" x14ac:dyDescent="0.2">
      <c r="A18" s="27"/>
      <c r="B18" s="28"/>
      <c r="C18" s="28"/>
      <c r="D18" s="28"/>
      <c r="E18" s="28"/>
      <c r="F18" s="28"/>
      <c r="G18" s="28"/>
      <c r="H18" s="28"/>
      <c r="I18" s="28"/>
      <c r="J18" s="28"/>
      <c r="K18" s="28"/>
      <c r="L18" s="28"/>
      <c r="M18" s="29"/>
      <c r="N18" s="30"/>
      <c r="O18" s="106"/>
      <c r="P18" s="106"/>
      <c r="Q18" s="31"/>
    </row>
    <row r="19" spans="1:18" ht="17.25" customHeight="1" x14ac:dyDescent="0.2">
      <c r="A19" s="27"/>
      <c r="B19" s="28"/>
      <c r="C19" s="28"/>
      <c r="D19" s="28"/>
      <c r="E19" s="28"/>
      <c r="F19" s="30"/>
      <c r="G19" s="28"/>
      <c r="H19" s="28"/>
      <c r="I19" s="28"/>
      <c r="J19" s="28"/>
      <c r="K19" s="28"/>
      <c r="L19" s="28"/>
      <c r="M19" s="29"/>
      <c r="N19" s="30"/>
      <c r="O19" s="106"/>
      <c r="P19" s="106"/>
      <c r="Q19" s="31"/>
    </row>
    <row r="20" spans="1:18" ht="17.25" customHeight="1" x14ac:dyDescent="0.2">
      <c r="A20" s="27"/>
      <c r="B20" s="28"/>
      <c r="C20" s="28"/>
      <c r="D20" s="28"/>
      <c r="E20" s="28"/>
      <c r="F20" s="30"/>
      <c r="G20" s="28"/>
      <c r="H20" s="28"/>
      <c r="I20" s="28"/>
      <c r="J20" s="28"/>
      <c r="K20" s="28"/>
      <c r="L20" s="28"/>
      <c r="M20" s="29"/>
      <c r="N20" s="30"/>
      <c r="O20" s="106"/>
      <c r="P20" s="106"/>
      <c r="Q20" s="31"/>
    </row>
    <row r="21" spans="1:18" ht="8.25" customHeight="1" x14ac:dyDescent="0.2">
      <c r="A21" s="32"/>
      <c r="B21" s="33"/>
      <c r="C21" s="33"/>
      <c r="D21" s="33"/>
      <c r="E21" s="33"/>
      <c r="F21" s="34"/>
      <c r="G21" s="33"/>
      <c r="H21" s="33"/>
      <c r="I21" s="33"/>
      <c r="J21" s="33"/>
      <c r="K21" s="33"/>
      <c r="L21" s="33"/>
      <c r="M21" s="35"/>
      <c r="N21" s="36"/>
      <c r="O21" s="107"/>
      <c r="P21" s="107"/>
      <c r="Q21" s="31"/>
      <c r="R21" s="1"/>
    </row>
    <row r="22" spans="1:18" ht="17.25" customHeight="1" x14ac:dyDescent="0.2">
      <c r="A22" s="37"/>
      <c r="B22" s="38"/>
      <c r="C22" s="38"/>
      <c r="D22" s="38"/>
      <c r="E22" s="38"/>
      <c r="F22" s="38"/>
      <c r="G22" s="38"/>
      <c r="H22" s="38"/>
      <c r="I22" s="38"/>
      <c r="J22" s="38"/>
      <c r="K22" s="38"/>
      <c r="L22" s="38"/>
      <c r="M22" s="39"/>
      <c r="N22" s="38"/>
      <c r="O22" s="108"/>
      <c r="P22" s="108"/>
      <c r="Q22" s="40"/>
    </row>
    <row r="23" spans="1:18" ht="30.75" customHeight="1" x14ac:dyDescent="0.2">
      <c r="A23" s="109" t="s">
        <v>69</v>
      </c>
      <c r="B23" s="109"/>
      <c r="C23" s="109"/>
      <c r="D23" s="109"/>
      <c r="E23" s="109"/>
      <c r="F23" s="109"/>
      <c r="G23" s="109"/>
      <c r="H23" s="109"/>
      <c r="I23" s="109"/>
      <c r="J23" s="109"/>
      <c r="K23" s="109"/>
      <c r="L23" s="109"/>
      <c r="M23" s="109"/>
      <c r="N23" s="109"/>
      <c r="O23" s="109"/>
      <c r="P23" s="109"/>
      <c r="Q23" s="41">
        <f>SUM(Q15:Q22)</f>
        <v>1700000</v>
      </c>
    </row>
    <row r="24" spans="1:18" ht="18" customHeight="1" thickBot="1" x14ac:dyDescent="0.25">
      <c r="A24" s="110"/>
      <c r="B24" s="110"/>
      <c r="C24" s="110"/>
      <c r="D24" s="110"/>
      <c r="E24" s="110"/>
      <c r="F24" s="110"/>
      <c r="G24" s="110"/>
      <c r="H24" s="110"/>
      <c r="I24" s="110"/>
      <c r="J24" s="110"/>
      <c r="K24" s="110"/>
      <c r="L24" s="110"/>
      <c r="M24" s="110"/>
      <c r="N24" s="110"/>
      <c r="O24" s="110"/>
      <c r="P24" s="110"/>
      <c r="Q24" s="110"/>
    </row>
    <row r="25" spans="1:18" ht="17.25" customHeight="1" thickBot="1" x14ac:dyDescent="0.25">
      <c r="A25" s="101" t="s">
        <v>54</v>
      </c>
      <c r="B25" s="102"/>
      <c r="C25" s="102"/>
      <c r="D25" s="102"/>
      <c r="E25" s="102"/>
      <c r="F25" s="103"/>
      <c r="G25" s="104"/>
      <c r="H25" s="104"/>
      <c r="I25" s="104"/>
      <c r="J25" s="104"/>
      <c r="K25" s="104"/>
      <c r="L25" s="104"/>
      <c r="M25" s="104"/>
      <c r="N25" s="104"/>
      <c r="O25" s="104"/>
      <c r="P25" s="104"/>
      <c r="Q25" s="104"/>
    </row>
    <row r="26" spans="1:18" ht="18" customHeight="1" thickBot="1" x14ac:dyDescent="0.25">
      <c r="A26" s="105" t="s">
        <v>73</v>
      </c>
      <c r="B26" s="105"/>
      <c r="C26" s="105"/>
      <c r="D26" s="105"/>
      <c r="E26" s="105"/>
      <c r="F26" s="105"/>
      <c r="G26" s="105"/>
      <c r="H26" s="105"/>
      <c r="I26" s="105"/>
      <c r="J26" s="105"/>
      <c r="K26" s="105"/>
      <c r="L26" s="105"/>
      <c r="M26" s="105"/>
      <c r="N26" s="105"/>
      <c r="O26" s="105"/>
      <c r="P26" s="105"/>
      <c r="Q26" s="105"/>
    </row>
    <row r="27" spans="1:18" ht="18.75" customHeight="1" x14ac:dyDescent="0.2">
      <c r="A27" s="105"/>
      <c r="B27" s="105"/>
      <c r="C27" s="105"/>
      <c r="D27" s="105"/>
      <c r="E27" s="105"/>
      <c r="F27" s="105"/>
      <c r="G27" s="105"/>
      <c r="H27" s="105"/>
      <c r="I27" s="105"/>
      <c r="J27" s="105"/>
      <c r="K27" s="105"/>
      <c r="L27" s="105"/>
      <c r="M27" s="105"/>
      <c r="N27" s="105"/>
      <c r="O27" s="105"/>
      <c r="P27" s="105"/>
      <c r="Q27" s="105"/>
    </row>
    <row r="30" spans="1:18" x14ac:dyDescent="0.2">
      <c r="A30" s="65"/>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2020-11-16T14:26:52Z</cp:lastPrinted>
  <dcterms:created xsi:type="dcterms:W3CDTF">2020-07-17T23:44:49Z</dcterms:created>
  <dcterms:modified xsi:type="dcterms:W3CDTF">2021-08-10T15:31:16Z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