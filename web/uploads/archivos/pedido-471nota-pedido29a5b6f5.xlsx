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NotaPedido'!$A$1:$K$22</definedName>
    <definedName name="_xlnm.Print_Area" localSheetId="2">'Autor Gastar'!$A$1:$Q$27</definedName>
    <definedName name="_xlnm.Print_Area" localSheetId="0">'Necesidades Trimestrales'!$E$9:$E$19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3" l="1"/>
  <c r="H16" i="1" l="1"/>
  <c r="H14" i="1"/>
  <c r="H11" i="1"/>
  <c r="H10" i="1"/>
  <c r="I17" i="3" l="1"/>
  <c r="K16" i="3"/>
  <c r="I16" i="3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J22" i="2" l="1"/>
  <c r="K15" i="3"/>
</calcChain>
</file>

<file path=xl/sharedStrings.xml><?xml version="1.0" encoding="utf-8"?>
<sst xmlns="http://schemas.openxmlformats.org/spreadsheetml/2006/main" count="126" uniqueCount="94">
  <si>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</si>
  <si>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</si>
  <si>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</si>
  <si>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</si>
  <si>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</si>
  <si>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</si>
  <si>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</si>
  <si>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</si>
  <si>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</si>
  <si>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</si>
  <si>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</si>
  <si>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</si>
  <si>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</si>
  <si>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</si>
  <si>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</si>
  <si>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</si>
  <si>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</si>
  <si>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</si>
  <si>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</si>
  <si>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</si>
  <si>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</si>
  <si>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</si>
  <si>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</si>
  <si>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</si>
  <si>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</si>
  <si>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</si>
  <si>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</si>
  <si>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</si>
  <si>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</si>
  <si>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</si>
  <si>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</si>
  <si>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</si>
  <si>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</si>
  <si>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</si>
  <si>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</si>
  <si>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</si>
  <si>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</si>
  <si>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</si>
  <si>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</si>
  <si>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</si>
  <si>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</si>
  <si>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</si>
  <si>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</si>
  <si>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</si>
  <si>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</si>
  <si>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</si>
  <si>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</si>
  <si>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</si>
  <si>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</si>
  <si>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</si>
  <si>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</si>
  <si>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</si>
  <si>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</si>
  <si>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</si>
  <si>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024 - Hospital Interzonal de Niños</t>
  </si>
  <si>
    <t>040 - Ministerio de Salud</t>
  </si>
  <si>
    <t>Servicio de Alimentacion y Dietoterapia</t>
  </si>
  <si>
    <t>1.1</t>
  </si>
  <si>
    <t>NO</t>
  </si>
  <si>
    <t>2.9.4-690.24</t>
  </si>
  <si>
    <t>BAZAR Y MENAJE</t>
  </si>
  <si>
    <t>CUCHARAS; TIPO: SUNDAE, MATERIAL: PLASTICO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</si>
  <si>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</si>
  <si>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</si>
  <si>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</si>
  <si>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</si>
  <si>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</si>
  <si>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</si>
  <si>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</si>
  <si>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</si>
  <si>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2.9.4-588.50</t>
  </si>
  <si>
    <t>VASOS PLASTICOS DESCARTABLES; MATERIAL: POLIETILENO, CAPACIDAD: 220 CM3, PRESENTACION: PAQUETE X 100 UN, TIPO: BLANCO, MOTIVO: LISO</t>
  </si>
  <si>
    <t>2.3.4-938.73</t>
  </si>
  <si>
    <t>SERVILLETAS DE PAPEL; TIPO: DESCARTABLE, MOTIVO: SIN, DIMENSION: 22 X 22 Cm, PRESENTACION: ENVASE X 50 UN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</si>
  <si>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</si>
  <si>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</si>
  <si>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</si>
  <si>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</si>
  <si>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</si>
  <si>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</si>
  <si>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</si>
  <si>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</si>
  <si>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Costo total estimado: Seiscientos Sesenta y Seis Mil Cuatrocientos Sesenta con 00/100.</t>
  </si>
  <si>
    <t>510/2020</t>
  </si>
  <si>
    <t>Productos de Papel y Carton</t>
  </si>
  <si>
    <t>Utensilios de Cocina y Comedor</t>
  </si>
  <si>
    <t>Utiles Menores Medico, Quirurgico y de Laboratorio</t>
  </si>
  <si>
    <t>Para la adquisición de Descartables de Cocina destinados al servico de Alimentacion y Dietoterapia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</si>
  <si>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</si>
  <si>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</si>
  <si>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NUTRICION -HOSPITAL INT. DE NIÑOS – AV. VIRGEN DEL VALLE N° 1050-CATAMARCA DE 8:00 A 12:00HS., DEBIENDO CORRER LOS GASTOS DE FLETES, ACARREO, CARGA, DESCARGA Y SEGURO A CARGO DEL ADJUDICATARIO.</t>
    </r>
  </si>
  <si>
    <t>Mantenimiento de Oferta</t>
  </si>
  <si>
    <t>Adquisición de Descartables de Cocina</t>
  </si>
  <si>
    <t>TOTAL DE PESOS: SEISCIENTOS SESENTA Y DOS MIL DOSCIENTOS SESENTA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</si>
</sst>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left" indent="3"/>
    </xf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/>
    </xf>
    <xf numFmtId="0" fontId="4" fillId="4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 wrapText="1"/>
    </xf>
    <xf numFmtId="166" fontId="4" fillId="3" borderId="57" xfId="1" applyNumberFormat="1" applyFont="1" applyFill="1" applyBorder="1" applyAlignment="1" applyProtection="1">
      <alignment horizontal="right" vertical="center" wrapText="1"/>
    </xf>
    <xf numFmtId="3" fontId="4" fillId="3" borderId="57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3" xfId="0" applyFont="1" applyBorder="1"/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/>
    </xf>
    <xf numFmtId="0" fontId="14" fillId="0" borderId="55" xfId="0" applyFont="1" applyBorder="1"/>
    <xf numFmtId="0" fontId="23" fillId="0" borderId="55" xfId="0" applyFont="1" applyBorder="1" applyAlignment="1">
      <alignment horizontal="center" vertical="center" wrapText="1"/>
    </xf>
    <xf numFmtId="0" fontId="14" fillId="0" borderId="55" xfId="0" applyFont="1" applyBorder="1" applyAlignment="1">
      <alignment vertical="center" wrapText="1"/>
    </xf>
    <xf numFmtId="0" fontId="23" fillId="4" borderId="55" xfId="0" applyFont="1" applyFill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60" xfId="0" applyFont="1" applyBorder="1"/>
    <xf numFmtId="0" fontId="23" fillId="0" borderId="60" xfId="0" applyFont="1" applyBorder="1" applyAlignment="1">
      <alignment horizontal="center" vertical="center" wrapText="1"/>
    </xf>
    <xf numFmtId="0" fontId="23" fillId="4" borderId="60" xfId="0" applyFont="1" applyFill="1" applyBorder="1" applyAlignment="1">
      <alignment horizontal="center" vertical="center" wrapText="1"/>
    </xf>
    <xf numFmtId="0" fontId="0" fillId="4" borderId="61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indent="3"/>
    </xf>
    <xf numFmtId="0" fontId="21" fillId="0" borderId="8" xfId="0" applyFont="1" applyBorder="1" applyAlignment="1"/>
    <xf numFmtId="0" fontId="15" fillId="0" borderId="0" xfId="0" applyFont="1" applyFill="1" applyBorder="1" applyAlignment="1">
      <alignment horizontal="center" wrapTex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1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64" xfId="0" applyFont="1" applyBorder="1" applyAlignment="1">
      <alignment horizontal="left" vertical="center" wrapText="1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6"/>
  <sheetViews>
    <sheetView topLeftCell="A4" zoomScale="73" zoomScaleNormal="73" workbookViewId="0">
      <selection activeCell="E30" sqref="E3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158.4257812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104" t="s">
        <v>0</v>
      </c>
      <c r="C2" s="104"/>
      <c r="D2" s="104"/>
      <c r="E2" s="104"/>
      <c r="F2" s="104"/>
      <c r="G2" s="104"/>
      <c r="H2" s="104"/>
    </row>
    <row r="3" spans="1:11" ht="12" customHeight="1" x14ac:dyDescent="0.2"/>
    <row r="4" spans="1:11" ht="18" customHeight="1" x14ac:dyDescent="0.25">
      <c r="A4" s="105" t="s">
        <v>1</v>
      </c>
      <c r="B4" s="105"/>
      <c r="C4" s="106" t="s">
        <v>55</v>
      </c>
      <c r="D4" s="106"/>
      <c r="E4" s="106"/>
      <c r="F4" s="33"/>
      <c r="G4" s="34"/>
      <c r="H4" s="33"/>
    </row>
    <row r="5" spans="1:11" ht="18" customHeight="1" x14ac:dyDescent="0.25">
      <c r="A5" s="105" t="s">
        <v>2</v>
      </c>
      <c r="B5" s="105"/>
      <c r="C5" s="106" t="s">
        <v>54</v>
      </c>
      <c r="D5" s="106"/>
      <c r="E5" s="106"/>
      <c r="F5" s="33"/>
      <c r="G5" s="34"/>
      <c r="H5" s="33"/>
    </row>
    <row r="6" spans="1:11" ht="16.5" customHeight="1" x14ac:dyDescent="0.25">
      <c r="A6" s="105" t="s">
        <v>3</v>
      </c>
      <c r="B6" s="105"/>
      <c r="C6" s="67">
        <v>2020</v>
      </c>
      <c r="D6" s="68"/>
      <c r="E6" s="68"/>
      <c r="F6" s="33"/>
      <c r="G6" s="34"/>
      <c r="H6" s="33"/>
    </row>
    <row r="7" spans="1:11" ht="16.5" customHeight="1" x14ac:dyDescent="0.25">
      <c r="A7" s="105" t="s">
        <v>4</v>
      </c>
      <c r="B7" s="105"/>
      <c r="C7" s="67">
        <v>4</v>
      </c>
      <c r="D7" s="68"/>
      <c r="E7" s="68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42" t="s">
        <v>5</v>
      </c>
      <c r="B9" s="42" t="s">
        <v>6</v>
      </c>
      <c r="C9" s="42" t="s">
        <v>7</v>
      </c>
      <c r="D9" s="43" t="s">
        <v>8</v>
      </c>
      <c r="E9" s="45" t="s">
        <v>9</v>
      </c>
      <c r="F9" s="44" t="s">
        <v>10</v>
      </c>
      <c r="G9" s="35" t="s">
        <v>11</v>
      </c>
      <c r="H9" s="35" t="s">
        <v>12</v>
      </c>
      <c r="I9" s="35" t="s">
        <v>13</v>
      </c>
    </row>
    <row r="10" spans="1:11" ht="13.5" thickTop="1" x14ac:dyDescent="0.2">
      <c r="A10" s="76">
        <v>1</v>
      </c>
      <c r="B10" s="77" t="s">
        <v>59</v>
      </c>
      <c r="C10" s="77" t="s">
        <v>60</v>
      </c>
      <c r="D10" s="78">
        <v>294</v>
      </c>
      <c r="E10" s="77" t="s">
        <v>61</v>
      </c>
      <c r="F10" s="79" t="s">
        <v>14</v>
      </c>
      <c r="G10" s="79">
        <v>1000</v>
      </c>
      <c r="H10" s="69">
        <f>40/50</f>
        <v>0.8</v>
      </c>
      <c r="I10" s="70">
        <f>H10*G10</f>
        <v>800</v>
      </c>
      <c r="K10" s="41"/>
    </row>
    <row r="11" spans="1:11" x14ac:dyDescent="0.2">
      <c r="A11" s="80">
        <v>2</v>
      </c>
      <c r="B11" s="81" t="s">
        <v>62</v>
      </c>
      <c r="C11" s="81" t="s">
        <v>60</v>
      </c>
      <c r="D11" s="82">
        <v>294</v>
      </c>
      <c r="E11" s="83" t="s">
        <v>63</v>
      </c>
      <c r="F11" s="84" t="s">
        <v>14</v>
      </c>
      <c r="G11" s="84">
        <v>3600</v>
      </c>
      <c r="H11" s="71">
        <f>80/50</f>
        <v>1.6</v>
      </c>
      <c r="I11" s="72">
        <f>G11*H11</f>
        <v>5760</v>
      </c>
    </row>
    <row r="12" spans="1:11" x14ac:dyDescent="0.2">
      <c r="A12" s="80">
        <v>3</v>
      </c>
      <c r="B12" s="81" t="s">
        <v>64</v>
      </c>
      <c r="C12" s="81" t="s">
        <v>60</v>
      </c>
      <c r="D12" s="82">
        <v>294</v>
      </c>
      <c r="E12" s="83" t="s">
        <v>65</v>
      </c>
      <c r="F12" s="84" t="s">
        <v>14</v>
      </c>
      <c r="G12" s="84">
        <v>3600</v>
      </c>
      <c r="H12" s="71">
        <v>1</v>
      </c>
      <c r="I12" s="72">
        <f t="shared" ref="I12:I19" si="0">G12*H12</f>
        <v>3600</v>
      </c>
    </row>
    <row r="13" spans="1:11" x14ac:dyDescent="0.2">
      <c r="A13" s="80">
        <v>4</v>
      </c>
      <c r="B13" s="81" t="s">
        <v>66</v>
      </c>
      <c r="C13" s="81" t="s">
        <v>60</v>
      </c>
      <c r="D13" s="82">
        <v>294</v>
      </c>
      <c r="E13" s="83" t="s">
        <v>67</v>
      </c>
      <c r="F13" s="84" t="s">
        <v>14</v>
      </c>
      <c r="G13" s="84">
        <v>3600</v>
      </c>
      <c r="H13" s="71">
        <v>1</v>
      </c>
      <c r="I13" s="72">
        <f t="shared" si="0"/>
        <v>3600</v>
      </c>
    </row>
    <row r="14" spans="1:11" x14ac:dyDescent="0.2">
      <c r="A14" s="80">
        <v>5</v>
      </c>
      <c r="B14" s="81" t="s">
        <v>68</v>
      </c>
      <c r="C14" s="81" t="s">
        <v>60</v>
      </c>
      <c r="D14" s="82">
        <v>294</v>
      </c>
      <c r="E14" s="81" t="s">
        <v>69</v>
      </c>
      <c r="F14" s="84" t="s">
        <v>53</v>
      </c>
      <c r="G14" s="84">
        <v>400</v>
      </c>
      <c r="H14" s="71">
        <f>9*50</f>
        <v>450</v>
      </c>
      <c r="I14" s="72">
        <f t="shared" si="0"/>
        <v>180000</v>
      </c>
    </row>
    <row r="15" spans="1:11" x14ac:dyDescent="0.2">
      <c r="A15" s="80">
        <v>6</v>
      </c>
      <c r="B15" s="81" t="s">
        <v>70</v>
      </c>
      <c r="C15" s="81" t="s">
        <v>60</v>
      </c>
      <c r="D15" s="82">
        <v>294</v>
      </c>
      <c r="E15" s="81" t="s">
        <v>71</v>
      </c>
      <c r="F15" s="84" t="s">
        <v>53</v>
      </c>
      <c r="G15" s="84">
        <v>200</v>
      </c>
      <c r="H15" s="71">
        <v>170</v>
      </c>
      <c r="I15" s="72">
        <f t="shared" si="0"/>
        <v>34000</v>
      </c>
    </row>
    <row r="16" spans="1:11" x14ac:dyDescent="0.2">
      <c r="A16" s="80">
        <v>7</v>
      </c>
      <c r="B16" s="85" t="s">
        <v>72</v>
      </c>
      <c r="C16" s="81" t="s">
        <v>60</v>
      </c>
      <c r="D16" s="82">
        <v>234</v>
      </c>
      <c r="E16" s="81" t="s">
        <v>73</v>
      </c>
      <c r="F16" s="84" t="s">
        <v>53</v>
      </c>
      <c r="G16" s="84">
        <v>1000</v>
      </c>
      <c r="H16" s="71">
        <f>450/20</f>
        <v>22.5</v>
      </c>
      <c r="I16" s="72">
        <f t="shared" si="0"/>
        <v>22500</v>
      </c>
    </row>
    <row r="17" spans="1:9" x14ac:dyDescent="0.2">
      <c r="A17" s="80">
        <v>8</v>
      </c>
      <c r="B17" s="81" t="s">
        <v>74</v>
      </c>
      <c r="C17" s="81" t="s">
        <v>60</v>
      </c>
      <c r="D17" s="82">
        <v>234</v>
      </c>
      <c r="E17" s="83" t="s">
        <v>75</v>
      </c>
      <c r="F17" s="84" t="s">
        <v>76</v>
      </c>
      <c r="G17" s="84">
        <v>120</v>
      </c>
      <c r="H17" s="71">
        <v>600</v>
      </c>
      <c r="I17" s="72">
        <f t="shared" si="0"/>
        <v>72000</v>
      </c>
    </row>
    <row r="18" spans="1:9" x14ac:dyDescent="0.2">
      <c r="A18" s="80">
        <v>9</v>
      </c>
      <c r="B18" s="81" t="s">
        <v>77</v>
      </c>
      <c r="C18" s="81" t="s">
        <v>60</v>
      </c>
      <c r="D18" s="82">
        <v>294</v>
      </c>
      <c r="E18" s="81" t="s">
        <v>78</v>
      </c>
      <c r="F18" s="84" t="s">
        <v>14</v>
      </c>
      <c r="G18" s="84">
        <v>20000</v>
      </c>
      <c r="H18" s="71">
        <v>15</v>
      </c>
      <c r="I18" s="72">
        <f t="shared" si="0"/>
        <v>300000</v>
      </c>
    </row>
    <row r="19" spans="1:9" ht="13.5" thickBot="1" x14ac:dyDescent="0.25">
      <c r="A19" s="80">
        <v>10</v>
      </c>
      <c r="B19" s="86" t="s">
        <v>79</v>
      </c>
      <c r="C19" s="86" t="s">
        <v>80</v>
      </c>
      <c r="D19" s="87">
        <v>295</v>
      </c>
      <c r="E19" s="86" t="s">
        <v>81</v>
      </c>
      <c r="F19" s="88" t="s">
        <v>14</v>
      </c>
      <c r="G19" s="88">
        <v>100</v>
      </c>
      <c r="H19" s="71">
        <v>400</v>
      </c>
      <c r="I19" s="72">
        <f t="shared" si="0"/>
        <v>40000</v>
      </c>
    </row>
    <row r="20" spans="1:9" ht="13.5" thickBot="1" x14ac:dyDescent="0.25">
      <c r="I20" s="41"/>
    </row>
    <row r="21" spans="1:9" x14ac:dyDescent="0.2">
      <c r="B21" s="97" t="s">
        <v>15</v>
      </c>
      <c r="C21" s="36"/>
      <c r="D21" s="36"/>
      <c r="E21" s="37"/>
    </row>
    <row r="22" spans="1:9" ht="12.75" customHeight="1" x14ac:dyDescent="0.2">
      <c r="B22" s="100" t="s">
        <v>90</v>
      </c>
      <c r="C22" s="101"/>
      <c r="D22" s="101"/>
      <c r="E22" s="102"/>
    </row>
    <row r="23" spans="1:9" ht="26.25" customHeight="1" x14ac:dyDescent="0.2">
      <c r="B23" s="100"/>
      <c r="C23" s="101"/>
      <c r="D23" s="101"/>
      <c r="E23" s="102"/>
    </row>
    <row r="24" spans="1:9" ht="26.25" customHeight="1" x14ac:dyDescent="0.2">
      <c r="B24" s="100" t="s">
        <v>88</v>
      </c>
      <c r="C24" s="101"/>
      <c r="D24" s="101"/>
      <c r="E24" s="102"/>
    </row>
    <row r="25" spans="1:9" x14ac:dyDescent="0.2">
      <c r="B25" s="98" t="s">
        <v>91</v>
      </c>
      <c r="C25" s="38"/>
      <c r="D25" s="99"/>
      <c r="E25" s="39"/>
    </row>
    <row r="26" spans="1:9" ht="26.25" customHeight="1" thickBot="1" x14ac:dyDescent="0.25">
      <c r="B26" s="40"/>
      <c r="C26" s="103" t="s">
        <v>89</v>
      </c>
      <c r="D26" s="103"/>
      <c r="E26" s="103"/>
    </row>
  </sheetData>
  <autoFilter ref="A9:I19"/>
  <mergeCells count="10">
    <mergeCell ref="B22:E23"/>
    <mergeCell ref="B24:E24"/>
    <mergeCell ref="C26:E26"/>
    <mergeCell ref="B2:H2"/>
    <mergeCell ref="A4:B4"/>
    <mergeCell ref="C4:E4"/>
    <mergeCell ref="A5:B5"/>
    <mergeCell ref="C5:E5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2"/>
  <sheetViews>
    <sheetView topLeftCell="A13" zoomScale="110" zoomScaleNormal="110" workbookViewId="0">
      <selection activeCell="B26" sqref="B26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4" width="5.85546875" style="48" customWidth="1"/>
    <col min="15" max="15" width="12.5703125" style="48" customWidth="1"/>
    <col min="16" max="1024" width="9.140625" style="48"/>
    <col min="1025" max="16384" width="9.140625" style="49"/>
  </cols>
  <sheetData>
    <row r="1" spans="1:11" ht="18" customHeight="1" x14ac:dyDescent="0.2">
      <c r="A1" s="116" t="s">
        <v>16</v>
      </c>
      <c r="B1" s="116"/>
      <c r="C1" s="116"/>
      <c r="D1" s="116"/>
      <c r="E1" s="116"/>
      <c r="F1" s="116"/>
      <c r="G1" s="116"/>
      <c r="H1" s="116"/>
      <c r="I1" s="116"/>
      <c r="J1" s="46" t="s">
        <v>17</v>
      </c>
      <c r="K1" s="47" t="s">
        <v>83</v>
      </c>
    </row>
    <row r="2" spans="1:11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1" ht="18.75" customHeight="1" thickBot="1" x14ac:dyDescent="0.25">
      <c r="A3" s="117" t="s">
        <v>50</v>
      </c>
      <c r="B3" s="117"/>
      <c r="C3" s="117"/>
      <c r="D3" s="107" t="str">
        <f>'Necesidades Trimestrales'!C4</f>
        <v>040 -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18" t="s">
        <v>51</v>
      </c>
      <c r="B4" s="118"/>
      <c r="C4" s="118"/>
      <c r="D4" s="107" t="str">
        <f>'Necesidades Trimestrales'!C5</f>
        <v>024 - Hospital Interzonal de Niños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18" t="s">
        <v>29</v>
      </c>
      <c r="B5" s="118"/>
      <c r="C5" s="118"/>
      <c r="D5" s="107" t="s">
        <v>54</v>
      </c>
      <c r="E5" s="107"/>
      <c r="F5" s="107"/>
      <c r="G5" s="107"/>
      <c r="H5" s="107"/>
      <c r="I5" s="107"/>
      <c r="J5" s="107"/>
      <c r="K5" s="107"/>
    </row>
    <row r="6" spans="1:11" ht="16.5" customHeight="1" thickBot="1" x14ac:dyDescent="0.25">
      <c r="A6" s="117" t="s">
        <v>52</v>
      </c>
      <c r="B6" s="117"/>
      <c r="C6" s="117"/>
      <c r="D6" s="107" t="s">
        <v>56</v>
      </c>
      <c r="E6" s="107"/>
      <c r="F6" s="107"/>
      <c r="G6" s="107"/>
      <c r="H6" s="107"/>
      <c r="I6" s="107"/>
      <c r="J6" s="107"/>
      <c r="K6" s="107"/>
    </row>
    <row r="7" spans="1:11" ht="16.5" customHeight="1" x14ac:dyDescent="0.2">
      <c r="A7" s="118" t="s">
        <v>18</v>
      </c>
      <c r="B7" s="118"/>
      <c r="C7" s="118"/>
      <c r="D7" s="107" t="str">
        <f>'Necesidades Trimestrales'!C7 &amp; "° Trimestre - Año " &amp; 'Necesidades Trimestrales'!C6</f>
        <v>4° Trimestre - Año 2020</v>
      </c>
      <c r="E7" s="107"/>
      <c r="F7" s="107"/>
      <c r="G7" s="107"/>
      <c r="H7" s="107"/>
      <c r="I7" s="107"/>
      <c r="J7" s="107"/>
      <c r="K7" s="107"/>
    </row>
    <row r="8" spans="1:11" ht="16.5" customHeight="1" x14ac:dyDescent="0.2">
      <c r="A8" s="111" t="s">
        <v>19</v>
      </c>
      <c r="B8" s="111"/>
      <c r="C8" s="111"/>
      <c r="D8" s="112" t="s">
        <v>92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1" ht="18.75" customHeight="1" x14ac:dyDescent="0.2">
      <c r="A10" s="113" t="s">
        <v>20</v>
      </c>
      <c r="B10" s="114" t="s">
        <v>21</v>
      </c>
      <c r="C10" s="114" t="s">
        <v>22</v>
      </c>
      <c r="D10" s="114"/>
      <c r="E10" s="114"/>
      <c r="F10" s="114"/>
      <c r="G10" s="114"/>
      <c r="H10" s="114" t="s">
        <v>23</v>
      </c>
      <c r="I10" s="114" t="s">
        <v>24</v>
      </c>
      <c r="J10" s="114" t="s">
        <v>25</v>
      </c>
      <c r="K10" s="115" t="s">
        <v>26</v>
      </c>
    </row>
    <row r="11" spans="1:11" ht="24" customHeight="1" x14ac:dyDescent="0.2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27.75" customHeight="1" x14ac:dyDescent="0.2">
      <c r="A12" s="54">
        <v>1</v>
      </c>
      <c r="B12" s="55" t="str">
        <f>'Necesidades Trimestrales'!B10</f>
        <v>2.9.4-690.24</v>
      </c>
      <c r="C12" s="109" t="str">
        <f>'Necesidades Trimestrales'!E10</f>
        <v>CUCHARAS; TIPO: SUNDAE, MATERIAL: PLASTICO</v>
      </c>
      <c r="D12" s="109"/>
      <c r="E12" s="109"/>
      <c r="F12" s="109"/>
      <c r="G12" s="109"/>
      <c r="H12" s="56" t="s">
        <v>58</v>
      </c>
      <c r="I12" s="57" t="str">
        <f>'Necesidades Trimestrales'!F10</f>
        <v>UNIDAD</v>
      </c>
      <c r="J12" s="58">
        <f>'Necesidades Trimestrales'!H10</f>
        <v>0.8</v>
      </c>
      <c r="K12" s="59">
        <f>'Necesidades Trimestrales'!G10</f>
        <v>1000</v>
      </c>
    </row>
    <row r="13" spans="1:11" ht="20.25" customHeight="1" x14ac:dyDescent="0.2">
      <c r="A13" s="60">
        <v>2</v>
      </c>
      <c r="B13" s="61" t="str">
        <f>'Necesidades Trimestrales'!B11</f>
        <v>2.9.4-690.15</v>
      </c>
      <c r="C13" s="110" t="str">
        <f>'Necesidades Trimestrales'!E11</f>
        <v>CUCHARAS; TIPO: DE MESA, MATERIAL: PLASTICO</v>
      </c>
      <c r="D13" s="110"/>
      <c r="E13" s="110"/>
      <c r="F13" s="110"/>
      <c r="G13" s="110"/>
      <c r="H13" s="62" t="s">
        <v>58</v>
      </c>
      <c r="I13" s="63" t="str">
        <f>'Necesidades Trimestrales'!F11</f>
        <v>UNIDAD</v>
      </c>
      <c r="J13" s="64">
        <f>'Necesidades Trimestrales'!H11</f>
        <v>1.6</v>
      </c>
      <c r="K13" s="65">
        <f>'Necesidades Trimestrales'!G11</f>
        <v>3600</v>
      </c>
    </row>
    <row r="14" spans="1:11" ht="20.25" customHeight="1" x14ac:dyDescent="0.2">
      <c r="A14" s="66">
        <v>3</v>
      </c>
      <c r="B14" s="61" t="str">
        <f>'Necesidades Trimestrales'!B12</f>
        <v>2.9.4-689.15</v>
      </c>
      <c r="C14" s="110" t="str">
        <f>'Necesidades Trimestrales'!E12</f>
        <v>CUCHILLOS; TIPO: DE MESA, MATERIAL: PLASTICO</v>
      </c>
      <c r="D14" s="110"/>
      <c r="E14" s="110"/>
      <c r="F14" s="110"/>
      <c r="G14" s="110"/>
      <c r="H14" s="62" t="s">
        <v>58</v>
      </c>
      <c r="I14" s="63" t="str">
        <f>'Necesidades Trimestrales'!F12</f>
        <v>UNIDAD</v>
      </c>
      <c r="J14" s="64">
        <f>'Necesidades Trimestrales'!H12</f>
        <v>1</v>
      </c>
      <c r="K14" s="65">
        <f>'Necesidades Trimestrales'!G12</f>
        <v>3600</v>
      </c>
    </row>
    <row r="15" spans="1:11" ht="20.25" customHeight="1" x14ac:dyDescent="0.2">
      <c r="A15" s="66">
        <v>4</v>
      </c>
      <c r="B15" s="61" t="str">
        <f>'Necesidades Trimestrales'!B13</f>
        <v>2.9.4-692.10</v>
      </c>
      <c r="C15" s="110" t="str">
        <f>'Necesidades Trimestrales'!E13</f>
        <v>TENEDORES; TIPO: DE MESA, MATERIAL: PLASTICO</v>
      </c>
      <c r="D15" s="110"/>
      <c r="E15" s="110"/>
      <c r="F15" s="110"/>
      <c r="G15" s="110"/>
      <c r="H15" s="62" t="s">
        <v>58</v>
      </c>
      <c r="I15" s="63" t="str">
        <f>'Necesidades Trimestrales'!F13</f>
        <v>UNIDAD</v>
      </c>
      <c r="J15" s="64">
        <f>'Necesidades Trimestrales'!H13</f>
        <v>1</v>
      </c>
      <c r="K15" s="65">
        <f>'Necesidades Trimestrales'!G13</f>
        <v>3600</v>
      </c>
    </row>
    <row r="16" spans="1:11" ht="20.25" customHeight="1" x14ac:dyDescent="0.2">
      <c r="A16" s="66">
        <v>5</v>
      </c>
      <c r="B16" s="61" t="str">
        <f>'Necesidades Trimestrales'!B14</f>
        <v>2.9.4-588.67</v>
      </c>
      <c r="C16" s="110" t="str">
        <f>'Necesidades Trimestrales'!E14</f>
        <v>VASOS PLASTICOS DESCARTABLES; MATERIAL: POLIPROPILENO, MOTIVO: LISO C/TAPA, CAPACIDAD: 500 CM3, PRESENTACION: ENVASE X 50, TIPO: ESTRIADO</v>
      </c>
      <c r="D16" s="110"/>
      <c r="E16" s="110"/>
      <c r="F16" s="110"/>
      <c r="G16" s="110"/>
      <c r="H16" s="62" t="s">
        <v>58</v>
      </c>
      <c r="I16" s="63" t="str">
        <f>'Necesidades Trimestrales'!F14</f>
        <v>PAQUETE</v>
      </c>
      <c r="J16" s="64">
        <f>'Necesidades Trimestrales'!H14</f>
        <v>450</v>
      </c>
      <c r="K16" s="65">
        <f>'Necesidades Trimestrales'!G14</f>
        <v>400</v>
      </c>
    </row>
    <row r="17" spans="1:11" ht="20.25" customHeight="1" x14ac:dyDescent="0.2">
      <c r="A17" s="66">
        <v>6</v>
      </c>
      <c r="B17" s="61" t="str">
        <f>'Necesidades Trimestrales'!B15</f>
        <v>2.9.4-588.50</v>
      </c>
      <c r="C17" s="110" t="str">
        <f>'Necesidades Trimestrales'!E15</f>
        <v>VASOS PLASTICOS DESCARTABLES; MATERIAL: POLIETILENO, CAPACIDAD: 220 CM3, PRESENTACION: PAQUETE X 100 UN, TIPO: BLANCO, MOTIVO: LISO</v>
      </c>
      <c r="D17" s="110"/>
      <c r="E17" s="110"/>
      <c r="F17" s="110"/>
      <c r="G17" s="110"/>
      <c r="H17" s="62" t="s">
        <v>58</v>
      </c>
      <c r="I17" s="63" t="str">
        <f>'Necesidades Trimestrales'!F15</f>
        <v>PAQUETE</v>
      </c>
      <c r="J17" s="64">
        <f>'Necesidades Trimestrales'!H15</f>
        <v>170</v>
      </c>
      <c r="K17" s="65">
        <f>'Necesidades Trimestrales'!G15</f>
        <v>200</v>
      </c>
    </row>
    <row r="18" spans="1:11" ht="20.25" customHeight="1" x14ac:dyDescent="0.2">
      <c r="A18" s="66">
        <v>7</v>
      </c>
      <c r="B18" s="61" t="str">
        <f>'Necesidades Trimestrales'!B16</f>
        <v>2.3.4-938.73</v>
      </c>
      <c r="C18" s="110" t="str">
        <f>'Necesidades Trimestrales'!E16</f>
        <v>SERVILLETAS DE PAPEL; TIPO: DESCARTABLE, MOTIVO: SIN, DIMENSION: 22 X 22 Cm, PRESENTACION: ENVASE X 50 UN</v>
      </c>
      <c r="D18" s="110"/>
      <c r="E18" s="110"/>
      <c r="F18" s="110"/>
      <c r="G18" s="110"/>
      <c r="H18" s="62" t="s">
        <v>58</v>
      </c>
      <c r="I18" s="63" t="str">
        <f>'Necesidades Trimestrales'!F16</f>
        <v>PAQUETE</v>
      </c>
      <c r="J18" s="64">
        <f>'Necesidades Trimestrales'!H16</f>
        <v>22.5</v>
      </c>
      <c r="K18" s="65">
        <f>'Necesidades Trimestrales'!G16</f>
        <v>1000</v>
      </c>
    </row>
    <row r="19" spans="1:11" ht="20.25" customHeight="1" x14ac:dyDescent="0.2">
      <c r="A19" s="66">
        <v>8</v>
      </c>
      <c r="B19" s="61" t="str">
        <f>'Necesidades Trimestrales'!B17</f>
        <v>2.3.4-5442.12</v>
      </c>
      <c r="C19" s="110" t="str">
        <f>'Necesidades Trimestrales'!E17</f>
        <v>ROLLOS P/COCINA; DIMENSION: 0,33 X 400 M, PRESENTACION: BOBINA</v>
      </c>
      <c r="D19" s="110"/>
      <c r="E19" s="110"/>
      <c r="F19" s="110"/>
      <c r="G19" s="110"/>
      <c r="H19" s="62" t="s">
        <v>58</v>
      </c>
      <c r="I19" s="63" t="str">
        <f>'Necesidades Trimestrales'!F17</f>
        <v>BOBINA</v>
      </c>
      <c r="J19" s="64">
        <f>'Necesidades Trimestrales'!H17</f>
        <v>600</v>
      </c>
      <c r="K19" s="65">
        <f>'Necesidades Trimestrales'!G17</f>
        <v>120</v>
      </c>
    </row>
    <row r="20" spans="1:11" ht="20.25" customHeight="1" x14ac:dyDescent="0.2">
      <c r="A20" s="66">
        <v>9</v>
      </c>
      <c r="B20" s="61" t="str">
        <f>'Necesidades Trimestrales'!B18</f>
        <v>2.9.4-4743.23</v>
      </c>
      <c r="C20" s="110" t="str">
        <f>'Necesidades Trimestrales'!E18</f>
        <v>BANDEJA P/TRANSP. DE ALIMENTO; DIMENSION: 18 X 14 X 4 Cm, TIPO: RECTANGULAR CON TAPA, MATERIAL: ALUMINIO, CAPACIDAD: 750 CM2</v>
      </c>
      <c r="D20" s="110"/>
      <c r="E20" s="110"/>
      <c r="F20" s="110"/>
      <c r="G20" s="110"/>
      <c r="H20" s="62" t="s">
        <v>58</v>
      </c>
      <c r="I20" s="63" t="str">
        <f>'Necesidades Trimestrales'!F18</f>
        <v>UNIDAD</v>
      </c>
      <c r="J20" s="64">
        <f>'Necesidades Trimestrales'!H18</f>
        <v>15</v>
      </c>
      <c r="K20" s="65">
        <f>'Necesidades Trimestrales'!G18</f>
        <v>20000</v>
      </c>
    </row>
    <row r="21" spans="1:11" ht="28.5" customHeight="1" thickBot="1" x14ac:dyDescent="0.25">
      <c r="A21" s="66">
        <v>10</v>
      </c>
      <c r="B21" s="61" t="str">
        <f>'Necesidades Trimestrales'!B19</f>
        <v>2.9.5-5755.16</v>
      </c>
      <c r="C21" s="110" t="str">
        <f>'Necesidades Trimestrales'!E19</f>
        <v>FILMS AUTOADHERENTES; TIPO: TRANSPARENTE, MATERIAL: POLIETILENO, PRESENTACION: ENVASE X 300 M, ANCHO: 38 Cm</v>
      </c>
      <c r="D21" s="110"/>
      <c r="E21" s="110"/>
      <c r="F21" s="110"/>
      <c r="G21" s="110"/>
      <c r="H21" s="62" t="s">
        <v>58</v>
      </c>
      <c r="I21" s="63" t="str">
        <f>'Necesidades Trimestrales'!F19</f>
        <v>UNIDAD</v>
      </c>
      <c r="J21" s="64">
        <f>'Necesidades Trimestrales'!H19</f>
        <v>400</v>
      </c>
      <c r="K21" s="65">
        <f>'Necesidades Trimestrales'!G19</f>
        <v>100</v>
      </c>
    </row>
    <row r="22" spans="1:11" ht="20.25" customHeight="1" thickBot="1" x14ac:dyDescent="0.25">
      <c r="A22" s="107" t="s">
        <v>82</v>
      </c>
      <c r="B22" s="107"/>
      <c r="C22" s="107"/>
      <c r="D22" s="107"/>
      <c r="E22" s="107"/>
      <c r="F22" s="107"/>
      <c r="G22" s="107"/>
      <c r="H22" s="107"/>
      <c r="I22" s="107"/>
      <c r="J22" s="108">
        <f>SUMPRODUCT(J12:J21,K12:K21)</f>
        <v>662260</v>
      </c>
      <c r="K22" s="108"/>
    </row>
  </sheetData>
  <mergeCells count="3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2:I22"/>
    <mergeCell ref="J22:K2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S8" sqref="S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2020</v>
      </c>
      <c r="E1" s="145"/>
      <c r="F1" s="3"/>
      <c r="G1" s="3"/>
      <c r="H1" s="4"/>
      <c r="I1" s="4"/>
      <c r="J1" s="4"/>
      <c r="K1" s="4"/>
      <c r="L1" s="4"/>
      <c r="M1" s="4"/>
      <c r="N1" s="4"/>
      <c r="P1" s="146" t="s">
        <v>27</v>
      </c>
      <c r="Q1" s="14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6"/>
      <c r="Q2" s="146"/>
    </row>
    <row r="4" spans="1:17" s="5" customFormat="1" ht="18" customHeight="1" thickBot="1" x14ac:dyDescent="0.25">
      <c r="A4" s="147" t="s">
        <v>28</v>
      </c>
      <c r="B4" s="147"/>
      <c r="C4" s="147"/>
      <c r="D4" s="147"/>
      <c r="E4" s="147"/>
      <c r="F4" s="147"/>
      <c r="G4" s="142" t="str">
        <f>' NotaPedido'!D3</f>
        <v>040 -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5" customFormat="1" ht="18" customHeight="1" thickBot="1" x14ac:dyDescent="0.25">
      <c r="A5" s="139" t="s">
        <v>51</v>
      </c>
      <c r="B5" s="140"/>
      <c r="C5" s="140"/>
      <c r="D5" s="140"/>
      <c r="E5" s="140"/>
      <c r="F5" s="141"/>
      <c r="G5" s="142" t="str">
        <f>' NotaPedido'!D4</f>
        <v>024 - Hospital Interzonal de Niños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5" customFormat="1" ht="18" customHeight="1" thickBot="1" x14ac:dyDescent="0.25">
      <c r="A6" s="139" t="s">
        <v>29</v>
      </c>
      <c r="B6" s="140"/>
      <c r="C6" s="140"/>
      <c r="D6" s="140"/>
      <c r="E6" s="140"/>
      <c r="F6" s="141"/>
      <c r="G6" s="142" t="str">
        <f>' NotaPedido'!D5</f>
        <v>024 - Hospital Interzonal de Niños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5" customFormat="1" ht="18" customHeight="1" thickBot="1" x14ac:dyDescent="0.25">
      <c r="A7" s="139" t="s">
        <v>52</v>
      </c>
      <c r="B7" s="140"/>
      <c r="C7" s="140"/>
      <c r="D7" s="140"/>
      <c r="E7" s="140"/>
      <c r="F7" s="141"/>
      <c r="G7" s="142" t="str">
        <f>' NotaPedido'!D6</f>
        <v>Servicio de Alimentacion y Dietoterapia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31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510/2020,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5" t="s">
        <v>32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34</v>
      </c>
      <c r="P13" s="137"/>
      <c r="Q13" s="138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7"/>
      <c r="P14" s="137"/>
      <c r="Q14" s="138"/>
    </row>
    <row r="15" spans="1:17" ht="17.25" customHeight="1" x14ac:dyDescent="0.2">
      <c r="A15" s="73">
        <v>36</v>
      </c>
      <c r="B15" s="94"/>
      <c r="C15" s="94"/>
      <c r="D15" s="94">
        <v>1</v>
      </c>
      <c r="E15" s="94"/>
      <c r="F15" s="94">
        <v>4901</v>
      </c>
      <c r="G15" s="94">
        <v>3</v>
      </c>
      <c r="H15" s="94">
        <v>310</v>
      </c>
      <c r="I15" s="96" t="str">
        <f>LEFT('Necesidades Trimestrales'!D10,1)</f>
        <v>2</v>
      </c>
      <c r="J15" s="96">
        <v>3</v>
      </c>
      <c r="K15" s="96" t="str">
        <f>RIGHT('Necesidades Trimestrales'!D10,1)</f>
        <v>4</v>
      </c>
      <c r="L15" s="94"/>
      <c r="M15" s="74">
        <v>1</v>
      </c>
      <c r="N15" s="75" t="s">
        <v>57</v>
      </c>
      <c r="O15" s="129" t="s">
        <v>84</v>
      </c>
      <c r="P15" s="130"/>
      <c r="Q15" s="16">
        <v>94500</v>
      </c>
    </row>
    <row r="16" spans="1:17" ht="17.25" customHeight="1" x14ac:dyDescent="0.2">
      <c r="A16" s="89">
        <v>36</v>
      </c>
      <c r="B16" s="93"/>
      <c r="C16" s="93"/>
      <c r="D16" s="93">
        <v>1</v>
      </c>
      <c r="E16" s="93"/>
      <c r="F16" s="93">
        <v>4901</v>
      </c>
      <c r="G16" s="93">
        <v>3</v>
      </c>
      <c r="H16" s="93">
        <v>310</v>
      </c>
      <c r="I16" s="95" t="str">
        <f>LEFT('Necesidades Trimestrales'!D11,1)</f>
        <v>2</v>
      </c>
      <c r="J16" s="95">
        <v>9</v>
      </c>
      <c r="K16" s="95" t="str">
        <f>RIGHT('Necesidades Trimestrales'!D11,1)</f>
        <v>4</v>
      </c>
      <c r="L16" s="93"/>
      <c r="M16" s="90">
        <v>1</v>
      </c>
      <c r="N16" s="91" t="s">
        <v>57</v>
      </c>
      <c r="O16" s="124" t="s">
        <v>85</v>
      </c>
      <c r="P16" s="124"/>
      <c r="Q16" s="21">
        <v>527760</v>
      </c>
    </row>
    <row r="17" spans="1:18" ht="23.25" customHeight="1" x14ac:dyDescent="0.2">
      <c r="A17" s="89">
        <v>36</v>
      </c>
      <c r="B17" s="90"/>
      <c r="C17" s="90"/>
      <c r="D17" s="90">
        <v>1</v>
      </c>
      <c r="E17" s="90"/>
      <c r="F17" s="90">
        <v>4901</v>
      </c>
      <c r="G17" s="90">
        <v>3</v>
      </c>
      <c r="H17" s="90">
        <v>310</v>
      </c>
      <c r="I17" s="92" t="str">
        <f>LEFT('Necesidades Trimestrales'!D12,1)</f>
        <v>2</v>
      </c>
      <c r="J17" s="92">
        <v>9</v>
      </c>
      <c r="K17" s="92">
        <v>5</v>
      </c>
      <c r="L17" s="90"/>
      <c r="M17" s="90">
        <v>1</v>
      </c>
      <c r="N17" s="91" t="s">
        <v>57</v>
      </c>
      <c r="O17" s="131" t="s">
        <v>86</v>
      </c>
      <c r="P17" s="132"/>
      <c r="Q17" s="21">
        <v>40000</v>
      </c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4"/>
      <c r="P18" s="12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4"/>
      <c r="P19" s="12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4"/>
      <c r="P20" s="12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5"/>
      <c r="P21" s="12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6"/>
      <c r="P22" s="126"/>
      <c r="Q22" s="30"/>
    </row>
    <row r="23" spans="1:18" ht="29.25" customHeight="1" x14ac:dyDescent="0.2">
      <c r="A23" s="127" t="s">
        <v>93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31">
        <f>SUM(Q15:Q22)</f>
        <v>662260</v>
      </c>
    </row>
    <row r="24" spans="1:18" ht="18" customHeight="1" thickBot="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8" ht="17.25" customHeight="1" thickBot="1" x14ac:dyDescent="0.25">
      <c r="A25" s="119" t="s">
        <v>49</v>
      </c>
      <c r="B25" s="120"/>
      <c r="C25" s="120"/>
      <c r="D25" s="120"/>
      <c r="E25" s="120"/>
      <c r="F25" s="12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8" ht="18" customHeight="1" thickBot="1" x14ac:dyDescent="0.25">
      <c r="A26" s="123" t="s">
        <v>87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8" ht="15" customHeight="1" x14ac:dyDescent="0.2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2020-10-29T16:03:29Z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