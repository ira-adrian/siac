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PA#MS" sheetId="2" r:id="rId5"/>
    <sheet name="APG DPA#MS" sheetId="3" r:id="rId6"/>
    <sheet name="Nota Pedido DA#MP" sheetId="4" r:id="rId7"/>
    <sheet name="APG DA#MP" sheetId="5" r:id="rId8"/>
    <sheet name="Nota Pedido DA#HSJB" sheetId="6" r:id="rId9"/>
    <sheet name="APG DA#HSJB" sheetId="7" r:id="rId10"/>
  </sheets>
  <definedNames>
    <definedName name="_xlnm.Print_Area" localSheetId="1">'Nota Pedido DPA#MS'!$A$1:$G$50</definedName>
    <definedName name="_xlnm.Print_Area" localSheetId="2">'APG DPA#MS'!$A$1:$Q$26</definedName>
    <definedName name="_xlnm.Print_Area" localSheetId="3">'Nota Pedido DA#MP'!$A$1:$G$26</definedName>
    <definedName name="_xlnm.Print_Area" localSheetId="4">'APG DA#MP'!$A$1:$Q$24</definedName>
    <definedName name="_xlnm.Print_Area" localSheetId="5">'Nota Pedido DA#HSJB'!$A$1:$G$40</definedName>
    <definedName name="_xlnm.Print_Area" localSheetId="6">'APG DA#HSJB'!$A$1:$Q$26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<sst xmlns="http://schemas.openxmlformats.org/spreadsheetml/2006/main" uniqueCount="187">
  <si>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</si>
  <si>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</si>
  <si>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</si>
  <si>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</si>
  <si>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</si>
  <si>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</si>
  <si>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</si>
  <si>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</si>
  <si>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</si>
  <si>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</si>
  <si>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</si>
  <si>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</si>
  <si>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</si>
  <si>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</si>
  <si>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</si>
  <si>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</si>
  <si>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</si>
  <si>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</si>
  <si>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2.5.2-1868.37</t>
  </si>
  <si>
    <t>PROD. MEDICO/FARMACEUTICOS/LAB</t>
  </si>
  <si>
    <t>2.5.2</t>
  </si>
  <si>
    <t>ANSIOLITICOS; TIPO: MONODROGA, DROGA GENERICA: CLONAZEPAN 2 MG, FORMA FARMACEUTICA: COMPRIMIDOS, PRESENTACION: UNIDAD</t>
  </si>
  <si>
    <t>COMPRIMIDO</t>
  </si>
  <si>
    <t>2.5.2-1871.7</t>
  </si>
  <si>
    <t>NEUROLEPTICOS; TIPO: MONODROGA, DROGA GENERICA: LEVOMEPROMAZINA, FORMA FARMACEUTICA: COMPRIMIDO, PRESENTACION: 25 MGR</t>
  </si>
  <si>
    <t>2.9.5-8799.11</t>
  </si>
  <si>
    <t>2.9.5</t>
  </si>
  <si>
    <t>JERINGA; MATERIAL: PLASTICO, CAPACIDAD: 5 CM3, ACCESORIOS: SIN, TIPO: ESTERIL, ACCESORIO: SIN</t>
  </si>
  <si>
    <t>UNIDAD</t>
  </si>
  <si>
    <t>2.5.2-1868.82</t>
  </si>
  <si>
    <t>ANSIOLITICOS; TIPO: MONODROGA, DROGA GENERICA: PREGABALINA 75 MG, FORMA FARMACEUTICA: COMPRIMIDO, PRESENTACION: UNIDAD</t>
  </si>
  <si>
    <t>2.9.5-2157.73</t>
  </si>
  <si>
    <t>JERINGAS DESCARTABLES; CAPACIDAD: 10 CM3, AGUJA: SIN, USO: MEDICINAL</t>
  </si>
  <si>
    <t>2.5.2-7316.5</t>
  </si>
  <si>
    <t>ANTIPSICOTICOS; PRESENTACION: COMPRIMIDOS, TIPO: MONODROGA, DROGA GENERICA: QUETIAPINA 100 MGR</t>
  </si>
  <si>
    <t>2.5.2-4817.44</t>
  </si>
  <si>
    <t>ANTIHIPERTENSIVOS; TIPO: MONODROGA, DROGA GENERICA: NIFEDIPINA 30 MG, FORMA FARMACEUTICA: COMPRIMIDO, PRESENTACION: UNIDAD</t>
  </si>
  <si>
    <t>2.5.2-1821.5</t>
  </si>
  <si>
    <t>ANTIBIOTICOS P/PERSONAS; TIPO: MONODROGA, DROGA GENERICA: AMPICILINA, FORMA FARMACEUTICA: COMPRIMIDOS, PRESENTACION: 500 MGR</t>
  </si>
  <si>
    <t>2.5.2-1839.31</t>
  </si>
  <si>
    <t>VASODILATADORES CORONARIOS; TIPO: MONODROGA, DROGA GENERICA: DILTIAZEM, FORMA FARMACEUTICA: COMPRIMIDO, PRESENTACION: 60 MGR</t>
  </si>
  <si>
    <t>2.5.2-4817.30</t>
  </si>
  <si>
    <t>ANTIHIPERTENSIVOS; TIPO: MONODROGA, DROGA GENERICA: CLONIDINA, FORMA FARMACEUTICA: AMPOLLA, PRESENTACION: 0,15 MGR</t>
  </si>
  <si>
    <t>AMPOLLA</t>
  </si>
  <si>
    <t>2.9.5-931.49</t>
  </si>
  <si>
    <t>TELAS ADHESIVAS; ANCHO: 2,5 CM, LONG.DE CUERPO: 9 M, TIPO: IMPERMEABLE</t>
  </si>
  <si>
    <t>2.9.5-2204.25</t>
  </si>
  <si>
    <t>GUIAS DE SUERO; USO: ADMINISTRACION DE SOLUCIONES; AGUJA: CON; MODELO: V13; TIPO: FOTOSENSIBLE; MACROGOTERO CON CONEXION ROLLER LUER SLIP</t>
  </si>
  <si>
    <t>2.5.2-1901.7</t>
  </si>
  <si>
    <t>VITAMINAS; FORMA FARMACEUTICA: AMPOLLA, PRESENTACION: 2 ML, TIPO: MONODROGA, DROGA GENERICA: VITAMINA B</t>
  </si>
  <si>
    <t>VITAMINAS; FORMA FARMACEUTICA: AMPOLLA, PRESENTACION: 2 mL, TIPO: BECOZYM NF AMPOLLAS NICOTINAMIDA 40 MG/2 ML + PIRIDOXIMA CLORHIDRATO 4 MG/2 ML , VITAMINA B 1 10 MG/2 ML, VITAMINA B 2 5,47 MG/2ML, DEXPANTENOL 6 MG/2 ML VIA DE ADMINISTRACION ENDOVENOSO / INTRAMUSCULAR</t>
  </si>
  <si>
    <t>2.9.5-2204.51</t>
  </si>
  <si>
    <t>GUIAS DE SUERO; USO: ADMINISTRACION DE SOLUCIONES; AGUJA: CON; MODELO: V17; TIPO: FOTOSENSIBLE; MICROGOTERO CON CONEXION ROLLER LUER SLIP</t>
  </si>
  <si>
    <t>2.9.5-931.36</t>
  </si>
  <si>
    <t>TELAS ADHESIVAS; ANCHO: 5 CM, LONG.DE CUERPO: 9 M, TIPO: IMPERMEABLE</t>
  </si>
  <si>
    <t>2.5.2-2481.38</t>
  </si>
  <si>
    <t>LAXANTES; TIPO: MONODROGA, DROGA GENERICA: LIMONADA, FORMA FARMACEUTICA: POLVO, PRESENTACION: 60 GR</t>
  </si>
  <si>
    <t>FRASCO</t>
  </si>
  <si>
    <t>2.5.2-1865.2</t>
  </si>
  <si>
    <t>ANTIEPILEPTICOS; TIPO: MONODROGA, FORMA FARMACEUTICA: AMPOLLA, PRESENTACION: 200 MGR, DROGA GENERICA: FENOBARBITAL</t>
  </si>
  <si>
    <t>2.5.2-1872.27</t>
  </si>
  <si>
    <t>ANTIANEMICOS; TIPO: MONODROGA, DROGA GENERICA: ERITROPOYETINA HUMANA, FORMA FARMACEUTICA: FRASCO AMPOLLA 4000UI, PRESENTACION: UNIDAD</t>
  </si>
  <si>
    <t>2.9.5-2366.2</t>
  </si>
  <si>
    <t>HISOPOS; MATERIAL DE EXTREMOS: ALGODON, PRESENTACION: CAJA X 100</t>
  </si>
  <si>
    <t>CAJA</t>
  </si>
  <si>
    <t>2.9.5-6379.1</t>
  </si>
  <si>
    <t>CLAVIJAS DE CIRUGIA; TIPO: KIRSCHNER, MATERIAL: ACERO INOXIDABLE, DIAMETRO: 0,5 MM, PRESENTACION: UNIDAD</t>
  </si>
  <si>
    <t>2.9.5-6379.2</t>
  </si>
  <si>
    <t>CLAVIJAS DE CIRUGIA; TIPO: KIRSCHNER, MATERIAL: ACERO INOXIDABLE, DIAMETRO: 1 MM, PRESENTACION: UNIDAD</t>
  </si>
  <si>
    <t>2.9.5-6379.3</t>
  </si>
  <si>
    <t>CLAVIJAS DE CIRUGIA; TIPO: KIRSCHNER, MATERIAL: ACERO INOXIDABLE, DIAMETRO: 1,5 MM, PRESENTACION: UNIDAD</t>
  </si>
  <si>
    <t>2.9.5-6379.5</t>
  </si>
  <si>
    <t>CLAVIJAS DE CIRUGIA; TIPO: KIRSCHNER, MATERIAL: ACERO INOXIDABLE, DIAMETRO: 2 MM, PRESENTACION: UNIDAD</t>
  </si>
  <si>
    <t>2.9.5-6379.6</t>
  </si>
  <si>
    <t>CLAVIJAS DE CIRUGIA; TIPO: KIRSCHNER; DIAMETRO: 2,5 MM; MATERIAL: ACERO INOXIDABLE; PRESENTACION: UNIDAD</t>
  </si>
  <si>
    <t>2.9.5-6379.9</t>
  </si>
  <si>
    <t>CLAVIJAS DE CIRUGIA; TIPO: STEIMANN; DIAMETRO: 3,5 MM; MATERIAL: ACERO INOXIDABLE; PRESENTACION: UNIDAD</t>
  </si>
  <si>
    <t>2.9.5-6379.7</t>
  </si>
  <si>
    <t>CLAVIJAS DE CIRUGIA; TIPO: STEIMANN, MATERIAL: ACERO INOXIDABLE, DIAMETRO: 4 MM, PRESENTACION: UNIDAD</t>
  </si>
  <si>
    <t>2.5.2-1821.201</t>
  </si>
  <si>
    <t>ANTIBIOTICOS P/PERSONAS; TIPO: ANTITUBERCULOSTATICO, DROGA GENERICA: RIFAMPICINA X 2 GR, FORMA FARMACEUTICA: EN SUSPENSION CADA 100 ML, PRESENTACION: FRASCO X 50 ML</t>
  </si>
  <si>
    <t>2.9.5-2161.545</t>
  </si>
  <si>
    <t>CATETERES/SONDAS; NUMERO: SIN, TIPO: TUBO DE LUKEN PARA TOMA DE MUESTRAS</t>
  </si>
  <si>
    <t>2.5.2-1865.79</t>
  </si>
  <si>
    <t>ANTIEPILEPTICOS; TIPO: MONODROGA, DROGA GENERICA: LEVETIRACETAM X 1000 MG, FORMA FARMACEUTICA: COMPRIMIDO, PRESENTACION: ENVASE X 30 UN</t>
  </si>
  <si>
    <t>2.5.2-1865.29</t>
  </si>
  <si>
    <t>ANTIEPILEPTICOS; TIPO: MONODROGA, FORMA FARMACEUTICA: COMPRIMIDO, PRESENTACION: 60, DROGA GENERICA: CLOBAZAM X 10 MGR</t>
  </si>
  <si>
    <t>2.9.5-441.437</t>
  </si>
  <si>
    <t>AGUJAS QUIRURGICAS; TIPO: P/INSULINA, ESPECIFICACION: 32 G, PRESENTACION: ENVASE X 100 UN</t>
  </si>
  <si>
    <t>2.5.2-8078.68</t>
  </si>
  <si>
    <t>QUIMICOS</t>
  </si>
  <si>
    <t>EXCIPIENTES; TIPO: MONODROGA, PRESENTACION: ENVASE X 1 KG, COMPUESTO: CARBON ACTIVADO, CONCENTRACION/PUREZA: 100 %</t>
  </si>
  <si>
    <t>2.5.2-1868.26</t>
  </si>
  <si>
    <t>ANSIOLITICOS; TIPO: MONODROGA, DROGA GENERICA: CLOBAZAM, FORMA FARMACEUTICA: COMPRIMIDO, PRESENTACION: 60 X 20 MGR</t>
  </si>
  <si>
    <t>2.5.1-5771.13</t>
  </si>
  <si>
    <t>2.5.1</t>
  </si>
  <si>
    <t>ANTISEPTICOS P/ MATERIALES ; COMPUESTO QUIMICO: AC. CITRICO, ESTADO: SOLIDO, CALIDAD: BIOLOGIA MOLECULAR, CONCENTRACION/PUREZA: 99,99 %, PRESENTACION: ENVASE X 1 KG</t>
  </si>
  <si>
    <t>2.1.1-4227.19</t>
  </si>
  <si>
    <t>SUPLEMENTOS DIETARIOS; TIPO: ASOCIACION, DROGA GENERICA: S. PARENTERAL NEONATAL 0-500 ML, PRESENTACION: UNIDAD, ACCESORIO: CON FILTRO</t>
  </si>
  <si>
    <t>2.5.1-5771.12</t>
  </si>
  <si>
    <t>ANTISEPTICOS P/ MATERIALES; COMPUESTO QUIMICO: AC.ACETICO, ESTADO SOLIDO, CALIDAD FARMACEUTICA, CONCENTRACION/PUREZA 25/30 % , PRESENTACION: 5 KG, USO: EQUIPO</t>
  </si>
  <si>
    <t>BIDON</t>
  </si>
  <si>
    <t>OXIDIAL</t>
  </si>
  <si>
    <t>2.1.1-4227.56</t>
  </si>
  <si>
    <t>SUPLEMENTOS DIETARIOS; TIPO: ASOCIACION, DROGA GENERICA: S. PARENTERAL ADULTO 1501-2000 ML, PRESENTACION: UNIDAD</t>
  </si>
  <si>
    <t>2.9.5-2554.26</t>
  </si>
  <si>
    <t>2.5.9</t>
  </si>
  <si>
    <t>PAPELES P/ESTERILIZACION; TIPO: GRADO MEDICO, PRESENTACION: ROLLO X 60 CM X 200 M</t>
  </si>
  <si>
    <t>BOBINA</t>
  </si>
  <si>
    <t>2.9.5-6752.8</t>
  </si>
  <si>
    <t>ASPIRADORES MEDICOS; TIPO: MANUAL, CAPACIDAD: 60 CM3, USO: ENDOUTERINO</t>
  </si>
  <si>
    <t>ITEMS 3:  AMEU CON KIT DE CANULAS DE 4 A 12 MM</t>
  </si>
  <si>
    <t>TREINTA Y SEIS MILLONES CUATROCIENTOS SESENTA Y CUATRO MIL SEISCIENTOS CINCUENTA CON 40/100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</si>
  <si>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</si>
  <si>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</si>
  <si>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</si>
  <si>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</si>
  <si>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</si>
  <si>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</si>
  <si>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</si>
  <si>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</si>
  <si>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</si>
  <si>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</si>
  <si>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</si>
  <si>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582 / 2022</t>
  </si>
  <si>
    <t xml:space="preserve">JURISDICCIÓN: </t>
  </si>
  <si>
    <t>SAF:</t>
  </si>
  <si>
    <t>UNIDAD EJECUTORA:</t>
  </si>
  <si>
    <t>SAF 11 - MINISTERIO DE SALUD</t>
  </si>
  <si>
    <t xml:space="preserve">DEPENDENCIA SOLICITANTE: </t>
  </si>
  <si>
    <t>PERIODO UTILIZACIÓN:</t>
  </si>
  <si>
    <t>4° TRIMESTRE - 2022</t>
  </si>
  <si>
    <t>OBJETO:</t>
  </si>
  <si>
    <t>DESIERTOS Y FRACASADOS 3° TRIMESTRE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</si>
  <si>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</si>
  <si>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</si>
  <si>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</si>
  <si>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</si>
  <si>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</si>
  <si>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</si>
  <si>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</si>
  <si>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</si>
  <si>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SÍ</t>
  </si>
  <si>
    <t xml:space="preserve">Costo total estimado: </t>
  </si>
  <si>
    <t>VEINTINUEVE MILLONES CUATROCIENTOS SIETE MIL CUATROCIENTOS CUARENTA CON 00/100 PESOS</t>
  </si>
  <si>
    <t>DETALLE TECNICO</t>
  </si>
  <si>
    <t>ITEM 2</t>
  </si>
  <si>
    <t>ITEM 3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</si>
  <si>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</si>
  <si>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</si>
  <si>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</si>
  <si>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</si>
  <si>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582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</si>
  <si>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</si>
  <si>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</si>
  <si>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</si>
  <si>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</si>
  <si>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</si>
  <si>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</si>
  <si>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</si>
  <si>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</si>
  <si>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</si>
  <si>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</si>
  <si>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</si>
  <si>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</si>
  <si>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</si>
  <si>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</si>
  <si>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</si>
  <si>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</si>
  <si>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</si>
  <si>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PRODUCTOS FARMACÉUTICOS Y MEDICINALES</t>
  </si>
  <si>
    <t>OTROS N.E.P.</t>
  </si>
  <si>
    <t>ÚTILES MENORES MÉDICO, QUIRÚRGICO Y DE LABORATORIO</t>
  </si>
  <si>
    <t xml:space="preserve">TOTAL DE PESOS: </t>
  </si>
  <si>
    <t>JUSTIFICACIÓN:</t>
  </si>
  <si>
    <t>OBSERVACIONES:</t>
  </si>
  <si>
    <t>599 / 2022</t>
  </si>
  <si>
    <t>SAF 28 - MATERNIDAD PROVINCIAL 25 DE MAYO</t>
  </si>
  <si>
    <t>DOS MILLONES SETECIENTOS OCHENTA Y TRES MIL CUATROCIENTOS CON 00/100 PESOS</t>
  </si>
  <si>
    <t xml:space="preserve"> Autorizo la realización de los  trámites correspondientes, a fin de proveer a  este Organismo los bienes y/o servicios que se detallan en Nota  de Pedido N° 599 / 2022,  afectando la erogación resultante a los créditos presupuestarios aprobados a favor de esta Unidad Ejecutora, conforme al siguiente detalle:</t>
  </si>
  <si>
    <t>600 / 2022</t>
  </si>
  <si>
    <t>SAF 23 - HOSPITAL INTERZONAL SAN JUAN BAUTISTA</t>
  </si>
  <si>
    <t>CUATRO MILLONES DOSCIENTOS SETENTA Y TRES MIL OCHOCIENTOS DIEZ CON 40/100 PESOS</t>
  </si>
  <si>
    <t>ITEM 1</t>
  </si>
  <si>
    <t>ITEM 5</t>
  </si>
  <si>
    <t xml:space="preserve"> Autorizo la realización de los  trámites correspondientes, a fin de proveer a  este Organismo los bienes y/o servicios que se detallan en Nota  de Pedido N° 600 / 2022,  afectando la erogación resultante a los créditos presupuestarios aprobados a favor de esta Unidad Ejecutora, conforme al siguiente detalle:</t>
  </si>
  <si>
    <t>COMPUESTOS QUÍMICOS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</si>
</sst>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1"/>
  <sheetViews>
    <sheetView tabSelected="1" workbookViewId="0" showGridLines="true" showRowColHeaders="1">
      <selection activeCell="I51" sqref="I51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35000</v>
      </c>
      <c r="H10" s="82">
        <v>5.1</v>
      </c>
      <c r="I10" s="82">
        <v>178500.0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22</v>
      </c>
      <c r="G11" s="81">
        <v>10000</v>
      </c>
      <c r="H11" s="82">
        <v>9.2</v>
      </c>
      <c r="I11" s="82">
        <v>92000.0</v>
      </c>
      <c r="J11" s="80"/>
    </row>
    <row r="12" spans="1:10" customHeight="1" ht="20.25">
      <c r="A12" s="79">
        <v>3</v>
      </c>
      <c r="B12" s="80" t="s">
        <v>25</v>
      </c>
      <c r="C12" s="80" t="s">
        <v>19</v>
      </c>
      <c r="D12" s="79" t="s">
        <v>26</v>
      </c>
      <c r="E12" s="80" t="s">
        <v>27</v>
      </c>
      <c r="F12" s="81" t="s">
        <v>28</v>
      </c>
      <c r="G12" s="81">
        <v>300000</v>
      </c>
      <c r="H12" s="82">
        <v>9.78</v>
      </c>
      <c r="I12" s="82">
        <v>2934000.0</v>
      </c>
      <c r="J12" s="80"/>
    </row>
    <row r="13" spans="1:10" customHeight="1" ht="20.25">
      <c r="A13" s="79">
        <v>4</v>
      </c>
      <c r="B13" s="80" t="s">
        <v>29</v>
      </c>
      <c r="C13" s="80" t="s">
        <v>19</v>
      </c>
      <c r="D13" s="79" t="s">
        <v>20</v>
      </c>
      <c r="E13" s="80" t="s">
        <v>30</v>
      </c>
      <c r="F13" s="81" t="s">
        <v>22</v>
      </c>
      <c r="G13" s="81">
        <v>5000</v>
      </c>
      <c r="H13" s="82">
        <v>12.8</v>
      </c>
      <c r="I13" s="82">
        <v>64000.0</v>
      </c>
      <c r="J13" s="80"/>
    </row>
    <row r="14" spans="1:10" customHeight="1" ht="20.25">
      <c r="A14" s="79">
        <v>5</v>
      </c>
      <c r="B14" s="80" t="s">
        <v>31</v>
      </c>
      <c r="C14" s="80" t="s">
        <v>19</v>
      </c>
      <c r="D14" s="79" t="s">
        <v>26</v>
      </c>
      <c r="E14" s="80" t="s">
        <v>32</v>
      </c>
      <c r="F14" s="81" t="s">
        <v>28</v>
      </c>
      <c r="G14" s="81">
        <v>150000</v>
      </c>
      <c r="H14" s="82">
        <v>14.16</v>
      </c>
      <c r="I14" s="82">
        <v>2124000.0</v>
      </c>
      <c r="J14" s="80"/>
    </row>
    <row r="15" spans="1:10" customHeight="1" ht="20.25">
      <c r="A15" s="79">
        <v>6</v>
      </c>
      <c r="B15" s="80" t="s">
        <v>33</v>
      </c>
      <c r="C15" s="80" t="s">
        <v>19</v>
      </c>
      <c r="D15" s="79" t="s">
        <v>20</v>
      </c>
      <c r="E15" s="80" t="s">
        <v>34</v>
      </c>
      <c r="F15" s="81" t="s">
        <v>22</v>
      </c>
      <c r="G15" s="81">
        <v>8000</v>
      </c>
      <c r="H15" s="82">
        <v>16.2</v>
      </c>
      <c r="I15" s="82">
        <v>129600.0</v>
      </c>
      <c r="J15" s="80"/>
    </row>
    <row r="16" spans="1:10" customHeight="1" ht="20.25">
      <c r="A16" s="79">
        <v>7</v>
      </c>
      <c r="B16" s="80" t="s">
        <v>35</v>
      </c>
      <c r="C16" s="80" t="s">
        <v>19</v>
      </c>
      <c r="D16" s="79" t="s">
        <v>20</v>
      </c>
      <c r="E16" s="80" t="s">
        <v>36</v>
      </c>
      <c r="F16" s="81" t="s">
        <v>22</v>
      </c>
      <c r="G16" s="81">
        <v>480</v>
      </c>
      <c r="H16" s="82">
        <v>23.0</v>
      </c>
      <c r="I16" s="82">
        <v>11040.0</v>
      </c>
      <c r="J16" s="80"/>
    </row>
    <row r="17" spans="1:10" customHeight="1" ht="20.25">
      <c r="A17" s="79">
        <v>8</v>
      </c>
      <c r="B17" s="80" t="s">
        <v>37</v>
      </c>
      <c r="C17" s="80" t="s">
        <v>19</v>
      </c>
      <c r="D17" s="79" t="s">
        <v>20</v>
      </c>
      <c r="E17" s="80" t="s">
        <v>38</v>
      </c>
      <c r="F17" s="81" t="s">
        <v>22</v>
      </c>
      <c r="G17" s="81">
        <v>160</v>
      </c>
      <c r="H17" s="82">
        <v>24.0</v>
      </c>
      <c r="I17" s="82">
        <v>3840.0</v>
      </c>
      <c r="J17" s="80"/>
    </row>
    <row r="18" spans="1:10" customHeight="1" ht="20.25">
      <c r="A18" s="79">
        <v>9</v>
      </c>
      <c r="B18" s="80" t="s">
        <v>39</v>
      </c>
      <c r="C18" s="80" t="s">
        <v>19</v>
      </c>
      <c r="D18" s="79" t="s">
        <v>20</v>
      </c>
      <c r="E18" s="80" t="s">
        <v>40</v>
      </c>
      <c r="F18" s="81" t="s">
        <v>22</v>
      </c>
      <c r="G18" s="81">
        <v>3180</v>
      </c>
      <c r="H18" s="82">
        <v>33.78</v>
      </c>
      <c r="I18" s="82">
        <v>107420.4</v>
      </c>
      <c r="J18" s="80"/>
    </row>
    <row r="19" spans="1:10" customHeight="1" ht="20.25">
      <c r="A19" s="79">
        <v>10</v>
      </c>
      <c r="B19" s="80" t="s">
        <v>41</v>
      </c>
      <c r="C19" s="80" t="s">
        <v>19</v>
      </c>
      <c r="D19" s="79" t="s">
        <v>20</v>
      </c>
      <c r="E19" s="80" t="s">
        <v>42</v>
      </c>
      <c r="F19" s="81" t="s">
        <v>43</v>
      </c>
      <c r="G19" s="81">
        <v>500</v>
      </c>
      <c r="H19" s="82">
        <v>75.0</v>
      </c>
      <c r="I19" s="82">
        <v>37500.0</v>
      </c>
      <c r="J19" s="80"/>
    </row>
    <row r="20" spans="1:10" customHeight="1" ht="20.25">
      <c r="A20" s="79">
        <v>11</v>
      </c>
      <c r="B20" s="80" t="s">
        <v>44</v>
      </c>
      <c r="C20" s="80" t="s">
        <v>19</v>
      </c>
      <c r="D20" s="79" t="s">
        <v>26</v>
      </c>
      <c r="E20" s="80" t="s">
        <v>45</v>
      </c>
      <c r="F20" s="81" t="s">
        <v>28</v>
      </c>
      <c r="G20" s="81">
        <v>8000</v>
      </c>
      <c r="H20" s="82">
        <v>133.0</v>
      </c>
      <c r="I20" s="82">
        <v>1064000.0</v>
      </c>
      <c r="J20" s="80"/>
    </row>
    <row r="21" spans="1:10" customHeight="1" ht="20.25">
      <c r="A21" s="79">
        <v>12</v>
      </c>
      <c r="B21" s="80" t="s">
        <v>46</v>
      </c>
      <c r="C21" s="80" t="s">
        <v>19</v>
      </c>
      <c r="D21" s="79" t="s">
        <v>26</v>
      </c>
      <c r="E21" s="80" t="s">
        <v>47</v>
      </c>
      <c r="F21" s="81" t="s">
        <v>28</v>
      </c>
      <c r="G21" s="81">
        <v>550</v>
      </c>
      <c r="H21" s="82">
        <v>150.0</v>
      </c>
      <c r="I21" s="82">
        <v>82500.0</v>
      </c>
      <c r="J21" s="80"/>
    </row>
    <row r="22" spans="1:10" customHeight="1" ht="20.25">
      <c r="A22" s="79">
        <v>13</v>
      </c>
      <c r="B22" s="80" t="s">
        <v>48</v>
      </c>
      <c r="C22" s="80" t="s">
        <v>19</v>
      </c>
      <c r="D22" s="79" t="s">
        <v>20</v>
      </c>
      <c r="E22" s="80" t="s">
        <v>49</v>
      </c>
      <c r="F22" s="81" t="s">
        <v>43</v>
      </c>
      <c r="G22" s="81">
        <v>6100</v>
      </c>
      <c r="H22" s="82">
        <v>170.0</v>
      </c>
      <c r="I22" s="82">
        <v>1037000.0</v>
      </c>
      <c r="J22" s="80" t="s">
        <v>50</v>
      </c>
    </row>
    <row r="23" spans="1:10" customHeight="1" ht="20.25">
      <c r="A23" s="79">
        <v>14</v>
      </c>
      <c r="B23" s="80" t="s">
        <v>51</v>
      </c>
      <c r="C23" s="80" t="s">
        <v>19</v>
      </c>
      <c r="D23" s="79" t="s">
        <v>26</v>
      </c>
      <c r="E23" s="80" t="s">
        <v>52</v>
      </c>
      <c r="F23" s="81" t="s">
        <v>28</v>
      </c>
      <c r="G23" s="81">
        <v>50</v>
      </c>
      <c r="H23" s="82">
        <v>180.0</v>
      </c>
      <c r="I23" s="82">
        <v>9000.0</v>
      </c>
      <c r="J23" s="80"/>
    </row>
    <row r="24" spans="1:10" customHeight="1" ht="20.25">
      <c r="A24" s="79">
        <v>15</v>
      </c>
      <c r="B24" s="80" t="s">
        <v>53</v>
      </c>
      <c r="C24" s="80" t="s">
        <v>19</v>
      </c>
      <c r="D24" s="79" t="s">
        <v>26</v>
      </c>
      <c r="E24" s="80" t="s">
        <v>54</v>
      </c>
      <c r="F24" s="81" t="s">
        <v>28</v>
      </c>
      <c r="G24" s="81">
        <v>3000</v>
      </c>
      <c r="H24" s="82">
        <v>266.0</v>
      </c>
      <c r="I24" s="82">
        <v>798000.0</v>
      </c>
      <c r="J24" s="80"/>
    </row>
    <row r="25" spans="1:10" customHeight="1" ht="20.25">
      <c r="A25" s="79">
        <v>16</v>
      </c>
      <c r="B25" s="80" t="s">
        <v>55</v>
      </c>
      <c r="C25" s="80" t="s">
        <v>19</v>
      </c>
      <c r="D25" s="79" t="s">
        <v>20</v>
      </c>
      <c r="E25" s="80" t="s">
        <v>56</v>
      </c>
      <c r="F25" s="81" t="s">
        <v>57</v>
      </c>
      <c r="G25" s="81">
        <v>100</v>
      </c>
      <c r="H25" s="82">
        <v>280.0</v>
      </c>
      <c r="I25" s="82">
        <v>28000.0</v>
      </c>
      <c r="J25" s="80"/>
    </row>
    <row r="26" spans="1:10" customHeight="1" ht="20.25">
      <c r="A26" s="79">
        <v>17</v>
      </c>
      <c r="B26" s="80" t="s">
        <v>58</v>
      </c>
      <c r="C26" s="80" t="s">
        <v>19</v>
      </c>
      <c r="D26" s="79" t="s">
        <v>20</v>
      </c>
      <c r="E26" s="80" t="s">
        <v>59</v>
      </c>
      <c r="F26" s="81" t="s">
        <v>43</v>
      </c>
      <c r="G26" s="81">
        <v>800</v>
      </c>
      <c r="H26" s="82">
        <v>480.0</v>
      </c>
      <c r="I26" s="82">
        <v>384000.0</v>
      </c>
      <c r="J26" s="80"/>
    </row>
    <row r="27" spans="1:10" customHeight="1" ht="20.25">
      <c r="A27" s="79">
        <v>18</v>
      </c>
      <c r="B27" s="80" t="s">
        <v>60</v>
      </c>
      <c r="C27" s="80" t="s">
        <v>19</v>
      </c>
      <c r="D27" s="79" t="s">
        <v>20</v>
      </c>
      <c r="E27" s="80" t="s">
        <v>61</v>
      </c>
      <c r="F27" s="81" t="s">
        <v>28</v>
      </c>
      <c r="G27" s="81">
        <v>3000</v>
      </c>
      <c r="H27" s="82">
        <v>525.0</v>
      </c>
      <c r="I27" s="82">
        <v>1575000.0</v>
      </c>
      <c r="J27" s="80"/>
    </row>
    <row r="28" spans="1:10" customHeight="1" ht="20.25">
      <c r="A28" s="79">
        <v>19</v>
      </c>
      <c r="B28" s="80" t="s">
        <v>62</v>
      </c>
      <c r="C28" s="80" t="s">
        <v>19</v>
      </c>
      <c r="D28" s="79" t="s">
        <v>26</v>
      </c>
      <c r="E28" s="80" t="s">
        <v>63</v>
      </c>
      <c r="F28" s="81" t="s">
        <v>64</v>
      </c>
      <c r="G28" s="81">
        <v>4</v>
      </c>
      <c r="H28" s="82">
        <v>650.0</v>
      </c>
      <c r="I28" s="82">
        <v>2600.0</v>
      </c>
      <c r="J28" s="80"/>
    </row>
    <row r="29" spans="1:10" customHeight="1" ht="20.25">
      <c r="A29" s="79">
        <v>20</v>
      </c>
      <c r="B29" s="80" t="s">
        <v>65</v>
      </c>
      <c r="C29" s="80" t="s">
        <v>19</v>
      </c>
      <c r="D29" s="79" t="s">
        <v>26</v>
      </c>
      <c r="E29" s="80" t="s">
        <v>66</v>
      </c>
      <c r="F29" s="81" t="s">
        <v>28</v>
      </c>
      <c r="G29" s="81">
        <v>100</v>
      </c>
      <c r="H29" s="82">
        <v>690.0</v>
      </c>
      <c r="I29" s="82">
        <v>69000.0</v>
      </c>
      <c r="J29" s="80"/>
    </row>
    <row r="30" spans="1:10" customHeight="1" ht="20.25">
      <c r="A30" s="79">
        <v>21</v>
      </c>
      <c r="B30" s="80" t="s">
        <v>67</v>
      </c>
      <c r="C30" s="80" t="s">
        <v>19</v>
      </c>
      <c r="D30" s="79" t="s">
        <v>26</v>
      </c>
      <c r="E30" s="80" t="s">
        <v>68</v>
      </c>
      <c r="F30" s="81" t="s">
        <v>28</v>
      </c>
      <c r="G30" s="81">
        <v>80</v>
      </c>
      <c r="H30" s="82">
        <v>690.0</v>
      </c>
      <c r="I30" s="82">
        <v>55200.0</v>
      </c>
      <c r="J30" s="80"/>
    </row>
    <row r="31" spans="1:10" customHeight="1" ht="20.25">
      <c r="A31" s="79">
        <v>22</v>
      </c>
      <c r="B31" s="80" t="s">
        <v>69</v>
      </c>
      <c r="C31" s="80" t="s">
        <v>19</v>
      </c>
      <c r="D31" s="79" t="s">
        <v>26</v>
      </c>
      <c r="E31" s="80" t="s">
        <v>70</v>
      </c>
      <c r="F31" s="81" t="s">
        <v>28</v>
      </c>
      <c r="G31" s="81">
        <v>100</v>
      </c>
      <c r="H31" s="82">
        <v>690.0</v>
      </c>
      <c r="I31" s="82">
        <v>69000.0</v>
      </c>
      <c r="J31" s="80"/>
    </row>
    <row r="32" spans="1:10" customHeight="1" ht="20.25">
      <c r="A32" s="79">
        <v>23</v>
      </c>
      <c r="B32" s="80" t="s">
        <v>71</v>
      </c>
      <c r="C32" s="80" t="s">
        <v>19</v>
      </c>
      <c r="D32" s="79" t="s">
        <v>26</v>
      </c>
      <c r="E32" s="80" t="s">
        <v>72</v>
      </c>
      <c r="F32" s="81" t="s">
        <v>28</v>
      </c>
      <c r="G32" s="81">
        <v>100</v>
      </c>
      <c r="H32" s="82">
        <v>690.0</v>
      </c>
      <c r="I32" s="82">
        <v>69000.0</v>
      </c>
      <c r="J32" s="80"/>
    </row>
    <row r="33" spans="1:10" customHeight="1" ht="20.25">
      <c r="A33" s="79">
        <v>24</v>
      </c>
      <c r="B33" s="80" t="s">
        <v>73</v>
      </c>
      <c r="C33" s="80" t="s">
        <v>19</v>
      </c>
      <c r="D33" s="79" t="s">
        <v>26</v>
      </c>
      <c r="E33" s="80" t="s">
        <v>74</v>
      </c>
      <c r="F33" s="81" t="s">
        <v>28</v>
      </c>
      <c r="G33" s="81">
        <v>100</v>
      </c>
      <c r="H33" s="82">
        <v>690.0</v>
      </c>
      <c r="I33" s="82">
        <v>69000.0</v>
      </c>
      <c r="J33" s="80"/>
    </row>
    <row r="34" spans="1:10" customHeight="1" ht="20.25">
      <c r="A34" s="79">
        <v>25</v>
      </c>
      <c r="B34" s="80" t="s">
        <v>75</v>
      </c>
      <c r="C34" s="80" t="s">
        <v>19</v>
      </c>
      <c r="D34" s="79" t="s">
        <v>26</v>
      </c>
      <c r="E34" s="80" t="s">
        <v>76</v>
      </c>
      <c r="F34" s="81" t="s">
        <v>28</v>
      </c>
      <c r="G34" s="81">
        <v>60</v>
      </c>
      <c r="H34" s="82">
        <v>690.0</v>
      </c>
      <c r="I34" s="82">
        <v>41400.0</v>
      </c>
      <c r="J34" s="80"/>
    </row>
    <row r="35" spans="1:10" customHeight="1" ht="20.25">
      <c r="A35" s="79">
        <v>26</v>
      </c>
      <c r="B35" s="80" t="s">
        <v>77</v>
      </c>
      <c r="C35" s="80" t="s">
        <v>19</v>
      </c>
      <c r="D35" s="79" t="s">
        <v>26</v>
      </c>
      <c r="E35" s="80" t="s">
        <v>78</v>
      </c>
      <c r="F35" s="81" t="s">
        <v>28</v>
      </c>
      <c r="G35" s="81">
        <v>120</v>
      </c>
      <c r="H35" s="82">
        <v>690.0</v>
      </c>
      <c r="I35" s="82">
        <v>82800.0</v>
      </c>
      <c r="J35" s="80"/>
    </row>
    <row r="36" spans="1:10" customHeight="1" ht="20.25">
      <c r="A36" s="79">
        <v>27</v>
      </c>
      <c r="B36" s="80" t="s">
        <v>79</v>
      </c>
      <c r="C36" s="80" t="s">
        <v>19</v>
      </c>
      <c r="D36" s="79" t="s">
        <v>20</v>
      </c>
      <c r="E36" s="80" t="s">
        <v>80</v>
      </c>
      <c r="F36" s="81" t="s">
        <v>57</v>
      </c>
      <c r="G36" s="81">
        <v>50</v>
      </c>
      <c r="H36" s="82">
        <v>850.0</v>
      </c>
      <c r="I36" s="82">
        <v>42500.0</v>
      </c>
      <c r="J36" s="80"/>
    </row>
    <row r="37" spans="1:10" customHeight="1" ht="20.25">
      <c r="A37" s="79">
        <v>28</v>
      </c>
      <c r="B37" s="80" t="s">
        <v>81</v>
      </c>
      <c r="C37" s="80" t="s">
        <v>19</v>
      </c>
      <c r="D37" s="79" t="s">
        <v>26</v>
      </c>
      <c r="E37" s="80" t="s">
        <v>82</v>
      </c>
      <c r="F37" s="81" t="s">
        <v>28</v>
      </c>
      <c r="G37" s="81">
        <v>50</v>
      </c>
      <c r="H37" s="82">
        <v>1250.0</v>
      </c>
      <c r="I37" s="82">
        <v>62500.0</v>
      </c>
      <c r="J37" s="80"/>
    </row>
    <row r="38" spans="1:10" customHeight="1" ht="20.25">
      <c r="A38" s="79">
        <v>29</v>
      </c>
      <c r="B38" s="80" t="s">
        <v>83</v>
      </c>
      <c r="C38" s="80" t="s">
        <v>19</v>
      </c>
      <c r="D38" s="79" t="s">
        <v>20</v>
      </c>
      <c r="E38" s="80" t="s">
        <v>84</v>
      </c>
      <c r="F38" s="81" t="s">
        <v>64</v>
      </c>
      <c r="G38" s="81">
        <v>200</v>
      </c>
      <c r="H38" s="82">
        <v>3371.0</v>
      </c>
      <c r="I38" s="82">
        <v>674200.0</v>
      </c>
      <c r="J38" s="80"/>
    </row>
    <row r="39" spans="1:10" customHeight="1" ht="20.25">
      <c r="A39" s="79">
        <v>30</v>
      </c>
      <c r="B39" s="80" t="s">
        <v>85</v>
      </c>
      <c r="C39" s="80" t="s">
        <v>19</v>
      </c>
      <c r="D39" s="79" t="s">
        <v>20</v>
      </c>
      <c r="E39" s="80" t="s">
        <v>86</v>
      </c>
      <c r="F39" s="81" t="s">
        <v>64</v>
      </c>
      <c r="G39" s="81">
        <v>120</v>
      </c>
      <c r="H39" s="82">
        <v>3575.0</v>
      </c>
      <c r="I39" s="82">
        <v>429000.0</v>
      </c>
      <c r="J39" s="80"/>
    </row>
    <row r="40" spans="1:10" customHeight="1" ht="20.25">
      <c r="A40" s="79">
        <v>31</v>
      </c>
      <c r="B40" s="80" t="s">
        <v>87</v>
      </c>
      <c r="C40" s="80" t="s">
        <v>19</v>
      </c>
      <c r="D40" s="79" t="s">
        <v>26</v>
      </c>
      <c r="E40" s="80" t="s">
        <v>88</v>
      </c>
      <c r="F40" s="81" t="s">
        <v>28</v>
      </c>
      <c r="G40" s="81">
        <v>4000</v>
      </c>
      <c r="H40" s="82">
        <v>4700.0</v>
      </c>
      <c r="I40" s="82">
        <v>18800000.0</v>
      </c>
      <c r="J40" s="80"/>
    </row>
    <row r="41" spans="1:10" customHeight="1" ht="20.25">
      <c r="A41" s="79">
        <v>32</v>
      </c>
      <c r="B41" s="80" t="s">
        <v>89</v>
      </c>
      <c r="C41" s="80" t="s">
        <v>90</v>
      </c>
      <c r="D41" s="79" t="s">
        <v>20</v>
      </c>
      <c r="E41" s="80" t="s">
        <v>91</v>
      </c>
      <c r="F41" s="81" t="s">
        <v>28</v>
      </c>
      <c r="G41" s="81">
        <v>22</v>
      </c>
      <c r="H41" s="82">
        <v>6500.0</v>
      </c>
      <c r="I41" s="82">
        <v>143000.0</v>
      </c>
      <c r="J41" s="80"/>
    </row>
    <row r="42" spans="1:10" customHeight="1" ht="20.25">
      <c r="A42" s="79">
        <v>33</v>
      </c>
      <c r="B42" s="80" t="s">
        <v>92</v>
      </c>
      <c r="C42" s="80" t="s">
        <v>19</v>
      </c>
      <c r="D42" s="79" t="s">
        <v>20</v>
      </c>
      <c r="E42" s="80" t="s">
        <v>93</v>
      </c>
      <c r="F42" s="81" t="s">
        <v>64</v>
      </c>
      <c r="G42" s="81">
        <v>100</v>
      </c>
      <c r="H42" s="82">
        <v>6641.0</v>
      </c>
      <c r="I42" s="82">
        <v>664100.0</v>
      </c>
      <c r="J42" s="80"/>
    </row>
    <row r="43" spans="1:10" customHeight="1" ht="20.25">
      <c r="A43" s="79">
        <v>34</v>
      </c>
      <c r="B43" s="80" t="s">
        <v>94</v>
      </c>
      <c r="C43" s="80" t="s">
        <v>19</v>
      </c>
      <c r="D43" s="79" t="s">
        <v>95</v>
      </c>
      <c r="E43" s="80" t="s">
        <v>96</v>
      </c>
      <c r="F43" s="81" t="s">
        <v>28</v>
      </c>
      <c r="G43" s="81">
        <v>20</v>
      </c>
      <c r="H43" s="82">
        <v>6800.0</v>
      </c>
      <c r="I43" s="82">
        <v>136000.0</v>
      </c>
      <c r="J43" s="80"/>
    </row>
    <row r="44" spans="1:10" customHeight="1" ht="20.25">
      <c r="A44" s="79">
        <v>35</v>
      </c>
      <c r="B44" s="80" t="s">
        <v>97</v>
      </c>
      <c r="C44" s="80" t="s">
        <v>19</v>
      </c>
      <c r="D44" s="79" t="s">
        <v>20</v>
      </c>
      <c r="E44" s="80" t="s">
        <v>98</v>
      </c>
      <c r="F44" s="81" t="s">
        <v>28</v>
      </c>
      <c r="G44" s="81">
        <v>300</v>
      </c>
      <c r="H44" s="82">
        <v>8860.0</v>
      </c>
      <c r="I44" s="82">
        <v>2658000.0</v>
      </c>
      <c r="J44" s="80"/>
    </row>
    <row r="45" spans="1:10" customHeight="1" ht="20.25">
      <c r="A45" s="79">
        <v>36</v>
      </c>
      <c r="B45" s="80" t="s">
        <v>99</v>
      </c>
      <c r="C45" s="80" t="s">
        <v>19</v>
      </c>
      <c r="D45" s="79" t="s">
        <v>95</v>
      </c>
      <c r="E45" s="80" t="s">
        <v>100</v>
      </c>
      <c r="F45" s="81" t="s">
        <v>101</v>
      </c>
      <c r="G45" s="81">
        <v>5</v>
      </c>
      <c r="H45" s="82">
        <v>10590.0</v>
      </c>
      <c r="I45" s="82">
        <v>52950.0</v>
      </c>
      <c r="J45" s="80" t="s">
        <v>102</v>
      </c>
    </row>
    <row r="46" spans="1:10" customHeight="1" ht="20.25">
      <c r="A46" s="79">
        <v>37</v>
      </c>
      <c r="B46" s="80" t="s">
        <v>103</v>
      </c>
      <c r="C46" s="80" t="s">
        <v>19</v>
      </c>
      <c r="D46" s="79" t="s">
        <v>20</v>
      </c>
      <c r="E46" s="80" t="s">
        <v>104</v>
      </c>
      <c r="F46" s="81" t="s">
        <v>28</v>
      </c>
      <c r="G46" s="81">
        <v>60</v>
      </c>
      <c r="H46" s="82">
        <v>15500.0</v>
      </c>
      <c r="I46" s="82">
        <v>930000.0</v>
      </c>
      <c r="J46" s="80"/>
    </row>
    <row r="47" spans="1:10" customHeight="1" ht="20.25">
      <c r="A47" s="79">
        <v>38</v>
      </c>
      <c r="B47" s="80" t="s">
        <v>105</v>
      </c>
      <c r="C47" s="80" t="s">
        <v>19</v>
      </c>
      <c r="D47" s="79" t="s">
        <v>106</v>
      </c>
      <c r="E47" s="80" t="s">
        <v>107</v>
      </c>
      <c r="F47" s="81" t="s">
        <v>108</v>
      </c>
      <c r="G47" s="81">
        <v>25</v>
      </c>
      <c r="H47" s="82">
        <v>15800.0</v>
      </c>
      <c r="I47" s="82">
        <v>395000.0</v>
      </c>
      <c r="J47" s="80"/>
    </row>
    <row r="48" spans="1:10" customHeight="1" ht="20.25">
      <c r="A48" s="79">
        <v>39</v>
      </c>
      <c r="B48" s="80" t="s">
        <v>109</v>
      </c>
      <c r="C48" s="80" t="s">
        <v>19</v>
      </c>
      <c r="D48" s="79" t="s">
        <v>26</v>
      </c>
      <c r="E48" s="80" t="s">
        <v>110</v>
      </c>
      <c r="F48" s="81" t="s">
        <v>28</v>
      </c>
      <c r="G48" s="81">
        <v>10</v>
      </c>
      <c r="H48" s="82">
        <v>36000.0</v>
      </c>
      <c r="I48" s="82">
        <v>360000.0</v>
      </c>
      <c r="J48" s="80" t="s">
        <v>111</v>
      </c>
    </row>
    <row r="49" spans="1:10" customHeight="1" ht="20.25">
      <c r="A49" s="79"/>
      <c r="B49" s="80"/>
      <c r="C49" s="80"/>
      <c r="D49" s="79"/>
      <c r="E49" s="80"/>
      <c r="F49" s="81"/>
      <c r="G49" s="81"/>
      <c r="H49" s="82"/>
      <c r="I49" s="82"/>
      <c r="J49" s="80"/>
    </row>
    <row r="50" spans="1:10" customHeight="1" ht="17.25" s="22" customFormat="1">
      <c r="A50" s="23"/>
      <c r="B50" s="27"/>
      <c r="C50" s="27"/>
      <c r="D50" s="23"/>
      <c r="E50" s="80"/>
      <c r="F50" s="23"/>
      <c r="G50" s="23"/>
      <c r="H50" s="24"/>
      <c r="I50" s="24"/>
      <c r="J50" s="80"/>
    </row>
    <row r="51" spans="1:10" customHeight="1" ht="13.5">
      <c r="C51" s="10" t="s">
        <v>112</v>
      </c>
      <c r="H51" s="25" t="s">
        <v>113</v>
      </c>
      <c r="I51" s="26">
        <f>SUM(I10:I50)</f>
        <v>36464650.4</v>
      </c>
      <c r="J51" s="10"/>
    </row>
    <row r="52" spans="1:10" customHeight="1" ht="15">
      <c r="B52" s="11"/>
      <c r="C52" s="12"/>
      <c r="D52" s="12"/>
      <c r="E52" s="13"/>
      <c r="F52" s="9"/>
    </row>
    <row r="53" spans="1:10" customHeight="1" ht="15">
      <c r="B53" s="87" t="s">
        <v>114</v>
      </c>
      <c r="C53" s="88"/>
      <c r="D53" s="88"/>
      <c r="E53" s="89"/>
    </row>
    <row r="54" spans="1:10" customHeight="1" ht="128.25">
      <c r="B54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54" s="94"/>
      <c r="D54" s="94"/>
      <c r="E54" s="95"/>
    </row>
    <row r="55" spans="1:10" customHeight="1" ht="16.5">
      <c r="B55" s="87" t="s">
        <v>116</v>
      </c>
      <c r="C55" s="88"/>
      <c r="D55" s="88"/>
      <c r="E55" s="89"/>
    </row>
    <row r="56" spans="1:10" customHeight="1" ht="15">
      <c r="B56" s="90" t="s">
        <v>117</v>
      </c>
      <c r="C56" s="91"/>
      <c r="D56" s="91"/>
      <c r="E56" s="92"/>
    </row>
    <row r="57" spans="1:10" customHeight="1" ht="15">
      <c r="B57" s="87" t="s">
        <v>118</v>
      </c>
      <c r="C57" s="88"/>
      <c r="D57" s="88"/>
      <c r="E57" s="89"/>
    </row>
    <row r="58" spans="1:10" customHeight="1" ht="15">
      <c r="B58" s="90" t="s">
        <v>119</v>
      </c>
      <c r="C58" s="91"/>
      <c r="D58" s="91"/>
      <c r="E58" s="92"/>
    </row>
    <row r="59" spans="1:10" customHeight="1" ht="15">
      <c r="B59" s="87" t="s">
        <v>120</v>
      </c>
      <c r="C59" s="88"/>
      <c r="D59" s="88"/>
      <c r="E59" s="89"/>
    </row>
    <row r="60" spans="1:10" customHeight="1" ht="31.5">
      <c r="B60" s="84" t="s">
        <v>121</v>
      </c>
      <c r="C60" s="85"/>
      <c r="D60" s="85"/>
      <c r="E60" s="86"/>
    </row>
    <row r="61" spans="1:10" customHeight="1" ht="12.75">
      <c r="C61" s="2"/>
      <c r="D61" s="2"/>
      <c r="E61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58:E58"/>
    <mergeCell ref="A4:B4"/>
    <mergeCell ref="A5:B5"/>
    <mergeCell ref="A6:B6"/>
    <mergeCell ref="A7:B7"/>
    <mergeCell ref="B60:E60"/>
    <mergeCell ref="B53:E53"/>
    <mergeCell ref="B55:E55"/>
    <mergeCell ref="B57:E57"/>
    <mergeCell ref="B59:E59"/>
    <mergeCell ref="B56:E56"/>
    <mergeCell ref="B54:E54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122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123</v>
      </c>
      <c r="G2" s="41" t="s">
        <v>124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125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126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127</v>
      </c>
      <c r="B6" s="128"/>
      <c r="C6" s="112" t="s">
        <v>128</v>
      </c>
      <c r="D6" s="113"/>
      <c r="E6" s="113"/>
      <c r="F6" s="113"/>
      <c r="G6" s="114"/>
    </row>
    <row r="7" spans="1:7" customHeight="1" ht="32.25">
      <c r="A7" s="127" t="s">
        <v>129</v>
      </c>
      <c r="B7" s="128"/>
      <c r="C7" s="112" t="s">
        <v>128</v>
      </c>
      <c r="D7" s="113"/>
      <c r="E7" s="113"/>
      <c r="F7" s="113"/>
      <c r="G7" s="114"/>
    </row>
    <row r="8" spans="1:7" customHeight="1" ht="16.5">
      <c r="A8" s="127" t="s">
        <v>130</v>
      </c>
      <c r="B8" s="128"/>
      <c r="C8" s="112" t="s">
        <v>131</v>
      </c>
      <c r="D8" s="113"/>
      <c r="E8" s="113"/>
      <c r="F8" s="113"/>
      <c r="G8" s="114"/>
    </row>
    <row r="9" spans="1:7" customHeight="1" ht="27.75">
      <c r="A9" s="117" t="s">
        <v>132</v>
      </c>
      <c r="B9" s="118"/>
      <c r="C9" s="124" t="s">
        <v>133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134</v>
      </c>
      <c r="B11" s="131" t="s">
        <v>135</v>
      </c>
      <c r="C11" s="119" t="s">
        <v>136</v>
      </c>
      <c r="D11" s="135" t="s">
        <v>137</v>
      </c>
      <c r="E11" s="135" t="s">
        <v>138</v>
      </c>
      <c r="F11" s="135" t="s">
        <v>139</v>
      </c>
      <c r="G11" s="135" t="s">
        <v>140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89</v>
      </c>
      <c r="C13" s="35" t="s">
        <v>91</v>
      </c>
      <c r="D13" s="31" t="s">
        <v>141</v>
      </c>
      <c r="E13" s="31" t="s">
        <v>28</v>
      </c>
      <c r="F13" s="32">
        <v>6500.0</v>
      </c>
      <c r="G13" s="33">
        <v>20</v>
      </c>
    </row>
    <row r="14" spans="1:7" customHeight="1" ht="15">
      <c r="A14" s="44">
        <v>2</v>
      </c>
      <c r="B14" s="34" t="s">
        <v>48</v>
      </c>
      <c r="C14" s="35" t="s">
        <v>49</v>
      </c>
      <c r="D14" s="31" t="s">
        <v>142</v>
      </c>
      <c r="E14" s="31" t="s">
        <v>43</v>
      </c>
      <c r="F14" s="32">
        <v>170.0</v>
      </c>
      <c r="G14" s="33">
        <v>100</v>
      </c>
    </row>
    <row r="15" spans="1:7" customHeight="1" ht="15">
      <c r="A15" s="44">
        <v>3</v>
      </c>
      <c r="B15" s="34" t="s">
        <v>109</v>
      </c>
      <c r="C15" s="35" t="s">
        <v>110</v>
      </c>
      <c r="D15" s="31" t="s">
        <v>142</v>
      </c>
      <c r="E15" s="31" t="s">
        <v>28</v>
      </c>
      <c r="F15" s="32">
        <v>36000.0</v>
      </c>
      <c r="G15" s="33">
        <v>10</v>
      </c>
    </row>
    <row r="16" spans="1:7" customHeight="1" ht="15">
      <c r="A16" s="44">
        <v>4</v>
      </c>
      <c r="B16" s="34" t="s">
        <v>46</v>
      </c>
      <c r="C16" s="35" t="s">
        <v>47</v>
      </c>
      <c r="D16" s="31" t="s">
        <v>141</v>
      </c>
      <c r="E16" s="31" t="s">
        <v>28</v>
      </c>
      <c r="F16" s="32">
        <v>150.0</v>
      </c>
      <c r="G16" s="33">
        <v>50</v>
      </c>
    </row>
    <row r="17" spans="1:7" customHeight="1" ht="15">
      <c r="A17" s="44">
        <v>5</v>
      </c>
      <c r="B17" s="34" t="s">
        <v>51</v>
      </c>
      <c r="C17" s="35" t="s">
        <v>52</v>
      </c>
      <c r="D17" s="31" t="s">
        <v>141</v>
      </c>
      <c r="E17" s="31" t="s">
        <v>28</v>
      </c>
      <c r="F17" s="32">
        <v>180.0</v>
      </c>
      <c r="G17" s="33">
        <v>50</v>
      </c>
    </row>
    <row r="18" spans="1:7" customHeight="1" ht="15">
      <c r="A18" s="44">
        <v>6</v>
      </c>
      <c r="B18" s="34" t="s">
        <v>65</v>
      </c>
      <c r="C18" s="35" t="s">
        <v>66</v>
      </c>
      <c r="D18" s="31" t="s">
        <v>141</v>
      </c>
      <c r="E18" s="31" t="s">
        <v>28</v>
      </c>
      <c r="F18" s="32">
        <v>690.0</v>
      </c>
      <c r="G18" s="33">
        <v>100</v>
      </c>
    </row>
    <row r="19" spans="1:7" customHeight="1" ht="15">
      <c r="A19" s="44">
        <v>7</v>
      </c>
      <c r="B19" s="34" t="s">
        <v>67</v>
      </c>
      <c r="C19" s="35" t="s">
        <v>68</v>
      </c>
      <c r="D19" s="31" t="s">
        <v>141</v>
      </c>
      <c r="E19" s="31" t="s">
        <v>28</v>
      </c>
      <c r="F19" s="32">
        <v>690.0</v>
      </c>
      <c r="G19" s="33">
        <v>80</v>
      </c>
    </row>
    <row r="20" spans="1:7" customHeight="1" ht="15">
      <c r="A20" s="44">
        <v>8</v>
      </c>
      <c r="B20" s="34" t="s">
        <v>69</v>
      </c>
      <c r="C20" s="35" t="s">
        <v>70</v>
      </c>
      <c r="D20" s="31" t="s">
        <v>141</v>
      </c>
      <c r="E20" s="31" t="s">
        <v>28</v>
      </c>
      <c r="F20" s="32">
        <v>690.0</v>
      </c>
      <c r="G20" s="33">
        <v>100</v>
      </c>
    </row>
    <row r="21" spans="1:7" customHeight="1" ht="15">
      <c r="A21" s="44">
        <v>9</v>
      </c>
      <c r="B21" s="34" t="s">
        <v>71</v>
      </c>
      <c r="C21" s="35" t="s">
        <v>72</v>
      </c>
      <c r="D21" s="31" t="s">
        <v>141</v>
      </c>
      <c r="E21" s="31" t="s">
        <v>28</v>
      </c>
      <c r="F21" s="32">
        <v>690.0</v>
      </c>
      <c r="G21" s="33">
        <v>100</v>
      </c>
    </row>
    <row r="22" spans="1:7" customHeight="1" ht="15">
      <c r="A22" s="44">
        <v>10</v>
      </c>
      <c r="B22" s="34" t="s">
        <v>73</v>
      </c>
      <c r="C22" s="35" t="s">
        <v>74</v>
      </c>
      <c r="D22" s="31" t="s">
        <v>141</v>
      </c>
      <c r="E22" s="31" t="s">
        <v>28</v>
      </c>
      <c r="F22" s="32">
        <v>690.0</v>
      </c>
      <c r="G22" s="33">
        <v>100</v>
      </c>
    </row>
    <row r="23" spans="1:7" customHeight="1" ht="15">
      <c r="A23" s="44">
        <v>11</v>
      </c>
      <c r="B23" s="34" t="s">
        <v>105</v>
      </c>
      <c r="C23" s="35" t="s">
        <v>107</v>
      </c>
      <c r="D23" s="31" t="s">
        <v>141</v>
      </c>
      <c r="E23" s="31" t="s">
        <v>108</v>
      </c>
      <c r="F23" s="32">
        <v>15800.0</v>
      </c>
      <c r="G23" s="33">
        <v>25</v>
      </c>
    </row>
    <row r="24" spans="1:7" customHeight="1" ht="15">
      <c r="A24" s="44">
        <v>12</v>
      </c>
      <c r="B24" s="34" t="s">
        <v>39</v>
      </c>
      <c r="C24" s="35" t="s">
        <v>40</v>
      </c>
      <c r="D24" s="31" t="s">
        <v>141</v>
      </c>
      <c r="E24" s="31" t="s">
        <v>22</v>
      </c>
      <c r="F24" s="32">
        <v>33.78</v>
      </c>
      <c r="G24" s="33">
        <v>3000</v>
      </c>
    </row>
    <row r="25" spans="1:7" customHeight="1" ht="15">
      <c r="A25" s="44">
        <v>13</v>
      </c>
      <c r="B25" s="34" t="s">
        <v>81</v>
      </c>
      <c r="C25" s="35" t="s">
        <v>82</v>
      </c>
      <c r="D25" s="31" t="s">
        <v>141</v>
      </c>
      <c r="E25" s="31" t="s">
        <v>28</v>
      </c>
      <c r="F25" s="32">
        <v>1250.0</v>
      </c>
      <c r="G25" s="33">
        <v>50</v>
      </c>
    </row>
    <row r="26" spans="1:7" customHeight="1" ht="15">
      <c r="A26" s="44">
        <v>14</v>
      </c>
      <c r="B26" s="34" t="s">
        <v>79</v>
      </c>
      <c r="C26" s="35" t="s">
        <v>80</v>
      </c>
      <c r="D26" s="31" t="s">
        <v>141</v>
      </c>
      <c r="E26" s="31" t="s">
        <v>57</v>
      </c>
      <c r="F26" s="32">
        <v>850.0</v>
      </c>
      <c r="G26" s="33">
        <v>50</v>
      </c>
    </row>
    <row r="27" spans="1:7" customHeight="1" ht="15">
      <c r="A27" s="44">
        <v>15</v>
      </c>
      <c r="B27" s="34" t="s">
        <v>18</v>
      </c>
      <c r="C27" s="35" t="s">
        <v>21</v>
      </c>
      <c r="D27" s="31" t="s">
        <v>141</v>
      </c>
      <c r="E27" s="31" t="s">
        <v>22</v>
      </c>
      <c r="F27" s="32">
        <v>5.1</v>
      </c>
      <c r="G27" s="33">
        <v>35000</v>
      </c>
    </row>
    <row r="28" spans="1:7" customHeight="1" ht="15">
      <c r="A28" s="44">
        <v>16</v>
      </c>
      <c r="B28" s="34" t="s">
        <v>83</v>
      </c>
      <c r="C28" s="35" t="s">
        <v>84</v>
      </c>
      <c r="D28" s="31" t="s">
        <v>141</v>
      </c>
      <c r="E28" s="31" t="s">
        <v>64</v>
      </c>
      <c r="F28" s="32">
        <v>3371.0</v>
      </c>
      <c r="G28" s="33">
        <v>200</v>
      </c>
    </row>
    <row r="29" spans="1:7" customHeight="1" ht="15">
      <c r="A29" s="44">
        <v>17</v>
      </c>
      <c r="B29" s="34" t="s">
        <v>23</v>
      </c>
      <c r="C29" s="35" t="s">
        <v>24</v>
      </c>
      <c r="D29" s="31" t="s">
        <v>141</v>
      </c>
      <c r="E29" s="31" t="s">
        <v>22</v>
      </c>
      <c r="F29" s="32">
        <v>9.2</v>
      </c>
      <c r="G29" s="33">
        <v>10000</v>
      </c>
    </row>
    <row r="30" spans="1:7" customHeight="1" ht="15">
      <c r="A30" s="44">
        <v>18</v>
      </c>
      <c r="B30" s="34" t="s">
        <v>29</v>
      </c>
      <c r="C30" s="35" t="s">
        <v>30</v>
      </c>
      <c r="D30" s="31" t="s">
        <v>141</v>
      </c>
      <c r="E30" s="31" t="s">
        <v>22</v>
      </c>
      <c r="F30" s="32">
        <v>12.8</v>
      </c>
      <c r="G30" s="33">
        <v>5000</v>
      </c>
    </row>
    <row r="31" spans="1:7" customHeight="1" ht="15">
      <c r="A31" s="44">
        <v>19</v>
      </c>
      <c r="B31" s="34" t="s">
        <v>33</v>
      </c>
      <c r="C31" s="35" t="s">
        <v>34</v>
      </c>
      <c r="D31" s="31" t="s">
        <v>141</v>
      </c>
      <c r="E31" s="31" t="s">
        <v>22</v>
      </c>
      <c r="F31" s="32">
        <v>16.2</v>
      </c>
      <c r="G31" s="33">
        <v>8000</v>
      </c>
    </row>
    <row r="32" spans="1:7" customHeight="1" ht="15">
      <c r="A32" s="44">
        <v>20</v>
      </c>
      <c r="B32" s="34" t="s">
        <v>92</v>
      </c>
      <c r="C32" s="35" t="s">
        <v>93</v>
      </c>
      <c r="D32" s="31" t="s">
        <v>141</v>
      </c>
      <c r="E32" s="31" t="s">
        <v>64</v>
      </c>
      <c r="F32" s="32">
        <v>6641.0</v>
      </c>
      <c r="G32" s="33">
        <v>100</v>
      </c>
    </row>
    <row r="33" spans="1:7" customHeight="1" ht="15">
      <c r="A33" s="44">
        <v>21</v>
      </c>
      <c r="B33" s="34" t="s">
        <v>85</v>
      </c>
      <c r="C33" s="35" t="s">
        <v>86</v>
      </c>
      <c r="D33" s="31" t="s">
        <v>141</v>
      </c>
      <c r="E33" s="31" t="s">
        <v>64</v>
      </c>
      <c r="F33" s="32">
        <v>3575.0</v>
      </c>
      <c r="G33" s="33">
        <v>120</v>
      </c>
    </row>
    <row r="34" spans="1:7" customHeight="1" ht="15">
      <c r="A34" s="44">
        <v>22</v>
      </c>
      <c r="B34" s="34" t="s">
        <v>25</v>
      </c>
      <c r="C34" s="35" t="s">
        <v>27</v>
      </c>
      <c r="D34" s="31" t="s">
        <v>141</v>
      </c>
      <c r="E34" s="31" t="s">
        <v>28</v>
      </c>
      <c r="F34" s="32">
        <v>9.78</v>
      </c>
      <c r="G34" s="33">
        <v>300000</v>
      </c>
    </row>
    <row r="35" spans="1:7" customHeight="1" ht="15">
      <c r="A35" s="44">
        <v>23</v>
      </c>
      <c r="B35" s="34" t="s">
        <v>31</v>
      </c>
      <c r="C35" s="35" t="s">
        <v>32</v>
      </c>
      <c r="D35" s="31" t="s">
        <v>141</v>
      </c>
      <c r="E35" s="31" t="s">
        <v>28</v>
      </c>
      <c r="F35" s="32">
        <v>14.16</v>
      </c>
      <c r="G35" s="33">
        <v>150000</v>
      </c>
    </row>
    <row r="36" spans="1:7" customHeight="1" ht="15">
      <c r="A36" s="44">
        <v>24</v>
      </c>
      <c r="B36" s="34" t="s">
        <v>87</v>
      </c>
      <c r="C36" s="35" t="s">
        <v>88</v>
      </c>
      <c r="D36" s="31" t="s">
        <v>141</v>
      </c>
      <c r="E36" s="31" t="s">
        <v>28</v>
      </c>
      <c r="F36" s="32">
        <v>4700.0</v>
      </c>
      <c r="G36" s="33">
        <v>4000</v>
      </c>
    </row>
    <row r="37" spans="1:7" customHeight="1" ht="15">
      <c r="A37" s="44">
        <v>25</v>
      </c>
      <c r="B37" s="34" t="s">
        <v>44</v>
      </c>
      <c r="C37" s="35" t="s">
        <v>45</v>
      </c>
      <c r="D37" s="31" t="s">
        <v>141</v>
      </c>
      <c r="E37" s="31" t="s">
        <v>28</v>
      </c>
      <c r="F37" s="32">
        <v>133.0</v>
      </c>
      <c r="G37" s="33">
        <v>8000</v>
      </c>
    </row>
    <row r="38" spans="1:7" customHeight="1" ht="15">
      <c r="A38" s="44">
        <v>26</v>
      </c>
      <c r="B38" s="34" t="s">
        <v>53</v>
      </c>
      <c r="C38" s="35" t="s">
        <v>54</v>
      </c>
      <c r="D38" s="31" t="s">
        <v>141</v>
      </c>
      <c r="E38" s="31" t="s">
        <v>28</v>
      </c>
      <c r="F38" s="32">
        <v>266.0</v>
      </c>
      <c r="G38" s="33">
        <v>3000</v>
      </c>
    </row>
    <row r="39" spans="1:7" customHeight="1" ht="15">
      <c r="A39" s="44"/>
      <c r="B39" s="34"/>
      <c r="C39" s="35"/>
      <c r="D39" s="31"/>
      <c r="E39" s="31"/>
      <c r="F39" s="32"/>
      <c r="G39" s="33"/>
    </row>
    <row r="40" spans="1:7" customHeight="1" ht="15.75">
      <c r="A40" s="45"/>
      <c r="B40" s="36"/>
      <c r="C40" s="37"/>
      <c r="D40" s="28"/>
      <c r="E40" s="28"/>
      <c r="F40" s="29"/>
      <c r="G40" s="30"/>
    </row>
    <row r="41" spans="1:7" customHeight="1" ht="20.25">
      <c r="A41" s="122" t="s">
        <v>143</v>
      </c>
      <c r="B41" s="123"/>
      <c r="C41" s="133" t="s">
        <v>144</v>
      </c>
      <c r="D41" s="133"/>
      <c r="E41" s="134"/>
      <c r="F41" s="121">
        <f>SUMPRODUCT(F13:F40,G13:G40)</f>
        <v>29407440</v>
      </c>
      <c r="G41" s="121"/>
    </row>
    <row r="45" spans="1:7" customHeight="1" ht="13.5"/>
    <row r="46" spans="1:7" customHeight="1" ht="15.75">
      <c r="A46" s="46"/>
      <c r="B46" s="115" t="s">
        <v>145</v>
      </c>
      <c r="C46" s="115"/>
      <c r="D46" s="116"/>
    </row>
    <row r="47" spans="1:7" customHeight="1" ht="18.75">
      <c r="A47" s="47" t="s">
        <v>146</v>
      </c>
      <c r="B47" s="48" t="s">
        <v>50</v>
      </c>
      <c r="C47" s="49"/>
      <c r="D47" s="50"/>
    </row>
    <row r="48" spans="1:7" customHeight="1" ht="18.75">
      <c r="A48" s="47" t="s">
        <v>147</v>
      </c>
      <c r="B48" s="48" t="s">
        <v>111</v>
      </c>
      <c r="C48" s="49"/>
      <c r="D48" s="50"/>
    </row>
    <row r="49" spans="1:7" customHeight="1" ht="18.75">
      <c r="A49" s="47"/>
      <c r="B49" s="48"/>
      <c r="C49" s="49"/>
      <c r="D49" s="50"/>
    </row>
    <row r="50" spans="1:7" customHeight="1" ht="18.75">
      <c r="A50" s="51"/>
      <c r="B50" s="52"/>
      <c r="C50" s="53"/>
      <c r="D50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41:B41"/>
    <mergeCell ref="C9:G9"/>
    <mergeCell ref="A8:B8"/>
    <mergeCell ref="A11:A12"/>
    <mergeCell ref="B11:B12"/>
    <mergeCell ref="C41:E41"/>
    <mergeCell ref="F11:F12"/>
    <mergeCell ref="G11:G12"/>
    <mergeCell ref="E11:E12"/>
    <mergeCell ref="A1:G1"/>
    <mergeCell ref="C4:G4"/>
    <mergeCell ref="C5:G5"/>
    <mergeCell ref="C6:G6"/>
    <mergeCell ref="C7:G7"/>
    <mergeCell ref="B46:D46"/>
    <mergeCell ref="C8:G8"/>
    <mergeCell ref="A9:B9"/>
    <mergeCell ref="C11:C12"/>
    <mergeCell ref="F41:G41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148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149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126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127</v>
      </c>
      <c r="B6" s="165"/>
      <c r="C6" s="165"/>
      <c r="D6" s="165"/>
      <c r="E6" s="165"/>
      <c r="F6" s="166"/>
      <c r="G6" s="163" t="s">
        <v>128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129</v>
      </c>
      <c r="B7" s="165"/>
      <c r="C7" s="165"/>
      <c r="D7" s="165"/>
      <c r="E7" s="165"/>
      <c r="F7" s="166"/>
      <c r="G7" s="170" t="s">
        <v>128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150</v>
      </c>
      <c r="B8" s="139"/>
      <c r="C8" s="139" t="s">
        <v>131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151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152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153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154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155</v>
      </c>
      <c r="P13" s="149"/>
      <c r="Q13" s="152" t="s">
        <v>156</v>
      </c>
    </row>
    <row r="14" spans="1:17" customHeight="1" ht="15.75">
      <c r="A14" s="66" t="s">
        <v>157</v>
      </c>
      <c r="B14" s="66" t="s">
        <v>158</v>
      </c>
      <c r="C14" s="66" t="s">
        <v>159</v>
      </c>
      <c r="D14" s="66" t="s">
        <v>160</v>
      </c>
      <c r="E14" s="66" t="s">
        <v>161</v>
      </c>
      <c r="F14" s="66" t="s">
        <v>162</v>
      </c>
      <c r="G14" s="67" t="s">
        <v>163</v>
      </c>
      <c r="H14" s="66" t="s">
        <v>164</v>
      </c>
      <c r="I14" s="66" t="s">
        <v>165</v>
      </c>
      <c r="J14" s="66" t="s">
        <v>166</v>
      </c>
      <c r="K14" s="66" t="s">
        <v>166</v>
      </c>
      <c r="L14" s="66" t="s">
        <v>167</v>
      </c>
      <c r="M14" s="66" t="s">
        <v>168</v>
      </c>
      <c r="N14" s="66" t="s">
        <v>169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170</v>
      </c>
      <c r="P15" s="77"/>
      <c r="Q15" s="71">
        <v>2522240.0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9</v>
      </c>
      <c r="L16" s="69">
        <v>0</v>
      </c>
      <c r="M16" s="70">
        <v>1</v>
      </c>
      <c r="N16" s="83">
        <v>11</v>
      </c>
      <c r="O16" s="78" t="s">
        <v>171</v>
      </c>
      <c r="P16" s="77"/>
      <c r="Q16" s="71">
        <v>395000.0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5</v>
      </c>
      <c r="L17" s="69">
        <v>0</v>
      </c>
      <c r="M17" s="70">
        <v>1</v>
      </c>
      <c r="N17" s="83">
        <v>11</v>
      </c>
      <c r="O17" s="78" t="s">
        <v>172</v>
      </c>
      <c r="P17" s="77"/>
      <c r="Q17" s="71">
        <v>26490200.0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173</v>
      </c>
      <c r="B20" s="155"/>
      <c r="C20" s="156" t="s">
        <v>144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29407440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174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133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175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122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123</v>
      </c>
      <c r="G2" s="41" t="s">
        <v>176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125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126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127</v>
      </c>
      <c r="B6" s="128"/>
      <c r="C6" s="112" t="s">
        <v>177</v>
      </c>
      <c r="D6" s="113"/>
      <c r="E6" s="113"/>
      <c r="F6" s="113"/>
      <c r="G6" s="114"/>
    </row>
    <row r="7" spans="1:7" customHeight="1" ht="32.25">
      <c r="A7" s="127" t="s">
        <v>129</v>
      </c>
      <c r="B7" s="128"/>
      <c r="C7" s="112" t="s">
        <v>177</v>
      </c>
      <c r="D7" s="113"/>
      <c r="E7" s="113"/>
      <c r="F7" s="113"/>
      <c r="G7" s="114"/>
    </row>
    <row r="8" spans="1:7" customHeight="1" ht="16.5">
      <c r="A8" s="127" t="s">
        <v>130</v>
      </c>
      <c r="B8" s="128"/>
      <c r="C8" s="112" t="s">
        <v>131</v>
      </c>
      <c r="D8" s="113"/>
      <c r="E8" s="113"/>
      <c r="F8" s="113"/>
      <c r="G8" s="114"/>
    </row>
    <row r="9" spans="1:7" customHeight="1" ht="27.75">
      <c r="A9" s="117" t="s">
        <v>132</v>
      </c>
      <c r="B9" s="118"/>
      <c r="C9" s="124" t="s">
        <v>133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134</v>
      </c>
      <c r="B11" s="131" t="s">
        <v>135</v>
      </c>
      <c r="C11" s="119" t="s">
        <v>136</v>
      </c>
      <c r="D11" s="135" t="s">
        <v>137</v>
      </c>
      <c r="E11" s="135" t="s">
        <v>138</v>
      </c>
      <c r="F11" s="135" t="s">
        <v>139</v>
      </c>
      <c r="G11" s="135" t="s">
        <v>140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41</v>
      </c>
      <c r="C13" s="35" t="s">
        <v>42</v>
      </c>
      <c r="D13" s="31" t="s">
        <v>141</v>
      </c>
      <c r="E13" s="31" t="s">
        <v>43</v>
      </c>
      <c r="F13" s="32">
        <v>75.0</v>
      </c>
      <c r="G13" s="33">
        <v>300</v>
      </c>
    </row>
    <row r="14" spans="1:7" customHeight="1" ht="15">
      <c r="A14" s="44">
        <v>2</v>
      </c>
      <c r="B14" s="34" t="s">
        <v>35</v>
      </c>
      <c r="C14" s="35" t="s">
        <v>36</v>
      </c>
      <c r="D14" s="31" t="s">
        <v>141</v>
      </c>
      <c r="E14" s="31" t="s">
        <v>22</v>
      </c>
      <c r="F14" s="32">
        <v>23.0</v>
      </c>
      <c r="G14" s="33">
        <v>300</v>
      </c>
    </row>
    <row r="15" spans="1:7" customHeight="1" ht="15">
      <c r="A15" s="44">
        <v>3</v>
      </c>
      <c r="B15" s="34" t="s">
        <v>58</v>
      </c>
      <c r="C15" s="35" t="s">
        <v>59</v>
      </c>
      <c r="D15" s="31" t="s">
        <v>141</v>
      </c>
      <c r="E15" s="31" t="s">
        <v>43</v>
      </c>
      <c r="F15" s="32">
        <v>480.0</v>
      </c>
      <c r="G15" s="33">
        <v>200</v>
      </c>
    </row>
    <row r="16" spans="1:7" customHeight="1" ht="15">
      <c r="A16" s="44">
        <v>4</v>
      </c>
      <c r="B16" s="34" t="s">
        <v>97</v>
      </c>
      <c r="C16" s="35" t="s">
        <v>98</v>
      </c>
      <c r="D16" s="31" t="s">
        <v>141</v>
      </c>
      <c r="E16" s="31" t="s">
        <v>28</v>
      </c>
      <c r="F16" s="32">
        <v>8860.0</v>
      </c>
      <c r="G16" s="33">
        <v>300</v>
      </c>
    </row>
    <row r="17" spans="1:7" customHeight="1" ht="15">
      <c r="A17" s="44"/>
      <c r="B17" s="34"/>
      <c r="C17" s="35"/>
      <c r="D17" s="31"/>
      <c r="E17" s="31"/>
      <c r="F17" s="32"/>
      <c r="G17" s="33"/>
    </row>
    <row r="18" spans="1:7" customHeight="1" ht="15.75">
      <c r="A18" s="45"/>
      <c r="B18" s="36"/>
      <c r="C18" s="37"/>
      <c r="D18" s="28"/>
      <c r="E18" s="28"/>
      <c r="F18" s="29"/>
      <c r="G18" s="30"/>
    </row>
    <row r="19" spans="1:7" customHeight="1" ht="20.25">
      <c r="A19" s="122" t="s">
        <v>143</v>
      </c>
      <c r="B19" s="123"/>
      <c r="C19" s="133" t="s">
        <v>178</v>
      </c>
      <c r="D19" s="133"/>
      <c r="E19" s="134"/>
      <c r="F19" s="121">
        <f>SUMPRODUCT(F13:F18,G13:G18)</f>
        <v>2783400</v>
      </c>
      <c r="G19" s="121"/>
    </row>
    <row r="23" spans="1:7" customHeight="1" ht="13.5"/>
    <row r="24" spans="1:7" customHeight="1" ht="15.75">
      <c r="A24" s="46"/>
      <c r="B24" s="115" t="s">
        <v>145</v>
      </c>
      <c r="C24" s="115"/>
      <c r="D24" s="116"/>
    </row>
    <row r="25" spans="1:7" customHeight="1" ht="18.75">
      <c r="A25" s="47"/>
      <c r="B25" s="48"/>
      <c r="C25" s="49"/>
      <c r="D25" s="50"/>
    </row>
    <row r="26" spans="1:7" customHeight="1" ht="18.75">
      <c r="A26" s="51"/>
      <c r="B26" s="52"/>
      <c r="C26" s="53"/>
      <c r="D2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9:B19"/>
    <mergeCell ref="C9:G9"/>
    <mergeCell ref="A8:B8"/>
    <mergeCell ref="A11:A12"/>
    <mergeCell ref="B11:B12"/>
    <mergeCell ref="C19:E19"/>
    <mergeCell ref="F11:F12"/>
    <mergeCell ref="G11:G12"/>
    <mergeCell ref="E11:E12"/>
    <mergeCell ref="A1:G1"/>
    <mergeCell ref="C4:G4"/>
    <mergeCell ref="C5:G5"/>
    <mergeCell ref="C6:G6"/>
    <mergeCell ref="C7:G7"/>
    <mergeCell ref="B24:D24"/>
    <mergeCell ref="C8:G8"/>
    <mergeCell ref="A9:B9"/>
    <mergeCell ref="C11:C12"/>
    <mergeCell ref="F19:G19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148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149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126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127</v>
      </c>
      <c r="B6" s="165"/>
      <c r="C6" s="165"/>
      <c r="D6" s="165"/>
      <c r="E6" s="165"/>
      <c r="F6" s="166"/>
      <c r="G6" s="163" t="s">
        <v>177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129</v>
      </c>
      <c r="B7" s="165"/>
      <c r="C7" s="165"/>
      <c r="D7" s="165"/>
      <c r="E7" s="165"/>
      <c r="F7" s="166"/>
      <c r="G7" s="170" t="s">
        <v>177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150</v>
      </c>
      <c r="B8" s="139"/>
      <c r="C8" s="139" t="s">
        <v>131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151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179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153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154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155</v>
      </c>
      <c r="P13" s="149"/>
      <c r="Q13" s="152" t="s">
        <v>156</v>
      </c>
    </row>
    <row r="14" spans="1:17" customHeight="1" ht="15.75">
      <c r="A14" s="66" t="s">
        <v>157</v>
      </c>
      <c r="B14" s="66" t="s">
        <v>158</v>
      </c>
      <c r="C14" s="66" t="s">
        <v>159</v>
      </c>
      <c r="D14" s="66" t="s">
        <v>160</v>
      </c>
      <c r="E14" s="66" t="s">
        <v>161</v>
      </c>
      <c r="F14" s="66" t="s">
        <v>162</v>
      </c>
      <c r="G14" s="67" t="s">
        <v>163</v>
      </c>
      <c r="H14" s="66" t="s">
        <v>164</v>
      </c>
      <c r="I14" s="66" t="s">
        <v>165</v>
      </c>
      <c r="J14" s="66" t="s">
        <v>166</v>
      </c>
      <c r="K14" s="66" t="s">
        <v>166</v>
      </c>
      <c r="L14" s="66" t="s">
        <v>167</v>
      </c>
      <c r="M14" s="66" t="s">
        <v>168</v>
      </c>
      <c r="N14" s="66" t="s">
        <v>169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170</v>
      </c>
      <c r="P15" s="77"/>
      <c r="Q15" s="71">
        <v>2783400.0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173</v>
      </c>
      <c r="B18" s="155"/>
      <c r="C18" s="156" t="s">
        <v>178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2783400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174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133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175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122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123</v>
      </c>
      <c r="G2" s="41" t="s">
        <v>180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125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126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127</v>
      </c>
      <c r="B6" s="128"/>
      <c r="C6" s="112" t="s">
        <v>181</v>
      </c>
      <c r="D6" s="113"/>
      <c r="E6" s="113"/>
      <c r="F6" s="113"/>
      <c r="G6" s="114"/>
    </row>
    <row r="7" spans="1:7" customHeight="1" ht="32.25">
      <c r="A7" s="127" t="s">
        <v>129</v>
      </c>
      <c r="B7" s="128"/>
      <c r="C7" s="112" t="s">
        <v>181</v>
      </c>
      <c r="D7" s="113"/>
      <c r="E7" s="113"/>
      <c r="F7" s="113"/>
      <c r="G7" s="114"/>
    </row>
    <row r="8" spans="1:7" customHeight="1" ht="16.5">
      <c r="A8" s="127" t="s">
        <v>130</v>
      </c>
      <c r="B8" s="128"/>
      <c r="C8" s="112" t="s">
        <v>131</v>
      </c>
      <c r="D8" s="113"/>
      <c r="E8" s="113"/>
      <c r="F8" s="113"/>
      <c r="G8" s="114"/>
    </row>
    <row r="9" spans="1:7" customHeight="1" ht="27.75">
      <c r="A9" s="117" t="s">
        <v>132</v>
      </c>
      <c r="B9" s="118"/>
      <c r="C9" s="124" t="s">
        <v>133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134</v>
      </c>
      <c r="B11" s="131" t="s">
        <v>135</v>
      </c>
      <c r="C11" s="119" t="s">
        <v>136</v>
      </c>
      <c r="D11" s="135" t="s">
        <v>137</v>
      </c>
      <c r="E11" s="135" t="s">
        <v>138</v>
      </c>
      <c r="F11" s="135" t="s">
        <v>139</v>
      </c>
      <c r="G11" s="135" t="s">
        <v>140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99</v>
      </c>
      <c r="C13" s="35" t="s">
        <v>100</v>
      </c>
      <c r="D13" s="31" t="s">
        <v>142</v>
      </c>
      <c r="E13" s="31" t="s">
        <v>101</v>
      </c>
      <c r="F13" s="32">
        <v>10590.0</v>
      </c>
      <c r="G13" s="33">
        <v>5</v>
      </c>
    </row>
    <row r="14" spans="1:7" customHeight="1" ht="15">
      <c r="A14" s="44">
        <v>2</v>
      </c>
      <c r="B14" s="34" t="s">
        <v>94</v>
      </c>
      <c r="C14" s="35" t="s">
        <v>96</v>
      </c>
      <c r="D14" s="31" t="s">
        <v>141</v>
      </c>
      <c r="E14" s="31" t="s">
        <v>28</v>
      </c>
      <c r="F14" s="32">
        <v>6800.0</v>
      </c>
      <c r="G14" s="33">
        <v>20</v>
      </c>
    </row>
    <row r="15" spans="1:7" customHeight="1" ht="15">
      <c r="A15" s="44">
        <v>3</v>
      </c>
      <c r="B15" s="34" t="s">
        <v>55</v>
      </c>
      <c r="C15" s="35" t="s">
        <v>56</v>
      </c>
      <c r="D15" s="31" t="s">
        <v>141</v>
      </c>
      <c r="E15" s="31" t="s">
        <v>57</v>
      </c>
      <c r="F15" s="32">
        <v>280.0</v>
      </c>
      <c r="G15" s="33">
        <v>100</v>
      </c>
    </row>
    <row r="16" spans="1:7" customHeight="1" ht="15">
      <c r="A16" s="44">
        <v>4</v>
      </c>
      <c r="B16" s="34" t="s">
        <v>89</v>
      </c>
      <c r="C16" s="35" t="s">
        <v>91</v>
      </c>
      <c r="D16" s="31" t="s">
        <v>141</v>
      </c>
      <c r="E16" s="31" t="s">
        <v>28</v>
      </c>
      <c r="F16" s="32">
        <v>6500.0</v>
      </c>
      <c r="G16" s="33">
        <v>2</v>
      </c>
    </row>
    <row r="17" spans="1:7" customHeight="1" ht="15">
      <c r="A17" s="44">
        <v>5</v>
      </c>
      <c r="B17" s="34" t="s">
        <v>48</v>
      </c>
      <c r="C17" s="35" t="s">
        <v>49</v>
      </c>
      <c r="D17" s="31" t="s">
        <v>142</v>
      </c>
      <c r="E17" s="31" t="s">
        <v>43</v>
      </c>
      <c r="F17" s="32">
        <v>170.0</v>
      </c>
      <c r="G17" s="33">
        <v>6000</v>
      </c>
    </row>
    <row r="18" spans="1:7" customHeight="1" ht="15">
      <c r="A18" s="44">
        <v>6</v>
      </c>
      <c r="B18" s="34" t="s">
        <v>46</v>
      </c>
      <c r="C18" s="35" t="s">
        <v>47</v>
      </c>
      <c r="D18" s="31" t="s">
        <v>141</v>
      </c>
      <c r="E18" s="31" t="s">
        <v>28</v>
      </c>
      <c r="F18" s="32">
        <v>150.0</v>
      </c>
      <c r="G18" s="33">
        <v>500</v>
      </c>
    </row>
    <row r="19" spans="1:7" customHeight="1" ht="15">
      <c r="A19" s="44">
        <v>7</v>
      </c>
      <c r="B19" s="34" t="s">
        <v>75</v>
      </c>
      <c r="C19" s="35" t="s">
        <v>76</v>
      </c>
      <c r="D19" s="31" t="s">
        <v>141</v>
      </c>
      <c r="E19" s="31" t="s">
        <v>28</v>
      </c>
      <c r="F19" s="32">
        <v>690.0</v>
      </c>
      <c r="G19" s="33">
        <v>60</v>
      </c>
    </row>
    <row r="20" spans="1:7" customHeight="1" ht="15">
      <c r="A20" s="44">
        <v>8</v>
      </c>
      <c r="B20" s="34" t="s">
        <v>77</v>
      </c>
      <c r="C20" s="35" t="s">
        <v>78</v>
      </c>
      <c r="D20" s="31" t="s">
        <v>141</v>
      </c>
      <c r="E20" s="31" t="s">
        <v>28</v>
      </c>
      <c r="F20" s="32">
        <v>690.0</v>
      </c>
      <c r="G20" s="33">
        <v>120</v>
      </c>
    </row>
    <row r="21" spans="1:7" customHeight="1" ht="15">
      <c r="A21" s="44">
        <v>9</v>
      </c>
      <c r="B21" s="34" t="s">
        <v>41</v>
      </c>
      <c r="C21" s="35" t="s">
        <v>42</v>
      </c>
      <c r="D21" s="31" t="s">
        <v>141</v>
      </c>
      <c r="E21" s="31" t="s">
        <v>43</v>
      </c>
      <c r="F21" s="32">
        <v>75.0</v>
      </c>
      <c r="G21" s="33">
        <v>200</v>
      </c>
    </row>
    <row r="22" spans="1:7" customHeight="1" ht="15">
      <c r="A22" s="44">
        <v>10</v>
      </c>
      <c r="B22" s="34" t="s">
        <v>39</v>
      </c>
      <c r="C22" s="35" t="s">
        <v>40</v>
      </c>
      <c r="D22" s="31" t="s">
        <v>141</v>
      </c>
      <c r="E22" s="31" t="s">
        <v>22</v>
      </c>
      <c r="F22" s="32">
        <v>33.78</v>
      </c>
      <c r="G22" s="33">
        <v>180</v>
      </c>
    </row>
    <row r="23" spans="1:7" customHeight="1" ht="15">
      <c r="A23" s="44">
        <v>11</v>
      </c>
      <c r="B23" s="34" t="s">
        <v>60</v>
      </c>
      <c r="C23" s="35" t="s">
        <v>61</v>
      </c>
      <c r="D23" s="31" t="s">
        <v>141</v>
      </c>
      <c r="E23" s="31" t="s">
        <v>28</v>
      </c>
      <c r="F23" s="32">
        <v>525.0</v>
      </c>
      <c r="G23" s="33">
        <v>3000</v>
      </c>
    </row>
    <row r="24" spans="1:7" customHeight="1" ht="15">
      <c r="A24" s="44">
        <v>12</v>
      </c>
      <c r="B24" s="34" t="s">
        <v>35</v>
      </c>
      <c r="C24" s="35" t="s">
        <v>36</v>
      </c>
      <c r="D24" s="31" t="s">
        <v>141</v>
      </c>
      <c r="E24" s="31" t="s">
        <v>22</v>
      </c>
      <c r="F24" s="32">
        <v>23.0</v>
      </c>
      <c r="G24" s="33">
        <v>180</v>
      </c>
    </row>
    <row r="25" spans="1:7" customHeight="1" ht="15">
      <c r="A25" s="44">
        <v>13</v>
      </c>
      <c r="B25" s="34" t="s">
        <v>62</v>
      </c>
      <c r="C25" s="35" t="s">
        <v>63</v>
      </c>
      <c r="D25" s="31" t="s">
        <v>141</v>
      </c>
      <c r="E25" s="31" t="s">
        <v>64</v>
      </c>
      <c r="F25" s="32">
        <v>650.0</v>
      </c>
      <c r="G25" s="33">
        <v>4</v>
      </c>
    </row>
    <row r="26" spans="1:7" customHeight="1" ht="15">
      <c r="A26" s="44">
        <v>14</v>
      </c>
      <c r="B26" s="34" t="s">
        <v>37</v>
      </c>
      <c r="C26" s="35" t="s">
        <v>38</v>
      </c>
      <c r="D26" s="31" t="s">
        <v>141</v>
      </c>
      <c r="E26" s="31" t="s">
        <v>22</v>
      </c>
      <c r="F26" s="32">
        <v>24.0</v>
      </c>
      <c r="G26" s="33">
        <v>160</v>
      </c>
    </row>
    <row r="27" spans="1:7" customHeight="1" ht="15">
      <c r="A27" s="44">
        <v>15</v>
      </c>
      <c r="B27" s="34" t="s">
        <v>58</v>
      </c>
      <c r="C27" s="35" t="s">
        <v>59</v>
      </c>
      <c r="D27" s="31" t="s">
        <v>141</v>
      </c>
      <c r="E27" s="31" t="s">
        <v>43</v>
      </c>
      <c r="F27" s="32">
        <v>480.0</v>
      </c>
      <c r="G27" s="33">
        <v>600</v>
      </c>
    </row>
    <row r="28" spans="1:7" customHeight="1" ht="15">
      <c r="A28" s="44">
        <v>16</v>
      </c>
      <c r="B28" s="34" t="s">
        <v>103</v>
      </c>
      <c r="C28" s="35" t="s">
        <v>104</v>
      </c>
      <c r="D28" s="31" t="s">
        <v>141</v>
      </c>
      <c r="E28" s="31" t="s">
        <v>28</v>
      </c>
      <c r="F28" s="32">
        <v>15500.0</v>
      </c>
      <c r="G28" s="33">
        <v>60</v>
      </c>
    </row>
    <row r="29" spans="1:7" customHeight="1" ht="15">
      <c r="A29" s="44"/>
      <c r="B29" s="34"/>
      <c r="C29" s="35"/>
      <c r="D29" s="31"/>
      <c r="E29" s="31"/>
      <c r="F29" s="32"/>
      <c r="G29" s="33"/>
    </row>
    <row r="30" spans="1:7" customHeight="1" ht="15.75">
      <c r="A30" s="45"/>
      <c r="B30" s="36"/>
      <c r="C30" s="37"/>
      <c r="D30" s="28"/>
      <c r="E30" s="28"/>
      <c r="F30" s="29"/>
      <c r="G30" s="30"/>
    </row>
    <row r="31" spans="1:7" customHeight="1" ht="20.25">
      <c r="A31" s="122" t="s">
        <v>143</v>
      </c>
      <c r="B31" s="123"/>
      <c r="C31" s="133" t="s">
        <v>182</v>
      </c>
      <c r="D31" s="133"/>
      <c r="E31" s="134"/>
      <c r="F31" s="121">
        <f>SUMPRODUCT(F13:F30,G13:G30)</f>
        <v>4273810.4</v>
      </c>
      <c r="G31" s="121"/>
    </row>
    <row r="35" spans="1:7" customHeight="1" ht="13.5"/>
    <row r="36" spans="1:7" customHeight="1" ht="15.75">
      <c r="A36" s="46"/>
      <c r="B36" s="115" t="s">
        <v>145</v>
      </c>
      <c r="C36" s="115"/>
      <c r="D36" s="116"/>
    </row>
    <row r="37" spans="1:7" customHeight="1" ht="18.75">
      <c r="A37" s="47" t="s">
        <v>183</v>
      </c>
      <c r="B37" s="48" t="s">
        <v>102</v>
      </c>
      <c r="C37" s="49"/>
      <c r="D37" s="50"/>
    </row>
    <row r="38" spans="1:7" customHeight="1" ht="18.75">
      <c r="A38" s="47" t="s">
        <v>184</v>
      </c>
      <c r="B38" s="48" t="s">
        <v>50</v>
      </c>
      <c r="C38" s="49"/>
      <c r="D38" s="50"/>
    </row>
    <row r="39" spans="1:7" customHeight="1" ht="18.75">
      <c r="A39" s="47"/>
      <c r="B39" s="48"/>
      <c r="C39" s="49"/>
      <c r="D39" s="50"/>
    </row>
    <row r="40" spans="1:7" customHeight="1" ht="18.75">
      <c r="A40" s="51"/>
      <c r="B40" s="52"/>
      <c r="C40" s="53"/>
      <c r="D40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31:B31"/>
    <mergeCell ref="C9:G9"/>
    <mergeCell ref="A8:B8"/>
    <mergeCell ref="A11:A12"/>
    <mergeCell ref="B11:B12"/>
    <mergeCell ref="C31:E31"/>
    <mergeCell ref="F11:F12"/>
    <mergeCell ref="G11:G12"/>
    <mergeCell ref="E11:E12"/>
    <mergeCell ref="A1:G1"/>
    <mergeCell ref="C4:G4"/>
    <mergeCell ref="C5:G5"/>
    <mergeCell ref="C6:G6"/>
    <mergeCell ref="C7:G7"/>
    <mergeCell ref="B36:D36"/>
    <mergeCell ref="C8:G8"/>
    <mergeCell ref="A9:B9"/>
    <mergeCell ref="C11:C12"/>
    <mergeCell ref="F31:G31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148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149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126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127</v>
      </c>
      <c r="B6" s="165"/>
      <c r="C6" s="165"/>
      <c r="D6" s="165"/>
      <c r="E6" s="165"/>
      <c r="F6" s="166"/>
      <c r="G6" s="163" t="s">
        <v>181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129</v>
      </c>
      <c r="B7" s="165"/>
      <c r="C7" s="165"/>
      <c r="D7" s="165"/>
      <c r="E7" s="165"/>
      <c r="F7" s="166"/>
      <c r="G7" s="170" t="s">
        <v>181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150</v>
      </c>
      <c r="B8" s="139"/>
      <c r="C8" s="139" t="s">
        <v>131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151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185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153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154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155</v>
      </c>
      <c r="P13" s="149"/>
      <c r="Q13" s="152" t="s">
        <v>156</v>
      </c>
    </row>
    <row r="14" spans="1:17" customHeight="1" ht="15.75">
      <c r="A14" s="66" t="s">
        <v>157</v>
      </c>
      <c r="B14" s="66" t="s">
        <v>158</v>
      </c>
      <c r="C14" s="66" t="s">
        <v>159</v>
      </c>
      <c r="D14" s="66" t="s">
        <v>160</v>
      </c>
      <c r="E14" s="66" t="s">
        <v>161</v>
      </c>
      <c r="F14" s="66" t="s">
        <v>162</v>
      </c>
      <c r="G14" s="67" t="s">
        <v>163</v>
      </c>
      <c r="H14" s="66" t="s">
        <v>164</v>
      </c>
      <c r="I14" s="66" t="s">
        <v>165</v>
      </c>
      <c r="J14" s="66" t="s">
        <v>166</v>
      </c>
      <c r="K14" s="66" t="s">
        <v>166</v>
      </c>
      <c r="L14" s="66" t="s">
        <v>167</v>
      </c>
      <c r="M14" s="66" t="s">
        <v>168</v>
      </c>
      <c r="N14" s="66" t="s">
        <v>169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1</v>
      </c>
      <c r="L15" s="69">
        <v>0</v>
      </c>
      <c r="M15" s="70">
        <v>1</v>
      </c>
      <c r="N15" s="83">
        <v>11</v>
      </c>
      <c r="O15" s="78" t="s">
        <v>186</v>
      </c>
      <c r="P15" s="77"/>
      <c r="Q15" s="71">
        <v>188950.0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2</v>
      </c>
      <c r="L16" s="69">
        <v>0</v>
      </c>
      <c r="M16" s="70">
        <v>1</v>
      </c>
      <c r="N16" s="83">
        <v>11</v>
      </c>
      <c r="O16" s="78" t="s">
        <v>170</v>
      </c>
      <c r="P16" s="77"/>
      <c r="Q16" s="71">
        <v>3883060.4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5</v>
      </c>
      <c r="L17" s="69">
        <v>0</v>
      </c>
      <c r="M17" s="70">
        <v>1</v>
      </c>
      <c r="N17" s="83">
        <v>11</v>
      </c>
      <c r="O17" s="78" t="s">
        <v>172</v>
      </c>
      <c r="P17" s="77"/>
      <c r="Q17" s="71">
        <v>201800.0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173</v>
      </c>
      <c r="B20" s="155"/>
      <c r="C20" s="156" t="s">
        <v>182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4273810.4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174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133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175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Necesidades Trimestrales</vt:lpstr>
      <vt:lpstr>Nota Pedido DPA#MS</vt:lpstr>
      <vt:lpstr>APG DPA#MS</vt:lpstr>
      <vt:lpstr>Nota Pedido DA#MP</vt:lpstr>
      <vt:lpstr>APG DA#MP</vt:lpstr>
      <vt:lpstr>Nota Pedido DA#HSJB</vt:lpstr>
      <vt:lpstr>APG DA#HSJB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