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C89C4D30-8751-4F94-9522-70AED13E7CDF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NotaPedido!$A$1:$K$56</definedName>
  </definedNames>
  <calcPr calcId="181029"/>
</workbook>
</file>

<file path=xl/calcChain.xml><?xml version="1.0" encoding="utf-8"?>
<calcChain xmlns="http://schemas.openxmlformats.org/spreadsheetml/2006/main">
  <c r="A26" i="3" l="1"/>
  <c r="D47" i="1" l="1"/>
  <c r="I44" i="1"/>
  <c r="I35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8" i="1"/>
  <c r="D49" i="1"/>
  <c r="D50" i="1"/>
  <c r="D51" i="1"/>
  <c r="D52" i="1"/>
  <c r="D53" i="1"/>
  <c r="D10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53" i="1"/>
  <c r="I52" i="1"/>
  <c r="I51" i="1"/>
  <c r="I50" i="1"/>
  <c r="I49" i="1"/>
  <c r="I48" i="1"/>
  <c r="I47" i="1"/>
  <c r="I46" i="1"/>
  <c r="I45" i="1"/>
  <c r="I43" i="1"/>
  <c r="I42" i="1"/>
  <c r="I41" i="1"/>
  <c r="I40" i="1"/>
  <c r="I39" i="1"/>
  <c r="I38" i="1"/>
  <c r="I37" i="1"/>
  <c r="I36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56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<sst xmlns="http://schemas.openxmlformats.org/spreadsheetml/2006/main" count="366" uniqueCount="185">
  <si>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</si>
  <si>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</si>
  <si>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</si>
  <si>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</si>
  <si>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</si>
  <si>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</si>
  <si>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</si>
  <si>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</si>
  <si>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</si>
  <si>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</si>
  <si>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</si>
  <si>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</si>
  <si>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</si>
  <si>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</si>
  <si>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</si>
  <si>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</si>
  <si>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</si>
  <si>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</si>
  <si>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</si>
  <si>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</si>
  <si>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</si>
  <si>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</si>
  <si>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</si>
  <si>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</si>
  <si>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</si>
  <si>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</si>
  <si>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</si>
  <si>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</si>
  <si>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</si>
  <si>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</si>
  <si>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</si>
  <si>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</si>
  <si>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</si>
  <si>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</si>
  <si>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</si>
  <si>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</si>
  <si>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</si>
  <si>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</si>
  <si>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</si>
  <si>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</si>
  <si>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</si>
  <si>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</si>
  <si>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</si>
  <si>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</si>
  <si>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</si>
  <si>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</si>
  <si>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</si>
  <si>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</si>
  <si>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</si>
  <si>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</si>
  <si>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</si>
  <si>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</si>
  <si>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</si>
  <si>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</si>
  <si>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</si>
  <si>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3.1</t>
  </si>
  <si>
    <t>1.1</t>
  </si>
  <si>
    <t>2.1.1-438.37</t>
  </si>
  <si>
    <t>ALIMENTOS</t>
  </si>
  <si>
    <t>ADEREZOS; TIPO: MAYONESA, ENVASE: BOLSA, CONTENIDO: 2,9 Kg, PRESENTACION: ENVASE X 2,9 Kg</t>
  </si>
  <si>
    <t>UNIDAD</t>
  </si>
  <si>
    <t>2.1.1-621.20</t>
  </si>
  <si>
    <t>AVES; TIPO: POLLO, PRESENTACION: CAJA X 22 Kg, EVISCERADO: SI, ELEM. TRANSPORTE: SIN, MATERIAL ELEM. TRANSPORTE: SIN, LIBRE DE GLUTEN: SIN VALOR</t>
  </si>
  <si>
    <t>CAJON</t>
  </si>
  <si>
    <t>2.1.1-483.20</t>
  </si>
  <si>
    <t>HUEVO DE GALLINA; COLOR: COLOR, PRESENTACION: 60, TAMAÑO: MEDIANOS</t>
  </si>
  <si>
    <t>2.1.1-621.11</t>
  </si>
  <si>
    <t>AVES; ESPECIE: PECHUGA DE POLLO, PRESENTACION: BOLSA X 2 Kg, EVISCERADO: SIN VALOR, TIPO: PECHUGA DE POLLO</t>
  </si>
  <si>
    <t>2.1.1-590.27</t>
  </si>
  <si>
    <t>PESCADOS Y FRUTOS CONGELADOS; TIPO: FILET DE MERLUZA, ENVASE: POLIESTIRENO, PRESENTACION: ENVASE X 1 Kg, ELEM. TRANSPORTE: SIN, MATERIAL ELEM. TRANSPORTE: SIN</t>
  </si>
  <si>
    <t>2.1.1-669.27</t>
  </si>
  <si>
    <t>PANES; TIPO: MIÑON, PRESENTACION: GRANEL</t>
  </si>
  <si>
    <t>KG</t>
  </si>
  <si>
    <t>2.1.1-669.51</t>
  </si>
  <si>
    <t>PANES; TIPO: FRANCES, PRESENTACION: UNIDAD</t>
  </si>
  <si>
    <t>2.1.1-669.1</t>
  </si>
  <si>
    <t>PANES; PRESENTACION: GRANEL, TIPO: SALVADO</t>
  </si>
  <si>
    <t>2.1.1-669.37</t>
  </si>
  <si>
    <t>PANES; TIPO: RALLADO, PRESENTACION: BOLSA X 5 Kg</t>
  </si>
  <si>
    <t>2.1.1-2430.1</t>
  </si>
  <si>
    <t>PREPIZZA; GUSTO: TOMATE, TAMAÑO: MEDIANO</t>
  </si>
  <si>
    <t>2.1.1-518.32</t>
  </si>
  <si>
    <t>TORTAS; TIPO: PIONONO, PESO: 180 GR</t>
  </si>
  <si>
    <t>2.1.1-6546.34</t>
  </si>
  <si>
    <t>VERDURAS Y HORTALIZAS; VARIEDAD: ACELGA, ESTADO: EN HOJA, PRESENTACION: ATADO, PESO: SIN VALOR</t>
  </si>
  <si>
    <t>2.1.1-6546.151</t>
  </si>
  <si>
    <t>VERDURAS Y HORTALIZAS; VARIEDAD: ZAPALLITO REDONDO, ESTADO: NATURAL, PRESENTACION: CAJON, PESO: SIN VALOR</t>
  </si>
  <si>
    <t>2.1.1-6546.49</t>
  </si>
  <si>
    <t>VERDURAS Y HORTALIZAS; VARIEDAD: CHAUCHA, PRESENTACION: GRANEL, ESTADO: NATURAL, PESO: SIN VALOR</t>
  </si>
  <si>
    <t>2.1.1-6546.39</t>
  </si>
  <si>
    <t>VERDURAS Y HORTALIZAS; VARIEDAD: CEBOLLA, ESTADO: NATURAL, PRESENTACION: BOLSA, PESO: 25 Kg</t>
  </si>
  <si>
    <t>2.1.1-6546.124</t>
  </si>
  <si>
    <t>VERDURAS Y HORTALIZAS; PESO: SIN VALOR, VARIEDAD: REMOLACHA, ESTADO: NATURAL, PRESENTACION: GRANEL</t>
  </si>
  <si>
    <t>2.1.1-6546.231</t>
  </si>
  <si>
    <t>VERDURAS Y HORTALIZAS; VARIEDAD: ZAPALLO ANCO, ESTADO: NATURAL, PRESENTACION: BOLSA, PESO: 20 Kg</t>
  </si>
  <si>
    <t>2.1.1-6546.162</t>
  </si>
  <si>
    <t>VERDURAS Y HORTALIZAS; VARIEDAD: ZAPALLO CRIOLLO, ESTADO: NATURAL, PRESENTACION: UNIDAD, PESO: SIN VALOR</t>
  </si>
  <si>
    <t>2.1.1-6546.95</t>
  </si>
  <si>
    <t>VERDURAS Y HORTALIZAS; VARIEDAD: MORRON VERDE, ESTADO: NATURAL, PRESENTACION: GRANEL, PESO: SIN VALOR</t>
  </si>
  <si>
    <t>2.1.1-6546.82</t>
  </si>
  <si>
    <t>VERDURAS Y HORTALIZAS: VARIEDAD, LECHUGA CRIOLLA, ESTADO: NATURAL, PRESENTACION: CAJON, PESO: SIN VALOR</t>
  </si>
  <si>
    <t>2.1.1-6539.20</t>
  </si>
  <si>
    <t>FRUTAS; ESTADO: NATURAL, VARIEDAD: MANZANA RED DELICIOSA, PRESENTACION: CAJON, PESO: SIN VALOR</t>
  </si>
  <si>
    <t>2.1.1-6539.30</t>
  </si>
  <si>
    <t>FRUTAS; VARIEDAD: BANANA, PRESENTACION: CAJON, ESTADO: NATURAL, PESO: SIN VALOR</t>
  </si>
  <si>
    <t>2.1.1-6539.8</t>
  </si>
  <si>
    <t>FRUTAS; VARIEDAD: NARANJA ESPECIAL, ESTADO: NATURAL, PRESENTACION: CAJON, PESO: SIN VALOR</t>
  </si>
  <si>
    <t>2.1.1-6539.32</t>
  </si>
  <si>
    <t>FRUTAS; VARIEDAD: PERA AMARILLA, ESTADO: NATURAL, PRESENTACION: CAJON, PESO: SIN VALOR</t>
  </si>
  <si>
    <t>2.1.1-6539.187</t>
  </si>
  <si>
    <t>FRUTAS; VARIEDAD: LIMON, ESTADO: NATURAL, PRESENTACION: CAJON, ELEM. TRANSPORTE: SIN, MATERIAL ELEM. TRANSPORTE: SIN, ORGANICO: NO</t>
  </si>
  <si>
    <t>2.1.1-541.27</t>
  </si>
  <si>
    <t>CARNES; ESPECIE: VACUNA, CORTE: CUADRIL, TIPO: VACUNA</t>
  </si>
  <si>
    <t>2.1.1-541.49</t>
  </si>
  <si>
    <t>CARNES; ESPECIE: VACUNA, CORTE: NALGA, TIPO: VACUNA</t>
  </si>
  <si>
    <t>2.1.1-541.7</t>
  </si>
  <si>
    <t>CARNES; ESPECIE: VACUNA, CORTE: PICADA ESPECIAL, TIPO: VACUNA</t>
  </si>
  <si>
    <t>2.1.1-541.70</t>
  </si>
  <si>
    <t>CARNES; CORTE: CARRE CON LOMO, TIPO: PORCINA, ESPECIE: PORCINA</t>
  </si>
  <si>
    <t>2.1.1-541.164</t>
  </si>
  <si>
    <t>CARNES; TIPO: PORCINA, CORTE: COSTELETA</t>
  </si>
  <si>
    <t>2.1.1-542.212</t>
  </si>
  <si>
    <t>QUESOS; TIPO: CUARTIROLO, PRESENTACION: HORMA, ELEM. TRANSPORTE: SIN, MATERIAL ELEM. TRANSPORTE: SIN, MATERIAL ENVASE: SIN, CERTIFICADO FORESTAL (GFS): SIN, LIBRE DE GLUTEN: SI</t>
  </si>
  <si>
    <t>2.1.1-542.207</t>
  </si>
  <si>
    <t>QUESOS; TIPO: SARDO, PRESENTACION: HORMA X 3 Kg, ELEM. TRANSPORTE: SIN, MATERIAL ELEM. TRANSPORTE: SIN, MATERIAL ENVASE: SIN, CERTIFICADO FORESTAL (GFS): SIN, LIBRE DE GLUTEN: NO</t>
  </si>
  <si>
    <t>2.1.1-969.35</t>
  </si>
  <si>
    <t>FIAMBRES; TIPO: JAMON COCIDO ITALIANO, PRESENTACION: AL PESO</t>
  </si>
  <si>
    <t>2.1.1-4975.2</t>
  </si>
  <si>
    <t>RICOTA; ENVASE: PAQUETE, PESO: 1 Kg, SABOR: SIN</t>
  </si>
  <si>
    <t>2.1.1-707.35</t>
  </si>
  <si>
    <t>PASTAS FRESCAS; VARIEDAD: RAVIOL, RELLENO: RICOTA Y POLLO, PRESENTACION: ENVASE X 2 PLANCHAS</t>
  </si>
  <si>
    <t>2.1.1-2429.1</t>
  </si>
  <si>
    <t>TAPAS P/TARTAS; TIPO: REDONDA, MASA: CASERA, PRESENTACION: BOLSA</t>
  </si>
  <si>
    <t>2.1.1-2610.1</t>
  </si>
  <si>
    <t>TAPAS P/EMPANADAS; TIPO: P/HORNO, PRESENTACION: BOLSA X 12</t>
  </si>
  <si>
    <t>2.1.1-456.79</t>
  </si>
  <si>
    <t>YOGHURT; TIPO: DESCREMADO, AGREGADO: SIN, CONSISTENCIA: FIRME, SABOR: VAINILLA, PRESENTACION: POTE PLASTICO X 200 GR</t>
  </si>
  <si>
    <t>PLAZO DE ENTREGA: 10 DIAS - LUGAR DE ENTREGA: SERVICIO DE NUTRICION - HOSPITAL INTERZONAL SAN JUAN BAUTISTA - AV. ILLIA ESQ. MARIANO MORENO</t>
  </si>
  <si>
    <t>MANTENIMIENTO DE OFERTA: 45 DIAS HABILES</t>
  </si>
  <si>
    <t>Servicio de Nutricion</t>
  </si>
  <si>
    <t>Adquisición de Alimentos Perecederos</t>
  </si>
  <si>
    <t>Alimentos para Personas</t>
  </si>
  <si>
    <t>026/2021</t>
  </si>
  <si>
    <t>VERDURAS Y HORTALIZAS; VARIEDAD: PAPA BLANCA, ESTADO: NATURAL, PRESENTACION: BOLSA, PESO: 25 Kg</t>
  </si>
  <si>
    <t>2.1.1-6546.335</t>
  </si>
  <si>
    <t>CAJA</t>
  </si>
  <si>
    <t>VERDURAS Y HORTALIZAS; VARIEDAD: ZANAHORIA, ESTADO: NATURAL, PRESENTACION: BOLSA, PESO: NO CORRESPONDE, ELEM. TRANSPORTE: SIN, MATERIAL ELEM. TRANSPORTE: SIN, LIBRE DE GLUTEN: SI, ORGANICO: NO</t>
  </si>
  <si>
    <t>VERDURAS Y HORTALIZAS; VARIEDAD: TOMATE REDONDO, ESTADO: NATURAL, PRESENTACION: CAJON, PESO: 17 A 22 Kg, ELEM. TRANSPORTE: SIN, MATERIAL ELEM. TRANSPORTE: SIN, LIBRE DE GLUTEN: SI, ORGANICO: NO</t>
  </si>
  <si>
    <t>2.1.1-6546.390</t>
  </si>
  <si>
    <t>2.1.1-6546.403</t>
  </si>
  <si>
    <t>VERDURAS Y HORTALIZAS; VARIEDAD: CEBOLLA DE VERDEO, ESTADO: NATURAL, PRESENTACION: CAJON, PESO: 10 Kg, ELEM. TRANSPORTE: CAJON, MATERIAL ELEM. TRANSPORTE: CARTON, LIBRE DE GLUTEN: NO</t>
  </si>
  <si>
    <t>2.1.1-6546.377</t>
  </si>
  <si>
    <t>VERDURAS Y HORTALIZAS; VARIEDAD: PEREJIL, ESTADO: NATURAL, PRESENTACION: ATADO, PESO: 1 Kg</t>
  </si>
  <si>
    <t>2.1.1-6546.133</t>
  </si>
  <si>
    <t>QUESOS; TIPO: TYBO, PRESENTACION: ENVASE X 1 Kg, ELEM. TRANSPORTE: SIN, MATERIAL ELEM. TRANSPORTE: SIN, MATERIAL ENVASE: POLIESTIRENO, CERTIFICADO FORESTAL (GFS): SIN, LIBRE DE GLUTEN: SI</t>
  </si>
  <si>
    <t>2.1.1-542.225</t>
  </si>
  <si>
    <t>Descripción técnica</t>
  </si>
  <si>
    <t>ROSETAS SIN SAL DE 60 GRS CADA UNA</t>
  </si>
  <si>
    <t>Plazos y lugares de entrega</t>
  </si>
  <si>
    <t>Calidad Minima esperada</t>
  </si>
  <si>
    <t>Mantenimiento</t>
  </si>
  <si>
    <t>Garantia</t>
  </si>
  <si>
    <t>ACELGA FRESCA EN HOJA - PRESENTACION: ATADO X 8 KG</t>
  </si>
  <si>
    <t>ZANAHORIA FRESCA NATURAL BOLSA X 25 KG.</t>
  </si>
  <si>
    <t>ZAPALLITO REDONDO VERDE FRESCO (CAJON X 15 KG)</t>
  </si>
  <si>
    <t>TOMATE REDONDO FRESCO (CAJON X 17 KG)</t>
  </si>
  <si>
    <t>MANZANA DELICIOSA TAMAÑO MEDIANO (CAJON X 20 KG)</t>
  </si>
  <si>
    <t>BANANA TIPO ECUATORIANA (CAJON X 25 KG)</t>
  </si>
  <si>
    <t>NARANJA CRIOLLA (CAJON X 20 KG)</t>
  </si>
  <si>
    <t>PERAS DE AGUA TIERNA (CAJON X 17 KG)</t>
  </si>
  <si>
    <t>LIMÓN FRESCO PARA JUGO (CAJON X 12 KG)</t>
  </si>
  <si>
    <t>Especificidades Item N° 7:</t>
  </si>
  <si>
    <t>Especificidades Item N° 12:</t>
  </si>
  <si>
    <t>Especificidades Item N° 13:</t>
  </si>
  <si>
    <t>Especificidades Item N° 14:</t>
  </si>
  <si>
    <t>Especificidades Item N° 17:</t>
  </si>
  <si>
    <t>Especificidades Item N° 25:</t>
  </si>
  <si>
    <t>LECHUGA CRIOLLA (CAJON X 18 KG)</t>
  </si>
  <si>
    <t>Especificidades Item N° 26:</t>
  </si>
  <si>
    <t>Especificidades Item N° 27:</t>
  </si>
  <si>
    <t>Especificidades Item N° 28:</t>
  </si>
  <si>
    <t>Especificidades Item N° 29:</t>
  </si>
  <si>
    <t>Especificidades Item N° 30:</t>
  </si>
  <si>
    <t>Costo total estimado: PESOS SEIS MILLONES CIENTO OCHENTA Y UN MIL NUEVE CON 35/100</t>
  </si>
  <si>
    <t>TOTAL DE PESOS: SEIS MILLONES CIENTO OCHENTA Y UN MIL NUEVE CON 35/100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</si>
</sst>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b/>
      <sz val="10"/>
      <name val="Times New Roman"/>
      <family val="1"/>
    </font>
    <font>
      <u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4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2" xfId="0" applyBorder="1"/>
    <xf numFmtId="0" fontId="0" fillId="0" borderId="17" xfId="0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18" xfId="0" applyBorder="1"/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66" fontId="0" fillId="0" borderId="26" xfId="3" applyNumberFormat="1" applyFont="1" applyBorder="1" applyAlignment="1" applyProtection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166" fontId="13" fillId="0" borderId="36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center" vertical="center" wrapText="1"/>
    </xf>
    <xf numFmtId="0" fontId="23" fillId="0" borderId="6" xfId="0" applyFont="1" applyFill="1" applyBorder="1" applyAlignment="1">
      <alignment vertical="center" wrapText="1"/>
    </xf>
    <xf numFmtId="0" fontId="21" fillId="3" borderId="6" xfId="0" applyFont="1" applyFill="1" applyBorder="1" applyAlignment="1">
      <alignment horizontal="center" vertical="center" wrapText="1"/>
    </xf>
    <xf numFmtId="166" fontId="20" fillId="3" borderId="6" xfId="1" applyNumberFormat="1" applyFont="1" applyFill="1" applyBorder="1" applyAlignment="1" applyProtection="1">
      <alignment horizontal="center" vertical="center" wrapText="1"/>
    </xf>
    <xf numFmtId="166" fontId="20" fillId="3" borderId="6" xfId="1" applyNumberFormat="1" applyFont="1" applyFill="1" applyBorder="1" applyAlignment="1" applyProtection="1">
      <alignment horizontal="right" vertical="center" wrapText="1"/>
    </xf>
    <xf numFmtId="0" fontId="22" fillId="3" borderId="0" xfId="0" applyFont="1" applyFill="1" applyAlignment="1">
      <alignment horizontal="left" wrapText="1" indent="1"/>
    </xf>
    <xf numFmtId="0" fontId="19" fillId="4" borderId="0" xfId="0" applyFont="1" applyFill="1" applyAlignment="1">
      <alignment horizontal="left" wrapText="1"/>
    </xf>
    <xf numFmtId="0" fontId="6" fillId="3" borderId="3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3" fontId="4" fillId="4" borderId="11" xfId="0" applyNumberFormat="1" applyFont="1" applyFill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3" borderId="23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0" fillId="4" borderId="24" xfId="0" applyFont="1" applyFill="1" applyBorder="1" applyAlignment="1">
      <alignment horizontal="center" vertical="center"/>
    </xf>
    <xf numFmtId="0" fontId="0" fillId="3" borderId="25" xfId="0" applyFont="1" applyFill="1" applyBorder="1" applyAlignment="1">
      <alignment horizontal="center" vertical="center"/>
    </xf>
    <xf numFmtId="166" fontId="0" fillId="0" borderId="0" xfId="0" applyNumberFormat="1"/>
    <xf numFmtId="166" fontId="4" fillId="4" borderId="11" xfId="1" applyNumberFormat="1" applyFont="1" applyFill="1" applyBorder="1" applyAlignment="1" applyProtection="1">
      <alignment horizontal="center" vertical="center" wrapText="1"/>
    </xf>
    <xf numFmtId="0" fontId="15" fillId="0" borderId="0" xfId="5" applyFont="1"/>
    <xf numFmtId="0" fontId="26" fillId="0" borderId="43" xfId="5" applyFont="1" applyBorder="1"/>
    <xf numFmtId="0" fontId="15" fillId="0" borderId="44" xfId="5" applyFont="1" applyBorder="1"/>
    <xf numFmtId="0" fontId="15" fillId="0" borderId="45" xfId="5" applyFont="1" applyBorder="1"/>
    <xf numFmtId="0" fontId="15" fillId="0" borderId="46" xfId="5" applyFont="1" applyBorder="1"/>
    <xf numFmtId="0" fontId="15" fillId="0" borderId="0" xfId="5" applyFont="1" applyBorder="1"/>
    <xf numFmtId="0" fontId="15" fillId="0" borderId="47" xfId="5" applyFont="1" applyBorder="1"/>
    <xf numFmtId="0" fontId="26" fillId="0" borderId="46" xfId="5" applyFont="1" applyBorder="1" applyAlignment="1">
      <alignment horizontal="left" indent="3"/>
    </xf>
    <xf numFmtId="0" fontId="15" fillId="0" borderId="46" xfId="5" applyFont="1" applyBorder="1" applyAlignment="1">
      <alignment horizontal="left" indent="3"/>
    </xf>
    <xf numFmtId="0" fontId="15" fillId="0" borderId="0" xfId="5" applyFont="1" applyBorder="1" applyAlignment="1">
      <alignment horizontal="center" wrapText="1"/>
    </xf>
    <xf numFmtId="0" fontId="15" fillId="0" borderId="47" xfId="5" applyFont="1" applyBorder="1" applyAlignment="1">
      <alignment horizontal="center" wrapText="1"/>
    </xf>
    <xf numFmtId="0" fontId="15" fillId="0" borderId="48" xfId="5" applyFont="1" applyBorder="1" applyAlignment="1">
      <alignment horizontal="left" indent="3"/>
    </xf>
    <xf numFmtId="0" fontId="15" fillId="0" borderId="49" xfId="5" applyFont="1" applyBorder="1"/>
    <xf numFmtId="0" fontId="15" fillId="0" borderId="50" xfId="5" applyFont="1" applyBorder="1"/>
    <xf numFmtId="0" fontId="26" fillId="0" borderId="43" xfId="0" applyFont="1" applyBorder="1"/>
    <xf numFmtId="0" fontId="15" fillId="0" borderId="44" xfId="0" applyFont="1" applyBorder="1"/>
    <xf numFmtId="0" fontId="15" fillId="0" borderId="45" xfId="0" applyFont="1" applyBorder="1"/>
    <xf numFmtId="0" fontId="15" fillId="0" borderId="46" xfId="0" applyFont="1" applyBorder="1"/>
    <xf numFmtId="0" fontId="15" fillId="0" borderId="0" xfId="0" applyFont="1" applyBorder="1"/>
    <xf numFmtId="0" fontId="15" fillId="0" borderId="47" xfId="0" applyFont="1" applyBorder="1"/>
    <xf numFmtId="0" fontId="26" fillId="0" borderId="46" xfId="0" applyFont="1" applyBorder="1" applyAlignment="1">
      <alignment horizontal="left" indent="3"/>
    </xf>
    <xf numFmtId="0" fontId="15" fillId="0" borderId="46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47" xfId="0" applyFont="1" applyBorder="1" applyAlignment="1">
      <alignment horizontal="center" wrapText="1"/>
    </xf>
    <xf numFmtId="0" fontId="15" fillId="0" borderId="48" xfId="0" applyFont="1" applyBorder="1" applyAlignment="1">
      <alignment horizontal="left" indent="3"/>
    </xf>
    <xf numFmtId="0" fontId="15" fillId="0" borderId="49" xfId="0" applyFont="1" applyBorder="1"/>
    <xf numFmtId="0" fontId="15" fillId="0" borderId="50" xfId="0" applyFont="1" applyBorder="1"/>
    <xf numFmtId="0" fontId="15" fillId="5" borderId="47" xfId="0" applyFont="1" applyFill="1" applyBorder="1" applyAlignment="1">
      <alignment horizontal="center"/>
    </xf>
    <xf numFmtId="0" fontId="15" fillId="5" borderId="47" xfId="0" applyFont="1" applyFill="1" applyBorder="1" applyAlignment="1">
      <alignment horizontal="center" wrapText="1"/>
    </xf>
    <xf numFmtId="0" fontId="15" fillId="5" borderId="0" xfId="0" applyFont="1" applyFill="1" applyBorder="1" applyAlignment="1">
      <alignment horizontal="center" wrapText="1"/>
    </xf>
    <xf numFmtId="0" fontId="15" fillId="5" borderId="0" xfId="0" applyFont="1" applyFill="1" applyBorder="1" applyAlignment="1">
      <alignment horizontal="center"/>
    </xf>
    <xf numFmtId="0" fontId="15" fillId="5" borderId="47" xfId="5" applyFont="1" applyFill="1" applyBorder="1" applyAlignment="1">
      <alignment horizontal="center"/>
    </xf>
    <xf numFmtId="0" fontId="15" fillId="5" borderId="47" xfId="5" applyFont="1" applyFill="1" applyBorder="1" applyAlignment="1">
      <alignment horizontal="center" vertical="center" wrapText="1"/>
    </xf>
    <xf numFmtId="0" fontId="15" fillId="5" borderId="47" xfId="5" applyFont="1" applyFill="1" applyBorder="1" applyAlignment="1">
      <alignment horizontal="center" wrapText="1"/>
    </xf>
    <xf numFmtId="0" fontId="25" fillId="0" borderId="40" xfId="0" applyFont="1" applyBorder="1" applyAlignment="1">
      <alignment horizontal="left" vertical="center" wrapText="1"/>
    </xf>
    <xf numFmtId="0" fontId="25" fillId="0" borderId="41" xfId="0" applyFont="1" applyBorder="1" applyAlignment="1">
      <alignment horizontal="left" vertical="center" wrapText="1"/>
    </xf>
    <xf numFmtId="0" fontId="25" fillId="0" borderId="42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3" borderId="0" xfId="0" applyFont="1" applyFill="1" applyBorder="1" applyAlignment="1">
      <alignment horizontal="left" wrapText="1" indent="1"/>
    </xf>
    <xf numFmtId="0" fontId="4" fillId="4" borderId="11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 wrapText="1" indent="1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 indent="1"/>
    </xf>
    <xf numFmtId="0" fontId="5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/>
    </xf>
    <xf numFmtId="167" fontId="7" fillId="0" borderId="6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vertical="center" wrapText="1"/>
    </xf>
    <xf numFmtId="0" fontId="9" fillId="0" borderId="37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1" fillId="3" borderId="36" xfId="0" applyFont="1" applyFill="1" applyBorder="1" applyAlignment="1">
      <alignment horizontal="left" vertical="center" wrapText="1" indent="1"/>
    </xf>
    <xf numFmtId="0" fontId="0" fillId="0" borderId="30" xfId="0" applyFont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9" fillId="0" borderId="36" xfId="0" applyFont="1" applyBorder="1" applyAlignment="1">
      <alignment horizontal="left" vertical="center" wrapText="1"/>
    </xf>
    <xf numFmtId="0" fontId="0" fillId="0" borderId="14" xfId="0" applyBorder="1"/>
    <xf numFmtId="0" fontId="24" fillId="0" borderId="24" xfId="0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/>
    </xf>
    <xf numFmtId="0" fontId="14" fillId="0" borderId="30" xfId="0" applyFont="1" applyBorder="1" applyAlignment="1">
      <alignment horizontal="left" vertical="center"/>
    </xf>
    <xf numFmtId="0" fontId="11" fillId="0" borderId="15" xfId="0" applyFont="1" applyBorder="1"/>
    <xf numFmtId="0" fontId="11" fillId="0" borderId="16" xfId="0" applyFont="1" applyBorder="1" applyAlignment="1">
      <alignment horizontal="left" vertical="center" wrapText="1" indent="1"/>
    </xf>
    <xf numFmtId="0" fontId="13" fillId="0" borderId="1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indent="1"/>
    </xf>
    <xf numFmtId="0" fontId="12" fillId="0" borderId="3" xfId="0" applyFont="1" applyBorder="1" applyAlignment="1">
      <alignment horizontal="left"/>
    </xf>
    <xf numFmtId="0" fontId="0" fillId="0" borderId="12" xfId="0" applyFont="1" applyBorder="1" applyAlignment="1">
      <alignment horizontal="center"/>
    </xf>
    <xf numFmtId="3" fontId="9" fillId="0" borderId="1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2" fillId="0" borderId="3" xfId="0" applyFont="1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22"/>
  <sheetViews>
    <sheetView tabSelected="1" zoomScale="85" zoomScaleNormal="85" workbookViewId="0">
      <selection activeCell="C62" sqref="C62:E62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104" t="s">
        <v>0</v>
      </c>
      <c r="C2" s="104"/>
      <c r="D2" s="104"/>
      <c r="E2" s="104"/>
      <c r="F2" s="104"/>
      <c r="G2" s="104"/>
      <c r="H2" s="104"/>
    </row>
    <row r="4" spans="1:9" ht="18" customHeight="1" x14ac:dyDescent="0.25">
      <c r="A4" s="103" t="s">
        <v>1</v>
      </c>
      <c r="B4" s="103"/>
      <c r="C4" s="105" t="s">
        <v>52</v>
      </c>
      <c r="D4" s="105"/>
      <c r="E4" s="105"/>
      <c r="F4" s="40"/>
      <c r="G4" s="41"/>
      <c r="H4" s="40"/>
    </row>
    <row r="5" spans="1:9" ht="18" customHeight="1" x14ac:dyDescent="0.25">
      <c r="A5" s="103" t="s">
        <v>2</v>
      </c>
      <c r="B5" s="103"/>
      <c r="C5" s="105" t="s">
        <v>53</v>
      </c>
      <c r="D5" s="105"/>
      <c r="E5" s="105"/>
      <c r="F5" s="40"/>
      <c r="G5" s="41"/>
      <c r="H5" s="40"/>
    </row>
    <row r="6" spans="1:9" ht="16.5" customHeight="1" x14ac:dyDescent="0.25">
      <c r="A6" s="103" t="s">
        <v>3</v>
      </c>
      <c r="B6" s="103"/>
      <c r="C6" s="50">
        <v>2021</v>
      </c>
      <c r="D6" s="51"/>
      <c r="E6" s="51"/>
      <c r="F6" s="40"/>
      <c r="G6" s="41"/>
      <c r="H6" s="40"/>
    </row>
    <row r="7" spans="1:9" ht="16.5" customHeight="1" x14ac:dyDescent="0.25">
      <c r="A7" s="103" t="s">
        <v>4</v>
      </c>
      <c r="B7" s="103"/>
      <c r="C7" s="50">
        <v>2</v>
      </c>
      <c r="D7" s="51"/>
      <c r="E7" s="51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42" t="s">
        <v>5</v>
      </c>
      <c r="B9" s="42" t="s">
        <v>6</v>
      </c>
      <c r="C9" s="42" t="s">
        <v>7</v>
      </c>
      <c r="D9" s="42" t="s">
        <v>8</v>
      </c>
      <c r="E9" s="42" t="s">
        <v>9</v>
      </c>
      <c r="F9" s="42" t="s">
        <v>10</v>
      </c>
      <c r="G9" s="42" t="s">
        <v>11</v>
      </c>
      <c r="H9" s="42" t="s">
        <v>12</v>
      </c>
      <c r="I9" s="42" t="s">
        <v>13</v>
      </c>
    </row>
    <row r="10" spans="1:9" ht="31.9" customHeight="1" thickBot="1" x14ac:dyDescent="0.25">
      <c r="A10" s="43">
        <v>1</v>
      </c>
      <c r="B10" s="47" t="s">
        <v>57</v>
      </c>
      <c r="C10" s="44" t="s">
        <v>58</v>
      </c>
      <c r="D10" s="45" t="str">
        <f>LEFT(B10,5)</f>
        <v>2.1.1</v>
      </c>
      <c r="E10" s="46" t="s">
        <v>59</v>
      </c>
      <c r="F10" s="47" t="s">
        <v>60</v>
      </c>
      <c r="G10" s="47">
        <v>15</v>
      </c>
      <c r="H10" s="48">
        <v>588</v>
      </c>
      <c r="I10" s="49">
        <f t="shared" ref="I10:I53" si="0">G10*H10</f>
        <v>8820</v>
      </c>
    </row>
    <row r="11" spans="1:9" ht="31.9" customHeight="1" thickBot="1" x14ac:dyDescent="0.25">
      <c r="A11" s="43">
        <v>2</v>
      </c>
      <c r="B11" s="47" t="s">
        <v>61</v>
      </c>
      <c r="C11" s="44" t="s">
        <v>58</v>
      </c>
      <c r="D11" s="45" t="str">
        <f t="shared" ref="D11:D53" si="1">LEFT(B11,5)</f>
        <v>2.1.1</v>
      </c>
      <c r="E11" s="46" t="s">
        <v>62</v>
      </c>
      <c r="F11" s="47" t="s">
        <v>145</v>
      </c>
      <c r="G11" s="47">
        <v>120</v>
      </c>
      <c r="H11" s="48">
        <v>3000</v>
      </c>
      <c r="I11" s="49">
        <f t="shared" si="0"/>
        <v>360000</v>
      </c>
    </row>
    <row r="12" spans="1:9" ht="31.9" customHeight="1" thickBot="1" x14ac:dyDescent="0.25">
      <c r="A12" s="43">
        <v>3</v>
      </c>
      <c r="B12" s="47" t="s">
        <v>64</v>
      </c>
      <c r="C12" s="44" t="s">
        <v>58</v>
      </c>
      <c r="D12" s="45" t="str">
        <f t="shared" si="1"/>
        <v>2.1.1</v>
      </c>
      <c r="E12" s="46" t="s">
        <v>65</v>
      </c>
      <c r="F12" s="47" t="s">
        <v>60</v>
      </c>
      <c r="G12" s="47">
        <v>480</v>
      </c>
      <c r="H12" s="48">
        <v>500</v>
      </c>
      <c r="I12" s="49">
        <f t="shared" si="0"/>
        <v>240000</v>
      </c>
    </row>
    <row r="13" spans="1:9" ht="31.9" customHeight="1" thickBot="1" x14ac:dyDescent="0.25">
      <c r="A13" s="43">
        <v>4</v>
      </c>
      <c r="B13" s="47" t="s">
        <v>66</v>
      </c>
      <c r="C13" s="44" t="s">
        <v>58</v>
      </c>
      <c r="D13" s="45" t="str">
        <f t="shared" si="1"/>
        <v>2.1.1</v>
      </c>
      <c r="E13" s="46" t="s">
        <v>67</v>
      </c>
      <c r="F13" s="47" t="s">
        <v>60</v>
      </c>
      <c r="G13" s="47">
        <v>210</v>
      </c>
      <c r="H13" s="48">
        <v>936</v>
      </c>
      <c r="I13" s="49">
        <f t="shared" si="0"/>
        <v>196560</v>
      </c>
    </row>
    <row r="14" spans="1:9" ht="31.9" customHeight="1" thickBot="1" x14ac:dyDescent="0.25">
      <c r="A14" s="43">
        <v>5</v>
      </c>
      <c r="B14" s="47" t="s">
        <v>68</v>
      </c>
      <c r="C14" s="44" t="s">
        <v>58</v>
      </c>
      <c r="D14" s="45" t="str">
        <f t="shared" si="1"/>
        <v>2.1.1</v>
      </c>
      <c r="E14" s="46" t="s">
        <v>69</v>
      </c>
      <c r="F14" s="47" t="s">
        <v>60</v>
      </c>
      <c r="G14" s="47">
        <v>300</v>
      </c>
      <c r="H14" s="48">
        <v>468</v>
      </c>
      <c r="I14" s="49">
        <f t="shared" si="0"/>
        <v>140400</v>
      </c>
    </row>
    <row r="15" spans="1:9" ht="31.9" customHeight="1" thickBot="1" x14ac:dyDescent="0.25">
      <c r="A15" s="43">
        <v>6</v>
      </c>
      <c r="B15" s="47" t="s">
        <v>70</v>
      </c>
      <c r="C15" s="44" t="s">
        <v>58</v>
      </c>
      <c r="D15" s="45" t="str">
        <f t="shared" si="1"/>
        <v>2.1.1</v>
      </c>
      <c r="E15" s="46" t="s">
        <v>71</v>
      </c>
      <c r="F15" s="47" t="s">
        <v>72</v>
      </c>
      <c r="G15" s="47">
        <v>4500</v>
      </c>
      <c r="H15" s="48">
        <v>240</v>
      </c>
      <c r="I15" s="49">
        <f t="shared" si="0"/>
        <v>1080000</v>
      </c>
    </row>
    <row r="16" spans="1:9" ht="31.9" customHeight="1" thickBot="1" x14ac:dyDescent="0.25">
      <c r="A16" s="43">
        <v>7</v>
      </c>
      <c r="B16" s="47" t="s">
        <v>73</v>
      </c>
      <c r="C16" s="44" t="s">
        <v>58</v>
      </c>
      <c r="D16" s="45" t="str">
        <f t="shared" si="1"/>
        <v>2.1.1</v>
      </c>
      <c r="E16" s="46" t="s">
        <v>74</v>
      </c>
      <c r="F16" s="47" t="s">
        <v>60</v>
      </c>
      <c r="G16" s="47">
        <v>4500</v>
      </c>
      <c r="H16" s="48">
        <v>28</v>
      </c>
      <c r="I16" s="49">
        <f t="shared" si="0"/>
        <v>126000</v>
      </c>
    </row>
    <row r="17" spans="1:9" ht="31.9" customHeight="1" thickBot="1" x14ac:dyDescent="0.25">
      <c r="A17" s="43">
        <v>8</v>
      </c>
      <c r="B17" s="47" t="s">
        <v>75</v>
      </c>
      <c r="C17" s="44" t="s">
        <v>58</v>
      </c>
      <c r="D17" s="45" t="str">
        <f t="shared" si="1"/>
        <v>2.1.1</v>
      </c>
      <c r="E17" s="46" t="s">
        <v>76</v>
      </c>
      <c r="F17" s="47" t="s">
        <v>72</v>
      </c>
      <c r="G17" s="47">
        <v>265</v>
      </c>
      <c r="H17" s="48">
        <v>300</v>
      </c>
      <c r="I17" s="49">
        <f t="shared" si="0"/>
        <v>79500</v>
      </c>
    </row>
    <row r="18" spans="1:9" ht="31.9" customHeight="1" thickBot="1" x14ac:dyDescent="0.25">
      <c r="A18" s="43">
        <v>9</v>
      </c>
      <c r="B18" s="47" t="s">
        <v>77</v>
      </c>
      <c r="C18" s="44" t="s">
        <v>58</v>
      </c>
      <c r="D18" s="45" t="str">
        <f t="shared" si="1"/>
        <v>2.1.1</v>
      </c>
      <c r="E18" s="46" t="s">
        <v>78</v>
      </c>
      <c r="F18" s="47" t="s">
        <v>60</v>
      </c>
      <c r="G18" s="47">
        <v>39</v>
      </c>
      <c r="H18" s="48">
        <v>250</v>
      </c>
      <c r="I18" s="49">
        <f t="shared" si="0"/>
        <v>9750</v>
      </c>
    </row>
    <row r="19" spans="1:9" ht="31.9" customHeight="1" thickBot="1" x14ac:dyDescent="0.25">
      <c r="A19" s="43">
        <v>10</v>
      </c>
      <c r="B19" s="47" t="s">
        <v>79</v>
      </c>
      <c r="C19" s="44" t="s">
        <v>58</v>
      </c>
      <c r="D19" s="45" t="str">
        <f t="shared" si="1"/>
        <v>2.1.1</v>
      </c>
      <c r="E19" s="46" t="s">
        <v>80</v>
      </c>
      <c r="F19" s="47" t="s">
        <v>60</v>
      </c>
      <c r="G19" s="47">
        <v>180</v>
      </c>
      <c r="H19" s="48">
        <v>90</v>
      </c>
      <c r="I19" s="49">
        <f t="shared" si="0"/>
        <v>16200</v>
      </c>
    </row>
    <row r="20" spans="1:9" ht="31.9" customHeight="1" thickBot="1" x14ac:dyDescent="0.25">
      <c r="A20" s="43">
        <v>11</v>
      </c>
      <c r="B20" s="47" t="s">
        <v>81</v>
      </c>
      <c r="C20" s="44" t="s">
        <v>58</v>
      </c>
      <c r="D20" s="45" t="str">
        <f t="shared" si="1"/>
        <v>2.1.1</v>
      </c>
      <c r="E20" s="46" t="s">
        <v>82</v>
      </c>
      <c r="F20" s="47" t="s">
        <v>60</v>
      </c>
      <c r="G20" s="47">
        <v>30</v>
      </c>
      <c r="H20" s="48">
        <v>500</v>
      </c>
      <c r="I20" s="49">
        <f t="shared" si="0"/>
        <v>15000</v>
      </c>
    </row>
    <row r="21" spans="1:9" ht="31.9" customHeight="1" thickBot="1" x14ac:dyDescent="0.25">
      <c r="A21" s="43">
        <v>12</v>
      </c>
      <c r="B21" s="47" t="s">
        <v>83</v>
      </c>
      <c r="C21" s="44" t="s">
        <v>58</v>
      </c>
      <c r="D21" s="45" t="str">
        <f t="shared" si="1"/>
        <v>2.1.1</v>
      </c>
      <c r="E21" s="46" t="s">
        <v>84</v>
      </c>
      <c r="F21" s="47" t="s">
        <v>60</v>
      </c>
      <c r="G21" s="47">
        <v>510</v>
      </c>
      <c r="H21" s="48">
        <v>650</v>
      </c>
      <c r="I21" s="49">
        <f t="shared" si="0"/>
        <v>331500</v>
      </c>
    </row>
    <row r="22" spans="1:9" ht="31.9" customHeight="1" thickBot="1" x14ac:dyDescent="0.25">
      <c r="A22" s="43">
        <v>13</v>
      </c>
      <c r="B22" s="47" t="s">
        <v>149</v>
      </c>
      <c r="C22" s="44" t="s">
        <v>58</v>
      </c>
      <c r="D22" s="45" t="str">
        <f t="shared" si="1"/>
        <v>2.1.1</v>
      </c>
      <c r="E22" s="46" t="s">
        <v>146</v>
      </c>
      <c r="F22" s="47" t="s">
        <v>60</v>
      </c>
      <c r="G22" s="47">
        <v>90</v>
      </c>
      <c r="H22" s="48">
        <v>1700</v>
      </c>
      <c r="I22" s="49">
        <f t="shared" si="0"/>
        <v>153000</v>
      </c>
    </row>
    <row r="23" spans="1:9" ht="31.9" customHeight="1" thickBot="1" x14ac:dyDescent="0.25">
      <c r="A23" s="43">
        <v>14</v>
      </c>
      <c r="B23" s="47" t="s">
        <v>85</v>
      </c>
      <c r="C23" s="44" t="s">
        <v>58</v>
      </c>
      <c r="D23" s="45" t="str">
        <f t="shared" si="1"/>
        <v>2.1.1</v>
      </c>
      <c r="E23" s="46" t="s">
        <v>86</v>
      </c>
      <c r="F23" s="47" t="s">
        <v>63</v>
      </c>
      <c r="G23" s="47">
        <v>90</v>
      </c>
      <c r="H23" s="48">
        <v>1500</v>
      </c>
      <c r="I23" s="49">
        <f t="shared" si="0"/>
        <v>135000</v>
      </c>
    </row>
    <row r="24" spans="1:9" ht="31.9" customHeight="1" thickBot="1" x14ac:dyDescent="0.25">
      <c r="A24" s="43">
        <v>15</v>
      </c>
      <c r="B24" s="47" t="s">
        <v>144</v>
      </c>
      <c r="C24" s="44" t="s">
        <v>58</v>
      </c>
      <c r="D24" s="45" t="str">
        <f t="shared" si="1"/>
        <v>2.1.1</v>
      </c>
      <c r="E24" s="46" t="s">
        <v>143</v>
      </c>
      <c r="F24" s="47" t="s">
        <v>60</v>
      </c>
      <c r="G24" s="47">
        <v>90</v>
      </c>
      <c r="H24" s="48">
        <v>1100</v>
      </c>
      <c r="I24" s="49">
        <f t="shared" si="0"/>
        <v>99000</v>
      </c>
    </row>
    <row r="25" spans="1:9" ht="31.9" customHeight="1" thickBot="1" x14ac:dyDescent="0.25">
      <c r="A25" s="43">
        <v>16</v>
      </c>
      <c r="B25" s="47" t="s">
        <v>87</v>
      </c>
      <c r="C25" s="44" t="s">
        <v>58</v>
      </c>
      <c r="D25" s="45" t="str">
        <f t="shared" si="1"/>
        <v>2.1.1</v>
      </c>
      <c r="E25" s="46" t="s">
        <v>88</v>
      </c>
      <c r="F25" s="47" t="s">
        <v>72</v>
      </c>
      <c r="G25" s="47">
        <v>300</v>
      </c>
      <c r="H25" s="48">
        <v>290</v>
      </c>
      <c r="I25" s="49">
        <f t="shared" si="0"/>
        <v>87000</v>
      </c>
    </row>
    <row r="26" spans="1:9" ht="31.9" customHeight="1" thickBot="1" x14ac:dyDescent="0.25">
      <c r="A26" s="43">
        <v>17</v>
      </c>
      <c r="B26" s="47" t="s">
        <v>148</v>
      </c>
      <c r="C26" s="44" t="s">
        <v>58</v>
      </c>
      <c r="D26" s="45" t="str">
        <f t="shared" si="1"/>
        <v>2.1.1</v>
      </c>
      <c r="E26" s="46" t="s">
        <v>147</v>
      </c>
      <c r="F26" s="47" t="s">
        <v>63</v>
      </c>
      <c r="G26" s="47">
        <v>90</v>
      </c>
      <c r="H26" s="48">
        <v>1600</v>
      </c>
      <c r="I26" s="49">
        <f t="shared" si="0"/>
        <v>144000</v>
      </c>
    </row>
    <row r="27" spans="1:9" ht="31.9" customHeight="1" thickBot="1" x14ac:dyDescent="0.25">
      <c r="A27" s="43">
        <v>18</v>
      </c>
      <c r="B27" s="47" t="s">
        <v>89</v>
      </c>
      <c r="C27" s="44" t="s">
        <v>58</v>
      </c>
      <c r="D27" s="45" t="str">
        <f t="shared" si="1"/>
        <v>2.1.1</v>
      </c>
      <c r="E27" s="46" t="s">
        <v>90</v>
      </c>
      <c r="F27" s="47" t="s">
        <v>60</v>
      </c>
      <c r="G27" s="47">
        <v>60</v>
      </c>
      <c r="H27" s="48">
        <v>1100</v>
      </c>
      <c r="I27" s="49">
        <f t="shared" si="0"/>
        <v>66000</v>
      </c>
    </row>
    <row r="28" spans="1:9" ht="31.9" customHeight="1" thickBot="1" x14ac:dyDescent="0.25">
      <c r="A28" s="43">
        <v>19</v>
      </c>
      <c r="B28" s="47" t="s">
        <v>151</v>
      </c>
      <c r="C28" s="44" t="s">
        <v>58</v>
      </c>
      <c r="D28" s="45" t="str">
        <f t="shared" si="1"/>
        <v>2.1.1</v>
      </c>
      <c r="E28" s="46" t="s">
        <v>150</v>
      </c>
      <c r="F28" s="47" t="s">
        <v>60</v>
      </c>
      <c r="G28" s="47">
        <v>15</v>
      </c>
      <c r="H28" s="48">
        <v>1000</v>
      </c>
      <c r="I28" s="49">
        <f t="shared" si="0"/>
        <v>15000</v>
      </c>
    </row>
    <row r="29" spans="1:9" ht="31.9" customHeight="1" thickBot="1" x14ac:dyDescent="0.25">
      <c r="A29" s="43">
        <v>20</v>
      </c>
      <c r="B29" s="47" t="s">
        <v>91</v>
      </c>
      <c r="C29" s="44" t="s">
        <v>58</v>
      </c>
      <c r="D29" s="45" t="str">
        <f t="shared" si="1"/>
        <v>2.1.1</v>
      </c>
      <c r="E29" s="46" t="s">
        <v>92</v>
      </c>
      <c r="F29" s="47" t="s">
        <v>72</v>
      </c>
      <c r="G29" s="47">
        <v>720</v>
      </c>
      <c r="H29" s="48">
        <v>90</v>
      </c>
      <c r="I29" s="49">
        <f t="shared" si="0"/>
        <v>64800</v>
      </c>
    </row>
    <row r="30" spans="1:9" ht="31.9" customHeight="1" thickBot="1" x14ac:dyDescent="0.25">
      <c r="A30" s="43">
        <v>21</v>
      </c>
      <c r="B30" s="47" t="s">
        <v>93</v>
      </c>
      <c r="C30" s="44" t="s">
        <v>58</v>
      </c>
      <c r="D30" s="45" t="str">
        <f t="shared" si="1"/>
        <v>2.1.1</v>
      </c>
      <c r="E30" s="46" t="s">
        <v>94</v>
      </c>
      <c r="F30" s="47" t="s">
        <v>60</v>
      </c>
      <c r="G30" s="47">
        <v>180</v>
      </c>
      <c r="H30" s="48">
        <v>950</v>
      </c>
      <c r="I30" s="49">
        <f t="shared" si="0"/>
        <v>171000</v>
      </c>
    </row>
    <row r="31" spans="1:9" ht="31.9" customHeight="1" thickBot="1" x14ac:dyDescent="0.25">
      <c r="A31" s="43">
        <v>22</v>
      </c>
      <c r="B31" s="47" t="s">
        <v>95</v>
      </c>
      <c r="C31" s="44" t="s">
        <v>58</v>
      </c>
      <c r="D31" s="45" t="str">
        <f t="shared" si="1"/>
        <v>2.1.1</v>
      </c>
      <c r="E31" s="46" t="s">
        <v>96</v>
      </c>
      <c r="F31" s="47" t="s">
        <v>60</v>
      </c>
      <c r="G31" s="47">
        <v>600</v>
      </c>
      <c r="H31" s="48">
        <v>68</v>
      </c>
      <c r="I31" s="49">
        <f t="shared" si="0"/>
        <v>40800</v>
      </c>
    </row>
    <row r="32" spans="1:9" ht="31.9" customHeight="1" thickBot="1" x14ac:dyDescent="0.25">
      <c r="A32" s="43">
        <v>23</v>
      </c>
      <c r="B32" s="47" t="s">
        <v>153</v>
      </c>
      <c r="C32" s="44" t="s">
        <v>58</v>
      </c>
      <c r="D32" s="45" t="str">
        <f t="shared" si="1"/>
        <v>2.1.1</v>
      </c>
      <c r="E32" s="46" t="s">
        <v>152</v>
      </c>
      <c r="F32" s="47" t="s">
        <v>72</v>
      </c>
      <c r="G32" s="47">
        <v>60</v>
      </c>
      <c r="H32" s="48">
        <v>110</v>
      </c>
      <c r="I32" s="49">
        <f t="shared" si="0"/>
        <v>6600</v>
      </c>
    </row>
    <row r="33" spans="1:9" ht="31.9" customHeight="1" thickBot="1" x14ac:dyDescent="0.25">
      <c r="A33" s="43">
        <v>24</v>
      </c>
      <c r="B33" s="47" t="s">
        <v>97</v>
      </c>
      <c r="C33" s="44" t="s">
        <v>58</v>
      </c>
      <c r="D33" s="45" t="str">
        <f t="shared" si="1"/>
        <v>2.1.1</v>
      </c>
      <c r="E33" s="46" t="s">
        <v>98</v>
      </c>
      <c r="F33" s="47" t="s">
        <v>72</v>
      </c>
      <c r="G33" s="47">
        <v>600</v>
      </c>
      <c r="H33" s="48">
        <v>200</v>
      </c>
      <c r="I33" s="49">
        <f t="shared" si="0"/>
        <v>120000</v>
      </c>
    </row>
    <row r="34" spans="1:9" ht="31.9" customHeight="1" thickBot="1" x14ac:dyDescent="0.25">
      <c r="A34" s="43">
        <v>25</v>
      </c>
      <c r="B34" s="47" t="s">
        <v>99</v>
      </c>
      <c r="C34" s="44" t="s">
        <v>58</v>
      </c>
      <c r="D34" s="45" t="str">
        <f t="shared" si="1"/>
        <v>2.1.1</v>
      </c>
      <c r="E34" s="46" t="s">
        <v>100</v>
      </c>
      <c r="F34" s="47" t="s">
        <v>63</v>
      </c>
      <c r="G34" s="47">
        <v>5</v>
      </c>
      <c r="H34" s="48">
        <v>420</v>
      </c>
      <c r="I34" s="49">
        <f t="shared" si="0"/>
        <v>2100</v>
      </c>
    </row>
    <row r="35" spans="1:9" ht="31.9" customHeight="1" thickBot="1" x14ac:dyDescent="0.25">
      <c r="A35" s="43">
        <v>26</v>
      </c>
      <c r="B35" s="47" t="s">
        <v>101</v>
      </c>
      <c r="C35" s="44" t="s">
        <v>58</v>
      </c>
      <c r="D35" s="45" t="str">
        <f t="shared" si="1"/>
        <v>2.1.1</v>
      </c>
      <c r="E35" s="46" t="s">
        <v>102</v>
      </c>
      <c r="F35" s="47" t="s">
        <v>63</v>
      </c>
      <c r="G35" s="47">
        <v>120</v>
      </c>
      <c r="H35" s="48">
        <v>3300</v>
      </c>
      <c r="I35" s="49">
        <f t="shared" si="0"/>
        <v>396000</v>
      </c>
    </row>
    <row r="36" spans="1:9" ht="31.9" customHeight="1" thickBot="1" x14ac:dyDescent="0.25">
      <c r="A36" s="43">
        <v>27</v>
      </c>
      <c r="B36" s="47" t="s">
        <v>103</v>
      </c>
      <c r="C36" s="44" t="s">
        <v>58</v>
      </c>
      <c r="D36" s="45" t="str">
        <f t="shared" si="1"/>
        <v>2.1.1</v>
      </c>
      <c r="E36" s="46" t="s">
        <v>104</v>
      </c>
      <c r="F36" s="47" t="s">
        <v>63</v>
      </c>
      <c r="G36" s="47">
        <v>120</v>
      </c>
      <c r="H36" s="48">
        <v>2690</v>
      </c>
      <c r="I36" s="49">
        <f t="shared" si="0"/>
        <v>322800</v>
      </c>
    </row>
    <row r="37" spans="1:9" ht="31.9" customHeight="1" thickBot="1" x14ac:dyDescent="0.25">
      <c r="A37" s="43">
        <v>28</v>
      </c>
      <c r="B37" s="47" t="s">
        <v>105</v>
      </c>
      <c r="C37" s="44" t="s">
        <v>58</v>
      </c>
      <c r="D37" s="45" t="str">
        <f t="shared" si="1"/>
        <v>2.1.1</v>
      </c>
      <c r="E37" s="46" t="s">
        <v>106</v>
      </c>
      <c r="F37" s="47" t="s">
        <v>63</v>
      </c>
      <c r="G37" s="47">
        <v>90</v>
      </c>
      <c r="H37" s="48">
        <v>890</v>
      </c>
      <c r="I37" s="49">
        <f t="shared" si="0"/>
        <v>80100</v>
      </c>
    </row>
    <row r="38" spans="1:9" ht="31.9" customHeight="1" thickBot="1" x14ac:dyDescent="0.25">
      <c r="A38" s="43">
        <v>29</v>
      </c>
      <c r="B38" s="47" t="s">
        <v>107</v>
      </c>
      <c r="C38" s="44" t="s">
        <v>58</v>
      </c>
      <c r="D38" s="45" t="str">
        <f t="shared" si="1"/>
        <v>2.1.1</v>
      </c>
      <c r="E38" s="46" t="s">
        <v>108</v>
      </c>
      <c r="F38" s="47" t="s">
        <v>63</v>
      </c>
      <c r="G38" s="47">
        <v>90</v>
      </c>
      <c r="H38" s="48">
        <v>2150</v>
      </c>
      <c r="I38" s="49">
        <f t="shared" si="0"/>
        <v>193500</v>
      </c>
    </row>
    <row r="39" spans="1:9" ht="31.9" customHeight="1" thickBot="1" x14ac:dyDescent="0.25">
      <c r="A39" s="43">
        <v>30</v>
      </c>
      <c r="B39" s="47" t="s">
        <v>109</v>
      </c>
      <c r="C39" s="44" t="s">
        <v>58</v>
      </c>
      <c r="D39" s="45" t="str">
        <f t="shared" si="1"/>
        <v>2.1.1</v>
      </c>
      <c r="E39" s="46" t="s">
        <v>110</v>
      </c>
      <c r="F39" s="47" t="s">
        <v>63</v>
      </c>
      <c r="G39" s="47">
        <v>60</v>
      </c>
      <c r="H39" s="48">
        <v>900</v>
      </c>
      <c r="I39" s="49">
        <f t="shared" si="0"/>
        <v>54000</v>
      </c>
    </row>
    <row r="40" spans="1:9" ht="31.9" customHeight="1" thickBot="1" x14ac:dyDescent="0.25">
      <c r="A40" s="43">
        <v>31</v>
      </c>
      <c r="B40" s="47" t="s">
        <v>111</v>
      </c>
      <c r="C40" s="44" t="s">
        <v>58</v>
      </c>
      <c r="D40" s="45" t="str">
        <f t="shared" si="1"/>
        <v>2.1.1</v>
      </c>
      <c r="E40" s="46" t="s">
        <v>112</v>
      </c>
      <c r="F40" s="47" t="s">
        <v>72</v>
      </c>
      <c r="G40" s="47">
        <v>600</v>
      </c>
      <c r="H40" s="48">
        <v>700</v>
      </c>
      <c r="I40" s="49">
        <f t="shared" si="0"/>
        <v>420000</v>
      </c>
    </row>
    <row r="41" spans="1:9" ht="31.9" customHeight="1" thickBot="1" x14ac:dyDescent="0.25">
      <c r="A41" s="43">
        <v>32</v>
      </c>
      <c r="B41" s="47" t="s">
        <v>113</v>
      </c>
      <c r="C41" s="44" t="s">
        <v>58</v>
      </c>
      <c r="D41" s="45" t="str">
        <f t="shared" si="1"/>
        <v>2.1.1</v>
      </c>
      <c r="E41" s="46" t="s">
        <v>114</v>
      </c>
      <c r="F41" s="47" t="s">
        <v>72</v>
      </c>
      <c r="G41" s="47">
        <v>300</v>
      </c>
      <c r="H41" s="48">
        <v>790</v>
      </c>
      <c r="I41" s="49">
        <f t="shared" si="0"/>
        <v>237000</v>
      </c>
    </row>
    <row r="42" spans="1:9" ht="31.9" customHeight="1" thickBot="1" x14ac:dyDescent="0.25">
      <c r="A42" s="43">
        <v>33</v>
      </c>
      <c r="B42" s="47" t="s">
        <v>115</v>
      </c>
      <c r="C42" s="44" t="s">
        <v>58</v>
      </c>
      <c r="D42" s="45" t="str">
        <f t="shared" si="1"/>
        <v>2.1.1</v>
      </c>
      <c r="E42" s="46" t="s">
        <v>116</v>
      </c>
      <c r="F42" s="47" t="s">
        <v>72</v>
      </c>
      <c r="G42" s="47">
        <v>450</v>
      </c>
      <c r="H42" s="48">
        <v>520</v>
      </c>
      <c r="I42" s="49">
        <f t="shared" si="0"/>
        <v>234000</v>
      </c>
    </row>
    <row r="43" spans="1:9" ht="31.9" customHeight="1" thickBot="1" x14ac:dyDescent="0.25">
      <c r="A43" s="43">
        <v>34</v>
      </c>
      <c r="B43" s="47" t="s">
        <v>117</v>
      </c>
      <c r="C43" s="44" t="s">
        <v>58</v>
      </c>
      <c r="D43" s="45" t="str">
        <f t="shared" si="1"/>
        <v>2.1.1</v>
      </c>
      <c r="E43" s="46" t="s">
        <v>118</v>
      </c>
      <c r="F43" s="47" t="s">
        <v>72</v>
      </c>
      <c r="G43" s="47">
        <v>90</v>
      </c>
      <c r="H43" s="48">
        <v>513</v>
      </c>
      <c r="I43" s="49">
        <f t="shared" si="0"/>
        <v>46170</v>
      </c>
    </row>
    <row r="44" spans="1:9" ht="31.9" customHeight="1" thickBot="1" x14ac:dyDescent="0.25">
      <c r="A44" s="43">
        <v>35</v>
      </c>
      <c r="B44" s="47" t="s">
        <v>119</v>
      </c>
      <c r="C44" s="44" t="s">
        <v>58</v>
      </c>
      <c r="D44" s="45" t="str">
        <f t="shared" si="1"/>
        <v>2.1.1</v>
      </c>
      <c r="E44" s="46" t="s">
        <v>120</v>
      </c>
      <c r="F44" s="47" t="s">
        <v>72</v>
      </c>
      <c r="G44" s="47">
        <v>60</v>
      </c>
      <c r="H44" s="48">
        <v>513</v>
      </c>
      <c r="I44" s="49">
        <f t="shared" si="0"/>
        <v>30780</v>
      </c>
    </row>
    <row r="45" spans="1:9" ht="48" thickBot="1" x14ac:dyDescent="0.25">
      <c r="A45" s="43">
        <v>36</v>
      </c>
      <c r="B45" s="47" t="s">
        <v>121</v>
      </c>
      <c r="C45" s="44" t="s">
        <v>58</v>
      </c>
      <c r="D45" s="45" t="str">
        <f t="shared" si="1"/>
        <v>2.1.1</v>
      </c>
      <c r="E45" s="46" t="s">
        <v>122</v>
      </c>
      <c r="F45" s="47" t="s">
        <v>60</v>
      </c>
      <c r="G45" s="47">
        <v>210</v>
      </c>
      <c r="H45" s="48">
        <v>344.4</v>
      </c>
      <c r="I45" s="49">
        <f t="shared" si="0"/>
        <v>72324</v>
      </c>
    </row>
    <row r="46" spans="1:9" ht="48" thickBot="1" x14ac:dyDescent="0.25">
      <c r="A46" s="43">
        <v>37</v>
      </c>
      <c r="B46" s="47" t="s">
        <v>155</v>
      </c>
      <c r="C46" s="44" t="s">
        <v>58</v>
      </c>
      <c r="D46" s="45" t="str">
        <f t="shared" si="1"/>
        <v>2.1.1</v>
      </c>
      <c r="E46" s="46" t="s">
        <v>154</v>
      </c>
      <c r="F46" s="47" t="s">
        <v>60</v>
      </c>
      <c r="G46" s="47">
        <v>90</v>
      </c>
      <c r="H46" s="48">
        <v>490</v>
      </c>
      <c r="I46" s="49">
        <f t="shared" si="0"/>
        <v>44100</v>
      </c>
    </row>
    <row r="47" spans="1:9" ht="48" thickBot="1" x14ac:dyDescent="0.25">
      <c r="A47" s="43">
        <v>38</v>
      </c>
      <c r="B47" s="47" t="s">
        <v>123</v>
      </c>
      <c r="C47" s="44" t="s">
        <v>58</v>
      </c>
      <c r="D47" s="45" t="str">
        <f t="shared" si="1"/>
        <v>2.1.1</v>
      </c>
      <c r="E47" s="46" t="s">
        <v>124</v>
      </c>
      <c r="F47" s="47" t="s">
        <v>60</v>
      </c>
      <c r="G47" s="47">
        <v>75</v>
      </c>
      <c r="H47" s="48">
        <v>810</v>
      </c>
      <c r="I47" s="49">
        <f t="shared" si="0"/>
        <v>60750</v>
      </c>
    </row>
    <row r="48" spans="1:9" ht="31.9" customHeight="1" thickBot="1" x14ac:dyDescent="0.25">
      <c r="A48" s="43">
        <v>39</v>
      </c>
      <c r="B48" s="47" t="s">
        <v>125</v>
      </c>
      <c r="C48" s="44" t="s">
        <v>58</v>
      </c>
      <c r="D48" s="45" t="str">
        <f t="shared" si="1"/>
        <v>2.1.1</v>
      </c>
      <c r="E48" s="46" t="s">
        <v>126</v>
      </c>
      <c r="F48" s="47" t="s">
        <v>72</v>
      </c>
      <c r="G48" s="47">
        <v>105</v>
      </c>
      <c r="H48" s="48">
        <v>499.87</v>
      </c>
      <c r="I48" s="49">
        <f t="shared" si="0"/>
        <v>52486.35</v>
      </c>
    </row>
    <row r="49" spans="1:9" ht="31.9" customHeight="1" thickBot="1" x14ac:dyDescent="0.25">
      <c r="A49" s="43">
        <v>40</v>
      </c>
      <c r="B49" s="47" t="s">
        <v>127</v>
      </c>
      <c r="C49" s="44" t="s">
        <v>58</v>
      </c>
      <c r="D49" s="45" t="str">
        <f t="shared" si="1"/>
        <v>2.1.1</v>
      </c>
      <c r="E49" s="46" t="s">
        <v>128</v>
      </c>
      <c r="F49" s="47" t="s">
        <v>60</v>
      </c>
      <c r="G49" s="47">
        <v>30</v>
      </c>
      <c r="H49" s="48">
        <v>391.2</v>
      </c>
      <c r="I49" s="49">
        <f t="shared" si="0"/>
        <v>11736</v>
      </c>
    </row>
    <row r="50" spans="1:9" ht="31.9" customHeight="1" thickBot="1" x14ac:dyDescent="0.25">
      <c r="A50" s="43">
        <v>41</v>
      </c>
      <c r="B50" s="47" t="s">
        <v>129</v>
      </c>
      <c r="C50" s="44" t="s">
        <v>58</v>
      </c>
      <c r="D50" s="45" t="str">
        <f t="shared" si="1"/>
        <v>2.1.1</v>
      </c>
      <c r="E50" s="46" t="s">
        <v>130</v>
      </c>
      <c r="F50" s="47" t="s">
        <v>60</v>
      </c>
      <c r="G50" s="47">
        <v>390</v>
      </c>
      <c r="H50" s="48">
        <v>96.18</v>
      </c>
      <c r="I50" s="49">
        <f t="shared" si="0"/>
        <v>37510.200000000004</v>
      </c>
    </row>
    <row r="51" spans="1:9" ht="31.9" customHeight="1" thickBot="1" x14ac:dyDescent="0.25">
      <c r="A51" s="43">
        <v>42</v>
      </c>
      <c r="B51" s="47" t="s">
        <v>131</v>
      </c>
      <c r="C51" s="44" t="s">
        <v>58</v>
      </c>
      <c r="D51" s="45" t="str">
        <f t="shared" si="1"/>
        <v>2.1.1</v>
      </c>
      <c r="E51" s="46" t="s">
        <v>132</v>
      </c>
      <c r="F51" s="47" t="s">
        <v>60</v>
      </c>
      <c r="G51" s="47">
        <v>360</v>
      </c>
      <c r="H51" s="48">
        <v>73.63</v>
      </c>
      <c r="I51" s="49">
        <f t="shared" si="0"/>
        <v>26506.799999999999</v>
      </c>
    </row>
    <row r="52" spans="1:9" ht="31.9" customHeight="1" thickBot="1" x14ac:dyDescent="0.25">
      <c r="A52" s="43">
        <v>43</v>
      </c>
      <c r="B52" s="47" t="s">
        <v>133</v>
      </c>
      <c r="C52" s="44" t="s">
        <v>58</v>
      </c>
      <c r="D52" s="45" t="str">
        <f t="shared" si="1"/>
        <v>2.1.1</v>
      </c>
      <c r="E52" s="46" t="s">
        <v>134</v>
      </c>
      <c r="F52" s="47" t="s">
        <v>60</v>
      </c>
      <c r="G52" s="47">
        <v>240</v>
      </c>
      <c r="H52" s="48">
        <v>38.4</v>
      </c>
      <c r="I52" s="49">
        <f t="shared" si="0"/>
        <v>9216</v>
      </c>
    </row>
    <row r="53" spans="1:9" ht="31.9" customHeight="1" thickBot="1" x14ac:dyDescent="0.25">
      <c r="A53" s="43">
        <v>44</v>
      </c>
      <c r="B53" s="47" t="s">
        <v>135</v>
      </c>
      <c r="C53" s="44" t="s">
        <v>58</v>
      </c>
      <c r="D53" s="45" t="str">
        <f t="shared" si="1"/>
        <v>2.1.1</v>
      </c>
      <c r="E53" s="46" t="s">
        <v>136</v>
      </c>
      <c r="F53" s="47" t="s">
        <v>60</v>
      </c>
      <c r="G53" s="47">
        <v>1200</v>
      </c>
      <c r="H53" s="48">
        <v>120</v>
      </c>
      <c r="I53" s="49">
        <f t="shared" si="0"/>
        <v>144000</v>
      </c>
    </row>
    <row r="54" spans="1:9" ht="13.5" thickBot="1" x14ac:dyDescent="0.25"/>
    <row r="55" spans="1:9" ht="33.6" customHeight="1" thickTop="1" thickBot="1" x14ac:dyDescent="0.25">
      <c r="B55" s="100" t="s">
        <v>137</v>
      </c>
      <c r="C55" s="101"/>
      <c r="D55" s="101"/>
      <c r="E55" s="102"/>
    </row>
    <row r="56" spans="1:9" ht="33.6" customHeight="1" thickTop="1" thickBot="1" x14ac:dyDescent="0.25">
      <c r="B56" s="100" t="s">
        <v>138</v>
      </c>
      <c r="C56" s="101"/>
      <c r="D56" s="101"/>
      <c r="E56" s="102"/>
    </row>
    <row r="57" spans="1:9" ht="13.5" thickTop="1" x14ac:dyDescent="0.2"/>
    <row r="58" spans="1:9" ht="13.5" thickBot="1" x14ac:dyDescent="0.25"/>
    <row r="59" spans="1:9" s="66" customFormat="1" x14ac:dyDescent="0.2">
      <c r="B59" s="67" t="s">
        <v>171</v>
      </c>
      <c r="C59" s="68"/>
      <c r="D59" s="68"/>
      <c r="E59" s="69"/>
    </row>
    <row r="60" spans="1:9" s="66" customFormat="1" ht="5.25" customHeight="1" x14ac:dyDescent="0.2">
      <c r="B60" s="70"/>
      <c r="C60" s="71"/>
      <c r="D60" s="71"/>
      <c r="E60" s="72"/>
    </row>
    <row r="61" spans="1:9" s="66" customFormat="1" x14ac:dyDescent="0.2">
      <c r="B61" s="73" t="s">
        <v>156</v>
      </c>
      <c r="C61" s="71"/>
      <c r="D61" s="71"/>
      <c r="E61" s="72"/>
    </row>
    <row r="62" spans="1:9" s="66" customFormat="1" ht="41.25" customHeight="1" x14ac:dyDescent="0.2">
      <c r="B62" s="73"/>
      <c r="C62" s="98" t="s">
        <v>157</v>
      </c>
      <c r="D62" s="98"/>
      <c r="E62" s="98"/>
    </row>
    <row r="63" spans="1:9" s="66" customFormat="1" x14ac:dyDescent="0.2">
      <c r="B63" s="73" t="s">
        <v>158</v>
      </c>
      <c r="C63" s="71"/>
      <c r="D63" s="71"/>
      <c r="E63" s="72"/>
    </row>
    <row r="64" spans="1:9" s="66" customFormat="1" x14ac:dyDescent="0.2">
      <c r="B64" s="74"/>
      <c r="C64" s="97"/>
      <c r="D64" s="97"/>
      <c r="E64" s="97"/>
    </row>
    <row r="65" spans="2:5" s="66" customFormat="1" x14ac:dyDescent="0.2">
      <c r="B65" s="74"/>
      <c r="C65" s="97"/>
      <c r="D65" s="97"/>
      <c r="E65" s="97"/>
    </row>
    <row r="66" spans="2:5" s="66" customFormat="1" x14ac:dyDescent="0.2">
      <c r="B66" s="73" t="s">
        <v>159</v>
      </c>
      <c r="C66" s="71"/>
      <c r="D66" s="71"/>
      <c r="E66" s="72"/>
    </row>
    <row r="67" spans="2:5" s="66" customFormat="1" ht="26.25" customHeight="1" x14ac:dyDescent="0.2">
      <c r="B67" s="74"/>
      <c r="C67" s="99"/>
      <c r="D67" s="99"/>
      <c r="E67" s="99"/>
    </row>
    <row r="68" spans="2:5" s="66" customFormat="1" x14ac:dyDescent="0.2">
      <c r="B68" s="73" t="s">
        <v>160</v>
      </c>
      <c r="C68" s="75"/>
      <c r="D68" s="75"/>
      <c r="E68" s="76"/>
    </row>
    <row r="69" spans="2:5" s="66" customFormat="1" ht="26.25" customHeight="1" x14ac:dyDescent="0.2">
      <c r="B69" s="74"/>
      <c r="C69" s="99"/>
      <c r="D69" s="99"/>
      <c r="E69" s="99"/>
    </row>
    <row r="70" spans="2:5" s="66" customFormat="1" x14ac:dyDescent="0.2">
      <c r="B70" s="73" t="s">
        <v>161</v>
      </c>
      <c r="C70" s="71"/>
      <c r="D70" s="71"/>
      <c r="E70" s="72"/>
    </row>
    <row r="71" spans="2:5" s="66" customFormat="1" ht="23.25" customHeight="1" x14ac:dyDescent="0.2">
      <c r="B71" s="73"/>
      <c r="C71" s="97"/>
      <c r="D71" s="97"/>
      <c r="E71" s="97"/>
    </row>
    <row r="72" spans="2:5" s="66" customFormat="1" ht="13.5" thickBot="1" x14ac:dyDescent="0.25">
      <c r="B72" s="77"/>
      <c r="C72" s="78"/>
      <c r="D72" s="78"/>
      <c r="E72" s="79"/>
    </row>
    <row r="73" spans="2:5" s="66" customFormat="1" ht="13.5" thickBot="1" x14ac:dyDescent="0.25"/>
    <row r="74" spans="2:5" x14ac:dyDescent="0.2">
      <c r="B74" s="80" t="s">
        <v>172</v>
      </c>
      <c r="C74" s="81"/>
      <c r="D74" s="81"/>
      <c r="E74" s="82"/>
    </row>
    <row r="75" spans="2:5" x14ac:dyDescent="0.2">
      <c r="B75" s="83"/>
      <c r="C75" s="84"/>
      <c r="D75" s="84"/>
      <c r="E75" s="85"/>
    </row>
    <row r="76" spans="2:5" x14ac:dyDescent="0.2">
      <c r="B76" s="86" t="s">
        <v>156</v>
      </c>
      <c r="C76" s="84"/>
      <c r="D76" s="84"/>
      <c r="E76" s="85"/>
    </row>
    <row r="77" spans="2:5" ht="32.25" customHeight="1" x14ac:dyDescent="0.2">
      <c r="B77" s="86"/>
      <c r="C77" s="94" t="s">
        <v>162</v>
      </c>
      <c r="D77" s="94"/>
      <c r="E77" s="94"/>
    </row>
    <row r="78" spans="2:5" x14ac:dyDescent="0.2">
      <c r="B78" s="86" t="s">
        <v>158</v>
      </c>
      <c r="C78" s="84"/>
      <c r="D78" s="84"/>
      <c r="E78" s="85"/>
    </row>
    <row r="79" spans="2:5" x14ac:dyDescent="0.2">
      <c r="B79" s="87"/>
      <c r="C79" s="93"/>
      <c r="D79" s="93"/>
      <c r="E79" s="93"/>
    </row>
    <row r="80" spans="2:5" x14ac:dyDescent="0.2">
      <c r="B80" s="87"/>
      <c r="C80" s="93"/>
      <c r="D80" s="93"/>
      <c r="E80" s="93"/>
    </row>
    <row r="81" spans="2:5" x14ac:dyDescent="0.2">
      <c r="B81" s="86" t="s">
        <v>159</v>
      </c>
      <c r="C81" s="84"/>
      <c r="D81" s="84"/>
      <c r="E81" s="85"/>
    </row>
    <row r="82" spans="2:5" x14ac:dyDescent="0.2">
      <c r="B82" s="87"/>
      <c r="C82" s="94"/>
      <c r="D82" s="94"/>
      <c r="E82" s="94"/>
    </row>
    <row r="83" spans="2:5" x14ac:dyDescent="0.2">
      <c r="B83" s="86" t="s">
        <v>160</v>
      </c>
      <c r="C83" s="88"/>
      <c r="D83" s="88"/>
      <c r="E83" s="89"/>
    </row>
    <row r="84" spans="2:5" x14ac:dyDescent="0.2">
      <c r="B84" s="87"/>
      <c r="C84" s="94"/>
      <c r="D84" s="94"/>
      <c r="E84" s="94"/>
    </row>
    <row r="85" spans="2:5" x14ac:dyDescent="0.2">
      <c r="B85" s="86" t="s">
        <v>161</v>
      </c>
      <c r="C85" s="84"/>
      <c r="D85" s="84"/>
      <c r="E85" s="85"/>
    </row>
    <row r="86" spans="2:5" x14ac:dyDescent="0.2">
      <c r="B86" s="86"/>
      <c r="C86" s="93"/>
      <c r="D86" s="93"/>
      <c r="E86" s="93"/>
    </row>
    <row r="87" spans="2:5" ht="13.5" thickBot="1" x14ac:dyDescent="0.25">
      <c r="B87" s="90"/>
      <c r="C87" s="91"/>
      <c r="D87" s="91"/>
      <c r="E87" s="92"/>
    </row>
    <row r="88" spans="2:5" ht="13.5" thickBot="1" x14ac:dyDescent="0.25"/>
    <row r="89" spans="2:5" x14ac:dyDescent="0.2">
      <c r="B89" s="80" t="s">
        <v>173</v>
      </c>
      <c r="C89" s="81"/>
      <c r="D89" s="81"/>
      <c r="E89" s="82"/>
    </row>
    <row r="90" spans="2:5" x14ac:dyDescent="0.2">
      <c r="B90" s="83"/>
      <c r="C90" s="84"/>
      <c r="D90" s="84"/>
      <c r="E90" s="85"/>
    </row>
    <row r="91" spans="2:5" x14ac:dyDescent="0.2">
      <c r="B91" s="86" t="s">
        <v>156</v>
      </c>
      <c r="C91" s="84"/>
      <c r="D91" s="84"/>
      <c r="E91" s="85"/>
    </row>
    <row r="92" spans="2:5" ht="32.25" customHeight="1" x14ac:dyDescent="0.2">
      <c r="B92" s="86"/>
      <c r="C92" s="94" t="s">
        <v>163</v>
      </c>
      <c r="D92" s="94"/>
      <c r="E92" s="94"/>
    </row>
    <row r="93" spans="2:5" x14ac:dyDescent="0.2">
      <c r="B93" s="86" t="s">
        <v>158</v>
      </c>
      <c r="C93" s="84"/>
      <c r="D93" s="84"/>
      <c r="E93" s="85"/>
    </row>
    <row r="94" spans="2:5" x14ac:dyDescent="0.2">
      <c r="B94" s="87"/>
      <c r="C94" s="93"/>
      <c r="D94" s="93"/>
      <c r="E94" s="93"/>
    </row>
    <row r="95" spans="2:5" x14ac:dyDescent="0.2">
      <c r="B95" s="87"/>
      <c r="C95" s="93"/>
      <c r="D95" s="93"/>
      <c r="E95" s="93"/>
    </row>
    <row r="96" spans="2:5" x14ac:dyDescent="0.2">
      <c r="B96" s="86" t="s">
        <v>159</v>
      </c>
      <c r="C96" s="84"/>
      <c r="D96" s="84"/>
      <c r="E96" s="85"/>
    </row>
    <row r="97" spans="2:5" x14ac:dyDescent="0.2">
      <c r="B97" s="87"/>
      <c r="C97" s="94"/>
      <c r="D97" s="94"/>
      <c r="E97" s="94"/>
    </row>
    <row r="98" spans="2:5" x14ac:dyDescent="0.2">
      <c r="B98" s="86" t="s">
        <v>160</v>
      </c>
      <c r="C98" s="88"/>
      <c r="D98" s="88"/>
      <c r="E98" s="89"/>
    </row>
    <row r="99" spans="2:5" x14ac:dyDescent="0.2">
      <c r="B99" s="87"/>
      <c r="C99" s="94"/>
      <c r="D99" s="94"/>
      <c r="E99" s="94"/>
    </row>
    <row r="100" spans="2:5" x14ac:dyDescent="0.2">
      <c r="B100" s="86" t="s">
        <v>161</v>
      </c>
      <c r="C100" s="84"/>
      <c r="D100" s="84"/>
      <c r="E100" s="85"/>
    </row>
    <row r="101" spans="2:5" x14ac:dyDescent="0.2">
      <c r="B101" s="86"/>
      <c r="C101" s="93"/>
      <c r="D101" s="93"/>
      <c r="E101" s="93"/>
    </row>
    <row r="102" spans="2:5" ht="13.5" thickBot="1" x14ac:dyDescent="0.25">
      <c r="B102" s="90"/>
      <c r="C102" s="91"/>
      <c r="D102" s="91"/>
      <c r="E102" s="92"/>
    </row>
    <row r="103" spans="2:5" ht="13.5" thickBot="1" x14ac:dyDescent="0.25"/>
    <row r="104" spans="2:5" x14ac:dyDescent="0.2">
      <c r="B104" s="80" t="s">
        <v>174</v>
      </c>
      <c r="C104" s="81"/>
      <c r="D104" s="81"/>
      <c r="E104" s="82"/>
    </row>
    <row r="105" spans="2:5" x14ac:dyDescent="0.2">
      <c r="B105" s="83"/>
      <c r="C105" s="84"/>
      <c r="D105" s="84"/>
      <c r="E105" s="85"/>
    </row>
    <row r="106" spans="2:5" x14ac:dyDescent="0.2">
      <c r="B106" s="86" t="s">
        <v>156</v>
      </c>
      <c r="C106" s="84"/>
      <c r="D106" s="84"/>
      <c r="E106" s="85"/>
    </row>
    <row r="107" spans="2:5" ht="33" customHeight="1" x14ac:dyDescent="0.2">
      <c r="B107" s="86"/>
      <c r="C107" s="95" t="s">
        <v>164</v>
      </c>
      <c r="D107" s="95"/>
      <c r="E107" s="94"/>
    </row>
    <row r="108" spans="2:5" x14ac:dyDescent="0.2">
      <c r="B108" s="86" t="s">
        <v>158</v>
      </c>
      <c r="C108" s="84"/>
      <c r="D108" s="84"/>
      <c r="E108" s="85"/>
    </row>
    <row r="109" spans="2:5" x14ac:dyDescent="0.2">
      <c r="B109" s="87"/>
      <c r="C109" s="96"/>
      <c r="D109" s="96"/>
      <c r="E109" s="93"/>
    </row>
    <row r="110" spans="2:5" x14ac:dyDescent="0.2">
      <c r="B110" s="87"/>
      <c r="C110" s="96"/>
      <c r="D110" s="96"/>
      <c r="E110" s="93"/>
    </row>
    <row r="111" spans="2:5" x14ac:dyDescent="0.2">
      <c r="B111" s="86" t="s">
        <v>159</v>
      </c>
      <c r="C111" s="84"/>
      <c r="D111" s="84"/>
      <c r="E111" s="85"/>
    </row>
    <row r="112" spans="2:5" x14ac:dyDescent="0.2">
      <c r="B112" s="87"/>
      <c r="C112" s="95"/>
      <c r="D112" s="95"/>
      <c r="E112" s="94"/>
    </row>
    <row r="113" spans="2:5" x14ac:dyDescent="0.2">
      <c r="B113" s="86" t="s">
        <v>160</v>
      </c>
      <c r="C113" s="88"/>
      <c r="D113" s="88"/>
      <c r="E113" s="89"/>
    </row>
    <row r="114" spans="2:5" x14ac:dyDescent="0.2">
      <c r="B114" s="87"/>
      <c r="C114" s="95"/>
      <c r="D114" s="95"/>
      <c r="E114" s="94"/>
    </row>
    <row r="115" spans="2:5" x14ac:dyDescent="0.2">
      <c r="B115" s="86" t="s">
        <v>161</v>
      </c>
      <c r="C115" s="84"/>
      <c r="D115" s="84"/>
      <c r="E115" s="85"/>
    </row>
    <row r="116" spans="2:5" x14ac:dyDescent="0.2">
      <c r="B116" s="86"/>
      <c r="C116" s="96"/>
      <c r="D116" s="96"/>
      <c r="E116" s="93"/>
    </row>
    <row r="117" spans="2:5" ht="13.5" thickBot="1" x14ac:dyDescent="0.25">
      <c r="B117" s="90"/>
      <c r="C117" s="91"/>
      <c r="D117" s="91"/>
      <c r="E117" s="92"/>
    </row>
    <row r="118" spans="2:5" ht="13.5" thickBot="1" x14ac:dyDescent="0.25"/>
    <row r="119" spans="2:5" x14ac:dyDescent="0.2">
      <c r="B119" s="80" t="s">
        <v>175</v>
      </c>
      <c r="C119" s="81"/>
      <c r="D119" s="81"/>
      <c r="E119" s="82"/>
    </row>
    <row r="120" spans="2:5" x14ac:dyDescent="0.2">
      <c r="B120" s="83"/>
      <c r="C120" s="84"/>
      <c r="D120" s="84"/>
      <c r="E120" s="85"/>
    </row>
    <row r="121" spans="2:5" x14ac:dyDescent="0.2">
      <c r="B121" s="86" t="s">
        <v>156</v>
      </c>
      <c r="C121" s="84"/>
      <c r="D121" s="84"/>
      <c r="E121" s="85"/>
    </row>
    <row r="122" spans="2:5" ht="35.25" customHeight="1" x14ac:dyDescent="0.2">
      <c r="B122" s="86"/>
      <c r="C122" s="95" t="s">
        <v>165</v>
      </c>
      <c r="D122" s="95"/>
      <c r="E122" s="94"/>
    </row>
    <row r="123" spans="2:5" x14ac:dyDescent="0.2">
      <c r="B123" s="86" t="s">
        <v>158</v>
      </c>
      <c r="C123" s="84"/>
      <c r="D123" s="84"/>
      <c r="E123" s="85"/>
    </row>
    <row r="124" spans="2:5" x14ac:dyDescent="0.2">
      <c r="B124" s="87"/>
      <c r="C124" s="96"/>
      <c r="D124" s="96"/>
      <c r="E124" s="93"/>
    </row>
    <row r="125" spans="2:5" x14ac:dyDescent="0.2">
      <c r="B125" s="87"/>
      <c r="C125" s="96"/>
      <c r="D125" s="96"/>
      <c r="E125" s="93"/>
    </row>
    <row r="126" spans="2:5" x14ac:dyDescent="0.2">
      <c r="B126" s="86" t="s">
        <v>159</v>
      </c>
      <c r="C126" s="84"/>
      <c r="D126" s="84"/>
      <c r="E126" s="85"/>
    </row>
    <row r="127" spans="2:5" x14ac:dyDescent="0.2">
      <c r="B127" s="87"/>
      <c r="C127" s="95"/>
      <c r="D127" s="95"/>
      <c r="E127" s="94"/>
    </row>
    <row r="128" spans="2:5" x14ac:dyDescent="0.2">
      <c r="B128" s="86" t="s">
        <v>160</v>
      </c>
      <c r="C128" s="88"/>
      <c r="D128" s="88"/>
      <c r="E128" s="89"/>
    </row>
    <row r="129" spans="2:5" x14ac:dyDescent="0.2">
      <c r="B129" s="87"/>
      <c r="C129" s="95"/>
      <c r="D129" s="95"/>
      <c r="E129" s="94"/>
    </row>
    <row r="130" spans="2:5" x14ac:dyDescent="0.2">
      <c r="B130" s="86" t="s">
        <v>161</v>
      </c>
      <c r="C130" s="84"/>
      <c r="D130" s="84"/>
      <c r="E130" s="85"/>
    </row>
    <row r="131" spans="2:5" x14ac:dyDescent="0.2">
      <c r="B131" s="86"/>
      <c r="C131" s="96"/>
      <c r="D131" s="96"/>
      <c r="E131" s="93"/>
    </row>
    <row r="132" spans="2:5" ht="13.5" thickBot="1" x14ac:dyDescent="0.25">
      <c r="B132" s="90"/>
      <c r="C132" s="91"/>
      <c r="D132" s="91"/>
      <c r="E132" s="92"/>
    </row>
    <row r="133" spans="2:5" ht="13.5" thickBot="1" x14ac:dyDescent="0.25"/>
    <row r="134" spans="2:5" x14ac:dyDescent="0.2">
      <c r="B134" s="80" t="s">
        <v>176</v>
      </c>
      <c r="C134" s="81"/>
      <c r="D134" s="81"/>
      <c r="E134" s="82"/>
    </row>
    <row r="135" spans="2:5" x14ac:dyDescent="0.2">
      <c r="B135" s="83"/>
      <c r="C135" s="84"/>
      <c r="D135" s="84"/>
      <c r="E135" s="85"/>
    </row>
    <row r="136" spans="2:5" x14ac:dyDescent="0.2">
      <c r="B136" s="86" t="s">
        <v>156</v>
      </c>
      <c r="C136" s="84"/>
      <c r="D136" s="84"/>
      <c r="E136" s="85"/>
    </row>
    <row r="137" spans="2:5" ht="34.5" customHeight="1" x14ac:dyDescent="0.2">
      <c r="B137" s="86"/>
      <c r="C137" s="95" t="s">
        <v>177</v>
      </c>
      <c r="D137" s="95"/>
      <c r="E137" s="94"/>
    </row>
    <row r="138" spans="2:5" x14ac:dyDescent="0.2">
      <c r="B138" s="86" t="s">
        <v>158</v>
      </c>
      <c r="C138" s="84"/>
      <c r="D138" s="84"/>
      <c r="E138" s="85"/>
    </row>
    <row r="139" spans="2:5" x14ac:dyDescent="0.2">
      <c r="B139" s="87"/>
      <c r="C139" s="96"/>
      <c r="D139" s="96"/>
      <c r="E139" s="93"/>
    </row>
    <row r="140" spans="2:5" x14ac:dyDescent="0.2">
      <c r="B140" s="87"/>
      <c r="C140" s="96"/>
      <c r="D140" s="96"/>
      <c r="E140" s="93"/>
    </row>
    <row r="141" spans="2:5" x14ac:dyDescent="0.2">
      <c r="B141" s="86" t="s">
        <v>159</v>
      </c>
      <c r="C141" s="84"/>
      <c r="D141" s="84"/>
      <c r="E141" s="85"/>
    </row>
    <row r="142" spans="2:5" x14ac:dyDescent="0.2">
      <c r="B142" s="87"/>
      <c r="C142" s="95"/>
      <c r="D142" s="95"/>
      <c r="E142" s="94"/>
    </row>
    <row r="143" spans="2:5" x14ac:dyDescent="0.2">
      <c r="B143" s="86" t="s">
        <v>160</v>
      </c>
      <c r="C143" s="88"/>
      <c r="D143" s="88"/>
      <c r="E143" s="89"/>
    </row>
    <row r="144" spans="2:5" x14ac:dyDescent="0.2">
      <c r="B144" s="87"/>
      <c r="C144" s="95"/>
      <c r="D144" s="95"/>
      <c r="E144" s="94"/>
    </row>
    <row r="145" spans="2:5" x14ac:dyDescent="0.2">
      <c r="B145" s="86" t="s">
        <v>161</v>
      </c>
      <c r="C145" s="84"/>
      <c r="D145" s="84"/>
      <c r="E145" s="85"/>
    </row>
    <row r="146" spans="2:5" x14ac:dyDescent="0.2">
      <c r="B146" s="86"/>
      <c r="C146" s="96"/>
      <c r="D146" s="96"/>
      <c r="E146" s="93"/>
    </row>
    <row r="147" spans="2:5" ht="13.5" thickBot="1" x14ac:dyDescent="0.25">
      <c r="B147" s="90"/>
      <c r="C147" s="91"/>
      <c r="D147" s="91"/>
      <c r="E147" s="92"/>
    </row>
    <row r="148" spans="2:5" ht="13.5" thickBot="1" x14ac:dyDescent="0.25"/>
    <row r="149" spans="2:5" x14ac:dyDescent="0.2">
      <c r="B149" s="80" t="s">
        <v>178</v>
      </c>
      <c r="C149" s="81"/>
      <c r="D149" s="81"/>
      <c r="E149" s="82"/>
    </row>
    <row r="150" spans="2:5" x14ac:dyDescent="0.2">
      <c r="B150" s="83"/>
      <c r="C150" s="84"/>
      <c r="D150" s="84"/>
      <c r="E150" s="85"/>
    </row>
    <row r="151" spans="2:5" x14ac:dyDescent="0.2">
      <c r="B151" s="86" t="s">
        <v>156</v>
      </c>
      <c r="C151" s="84"/>
      <c r="D151" s="84"/>
      <c r="E151" s="85"/>
    </row>
    <row r="152" spans="2:5" ht="33" customHeight="1" x14ac:dyDescent="0.2">
      <c r="B152" s="86"/>
      <c r="C152" s="95" t="s">
        <v>166</v>
      </c>
      <c r="D152" s="95"/>
      <c r="E152" s="94"/>
    </row>
    <row r="153" spans="2:5" x14ac:dyDescent="0.2">
      <c r="B153" s="86" t="s">
        <v>158</v>
      </c>
      <c r="C153" s="84"/>
      <c r="D153" s="84"/>
      <c r="E153" s="85"/>
    </row>
    <row r="154" spans="2:5" x14ac:dyDescent="0.2">
      <c r="B154" s="87"/>
      <c r="C154" s="96"/>
      <c r="D154" s="96"/>
      <c r="E154" s="93"/>
    </row>
    <row r="155" spans="2:5" x14ac:dyDescent="0.2">
      <c r="B155" s="87"/>
      <c r="C155" s="96"/>
      <c r="D155" s="96"/>
      <c r="E155" s="93"/>
    </row>
    <row r="156" spans="2:5" x14ac:dyDescent="0.2">
      <c r="B156" s="86" t="s">
        <v>159</v>
      </c>
      <c r="C156" s="84"/>
      <c r="D156" s="84"/>
      <c r="E156" s="85"/>
    </row>
    <row r="157" spans="2:5" x14ac:dyDescent="0.2">
      <c r="B157" s="87"/>
      <c r="C157" s="95"/>
      <c r="D157" s="95"/>
      <c r="E157" s="94"/>
    </row>
    <row r="158" spans="2:5" x14ac:dyDescent="0.2">
      <c r="B158" s="86" t="s">
        <v>160</v>
      </c>
      <c r="C158" s="88"/>
      <c r="D158" s="88"/>
      <c r="E158" s="89"/>
    </row>
    <row r="159" spans="2:5" x14ac:dyDescent="0.2">
      <c r="B159" s="87"/>
      <c r="C159" s="95"/>
      <c r="D159" s="95"/>
      <c r="E159" s="94"/>
    </row>
    <row r="160" spans="2:5" x14ac:dyDescent="0.2">
      <c r="B160" s="86" t="s">
        <v>161</v>
      </c>
      <c r="C160" s="84"/>
      <c r="D160" s="84"/>
      <c r="E160" s="85"/>
    </row>
    <row r="161" spans="2:5" x14ac:dyDescent="0.2">
      <c r="B161" s="86"/>
      <c r="C161" s="96"/>
      <c r="D161" s="96"/>
      <c r="E161" s="93"/>
    </row>
    <row r="162" spans="2:5" ht="13.5" thickBot="1" x14ac:dyDescent="0.25">
      <c r="B162" s="90"/>
      <c r="C162" s="91"/>
      <c r="D162" s="91"/>
      <c r="E162" s="92"/>
    </row>
    <row r="163" spans="2:5" ht="13.5" thickBot="1" x14ac:dyDescent="0.25"/>
    <row r="164" spans="2:5" x14ac:dyDescent="0.2">
      <c r="B164" s="80" t="s">
        <v>179</v>
      </c>
      <c r="C164" s="81"/>
      <c r="D164" s="81"/>
      <c r="E164" s="82"/>
    </row>
    <row r="165" spans="2:5" x14ac:dyDescent="0.2">
      <c r="B165" s="83"/>
      <c r="C165" s="84"/>
      <c r="D165" s="84"/>
      <c r="E165" s="85"/>
    </row>
    <row r="166" spans="2:5" x14ac:dyDescent="0.2">
      <c r="B166" s="86" t="s">
        <v>156</v>
      </c>
      <c r="C166" s="84"/>
      <c r="D166" s="84"/>
      <c r="E166" s="85"/>
    </row>
    <row r="167" spans="2:5" ht="33" customHeight="1" x14ac:dyDescent="0.2">
      <c r="B167" s="86"/>
      <c r="C167" s="94" t="s">
        <v>167</v>
      </c>
      <c r="D167" s="94"/>
      <c r="E167" s="94"/>
    </row>
    <row r="168" spans="2:5" x14ac:dyDescent="0.2">
      <c r="B168" s="86" t="s">
        <v>158</v>
      </c>
      <c r="C168" s="84"/>
      <c r="D168" s="84"/>
      <c r="E168" s="85"/>
    </row>
    <row r="169" spans="2:5" x14ac:dyDescent="0.2">
      <c r="B169" s="87"/>
      <c r="C169" s="93"/>
      <c r="D169" s="93"/>
      <c r="E169" s="93"/>
    </row>
    <row r="170" spans="2:5" x14ac:dyDescent="0.2">
      <c r="B170" s="87"/>
      <c r="C170" s="93"/>
      <c r="D170" s="93"/>
      <c r="E170" s="93"/>
    </row>
    <row r="171" spans="2:5" x14ac:dyDescent="0.2">
      <c r="B171" s="86" t="s">
        <v>159</v>
      </c>
      <c r="C171" s="84"/>
      <c r="D171" s="84"/>
      <c r="E171" s="85"/>
    </row>
    <row r="172" spans="2:5" x14ac:dyDescent="0.2">
      <c r="B172" s="87"/>
      <c r="C172" s="94"/>
      <c r="D172" s="94"/>
      <c r="E172" s="94"/>
    </row>
    <row r="173" spans="2:5" x14ac:dyDescent="0.2">
      <c r="B173" s="86" t="s">
        <v>160</v>
      </c>
      <c r="C173" s="88"/>
      <c r="D173" s="88"/>
      <c r="E173" s="89"/>
    </row>
    <row r="174" spans="2:5" x14ac:dyDescent="0.2">
      <c r="B174" s="87"/>
      <c r="C174" s="94"/>
      <c r="D174" s="94"/>
      <c r="E174" s="94"/>
    </row>
    <row r="175" spans="2:5" x14ac:dyDescent="0.2">
      <c r="B175" s="86" t="s">
        <v>161</v>
      </c>
      <c r="C175" s="84"/>
      <c r="D175" s="84"/>
      <c r="E175" s="85"/>
    </row>
    <row r="176" spans="2:5" x14ac:dyDescent="0.2">
      <c r="B176" s="86"/>
      <c r="C176" s="93"/>
      <c r="D176" s="93"/>
      <c r="E176" s="93"/>
    </row>
    <row r="177" spans="2:5" ht="13.5" thickBot="1" x14ac:dyDescent="0.25">
      <c r="B177" s="90"/>
      <c r="C177" s="91"/>
      <c r="D177" s="91"/>
      <c r="E177" s="92"/>
    </row>
    <row r="178" spans="2:5" ht="13.5" thickBot="1" x14ac:dyDescent="0.25"/>
    <row r="179" spans="2:5" x14ac:dyDescent="0.2">
      <c r="B179" s="80" t="s">
        <v>180</v>
      </c>
      <c r="C179" s="81"/>
      <c r="D179" s="81"/>
      <c r="E179" s="82"/>
    </row>
    <row r="180" spans="2:5" x14ac:dyDescent="0.2">
      <c r="B180" s="83"/>
      <c r="C180" s="84"/>
      <c r="D180" s="84"/>
      <c r="E180" s="85"/>
    </row>
    <row r="181" spans="2:5" x14ac:dyDescent="0.2">
      <c r="B181" s="86" t="s">
        <v>156</v>
      </c>
      <c r="C181" s="84"/>
      <c r="D181" s="84"/>
      <c r="E181" s="85"/>
    </row>
    <row r="182" spans="2:5" ht="32.25" customHeight="1" x14ac:dyDescent="0.2">
      <c r="B182" s="86"/>
      <c r="C182" s="95" t="s">
        <v>168</v>
      </c>
      <c r="D182" s="95"/>
      <c r="E182" s="94"/>
    </row>
    <row r="183" spans="2:5" x14ac:dyDescent="0.2">
      <c r="B183" s="86" t="s">
        <v>158</v>
      </c>
      <c r="C183" s="84"/>
      <c r="D183" s="84"/>
      <c r="E183" s="85"/>
    </row>
    <row r="184" spans="2:5" x14ac:dyDescent="0.2">
      <c r="B184" s="87"/>
      <c r="C184" s="96"/>
      <c r="D184" s="96"/>
      <c r="E184" s="93"/>
    </row>
    <row r="185" spans="2:5" x14ac:dyDescent="0.2">
      <c r="B185" s="87"/>
      <c r="C185" s="96"/>
      <c r="D185" s="96"/>
      <c r="E185" s="93"/>
    </row>
    <row r="186" spans="2:5" x14ac:dyDescent="0.2">
      <c r="B186" s="86" t="s">
        <v>159</v>
      </c>
      <c r="C186" s="84"/>
      <c r="D186" s="84"/>
      <c r="E186" s="85"/>
    </row>
    <row r="187" spans="2:5" x14ac:dyDescent="0.2">
      <c r="B187" s="87"/>
      <c r="C187" s="95"/>
      <c r="D187" s="95"/>
      <c r="E187" s="94"/>
    </row>
    <row r="188" spans="2:5" x14ac:dyDescent="0.2">
      <c r="B188" s="86" t="s">
        <v>160</v>
      </c>
      <c r="C188" s="88"/>
      <c r="D188" s="88"/>
      <c r="E188" s="89"/>
    </row>
    <row r="189" spans="2:5" x14ac:dyDescent="0.2">
      <c r="B189" s="87"/>
      <c r="C189" s="95"/>
      <c r="D189" s="95"/>
      <c r="E189" s="94"/>
    </row>
    <row r="190" spans="2:5" x14ac:dyDescent="0.2">
      <c r="B190" s="86" t="s">
        <v>161</v>
      </c>
      <c r="C190" s="84"/>
      <c r="D190" s="84"/>
      <c r="E190" s="85"/>
    </row>
    <row r="191" spans="2:5" x14ac:dyDescent="0.2">
      <c r="B191" s="86"/>
      <c r="C191" s="96"/>
      <c r="D191" s="96"/>
      <c r="E191" s="93"/>
    </row>
    <row r="192" spans="2:5" ht="13.5" thickBot="1" x14ac:dyDescent="0.25">
      <c r="B192" s="90"/>
      <c r="C192" s="91"/>
      <c r="D192" s="91"/>
      <c r="E192" s="92"/>
    </row>
    <row r="193" spans="2:5" ht="13.5" thickBot="1" x14ac:dyDescent="0.25"/>
    <row r="194" spans="2:5" x14ac:dyDescent="0.2">
      <c r="B194" s="80" t="s">
        <v>181</v>
      </c>
      <c r="C194" s="81"/>
      <c r="D194" s="81"/>
      <c r="E194" s="82"/>
    </row>
    <row r="195" spans="2:5" x14ac:dyDescent="0.2">
      <c r="B195" s="83"/>
      <c r="C195" s="84"/>
      <c r="D195" s="84"/>
      <c r="E195" s="85"/>
    </row>
    <row r="196" spans="2:5" x14ac:dyDescent="0.2">
      <c r="B196" s="86" t="s">
        <v>156</v>
      </c>
      <c r="C196" s="84"/>
      <c r="D196" s="84"/>
      <c r="E196" s="85"/>
    </row>
    <row r="197" spans="2:5" ht="37.5" customHeight="1" x14ac:dyDescent="0.2">
      <c r="B197" s="86"/>
      <c r="C197" s="95" t="s">
        <v>169</v>
      </c>
      <c r="D197" s="95"/>
      <c r="E197" s="94"/>
    </row>
    <row r="198" spans="2:5" x14ac:dyDescent="0.2">
      <c r="B198" s="86" t="s">
        <v>158</v>
      </c>
      <c r="C198" s="84"/>
      <c r="D198" s="84"/>
      <c r="E198" s="85"/>
    </row>
    <row r="199" spans="2:5" x14ac:dyDescent="0.2">
      <c r="B199" s="87"/>
      <c r="C199" s="96"/>
      <c r="D199" s="96"/>
      <c r="E199" s="93"/>
    </row>
    <row r="200" spans="2:5" x14ac:dyDescent="0.2">
      <c r="B200" s="87"/>
      <c r="C200" s="96"/>
      <c r="D200" s="96"/>
      <c r="E200" s="93"/>
    </row>
    <row r="201" spans="2:5" x14ac:dyDescent="0.2">
      <c r="B201" s="86" t="s">
        <v>159</v>
      </c>
      <c r="C201" s="84"/>
      <c r="D201" s="84"/>
      <c r="E201" s="85"/>
    </row>
    <row r="202" spans="2:5" x14ac:dyDescent="0.2">
      <c r="B202" s="87"/>
      <c r="C202" s="95"/>
      <c r="D202" s="95"/>
      <c r="E202" s="94"/>
    </row>
    <row r="203" spans="2:5" x14ac:dyDescent="0.2">
      <c r="B203" s="86" t="s">
        <v>160</v>
      </c>
      <c r="C203" s="88"/>
      <c r="D203" s="88"/>
      <c r="E203" s="89"/>
    </row>
    <row r="204" spans="2:5" x14ac:dyDescent="0.2">
      <c r="B204" s="87"/>
      <c r="C204" s="95"/>
      <c r="D204" s="95"/>
      <c r="E204" s="94"/>
    </row>
    <row r="205" spans="2:5" x14ac:dyDescent="0.2">
      <c r="B205" s="86" t="s">
        <v>161</v>
      </c>
      <c r="C205" s="84"/>
      <c r="D205" s="84"/>
      <c r="E205" s="85"/>
    </row>
    <row r="206" spans="2:5" x14ac:dyDescent="0.2">
      <c r="B206" s="86"/>
      <c r="C206" s="96"/>
      <c r="D206" s="96"/>
      <c r="E206" s="93"/>
    </row>
    <row r="207" spans="2:5" ht="13.5" thickBot="1" x14ac:dyDescent="0.25">
      <c r="B207" s="90"/>
      <c r="C207" s="91"/>
      <c r="D207" s="91"/>
      <c r="E207" s="92"/>
    </row>
    <row r="208" spans="2:5" ht="13.5" thickBot="1" x14ac:dyDescent="0.25"/>
    <row r="209" spans="2:5" x14ac:dyDescent="0.2">
      <c r="B209" s="80" t="s">
        <v>182</v>
      </c>
      <c r="C209" s="81"/>
      <c r="D209" s="81"/>
      <c r="E209" s="82"/>
    </row>
    <row r="210" spans="2:5" x14ac:dyDescent="0.2">
      <c r="B210" s="83"/>
      <c r="C210" s="84"/>
      <c r="D210" s="84"/>
      <c r="E210" s="85"/>
    </row>
    <row r="211" spans="2:5" x14ac:dyDescent="0.2">
      <c r="B211" s="86" t="s">
        <v>156</v>
      </c>
      <c r="C211" s="84"/>
      <c r="D211" s="84"/>
      <c r="E211" s="85"/>
    </row>
    <row r="212" spans="2:5" ht="33" customHeight="1" x14ac:dyDescent="0.2">
      <c r="B212" s="86"/>
      <c r="C212" s="94" t="s">
        <v>170</v>
      </c>
      <c r="D212" s="94"/>
      <c r="E212" s="94"/>
    </row>
    <row r="213" spans="2:5" x14ac:dyDescent="0.2">
      <c r="B213" s="86" t="s">
        <v>158</v>
      </c>
      <c r="C213" s="84"/>
      <c r="D213" s="84"/>
      <c r="E213" s="85"/>
    </row>
    <row r="214" spans="2:5" x14ac:dyDescent="0.2">
      <c r="B214" s="87"/>
      <c r="C214" s="93"/>
      <c r="D214" s="93"/>
      <c r="E214" s="93"/>
    </row>
    <row r="215" spans="2:5" x14ac:dyDescent="0.2">
      <c r="B215" s="87"/>
      <c r="C215" s="93"/>
      <c r="D215" s="93"/>
      <c r="E215" s="93"/>
    </row>
    <row r="216" spans="2:5" x14ac:dyDescent="0.2">
      <c r="B216" s="86" t="s">
        <v>159</v>
      </c>
      <c r="C216" s="84"/>
      <c r="D216" s="84"/>
      <c r="E216" s="85"/>
    </row>
    <row r="217" spans="2:5" x14ac:dyDescent="0.2">
      <c r="B217" s="87"/>
      <c r="C217" s="94"/>
      <c r="D217" s="94"/>
      <c r="E217" s="94"/>
    </row>
    <row r="218" spans="2:5" x14ac:dyDescent="0.2">
      <c r="B218" s="86" t="s">
        <v>160</v>
      </c>
      <c r="C218" s="88"/>
      <c r="D218" s="88"/>
      <c r="E218" s="89"/>
    </row>
    <row r="219" spans="2:5" x14ac:dyDescent="0.2">
      <c r="B219" s="87"/>
      <c r="C219" s="94"/>
      <c r="D219" s="94"/>
      <c r="E219" s="94"/>
    </row>
    <row r="220" spans="2:5" x14ac:dyDescent="0.2">
      <c r="B220" s="86" t="s">
        <v>161</v>
      </c>
      <c r="C220" s="84"/>
      <c r="D220" s="84"/>
      <c r="E220" s="85"/>
    </row>
    <row r="221" spans="2:5" x14ac:dyDescent="0.2">
      <c r="B221" s="86"/>
      <c r="C221" s="93"/>
      <c r="D221" s="93"/>
      <c r="E221" s="93"/>
    </row>
    <row r="222" spans="2:5" ht="13.5" thickBot="1" x14ac:dyDescent="0.25">
      <c r="B222" s="90"/>
      <c r="C222" s="91"/>
      <c r="D222" s="91"/>
      <c r="E222" s="92"/>
    </row>
  </sheetData>
  <mergeCells count="75">
    <mergeCell ref="B55:E55"/>
    <mergeCell ref="B56:E56"/>
    <mergeCell ref="A6:B6"/>
    <mergeCell ref="A7:B7"/>
    <mergeCell ref="B2:H2"/>
    <mergeCell ref="A4:B4"/>
    <mergeCell ref="C4:E4"/>
    <mergeCell ref="A5:B5"/>
    <mergeCell ref="C5:E5"/>
    <mergeCell ref="C79:E79"/>
    <mergeCell ref="C77:E77"/>
    <mergeCell ref="C71:E71"/>
    <mergeCell ref="C62:E62"/>
    <mergeCell ref="C64:E64"/>
    <mergeCell ref="C65:E65"/>
    <mergeCell ref="C67:E67"/>
    <mergeCell ref="C69:E69"/>
    <mergeCell ref="C92:E92"/>
    <mergeCell ref="C94:E94"/>
    <mergeCell ref="C84:E84"/>
    <mergeCell ref="C86:E86"/>
    <mergeCell ref="C80:E80"/>
    <mergeCell ref="C95:E95"/>
    <mergeCell ref="C97:E97"/>
    <mergeCell ref="C99:E99"/>
    <mergeCell ref="C101:E101"/>
    <mergeCell ref="C107:E107"/>
    <mergeCell ref="C109:E109"/>
    <mergeCell ref="C110:E110"/>
    <mergeCell ref="C112:E112"/>
    <mergeCell ref="C114:E114"/>
    <mergeCell ref="C116:E116"/>
    <mergeCell ref="C137:E137"/>
    <mergeCell ref="C139:E139"/>
    <mergeCell ref="C129:E129"/>
    <mergeCell ref="C131:E131"/>
    <mergeCell ref="C122:E122"/>
    <mergeCell ref="C124:E124"/>
    <mergeCell ref="C125:E125"/>
    <mergeCell ref="C127:E127"/>
    <mergeCell ref="C140:E140"/>
    <mergeCell ref="C142:E142"/>
    <mergeCell ref="C144:E144"/>
    <mergeCell ref="C146:E146"/>
    <mergeCell ref="C152:E152"/>
    <mergeCell ref="C154:E154"/>
    <mergeCell ref="C155:E155"/>
    <mergeCell ref="C157:E157"/>
    <mergeCell ref="C159:E159"/>
    <mergeCell ref="C161:E161"/>
    <mergeCell ref="C182:E182"/>
    <mergeCell ref="C184:E184"/>
    <mergeCell ref="C185:E185"/>
    <mergeCell ref="C187:E187"/>
    <mergeCell ref="C167:E167"/>
    <mergeCell ref="C169:E169"/>
    <mergeCell ref="C170:E170"/>
    <mergeCell ref="C172:E172"/>
    <mergeCell ref="C174:E174"/>
    <mergeCell ref="C215:E215"/>
    <mergeCell ref="C217:E217"/>
    <mergeCell ref="C219:E219"/>
    <mergeCell ref="C221:E221"/>
    <mergeCell ref="C82:E82"/>
    <mergeCell ref="C202:E202"/>
    <mergeCell ref="C204:E204"/>
    <mergeCell ref="C206:E206"/>
    <mergeCell ref="C212:E212"/>
    <mergeCell ref="C214:E214"/>
    <mergeCell ref="C189:E189"/>
    <mergeCell ref="C191:E191"/>
    <mergeCell ref="C197:E197"/>
    <mergeCell ref="C199:E199"/>
    <mergeCell ref="C200:E200"/>
    <mergeCell ref="C176:E176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56"/>
  <sheetViews>
    <sheetView zoomScale="70" zoomScaleNormal="70" workbookViewId="0">
      <selection activeCell="D4" sqref="D4:K4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3" t="s">
        <v>14</v>
      </c>
      <c r="B1" s="113"/>
      <c r="C1" s="113"/>
      <c r="D1" s="113"/>
      <c r="E1" s="113"/>
      <c r="F1" s="113"/>
      <c r="G1" s="113"/>
      <c r="H1" s="113"/>
      <c r="I1" s="113"/>
      <c r="J1" s="3" t="s">
        <v>15</v>
      </c>
      <c r="K1" s="52" t="s">
        <v>142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14" t="s">
        <v>48</v>
      </c>
      <c r="B3" s="114"/>
      <c r="C3" s="114"/>
      <c r="D3" s="115" t="str">
        <f>'Necesidades Trimestrales'!C4</f>
        <v>40 - Ministerio de Salud</v>
      </c>
      <c r="E3" s="115"/>
      <c r="F3" s="115"/>
      <c r="G3" s="115"/>
      <c r="H3" s="115"/>
      <c r="I3" s="115"/>
      <c r="J3" s="115"/>
      <c r="K3" s="115"/>
    </row>
    <row r="4" spans="1:11" ht="18.75" customHeight="1" thickBot="1" x14ac:dyDescent="0.25">
      <c r="A4" s="116" t="s">
        <v>49</v>
      </c>
      <c r="B4" s="116"/>
      <c r="C4" s="116"/>
      <c r="D4" s="115" t="str">
        <f>'Necesidades Trimestrales'!C5</f>
        <v>23 - Hospital Interzonal San Juan Bautista</v>
      </c>
      <c r="E4" s="115"/>
      <c r="F4" s="115"/>
      <c r="G4" s="115"/>
      <c r="H4" s="115"/>
      <c r="I4" s="115"/>
      <c r="J4" s="115"/>
      <c r="K4" s="115"/>
    </row>
    <row r="5" spans="1:11" ht="18.75" customHeight="1" thickBot="1" x14ac:dyDescent="0.25">
      <c r="A5" s="116" t="s">
        <v>27</v>
      </c>
      <c r="B5" s="116"/>
      <c r="C5" s="116"/>
      <c r="D5" s="115" t="s">
        <v>54</v>
      </c>
      <c r="E5" s="115"/>
      <c r="F5" s="115"/>
      <c r="G5" s="115"/>
      <c r="H5" s="115"/>
      <c r="I5" s="115"/>
      <c r="J5" s="115"/>
      <c r="K5" s="115"/>
    </row>
    <row r="6" spans="1:11" ht="16.5" customHeight="1" thickBot="1" x14ac:dyDescent="0.25">
      <c r="A6" s="114" t="s">
        <v>50</v>
      </c>
      <c r="B6" s="114"/>
      <c r="C6" s="114"/>
      <c r="D6" s="115" t="s">
        <v>139</v>
      </c>
      <c r="E6" s="115"/>
      <c r="F6" s="115"/>
      <c r="G6" s="115"/>
      <c r="H6" s="115"/>
      <c r="I6" s="115"/>
      <c r="J6" s="115"/>
      <c r="K6" s="115"/>
    </row>
    <row r="7" spans="1:11" ht="16.5" customHeight="1" x14ac:dyDescent="0.2">
      <c r="A7" s="116" t="s">
        <v>16</v>
      </c>
      <c r="B7" s="116"/>
      <c r="C7" s="116"/>
      <c r="D7" s="115" t="str">
        <f>'Necesidades Trimestrales'!C7 &amp; "° Trimestre - Año " &amp; 'Necesidades Trimestrales'!C6</f>
        <v>2° Trimestre - Año 2021</v>
      </c>
      <c r="E7" s="115"/>
      <c r="F7" s="115"/>
      <c r="G7" s="115"/>
      <c r="H7" s="115"/>
      <c r="I7" s="115"/>
      <c r="J7" s="115"/>
      <c r="K7" s="115"/>
    </row>
    <row r="8" spans="1:11" ht="16.5" customHeight="1" x14ac:dyDescent="0.2">
      <c r="A8" s="107" t="s">
        <v>17</v>
      </c>
      <c r="B8" s="107"/>
      <c r="C8" s="107"/>
      <c r="D8" s="108" t="s">
        <v>140</v>
      </c>
      <c r="E8" s="108"/>
      <c r="F8" s="108"/>
      <c r="G8" s="108"/>
      <c r="H8" s="108"/>
      <c r="I8" s="108"/>
      <c r="J8" s="108"/>
      <c r="K8" s="108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09" t="s">
        <v>18</v>
      </c>
      <c r="B10" s="110" t="s">
        <v>19</v>
      </c>
      <c r="C10" s="110" t="s">
        <v>20</v>
      </c>
      <c r="D10" s="110"/>
      <c r="E10" s="110"/>
      <c r="F10" s="110"/>
      <c r="G10" s="110"/>
      <c r="H10" s="110" t="s">
        <v>21</v>
      </c>
      <c r="I10" s="110" t="s">
        <v>22</v>
      </c>
      <c r="J10" s="110" t="s">
        <v>23</v>
      </c>
      <c r="K10" s="111" t="s">
        <v>24</v>
      </c>
    </row>
    <row r="11" spans="1:11" ht="24" customHeight="1" thickBot="1" x14ac:dyDescent="0.25">
      <c r="A11" s="109"/>
      <c r="B11" s="110"/>
      <c r="C11" s="110"/>
      <c r="D11" s="110"/>
      <c r="E11" s="110"/>
      <c r="F11" s="110"/>
      <c r="G11" s="110"/>
      <c r="H11" s="110"/>
      <c r="I11" s="110"/>
      <c r="J11" s="110"/>
      <c r="K11" s="111"/>
    </row>
    <row r="12" spans="1:11" ht="36" customHeight="1" thickBot="1" x14ac:dyDescent="0.25">
      <c r="A12" s="8">
        <v>1</v>
      </c>
      <c r="B12" s="53" t="str">
        <f>'Necesidades Trimestrales'!B10</f>
        <v>2.1.1-438.37</v>
      </c>
      <c r="C12" s="106" t="str">
        <f>'Necesidades Trimestrales'!E10</f>
        <v>ADEREZOS; TIPO: MAYONESA, ENVASE: BOLSA, CONTENIDO: 2,9 Kg, PRESENTACION: ENVASE X 2,9 Kg</v>
      </c>
      <c r="D12" s="106"/>
      <c r="E12" s="106"/>
      <c r="F12" s="106"/>
      <c r="G12" s="106"/>
      <c r="H12" s="54" t="s">
        <v>51</v>
      </c>
      <c r="I12" s="55" t="str">
        <f>'Necesidades Trimestrales'!F10</f>
        <v>UNIDAD</v>
      </c>
      <c r="J12" s="65">
        <f>'Necesidades Trimestrales'!H10</f>
        <v>588</v>
      </c>
      <c r="K12" s="56">
        <f>'Necesidades Trimestrales'!G10</f>
        <v>15</v>
      </c>
    </row>
    <row r="13" spans="1:11" ht="36" customHeight="1" thickBot="1" x14ac:dyDescent="0.25">
      <c r="A13" s="8">
        <v>2</v>
      </c>
      <c r="B13" s="53" t="str">
        <f>'Necesidades Trimestrales'!B11</f>
        <v>2.1.1-621.20</v>
      </c>
      <c r="C13" s="106" t="str">
        <f>'Necesidades Trimestrales'!E11</f>
        <v>AVES; TIPO: POLLO, PRESENTACION: CAJA X 22 Kg, EVISCERADO: SI, ELEM. TRANSPORTE: SIN, MATERIAL ELEM. TRANSPORTE: SIN, LIBRE DE GLUTEN: SIN VALOR</v>
      </c>
      <c r="D13" s="106"/>
      <c r="E13" s="106"/>
      <c r="F13" s="106"/>
      <c r="G13" s="106"/>
      <c r="H13" s="54" t="s">
        <v>51</v>
      </c>
      <c r="I13" s="55" t="str">
        <f>'Necesidades Trimestrales'!F11</f>
        <v>CAJA</v>
      </c>
      <c r="J13" s="65">
        <f>'Necesidades Trimestrales'!H11</f>
        <v>3000</v>
      </c>
      <c r="K13" s="56">
        <f>'Necesidades Trimestrales'!G11</f>
        <v>120</v>
      </c>
    </row>
    <row r="14" spans="1:11" ht="36" customHeight="1" thickBot="1" x14ac:dyDescent="0.25">
      <c r="A14" s="8">
        <v>3</v>
      </c>
      <c r="B14" s="53" t="str">
        <f>'Necesidades Trimestrales'!B12</f>
        <v>2.1.1-483.20</v>
      </c>
      <c r="C14" s="106" t="str">
        <f>'Necesidades Trimestrales'!E12</f>
        <v>HUEVO DE GALLINA; COLOR: COLOR, PRESENTACION: 60, TAMAÑO: MEDIANOS</v>
      </c>
      <c r="D14" s="106"/>
      <c r="E14" s="106"/>
      <c r="F14" s="106"/>
      <c r="G14" s="106"/>
      <c r="H14" s="54" t="s">
        <v>51</v>
      </c>
      <c r="I14" s="55" t="str">
        <f>'Necesidades Trimestrales'!F12</f>
        <v>UNIDAD</v>
      </c>
      <c r="J14" s="65">
        <f>'Necesidades Trimestrales'!H12</f>
        <v>500</v>
      </c>
      <c r="K14" s="56">
        <f>'Necesidades Trimestrales'!G12</f>
        <v>480</v>
      </c>
    </row>
    <row r="15" spans="1:11" ht="36" customHeight="1" thickBot="1" x14ac:dyDescent="0.25">
      <c r="A15" s="8">
        <v>4</v>
      </c>
      <c r="B15" s="53" t="str">
        <f>'Necesidades Trimestrales'!B13</f>
        <v>2.1.1-621.11</v>
      </c>
      <c r="C15" s="106" t="str">
        <f>'Necesidades Trimestrales'!E13</f>
        <v>AVES; ESPECIE: PECHUGA DE POLLO, PRESENTACION: BOLSA X 2 Kg, EVISCERADO: SIN VALOR, TIPO: PECHUGA DE POLLO</v>
      </c>
      <c r="D15" s="106"/>
      <c r="E15" s="106"/>
      <c r="F15" s="106"/>
      <c r="G15" s="106"/>
      <c r="H15" s="54" t="s">
        <v>51</v>
      </c>
      <c r="I15" s="55" t="str">
        <f>'Necesidades Trimestrales'!F13</f>
        <v>UNIDAD</v>
      </c>
      <c r="J15" s="65">
        <f>'Necesidades Trimestrales'!H13</f>
        <v>936</v>
      </c>
      <c r="K15" s="56">
        <f>'Necesidades Trimestrales'!G13</f>
        <v>210</v>
      </c>
    </row>
    <row r="16" spans="1:11" ht="36" customHeight="1" thickBot="1" x14ac:dyDescent="0.25">
      <c r="A16" s="8">
        <v>5</v>
      </c>
      <c r="B16" s="53" t="str">
        <f>'Necesidades Trimestrales'!B14</f>
        <v>2.1.1-590.27</v>
      </c>
      <c r="C16" s="106" t="str">
        <f>'Necesidades Trimestrales'!E14</f>
        <v>PESCADOS Y FRUTOS CONGELADOS; TIPO: FILET DE MERLUZA, ENVASE: POLIESTIRENO, PRESENTACION: ENVASE X 1 Kg, ELEM. TRANSPORTE: SIN, MATERIAL ELEM. TRANSPORTE: SIN</v>
      </c>
      <c r="D16" s="106"/>
      <c r="E16" s="106"/>
      <c r="F16" s="106"/>
      <c r="G16" s="106"/>
      <c r="H16" s="54" t="s">
        <v>51</v>
      </c>
      <c r="I16" s="55" t="str">
        <f>'Necesidades Trimestrales'!F14</f>
        <v>UNIDAD</v>
      </c>
      <c r="J16" s="65">
        <f>'Necesidades Trimestrales'!H14</f>
        <v>468</v>
      </c>
      <c r="K16" s="56">
        <f>'Necesidades Trimestrales'!G14</f>
        <v>300</v>
      </c>
    </row>
    <row r="17" spans="1:11" ht="36" customHeight="1" thickBot="1" x14ac:dyDescent="0.25">
      <c r="A17" s="8">
        <v>6</v>
      </c>
      <c r="B17" s="53" t="str">
        <f>'Necesidades Trimestrales'!B15</f>
        <v>2.1.1-669.27</v>
      </c>
      <c r="C17" s="106" t="str">
        <f>'Necesidades Trimestrales'!E15</f>
        <v>PANES; TIPO: MIÑON, PRESENTACION: GRANEL</v>
      </c>
      <c r="D17" s="106"/>
      <c r="E17" s="106"/>
      <c r="F17" s="106"/>
      <c r="G17" s="106"/>
      <c r="H17" s="54" t="s">
        <v>51</v>
      </c>
      <c r="I17" s="55" t="str">
        <f>'Necesidades Trimestrales'!F15</f>
        <v>KG</v>
      </c>
      <c r="J17" s="65">
        <f>'Necesidades Trimestrales'!H15</f>
        <v>240</v>
      </c>
      <c r="K17" s="56">
        <f>'Necesidades Trimestrales'!G15</f>
        <v>4500</v>
      </c>
    </row>
    <row r="18" spans="1:11" ht="36" customHeight="1" thickBot="1" x14ac:dyDescent="0.25">
      <c r="A18" s="8">
        <v>7</v>
      </c>
      <c r="B18" s="53" t="str">
        <f>'Necesidades Trimestrales'!B16</f>
        <v>2.1.1-669.51</v>
      </c>
      <c r="C18" s="106" t="str">
        <f>'Necesidades Trimestrales'!E16</f>
        <v>PANES; TIPO: FRANCES, PRESENTACION: UNIDAD</v>
      </c>
      <c r="D18" s="106"/>
      <c r="E18" s="106"/>
      <c r="F18" s="106"/>
      <c r="G18" s="106"/>
      <c r="H18" s="54" t="s">
        <v>51</v>
      </c>
      <c r="I18" s="55" t="str">
        <f>'Necesidades Trimestrales'!F16</f>
        <v>UNIDAD</v>
      </c>
      <c r="J18" s="65">
        <f>'Necesidades Trimestrales'!H16</f>
        <v>28</v>
      </c>
      <c r="K18" s="56">
        <f>'Necesidades Trimestrales'!G16</f>
        <v>4500</v>
      </c>
    </row>
    <row r="19" spans="1:11" ht="36" customHeight="1" thickBot="1" x14ac:dyDescent="0.25">
      <c r="A19" s="8">
        <v>8</v>
      </c>
      <c r="B19" s="53" t="str">
        <f>'Necesidades Trimestrales'!B17</f>
        <v>2.1.1-669.1</v>
      </c>
      <c r="C19" s="106" t="str">
        <f>'Necesidades Trimestrales'!E17</f>
        <v>PANES; PRESENTACION: GRANEL, TIPO: SALVADO</v>
      </c>
      <c r="D19" s="106"/>
      <c r="E19" s="106"/>
      <c r="F19" s="106"/>
      <c r="G19" s="106"/>
      <c r="H19" s="54" t="s">
        <v>51</v>
      </c>
      <c r="I19" s="55" t="str">
        <f>'Necesidades Trimestrales'!F17</f>
        <v>KG</v>
      </c>
      <c r="J19" s="65">
        <f>'Necesidades Trimestrales'!H17</f>
        <v>300</v>
      </c>
      <c r="K19" s="56">
        <f>'Necesidades Trimestrales'!G17</f>
        <v>265</v>
      </c>
    </row>
    <row r="20" spans="1:11" ht="36" customHeight="1" thickBot="1" x14ac:dyDescent="0.25">
      <c r="A20" s="8">
        <v>9</v>
      </c>
      <c r="B20" s="53" t="str">
        <f>'Necesidades Trimestrales'!B18</f>
        <v>2.1.1-669.37</v>
      </c>
      <c r="C20" s="106" t="str">
        <f>'Necesidades Trimestrales'!E18</f>
        <v>PANES; TIPO: RALLADO, PRESENTACION: BOLSA X 5 Kg</v>
      </c>
      <c r="D20" s="106"/>
      <c r="E20" s="106"/>
      <c r="F20" s="106"/>
      <c r="G20" s="106"/>
      <c r="H20" s="54" t="s">
        <v>51</v>
      </c>
      <c r="I20" s="55" t="str">
        <f>'Necesidades Trimestrales'!F18</f>
        <v>UNIDAD</v>
      </c>
      <c r="J20" s="65">
        <f>'Necesidades Trimestrales'!H18</f>
        <v>250</v>
      </c>
      <c r="K20" s="56">
        <f>'Necesidades Trimestrales'!G18</f>
        <v>39</v>
      </c>
    </row>
    <row r="21" spans="1:11" ht="36" customHeight="1" thickBot="1" x14ac:dyDescent="0.25">
      <c r="A21" s="8">
        <v>10</v>
      </c>
      <c r="B21" s="53" t="str">
        <f>'Necesidades Trimestrales'!B19</f>
        <v>2.1.1-2430.1</v>
      </c>
      <c r="C21" s="106" t="str">
        <f>'Necesidades Trimestrales'!E19</f>
        <v>PREPIZZA; GUSTO: TOMATE, TAMAÑO: MEDIANO</v>
      </c>
      <c r="D21" s="106"/>
      <c r="E21" s="106"/>
      <c r="F21" s="106"/>
      <c r="G21" s="106"/>
      <c r="H21" s="54" t="s">
        <v>51</v>
      </c>
      <c r="I21" s="55" t="str">
        <f>'Necesidades Trimestrales'!F19</f>
        <v>UNIDAD</v>
      </c>
      <c r="J21" s="65">
        <f>'Necesidades Trimestrales'!H19</f>
        <v>90</v>
      </c>
      <c r="K21" s="56">
        <f>'Necesidades Trimestrales'!G19</f>
        <v>180</v>
      </c>
    </row>
    <row r="22" spans="1:11" ht="36" customHeight="1" thickBot="1" x14ac:dyDescent="0.25">
      <c r="A22" s="8">
        <v>11</v>
      </c>
      <c r="B22" s="53" t="str">
        <f>'Necesidades Trimestrales'!B20</f>
        <v>2.1.1-518.32</v>
      </c>
      <c r="C22" s="106" t="str">
        <f>'Necesidades Trimestrales'!E20</f>
        <v>TORTAS; TIPO: PIONONO, PESO: 180 GR</v>
      </c>
      <c r="D22" s="106"/>
      <c r="E22" s="106"/>
      <c r="F22" s="106"/>
      <c r="G22" s="106"/>
      <c r="H22" s="54" t="s">
        <v>51</v>
      </c>
      <c r="I22" s="55" t="str">
        <f>'Necesidades Trimestrales'!F20</f>
        <v>UNIDAD</v>
      </c>
      <c r="J22" s="65">
        <f>'Necesidades Trimestrales'!H20</f>
        <v>500</v>
      </c>
      <c r="K22" s="56">
        <f>'Necesidades Trimestrales'!G20</f>
        <v>30</v>
      </c>
    </row>
    <row r="23" spans="1:11" ht="36" customHeight="1" thickBot="1" x14ac:dyDescent="0.25">
      <c r="A23" s="8">
        <v>12</v>
      </c>
      <c r="B23" s="53" t="str">
        <f>'Necesidades Trimestrales'!B21</f>
        <v>2.1.1-6546.34</v>
      </c>
      <c r="C23" s="106" t="str">
        <f>'Necesidades Trimestrales'!E21</f>
        <v>VERDURAS Y HORTALIZAS; VARIEDAD: ACELGA, ESTADO: EN HOJA, PRESENTACION: ATADO, PESO: SIN VALOR</v>
      </c>
      <c r="D23" s="106"/>
      <c r="E23" s="106"/>
      <c r="F23" s="106"/>
      <c r="G23" s="106"/>
      <c r="H23" s="54" t="s">
        <v>51</v>
      </c>
      <c r="I23" s="55" t="str">
        <f>'Necesidades Trimestrales'!F21</f>
        <v>UNIDAD</v>
      </c>
      <c r="J23" s="65">
        <f>'Necesidades Trimestrales'!H21</f>
        <v>650</v>
      </c>
      <c r="K23" s="56">
        <f>'Necesidades Trimestrales'!G21</f>
        <v>510</v>
      </c>
    </row>
    <row r="24" spans="1:11" ht="43.9" customHeight="1" thickBot="1" x14ac:dyDescent="0.25">
      <c r="A24" s="8">
        <v>13</v>
      </c>
      <c r="B24" s="53" t="str">
        <f>'Necesidades Trimestrales'!B22</f>
        <v>2.1.1-6546.403</v>
      </c>
      <c r="C24" s="106" t="str">
        <f>'Necesidades Trimestrales'!E22</f>
        <v>VERDURAS Y HORTALIZAS; VARIEDAD: ZANAHORIA, ESTADO: NATURAL, PRESENTACION: BOLSA, PESO: NO CORRESPONDE, ELEM. TRANSPORTE: SIN, MATERIAL ELEM. TRANSPORTE: SIN, LIBRE DE GLUTEN: SI, ORGANICO: NO</v>
      </c>
      <c r="D24" s="106"/>
      <c r="E24" s="106"/>
      <c r="F24" s="106"/>
      <c r="G24" s="106"/>
      <c r="H24" s="54" t="s">
        <v>51</v>
      </c>
      <c r="I24" s="55" t="str">
        <f>'Necesidades Trimestrales'!F22</f>
        <v>UNIDAD</v>
      </c>
      <c r="J24" s="65">
        <f>'Necesidades Trimestrales'!H22</f>
        <v>1700</v>
      </c>
      <c r="K24" s="56">
        <f>'Necesidades Trimestrales'!G22</f>
        <v>90</v>
      </c>
    </row>
    <row r="25" spans="1:11" ht="36" customHeight="1" thickBot="1" x14ac:dyDescent="0.25">
      <c r="A25" s="8">
        <v>14</v>
      </c>
      <c r="B25" s="53" t="str">
        <f>'Necesidades Trimestrales'!B23</f>
        <v>2.1.1-6546.151</v>
      </c>
      <c r="C25" s="106" t="str">
        <f>'Necesidades Trimestrales'!E23</f>
        <v>VERDURAS Y HORTALIZAS; VARIEDAD: ZAPALLITO REDONDO, ESTADO: NATURAL, PRESENTACION: CAJON, PESO: SIN VALOR</v>
      </c>
      <c r="D25" s="106"/>
      <c r="E25" s="106"/>
      <c r="F25" s="106"/>
      <c r="G25" s="106"/>
      <c r="H25" s="54" t="s">
        <v>51</v>
      </c>
      <c r="I25" s="55" t="str">
        <f>'Necesidades Trimestrales'!F23</f>
        <v>CAJON</v>
      </c>
      <c r="J25" s="65">
        <f>'Necesidades Trimestrales'!H23</f>
        <v>1500</v>
      </c>
      <c r="K25" s="56">
        <f>'Necesidades Trimestrales'!G23</f>
        <v>90</v>
      </c>
    </row>
    <row r="26" spans="1:11" ht="36" customHeight="1" thickBot="1" x14ac:dyDescent="0.25">
      <c r="A26" s="8">
        <v>15</v>
      </c>
      <c r="B26" s="53" t="str">
        <f>'Necesidades Trimestrales'!B24</f>
        <v>2.1.1-6546.335</v>
      </c>
      <c r="C26" s="106" t="str">
        <f>'Necesidades Trimestrales'!E24</f>
        <v>VERDURAS Y HORTALIZAS; VARIEDAD: PAPA BLANCA, ESTADO: NATURAL, PRESENTACION: BOLSA, PESO: 25 Kg</v>
      </c>
      <c r="D26" s="106"/>
      <c r="E26" s="106"/>
      <c r="F26" s="106"/>
      <c r="G26" s="106"/>
      <c r="H26" s="54" t="s">
        <v>51</v>
      </c>
      <c r="I26" s="55" t="str">
        <f>'Necesidades Trimestrales'!F24</f>
        <v>UNIDAD</v>
      </c>
      <c r="J26" s="65">
        <f>'Necesidades Trimestrales'!H24</f>
        <v>1100</v>
      </c>
      <c r="K26" s="56">
        <f>'Necesidades Trimestrales'!G24</f>
        <v>90</v>
      </c>
    </row>
    <row r="27" spans="1:11" ht="36" customHeight="1" thickBot="1" x14ac:dyDescent="0.25">
      <c r="A27" s="8">
        <v>16</v>
      </c>
      <c r="B27" s="53" t="str">
        <f>'Necesidades Trimestrales'!B25</f>
        <v>2.1.1-6546.49</v>
      </c>
      <c r="C27" s="106" t="str">
        <f>'Necesidades Trimestrales'!E25</f>
        <v>VERDURAS Y HORTALIZAS; VARIEDAD: CHAUCHA, PRESENTACION: GRANEL, ESTADO: NATURAL, PESO: SIN VALOR</v>
      </c>
      <c r="D27" s="106"/>
      <c r="E27" s="106"/>
      <c r="F27" s="106"/>
      <c r="G27" s="106"/>
      <c r="H27" s="54" t="s">
        <v>51</v>
      </c>
      <c r="I27" s="55" t="str">
        <f>'Necesidades Trimestrales'!F25</f>
        <v>KG</v>
      </c>
      <c r="J27" s="65">
        <f>'Necesidades Trimestrales'!H25</f>
        <v>290</v>
      </c>
      <c r="K27" s="56">
        <f>'Necesidades Trimestrales'!G25</f>
        <v>300</v>
      </c>
    </row>
    <row r="28" spans="1:11" ht="46.15" customHeight="1" thickBot="1" x14ac:dyDescent="0.25">
      <c r="A28" s="8">
        <v>17</v>
      </c>
      <c r="B28" s="53" t="str">
        <f>'Necesidades Trimestrales'!B26</f>
        <v>2.1.1-6546.390</v>
      </c>
      <c r="C28" s="106" t="str">
        <f>'Necesidades Trimestrales'!E26</f>
        <v>VERDURAS Y HORTALIZAS; VARIEDAD: TOMATE REDONDO, ESTADO: NATURAL, PRESENTACION: CAJON, PESO: 17 A 22 Kg, ELEM. TRANSPORTE: SIN, MATERIAL ELEM. TRANSPORTE: SIN, LIBRE DE GLUTEN: SI, ORGANICO: NO</v>
      </c>
      <c r="D28" s="106"/>
      <c r="E28" s="106"/>
      <c r="F28" s="106"/>
      <c r="G28" s="106"/>
      <c r="H28" s="54" t="s">
        <v>51</v>
      </c>
      <c r="I28" s="55" t="str">
        <f>'Necesidades Trimestrales'!F26</f>
        <v>CAJON</v>
      </c>
      <c r="J28" s="65">
        <f>'Necesidades Trimestrales'!H26</f>
        <v>1600</v>
      </c>
      <c r="K28" s="56">
        <f>'Necesidades Trimestrales'!G26</f>
        <v>90</v>
      </c>
    </row>
    <row r="29" spans="1:11" ht="36" customHeight="1" thickBot="1" x14ac:dyDescent="0.25">
      <c r="A29" s="8">
        <v>18</v>
      </c>
      <c r="B29" s="53" t="str">
        <f>'Necesidades Trimestrales'!B27</f>
        <v>2.1.1-6546.39</v>
      </c>
      <c r="C29" s="106" t="str">
        <f>'Necesidades Trimestrales'!E27</f>
        <v>VERDURAS Y HORTALIZAS; VARIEDAD: CEBOLLA, ESTADO: NATURAL, PRESENTACION: BOLSA, PESO: 25 Kg</v>
      </c>
      <c r="D29" s="106"/>
      <c r="E29" s="106"/>
      <c r="F29" s="106"/>
      <c r="G29" s="106"/>
      <c r="H29" s="54" t="s">
        <v>51</v>
      </c>
      <c r="I29" s="55" t="str">
        <f>'Necesidades Trimestrales'!F27</f>
        <v>UNIDAD</v>
      </c>
      <c r="J29" s="65">
        <f>'Necesidades Trimestrales'!H27</f>
        <v>1100</v>
      </c>
      <c r="K29" s="56">
        <f>'Necesidades Trimestrales'!G27</f>
        <v>60</v>
      </c>
    </row>
    <row r="30" spans="1:11" ht="42" customHeight="1" thickBot="1" x14ac:dyDescent="0.25">
      <c r="A30" s="8">
        <v>19</v>
      </c>
      <c r="B30" s="53" t="str">
        <f>'Necesidades Trimestrales'!B28</f>
        <v>2.1.1-6546.377</v>
      </c>
      <c r="C30" s="106" t="str">
        <f>'Necesidades Trimestrales'!E28</f>
        <v>VERDURAS Y HORTALIZAS; VARIEDAD: CEBOLLA DE VERDEO, ESTADO: NATURAL, PRESENTACION: CAJON, PESO: 10 Kg, ELEM. TRANSPORTE: CAJON, MATERIAL ELEM. TRANSPORTE: CARTON, LIBRE DE GLUTEN: NO</v>
      </c>
      <c r="D30" s="106"/>
      <c r="E30" s="106"/>
      <c r="F30" s="106"/>
      <c r="G30" s="106"/>
      <c r="H30" s="54" t="s">
        <v>51</v>
      </c>
      <c r="I30" s="55" t="str">
        <f>'Necesidades Trimestrales'!F28</f>
        <v>UNIDAD</v>
      </c>
      <c r="J30" s="65">
        <f>'Necesidades Trimestrales'!H28</f>
        <v>1000</v>
      </c>
      <c r="K30" s="56">
        <f>'Necesidades Trimestrales'!G28</f>
        <v>15</v>
      </c>
    </row>
    <row r="31" spans="1:11" ht="36" customHeight="1" thickBot="1" x14ac:dyDescent="0.25">
      <c r="A31" s="8">
        <v>20</v>
      </c>
      <c r="B31" s="53" t="str">
        <f>'Necesidades Trimestrales'!B29</f>
        <v>2.1.1-6546.124</v>
      </c>
      <c r="C31" s="106" t="str">
        <f>'Necesidades Trimestrales'!E29</f>
        <v>VERDURAS Y HORTALIZAS; PESO: SIN VALOR, VARIEDAD: REMOLACHA, ESTADO: NATURAL, PRESENTACION: GRANEL</v>
      </c>
      <c r="D31" s="106"/>
      <c r="E31" s="106"/>
      <c r="F31" s="106"/>
      <c r="G31" s="106"/>
      <c r="H31" s="54" t="s">
        <v>51</v>
      </c>
      <c r="I31" s="55" t="str">
        <f>'Necesidades Trimestrales'!F29</f>
        <v>KG</v>
      </c>
      <c r="J31" s="65">
        <f>'Necesidades Trimestrales'!H29</f>
        <v>90</v>
      </c>
      <c r="K31" s="56">
        <f>'Necesidades Trimestrales'!G29</f>
        <v>720</v>
      </c>
    </row>
    <row r="32" spans="1:11" ht="36" customHeight="1" thickBot="1" x14ac:dyDescent="0.25">
      <c r="A32" s="8">
        <v>21</v>
      </c>
      <c r="B32" s="53" t="str">
        <f>'Necesidades Trimestrales'!B30</f>
        <v>2.1.1-6546.231</v>
      </c>
      <c r="C32" s="106" t="str">
        <f>'Necesidades Trimestrales'!E30</f>
        <v>VERDURAS Y HORTALIZAS; VARIEDAD: ZAPALLO ANCO, ESTADO: NATURAL, PRESENTACION: BOLSA, PESO: 20 Kg</v>
      </c>
      <c r="D32" s="106"/>
      <c r="E32" s="106"/>
      <c r="F32" s="106"/>
      <c r="G32" s="106"/>
      <c r="H32" s="54" t="s">
        <v>51</v>
      </c>
      <c r="I32" s="55" t="str">
        <f>'Necesidades Trimestrales'!F30</f>
        <v>UNIDAD</v>
      </c>
      <c r="J32" s="65">
        <f>'Necesidades Trimestrales'!H30</f>
        <v>950</v>
      </c>
      <c r="K32" s="56">
        <f>'Necesidades Trimestrales'!G30</f>
        <v>180</v>
      </c>
    </row>
    <row r="33" spans="1:11" ht="36" customHeight="1" thickBot="1" x14ac:dyDescent="0.25">
      <c r="A33" s="8">
        <v>22</v>
      </c>
      <c r="B33" s="53" t="str">
        <f>'Necesidades Trimestrales'!B31</f>
        <v>2.1.1-6546.162</v>
      </c>
      <c r="C33" s="106" t="str">
        <f>'Necesidades Trimestrales'!E31</f>
        <v>VERDURAS Y HORTALIZAS; VARIEDAD: ZAPALLO CRIOLLO, ESTADO: NATURAL, PRESENTACION: UNIDAD, PESO: SIN VALOR</v>
      </c>
      <c r="D33" s="106"/>
      <c r="E33" s="106"/>
      <c r="F33" s="106"/>
      <c r="G33" s="106"/>
      <c r="H33" s="54" t="s">
        <v>51</v>
      </c>
      <c r="I33" s="55" t="str">
        <f>'Necesidades Trimestrales'!F31</f>
        <v>UNIDAD</v>
      </c>
      <c r="J33" s="65">
        <f>'Necesidades Trimestrales'!H31</f>
        <v>68</v>
      </c>
      <c r="K33" s="56">
        <f>'Necesidades Trimestrales'!G31</f>
        <v>600</v>
      </c>
    </row>
    <row r="34" spans="1:11" ht="36" customHeight="1" thickBot="1" x14ac:dyDescent="0.25">
      <c r="A34" s="8">
        <v>23</v>
      </c>
      <c r="B34" s="53" t="str">
        <f>'Necesidades Trimestrales'!B32</f>
        <v>2.1.1-6546.133</v>
      </c>
      <c r="C34" s="106" t="str">
        <f>'Necesidades Trimestrales'!E32</f>
        <v>VERDURAS Y HORTALIZAS; VARIEDAD: PEREJIL, ESTADO: NATURAL, PRESENTACION: ATADO, PESO: 1 Kg</v>
      </c>
      <c r="D34" s="106"/>
      <c r="E34" s="106"/>
      <c r="F34" s="106"/>
      <c r="G34" s="106"/>
      <c r="H34" s="54" t="s">
        <v>51</v>
      </c>
      <c r="I34" s="55" t="str">
        <f>'Necesidades Trimestrales'!F32</f>
        <v>KG</v>
      </c>
      <c r="J34" s="65">
        <f>'Necesidades Trimestrales'!H32</f>
        <v>110</v>
      </c>
      <c r="K34" s="56">
        <f>'Necesidades Trimestrales'!G32</f>
        <v>60</v>
      </c>
    </row>
    <row r="35" spans="1:11" ht="36" customHeight="1" thickBot="1" x14ac:dyDescent="0.25">
      <c r="A35" s="8">
        <v>24</v>
      </c>
      <c r="B35" s="53" t="str">
        <f>'Necesidades Trimestrales'!B33</f>
        <v>2.1.1-6546.95</v>
      </c>
      <c r="C35" s="106" t="str">
        <f>'Necesidades Trimestrales'!E33</f>
        <v>VERDURAS Y HORTALIZAS; VARIEDAD: MORRON VERDE, ESTADO: NATURAL, PRESENTACION: GRANEL, PESO: SIN VALOR</v>
      </c>
      <c r="D35" s="106"/>
      <c r="E35" s="106"/>
      <c r="F35" s="106"/>
      <c r="G35" s="106"/>
      <c r="H35" s="54" t="s">
        <v>51</v>
      </c>
      <c r="I35" s="55" t="str">
        <f>'Necesidades Trimestrales'!F33</f>
        <v>KG</v>
      </c>
      <c r="J35" s="65">
        <f>'Necesidades Trimestrales'!H33</f>
        <v>200</v>
      </c>
      <c r="K35" s="56">
        <f>'Necesidades Trimestrales'!G33</f>
        <v>600</v>
      </c>
    </row>
    <row r="36" spans="1:11" ht="36" customHeight="1" thickBot="1" x14ac:dyDescent="0.25">
      <c r="A36" s="8">
        <v>25</v>
      </c>
      <c r="B36" s="53" t="str">
        <f>'Necesidades Trimestrales'!B34</f>
        <v>2.1.1-6546.82</v>
      </c>
      <c r="C36" s="106" t="str">
        <f>'Necesidades Trimestrales'!E34</f>
        <v>VERDURAS Y HORTALIZAS: VARIEDAD, LECHUGA CRIOLLA, ESTADO: NATURAL, PRESENTACION: CAJON, PESO: SIN VALOR</v>
      </c>
      <c r="D36" s="106"/>
      <c r="E36" s="106"/>
      <c r="F36" s="106"/>
      <c r="G36" s="106"/>
      <c r="H36" s="54" t="s">
        <v>51</v>
      </c>
      <c r="I36" s="55" t="str">
        <f>'Necesidades Trimestrales'!F34</f>
        <v>CAJON</v>
      </c>
      <c r="J36" s="65">
        <f>'Necesidades Trimestrales'!H34</f>
        <v>420</v>
      </c>
      <c r="K36" s="56">
        <f>'Necesidades Trimestrales'!G34</f>
        <v>5</v>
      </c>
    </row>
    <row r="37" spans="1:11" ht="36" customHeight="1" thickBot="1" x14ac:dyDescent="0.25">
      <c r="A37" s="8">
        <v>26</v>
      </c>
      <c r="B37" s="53" t="str">
        <f>'Necesidades Trimestrales'!B35</f>
        <v>2.1.1-6539.20</v>
      </c>
      <c r="C37" s="106" t="str">
        <f>'Necesidades Trimestrales'!E35</f>
        <v>FRUTAS; ESTADO: NATURAL, VARIEDAD: MANZANA RED DELICIOSA, PRESENTACION: CAJON, PESO: SIN VALOR</v>
      </c>
      <c r="D37" s="106"/>
      <c r="E37" s="106"/>
      <c r="F37" s="106"/>
      <c r="G37" s="106"/>
      <c r="H37" s="54" t="s">
        <v>51</v>
      </c>
      <c r="I37" s="55" t="str">
        <f>'Necesidades Trimestrales'!F35</f>
        <v>CAJON</v>
      </c>
      <c r="J37" s="65">
        <f>'Necesidades Trimestrales'!H35</f>
        <v>3300</v>
      </c>
      <c r="K37" s="56">
        <f>'Necesidades Trimestrales'!G35</f>
        <v>120</v>
      </c>
    </row>
    <row r="38" spans="1:11" ht="36" customHeight="1" thickBot="1" x14ac:dyDescent="0.25">
      <c r="A38" s="8">
        <v>27</v>
      </c>
      <c r="B38" s="53" t="str">
        <f>'Necesidades Trimestrales'!B36</f>
        <v>2.1.1-6539.30</v>
      </c>
      <c r="C38" s="106" t="str">
        <f>'Necesidades Trimestrales'!E36</f>
        <v>FRUTAS; VARIEDAD: BANANA, PRESENTACION: CAJON, ESTADO: NATURAL, PESO: SIN VALOR</v>
      </c>
      <c r="D38" s="106"/>
      <c r="E38" s="106"/>
      <c r="F38" s="106"/>
      <c r="G38" s="106"/>
      <c r="H38" s="54" t="s">
        <v>51</v>
      </c>
      <c r="I38" s="55" t="str">
        <f>'Necesidades Trimestrales'!F36</f>
        <v>CAJON</v>
      </c>
      <c r="J38" s="65">
        <f>'Necesidades Trimestrales'!H36</f>
        <v>2690</v>
      </c>
      <c r="K38" s="56">
        <f>'Necesidades Trimestrales'!G36</f>
        <v>120</v>
      </c>
    </row>
    <row r="39" spans="1:11" ht="36" customHeight="1" thickBot="1" x14ac:dyDescent="0.25">
      <c r="A39" s="8">
        <v>28</v>
      </c>
      <c r="B39" s="53" t="str">
        <f>'Necesidades Trimestrales'!B37</f>
        <v>2.1.1-6539.8</v>
      </c>
      <c r="C39" s="106" t="str">
        <f>'Necesidades Trimestrales'!E37</f>
        <v>FRUTAS; VARIEDAD: NARANJA ESPECIAL, ESTADO: NATURAL, PRESENTACION: CAJON, PESO: SIN VALOR</v>
      </c>
      <c r="D39" s="106"/>
      <c r="E39" s="106"/>
      <c r="F39" s="106"/>
      <c r="G39" s="106"/>
      <c r="H39" s="54" t="s">
        <v>51</v>
      </c>
      <c r="I39" s="55" t="str">
        <f>'Necesidades Trimestrales'!F37</f>
        <v>CAJON</v>
      </c>
      <c r="J39" s="65">
        <f>'Necesidades Trimestrales'!H37</f>
        <v>890</v>
      </c>
      <c r="K39" s="56">
        <f>'Necesidades Trimestrales'!G37</f>
        <v>90</v>
      </c>
    </row>
    <row r="40" spans="1:11" ht="36" customHeight="1" thickBot="1" x14ac:dyDescent="0.25">
      <c r="A40" s="8">
        <v>29</v>
      </c>
      <c r="B40" s="53" t="str">
        <f>'Necesidades Trimestrales'!B38</f>
        <v>2.1.1-6539.32</v>
      </c>
      <c r="C40" s="106" t="str">
        <f>'Necesidades Trimestrales'!E38</f>
        <v>FRUTAS; VARIEDAD: PERA AMARILLA, ESTADO: NATURAL, PRESENTACION: CAJON, PESO: SIN VALOR</v>
      </c>
      <c r="D40" s="106"/>
      <c r="E40" s="106"/>
      <c r="F40" s="106"/>
      <c r="G40" s="106"/>
      <c r="H40" s="54" t="s">
        <v>51</v>
      </c>
      <c r="I40" s="55" t="str">
        <f>'Necesidades Trimestrales'!F38</f>
        <v>CAJON</v>
      </c>
      <c r="J40" s="65">
        <f>'Necesidades Trimestrales'!H38</f>
        <v>2150</v>
      </c>
      <c r="K40" s="56">
        <f>'Necesidades Trimestrales'!G38</f>
        <v>90</v>
      </c>
    </row>
    <row r="41" spans="1:11" ht="36" customHeight="1" thickBot="1" x14ac:dyDescent="0.25">
      <c r="A41" s="8">
        <v>30</v>
      </c>
      <c r="B41" s="53" t="str">
        <f>'Necesidades Trimestrales'!B39</f>
        <v>2.1.1-6539.187</v>
      </c>
      <c r="C41" s="106" t="str">
        <f>'Necesidades Trimestrales'!E39</f>
        <v>FRUTAS; VARIEDAD: LIMON, ESTADO: NATURAL, PRESENTACION: CAJON, ELEM. TRANSPORTE: SIN, MATERIAL ELEM. TRANSPORTE: SIN, ORGANICO: NO</v>
      </c>
      <c r="D41" s="106"/>
      <c r="E41" s="106"/>
      <c r="F41" s="106"/>
      <c r="G41" s="106"/>
      <c r="H41" s="54" t="s">
        <v>51</v>
      </c>
      <c r="I41" s="55" t="str">
        <f>'Necesidades Trimestrales'!F39</f>
        <v>CAJON</v>
      </c>
      <c r="J41" s="65">
        <f>'Necesidades Trimestrales'!H39</f>
        <v>900</v>
      </c>
      <c r="K41" s="56">
        <f>'Necesidades Trimestrales'!G39</f>
        <v>60</v>
      </c>
    </row>
    <row r="42" spans="1:11" ht="36" customHeight="1" thickBot="1" x14ac:dyDescent="0.25">
      <c r="A42" s="8">
        <v>31</v>
      </c>
      <c r="B42" s="53" t="str">
        <f>'Necesidades Trimestrales'!B40</f>
        <v>2.1.1-541.27</v>
      </c>
      <c r="C42" s="106" t="str">
        <f>'Necesidades Trimestrales'!E40</f>
        <v>CARNES; ESPECIE: VACUNA, CORTE: CUADRIL, TIPO: VACUNA</v>
      </c>
      <c r="D42" s="106"/>
      <c r="E42" s="106"/>
      <c r="F42" s="106"/>
      <c r="G42" s="106"/>
      <c r="H42" s="54" t="s">
        <v>51</v>
      </c>
      <c r="I42" s="55" t="str">
        <f>'Necesidades Trimestrales'!F40</f>
        <v>KG</v>
      </c>
      <c r="J42" s="65">
        <f>'Necesidades Trimestrales'!H40</f>
        <v>700</v>
      </c>
      <c r="K42" s="56">
        <f>'Necesidades Trimestrales'!G40</f>
        <v>600</v>
      </c>
    </row>
    <row r="43" spans="1:11" ht="36" customHeight="1" thickBot="1" x14ac:dyDescent="0.25">
      <c r="A43" s="8">
        <v>32</v>
      </c>
      <c r="B43" s="53" t="str">
        <f>'Necesidades Trimestrales'!B41</f>
        <v>2.1.1-541.49</v>
      </c>
      <c r="C43" s="106" t="str">
        <f>'Necesidades Trimestrales'!E41</f>
        <v>CARNES; ESPECIE: VACUNA, CORTE: NALGA, TIPO: VACUNA</v>
      </c>
      <c r="D43" s="106"/>
      <c r="E43" s="106"/>
      <c r="F43" s="106"/>
      <c r="G43" s="106"/>
      <c r="H43" s="54" t="s">
        <v>51</v>
      </c>
      <c r="I43" s="55" t="str">
        <f>'Necesidades Trimestrales'!F41</f>
        <v>KG</v>
      </c>
      <c r="J43" s="65">
        <f>'Necesidades Trimestrales'!H41</f>
        <v>790</v>
      </c>
      <c r="K43" s="56">
        <f>'Necesidades Trimestrales'!G41</f>
        <v>300</v>
      </c>
    </row>
    <row r="44" spans="1:11" ht="36" customHeight="1" thickBot="1" x14ac:dyDescent="0.25">
      <c r="A44" s="8">
        <v>33</v>
      </c>
      <c r="B44" s="53" t="str">
        <f>'Necesidades Trimestrales'!B42</f>
        <v>2.1.1-541.7</v>
      </c>
      <c r="C44" s="106" t="str">
        <f>'Necesidades Trimestrales'!E42</f>
        <v>CARNES; ESPECIE: VACUNA, CORTE: PICADA ESPECIAL, TIPO: VACUNA</v>
      </c>
      <c r="D44" s="106"/>
      <c r="E44" s="106"/>
      <c r="F44" s="106"/>
      <c r="G44" s="106"/>
      <c r="H44" s="54" t="s">
        <v>51</v>
      </c>
      <c r="I44" s="55" t="str">
        <f>'Necesidades Trimestrales'!F42</f>
        <v>KG</v>
      </c>
      <c r="J44" s="65">
        <f>'Necesidades Trimestrales'!H42</f>
        <v>520</v>
      </c>
      <c r="K44" s="56">
        <f>'Necesidades Trimestrales'!G42</f>
        <v>450</v>
      </c>
    </row>
    <row r="45" spans="1:11" ht="36" customHeight="1" thickBot="1" x14ac:dyDescent="0.25">
      <c r="A45" s="8">
        <v>34</v>
      </c>
      <c r="B45" s="53" t="str">
        <f>'Necesidades Trimestrales'!B43</f>
        <v>2.1.1-541.70</v>
      </c>
      <c r="C45" s="106" t="str">
        <f>'Necesidades Trimestrales'!E43</f>
        <v>CARNES; CORTE: CARRE CON LOMO, TIPO: PORCINA, ESPECIE: PORCINA</v>
      </c>
      <c r="D45" s="106"/>
      <c r="E45" s="106"/>
      <c r="F45" s="106"/>
      <c r="G45" s="106"/>
      <c r="H45" s="54" t="s">
        <v>51</v>
      </c>
      <c r="I45" s="55" t="str">
        <f>'Necesidades Trimestrales'!F43</f>
        <v>KG</v>
      </c>
      <c r="J45" s="65">
        <f>'Necesidades Trimestrales'!H43</f>
        <v>513</v>
      </c>
      <c r="K45" s="56">
        <f>'Necesidades Trimestrales'!G43</f>
        <v>90</v>
      </c>
    </row>
    <row r="46" spans="1:11" ht="36" customHeight="1" thickBot="1" x14ac:dyDescent="0.25">
      <c r="A46" s="8">
        <v>35</v>
      </c>
      <c r="B46" s="53" t="str">
        <f>'Necesidades Trimestrales'!B44</f>
        <v>2.1.1-541.164</v>
      </c>
      <c r="C46" s="106" t="str">
        <f>'Necesidades Trimestrales'!E44</f>
        <v>CARNES; TIPO: PORCINA, CORTE: COSTELETA</v>
      </c>
      <c r="D46" s="106"/>
      <c r="E46" s="106"/>
      <c r="F46" s="106"/>
      <c r="G46" s="106"/>
      <c r="H46" s="54" t="s">
        <v>51</v>
      </c>
      <c r="I46" s="55" t="str">
        <f>'Necesidades Trimestrales'!F44</f>
        <v>KG</v>
      </c>
      <c r="J46" s="65">
        <f>'Necesidades Trimestrales'!H44</f>
        <v>513</v>
      </c>
      <c r="K46" s="56">
        <f>'Necesidades Trimestrales'!G44</f>
        <v>60</v>
      </c>
    </row>
    <row r="47" spans="1:11" ht="36" customHeight="1" thickBot="1" x14ac:dyDescent="0.25">
      <c r="A47" s="8">
        <v>36</v>
      </c>
      <c r="B47" s="53" t="str">
        <f>'Necesidades Trimestrales'!B45</f>
        <v>2.1.1-542.212</v>
      </c>
      <c r="C47" s="106" t="str">
        <f>'Necesidades Trimestrales'!E45</f>
        <v>QUESOS; TIPO: CUARTIROLO, PRESENTACION: HORMA, ELEM. TRANSPORTE: SIN, MATERIAL ELEM. TRANSPORTE: SIN, MATERIAL ENVASE: SIN, CERTIFICADO FORESTAL (GFS): SIN, LIBRE DE GLUTEN: SI</v>
      </c>
      <c r="D47" s="106"/>
      <c r="E47" s="106"/>
      <c r="F47" s="106"/>
      <c r="G47" s="106"/>
      <c r="H47" s="54" t="s">
        <v>51</v>
      </c>
      <c r="I47" s="55" t="str">
        <f>'Necesidades Trimestrales'!F45</f>
        <v>UNIDAD</v>
      </c>
      <c r="J47" s="65">
        <f>'Necesidades Trimestrales'!H45</f>
        <v>344.4</v>
      </c>
      <c r="K47" s="56">
        <f>'Necesidades Trimestrales'!G45</f>
        <v>210</v>
      </c>
    </row>
    <row r="48" spans="1:11" ht="42.6" customHeight="1" thickBot="1" x14ac:dyDescent="0.25">
      <c r="A48" s="8">
        <v>37</v>
      </c>
      <c r="B48" s="53" t="str">
        <f>'Necesidades Trimestrales'!B46</f>
        <v>2.1.1-542.225</v>
      </c>
      <c r="C48" s="106" t="str">
        <f>'Necesidades Trimestrales'!E46</f>
        <v>QUESOS; TIPO: TYBO, PRESENTACION: ENVASE X 1 Kg, ELEM. TRANSPORTE: SIN, MATERIAL ELEM. TRANSPORTE: SIN, MATERIAL ENVASE: POLIESTIRENO, CERTIFICADO FORESTAL (GFS): SIN, LIBRE DE GLUTEN: SI</v>
      </c>
      <c r="D48" s="106"/>
      <c r="E48" s="106"/>
      <c r="F48" s="106"/>
      <c r="G48" s="106"/>
      <c r="H48" s="54" t="s">
        <v>51</v>
      </c>
      <c r="I48" s="55" t="str">
        <f>'Necesidades Trimestrales'!F46</f>
        <v>UNIDAD</v>
      </c>
      <c r="J48" s="65">
        <f>'Necesidades Trimestrales'!H46</f>
        <v>490</v>
      </c>
      <c r="K48" s="56">
        <f>'Necesidades Trimestrales'!G46</f>
        <v>90</v>
      </c>
    </row>
    <row r="49" spans="1:1024" ht="36" customHeight="1" thickBot="1" x14ac:dyDescent="0.25">
      <c r="A49" s="8">
        <v>38</v>
      </c>
      <c r="B49" s="53" t="str">
        <f>'Necesidades Trimestrales'!B47</f>
        <v>2.1.1-542.207</v>
      </c>
      <c r="C49" s="106" t="str">
        <f>'Necesidades Trimestrales'!E47</f>
        <v>QUESOS; TIPO: SARDO, PRESENTACION: HORMA X 3 Kg, ELEM. TRANSPORTE: SIN, MATERIAL ELEM. TRANSPORTE: SIN, MATERIAL ENVASE: SIN, CERTIFICADO FORESTAL (GFS): SIN, LIBRE DE GLUTEN: NO</v>
      </c>
      <c r="D49" s="106"/>
      <c r="E49" s="106"/>
      <c r="F49" s="106"/>
      <c r="G49" s="106"/>
      <c r="H49" s="54" t="s">
        <v>51</v>
      </c>
      <c r="I49" s="55" t="str">
        <f>'Necesidades Trimestrales'!F47</f>
        <v>UNIDAD</v>
      </c>
      <c r="J49" s="65">
        <f>'Necesidades Trimestrales'!H47</f>
        <v>810</v>
      </c>
      <c r="K49" s="56">
        <f>'Necesidades Trimestrales'!G47</f>
        <v>75</v>
      </c>
    </row>
    <row r="50" spans="1:1024" ht="36" customHeight="1" thickBot="1" x14ac:dyDescent="0.25">
      <c r="A50" s="8">
        <v>39</v>
      </c>
      <c r="B50" s="53" t="str">
        <f>'Necesidades Trimestrales'!B48</f>
        <v>2.1.1-969.35</v>
      </c>
      <c r="C50" s="106" t="str">
        <f>'Necesidades Trimestrales'!E48</f>
        <v>FIAMBRES; TIPO: JAMON COCIDO ITALIANO, PRESENTACION: AL PESO</v>
      </c>
      <c r="D50" s="106"/>
      <c r="E50" s="106"/>
      <c r="F50" s="106"/>
      <c r="G50" s="106"/>
      <c r="H50" s="54" t="s">
        <v>51</v>
      </c>
      <c r="I50" s="55" t="str">
        <f>'Necesidades Trimestrales'!F48</f>
        <v>KG</v>
      </c>
      <c r="J50" s="65">
        <f>'Necesidades Trimestrales'!H48</f>
        <v>499.87</v>
      </c>
      <c r="K50" s="56">
        <f>'Necesidades Trimestrales'!G48</f>
        <v>105</v>
      </c>
    </row>
    <row r="51" spans="1:1024" ht="36" customHeight="1" thickBot="1" x14ac:dyDescent="0.25">
      <c r="A51" s="8">
        <v>40</v>
      </c>
      <c r="B51" s="53" t="str">
        <f>'Necesidades Trimestrales'!B49</f>
        <v>2.1.1-4975.2</v>
      </c>
      <c r="C51" s="106" t="str">
        <f>'Necesidades Trimestrales'!E49</f>
        <v>RICOTA; ENVASE: PAQUETE, PESO: 1 Kg, SABOR: SIN</v>
      </c>
      <c r="D51" s="106"/>
      <c r="E51" s="106"/>
      <c r="F51" s="106"/>
      <c r="G51" s="106"/>
      <c r="H51" s="54" t="s">
        <v>51</v>
      </c>
      <c r="I51" s="55" t="str">
        <f>'Necesidades Trimestrales'!F49</f>
        <v>UNIDAD</v>
      </c>
      <c r="J51" s="65">
        <f>'Necesidades Trimestrales'!H49</f>
        <v>391.2</v>
      </c>
      <c r="K51" s="56">
        <f>'Necesidades Trimestrales'!G49</f>
        <v>30</v>
      </c>
    </row>
    <row r="52" spans="1:1024" ht="36" customHeight="1" thickBot="1" x14ac:dyDescent="0.25">
      <c r="A52" s="8">
        <v>41</v>
      </c>
      <c r="B52" s="53" t="str">
        <f>'Necesidades Trimestrales'!B50</f>
        <v>2.1.1-707.35</v>
      </c>
      <c r="C52" s="106" t="str">
        <f>'Necesidades Trimestrales'!E50</f>
        <v>PASTAS FRESCAS; VARIEDAD: RAVIOL, RELLENO: RICOTA Y POLLO, PRESENTACION: ENVASE X 2 PLANCHAS</v>
      </c>
      <c r="D52" s="106"/>
      <c r="E52" s="106"/>
      <c r="F52" s="106"/>
      <c r="G52" s="106"/>
      <c r="H52" s="54" t="s">
        <v>51</v>
      </c>
      <c r="I52" s="55" t="str">
        <f>'Necesidades Trimestrales'!F50</f>
        <v>UNIDAD</v>
      </c>
      <c r="J52" s="65">
        <f>'Necesidades Trimestrales'!H50</f>
        <v>96.18</v>
      </c>
      <c r="K52" s="56">
        <f>'Necesidades Trimestrales'!G50</f>
        <v>390</v>
      </c>
    </row>
    <row r="53" spans="1:1024" ht="36" customHeight="1" thickBot="1" x14ac:dyDescent="0.25">
      <c r="A53" s="8">
        <v>42</v>
      </c>
      <c r="B53" s="53" t="str">
        <f>'Necesidades Trimestrales'!B51</f>
        <v>2.1.1-2429.1</v>
      </c>
      <c r="C53" s="106" t="str">
        <f>'Necesidades Trimestrales'!E51</f>
        <v>TAPAS P/TARTAS; TIPO: REDONDA, MASA: CASERA, PRESENTACION: BOLSA</v>
      </c>
      <c r="D53" s="106"/>
      <c r="E53" s="106"/>
      <c r="F53" s="106"/>
      <c r="G53" s="106"/>
      <c r="H53" s="54" t="s">
        <v>51</v>
      </c>
      <c r="I53" s="55" t="str">
        <f>'Necesidades Trimestrales'!F51</f>
        <v>UNIDAD</v>
      </c>
      <c r="J53" s="65">
        <f>'Necesidades Trimestrales'!H51</f>
        <v>73.63</v>
      </c>
      <c r="K53" s="56">
        <f>'Necesidades Trimestrales'!G51</f>
        <v>360</v>
      </c>
    </row>
    <row r="54" spans="1:1024" ht="36" customHeight="1" thickBot="1" x14ac:dyDescent="0.25">
      <c r="A54" s="8">
        <v>43</v>
      </c>
      <c r="B54" s="53" t="str">
        <f>'Necesidades Trimestrales'!B52</f>
        <v>2.1.1-2610.1</v>
      </c>
      <c r="C54" s="106" t="str">
        <f>'Necesidades Trimestrales'!E52</f>
        <v>TAPAS P/EMPANADAS; TIPO: P/HORNO, PRESENTACION: BOLSA X 12</v>
      </c>
      <c r="D54" s="106"/>
      <c r="E54" s="106"/>
      <c r="F54" s="106"/>
      <c r="G54" s="106"/>
      <c r="H54" s="54" t="s">
        <v>51</v>
      </c>
      <c r="I54" s="55" t="str">
        <f>'Necesidades Trimestrales'!F52</f>
        <v>UNIDAD</v>
      </c>
      <c r="J54" s="65">
        <f>'Necesidades Trimestrales'!H52</f>
        <v>38.4</v>
      </c>
      <c r="K54" s="56">
        <f>'Necesidades Trimestrales'!G52</f>
        <v>240</v>
      </c>
    </row>
    <row r="55" spans="1:1024" ht="36" customHeight="1" thickBot="1" x14ac:dyDescent="0.25">
      <c r="A55" s="8">
        <v>44</v>
      </c>
      <c r="B55" s="53" t="str">
        <f>'Necesidades Trimestrales'!B53</f>
        <v>2.1.1-456.79</v>
      </c>
      <c r="C55" s="106" t="str">
        <f>'Necesidades Trimestrales'!E53</f>
        <v>YOGHURT; TIPO: DESCREMADO, AGREGADO: SIN, CONSISTENCIA: FIRME, SABOR: VAINILLA, PRESENTACION: POTE PLASTICO X 200 GR</v>
      </c>
      <c r="D55" s="106"/>
      <c r="E55" s="106"/>
      <c r="F55" s="106"/>
      <c r="G55" s="106"/>
      <c r="H55" s="54" t="s">
        <v>51</v>
      </c>
      <c r="I55" s="55" t="str">
        <f>'Necesidades Trimestrales'!F53</f>
        <v>UNIDAD</v>
      </c>
      <c r="J55" s="65">
        <f>'Necesidades Trimestrales'!H53</f>
        <v>120</v>
      </c>
      <c r="K55" s="56">
        <f>'Necesidades Trimestrales'!G53</f>
        <v>1200</v>
      </c>
    </row>
    <row r="56" spans="1:1024" ht="20.25" customHeight="1" thickBot="1" x14ac:dyDescent="0.25">
      <c r="A56" s="112" t="s">
        <v>183</v>
      </c>
      <c r="B56" s="112"/>
      <c r="C56" s="112"/>
      <c r="D56" s="112"/>
      <c r="E56" s="112"/>
      <c r="F56" s="112"/>
      <c r="G56" s="112"/>
      <c r="H56" s="112"/>
      <c r="I56" s="112"/>
      <c r="J56" s="117">
        <f>SUMPRODUCT(J12:J55,K12:K55)</f>
        <v>6181009.3499999996</v>
      </c>
      <c r="K56" s="117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</row>
  </sheetData>
  <mergeCells count="66">
    <mergeCell ref="A56:I56"/>
    <mergeCell ref="C12:G1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35:G35"/>
    <mergeCell ref="C34:G34"/>
    <mergeCell ref="J56:K5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7:G17"/>
    <mergeCell ref="C18:G18"/>
    <mergeCell ref="C19:G19"/>
    <mergeCell ref="C20:G20"/>
    <mergeCell ref="C33:G33"/>
    <mergeCell ref="C29:G29"/>
    <mergeCell ref="C30:G30"/>
    <mergeCell ref="C31:G31"/>
    <mergeCell ref="C32:G32"/>
    <mergeCell ref="C13:G13"/>
    <mergeCell ref="C14:G14"/>
    <mergeCell ref="C15:G15"/>
    <mergeCell ref="C16:G16"/>
    <mergeCell ref="C51:G51"/>
    <mergeCell ref="C36:G36"/>
    <mergeCell ref="C37:G37"/>
    <mergeCell ref="C38:G38"/>
    <mergeCell ref="C21:G21"/>
    <mergeCell ref="C22:G22"/>
    <mergeCell ref="C23:G23"/>
    <mergeCell ref="C24:G24"/>
    <mergeCell ref="C25:G25"/>
    <mergeCell ref="C26:G26"/>
    <mergeCell ref="C27:G27"/>
    <mergeCell ref="C28:G28"/>
    <mergeCell ref="C52:G52"/>
    <mergeCell ref="C53:G53"/>
    <mergeCell ref="C54:G54"/>
    <mergeCell ref="C55:G55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</mergeCells>
  <printOptions horizontalCentered="1"/>
  <pageMargins left="0.19685039370078741" right="0.19685039370078741" top="0.6" bottom="0.61" header="0.51181102362204722" footer="0.51181102362204722"/>
  <pageSetup paperSize="9" scale="8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opLeftCell="A4" zoomScale="130" zoomScaleNormal="130" workbookViewId="0">
      <selection activeCell="N2" sqref="N2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42" t="s">
        <v>3</v>
      </c>
      <c r="B1" s="142"/>
      <c r="C1" s="142"/>
      <c r="D1" s="143">
        <f>'Necesidades Trimestrales'!C6</f>
        <v>2021</v>
      </c>
      <c r="E1" s="143"/>
      <c r="F1" s="10"/>
      <c r="G1" s="10"/>
      <c r="H1" s="11"/>
      <c r="I1" s="11"/>
      <c r="J1" s="11"/>
      <c r="K1" s="11"/>
      <c r="L1" s="11"/>
      <c r="M1" s="11"/>
      <c r="N1" s="11"/>
      <c r="P1" s="144" t="s">
        <v>25</v>
      </c>
      <c r="Q1" s="144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44"/>
      <c r="Q2" s="144"/>
    </row>
    <row r="4" spans="1:17" s="12" customFormat="1" ht="18" customHeight="1" thickBot="1" x14ac:dyDescent="0.25">
      <c r="A4" s="145" t="s">
        <v>26</v>
      </c>
      <c r="B4" s="145"/>
      <c r="C4" s="145"/>
      <c r="D4" s="145"/>
      <c r="E4" s="145"/>
      <c r="F4" s="145"/>
      <c r="G4" s="140" t="str">
        <f>NotaPedido!D3</f>
        <v>40 - Ministerio de Salud</v>
      </c>
      <c r="H4" s="140"/>
      <c r="I4" s="140"/>
      <c r="J4" s="140"/>
      <c r="K4" s="140"/>
      <c r="L4" s="140"/>
      <c r="M4" s="140"/>
      <c r="N4" s="140"/>
      <c r="O4" s="140"/>
      <c r="P4" s="140"/>
      <c r="Q4" s="140"/>
    </row>
    <row r="5" spans="1:17" s="12" customFormat="1" ht="18" customHeight="1" thickBot="1" x14ac:dyDescent="0.25">
      <c r="A5" s="137" t="s">
        <v>49</v>
      </c>
      <c r="B5" s="138"/>
      <c r="C5" s="138"/>
      <c r="D5" s="138"/>
      <c r="E5" s="138"/>
      <c r="F5" s="139"/>
      <c r="G5" s="140" t="str">
        <f>NotaPedido!D4</f>
        <v>23 - Hospital Interzonal San Juan Bautista</v>
      </c>
      <c r="H5" s="140"/>
      <c r="I5" s="140"/>
      <c r="J5" s="140"/>
      <c r="K5" s="140"/>
      <c r="L5" s="140"/>
      <c r="M5" s="140"/>
      <c r="N5" s="140"/>
      <c r="O5" s="140"/>
      <c r="P5" s="140"/>
      <c r="Q5" s="140"/>
    </row>
    <row r="6" spans="1:17" s="12" customFormat="1" ht="18" customHeight="1" thickBot="1" x14ac:dyDescent="0.25">
      <c r="A6" s="137" t="s">
        <v>27</v>
      </c>
      <c r="B6" s="138"/>
      <c r="C6" s="138"/>
      <c r="D6" s="138"/>
      <c r="E6" s="138"/>
      <c r="F6" s="139"/>
      <c r="G6" s="140" t="str">
        <f>NotaPedido!D5</f>
        <v>168 - Direccion Asistencial</v>
      </c>
      <c r="H6" s="140"/>
      <c r="I6" s="140"/>
      <c r="J6" s="140"/>
      <c r="K6" s="140"/>
      <c r="L6" s="140"/>
      <c r="M6" s="140"/>
      <c r="N6" s="140"/>
      <c r="O6" s="140"/>
      <c r="P6" s="140"/>
      <c r="Q6" s="140"/>
    </row>
    <row r="7" spans="1:17" s="12" customFormat="1" ht="18" customHeight="1" thickBot="1" x14ac:dyDescent="0.25">
      <c r="A7" s="137" t="s">
        <v>50</v>
      </c>
      <c r="B7" s="138"/>
      <c r="C7" s="138"/>
      <c r="D7" s="138"/>
      <c r="E7" s="138"/>
      <c r="F7" s="139"/>
      <c r="G7" s="140" t="str">
        <f>NotaPedido!D6</f>
        <v>Servicio de Nutricion</v>
      </c>
      <c r="H7" s="140"/>
      <c r="I7" s="140"/>
      <c r="J7" s="140"/>
      <c r="K7" s="140"/>
      <c r="L7" s="140"/>
      <c r="M7" s="140"/>
      <c r="N7" s="140"/>
      <c r="O7" s="140"/>
      <c r="P7" s="140"/>
      <c r="Q7" s="140"/>
    </row>
    <row r="8" spans="1:17" ht="18" customHeight="1" thickBot="1" x14ac:dyDescent="0.25">
      <c r="A8" s="141" t="s">
        <v>28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</row>
    <row r="9" spans="1:17" ht="18" customHeight="1" x14ac:dyDescent="0.2">
      <c r="A9" s="131" t="s">
        <v>29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"/>
      <c r="P9" s="1"/>
      <c r="Q9" s="13"/>
    </row>
    <row r="10" spans="1:17" ht="54.75" customHeight="1" x14ac:dyDescent="0.2">
      <c r="A10" s="132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026/2021,  afectando la erogación resultante a los créditos presupuestarios aprobados a favor de esta Unidad Ejecutora, conforme al siguiente detalle:</v>
      </c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33" t="s">
        <v>30</v>
      </c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</row>
    <row r="13" spans="1:17" ht="15.75" customHeight="1" x14ac:dyDescent="0.2">
      <c r="A13" s="134" t="s">
        <v>31</v>
      </c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5" t="s">
        <v>32</v>
      </c>
      <c r="P13" s="135"/>
      <c r="Q13" s="136" t="s">
        <v>33</v>
      </c>
    </row>
    <row r="14" spans="1:17" ht="15.75" customHeight="1" x14ac:dyDescent="0.2">
      <c r="A14" s="18" t="s">
        <v>34</v>
      </c>
      <c r="B14" s="19" t="s">
        <v>35</v>
      </c>
      <c r="C14" s="19" t="s">
        <v>36</v>
      </c>
      <c r="D14" s="19" t="s">
        <v>37</v>
      </c>
      <c r="E14" s="19" t="s">
        <v>38</v>
      </c>
      <c r="F14" s="19" t="s">
        <v>39</v>
      </c>
      <c r="G14" s="20" t="s">
        <v>40</v>
      </c>
      <c r="H14" s="19" t="s">
        <v>41</v>
      </c>
      <c r="I14" s="19" t="s">
        <v>42</v>
      </c>
      <c r="J14" s="19" t="s">
        <v>43</v>
      </c>
      <c r="K14" s="19" t="s">
        <v>43</v>
      </c>
      <c r="L14" s="19" t="s">
        <v>44</v>
      </c>
      <c r="M14" s="21" t="s">
        <v>45</v>
      </c>
      <c r="N14" s="22" t="s">
        <v>46</v>
      </c>
      <c r="O14" s="135"/>
      <c r="P14" s="135"/>
      <c r="Q14" s="136"/>
    </row>
    <row r="15" spans="1:17" ht="17.25" customHeight="1" x14ac:dyDescent="0.2">
      <c r="A15" s="59">
        <v>33</v>
      </c>
      <c r="B15" s="60"/>
      <c r="C15" s="60"/>
      <c r="D15" s="60">
        <v>2</v>
      </c>
      <c r="E15" s="60"/>
      <c r="F15" s="60">
        <v>4901</v>
      </c>
      <c r="G15" s="60">
        <v>3</v>
      </c>
      <c r="H15" s="61" t="s">
        <v>55</v>
      </c>
      <c r="I15" s="62">
        <v>2</v>
      </c>
      <c r="J15" s="62">
        <v>1</v>
      </c>
      <c r="K15" s="62">
        <v>1</v>
      </c>
      <c r="L15" s="60"/>
      <c r="M15" s="63">
        <v>1</v>
      </c>
      <c r="N15" s="61" t="s">
        <v>56</v>
      </c>
      <c r="O15" s="128" t="s">
        <v>141</v>
      </c>
      <c r="P15" s="128"/>
      <c r="Q15" s="23">
        <v>6181009.3499999996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57"/>
      <c r="I16" s="25"/>
      <c r="J16" s="25"/>
      <c r="K16" s="25"/>
      <c r="L16" s="25"/>
      <c r="M16" s="26"/>
      <c r="N16" s="58"/>
      <c r="O16" s="129"/>
      <c r="P16" s="129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57"/>
      <c r="I17" s="25"/>
      <c r="J17" s="25"/>
      <c r="K17" s="25"/>
      <c r="L17" s="25"/>
      <c r="M17" s="26"/>
      <c r="N17" s="58"/>
      <c r="O17" s="129"/>
      <c r="P17" s="129"/>
      <c r="Q17" s="28"/>
      <c r="S17" s="64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57"/>
      <c r="I18" s="25"/>
      <c r="J18" s="25"/>
      <c r="K18" s="25"/>
      <c r="L18" s="25"/>
      <c r="M18" s="26"/>
      <c r="N18" s="58"/>
      <c r="O18" s="130"/>
      <c r="P18" s="123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3"/>
      <c r="P19" s="123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23"/>
      <c r="P20" s="123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24"/>
      <c r="P21" s="124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25"/>
      <c r="P22" s="125"/>
      <c r="Q22" s="37"/>
    </row>
    <row r="23" spans="1:19" ht="31.9" customHeight="1" x14ac:dyDescent="0.2">
      <c r="A23" s="126" t="s">
        <v>184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38">
        <f>SUM(Q15:Q22)</f>
        <v>6181009.3499999996</v>
      </c>
    </row>
    <row r="24" spans="1:19" ht="18" customHeight="1" thickBot="1" x14ac:dyDescent="0.25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</row>
    <row r="25" spans="1:19" ht="17.25" customHeight="1" thickBot="1" x14ac:dyDescent="0.25">
      <c r="A25" s="118" t="s">
        <v>47</v>
      </c>
      <c r="B25" s="119"/>
      <c r="C25" s="119"/>
      <c r="D25" s="119"/>
      <c r="E25" s="119"/>
      <c r="F25" s="120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</row>
    <row r="26" spans="1:19" ht="18" customHeight="1" thickBot="1" x14ac:dyDescent="0.25">
      <c r="A26" s="122" t="str">
        <f>"Para la "&amp; NotaPedido!D8 &amp;" para ser destinados al " &amp; NotaPedido!D6 &amp;" del HISJB del Ministerio de Salud."</f>
        <v>Para la Adquisición de Alimentos Perecederos para ser destinados al Servicio de Nutricion del HISJB del Ministerio de Salud.</v>
      </c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</row>
    <row r="27" spans="1:19" ht="15" customHeight="1" x14ac:dyDescent="0.2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COMPRAS</cp:lastModifiedBy>
  <cp:revision>2</cp:revision>
  <cp:lastPrinted>2021-04-07T15:13:43Z</cp:lastPrinted>
  <dcterms:created xsi:type="dcterms:W3CDTF">2020-07-17T23:44:49Z</dcterms:created>
  <dcterms:modified xsi:type="dcterms:W3CDTF">2021-08-13T12:00:07Z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