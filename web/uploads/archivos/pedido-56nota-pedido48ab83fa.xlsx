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90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Mario\Carga SIAC\NO-2021-00470913-CAT-DPPR#MHP\"/>
    </mc:Choice>
  </mc:AlternateContent>
  <xr:revisionPtr revIDLastSave="0" documentId="8_{E47D29E6-C2E0-481C-B381-20C8FA89C9CC}" xr6:coauthVersionLast="46" xr6:coauthVersionMax="46" xr10:uidLastSave="{00000000-0000-0000-0000-000000000000}"/>
  <bookViews>
    <workbookView xWindow="-120" yWindow="-120" windowWidth="29040" windowHeight="15840" tabRatio="500" xr2:uid="{00000000-000D-0000-FFFF-FFFF00000000}"/>
  </bookViews>
  <sheets>
    <sheet name="Necesidades Trimestrales" sheetId="1" r:id="rId1"/>
    <sheet name=" NotaPedido" sheetId="2" r:id="rId2"/>
    <sheet name="Autor Gastar" sheetId="3" r:id="rId3"/>
    <sheet name="PARQUE AUTOMOTOR" sheetId="4" r:id="rId4"/>
  </sheets>
  <definedNames>
    <definedName name="_xlnm.Print_Area" localSheetId="1">' NotaPedido'!$A$1:$K$14</definedName>
    <definedName name="_xlnm.Print_Area" localSheetId="2">'Autor Gastar'!$A$1:$Q$20</definedName>
  </definedNames>
  <calcPr calcId="181029"/>
</workbook>
</file>

<file path=xl/calcChain.xml><?xml version="1.0" encoding="utf-8"?>
<calcChain xmlns="http://schemas.openxmlformats.org/spreadsheetml/2006/main">
  <c r="A10" i="3" l="1"/>
  <c r="K12" i="2"/>
  <c r="J12" i="2"/>
  <c r="I12" i="2"/>
  <c r="C12" i="2" l="1"/>
  <c r="I10" i="1"/>
  <c r="I11" i="1" l="1"/>
  <c r="I12" i="1" l="1"/>
  <c r="Q16" i="3" s="1"/>
  <c r="Q15" i="3" s="1"/>
  <c r="A14" i="2"/>
  <c r="A16" i="3" s="1"/>
  <c r="D7" i="2" l="1"/>
  <c r="A19" i="3" l="1"/>
  <c r="K13" i="2" l="1"/>
  <c r="J13" i="2"/>
  <c r="I13" i="2"/>
  <c r="C13" i="2"/>
  <c r="A13" i="2"/>
  <c r="B13" i="2"/>
  <c r="J14" i="2" l="1"/>
  <c r="G7" i="3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<sst xmlns="http://schemas.openxmlformats.org/spreadsheetml/2006/main" count="134" uniqueCount="114">
  <si>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</si>
  <si>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</si>
  <si>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</si>
  <si>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</si>
  <si>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</si>
  <si>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</si>
  <si>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</si>
  <si>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</si>
  <si>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</si>
  <si>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</si>
  <si>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</si>
  <si>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</si>
  <si>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</si>
  <si>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</si>
  <si>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Plazos y lugares de entrega</t>
  </si>
  <si>
    <t>Calidad Minima esperada</t>
  </si>
  <si>
    <t>Mantenimiento</t>
  </si>
  <si>
    <t>Garantia</t>
  </si>
  <si>
    <t>NOTA DE PEDIDO</t>
  </si>
  <si>
    <t>N°</t>
  </si>
  <si>
    <t>PERIODO UTILIZACIÓN:</t>
  </si>
  <si>
    <t>OBJETO:</t>
  </si>
  <si>
    <t>Ítem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</si>
  <si>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</si>
  <si>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</si>
  <si>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</si>
  <si>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</si>
  <si>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</si>
  <si>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</si>
  <si>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</si>
  <si>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</si>
  <si>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</si>
  <si>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</si>
  <si>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</si>
  <si>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</si>
  <si>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</si>
  <si>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</si>
  <si>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</si>
  <si>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</si>
  <si>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</si>
  <si>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</si>
  <si>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</si>
  <si>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</si>
  <si>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</si>
  <si>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</si>
  <si>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</si>
  <si>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</si>
  <si>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</si>
  <si>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</si>
  <si>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</si>
  <si>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</si>
  <si>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</si>
  <si>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</si>
  <si>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r>
      <t xml:space="preserve">Que Cumpla con lo Solicitado de Forma Integra. </t>
    </r>
    <r>
      <rPr>
        <b/>
        <u/>
        <sz val="10"/>
        <rFont val="Times New Roman"/>
        <family val="1"/>
      </rPr>
      <t/>
    </r>
  </si>
  <si>
    <t xml:space="preserve">30 (treinta)  días </t>
  </si>
  <si>
    <r>
      <t>AUTORIZACIÓN</t>
    </r>
    <r>
      <rPr>
        <b/>
        <sz val="10"/>
        <rFont val="Century Gothic"/>
        <family val="2"/>
      </rPr>
      <t>:</t>
    </r>
  </si>
  <si>
    <t xml:space="preserve"> Item N° : 01</t>
  </si>
  <si>
    <t>1.1</t>
  </si>
  <si>
    <t>Código Ítem</t>
  </si>
  <si>
    <t>MODELO</t>
  </si>
  <si>
    <t>NO</t>
  </si>
  <si>
    <t>085 -Ministerio de Mineria</t>
  </si>
  <si>
    <t>30 - Dirección Provincial de Administración y Recursos Humanos</t>
  </si>
  <si>
    <t>Dirección Provincial de Administración y Recursos Humanos</t>
  </si>
  <si>
    <t>Ministerio de Mineria</t>
  </si>
  <si>
    <t>VEHICULO</t>
  </si>
  <si>
    <t>DOMINIO</t>
  </si>
  <si>
    <t>N° CHASIS</t>
  </si>
  <si>
    <t>N° MOTOR</t>
  </si>
  <si>
    <t xml:space="preserve">TOYOTA HILUX 4X4 D/C SR 2.8 TDI  </t>
  </si>
  <si>
    <t>AD-059-PN</t>
  </si>
  <si>
    <t>8AJKA8CD7J3176660</t>
  </si>
  <si>
    <t>1GD-0438084</t>
  </si>
  <si>
    <t>AC-405-ST</t>
  </si>
  <si>
    <t>8AJKA8CD1J3171924</t>
  </si>
  <si>
    <t>1GD-0362874</t>
  </si>
  <si>
    <t xml:space="preserve">TOYOTA HILUX 4X4 C/D SR 2.8 TDI   </t>
  </si>
  <si>
    <t>AC-214-AC</t>
  </si>
  <si>
    <t>8AJKA8CD9H3169929</t>
  </si>
  <si>
    <t>1GD-G028281</t>
  </si>
  <si>
    <t xml:space="preserve">TOYOTA HILUX 2,8  C/D 4X4 TDI </t>
  </si>
  <si>
    <t>AC-214-AB</t>
  </si>
  <si>
    <t>8AJKA8CD7H3169881</t>
  </si>
  <si>
    <t>1GD-G028123</t>
  </si>
  <si>
    <t>TOYOTA HILUX SR 3,0 C/D 4X4</t>
  </si>
  <si>
    <t>MWU 413</t>
  </si>
  <si>
    <t>8AJFZ22G3D5024077</t>
  </si>
  <si>
    <t>1KD-A128390</t>
  </si>
  <si>
    <t>MWU 412</t>
  </si>
  <si>
    <t>8AJFZ22G1D5024045</t>
  </si>
  <si>
    <t>1KD-A125532</t>
  </si>
  <si>
    <t>LYX 964</t>
  </si>
  <si>
    <t>8AJFZ22G7D5022560</t>
  </si>
  <si>
    <t>1KD-5895510</t>
  </si>
  <si>
    <t>GNC</t>
  </si>
  <si>
    <t>ITEM</t>
  </si>
  <si>
    <r>
      <rPr>
        <b/>
        <sz val="10"/>
        <color theme="1"/>
        <rFont val="Century Gothic"/>
        <family val="2"/>
      </rPr>
      <t>PARQUE AUTOMOTOR - MINISTERIO DE MINERIA</t>
    </r>
    <r>
      <rPr>
        <sz val="10"/>
        <rFont val="Century Gothic"/>
        <family val="2"/>
      </rPr>
      <t xml:space="preserve">
</t>
    </r>
  </si>
  <si>
    <t>2.4.4-6818.811</t>
  </si>
  <si>
    <t>UNIDAD</t>
  </si>
  <si>
    <t>2.4.4</t>
  </si>
  <si>
    <t>2.4.4-6818.988</t>
  </si>
  <si>
    <r>
      <t xml:space="preserve">a) </t>
    </r>
    <r>
      <rPr>
        <b/>
        <sz val="10"/>
        <rFont val="Century Gothic"/>
        <family val="2"/>
      </rPr>
      <t xml:space="preserve"> FORMA DE LA ENTREGA  ENTREGA </t>
    </r>
    <r>
      <rPr>
        <sz val="10"/>
        <rFont val="Century Gothic"/>
        <family val="2"/>
      </rPr>
      <t xml:space="preserve">se debera entregar los bienes solicitados en forma total, en el Ministerio de Mineria, Sarmiento 981 - Capital - De 08 a 12 horas.
b)  </t>
    </r>
    <r>
      <rPr>
        <b/>
        <sz val="10"/>
        <rFont val="Century Gothic"/>
        <family val="2"/>
      </rPr>
      <t>PLAZO DE ENTREGA</t>
    </r>
    <r>
      <rPr>
        <sz val="10"/>
        <rFont val="Century Gothic"/>
        <family val="2"/>
      </rPr>
      <t>: El Oferente deberá establecer plazo de entrega de los elementos cotizados, debiendo ser expresado en días hábiles; que no podrá ser superior a</t>
    </r>
    <r>
      <rPr>
        <b/>
        <sz val="10"/>
        <rFont val="Century Gothic"/>
        <family val="2"/>
      </rPr>
      <t xml:space="preserve">  (quince) 15 días</t>
    </r>
    <r>
      <rPr>
        <sz val="10"/>
        <rFont val="Century Gothic"/>
        <family val="2"/>
      </rPr>
      <t xml:space="preserve"> hábiles contados a partir de la recepción de la comunicación prevista en el Artículo 80° de del Reglamento Parcial N° 2 de la ley 4938.</t>
    </r>
  </si>
  <si>
    <t>COSTO TOTAL ESTIMADO: SON PESOS UN MILLON SETENTA Y SIETE MIL SEISCIENTOS OCHENTA CON 00/100</t>
  </si>
  <si>
    <t>CAMARAS Y CUBIERTAS DE AIRE</t>
  </si>
  <si>
    <t>004/2021</t>
  </si>
  <si>
    <t xml:space="preserve"> Item N° : 02</t>
  </si>
  <si>
    <t>Neumático 265/70-16, todo terreno, con goma resistente a cortes y agresiones,  que sea concentrada en el flanco del neumático y con un diseño exclusivo para eliminar e expulsar objetos, hasta 4,5mm de espesor de flanco, goma especial para uso off road. Hombro con tacos de goma diferentes y alternados, barras expulsoras de barro y tacos en el lateral de del neumático que garantice tracción sobre barro y suelos inconsistentes.</t>
  </si>
  <si>
    <t xml:space="preserve">Neumático 265/70-17, todo terreno, con goma resistente a cortes y agresiones,  que sea concentrada en el flanco del neumático y con un diseño exclusivo para eliminar e expulsar objetos, hasta 4,5mm de espesor de flanco, goma especial para uso off road. Hombro con tacos de goma diferentes y alternados, barras expulsoras de barro y tacos en el lateral de del neumático que garantice tracción sobre barro y suelos </t>
  </si>
  <si>
    <t>REPUESTOS</t>
  </si>
  <si>
    <t>Si</t>
  </si>
  <si>
    <t>NEUMATICOS; VEHICULO: CAMIONETA, CONSTRUCCION: RADIAL, ARMADO: S/CAMARA, MEDIDA: 265/70R16</t>
  </si>
  <si>
    <t>NEUMATICOS; VEHICULO: CAMIONETA, CONSTRUCCION: RADIAL, ARMADO: S/CAMARA, MEDIDA: 265/65 R17</t>
  </si>
  <si>
    <t xml:space="preserve">Escrita de fábrica por el termino de Dos (2) Años </t>
  </si>
  <si>
    <t>Adquisición de Neumaticos para el parque automotor de este Ministerio.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</si>
</sst>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&quot;$&quot;\ * #,##0.00_ ;_ &quot;$&quot;\ * \-#,##0.00_ ;_ &quot;$&quot;\ * &quot;-&quot;??_ ;_ @_ "/>
    <numFmt numFmtId="165" formatCode="_(\$* #,##0.00_);_(\$* \(#,##0.00\);_(\$* \-??_);_(@_)"/>
    <numFmt numFmtId="166" formatCode="_-* #,##0.00&quot; €&quot;_-;\-* #,##0.00&quot; €&quot;_-;_-* \-??&quot; €&quot;_-;_-@_-"/>
    <numFmt numFmtId="167" formatCode="[$$-2C0A]\ #,##0.00;[$$-2C0A]&quot; -&quot;#,##0.00"/>
    <numFmt numFmtId="168" formatCode="[$$-2C0A]\ #,##0.00"/>
    <numFmt numFmtId="169" formatCode="dd\-mm\-yy;@"/>
  </numFmts>
  <fonts count="25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b/>
      <u/>
      <sz val="10"/>
      <name val="Times New Roman"/>
      <family val="1"/>
    </font>
    <font>
      <b/>
      <sz val="10"/>
      <color rgb="FF000000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b/>
      <sz val="12"/>
      <name val="Century Gothic"/>
      <family val="2"/>
    </font>
    <font>
      <sz val="12"/>
      <name val="Century Gothic"/>
      <family val="2"/>
    </font>
    <font>
      <b/>
      <u/>
      <sz val="10"/>
      <name val="Century Gothic"/>
      <family val="2"/>
    </font>
    <font>
      <b/>
      <sz val="10"/>
      <name val="Century Gothic"/>
      <family val="2"/>
    </font>
    <font>
      <b/>
      <sz val="22"/>
      <name val="Century Gothic"/>
      <family val="2"/>
    </font>
    <font>
      <b/>
      <sz val="11"/>
      <color rgb="FF000000"/>
      <name val="Century Gothic"/>
      <family val="2"/>
    </font>
    <font>
      <sz val="11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  <font>
      <b/>
      <u/>
      <sz val="16"/>
      <name val="Century Gothic"/>
      <family val="2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u/>
      <sz val="10"/>
      <name val="Century Gothic"/>
      <family val="2"/>
    </font>
    <font>
      <sz val="10"/>
      <color theme="1"/>
      <name val="Century Gothic"/>
      <family val="2"/>
    </font>
    <font>
      <b/>
      <sz val="1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57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6" fontId="5" fillId="0" borderId="0" applyBorder="0" applyProtection="0"/>
    <xf numFmtId="0" fontId="2" fillId="0" borderId="1" applyProtection="0"/>
    <xf numFmtId="165" fontId="3" fillId="0" borderId="0" applyBorder="0" applyProtection="0"/>
    <xf numFmtId="0" fontId="4" fillId="2" borderId="0" applyBorder="0" applyProtection="0"/>
    <xf numFmtId="0" fontId="1" fillId="0" borderId="0"/>
  </cellStyleXfs>
  <cellXfs count="140">
    <xf numFmtId="0" fontId="0" fillId="0" borderId="0" xfId="0"/>
    <xf numFmtId="0" fontId="8" fillId="0" borderId="0" xfId="0" applyFont="1"/>
    <xf numFmtId="0" fontId="8" fillId="0" borderId="0" xfId="0" applyFont="1" applyBorder="1"/>
    <xf numFmtId="3" fontId="18" fillId="0" borderId="0" xfId="0" applyNumberFormat="1" applyFont="1" applyBorder="1" applyAlignment="1"/>
    <xf numFmtId="169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12" xfId="0" applyFont="1" applyBorder="1"/>
    <xf numFmtId="0" fontId="8" fillId="0" borderId="26" xfId="0" applyFont="1" applyBorder="1"/>
    <xf numFmtId="0" fontId="8" fillId="0" borderId="14" xfId="0" applyFont="1" applyBorder="1"/>
    <xf numFmtId="0" fontId="8" fillId="0" borderId="14" xfId="0" applyFont="1" applyBorder="1" applyAlignment="1">
      <alignment horizontal="left"/>
    </xf>
    <xf numFmtId="0" fontId="8" fillId="0" borderId="27" xfId="0" applyFont="1" applyBorder="1"/>
    <xf numFmtId="0" fontId="13" fillId="0" borderId="29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13" fillId="0" borderId="31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167" fontId="13" fillId="0" borderId="35" xfId="0" applyNumberFormat="1" applyFont="1" applyBorder="1" applyAlignment="1">
      <alignment horizontal="center" vertical="center"/>
    </xf>
    <xf numFmtId="0" fontId="12" fillId="3" borderId="12" xfId="0" applyFont="1" applyFill="1" applyBorder="1" applyAlignment="1">
      <alignment horizontal="right" vertical="center"/>
    </xf>
    <xf numFmtId="0" fontId="8" fillId="3" borderId="0" xfId="0" applyFont="1" applyFill="1" applyBorder="1" applyAlignment="1">
      <alignment vertical="center"/>
    </xf>
    <xf numFmtId="0" fontId="8" fillId="3" borderId="0" xfId="0" applyFont="1" applyFill="1"/>
    <xf numFmtId="0" fontId="12" fillId="3" borderId="14" xfId="0" applyFont="1" applyFill="1" applyBorder="1" applyAlignment="1">
      <alignment vertical="center"/>
    </xf>
    <xf numFmtId="0" fontId="12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13" fillId="3" borderId="0" xfId="0" applyFont="1" applyFill="1" applyBorder="1" applyAlignment="1">
      <alignment horizontal="left" vertical="center" wrapText="1" indent="1"/>
    </xf>
    <xf numFmtId="0" fontId="9" fillId="3" borderId="0" xfId="0" applyFont="1" applyFill="1" applyAlignment="1">
      <alignment horizontal="left" wrapText="1"/>
    </xf>
    <xf numFmtId="0" fontId="9" fillId="3" borderId="0" xfId="0" applyFont="1" applyFill="1" applyAlignment="1">
      <alignment horizont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40" xfId="0" applyFont="1" applyFill="1" applyBorder="1" applyAlignment="1">
      <alignment horizontal="center" vertical="center" wrapText="1"/>
    </xf>
    <xf numFmtId="167" fontId="8" fillId="3" borderId="39" xfId="1" applyNumberFormat="1" applyFont="1" applyFill="1" applyBorder="1" applyAlignment="1" applyProtection="1">
      <alignment horizontal="right" vertical="center" wrapText="1"/>
    </xf>
    <xf numFmtId="0" fontId="7" fillId="3" borderId="4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3" fontId="8" fillId="3" borderId="3" xfId="0" applyNumberFormat="1" applyFont="1" applyFill="1" applyBorder="1" applyAlignment="1">
      <alignment horizontal="center" vertical="center"/>
    </xf>
    <xf numFmtId="164" fontId="8" fillId="3" borderId="3" xfId="1" applyNumberFormat="1" applyFont="1" applyFill="1" applyBorder="1" applyAlignment="1">
      <alignment horizontal="center" vertical="center"/>
    </xf>
    <xf numFmtId="167" fontId="13" fillId="3" borderId="0" xfId="0" applyNumberFormat="1" applyFont="1" applyFill="1" applyBorder="1"/>
    <xf numFmtId="0" fontId="8" fillId="3" borderId="5" xfId="0" applyFont="1" applyFill="1" applyBorder="1"/>
    <xf numFmtId="0" fontId="8" fillId="3" borderId="6" xfId="0" applyFont="1" applyFill="1" applyBorder="1"/>
    <xf numFmtId="0" fontId="8" fillId="3" borderId="0" xfId="0" applyFont="1" applyFill="1" applyBorder="1"/>
    <xf numFmtId="0" fontId="8" fillId="3" borderId="8" xfId="0" applyFont="1" applyFill="1" applyBorder="1"/>
    <xf numFmtId="168" fontId="8" fillId="3" borderId="0" xfId="0" applyNumberFormat="1" applyFont="1" applyFill="1"/>
    <xf numFmtId="0" fontId="17" fillId="3" borderId="7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/>
    </xf>
    <xf numFmtId="0" fontId="8" fillId="3" borderId="7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wrapText="1"/>
    </xf>
    <xf numFmtId="0" fontId="8" fillId="3" borderId="10" xfId="0" applyFont="1" applyFill="1" applyBorder="1"/>
    <xf numFmtId="0" fontId="8" fillId="3" borderId="11" xfId="0" applyFont="1" applyFill="1" applyBorder="1"/>
    <xf numFmtId="49" fontId="0" fillId="3" borderId="0" xfId="0" applyNumberFormat="1" applyFill="1"/>
    <xf numFmtId="0" fontId="0" fillId="3" borderId="0" xfId="0" applyFill="1"/>
    <xf numFmtId="49" fontId="5" fillId="3" borderId="0" xfId="0" applyNumberFormat="1" applyFont="1" applyFill="1"/>
    <xf numFmtId="0" fontId="8" fillId="3" borderId="0" xfId="0" applyFont="1" applyFill="1" applyBorder="1" applyAlignment="1">
      <alignment horizontal="left" vertical="center" wrapText="1"/>
    </xf>
    <xf numFmtId="0" fontId="8" fillId="3" borderId="9" xfId="0" applyFont="1" applyFill="1" applyBorder="1" applyAlignment="1">
      <alignment horizontal="left" vertical="center"/>
    </xf>
    <xf numFmtId="0" fontId="9" fillId="3" borderId="0" xfId="0" applyFont="1" applyFill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3" borderId="5" xfId="0" applyFont="1" applyFill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left" vertical="center"/>
    </xf>
    <xf numFmtId="0" fontId="8" fillId="0" borderId="32" xfId="0" applyFont="1" applyFill="1" applyBorder="1" applyAlignment="1">
      <alignment horizontal="center" vertical="center"/>
    </xf>
    <xf numFmtId="0" fontId="8" fillId="0" borderId="33" xfId="0" applyFont="1" applyFill="1" applyBorder="1" applyAlignment="1">
      <alignment horizontal="center" vertical="center"/>
    </xf>
    <xf numFmtId="0" fontId="8" fillId="0" borderId="34" xfId="0" applyFont="1" applyFill="1" applyBorder="1" applyAlignment="1">
      <alignment horizontal="center" vertical="center"/>
    </xf>
    <xf numFmtId="0" fontId="20" fillId="0" borderId="0" xfId="0" applyFont="1" applyFill="1" applyAlignment="1">
      <alignment horizontal="left" vertical="center" wrapText="1" indent="1"/>
    </xf>
    <xf numFmtId="0" fontId="21" fillId="0" borderId="0" xfId="0" applyFont="1" applyFill="1" applyAlignment="1">
      <alignment horizontal="left" vertical="center" wrapText="1"/>
    </xf>
    <xf numFmtId="0" fontId="22" fillId="3" borderId="4" xfId="0" applyFont="1" applyFill="1" applyBorder="1" applyAlignment="1">
      <alignment horizontal="left" vertical="center"/>
    </xf>
    <xf numFmtId="17" fontId="10" fillId="3" borderId="13" xfId="0" applyNumberFormat="1" applyFont="1" applyFill="1" applyBorder="1" applyAlignment="1">
      <alignment horizontal="center" vertical="center"/>
    </xf>
    <xf numFmtId="167" fontId="8" fillId="0" borderId="16" xfId="3" applyNumberFormat="1" applyFont="1" applyFill="1" applyBorder="1" applyAlignment="1" applyProtection="1">
      <alignment horizontal="center" vertical="center"/>
    </xf>
    <xf numFmtId="0" fontId="13" fillId="3" borderId="51" xfId="0" applyFont="1" applyFill="1" applyBorder="1" applyAlignment="1">
      <alignment horizontal="center" vertical="center"/>
    </xf>
    <xf numFmtId="0" fontId="13" fillId="3" borderId="52" xfId="0" applyFont="1" applyFill="1" applyBorder="1" applyAlignment="1">
      <alignment horizontal="center" vertical="center" wrapText="1"/>
    </xf>
    <xf numFmtId="164" fontId="13" fillId="3" borderId="52" xfId="0" applyNumberFormat="1" applyFont="1" applyFill="1" applyBorder="1" applyAlignment="1">
      <alignment horizontal="center" vertical="center" wrapText="1"/>
    </xf>
    <xf numFmtId="3" fontId="13" fillId="3" borderId="53" xfId="0" applyNumberFormat="1" applyFont="1" applyFill="1" applyBorder="1" applyAlignment="1">
      <alignment horizontal="center" vertical="center" wrapText="1"/>
    </xf>
    <xf numFmtId="168" fontId="8" fillId="0" borderId="0" xfId="0" applyNumberFormat="1" applyFont="1"/>
    <xf numFmtId="0" fontId="1" fillId="0" borderId="0" xfId="5"/>
    <xf numFmtId="0" fontId="1" fillId="0" borderId="0" xfId="5" applyAlignment="1">
      <alignment vertical="center"/>
    </xf>
    <xf numFmtId="0" fontId="1" fillId="0" borderId="0" xfId="5" applyAlignment="1">
      <alignment horizontal="center" vertical="center"/>
    </xf>
    <xf numFmtId="0" fontId="1" fillId="3" borderId="0" xfId="5" applyFill="1" applyBorder="1" applyAlignment="1">
      <alignment vertical="center"/>
    </xf>
    <xf numFmtId="0" fontId="13" fillId="0" borderId="54" xfId="0" applyFont="1" applyBorder="1"/>
    <xf numFmtId="0" fontId="13" fillId="0" borderId="55" xfId="0" applyFont="1" applyBorder="1" applyAlignment="1">
      <alignment horizontal="center"/>
    </xf>
    <xf numFmtId="0" fontId="8" fillId="0" borderId="44" xfId="0" applyFont="1" applyBorder="1"/>
    <xf numFmtId="0" fontId="8" fillId="0" borderId="3" xfId="0" applyFont="1" applyBorder="1" applyAlignment="1">
      <alignment horizontal="left"/>
    </xf>
    <xf numFmtId="0" fontId="8" fillId="0" borderId="3" xfId="0" applyFont="1" applyBorder="1" applyAlignment="1">
      <alignment horizontal="center"/>
    </xf>
    <xf numFmtId="0" fontId="8" fillId="0" borderId="3" xfId="5" applyFont="1" applyBorder="1" applyAlignment="1">
      <alignment horizontal="center" vertical="center"/>
    </xf>
    <xf numFmtId="0" fontId="23" fillId="0" borderId="3" xfId="0" applyFont="1" applyBorder="1"/>
    <xf numFmtId="0" fontId="23" fillId="0" borderId="3" xfId="0" applyFont="1" applyBorder="1" applyAlignment="1">
      <alignment horizontal="center"/>
    </xf>
    <xf numFmtId="0" fontId="23" fillId="0" borderId="3" xfId="0" applyFont="1" applyBorder="1" applyAlignment="1">
      <alignment horizontal="left"/>
    </xf>
    <xf numFmtId="0" fontId="8" fillId="0" borderId="3" xfId="5" applyFont="1" applyFill="1" applyBorder="1" applyAlignment="1">
      <alignment horizontal="center" vertical="center"/>
    </xf>
    <xf numFmtId="0" fontId="22" fillId="3" borderId="7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0" fontId="14" fillId="3" borderId="0" xfId="0" applyFont="1" applyFill="1" applyBorder="1" applyAlignment="1">
      <alignment horizontal="center"/>
    </xf>
    <xf numFmtId="0" fontId="15" fillId="3" borderId="0" xfId="0" applyFont="1" applyFill="1" applyBorder="1" applyAlignment="1">
      <alignment horizontal="left" vertical="center" wrapText="1"/>
    </xf>
    <xf numFmtId="0" fontId="20" fillId="0" borderId="0" xfId="0" applyFont="1" applyFill="1" applyBorder="1" applyAlignment="1">
      <alignment horizontal="left" vertical="center" wrapText="1" indent="1"/>
    </xf>
    <xf numFmtId="0" fontId="8" fillId="3" borderId="0" xfId="0" applyFont="1" applyFill="1" applyBorder="1" applyAlignment="1">
      <alignment horizontal="left" vertical="top" wrapText="1"/>
    </xf>
    <xf numFmtId="0" fontId="8" fillId="3" borderId="0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wrapText="1"/>
    </xf>
    <xf numFmtId="0" fontId="13" fillId="3" borderId="44" xfId="0" applyFont="1" applyFill="1" applyBorder="1" applyAlignment="1">
      <alignment horizontal="left" vertical="center"/>
    </xf>
    <xf numFmtId="0" fontId="13" fillId="3" borderId="45" xfId="0" applyFont="1" applyFill="1" applyBorder="1" applyAlignment="1">
      <alignment horizontal="left" vertical="center"/>
    </xf>
    <xf numFmtId="0" fontId="13" fillId="3" borderId="46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0" fillId="3" borderId="19" xfId="0" applyFont="1" applyFill="1" applyBorder="1" applyAlignment="1">
      <alignment horizontal="left" vertical="center" wrapText="1" indent="1"/>
    </xf>
    <xf numFmtId="0" fontId="13" fillId="3" borderId="18" xfId="0" applyFont="1" applyFill="1" applyBorder="1" applyAlignment="1">
      <alignment horizontal="center" vertical="center"/>
    </xf>
    <xf numFmtId="0" fontId="13" fillId="3" borderId="47" xfId="0" applyFont="1" applyFill="1" applyBorder="1" applyAlignment="1">
      <alignment horizontal="center" vertical="center"/>
    </xf>
    <xf numFmtId="0" fontId="19" fillId="3" borderId="0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left" vertical="center" wrapText="1"/>
    </xf>
    <xf numFmtId="0" fontId="10" fillId="3" borderId="16" xfId="0" applyFont="1" applyFill="1" applyBorder="1" applyAlignment="1">
      <alignment horizontal="left" vertical="center" wrapText="1" indent="1"/>
    </xf>
    <xf numFmtId="0" fontId="11" fillId="3" borderId="17" xfId="0" applyFont="1" applyFill="1" applyBorder="1" applyAlignment="1">
      <alignment horizontal="left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49" xfId="0" applyFont="1" applyFill="1" applyBorder="1" applyAlignment="1">
      <alignment horizontal="center" vertical="center" wrapText="1"/>
    </xf>
    <xf numFmtId="168" fontId="13" fillId="3" borderId="50" xfId="0" applyNumberFormat="1" applyFont="1" applyFill="1" applyBorder="1" applyAlignment="1">
      <alignment horizontal="center" vertical="center"/>
    </xf>
    <xf numFmtId="0" fontId="13" fillId="3" borderId="50" xfId="0" applyFont="1" applyFill="1" applyBorder="1" applyAlignment="1">
      <alignment horizontal="left" vertical="center" wrapText="1" indent="1"/>
    </xf>
    <xf numFmtId="0" fontId="13" fillId="3" borderId="20" xfId="0" applyFont="1" applyFill="1" applyBorder="1" applyAlignment="1">
      <alignment horizontal="center" vertical="center" wrapText="1"/>
    </xf>
    <xf numFmtId="0" fontId="13" fillId="3" borderId="48" xfId="0" applyFont="1" applyFill="1" applyBorder="1" applyAlignment="1">
      <alignment horizontal="center" vertical="center" wrapText="1"/>
    </xf>
    <xf numFmtId="0" fontId="8" fillId="3" borderId="52" xfId="0" applyFont="1" applyFill="1" applyBorder="1" applyAlignment="1">
      <alignment horizontal="left" vertical="center" wrapText="1"/>
    </xf>
    <xf numFmtId="0" fontId="16" fillId="0" borderId="24" xfId="0" applyFont="1" applyBorder="1"/>
    <xf numFmtId="0" fontId="16" fillId="0" borderId="25" xfId="0" applyFont="1" applyBorder="1" applyAlignment="1">
      <alignment horizontal="left" vertical="center" wrapText="1" indent="1"/>
    </xf>
    <xf numFmtId="0" fontId="8" fillId="0" borderId="15" xfId="0" applyFont="1" applyBorder="1" applyAlignment="1">
      <alignment horizontal="left" vertical="center" wrapText="1"/>
    </xf>
    <xf numFmtId="0" fontId="8" fillId="0" borderId="37" xfId="0" applyFont="1" applyBorder="1" applyAlignment="1">
      <alignment horizontal="left" vertical="center" wrapText="1"/>
    </xf>
    <xf numFmtId="0" fontId="8" fillId="0" borderId="38" xfId="0" applyFont="1" applyBorder="1" applyAlignment="1">
      <alignment horizontal="left" vertical="center" wrapText="1"/>
    </xf>
    <xf numFmtId="0" fontId="16" fillId="0" borderId="13" xfId="0" applyFont="1" applyBorder="1" applyAlignment="1">
      <alignment horizontal="left" indent="1"/>
    </xf>
    <xf numFmtId="0" fontId="12" fillId="0" borderId="13" xfId="0" applyFont="1" applyBorder="1" applyAlignment="1">
      <alignment horizontal="left"/>
    </xf>
    <xf numFmtId="0" fontId="8" fillId="0" borderId="21" xfId="0" applyFont="1" applyBorder="1" applyAlignment="1">
      <alignment horizontal="center"/>
    </xf>
    <xf numFmtId="3" fontId="18" fillId="0" borderId="22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 vertical="center" wrapText="1"/>
    </xf>
    <xf numFmtId="0" fontId="8" fillId="0" borderId="13" xfId="0" applyFont="1" applyBorder="1"/>
    <xf numFmtId="0" fontId="16" fillId="0" borderId="35" xfId="0" applyFont="1" applyFill="1" applyBorder="1" applyAlignment="1">
      <alignment horizontal="left" vertical="center" wrapText="1" indent="1"/>
    </xf>
    <xf numFmtId="0" fontId="18" fillId="0" borderId="35" xfId="0" applyFont="1" applyBorder="1" applyAlignment="1">
      <alignment horizontal="left" vertical="center" wrapText="1"/>
    </xf>
    <xf numFmtId="0" fontId="8" fillId="0" borderId="23" xfId="0" applyFont="1" applyBorder="1"/>
    <xf numFmtId="0" fontId="13" fillId="0" borderId="23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/>
    </xf>
    <xf numFmtId="0" fontId="18" fillId="0" borderId="21" xfId="0" applyFont="1" applyBorder="1" applyAlignment="1">
      <alignment vertical="center" wrapText="1"/>
    </xf>
    <xf numFmtId="0" fontId="18" fillId="0" borderId="36" xfId="0" applyFont="1" applyBorder="1" applyAlignment="1">
      <alignment vertical="center" wrapText="1"/>
    </xf>
    <xf numFmtId="0" fontId="18" fillId="0" borderId="19" xfId="0" applyFont="1" applyBorder="1" applyAlignment="1">
      <alignment vertical="center" wrapText="1"/>
    </xf>
    <xf numFmtId="0" fontId="16" fillId="0" borderId="28" xfId="0" applyFont="1" applyBorder="1" applyAlignment="1">
      <alignment vertical="center" wrapText="1"/>
    </xf>
    <xf numFmtId="0" fontId="8" fillId="0" borderId="42" xfId="0" applyFont="1" applyFill="1" applyBorder="1" applyAlignment="1">
      <alignment horizontal="left" vertical="center" wrapText="1"/>
    </xf>
    <xf numFmtId="0" fontId="8" fillId="0" borderId="43" xfId="0" applyFont="1" applyFill="1" applyBorder="1" applyAlignment="1">
      <alignment horizontal="left" vertical="center" wrapText="1"/>
    </xf>
    <xf numFmtId="0" fontId="23" fillId="4" borderId="21" xfId="5" applyFont="1" applyFill="1" applyBorder="1" applyAlignment="1">
      <alignment horizontal="center" vertical="center" wrapText="1"/>
    </xf>
    <xf numFmtId="0" fontId="23" fillId="4" borderId="56" xfId="5" applyFont="1" applyFill="1" applyBorder="1" applyAlignment="1">
      <alignment horizontal="center" vertical="center" wrapText="1"/>
    </xf>
    <xf numFmtId="0" fontId="23" fillId="4" borderId="22" xfId="5" applyFont="1" applyFill="1" applyBorder="1" applyAlignment="1">
      <alignment horizontal="center" vertical="center" wrapText="1"/>
    </xf>
  </cellXfs>
  <cellStyles count="6">
    <cellStyle name="Encabezado 1" xfId="2" xr:uid="{00000000-0005-0000-0000-000000000000}"/>
    <cellStyle name="Moneda" xfId="1" builtinId="4"/>
    <cellStyle name="Moneda_AUTORIZACION Y NOTA DE PEDIDO" xfId="3" xr:uid="{00000000-0005-0000-0000-000002000000}"/>
    <cellStyle name="Neutral 1" xfId="4" xr:uid="{00000000-0005-0000-0000-000003000000}"/>
    <cellStyle name="Normal" xfId="0" builtinId="0"/>
    <cellStyle name="Normal 2" xfId="5" xr:uid="{00000000-0005-0000-0000-000005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K46"/>
  <sheetViews>
    <sheetView tabSelected="1" zoomScale="85" zoomScaleNormal="85" workbookViewId="0">
      <selection activeCell="I12" sqref="I12"/>
    </sheetView>
  </sheetViews>
  <sheetFormatPr baseColWidth="10" defaultColWidth="11" defaultRowHeight="13.5" x14ac:dyDescent="0.25"/>
  <cols>
    <col min="1" max="1" width="4.5703125" style="19" customWidth="1"/>
    <col min="2" max="2" width="14.7109375" style="56" customWidth="1"/>
    <col min="3" max="3" width="15.85546875" style="56" customWidth="1"/>
    <col min="4" max="4" width="8.42578125" style="19" customWidth="1"/>
    <col min="5" max="5" width="76.28515625" style="19" customWidth="1"/>
    <col min="6" max="6" width="11" style="19"/>
    <col min="7" max="7" width="10.7109375" style="19" customWidth="1"/>
    <col min="8" max="8" width="13.85546875" style="19" customWidth="1"/>
    <col min="9" max="9" width="18.5703125" style="19" customWidth="1"/>
    <col min="10" max="10" width="11" style="19"/>
    <col min="11" max="11" width="11.7109375" style="19" bestFit="1" customWidth="1"/>
    <col min="12" max="16384" width="11" style="19"/>
  </cols>
  <sheetData>
    <row r="2" spans="1:11" ht="28.5" x14ac:dyDescent="0.4">
      <c r="B2" s="89" t="s">
        <v>0</v>
      </c>
      <c r="C2" s="89"/>
      <c r="D2" s="89"/>
      <c r="E2" s="89"/>
      <c r="F2" s="89"/>
      <c r="G2" s="89"/>
      <c r="H2" s="89"/>
    </row>
    <row r="4" spans="1:11" ht="18" customHeight="1" x14ac:dyDescent="0.25">
      <c r="A4" s="90" t="s">
        <v>1</v>
      </c>
      <c r="B4" s="90"/>
      <c r="C4" s="91" t="s">
        <v>61</v>
      </c>
      <c r="D4" s="91"/>
      <c r="E4" s="91"/>
      <c r="F4" s="24"/>
      <c r="G4" s="25"/>
      <c r="H4" s="24"/>
    </row>
    <row r="5" spans="1:11" ht="27" customHeight="1" x14ac:dyDescent="0.25">
      <c r="A5" s="90" t="s">
        <v>2</v>
      </c>
      <c r="B5" s="90"/>
      <c r="C5" s="91" t="s">
        <v>62</v>
      </c>
      <c r="D5" s="91"/>
      <c r="E5" s="91"/>
      <c r="F5" s="24"/>
      <c r="G5" s="25"/>
      <c r="H5" s="24"/>
    </row>
    <row r="6" spans="1:11" ht="16.5" customHeight="1" x14ac:dyDescent="0.25">
      <c r="A6" s="90" t="s">
        <v>3</v>
      </c>
      <c r="B6" s="90"/>
      <c r="C6" s="63">
        <v>2021</v>
      </c>
      <c r="D6" s="64"/>
      <c r="E6" s="64"/>
      <c r="F6" s="24"/>
      <c r="G6" s="25"/>
      <c r="H6" s="24"/>
    </row>
    <row r="7" spans="1:11" ht="16.5" customHeight="1" x14ac:dyDescent="0.25">
      <c r="A7" s="90" t="s">
        <v>4</v>
      </c>
      <c r="B7" s="90"/>
      <c r="C7" s="63">
        <v>2</v>
      </c>
      <c r="D7" s="64"/>
      <c r="E7" s="64"/>
      <c r="F7" s="24"/>
      <c r="G7" s="25"/>
      <c r="H7" s="24"/>
    </row>
    <row r="8" spans="1:11" ht="14.25" thickBot="1" x14ac:dyDescent="0.3">
      <c r="B8" s="53"/>
      <c r="C8" s="53"/>
      <c r="D8" s="24"/>
      <c r="E8" s="24"/>
      <c r="F8" s="24"/>
      <c r="G8" s="25"/>
      <c r="H8" s="24"/>
    </row>
    <row r="9" spans="1:11" ht="39.75" thickTop="1" thickBot="1" x14ac:dyDescent="0.3">
      <c r="A9" s="26" t="s">
        <v>5</v>
      </c>
      <c r="B9" s="54" t="s">
        <v>6</v>
      </c>
      <c r="C9" s="26" t="s">
        <v>7</v>
      </c>
      <c r="D9" s="26" t="s">
        <v>8</v>
      </c>
      <c r="E9" s="26" t="s">
        <v>9</v>
      </c>
      <c r="F9" s="26" t="s">
        <v>10</v>
      </c>
      <c r="G9" s="27" t="s">
        <v>11</v>
      </c>
      <c r="H9" s="27" t="s">
        <v>12</v>
      </c>
      <c r="I9" s="27" t="s">
        <v>13</v>
      </c>
    </row>
    <row r="10" spans="1:11" ht="28.5" customHeight="1" thickBot="1" x14ac:dyDescent="0.3">
      <c r="A10" s="29">
        <v>1</v>
      </c>
      <c r="B10" s="55" t="s">
        <v>97</v>
      </c>
      <c r="C10" s="88" t="s">
        <v>108</v>
      </c>
      <c r="D10" s="30" t="s">
        <v>99</v>
      </c>
      <c r="E10" s="31" t="s">
        <v>110</v>
      </c>
      <c r="F10" s="32" t="s">
        <v>98</v>
      </c>
      <c r="G10" s="33">
        <v>8</v>
      </c>
      <c r="H10" s="34">
        <v>59860</v>
      </c>
      <c r="I10" s="28">
        <f>G10*H10</f>
        <v>478880</v>
      </c>
    </row>
    <row r="11" spans="1:11" ht="33" customHeight="1" thickBot="1" x14ac:dyDescent="0.3">
      <c r="A11" s="29">
        <v>2</v>
      </c>
      <c r="B11" s="55" t="s">
        <v>100</v>
      </c>
      <c r="C11" s="88" t="s">
        <v>108</v>
      </c>
      <c r="D11" s="30" t="s">
        <v>99</v>
      </c>
      <c r="E11" s="31" t="s">
        <v>111</v>
      </c>
      <c r="F11" s="32" t="s">
        <v>98</v>
      </c>
      <c r="G11" s="33">
        <v>12</v>
      </c>
      <c r="H11" s="34">
        <v>49900</v>
      </c>
      <c r="I11" s="28">
        <f>G11*H11</f>
        <v>598800</v>
      </c>
    </row>
    <row r="12" spans="1:11" ht="22.5" customHeight="1" x14ac:dyDescent="0.25">
      <c r="A12" s="95" t="s">
        <v>102</v>
      </c>
      <c r="B12" s="96"/>
      <c r="C12" s="96"/>
      <c r="D12" s="96"/>
      <c r="E12" s="96"/>
      <c r="F12" s="96"/>
      <c r="G12" s="96"/>
      <c r="H12" s="97"/>
      <c r="I12" s="28">
        <f>I11+I10</f>
        <v>1077680</v>
      </c>
    </row>
    <row r="13" spans="1:11" ht="15.75" customHeight="1" thickBot="1" x14ac:dyDescent="0.3">
      <c r="I13" s="35"/>
      <c r="K13" s="40"/>
    </row>
    <row r="14" spans="1:11" ht="16.5" customHeight="1" x14ac:dyDescent="0.25">
      <c r="B14" s="65" t="s">
        <v>56</v>
      </c>
      <c r="C14" s="57"/>
      <c r="D14" s="36"/>
      <c r="E14" s="36"/>
      <c r="F14" s="36"/>
      <c r="G14" s="36"/>
      <c r="H14" s="36"/>
      <c r="I14" s="37"/>
    </row>
    <row r="15" spans="1:11" ht="57.75" customHeight="1" x14ac:dyDescent="0.25">
      <c r="A15" s="39"/>
      <c r="B15" s="22"/>
      <c r="C15" s="93" t="s">
        <v>106</v>
      </c>
      <c r="D15" s="93"/>
      <c r="E15" s="93"/>
      <c r="F15" s="93"/>
      <c r="G15" s="93"/>
      <c r="H15" s="93"/>
      <c r="I15" s="39"/>
      <c r="J15" s="38"/>
    </row>
    <row r="16" spans="1:11" ht="16.5" customHeight="1" x14ac:dyDescent="0.25">
      <c r="B16" s="87" t="s">
        <v>105</v>
      </c>
      <c r="C16" s="22"/>
      <c r="D16" s="38"/>
      <c r="E16" s="38"/>
      <c r="F16" s="38"/>
      <c r="G16" s="38"/>
      <c r="H16" s="38"/>
      <c r="I16" s="39"/>
    </row>
    <row r="17" spans="1:9" ht="48" customHeight="1" x14ac:dyDescent="0.25">
      <c r="B17" s="43"/>
      <c r="C17" s="93" t="s">
        <v>107</v>
      </c>
      <c r="D17" s="93"/>
      <c r="E17" s="93"/>
      <c r="F17" s="93"/>
      <c r="G17" s="93"/>
      <c r="H17" s="93"/>
      <c r="I17" s="39"/>
    </row>
    <row r="18" spans="1:9" ht="49.5" customHeight="1" x14ac:dyDescent="0.25">
      <c r="B18" s="41" t="s">
        <v>14</v>
      </c>
      <c r="C18" s="22"/>
      <c r="D18" s="38"/>
      <c r="E18" s="42"/>
      <c r="F18" s="38"/>
      <c r="G18" s="38"/>
      <c r="H18" s="38"/>
      <c r="I18" s="39"/>
    </row>
    <row r="19" spans="1:9" ht="79.5" customHeight="1" x14ac:dyDescent="0.25">
      <c r="B19" s="43"/>
      <c r="C19" s="92" t="s">
        <v>101</v>
      </c>
      <c r="D19" s="92"/>
      <c r="E19" s="92"/>
      <c r="F19" s="38"/>
      <c r="G19" s="38"/>
      <c r="H19" s="38"/>
      <c r="I19" s="39"/>
    </row>
    <row r="20" spans="1:9" ht="27" customHeight="1" x14ac:dyDescent="0.25">
      <c r="B20" s="44" t="s">
        <v>15</v>
      </c>
      <c r="C20" s="22"/>
      <c r="D20" s="38"/>
      <c r="E20" s="42"/>
      <c r="F20" s="38"/>
      <c r="G20" s="38"/>
      <c r="H20" s="38"/>
      <c r="I20" s="39"/>
    </row>
    <row r="21" spans="1:9" x14ac:dyDescent="0.25">
      <c r="B21" s="43"/>
      <c r="C21" s="93" t="s">
        <v>53</v>
      </c>
      <c r="D21" s="93"/>
      <c r="E21" s="93"/>
      <c r="F21" s="38"/>
      <c r="G21" s="38"/>
      <c r="H21" s="38"/>
      <c r="I21" s="39"/>
    </row>
    <row r="22" spans="1:9" ht="18.75" customHeight="1" x14ac:dyDescent="0.25">
      <c r="B22" s="44" t="s">
        <v>16</v>
      </c>
      <c r="C22" s="51"/>
      <c r="D22" s="45"/>
      <c r="E22" s="45"/>
      <c r="F22" s="38"/>
      <c r="G22" s="38"/>
      <c r="H22" s="38"/>
      <c r="I22" s="39"/>
    </row>
    <row r="23" spans="1:9" x14ac:dyDescent="0.25">
      <c r="B23" s="43"/>
      <c r="C23" s="94" t="s">
        <v>54</v>
      </c>
      <c r="D23" s="94"/>
      <c r="E23" s="94"/>
      <c r="F23" s="38"/>
      <c r="G23" s="38"/>
      <c r="H23" s="38"/>
      <c r="I23" s="39"/>
    </row>
    <row r="24" spans="1:9" x14ac:dyDescent="0.25">
      <c r="B24" s="44" t="s">
        <v>17</v>
      </c>
      <c r="C24" s="22"/>
      <c r="D24" s="38"/>
      <c r="E24" s="38"/>
      <c r="F24" s="38"/>
      <c r="G24" s="38"/>
      <c r="H24" s="38"/>
      <c r="I24" s="39"/>
    </row>
    <row r="25" spans="1:9" ht="14.25" thickBot="1" x14ac:dyDescent="0.3">
      <c r="B25" s="52"/>
      <c r="C25" s="58" t="s">
        <v>112</v>
      </c>
      <c r="D25" s="46"/>
      <c r="E25" s="46"/>
      <c r="F25" s="46"/>
      <c r="G25" s="46"/>
      <c r="H25" s="46"/>
      <c r="I25" s="47"/>
    </row>
    <row r="26" spans="1:9" x14ac:dyDescent="0.25">
      <c r="B26" s="22"/>
      <c r="C26" s="22"/>
      <c r="D26" s="38"/>
      <c r="E26" s="38"/>
    </row>
    <row r="27" spans="1:9" x14ac:dyDescent="0.25">
      <c r="B27" s="22"/>
      <c r="C27" s="22"/>
      <c r="D27" s="38"/>
      <c r="E27" s="38"/>
    </row>
    <row r="28" spans="1:9" x14ac:dyDescent="0.25">
      <c r="B28" s="22"/>
      <c r="C28" s="22"/>
      <c r="D28" s="38"/>
      <c r="E28" s="38"/>
    </row>
    <row r="29" spans="1:9" x14ac:dyDescent="0.25">
      <c r="B29" s="22"/>
      <c r="C29" s="22"/>
      <c r="D29" s="38"/>
      <c r="E29" s="38"/>
    </row>
    <row r="30" spans="1:9" s="49" customFormat="1" x14ac:dyDescent="0.25">
      <c r="A30" s="19"/>
      <c r="B30" s="22"/>
      <c r="C30" s="22"/>
      <c r="D30" s="38"/>
      <c r="E30" s="38"/>
      <c r="F30" s="19"/>
      <c r="G30" s="19"/>
      <c r="H30" s="19"/>
      <c r="I30" s="19"/>
    </row>
    <row r="31" spans="1:9" s="49" customFormat="1" ht="12.75" x14ac:dyDescent="0.2">
      <c r="A31" s="48"/>
      <c r="B31" s="59"/>
      <c r="C31" s="59"/>
      <c r="D31" s="48"/>
    </row>
    <row r="32" spans="1:9" s="49" customFormat="1" ht="12.75" x14ac:dyDescent="0.2">
      <c r="A32" s="48"/>
      <c r="B32" s="59"/>
      <c r="C32" s="59"/>
      <c r="D32" s="48"/>
    </row>
    <row r="33" spans="1:9" x14ac:dyDescent="0.25">
      <c r="A33" s="48"/>
      <c r="B33" s="59"/>
      <c r="C33" s="59"/>
      <c r="D33" s="48"/>
      <c r="E33" s="49"/>
      <c r="F33" s="49"/>
      <c r="G33" s="49"/>
      <c r="H33" s="49"/>
      <c r="I33" s="49"/>
    </row>
    <row r="34" spans="1:9" s="49" customFormat="1" x14ac:dyDescent="0.25">
      <c r="A34" s="19"/>
      <c r="B34" s="56"/>
      <c r="C34" s="56"/>
      <c r="D34" s="19"/>
      <c r="E34" s="19"/>
      <c r="F34" s="19"/>
      <c r="G34" s="19"/>
      <c r="H34" s="19"/>
      <c r="I34" s="19"/>
    </row>
    <row r="35" spans="1:9" x14ac:dyDescent="0.25">
      <c r="A35" s="50"/>
      <c r="B35" s="59"/>
      <c r="C35" s="59"/>
      <c r="D35" s="50"/>
      <c r="E35" s="49"/>
      <c r="F35" s="49"/>
      <c r="G35" s="49"/>
      <c r="H35" s="49"/>
      <c r="I35" s="49"/>
    </row>
    <row r="36" spans="1:9" s="49" customFormat="1" x14ac:dyDescent="0.25">
      <c r="A36" s="19"/>
      <c r="B36" s="56"/>
      <c r="C36" s="56"/>
      <c r="D36" s="19"/>
      <c r="E36" s="19"/>
      <c r="F36" s="19"/>
      <c r="G36" s="19"/>
      <c r="H36" s="19"/>
      <c r="I36" s="19"/>
    </row>
    <row r="37" spans="1:9" s="49" customFormat="1" ht="12.75" x14ac:dyDescent="0.2">
      <c r="A37" s="50"/>
      <c r="B37" s="59"/>
      <c r="C37" s="59"/>
      <c r="D37" s="50"/>
    </row>
    <row r="38" spans="1:9" x14ac:dyDescent="0.25">
      <c r="A38" s="48"/>
      <c r="B38" s="59"/>
      <c r="C38" s="59"/>
      <c r="D38" s="50"/>
      <c r="E38" s="49"/>
      <c r="F38" s="49"/>
      <c r="G38" s="49"/>
      <c r="H38" s="49"/>
      <c r="I38" s="49"/>
    </row>
    <row r="39" spans="1:9" s="49" customFormat="1" x14ac:dyDescent="0.25">
      <c r="A39" s="19"/>
      <c r="B39" s="56"/>
      <c r="C39" s="56"/>
      <c r="D39" s="19"/>
      <c r="E39" s="19"/>
      <c r="F39" s="19"/>
      <c r="G39" s="19"/>
      <c r="H39" s="19"/>
      <c r="I39" s="19"/>
    </row>
    <row r="40" spans="1:9" x14ac:dyDescent="0.25">
      <c r="A40" s="48"/>
      <c r="B40" s="59"/>
      <c r="C40" s="59"/>
      <c r="D40" s="50"/>
      <c r="E40" s="49"/>
      <c r="F40" s="49"/>
      <c r="G40" s="49"/>
      <c r="H40" s="49"/>
      <c r="I40" s="49"/>
    </row>
    <row r="42" spans="1:9" s="49" customFormat="1" x14ac:dyDescent="0.25">
      <c r="A42" s="19"/>
      <c r="B42" s="56"/>
      <c r="C42" s="56"/>
      <c r="D42" s="19"/>
      <c r="E42" s="19"/>
      <c r="F42" s="19"/>
      <c r="G42" s="19"/>
      <c r="H42" s="19"/>
      <c r="I42" s="19"/>
    </row>
    <row r="43" spans="1:9" x14ac:dyDescent="0.25">
      <c r="A43" s="48"/>
      <c r="B43" s="59"/>
      <c r="C43" s="59"/>
      <c r="D43" s="50"/>
      <c r="E43" s="49"/>
      <c r="F43" s="49"/>
      <c r="G43" s="49"/>
      <c r="H43" s="49"/>
      <c r="I43" s="49"/>
    </row>
    <row r="44" spans="1:9" s="49" customFormat="1" x14ac:dyDescent="0.25">
      <c r="A44" s="19"/>
      <c r="B44" s="56"/>
      <c r="C44" s="56"/>
      <c r="D44" s="19"/>
      <c r="E44" s="19"/>
      <c r="F44" s="19"/>
      <c r="G44" s="19"/>
      <c r="H44" s="19"/>
      <c r="I44" s="19"/>
    </row>
    <row r="45" spans="1:9" s="49" customFormat="1" ht="12.75" x14ac:dyDescent="0.2">
      <c r="A45" s="50"/>
      <c r="B45" s="59"/>
      <c r="C45" s="59"/>
      <c r="D45" s="50"/>
    </row>
    <row r="46" spans="1:9" x14ac:dyDescent="0.25">
      <c r="A46" s="48"/>
      <c r="B46" s="59"/>
      <c r="C46" s="59"/>
      <c r="D46" s="50"/>
      <c r="E46" s="49"/>
      <c r="F46" s="49"/>
      <c r="G46" s="49"/>
      <c r="H46" s="49"/>
      <c r="I46" s="49"/>
    </row>
  </sheetData>
  <mergeCells count="13">
    <mergeCell ref="C19:E19"/>
    <mergeCell ref="C21:E21"/>
    <mergeCell ref="C23:E23"/>
    <mergeCell ref="A6:B6"/>
    <mergeCell ref="A7:B7"/>
    <mergeCell ref="A12:H12"/>
    <mergeCell ref="C15:H15"/>
    <mergeCell ref="C17:H17"/>
    <mergeCell ref="B2:H2"/>
    <mergeCell ref="A4:B4"/>
    <mergeCell ref="C4:E4"/>
    <mergeCell ref="A5:B5"/>
    <mergeCell ref="C5:E5"/>
  </mergeCells>
  <pageMargins left="0.7" right="0.234375" top="0.52696078431372551" bottom="0.31862745098039214" header="0.51180555555555496" footer="0.51180555555555496"/>
  <pageSetup paperSize="190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J14"/>
  <sheetViews>
    <sheetView zoomScale="85" zoomScaleNormal="85" workbookViewId="0">
      <selection activeCell="D9" sqref="D9"/>
    </sheetView>
  </sheetViews>
  <sheetFormatPr baseColWidth="10" defaultColWidth="9.140625" defaultRowHeight="13.5" x14ac:dyDescent="0.25"/>
  <cols>
    <col min="1" max="1" width="5.5703125" style="18" customWidth="1"/>
    <col min="2" max="2" width="15.140625" style="18" customWidth="1"/>
    <col min="3" max="3" width="14.140625" style="18" customWidth="1"/>
    <col min="4" max="4" width="26" style="18" customWidth="1"/>
    <col min="5" max="5" width="8" style="18" customWidth="1"/>
    <col min="6" max="6" width="7.85546875" style="18" customWidth="1"/>
    <col min="7" max="7" width="42" style="18" customWidth="1"/>
    <col min="8" max="8" width="9.28515625" style="18" customWidth="1"/>
    <col min="9" max="9" width="15.5703125" style="18" customWidth="1"/>
    <col min="10" max="10" width="14.7109375" style="18" customWidth="1"/>
    <col min="11" max="11" width="15.5703125" style="18" customWidth="1"/>
    <col min="12" max="14" width="5.85546875" style="18" customWidth="1"/>
    <col min="15" max="15" width="12.5703125" style="18" customWidth="1"/>
    <col min="16" max="1024" width="9.140625" style="18"/>
    <col min="1025" max="16384" width="9.140625" style="19"/>
  </cols>
  <sheetData>
    <row r="1" spans="1:11" ht="26.25" customHeight="1" x14ac:dyDescent="0.25">
      <c r="A1" s="102" t="s">
        <v>18</v>
      </c>
      <c r="B1" s="102"/>
      <c r="C1" s="102"/>
      <c r="D1" s="102"/>
      <c r="E1" s="102"/>
      <c r="F1" s="102"/>
      <c r="G1" s="102"/>
      <c r="H1" s="102"/>
      <c r="I1" s="102"/>
      <c r="J1" s="17" t="s">
        <v>19</v>
      </c>
      <c r="K1" s="66" t="s">
        <v>104</v>
      </c>
    </row>
    <row r="2" spans="1:11" ht="18.75" customHeight="1" thickBot="1" x14ac:dyDescent="0.3">
      <c r="A2" s="20"/>
      <c r="B2" s="20"/>
      <c r="C2" s="20"/>
      <c r="D2" s="21"/>
      <c r="E2" s="21"/>
      <c r="F2" s="21"/>
      <c r="G2" s="21"/>
      <c r="H2" s="21"/>
      <c r="I2" s="21"/>
      <c r="J2" s="21"/>
      <c r="K2" s="21"/>
    </row>
    <row r="3" spans="1:11" ht="18.75" customHeight="1" thickBot="1" x14ac:dyDescent="0.3">
      <c r="A3" s="103" t="s">
        <v>50</v>
      </c>
      <c r="B3" s="103"/>
      <c r="C3" s="103"/>
      <c r="D3" s="104" t="str">
        <f>'Necesidades Trimestrales'!C4</f>
        <v>085 -Ministerio de Mineria</v>
      </c>
      <c r="E3" s="104"/>
      <c r="F3" s="104"/>
      <c r="G3" s="104"/>
      <c r="H3" s="104"/>
      <c r="I3" s="104"/>
      <c r="J3" s="104"/>
      <c r="K3" s="104"/>
    </row>
    <row r="4" spans="1:11" ht="18.75" customHeight="1" thickBot="1" x14ac:dyDescent="0.3">
      <c r="A4" s="105" t="s">
        <v>51</v>
      </c>
      <c r="B4" s="105"/>
      <c r="C4" s="105"/>
      <c r="D4" s="104" t="str">
        <f>'Necesidades Trimestrales'!C5</f>
        <v>30 - Dirección Provincial de Administración y Recursos Humanos</v>
      </c>
      <c r="E4" s="104"/>
      <c r="F4" s="104"/>
      <c r="G4" s="104"/>
      <c r="H4" s="104"/>
      <c r="I4" s="104"/>
      <c r="J4" s="104"/>
      <c r="K4" s="104"/>
    </row>
    <row r="5" spans="1:11" ht="18.75" customHeight="1" thickBot="1" x14ac:dyDescent="0.3">
      <c r="A5" s="105" t="s">
        <v>30</v>
      </c>
      <c r="B5" s="105"/>
      <c r="C5" s="105"/>
      <c r="D5" s="104" t="s">
        <v>63</v>
      </c>
      <c r="E5" s="104"/>
      <c r="F5" s="104"/>
      <c r="G5" s="104"/>
      <c r="H5" s="104"/>
      <c r="I5" s="104"/>
      <c r="J5" s="104"/>
      <c r="K5" s="104"/>
    </row>
    <row r="6" spans="1:11" ht="16.5" customHeight="1" thickBot="1" x14ac:dyDescent="0.3">
      <c r="A6" s="103" t="s">
        <v>52</v>
      </c>
      <c r="B6" s="103"/>
      <c r="C6" s="103"/>
      <c r="D6" s="104" t="s">
        <v>63</v>
      </c>
      <c r="E6" s="104"/>
      <c r="F6" s="104"/>
      <c r="G6" s="104"/>
      <c r="H6" s="104"/>
      <c r="I6" s="104"/>
      <c r="J6" s="104"/>
      <c r="K6" s="104"/>
    </row>
    <row r="7" spans="1:11" ht="16.5" customHeight="1" thickBot="1" x14ac:dyDescent="0.3">
      <c r="A7" s="105" t="s">
        <v>20</v>
      </c>
      <c r="B7" s="105"/>
      <c r="C7" s="105"/>
      <c r="D7" s="104" t="str">
        <f>'Necesidades Trimestrales'!C7 &amp; "° Trimestre - Año " &amp; 'Necesidades Trimestrales'!C6</f>
        <v>2° Trimestre - Año 2021</v>
      </c>
      <c r="E7" s="104"/>
      <c r="F7" s="104"/>
      <c r="G7" s="104"/>
      <c r="H7" s="104"/>
      <c r="I7" s="104"/>
      <c r="J7" s="104"/>
      <c r="K7" s="104"/>
    </row>
    <row r="8" spans="1:11" ht="16.5" customHeight="1" x14ac:dyDescent="0.25">
      <c r="A8" s="98" t="s">
        <v>21</v>
      </c>
      <c r="B8" s="98"/>
      <c r="C8" s="98"/>
      <c r="D8" s="99" t="s">
        <v>113</v>
      </c>
      <c r="E8" s="99"/>
      <c r="F8" s="99"/>
      <c r="G8" s="99"/>
      <c r="H8" s="99"/>
      <c r="I8" s="99"/>
      <c r="J8" s="99"/>
      <c r="K8" s="99"/>
    </row>
    <row r="9" spans="1:11" ht="14.25" thickBot="1" x14ac:dyDescent="0.3">
      <c r="A9" s="22"/>
      <c r="B9" s="22"/>
      <c r="C9" s="22"/>
      <c r="D9" s="23"/>
      <c r="E9" s="23"/>
      <c r="F9" s="23"/>
      <c r="G9" s="23"/>
      <c r="H9" s="23"/>
      <c r="I9" s="23"/>
      <c r="J9" s="23"/>
      <c r="K9" s="23"/>
    </row>
    <row r="10" spans="1:11" ht="18.75" customHeight="1" thickBot="1" x14ac:dyDescent="0.3">
      <c r="A10" s="100" t="s">
        <v>22</v>
      </c>
      <c r="B10" s="110" t="s">
        <v>58</v>
      </c>
      <c r="C10" s="110" t="s">
        <v>23</v>
      </c>
      <c r="D10" s="110"/>
      <c r="E10" s="110"/>
      <c r="F10" s="110"/>
      <c r="G10" s="110"/>
      <c r="H10" s="110" t="s">
        <v>24</v>
      </c>
      <c r="I10" s="110" t="s">
        <v>25</v>
      </c>
      <c r="J10" s="110" t="s">
        <v>26</v>
      </c>
      <c r="K10" s="106" t="s">
        <v>27</v>
      </c>
    </row>
    <row r="11" spans="1:11" ht="24" customHeight="1" x14ac:dyDescent="0.25">
      <c r="A11" s="101"/>
      <c r="B11" s="111"/>
      <c r="C11" s="111"/>
      <c r="D11" s="111"/>
      <c r="E11" s="111"/>
      <c r="F11" s="111"/>
      <c r="G11" s="111"/>
      <c r="H11" s="111"/>
      <c r="I11" s="111"/>
      <c r="J11" s="111"/>
      <c r="K11" s="107"/>
    </row>
    <row r="12" spans="1:11" ht="29.25" customHeight="1" thickBot="1" x14ac:dyDescent="0.3">
      <c r="A12" s="68">
        <v>1</v>
      </c>
      <c r="B12" s="69" t="s">
        <v>97</v>
      </c>
      <c r="C12" s="112" t="str">
        <f>'Necesidades Trimestrales'!E10</f>
        <v>NEUMATICOS; VEHICULO: CAMIONETA, CONSTRUCCION: RADIAL, ARMADO: S/CAMARA, MEDIDA: 265/70R16</v>
      </c>
      <c r="D12" s="112"/>
      <c r="E12" s="112"/>
      <c r="F12" s="112"/>
      <c r="G12" s="112"/>
      <c r="H12" s="69" t="s">
        <v>109</v>
      </c>
      <c r="I12" s="69" t="str">
        <f>'Necesidades Trimestrales'!F10</f>
        <v>UNIDAD</v>
      </c>
      <c r="J12" s="70">
        <f>'Necesidades Trimestrales'!H10</f>
        <v>59860</v>
      </c>
      <c r="K12" s="71">
        <f>'Necesidades Trimestrales'!G10</f>
        <v>8</v>
      </c>
    </row>
    <row r="13" spans="1:11" ht="30.75" customHeight="1" thickBot="1" x14ac:dyDescent="0.3">
      <c r="A13" s="68">
        <f>'Necesidades Trimestrales'!A11</f>
        <v>2</v>
      </c>
      <c r="B13" s="69" t="str">
        <f>'Necesidades Trimestrales'!B11</f>
        <v>2.4.4-6818.988</v>
      </c>
      <c r="C13" s="112" t="str">
        <f>'Necesidades Trimestrales'!E11</f>
        <v>NEUMATICOS; VEHICULO: CAMIONETA, CONSTRUCCION: RADIAL, ARMADO: S/CAMARA, MEDIDA: 265/65 R17</v>
      </c>
      <c r="D13" s="112"/>
      <c r="E13" s="112"/>
      <c r="F13" s="112"/>
      <c r="G13" s="112"/>
      <c r="H13" s="69" t="s">
        <v>109</v>
      </c>
      <c r="I13" s="69" t="str">
        <f>'Necesidades Trimestrales'!F11</f>
        <v>UNIDAD</v>
      </c>
      <c r="J13" s="70">
        <f>'Necesidades Trimestrales'!H11</f>
        <v>49900</v>
      </c>
      <c r="K13" s="71">
        <f>'Necesidades Trimestrales'!G11</f>
        <v>12</v>
      </c>
    </row>
    <row r="14" spans="1:11" ht="14.25" thickBot="1" x14ac:dyDescent="0.3">
      <c r="A14" s="109" t="str">
        <f>+'Necesidades Trimestrales'!A12:H12</f>
        <v>COSTO TOTAL ESTIMADO: SON PESOS UN MILLON SETENTA Y SIETE MIL SEISCIENTOS OCHENTA CON 00/100</v>
      </c>
      <c r="B14" s="109"/>
      <c r="C14" s="109"/>
      <c r="D14" s="109"/>
      <c r="E14" s="109"/>
      <c r="F14" s="109"/>
      <c r="G14" s="109"/>
      <c r="H14" s="109"/>
      <c r="I14" s="109"/>
      <c r="J14" s="108">
        <f>J12*K12+J13*K13</f>
        <v>1077680</v>
      </c>
      <c r="K14" s="108"/>
    </row>
  </sheetData>
  <mergeCells count="24">
    <mergeCell ref="J14:K14"/>
    <mergeCell ref="A14:I14"/>
    <mergeCell ref="B10:B11"/>
    <mergeCell ref="C10:G11"/>
    <mergeCell ref="H10:H11"/>
    <mergeCell ref="I10:I11"/>
    <mergeCell ref="J10:J11"/>
    <mergeCell ref="C13:G13"/>
    <mergeCell ref="C12:G12"/>
    <mergeCell ref="A8:C8"/>
    <mergeCell ref="D8:K8"/>
    <mergeCell ref="A10:A11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K10:K11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20"/>
  <sheetViews>
    <sheetView topLeftCell="A4" zoomScale="115" zoomScaleNormal="115" workbookViewId="0">
      <selection activeCell="A19" sqref="A19:Q20"/>
    </sheetView>
  </sheetViews>
  <sheetFormatPr baseColWidth="10" defaultColWidth="11" defaultRowHeight="13.5" x14ac:dyDescent="0.25"/>
  <cols>
    <col min="1" max="5" width="4.42578125" style="1" customWidth="1"/>
    <col min="6" max="6" width="5.85546875" style="1" customWidth="1"/>
    <col min="7" max="7" width="4.42578125" style="5" customWidth="1"/>
    <col min="8" max="14" width="4.42578125" style="1" customWidth="1"/>
    <col min="15" max="16" width="14.85546875" style="1" customWidth="1"/>
    <col min="17" max="17" width="14.7109375" style="1" customWidth="1"/>
    <col min="18" max="18" width="11" style="1"/>
    <col min="19" max="19" width="11.7109375" style="1" bestFit="1" customWidth="1"/>
    <col min="20" max="16384" width="11" style="1"/>
  </cols>
  <sheetData>
    <row r="1" spans="1:19" ht="15.75" customHeight="1" x14ac:dyDescent="0.25">
      <c r="A1" s="120" t="s">
        <v>3</v>
      </c>
      <c r="B1" s="120"/>
      <c r="C1" s="120"/>
      <c r="D1" s="121">
        <f>'Necesidades Trimestrales'!C6</f>
        <v>2021</v>
      </c>
      <c r="E1" s="121"/>
      <c r="F1" s="3"/>
      <c r="G1" s="3"/>
      <c r="H1" s="4"/>
      <c r="I1" s="4"/>
      <c r="J1" s="4"/>
      <c r="K1" s="4"/>
      <c r="L1" s="4"/>
      <c r="M1" s="4"/>
      <c r="N1" s="4"/>
      <c r="P1" s="122" t="s">
        <v>28</v>
      </c>
      <c r="Q1" s="122"/>
    </row>
    <row r="2" spans="1:19" ht="15.75" customHeight="1" x14ac:dyDescent="0.25">
      <c r="H2" s="4"/>
      <c r="I2" s="4"/>
      <c r="J2" s="4"/>
      <c r="K2" s="4"/>
      <c r="L2" s="4"/>
      <c r="M2" s="4"/>
      <c r="N2" s="4"/>
      <c r="P2" s="122"/>
      <c r="Q2" s="122"/>
    </row>
    <row r="4" spans="1:19" ht="18" customHeight="1" thickBot="1" x14ac:dyDescent="0.35">
      <c r="A4" s="123" t="s">
        <v>29</v>
      </c>
      <c r="B4" s="123"/>
      <c r="C4" s="123"/>
      <c r="D4" s="123"/>
      <c r="E4" s="123"/>
      <c r="F4" s="123"/>
      <c r="G4" s="118" t="str">
        <f>' NotaPedido'!D3</f>
        <v>085 -Ministerio de Mineria</v>
      </c>
      <c r="H4" s="118"/>
      <c r="I4" s="118"/>
      <c r="J4" s="118"/>
      <c r="K4" s="118"/>
      <c r="L4" s="118"/>
      <c r="M4" s="118"/>
      <c r="N4" s="118"/>
      <c r="O4" s="118"/>
      <c r="P4" s="118"/>
      <c r="Q4" s="118"/>
    </row>
    <row r="5" spans="1:19" ht="18" customHeight="1" thickBot="1" x14ac:dyDescent="0.35">
      <c r="A5" s="115" t="s">
        <v>51</v>
      </c>
      <c r="B5" s="116"/>
      <c r="C5" s="116"/>
      <c r="D5" s="116"/>
      <c r="E5" s="116"/>
      <c r="F5" s="117"/>
      <c r="G5" s="118" t="str">
        <f>' NotaPedido'!D4</f>
        <v>30 - Dirección Provincial de Administración y Recursos Humanos</v>
      </c>
      <c r="H5" s="118"/>
      <c r="I5" s="118"/>
      <c r="J5" s="118"/>
      <c r="K5" s="118"/>
      <c r="L5" s="118"/>
      <c r="M5" s="118"/>
      <c r="N5" s="118"/>
      <c r="O5" s="118"/>
      <c r="P5" s="118"/>
      <c r="Q5" s="118"/>
    </row>
    <row r="6" spans="1:19" ht="18" customHeight="1" thickBot="1" x14ac:dyDescent="0.35">
      <c r="A6" s="115" t="s">
        <v>30</v>
      </c>
      <c r="B6" s="116"/>
      <c r="C6" s="116"/>
      <c r="D6" s="116"/>
      <c r="E6" s="116"/>
      <c r="F6" s="117"/>
      <c r="G6" s="118" t="s">
        <v>64</v>
      </c>
      <c r="H6" s="118"/>
      <c r="I6" s="118"/>
      <c r="J6" s="118"/>
      <c r="K6" s="118"/>
      <c r="L6" s="118"/>
      <c r="M6" s="118"/>
      <c r="N6" s="118"/>
      <c r="O6" s="118"/>
      <c r="P6" s="118"/>
      <c r="Q6" s="118"/>
    </row>
    <row r="7" spans="1:19" ht="18" customHeight="1" thickBot="1" x14ac:dyDescent="0.35">
      <c r="A7" s="115" t="s">
        <v>52</v>
      </c>
      <c r="B7" s="116"/>
      <c r="C7" s="116"/>
      <c r="D7" s="116"/>
      <c r="E7" s="116"/>
      <c r="F7" s="117"/>
      <c r="G7" s="118" t="str">
        <f>' NotaPedido'!D6</f>
        <v>Dirección Provincial de Administración y Recursos Humanos</v>
      </c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8" spans="1:19" ht="18" customHeight="1" thickBot="1" x14ac:dyDescent="0.3">
      <c r="A8" s="119" t="s">
        <v>55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</row>
    <row r="9" spans="1:19" ht="18" customHeight="1" x14ac:dyDescent="0.3">
      <c r="A9" s="113" t="s">
        <v>31</v>
      </c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2"/>
      <c r="P9" s="2"/>
      <c r="Q9" s="6"/>
    </row>
    <row r="10" spans="1:19" ht="65.25" customHeight="1" x14ac:dyDescent="0.25">
      <c r="A10" s="114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004/2021,  afectando la erogación resultante a los créditos presupuestarios aprobados a favor de esta Unidad Ejecutora, conforme al siguiente detalle:</v>
      </c>
      <c r="B10" s="114"/>
      <c r="C10" s="114"/>
      <c r="D10" s="114"/>
      <c r="E10" s="114"/>
      <c r="F10" s="114"/>
      <c r="G10" s="114"/>
      <c r="H10" s="114"/>
      <c r="I10" s="114"/>
      <c r="J10" s="114"/>
      <c r="K10" s="114"/>
      <c r="L10" s="114"/>
      <c r="M10" s="114"/>
      <c r="N10" s="114"/>
      <c r="O10" s="114"/>
      <c r="P10" s="114"/>
      <c r="Q10" s="114"/>
    </row>
    <row r="11" spans="1:19" ht="9" customHeight="1" x14ac:dyDescent="0.25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9" ht="15.75" customHeight="1" x14ac:dyDescent="0.25">
      <c r="A12" s="127" t="s">
        <v>32</v>
      </c>
      <c r="B12" s="127"/>
      <c r="C12" s="127"/>
      <c r="D12" s="127"/>
      <c r="E12" s="127"/>
      <c r="F12" s="127"/>
      <c r="G12" s="127"/>
      <c r="H12" s="127"/>
      <c r="I12" s="127"/>
      <c r="J12" s="127"/>
      <c r="K12" s="127"/>
      <c r="L12" s="127"/>
      <c r="M12" s="127"/>
      <c r="N12" s="127"/>
      <c r="O12" s="127"/>
      <c r="P12" s="127"/>
      <c r="Q12" s="127"/>
    </row>
    <row r="13" spans="1:19" ht="15.75" customHeight="1" x14ac:dyDescent="0.25">
      <c r="A13" s="128" t="s">
        <v>33</v>
      </c>
      <c r="B13" s="128"/>
      <c r="C13" s="128"/>
      <c r="D13" s="128"/>
      <c r="E13" s="128"/>
      <c r="F13" s="128"/>
      <c r="G13" s="128"/>
      <c r="H13" s="128"/>
      <c r="I13" s="128"/>
      <c r="J13" s="128"/>
      <c r="K13" s="128"/>
      <c r="L13" s="128"/>
      <c r="M13" s="128"/>
      <c r="N13" s="128"/>
      <c r="O13" s="129" t="s">
        <v>34</v>
      </c>
      <c r="P13" s="129"/>
      <c r="Q13" s="130" t="s">
        <v>35</v>
      </c>
    </row>
    <row r="14" spans="1:19" ht="15.75" customHeight="1" thickBot="1" x14ac:dyDescent="0.3">
      <c r="A14" s="11" t="s">
        <v>36</v>
      </c>
      <c r="B14" s="12" t="s">
        <v>37</v>
      </c>
      <c r="C14" s="12" t="s">
        <v>38</v>
      </c>
      <c r="D14" s="12" t="s">
        <v>39</v>
      </c>
      <c r="E14" s="12" t="s">
        <v>40</v>
      </c>
      <c r="F14" s="12" t="s">
        <v>41</v>
      </c>
      <c r="G14" s="13" t="s">
        <v>42</v>
      </c>
      <c r="H14" s="12" t="s">
        <v>43</v>
      </c>
      <c r="I14" s="12" t="s">
        <v>44</v>
      </c>
      <c r="J14" s="12" t="s">
        <v>45</v>
      </c>
      <c r="K14" s="12" t="s">
        <v>45</v>
      </c>
      <c r="L14" s="12" t="s">
        <v>46</v>
      </c>
      <c r="M14" s="14" t="s">
        <v>47</v>
      </c>
      <c r="N14" s="15" t="s">
        <v>48</v>
      </c>
      <c r="O14" s="129"/>
      <c r="P14" s="129"/>
      <c r="Q14" s="130"/>
    </row>
    <row r="15" spans="1:19" ht="17.25" customHeight="1" thickBot="1" x14ac:dyDescent="0.3">
      <c r="A15" s="60">
        <v>27</v>
      </c>
      <c r="B15" s="61">
        <v>0</v>
      </c>
      <c r="C15" s="61">
        <v>0</v>
      </c>
      <c r="D15" s="61">
        <v>1</v>
      </c>
      <c r="E15" s="61">
        <v>0</v>
      </c>
      <c r="F15" s="61">
        <v>4901</v>
      </c>
      <c r="G15" s="61">
        <v>4</v>
      </c>
      <c r="H15" s="61">
        <v>410</v>
      </c>
      <c r="I15" s="61">
        <v>2</v>
      </c>
      <c r="J15" s="61">
        <v>4</v>
      </c>
      <c r="K15" s="61">
        <v>4</v>
      </c>
      <c r="L15" s="61">
        <v>0</v>
      </c>
      <c r="M15" s="62">
        <v>1</v>
      </c>
      <c r="N15" s="61" t="s">
        <v>57</v>
      </c>
      <c r="O15" s="135" t="s">
        <v>103</v>
      </c>
      <c r="P15" s="136"/>
      <c r="Q15" s="67">
        <f>Q16</f>
        <v>1077680</v>
      </c>
      <c r="S15" s="72"/>
    </row>
    <row r="16" spans="1:19" ht="28.5" customHeight="1" thickBot="1" x14ac:dyDescent="0.3">
      <c r="A16" s="125" t="str">
        <f>+' NotaPedido'!A14:I14</f>
        <v>COSTO TOTAL ESTIMADO: SON PESOS UN MILLON SETENTA Y SIETE MIL SEISCIENTOS OCHENTA CON 00/100</v>
      </c>
      <c r="B16" s="125"/>
      <c r="C16" s="125"/>
      <c r="D16" s="125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6">
        <f>'Necesidades Trimestrales'!I12</f>
        <v>1077680</v>
      </c>
    </row>
    <row r="17" spans="1:17" ht="18" customHeight="1" thickBot="1" x14ac:dyDescent="0.3">
      <c r="A17" s="126"/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</row>
    <row r="18" spans="1:17" ht="17.25" customHeight="1" thickBot="1" x14ac:dyDescent="0.3">
      <c r="A18" s="131" t="s">
        <v>49</v>
      </c>
      <c r="B18" s="132"/>
      <c r="C18" s="132"/>
      <c r="D18" s="132"/>
      <c r="E18" s="132"/>
      <c r="F18" s="133"/>
      <c r="G18" s="134"/>
      <c r="H18" s="134"/>
      <c r="I18" s="134"/>
      <c r="J18" s="134"/>
      <c r="K18" s="134"/>
      <c r="L18" s="134"/>
      <c r="M18" s="134"/>
      <c r="N18" s="134"/>
      <c r="O18" s="134"/>
      <c r="P18" s="134"/>
      <c r="Q18" s="134"/>
    </row>
    <row r="19" spans="1:17" ht="18" customHeight="1" thickBot="1" x14ac:dyDescent="0.3">
      <c r="A19" s="124" t="str">
        <f>' NotaPedido'!D8</f>
        <v>Adquisición de Neumaticos para el parque automotor de este Ministerio.</v>
      </c>
      <c r="B19" s="124"/>
      <c r="C19" s="124"/>
      <c r="D19" s="124"/>
      <c r="E19" s="124"/>
      <c r="F19" s="124"/>
      <c r="G19" s="124"/>
      <c r="H19" s="124"/>
      <c r="I19" s="124"/>
      <c r="J19" s="124"/>
      <c r="K19" s="124"/>
      <c r="L19" s="124"/>
      <c r="M19" s="124"/>
      <c r="N19" s="124"/>
      <c r="O19" s="124"/>
      <c r="P19" s="124"/>
      <c r="Q19" s="124"/>
    </row>
    <row r="20" spans="1:17" ht="15" customHeight="1" x14ac:dyDescent="0.25">
      <c r="A20" s="124"/>
      <c r="B20" s="124"/>
      <c r="C20" s="124"/>
      <c r="D20" s="124"/>
      <c r="E20" s="124"/>
      <c r="F20" s="124"/>
      <c r="G20" s="124"/>
      <c r="H20" s="124"/>
      <c r="I20" s="124"/>
      <c r="J20" s="124"/>
      <c r="K20" s="124"/>
      <c r="L20" s="124"/>
      <c r="M20" s="124"/>
      <c r="N20" s="124"/>
      <c r="O20" s="124"/>
      <c r="P20" s="124"/>
      <c r="Q20" s="124"/>
    </row>
  </sheetData>
  <mergeCells count="24">
    <mergeCell ref="A19:Q20"/>
    <mergeCell ref="A16:P16"/>
    <mergeCell ref="A17:Q17"/>
    <mergeCell ref="A12:Q12"/>
    <mergeCell ref="A13:N13"/>
    <mergeCell ref="O13:P14"/>
    <mergeCell ref="Q13:Q14"/>
    <mergeCell ref="A18:F18"/>
    <mergeCell ref="G18:Q18"/>
    <mergeCell ref="O15:P15"/>
    <mergeCell ref="A1:C1"/>
    <mergeCell ref="D1:E1"/>
    <mergeCell ref="P1:Q2"/>
    <mergeCell ref="A4:F4"/>
    <mergeCell ref="G4:Q4"/>
    <mergeCell ref="A9:N9"/>
    <mergeCell ref="A10:Q10"/>
    <mergeCell ref="A5:F5"/>
    <mergeCell ref="G5:Q5"/>
    <mergeCell ref="A8:Q8"/>
    <mergeCell ref="A6:F6"/>
    <mergeCell ref="G6:Q6"/>
    <mergeCell ref="A7:F7"/>
    <mergeCell ref="G7:Q7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9"/>
  <sheetViews>
    <sheetView workbookViewId="0">
      <selection activeCell="E20" sqref="E20"/>
    </sheetView>
  </sheetViews>
  <sheetFormatPr baseColWidth="10" defaultRowHeight="15" x14ac:dyDescent="0.25"/>
  <cols>
    <col min="1" max="1" width="7.42578125" style="75" customWidth="1"/>
    <col min="2" max="2" width="37.42578125" style="75" customWidth="1"/>
    <col min="3" max="3" width="14.7109375" style="75" customWidth="1"/>
    <col min="4" max="4" width="18.5703125" style="75" customWidth="1"/>
    <col min="5" max="5" width="24" style="75" customWidth="1"/>
    <col min="6" max="6" width="20" style="75" customWidth="1"/>
    <col min="7" max="7" width="6.5703125" style="75" customWidth="1"/>
    <col min="8" max="8" width="8.7109375" style="75" customWidth="1"/>
    <col min="9" max="16384" width="11.42578125" style="73"/>
  </cols>
  <sheetData>
    <row r="1" spans="1:8" ht="52.5" customHeight="1" thickBot="1" x14ac:dyDescent="0.3">
      <c r="A1" s="137" t="s">
        <v>96</v>
      </c>
      <c r="B1" s="138"/>
      <c r="C1" s="138"/>
      <c r="D1" s="138"/>
      <c r="E1" s="138"/>
      <c r="F1" s="138"/>
      <c r="G1" s="139"/>
      <c r="H1" s="76"/>
    </row>
    <row r="2" spans="1:8" s="74" customFormat="1" x14ac:dyDescent="0.2">
      <c r="A2" s="77" t="s">
        <v>95</v>
      </c>
      <c r="B2" s="78" t="s">
        <v>65</v>
      </c>
      <c r="C2" s="78" t="s">
        <v>66</v>
      </c>
      <c r="D2" s="78" t="s">
        <v>59</v>
      </c>
      <c r="E2" s="78" t="s">
        <v>67</v>
      </c>
      <c r="F2" s="78" t="s">
        <v>68</v>
      </c>
      <c r="G2" s="78" t="s">
        <v>94</v>
      </c>
      <c r="H2" s="75"/>
    </row>
    <row r="3" spans="1:8" x14ac:dyDescent="0.25">
      <c r="A3" s="79">
        <v>1</v>
      </c>
      <c r="B3" s="80" t="s">
        <v>69</v>
      </c>
      <c r="C3" s="81" t="s">
        <v>70</v>
      </c>
      <c r="D3" s="81">
        <v>2018</v>
      </c>
      <c r="E3" s="81" t="s">
        <v>71</v>
      </c>
      <c r="F3" s="81" t="s">
        <v>72</v>
      </c>
      <c r="G3" s="82" t="s">
        <v>60</v>
      </c>
    </row>
    <row r="4" spans="1:8" x14ac:dyDescent="0.25">
      <c r="A4" s="79">
        <v>2</v>
      </c>
      <c r="B4" s="83" t="s">
        <v>69</v>
      </c>
      <c r="C4" s="84" t="s">
        <v>73</v>
      </c>
      <c r="D4" s="84">
        <v>2018</v>
      </c>
      <c r="E4" s="84" t="s">
        <v>74</v>
      </c>
      <c r="F4" s="84" t="s">
        <v>75</v>
      </c>
      <c r="G4" s="82" t="s">
        <v>60</v>
      </c>
    </row>
    <row r="5" spans="1:8" x14ac:dyDescent="0.25">
      <c r="A5" s="79">
        <v>3</v>
      </c>
      <c r="B5" s="85" t="s">
        <v>76</v>
      </c>
      <c r="C5" s="84" t="s">
        <v>77</v>
      </c>
      <c r="D5" s="84">
        <v>2018</v>
      </c>
      <c r="E5" s="84" t="s">
        <v>78</v>
      </c>
      <c r="F5" s="84" t="s">
        <v>79</v>
      </c>
      <c r="G5" s="86" t="s">
        <v>60</v>
      </c>
    </row>
    <row r="6" spans="1:8" x14ac:dyDescent="0.25">
      <c r="A6" s="79">
        <v>4</v>
      </c>
      <c r="B6" s="85" t="s">
        <v>80</v>
      </c>
      <c r="C6" s="84" t="s">
        <v>81</v>
      </c>
      <c r="D6" s="84">
        <v>2018</v>
      </c>
      <c r="E6" s="84" t="s">
        <v>82</v>
      </c>
      <c r="F6" s="84" t="s">
        <v>83</v>
      </c>
      <c r="G6" s="86" t="s">
        <v>60</v>
      </c>
    </row>
    <row r="7" spans="1:8" x14ac:dyDescent="0.25">
      <c r="A7" s="79">
        <v>5</v>
      </c>
      <c r="B7" s="80" t="s">
        <v>84</v>
      </c>
      <c r="C7" s="81" t="s">
        <v>85</v>
      </c>
      <c r="D7" s="81">
        <v>2013</v>
      </c>
      <c r="E7" s="81" t="s">
        <v>86</v>
      </c>
      <c r="F7" s="81" t="s">
        <v>87</v>
      </c>
      <c r="G7" s="86" t="s">
        <v>60</v>
      </c>
    </row>
    <row r="8" spans="1:8" x14ac:dyDescent="0.25">
      <c r="A8" s="79">
        <v>6</v>
      </c>
      <c r="B8" s="80" t="s">
        <v>84</v>
      </c>
      <c r="C8" s="81" t="s">
        <v>88</v>
      </c>
      <c r="D8" s="81">
        <v>2013</v>
      </c>
      <c r="E8" s="81" t="s">
        <v>89</v>
      </c>
      <c r="F8" s="81" t="s">
        <v>90</v>
      </c>
      <c r="G8" s="86" t="s">
        <v>60</v>
      </c>
    </row>
    <row r="9" spans="1:8" x14ac:dyDescent="0.25">
      <c r="A9" s="79">
        <v>8</v>
      </c>
      <c r="B9" s="80" t="s">
        <v>84</v>
      </c>
      <c r="C9" s="81" t="s">
        <v>91</v>
      </c>
      <c r="D9" s="81">
        <v>2012</v>
      </c>
      <c r="E9" s="81" t="s">
        <v>92</v>
      </c>
      <c r="F9" s="81" t="s">
        <v>93</v>
      </c>
      <c r="G9" s="86" t="s">
        <v>60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Necesidades Trimestrales</vt:lpstr>
      <vt:lpstr> NotaPedido</vt:lpstr>
      <vt:lpstr>Autor Gastar</vt:lpstr>
      <vt:lpstr>PARQUE AUTOMOTOR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PCSAF-HP</dc:creator>
  <dc:description/>
  <cp:lastModifiedBy>COMPRAS</cp:lastModifiedBy>
  <cp:revision>2</cp:revision>
  <cp:lastPrinted>2020-11-24T14:25:44Z</cp:lastPrinted>
  <dcterms:created xsi:type="dcterms:W3CDTF">2020-07-17T23:44:49Z</dcterms:created>
  <dcterms:modified xsi:type="dcterms:W3CDTF">2021-08-10T13:33:11Z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