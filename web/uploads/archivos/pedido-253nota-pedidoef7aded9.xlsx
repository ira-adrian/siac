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493696CC-E61C-45E7-939D-FC476F045EFA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Trimestrales'!$A$9:$I$87</definedName>
    <definedName name="_xlnm.Print_Area" localSheetId="1">' NotaPedido'!$A$1:$K$90</definedName>
    <definedName name="_xlnm.Print_Area" localSheetId="2">'Autor Gastar'!$A$1:$Q$25</definedName>
  </definedNames>
  <calcPr calcId="181029"/>
</workbook>
</file>

<file path=xl/calcChain.xml><?xml version="1.0" encoding="utf-8"?>
<calcChain xmlns="http://schemas.openxmlformats.org/spreadsheetml/2006/main">
  <c r="K51" i="2" l="1"/>
  <c r="J51" i="2"/>
  <c r="I51" i="2"/>
  <c r="C51" i="2"/>
  <c r="B51" i="2"/>
  <c r="A51" i="2"/>
  <c r="K50" i="2"/>
  <c r="J50" i="2"/>
  <c r="I50" i="2"/>
  <c r="C50" i="2"/>
  <c r="B50" i="2"/>
  <c r="A50" i="2"/>
  <c r="K49" i="2"/>
  <c r="J49" i="2"/>
  <c r="I49" i="2"/>
  <c r="C49" i="2"/>
  <c r="B49" i="2"/>
  <c r="A49" i="2"/>
  <c r="K48" i="2"/>
  <c r="J48" i="2"/>
  <c r="I48" i="2"/>
  <c r="C48" i="2"/>
  <c r="B48" i="2"/>
  <c r="A48" i="2"/>
  <c r="K47" i="2"/>
  <c r="J47" i="2"/>
  <c r="I47" i="2"/>
  <c r="C47" i="2"/>
  <c r="B47" i="2"/>
  <c r="A47" i="2"/>
  <c r="K46" i="2"/>
  <c r="J46" i="2"/>
  <c r="I46" i="2"/>
  <c r="C46" i="2"/>
  <c r="B46" i="2"/>
  <c r="A46" i="2"/>
  <c r="K45" i="2"/>
  <c r="J45" i="2"/>
  <c r="I45" i="2"/>
  <c r="C45" i="2"/>
  <c r="B45" i="2"/>
  <c r="A45" i="2"/>
  <c r="K44" i="2"/>
  <c r="J44" i="2"/>
  <c r="I44" i="2"/>
  <c r="C44" i="2"/>
  <c r="B44" i="2"/>
  <c r="A44" i="2"/>
  <c r="K43" i="2"/>
  <c r="J43" i="2"/>
  <c r="I43" i="2"/>
  <c r="C43" i="2"/>
  <c r="B43" i="2"/>
  <c r="A43" i="2"/>
  <c r="K42" i="2"/>
  <c r="J42" i="2"/>
  <c r="I42" i="2"/>
  <c r="C42" i="2"/>
  <c r="B42" i="2"/>
  <c r="A42" i="2"/>
  <c r="K41" i="2"/>
  <c r="J41" i="2"/>
  <c r="I41" i="2"/>
  <c r="C41" i="2"/>
  <c r="B41" i="2"/>
  <c r="A41" i="2"/>
  <c r="K40" i="2"/>
  <c r="J40" i="2"/>
  <c r="I40" i="2"/>
  <c r="C40" i="2"/>
  <c r="B40" i="2"/>
  <c r="A40" i="2"/>
  <c r="K39" i="2"/>
  <c r="J39" i="2"/>
  <c r="I39" i="2"/>
  <c r="C39" i="2"/>
  <c r="B39" i="2"/>
  <c r="A39" i="2"/>
  <c r="K38" i="2"/>
  <c r="J38" i="2"/>
  <c r="I38" i="2"/>
  <c r="C38" i="2"/>
  <c r="B38" i="2"/>
  <c r="A38" i="2"/>
  <c r="K37" i="2"/>
  <c r="J37" i="2"/>
  <c r="I37" i="2"/>
  <c r="C37" i="2"/>
  <c r="B37" i="2"/>
  <c r="A37" i="2"/>
  <c r="K36" i="2"/>
  <c r="J36" i="2"/>
  <c r="I36" i="2"/>
  <c r="C36" i="2"/>
  <c r="B36" i="2"/>
  <c r="A36" i="2"/>
  <c r="K35" i="2"/>
  <c r="J35" i="2"/>
  <c r="I35" i="2"/>
  <c r="C35" i="2"/>
  <c r="B35" i="2"/>
  <c r="A35" i="2"/>
  <c r="K34" i="2"/>
  <c r="J34" i="2"/>
  <c r="I34" i="2"/>
  <c r="C34" i="2"/>
  <c r="B34" i="2"/>
  <c r="A34" i="2"/>
  <c r="K33" i="2"/>
  <c r="J33" i="2"/>
  <c r="I33" i="2"/>
  <c r="C33" i="2"/>
  <c r="B33" i="2"/>
  <c r="A33" i="2"/>
  <c r="K32" i="2"/>
  <c r="J32" i="2"/>
  <c r="I32" i="2"/>
  <c r="C32" i="2"/>
  <c r="B32" i="2"/>
  <c r="A32" i="2"/>
  <c r="K31" i="2"/>
  <c r="J31" i="2"/>
  <c r="I31" i="2"/>
  <c r="C31" i="2"/>
  <c r="B31" i="2"/>
  <c r="A31" i="2"/>
  <c r="K30" i="2"/>
  <c r="J30" i="2"/>
  <c r="I30" i="2"/>
  <c r="C30" i="2"/>
  <c r="B30" i="2"/>
  <c r="A30" i="2"/>
  <c r="K29" i="2"/>
  <c r="J29" i="2"/>
  <c r="I29" i="2"/>
  <c r="C29" i="2"/>
  <c r="B29" i="2"/>
  <c r="A29" i="2"/>
  <c r="K28" i="2"/>
  <c r="J28" i="2"/>
  <c r="I28" i="2"/>
  <c r="C28" i="2"/>
  <c r="B28" i="2"/>
  <c r="A28" i="2"/>
  <c r="K27" i="2"/>
  <c r="J27" i="2"/>
  <c r="I27" i="2"/>
  <c r="C27" i="2"/>
  <c r="B27" i="2"/>
  <c r="A27" i="2"/>
  <c r="K26" i="2"/>
  <c r="J26" i="2"/>
  <c r="I26" i="2"/>
  <c r="C26" i="2"/>
  <c r="B26" i="2"/>
  <c r="A26" i="2"/>
  <c r="K25" i="2"/>
  <c r="J25" i="2"/>
  <c r="I25" i="2"/>
  <c r="C25" i="2"/>
  <c r="B25" i="2"/>
  <c r="A25" i="2"/>
  <c r="K24" i="2"/>
  <c r="J24" i="2"/>
  <c r="I24" i="2"/>
  <c r="C24" i="2"/>
  <c r="B24" i="2"/>
  <c r="A24" i="2"/>
  <c r="K23" i="2"/>
  <c r="J23" i="2"/>
  <c r="I23" i="2"/>
  <c r="C23" i="2"/>
  <c r="B23" i="2"/>
  <c r="A23" i="2"/>
  <c r="K22" i="2"/>
  <c r="J22" i="2"/>
  <c r="I22" i="2"/>
  <c r="C22" i="2"/>
  <c r="B22" i="2"/>
  <c r="A22" i="2"/>
  <c r="K21" i="2"/>
  <c r="J21" i="2"/>
  <c r="I21" i="2"/>
  <c r="C21" i="2"/>
  <c r="B21" i="2"/>
  <c r="A21" i="2"/>
  <c r="K20" i="2"/>
  <c r="J20" i="2"/>
  <c r="I20" i="2"/>
  <c r="C20" i="2"/>
  <c r="B20" i="2"/>
  <c r="A20" i="2"/>
  <c r="K19" i="2"/>
  <c r="J19" i="2"/>
  <c r="I19" i="2"/>
  <c r="C19" i="2"/>
  <c r="B19" i="2"/>
  <c r="A19" i="2"/>
  <c r="K18" i="2"/>
  <c r="J18" i="2"/>
  <c r="I18" i="2"/>
  <c r="C18" i="2"/>
  <c r="B18" i="2"/>
  <c r="A18" i="2"/>
  <c r="K17" i="2"/>
  <c r="J17" i="2"/>
  <c r="I17" i="2"/>
  <c r="C17" i="2"/>
  <c r="B17" i="2"/>
  <c r="A17" i="2"/>
  <c r="K16" i="2"/>
  <c r="J16" i="2"/>
  <c r="I16" i="2"/>
  <c r="C16" i="2"/>
  <c r="B16" i="2"/>
  <c r="A16" i="2"/>
  <c r="K15" i="2"/>
  <c r="J15" i="2"/>
  <c r="I15" i="2"/>
  <c r="C15" i="2"/>
  <c r="B15" i="2"/>
  <c r="A15" i="2"/>
  <c r="K14" i="2"/>
  <c r="J14" i="2"/>
  <c r="I14" i="2"/>
  <c r="C14" i="2"/>
  <c r="B14" i="2"/>
  <c r="A14" i="2"/>
  <c r="K13" i="2"/>
  <c r="J13" i="2"/>
  <c r="I13" i="2"/>
  <c r="C13" i="2"/>
  <c r="B13" i="2"/>
  <c r="A13" i="2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A59" i="2" l="1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87" i="1" l="1"/>
  <c r="I66" i="1" l="1"/>
  <c r="I65" i="1"/>
  <c r="I64" i="1"/>
  <c r="I63" i="1"/>
  <c r="A53" i="2" l="1"/>
  <c r="A54" i="2"/>
  <c r="A55" i="2"/>
  <c r="A56" i="2"/>
  <c r="A57" i="2"/>
  <c r="A58" i="2"/>
  <c r="A52" i="2"/>
  <c r="A12" i="2"/>
  <c r="B12" i="2"/>
  <c r="J12" i="2"/>
  <c r="C12" i="2"/>
  <c r="Q21" i="3"/>
  <c r="K12" i="2" l="1"/>
  <c r="J90" i="2" l="1"/>
  <c r="I12" i="2" l="1"/>
  <c r="I62" i="1" l="1"/>
  <c r="I61" i="1"/>
  <c r="I60" i="1"/>
  <c r="I59" i="1"/>
  <c r="I58" i="1"/>
  <c r="I57" i="1"/>
  <c r="I56" i="1"/>
  <c r="I55" i="1"/>
  <c r="I54" i="1"/>
  <c r="I53" i="1"/>
  <c r="I52" i="1"/>
  <c r="I51" i="1"/>
  <c r="I50" i="1"/>
  <c r="I10" i="1"/>
  <c r="G6" i="3" l="1"/>
  <c r="G7" i="3"/>
  <c r="G4" i="3"/>
  <c r="G5" i="3"/>
</calcChain>
</file>

<file path=xl/sharedStrings.xml><?xml version="1.0" encoding="utf-8"?>
<sst xmlns="http://schemas.openxmlformats.org/spreadsheetml/2006/main" count="472" uniqueCount="159">
  <si>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</si>
  <si>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</si>
  <si>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</si>
  <si>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</si>
  <si>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</si>
  <si>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</si>
  <si>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</si>
  <si>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</si>
  <si>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</si>
  <si>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</si>
  <si>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</si>
  <si>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</si>
  <si>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</si>
  <si>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</si>
  <si>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</si>
  <si>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</si>
  <si>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</si>
  <si>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</si>
  <si>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</si>
  <si>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</si>
  <si>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</si>
  <si>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</si>
  <si>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</si>
  <si>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</si>
  <si>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</si>
  <si>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</si>
  <si>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</si>
  <si>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</si>
  <si>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</si>
  <si>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</si>
  <si>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</si>
  <si>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</si>
  <si>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</si>
  <si>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</si>
  <si>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</si>
  <si>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</si>
  <si>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</si>
  <si>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</si>
  <si>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</si>
  <si>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</si>
  <si>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</si>
  <si>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</si>
  <si>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</si>
  <si>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</si>
  <si>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</si>
  <si>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</si>
  <si>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</si>
  <si>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</si>
  <si>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</si>
  <si>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</si>
  <si>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</si>
  <si>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</si>
  <si>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</si>
  <si>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</si>
  <si>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</si>
  <si>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</si>
  <si>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</si>
  <si>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</si>
  <si>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</si>
  <si>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</si>
  <si>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</si>
  <si>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</si>
  <si>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</si>
  <si>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</si>
  <si>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</si>
  <si>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2 TRIMESTRE- AÑO 2021</t>
  </si>
  <si>
    <t>SI</t>
  </si>
  <si>
    <t>2° trimestre</t>
  </si>
  <si>
    <t>No deben tener vencimiento menor a un (1) año</t>
  </si>
  <si>
    <t>Servicio de Farmcia</t>
  </si>
  <si>
    <t>10 dias desde la firma del instrumento contractual</t>
  </si>
  <si>
    <t xml:space="preserve">30 dias </t>
  </si>
  <si>
    <t>"Autorizo la realización de los  trámites correspondientes, a fin de proveer a  este Organismo los bienes y/o servicios que se detallan en Nota  de Pedido N° 55/2021 ,  afectando la erogación resultante a los créditos presupuestarios aprobados a favor de esta Unidad Ejecutora, conforme al siguiente detalle:"</t>
  </si>
  <si>
    <t>2.9.5</t>
  </si>
  <si>
    <t xml:space="preserve">INSUMO COMUN </t>
  </si>
  <si>
    <t>AGUJA HIPODERMICA DESCARTABLE 16/5</t>
  </si>
  <si>
    <t>AGUJA HIPODERMICA DESCARTABLE 25/8</t>
  </si>
  <si>
    <t>AGUJA HIPODERMICA DESCARTABLE 40/12</t>
  </si>
  <si>
    <t>AGUJA HIPODERMICA DESCARTABLE 40/8</t>
  </si>
  <si>
    <t>AGUJA HIPODERMICA DESCARTABLE 50/8</t>
  </si>
  <si>
    <t>ALGODON X 500 GR</t>
  </si>
  <si>
    <t>BAJALENGUA X 100 UNIDADES</t>
  </si>
  <si>
    <t>BARBIJO HEMORREPELENTE QUIRURGICO TRIPLE CAPA</t>
  </si>
  <si>
    <t>BARBIJOS DE ALTA EFICIENCIA TIPO N95</t>
  </si>
  <si>
    <t>BOTAS ALTAS DESCARTABLES DE 30 GRAMOS CON TIRA EL PAR</t>
  </si>
  <si>
    <t>CAL SODADA X KG</t>
  </si>
  <si>
    <t>CAMISOLIN DESCARTABLE DE TELA SMS 50 GRAMOS CON MANGA Y PUÑOS DE 1,4 M DE LARGO</t>
  </si>
  <si>
    <t>CHATA PLASTICA X 1</t>
  </si>
  <si>
    <t>CLAMP UMBILICAL</t>
  </si>
  <si>
    <t>COFIAS PLIZADAS CON AJUSTE ELASTIZADO</t>
  </si>
  <si>
    <t xml:space="preserve">CUBRE CAMILLA CON ELASTICO 30 GR </t>
  </si>
  <si>
    <t>DESCARTADOR DE AGUJAS X 2 LITRO</t>
  </si>
  <si>
    <t xml:space="preserve">ELECTRODO DESCARTABLE ADULTO </t>
  </si>
  <si>
    <t>ENVASE COLECTOR DE ORINA X 125 ML</t>
  </si>
  <si>
    <t>ESPECULO VAGINAL CHICOS</t>
  </si>
  <si>
    <t>ESPECULO VAGINAL GRANDE</t>
  </si>
  <si>
    <t>ESPECULO VAGINAL MEDIANO</t>
  </si>
  <si>
    <t>GEL BASE PARA ECOGRAFIA X 1 KG</t>
  </si>
  <si>
    <t>GEL BASE PARA ECOGRAFIA X 5 KG</t>
  </si>
  <si>
    <t>GUANTES DE CIRUGIA ESTERIL Nº 6 1/2 PAR. ANATOMICOS . CAÑA LARGA SIN TALCO</t>
  </si>
  <si>
    <t>GUANTES DE CIRUGIA ESTERIL Nº 7  PAR. ANATOMICOS . CAÑA LARGA SIN TALCO</t>
  </si>
  <si>
    <t>GUANTES DE CIRUGIA ESTERIL Nº 7 1/2 PAR.  ANATOMICOS . CAÑA LARGA SIN TALCO</t>
  </si>
  <si>
    <t>GUANTES DE CIRUGIA ESTERIL Nº 8 PAR.  ANATOMICOS . CAÑA LARGA SIN TALCO</t>
  </si>
  <si>
    <t>GUANTES DE CIRUGIA ESTERIL Nº 81/2 PAR. ANATOMICOS . CAÑA LARGA SIN TALCO</t>
  </si>
  <si>
    <t>GUANTES DE EXAMINACION TAMAÑO L X 100</t>
  </si>
  <si>
    <t>GUANTES DE EXAMINACION TAMAÑO M X 100</t>
  </si>
  <si>
    <t>GUANTES DE EXAMINACON TAMAÑO S X 100</t>
  </si>
  <si>
    <t>GUANTES DE NITRILO TAMAÑO M X 100</t>
  </si>
  <si>
    <t>GUIA PARA BOMBA SILICONADA TIPO MP 1000</t>
  </si>
  <si>
    <t>GUIA PARA BOMBA TIPO SET PRIMARIO PLUM HOSPIRA</t>
  </si>
  <si>
    <t>HILO DE LINO N° 20</t>
  </si>
  <si>
    <t>HOJA DE BISTURI Nº 11</t>
  </si>
  <si>
    <t>HOJA DE BISTURI Nº 15</t>
  </si>
  <si>
    <t>HOJA DE BISTURI Nº 24</t>
  </si>
  <si>
    <t>JERINGA DESCARTABLE DE 10 CC S/AGUJA</t>
  </si>
  <si>
    <t>JERINGA DESCARTABLE DE 20CC  S/AGUJA</t>
  </si>
  <si>
    <t>JERINGA DESCARTABLE DE 5 CC S/AGUJA</t>
  </si>
  <si>
    <t xml:space="preserve">JERINGA DESCARTABLE PARA INSULINA 100 UI CON AGUJA </t>
  </si>
  <si>
    <t>JERINGA DESCARTABLE PARA TUBERCULINA 1 CC S/ AGUJA</t>
  </si>
  <si>
    <t>KIT DESCARTABLE CAMISOLIN 40 GRS + COFIA + BOTAS PAR</t>
  </si>
  <si>
    <t>MAMELUCO LAMINADO TALLE L</t>
  </si>
  <si>
    <t>MAMELUCO LAMINADO TALLE M</t>
  </si>
  <si>
    <t>MAMELUCO LAMINADO TALLE XL</t>
  </si>
  <si>
    <t>MANOPLAS DE POLIETILENO X 100</t>
  </si>
  <si>
    <t>MASCARA PARA NEBULIZAR ADULTO COMPLETA MASCARA+PIPETA+TUBULADURA</t>
  </si>
  <si>
    <t>OVATA DE ALGODÓN X 10 CM</t>
  </si>
  <si>
    <t>OVATA DE ALGODÓN X 15 CM</t>
  </si>
  <si>
    <t>PAÑAL DESCARTABLE ADULTO XG</t>
  </si>
  <si>
    <t>PAPEL PARA ECOGRAFIA TIPO UPP 110 S SONY</t>
  </si>
  <si>
    <t>PAPEL PARA ELECTROCARDIOGRAMA 62 X 30</t>
  </si>
  <si>
    <t xml:space="preserve">PROLONGADOR 1,5 MT </t>
  </si>
  <si>
    <t>PULSERAS PARA IDENTIFICACION MADRE/HIJO</t>
  </si>
  <si>
    <t xml:space="preserve">TELA ADHESIVA 2.5 MM X 9.00 MTS </t>
  </si>
  <si>
    <t xml:space="preserve">TELA ADHESIVA 5 MM X 9.00 MTS </t>
  </si>
  <si>
    <t xml:space="preserve">TELA ADHESIVA HIPOALERGENICA MICROPORE 2.5 CM </t>
  </si>
  <si>
    <t xml:space="preserve">TELA ADHESIVA HIPOALERGENICA TRANSPORE 2.5 CM </t>
  </si>
  <si>
    <t>TERMOMETRO DIGITAL</t>
  </si>
  <si>
    <t>TIRAS REACTIVAS PARA DETERMINACION GLUCOSA X 50 UNIDADES</t>
  </si>
  <si>
    <t>TUBO CONECTOR EN "Y" KT-95 EST. X 1</t>
  </si>
  <si>
    <t>TUBO ENDOTRAQUEALES TIPO RUSH S/B 2,5</t>
  </si>
  <si>
    <t>TUBO ENDOTRAQUEALES TIPO RUSH S/B 3</t>
  </si>
  <si>
    <t>TUBO ENDOTRAQUEALES TIPO RUSH S/B 3,5</t>
  </si>
  <si>
    <t>TUBO MAYO GUEDEL N 0</t>
  </si>
  <si>
    <t>TUBO MAYO GUEDEL N 00</t>
  </si>
  <si>
    <t>TUBO MAYO GUEDEL N 5</t>
  </si>
  <si>
    <t xml:space="preserve">TUBO MAYO GUEDEL N°1 </t>
  </si>
  <si>
    <t xml:space="preserve">TUBO MAYO GUEDEL N°2 </t>
  </si>
  <si>
    <t xml:space="preserve">TUBO MAYO GUEDEL N°3 </t>
  </si>
  <si>
    <t xml:space="preserve">TUBO MAYO GUEDEL N°4 </t>
  </si>
  <si>
    <t>VENDA CAMBRIC  5 CM</t>
  </si>
  <si>
    <t>VENDA CAMBRIC 10 CM</t>
  </si>
  <si>
    <t>VENDA ENYESADA X 10 CM X 20 METROS DE FRAGUADO RAPIDO</t>
  </si>
  <si>
    <t>VENDAS COBAN 5CM</t>
  </si>
  <si>
    <t xml:space="preserve"> Adquisición de Insumos comunes</t>
  </si>
  <si>
    <t>Costo total estimado: TRECE MILLONES OCHOCIENTOS CINCUENTA Y UN MIL CIENTO OCHENTA Y OCHO CON 60/100</t>
  </si>
  <si>
    <t>N° 57/2021</t>
  </si>
  <si>
    <t>TOTAL DE PESOS: TRECE MILLONES OCHOCIENTOS CINCUENTA Y UN MIL CIENTO OCHENTA Y OCHO CON 60/100</t>
  </si>
  <si>
    <t>Para la adquisición de Adquisición de Insumos comunes para ser destinados Servicio de Farmacia, de  la Maternidad Provincial 25 de Mayo.-</t>
  </si>
  <si>
    <t>Especificidades Item N° : 1 a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</si>
</sst>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auto="1"/>
      </right>
      <top style="thin">
        <color rgb="FF3D3D3D"/>
      </top>
      <bottom style="thin">
        <color auto="1"/>
      </bottom>
      <diagonal/>
    </border>
  </borders>
  <cellStyleXfs count="9">
    <xf numFmtId="0" fontId="0" fillId="0" borderId="0"/>
    <xf numFmtId="0" fontId="10" fillId="0" borderId="1" applyProtection="0"/>
    <xf numFmtId="164" fontId="11" fillId="0" borderId="0" applyBorder="0" applyProtection="0"/>
    <xf numFmtId="0" fontId="12" fillId="2" borderId="0" applyBorder="0" applyProtection="0"/>
    <xf numFmtId="165" fontId="19" fillId="0" borderId="0" applyBorder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9" fillId="6" borderId="0" applyNumberFormat="0" applyBorder="0" applyAlignment="0" applyProtection="0"/>
    <xf numFmtId="0" fontId="6" fillId="7" borderId="0" applyNumberFormat="0" applyBorder="0" applyAlignment="0" applyProtection="0"/>
  </cellStyleXfs>
  <cellXfs count="178">
    <xf numFmtId="0" fontId="0" fillId="0" borderId="0" xfId="0"/>
    <xf numFmtId="0" fontId="0" fillId="0" borderId="0" xfId="0" applyBorder="1"/>
    <xf numFmtId="0" fontId="11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4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1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0" fontId="20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5" fontId="19" fillId="0" borderId="0" xfId="4"/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165" fontId="0" fillId="0" borderId="37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3" fillId="3" borderId="0" xfId="0" applyFont="1" applyFill="1"/>
    <xf numFmtId="0" fontId="23" fillId="3" borderId="0" xfId="0" applyFont="1" applyFill="1" applyAlignment="1">
      <alignment horizontal="left" wrapText="1"/>
    </xf>
    <xf numFmtId="0" fontId="8" fillId="3" borderId="3" xfId="7" applyFont="1" applyFill="1" applyBorder="1" applyAlignment="1">
      <alignment horizontal="center" vertical="center" wrapText="1"/>
    </xf>
    <xf numFmtId="0" fontId="8" fillId="3" borderId="3" xfId="7" applyFont="1" applyFill="1" applyBorder="1" applyAlignment="1">
      <alignment horizontal="center" vertical="center"/>
    </xf>
    <xf numFmtId="0" fontId="7" fillId="3" borderId="3" xfId="7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left" wrapText="1"/>
    </xf>
    <xf numFmtId="0" fontId="26" fillId="3" borderId="0" xfId="0" applyFont="1" applyFill="1" applyAlignment="1"/>
    <xf numFmtId="0" fontId="20" fillId="0" borderId="49" xfId="0" applyFont="1" applyBorder="1"/>
    <xf numFmtId="0" fontId="20" fillId="0" borderId="0" xfId="0" applyFont="1" applyAlignment="1">
      <alignment horizontal="center" wrapText="1"/>
    </xf>
    <xf numFmtId="0" fontId="20" fillId="0" borderId="53" xfId="0" applyFont="1" applyBorder="1"/>
    <xf numFmtId="0" fontId="20" fillId="0" borderId="0" xfId="0" applyFont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47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20" fillId="0" borderId="0" xfId="0" applyFont="1" applyAlignment="1"/>
    <xf numFmtId="0" fontId="20" fillId="0" borderId="0" xfId="0" applyFont="1" applyAlignment="1">
      <alignment wrapText="1"/>
    </xf>
    <xf numFmtId="0" fontId="33" fillId="3" borderId="5" xfId="0" applyFont="1" applyFill="1" applyBorder="1" applyAlignment="1">
      <alignment horizontal="right" vertical="center"/>
    </xf>
    <xf numFmtId="0" fontId="33" fillId="3" borderId="7" xfId="0" applyFont="1" applyFill="1" applyBorder="1" applyAlignment="1">
      <alignment vertical="center"/>
    </xf>
    <xf numFmtId="0" fontId="33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horizontal="left" vertical="center"/>
    </xf>
    <xf numFmtId="0" fontId="34" fillId="3" borderId="0" xfId="0" applyFont="1" applyFill="1" applyBorder="1" applyAlignment="1">
      <alignment horizontal="left" vertical="center" wrapText="1" indent="1"/>
    </xf>
    <xf numFmtId="0" fontId="32" fillId="3" borderId="2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wrapText="1"/>
    </xf>
    <xf numFmtId="0" fontId="32" fillId="3" borderId="33" xfId="5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0" fontId="39" fillId="3" borderId="0" xfId="0" applyFont="1" applyFill="1" applyBorder="1" applyAlignment="1">
      <alignment vertical="center"/>
    </xf>
    <xf numFmtId="166" fontId="32" fillId="3" borderId="3" xfId="6" applyNumberFormat="1" applyFont="1" applyFill="1" applyBorder="1" applyAlignment="1" applyProtection="1">
      <alignment horizontal="center" vertical="center" wrapText="1"/>
    </xf>
    <xf numFmtId="1" fontId="33" fillId="3" borderId="0" xfId="0" applyNumberFormat="1" applyFont="1" applyFill="1" applyBorder="1" applyAlignment="1">
      <alignment vertical="center"/>
    </xf>
    <xf numFmtId="1" fontId="34" fillId="3" borderId="0" xfId="0" applyNumberFormat="1" applyFont="1" applyFill="1" applyBorder="1" applyAlignment="1">
      <alignment horizontal="left" vertical="center" wrapText="1" indent="1"/>
    </xf>
    <xf numFmtId="1" fontId="32" fillId="3" borderId="4" xfId="5" applyNumberFormat="1" applyFont="1" applyFill="1" applyBorder="1" applyAlignment="1">
      <alignment horizontal="center" vertical="center"/>
    </xf>
    <xf numFmtId="1" fontId="11" fillId="3" borderId="0" xfId="0" applyNumberFormat="1" applyFont="1" applyFill="1" applyBorder="1" applyAlignment="1">
      <alignment vertical="center"/>
    </xf>
    <xf numFmtId="0" fontId="28" fillId="3" borderId="56" xfId="0" applyFont="1" applyFill="1" applyBorder="1" applyAlignment="1">
      <alignment horizontal="center" vertical="center" wrapText="1"/>
    </xf>
    <xf numFmtId="0" fontId="28" fillId="3" borderId="57" xfId="0" applyFont="1" applyFill="1" applyBorder="1" applyAlignment="1">
      <alignment horizontal="center" vertical="center" wrapText="1"/>
    </xf>
    <xf numFmtId="0" fontId="28" fillId="3" borderId="58" xfId="0" applyFont="1" applyFill="1" applyBorder="1" applyAlignment="1">
      <alignment horizontal="center" vertical="center" wrapText="1"/>
    </xf>
    <xf numFmtId="0" fontId="34" fillId="3" borderId="59" xfId="0" applyFont="1" applyFill="1" applyBorder="1" applyAlignment="1">
      <alignment horizontal="right" vertical="center"/>
    </xf>
    <xf numFmtId="169" fontId="28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1" fillId="3" borderId="0" xfId="0" applyFont="1" applyFill="1"/>
    <xf numFmtId="169" fontId="8" fillId="3" borderId="38" xfId="7" applyNumberFormat="1" applyFont="1" applyFill="1" applyBorder="1" applyAlignment="1">
      <alignment horizontal="center" vertical="center" wrapText="1"/>
    </xf>
    <xf numFmtId="170" fontId="30" fillId="0" borderId="60" xfId="0" applyNumberFormat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28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1" fontId="32" fillId="3" borderId="44" xfId="5" applyNumberFormat="1" applyFont="1" applyFill="1" applyBorder="1" applyAlignment="1">
      <alignment horizontal="center" vertical="center" wrapText="1"/>
    </xf>
    <xf numFmtId="0" fontId="23" fillId="3" borderId="0" xfId="0" applyFont="1" applyFill="1" applyAlignment="1">
      <alignment vertical="center"/>
    </xf>
    <xf numFmtId="0" fontId="29" fillId="3" borderId="55" xfId="0" applyFont="1" applyFill="1" applyBorder="1" applyAlignment="1">
      <alignment horizontal="center" vertical="center"/>
    </xf>
    <xf numFmtId="169" fontId="26" fillId="3" borderId="0" xfId="0" applyNumberFormat="1" applyFont="1" applyFill="1" applyAlignment="1">
      <alignment horizontal="center"/>
    </xf>
    <xf numFmtId="169" fontId="23" fillId="3" borderId="0" xfId="0" applyNumberFormat="1" applyFont="1" applyFill="1" applyAlignment="1">
      <alignment horizontal="center"/>
    </xf>
    <xf numFmtId="169" fontId="20" fillId="0" borderId="0" xfId="0" applyNumberFormat="1" applyFont="1" applyAlignment="1">
      <alignment horizontal="center"/>
    </xf>
    <xf numFmtId="0" fontId="23" fillId="3" borderId="0" xfId="0" applyFont="1" applyFill="1" applyAlignment="1">
      <alignment wrapText="1"/>
    </xf>
    <xf numFmtId="0" fontId="0" fillId="0" borderId="53" xfId="0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53" xfId="0" applyFont="1" applyBorder="1" applyAlignment="1">
      <alignment vertical="center" wrapText="1"/>
    </xf>
    <xf numFmtId="0" fontId="20" fillId="0" borderId="0" xfId="0" applyFont="1" applyBorder="1" applyAlignment="1">
      <alignment vertical="center" wrapText="1"/>
    </xf>
    <xf numFmtId="0" fontId="20" fillId="0" borderId="0" xfId="0" applyFont="1" applyBorder="1"/>
    <xf numFmtId="168" fontId="0" fillId="0" borderId="3" xfId="0" applyNumberFormat="1" applyBorder="1" applyAlignment="1">
      <alignment horizontal="center" vertical="center"/>
    </xf>
    <xf numFmtId="168" fontId="0" fillId="3" borderId="3" xfId="0" applyNumberFormat="1" applyFill="1" applyBorder="1" applyAlignment="1">
      <alignment horizontal="center" vertical="center"/>
    </xf>
    <xf numFmtId="0" fontId="4" fillId="3" borderId="33" xfId="6" applyFont="1" applyFill="1" applyBorder="1" applyAlignment="1">
      <alignment horizontal="center" vertical="center" wrapText="1"/>
    </xf>
    <xf numFmtId="0" fontId="26" fillId="0" borderId="0" xfId="0" applyFont="1" applyFill="1" applyAlignment="1"/>
    <xf numFmtId="0" fontId="24" fillId="0" borderId="0" xfId="0" applyFont="1" applyFill="1" applyAlignment="1">
      <alignment horizontal="left" wrapText="1" indent="1"/>
    </xf>
    <xf numFmtId="0" fontId="23" fillId="0" borderId="0" xfId="0" applyFont="1" applyFill="1" applyAlignment="1">
      <alignment horizontal="center" wrapText="1"/>
    </xf>
    <xf numFmtId="0" fontId="28" fillId="0" borderId="57" xfId="0" applyFont="1" applyFill="1" applyBorder="1" applyAlignment="1">
      <alignment horizontal="center" vertical="center" wrapText="1"/>
    </xf>
    <xf numFmtId="0" fontId="8" fillId="0" borderId="3" xfId="7" applyFont="1" applyFill="1" applyBorder="1" applyAlignment="1">
      <alignment horizontal="center" vertical="center" wrapText="1"/>
    </xf>
    <xf numFmtId="0" fontId="5" fillId="0" borderId="3" xfId="7" applyFont="1" applyFill="1" applyBorder="1" applyAlignment="1">
      <alignment horizontal="center" vertical="center" wrapText="1"/>
    </xf>
    <xf numFmtId="0" fontId="23" fillId="0" borderId="0" xfId="0" applyFont="1" applyFill="1"/>
    <xf numFmtId="0" fontId="20" fillId="0" borderId="0" xfId="0" applyFont="1" applyFill="1"/>
    <xf numFmtId="0" fontId="0" fillId="0" borderId="0" xfId="0" applyFill="1"/>
    <xf numFmtId="0" fontId="20" fillId="0" borderId="50" xfId="0" applyFont="1" applyFill="1" applyBorder="1" applyAlignment="1">
      <alignment vertical="center"/>
    </xf>
    <xf numFmtId="0" fontId="20" fillId="0" borderId="51" xfId="0" applyFont="1" applyFill="1" applyBorder="1" applyAlignment="1">
      <alignment vertical="center"/>
    </xf>
    <xf numFmtId="0" fontId="20" fillId="0" borderId="51" xfId="0" applyFont="1" applyFill="1" applyBorder="1" applyAlignment="1"/>
    <xf numFmtId="0" fontId="20" fillId="0" borderId="51" xfId="0" applyFont="1" applyFill="1" applyBorder="1" applyAlignment="1">
      <alignment wrapText="1"/>
    </xf>
    <xf numFmtId="0" fontId="20" fillId="0" borderId="51" xfId="0" applyFont="1" applyFill="1" applyBorder="1" applyAlignment="1">
      <alignment horizontal="center" vertical="center" wrapText="1"/>
    </xf>
    <xf numFmtId="0" fontId="20" fillId="0" borderId="54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3" fillId="0" borderId="0" xfId="0" applyFont="1" applyFill="1" applyAlignment="1">
      <alignment horizontal="center"/>
    </xf>
    <xf numFmtId="0" fontId="3" fillId="3" borderId="3" xfId="7" applyFont="1" applyFill="1" applyBorder="1" applyAlignment="1">
      <alignment horizontal="center" vertical="center" wrapText="1"/>
    </xf>
    <xf numFmtId="0" fontId="2" fillId="3" borderId="33" xfId="6" applyFont="1" applyFill="1" applyBorder="1" applyAlignment="1">
      <alignment horizontal="center" vertical="center" wrapText="1"/>
    </xf>
    <xf numFmtId="0" fontId="1" fillId="3" borderId="3" xfId="7" applyFont="1" applyFill="1" applyBorder="1" applyAlignment="1">
      <alignment horizontal="center" vertical="center" wrapText="1"/>
    </xf>
    <xf numFmtId="0" fontId="1" fillId="3" borderId="33" xfId="6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20" fillId="0" borderId="51" xfId="0" applyFont="1" applyBorder="1" applyAlignment="1">
      <alignment horizontal="center" vertical="top" wrapText="1"/>
    </xf>
    <xf numFmtId="0" fontId="42" fillId="3" borderId="0" xfId="8" applyFont="1" applyFill="1" applyAlignment="1">
      <alignment horizontal="center" vertical="center"/>
    </xf>
    <xf numFmtId="0" fontId="20" fillId="0" borderId="51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7" fillId="3" borderId="0" xfId="0" applyFont="1" applyFill="1" applyBorder="1" applyAlignment="1">
      <alignment horizontal="left" vertical="center" wrapText="1"/>
    </xf>
    <xf numFmtId="0" fontId="24" fillId="3" borderId="0" xfId="0" applyFont="1" applyFill="1" applyAlignment="1">
      <alignment horizontal="left" wrapText="1" indent="1"/>
    </xf>
    <xf numFmtId="0" fontId="32" fillId="3" borderId="3" xfId="5" applyFont="1" applyFill="1" applyBorder="1" applyAlignment="1">
      <alignment horizontal="center" vertical="center" wrapText="1"/>
    </xf>
    <xf numFmtId="0" fontId="33" fillId="3" borderId="0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left" vertical="center" wrapText="1"/>
    </xf>
    <xf numFmtId="0" fontId="34" fillId="3" borderId="9" xfId="0" applyFont="1" applyFill="1" applyBorder="1" applyAlignment="1">
      <alignment horizontal="left" vertical="center" wrapText="1" indent="1"/>
    </xf>
    <xf numFmtId="0" fontId="35" fillId="3" borderId="10" xfId="0" applyFont="1" applyFill="1" applyBorder="1" applyAlignment="1">
      <alignment horizontal="left" vertical="center" wrapText="1"/>
    </xf>
    <xf numFmtId="0" fontId="35" fillId="3" borderId="11" xfId="0" applyFont="1" applyFill="1" applyBorder="1" applyAlignment="1">
      <alignment horizontal="left" vertical="center"/>
    </xf>
    <xf numFmtId="0" fontId="34" fillId="3" borderId="12" xfId="0" applyFont="1" applyFill="1" applyBorder="1" applyAlignment="1">
      <alignment horizontal="left" vertical="center" wrapText="1" indent="1"/>
    </xf>
    <xf numFmtId="0" fontId="36" fillId="3" borderId="11" xfId="0" applyFont="1" applyFill="1" applyBorder="1" applyAlignment="1">
      <alignment horizontal="center" vertical="center"/>
    </xf>
    <xf numFmtId="0" fontId="36" fillId="3" borderId="29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center" vertical="center" wrapText="1"/>
    </xf>
    <xf numFmtId="0" fontId="36" fillId="3" borderId="30" xfId="0" applyFont="1" applyFill="1" applyBorder="1" applyAlignment="1">
      <alignment horizontal="center" vertical="center" wrapText="1"/>
    </xf>
    <xf numFmtId="1" fontId="36" fillId="3" borderId="12" xfId="0" applyNumberFormat="1" applyFont="1" applyFill="1" applyBorder="1" applyAlignment="1">
      <alignment horizontal="center" vertical="center" wrapText="1"/>
    </xf>
    <xf numFmtId="1" fontId="36" fillId="3" borderId="31" xfId="0" applyNumberFormat="1" applyFont="1" applyFill="1" applyBorder="1" applyAlignment="1">
      <alignment horizontal="center" vertical="center" wrapText="1"/>
    </xf>
    <xf numFmtId="165" fontId="11" fillId="3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34" fillId="3" borderId="32" xfId="0" applyFont="1" applyFill="1" applyBorder="1" applyAlignment="1">
      <alignment horizontal="left" vertical="center" wrapText="1" indent="1"/>
    </xf>
    <xf numFmtId="0" fontId="34" fillId="3" borderId="52" xfId="0" applyFont="1" applyFill="1" applyBorder="1" applyAlignment="1">
      <alignment horizontal="left" vertical="center" wrapText="1" indent="1"/>
    </xf>
    <xf numFmtId="166" fontId="37" fillId="3" borderId="45" xfId="0" applyNumberFormat="1" applyFont="1" applyFill="1" applyBorder="1" applyAlignment="1">
      <alignment horizontal="center" vertical="center"/>
    </xf>
    <xf numFmtId="0" fontId="16" fillId="0" borderId="17" xfId="0" applyFont="1" applyBorder="1" applyAlignment="1"/>
    <xf numFmtId="0" fontId="16" fillId="0" borderId="18" xfId="0" applyFont="1" applyBorder="1" applyAlignment="1">
      <alignment horizontal="left" vertical="center" wrapText="1" indent="1"/>
    </xf>
    <xf numFmtId="0" fontId="18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indent="1"/>
    </xf>
    <xf numFmtId="0" fontId="17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1" fillId="0" borderId="6" xfId="0" applyFont="1" applyBorder="1" applyAlignment="1"/>
    <xf numFmtId="0" fontId="18" fillId="0" borderId="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left" vertical="center" wrapText="1" indent="1"/>
    </xf>
    <xf numFmtId="0" fontId="44" fillId="0" borderId="25" xfId="0" applyFont="1" applyBorder="1" applyAlignment="1">
      <alignment horizontal="left" vertical="center" wrapText="1"/>
    </xf>
    <xf numFmtId="0" fontId="19" fillId="0" borderId="16" xfId="0" applyFont="1" applyBorder="1" applyAlignment="1"/>
    <xf numFmtId="0" fontId="0" fillId="0" borderId="16" xfId="0" applyBorder="1" applyAlignment="1"/>
    <xf numFmtId="0" fontId="19" fillId="0" borderId="39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14" fillId="0" borderId="14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19" fillId="0" borderId="61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</cellXfs>
  <cellStyles count="9">
    <cellStyle name="20% - Énfasis2" xfId="7" builtinId="34"/>
    <cellStyle name="20% - Énfasis5" xfId="8" builtinId="46"/>
    <cellStyle name="Bueno" xfId="5" builtinId="26"/>
    <cellStyle name="Encabezado 1" xfId="1" xr:uid="{00000000-0005-0000-0000-000003000000}"/>
    <cellStyle name="Incorrecto" xfId="6" builtinId="27"/>
    <cellStyle name="Moneda 2" xfId="4" xr:uid="{00000000-0005-0000-0000-000005000000}"/>
    <cellStyle name="Moneda_AUTORIZACION Y NOTA DE PEDIDO" xfId="2" xr:uid="{00000000-0005-0000-0000-000006000000}"/>
    <cellStyle name="Neutral 1" xfId="3" xr:uid="{00000000-0005-0000-0000-000007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97"/>
  <sheetViews>
    <sheetView tabSelected="1" zoomScale="80" zoomScaleNormal="80" workbookViewId="0">
      <selection activeCell="C97" sqref="C97:E97"/>
    </sheetView>
  </sheetViews>
  <sheetFormatPr baseColWidth="10" defaultColWidth="11" defaultRowHeight="12.75" x14ac:dyDescent="0.2"/>
  <cols>
    <col min="1" max="1" width="7" style="84" customWidth="1"/>
    <col min="2" max="2" width="16.85546875" style="33" customWidth="1"/>
    <col min="3" max="3" width="23.5703125" style="89" customWidth="1"/>
    <col min="4" max="4" width="12.140625" style="33" customWidth="1"/>
    <col min="5" max="5" width="79" style="114" customWidth="1"/>
    <col min="6" max="6" width="11" style="33"/>
    <col min="7" max="7" width="12.7109375" style="84" customWidth="1"/>
    <col min="8" max="8" width="13.85546875" style="75" customWidth="1"/>
    <col min="9" max="9" width="27" style="87" customWidth="1"/>
    <col min="10" max="16384" width="11" style="18"/>
  </cols>
  <sheetData>
    <row r="2" spans="1:9" ht="27" x14ac:dyDescent="0.35">
      <c r="E2" s="98" t="s">
        <v>0</v>
      </c>
      <c r="F2" s="39"/>
      <c r="G2" s="80"/>
      <c r="I2" s="86"/>
    </row>
    <row r="4" spans="1:9" ht="18" customHeight="1" x14ac:dyDescent="0.25">
      <c r="A4" s="125" t="s">
        <v>1</v>
      </c>
      <c r="B4" s="125"/>
      <c r="C4" s="125"/>
      <c r="D4" s="125"/>
      <c r="E4" s="126" t="s">
        <v>60</v>
      </c>
      <c r="F4" s="126"/>
      <c r="G4" s="126"/>
    </row>
    <row r="5" spans="1:9" ht="18" customHeight="1" x14ac:dyDescent="0.25">
      <c r="A5" s="125" t="s">
        <v>2</v>
      </c>
      <c r="B5" s="125"/>
      <c r="C5" s="125"/>
      <c r="D5" s="125"/>
      <c r="E5" s="126" t="s">
        <v>55</v>
      </c>
      <c r="F5" s="126"/>
      <c r="G5" s="126"/>
    </row>
    <row r="6" spans="1:9" ht="16.5" customHeight="1" x14ac:dyDescent="0.25">
      <c r="A6" s="125" t="s">
        <v>3</v>
      </c>
      <c r="B6" s="125"/>
      <c r="C6" s="125"/>
      <c r="D6" s="125"/>
      <c r="E6" s="99">
        <v>2021</v>
      </c>
      <c r="F6" s="38"/>
      <c r="G6" s="81"/>
    </row>
    <row r="7" spans="1:9" ht="16.5" customHeight="1" x14ac:dyDescent="0.25">
      <c r="A7" s="125" t="s">
        <v>4</v>
      </c>
      <c r="B7" s="125"/>
      <c r="C7" s="125"/>
      <c r="D7" s="125"/>
      <c r="E7" s="99" t="s">
        <v>67</v>
      </c>
      <c r="F7" s="38"/>
      <c r="G7" s="81"/>
    </row>
    <row r="8" spans="1:9" ht="13.5" thickBot="1" x14ac:dyDescent="0.25">
      <c r="E8" s="100"/>
      <c r="F8" s="34"/>
      <c r="G8" s="82"/>
    </row>
    <row r="9" spans="1:9" ht="39" thickBot="1" x14ac:dyDescent="0.25">
      <c r="A9" s="70" t="s">
        <v>5</v>
      </c>
      <c r="B9" s="71" t="s">
        <v>6</v>
      </c>
      <c r="C9" s="71" t="s">
        <v>53</v>
      </c>
      <c r="D9" s="71" t="s">
        <v>54</v>
      </c>
      <c r="E9" s="101" t="s">
        <v>7</v>
      </c>
      <c r="F9" s="71" t="s">
        <v>8</v>
      </c>
      <c r="G9" s="72" t="s">
        <v>9</v>
      </c>
      <c r="H9" s="78" t="s">
        <v>10</v>
      </c>
      <c r="I9" s="74" t="s">
        <v>11</v>
      </c>
    </row>
    <row r="10" spans="1:9" ht="42" customHeight="1" thickBot="1" x14ac:dyDescent="0.25">
      <c r="A10" s="85">
        <v>1</v>
      </c>
      <c r="B10" s="35"/>
      <c r="C10" s="117" t="s">
        <v>74</v>
      </c>
      <c r="D10" s="118" t="s">
        <v>73</v>
      </c>
      <c r="E10" s="102" t="s">
        <v>75</v>
      </c>
      <c r="F10" s="35" t="s">
        <v>12</v>
      </c>
      <c r="G10" s="83">
        <v>25000</v>
      </c>
      <c r="H10" s="95">
        <v>1.69</v>
      </c>
      <c r="I10" s="77">
        <f>G10*H10</f>
        <v>42250</v>
      </c>
    </row>
    <row r="11" spans="1:9" ht="42" customHeight="1" thickBot="1" x14ac:dyDescent="0.25">
      <c r="A11" s="85">
        <v>2</v>
      </c>
      <c r="B11" s="35"/>
      <c r="C11" s="115" t="s">
        <v>74</v>
      </c>
      <c r="D11" s="116" t="s">
        <v>73</v>
      </c>
      <c r="E11" s="102" t="s">
        <v>76</v>
      </c>
      <c r="F11" s="35" t="s">
        <v>12</v>
      </c>
      <c r="G11" s="83">
        <v>64000</v>
      </c>
      <c r="H11" s="95">
        <v>1.69</v>
      </c>
      <c r="I11" s="77">
        <f t="shared" ref="I11:I49" si="0">G11*H11</f>
        <v>108160</v>
      </c>
    </row>
    <row r="12" spans="1:9" ht="42" customHeight="1" thickBot="1" x14ac:dyDescent="0.25">
      <c r="A12" s="85">
        <v>3</v>
      </c>
      <c r="B12" s="35"/>
      <c r="C12" s="115" t="s">
        <v>74</v>
      </c>
      <c r="D12" s="116" t="s">
        <v>73</v>
      </c>
      <c r="E12" s="102" t="s">
        <v>77</v>
      </c>
      <c r="F12" s="35" t="s">
        <v>12</v>
      </c>
      <c r="G12" s="83">
        <v>12000</v>
      </c>
      <c r="H12" s="95">
        <v>2</v>
      </c>
      <c r="I12" s="77">
        <f t="shared" si="0"/>
        <v>24000</v>
      </c>
    </row>
    <row r="13" spans="1:9" ht="42" customHeight="1" thickBot="1" x14ac:dyDescent="0.25">
      <c r="A13" s="85">
        <v>4</v>
      </c>
      <c r="B13" s="35"/>
      <c r="C13" s="115" t="s">
        <v>74</v>
      </c>
      <c r="D13" s="116" t="s">
        <v>73</v>
      </c>
      <c r="E13" s="102" t="s">
        <v>78</v>
      </c>
      <c r="F13" s="35" t="s">
        <v>12</v>
      </c>
      <c r="G13" s="83">
        <v>28000</v>
      </c>
      <c r="H13" s="95">
        <v>1.69</v>
      </c>
      <c r="I13" s="77">
        <f t="shared" si="0"/>
        <v>47320</v>
      </c>
    </row>
    <row r="14" spans="1:9" ht="42" customHeight="1" thickBot="1" x14ac:dyDescent="0.25">
      <c r="A14" s="85">
        <v>5</v>
      </c>
      <c r="B14" s="35"/>
      <c r="C14" s="115" t="s">
        <v>74</v>
      </c>
      <c r="D14" s="116" t="s">
        <v>73</v>
      </c>
      <c r="E14" s="102" t="s">
        <v>79</v>
      </c>
      <c r="F14" s="35" t="s">
        <v>12</v>
      </c>
      <c r="G14" s="83">
        <v>4000</v>
      </c>
      <c r="H14" s="95">
        <v>2</v>
      </c>
      <c r="I14" s="77">
        <f t="shared" si="0"/>
        <v>8000</v>
      </c>
    </row>
    <row r="15" spans="1:9" ht="42" customHeight="1" thickBot="1" x14ac:dyDescent="0.25">
      <c r="A15" s="85">
        <v>6</v>
      </c>
      <c r="B15" s="35"/>
      <c r="C15" s="115" t="s">
        <v>74</v>
      </c>
      <c r="D15" s="116" t="s">
        <v>73</v>
      </c>
      <c r="E15" s="102" t="s">
        <v>80</v>
      </c>
      <c r="F15" s="35" t="s">
        <v>12</v>
      </c>
      <c r="G15" s="83">
        <v>10000</v>
      </c>
      <c r="H15" s="95">
        <v>273.98</v>
      </c>
      <c r="I15" s="77">
        <f t="shared" si="0"/>
        <v>2739800</v>
      </c>
    </row>
    <row r="16" spans="1:9" ht="42" customHeight="1" thickBot="1" x14ac:dyDescent="0.25">
      <c r="A16" s="85">
        <v>7</v>
      </c>
      <c r="B16" s="35"/>
      <c r="C16" s="115" t="s">
        <v>74</v>
      </c>
      <c r="D16" s="116" t="s">
        <v>73</v>
      </c>
      <c r="E16" s="102" t="s">
        <v>81</v>
      </c>
      <c r="F16" s="35" t="s">
        <v>12</v>
      </c>
      <c r="G16" s="83">
        <v>1200</v>
      </c>
      <c r="H16" s="95">
        <v>278</v>
      </c>
      <c r="I16" s="77">
        <f t="shared" si="0"/>
        <v>333600</v>
      </c>
    </row>
    <row r="17" spans="1:9" ht="42" customHeight="1" thickBot="1" x14ac:dyDescent="0.25">
      <c r="A17" s="85">
        <v>8</v>
      </c>
      <c r="B17" s="35"/>
      <c r="C17" s="115" t="s">
        <v>74</v>
      </c>
      <c r="D17" s="116" t="s">
        <v>73</v>
      </c>
      <c r="E17" s="102" t="s">
        <v>82</v>
      </c>
      <c r="F17" s="35" t="s">
        <v>12</v>
      </c>
      <c r="G17" s="83">
        <v>13000</v>
      </c>
      <c r="H17" s="95">
        <v>50</v>
      </c>
      <c r="I17" s="77">
        <f t="shared" si="0"/>
        <v>650000</v>
      </c>
    </row>
    <row r="18" spans="1:9" ht="42" customHeight="1" thickBot="1" x14ac:dyDescent="0.25">
      <c r="A18" s="85">
        <v>9</v>
      </c>
      <c r="B18" s="35"/>
      <c r="C18" s="115" t="s">
        <v>74</v>
      </c>
      <c r="D18" s="116" t="s">
        <v>73</v>
      </c>
      <c r="E18" s="102" t="s">
        <v>83</v>
      </c>
      <c r="F18" s="35" t="s">
        <v>12</v>
      </c>
      <c r="G18" s="83">
        <v>50</v>
      </c>
      <c r="H18" s="95">
        <v>70</v>
      </c>
      <c r="I18" s="77">
        <f t="shared" si="0"/>
        <v>3500</v>
      </c>
    </row>
    <row r="19" spans="1:9" ht="42" customHeight="1" thickBot="1" x14ac:dyDescent="0.25">
      <c r="A19" s="85">
        <v>10</v>
      </c>
      <c r="B19" s="35"/>
      <c r="C19" s="115" t="s">
        <v>74</v>
      </c>
      <c r="D19" s="116" t="s">
        <v>73</v>
      </c>
      <c r="E19" s="102" t="s">
        <v>84</v>
      </c>
      <c r="F19" s="35" t="s">
        <v>12</v>
      </c>
      <c r="G19" s="83">
        <v>6000</v>
      </c>
      <c r="H19" s="95">
        <v>22.26</v>
      </c>
      <c r="I19" s="77">
        <f t="shared" si="0"/>
        <v>133560</v>
      </c>
    </row>
    <row r="20" spans="1:9" ht="42" customHeight="1" thickBot="1" x14ac:dyDescent="0.25">
      <c r="A20" s="85">
        <v>11</v>
      </c>
      <c r="B20" s="35"/>
      <c r="C20" s="115" t="s">
        <v>74</v>
      </c>
      <c r="D20" s="116" t="s">
        <v>73</v>
      </c>
      <c r="E20" s="102" t="s">
        <v>85</v>
      </c>
      <c r="F20" s="35" t="s">
        <v>12</v>
      </c>
      <c r="G20" s="83">
        <v>10</v>
      </c>
      <c r="H20" s="95">
        <v>850</v>
      </c>
      <c r="I20" s="77">
        <f t="shared" si="0"/>
        <v>8500</v>
      </c>
    </row>
    <row r="21" spans="1:9" ht="42" customHeight="1" thickBot="1" x14ac:dyDescent="0.25">
      <c r="A21" s="85">
        <v>12</v>
      </c>
      <c r="B21" s="35"/>
      <c r="C21" s="115" t="s">
        <v>74</v>
      </c>
      <c r="D21" s="116" t="s">
        <v>73</v>
      </c>
      <c r="E21" s="102" t="s">
        <v>86</v>
      </c>
      <c r="F21" s="35" t="s">
        <v>12</v>
      </c>
      <c r="G21" s="83">
        <v>10000</v>
      </c>
      <c r="H21" s="95">
        <v>102</v>
      </c>
      <c r="I21" s="77">
        <f t="shared" si="0"/>
        <v>1020000</v>
      </c>
    </row>
    <row r="22" spans="1:9" ht="42" customHeight="1" thickBot="1" x14ac:dyDescent="0.25">
      <c r="A22" s="85">
        <v>13</v>
      </c>
      <c r="B22" s="35"/>
      <c r="C22" s="115" t="s">
        <v>74</v>
      </c>
      <c r="D22" s="116" t="s">
        <v>73</v>
      </c>
      <c r="E22" s="102" t="s">
        <v>87</v>
      </c>
      <c r="F22" s="35" t="s">
        <v>12</v>
      </c>
      <c r="G22" s="83">
        <v>12</v>
      </c>
      <c r="H22" s="95">
        <v>3330</v>
      </c>
      <c r="I22" s="77">
        <f t="shared" si="0"/>
        <v>39960</v>
      </c>
    </row>
    <row r="23" spans="1:9" ht="42" customHeight="1" thickBot="1" x14ac:dyDescent="0.25">
      <c r="A23" s="85">
        <v>14</v>
      </c>
      <c r="B23" s="35"/>
      <c r="C23" s="115" t="s">
        <v>74</v>
      </c>
      <c r="D23" s="116" t="s">
        <v>73</v>
      </c>
      <c r="E23" s="102" t="s">
        <v>88</v>
      </c>
      <c r="F23" s="35" t="s">
        <v>12</v>
      </c>
      <c r="G23" s="83">
        <v>2000</v>
      </c>
      <c r="H23" s="95">
        <v>17</v>
      </c>
      <c r="I23" s="77">
        <f t="shared" si="0"/>
        <v>34000</v>
      </c>
    </row>
    <row r="24" spans="1:9" ht="42" customHeight="1" thickBot="1" x14ac:dyDescent="0.25">
      <c r="A24" s="85">
        <v>15</v>
      </c>
      <c r="B24" s="35"/>
      <c r="C24" s="115" t="s">
        <v>74</v>
      </c>
      <c r="D24" s="116" t="s">
        <v>73</v>
      </c>
      <c r="E24" s="102" t="s">
        <v>89</v>
      </c>
      <c r="F24" s="35" t="s">
        <v>12</v>
      </c>
      <c r="G24" s="83">
        <v>6000</v>
      </c>
      <c r="H24" s="95">
        <v>8</v>
      </c>
      <c r="I24" s="77">
        <f t="shared" si="0"/>
        <v>48000</v>
      </c>
    </row>
    <row r="25" spans="1:9" ht="42" customHeight="1" thickBot="1" x14ac:dyDescent="0.25">
      <c r="A25" s="85">
        <v>16</v>
      </c>
      <c r="B25" s="35"/>
      <c r="C25" s="115" t="s">
        <v>74</v>
      </c>
      <c r="D25" s="116" t="s">
        <v>73</v>
      </c>
      <c r="E25" s="102" t="s">
        <v>90</v>
      </c>
      <c r="F25" s="35" t="s">
        <v>12</v>
      </c>
      <c r="G25" s="83">
        <v>100</v>
      </c>
      <c r="H25" s="95">
        <v>1000</v>
      </c>
      <c r="I25" s="77">
        <f t="shared" si="0"/>
        <v>100000</v>
      </c>
    </row>
    <row r="26" spans="1:9" ht="42" customHeight="1" thickBot="1" x14ac:dyDescent="0.25">
      <c r="A26" s="85">
        <v>17</v>
      </c>
      <c r="B26" s="35"/>
      <c r="C26" s="115" t="s">
        <v>74</v>
      </c>
      <c r="D26" s="116" t="s">
        <v>73</v>
      </c>
      <c r="E26" s="102" t="s">
        <v>91</v>
      </c>
      <c r="F26" s="35" t="s">
        <v>12</v>
      </c>
      <c r="G26" s="83">
        <v>200</v>
      </c>
      <c r="H26" s="95">
        <v>317.83</v>
      </c>
      <c r="I26" s="77">
        <f t="shared" si="0"/>
        <v>63566</v>
      </c>
    </row>
    <row r="27" spans="1:9" ht="42" customHeight="1" thickBot="1" x14ac:dyDescent="0.25">
      <c r="A27" s="85">
        <v>18</v>
      </c>
      <c r="B27" s="35"/>
      <c r="C27" s="115" t="s">
        <v>74</v>
      </c>
      <c r="D27" s="116" t="s">
        <v>73</v>
      </c>
      <c r="E27" s="102" t="s">
        <v>92</v>
      </c>
      <c r="F27" s="35" t="s">
        <v>12</v>
      </c>
      <c r="G27" s="83">
        <v>1500</v>
      </c>
      <c r="H27" s="95">
        <v>8.1</v>
      </c>
      <c r="I27" s="77">
        <f t="shared" si="0"/>
        <v>12150</v>
      </c>
    </row>
    <row r="28" spans="1:9" ht="42" customHeight="1" thickBot="1" x14ac:dyDescent="0.25">
      <c r="A28" s="85">
        <v>19</v>
      </c>
      <c r="B28" s="35"/>
      <c r="C28" s="115" t="s">
        <v>74</v>
      </c>
      <c r="D28" s="116" t="s">
        <v>73</v>
      </c>
      <c r="E28" s="102" t="s">
        <v>93</v>
      </c>
      <c r="F28" s="35" t="s">
        <v>12</v>
      </c>
      <c r="G28" s="83">
        <v>1000</v>
      </c>
      <c r="H28" s="95">
        <v>40</v>
      </c>
      <c r="I28" s="77">
        <f t="shared" si="0"/>
        <v>40000</v>
      </c>
    </row>
    <row r="29" spans="1:9" ht="42" customHeight="1" thickBot="1" x14ac:dyDescent="0.25">
      <c r="A29" s="85">
        <v>20</v>
      </c>
      <c r="B29" s="35"/>
      <c r="C29" s="115" t="s">
        <v>74</v>
      </c>
      <c r="D29" s="116" t="s">
        <v>73</v>
      </c>
      <c r="E29" s="102" t="s">
        <v>94</v>
      </c>
      <c r="F29" s="35" t="s">
        <v>12</v>
      </c>
      <c r="G29" s="83">
        <v>250</v>
      </c>
      <c r="H29" s="95">
        <v>40.799999999999997</v>
      </c>
      <c r="I29" s="77">
        <f t="shared" si="0"/>
        <v>10200</v>
      </c>
    </row>
    <row r="30" spans="1:9" ht="42" customHeight="1" thickBot="1" x14ac:dyDescent="0.25">
      <c r="A30" s="85">
        <v>21</v>
      </c>
      <c r="B30" s="35"/>
      <c r="C30" s="115" t="s">
        <v>74</v>
      </c>
      <c r="D30" s="116" t="s">
        <v>73</v>
      </c>
      <c r="E30" s="102" t="s">
        <v>95</v>
      </c>
      <c r="F30" s="35" t="s">
        <v>12</v>
      </c>
      <c r="G30" s="83">
        <v>250</v>
      </c>
      <c r="H30" s="95">
        <v>65</v>
      </c>
      <c r="I30" s="77">
        <f t="shared" si="0"/>
        <v>16250</v>
      </c>
    </row>
    <row r="31" spans="1:9" ht="42" customHeight="1" thickBot="1" x14ac:dyDescent="0.25">
      <c r="A31" s="85">
        <v>22</v>
      </c>
      <c r="B31" s="35"/>
      <c r="C31" s="115" t="s">
        <v>74</v>
      </c>
      <c r="D31" s="116" t="s">
        <v>73</v>
      </c>
      <c r="E31" s="102" t="s">
        <v>96</v>
      </c>
      <c r="F31" s="35" t="s">
        <v>12</v>
      </c>
      <c r="G31" s="83">
        <v>500</v>
      </c>
      <c r="H31" s="95">
        <v>65</v>
      </c>
      <c r="I31" s="77">
        <f t="shared" si="0"/>
        <v>32500</v>
      </c>
    </row>
    <row r="32" spans="1:9" ht="42" customHeight="1" thickBot="1" x14ac:dyDescent="0.25">
      <c r="A32" s="85">
        <v>23</v>
      </c>
      <c r="B32" s="35"/>
      <c r="C32" s="115" t="s">
        <v>74</v>
      </c>
      <c r="D32" s="116" t="s">
        <v>73</v>
      </c>
      <c r="E32" s="102" t="s">
        <v>97</v>
      </c>
      <c r="F32" s="35" t="s">
        <v>12</v>
      </c>
      <c r="G32" s="83">
        <v>40</v>
      </c>
      <c r="H32" s="95">
        <v>440.87</v>
      </c>
      <c r="I32" s="77">
        <f t="shared" si="0"/>
        <v>17634.8</v>
      </c>
    </row>
    <row r="33" spans="1:9" ht="42" customHeight="1" thickBot="1" x14ac:dyDescent="0.25">
      <c r="A33" s="85">
        <v>24</v>
      </c>
      <c r="B33" s="35"/>
      <c r="C33" s="115" t="s">
        <v>74</v>
      </c>
      <c r="D33" s="116" t="s">
        <v>73</v>
      </c>
      <c r="E33" s="102" t="s">
        <v>98</v>
      </c>
      <c r="F33" s="35" t="s">
        <v>12</v>
      </c>
      <c r="G33" s="83">
        <v>10</v>
      </c>
      <c r="H33" s="95">
        <v>2300</v>
      </c>
      <c r="I33" s="77">
        <f t="shared" si="0"/>
        <v>23000</v>
      </c>
    </row>
    <row r="34" spans="1:9" ht="42" customHeight="1" thickBot="1" x14ac:dyDescent="0.25">
      <c r="A34" s="85">
        <v>25</v>
      </c>
      <c r="B34" s="35"/>
      <c r="C34" s="115" t="s">
        <v>74</v>
      </c>
      <c r="D34" s="116" t="s">
        <v>73</v>
      </c>
      <c r="E34" s="102" t="s">
        <v>99</v>
      </c>
      <c r="F34" s="35" t="s">
        <v>12</v>
      </c>
      <c r="G34" s="83">
        <v>1600</v>
      </c>
      <c r="H34" s="95">
        <v>31.35</v>
      </c>
      <c r="I34" s="77">
        <f t="shared" si="0"/>
        <v>50160</v>
      </c>
    </row>
    <row r="35" spans="1:9" ht="42" customHeight="1" thickBot="1" x14ac:dyDescent="0.25">
      <c r="A35" s="85">
        <v>26</v>
      </c>
      <c r="B35" s="35"/>
      <c r="C35" s="115" t="s">
        <v>74</v>
      </c>
      <c r="D35" s="116" t="s">
        <v>73</v>
      </c>
      <c r="E35" s="102" t="s">
        <v>100</v>
      </c>
      <c r="F35" s="35" t="s">
        <v>12</v>
      </c>
      <c r="G35" s="83">
        <v>6000</v>
      </c>
      <c r="H35" s="95">
        <v>31.35</v>
      </c>
      <c r="I35" s="77">
        <f t="shared" si="0"/>
        <v>188100</v>
      </c>
    </row>
    <row r="36" spans="1:9" ht="42" customHeight="1" thickBot="1" x14ac:dyDescent="0.25">
      <c r="A36" s="85">
        <v>27</v>
      </c>
      <c r="B36" s="35"/>
      <c r="C36" s="115" t="s">
        <v>74</v>
      </c>
      <c r="D36" s="116" t="s">
        <v>73</v>
      </c>
      <c r="E36" s="102" t="s">
        <v>101</v>
      </c>
      <c r="F36" s="35" t="s">
        <v>12</v>
      </c>
      <c r="G36" s="83">
        <v>3500</v>
      </c>
      <c r="H36" s="95">
        <v>31.35</v>
      </c>
      <c r="I36" s="77">
        <f t="shared" si="0"/>
        <v>109725</v>
      </c>
    </row>
    <row r="37" spans="1:9" ht="42" customHeight="1" thickBot="1" x14ac:dyDescent="0.25">
      <c r="A37" s="85">
        <v>28</v>
      </c>
      <c r="B37" s="35"/>
      <c r="C37" s="115" t="s">
        <v>74</v>
      </c>
      <c r="D37" s="116" t="s">
        <v>73</v>
      </c>
      <c r="E37" s="102" t="s">
        <v>102</v>
      </c>
      <c r="F37" s="35" t="s">
        <v>12</v>
      </c>
      <c r="G37" s="83">
        <v>1500</v>
      </c>
      <c r="H37" s="95">
        <v>31.35</v>
      </c>
      <c r="I37" s="77">
        <f t="shared" si="0"/>
        <v>47025</v>
      </c>
    </row>
    <row r="38" spans="1:9" ht="42" customHeight="1" thickBot="1" x14ac:dyDescent="0.25">
      <c r="A38" s="85">
        <v>29</v>
      </c>
      <c r="B38" s="35"/>
      <c r="C38" s="115" t="s">
        <v>74</v>
      </c>
      <c r="D38" s="116" t="s">
        <v>73</v>
      </c>
      <c r="E38" s="102" t="s">
        <v>103</v>
      </c>
      <c r="F38" s="35" t="s">
        <v>12</v>
      </c>
      <c r="G38" s="83">
        <v>800</v>
      </c>
      <c r="H38" s="95">
        <v>31.35</v>
      </c>
      <c r="I38" s="77">
        <f t="shared" si="0"/>
        <v>25080</v>
      </c>
    </row>
    <row r="39" spans="1:9" ht="42" customHeight="1" thickBot="1" x14ac:dyDescent="0.25">
      <c r="A39" s="85">
        <v>30</v>
      </c>
      <c r="B39" s="35"/>
      <c r="C39" s="115" t="s">
        <v>74</v>
      </c>
      <c r="D39" s="116" t="s">
        <v>73</v>
      </c>
      <c r="E39" s="102" t="s">
        <v>104</v>
      </c>
      <c r="F39" s="35" t="s">
        <v>12</v>
      </c>
      <c r="G39" s="83">
        <v>600</v>
      </c>
      <c r="H39" s="95">
        <v>1300</v>
      </c>
      <c r="I39" s="77">
        <f t="shared" si="0"/>
        <v>780000</v>
      </c>
    </row>
    <row r="40" spans="1:9" ht="42" customHeight="1" thickBot="1" x14ac:dyDescent="0.25">
      <c r="A40" s="85">
        <v>31</v>
      </c>
      <c r="B40" s="35"/>
      <c r="C40" s="115" t="s">
        <v>74</v>
      </c>
      <c r="D40" s="116" t="s">
        <v>73</v>
      </c>
      <c r="E40" s="102" t="s">
        <v>105</v>
      </c>
      <c r="F40" s="35" t="s">
        <v>12</v>
      </c>
      <c r="G40" s="83">
        <v>1500</v>
      </c>
      <c r="H40" s="95">
        <v>1300</v>
      </c>
      <c r="I40" s="77">
        <f t="shared" si="0"/>
        <v>1950000</v>
      </c>
    </row>
    <row r="41" spans="1:9" ht="42" customHeight="1" thickBot="1" x14ac:dyDescent="0.25">
      <c r="A41" s="85">
        <v>32</v>
      </c>
      <c r="B41" s="35"/>
      <c r="C41" s="115" t="s">
        <v>74</v>
      </c>
      <c r="D41" s="116" t="s">
        <v>73</v>
      </c>
      <c r="E41" s="102" t="s">
        <v>106</v>
      </c>
      <c r="F41" s="35" t="s">
        <v>12</v>
      </c>
      <c r="G41" s="83">
        <v>1000</v>
      </c>
      <c r="H41" s="95">
        <v>1300</v>
      </c>
      <c r="I41" s="77">
        <f t="shared" si="0"/>
        <v>1300000</v>
      </c>
    </row>
    <row r="42" spans="1:9" ht="42" customHeight="1" thickBot="1" x14ac:dyDescent="0.25">
      <c r="A42" s="85">
        <v>33</v>
      </c>
      <c r="B42" s="35"/>
      <c r="C42" s="115" t="s">
        <v>74</v>
      </c>
      <c r="D42" s="116" t="s">
        <v>73</v>
      </c>
      <c r="E42" s="102" t="s">
        <v>107</v>
      </c>
      <c r="F42" s="35" t="s">
        <v>12</v>
      </c>
      <c r="G42" s="83">
        <v>200</v>
      </c>
      <c r="H42" s="95">
        <v>1100</v>
      </c>
      <c r="I42" s="77">
        <f t="shared" si="0"/>
        <v>220000</v>
      </c>
    </row>
    <row r="43" spans="1:9" ht="42" customHeight="1" thickBot="1" x14ac:dyDescent="0.25">
      <c r="A43" s="85">
        <v>34</v>
      </c>
      <c r="B43" s="35"/>
      <c r="C43" s="115" t="s">
        <v>74</v>
      </c>
      <c r="D43" s="116" t="s">
        <v>73</v>
      </c>
      <c r="E43" s="102" t="s">
        <v>108</v>
      </c>
      <c r="F43" s="35" t="s">
        <v>12</v>
      </c>
      <c r="G43" s="83">
        <v>300</v>
      </c>
      <c r="H43" s="95">
        <v>890</v>
      </c>
      <c r="I43" s="77">
        <f t="shared" si="0"/>
        <v>267000</v>
      </c>
    </row>
    <row r="44" spans="1:9" ht="42" customHeight="1" thickBot="1" x14ac:dyDescent="0.25">
      <c r="A44" s="85">
        <v>35</v>
      </c>
      <c r="B44" s="35"/>
      <c r="C44" s="115" t="s">
        <v>74</v>
      </c>
      <c r="D44" s="116" t="s">
        <v>73</v>
      </c>
      <c r="E44" s="102" t="s">
        <v>109</v>
      </c>
      <c r="F44" s="35" t="s">
        <v>12</v>
      </c>
      <c r="G44" s="83">
        <v>1500</v>
      </c>
      <c r="H44" s="95">
        <v>832</v>
      </c>
      <c r="I44" s="77">
        <f t="shared" si="0"/>
        <v>1248000</v>
      </c>
    </row>
    <row r="45" spans="1:9" ht="42" customHeight="1" thickBot="1" x14ac:dyDescent="0.25">
      <c r="A45" s="85">
        <v>36</v>
      </c>
      <c r="B45" s="35"/>
      <c r="C45" s="115" t="s">
        <v>74</v>
      </c>
      <c r="D45" s="116" t="s">
        <v>73</v>
      </c>
      <c r="E45" s="102" t="s">
        <v>110</v>
      </c>
      <c r="F45" s="35" t="s">
        <v>12</v>
      </c>
      <c r="G45" s="83">
        <v>2</v>
      </c>
      <c r="H45" s="95">
        <v>1800</v>
      </c>
      <c r="I45" s="77">
        <f t="shared" si="0"/>
        <v>3600</v>
      </c>
    </row>
    <row r="46" spans="1:9" ht="42" customHeight="1" thickBot="1" x14ac:dyDescent="0.25">
      <c r="A46" s="85">
        <v>37</v>
      </c>
      <c r="B46" s="35"/>
      <c r="C46" s="115" t="s">
        <v>74</v>
      </c>
      <c r="D46" s="116" t="s">
        <v>73</v>
      </c>
      <c r="E46" s="102" t="s">
        <v>111</v>
      </c>
      <c r="F46" s="35" t="s">
        <v>12</v>
      </c>
      <c r="G46" s="83">
        <v>6000</v>
      </c>
      <c r="H46" s="95">
        <v>6</v>
      </c>
      <c r="I46" s="77">
        <f t="shared" si="0"/>
        <v>36000</v>
      </c>
    </row>
    <row r="47" spans="1:9" ht="42" customHeight="1" thickBot="1" x14ac:dyDescent="0.25">
      <c r="A47" s="85">
        <v>38</v>
      </c>
      <c r="B47" s="35"/>
      <c r="C47" s="115" t="s">
        <v>74</v>
      </c>
      <c r="D47" s="116" t="s">
        <v>73</v>
      </c>
      <c r="E47" s="102" t="s">
        <v>112</v>
      </c>
      <c r="F47" s="35" t="s">
        <v>12</v>
      </c>
      <c r="G47" s="83">
        <v>8000</v>
      </c>
      <c r="H47" s="95">
        <v>6</v>
      </c>
      <c r="I47" s="77">
        <f t="shared" si="0"/>
        <v>48000</v>
      </c>
    </row>
    <row r="48" spans="1:9" ht="42" customHeight="1" thickBot="1" x14ac:dyDescent="0.25">
      <c r="A48" s="85">
        <v>39</v>
      </c>
      <c r="B48" s="35"/>
      <c r="C48" s="115" t="s">
        <v>74</v>
      </c>
      <c r="D48" s="116" t="s">
        <v>73</v>
      </c>
      <c r="E48" s="102" t="s">
        <v>113</v>
      </c>
      <c r="F48" s="35" t="s">
        <v>12</v>
      </c>
      <c r="G48" s="83">
        <v>5000</v>
      </c>
      <c r="H48" s="95">
        <v>6</v>
      </c>
      <c r="I48" s="77">
        <f t="shared" si="0"/>
        <v>30000</v>
      </c>
    </row>
    <row r="49" spans="1:9" ht="42" customHeight="1" thickBot="1" x14ac:dyDescent="0.25">
      <c r="A49" s="85">
        <v>40</v>
      </c>
      <c r="B49" s="35"/>
      <c r="C49" s="115" t="s">
        <v>74</v>
      </c>
      <c r="D49" s="116" t="s">
        <v>73</v>
      </c>
      <c r="E49" s="102" t="s">
        <v>114</v>
      </c>
      <c r="F49" s="35" t="s">
        <v>12</v>
      </c>
      <c r="G49" s="83">
        <v>25000</v>
      </c>
      <c r="H49" s="95">
        <v>5</v>
      </c>
      <c r="I49" s="77">
        <f t="shared" si="0"/>
        <v>125000</v>
      </c>
    </row>
    <row r="50" spans="1:9" ht="42" customHeight="1" thickBot="1" x14ac:dyDescent="0.25">
      <c r="A50" s="85">
        <v>41</v>
      </c>
      <c r="B50" s="35"/>
      <c r="C50" s="37" t="s">
        <v>74</v>
      </c>
      <c r="D50" s="97" t="s">
        <v>73</v>
      </c>
      <c r="E50" s="102" t="s">
        <v>115</v>
      </c>
      <c r="F50" s="35" t="s">
        <v>12</v>
      </c>
      <c r="G50" s="83">
        <v>6000</v>
      </c>
      <c r="H50" s="95">
        <v>12.2</v>
      </c>
      <c r="I50" s="77">
        <f t="shared" ref="I50:I62" si="1">G50*H50</f>
        <v>73200</v>
      </c>
    </row>
    <row r="51" spans="1:9" s="27" customFormat="1" ht="42" customHeight="1" thickBot="1" x14ac:dyDescent="0.25">
      <c r="A51" s="85">
        <v>42</v>
      </c>
      <c r="B51" s="35"/>
      <c r="C51" s="37" t="s">
        <v>74</v>
      </c>
      <c r="D51" s="97" t="s">
        <v>73</v>
      </c>
      <c r="E51" s="102" t="s">
        <v>116</v>
      </c>
      <c r="F51" s="35" t="s">
        <v>12</v>
      </c>
      <c r="G51" s="83">
        <v>17000</v>
      </c>
      <c r="H51" s="95">
        <v>3.86</v>
      </c>
      <c r="I51" s="77">
        <f t="shared" si="1"/>
        <v>65620</v>
      </c>
    </row>
    <row r="52" spans="1:9" s="27" customFormat="1" ht="42" customHeight="1" thickBot="1" x14ac:dyDescent="0.25">
      <c r="A52" s="85">
        <v>43</v>
      </c>
      <c r="B52" s="35"/>
      <c r="C52" s="37" t="s">
        <v>74</v>
      </c>
      <c r="D52" s="97" t="s">
        <v>73</v>
      </c>
      <c r="E52" s="102" t="s">
        <v>117</v>
      </c>
      <c r="F52" s="35" t="s">
        <v>12</v>
      </c>
      <c r="G52" s="83">
        <v>1000</v>
      </c>
      <c r="H52" s="95">
        <v>7</v>
      </c>
      <c r="I52" s="77">
        <f t="shared" si="1"/>
        <v>7000</v>
      </c>
    </row>
    <row r="53" spans="1:9" s="27" customFormat="1" ht="42" customHeight="1" thickBot="1" x14ac:dyDescent="0.25">
      <c r="A53" s="85">
        <v>44</v>
      </c>
      <c r="B53" s="35"/>
      <c r="C53" s="37" t="s">
        <v>74</v>
      </c>
      <c r="D53" s="97" t="s">
        <v>73</v>
      </c>
      <c r="E53" s="103" t="s">
        <v>118</v>
      </c>
      <c r="F53" s="35" t="s">
        <v>12</v>
      </c>
      <c r="G53" s="83">
        <v>18000</v>
      </c>
      <c r="H53" s="95">
        <v>6.67</v>
      </c>
      <c r="I53" s="77">
        <f t="shared" si="1"/>
        <v>120060</v>
      </c>
    </row>
    <row r="54" spans="1:9" s="27" customFormat="1" ht="42" customHeight="1" thickBot="1" x14ac:dyDescent="0.25">
      <c r="A54" s="85">
        <v>45</v>
      </c>
      <c r="B54" s="35"/>
      <c r="C54" s="37" t="s">
        <v>74</v>
      </c>
      <c r="D54" s="97" t="s">
        <v>73</v>
      </c>
      <c r="E54" s="102" t="s">
        <v>119</v>
      </c>
      <c r="F54" s="35" t="s">
        <v>12</v>
      </c>
      <c r="G54" s="83">
        <v>1000</v>
      </c>
      <c r="H54" s="95">
        <v>400</v>
      </c>
      <c r="I54" s="77">
        <f t="shared" si="1"/>
        <v>400000</v>
      </c>
    </row>
    <row r="55" spans="1:9" s="27" customFormat="1" ht="42" customHeight="1" thickBot="1" x14ac:dyDescent="0.25">
      <c r="A55" s="85">
        <v>46</v>
      </c>
      <c r="B55" s="35"/>
      <c r="C55" s="37" t="s">
        <v>74</v>
      </c>
      <c r="D55" s="97" t="s">
        <v>73</v>
      </c>
      <c r="E55" s="102" t="s">
        <v>120</v>
      </c>
      <c r="F55" s="35" t="s">
        <v>12</v>
      </c>
      <c r="G55" s="83">
        <v>10</v>
      </c>
      <c r="H55" s="95">
        <v>609</v>
      </c>
      <c r="I55" s="77">
        <f t="shared" si="1"/>
        <v>6090</v>
      </c>
    </row>
    <row r="56" spans="1:9" s="27" customFormat="1" ht="42" customHeight="1" thickBot="1" x14ac:dyDescent="0.25">
      <c r="A56" s="85">
        <v>47</v>
      </c>
      <c r="B56" s="35"/>
      <c r="C56" s="37" t="s">
        <v>74</v>
      </c>
      <c r="D56" s="97" t="s">
        <v>73</v>
      </c>
      <c r="E56" s="102" t="s">
        <v>121</v>
      </c>
      <c r="F56" s="35" t="s">
        <v>12</v>
      </c>
      <c r="G56" s="83">
        <v>10</v>
      </c>
      <c r="H56" s="95">
        <v>609</v>
      </c>
      <c r="I56" s="77">
        <f t="shared" si="1"/>
        <v>6090</v>
      </c>
    </row>
    <row r="57" spans="1:9" s="27" customFormat="1" ht="42" customHeight="1" thickBot="1" x14ac:dyDescent="0.25">
      <c r="A57" s="85">
        <v>48</v>
      </c>
      <c r="B57" s="35"/>
      <c r="C57" s="37" t="s">
        <v>74</v>
      </c>
      <c r="D57" s="97" t="s">
        <v>73</v>
      </c>
      <c r="E57" s="102" t="s">
        <v>122</v>
      </c>
      <c r="F57" s="35" t="s">
        <v>12</v>
      </c>
      <c r="G57" s="83">
        <v>10</v>
      </c>
      <c r="H57" s="96">
        <v>609</v>
      </c>
      <c r="I57" s="77">
        <f t="shared" si="1"/>
        <v>6090</v>
      </c>
    </row>
    <row r="58" spans="1:9" s="27" customFormat="1" ht="42" customHeight="1" thickBot="1" x14ac:dyDescent="0.25">
      <c r="A58" s="85">
        <v>49</v>
      </c>
      <c r="B58" s="35"/>
      <c r="C58" s="37" t="s">
        <v>74</v>
      </c>
      <c r="D58" s="97" t="s">
        <v>73</v>
      </c>
      <c r="E58" s="102" t="s">
        <v>123</v>
      </c>
      <c r="F58" s="35" t="s">
        <v>12</v>
      </c>
      <c r="G58" s="83">
        <v>50</v>
      </c>
      <c r="H58" s="95">
        <v>280</v>
      </c>
      <c r="I58" s="77">
        <f t="shared" si="1"/>
        <v>14000</v>
      </c>
    </row>
    <row r="59" spans="1:9" s="27" customFormat="1" ht="42" customHeight="1" thickBot="1" x14ac:dyDescent="0.25">
      <c r="A59" s="85">
        <v>50</v>
      </c>
      <c r="B59" s="35"/>
      <c r="C59" s="37" t="s">
        <v>74</v>
      </c>
      <c r="D59" s="97" t="s">
        <v>73</v>
      </c>
      <c r="E59" s="102" t="s">
        <v>124</v>
      </c>
      <c r="F59" s="35" t="s">
        <v>12</v>
      </c>
      <c r="G59" s="83">
        <v>20</v>
      </c>
      <c r="H59" s="95">
        <v>250.79</v>
      </c>
      <c r="I59" s="77">
        <f t="shared" si="1"/>
        <v>5015.8</v>
      </c>
    </row>
    <row r="60" spans="1:9" s="27" customFormat="1" ht="42" customHeight="1" thickBot="1" x14ac:dyDescent="0.25">
      <c r="A60" s="85">
        <v>51</v>
      </c>
      <c r="B60" s="36"/>
      <c r="C60" s="37" t="s">
        <v>74</v>
      </c>
      <c r="D60" s="97" t="s">
        <v>73</v>
      </c>
      <c r="E60" s="102" t="s">
        <v>125</v>
      </c>
      <c r="F60" s="35" t="s">
        <v>12</v>
      </c>
      <c r="G60" s="83">
        <v>10</v>
      </c>
      <c r="H60" s="95">
        <v>60</v>
      </c>
      <c r="I60" s="77">
        <f t="shared" si="1"/>
        <v>600</v>
      </c>
    </row>
    <row r="61" spans="1:9" s="27" customFormat="1" ht="42" customHeight="1" thickBot="1" x14ac:dyDescent="0.25">
      <c r="A61" s="85">
        <v>52</v>
      </c>
      <c r="B61" s="35"/>
      <c r="C61" s="37" t="s">
        <v>74</v>
      </c>
      <c r="D61" s="97" t="s">
        <v>73</v>
      </c>
      <c r="E61" s="102" t="s">
        <v>126</v>
      </c>
      <c r="F61" s="35" t="s">
        <v>12</v>
      </c>
      <c r="G61" s="83">
        <v>10</v>
      </c>
      <c r="H61" s="95">
        <v>80</v>
      </c>
      <c r="I61" s="77">
        <f t="shared" si="1"/>
        <v>800</v>
      </c>
    </row>
    <row r="62" spans="1:9" s="27" customFormat="1" ht="42" customHeight="1" thickBot="1" x14ac:dyDescent="0.25">
      <c r="A62" s="85">
        <v>53</v>
      </c>
      <c r="B62" s="35"/>
      <c r="C62" s="37" t="s">
        <v>74</v>
      </c>
      <c r="D62" s="97" t="s">
        <v>73</v>
      </c>
      <c r="E62" s="102" t="s">
        <v>127</v>
      </c>
      <c r="F62" s="35" t="s">
        <v>12</v>
      </c>
      <c r="G62" s="83">
        <v>4000</v>
      </c>
      <c r="H62" s="95">
        <v>35</v>
      </c>
      <c r="I62" s="77">
        <f t="shared" si="1"/>
        <v>140000</v>
      </c>
    </row>
    <row r="63" spans="1:9" s="27" customFormat="1" ht="42" customHeight="1" thickBot="1" x14ac:dyDescent="0.25">
      <c r="A63" s="85">
        <v>54</v>
      </c>
      <c r="B63" s="35"/>
      <c r="C63" s="37" t="s">
        <v>74</v>
      </c>
      <c r="D63" s="97" t="s">
        <v>73</v>
      </c>
      <c r="E63" s="102" t="s">
        <v>128</v>
      </c>
      <c r="F63" s="35" t="s">
        <v>12</v>
      </c>
      <c r="G63" s="83">
        <v>100</v>
      </c>
      <c r="H63" s="95">
        <v>2315</v>
      </c>
      <c r="I63" s="77">
        <f t="shared" ref="I63:I66" si="2">G63*H63</f>
        <v>231500</v>
      </c>
    </row>
    <row r="64" spans="1:9" s="27" customFormat="1" ht="42" customHeight="1" thickBot="1" x14ac:dyDescent="0.25">
      <c r="A64" s="85">
        <v>55</v>
      </c>
      <c r="B64" s="35"/>
      <c r="C64" s="37" t="s">
        <v>74</v>
      </c>
      <c r="D64" s="97" t="s">
        <v>73</v>
      </c>
      <c r="E64" s="102" t="s">
        <v>129</v>
      </c>
      <c r="F64" s="35" t="s">
        <v>12</v>
      </c>
      <c r="G64" s="83">
        <v>50</v>
      </c>
      <c r="H64" s="95">
        <v>336</v>
      </c>
      <c r="I64" s="77">
        <f t="shared" si="2"/>
        <v>16800</v>
      </c>
    </row>
    <row r="65" spans="1:9" s="27" customFormat="1" ht="42" customHeight="1" thickBot="1" x14ac:dyDescent="0.25">
      <c r="A65" s="85">
        <v>56</v>
      </c>
      <c r="B65" s="35"/>
      <c r="C65" s="37" t="s">
        <v>74</v>
      </c>
      <c r="D65" s="97" t="s">
        <v>73</v>
      </c>
      <c r="E65" s="102" t="s">
        <v>130</v>
      </c>
      <c r="F65" s="35" t="s">
        <v>12</v>
      </c>
      <c r="G65" s="83">
        <v>2500</v>
      </c>
      <c r="H65" s="95">
        <v>45</v>
      </c>
      <c r="I65" s="77">
        <f t="shared" si="2"/>
        <v>112500</v>
      </c>
    </row>
    <row r="66" spans="1:9" s="27" customFormat="1" ht="42" customHeight="1" thickBot="1" x14ac:dyDescent="0.25">
      <c r="A66" s="85">
        <v>57</v>
      </c>
      <c r="B66" s="35"/>
      <c r="C66" s="37" t="s">
        <v>74</v>
      </c>
      <c r="D66" s="97" t="s">
        <v>73</v>
      </c>
      <c r="E66" s="102" t="s">
        <v>131</v>
      </c>
      <c r="F66" s="35" t="s">
        <v>12</v>
      </c>
      <c r="G66" s="83">
        <v>1500</v>
      </c>
      <c r="H66" s="95">
        <v>95</v>
      </c>
      <c r="I66" s="77">
        <f t="shared" si="2"/>
        <v>142500</v>
      </c>
    </row>
    <row r="67" spans="1:9" s="27" customFormat="1" ht="42" customHeight="1" thickBot="1" x14ac:dyDescent="0.25">
      <c r="A67" s="85">
        <v>58</v>
      </c>
      <c r="B67" s="35"/>
      <c r="C67" s="37" t="s">
        <v>74</v>
      </c>
      <c r="D67" s="97" t="s">
        <v>73</v>
      </c>
      <c r="E67" s="102" t="s">
        <v>132</v>
      </c>
      <c r="F67" s="35" t="s">
        <v>12</v>
      </c>
      <c r="G67" s="83">
        <v>1200</v>
      </c>
      <c r="H67" s="95">
        <v>117.82</v>
      </c>
      <c r="I67" s="77">
        <f t="shared" ref="I67:I86" si="3">G67*H67</f>
        <v>141384</v>
      </c>
    </row>
    <row r="68" spans="1:9" s="27" customFormat="1" ht="42" customHeight="1" thickBot="1" x14ac:dyDescent="0.25">
      <c r="A68" s="85">
        <v>59</v>
      </c>
      <c r="B68" s="35"/>
      <c r="C68" s="37" t="s">
        <v>74</v>
      </c>
      <c r="D68" s="97" t="s">
        <v>73</v>
      </c>
      <c r="E68" s="102" t="s">
        <v>133</v>
      </c>
      <c r="F68" s="35" t="s">
        <v>12</v>
      </c>
      <c r="G68" s="83">
        <v>300</v>
      </c>
      <c r="H68" s="95">
        <v>235.63</v>
      </c>
      <c r="I68" s="77">
        <f t="shared" si="3"/>
        <v>70689</v>
      </c>
    </row>
    <row r="69" spans="1:9" s="27" customFormat="1" ht="42" customHeight="1" thickBot="1" x14ac:dyDescent="0.25">
      <c r="A69" s="85">
        <v>60</v>
      </c>
      <c r="B69" s="35"/>
      <c r="C69" s="37" t="s">
        <v>74</v>
      </c>
      <c r="D69" s="97" t="s">
        <v>73</v>
      </c>
      <c r="E69" s="102" t="s">
        <v>134</v>
      </c>
      <c r="F69" s="35" t="s">
        <v>12</v>
      </c>
      <c r="G69" s="83">
        <v>200</v>
      </c>
      <c r="H69" s="95">
        <v>154</v>
      </c>
      <c r="I69" s="77">
        <f t="shared" si="3"/>
        <v>30800</v>
      </c>
    </row>
    <row r="70" spans="1:9" s="27" customFormat="1" ht="42" customHeight="1" thickBot="1" x14ac:dyDescent="0.25">
      <c r="A70" s="85">
        <v>61</v>
      </c>
      <c r="B70" s="35"/>
      <c r="C70" s="37" t="s">
        <v>74</v>
      </c>
      <c r="D70" s="97" t="s">
        <v>73</v>
      </c>
      <c r="E70" s="102" t="s">
        <v>135</v>
      </c>
      <c r="F70" s="35" t="s">
        <v>12</v>
      </c>
      <c r="G70" s="83">
        <v>300</v>
      </c>
      <c r="H70" s="95">
        <v>210</v>
      </c>
      <c r="I70" s="77">
        <f t="shared" si="3"/>
        <v>63000</v>
      </c>
    </row>
    <row r="71" spans="1:9" s="27" customFormat="1" ht="42" customHeight="1" thickBot="1" x14ac:dyDescent="0.25">
      <c r="A71" s="85">
        <v>62</v>
      </c>
      <c r="B71" s="35"/>
      <c r="C71" s="37" t="s">
        <v>74</v>
      </c>
      <c r="D71" s="97" t="s">
        <v>73</v>
      </c>
      <c r="E71" s="102" t="s">
        <v>136</v>
      </c>
      <c r="F71" s="35" t="s">
        <v>12</v>
      </c>
      <c r="G71" s="83">
        <v>50</v>
      </c>
      <c r="H71" s="95">
        <v>231</v>
      </c>
      <c r="I71" s="77">
        <f t="shared" si="3"/>
        <v>11550</v>
      </c>
    </row>
    <row r="72" spans="1:9" s="27" customFormat="1" ht="42" customHeight="1" thickBot="1" x14ac:dyDescent="0.25">
      <c r="A72" s="85">
        <v>63</v>
      </c>
      <c r="B72" s="35"/>
      <c r="C72" s="37" t="s">
        <v>74</v>
      </c>
      <c r="D72" s="97" t="s">
        <v>73</v>
      </c>
      <c r="E72" s="102" t="s">
        <v>137</v>
      </c>
      <c r="F72" s="35" t="s">
        <v>12</v>
      </c>
      <c r="G72" s="83">
        <v>40</v>
      </c>
      <c r="H72" s="95">
        <v>2259.5</v>
      </c>
      <c r="I72" s="77">
        <f t="shared" si="3"/>
        <v>90380</v>
      </c>
    </row>
    <row r="73" spans="1:9" s="27" customFormat="1" ht="42" customHeight="1" thickBot="1" x14ac:dyDescent="0.25">
      <c r="A73" s="85">
        <v>64</v>
      </c>
      <c r="B73" s="35"/>
      <c r="C73" s="37" t="s">
        <v>74</v>
      </c>
      <c r="D73" s="97" t="s">
        <v>73</v>
      </c>
      <c r="E73" s="102" t="s">
        <v>138</v>
      </c>
      <c r="F73" s="35" t="s">
        <v>12</v>
      </c>
      <c r="G73" s="83">
        <v>50</v>
      </c>
      <c r="H73" s="95">
        <v>91</v>
      </c>
      <c r="I73" s="77">
        <f t="shared" si="3"/>
        <v>4550</v>
      </c>
    </row>
    <row r="74" spans="1:9" s="27" customFormat="1" ht="42" customHeight="1" thickBot="1" x14ac:dyDescent="0.25">
      <c r="A74" s="85">
        <v>65</v>
      </c>
      <c r="B74" s="35"/>
      <c r="C74" s="37" t="s">
        <v>74</v>
      </c>
      <c r="D74" s="97" t="s">
        <v>73</v>
      </c>
      <c r="E74" s="102" t="s">
        <v>139</v>
      </c>
      <c r="F74" s="35" t="s">
        <v>12</v>
      </c>
      <c r="G74" s="83">
        <v>80</v>
      </c>
      <c r="H74" s="95">
        <v>222.5</v>
      </c>
      <c r="I74" s="77">
        <f t="shared" si="3"/>
        <v>17800</v>
      </c>
    </row>
    <row r="75" spans="1:9" s="27" customFormat="1" ht="42" customHeight="1" thickBot="1" x14ac:dyDescent="0.25">
      <c r="A75" s="85">
        <v>66</v>
      </c>
      <c r="B75" s="35"/>
      <c r="C75" s="37" t="s">
        <v>74</v>
      </c>
      <c r="D75" s="97" t="s">
        <v>73</v>
      </c>
      <c r="E75" s="102" t="s">
        <v>140</v>
      </c>
      <c r="F75" s="35" t="s">
        <v>12</v>
      </c>
      <c r="G75" s="83">
        <v>80</v>
      </c>
      <c r="H75" s="95">
        <v>222.5</v>
      </c>
      <c r="I75" s="77">
        <f t="shared" si="3"/>
        <v>17800</v>
      </c>
    </row>
    <row r="76" spans="1:9" s="27" customFormat="1" ht="42" customHeight="1" thickBot="1" x14ac:dyDescent="0.25">
      <c r="A76" s="85">
        <v>67</v>
      </c>
      <c r="B76" s="35"/>
      <c r="C76" s="37" t="s">
        <v>74</v>
      </c>
      <c r="D76" s="97" t="s">
        <v>73</v>
      </c>
      <c r="E76" s="102" t="s">
        <v>141</v>
      </c>
      <c r="F76" s="35" t="s">
        <v>12</v>
      </c>
      <c r="G76" s="83">
        <v>130</v>
      </c>
      <c r="H76" s="95">
        <v>222.5</v>
      </c>
      <c r="I76" s="77">
        <f t="shared" si="3"/>
        <v>28925</v>
      </c>
    </row>
    <row r="77" spans="1:9" s="27" customFormat="1" ht="42" customHeight="1" thickBot="1" x14ac:dyDescent="0.25">
      <c r="A77" s="85">
        <v>68</v>
      </c>
      <c r="B77" s="35"/>
      <c r="C77" s="37" t="s">
        <v>74</v>
      </c>
      <c r="D77" s="97" t="s">
        <v>73</v>
      </c>
      <c r="E77" s="102" t="s">
        <v>142</v>
      </c>
      <c r="F77" s="35" t="s">
        <v>12</v>
      </c>
      <c r="G77" s="83">
        <v>2</v>
      </c>
      <c r="H77" s="95">
        <v>836</v>
      </c>
      <c r="I77" s="77">
        <f t="shared" si="3"/>
        <v>1672</v>
      </c>
    </row>
    <row r="78" spans="1:9" s="27" customFormat="1" ht="42" customHeight="1" thickBot="1" x14ac:dyDescent="0.25">
      <c r="A78" s="85">
        <v>69</v>
      </c>
      <c r="B78" s="35"/>
      <c r="C78" s="37" t="s">
        <v>74</v>
      </c>
      <c r="D78" s="97" t="s">
        <v>73</v>
      </c>
      <c r="E78" s="102" t="s">
        <v>143</v>
      </c>
      <c r="F78" s="35" t="s">
        <v>12</v>
      </c>
      <c r="G78" s="83">
        <v>2</v>
      </c>
      <c r="H78" s="95">
        <v>836</v>
      </c>
      <c r="I78" s="77">
        <f t="shared" si="3"/>
        <v>1672</v>
      </c>
    </row>
    <row r="79" spans="1:9" s="27" customFormat="1" ht="42" customHeight="1" thickBot="1" x14ac:dyDescent="0.25">
      <c r="A79" s="85">
        <v>70</v>
      </c>
      <c r="B79" s="35"/>
      <c r="C79" s="37" t="s">
        <v>74</v>
      </c>
      <c r="D79" s="97" t="s">
        <v>73</v>
      </c>
      <c r="E79" s="102" t="s">
        <v>144</v>
      </c>
      <c r="F79" s="35" t="s">
        <v>12</v>
      </c>
      <c r="G79" s="83">
        <v>2</v>
      </c>
      <c r="H79" s="95">
        <v>836</v>
      </c>
      <c r="I79" s="77">
        <f t="shared" si="3"/>
        <v>1672</v>
      </c>
    </row>
    <row r="80" spans="1:9" s="27" customFormat="1" ht="42" customHeight="1" thickBot="1" x14ac:dyDescent="0.25">
      <c r="A80" s="85">
        <v>71</v>
      </c>
      <c r="B80" s="35"/>
      <c r="C80" s="37" t="s">
        <v>74</v>
      </c>
      <c r="D80" s="97" t="s">
        <v>73</v>
      </c>
      <c r="E80" s="102" t="s">
        <v>145</v>
      </c>
      <c r="F80" s="35" t="s">
        <v>12</v>
      </c>
      <c r="G80" s="83">
        <v>2</v>
      </c>
      <c r="H80" s="95">
        <v>836</v>
      </c>
      <c r="I80" s="77">
        <f t="shared" si="3"/>
        <v>1672</v>
      </c>
    </row>
    <row r="81" spans="1:9" s="27" customFormat="1" ht="42" customHeight="1" thickBot="1" x14ac:dyDescent="0.25">
      <c r="A81" s="85">
        <v>72</v>
      </c>
      <c r="B81" s="35"/>
      <c r="C81" s="37" t="s">
        <v>74</v>
      </c>
      <c r="D81" s="97" t="s">
        <v>73</v>
      </c>
      <c r="E81" s="102" t="s">
        <v>146</v>
      </c>
      <c r="F81" s="35" t="s">
        <v>12</v>
      </c>
      <c r="G81" s="83">
        <v>2</v>
      </c>
      <c r="H81" s="95">
        <v>836</v>
      </c>
      <c r="I81" s="77">
        <f t="shared" si="3"/>
        <v>1672</v>
      </c>
    </row>
    <row r="82" spans="1:9" s="27" customFormat="1" ht="42" customHeight="1" thickBot="1" x14ac:dyDescent="0.25">
      <c r="A82" s="85">
        <v>73</v>
      </c>
      <c r="B82" s="35"/>
      <c r="C82" s="37" t="s">
        <v>74</v>
      </c>
      <c r="D82" s="97" t="s">
        <v>73</v>
      </c>
      <c r="E82" s="102" t="s">
        <v>147</v>
      </c>
      <c r="F82" s="35" t="s">
        <v>12</v>
      </c>
      <c r="G82" s="83">
        <v>2</v>
      </c>
      <c r="H82" s="95">
        <v>836</v>
      </c>
      <c r="I82" s="77">
        <f t="shared" si="3"/>
        <v>1672</v>
      </c>
    </row>
    <row r="83" spans="1:9" s="27" customFormat="1" ht="42" customHeight="1" thickBot="1" x14ac:dyDescent="0.25">
      <c r="A83" s="85">
        <v>74</v>
      </c>
      <c r="B83" s="35"/>
      <c r="C83" s="37" t="s">
        <v>74</v>
      </c>
      <c r="D83" s="97" t="s">
        <v>73</v>
      </c>
      <c r="E83" s="102" t="s">
        <v>148</v>
      </c>
      <c r="F83" s="35" t="s">
        <v>12</v>
      </c>
      <c r="G83" s="83">
        <v>2</v>
      </c>
      <c r="H83" s="95">
        <v>836</v>
      </c>
      <c r="I83" s="77">
        <f t="shared" si="3"/>
        <v>1672</v>
      </c>
    </row>
    <row r="84" spans="1:9" s="27" customFormat="1" ht="42" customHeight="1" thickBot="1" x14ac:dyDescent="0.25">
      <c r="A84" s="85">
        <v>75</v>
      </c>
      <c r="B84" s="35"/>
      <c r="C84" s="37" t="s">
        <v>74</v>
      </c>
      <c r="D84" s="97" t="s">
        <v>73</v>
      </c>
      <c r="E84" s="102" t="s">
        <v>149</v>
      </c>
      <c r="F84" s="35" t="s">
        <v>12</v>
      </c>
      <c r="G84" s="83">
        <v>10</v>
      </c>
      <c r="H84" s="95">
        <v>20</v>
      </c>
      <c r="I84" s="77">
        <f t="shared" si="3"/>
        <v>200</v>
      </c>
    </row>
    <row r="85" spans="1:9" s="27" customFormat="1" ht="42" customHeight="1" thickBot="1" x14ac:dyDescent="0.25">
      <c r="A85" s="85">
        <v>76</v>
      </c>
      <c r="B85" s="35"/>
      <c r="C85" s="37" t="s">
        <v>74</v>
      </c>
      <c r="D85" s="97" t="s">
        <v>73</v>
      </c>
      <c r="E85" s="102" t="s">
        <v>150</v>
      </c>
      <c r="F85" s="35" t="s">
        <v>12</v>
      </c>
      <c r="G85" s="83">
        <v>10</v>
      </c>
      <c r="H85" s="95">
        <v>30</v>
      </c>
      <c r="I85" s="77">
        <f t="shared" si="3"/>
        <v>300</v>
      </c>
    </row>
    <row r="86" spans="1:9" s="27" customFormat="1" ht="42" customHeight="1" thickBot="1" x14ac:dyDescent="0.25">
      <c r="A86" s="85">
        <v>77</v>
      </c>
      <c r="B86" s="35"/>
      <c r="C86" s="37" t="s">
        <v>74</v>
      </c>
      <c r="D86" s="97" t="s">
        <v>73</v>
      </c>
      <c r="E86" s="102" t="s">
        <v>151</v>
      </c>
      <c r="F86" s="35" t="s">
        <v>12</v>
      </c>
      <c r="G86" s="83">
        <v>10</v>
      </c>
      <c r="H86" s="95">
        <v>60</v>
      </c>
      <c r="I86" s="77">
        <f t="shared" si="3"/>
        <v>600</v>
      </c>
    </row>
    <row r="87" spans="1:9" s="27" customFormat="1" ht="42" customHeight="1" x14ac:dyDescent="0.2">
      <c r="A87" s="85">
        <v>78</v>
      </c>
      <c r="B87" s="35"/>
      <c r="C87" s="37" t="s">
        <v>74</v>
      </c>
      <c r="D87" s="97" t="s">
        <v>73</v>
      </c>
      <c r="E87" s="102" t="s">
        <v>152</v>
      </c>
      <c r="F87" s="35" t="s">
        <v>12</v>
      </c>
      <c r="G87" s="83">
        <v>200</v>
      </c>
      <c r="H87" s="95">
        <v>150</v>
      </c>
      <c r="I87" s="77">
        <f t="shared" ref="I87" si="4">G87*H87</f>
        <v>30000</v>
      </c>
    </row>
    <row r="88" spans="1:9" ht="15.75" x14ac:dyDescent="0.25">
      <c r="A88" s="45"/>
      <c r="B88" s="76"/>
      <c r="E88" s="104"/>
      <c r="I88" s="88"/>
    </row>
    <row r="89" spans="1:9" x14ac:dyDescent="0.2">
      <c r="A89" s="45"/>
      <c r="B89" s="18"/>
      <c r="D89" s="18"/>
      <c r="E89" s="105"/>
      <c r="F89" s="18"/>
      <c r="I89" s="88"/>
    </row>
    <row r="90" spans="1:9" ht="13.5" customHeight="1" thickBot="1" x14ac:dyDescent="0.25">
      <c r="A90" s="45"/>
      <c r="B90" s="79"/>
      <c r="C90" s="90"/>
      <c r="D90" s="44"/>
      <c r="E90" s="106"/>
      <c r="F90" s="18"/>
      <c r="G90" s="122"/>
      <c r="H90" s="18"/>
      <c r="I90" s="18"/>
    </row>
    <row r="91" spans="1:9" ht="15" customHeight="1" x14ac:dyDescent="0.2">
      <c r="A91" s="45"/>
      <c r="B91" s="50" t="s">
        <v>158</v>
      </c>
      <c r="C91" s="91"/>
      <c r="D91" s="40"/>
      <c r="E91" s="107"/>
      <c r="F91" s="18"/>
      <c r="G91" s="122"/>
      <c r="H91" s="18"/>
      <c r="I91" s="18"/>
    </row>
    <row r="92" spans="1:9" ht="15" customHeight="1" x14ac:dyDescent="0.2">
      <c r="A92" s="45"/>
      <c r="B92" s="46"/>
      <c r="C92" s="91"/>
      <c r="D92" s="18"/>
      <c r="E92" s="108"/>
      <c r="F92" s="18"/>
      <c r="G92" s="122"/>
      <c r="H92" s="18"/>
      <c r="I92" s="18"/>
    </row>
    <row r="93" spans="1:9" ht="15" customHeight="1" x14ac:dyDescent="0.2">
      <c r="A93" s="45"/>
      <c r="B93" s="47" t="s">
        <v>56</v>
      </c>
      <c r="C93" s="91"/>
      <c r="D93" s="18"/>
      <c r="E93" s="108"/>
      <c r="F93" s="18"/>
      <c r="G93" s="122"/>
      <c r="H93" s="18"/>
      <c r="I93" s="18"/>
    </row>
    <row r="94" spans="1:9" ht="24" customHeight="1" x14ac:dyDescent="0.2">
      <c r="A94" s="45"/>
      <c r="B94" s="47"/>
      <c r="C94" s="120" t="s">
        <v>68</v>
      </c>
      <c r="D94" s="120"/>
      <c r="E94" s="121"/>
      <c r="F94" s="18"/>
      <c r="G94" s="122"/>
      <c r="H94" s="18"/>
      <c r="I94" s="18"/>
    </row>
    <row r="95" spans="1:9" ht="15" customHeight="1" x14ac:dyDescent="0.2">
      <c r="A95" s="45"/>
      <c r="B95" s="48" t="s">
        <v>62</v>
      </c>
      <c r="C95" s="119" t="s">
        <v>70</v>
      </c>
      <c r="D95" s="119"/>
      <c r="E95" s="119"/>
      <c r="F95" s="18"/>
      <c r="G95" s="122"/>
      <c r="H95" s="18"/>
      <c r="I95" s="18"/>
    </row>
    <row r="96" spans="1:9" ht="15" customHeight="1" x14ac:dyDescent="0.2">
      <c r="A96" s="45"/>
      <c r="B96" s="124"/>
      <c r="C96" s="124"/>
      <c r="D96" s="124"/>
      <c r="E96" s="124"/>
      <c r="F96" s="18"/>
      <c r="G96" s="122"/>
      <c r="H96" s="18"/>
      <c r="I96" s="18"/>
    </row>
    <row r="97" spans="1:9" ht="24.75" customHeight="1" x14ac:dyDescent="0.2">
      <c r="A97" s="45"/>
      <c r="B97" s="46" t="s">
        <v>63</v>
      </c>
      <c r="C97" s="119" t="s">
        <v>64</v>
      </c>
      <c r="D97" s="119"/>
      <c r="E97" s="123"/>
      <c r="F97" s="18"/>
      <c r="G97" s="122"/>
      <c r="H97" s="18"/>
      <c r="I97" s="18"/>
    </row>
    <row r="98" spans="1:9" ht="15" customHeight="1" x14ac:dyDescent="0.2">
      <c r="A98" s="45"/>
      <c r="B98" s="46"/>
      <c r="C98" s="52"/>
      <c r="D98" s="51"/>
      <c r="E98" s="109"/>
      <c r="F98" s="18"/>
      <c r="G98" s="122"/>
      <c r="H98" s="18"/>
      <c r="I98" s="18"/>
    </row>
    <row r="99" spans="1:9" ht="12.75" customHeight="1" x14ac:dyDescent="0.2">
      <c r="A99" s="45"/>
      <c r="B99" s="47" t="s">
        <v>57</v>
      </c>
      <c r="C99" s="119"/>
      <c r="D99" s="119"/>
      <c r="E99" s="123"/>
      <c r="F99" s="18"/>
      <c r="G99" s="122"/>
      <c r="H99" s="18"/>
      <c r="I99" s="18"/>
    </row>
    <row r="100" spans="1:9" ht="12.75" customHeight="1" x14ac:dyDescent="0.2">
      <c r="A100" s="45"/>
      <c r="B100" s="46"/>
      <c r="C100" s="52"/>
      <c r="D100" s="52"/>
      <c r="E100" s="110"/>
      <c r="F100" s="18"/>
      <c r="G100" s="122"/>
      <c r="H100" s="18"/>
      <c r="I100" s="18"/>
    </row>
    <row r="101" spans="1:9" ht="15" customHeight="1" x14ac:dyDescent="0.2">
      <c r="A101" s="45"/>
      <c r="B101" s="47" t="s">
        <v>58</v>
      </c>
      <c r="C101" s="43"/>
      <c r="D101" s="41"/>
      <c r="E101" s="111"/>
      <c r="F101" s="18"/>
      <c r="G101" s="122"/>
      <c r="H101" s="18"/>
      <c r="I101" s="18"/>
    </row>
    <row r="102" spans="1:9" ht="15" customHeight="1" x14ac:dyDescent="0.2">
      <c r="A102" s="45"/>
      <c r="B102" s="46"/>
      <c r="C102" s="52"/>
      <c r="D102" s="52"/>
      <c r="E102" s="110" t="s">
        <v>71</v>
      </c>
      <c r="F102" s="18"/>
      <c r="G102" s="122"/>
      <c r="H102" s="18"/>
      <c r="I102" s="18"/>
    </row>
    <row r="103" spans="1:9" ht="15" customHeight="1" x14ac:dyDescent="0.2">
      <c r="A103" s="45"/>
      <c r="B103" s="47" t="s">
        <v>59</v>
      </c>
      <c r="C103" s="91"/>
      <c r="D103" s="18"/>
      <c r="E103" s="108"/>
      <c r="F103" s="18"/>
      <c r="G103" s="122"/>
      <c r="H103" s="18"/>
      <c r="I103" s="18"/>
    </row>
    <row r="104" spans="1:9" ht="15" customHeight="1" x14ac:dyDescent="0.2">
      <c r="A104" s="45"/>
      <c r="B104" s="47"/>
      <c r="C104" s="52"/>
      <c r="D104" s="51"/>
      <c r="E104" s="109"/>
      <c r="F104" s="18"/>
      <c r="G104" s="122"/>
      <c r="H104" s="18"/>
      <c r="I104" s="18"/>
    </row>
    <row r="105" spans="1:9" ht="12.75" customHeight="1" thickBot="1" x14ac:dyDescent="0.25">
      <c r="A105" s="45"/>
      <c r="B105" s="49"/>
      <c r="C105" s="92"/>
      <c r="D105" s="42"/>
      <c r="E105" s="112"/>
      <c r="F105" s="18"/>
      <c r="G105" s="122"/>
      <c r="H105" s="18"/>
      <c r="I105" s="18"/>
    </row>
    <row r="106" spans="1:9" ht="12.75" customHeight="1" x14ac:dyDescent="0.2">
      <c r="A106" s="45"/>
      <c r="B106" s="79"/>
      <c r="C106" s="93"/>
      <c r="D106" s="94"/>
      <c r="E106" s="113"/>
      <c r="F106" s="18"/>
      <c r="G106" s="122"/>
      <c r="H106" s="18"/>
      <c r="I106" s="18"/>
    </row>
    <row r="107" spans="1:9" x14ac:dyDescent="0.2">
      <c r="I107" s="88"/>
    </row>
    <row r="108" spans="1:9" x14ac:dyDescent="0.2">
      <c r="I108" s="88"/>
    </row>
    <row r="109" spans="1:9" x14ac:dyDescent="0.2">
      <c r="I109" s="88"/>
    </row>
    <row r="110" spans="1:9" x14ac:dyDescent="0.2">
      <c r="I110" s="88"/>
    </row>
    <row r="111" spans="1:9" x14ac:dyDescent="0.2">
      <c r="I111" s="88"/>
    </row>
    <row r="112" spans="1:9" x14ac:dyDescent="0.2">
      <c r="I112" s="88"/>
    </row>
    <row r="113" spans="9:9" x14ac:dyDescent="0.2">
      <c r="I113" s="88"/>
    </row>
    <row r="114" spans="9:9" x14ac:dyDescent="0.2">
      <c r="I114" s="88"/>
    </row>
    <row r="115" spans="9:9" x14ac:dyDescent="0.2">
      <c r="I115" s="88"/>
    </row>
    <row r="116" spans="9:9" x14ac:dyDescent="0.2">
      <c r="I116" s="88"/>
    </row>
    <row r="117" spans="9:9" x14ac:dyDescent="0.2">
      <c r="I117" s="88"/>
    </row>
    <row r="118" spans="9:9" x14ac:dyDescent="0.2">
      <c r="I118" s="88"/>
    </row>
    <row r="119" spans="9:9" x14ac:dyDescent="0.2">
      <c r="I119" s="88"/>
    </row>
    <row r="120" spans="9:9" x14ac:dyDescent="0.2">
      <c r="I120" s="88"/>
    </row>
    <row r="121" spans="9:9" x14ac:dyDescent="0.2">
      <c r="I121" s="88"/>
    </row>
    <row r="122" spans="9:9" x14ac:dyDescent="0.2">
      <c r="I122" s="88"/>
    </row>
    <row r="123" spans="9:9" x14ac:dyDescent="0.2">
      <c r="I123" s="88"/>
    </row>
    <row r="124" spans="9:9" x14ac:dyDescent="0.2">
      <c r="I124" s="88"/>
    </row>
    <row r="125" spans="9:9" x14ac:dyDescent="0.2">
      <c r="I125" s="88"/>
    </row>
    <row r="126" spans="9:9" x14ac:dyDescent="0.2">
      <c r="I126" s="88"/>
    </row>
    <row r="127" spans="9:9" x14ac:dyDescent="0.2">
      <c r="I127" s="88"/>
    </row>
    <row r="128" spans="9:9" x14ac:dyDescent="0.2">
      <c r="I128" s="88"/>
    </row>
    <row r="129" spans="9:9" x14ac:dyDescent="0.2">
      <c r="I129" s="88"/>
    </row>
    <row r="130" spans="9:9" x14ac:dyDescent="0.2">
      <c r="I130" s="88"/>
    </row>
    <row r="131" spans="9:9" x14ac:dyDescent="0.2">
      <c r="I131" s="88"/>
    </row>
    <row r="132" spans="9:9" x14ac:dyDescent="0.2">
      <c r="I132" s="88"/>
    </row>
    <row r="133" spans="9:9" x14ac:dyDescent="0.2">
      <c r="I133" s="88"/>
    </row>
    <row r="134" spans="9:9" x14ac:dyDescent="0.2">
      <c r="I134" s="88"/>
    </row>
    <row r="135" spans="9:9" x14ac:dyDescent="0.2">
      <c r="I135" s="88"/>
    </row>
    <row r="136" spans="9:9" x14ac:dyDescent="0.2">
      <c r="I136" s="88"/>
    </row>
    <row r="137" spans="9:9" x14ac:dyDescent="0.2">
      <c r="I137" s="88"/>
    </row>
    <row r="138" spans="9:9" x14ac:dyDescent="0.2">
      <c r="I138" s="88"/>
    </row>
    <row r="139" spans="9:9" x14ac:dyDescent="0.2">
      <c r="I139" s="88"/>
    </row>
    <row r="140" spans="9:9" x14ac:dyDescent="0.2">
      <c r="I140" s="88"/>
    </row>
    <row r="141" spans="9:9" x14ac:dyDescent="0.2">
      <c r="I141" s="88"/>
    </row>
    <row r="142" spans="9:9" x14ac:dyDescent="0.2">
      <c r="I142" s="88"/>
    </row>
    <row r="143" spans="9:9" x14ac:dyDescent="0.2">
      <c r="I143" s="88"/>
    </row>
    <row r="144" spans="9:9" x14ac:dyDescent="0.2">
      <c r="I144" s="88"/>
    </row>
    <row r="145" spans="9:9" x14ac:dyDescent="0.2">
      <c r="I145" s="88"/>
    </row>
    <row r="146" spans="9:9" x14ac:dyDescent="0.2">
      <c r="I146" s="88"/>
    </row>
    <row r="147" spans="9:9" x14ac:dyDescent="0.2">
      <c r="I147" s="88"/>
    </row>
    <row r="148" spans="9:9" x14ac:dyDescent="0.2">
      <c r="I148" s="88"/>
    </row>
    <row r="149" spans="9:9" x14ac:dyDescent="0.2">
      <c r="I149" s="88"/>
    </row>
    <row r="150" spans="9:9" x14ac:dyDescent="0.2">
      <c r="I150" s="88"/>
    </row>
    <row r="151" spans="9:9" x14ac:dyDescent="0.2">
      <c r="I151" s="88"/>
    </row>
    <row r="152" spans="9:9" x14ac:dyDescent="0.2">
      <c r="I152" s="88"/>
    </row>
    <row r="153" spans="9:9" x14ac:dyDescent="0.2">
      <c r="I153" s="88"/>
    </row>
    <row r="154" spans="9:9" x14ac:dyDescent="0.2">
      <c r="I154" s="88"/>
    </row>
    <row r="155" spans="9:9" x14ac:dyDescent="0.2">
      <c r="I155" s="88"/>
    </row>
    <row r="156" spans="9:9" x14ac:dyDescent="0.2">
      <c r="I156" s="88"/>
    </row>
    <row r="157" spans="9:9" x14ac:dyDescent="0.2">
      <c r="I157" s="88"/>
    </row>
    <row r="158" spans="9:9" x14ac:dyDescent="0.2">
      <c r="I158" s="88"/>
    </row>
    <row r="159" spans="9:9" x14ac:dyDescent="0.2">
      <c r="I159" s="88"/>
    </row>
    <row r="160" spans="9:9" x14ac:dyDescent="0.2">
      <c r="I160" s="88"/>
    </row>
    <row r="161" spans="9:9" x14ac:dyDescent="0.2">
      <c r="I161" s="88"/>
    </row>
    <row r="162" spans="9:9" x14ac:dyDescent="0.2">
      <c r="I162" s="88"/>
    </row>
    <row r="163" spans="9:9" x14ac:dyDescent="0.2">
      <c r="I163" s="88"/>
    </row>
    <row r="164" spans="9:9" x14ac:dyDescent="0.2">
      <c r="I164" s="88"/>
    </row>
    <row r="165" spans="9:9" x14ac:dyDescent="0.2">
      <c r="I165" s="88"/>
    </row>
    <row r="166" spans="9:9" x14ac:dyDescent="0.2">
      <c r="I166" s="88"/>
    </row>
    <row r="167" spans="9:9" x14ac:dyDescent="0.2">
      <c r="I167" s="88"/>
    </row>
    <row r="168" spans="9:9" x14ac:dyDescent="0.2">
      <c r="I168" s="88"/>
    </row>
    <row r="169" spans="9:9" x14ac:dyDescent="0.2">
      <c r="I169" s="88"/>
    </row>
    <row r="170" spans="9:9" x14ac:dyDescent="0.2">
      <c r="I170" s="88"/>
    </row>
    <row r="171" spans="9:9" x14ac:dyDescent="0.2">
      <c r="I171" s="88"/>
    </row>
    <row r="172" spans="9:9" x14ac:dyDescent="0.2">
      <c r="I172" s="88"/>
    </row>
    <row r="173" spans="9:9" x14ac:dyDescent="0.2">
      <c r="I173" s="88"/>
    </row>
    <row r="174" spans="9:9" x14ac:dyDescent="0.2">
      <c r="I174" s="88"/>
    </row>
    <row r="175" spans="9:9" x14ac:dyDescent="0.2">
      <c r="I175" s="88"/>
    </row>
    <row r="176" spans="9:9" x14ac:dyDescent="0.2">
      <c r="I176" s="88"/>
    </row>
    <row r="177" spans="9:9" x14ac:dyDescent="0.2">
      <c r="I177" s="88"/>
    </row>
    <row r="178" spans="9:9" x14ac:dyDescent="0.2">
      <c r="I178" s="88"/>
    </row>
    <row r="179" spans="9:9" x14ac:dyDescent="0.2">
      <c r="I179" s="88"/>
    </row>
    <row r="180" spans="9:9" x14ac:dyDescent="0.2">
      <c r="I180" s="88"/>
    </row>
    <row r="181" spans="9:9" x14ac:dyDescent="0.2">
      <c r="I181" s="88"/>
    </row>
    <row r="182" spans="9:9" x14ac:dyDescent="0.2">
      <c r="I182" s="88"/>
    </row>
    <row r="183" spans="9:9" x14ac:dyDescent="0.2">
      <c r="I183" s="88"/>
    </row>
    <row r="184" spans="9:9" x14ac:dyDescent="0.2">
      <c r="I184" s="88"/>
    </row>
    <row r="185" spans="9:9" x14ac:dyDescent="0.2">
      <c r="I185" s="88"/>
    </row>
    <row r="186" spans="9:9" x14ac:dyDescent="0.2">
      <c r="I186" s="88"/>
    </row>
    <row r="187" spans="9:9" x14ac:dyDescent="0.2">
      <c r="I187" s="88"/>
    </row>
    <row r="188" spans="9:9" x14ac:dyDescent="0.2">
      <c r="I188" s="88"/>
    </row>
    <row r="189" spans="9:9" x14ac:dyDescent="0.2">
      <c r="I189" s="88"/>
    </row>
    <row r="190" spans="9:9" x14ac:dyDescent="0.2">
      <c r="I190" s="88"/>
    </row>
    <row r="191" spans="9:9" x14ac:dyDescent="0.2">
      <c r="I191" s="88"/>
    </row>
    <row r="192" spans="9:9" x14ac:dyDescent="0.2">
      <c r="I192" s="88"/>
    </row>
    <row r="193" spans="9:9" x14ac:dyDescent="0.2">
      <c r="I193" s="88"/>
    </row>
    <row r="194" spans="9:9" x14ac:dyDescent="0.2">
      <c r="I194" s="88"/>
    </row>
    <row r="195" spans="9:9" x14ac:dyDescent="0.2">
      <c r="I195" s="88"/>
    </row>
    <row r="196" spans="9:9" x14ac:dyDescent="0.2">
      <c r="I196" s="88"/>
    </row>
    <row r="197" spans="9:9" x14ac:dyDescent="0.2">
      <c r="I197" s="88"/>
    </row>
  </sheetData>
  <autoFilter ref="A9:I87" xr:uid="{00000000-0009-0000-0000-000000000000}"/>
  <mergeCells count="12">
    <mergeCell ref="A4:D4"/>
    <mergeCell ref="A5:D5"/>
    <mergeCell ref="A6:D6"/>
    <mergeCell ref="A7:D7"/>
    <mergeCell ref="E4:G4"/>
    <mergeCell ref="E5:G5"/>
    <mergeCell ref="C95:E95"/>
    <mergeCell ref="C94:E94"/>
    <mergeCell ref="G90:G106"/>
    <mergeCell ref="C97:E97"/>
    <mergeCell ref="B96:E96"/>
    <mergeCell ref="C99:E99"/>
  </mergeCells>
  <phoneticPr fontId="25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97"/>
  <sheetViews>
    <sheetView zoomScale="68" zoomScaleNormal="68" workbookViewId="0">
      <selection activeCell="A90" sqref="A90:I90"/>
    </sheetView>
  </sheetViews>
  <sheetFormatPr baseColWidth="10" defaultColWidth="9.140625" defaultRowHeight="12.75" x14ac:dyDescent="0.2"/>
  <cols>
    <col min="1" max="1" width="13.140625" style="62" customWidth="1"/>
    <col min="2" max="2" width="19.5703125" style="62" customWidth="1"/>
    <col min="3" max="3" width="14.140625" style="62" customWidth="1"/>
    <col min="4" max="4" width="26" style="62" customWidth="1"/>
    <col min="5" max="5" width="8" style="62" customWidth="1"/>
    <col min="6" max="6" width="7.85546875" style="62" customWidth="1"/>
    <col min="7" max="7" width="42" style="62" customWidth="1"/>
    <col min="8" max="8" width="9.28515625" style="62" customWidth="1"/>
    <col min="9" max="9" width="15.5703125" style="62" customWidth="1"/>
    <col min="10" max="10" width="20.42578125" style="62" customWidth="1"/>
    <col min="11" max="11" width="30.42578125" style="69" customWidth="1"/>
    <col min="12" max="1013" width="9.140625" style="2"/>
  </cols>
  <sheetData>
    <row r="1" spans="1:1013" ht="18" customHeight="1" x14ac:dyDescent="0.2">
      <c r="A1" s="128" t="s">
        <v>13</v>
      </c>
      <c r="B1" s="128"/>
      <c r="C1" s="128"/>
      <c r="D1" s="128"/>
      <c r="E1" s="128"/>
      <c r="F1" s="128"/>
      <c r="G1" s="128"/>
      <c r="H1" s="128"/>
      <c r="I1" s="128"/>
      <c r="J1" s="53"/>
      <c r="K1" s="73" t="s">
        <v>155</v>
      </c>
    </row>
    <row r="2" spans="1:10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66"/>
    </row>
    <row r="3" spans="1:1013" ht="18.75" customHeight="1" thickBot="1" x14ac:dyDescent="0.25">
      <c r="A3" s="129" t="s">
        <v>14</v>
      </c>
      <c r="B3" s="129"/>
      <c r="C3" s="129"/>
      <c r="D3" s="130" t="s">
        <v>61</v>
      </c>
      <c r="E3" s="130"/>
      <c r="F3" s="130"/>
      <c r="G3" s="130"/>
      <c r="H3" s="130"/>
      <c r="I3" s="130"/>
      <c r="J3" s="130"/>
      <c r="K3" s="130"/>
    </row>
    <row r="4" spans="1:1013" ht="18.75" customHeight="1" thickBot="1" x14ac:dyDescent="0.25">
      <c r="A4" s="131" t="s">
        <v>15</v>
      </c>
      <c r="B4" s="131"/>
      <c r="C4" s="131"/>
      <c r="D4" s="130" t="s">
        <v>55</v>
      </c>
      <c r="E4" s="130"/>
      <c r="F4" s="130"/>
      <c r="G4" s="130"/>
      <c r="H4" s="130"/>
      <c r="I4" s="130"/>
      <c r="J4" s="130"/>
      <c r="K4" s="130"/>
    </row>
    <row r="5" spans="1:1013" ht="18.75" customHeight="1" thickBot="1" x14ac:dyDescent="0.25">
      <c r="A5" s="131" t="s">
        <v>16</v>
      </c>
      <c r="B5" s="131"/>
      <c r="C5" s="131"/>
      <c r="D5" s="130" t="s">
        <v>51</v>
      </c>
      <c r="E5" s="130"/>
      <c r="F5" s="130"/>
      <c r="G5" s="130"/>
      <c r="H5" s="130"/>
      <c r="I5" s="130"/>
      <c r="J5" s="130"/>
      <c r="K5" s="130"/>
    </row>
    <row r="6" spans="1:1013" ht="16.5" customHeight="1" thickBot="1" x14ac:dyDescent="0.25">
      <c r="A6" s="129" t="s">
        <v>17</v>
      </c>
      <c r="B6" s="129"/>
      <c r="C6" s="129"/>
      <c r="D6" s="130" t="s">
        <v>69</v>
      </c>
      <c r="E6" s="130"/>
      <c r="F6" s="130"/>
      <c r="G6" s="130"/>
      <c r="H6" s="130"/>
      <c r="I6" s="130"/>
      <c r="J6" s="130"/>
      <c r="K6" s="130"/>
    </row>
    <row r="7" spans="1:1013" ht="16.5" customHeight="1" thickBot="1" x14ac:dyDescent="0.25">
      <c r="A7" s="131" t="s">
        <v>18</v>
      </c>
      <c r="B7" s="131"/>
      <c r="C7" s="131"/>
      <c r="D7" s="130" t="s">
        <v>65</v>
      </c>
      <c r="E7" s="130"/>
      <c r="F7" s="130"/>
      <c r="G7" s="130"/>
      <c r="H7" s="130"/>
      <c r="I7" s="130"/>
      <c r="J7" s="130"/>
      <c r="K7" s="130"/>
    </row>
    <row r="8" spans="1:1013" ht="16.5" customHeight="1" thickBot="1" x14ac:dyDescent="0.25">
      <c r="A8" s="132" t="s">
        <v>19</v>
      </c>
      <c r="B8" s="132"/>
      <c r="C8" s="132"/>
      <c r="D8" s="133" t="s">
        <v>153</v>
      </c>
      <c r="E8" s="133"/>
      <c r="F8" s="133"/>
      <c r="G8" s="133"/>
      <c r="H8" s="133"/>
      <c r="I8" s="133"/>
      <c r="J8" s="133"/>
      <c r="K8" s="133"/>
    </row>
    <row r="9" spans="1:10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67"/>
    </row>
    <row r="10" spans="1:1013" ht="18.75" customHeight="1" thickBot="1" x14ac:dyDescent="0.25">
      <c r="A10" s="134" t="s">
        <v>20</v>
      </c>
      <c r="B10" s="136" t="s">
        <v>21</v>
      </c>
      <c r="C10" s="136" t="s">
        <v>22</v>
      </c>
      <c r="D10" s="136"/>
      <c r="E10" s="136"/>
      <c r="F10" s="136"/>
      <c r="G10" s="136"/>
      <c r="H10" s="136" t="s">
        <v>23</v>
      </c>
      <c r="I10" s="136" t="s">
        <v>24</v>
      </c>
      <c r="J10" s="136" t="s">
        <v>25</v>
      </c>
      <c r="K10" s="138" t="s">
        <v>26</v>
      </c>
    </row>
    <row r="11" spans="1:1013" ht="24" customHeight="1" thickBot="1" x14ac:dyDescent="0.25">
      <c r="A11" s="135"/>
      <c r="B11" s="137"/>
      <c r="C11" s="137"/>
      <c r="D11" s="137"/>
      <c r="E11" s="137"/>
      <c r="F11" s="137"/>
      <c r="G11" s="137"/>
      <c r="H11" s="137"/>
      <c r="I11" s="137"/>
      <c r="J11" s="137"/>
      <c r="K11" s="139"/>
      <c r="ALW11"/>
      <c r="ALX11"/>
      <c r="ALY11"/>
    </row>
    <row r="12" spans="1:1013" ht="43.5" customHeight="1" thickBot="1" x14ac:dyDescent="0.3">
      <c r="A12" s="58">
        <f>'Necesidades Trimestrales'!A10</f>
        <v>1</v>
      </c>
      <c r="B12" s="61">
        <f>'Necesidades Trimestrales'!B10</f>
        <v>0</v>
      </c>
      <c r="C12" s="127" t="str">
        <f>'Necesidades Trimestrales'!E10</f>
        <v>AGUJA HIPODERMICA DESCARTABLE 16/5</v>
      </c>
      <c r="D12" s="127"/>
      <c r="E12" s="127"/>
      <c r="F12" s="127"/>
      <c r="G12" s="127"/>
      <c r="H12" s="59" t="s">
        <v>27</v>
      </c>
      <c r="I12" s="60" t="str">
        <f>'Necesidades Trimestrales'!F10</f>
        <v>UNIDAD</v>
      </c>
      <c r="J12" s="65">
        <f>'Necesidades Trimestrales'!H10</f>
        <v>1.69</v>
      </c>
      <c r="K12" s="68">
        <f>'Necesidades Trimestrales'!G10</f>
        <v>25000</v>
      </c>
    </row>
    <row r="13" spans="1:1013" ht="43.5" customHeight="1" thickBot="1" x14ac:dyDescent="0.3">
      <c r="A13" s="58">
        <f>'Necesidades Trimestrales'!A11</f>
        <v>2</v>
      </c>
      <c r="B13" s="61">
        <f>'Necesidades Trimestrales'!B11</f>
        <v>0</v>
      </c>
      <c r="C13" s="127" t="str">
        <f>'Necesidades Trimestrales'!E11</f>
        <v>AGUJA HIPODERMICA DESCARTABLE 25/8</v>
      </c>
      <c r="D13" s="127"/>
      <c r="E13" s="127"/>
      <c r="F13" s="127"/>
      <c r="G13" s="127"/>
      <c r="H13" s="59" t="s">
        <v>27</v>
      </c>
      <c r="I13" s="60" t="str">
        <f>'Necesidades Trimestrales'!F11</f>
        <v>UNIDAD</v>
      </c>
      <c r="J13" s="65">
        <f>'Necesidades Trimestrales'!H11</f>
        <v>1.69</v>
      </c>
      <c r="K13" s="68">
        <f>'Necesidades Trimestrales'!G11</f>
        <v>64000</v>
      </c>
    </row>
    <row r="14" spans="1:1013" ht="43.5" customHeight="1" thickBot="1" x14ac:dyDescent="0.3">
      <c r="A14" s="58">
        <f>'Necesidades Trimestrales'!A12</f>
        <v>3</v>
      </c>
      <c r="B14" s="61">
        <f>'Necesidades Trimestrales'!B12</f>
        <v>0</v>
      </c>
      <c r="C14" s="127" t="str">
        <f>'Necesidades Trimestrales'!E12</f>
        <v>AGUJA HIPODERMICA DESCARTABLE 40/12</v>
      </c>
      <c r="D14" s="127"/>
      <c r="E14" s="127"/>
      <c r="F14" s="127"/>
      <c r="G14" s="127"/>
      <c r="H14" s="59" t="s">
        <v>27</v>
      </c>
      <c r="I14" s="60" t="str">
        <f>'Necesidades Trimestrales'!F12</f>
        <v>UNIDAD</v>
      </c>
      <c r="J14" s="65">
        <f>'Necesidades Trimestrales'!H12</f>
        <v>2</v>
      </c>
      <c r="K14" s="68">
        <f>'Necesidades Trimestrales'!G12</f>
        <v>12000</v>
      </c>
    </row>
    <row r="15" spans="1:1013" ht="43.5" customHeight="1" thickBot="1" x14ac:dyDescent="0.3">
      <c r="A15" s="58">
        <f>'Necesidades Trimestrales'!A13</f>
        <v>4</v>
      </c>
      <c r="B15" s="61">
        <f>'Necesidades Trimestrales'!B13</f>
        <v>0</v>
      </c>
      <c r="C15" s="127" t="str">
        <f>'Necesidades Trimestrales'!E13</f>
        <v>AGUJA HIPODERMICA DESCARTABLE 40/8</v>
      </c>
      <c r="D15" s="127"/>
      <c r="E15" s="127"/>
      <c r="F15" s="127"/>
      <c r="G15" s="127"/>
      <c r="H15" s="59" t="s">
        <v>27</v>
      </c>
      <c r="I15" s="60" t="str">
        <f>'Necesidades Trimestrales'!F13</f>
        <v>UNIDAD</v>
      </c>
      <c r="J15" s="65">
        <f>'Necesidades Trimestrales'!H13</f>
        <v>1.69</v>
      </c>
      <c r="K15" s="68">
        <f>'Necesidades Trimestrales'!G13</f>
        <v>28000</v>
      </c>
    </row>
    <row r="16" spans="1:1013" ht="43.5" customHeight="1" thickBot="1" x14ac:dyDescent="0.3">
      <c r="A16" s="58">
        <f>'Necesidades Trimestrales'!A14</f>
        <v>5</v>
      </c>
      <c r="B16" s="61">
        <f>'Necesidades Trimestrales'!B14</f>
        <v>0</v>
      </c>
      <c r="C16" s="127" t="str">
        <f>'Necesidades Trimestrales'!E14</f>
        <v>AGUJA HIPODERMICA DESCARTABLE 50/8</v>
      </c>
      <c r="D16" s="127"/>
      <c r="E16" s="127"/>
      <c r="F16" s="127"/>
      <c r="G16" s="127"/>
      <c r="H16" s="59" t="s">
        <v>27</v>
      </c>
      <c r="I16" s="60" t="str">
        <f>'Necesidades Trimestrales'!F14</f>
        <v>UNIDAD</v>
      </c>
      <c r="J16" s="65">
        <f>'Necesidades Trimestrales'!H14</f>
        <v>2</v>
      </c>
      <c r="K16" s="68">
        <f>'Necesidades Trimestrales'!G14</f>
        <v>4000</v>
      </c>
    </row>
    <row r="17" spans="1:11" ht="43.5" customHeight="1" thickBot="1" x14ac:dyDescent="0.3">
      <c r="A17" s="58">
        <f>'Necesidades Trimestrales'!A15</f>
        <v>6</v>
      </c>
      <c r="B17" s="61">
        <f>'Necesidades Trimestrales'!B15</f>
        <v>0</v>
      </c>
      <c r="C17" s="127" t="str">
        <f>'Necesidades Trimestrales'!E15</f>
        <v>ALGODON X 500 GR</v>
      </c>
      <c r="D17" s="127"/>
      <c r="E17" s="127"/>
      <c r="F17" s="127"/>
      <c r="G17" s="127"/>
      <c r="H17" s="59" t="s">
        <v>27</v>
      </c>
      <c r="I17" s="60" t="str">
        <f>'Necesidades Trimestrales'!F15</f>
        <v>UNIDAD</v>
      </c>
      <c r="J17" s="65">
        <f>'Necesidades Trimestrales'!H15</f>
        <v>273.98</v>
      </c>
      <c r="K17" s="68">
        <f>'Necesidades Trimestrales'!G15</f>
        <v>10000</v>
      </c>
    </row>
    <row r="18" spans="1:11" ht="43.5" customHeight="1" thickBot="1" x14ac:dyDescent="0.3">
      <c r="A18" s="58">
        <f>'Necesidades Trimestrales'!A16</f>
        <v>7</v>
      </c>
      <c r="B18" s="61">
        <f>'Necesidades Trimestrales'!B16</f>
        <v>0</v>
      </c>
      <c r="C18" s="127" t="str">
        <f>'Necesidades Trimestrales'!E16</f>
        <v>BAJALENGUA X 100 UNIDADES</v>
      </c>
      <c r="D18" s="127"/>
      <c r="E18" s="127"/>
      <c r="F18" s="127"/>
      <c r="G18" s="127"/>
      <c r="H18" s="59" t="s">
        <v>27</v>
      </c>
      <c r="I18" s="60" t="str">
        <f>'Necesidades Trimestrales'!F16</f>
        <v>UNIDAD</v>
      </c>
      <c r="J18" s="65">
        <f>'Necesidades Trimestrales'!H16</f>
        <v>278</v>
      </c>
      <c r="K18" s="68">
        <f>'Necesidades Trimestrales'!G16</f>
        <v>1200</v>
      </c>
    </row>
    <row r="19" spans="1:11" ht="43.5" customHeight="1" thickBot="1" x14ac:dyDescent="0.3">
      <c r="A19" s="58">
        <f>'Necesidades Trimestrales'!A17</f>
        <v>8</v>
      </c>
      <c r="B19" s="61">
        <f>'Necesidades Trimestrales'!B17</f>
        <v>0</v>
      </c>
      <c r="C19" s="127" t="str">
        <f>'Necesidades Trimestrales'!E17</f>
        <v>BARBIJO HEMORREPELENTE QUIRURGICO TRIPLE CAPA</v>
      </c>
      <c r="D19" s="127"/>
      <c r="E19" s="127"/>
      <c r="F19" s="127"/>
      <c r="G19" s="127"/>
      <c r="H19" s="59" t="s">
        <v>27</v>
      </c>
      <c r="I19" s="60" t="str">
        <f>'Necesidades Trimestrales'!F17</f>
        <v>UNIDAD</v>
      </c>
      <c r="J19" s="65">
        <f>'Necesidades Trimestrales'!H17</f>
        <v>50</v>
      </c>
      <c r="K19" s="68">
        <f>'Necesidades Trimestrales'!G17</f>
        <v>13000</v>
      </c>
    </row>
    <row r="20" spans="1:11" ht="43.5" customHeight="1" thickBot="1" x14ac:dyDescent="0.3">
      <c r="A20" s="58">
        <f>'Necesidades Trimestrales'!A18</f>
        <v>9</v>
      </c>
      <c r="B20" s="61">
        <f>'Necesidades Trimestrales'!B18</f>
        <v>0</v>
      </c>
      <c r="C20" s="127" t="str">
        <f>'Necesidades Trimestrales'!E18</f>
        <v>BARBIJOS DE ALTA EFICIENCIA TIPO N95</v>
      </c>
      <c r="D20" s="127"/>
      <c r="E20" s="127"/>
      <c r="F20" s="127"/>
      <c r="G20" s="127"/>
      <c r="H20" s="59" t="s">
        <v>27</v>
      </c>
      <c r="I20" s="60" t="str">
        <f>'Necesidades Trimestrales'!F18</f>
        <v>UNIDAD</v>
      </c>
      <c r="J20" s="65">
        <f>'Necesidades Trimestrales'!H18</f>
        <v>70</v>
      </c>
      <c r="K20" s="68">
        <f>'Necesidades Trimestrales'!G18</f>
        <v>50</v>
      </c>
    </row>
    <row r="21" spans="1:11" ht="43.5" customHeight="1" thickBot="1" x14ac:dyDescent="0.3">
      <c r="A21" s="58">
        <f>'Necesidades Trimestrales'!A19</f>
        <v>10</v>
      </c>
      <c r="B21" s="61">
        <f>'Necesidades Trimestrales'!B19</f>
        <v>0</v>
      </c>
      <c r="C21" s="127" t="str">
        <f>'Necesidades Trimestrales'!E19</f>
        <v>BOTAS ALTAS DESCARTABLES DE 30 GRAMOS CON TIRA EL PAR</v>
      </c>
      <c r="D21" s="127"/>
      <c r="E21" s="127"/>
      <c r="F21" s="127"/>
      <c r="G21" s="127"/>
      <c r="H21" s="59" t="s">
        <v>27</v>
      </c>
      <c r="I21" s="60" t="str">
        <f>'Necesidades Trimestrales'!F19</f>
        <v>UNIDAD</v>
      </c>
      <c r="J21" s="65">
        <f>'Necesidades Trimestrales'!H19</f>
        <v>22.26</v>
      </c>
      <c r="K21" s="68">
        <f>'Necesidades Trimestrales'!G19</f>
        <v>6000</v>
      </c>
    </row>
    <row r="22" spans="1:11" ht="43.5" customHeight="1" thickBot="1" x14ac:dyDescent="0.3">
      <c r="A22" s="58">
        <f>'Necesidades Trimestrales'!A20</f>
        <v>11</v>
      </c>
      <c r="B22" s="61">
        <f>'Necesidades Trimestrales'!B20</f>
        <v>0</v>
      </c>
      <c r="C22" s="127" t="str">
        <f>'Necesidades Trimestrales'!E20</f>
        <v>CAL SODADA X KG</v>
      </c>
      <c r="D22" s="127"/>
      <c r="E22" s="127"/>
      <c r="F22" s="127"/>
      <c r="G22" s="127"/>
      <c r="H22" s="59" t="s">
        <v>27</v>
      </c>
      <c r="I22" s="60" t="str">
        <f>'Necesidades Trimestrales'!F20</f>
        <v>UNIDAD</v>
      </c>
      <c r="J22" s="65">
        <f>'Necesidades Trimestrales'!H20</f>
        <v>850</v>
      </c>
      <c r="K22" s="68">
        <f>'Necesidades Trimestrales'!G20</f>
        <v>10</v>
      </c>
    </row>
    <row r="23" spans="1:11" ht="43.5" customHeight="1" thickBot="1" x14ac:dyDescent="0.3">
      <c r="A23" s="58">
        <f>'Necesidades Trimestrales'!A21</f>
        <v>12</v>
      </c>
      <c r="B23" s="61">
        <f>'Necesidades Trimestrales'!B21</f>
        <v>0</v>
      </c>
      <c r="C23" s="127" t="str">
        <f>'Necesidades Trimestrales'!E21</f>
        <v>CAMISOLIN DESCARTABLE DE TELA SMS 50 GRAMOS CON MANGA Y PUÑOS DE 1,4 M DE LARGO</v>
      </c>
      <c r="D23" s="127"/>
      <c r="E23" s="127"/>
      <c r="F23" s="127"/>
      <c r="G23" s="127"/>
      <c r="H23" s="59" t="s">
        <v>27</v>
      </c>
      <c r="I23" s="60" t="str">
        <f>'Necesidades Trimestrales'!F21</f>
        <v>UNIDAD</v>
      </c>
      <c r="J23" s="65">
        <f>'Necesidades Trimestrales'!H21</f>
        <v>102</v>
      </c>
      <c r="K23" s="68">
        <f>'Necesidades Trimestrales'!G21</f>
        <v>10000</v>
      </c>
    </row>
    <row r="24" spans="1:11" ht="43.5" customHeight="1" thickBot="1" x14ac:dyDescent="0.3">
      <c r="A24" s="58">
        <f>'Necesidades Trimestrales'!A22</f>
        <v>13</v>
      </c>
      <c r="B24" s="61">
        <f>'Necesidades Trimestrales'!B22</f>
        <v>0</v>
      </c>
      <c r="C24" s="127" t="str">
        <f>'Necesidades Trimestrales'!E22</f>
        <v>CHATA PLASTICA X 1</v>
      </c>
      <c r="D24" s="127"/>
      <c r="E24" s="127"/>
      <c r="F24" s="127"/>
      <c r="G24" s="127"/>
      <c r="H24" s="59" t="s">
        <v>27</v>
      </c>
      <c r="I24" s="60" t="str">
        <f>'Necesidades Trimestrales'!F22</f>
        <v>UNIDAD</v>
      </c>
      <c r="J24" s="65">
        <f>'Necesidades Trimestrales'!H22</f>
        <v>3330</v>
      </c>
      <c r="K24" s="68">
        <f>'Necesidades Trimestrales'!G22</f>
        <v>12</v>
      </c>
    </row>
    <row r="25" spans="1:11" ht="43.5" customHeight="1" thickBot="1" x14ac:dyDescent="0.3">
      <c r="A25" s="58">
        <f>'Necesidades Trimestrales'!A23</f>
        <v>14</v>
      </c>
      <c r="B25" s="61">
        <f>'Necesidades Trimestrales'!B23</f>
        <v>0</v>
      </c>
      <c r="C25" s="127" t="str">
        <f>'Necesidades Trimestrales'!E23</f>
        <v>CLAMP UMBILICAL</v>
      </c>
      <c r="D25" s="127"/>
      <c r="E25" s="127"/>
      <c r="F25" s="127"/>
      <c r="G25" s="127"/>
      <c r="H25" s="59" t="s">
        <v>27</v>
      </c>
      <c r="I25" s="60" t="str">
        <f>'Necesidades Trimestrales'!F23</f>
        <v>UNIDAD</v>
      </c>
      <c r="J25" s="65">
        <f>'Necesidades Trimestrales'!H23</f>
        <v>17</v>
      </c>
      <c r="K25" s="68">
        <f>'Necesidades Trimestrales'!G23</f>
        <v>2000</v>
      </c>
    </row>
    <row r="26" spans="1:11" ht="43.5" customHeight="1" thickBot="1" x14ac:dyDescent="0.3">
      <c r="A26" s="58">
        <f>'Necesidades Trimestrales'!A24</f>
        <v>15</v>
      </c>
      <c r="B26" s="61">
        <f>'Necesidades Trimestrales'!B24</f>
        <v>0</v>
      </c>
      <c r="C26" s="127" t="str">
        <f>'Necesidades Trimestrales'!E24</f>
        <v>COFIAS PLIZADAS CON AJUSTE ELASTIZADO</v>
      </c>
      <c r="D26" s="127"/>
      <c r="E26" s="127"/>
      <c r="F26" s="127"/>
      <c r="G26" s="127"/>
      <c r="H26" s="59" t="s">
        <v>27</v>
      </c>
      <c r="I26" s="60" t="str">
        <f>'Necesidades Trimestrales'!F24</f>
        <v>UNIDAD</v>
      </c>
      <c r="J26" s="65">
        <f>'Necesidades Trimestrales'!H24</f>
        <v>8</v>
      </c>
      <c r="K26" s="68">
        <f>'Necesidades Trimestrales'!G24</f>
        <v>6000</v>
      </c>
    </row>
    <row r="27" spans="1:11" ht="43.5" customHeight="1" thickBot="1" x14ac:dyDescent="0.3">
      <c r="A27" s="58">
        <f>'Necesidades Trimestrales'!A25</f>
        <v>16</v>
      </c>
      <c r="B27" s="61">
        <f>'Necesidades Trimestrales'!B25</f>
        <v>0</v>
      </c>
      <c r="C27" s="127" t="str">
        <f>'Necesidades Trimestrales'!E25</f>
        <v xml:space="preserve">CUBRE CAMILLA CON ELASTICO 30 GR </v>
      </c>
      <c r="D27" s="127"/>
      <c r="E27" s="127"/>
      <c r="F27" s="127"/>
      <c r="G27" s="127"/>
      <c r="H27" s="59" t="s">
        <v>27</v>
      </c>
      <c r="I27" s="60" t="str">
        <f>'Necesidades Trimestrales'!F25</f>
        <v>UNIDAD</v>
      </c>
      <c r="J27" s="65">
        <f>'Necesidades Trimestrales'!H25</f>
        <v>1000</v>
      </c>
      <c r="K27" s="68">
        <f>'Necesidades Trimestrales'!G25</f>
        <v>100</v>
      </c>
    </row>
    <row r="28" spans="1:11" ht="43.5" customHeight="1" thickBot="1" x14ac:dyDescent="0.3">
      <c r="A28" s="58">
        <f>'Necesidades Trimestrales'!A26</f>
        <v>17</v>
      </c>
      <c r="B28" s="61">
        <f>'Necesidades Trimestrales'!B26</f>
        <v>0</v>
      </c>
      <c r="C28" s="127" t="str">
        <f>'Necesidades Trimestrales'!E26</f>
        <v>DESCARTADOR DE AGUJAS X 2 LITRO</v>
      </c>
      <c r="D28" s="127"/>
      <c r="E28" s="127"/>
      <c r="F28" s="127"/>
      <c r="G28" s="127"/>
      <c r="H28" s="59" t="s">
        <v>27</v>
      </c>
      <c r="I28" s="60" t="str">
        <f>'Necesidades Trimestrales'!F26</f>
        <v>UNIDAD</v>
      </c>
      <c r="J28" s="65">
        <f>'Necesidades Trimestrales'!H26</f>
        <v>317.83</v>
      </c>
      <c r="K28" s="68">
        <f>'Necesidades Trimestrales'!G26</f>
        <v>200</v>
      </c>
    </row>
    <row r="29" spans="1:11" ht="43.5" customHeight="1" thickBot="1" x14ac:dyDescent="0.3">
      <c r="A29" s="58">
        <f>'Necesidades Trimestrales'!A27</f>
        <v>18</v>
      </c>
      <c r="B29" s="61">
        <f>'Necesidades Trimestrales'!B27</f>
        <v>0</v>
      </c>
      <c r="C29" s="127" t="str">
        <f>'Necesidades Trimestrales'!E27</f>
        <v xml:space="preserve">ELECTRODO DESCARTABLE ADULTO </v>
      </c>
      <c r="D29" s="127"/>
      <c r="E29" s="127"/>
      <c r="F29" s="127"/>
      <c r="G29" s="127"/>
      <c r="H29" s="59" t="s">
        <v>27</v>
      </c>
      <c r="I29" s="60" t="str">
        <f>'Necesidades Trimestrales'!F27</f>
        <v>UNIDAD</v>
      </c>
      <c r="J29" s="65">
        <f>'Necesidades Trimestrales'!H27</f>
        <v>8.1</v>
      </c>
      <c r="K29" s="68">
        <f>'Necesidades Trimestrales'!G27</f>
        <v>1500</v>
      </c>
    </row>
    <row r="30" spans="1:11" ht="43.5" customHeight="1" thickBot="1" x14ac:dyDescent="0.3">
      <c r="A30" s="58">
        <f>'Necesidades Trimestrales'!A28</f>
        <v>19</v>
      </c>
      <c r="B30" s="61">
        <f>'Necesidades Trimestrales'!B28</f>
        <v>0</v>
      </c>
      <c r="C30" s="127" t="str">
        <f>'Necesidades Trimestrales'!E28</f>
        <v>ENVASE COLECTOR DE ORINA X 125 ML</v>
      </c>
      <c r="D30" s="127"/>
      <c r="E30" s="127"/>
      <c r="F30" s="127"/>
      <c r="G30" s="127"/>
      <c r="H30" s="59" t="s">
        <v>27</v>
      </c>
      <c r="I30" s="60" t="str">
        <f>'Necesidades Trimestrales'!F28</f>
        <v>UNIDAD</v>
      </c>
      <c r="J30" s="65">
        <f>'Necesidades Trimestrales'!H28</f>
        <v>40</v>
      </c>
      <c r="K30" s="68">
        <f>'Necesidades Trimestrales'!G28</f>
        <v>1000</v>
      </c>
    </row>
    <row r="31" spans="1:11" ht="43.5" customHeight="1" thickBot="1" x14ac:dyDescent="0.3">
      <c r="A31" s="58">
        <f>'Necesidades Trimestrales'!A29</f>
        <v>20</v>
      </c>
      <c r="B31" s="61">
        <f>'Necesidades Trimestrales'!B29</f>
        <v>0</v>
      </c>
      <c r="C31" s="127" t="str">
        <f>'Necesidades Trimestrales'!E29</f>
        <v>ESPECULO VAGINAL CHICOS</v>
      </c>
      <c r="D31" s="127"/>
      <c r="E31" s="127"/>
      <c r="F31" s="127"/>
      <c r="G31" s="127"/>
      <c r="H31" s="59" t="s">
        <v>27</v>
      </c>
      <c r="I31" s="60" t="str">
        <f>'Necesidades Trimestrales'!F29</f>
        <v>UNIDAD</v>
      </c>
      <c r="J31" s="65">
        <f>'Necesidades Trimestrales'!H29</f>
        <v>40.799999999999997</v>
      </c>
      <c r="K31" s="68">
        <f>'Necesidades Trimestrales'!G29</f>
        <v>250</v>
      </c>
    </row>
    <row r="32" spans="1:11" ht="43.5" customHeight="1" thickBot="1" x14ac:dyDescent="0.3">
      <c r="A32" s="58">
        <f>'Necesidades Trimestrales'!A30</f>
        <v>21</v>
      </c>
      <c r="B32" s="61">
        <f>'Necesidades Trimestrales'!B30</f>
        <v>0</v>
      </c>
      <c r="C32" s="127" t="str">
        <f>'Necesidades Trimestrales'!E30</f>
        <v>ESPECULO VAGINAL GRANDE</v>
      </c>
      <c r="D32" s="127"/>
      <c r="E32" s="127"/>
      <c r="F32" s="127"/>
      <c r="G32" s="127"/>
      <c r="H32" s="59" t="s">
        <v>27</v>
      </c>
      <c r="I32" s="60" t="str">
        <f>'Necesidades Trimestrales'!F30</f>
        <v>UNIDAD</v>
      </c>
      <c r="J32" s="65">
        <f>'Necesidades Trimestrales'!H30</f>
        <v>65</v>
      </c>
      <c r="K32" s="68">
        <f>'Necesidades Trimestrales'!G30</f>
        <v>250</v>
      </c>
    </row>
    <row r="33" spans="1:11" ht="43.5" customHeight="1" thickBot="1" x14ac:dyDescent="0.3">
      <c r="A33" s="58">
        <f>'Necesidades Trimestrales'!A31</f>
        <v>22</v>
      </c>
      <c r="B33" s="61">
        <f>'Necesidades Trimestrales'!B31</f>
        <v>0</v>
      </c>
      <c r="C33" s="127" t="str">
        <f>'Necesidades Trimestrales'!E31</f>
        <v>ESPECULO VAGINAL MEDIANO</v>
      </c>
      <c r="D33" s="127"/>
      <c r="E33" s="127"/>
      <c r="F33" s="127"/>
      <c r="G33" s="127"/>
      <c r="H33" s="59" t="s">
        <v>27</v>
      </c>
      <c r="I33" s="60" t="str">
        <f>'Necesidades Trimestrales'!F31</f>
        <v>UNIDAD</v>
      </c>
      <c r="J33" s="65">
        <f>'Necesidades Trimestrales'!H31</f>
        <v>65</v>
      </c>
      <c r="K33" s="68">
        <f>'Necesidades Trimestrales'!G31</f>
        <v>500</v>
      </c>
    </row>
    <row r="34" spans="1:11" ht="43.5" customHeight="1" thickBot="1" x14ac:dyDescent="0.3">
      <c r="A34" s="58">
        <f>'Necesidades Trimestrales'!A32</f>
        <v>23</v>
      </c>
      <c r="B34" s="61">
        <f>'Necesidades Trimestrales'!B32</f>
        <v>0</v>
      </c>
      <c r="C34" s="127" t="str">
        <f>'Necesidades Trimestrales'!E32</f>
        <v>GEL BASE PARA ECOGRAFIA X 1 KG</v>
      </c>
      <c r="D34" s="127"/>
      <c r="E34" s="127"/>
      <c r="F34" s="127"/>
      <c r="G34" s="127"/>
      <c r="H34" s="59" t="s">
        <v>27</v>
      </c>
      <c r="I34" s="60" t="str">
        <f>'Necesidades Trimestrales'!F32</f>
        <v>UNIDAD</v>
      </c>
      <c r="J34" s="65">
        <f>'Necesidades Trimestrales'!H32</f>
        <v>440.87</v>
      </c>
      <c r="K34" s="68">
        <f>'Necesidades Trimestrales'!G32</f>
        <v>40</v>
      </c>
    </row>
    <row r="35" spans="1:11" ht="43.5" customHeight="1" thickBot="1" x14ac:dyDescent="0.3">
      <c r="A35" s="58">
        <f>'Necesidades Trimestrales'!A33</f>
        <v>24</v>
      </c>
      <c r="B35" s="61">
        <f>'Necesidades Trimestrales'!B33</f>
        <v>0</v>
      </c>
      <c r="C35" s="127" t="str">
        <f>'Necesidades Trimestrales'!E33</f>
        <v>GEL BASE PARA ECOGRAFIA X 5 KG</v>
      </c>
      <c r="D35" s="127"/>
      <c r="E35" s="127"/>
      <c r="F35" s="127"/>
      <c r="G35" s="127"/>
      <c r="H35" s="59" t="s">
        <v>27</v>
      </c>
      <c r="I35" s="60" t="str">
        <f>'Necesidades Trimestrales'!F33</f>
        <v>UNIDAD</v>
      </c>
      <c r="J35" s="65">
        <f>'Necesidades Trimestrales'!H33</f>
        <v>2300</v>
      </c>
      <c r="K35" s="68">
        <f>'Necesidades Trimestrales'!G33</f>
        <v>10</v>
      </c>
    </row>
    <row r="36" spans="1:11" ht="43.5" customHeight="1" thickBot="1" x14ac:dyDescent="0.3">
      <c r="A36" s="58">
        <f>'Necesidades Trimestrales'!A34</f>
        <v>25</v>
      </c>
      <c r="B36" s="61">
        <f>'Necesidades Trimestrales'!B34</f>
        <v>0</v>
      </c>
      <c r="C36" s="127" t="str">
        <f>'Necesidades Trimestrales'!E34</f>
        <v>GUANTES DE CIRUGIA ESTERIL Nº 6 1/2 PAR. ANATOMICOS . CAÑA LARGA SIN TALCO</v>
      </c>
      <c r="D36" s="127"/>
      <c r="E36" s="127"/>
      <c r="F36" s="127"/>
      <c r="G36" s="127"/>
      <c r="H36" s="59" t="s">
        <v>27</v>
      </c>
      <c r="I36" s="60" t="str">
        <f>'Necesidades Trimestrales'!F34</f>
        <v>UNIDAD</v>
      </c>
      <c r="J36" s="65">
        <f>'Necesidades Trimestrales'!H34</f>
        <v>31.35</v>
      </c>
      <c r="K36" s="68">
        <f>'Necesidades Trimestrales'!G34</f>
        <v>1600</v>
      </c>
    </row>
    <row r="37" spans="1:11" ht="43.5" customHeight="1" thickBot="1" x14ac:dyDescent="0.3">
      <c r="A37" s="58">
        <f>'Necesidades Trimestrales'!A35</f>
        <v>26</v>
      </c>
      <c r="B37" s="61">
        <f>'Necesidades Trimestrales'!B35</f>
        <v>0</v>
      </c>
      <c r="C37" s="127" t="str">
        <f>'Necesidades Trimestrales'!E35</f>
        <v>GUANTES DE CIRUGIA ESTERIL Nº 7  PAR. ANATOMICOS . CAÑA LARGA SIN TALCO</v>
      </c>
      <c r="D37" s="127"/>
      <c r="E37" s="127"/>
      <c r="F37" s="127"/>
      <c r="G37" s="127"/>
      <c r="H37" s="59" t="s">
        <v>27</v>
      </c>
      <c r="I37" s="60" t="str">
        <f>'Necesidades Trimestrales'!F35</f>
        <v>UNIDAD</v>
      </c>
      <c r="J37" s="65">
        <f>'Necesidades Trimestrales'!H35</f>
        <v>31.35</v>
      </c>
      <c r="K37" s="68">
        <f>'Necesidades Trimestrales'!G35</f>
        <v>6000</v>
      </c>
    </row>
    <row r="38" spans="1:11" ht="43.5" customHeight="1" thickBot="1" x14ac:dyDescent="0.3">
      <c r="A38" s="58">
        <f>'Necesidades Trimestrales'!A36</f>
        <v>27</v>
      </c>
      <c r="B38" s="61">
        <f>'Necesidades Trimestrales'!B36</f>
        <v>0</v>
      </c>
      <c r="C38" s="127" t="str">
        <f>'Necesidades Trimestrales'!E36</f>
        <v>GUANTES DE CIRUGIA ESTERIL Nº 7 1/2 PAR.  ANATOMICOS . CAÑA LARGA SIN TALCO</v>
      </c>
      <c r="D38" s="127"/>
      <c r="E38" s="127"/>
      <c r="F38" s="127"/>
      <c r="G38" s="127"/>
      <c r="H38" s="59" t="s">
        <v>27</v>
      </c>
      <c r="I38" s="60" t="str">
        <f>'Necesidades Trimestrales'!F36</f>
        <v>UNIDAD</v>
      </c>
      <c r="J38" s="65">
        <f>'Necesidades Trimestrales'!H36</f>
        <v>31.35</v>
      </c>
      <c r="K38" s="68">
        <f>'Necesidades Trimestrales'!G36</f>
        <v>3500</v>
      </c>
    </row>
    <row r="39" spans="1:11" ht="43.5" customHeight="1" thickBot="1" x14ac:dyDescent="0.3">
      <c r="A39" s="58">
        <f>'Necesidades Trimestrales'!A37</f>
        <v>28</v>
      </c>
      <c r="B39" s="61">
        <f>'Necesidades Trimestrales'!B37</f>
        <v>0</v>
      </c>
      <c r="C39" s="127" t="str">
        <f>'Necesidades Trimestrales'!E37</f>
        <v>GUANTES DE CIRUGIA ESTERIL Nº 8 PAR.  ANATOMICOS . CAÑA LARGA SIN TALCO</v>
      </c>
      <c r="D39" s="127"/>
      <c r="E39" s="127"/>
      <c r="F39" s="127"/>
      <c r="G39" s="127"/>
      <c r="H39" s="59" t="s">
        <v>27</v>
      </c>
      <c r="I39" s="60" t="str">
        <f>'Necesidades Trimestrales'!F37</f>
        <v>UNIDAD</v>
      </c>
      <c r="J39" s="65">
        <f>'Necesidades Trimestrales'!H37</f>
        <v>31.35</v>
      </c>
      <c r="K39" s="68">
        <f>'Necesidades Trimestrales'!G37</f>
        <v>1500</v>
      </c>
    </row>
    <row r="40" spans="1:11" ht="43.5" customHeight="1" thickBot="1" x14ac:dyDescent="0.3">
      <c r="A40" s="58">
        <f>'Necesidades Trimestrales'!A38</f>
        <v>29</v>
      </c>
      <c r="B40" s="61">
        <f>'Necesidades Trimestrales'!B38</f>
        <v>0</v>
      </c>
      <c r="C40" s="127" t="str">
        <f>'Necesidades Trimestrales'!E38</f>
        <v>GUANTES DE CIRUGIA ESTERIL Nº 81/2 PAR. ANATOMICOS . CAÑA LARGA SIN TALCO</v>
      </c>
      <c r="D40" s="127"/>
      <c r="E40" s="127"/>
      <c r="F40" s="127"/>
      <c r="G40" s="127"/>
      <c r="H40" s="59" t="s">
        <v>27</v>
      </c>
      <c r="I40" s="60" t="str">
        <f>'Necesidades Trimestrales'!F38</f>
        <v>UNIDAD</v>
      </c>
      <c r="J40" s="65">
        <f>'Necesidades Trimestrales'!H38</f>
        <v>31.35</v>
      </c>
      <c r="K40" s="68">
        <f>'Necesidades Trimestrales'!G38</f>
        <v>800</v>
      </c>
    </row>
    <row r="41" spans="1:11" ht="43.5" customHeight="1" thickBot="1" x14ac:dyDescent="0.3">
      <c r="A41" s="58">
        <f>'Necesidades Trimestrales'!A39</f>
        <v>30</v>
      </c>
      <c r="B41" s="61">
        <f>'Necesidades Trimestrales'!B39</f>
        <v>0</v>
      </c>
      <c r="C41" s="127" t="str">
        <f>'Necesidades Trimestrales'!E39</f>
        <v>GUANTES DE EXAMINACION TAMAÑO L X 100</v>
      </c>
      <c r="D41" s="127"/>
      <c r="E41" s="127"/>
      <c r="F41" s="127"/>
      <c r="G41" s="127"/>
      <c r="H41" s="59" t="s">
        <v>27</v>
      </c>
      <c r="I41" s="60" t="str">
        <f>'Necesidades Trimestrales'!F39</f>
        <v>UNIDAD</v>
      </c>
      <c r="J41" s="65">
        <f>'Necesidades Trimestrales'!H39</f>
        <v>1300</v>
      </c>
      <c r="K41" s="68">
        <f>'Necesidades Trimestrales'!G39</f>
        <v>600</v>
      </c>
    </row>
    <row r="42" spans="1:11" ht="43.5" customHeight="1" thickBot="1" x14ac:dyDescent="0.3">
      <c r="A42" s="58">
        <f>'Necesidades Trimestrales'!A40</f>
        <v>31</v>
      </c>
      <c r="B42" s="61">
        <f>'Necesidades Trimestrales'!B40</f>
        <v>0</v>
      </c>
      <c r="C42" s="127" t="str">
        <f>'Necesidades Trimestrales'!E40</f>
        <v>GUANTES DE EXAMINACION TAMAÑO M X 100</v>
      </c>
      <c r="D42" s="127"/>
      <c r="E42" s="127"/>
      <c r="F42" s="127"/>
      <c r="G42" s="127"/>
      <c r="H42" s="59" t="s">
        <v>27</v>
      </c>
      <c r="I42" s="60" t="str">
        <f>'Necesidades Trimestrales'!F40</f>
        <v>UNIDAD</v>
      </c>
      <c r="J42" s="65">
        <f>'Necesidades Trimestrales'!H40</f>
        <v>1300</v>
      </c>
      <c r="K42" s="68">
        <f>'Necesidades Trimestrales'!G40</f>
        <v>1500</v>
      </c>
    </row>
    <row r="43" spans="1:11" ht="43.5" customHeight="1" thickBot="1" x14ac:dyDescent="0.3">
      <c r="A43" s="58">
        <f>'Necesidades Trimestrales'!A41</f>
        <v>32</v>
      </c>
      <c r="B43" s="61">
        <f>'Necesidades Trimestrales'!B41</f>
        <v>0</v>
      </c>
      <c r="C43" s="127" t="str">
        <f>'Necesidades Trimestrales'!E41</f>
        <v>GUANTES DE EXAMINACON TAMAÑO S X 100</v>
      </c>
      <c r="D43" s="127"/>
      <c r="E43" s="127"/>
      <c r="F43" s="127"/>
      <c r="G43" s="127"/>
      <c r="H43" s="59" t="s">
        <v>27</v>
      </c>
      <c r="I43" s="60" t="str">
        <f>'Necesidades Trimestrales'!F41</f>
        <v>UNIDAD</v>
      </c>
      <c r="J43" s="65">
        <f>'Necesidades Trimestrales'!H41</f>
        <v>1300</v>
      </c>
      <c r="K43" s="68">
        <f>'Necesidades Trimestrales'!G41</f>
        <v>1000</v>
      </c>
    </row>
    <row r="44" spans="1:11" ht="43.5" customHeight="1" thickBot="1" x14ac:dyDescent="0.3">
      <c r="A44" s="58">
        <f>'Necesidades Trimestrales'!A42</f>
        <v>33</v>
      </c>
      <c r="B44" s="61">
        <f>'Necesidades Trimestrales'!B42</f>
        <v>0</v>
      </c>
      <c r="C44" s="127" t="str">
        <f>'Necesidades Trimestrales'!E42</f>
        <v>GUANTES DE NITRILO TAMAÑO M X 100</v>
      </c>
      <c r="D44" s="127"/>
      <c r="E44" s="127"/>
      <c r="F44" s="127"/>
      <c r="G44" s="127"/>
      <c r="H44" s="59" t="s">
        <v>27</v>
      </c>
      <c r="I44" s="60" t="str">
        <f>'Necesidades Trimestrales'!F42</f>
        <v>UNIDAD</v>
      </c>
      <c r="J44" s="65">
        <f>'Necesidades Trimestrales'!H42</f>
        <v>1100</v>
      </c>
      <c r="K44" s="68">
        <f>'Necesidades Trimestrales'!G42</f>
        <v>200</v>
      </c>
    </row>
    <row r="45" spans="1:11" ht="43.5" customHeight="1" thickBot="1" x14ac:dyDescent="0.3">
      <c r="A45" s="58">
        <f>'Necesidades Trimestrales'!A43</f>
        <v>34</v>
      </c>
      <c r="B45" s="61">
        <f>'Necesidades Trimestrales'!B43</f>
        <v>0</v>
      </c>
      <c r="C45" s="127" t="str">
        <f>'Necesidades Trimestrales'!E43</f>
        <v>GUIA PARA BOMBA SILICONADA TIPO MP 1000</v>
      </c>
      <c r="D45" s="127"/>
      <c r="E45" s="127"/>
      <c r="F45" s="127"/>
      <c r="G45" s="127"/>
      <c r="H45" s="59" t="s">
        <v>27</v>
      </c>
      <c r="I45" s="60" t="str">
        <f>'Necesidades Trimestrales'!F43</f>
        <v>UNIDAD</v>
      </c>
      <c r="J45" s="65">
        <f>'Necesidades Trimestrales'!H43</f>
        <v>890</v>
      </c>
      <c r="K45" s="68">
        <f>'Necesidades Trimestrales'!G43</f>
        <v>300</v>
      </c>
    </row>
    <row r="46" spans="1:11" ht="43.5" customHeight="1" thickBot="1" x14ac:dyDescent="0.3">
      <c r="A46" s="58">
        <f>'Necesidades Trimestrales'!A44</f>
        <v>35</v>
      </c>
      <c r="B46" s="61">
        <f>'Necesidades Trimestrales'!B44</f>
        <v>0</v>
      </c>
      <c r="C46" s="127" t="str">
        <f>'Necesidades Trimestrales'!E44</f>
        <v>GUIA PARA BOMBA TIPO SET PRIMARIO PLUM HOSPIRA</v>
      </c>
      <c r="D46" s="127"/>
      <c r="E46" s="127"/>
      <c r="F46" s="127"/>
      <c r="G46" s="127"/>
      <c r="H46" s="59" t="s">
        <v>27</v>
      </c>
      <c r="I46" s="60" t="str">
        <f>'Necesidades Trimestrales'!F44</f>
        <v>UNIDAD</v>
      </c>
      <c r="J46" s="65">
        <f>'Necesidades Trimestrales'!H44</f>
        <v>832</v>
      </c>
      <c r="K46" s="68">
        <f>'Necesidades Trimestrales'!G44</f>
        <v>1500</v>
      </c>
    </row>
    <row r="47" spans="1:11" ht="43.5" customHeight="1" thickBot="1" x14ac:dyDescent="0.3">
      <c r="A47" s="58">
        <f>'Necesidades Trimestrales'!A45</f>
        <v>36</v>
      </c>
      <c r="B47" s="61">
        <f>'Necesidades Trimestrales'!B45</f>
        <v>0</v>
      </c>
      <c r="C47" s="127" t="str">
        <f>'Necesidades Trimestrales'!E45</f>
        <v>HILO DE LINO N° 20</v>
      </c>
      <c r="D47" s="127"/>
      <c r="E47" s="127"/>
      <c r="F47" s="127"/>
      <c r="G47" s="127"/>
      <c r="H47" s="59" t="s">
        <v>27</v>
      </c>
      <c r="I47" s="60" t="str">
        <f>'Necesidades Trimestrales'!F45</f>
        <v>UNIDAD</v>
      </c>
      <c r="J47" s="65">
        <f>'Necesidades Trimestrales'!H45</f>
        <v>1800</v>
      </c>
      <c r="K47" s="68">
        <f>'Necesidades Trimestrales'!G45</f>
        <v>2</v>
      </c>
    </row>
    <row r="48" spans="1:11" ht="43.5" customHeight="1" thickBot="1" x14ac:dyDescent="0.3">
      <c r="A48" s="58">
        <f>'Necesidades Trimestrales'!A46</f>
        <v>37</v>
      </c>
      <c r="B48" s="61">
        <f>'Necesidades Trimestrales'!B46</f>
        <v>0</v>
      </c>
      <c r="C48" s="127" t="str">
        <f>'Necesidades Trimestrales'!E46</f>
        <v>HOJA DE BISTURI Nº 11</v>
      </c>
      <c r="D48" s="127"/>
      <c r="E48" s="127"/>
      <c r="F48" s="127"/>
      <c r="G48" s="127"/>
      <c r="H48" s="59" t="s">
        <v>27</v>
      </c>
      <c r="I48" s="60" t="str">
        <f>'Necesidades Trimestrales'!F46</f>
        <v>UNIDAD</v>
      </c>
      <c r="J48" s="65">
        <f>'Necesidades Trimestrales'!H46</f>
        <v>6</v>
      </c>
      <c r="K48" s="68">
        <f>'Necesidades Trimestrales'!G46</f>
        <v>6000</v>
      </c>
    </row>
    <row r="49" spans="1:11" ht="43.5" customHeight="1" thickBot="1" x14ac:dyDescent="0.3">
      <c r="A49" s="58">
        <f>'Necesidades Trimestrales'!A47</f>
        <v>38</v>
      </c>
      <c r="B49" s="61">
        <f>'Necesidades Trimestrales'!B47</f>
        <v>0</v>
      </c>
      <c r="C49" s="127" t="str">
        <f>'Necesidades Trimestrales'!E47</f>
        <v>HOJA DE BISTURI Nº 15</v>
      </c>
      <c r="D49" s="127"/>
      <c r="E49" s="127"/>
      <c r="F49" s="127"/>
      <c r="G49" s="127"/>
      <c r="H49" s="59" t="s">
        <v>27</v>
      </c>
      <c r="I49" s="60" t="str">
        <f>'Necesidades Trimestrales'!F47</f>
        <v>UNIDAD</v>
      </c>
      <c r="J49" s="65">
        <f>'Necesidades Trimestrales'!H47</f>
        <v>6</v>
      </c>
      <c r="K49" s="68">
        <f>'Necesidades Trimestrales'!G47</f>
        <v>8000</v>
      </c>
    </row>
    <row r="50" spans="1:11" ht="43.5" customHeight="1" thickBot="1" x14ac:dyDescent="0.3">
      <c r="A50" s="58">
        <f>'Necesidades Trimestrales'!A48</f>
        <v>39</v>
      </c>
      <c r="B50" s="61">
        <f>'Necesidades Trimestrales'!B48</f>
        <v>0</v>
      </c>
      <c r="C50" s="127" t="str">
        <f>'Necesidades Trimestrales'!E48</f>
        <v>HOJA DE BISTURI Nº 24</v>
      </c>
      <c r="D50" s="127"/>
      <c r="E50" s="127"/>
      <c r="F50" s="127"/>
      <c r="G50" s="127"/>
      <c r="H50" s="59" t="s">
        <v>27</v>
      </c>
      <c r="I50" s="60" t="str">
        <f>'Necesidades Trimestrales'!F48</f>
        <v>UNIDAD</v>
      </c>
      <c r="J50" s="65">
        <f>'Necesidades Trimestrales'!H48</f>
        <v>6</v>
      </c>
      <c r="K50" s="68">
        <f>'Necesidades Trimestrales'!G48</f>
        <v>5000</v>
      </c>
    </row>
    <row r="51" spans="1:11" ht="43.5" customHeight="1" thickBot="1" x14ac:dyDescent="0.3">
      <c r="A51" s="58">
        <f>'Necesidades Trimestrales'!A49</f>
        <v>40</v>
      </c>
      <c r="B51" s="61">
        <f>'Necesidades Trimestrales'!B49</f>
        <v>0</v>
      </c>
      <c r="C51" s="127" t="str">
        <f>'Necesidades Trimestrales'!E49</f>
        <v>JERINGA DESCARTABLE DE 10 CC S/AGUJA</v>
      </c>
      <c r="D51" s="127"/>
      <c r="E51" s="127"/>
      <c r="F51" s="127"/>
      <c r="G51" s="127"/>
      <c r="H51" s="59" t="s">
        <v>27</v>
      </c>
      <c r="I51" s="60" t="str">
        <f>'Necesidades Trimestrales'!F49</f>
        <v>UNIDAD</v>
      </c>
      <c r="J51" s="65">
        <f>'Necesidades Trimestrales'!H49</f>
        <v>5</v>
      </c>
      <c r="K51" s="68">
        <f>'Necesidades Trimestrales'!G49</f>
        <v>25000</v>
      </c>
    </row>
    <row r="52" spans="1:11" ht="43.5" customHeight="1" thickBot="1" x14ac:dyDescent="0.3">
      <c r="A52" s="58">
        <f>'Necesidades Trimestrales'!A50</f>
        <v>41</v>
      </c>
      <c r="B52" s="61">
        <f>'Necesidades Trimestrales'!B50</f>
        <v>0</v>
      </c>
      <c r="C52" s="127" t="str">
        <f>'Necesidades Trimestrales'!E50</f>
        <v>JERINGA DESCARTABLE DE 20CC  S/AGUJA</v>
      </c>
      <c r="D52" s="127"/>
      <c r="E52" s="127"/>
      <c r="F52" s="127"/>
      <c r="G52" s="127"/>
      <c r="H52" s="59" t="s">
        <v>27</v>
      </c>
      <c r="I52" s="60" t="str">
        <f>'Necesidades Trimestrales'!F50</f>
        <v>UNIDAD</v>
      </c>
      <c r="J52" s="65">
        <f>'Necesidades Trimestrales'!H50</f>
        <v>12.2</v>
      </c>
      <c r="K52" s="68">
        <f>'Necesidades Trimestrales'!G50</f>
        <v>6000</v>
      </c>
    </row>
    <row r="53" spans="1:11" ht="43.5" customHeight="1" thickBot="1" x14ac:dyDescent="0.3">
      <c r="A53" s="58">
        <f>'Necesidades Trimestrales'!A51</f>
        <v>42</v>
      </c>
      <c r="B53" s="61">
        <f>'Necesidades Trimestrales'!B51</f>
        <v>0</v>
      </c>
      <c r="C53" s="127" t="str">
        <f>'Necesidades Trimestrales'!E51</f>
        <v>JERINGA DESCARTABLE DE 5 CC S/AGUJA</v>
      </c>
      <c r="D53" s="127"/>
      <c r="E53" s="127"/>
      <c r="F53" s="127"/>
      <c r="G53" s="127"/>
      <c r="H53" s="59" t="s">
        <v>27</v>
      </c>
      <c r="I53" s="60" t="str">
        <f>'Necesidades Trimestrales'!F51</f>
        <v>UNIDAD</v>
      </c>
      <c r="J53" s="65">
        <f>'Necesidades Trimestrales'!H51</f>
        <v>3.86</v>
      </c>
      <c r="K53" s="68">
        <f>'Necesidades Trimestrales'!G51</f>
        <v>17000</v>
      </c>
    </row>
    <row r="54" spans="1:11" ht="43.5" customHeight="1" thickBot="1" x14ac:dyDescent="0.3">
      <c r="A54" s="58">
        <f>'Necesidades Trimestrales'!A52</f>
        <v>43</v>
      </c>
      <c r="B54" s="61">
        <f>'Necesidades Trimestrales'!B52</f>
        <v>0</v>
      </c>
      <c r="C54" s="127" t="str">
        <f>'Necesidades Trimestrales'!E52</f>
        <v xml:space="preserve">JERINGA DESCARTABLE PARA INSULINA 100 UI CON AGUJA </v>
      </c>
      <c r="D54" s="127"/>
      <c r="E54" s="127"/>
      <c r="F54" s="127"/>
      <c r="G54" s="127"/>
      <c r="H54" s="59" t="s">
        <v>27</v>
      </c>
      <c r="I54" s="60" t="str">
        <f>'Necesidades Trimestrales'!F52</f>
        <v>UNIDAD</v>
      </c>
      <c r="J54" s="65">
        <f>'Necesidades Trimestrales'!H52</f>
        <v>7</v>
      </c>
      <c r="K54" s="68">
        <f>'Necesidades Trimestrales'!G52</f>
        <v>1000</v>
      </c>
    </row>
    <row r="55" spans="1:11" ht="43.5" customHeight="1" thickBot="1" x14ac:dyDescent="0.3">
      <c r="A55" s="58">
        <f>'Necesidades Trimestrales'!A53</f>
        <v>44</v>
      </c>
      <c r="B55" s="61">
        <f>'Necesidades Trimestrales'!B53</f>
        <v>0</v>
      </c>
      <c r="C55" s="127" t="str">
        <f>'Necesidades Trimestrales'!E53</f>
        <v>JERINGA DESCARTABLE PARA TUBERCULINA 1 CC S/ AGUJA</v>
      </c>
      <c r="D55" s="127"/>
      <c r="E55" s="127"/>
      <c r="F55" s="127"/>
      <c r="G55" s="127"/>
      <c r="H55" s="59" t="s">
        <v>27</v>
      </c>
      <c r="I55" s="60" t="str">
        <f>'Necesidades Trimestrales'!F53</f>
        <v>UNIDAD</v>
      </c>
      <c r="J55" s="65">
        <f>'Necesidades Trimestrales'!H53</f>
        <v>6.67</v>
      </c>
      <c r="K55" s="68">
        <f>'Necesidades Trimestrales'!G53</f>
        <v>18000</v>
      </c>
    </row>
    <row r="56" spans="1:11" ht="43.5" customHeight="1" thickBot="1" x14ac:dyDescent="0.3">
      <c r="A56" s="58">
        <f>'Necesidades Trimestrales'!A54</f>
        <v>45</v>
      </c>
      <c r="B56" s="61">
        <f>'Necesidades Trimestrales'!B54</f>
        <v>0</v>
      </c>
      <c r="C56" s="127" t="str">
        <f>'Necesidades Trimestrales'!E54</f>
        <v>KIT DESCARTABLE CAMISOLIN 40 GRS + COFIA + BOTAS PAR</v>
      </c>
      <c r="D56" s="127"/>
      <c r="E56" s="127"/>
      <c r="F56" s="127"/>
      <c r="G56" s="127"/>
      <c r="H56" s="59" t="s">
        <v>27</v>
      </c>
      <c r="I56" s="60" t="str">
        <f>'Necesidades Trimestrales'!F54</f>
        <v>UNIDAD</v>
      </c>
      <c r="J56" s="65">
        <f>'Necesidades Trimestrales'!H54</f>
        <v>400</v>
      </c>
      <c r="K56" s="68">
        <f>'Necesidades Trimestrales'!G54</f>
        <v>1000</v>
      </c>
    </row>
    <row r="57" spans="1:11" ht="43.5" customHeight="1" thickBot="1" x14ac:dyDescent="0.3">
      <c r="A57" s="58">
        <f>'Necesidades Trimestrales'!A55</f>
        <v>46</v>
      </c>
      <c r="B57" s="61">
        <f>'Necesidades Trimestrales'!B55</f>
        <v>0</v>
      </c>
      <c r="C57" s="127" t="str">
        <f>'Necesidades Trimestrales'!E55</f>
        <v>MAMELUCO LAMINADO TALLE L</v>
      </c>
      <c r="D57" s="127"/>
      <c r="E57" s="127"/>
      <c r="F57" s="127"/>
      <c r="G57" s="127"/>
      <c r="H57" s="59" t="s">
        <v>27</v>
      </c>
      <c r="I57" s="60" t="str">
        <f>'Necesidades Trimestrales'!F55</f>
        <v>UNIDAD</v>
      </c>
      <c r="J57" s="65">
        <f>'Necesidades Trimestrales'!H55</f>
        <v>609</v>
      </c>
      <c r="K57" s="68">
        <f>'Necesidades Trimestrales'!G55</f>
        <v>10</v>
      </c>
    </row>
    <row r="58" spans="1:11" ht="43.5" customHeight="1" thickBot="1" x14ac:dyDescent="0.3">
      <c r="A58" s="58">
        <f>'Necesidades Trimestrales'!A56</f>
        <v>47</v>
      </c>
      <c r="B58" s="61">
        <f>'Necesidades Trimestrales'!B56</f>
        <v>0</v>
      </c>
      <c r="C58" s="127" t="str">
        <f>'Necesidades Trimestrales'!E56</f>
        <v>MAMELUCO LAMINADO TALLE M</v>
      </c>
      <c r="D58" s="127"/>
      <c r="E58" s="127"/>
      <c r="F58" s="127"/>
      <c r="G58" s="127"/>
      <c r="H58" s="59" t="s">
        <v>27</v>
      </c>
      <c r="I58" s="60" t="str">
        <f>'Necesidades Trimestrales'!F56</f>
        <v>UNIDAD</v>
      </c>
      <c r="J58" s="65">
        <f>'Necesidades Trimestrales'!H56</f>
        <v>609</v>
      </c>
      <c r="K58" s="68">
        <f>'Necesidades Trimestrales'!G56</f>
        <v>10</v>
      </c>
    </row>
    <row r="59" spans="1:11" ht="43.5" customHeight="1" thickBot="1" x14ac:dyDescent="0.3">
      <c r="A59" s="58">
        <f>'Necesidades Trimestrales'!A57</f>
        <v>48</v>
      </c>
      <c r="B59" s="61">
        <f>'Necesidades Trimestrales'!B57</f>
        <v>0</v>
      </c>
      <c r="C59" s="127" t="str">
        <f>'Necesidades Trimestrales'!E57</f>
        <v>MAMELUCO LAMINADO TALLE XL</v>
      </c>
      <c r="D59" s="127"/>
      <c r="E59" s="127"/>
      <c r="F59" s="127"/>
      <c r="G59" s="127"/>
      <c r="H59" s="59" t="s">
        <v>27</v>
      </c>
      <c r="I59" s="60" t="str">
        <f>'Necesidades Trimestrales'!F57</f>
        <v>UNIDAD</v>
      </c>
      <c r="J59" s="65">
        <f>'Necesidades Trimestrales'!H57</f>
        <v>609</v>
      </c>
      <c r="K59" s="68">
        <f>'Necesidades Trimestrales'!G57</f>
        <v>10</v>
      </c>
    </row>
    <row r="60" spans="1:11" ht="43.5" customHeight="1" thickBot="1" x14ac:dyDescent="0.3">
      <c r="A60" s="58">
        <f>'Necesidades Trimestrales'!A58</f>
        <v>49</v>
      </c>
      <c r="B60" s="61">
        <f>'Necesidades Trimestrales'!B58</f>
        <v>0</v>
      </c>
      <c r="C60" s="127" t="str">
        <f>'Necesidades Trimestrales'!E58</f>
        <v>MANOPLAS DE POLIETILENO X 100</v>
      </c>
      <c r="D60" s="127"/>
      <c r="E60" s="127"/>
      <c r="F60" s="127"/>
      <c r="G60" s="127"/>
      <c r="H60" s="59" t="s">
        <v>27</v>
      </c>
      <c r="I60" s="60" t="str">
        <f>'Necesidades Trimestrales'!F58</f>
        <v>UNIDAD</v>
      </c>
      <c r="J60" s="65">
        <f>'Necesidades Trimestrales'!H58</f>
        <v>280</v>
      </c>
      <c r="K60" s="68">
        <f>'Necesidades Trimestrales'!G58</f>
        <v>50</v>
      </c>
    </row>
    <row r="61" spans="1:11" ht="43.5" customHeight="1" thickBot="1" x14ac:dyDescent="0.3">
      <c r="A61" s="58">
        <f>'Necesidades Trimestrales'!A59</f>
        <v>50</v>
      </c>
      <c r="B61" s="61">
        <f>'Necesidades Trimestrales'!B59</f>
        <v>0</v>
      </c>
      <c r="C61" s="127" t="str">
        <f>'Necesidades Trimestrales'!E59</f>
        <v>MASCARA PARA NEBULIZAR ADULTO COMPLETA MASCARA+PIPETA+TUBULADURA</v>
      </c>
      <c r="D61" s="127"/>
      <c r="E61" s="127"/>
      <c r="F61" s="127"/>
      <c r="G61" s="127"/>
      <c r="H61" s="59" t="s">
        <v>27</v>
      </c>
      <c r="I61" s="60" t="str">
        <f>'Necesidades Trimestrales'!F59</f>
        <v>UNIDAD</v>
      </c>
      <c r="J61" s="65">
        <f>'Necesidades Trimestrales'!H59</f>
        <v>250.79</v>
      </c>
      <c r="K61" s="68">
        <f>'Necesidades Trimestrales'!G59</f>
        <v>20</v>
      </c>
    </row>
    <row r="62" spans="1:11" ht="43.5" customHeight="1" thickBot="1" x14ac:dyDescent="0.3">
      <c r="A62" s="58">
        <f>'Necesidades Trimestrales'!A60</f>
        <v>51</v>
      </c>
      <c r="B62" s="61">
        <f>'Necesidades Trimestrales'!B60</f>
        <v>0</v>
      </c>
      <c r="C62" s="127" t="str">
        <f>'Necesidades Trimestrales'!E60</f>
        <v>OVATA DE ALGODÓN X 10 CM</v>
      </c>
      <c r="D62" s="127"/>
      <c r="E62" s="127"/>
      <c r="F62" s="127"/>
      <c r="G62" s="127"/>
      <c r="H62" s="59" t="s">
        <v>27</v>
      </c>
      <c r="I62" s="60" t="str">
        <f>'Necesidades Trimestrales'!F60</f>
        <v>UNIDAD</v>
      </c>
      <c r="J62" s="65">
        <f>'Necesidades Trimestrales'!H60</f>
        <v>60</v>
      </c>
      <c r="K62" s="68">
        <f>'Necesidades Trimestrales'!G60</f>
        <v>10</v>
      </c>
    </row>
    <row r="63" spans="1:11" ht="43.5" customHeight="1" thickBot="1" x14ac:dyDescent="0.3">
      <c r="A63" s="58">
        <f>'Necesidades Trimestrales'!A61</f>
        <v>52</v>
      </c>
      <c r="B63" s="61">
        <f>'Necesidades Trimestrales'!B61</f>
        <v>0</v>
      </c>
      <c r="C63" s="127" t="str">
        <f>'Necesidades Trimestrales'!E61</f>
        <v>OVATA DE ALGODÓN X 15 CM</v>
      </c>
      <c r="D63" s="127"/>
      <c r="E63" s="127"/>
      <c r="F63" s="127"/>
      <c r="G63" s="127"/>
      <c r="H63" s="59" t="s">
        <v>66</v>
      </c>
      <c r="I63" s="60" t="str">
        <f>'Necesidades Trimestrales'!F61</f>
        <v>UNIDAD</v>
      </c>
      <c r="J63" s="65">
        <f>'Necesidades Trimestrales'!H61</f>
        <v>80</v>
      </c>
      <c r="K63" s="68">
        <f>'Necesidades Trimestrales'!G61</f>
        <v>10</v>
      </c>
    </row>
    <row r="64" spans="1:11" ht="43.5" customHeight="1" thickBot="1" x14ac:dyDescent="0.3">
      <c r="A64" s="58">
        <f>'Necesidades Trimestrales'!A62</f>
        <v>53</v>
      </c>
      <c r="B64" s="61">
        <f>'Necesidades Trimestrales'!B62</f>
        <v>0</v>
      </c>
      <c r="C64" s="127" t="str">
        <f>'Necesidades Trimestrales'!E62</f>
        <v>PAÑAL DESCARTABLE ADULTO XG</v>
      </c>
      <c r="D64" s="127"/>
      <c r="E64" s="127"/>
      <c r="F64" s="127"/>
      <c r="G64" s="127"/>
      <c r="H64" s="59" t="s">
        <v>27</v>
      </c>
      <c r="I64" s="60" t="str">
        <f>'Necesidades Trimestrales'!F62</f>
        <v>UNIDAD</v>
      </c>
      <c r="J64" s="65">
        <f>'Necesidades Trimestrales'!H62</f>
        <v>35</v>
      </c>
      <c r="K64" s="68">
        <f>'Necesidades Trimestrales'!G62</f>
        <v>4000</v>
      </c>
    </row>
    <row r="65" spans="1:11" ht="43.5" customHeight="1" thickBot="1" x14ac:dyDescent="0.3">
      <c r="A65" s="58">
        <f>'Necesidades Trimestrales'!A63</f>
        <v>54</v>
      </c>
      <c r="B65" s="61">
        <f>'Necesidades Trimestrales'!B63</f>
        <v>0</v>
      </c>
      <c r="C65" s="127" t="str">
        <f>'Necesidades Trimestrales'!E63</f>
        <v>PAPEL PARA ECOGRAFIA TIPO UPP 110 S SONY</v>
      </c>
      <c r="D65" s="127"/>
      <c r="E65" s="127"/>
      <c r="F65" s="127"/>
      <c r="G65" s="127"/>
      <c r="H65" s="59" t="s">
        <v>27</v>
      </c>
      <c r="I65" s="60" t="str">
        <f>'Necesidades Trimestrales'!F63</f>
        <v>UNIDAD</v>
      </c>
      <c r="J65" s="65">
        <f>'Necesidades Trimestrales'!H63</f>
        <v>2315</v>
      </c>
      <c r="K65" s="68">
        <f>'Necesidades Trimestrales'!G63</f>
        <v>100</v>
      </c>
    </row>
    <row r="66" spans="1:11" ht="43.5" customHeight="1" thickBot="1" x14ac:dyDescent="0.3">
      <c r="A66" s="58">
        <f>'Necesidades Trimestrales'!A64</f>
        <v>55</v>
      </c>
      <c r="B66" s="61">
        <f>'Necesidades Trimestrales'!B64</f>
        <v>0</v>
      </c>
      <c r="C66" s="127" t="str">
        <f>'Necesidades Trimestrales'!E64</f>
        <v>PAPEL PARA ELECTROCARDIOGRAMA 62 X 30</v>
      </c>
      <c r="D66" s="127"/>
      <c r="E66" s="127"/>
      <c r="F66" s="127"/>
      <c r="G66" s="127"/>
      <c r="H66" s="59" t="s">
        <v>27</v>
      </c>
      <c r="I66" s="60" t="str">
        <f>'Necesidades Trimestrales'!F64</f>
        <v>UNIDAD</v>
      </c>
      <c r="J66" s="65">
        <f>'Necesidades Trimestrales'!H64</f>
        <v>336</v>
      </c>
      <c r="K66" s="68">
        <f>'Necesidades Trimestrales'!G64</f>
        <v>50</v>
      </c>
    </row>
    <row r="67" spans="1:11" ht="43.5" customHeight="1" thickBot="1" x14ac:dyDescent="0.3">
      <c r="A67" s="58">
        <f>'Necesidades Trimestrales'!A65</f>
        <v>56</v>
      </c>
      <c r="B67" s="61">
        <f>'Necesidades Trimestrales'!B65</f>
        <v>0</v>
      </c>
      <c r="C67" s="127" t="str">
        <f>'Necesidades Trimestrales'!E65</f>
        <v xml:space="preserve">PROLONGADOR 1,5 MT </v>
      </c>
      <c r="D67" s="127"/>
      <c r="E67" s="127"/>
      <c r="F67" s="127"/>
      <c r="G67" s="127"/>
      <c r="H67" s="59" t="s">
        <v>27</v>
      </c>
      <c r="I67" s="60" t="str">
        <f>'Necesidades Trimestrales'!F65</f>
        <v>UNIDAD</v>
      </c>
      <c r="J67" s="65">
        <f>'Necesidades Trimestrales'!H65</f>
        <v>45</v>
      </c>
      <c r="K67" s="68">
        <f>'Necesidades Trimestrales'!G65</f>
        <v>2500</v>
      </c>
    </row>
    <row r="68" spans="1:11" ht="43.5" customHeight="1" thickBot="1" x14ac:dyDescent="0.3">
      <c r="A68" s="58">
        <f>'Necesidades Trimestrales'!A66</f>
        <v>57</v>
      </c>
      <c r="B68" s="61">
        <f>'Necesidades Trimestrales'!B66</f>
        <v>0</v>
      </c>
      <c r="C68" s="127" t="str">
        <f>'Necesidades Trimestrales'!E66</f>
        <v>PULSERAS PARA IDENTIFICACION MADRE/HIJO</v>
      </c>
      <c r="D68" s="127"/>
      <c r="E68" s="127"/>
      <c r="F68" s="127"/>
      <c r="G68" s="127"/>
      <c r="H68" s="59" t="s">
        <v>27</v>
      </c>
      <c r="I68" s="60" t="str">
        <f>'Necesidades Trimestrales'!F66</f>
        <v>UNIDAD</v>
      </c>
      <c r="J68" s="65">
        <f>'Necesidades Trimestrales'!H66</f>
        <v>95</v>
      </c>
      <c r="K68" s="68">
        <f>'Necesidades Trimestrales'!G66</f>
        <v>1500</v>
      </c>
    </row>
    <row r="69" spans="1:11" ht="43.5" customHeight="1" thickBot="1" x14ac:dyDescent="0.3">
      <c r="A69" s="58">
        <f>'Necesidades Trimestrales'!A67</f>
        <v>58</v>
      </c>
      <c r="B69" s="61">
        <f>'Necesidades Trimestrales'!B67</f>
        <v>0</v>
      </c>
      <c r="C69" s="127" t="str">
        <f>'Necesidades Trimestrales'!E67</f>
        <v xml:space="preserve">TELA ADHESIVA 2.5 MM X 9.00 MTS </v>
      </c>
      <c r="D69" s="127"/>
      <c r="E69" s="127"/>
      <c r="F69" s="127"/>
      <c r="G69" s="127"/>
      <c r="H69" s="59" t="s">
        <v>27</v>
      </c>
      <c r="I69" s="60" t="str">
        <f>'Necesidades Trimestrales'!F67</f>
        <v>UNIDAD</v>
      </c>
      <c r="J69" s="65">
        <f>'Necesidades Trimestrales'!H67</f>
        <v>117.82</v>
      </c>
      <c r="K69" s="68">
        <f>'Necesidades Trimestrales'!G67</f>
        <v>1200</v>
      </c>
    </row>
    <row r="70" spans="1:11" ht="43.5" customHeight="1" thickBot="1" x14ac:dyDescent="0.3">
      <c r="A70" s="58">
        <f>'Necesidades Trimestrales'!A68</f>
        <v>59</v>
      </c>
      <c r="B70" s="61">
        <f>'Necesidades Trimestrales'!B68</f>
        <v>0</v>
      </c>
      <c r="C70" s="127" t="str">
        <f>'Necesidades Trimestrales'!E68</f>
        <v xml:space="preserve">TELA ADHESIVA 5 MM X 9.00 MTS </v>
      </c>
      <c r="D70" s="127"/>
      <c r="E70" s="127"/>
      <c r="F70" s="127"/>
      <c r="G70" s="127"/>
      <c r="H70" s="59" t="s">
        <v>27</v>
      </c>
      <c r="I70" s="60" t="str">
        <f>'Necesidades Trimestrales'!F68</f>
        <v>UNIDAD</v>
      </c>
      <c r="J70" s="65">
        <f>'Necesidades Trimestrales'!H68</f>
        <v>235.63</v>
      </c>
      <c r="K70" s="68">
        <f>'Necesidades Trimestrales'!G68</f>
        <v>300</v>
      </c>
    </row>
    <row r="71" spans="1:11" ht="43.5" customHeight="1" thickBot="1" x14ac:dyDescent="0.3">
      <c r="A71" s="58">
        <f>'Necesidades Trimestrales'!A69</f>
        <v>60</v>
      </c>
      <c r="B71" s="61">
        <f>'Necesidades Trimestrales'!B69</f>
        <v>0</v>
      </c>
      <c r="C71" s="127" t="str">
        <f>'Necesidades Trimestrales'!E69</f>
        <v xml:space="preserve">TELA ADHESIVA HIPOALERGENICA MICROPORE 2.5 CM </v>
      </c>
      <c r="D71" s="127"/>
      <c r="E71" s="127"/>
      <c r="F71" s="127"/>
      <c r="G71" s="127"/>
      <c r="H71" s="59" t="s">
        <v>27</v>
      </c>
      <c r="I71" s="60" t="str">
        <f>'Necesidades Trimestrales'!F69</f>
        <v>UNIDAD</v>
      </c>
      <c r="J71" s="65">
        <f>'Necesidades Trimestrales'!H69</f>
        <v>154</v>
      </c>
      <c r="K71" s="68">
        <f>'Necesidades Trimestrales'!G69</f>
        <v>200</v>
      </c>
    </row>
    <row r="72" spans="1:11" ht="43.5" customHeight="1" thickBot="1" x14ac:dyDescent="0.3">
      <c r="A72" s="58">
        <f>'Necesidades Trimestrales'!A70</f>
        <v>61</v>
      </c>
      <c r="B72" s="61">
        <f>'Necesidades Trimestrales'!B70</f>
        <v>0</v>
      </c>
      <c r="C72" s="127" t="str">
        <f>'Necesidades Trimestrales'!E70</f>
        <v xml:space="preserve">TELA ADHESIVA HIPOALERGENICA TRANSPORE 2.5 CM </v>
      </c>
      <c r="D72" s="127"/>
      <c r="E72" s="127"/>
      <c r="F72" s="127"/>
      <c r="G72" s="127"/>
      <c r="H72" s="59" t="s">
        <v>27</v>
      </c>
      <c r="I72" s="60" t="str">
        <f>'Necesidades Trimestrales'!F70</f>
        <v>UNIDAD</v>
      </c>
      <c r="J72" s="65">
        <f>'Necesidades Trimestrales'!H70</f>
        <v>210</v>
      </c>
      <c r="K72" s="68">
        <f>'Necesidades Trimestrales'!G70</f>
        <v>300</v>
      </c>
    </row>
    <row r="73" spans="1:11" ht="43.5" customHeight="1" thickBot="1" x14ac:dyDescent="0.3">
      <c r="A73" s="58">
        <f>'Necesidades Trimestrales'!A71</f>
        <v>62</v>
      </c>
      <c r="B73" s="61">
        <f>'Necesidades Trimestrales'!B71</f>
        <v>0</v>
      </c>
      <c r="C73" s="127" t="str">
        <f>'Necesidades Trimestrales'!E71</f>
        <v>TERMOMETRO DIGITAL</v>
      </c>
      <c r="D73" s="127"/>
      <c r="E73" s="127"/>
      <c r="F73" s="127"/>
      <c r="G73" s="127"/>
      <c r="H73" s="59" t="s">
        <v>27</v>
      </c>
      <c r="I73" s="60" t="str">
        <f>'Necesidades Trimestrales'!F71</f>
        <v>UNIDAD</v>
      </c>
      <c r="J73" s="65">
        <f>'Necesidades Trimestrales'!H71</f>
        <v>231</v>
      </c>
      <c r="K73" s="68">
        <f>'Necesidades Trimestrales'!G71</f>
        <v>50</v>
      </c>
    </row>
    <row r="74" spans="1:11" ht="43.5" customHeight="1" thickBot="1" x14ac:dyDescent="0.3">
      <c r="A74" s="58">
        <f>'Necesidades Trimestrales'!A72</f>
        <v>63</v>
      </c>
      <c r="B74" s="61">
        <f>'Necesidades Trimestrales'!B72</f>
        <v>0</v>
      </c>
      <c r="C74" s="127" t="str">
        <f>'Necesidades Trimestrales'!E72</f>
        <v>TIRAS REACTIVAS PARA DETERMINACION GLUCOSA X 50 UNIDADES</v>
      </c>
      <c r="D74" s="127"/>
      <c r="E74" s="127"/>
      <c r="F74" s="127"/>
      <c r="G74" s="127"/>
      <c r="H74" s="59" t="s">
        <v>27</v>
      </c>
      <c r="I74" s="60" t="str">
        <f>'Necesidades Trimestrales'!F72</f>
        <v>UNIDAD</v>
      </c>
      <c r="J74" s="65">
        <f>'Necesidades Trimestrales'!H72</f>
        <v>2259.5</v>
      </c>
      <c r="K74" s="68">
        <f>'Necesidades Trimestrales'!G72</f>
        <v>40</v>
      </c>
    </row>
    <row r="75" spans="1:11" ht="43.5" customHeight="1" thickBot="1" x14ac:dyDescent="0.3">
      <c r="A75" s="58">
        <f>'Necesidades Trimestrales'!A73</f>
        <v>64</v>
      </c>
      <c r="B75" s="61">
        <f>'Necesidades Trimestrales'!B73</f>
        <v>0</v>
      </c>
      <c r="C75" s="127" t="str">
        <f>'Necesidades Trimestrales'!E73</f>
        <v>TUBO CONECTOR EN "Y" KT-95 EST. X 1</v>
      </c>
      <c r="D75" s="127"/>
      <c r="E75" s="127"/>
      <c r="F75" s="127"/>
      <c r="G75" s="127"/>
      <c r="H75" s="59" t="s">
        <v>27</v>
      </c>
      <c r="I75" s="60" t="str">
        <f>'Necesidades Trimestrales'!F73</f>
        <v>UNIDAD</v>
      </c>
      <c r="J75" s="65">
        <f>'Necesidades Trimestrales'!H73</f>
        <v>91</v>
      </c>
      <c r="K75" s="68">
        <f>'Necesidades Trimestrales'!G73</f>
        <v>50</v>
      </c>
    </row>
    <row r="76" spans="1:11" ht="43.5" customHeight="1" thickBot="1" x14ac:dyDescent="0.3">
      <c r="A76" s="58">
        <f>'Necesidades Trimestrales'!A74</f>
        <v>65</v>
      </c>
      <c r="B76" s="61">
        <f>'Necesidades Trimestrales'!B74</f>
        <v>0</v>
      </c>
      <c r="C76" s="127" t="str">
        <f>'Necesidades Trimestrales'!E74</f>
        <v>TUBO ENDOTRAQUEALES TIPO RUSH S/B 2,5</v>
      </c>
      <c r="D76" s="127"/>
      <c r="E76" s="127"/>
      <c r="F76" s="127"/>
      <c r="G76" s="127"/>
      <c r="H76" s="59" t="s">
        <v>27</v>
      </c>
      <c r="I76" s="60" t="str">
        <f>'Necesidades Trimestrales'!F74</f>
        <v>UNIDAD</v>
      </c>
      <c r="J76" s="65">
        <f>'Necesidades Trimestrales'!H74</f>
        <v>222.5</v>
      </c>
      <c r="K76" s="68">
        <f>'Necesidades Trimestrales'!G74</f>
        <v>80</v>
      </c>
    </row>
    <row r="77" spans="1:11" ht="43.5" customHeight="1" thickBot="1" x14ac:dyDescent="0.3">
      <c r="A77" s="58">
        <f>'Necesidades Trimestrales'!A75</f>
        <v>66</v>
      </c>
      <c r="B77" s="61">
        <f>'Necesidades Trimestrales'!B75</f>
        <v>0</v>
      </c>
      <c r="C77" s="127" t="str">
        <f>'Necesidades Trimestrales'!E75</f>
        <v>TUBO ENDOTRAQUEALES TIPO RUSH S/B 3</v>
      </c>
      <c r="D77" s="127"/>
      <c r="E77" s="127"/>
      <c r="F77" s="127"/>
      <c r="G77" s="127"/>
      <c r="H77" s="59" t="s">
        <v>27</v>
      </c>
      <c r="I77" s="60" t="str">
        <f>'Necesidades Trimestrales'!F75</f>
        <v>UNIDAD</v>
      </c>
      <c r="J77" s="65">
        <f>'Necesidades Trimestrales'!H75</f>
        <v>222.5</v>
      </c>
      <c r="K77" s="68">
        <f>'Necesidades Trimestrales'!G75</f>
        <v>80</v>
      </c>
    </row>
    <row r="78" spans="1:11" ht="43.5" customHeight="1" thickBot="1" x14ac:dyDescent="0.3">
      <c r="A78" s="58">
        <f>'Necesidades Trimestrales'!A76</f>
        <v>67</v>
      </c>
      <c r="B78" s="61">
        <f>'Necesidades Trimestrales'!B76</f>
        <v>0</v>
      </c>
      <c r="C78" s="127" t="str">
        <f>'Necesidades Trimestrales'!E76</f>
        <v>TUBO ENDOTRAQUEALES TIPO RUSH S/B 3,5</v>
      </c>
      <c r="D78" s="127"/>
      <c r="E78" s="127"/>
      <c r="F78" s="127"/>
      <c r="G78" s="127"/>
      <c r="H78" s="59" t="s">
        <v>27</v>
      </c>
      <c r="I78" s="60" t="str">
        <f>'Necesidades Trimestrales'!F76</f>
        <v>UNIDAD</v>
      </c>
      <c r="J78" s="65">
        <f>'Necesidades Trimestrales'!H76</f>
        <v>222.5</v>
      </c>
      <c r="K78" s="68">
        <f>'Necesidades Trimestrales'!G76</f>
        <v>130</v>
      </c>
    </row>
    <row r="79" spans="1:11" ht="43.5" customHeight="1" thickBot="1" x14ac:dyDescent="0.3">
      <c r="A79" s="58">
        <f>'Necesidades Trimestrales'!A77</f>
        <v>68</v>
      </c>
      <c r="B79" s="61">
        <f>'Necesidades Trimestrales'!B77</f>
        <v>0</v>
      </c>
      <c r="C79" s="127" t="str">
        <f>'Necesidades Trimestrales'!E77</f>
        <v>TUBO MAYO GUEDEL N 0</v>
      </c>
      <c r="D79" s="127"/>
      <c r="E79" s="127"/>
      <c r="F79" s="127"/>
      <c r="G79" s="127"/>
      <c r="H79" s="59" t="s">
        <v>27</v>
      </c>
      <c r="I79" s="60" t="str">
        <f>'Necesidades Trimestrales'!F77</f>
        <v>UNIDAD</v>
      </c>
      <c r="J79" s="65">
        <f>'Necesidades Trimestrales'!H77</f>
        <v>836</v>
      </c>
      <c r="K79" s="68">
        <f>'Necesidades Trimestrales'!G77</f>
        <v>2</v>
      </c>
    </row>
    <row r="80" spans="1:11" ht="43.5" customHeight="1" thickBot="1" x14ac:dyDescent="0.3">
      <c r="A80" s="58">
        <f>'Necesidades Trimestrales'!A78</f>
        <v>69</v>
      </c>
      <c r="B80" s="61">
        <f>'Necesidades Trimestrales'!B78</f>
        <v>0</v>
      </c>
      <c r="C80" s="127" t="str">
        <f>'Necesidades Trimestrales'!E78</f>
        <v>TUBO MAYO GUEDEL N 00</v>
      </c>
      <c r="D80" s="127"/>
      <c r="E80" s="127"/>
      <c r="F80" s="127"/>
      <c r="G80" s="127"/>
      <c r="H80" s="59" t="s">
        <v>27</v>
      </c>
      <c r="I80" s="60" t="str">
        <f>'Necesidades Trimestrales'!F78</f>
        <v>UNIDAD</v>
      </c>
      <c r="J80" s="65">
        <f>'Necesidades Trimestrales'!H78</f>
        <v>836</v>
      </c>
      <c r="K80" s="68">
        <f>'Necesidades Trimestrales'!G78</f>
        <v>2</v>
      </c>
    </row>
    <row r="81" spans="1:11" ht="43.5" customHeight="1" thickBot="1" x14ac:dyDescent="0.3">
      <c r="A81" s="58">
        <f>'Necesidades Trimestrales'!A79</f>
        <v>70</v>
      </c>
      <c r="B81" s="61">
        <f>'Necesidades Trimestrales'!B79</f>
        <v>0</v>
      </c>
      <c r="C81" s="127" t="str">
        <f>'Necesidades Trimestrales'!E79</f>
        <v>TUBO MAYO GUEDEL N 5</v>
      </c>
      <c r="D81" s="127"/>
      <c r="E81" s="127"/>
      <c r="F81" s="127"/>
      <c r="G81" s="127"/>
      <c r="H81" s="59" t="s">
        <v>27</v>
      </c>
      <c r="I81" s="60" t="str">
        <f>'Necesidades Trimestrales'!F79</f>
        <v>UNIDAD</v>
      </c>
      <c r="J81" s="65">
        <f>'Necesidades Trimestrales'!H79</f>
        <v>836</v>
      </c>
      <c r="K81" s="68">
        <f>'Necesidades Trimestrales'!G79</f>
        <v>2</v>
      </c>
    </row>
    <row r="82" spans="1:11" ht="43.5" customHeight="1" thickBot="1" x14ac:dyDescent="0.3">
      <c r="A82" s="58">
        <f>'Necesidades Trimestrales'!A80</f>
        <v>71</v>
      </c>
      <c r="B82" s="61">
        <f>'Necesidades Trimestrales'!B80</f>
        <v>0</v>
      </c>
      <c r="C82" s="127" t="str">
        <f>'Necesidades Trimestrales'!E80</f>
        <v xml:space="preserve">TUBO MAYO GUEDEL N°1 </v>
      </c>
      <c r="D82" s="127"/>
      <c r="E82" s="127"/>
      <c r="F82" s="127"/>
      <c r="G82" s="127"/>
      <c r="H82" s="59" t="s">
        <v>27</v>
      </c>
      <c r="I82" s="60" t="str">
        <f>'Necesidades Trimestrales'!F80</f>
        <v>UNIDAD</v>
      </c>
      <c r="J82" s="65">
        <f>'Necesidades Trimestrales'!H80</f>
        <v>836</v>
      </c>
      <c r="K82" s="68">
        <f>'Necesidades Trimestrales'!G80</f>
        <v>2</v>
      </c>
    </row>
    <row r="83" spans="1:11" ht="43.5" customHeight="1" thickBot="1" x14ac:dyDescent="0.3">
      <c r="A83" s="58">
        <f>'Necesidades Trimestrales'!A81</f>
        <v>72</v>
      </c>
      <c r="B83" s="61">
        <f>'Necesidades Trimestrales'!B81</f>
        <v>0</v>
      </c>
      <c r="C83" s="127" t="str">
        <f>'Necesidades Trimestrales'!E81</f>
        <v xml:space="preserve">TUBO MAYO GUEDEL N°2 </v>
      </c>
      <c r="D83" s="127"/>
      <c r="E83" s="127"/>
      <c r="F83" s="127"/>
      <c r="G83" s="127"/>
      <c r="H83" s="59" t="s">
        <v>27</v>
      </c>
      <c r="I83" s="60" t="str">
        <f>'Necesidades Trimestrales'!F81</f>
        <v>UNIDAD</v>
      </c>
      <c r="J83" s="65">
        <f>'Necesidades Trimestrales'!H81</f>
        <v>836</v>
      </c>
      <c r="K83" s="68">
        <f>'Necesidades Trimestrales'!G81</f>
        <v>2</v>
      </c>
    </row>
    <row r="84" spans="1:11" ht="43.5" customHeight="1" thickBot="1" x14ac:dyDescent="0.3">
      <c r="A84" s="58">
        <f>'Necesidades Trimestrales'!A82</f>
        <v>73</v>
      </c>
      <c r="B84" s="61">
        <f>'Necesidades Trimestrales'!B82</f>
        <v>0</v>
      </c>
      <c r="C84" s="127" t="str">
        <f>'Necesidades Trimestrales'!E82</f>
        <v xml:space="preserve">TUBO MAYO GUEDEL N°3 </v>
      </c>
      <c r="D84" s="127"/>
      <c r="E84" s="127"/>
      <c r="F84" s="127"/>
      <c r="G84" s="127"/>
      <c r="H84" s="59" t="s">
        <v>27</v>
      </c>
      <c r="I84" s="60" t="str">
        <f>'Necesidades Trimestrales'!F82</f>
        <v>UNIDAD</v>
      </c>
      <c r="J84" s="65">
        <f>'Necesidades Trimestrales'!H82</f>
        <v>836</v>
      </c>
      <c r="K84" s="68">
        <f>'Necesidades Trimestrales'!G82</f>
        <v>2</v>
      </c>
    </row>
    <row r="85" spans="1:11" ht="43.5" customHeight="1" thickBot="1" x14ac:dyDescent="0.3">
      <c r="A85" s="58">
        <f>'Necesidades Trimestrales'!A83</f>
        <v>74</v>
      </c>
      <c r="B85" s="61">
        <f>'Necesidades Trimestrales'!B83</f>
        <v>0</v>
      </c>
      <c r="C85" s="127" t="str">
        <f>'Necesidades Trimestrales'!E83</f>
        <v xml:space="preserve">TUBO MAYO GUEDEL N°4 </v>
      </c>
      <c r="D85" s="127"/>
      <c r="E85" s="127"/>
      <c r="F85" s="127"/>
      <c r="G85" s="127"/>
      <c r="H85" s="59" t="s">
        <v>27</v>
      </c>
      <c r="I85" s="60" t="str">
        <f>'Necesidades Trimestrales'!F83</f>
        <v>UNIDAD</v>
      </c>
      <c r="J85" s="65">
        <f>'Necesidades Trimestrales'!H83</f>
        <v>836</v>
      </c>
      <c r="K85" s="68">
        <f>'Necesidades Trimestrales'!G83</f>
        <v>2</v>
      </c>
    </row>
    <row r="86" spans="1:11" ht="43.5" customHeight="1" thickBot="1" x14ac:dyDescent="0.3">
      <c r="A86" s="58">
        <f>'Necesidades Trimestrales'!A84</f>
        <v>75</v>
      </c>
      <c r="B86" s="61">
        <f>'Necesidades Trimestrales'!B84</f>
        <v>0</v>
      </c>
      <c r="C86" s="127" t="str">
        <f>'Necesidades Trimestrales'!E84</f>
        <v>VENDA CAMBRIC  5 CM</v>
      </c>
      <c r="D86" s="127"/>
      <c r="E86" s="127"/>
      <c r="F86" s="127"/>
      <c r="G86" s="127"/>
      <c r="H86" s="59" t="s">
        <v>27</v>
      </c>
      <c r="I86" s="60" t="str">
        <f>'Necesidades Trimestrales'!F84</f>
        <v>UNIDAD</v>
      </c>
      <c r="J86" s="65">
        <f>'Necesidades Trimestrales'!H84</f>
        <v>20</v>
      </c>
      <c r="K86" s="68">
        <f>'Necesidades Trimestrales'!G84</f>
        <v>10</v>
      </c>
    </row>
    <row r="87" spans="1:11" ht="43.5" customHeight="1" thickBot="1" x14ac:dyDescent="0.3">
      <c r="A87" s="58">
        <f>'Necesidades Trimestrales'!A85</f>
        <v>76</v>
      </c>
      <c r="B87" s="61">
        <f>'Necesidades Trimestrales'!B85</f>
        <v>0</v>
      </c>
      <c r="C87" s="127" t="str">
        <f>'Necesidades Trimestrales'!E85</f>
        <v>VENDA CAMBRIC 10 CM</v>
      </c>
      <c r="D87" s="127"/>
      <c r="E87" s="127"/>
      <c r="F87" s="127"/>
      <c r="G87" s="127"/>
      <c r="H87" s="59" t="s">
        <v>27</v>
      </c>
      <c r="I87" s="60" t="str">
        <f>'Necesidades Trimestrales'!F85</f>
        <v>UNIDAD</v>
      </c>
      <c r="J87" s="65">
        <f>'Necesidades Trimestrales'!H85</f>
        <v>30</v>
      </c>
      <c r="K87" s="68">
        <f>'Necesidades Trimestrales'!G85</f>
        <v>10</v>
      </c>
    </row>
    <row r="88" spans="1:11" ht="43.5" customHeight="1" thickBot="1" x14ac:dyDescent="0.3">
      <c r="A88" s="58">
        <f>'Necesidades Trimestrales'!A86</f>
        <v>77</v>
      </c>
      <c r="B88" s="61">
        <f>'Necesidades Trimestrales'!B86</f>
        <v>0</v>
      </c>
      <c r="C88" s="127" t="str">
        <f>'Necesidades Trimestrales'!E86</f>
        <v>VENDA ENYESADA X 10 CM X 20 METROS DE FRAGUADO RAPIDO</v>
      </c>
      <c r="D88" s="127"/>
      <c r="E88" s="127"/>
      <c r="F88" s="127"/>
      <c r="G88" s="127"/>
      <c r="H88" s="59" t="s">
        <v>27</v>
      </c>
      <c r="I88" s="60" t="str">
        <f>'Necesidades Trimestrales'!F86</f>
        <v>UNIDAD</v>
      </c>
      <c r="J88" s="65">
        <f>'Necesidades Trimestrales'!H86</f>
        <v>60</v>
      </c>
      <c r="K88" s="68">
        <f>'Necesidades Trimestrales'!G86</f>
        <v>10</v>
      </c>
    </row>
    <row r="89" spans="1:11" ht="43.5" customHeight="1" x14ac:dyDescent="0.25">
      <c r="A89" s="58">
        <f>'Necesidades Trimestrales'!A87</f>
        <v>78</v>
      </c>
      <c r="B89" s="61">
        <f>'Necesidades Trimestrales'!B87</f>
        <v>0</v>
      </c>
      <c r="C89" s="127" t="str">
        <f>'Necesidades Trimestrales'!E87</f>
        <v>VENDAS COBAN 5CM</v>
      </c>
      <c r="D89" s="127"/>
      <c r="E89" s="127"/>
      <c r="F89" s="127"/>
      <c r="G89" s="127"/>
      <c r="H89" s="59" t="s">
        <v>27</v>
      </c>
      <c r="I89" s="60" t="str">
        <f>'Necesidades Trimestrales'!F87</f>
        <v>UNIDAD</v>
      </c>
      <c r="J89" s="65">
        <f>'Necesidades Trimestrales'!H87</f>
        <v>150</v>
      </c>
      <c r="K89" s="68">
        <f>'Necesidades Trimestrales'!G87</f>
        <v>200</v>
      </c>
    </row>
    <row r="90" spans="1:11" ht="41.25" customHeight="1" thickBot="1" x14ac:dyDescent="0.25">
      <c r="A90" s="142" t="s">
        <v>154</v>
      </c>
      <c r="B90" s="142"/>
      <c r="C90" s="142"/>
      <c r="D90" s="142"/>
      <c r="E90" s="142"/>
      <c r="F90" s="142"/>
      <c r="G90" s="142"/>
      <c r="H90" s="142"/>
      <c r="I90" s="143"/>
      <c r="J90" s="144">
        <f>SUMPRODUCT(J12:J89*K12:K89)</f>
        <v>13851188.600000001</v>
      </c>
      <c r="K90" s="144"/>
    </row>
    <row r="93" spans="1:11" x14ac:dyDescent="0.2">
      <c r="J93" s="140"/>
      <c r="K93" s="141"/>
    </row>
    <row r="94" spans="1:11" ht="15" x14ac:dyDescent="0.2">
      <c r="D94" s="63"/>
      <c r="E94" s="63"/>
      <c r="F94" s="63"/>
      <c r="G94" s="63"/>
      <c r="H94" s="63"/>
      <c r="I94" s="63"/>
    </row>
    <row r="95" spans="1:11" ht="15" x14ac:dyDescent="0.2">
      <c r="D95" s="63"/>
      <c r="E95" s="63"/>
      <c r="F95" s="63"/>
      <c r="G95" s="63"/>
      <c r="H95" s="63"/>
      <c r="I95" s="63"/>
    </row>
    <row r="96" spans="1:11" ht="15" x14ac:dyDescent="0.2">
      <c r="D96" s="63"/>
      <c r="E96" s="63"/>
      <c r="F96" s="63"/>
      <c r="G96" s="63"/>
      <c r="H96" s="63"/>
      <c r="I96" s="63"/>
    </row>
    <row r="97" spans="4:9" ht="15.75" x14ac:dyDescent="0.2">
      <c r="D97" s="64"/>
      <c r="E97" s="63"/>
      <c r="F97" s="63"/>
      <c r="G97" s="63"/>
      <c r="H97" s="63"/>
      <c r="I97" s="63"/>
    </row>
  </sheetData>
  <mergeCells count="101">
    <mergeCell ref="J93:K93"/>
    <mergeCell ref="A90:I90"/>
    <mergeCell ref="J90:K90"/>
    <mergeCell ref="C53:G53"/>
    <mergeCell ref="C54:G54"/>
    <mergeCell ref="C55:G55"/>
    <mergeCell ref="C56:G56"/>
    <mergeCell ref="C57:G57"/>
    <mergeCell ref="C69:G69"/>
    <mergeCell ref="C65:G65"/>
    <mergeCell ref="C66:G66"/>
    <mergeCell ref="C67:G67"/>
    <mergeCell ref="C68:G68"/>
    <mergeCell ref="C70:G70"/>
    <mergeCell ref="C71:G71"/>
    <mergeCell ref="K10:K11"/>
    <mergeCell ref="C12:G12"/>
    <mergeCell ref="C52:G52"/>
    <mergeCell ref="C63:G63"/>
    <mergeCell ref="C64:G64"/>
    <mergeCell ref="C58:G58"/>
    <mergeCell ref="C59:G59"/>
    <mergeCell ref="C60:G60"/>
    <mergeCell ref="C61:G61"/>
    <mergeCell ref="C62:G62"/>
    <mergeCell ref="C20:G20"/>
    <mergeCell ref="C21:G21"/>
    <mergeCell ref="C22:G22"/>
    <mergeCell ref="C23:G23"/>
    <mergeCell ref="C24:G24"/>
    <mergeCell ref="C25:G25"/>
    <mergeCell ref="C26:G26"/>
    <mergeCell ref="C72:G72"/>
    <mergeCell ref="C73:G73"/>
    <mergeCell ref="C74:G74"/>
    <mergeCell ref="C75:G75"/>
    <mergeCell ref="C76:G7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C87:G87"/>
    <mergeCell ref="C88:G88"/>
    <mergeCell ref="C89:G89"/>
    <mergeCell ref="C81:G81"/>
    <mergeCell ref="C82:G82"/>
    <mergeCell ref="C83:G83"/>
    <mergeCell ref="C84:G84"/>
    <mergeCell ref="C85:G85"/>
    <mergeCell ref="C77:G77"/>
    <mergeCell ref="C78:G78"/>
    <mergeCell ref="C79:G79"/>
    <mergeCell ref="C80:G80"/>
    <mergeCell ref="C86:G86"/>
    <mergeCell ref="C27:G27"/>
    <mergeCell ref="C28:G28"/>
    <mergeCell ref="C29:G29"/>
    <mergeCell ref="C30:G30"/>
    <mergeCell ref="C31:G31"/>
    <mergeCell ref="C13:G13"/>
    <mergeCell ref="C14:G14"/>
    <mergeCell ref="C15:G15"/>
    <mergeCell ref="C16:G16"/>
    <mergeCell ref="C17:G17"/>
    <mergeCell ref="C18:G18"/>
    <mergeCell ref="C19:G19"/>
    <mergeCell ref="C37:G37"/>
    <mergeCell ref="C38:G38"/>
    <mergeCell ref="C39:G39"/>
    <mergeCell ref="C40:G40"/>
    <mergeCell ref="C41:G41"/>
    <mergeCell ref="C32:G32"/>
    <mergeCell ref="C33:G33"/>
    <mergeCell ref="C34:G34"/>
    <mergeCell ref="C35:G35"/>
    <mergeCell ref="C36:G36"/>
    <mergeCell ref="C47:G47"/>
    <mergeCell ref="C48:G48"/>
    <mergeCell ref="C49:G49"/>
    <mergeCell ref="C50:G50"/>
    <mergeCell ref="C51:G51"/>
    <mergeCell ref="C42:G42"/>
    <mergeCell ref="C43:G43"/>
    <mergeCell ref="C44:G44"/>
    <mergeCell ref="C45:G45"/>
    <mergeCell ref="C46:G46"/>
  </mergeCells>
  <phoneticPr fontId="40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workbookViewId="0">
      <selection activeCell="A24" sqref="A24:Q2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53" t="s">
        <v>3</v>
      </c>
      <c r="B1" s="153"/>
      <c r="C1" s="153"/>
      <c r="D1" s="154">
        <v>2021</v>
      </c>
      <c r="E1" s="154"/>
      <c r="F1" s="4"/>
      <c r="G1" s="4"/>
      <c r="H1" s="5"/>
      <c r="I1" s="5"/>
      <c r="J1" s="5"/>
      <c r="K1" s="5"/>
      <c r="L1" s="5"/>
      <c r="M1" s="5"/>
      <c r="N1" s="5"/>
      <c r="P1" s="155" t="s">
        <v>28</v>
      </c>
      <c r="Q1" s="155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55"/>
      <c r="Q2" s="155"/>
    </row>
    <row r="4" spans="1:17" s="6" customFormat="1" ht="18" customHeight="1" thickBot="1" x14ac:dyDescent="0.25">
      <c r="A4" s="156" t="s">
        <v>29</v>
      </c>
      <c r="B4" s="156"/>
      <c r="C4" s="156"/>
      <c r="D4" s="156"/>
      <c r="E4" s="156"/>
      <c r="F4" s="156"/>
      <c r="G4" s="151" t="str">
        <f>' NotaPedido'!D3</f>
        <v>40- Ministerio de Salud</v>
      </c>
      <c r="H4" s="151"/>
      <c r="I4" s="151"/>
      <c r="J4" s="151"/>
      <c r="K4" s="151"/>
      <c r="L4" s="151"/>
      <c r="M4" s="151"/>
      <c r="N4" s="151"/>
      <c r="O4" s="151"/>
      <c r="P4" s="151"/>
      <c r="Q4" s="151"/>
    </row>
    <row r="5" spans="1:17" s="6" customFormat="1" ht="18" customHeight="1" thickBot="1" x14ac:dyDescent="0.25">
      <c r="A5" s="148" t="s">
        <v>15</v>
      </c>
      <c r="B5" s="149"/>
      <c r="C5" s="149"/>
      <c r="D5" s="149"/>
      <c r="E5" s="149"/>
      <c r="F5" s="150"/>
      <c r="G5" s="151" t="str">
        <f>' NotaPedido'!D4</f>
        <v>28- Maternidad Provincial 25 de Mayo</v>
      </c>
      <c r="H5" s="151"/>
      <c r="I5" s="151"/>
      <c r="J5" s="151"/>
      <c r="K5" s="151"/>
      <c r="L5" s="151"/>
      <c r="M5" s="151"/>
      <c r="N5" s="151"/>
      <c r="O5" s="151"/>
      <c r="P5" s="151"/>
      <c r="Q5" s="151"/>
    </row>
    <row r="6" spans="1:17" s="6" customFormat="1" ht="18" customHeight="1" thickBot="1" x14ac:dyDescent="0.25">
      <c r="A6" s="148" t="s">
        <v>16</v>
      </c>
      <c r="B6" s="149"/>
      <c r="C6" s="149"/>
      <c r="D6" s="149"/>
      <c r="E6" s="149"/>
      <c r="F6" s="150"/>
      <c r="G6" s="151" t="str">
        <f>' NotaPedido'!D5</f>
        <v xml:space="preserve">169- Direccion Asistencial </v>
      </c>
      <c r="H6" s="151"/>
      <c r="I6" s="151"/>
      <c r="J6" s="151"/>
      <c r="K6" s="151"/>
      <c r="L6" s="151"/>
      <c r="M6" s="151"/>
      <c r="N6" s="151"/>
      <c r="O6" s="151"/>
      <c r="P6" s="151"/>
      <c r="Q6" s="151"/>
    </row>
    <row r="7" spans="1:17" s="6" customFormat="1" ht="18" customHeight="1" thickBot="1" x14ac:dyDescent="0.25">
      <c r="A7" s="148" t="s">
        <v>17</v>
      </c>
      <c r="B7" s="149"/>
      <c r="C7" s="149"/>
      <c r="D7" s="149"/>
      <c r="E7" s="149"/>
      <c r="F7" s="150"/>
      <c r="G7" s="151" t="str">
        <f>' NotaPedido'!D6</f>
        <v>Servicio de Farmcia</v>
      </c>
      <c r="H7" s="151"/>
      <c r="I7" s="151"/>
      <c r="J7" s="151"/>
      <c r="K7" s="151"/>
      <c r="L7" s="151"/>
      <c r="M7" s="151"/>
      <c r="N7" s="151"/>
      <c r="O7" s="151"/>
      <c r="P7" s="151"/>
      <c r="Q7" s="151"/>
    </row>
    <row r="8" spans="1:17" ht="18" customHeight="1" thickBot="1" x14ac:dyDescent="0.25">
      <c r="A8" s="152" t="s">
        <v>30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</row>
    <row r="9" spans="1:17" ht="18" customHeight="1" x14ac:dyDescent="0.2">
      <c r="A9" s="145" t="s">
        <v>31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"/>
      <c r="P9" s="1"/>
      <c r="Q9" s="7"/>
    </row>
    <row r="10" spans="1:17" ht="54.75" customHeight="1" x14ac:dyDescent="0.2">
      <c r="A10" s="146" t="s">
        <v>72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47" t="s">
        <v>32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</row>
    <row r="13" spans="1:17" ht="15.75" customHeight="1" thickBot="1" x14ac:dyDescent="0.25">
      <c r="A13" s="157" t="s">
        <v>33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8" t="s">
        <v>34</v>
      </c>
      <c r="P13" s="158"/>
      <c r="Q13" s="159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58"/>
      <c r="P14" s="158"/>
      <c r="Q14" s="159"/>
    </row>
    <row r="15" spans="1:17" ht="27" customHeight="1" x14ac:dyDescent="0.2">
      <c r="A15" s="24">
        <v>42</v>
      </c>
      <c r="B15" s="25"/>
      <c r="C15" s="25"/>
      <c r="D15" s="25">
        <v>2</v>
      </c>
      <c r="E15" s="25"/>
      <c r="F15" s="25">
        <v>4901</v>
      </c>
      <c r="G15" s="25">
        <v>3</v>
      </c>
      <c r="H15" s="25">
        <v>1</v>
      </c>
      <c r="I15" s="25">
        <v>2</v>
      </c>
      <c r="J15" s="25">
        <v>9</v>
      </c>
      <c r="K15" s="25">
        <v>5</v>
      </c>
      <c r="L15" s="25"/>
      <c r="M15" s="26">
        <v>1</v>
      </c>
      <c r="N15" s="25" t="s">
        <v>49</v>
      </c>
      <c r="O15" s="166" t="s">
        <v>52</v>
      </c>
      <c r="P15" s="167"/>
      <c r="Q15" s="32">
        <v>13851188.6</v>
      </c>
    </row>
    <row r="16" spans="1:17" ht="27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5"/>
      <c r="O16" s="176"/>
      <c r="P16" s="177"/>
      <c r="Q16" s="32"/>
    </row>
    <row r="17" spans="1:17" ht="27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5"/>
      <c r="O17" s="176"/>
      <c r="P17" s="177"/>
      <c r="Q17" s="32"/>
    </row>
    <row r="18" spans="1:17" ht="28.5" customHeight="1" x14ac:dyDescent="0.2">
      <c r="A18" s="2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168"/>
      <c r="P18" s="169"/>
      <c r="Q18" s="21"/>
    </row>
    <row r="19" spans="1:17" ht="28.5" customHeight="1" x14ac:dyDescent="0.2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0"/>
      <c r="O19" s="170"/>
      <c r="P19" s="171"/>
      <c r="Q19" s="31"/>
    </row>
    <row r="20" spans="1:17" ht="28.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3"/>
      <c r="O20" s="160"/>
      <c r="P20" s="161"/>
      <c r="Q20" s="32"/>
    </row>
    <row r="21" spans="1:17" ht="31.5" customHeight="1" thickBot="1" x14ac:dyDescent="0.25">
      <c r="A21" s="163" t="s">
        <v>156</v>
      </c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7">
        <f>SUM(Q15:Q19)</f>
        <v>13851188.6</v>
      </c>
    </row>
    <row r="22" spans="1:17" ht="18" customHeight="1" thickBot="1" x14ac:dyDescent="0.25">
      <c r="A22" s="164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</row>
    <row r="23" spans="1:17" ht="17.25" customHeight="1" thickBot="1" x14ac:dyDescent="0.25">
      <c r="A23" s="172" t="s">
        <v>50</v>
      </c>
      <c r="B23" s="173"/>
      <c r="C23" s="173"/>
      <c r="D23" s="173"/>
      <c r="E23" s="173"/>
      <c r="F23" s="174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</row>
    <row r="24" spans="1:17" ht="18" customHeight="1" thickBot="1" x14ac:dyDescent="0.25">
      <c r="A24" s="162" t="s">
        <v>157</v>
      </c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</row>
    <row r="25" spans="1:17" ht="26.25" customHeight="1" thickBot="1" x14ac:dyDescent="0.25">
      <c r="A25" s="162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</row>
  </sheetData>
  <mergeCells count="29"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3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2021-02-26T14:25:47Z</cp:lastPrinted>
  <dcterms:created xsi:type="dcterms:W3CDTF">2020-07-17T23:44:49Z</dcterms:created>
  <dcterms:modified xsi:type="dcterms:W3CDTF">2021-08-13T12:30:43Z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