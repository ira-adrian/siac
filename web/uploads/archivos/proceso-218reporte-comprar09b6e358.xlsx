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CLAUDIA V. NICOLA\Downloads\"/>
    </mc:Choice>
  </mc:AlternateContent>
  <bookViews>
    <workbookView xWindow="0" yWindow="0" windowWidth="28800" windowHeight="11610"/>
  </bookViews>
  <sheets>
    <sheet name="Cuadro comparativo" sheetId="2" r:id="rId1"/>
  </sheets>
  <definedNames>
    <definedName name="Datos">'Cuadro comparativo'!$E$1:$E$5</definedName>
    <definedName name="DatosTitulos">'Cuadro comparativo'!$D$1:$D$5</definedName>
    <definedName name="PROVEEDOR">'Cuadro comparativo'!$G$8:$J$8,'Cuadro comparativo'!$K$8:$N$8</definedName>
    <definedName name="Titles">'Cuadro comparativo'!$A$8:$F$8</definedName>
  </definedNames>
  <calcPr calcId="162913"/>
</workbook>
</file>

<file path=xl/calcChain.xml><?xml version="1.0" encoding="utf-8"?>
<calcChain xmlns="http://schemas.openxmlformats.org/spreadsheetml/2006/main">
  <c r="I17" i="2" l="1"/>
  <c r="M17" i="2"/>
</calcChain>
</file>

<file path=xl/sharedStrings.xml><?xml version="1.0" encoding="utf-8"?>
<sst xmlns="http://schemas.openxmlformats.org/spreadsheetml/2006/main" count="77" uniqueCount="48">
  <si>
    <t>Número expediente:</t>
  </si>
  <si>
    <t>EX-2022-01625842-   -CAT-DPCBS#MEC</t>
  </si>
  <si>
    <t>Número proceso de compra:</t>
  </si>
  <si>
    <t>100-0160-CDI22</t>
  </si>
  <si>
    <t>Nombre descriptivo proceso de compra:</t>
  </si>
  <si>
    <t>ADQUISICION DE SET DE GUIAS Y MEDICAMENTOS PARA BOMBAS DE INFUSION, DESTINADOS A MP,HSJB Y HNEP</t>
  </si>
  <si>
    <t>Unidad Operativa de Compras:</t>
  </si>
  <si>
    <t>Secretaria de Compras y Abastecimiento</t>
  </si>
  <si>
    <t>Fecha de Apertura:</t>
  </si>
  <si>
    <t>04/10/2022</t>
  </si>
  <si>
    <t>Renglón</t>
  </si>
  <si>
    <t>DROGUERIA PHARMA CENTER S.R.L</t>
  </si>
  <si>
    <t>PRODUMED SRL</t>
  </si>
  <si>
    <t>Alternativa</t>
  </si>
  <si>
    <t>Código</t>
  </si>
  <si>
    <t>Descripción</t>
  </si>
  <si>
    <t>Cantidad solicitada</t>
  </si>
  <si>
    <t>Unidad de medida</t>
  </si>
  <si>
    <t>Precio unitario</t>
  </si>
  <si>
    <t>Cantidad ofertada</t>
  </si>
  <si>
    <t>Total por renglón</t>
  </si>
  <si>
    <t>Especificacion técnica</t>
  </si>
  <si>
    <t xml:space="preserve">1 </t>
  </si>
  <si>
    <t xml:space="preserve">2.9.5-3474.17 </t>
  </si>
  <si>
    <t xml:space="preserve">SET P/BOMBA DE INFUSION; MARCA EQUIPO: ICUMEDICAL, MODELO EQUIPO: PLUM 
360 - DOBLE CANAL </t>
  </si>
  <si>
    <t xml:space="preserve">UNIDAD </t>
  </si>
  <si>
    <t xml:space="preserve">SET P/BOMBA DE INFUSION; MARCA EQUIPO: ICUMEDICAL, MODELO EQUIPO: PLUM 
360 - DOBLE CANAL ICUMEDICAL PM 2028-45 </t>
  </si>
  <si>
    <t xml:space="preserve">ESTE ITEM NO SE COTIZA - se carga un valor 
simbolico de $ 0.01 para que el sistema COMPRAR permita 
continuar con la oferta. PRODUMED SRL  no cuenta con 
bombas de infusion marca INCUMEDICAL, modelo PLUM 360, ni con 
los set requeridos, para estas bombas.  </t>
  </si>
  <si>
    <t xml:space="preserve">2 </t>
  </si>
  <si>
    <t xml:space="preserve">3 </t>
  </si>
  <si>
    <t xml:space="preserve">4 </t>
  </si>
  <si>
    <t xml:space="preserve">2.9.5-2205.28 </t>
  </si>
  <si>
    <t xml:space="preserve">PROLONGADORES P/GUIA SUERO; USO: ANESTESIA, MODELO: ADULTO </t>
  </si>
  <si>
    <t xml:space="preserve">nnn </t>
  </si>
  <si>
    <t xml:space="preserve">INYECTOMAT LINE PVC 150 CM - MARCA FRESENIUS KABI - 
ANMAT 648-32 </t>
  </si>
  <si>
    <t xml:space="preserve">5 </t>
  </si>
  <si>
    <t xml:space="preserve">2.5.2-2455.49 </t>
  </si>
  <si>
    <t xml:space="preserve">ANESTÉSICOS GENERALES; DROGA GENÉRICA: PROPOFOL 2%, 400MGR, FORMA FARMACEÚTICA: AMPOLLA, 
PRESENTACIÓN ENVASE: X 50ML, TIPO: MONODROGA </t>
  </si>
  <si>
    <t xml:space="preserve">PROPOFOL AL 2% MCT 50 ML PRODUCTO TRAZADO - FRESENIUS 
KABI - ANMAT 54426  </t>
  </si>
  <si>
    <t xml:space="preserve">6 </t>
  </si>
  <si>
    <t xml:space="preserve">2.5.2-1724.230 </t>
  </si>
  <si>
    <t xml:space="preserve">ANALGESICOS ; PRESENTACION: 100 mL, FORMA FARMACEUTICA: AMPOLLA, DROGA GENERICA: 
PARACETAMOL 1000 mGr, TIPO: MONODROGA mGr </t>
  </si>
  <si>
    <t xml:space="preserve">PARACETAMOL FRESENIUS KABI 10 MG / ML DE 100 ML 
ANMAT 57426 </t>
  </si>
  <si>
    <t xml:space="preserve">7 </t>
  </si>
  <si>
    <t xml:space="preserve">2.5.2-1883.173 </t>
  </si>
  <si>
    <t xml:space="preserve">ANESTESICOS LOCALES; TIPO: MONODROGA, DROGA GENERICA: REMIFENTANILO 5 mGr, FORMA 
FARMACEUTICA: AMPOLLA, PRESENTACION: UNIDAD </t>
  </si>
  <si>
    <t xml:space="preserve">REMIFENTANILO 5 MG PRESENTACION CAJA X 5 FRASCOS, NO SE 
FRACCIONA SE COTIZA X UNIDAD (POR FRASCO) PRODUCTO TRAZABLE CON 
VALE MARCA FRESENIUS KABI ANMAT 53216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</si>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</sst>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0" fontId="0" fillId="0" borderId="0" xfId="0" applyNumberFormat="1" applyFill="1" applyAlignment="1" applyProtection="1">
      <alignment wrapText="1"/>
    </xf>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9:F17" totalsRowCount="1">
  <tableColumns count="6">
    <tableColumn id="1" name="Renglón"/>
    <tableColumn id="2" name="Alternativa"/>
    <tableColumn id="3" name="Código" totalsRowLabel="Total: "/>
    <tableColumn id="4" name="Descripción"/>
    <tableColumn id="5" name="Cantidad solicitada"/>
    <tableColumn id="6" name="Unidad de medida"/>
  </tableColumns>
  <tableStyleInfo name="TableStyleLight9" showFirstColumn="0" showLastColumn="0" showRowStripes="1" showColumnStripes="0"/>
</table>
</file>

<file path=xl/tables/table2.xml><?xml version="1.0" encoding="utf-8"?>
<table xmlns="http://schemas.openxmlformats.org/spreadsheetml/2006/main" id="2" name="Table2" displayName="Table2" ref="G9:J17" totalsRowCount="1">
  <tableColumns count="4">
    <tableColumn id="1" name="Precio unitario"/>
    <tableColumn id="2" name="Cantidad ofertada"/>
    <tableColumn id="3" name="Total por renglón" totalsRowFunction="sum"/>
    <tableColumn id="4" name="Especificacion técnica"/>
  </tableColumns>
  <tableStyleInfo name="TableStyleLight9" showFirstColumn="0" showLastColumn="0" showRowStripes="1" showColumnStripes="0"/>
</table>
</file>

<file path=xl/tables/table3.xml><?xml version="1.0" encoding="utf-8"?>
<table xmlns="http://schemas.openxmlformats.org/spreadsheetml/2006/main" id="3" name="Table3" displayName="Table3" ref="K9:N17" totalsRowCount="1">
  <tableColumns count="4">
    <tableColumn id="1" name="Precio unitario"/>
    <tableColumn id="2" name="Cantidad ofertada"/>
    <tableColumn id="3" name="Total por renglón" totalsRowFunction="sum"/>
    <tableColumn id="4"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4.7109375" customWidth="1"/>
    <col min="4" max="4" width="93.85546875" customWidth="1"/>
    <col min="5" max="5" width="100.42578125" customWidth="1"/>
    <col min="6" max="6" width="17.42578125" customWidth="1"/>
    <col min="7" max="7" width="14.28515625" customWidth="1"/>
    <col min="8" max="8" width="17.28515625" customWidth="1"/>
    <col min="9" max="9" width="16.5703125" customWidth="1"/>
    <col min="10" max="10" width="74.28515625" customWidth="1"/>
    <col min="11" max="11" width="14.28515625" customWidth="1"/>
    <col min="12" max="12" width="17.28515625" customWidth="1"/>
    <col min="13" max="13" width="16.5703125" customWidth="1"/>
    <col min="14" max="14" width="66.28515625" customWidth="1"/>
  </cols>
  <sheetData>
    <row r="1" spans="1:14" x14ac:dyDescent="0.25">
      <c r="D1" s="2" t="s">
        <v>0</v>
      </c>
      <c r="E1" s="2" t="s">
        <v>1</v>
      </c>
    </row>
    <row r="2" spans="1:14" x14ac:dyDescent="0.25">
      <c r="D2" s="2" t="s">
        <v>2</v>
      </c>
      <c r="E2" s="2" t="s">
        <v>3</v>
      </c>
    </row>
    <row r="3" spans="1:14" x14ac:dyDescent="0.25">
      <c r="D3" s="2" t="s">
        <v>4</v>
      </c>
      <c r="E3" s="2" t="s">
        <v>5</v>
      </c>
    </row>
    <row r="4" spans="1:14" x14ac:dyDescent="0.25">
      <c r="D4" s="2" t="s">
        <v>6</v>
      </c>
      <c r="E4" s="2" t="s">
        <v>7</v>
      </c>
    </row>
    <row r="5" spans="1:14" x14ac:dyDescent="0.25">
      <c r="D5" s="2" t="s">
        <v>8</v>
      </c>
      <c r="E5" s="2" t="s">
        <v>9</v>
      </c>
    </row>
    <row r="8" spans="1:14" x14ac:dyDescent="0.25">
      <c r="A8" s="1" t="s">
        <v>10</v>
      </c>
      <c r="B8" s="1"/>
      <c r="C8" s="1"/>
      <c r="D8" s="1"/>
      <c r="E8" s="1"/>
      <c r="F8" s="1"/>
      <c r="G8" s="1" t="s">
        <v>11</v>
      </c>
      <c r="H8" s="1"/>
      <c r="I8" s="1"/>
      <c r="J8" s="1"/>
      <c r="K8" s="1" t="s">
        <v>12</v>
      </c>
      <c r="L8" s="1"/>
      <c r="M8" s="1"/>
      <c r="N8" s="1"/>
    </row>
    <row r="9" spans="1:14" x14ac:dyDescent="0.25">
      <c r="A9" t="s">
        <v>10</v>
      </c>
      <c r="B9" t="s">
        <v>13</v>
      </c>
      <c r="C9" t="s">
        <v>14</v>
      </c>
      <c r="D9" t="s">
        <v>15</v>
      </c>
      <c r="E9" t="s">
        <v>16</v>
      </c>
      <c r="F9" t="s">
        <v>17</v>
      </c>
      <c r="G9" s="3" t="s">
        <v>18</v>
      </c>
      <c r="H9" s="3" t="s">
        <v>19</v>
      </c>
      <c r="I9" t="s">
        <v>20</v>
      </c>
      <c r="J9" t="s">
        <v>21</v>
      </c>
      <c r="K9" s="3" t="s">
        <v>18</v>
      </c>
      <c r="L9" s="3" t="s">
        <v>19</v>
      </c>
      <c r="M9" t="s">
        <v>20</v>
      </c>
      <c r="N9" t="s">
        <v>21</v>
      </c>
    </row>
    <row r="10" spans="1:14" ht="75" x14ac:dyDescent="0.25">
      <c r="A10" t="s">
        <v>22</v>
      </c>
      <c r="B10" t="s">
        <v>22</v>
      </c>
      <c r="C10" t="s">
        <v>23</v>
      </c>
      <c r="D10" s="4" t="s">
        <v>24</v>
      </c>
      <c r="E10">
        <v>5290</v>
      </c>
      <c r="F10" t="s">
        <v>25</v>
      </c>
      <c r="G10" s="3">
        <v>1670</v>
      </c>
      <c r="H10" s="3">
        <v>5290</v>
      </c>
      <c r="I10" s="5">
        <v>8834300</v>
      </c>
      <c r="J10" s="4" t="s">
        <v>26</v>
      </c>
      <c r="K10" s="3">
        <v>0.01</v>
      </c>
      <c r="L10" s="3">
        <v>5290</v>
      </c>
      <c r="M10" s="5">
        <v>52.9</v>
      </c>
      <c r="N10" s="4" t="s">
        <v>27</v>
      </c>
    </row>
    <row r="11" spans="1:14" ht="75" x14ac:dyDescent="0.25">
      <c r="A11" t="s">
        <v>28</v>
      </c>
      <c r="B11" t="s">
        <v>22</v>
      </c>
      <c r="C11" t="s">
        <v>23</v>
      </c>
      <c r="D11" s="4" t="s">
        <v>24</v>
      </c>
      <c r="E11">
        <v>820</v>
      </c>
      <c r="F11" t="s">
        <v>25</v>
      </c>
      <c r="G11" s="3">
        <v>1810</v>
      </c>
      <c r="H11" s="3">
        <v>820</v>
      </c>
      <c r="I11" s="5">
        <v>1484200</v>
      </c>
      <c r="J11" s="4" t="s">
        <v>26</v>
      </c>
      <c r="K11" s="3">
        <v>0.01</v>
      </c>
      <c r="L11" s="3">
        <v>820</v>
      </c>
      <c r="M11" s="5">
        <v>8.1999999999999993</v>
      </c>
      <c r="N11" s="4" t="s">
        <v>27</v>
      </c>
    </row>
    <row r="12" spans="1:14" ht="75" x14ac:dyDescent="0.25">
      <c r="A12" t="s">
        <v>29</v>
      </c>
      <c r="B12" t="s">
        <v>22</v>
      </c>
      <c r="C12" t="s">
        <v>23</v>
      </c>
      <c r="D12" s="4" t="s">
        <v>24</v>
      </c>
      <c r="E12">
        <v>130</v>
      </c>
      <c r="F12" t="s">
        <v>25</v>
      </c>
      <c r="G12" s="3">
        <v>2713</v>
      </c>
      <c r="H12" s="3">
        <v>130</v>
      </c>
      <c r="I12" s="5">
        <v>352690</v>
      </c>
      <c r="J12" s="4" t="s">
        <v>26</v>
      </c>
      <c r="K12" s="3">
        <v>0.01</v>
      </c>
      <c r="L12" s="3">
        <v>130</v>
      </c>
      <c r="M12" s="5">
        <v>1.3</v>
      </c>
      <c r="N12" s="4" t="s">
        <v>27</v>
      </c>
    </row>
    <row r="13" spans="1:14" ht="30" x14ac:dyDescent="0.25">
      <c r="A13" t="s">
        <v>30</v>
      </c>
      <c r="B13" t="s">
        <v>22</v>
      </c>
      <c r="C13" t="s">
        <v>31</v>
      </c>
      <c r="D13" t="s">
        <v>32</v>
      </c>
      <c r="E13">
        <v>120</v>
      </c>
      <c r="F13" t="s">
        <v>25</v>
      </c>
      <c r="G13" s="3">
        <v>0.01</v>
      </c>
      <c r="H13" s="3">
        <v>120</v>
      </c>
      <c r="I13" s="5">
        <v>1.2</v>
      </c>
      <c r="J13" t="s">
        <v>33</v>
      </c>
      <c r="K13" s="3">
        <v>1065.9000000000001</v>
      </c>
      <c r="L13" s="3">
        <v>120</v>
      </c>
      <c r="M13" s="5">
        <v>127908</v>
      </c>
      <c r="N13" s="4" t="s">
        <v>34</v>
      </c>
    </row>
    <row r="14" spans="1:14" ht="45" x14ac:dyDescent="0.25">
      <c r="A14" t="s">
        <v>35</v>
      </c>
      <c r="B14" t="s">
        <v>22</v>
      </c>
      <c r="C14" t="s">
        <v>36</v>
      </c>
      <c r="D14" s="4" t="s">
        <v>37</v>
      </c>
      <c r="E14">
        <v>900</v>
      </c>
      <c r="F14" t="s">
        <v>25</v>
      </c>
      <c r="G14" s="3">
        <v>0.01</v>
      </c>
      <c r="H14" s="3">
        <v>900</v>
      </c>
      <c r="I14" s="5">
        <v>9</v>
      </c>
      <c r="J14" t="s">
        <v>33</v>
      </c>
      <c r="K14" s="3">
        <v>1843.3</v>
      </c>
      <c r="L14" s="3">
        <v>900</v>
      </c>
      <c r="M14" s="5">
        <v>1658970</v>
      </c>
      <c r="N14" s="4" t="s">
        <v>38</v>
      </c>
    </row>
    <row r="15" spans="1:14" ht="30" x14ac:dyDescent="0.25">
      <c r="A15" t="s">
        <v>39</v>
      </c>
      <c r="B15" t="s">
        <v>22</v>
      </c>
      <c r="C15" t="s">
        <v>40</v>
      </c>
      <c r="D15" s="4" t="s">
        <v>41</v>
      </c>
      <c r="E15">
        <v>300</v>
      </c>
      <c r="F15" t="s">
        <v>25</v>
      </c>
      <c r="G15" s="3">
        <v>0.01</v>
      </c>
      <c r="H15" s="3">
        <v>300</v>
      </c>
      <c r="I15" s="5">
        <v>3</v>
      </c>
      <c r="J15" t="s">
        <v>33</v>
      </c>
      <c r="K15" s="3">
        <v>1659.85</v>
      </c>
      <c r="L15" s="3">
        <v>300</v>
      </c>
      <c r="M15" s="5">
        <v>497955</v>
      </c>
      <c r="N15" s="4" t="s">
        <v>42</v>
      </c>
    </row>
    <row r="16" spans="1:14" ht="60" x14ac:dyDescent="0.25">
      <c r="A16" t="s">
        <v>43</v>
      </c>
      <c r="B16" t="s">
        <v>22</v>
      </c>
      <c r="C16" t="s">
        <v>44</v>
      </c>
      <c r="D16" s="4" t="s">
        <v>45</v>
      </c>
      <c r="E16">
        <v>360</v>
      </c>
      <c r="F16" t="s">
        <v>25</v>
      </c>
      <c r="G16" s="3">
        <v>0.01</v>
      </c>
      <c r="H16" s="3">
        <v>360</v>
      </c>
      <c r="I16" s="5">
        <v>3.6</v>
      </c>
      <c r="J16" t="s">
        <v>33</v>
      </c>
      <c r="K16" s="3">
        <v>1895.3</v>
      </c>
      <c r="L16" s="3">
        <v>360</v>
      </c>
      <c r="M16" s="5">
        <v>682308</v>
      </c>
      <c r="N16" s="4" t="s">
        <v>46</v>
      </c>
    </row>
    <row r="17" spans="3:14" x14ac:dyDescent="0.25">
      <c r="C17" t="s">
        <v>47</v>
      </c>
      <c r="D17" s="4"/>
      <c r="G17" s="3"/>
      <c r="H17" s="3"/>
      <c r="I17" s="5">
        <f>SUBTOTAL(109,Table2[Total por renglón])</f>
        <v>10671206.799999999</v>
      </c>
      <c r="K17" s="3"/>
      <c r="L17" s="3"/>
      <c r="M17" s="5">
        <f>SUBTOTAL(109,Table3[Total por renglón])</f>
        <v>2967203.4</v>
      </c>
      <c r="N17" s="4"/>
    </row>
  </sheetData>
  <mergeCells count="3">
    <mergeCell ref="G8:J8"/>
    <mergeCell ref="K8:N8"/>
    <mergeCell ref="A8:F8"/>
  </mergeCells>
  <pageMargins left="0.75" right="0.75" top="0.75" bottom="0.5" header="0.5" footer="0.75"/>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CLAUDIA V. NICOLA</cp:lastModifiedBy>
  <dcterms:created xsi:type="dcterms:W3CDTF">2022-10-05T11:39:57Z</dcterms:created>
  <dcterms:modified xsi:type="dcterms:W3CDTF">2022-10-05T11:40:16Z</dcterms:modified>
</cp:coreProperties>
</file>