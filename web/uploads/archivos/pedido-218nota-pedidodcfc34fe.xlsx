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D:\RUIZ 2022\TRAMITES COMPRAR\TELESCOPIO ASTRONOMICO\"/>
    </mc:Choice>
  </mc:AlternateContent>
  <xr:revisionPtr revIDLastSave="0" documentId="13_ncr:1_{C6D23CE2-7C02-4E41-AC83-8A9ACADDDE5C}" xr6:coauthVersionLast="46" xr6:coauthVersionMax="46" xr10:uidLastSave="{00000000-0000-0000-0000-000000000000}"/>
  <bookViews>
    <workbookView xWindow="-120" yWindow="-120" windowWidth="20730" windowHeight="11160" tabRatio="500" activeTab="1" xr2:uid="{00000000-000D-0000-FFFF-FFFF00000000}"/>
  </bookViews>
  <sheets>
    <sheet name="Necesidades Trimestrales (2)" sheetId="4" r:id="rId1"/>
    <sheet name=" NotaPedido" sheetId="2" r:id="rId2"/>
    <sheet name="Autor Gastar" sheetId="3" r:id="rId3"/>
  </sheets>
  <definedNames>
    <definedName name="_xlnm.Print_Area" localSheetId="1">' NotaPedido'!$A$1:$K$13</definedName>
    <definedName name="_xlnm.Print_Area" localSheetId="2">'Autor Gastar'!$A$1:$Q$25</definedName>
    <definedName name="_xlnm.Print_Area" localSheetId="0">'Necesidades Trimestrales (2)'!$A$1:$I$14</definedName>
  </definedNames>
  <calcPr calcId="191029"/>
</workbook>
</file>

<file path=xl/calcChain.xml><?xml version="1.0" encoding="utf-8"?>
<calcChain xmlns="http://schemas.openxmlformats.org/spreadsheetml/2006/main">
  <c r="C12" i="2" l="1"/>
  <c r="K12" i="2" l="1"/>
  <c r="J12" i="2"/>
  <c r="B12" i="2"/>
  <c r="I10" i="4"/>
  <c r="D10" i="4"/>
  <c r="I11" i="4" l="1"/>
  <c r="L10" i="4" l="1"/>
  <c r="J13" i="2" l="1"/>
  <c r="Q18" i="3" l="1"/>
  <c r="G4" i="3" l="1"/>
  <c r="G6" i="3" l="1"/>
  <c r="G7" i="3"/>
  <c r="G5" i="3"/>
  <c r="A10" i="3" l="1"/>
</calcChain>
</file>

<file path=xl/sharedStrings.xml><?xml version="1.0" encoding="utf-8"?>
<sst xmlns="http://schemas.openxmlformats.org/spreadsheetml/2006/main" count="126" uniqueCount="89">
  <si>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</si>
  <si>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</si>
  <si>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</si>
  <si>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</si>
  <si>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</si>
  <si>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</si>
  <si>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</si>
  <si>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</si>
  <si>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</si>
  <si>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</si>
  <si>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</si>
  <si>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</si>
  <si>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</si>
  <si>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</si>
  <si>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</si>
  <si>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</si>
  <si>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</si>
  <si>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</si>
  <si>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</si>
  <si>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</si>
  <si>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</si>
  <si>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</si>
  <si>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</si>
  <si>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</si>
  <si>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</si>
  <si>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</si>
  <si>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</si>
  <si>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</si>
  <si>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</si>
  <si>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</si>
  <si>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</si>
  <si>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</si>
  <si>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</si>
  <si>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</si>
  <si>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</si>
  <si>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</si>
  <si>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</si>
  <si>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</si>
  <si>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</si>
  <si>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</si>
  <si>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</si>
  <si>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</si>
  <si>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</si>
  <si>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</si>
  <si>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</si>
  <si>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</si>
  <si>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</si>
  <si>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</si>
  <si>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</si>
  <si>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</si>
  <si>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</si>
  <si>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</si>
  <si>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</si>
  <si>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</si>
  <si>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</si>
  <si>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</si>
  <si>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</si>
  <si>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</si>
  <si>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</si>
  <si>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</si>
  <si>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</si>
  <si>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</si>
  <si>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r>
      <t xml:space="preserve">Mantenimiento: </t>
    </r>
    <r>
      <rPr>
        <sz val="10"/>
        <rFont val="Times New Roman"/>
        <family val="1"/>
      </rPr>
      <t>treinta (30) dias corridos</t>
    </r>
  </si>
  <si>
    <r>
      <t>Mantenimiento:</t>
    </r>
    <r>
      <rPr>
        <sz val="10"/>
        <rFont val="Times New Roman"/>
        <family val="1"/>
      </rPr>
      <t xml:space="preserve"> treinta (30) dias corridos</t>
    </r>
  </si>
  <si>
    <t>DIRECCION PROVINCIAL DE GESTION ADMINISTRATIVA RECURSOS HUMANOS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</si>
  <si>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</si>
  <si>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</si>
  <si>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Especificidades Item N° 3:</t>
  </si>
  <si>
    <t>Especificidades Item N° 4:</t>
  </si>
  <si>
    <t>Especificidades Item N° 5:</t>
  </si>
  <si>
    <t>Garantía del fabricante minima de un (1) año.</t>
  </si>
  <si>
    <t>COMPUTADORAS; TIPO: NOTEBOOK, CODIGO ETAP: PC-008, VERSION ETAP: 22.0</t>
  </si>
  <si>
    <t>Escáner, Alimentador de hojas múltiples * Medidas 330 mm x 246 mm x 162 mm * Velocidades de producción: Hasta 30 ppm / 60 ipm a 200 dpi y 300 dpi * Volumen diario recomendado: Hasta 3,000 páginas al día * Tamaño máximo del documento: 216 x 356 mm; documentos largos hasta 3 metros * Alimentador: Hasta 75 hojas; compatible con documentos pequeños * Conectividad: USB 2.0 de alta velocidad * Resolución óptica: 600 dpi * Panel de control: Pantalla gráfica LCD en color.</t>
  </si>
  <si>
    <t>EQUIPOS</t>
  </si>
  <si>
    <t>Smart Tv 50". Resolucion FHD 1920x1080. Entradas HDMI y puertos USB disponibles. Sintonizador digital incorporado con funcion PVR y Timeshift para grabar tus programas favoritos. Wi-fi. Netflix, Youtube y Vewd (ex Opera store).</t>
  </si>
  <si>
    <t>Marcos táctiles de 50" pulgadas convierten una pantalla plana en una pantalla interactiva.</t>
  </si>
  <si>
    <t>Marcos táctiles de 65" pulgadas convierten una pantalla plana en una pantalla interactiva.</t>
  </si>
  <si>
    <t>2° TRIMESTRE 2022</t>
  </si>
  <si>
    <t>SECRETARIA DE CIENCIA Y TECNOLOGIA</t>
  </si>
  <si>
    <t>TELESCOPIOS; TIPO: COMPUTARIZADO ECUATORIAL, ABERTURA: 279 MM (11"), LONGITUD FOCAL: 620 MM (24,4"), RELACION FOCAL: F/2.2,SOFWARE CELESTRON STARRY ESPECIAL EDITION Y APLICACIÓN SKYPORTAL, CONTROL MANUAL NEXSTAR+ CON PUERTO USB, ACCESORIOS: OCULAR DE COLIMACIÓN - 1.25", SKYPORTAL WIFI MODULE, NEXYZ DX SMARTPHONE ADAPTER KIT, LINTERNA DE LLAVERO: TUBE V2 LED KEY CHAIN FLASHLIGHT, I3E EOS</t>
  </si>
  <si>
    <t>4.3.9-8112.4</t>
  </si>
  <si>
    <t>Costo total estimado: EQUIPOS</t>
  </si>
  <si>
    <t>Diseño óptico:	Astrógrafo Rowe-Ackermann Schmidt. Abertura: 279 mm (11"). Longitud focal:620 mm (24,4"). Relación focal:	f/2.2. Diámetro de la obstrucción central: 114 mm (4,48") (41 % del diámetro de apertura). Poder de recolección de luz (en comparación con el ojo humano): 1588x. Resolución (Rayleigh):0,49 segundos de arco. Resolución (Dawes): 0,41 segundos de arco. Círculo de imagen: 43,3 mm (1,7") de diámetro, 4,0°. Campo utilizable: 52 mm (2,04") Ø, 4,8° solo pérdida mínima de rendimiento en el borde del FOV. Rango de onda:400 - 700 nanómetro. Tamaño del punto: &lt; 4,4 μm RMS en FOV. Recubrimientos ópticos: StarBright XLT. Iluminación fuera del eje: 83 % a 21 mm (0,82") fuera del eje. Ventana óptica: 68 mm (2,67") de diámetro. Enfoque posterior con adaptador de cámara incluido:	55 mm (2,16"). Enfoque posterior desde la parte superior del collar roscado:	72,8 mm (2,86"). Enfocador:	Sistema de enfoque ultraestable. Procedimientos de alineación: Alineación de 2 estrellas, Alineación de 1 estrella, Alineación del sistema solar, Última alineación, Alineación rápida. Control manual de la computadora: Pantalla de cristal líquido retroiluminada de 2 líneas x 18 caracteres, 19 botones LED retroiluminados, puerto USB 2.0 para conexión a PC. Software:	Software de control del telescopio CPWI, software Celestron Starry Night Special Edition y aplicación SkyPortal. Control manual NexStar+ con puerto USB. Puerto USB 2.0 utilizado para conectarse directamente a la PC con el software CPWI. 2 puertos de autoguiado disponibles para una óptima gestión de cables. Sensor PEC y PPEC listo. Conector cilíndrico de entrada de alimentación de 12 V CC roscado. Reloj interno en tiempo real (mantiene guardada la hora y la información del sitio). Interruptor basculante de encendido/apagado con LED rojo. Modulo wifi. Ocula de colimación 1.25”</t>
  </si>
  <si>
    <t>002/2022</t>
  </si>
  <si>
    <t xml:space="preserve">ADQUISICIÓN DE  TELESCOPIO PARA EL OBSERVATORIO ASTRONOMICO TINOGASTA.- </t>
  </si>
  <si>
    <t>Equipos Varios</t>
  </si>
  <si>
    <t xml:space="preserve">ADQUISICIÓN DE TELESCOPIO PARA EL OBSERVATORIO ASTRONOMICO TINOGASTA.- </t>
  </si>
  <si>
    <t>PESOS: TRES MILLONES OCHOCIENTOS NOVENTA Y NUEVE MIL OCHOCIENTOS SESENTA Y SEIS CON 81/100.-</t>
  </si>
  <si>
    <t>Costo total estimado:  PESOS TRES MILLONES OCHOCIENTOS NOVENTA Y NUEVE MIL OCHOCIENTOS SESENTA Y SEIS CON 81/100.-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</si>
</sst>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u/>
      <sz val="10"/>
      <name val="Times New Roman"/>
      <family val="1"/>
    </font>
    <font>
      <sz val="10"/>
      <color theme="0"/>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Times New Roman"/>
      <family val="1"/>
    </font>
  </fonts>
  <fills count="8">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CFFFF"/>
      </patternFill>
    </fill>
  </fills>
  <borders count="4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1">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16" fillId="0" borderId="0" xfId="0" applyFont="1"/>
    <xf numFmtId="0" fontId="18"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18"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0" fillId="4" borderId="30"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2" xfId="0" applyNumberFormat="1" applyFont="1" applyFill="1" applyBorder="1" applyAlignment="1">
      <alignment horizontal="center" vertical="center"/>
    </xf>
    <xf numFmtId="0" fontId="0" fillId="4" borderId="31" xfId="0" applyFont="1" applyFill="1" applyBorder="1" applyAlignment="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9" fontId="0" fillId="3" borderId="30" xfId="3" applyNumberFormat="1" applyFont="1" applyFill="1" applyBorder="1" applyAlignment="1" applyProtection="1">
      <alignment horizontal="center" vertical="center"/>
    </xf>
    <xf numFmtId="169" fontId="0" fillId="0" borderId="31" xfId="3" applyNumberFormat="1" applyFont="1" applyBorder="1" applyAlignment="1" applyProtection="1">
      <alignment horizontal="center" vertical="center"/>
    </xf>
    <xf numFmtId="167" fontId="19" fillId="0" borderId="0" xfId="0" applyNumberFormat="1" applyFont="1"/>
    <xf numFmtId="0" fontId="16" fillId="0" borderId="0" xfId="0" applyFont="1" applyAlignment="1">
      <alignment horizontal="center" vertical="center"/>
    </xf>
    <xf numFmtId="0" fontId="16" fillId="0" borderId="0" xfId="0" applyFont="1" applyAlignment="1">
      <alignment horizontal="center"/>
    </xf>
    <xf numFmtId="0" fontId="20" fillId="0" borderId="0" xfId="0" applyFont="1" applyAlignment="1">
      <alignment horizontal="left" vertical="top"/>
    </xf>
    <xf numFmtId="170" fontId="16" fillId="0" borderId="0" xfId="0" applyNumberFormat="1" applyFont="1" applyAlignment="1">
      <alignment horizontal="center"/>
    </xf>
    <xf numFmtId="0" fontId="22" fillId="0" borderId="0" xfId="0" applyFont="1" applyAlignment="1">
      <alignment horizontal="left" wrapText="1"/>
    </xf>
    <xf numFmtId="0" fontId="22" fillId="0" borderId="0" xfId="0" applyFont="1" applyAlignment="1">
      <alignment horizontal="center" wrapText="1"/>
    </xf>
    <xf numFmtId="170" fontId="22" fillId="0" borderId="0" xfId="0" applyNumberFormat="1" applyFont="1" applyAlignment="1">
      <alignment horizontal="center" wrapText="1"/>
    </xf>
    <xf numFmtId="0" fontId="23" fillId="0" borderId="0" xfId="0" applyFont="1"/>
    <xf numFmtId="0" fontId="21" fillId="5" borderId="0" xfId="0" applyFont="1" applyFill="1" applyBorder="1" applyAlignment="1">
      <alignment horizontal="left" wrapText="1"/>
    </xf>
    <xf numFmtId="0" fontId="21" fillId="5" borderId="0" xfId="0" applyFont="1" applyFill="1" applyBorder="1" applyAlignment="1">
      <alignment horizontal="left" vertical="top" wrapText="1"/>
    </xf>
    <xf numFmtId="0" fontId="22" fillId="0" borderId="0" xfId="0" applyFont="1" applyAlignment="1">
      <alignment horizontal="center" vertical="center" wrapText="1"/>
    </xf>
    <xf numFmtId="0" fontId="22" fillId="0" borderId="0" xfId="0" applyFont="1" applyAlignment="1">
      <alignment horizontal="left" vertical="top" wrapText="1"/>
    </xf>
    <xf numFmtId="0" fontId="21" fillId="6" borderId="36" xfId="0" applyFont="1" applyFill="1" applyBorder="1" applyAlignment="1">
      <alignment horizontal="center" vertical="center" wrapText="1"/>
    </xf>
    <xf numFmtId="0" fontId="24" fillId="6" borderId="36" xfId="0" applyFont="1" applyFill="1" applyBorder="1" applyAlignment="1">
      <alignment horizontal="center" vertical="center" wrapText="1"/>
    </xf>
    <xf numFmtId="170" fontId="21" fillId="6" borderId="36" xfId="0" applyNumberFormat="1" applyFont="1" applyFill="1" applyBorder="1" applyAlignment="1">
      <alignment horizontal="center" vertical="center" wrapText="1"/>
    </xf>
    <xf numFmtId="0" fontId="16" fillId="0" borderId="0" xfId="0" applyFont="1" applyAlignment="1">
      <alignment vertical="center"/>
    </xf>
    <xf numFmtId="167" fontId="16" fillId="0" borderId="0" xfId="0" applyNumberFormat="1" applyFont="1" applyAlignment="1">
      <alignment horizontal="center" vertical="center"/>
    </xf>
    <xf numFmtId="0" fontId="23" fillId="0" borderId="0" xfId="0" applyFont="1" applyAlignment="1">
      <alignment horizontal="left" vertical="top"/>
    </xf>
    <xf numFmtId="170" fontId="23" fillId="0" borderId="0" xfId="0" applyNumberFormat="1" applyFont="1" applyAlignment="1">
      <alignment horizontal="center"/>
    </xf>
    <xf numFmtId="171" fontId="23" fillId="0" borderId="0" xfId="0" applyNumberFormat="1" applyFont="1"/>
    <xf numFmtId="0" fontId="20" fillId="0" borderId="37" xfId="0" applyFont="1" applyBorder="1" applyAlignment="1">
      <alignment horizontal="center" vertical="center"/>
    </xf>
    <xf numFmtId="171" fontId="20" fillId="0" borderId="37" xfId="0" applyNumberFormat="1" applyFont="1" applyBorder="1" applyAlignment="1">
      <alignment vertical="center"/>
    </xf>
    <xf numFmtId="171" fontId="25" fillId="6" borderId="38" xfId="0" applyNumberFormat="1" applyFont="1" applyFill="1" applyBorder="1" applyAlignment="1">
      <alignment vertical="center"/>
    </xf>
    <xf numFmtId="0" fontId="23" fillId="0" borderId="0" xfId="0" applyFont="1" applyAlignment="1">
      <alignment horizontal="left"/>
    </xf>
    <xf numFmtId="0" fontId="23" fillId="0" borderId="0" xfId="0" applyFont="1" applyAlignment="1">
      <alignment vertical="center"/>
    </xf>
    <xf numFmtId="0" fontId="20" fillId="4" borderId="37" xfId="0" applyFont="1" applyFill="1" applyBorder="1" applyAlignment="1">
      <alignment horizontal="center" vertical="center"/>
    </xf>
    <xf numFmtId="0" fontId="20" fillId="5" borderId="37" xfId="0" applyFont="1" applyFill="1" applyBorder="1" applyAlignment="1">
      <alignment horizontal="center" vertical="center"/>
    </xf>
    <xf numFmtId="0" fontId="20" fillId="5" borderId="37" xfId="0" applyFont="1" applyFill="1" applyBorder="1" applyAlignment="1">
      <alignment horizontal="left" vertical="center" wrapText="1"/>
    </xf>
    <xf numFmtId="0" fontId="15" fillId="0" borderId="0" xfId="0" applyFont="1" applyBorder="1"/>
    <xf numFmtId="171" fontId="25" fillId="7" borderId="0" xfId="0" applyNumberFormat="1" applyFont="1" applyFill="1" applyBorder="1" applyAlignment="1">
      <alignment vertical="center"/>
    </xf>
    <xf numFmtId="0" fontId="25" fillId="7" borderId="0" xfId="0" applyFont="1" applyFill="1" applyBorder="1" applyAlignment="1">
      <alignment horizontal="center" vertical="center" wrapText="1"/>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21"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21" fillId="5" borderId="0" xfId="0" applyFont="1" applyFill="1" applyBorder="1" applyAlignment="1">
      <alignment horizontal="left" wrapText="1"/>
    </xf>
    <xf numFmtId="0" fontId="15" fillId="0" borderId="0" xfId="0" applyFont="1" applyBorder="1"/>
    <xf numFmtId="0" fontId="25" fillId="6" borderId="39" xfId="0" applyFont="1" applyFill="1" applyBorder="1" applyAlignment="1">
      <alignment horizontal="center" vertical="center" wrapText="1"/>
    </xf>
    <xf numFmtId="0" fontId="15" fillId="0" borderId="40" xfId="0" applyFont="1" applyBorder="1"/>
    <xf numFmtId="0" fontId="15" fillId="0" borderId="41" xfId="0" applyFont="1" applyBorder="1"/>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4" fillId="0" borderId="19" xfId="0" applyFont="1" applyBorder="1" applyAlignment="1">
      <alignment horizontal="left" vertical="center" wrapText="1"/>
    </xf>
    <xf numFmtId="0" fontId="4" fillId="0" borderId="42" xfId="0" applyFont="1" applyBorder="1" applyAlignment="1">
      <alignment horizontal="left" vertical="center" wrapText="1"/>
    </xf>
    <xf numFmtId="0" fontId="4" fillId="0" borderId="20"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vertical="center" indent="1"/>
    </xf>
    <xf numFmtId="0" fontId="4" fillId="0" borderId="13"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13" fillId="0" borderId="11" xfId="0" applyFont="1" applyBorder="1" applyAlignment="1">
      <alignment horizontal="left"/>
    </xf>
    <xf numFmtId="0" fontId="12" fillId="0" borderId="13" xfId="0" applyFont="1" applyBorder="1" applyAlignment="1">
      <alignment horizontal="left" vertical="center" wrapText="1" indent="1"/>
    </xf>
    <xf numFmtId="0" fontId="12" fillId="0" borderId="34" xfId="0" applyFont="1" applyBorder="1" applyAlignment="1">
      <alignment horizontal="left" vertical="center" wrapText="1" indent="1"/>
    </xf>
    <xf numFmtId="0" fontId="12" fillId="0" borderId="35" xfId="0" applyFont="1" applyBorder="1" applyAlignment="1">
      <alignment horizontal="left" vertical="center" wrapText="1" indent="1"/>
    </xf>
    <xf numFmtId="0" fontId="2" fillId="0" borderId="11" xfId="0" applyFont="1" applyBorder="1" applyAlignment="1">
      <alignment horizontal="left" vertical="center" indent="1"/>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15" fillId="4" borderId="32" xfId="0" applyFont="1" applyFill="1" applyBorder="1" applyAlignment="1">
      <alignment horizontal="left" vertical="center" wrapText="1" indent="1"/>
    </xf>
    <xf numFmtId="0" fontId="2" fillId="4" borderId="32" xfId="0" applyFont="1" applyFill="1" applyBorder="1" applyAlignment="1">
      <alignment horizontal="left" vertical="center" wrapText="1" indent="1"/>
    </xf>
    <xf numFmtId="0" fontId="10" fillId="3" borderId="32" xfId="0" applyFont="1" applyFill="1" applyBorder="1" applyAlignment="1">
      <alignment horizontal="left" vertical="center" wrapText="1"/>
    </xf>
    <xf numFmtId="0" fontId="0" fillId="0" borderId="21" xfId="0" applyBorder="1"/>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15" fillId="0" borderId="31" xfId="0" applyFont="1" applyBorder="1" applyAlignment="1">
      <alignment horizontal="left" vertical="center" wrapText="1"/>
    </xf>
    <xf numFmtId="0" fontId="0" fillId="0" borderId="31" xfId="0" applyFont="1" applyBorder="1" applyAlignment="1">
      <alignment horizontal="left" vertical="center" wrapText="1"/>
    </xf>
    <xf numFmtId="0" fontId="10" fillId="0" borderId="19" xfId="0" applyFont="1" applyBorder="1" applyAlignment="1">
      <alignment vertical="center" wrapText="1"/>
    </xf>
    <xf numFmtId="0" fontId="10" fillId="0" borderId="33"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96"/>
  <sheetViews>
    <sheetView topLeftCell="A19" zoomScaleNormal="100" workbookViewId="0">
      <selection activeCell="E13" sqref="E13"/>
    </sheetView>
  </sheetViews>
  <sheetFormatPr baseColWidth="10" defaultColWidth="11" defaultRowHeight="12.75" x14ac:dyDescent="0.2"/>
  <cols>
    <col min="1" max="1" width="4.5703125" style="24" customWidth="1"/>
    <col min="2" max="2" width="15.7109375" style="24" customWidth="1"/>
    <col min="3" max="3" width="33" style="24" customWidth="1"/>
    <col min="4" max="4" width="7.140625" style="24" customWidth="1"/>
    <col min="5" max="5" width="69.5703125" style="24" customWidth="1"/>
    <col min="6" max="6" width="11" style="24"/>
    <col min="7" max="7" width="12.42578125" style="24" customWidth="1"/>
    <col min="8" max="8" width="14.42578125" style="24" customWidth="1"/>
    <col min="9" max="9" width="18.140625" style="24" customWidth="1"/>
    <col min="10" max="10" width="0" style="24" hidden="1" customWidth="1"/>
    <col min="11" max="11" width="11" style="24"/>
    <col min="12" max="12" width="14.140625" style="24" customWidth="1"/>
    <col min="13" max="16384" width="11" style="24"/>
  </cols>
  <sheetData>
    <row r="2" spans="1:12" ht="27" x14ac:dyDescent="0.35">
      <c r="B2" s="90" t="s">
        <v>0</v>
      </c>
      <c r="C2" s="89"/>
      <c r="D2" s="89"/>
      <c r="E2" s="89"/>
      <c r="F2" s="89"/>
      <c r="G2" s="89"/>
      <c r="H2" s="89"/>
    </row>
    <row r="3" spans="1:12" ht="8.25" customHeight="1" x14ac:dyDescent="0.2">
      <c r="B3" s="53"/>
      <c r="C3" s="54"/>
      <c r="E3" s="55"/>
      <c r="H3" s="56"/>
    </row>
    <row r="4" spans="1:12" ht="27.75" customHeight="1" x14ac:dyDescent="0.25">
      <c r="A4" s="88" t="s">
        <v>1</v>
      </c>
      <c r="B4" s="89"/>
      <c r="C4" s="91" t="s">
        <v>59</v>
      </c>
      <c r="D4" s="92"/>
      <c r="E4" s="92"/>
      <c r="F4" s="57"/>
      <c r="G4" s="58"/>
      <c r="H4" s="59"/>
      <c r="I4" s="60"/>
    </row>
    <row r="5" spans="1:12" ht="18" customHeight="1" x14ac:dyDescent="0.25">
      <c r="A5" s="88" t="s">
        <v>2</v>
      </c>
      <c r="B5" s="89"/>
      <c r="C5" s="91" t="s">
        <v>60</v>
      </c>
      <c r="D5" s="92"/>
      <c r="E5" s="92"/>
      <c r="F5" s="57"/>
      <c r="G5" s="58"/>
      <c r="H5" s="59"/>
      <c r="I5" s="60"/>
    </row>
    <row r="6" spans="1:12" ht="16.5" customHeight="1" x14ac:dyDescent="0.25">
      <c r="A6" s="88" t="s">
        <v>3</v>
      </c>
      <c r="B6" s="89"/>
      <c r="C6" s="61">
        <v>2022</v>
      </c>
      <c r="D6" s="61"/>
      <c r="E6" s="62"/>
      <c r="F6" s="57"/>
      <c r="G6" s="58"/>
      <c r="H6" s="59"/>
      <c r="I6" s="60"/>
    </row>
    <row r="7" spans="1:12" ht="16.5" customHeight="1" x14ac:dyDescent="0.25">
      <c r="A7" s="88" t="s">
        <v>4</v>
      </c>
      <c r="B7" s="89"/>
      <c r="C7" s="61">
        <v>2</v>
      </c>
      <c r="D7" s="61"/>
      <c r="E7" s="62"/>
      <c r="F7" s="57"/>
      <c r="G7" s="58"/>
      <c r="H7" s="59"/>
      <c r="I7" s="60"/>
    </row>
    <row r="8" spans="1:12" ht="15" thickBot="1" x14ac:dyDescent="0.25">
      <c r="A8" s="60"/>
      <c r="B8" s="63"/>
      <c r="C8" s="58"/>
      <c r="D8" s="57"/>
      <c r="E8" s="64"/>
      <c r="F8" s="57"/>
      <c r="G8" s="58"/>
      <c r="H8" s="59"/>
      <c r="I8" s="60"/>
    </row>
    <row r="9" spans="1:12" ht="45.75" thickTop="1" x14ac:dyDescent="0.2">
      <c r="A9" s="65" t="s">
        <v>5</v>
      </c>
      <c r="B9" s="65" t="s">
        <v>6</v>
      </c>
      <c r="C9" s="65" t="s">
        <v>7</v>
      </c>
      <c r="D9" s="65" t="s">
        <v>8</v>
      </c>
      <c r="E9" s="65" t="s">
        <v>9</v>
      </c>
      <c r="F9" s="66" t="s">
        <v>10</v>
      </c>
      <c r="G9" s="65" t="s">
        <v>11</v>
      </c>
      <c r="H9" s="67" t="s">
        <v>12</v>
      </c>
      <c r="I9" s="65" t="s">
        <v>13</v>
      </c>
    </row>
    <row r="10" spans="1:12" ht="138.75" customHeight="1" x14ac:dyDescent="0.2">
      <c r="A10" s="78">
        <v>1</v>
      </c>
      <c r="B10" s="78" t="s">
        <v>80</v>
      </c>
      <c r="C10" s="79" t="s">
        <v>73</v>
      </c>
      <c r="D10" s="79" t="str">
        <f t="shared" ref="D10" si="0">LEFT(B10,5)</f>
        <v>4.3.9</v>
      </c>
      <c r="E10" s="80" t="s">
        <v>79</v>
      </c>
      <c r="F10" s="73" t="s">
        <v>14</v>
      </c>
      <c r="G10" s="73">
        <v>1</v>
      </c>
      <c r="H10" s="74">
        <v>3899866.81</v>
      </c>
      <c r="I10" s="74">
        <f t="shared" ref="I10" si="1">G10*H10</f>
        <v>3899866.81</v>
      </c>
      <c r="J10" s="68"/>
      <c r="L10" s="52" t="e">
        <f>#REF!+#REF!+#REF!+#REF!+#REF!</f>
        <v>#REF!</v>
      </c>
    </row>
    <row r="11" spans="1:12" ht="27" customHeight="1" x14ac:dyDescent="0.2">
      <c r="A11" s="93" t="s">
        <v>81</v>
      </c>
      <c r="B11" s="94"/>
      <c r="C11" s="94"/>
      <c r="D11" s="94"/>
      <c r="E11" s="94"/>
      <c r="F11" s="94"/>
      <c r="G11" s="94"/>
      <c r="H11" s="95"/>
      <c r="I11" s="75">
        <f>SUM(I10:I10)</f>
        <v>3899866.81</v>
      </c>
    </row>
    <row r="12" spans="1:12" ht="27" customHeight="1" x14ac:dyDescent="0.2">
      <c r="A12" s="83"/>
      <c r="B12" s="81"/>
      <c r="C12" s="81"/>
      <c r="D12" s="81"/>
      <c r="E12" s="81"/>
      <c r="F12" s="81"/>
      <c r="G12" s="81"/>
      <c r="H12" s="81"/>
      <c r="I12" s="82"/>
    </row>
    <row r="13" spans="1:12" ht="27" customHeight="1" x14ac:dyDescent="0.2">
      <c r="A13" s="83"/>
      <c r="B13" s="81"/>
      <c r="C13" s="81"/>
      <c r="D13" s="81"/>
      <c r="E13" s="81"/>
      <c r="F13" s="81"/>
      <c r="G13" s="81"/>
      <c r="H13" s="81"/>
      <c r="I13" s="82"/>
    </row>
    <row r="14" spans="1:12" ht="15" thickBot="1" x14ac:dyDescent="0.25">
      <c r="A14" s="77"/>
      <c r="B14" s="77"/>
      <c r="C14" s="76"/>
      <c r="D14" s="60"/>
      <c r="E14" s="70"/>
      <c r="F14" s="60"/>
      <c r="G14" s="60"/>
      <c r="H14" s="71"/>
      <c r="I14" s="72"/>
    </row>
    <row r="15" spans="1:12" x14ac:dyDescent="0.2">
      <c r="B15" s="25" t="s">
        <v>15</v>
      </c>
      <c r="C15" s="26"/>
      <c r="D15" s="26"/>
      <c r="E15" s="27"/>
    </row>
    <row r="16" spans="1:12" ht="8.25" customHeight="1" x14ac:dyDescent="0.2">
      <c r="B16" s="28"/>
      <c r="C16" s="29"/>
      <c r="D16" s="29"/>
      <c r="E16" s="30"/>
    </row>
    <row r="17" spans="2:10" ht="14.25" customHeight="1" x14ac:dyDescent="0.2">
      <c r="B17" s="31" t="s">
        <v>16</v>
      </c>
      <c r="C17" s="29"/>
      <c r="D17" s="29"/>
      <c r="E17" s="30"/>
    </row>
    <row r="18" spans="2:10" ht="213" customHeight="1" x14ac:dyDescent="0.2">
      <c r="B18" s="31"/>
      <c r="C18" s="86" t="s">
        <v>82</v>
      </c>
      <c r="D18" s="86"/>
      <c r="E18" s="87"/>
    </row>
    <row r="19" spans="2:10" x14ac:dyDescent="0.2">
      <c r="B19" s="31" t="s">
        <v>17</v>
      </c>
      <c r="C19" s="29"/>
      <c r="D19" s="29"/>
      <c r="E19" s="30"/>
    </row>
    <row r="20" spans="2:10" x14ac:dyDescent="0.2">
      <c r="B20" s="32"/>
      <c r="C20" s="86" t="s">
        <v>66</v>
      </c>
      <c r="D20" s="86"/>
      <c r="E20" s="87"/>
    </row>
    <row r="21" spans="2:10" ht="61.5" customHeight="1" x14ac:dyDescent="0.2">
      <c r="B21" s="32"/>
      <c r="C21" s="86"/>
      <c r="D21" s="86"/>
      <c r="E21" s="87"/>
    </row>
    <row r="22" spans="2:10" x14ac:dyDescent="0.2">
      <c r="B22" s="31" t="s">
        <v>18</v>
      </c>
      <c r="C22" s="29"/>
      <c r="D22" s="29"/>
      <c r="E22" s="30"/>
    </row>
    <row r="23" spans="2:10" x14ac:dyDescent="0.2">
      <c r="B23" s="32"/>
      <c r="C23" s="84"/>
      <c r="D23" s="84"/>
      <c r="E23" s="85"/>
    </row>
    <row r="24" spans="2:10" x14ac:dyDescent="0.2">
      <c r="B24" s="31" t="s">
        <v>62</v>
      </c>
      <c r="C24" s="33"/>
      <c r="D24" s="33"/>
      <c r="E24" s="34"/>
    </row>
    <row r="25" spans="2:10" x14ac:dyDescent="0.2">
      <c r="B25" s="32"/>
      <c r="C25" s="84"/>
      <c r="D25" s="84"/>
      <c r="E25" s="85"/>
    </row>
    <row r="26" spans="2:10" x14ac:dyDescent="0.2">
      <c r="B26" s="31" t="s">
        <v>19</v>
      </c>
      <c r="C26" s="29"/>
      <c r="D26" s="29"/>
      <c r="E26" s="30"/>
    </row>
    <row r="27" spans="2:10" x14ac:dyDescent="0.2">
      <c r="B27" s="31"/>
      <c r="C27" s="84" t="s">
        <v>70</v>
      </c>
      <c r="D27" s="84"/>
      <c r="E27" s="85"/>
    </row>
    <row r="28" spans="2:10" ht="12" customHeight="1" thickBot="1" x14ac:dyDescent="0.25">
      <c r="B28" s="35"/>
      <c r="C28" s="36"/>
      <c r="D28" s="36"/>
      <c r="E28" s="37"/>
      <c r="J28" s="69"/>
    </row>
    <row r="29" spans="2:10" ht="13.5" customHeight="1" x14ac:dyDescent="0.2"/>
    <row r="30" spans="2:10" ht="13.5" customHeight="1" x14ac:dyDescent="0.2"/>
    <row r="31" spans="2:10" ht="13.5" customHeight="1" x14ac:dyDescent="0.2"/>
    <row r="32" spans="2:10"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spans="2:5" ht="13.5" customHeight="1" x14ac:dyDescent="0.2"/>
    <row r="82" spans="2:5" ht="13.5" customHeight="1" x14ac:dyDescent="0.2"/>
    <row r="83" spans="2:5" ht="13.5" customHeight="1" x14ac:dyDescent="0.2"/>
    <row r="84" spans="2:5" ht="13.5" customHeight="1" x14ac:dyDescent="0.2"/>
    <row r="85" spans="2:5" ht="13.5" customHeight="1" x14ac:dyDescent="0.2"/>
    <row r="86" spans="2:5" ht="13.5" customHeight="1" x14ac:dyDescent="0.2"/>
    <row r="87" spans="2:5" ht="13.5" customHeight="1" x14ac:dyDescent="0.2"/>
    <row r="88" spans="2:5" ht="13.5" customHeight="1" x14ac:dyDescent="0.2"/>
    <row r="89" spans="2:5" ht="13.5" customHeight="1" x14ac:dyDescent="0.2"/>
    <row r="90" spans="2:5" ht="13.5" customHeight="1" x14ac:dyDescent="0.2"/>
    <row r="91" spans="2:5" ht="13.5" customHeight="1" x14ac:dyDescent="0.2"/>
    <row r="92" spans="2:5" ht="13.5" customHeight="1" thickBot="1" x14ac:dyDescent="0.25"/>
    <row r="93" spans="2:5" ht="19.5" customHeight="1" x14ac:dyDescent="0.2">
      <c r="B93" s="25" t="s">
        <v>20</v>
      </c>
      <c r="C93" s="26"/>
      <c r="D93" s="26"/>
      <c r="E93" s="27"/>
    </row>
    <row r="94" spans="2:5" ht="9.75" customHeight="1" x14ac:dyDescent="0.2">
      <c r="B94" s="28"/>
      <c r="C94" s="29"/>
      <c r="D94" s="29"/>
      <c r="E94" s="30"/>
    </row>
    <row r="95" spans="2:5" ht="12.75" customHeight="1" x14ac:dyDescent="0.2">
      <c r="B95" s="31" t="s">
        <v>16</v>
      </c>
      <c r="C95" s="29"/>
      <c r="D95" s="29"/>
      <c r="E95" s="30"/>
    </row>
    <row r="96" spans="2:5" ht="69" customHeight="1" x14ac:dyDescent="0.2">
      <c r="B96" s="31"/>
      <c r="C96" s="86" t="s">
        <v>72</v>
      </c>
      <c r="D96" s="86"/>
      <c r="E96" s="87"/>
    </row>
    <row r="97" spans="2:5" x14ac:dyDescent="0.2">
      <c r="B97" s="31" t="s">
        <v>17</v>
      </c>
      <c r="C97" s="29"/>
      <c r="D97" s="29"/>
      <c r="E97" s="30"/>
    </row>
    <row r="98" spans="2:5" ht="17.25" customHeight="1" x14ac:dyDescent="0.2">
      <c r="B98" s="32"/>
      <c r="C98" s="86" t="s">
        <v>65</v>
      </c>
      <c r="D98" s="86"/>
      <c r="E98" s="87"/>
    </row>
    <row r="99" spans="2:5" ht="56.25" customHeight="1" x14ac:dyDescent="0.2">
      <c r="B99" s="32"/>
      <c r="C99" s="86"/>
      <c r="D99" s="86"/>
      <c r="E99" s="87"/>
    </row>
    <row r="100" spans="2:5" ht="13.5" customHeight="1" x14ac:dyDescent="0.2">
      <c r="B100" s="31" t="s">
        <v>18</v>
      </c>
      <c r="C100" s="29"/>
      <c r="D100" s="29"/>
      <c r="E100" s="30"/>
    </row>
    <row r="101" spans="2:5" ht="7.5" customHeight="1" x14ac:dyDescent="0.2">
      <c r="B101" s="32"/>
      <c r="C101" s="84"/>
      <c r="D101" s="84"/>
      <c r="E101" s="85"/>
    </row>
    <row r="102" spans="2:5" ht="14.25" customHeight="1" x14ac:dyDescent="0.2">
      <c r="B102" s="31" t="s">
        <v>63</v>
      </c>
      <c r="C102" s="33"/>
      <c r="D102" s="33"/>
      <c r="E102" s="34"/>
    </row>
    <row r="103" spans="2:5" ht="7.5" customHeight="1" x14ac:dyDescent="0.2">
      <c r="B103" s="32"/>
      <c r="C103" s="84"/>
      <c r="D103" s="84"/>
      <c r="E103" s="85"/>
    </row>
    <row r="104" spans="2:5" ht="13.5" customHeight="1" x14ac:dyDescent="0.2">
      <c r="B104" s="31" t="s">
        <v>19</v>
      </c>
      <c r="C104" s="29"/>
      <c r="D104" s="29"/>
      <c r="E104" s="30"/>
    </row>
    <row r="105" spans="2:5" x14ac:dyDescent="0.2">
      <c r="B105" s="31"/>
      <c r="C105" s="84" t="s">
        <v>70</v>
      </c>
      <c r="D105" s="84"/>
      <c r="E105" s="85"/>
    </row>
    <row r="106" spans="2:5" ht="12" customHeight="1" thickBot="1" x14ac:dyDescent="0.25">
      <c r="B106" s="35"/>
      <c r="C106" s="36"/>
      <c r="D106" s="36"/>
      <c r="E106" s="37"/>
    </row>
    <row r="107" spans="2:5" ht="25.5" customHeight="1" x14ac:dyDescent="0.2"/>
    <row r="108" spans="2:5" ht="13.5" thickBot="1" x14ac:dyDescent="0.25"/>
    <row r="109" spans="2:5" ht="12.75" customHeight="1" x14ac:dyDescent="0.2">
      <c r="B109" s="25" t="s">
        <v>67</v>
      </c>
      <c r="C109" s="26"/>
      <c r="D109" s="26"/>
      <c r="E109" s="27"/>
    </row>
    <row r="110" spans="2:5" ht="12" customHeight="1" x14ac:dyDescent="0.2">
      <c r="B110" s="28"/>
      <c r="C110" s="29"/>
      <c r="D110" s="29"/>
      <c r="E110" s="30"/>
    </row>
    <row r="111" spans="2:5" ht="12.75" customHeight="1" x14ac:dyDescent="0.2">
      <c r="B111" s="31" t="s">
        <v>16</v>
      </c>
      <c r="C111" s="29"/>
      <c r="D111" s="29"/>
      <c r="E111" s="30"/>
    </row>
    <row r="112" spans="2:5" ht="51.75" customHeight="1" x14ac:dyDescent="0.2">
      <c r="B112" s="31"/>
      <c r="C112" s="86" t="s">
        <v>74</v>
      </c>
      <c r="D112" s="86"/>
      <c r="E112" s="87"/>
    </row>
    <row r="113" spans="2:5" ht="12.75" customHeight="1" x14ac:dyDescent="0.2">
      <c r="B113" s="31" t="s">
        <v>17</v>
      </c>
      <c r="C113" s="29"/>
      <c r="D113" s="29"/>
      <c r="E113" s="30"/>
    </row>
    <row r="114" spans="2:5" x14ac:dyDescent="0.2">
      <c r="B114" s="32"/>
      <c r="C114" s="86" t="s">
        <v>66</v>
      </c>
      <c r="D114" s="86"/>
      <c r="E114" s="87"/>
    </row>
    <row r="115" spans="2:5" ht="62.25" customHeight="1" x14ac:dyDescent="0.2">
      <c r="B115" s="32"/>
      <c r="C115" s="86"/>
      <c r="D115" s="86"/>
      <c r="E115" s="87"/>
    </row>
    <row r="116" spans="2:5" x14ac:dyDescent="0.2">
      <c r="B116" s="31" t="s">
        <v>18</v>
      </c>
      <c r="C116" s="29"/>
      <c r="D116" s="29"/>
      <c r="E116" s="30"/>
    </row>
    <row r="117" spans="2:5" ht="13.5" customHeight="1" x14ac:dyDescent="0.2">
      <c r="B117" s="32"/>
      <c r="C117" s="84"/>
      <c r="D117" s="84"/>
      <c r="E117" s="85"/>
    </row>
    <row r="118" spans="2:5" x14ac:dyDescent="0.2">
      <c r="B118" s="31" t="s">
        <v>62</v>
      </c>
      <c r="C118" s="33"/>
      <c r="D118" s="33"/>
      <c r="E118" s="34"/>
    </row>
    <row r="119" spans="2:5" ht="10.5" customHeight="1" x14ac:dyDescent="0.2">
      <c r="B119" s="32"/>
      <c r="C119" s="84"/>
      <c r="D119" s="84"/>
      <c r="E119" s="85"/>
    </row>
    <row r="120" spans="2:5" x14ac:dyDescent="0.2">
      <c r="B120" s="31" t="s">
        <v>19</v>
      </c>
      <c r="C120" s="29"/>
      <c r="D120" s="29"/>
      <c r="E120" s="30"/>
    </row>
    <row r="121" spans="2:5" ht="12" customHeight="1" x14ac:dyDescent="0.2">
      <c r="B121" s="31"/>
      <c r="C121" s="84" t="s">
        <v>70</v>
      </c>
      <c r="D121" s="84"/>
      <c r="E121" s="85"/>
    </row>
    <row r="122" spans="2:5" ht="13.5" customHeight="1" thickBot="1" x14ac:dyDescent="0.25">
      <c r="B122" s="35"/>
      <c r="C122" s="36"/>
      <c r="D122" s="36"/>
      <c r="E122" s="37"/>
    </row>
    <row r="123" spans="2:5" ht="17.25" customHeight="1" x14ac:dyDescent="0.2"/>
    <row r="124" spans="2:5" ht="13.5" thickBot="1" x14ac:dyDescent="0.25"/>
    <row r="125" spans="2:5" ht="15" customHeight="1" x14ac:dyDescent="0.2">
      <c r="B125" s="25" t="s">
        <v>68</v>
      </c>
      <c r="C125" s="26"/>
      <c r="D125" s="26"/>
      <c r="E125" s="27"/>
    </row>
    <row r="126" spans="2:5" ht="11.25" customHeight="1" x14ac:dyDescent="0.2">
      <c r="B126" s="28"/>
      <c r="C126" s="29"/>
      <c r="D126" s="29"/>
      <c r="E126" s="30"/>
    </row>
    <row r="127" spans="2:5" x14ac:dyDescent="0.2">
      <c r="B127" s="31" t="s">
        <v>16</v>
      </c>
      <c r="C127" s="29"/>
      <c r="D127" s="29"/>
      <c r="E127" s="30"/>
    </row>
    <row r="128" spans="2:5" ht="36" customHeight="1" x14ac:dyDescent="0.2">
      <c r="B128" s="31"/>
      <c r="C128" s="86" t="s">
        <v>75</v>
      </c>
      <c r="D128" s="86"/>
      <c r="E128" s="87"/>
    </row>
    <row r="129" spans="2:5" x14ac:dyDescent="0.2">
      <c r="B129" s="31" t="s">
        <v>17</v>
      </c>
      <c r="C129" s="29"/>
      <c r="D129" s="29"/>
      <c r="E129" s="30"/>
    </row>
    <row r="130" spans="2:5" x14ac:dyDescent="0.2">
      <c r="B130" s="32"/>
      <c r="C130" s="86" t="s">
        <v>66</v>
      </c>
      <c r="D130" s="86"/>
      <c r="E130" s="87"/>
    </row>
    <row r="131" spans="2:5" ht="69" customHeight="1" x14ac:dyDescent="0.2">
      <c r="B131" s="32"/>
      <c r="C131" s="86"/>
      <c r="D131" s="86"/>
      <c r="E131" s="87"/>
    </row>
    <row r="132" spans="2:5" ht="12.75" customHeight="1" x14ac:dyDescent="0.2">
      <c r="B132" s="31" t="s">
        <v>18</v>
      </c>
      <c r="C132" s="29"/>
      <c r="D132" s="29"/>
      <c r="E132" s="30"/>
    </row>
    <row r="133" spans="2:5" ht="7.5" customHeight="1" x14ac:dyDescent="0.2">
      <c r="B133" s="32"/>
      <c r="C133" s="84"/>
      <c r="D133" s="84"/>
      <c r="E133" s="85"/>
    </row>
    <row r="134" spans="2:5" ht="20.25" customHeight="1" x14ac:dyDescent="0.2">
      <c r="B134" s="31" t="s">
        <v>62</v>
      </c>
      <c r="C134" s="33"/>
      <c r="D134" s="33"/>
      <c r="E134" s="34"/>
    </row>
    <row r="135" spans="2:5" ht="8.25" customHeight="1" x14ac:dyDescent="0.2">
      <c r="B135" s="32"/>
      <c r="C135" s="84"/>
      <c r="D135" s="84"/>
      <c r="E135" s="85"/>
    </row>
    <row r="136" spans="2:5" ht="15" customHeight="1" x14ac:dyDescent="0.2">
      <c r="B136" s="31" t="s">
        <v>19</v>
      </c>
      <c r="C136" s="29"/>
      <c r="D136" s="29"/>
      <c r="E136" s="30"/>
    </row>
    <row r="137" spans="2:5" ht="16.5" customHeight="1" x14ac:dyDescent="0.2">
      <c r="B137" s="31"/>
      <c r="C137" s="84" t="s">
        <v>70</v>
      </c>
      <c r="D137" s="84"/>
      <c r="E137" s="85"/>
    </row>
    <row r="138" spans="2:5" ht="11.25" customHeight="1" thickBot="1" x14ac:dyDescent="0.25">
      <c r="B138" s="35"/>
      <c r="C138" s="36"/>
      <c r="D138" s="36"/>
      <c r="E138" s="37"/>
    </row>
    <row r="139" spans="2:5" ht="13.5" thickBot="1" x14ac:dyDescent="0.25"/>
    <row r="140" spans="2:5" x14ac:dyDescent="0.2">
      <c r="B140" s="25" t="s">
        <v>69</v>
      </c>
      <c r="C140" s="26"/>
      <c r="D140" s="26"/>
      <c r="E140" s="27"/>
    </row>
    <row r="141" spans="2:5" ht="12.75" customHeight="1" x14ac:dyDescent="0.2">
      <c r="B141" s="28"/>
      <c r="C141" s="29"/>
      <c r="D141" s="29"/>
      <c r="E141" s="30"/>
    </row>
    <row r="142" spans="2:5" x14ac:dyDescent="0.2">
      <c r="B142" s="31" t="s">
        <v>16</v>
      </c>
      <c r="C142" s="29"/>
      <c r="D142" s="29"/>
      <c r="E142" s="30"/>
    </row>
    <row r="143" spans="2:5" ht="39.75" customHeight="1" x14ac:dyDescent="0.2">
      <c r="B143" s="31"/>
      <c r="C143" s="86" t="s">
        <v>76</v>
      </c>
      <c r="D143" s="86"/>
      <c r="E143" s="87"/>
    </row>
    <row r="144" spans="2:5" x14ac:dyDescent="0.2">
      <c r="B144" s="31" t="s">
        <v>17</v>
      </c>
      <c r="C144" s="29"/>
      <c r="D144" s="29"/>
      <c r="E144" s="30"/>
    </row>
    <row r="145" spans="2:5" x14ac:dyDescent="0.2">
      <c r="B145" s="32"/>
      <c r="C145" s="86" t="s">
        <v>66</v>
      </c>
      <c r="D145" s="86"/>
      <c r="E145" s="87"/>
    </row>
    <row r="146" spans="2:5" ht="64.5" customHeight="1" x14ac:dyDescent="0.2">
      <c r="B146" s="32"/>
      <c r="C146" s="86"/>
      <c r="D146" s="86"/>
      <c r="E146" s="87"/>
    </row>
    <row r="147" spans="2:5" ht="12.75" customHeight="1" x14ac:dyDescent="0.2">
      <c r="B147" s="31" t="s">
        <v>18</v>
      </c>
      <c r="C147" s="29"/>
      <c r="D147" s="29"/>
      <c r="E147" s="30"/>
    </row>
    <row r="148" spans="2:5" ht="6" customHeight="1" x14ac:dyDescent="0.2">
      <c r="B148" s="32"/>
      <c r="C148" s="84"/>
      <c r="D148" s="84"/>
      <c r="E148" s="85"/>
    </row>
    <row r="149" spans="2:5" ht="20.25" customHeight="1" x14ac:dyDescent="0.2">
      <c r="B149" s="31" t="s">
        <v>62</v>
      </c>
      <c r="C149" s="33"/>
      <c r="D149" s="33"/>
      <c r="E149" s="34"/>
    </row>
    <row r="150" spans="2:5" ht="8.25" customHeight="1" x14ac:dyDescent="0.2">
      <c r="B150" s="32"/>
      <c r="C150" s="84"/>
      <c r="D150" s="84"/>
      <c r="E150" s="85"/>
    </row>
    <row r="151" spans="2:5" ht="12.75" customHeight="1" x14ac:dyDescent="0.2">
      <c r="B151" s="31" t="s">
        <v>19</v>
      </c>
      <c r="C151" s="29"/>
      <c r="D151" s="29"/>
      <c r="E151" s="30"/>
    </row>
    <row r="152" spans="2:5" ht="14.25" customHeight="1" x14ac:dyDescent="0.2">
      <c r="B152" s="31"/>
      <c r="C152" s="84" t="s">
        <v>70</v>
      </c>
      <c r="D152" s="84"/>
      <c r="E152" s="85"/>
    </row>
    <row r="153" spans="2:5" ht="13.5" thickBot="1" x14ac:dyDescent="0.25">
      <c r="B153" s="35"/>
      <c r="C153" s="36"/>
      <c r="D153" s="36"/>
      <c r="E153" s="37"/>
    </row>
    <row r="156" spans="2:5" ht="12.75" customHeight="1" x14ac:dyDescent="0.2"/>
    <row r="157" spans="2:5" ht="14.25" customHeight="1" x14ac:dyDescent="0.2"/>
    <row r="158" spans="2:5" ht="12.75" customHeight="1" x14ac:dyDescent="0.2"/>
    <row r="160" spans="2:5" ht="12.75" customHeight="1" x14ac:dyDescent="0.2"/>
    <row r="162" ht="12.75" customHeight="1" x14ac:dyDescent="0.2"/>
    <row r="164" ht="51.75" customHeight="1" x14ac:dyDescent="0.2"/>
    <row r="166" ht="12.75" customHeight="1" x14ac:dyDescent="0.2"/>
    <row r="167" ht="74.25" customHeight="1" x14ac:dyDescent="0.2"/>
    <row r="171" ht="12.75" customHeight="1" x14ac:dyDescent="0.2"/>
    <row r="173" ht="12.75" customHeight="1" x14ac:dyDescent="0.2"/>
    <row r="175" ht="12.75" customHeight="1" x14ac:dyDescent="0.2"/>
    <row r="177" ht="12.75" customHeight="1" x14ac:dyDescent="0.2"/>
    <row r="179" ht="41.25" customHeight="1" x14ac:dyDescent="0.2"/>
    <row r="181" ht="12.75" customHeight="1" x14ac:dyDescent="0.2"/>
    <row r="182" ht="72.75" customHeight="1" x14ac:dyDescent="0.2"/>
    <row r="184" ht="14.25" customHeight="1" x14ac:dyDescent="0.2"/>
    <row r="186" ht="12.75" customHeight="1" x14ac:dyDescent="0.2"/>
    <row r="188" ht="12.75" customHeight="1" x14ac:dyDescent="0.2"/>
    <row r="190" ht="12.75" customHeight="1" x14ac:dyDescent="0.2"/>
    <row r="191" ht="14.25" customHeight="1" x14ac:dyDescent="0.2"/>
    <row r="192" ht="12.75" customHeight="1" x14ac:dyDescent="0.2"/>
    <row r="194" ht="77.25" customHeight="1" x14ac:dyDescent="0.2"/>
    <row r="196" ht="12.75" customHeight="1" x14ac:dyDescent="0.2"/>
    <row r="197" ht="75.75" customHeight="1" x14ac:dyDescent="0.2"/>
    <row r="201" ht="12.75" customHeight="1" x14ac:dyDescent="0.2"/>
    <row r="203" ht="12.75" customHeight="1" x14ac:dyDescent="0.2"/>
    <row r="205" ht="12.75" customHeight="1" x14ac:dyDescent="0.2"/>
    <row r="207" ht="12.75" customHeight="1" x14ac:dyDescent="0.2"/>
    <row r="209" ht="102" customHeight="1" x14ac:dyDescent="0.2"/>
    <row r="211" ht="79.5" customHeight="1" x14ac:dyDescent="0.2"/>
    <row r="212" ht="12.75" customHeight="1" x14ac:dyDescent="0.2"/>
    <row r="213" ht="12.75" customHeight="1" x14ac:dyDescent="0.2"/>
    <row r="214" ht="22.5" customHeight="1" x14ac:dyDescent="0.2"/>
    <row r="216" ht="12.75" customHeight="1" x14ac:dyDescent="0.2"/>
    <row r="218" ht="12.75" customHeight="1" x14ac:dyDescent="0.2"/>
    <row r="220" ht="12.75" customHeight="1" x14ac:dyDescent="0.2"/>
    <row r="223" ht="12.75" customHeight="1" x14ac:dyDescent="0.2"/>
    <row r="224" ht="107.25" customHeight="1" x14ac:dyDescent="0.2"/>
    <row r="225" ht="12.75" customHeight="1" x14ac:dyDescent="0.2"/>
    <row r="226" ht="56.25" customHeight="1" x14ac:dyDescent="0.2"/>
    <row r="227" ht="12.75" customHeight="1" x14ac:dyDescent="0.2"/>
    <row r="228" ht="12.75" customHeight="1" x14ac:dyDescent="0.2"/>
    <row r="229" ht="22.5" customHeight="1" x14ac:dyDescent="0.2"/>
    <row r="232" ht="12.75" customHeight="1" x14ac:dyDescent="0.2"/>
    <row r="233" ht="12.75" customHeight="1" x14ac:dyDescent="0.2"/>
    <row r="235" ht="12.75" customHeight="1" x14ac:dyDescent="0.2"/>
    <row r="239" ht="132" customHeight="1" x14ac:dyDescent="0.2"/>
    <row r="241" ht="54" customHeight="1" x14ac:dyDescent="0.2"/>
    <row r="242" ht="12.75" customHeight="1" x14ac:dyDescent="0.2"/>
    <row r="243" ht="12.75" customHeight="1" x14ac:dyDescent="0.2"/>
    <row r="244" ht="16.5" customHeight="1" x14ac:dyDescent="0.2"/>
    <row r="250" ht="12.75" customHeight="1" x14ac:dyDescent="0.2"/>
    <row r="252" ht="12.75" customHeight="1" x14ac:dyDescent="0.2"/>
    <row r="254" ht="155.25" customHeight="1" x14ac:dyDescent="0.2"/>
    <row r="256" ht="54" customHeight="1" x14ac:dyDescent="0.2"/>
    <row r="258" ht="12.75" customHeight="1" x14ac:dyDescent="0.2"/>
    <row r="259" ht="19.5" customHeight="1" x14ac:dyDescent="0.2"/>
    <row r="265" ht="12.75" customHeight="1" x14ac:dyDescent="0.2"/>
    <row r="267" ht="12.75" customHeight="1" x14ac:dyDescent="0.2"/>
    <row r="271" ht="166.5" customHeight="1" x14ac:dyDescent="0.2"/>
    <row r="273" ht="12.75" customHeight="1" x14ac:dyDescent="0.2"/>
    <row r="274" ht="65.25" customHeight="1" x14ac:dyDescent="0.2"/>
    <row r="280" ht="12.75" customHeight="1" x14ac:dyDescent="0.2"/>
    <row r="282" ht="12.75" customHeight="1" x14ac:dyDescent="0.2"/>
    <row r="286" ht="120" customHeight="1" x14ac:dyDescent="0.2"/>
    <row r="288" ht="12.75" customHeight="1" x14ac:dyDescent="0.2"/>
    <row r="289" ht="71.25" customHeight="1" x14ac:dyDescent="0.2"/>
    <row r="295" ht="12.75" customHeight="1" x14ac:dyDescent="0.2"/>
    <row r="297" ht="12.75" customHeight="1" x14ac:dyDescent="0.2"/>
    <row r="301" ht="40.5" customHeight="1" x14ac:dyDescent="0.2"/>
    <row r="303" ht="12.75" customHeight="1" x14ac:dyDescent="0.2"/>
    <row r="304" ht="66" customHeight="1" x14ac:dyDescent="0.2"/>
    <row r="310" ht="12.75" customHeight="1" x14ac:dyDescent="0.2"/>
    <row r="312" ht="12.75" customHeight="1" x14ac:dyDescent="0.2"/>
    <row r="316" ht="87" customHeight="1" x14ac:dyDescent="0.2"/>
    <row r="318" ht="12.75" customHeight="1" x14ac:dyDescent="0.2"/>
    <row r="319" ht="72.75" customHeight="1" x14ac:dyDescent="0.2"/>
    <row r="325" ht="12.75" customHeight="1" x14ac:dyDescent="0.2"/>
    <row r="326" ht="12.75" customHeight="1" x14ac:dyDescent="0.2"/>
    <row r="328" ht="12.75" customHeight="1" x14ac:dyDescent="0.2"/>
    <row r="331" ht="80.25" customHeight="1" x14ac:dyDescent="0.2"/>
    <row r="332" ht="19.5" customHeight="1" x14ac:dyDescent="0.2"/>
    <row r="334" ht="60" customHeight="1" x14ac:dyDescent="0.2"/>
    <row r="335" ht="15.75" customHeight="1" x14ac:dyDescent="0.2"/>
    <row r="342" ht="12.75" customHeight="1" x14ac:dyDescent="0.2"/>
    <row r="344" ht="12.75" customHeight="1" x14ac:dyDescent="0.2"/>
    <row r="347" ht="87.75" customHeight="1" x14ac:dyDescent="0.2"/>
    <row r="350" ht="61.5" customHeight="1" x14ac:dyDescent="0.2"/>
    <row r="351" ht="12.75" customHeight="1" x14ac:dyDescent="0.2"/>
    <row r="357" ht="12.75" customHeight="1" x14ac:dyDescent="0.2"/>
    <row r="359" ht="12.75" customHeight="1" x14ac:dyDescent="0.2"/>
    <row r="363" ht="65.25" customHeight="1" x14ac:dyDescent="0.2"/>
    <row r="366" ht="71.25" customHeight="1" x14ac:dyDescent="0.2"/>
    <row r="372" ht="12.75" customHeight="1" x14ac:dyDescent="0.2"/>
    <row r="374" ht="12.75" customHeight="1" x14ac:dyDescent="0.2"/>
    <row r="378" ht="52.5" customHeight="1" x14ac:dyDescent="0.2"/>
    <row r="381" ht="69.75" customHeight="1" x14ac:dyDescent="0.2"/>
    <row r="393" ht="34.5" customHeight="1" x14ac:dyDescent="0.2"/>
    <row r="396" ht="72.75" customHeight="1" x14ac:dyDescent="0.2"/>
  </sheetData>
  <mergeCells count="33">
    <mergeCell ref="C98:E99"/>
    <mergeCell ref="C101:E101"/>
    <mergeCell ref="C103:E103"/>
    <mergeCell ref="C105:E105"/>
    <mergeCell ref="C112:E112"/>
    <mergeCell ref="C20:E21"/>
    <mergeCell ref="C23:E23"/>
    <mergeCell ref="C25:E25"/>
    <mergeCell ref="C27:E27"/>
    <mergeCell ref="C96:E96"/>
    <mergeCell ref="C18:E18"/>
    <mergeCell ref="A7:B7"/>
    <mergeCell ref="B2:H2"/>
    <mergeCell ref="A4:B4"/>
    <mergeCell ref="C4:E4"/>
    <mergeCell ref="A5:B5"/>
    <mergeCell ref="C5:E5"/>
    <mergeCell ref="A6:B6"/>
    <mergeCell ref="A11:H11"/>
    <mergeCell ref="C143:E143"/>
    <mergeCell ref="C145:E146"/>
    <mergeCell ref="C152:E152"/>
    <mergeCell ref="C148:E148"/>
    <mergeCell ref="C150:E150"/>
    <mergeCell ref="C135:E135"/>
    <mergeCell ref="C128:E128"/>
    <mergeCell ref="C130:E131"/>
    <mergeCell ref="C137:E137"/>
    <mergeCell ref="C114:E115"/>
    <mergeCell ref="C117:E117"/>
    <mergeCell ref="C119:E119"/>
    <mergeCell ref="C121:E121"/>
    <mergeCell ref="C133:E133"/>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3"/>
  <sheetViews>
    <sheetView tabSelected="1" zoomScale="80" zoomScaleNormal="80" workbookViewId="0">
      <selection activeCell="A13" sqref="A13:I1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96" t="s">
        <v>21</v>
      </c>
      <c r="B1" s="96"/>
      <c r="C1" s="96"/>
      <c r="D1" s="96"/>
      <c r="E1" s="96"/>
      <c r="F1" s="96"/>
      <c r="G1" s="96"/>
      <c r="H1" s="96"/>
      <c r="I1" s="96"/>
      <c r="J1" s="3" t="s">
        <v>22</v>
      </c>
      <c r="K1" s="38" t="s">
        <v>83</v>
      </c>
    </row>
    <row r="2" spans="1:12" ht="18.75" customHeight="1" thickBot="1" x14ac:dyDescent="0.25">
      <c r="A2" s="4"/>
      <c r="B2" s="4"/>
      <c r="C2" s="4"/>
      <c r="D2" s="5"/>
      <c r="E2" s="5"/>
      <c r="F2" s="5"/>
      <c r="G2" s="5"/>
      <c r="H2" s="5"/>
      <c r="I2" s="5"/>
      <c r="J2" s="5"/>
      <c r="K2" s="5"/>
    </row>
    <row r="3" spans="1:12" ht="18.75" customHeight="1" thickBot="1" x14ac:dyDescent="0.25">
      <c r="A3" s="97" t="s">
        <v>56</v>
      </c>
      <c r="B3" s="97"/>
      <c r="C3" s="97"/>
      <c r="D3" s="98" t="s">
        <v>59</v>
      </c>
      <c r="E3" s="98"/>
      <c r="F3" s="98"/>
      <c r="G3" s="98"/>
      <c r="H3" s="98"/>
      <c r="I3" s="98"/>
      <c r="J3" s="98"/>
      <c r="K3" s="98"/>
    </row>
    <row r="4" spans="1:12" ht="18.75" customHeight="1" thickBot="1" x14ac:dyDescent="0.25">
      <c r="A4" s="99" t="s">
        <v>57</v>
      </c>
      <c r="B4" s="99"/>
      <c r="C4" s="99"/>
      <c r="D4" s="98" t="s">
        <v>60</v>
      </c>
      <c r="E4" s="98"/>
      <c r="F4" s="98"/>
      <c r="G4" s="98"/>
      <c r="H4" s="98"/>
      <c r="I4" s="98"/>
      <c r="J4" s="98"/>
      <c r="K4" s="98"/>
    </row>
    <row r="5" spans="1:12" ht="35.25" customHeight="1" thickBot="1" x14ac:dyDescent="0.25">
      <c r="A5" s="99" t="s">
        <v>35</v>
      </c>
      <c r="B5" s="99"/>
      <c r="C5" s="99"/>
      <c r="D5" s="98" t="s">
        <v>78</v>
      </c>
      <c r="E5" s="98"/>
      <c r="F5" s="98"/>
      <c r="G5" s="98"/>
      <c r="H5" s="98"/>
      <c r="I5" s="98"/>
      <c r="J5" s="98"/>
      <c r="K5" s="98"/>
    </row>
    <row r="6" spans="1:12" ht="29.25" customHeight="1" thickBot="1" x14ac:dyDescent="0.25">
      <c r="A6" s="97" t="s">
        <v>58</v>
      </c>
      <c r="B6" s="97"/>
      <c r="C6" s="97"/>
      <c r="D6" s="98" t="s">
        <v>64</v>
      </c>
      <c r="E6" s="98"/>
      <c r="F6" s="98"/>
      <c r="G6" s="98"/>
      <c r="H6" s="98"/>
      <c r="I6" s="98"/>
      <c r="J6" s="98"/>
      <c r="K6" s="98"/>
    </row>
    <row r="7" spans="1:12" ht="20.25" customHeight="1" x14ac:dyDescent="0.2">
      <c r="A7" s="99" t="s">
        <v>23</v>
      </c>
      <c r="B7" s="99"/>
      <c r="C7" s="99"/>
      <c r="D7" s="98" t="s">
        <v>77</v>
      </c>
      <c r="E7" s="98"/>
      <c r="F7" s="98"/>
      <c r="G7" s="98"/>
      <c r="H7" s="98"/>
      <c r="I7" s="98"/>
      <c r="J7" s="98"/>
      <c r="K7" s="98"/>
    </row>
    <row r="8" spans="1:12" ht="40.5" customHeight="1" x14ac:dyDescent="0.2">
      <c r="A8" s="105" t="s">
        <v>24</v>
      </c>
      <c r="B8" s="105"/>
      <c r="C8" s="105"/>
      <c r="D8" s="106" t="s">
        <v>84</v>
      </c>
      <c r="E8" s="106"/>
      <c r="F8" s="106"/>
      <c r="G8" s="106"/>
      <c r="H8" s="106"/>
      <c r="I8" s="106"/>
      <c r="J8" s="106"/>
      <c r="K8" s="106"/>
    </row>
    <row r="9" spans="1:12" ht="15.75" x14ac:dyDescent="0.2">
      <c r="A9" s="6"/>
      <c r="B9" s="6"/>
      <c r="C9" s="6"/>
      <c r="D9" s="7"/>
      <c r="E9" s="7"/>
      <c r="F9" s="7"/>
      <c r="G9" s="7"/>
      <c r="H9" s="7"/>
      <c r="I9" s="7"/>
      <c r="J9" s="7"/>
      <c r="K9" s="7"/>
    </row>
    <row r="10" spans="1:12" ht="18.75" customHeight="1" x14ac:dyDescent="0.2">
      <c r="A10" s="107" t="s">
        <v>25</v>
      </c>
      <c r="B10" s="108" t="s">
        <v>26</v>
      </c>
      <c r="C10" s="108" t="s">
        <v>27</v>
      </c>
      <c r="D10" s="108"/>
      <c r="E10" s="108"/>
      <c r="F10" s="108"/>
      <c r="G10" s="108"/>
      <c r="H10" s="108" t="s">
        <v>28</v>
      </c>
      <c r="I10" s="108" t="s">
        <v>29</v>
      </c>
      <c r="J10" s="108" t="s">
        <v>30</v>
      </c>
      <c r="K10" s="109" t="s">
        <v>31</v>
      </c>
    </row>
    <row r="11" spans="1:12" ht="24" customHeight="1" thickBot="1" x14ac:dyDescent="0.25">
      <c r="A11" s="107"/>
      <c r="B11" s="108"/>
      <c r="C11" s="108"/>
      <c r="D11" s="108"/>
      <c r="E11" s="108"/>
      <c r="F11" s="108"/>
      <c r="G11" s="108"/>
      <c r="H11" s="108"/>
      <c r="I11" s="108"/>
      <c r="J11" s="108"/>
      <c r="K11" s="109"/>
    </row>
    <row r="12" spans="1:12" ht="102" customHeight="1" thickBot="1" x14ac:dyDescent="0.25">
      <c r="A12" s="44">
        <v>1</v>
      </c>
      <c r="B12" s="45" t="str">
        <f>'Necesidades Trimestrales (2)'!B10</f>
        <v>4.3.9-8112.4</v>
      </c>
      <c r="C12" s="102" t="str">
        <f>'Necesidades Trimestrales (2)'!E10</f>
        <v>TELESCOPIOS; TIPO: COMPUTARIZADO ECUATORIAL, ABERTURA: 279 MM (11"), LONGITUD FOCAL: 620 MM (24,4"), RELACION FOCAL: F/2.2,SOFWARE CELESTRON STARRY ESPECIAL EDITION Y APLICACIÓN SKYPORTAL, CONTROL MANUAL NEXSTAR+ CON PUERTO USB, ACCESORIOS: OCULAR DE COLIMACIÓN - 1.25", SKYPORTAL WIFI MODULE, NEXYZ DX SMARTPHONE ADAPTER KIT, LINTERNA DE LLAVERO: TUBE V2 LED KEY CHAIN FLASHLIGHT, I3E EOS</v>
      </c>
      <c r="D12" s="103" t="s">
        <v>71</v>
      </c>
      <c r="E12" s="103" t="s">
        <v>71</v>
      </c>
      <c r="F12" s="103" t="s">
        <v>71</v>
      </c>
      <c r="G12" s="104" t="s">
        <v>71</v>
      </c>
      <c r="H12" s="46" t="s">
        <v>32</v>
      </c>
      <c r="I12" s="47" t="s">
        <v>14</v>
      </c>
      <c r="J12" s="48">
        <f>'Necesidades Trimestrales (2)'!H10</f>
        <v>3899866.81</v>
      </c>
      <c r="K12" s="49">
        <f>'Necesidades Trimestrales (2)'!G10</f>
        <v>1</v>
      </c>
      <c r="L12" s="41"/>
    </row>
    <row r="13" spans="1:12" ht="49.5" customHeight="1" thickBot="1" x14ac:dyDescent="0.25">
      <c r="A13" s="100" t="s">
        <v>88</v>
      </c>
      <c r="B13" s="100"/>
      <c r="C13" s="100"/>
      <c r="D13" s="100"/>
      <c r="E13" s="100"/>
      <c r="F13" s="100"/>
      <c r="G13" s="100"/>
      <c r="H13" s="100"/>
      <c r="I13" s="100"/>
      <c r="J13" s="101">
        <f>SUMPRODUCT(J12:J12,K12:K12)</f>
        <v>3899866.81</v>
      </c>
      <c r="K13" s="101"/>
      <c r="L13" s="41"/>
    </row>
  </sheetData>
  <mergeCells count="23">
    <mergeCell ref="A13:I13"/>
    <mergeCell ref="J13:K13"/>
    <mergeCell ref="C12:G12"/>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topLeftCell="A16" zoomScale="130" zoomScaleNormal="130" workbookViewId="0">
      <selection activeCell="A19" sqref="A19:Q19"/>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x14ac:dyDescent="0.25">
      <c r="A1" s="110" t="s">
        <v>3</v>
      </c>
      <c r="B1" s="110"/>
      <c r="C1" s="110"/>
      <c r="D1" s="111">
        <v>2022</v>
      </c>
      <c r="E1" s="111"/>
      <c r="F1" s="9"/>
      <c r="G1" s="9"/>
      <c r="H1" s="10"/>
      <c r="I1" s="10"/>
      <c r="J1" s="10"/>
      <c r="K1" s="10"/>
      <c r="L1" s="10"/>
      <c r="M1" s="10"/>
      <c r="N1" s="10"/>
      <c r="P1" s="112" t="s">
        <v>33</v>
      </c>
      <c r="Q1" s="112"/>
    </row>
    <row r="2" spans="1:17" ht="15.75" customHeight="1" x14ac:dyDescent="0.2">
      <c r="H2" s="10"/>
      <c r="I2" s="10"/>
      <c r="J2" s="10"/>
      <c r="K2" s="10"/>
      <c r="L2" s="10"/>
      <c r="M2" s="10"/>
      <c r="N2" s="10"/>
      <c r="P2" s="112"/>
      <c r="Q2" s="112"/>
    </row>
    <row r="4" spans="1:17" s="11" customFormat="1" ht="18" customHeight="1" thickBot="1" x14ac:dyDescent="0.25">
      <c r="A4" s="113" t="s">
        <v>34</v>
      </c>
      <c r="B4" s="113"/>
      <c r="C4" s="113"/>
      <c r="D4" s="113"/>
      <c r="E4" s="113"/>
      <c r="F4" s="113"/>
      <c r="G4" s="114" t="str">
        <f>' NotaPedido'!D3</f>
        <v>70 - MINISTERIO DE CIENCIA E INNOVACION TECNOLOGICA</v>
      </c>
      <c r="H4" s="114"/>
      <c r="I4" s="114"/>
      <c r="J4" s="114"/>
      <c r="K4" s="114"/>
      <c r="L4" s="114"/>
      <c r="M4" s="114"/>
      <c r="N4" s="114"/>
      <c r="O4" s="114"/>
      <c r="P4" s="114"/>
      <c r="Q4" s="114"/>
    </row>
    <row r="5" spans="1:17" s="11" customFormat="1" ht="18" customHeight="1" thickBot="1" x14ac:dyDescent="0.25">
      <c r="A5" s="115" t="s">
        <v>57</v>
      </c>
      <c r="B5" s="116"/>
      <c r="C5" s="116"/>
      <c r="D5" s="116"/>
      <c r="E5" s="116"/>
      <c r="F5" s="117"/>
      <c r="G5" s="114" t="str">
        <f>' NotaPedido'!D4</f>
        <v>20 - MINISTERIO DE CIENCIA E INNOVACION TECNOLOGICA</v>
      </c>
      <c r="H5" s="114"/>
      <c r="I5" s="114"/>
      <c r="J5" s="114"/>
      <c r="K5" s="114"/>
      <c r="L5" s="114"/>
      <c r="M5" s="114"/>
      <c r="N5" s="114"/>
      <c r="O5" s="114"/>
      <c r="P5" s="114"/>
      <c r="Q5" s="114"/>
    </row>
    <row r="6" spans="1:17" s="11" customFormat="1" ht="26.25" customHeight="1" thickBot="1" x14ac:dyDescent="0.25">
      <c r="A6" s="115" t="s">
        <v>35</v>
      </c>
      <c r="B6" s="116"/>
      <c r="C6" s="116"/>
      <c r="D6" s="116"/>
      <c r="E6" s="116"/>
      <c r="F6" s="117"/>
      <c r="G6" s="119" t="str">
        <f>' NotaPedido'!D5</f>
        <v>SECRETARIA DE CIENCIA Y TECNOLOGIA</v>
      </c>
      <c r="H6" s="120"/>
      <c r="I6" s="120"/>
      <c r="J6" s="120"/>
      <c r="K6" s="120"/>
      <c r="L6" s="120"/>
      <c r="M6" s="120"/>
      <c r="N6" s="120"/>
      <c r="O6" s="120"/>
      <c r="P6" s="120"/>
      <c r="Q6" s="121"/>
    </row>
    <row r="7" spans="1:17" s="11" customFormat="1" ht="18" customHeight="1" thickBot="1" x14ac:dyDescent="0.25">
      <c r="A7" s="115" t="s">
        <v>58</v>
      </c>
      <c r="B7" s="116"/>
      <c r="C7" s="116"/>
      <c r="D7" s="116"/>
      <c r="E7" s="116"/>
      <c r="F7" s="117"/>
      <c r="G7" s="122" t="str">
        <f>' NotaPedido'!D6</f>
        <v>DIRECCION PROVINCIAL DE GESTION ADMINISTRATIVA RECURSOS HUMANOS</v>
      </c>
      <c r="H7" s="122"/>
      <c r="I7" s="122"/>
      <c r="J7" s="122"/>
      <c r="K7" s="122"/>
      <c r="L7" s="122"/>
      <c r="M7" s="122"/>
      <c r="N7" s="122"/>
      <c r="O7" s="122"/>
      <c r="P7" s="122"/>
      <c r="Q7" s="122"/>
    </row>
    <row r="8" spans="1:17" ht="18" customHeight="1" thickBot="1" x14ac:dyDescent="0.25">
      <c r="A8" s="118" t="s">
        <v>36</v>
      </c>
      <c r="B8" s="118"/>
      <c r="C8" s="118"/>
      <c r="D8" s="118"/>
      <c r="E8" s="118"/>
      <c r="F8" s="118"/>
      <c r="G8" s="118"/>
      <c r="H8" s="118"/>
      <c r="I8" s="118"/>
      <c r="J8" s="118"/>
      <c r="K8" s="118"/>
      <c r="L8" s="118"/>
      <c r="M8" s="118"/>
      <c r="N8" s="118"/>
      <c r="O8" s="118"/>
      <c r="P8" s="118"/>
      <c r="Q8" s="118"/>
    </row>
    <row r="9" spans="1:17" ht="18" customHeight="1" x14ac:dyDescent="0.2">
      <c r="A9" s="123" t="s">
        <v>37</v>
      </c>
      <c r="B9" s="123"/>
      <c r="C9" s="123"/>
      <c r="D9" s="123"/>
      <c r="E9" s="123"/>
      <c r="F9" s="123"/>
      <c r="G9" s="123"/>
      <c r="H9" s="123"/>
      <c r="I9" s="123"/>
      <c r="J9" s="123"/>
      <c r="K9" s="123"/>
      <c r="L9" s="123"/>
      <c r="M9" s="123"/>
      <c r="N9" s="123"/>
      <c r="O9" s="1"/>
      <c r="P9" s="1"/>
      <c r="Q9" s="12"/>
    </row>
    <row r="10" spans="1:17" ht="54.75" customHeight="1" x14ac:dyDescent="0.2">
      <c r="A10" s="12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002/2022,  afectando la erogación resultante a los créditos presupuestarios aprobados a favor de esta Unidad Ejecutora, conforme al siguiente detalle:</v>
      </c>
      <c r="B10" s="124"/>
      <c r="C10" s="124"/>
      <c r="D10" s="124"/>
      <c r="E10" s="124"/>
      <c r="F10" s="124"/>
      <c r="G10" s="124"/>
      <c r="H10" s="124"/>
      <c r="I10" s="124"/>
      <c r="J10" s="124"/>
      <c r="K10" s="124"/>
      <c r="L10" s="124"/>
      <c r="M10" s="124"/>
      <c r="N10" s="124"/>
      <c r="O10" s="124"/>
      <c r="P10" s="124"/>
      <c r="Q10" s="124"/>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125" t="s">
        <v>38</v>
      </c>
      <c r="B12" s="125"/>
      <c r="C12" s="125"/>
      <c r="D12" s="125"/>
      <c r="E12" s="125"/>
      <c r="F12" s="125"/>
      <c r="G12" s="125"/>
      <c r="H12" s="125"/>
      <c r="I12" s="125"/>
      <c r="J12" s="125"/>
      <c r="K12" s="125"/>
      <c r="L12" s="125"/>
      <c r="M12" s="125"/>
      <c r="N12" s="125"/>
      <c r="O12" s="125"/>
      <c r="P12" s="125"/>
      <c r="Q12" s="125"/>
    </row>
    <row r="13" spans="1:17" ht="15.75" customHeight="1" x14ac:dyDescent="0.2">
      <c r="A13" s="126" t="s">
        <v>39</v>
      </c>
      <c r="B13" s="126"/>
      <c r="C13" s="126"/>
      <c r="D13" s="126"/>
      <c r="E13" s="126"/>
      <c r="F13" s="126"/>
      <c r="G13" s="126"/>
      <c r="H13" s="126"/>
      <c r="I13" s="126"/>
      <c r="J13" s="126"/>
      <c r="K13" s="126"/>
      <c r="L13" s="126"/>
      <c r="M13" s="126"/>
      <c r="N13" s="126"/>
      <c r="O13" s="127" t="s">
        <v>40</v>
      </c>
      <c r="P13" s="127"/>
      <c r="Q13" s="128" t="s">
        <v>41</v>
      </c>
    </row>
    <row r="14" spans="1:17" ht="15.75" customHeight="1" thickBot="1" x14ac:dyDescent="0.25">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127"/>
      <c r="P14" s="127"/>
      <c r="Q14" s="128"/>
    </row>
    <row r="15" spans="1:17" ht="27.75" customHeight="1" thickBot="1" x14ac:dyDescent="0.25">
      <c r="A15" s="39">
        <v>2</v>
      </c>
      <c r="B15" s="39">
        <v>0</v>
      </c>
      <c r="C15" s="39">
        <v>0</v>
      </c>
      <c r="D15" s="39">
        <v>1</v>
      </c>
      <c r="E15" s="39">
        <v>0</v>
      </c>
      <c r="F15" s="39">
        <v>4901</v>
      </c>
      <c r="G15" s="39">
        <v>3</v>
      </c>
      <c r="H15" s="39">
        <v>5</v>
      </c>
      <c r="I15" s="22">
        <v>4</v>
      </c>
      <c r="J15" s="22">
        <v>3</v>
      </c>
      <c r="K15" s="22">
        <v>9</v>
      </c>
      <c r="L15" s="39">
        <v>0</v>
      </c>
      <c r="M15" s="39">
        <v>1</v>
      </c>
      <c r="N15" s="39" t="s">
        <v>61</v>
      </c>
      <c r="O15" s="133" t="s">
        <v>85</v>
      </c>
      <c r="P15" s="134"/>
      <c r="Q15" s="50">
        <v>3899866.81</v>
      </c>
    </row>
    <row r="16" spans="1:17" ht="28.5" customHeight="1" x14ac:dyDescent="0.2">
      <c r="A16" s="43"/>
      <c r="B16" s="43"/>
      <c r="C16" s="43"/>
      <c r="D16" s="43"/>
      <c r="E16" s="43"/>
      <c r="F16" s="43"/>
      <c r="G16" s="43"/>
      <c r="H16" s="43"/>
      <c r="I16" s="23"/>
      <c r="J16" s="23"/>
      <c r="K16" s="23"/>
      <c r="L16" s="43"/>
      <c r="M16" s="43"/>
      <c r="N16" s="43"/>
      <c r="O16" s="133"/>
      <c r="P16" s="134"/>
      <c r="Q16" s="51"/>
    </row>
    <row r="17" spans="1:17" ht="24.75" customHeight="1" x14ac:dyDescent="0.2">
      <c r="A17" s="43"/>
      <c r="B17" s="43"/>
      <c r="C17" s="43"/>
      <c r="D17" s="43"/>
      <c r="E17" s="43"/>
      <c r="F17" s="43"/>
      <c r="G17" s="43"/>
      <c r="H17" s="43"/>
      <c r="I17" s="23"/>
      <c r="J17" s="23"/>
      <c r="K17" s="23"/>
      <c r="L17" s="43"/>
      <c r="M17" s="43"/>
      <c r="N17" s="43"/>
      <c r="O17" s="135"/>
      <c r="P17" s="136"/>
      <c r="Q17" s="51"/>
    </row>
    <row r="18" spans="1:17" ht="33.75" customHeight="1" thickBot="1" x14ac:dyDescent="0.25">
      <c r="A18" s="131" t="s">
        <v>87</v>
      </c>
      <c r="B18" s="131"/>
      <c r="C18" s="131"/>
      <c r="D18" s="131"/>
      <c r="E18" s="131"/>
      <c r="F18" s="131"/>
      <c r="G18" s="131"/>
      <c r="H18" s="131"/>
      <c r="I18" s="131"/>
      <c r="J18" s="131"/>
      <c r="K18" s="131"/>
      <c r="L18" s="131"/>
      <c r="M18" s="131"/>
      <c r="N18" s="131"/>
      <c r="O18" s="131"/>
      <c r="P18" s="131"/>
      <c r="Q18" s="42">
        <f>SUM(Q15:Q17)</f>
        <v>3899866.81</v>
      </c>
    </row>
    <row r="19" spans="1:17" ht="18" customHeight="1" thickBot="1" x14ac:dyDescent="0.25">
      <c r="A19" s="132"/>
      <c r="B19" s="132"/>
      <c r="C19" s="132"/>
      <c r="D19" s="132"/>
      <c r="E19" s="132"/>
      <c r="F19" s="132"/>
      <c r="G19" s="132"/>
      <c r="H19" s="132"/>
      <c r="I19" s="132"/>
      <c r="J19" s="132"/>
      <c r="K19" s="132"/>
      <c r="L19" s="132"/>
      <c r="M19" s="132"/>
      <c r="N19" s="132"/>
      <c r="O19" s="132"/>
      <c r="P19" s="132"/>
      <c r="Q19" s="132"/>
    </row>
    <row r="20" spans="1:17" ht="17.25" customHeight="1" thickBot="1" x14ac:dyDescent="0.25">
      <c r="A20" s="137" t="s">
        <v>55</v>
      </c>
      <c r="B20" s="138"/>
      <c r="C20" s="138"/>
      <c r="D20" s="138"/>
      <c r="E20" s="138"/>
      <c r="F20" s="139"/>
      <c r="G20" s="140"/>
      <c r="H20" s="140"/>
      <c r="I20" s="140"/>
      <c r="J20" s="140"/>
      <c r="K20" s="140"/>
      <c r="L20" s="140"/>
      <c r="M20" s="140"/>
      <c r="N20" s="140"/>
      <c r="O20" s="140"/>
      <c r="P20" s="140"/>
      <c r="Q20" s="140"/>
    </row>
    <row r="21" spans="1:17" ht="18" customHeight="1" thickBot="1" x14ac:dyDescent="0.25">
      <c r="A21" s="129" t="s">
        <v>86</v>
      </c>
      <c r="B21" s="130"/>
      <c r="C21" s="130"/>
      <c r="D21" s="130"/>
      <c r="E21" s="130"/>
      <c r="F21" s="130"/>
      <c r="G21" s="130"/>
      <c r="H21" s="130"/>
      <c r="I21" s="130"/>
      <c r="J21" s="130"/>
      <c r="K21" s="130"/>
      <c r="L21" s="130"/>
      <c r="M21" s="130"/>
      <c r="N21" s="130"/>
      <c r="O21" s="130"/>
      <c r="P21" s="130"/>
      <c r="Q21" s="130"/>
    </row>
    <row r="22" spans="1:17" ht="21.75" customHeight="1" x14ac:dyDescent="0.2">
      <c r="A22" s="130"/>
      <c r="B22" s="130"/>
      <c r="C22" s="130"/>
      <c r="D22" s="130"/>
      <c r="E22" s="130"/>
      <c r="F22" s="130"/>
      <c r="G22" s="130"/>
      <c r="H22" s="130"/>
      <c r="I22" s="130"/>
      <c r="J22" s="130"/>
      <c r="K22" s="130"/>
      <c r="L22" s="130"/>
      <c r="M22" s="130"/>
      <c r="N22" s="130"/>
      <c r="O22" s="130"/>
      <c r="P22" s="130"/>
      <c r="Q22" s="130"/>
    </row>
    <row r="25" spans="1:17" x14ac:dyDescent="0.2">
      <c r="A25" s="40"/>
    </row>
  </sheetData>
  <mergeCells count="26">
    <mergeCell ref="A21:Q22"/>
    <mergeCell ref="A18:P18"/>
    <mergeCell ref="A19:Q19"/>
    <mergeCell ref="O15:P15"/>
    <mergeCell ref="O16:P16"/>
    <mergeCell ref="O17:P17"/>
    <mergeCell ref="A20:F20"/>
    <mergeCell ref="G20:Q20"/>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 (2)</vt:lpstr>
      <vt:lpstr> NotaPedido</vt:lpstr>
      <vt:lpstr>Autor Gastar</vt:lpstr>
      <vt:lpstr>' NotaPedido'!Área_de_impresión</vt:lpstr>
      <vt:lpstr>'Autor Gastar'!Área_de_impresión</vt:lpstr>
      <vt:lpstr>'Necesidades Trimestrales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2021-12-01T13:34:57Z</cp:lastPrinted>
  <dcterms:created xsi:type="dcterms:W3CDTF">2020-07-17T23:44:49Z</dcterms:created>
  <dcterms:modified xsi:type="dcterms:W3CDTF">2022-04-22T15:34:56Z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